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kha\Downloads\"/>
    </mc:Choice>
  </mc:AlternateContent>
  <bookViews>
    <workbookView xWindow="0" yWindow="0" windowWidth="19200" windowHeight="6648"/>
  </bookViews>
  <sheets>
    <sheet name="List" sheetId="1" r:id="rId1"/>
    <sheet name="Type" sheetId="11" r:id="rId2"/>
    <sheet name="Return" sheetId="14" r:id="rId3"/>
    <sheet name="Argument" sheetId="13" r:id="rId4"/>
    <sheet name="Name" sheetId="12" r:id="rId5"/>
  </sheets>
  <definedNames>
    <definedName name="_xlnm._FilterDatabase" localSheetId="3" hidden="1">Argument!$A$1:$L$2097</definedName>
    <definedName name="_xlnm._FilterDatabase" localSheetId="0" hidden="1">List!$B$1:$G$601</definedName>
    <definedName name="_xlnm._FilterDatabase" localSheetId="2" hidden="1">Return!$A$1:$N$2097</definedName>
    <definedName name="a">{1}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1" l="1"/>
  <c r="I4" i="11" l="1"/>
  <c r="I5" i="11"/>
  <c r="I6" i="11"/>
  <c r="I8" i="11"/>
  <c r="I9" i="11"/>
  <c r="I10" i="11"/>
  <c r="I12" i="11"/>
  <c r="I14" i="11"/>
  <c r="I16" i="11"/>
  <c r="I17" i="11"/>
  <c r="I18" i="11"/>
  <c r="I20" i="11"/>
  <c r="I21" i="11"/>
  <c r="I22" i="11"/>
  <c r="I24" i="11"/>
  <c r="I25" i="11"/>
  <c r="I26" i="11"/>
  <c r="I28" i="11"/>
  <c r="I29" i="11"/>
  <c r="I30" i="11"/>
  <c r="I32" i="11"/>
  <c r="I34" i="11"/>
  <c r="I37" i="11"/>
  <c r="I38" i="11"/>
  <c r="I39" i="11"/>
  <c r="I40" i="11"/>
  <c r="I42" i="11"/>
  <c r="I43" i="11"/>
  <c r="I44" i="11"/>
  <c r="I46" i="11"/>
  <c r="I47" i="11"/>
  <c r="I49" i="11"/>
  <c r="I50" i="11"/>
  <c r="I51" i="11"/>
  <c r="I53" i="11"/>
  <c r="I55" i="11"/>
  <c r="I57" i="11"/>
  <c r="I59" i="11"/>
  <c r="I62" i="11"/>
  <c r="I64" i="11"/>
  <c r="I66" i="11"/>
  <c r="I68" i="11"/>
  <c r="I70" i="11"/>
  <c r="I72" i="11"/>
  <c r="I74" i="11"/>
  <c r="I76" i="11"/>
  <c r="I77" i="11"/>
  <c r="I79" i="11"/>
  <c r="I80" i="11"/>
  <c r="I81" i="11"/>
  <c r="I83" i="11"/>
  <c r="I84" i="11"/>
  <c r="I85" i="11"/>
  <c r="I86" i="11"/>
  <c r="I88" i="11"/>
  <c r="I89" i="11"/>
  <c r="I91" i="11"/>
  <c r="I92" i="11"/>
  <c r="I93" i="11"/>
  <c r="I95" i="11"/>
  <c r="I97" i="11"/>
  <c r="I98" i="11"/>
  <c r="H36" i="1" s="1"/>
  <c r="I99" i="11"/>
  <c r="H37" i="1" s="1"/>
  <c r="I101" i="11"/>
  <c r="I102" i="11"/>
  <c r="I103" i="11"/>
  <c r="I105" i="11"/>
  <c r="I106" i="11"/>
  <c r="I107" i="11"/>
  <c r="I109" i="11"/>
  <c r="I111" i="11"/>
  <c r="I112" i="11"/>
  <c r="I114" i="11"/>
  <c r="I115" i="11"/>
  <c r="I116" i="11"/>
  <c r="I118" i="11"/>
  <c r="I119" i="11"/>
  <c r="I120" i="11"/>
  <c r="I122" i="11"/>
  <c r="I123" i="11"/>
  <c r="I124" i="11"/>
  <c r="I126" i="11"/>
  <c r="I127" i="11"/>
  <c r="I128" i="11"/>
  <c r="I130" i="11"/>
  <c r="I131" i="11"/>
  <c r="I132" i="11"/>
  <c r="I134" i="11"/>
  <c r="I135" i="11"/>
  <c r="I136" i="11"/>
  <c r="I138" i="11"/>
  <c r="I139" i="11"/>
  <c r="I140" i="11"/>
  <c r="I142" i="11"/>
  <c r="I143" i="11"/>
  <c r="I144" i="11"/>
  <c r="I146" i="11"/>
  <c r="I147" i="11"/>
  <c r="I149" i="11"/>
  <c r="I150" i="11"/>
  <c r="I151" i="11"/>
  <c r="I152" i="11"/>
  <c r="I154" i="11"/>
  <c r="I155" i="11"/>
  <c r="I156" i="11"/>
  <c r="I157" i="11"/>
  <c r="I159" i="11"/>
  <c r="I160" i="11"/>
  <c r="I161" i="11"/>
  <c r="I162" i="11"/>
  <c r="I164" i="11"/>
  <c r="I165" i="11"/>
  <c r="I166" i="11"/>
  <c r="I167" i="11"/>
  <c r="I169" i="11"/>
  <c r="I171" i="11"/>
  <c r="I173" i="11"/>
  <c r="I175" i="11"/>
  <c r="I176" i="11"/>
  <c r="I177" i="11"/>
  <c r="I178" i="11"/>
  <c r="I179" i="11"/>
  <c r="I181" i="11"/>
  <c r="I182" i="11"/>
  <c r="I183" i="11"/>
  <c r="I184" i="11"/>
  <c r="I185" i="11"/>
  <c r="I187" i="11"/>
  <c r="I188" i="11"/>
  <c r="I189" i="11"/>
  <c r="I190" i="11"/>
  <c r="I191" i="11"/>
  <c r="I193" i="11"/>
  <c r="I194" i="11"/>
  <c r="I195" i="11"/>
  <c r="I196" i="11"/>
  <c r="I197" i="11"/>
  <c r="I199" i="11"/>
  <c r="I200" i="11"/>
  <c r="I201" i="11"/>
  <c r="I202" i="11"/>
  <c r="I203" i="11"/>
  <c r="I204" i="11"/>
  <c r="I206" i="11"/>
  <c r="I207" i="11"/>
  <c r="I208" i="11"/>
  <c r="I210" i="11"/>
  <c r="I211" i="11"/>
  <c r="I214" i="11"/>
  <c r="I215" i="11"/>
  <c r="I216" i="11"/>
  <c r="I218" i="11"/>
  <c r="I219" i="11"/>
  <c r="I220" i="11"/>
  <c r="I222" i="11"/>
  <c r="I223" i="11"/>
  <c r="I224" i="11"/>
  <c r="I226" i="11"/>
  <c r="I228" i="11"/>
  <c r="I230" i="11"/>
  <c r="I232" i="11"/>
  <c r="I233" i="11"/>
  <c r="I235" i="11"/>
  <c r="I237" i="11"/>
  <c r="I239" i="11"/>
  <c r="I242" i="11"/>
  <c r="I244" i="11"/>
  <c r="I246" i="11"/>
  <c r="I248" i="11"/>
  <c r="I249" i="11"/>
  <c r="I250" i="11"/>
  <c r="I251" i="11"/>
  <c r="I252" i="11"/>
  <c r="I254" i="11"/>
  <c r="I255" i="11"/>
  <c r="I257" i="11"/>
  <c r="I258" i="11"/>
  <c r="I260" i="11"/>
  <c r="I261" i="11"/>
  <c r="I263" i="11"/>
  <c r="I264" i="11"/>
  <c r="I265" i="11"/>
  <c r="I267" i="11"/>
  <c r="I269" i="11"/>
  <c r="I270" i="11"/>
  <c r="I273" i="11"/>
  <c r="I275" i="11"/>
  <c r="I277" i="11"/>
  <c r="I278" i="11"/>
  <c r="I281" i="11"/>
  <c r="I283" i="11"/>
  <c r="I284" i="11"/>
  <c r="I287" i="11"/>
  <c r="I288" i="11"/>
  <c r="I292" i="11"/>
  <c r="I294" i="11"/>
  <c r="I295" i="11"/>
  <c r="I297" i="11"/>
  <c r="I299" i="11"/>
  <c r="I301" i="11"/>
  <c r="I302" i="11"/>
  <c r="I303" i="11"/>
  <c r="I304" i="11"/>
  <c r="I306" i="11"/>
  <c r="I307" i="11"/>
  <c r="I308" i="11"/>
  <c r="I309" i="11"/>
  <c r="I311" i="11"/>
  <c r="I312" i="11"/>
  <c r="I313" i="11"/>
  <c r="I314" i="11"/>
  <c r="I316" i="11"/>
  <c r="I317" i="11"/>
  <c r="I319" i="11"/>
  <c r="I320" i="11"/>
  <c r="I321" i="11"/>
  <c r="I322" i="11"/>
  <c r="I323" i="11"/>
  <c r="I324" i="11"/>
  <c r="I325" i="11"/>
  <c r="I327" i="11"/>
  <c r="I329" i="11"/>
  <c r="I331" i="11"/>
  <c r="I332" i="11"/>
  <c r="I334" i="11"/>
  <c r="I335" i="11"/>
  <c r="I337" i="11"/>
  <c r="I338" i="11"/>
  <c r="I340" i="11"/>
  <c r="I341" i="11"/>
  <c r="I343" i="11"/>
  <c r="I345" i="11"/>
  <c r="I347" i="11"/>
  <c r="I349" i="11"/>
  <c r="I351" i="11"/>
  <c r="I352" i="11"/>
  <c r="I354" i="11"/>
  <c r="I355" i="11"/>
  <c r="I357" i="11"/>
  <c r="I358" i="11"/>
  <c r="I360" i="11"/>
  <c r="I362" i="11"/>
  <c r="I363" i="11"/>
  <c r="I364" i="11"/>
  <c r="I365" i="11"/>
  <c r="I367" i="11"/>
  <c r="I368" i="11"/>
  <c r="I369" i="11"/>
  <c r="I370" i="11"/>
  <c r="I372" i="11"/>
  <c r="I374" i="11"/>
  <c r="I375" i="11"/>
  <c r="I376" i="11"/>
  <c r="I378" i="11"/>
  <c r="I380" i="11"/>
  <c r="I381" i="11"/>
  <c r="I382" i="11"/>
  <c r="I384" i="11"/>
  <c r="I385" i="11"/>
  <c r="I387" i="11"/>
  <c r="I389" i="11"/>
  <c r="I391" i="11"/>
  <c r="I393" i="11"/>
  <c r="I395" i="11"/>
  <c r="I397" i="11"/>
  <c r="I399" i="11"/>
  <c r="I400" i="11"/>
  <c r="I402" i="11"/>
  <c r="I404" i="11"/>
  <c r="I406" i="11"/>
  <c r="I408" i="11"/>
  <c r="I409" i="11"/>
  <c r="I411" i="11"/>
  <c r="I412" i="11"/>
  <c r="I414" i="11"/>
  <c r="I415" i="11"/>
  <c r="I417" i="11"/>
  <c r="I418" i="11"/>
  <c r="I420" i="11"/>
  <c r="I422" i="11"/>
  <c r="I424" i="11"/>
  <c r="I425" i="11"/>
  <c r="I426" i="11"/>
  <c r="I428" i="11"/>
  <c r="I429" i="11"/>
  <c r="I430" i="11"/>
  <c r="I431" i="11"/>
  <c r="I433" i="11"/>
  <c r="I434" i="11"/>
  <c r="I435" i="11"/>
  <c r="I436" i="11"/>
  <c r="I437" i="11"/>
  <c r="I439" i="11"/>
  <c r="I440" i="11"/>
  <c r="I441" i="11"/>
  <c r="I443" i="11"/>
  <c r="I444" i="11"/>
  <c r="I446" i="11"/>
  <c r="I447" i="11"/>
  <c r="I449" i="11"/>
  <c r="I450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5" i="11"/>
  <c r="I466" i="11"/>
  <c r="I467" i="11"/>
  <c r="I468" i="11"/>
  <c r="I469" i="11"/>
  <c r="I471" i="11"/>
  <c r="I473" i="11"/>
  <c r="I474" i="11"/>
  <c r="I475" i="11"/>
  <c r="I476" i="11"/>
  <c r="I478" i="11"/>
  <c r="I479" i="11"/>
  <c r="I480" i="11"/>
  <c r="I481" i="11"/>
  <c r="I482" i="11"/>
  <c r="I484" i="11"/>
  <c r="I485" i="11"/>
  <c r="I486" i="11"/>
  <c r="I487" i="11"/>
  <c r="I488" i="11"/>
  <c r="I490" i="11"/>
  <c r="I491" i="11"/>
  <c r="I492" i="11"/>
  <c r="I493" i="11"/>
  <c r="I494" i="11"/>
  <c r="I496" i="11"/>
  <c r="I497" i="11"/>
  <c r="I498" i="11"/>
  <c r="I499" i="11"/>
  <c r="I500" i="11"/>
  <c r="I502" i="11"/>
  <c r="I504" i="11"/>
  <c r="I505" i="11"/>
  <c r="I506" i="11"/>
  <c r="I508" i="11"/>
  <c r="I509" i="11"/>
  <c r="I510" i="11"/>
  <c r="I511" i="11"/>
  <c r="I513" i="11"/>
  <c r="I514" i="11"/>
  <c r="I515" i="11"/>
  <c r="I517" i="11"/>
  <c r="I519" i="11"/>
  <c r="I521" i="11"/>
  <c r="I523" i="11"/>
  <c r="I525" i="11"/>
  <c r="I526" i="11"/>
  <c r="I528" i="11"/>
  <c r="I530" i="11"/>
  <c r="I531" i="11"/>
  <c r="I532" i="11"/>
  <c r="I533" i="11"/>
  <c r="I534" i="11"/>
  <c r="I535" i="11"/>
  <c r="I537" i="11"/>
  <c r="I538" i="11"/>
  <c r="I539" i="11"/>
  <c r="I540" i="11"/>
  <c r="I541" i="11"/>
  <c r="I542" i="11"/>
  <c r="I544" i="11"/>
  <c r="I545" i="11"/>
  <c r="I546" i="11"/>
  <c r="I548" i="11"/>
  <c r="I549" i="11"/>
  <c r="I551" i="11"/>
  <c r="I552" i="11"/>
  <c r="I553" i="11"/>
  <c r="I554" i="11"/>
  <c r="I556" i="11"/>
  <c r="I560" i="11"/>
  <c r="I561" i="11"/>
  <c r="I563" i="11"/>
  <c r="I564" i="11"/>
  <c r="I566" i="11"/>
  <c r="I567" i="11"/>
  <c r="I568" i="11"/>
  <c r="I570" i="11"/>
  <c r="I571" i="11"/>
  <c r="I573" i="11"/>
  <c r="I575" i="11"/>
  <c r="I577" i="11"/>
  <c r="I579" i="11"/>
  <c r="I580" i="11"/>
  <c r="I581" i="11"/>
  <c r="I582" i="11"/>
  <c r="I584" i="11"/>
  <c r="I585" i="11"/>
  <c r="I586" i="11"/>
  <c r="I588" i="11"/>
  <c r="I590" i="11"/>
  <c r="I591" i="11"/>
  <c r="I593" i="11"/>
  <c r="I595" i="11"/>
  <c r="I596" i="11"/>
  <c r="I598" i="11"/>
  <c r="I599" i="11"/>
  <c r="I601" i="11"/>
  <c r="I602" i="11"/>
  <c r="I603" i="11"/>
  <c r="I605" i="11"/>
  <c r="I607" i="11"/>
  <c r="I608" i="11"/>
  <c r="I609" i="11"/>
  <c r="I611" i="11"/>
  <c r="I612" i="11"/>
  <c r="I613" i="11"/>
  <c r="I614" i="11"/>
  <c r="I616" i="11"/>
  <c r="I617" i="11"/>
  <c r="I618" i="11"/>
  <c r="I620" i="11"/>
  <c r="I621" i="11"/>
  <c r="I622" i="11"/>
  <c r="I624" i="11"/>
  <c r="I625" i="11"/>
  <c r="I626" i="11"/>
  <c r="I628" i="11"/>
  <c r="I629" i="11"/>
  <c r="I630" i="11"/>
  <c r="I632" i="11"/>
  <c r="I633" i="11"/>
  <c r="I635" i="11"/>
  <c r="I637" i="11"/>
  <c r="I638" i="11"/>
  <c r="I639" i="11"/>
  <c r="I641" i="11"/>
  <c r="I643" i="11"/>
  <c r="I645" i="11"/>
  <c r="I646" i="11"/>
  <c r="I648" i="11"/>
  <c r="I649" i="11"/>
  <c r="I650" i="11"/>
  <c r="I652" i="11"/>
  <c r="I653" i="11"/>
  <c r="I654" i="11"/>
  <c r="I656" i="11"/>
  <c r="I657" i="11"/>
  <c r="I658" i="11"/>
  <c r="I659" i="11"/>
  <c r="I661" i="11"/>
  <c r="I662" i="11"/>
  <c r="I664" i="11"/>
  <c r="I665" i="11"/>
  <c r="I667" i="11"/>
  <c r="I668" i="11"/>
  <c r="I669" i="11"/>
  <c r="I671" i="11"/>
  <c r="I673" i="11"/>
  <c r="I674" i="11"/>
  <c r="I676" i="11"/>
  <c r="I677" i="11"/>
  <c r="I679" i="11"/>
  <c r="I681" i="11"/>
  <c r="I683" i="11"/>
  <c r="I684" i="11"/>
  <c r="I685" i="11"/>
  <c r="I687" i="11"/>
  <c r="I688" i="11"/>
  <c r="I689" i="11"/>
  <c r="I690" i="11"/>
  <c r="I691" i="11"/>
  <c r="I693" i="11"/>
  <c r="I694" i="11"/>
  <c r="I695" i="11"/>
  <c r="I698" i="11"/>
  <c r="I699" i="11"/>
  <c r="I700" i="11"/>
  <c r="I701" i="11"/>
  <c r="I702" i="11"/>
  <c r="I703" i="11"/>
  <c r="I704" i="11"/>
  <c r="I707" i="11"/>
  <c r="I710" i="11"/>
  <c r="I711" i="11"/>
  <c r="I712" i="11"/>
  <c r="I714" i="11"/>
  <c r="I715" i="11"/>
  <c r="I716" i="11"/>
  <c r="I718" i="11"/>
  <c r="I719" i="11"/>
  <c r="I720" i="11"/>
  <c r="I721" i="11"/>
  <c r="I723" i="11"/>
  <c r="I725" i="11"/>
  <c r="I727" i="11"/>
  <c r="I729" i="11"/>
  <c r="I731" i="11"/>
  <c r="I733" i="11"/>
  <c r="I735" i="11"/>
  <c r="I736" i="11"/>
  <c r="I737" i="11"/>
  <c r="I739" i="11"/>
  <c r="I740" i="11"/>
  <c r="I741" i="11"/>
  <c r="I742" i="11"/>
  <c r="I743" i="11"/>
  <c r="I744" i="11"/>
  <c r="I745" i="11"/>
  <c r="I746" i="11"/>
  <c r="I747" i="11"/>
  <c r="I748" i="11"/>
  <c r="I750" i="11"/>
  <c r="I753" i="11"/>
  <c r="I754" i="11"/>
  <c r="I756" i="11"/>
  <c r="I757" i="11"/>
  <c r="I758" i="11"/>
  <c r="I760" i="11"/>
  <c r="I761" i="11"/>
  <c r="I762" i="11"/>
  <c r="I763" i="11"/>
  <c r="I764" i="11"/>
  <c r="I766" i="11"/>
  <c r="I767" i="11"/>
  <c r="I768" i="11"/>
  <c r="I769" i="11"/>
  <c r="I771" i="11"/>
  <c r="I772" i="11"/>
  <c r="I773" i="11"/>
  <c r="I774" i="11"/>
  <c r="I776" i="11"/>
  <c r="I779" i="11"/>
  <c r="I780" i="11"/>
  <c r="I781" i="11"/>
  <c r="I782" i="11"/>
  <c r="I783" i="11"/>
  <c r="I785" i="11"/>
  <c r="I786" i="11"/>
  <c r="I787" i="11"/>
  <c r="I788" i="11"/>
  <c r="I789" i="11"/>
  <c r="I791" i="11"/>
  <c r="I793" i="11"/>
  <c r="I795" i="11"/>
  <c r="I796" i="11"/>
  <c r="I798" i="11"/>
  <c r="I799" i="11"/>
  <c r="I801" i="11"/>
  <c r="I803" i="11"/>
  <c r="I805" i="11"/>
  <c r="I807" i="11"/>
  <c r="I808" i="11"/>
  <c r="I810" i="11"/>
  <c r="I811" i="11"/>
  <c r="I812" i="11"/>
  <c r="I814" i="11"/>
  <c r="I815" i="11"/>
  <c r="I816" i="11"/>
  <c r="I818" i="11"/>
  <c r="I820" i="11"/>
  <c r="I822" i="11"/>
  <c r="I824" i="11"/>
  <c r="I825" i="11"/>
  <c r="I827" i="11"/>
  <c r="I828" i="11"/>
  <c r="I829" i="11"/>
  <c r="I831" i="11"/>
  <c r="I832" i="11"/>
  <c r="I833" i="11"/>
  <c r="I835" i="11"/>
  <c r="I836" i="11"/>
  <c r="I837" i="11"/>
  <c r="I839" i="11"/>
  <c r="I840" i="11"/>
  <c r="I842" i="11"/>
  <c r="I843" i="11"/>
  <c r="I844" i="11"/>
  <c r="I846" i="11"/>
  <c r="I847" i="11"/>
  <c r="I848" i="11"/>
  <c r="I849" i="11"/>
  <c r="I850" i="11"/>
  <c r="I852" i="11"/>
  <c r="I854" i="11"/>
  <c r="I855" i="11"/>
  <c r="I856" i="11"/>
  <c r="I857" i="11"/>
  <c r="I858" i="11"/>
  <c r="I860" i="11"/>
  <c r="I861" i="11"/>
  <c r="I862" i="11"/>
  <c r="I863" i="11"/>
  <c r="I865" i="11"/>
  <c r="I866" i="11"/>
  <c r="I868" i="11"/>
  <c r="I869" i="11"/>
  <c r="I871" i="11"/>
  <c r="I872" i="11"/>
  <c r="I874" i="11"/>
  <c r="I875" i="11"/>
  <c r="I876" i="11"/>
  <c r="I878" i="11"/>
  <c r="I879" i="11"/>
  <c r="I880" i="11"/>
  <c r="I882" i="11"/>
  <c r="I884" i="11"/>
  <c r="I885" i="11"/>
  <c r="I886" i="11"/>
  <c r="I888" i="11"/>
  <c r="I889" i="11"/>
  <c r="I890" i="11"/>
  <c r="I892" i="11"/>
  <c r="I893" i="11"/>
  <c r="I894" i="11"/>
  <c r="I896" i="11"/>
  <c r="I898" i="11"/>
  <c r="I900" i="11"/>
  <c r="I901" i="11"/>
  <c r="I903" i="11"/>
  <c r="I904" i="11"/>
  <c r="I905" i="11"/>
  <c r="I906" i="11"/>
  <c r="I908" i="11"/>
  <c r="I909" i="11"/>
  <c r="I910" i="11"/>
  <c r="I912" i="11"/>
  <c r="I913" i="11"/>
  <c r="I915" i="11"/>
  <c r="I916" i="11"/>
  <c r="I917" i="11"/>
  <c r="I918" i="11"/>
  <c r="I920" i="11"/>
  <c r="I921" i="11"/>
  <c r="I922" i="11"/>
  <c r="I924" i="11"/>
  <c r="I925" i="11"/>
  <c r="I926" i="11"/>
  <c r="I928" i="11"/>
  <c r="I929" i="11"/>
  <c r="I930" i="11"/>
  <c r="I932" i="11"/>
  <c r="I933" i="11"/>
  <c r="I934" i="11"/>
  <c r="I935" i="11"/>
  <c r="I937" i="11"/>
  <c r="I939" i="11"/>
  <c r="I940" i="11"/>
  <c r="I941" i="11"/>
  <c r="I943" i="11"/>
  <c r="I945" i="11"/>
  <c r="I946" i="11"/>
  <c r="I947" i="11"/>
  <c r="I949" i="11"/>
  <c r="I951" i="11"/>
  <c r="I952" i="11"/>
  <c r="I954" i="11"/>
  <c r="I955" i="11"/>
  <c r="I956" i="11"/>
  <c r="I958" i="11"/>
  <c r="I959" i="11"/>
  <c r="I960" i="11"/>
  <c r="I962" i="11"/>
  <c r="I963" i="11"/>
  <c r="I964" i="11"/>
  <c r="I965" i="11"/>
  <c r="I967" i="11"/>
  <c r="I968" i="11"/>
  <c r="I970" i="11"/>
  <c r="I971" i="11"/>
  <c r="I973" i="11"/>
  <c r="I974" i="11"/>
  <c r="I976" i="11"/>
  <c r="I977" i="11"/>
  <c r="I979" i="11"/>
  <c r="I980" i="11"/>
  <c r="I982" i="11"/>
  <c r="I983" i="11"/>
  <c r="I985" i="11"/>
  <c r="I986" i="11"/>
  <c r="I987" i="11"/>
  <c r="I989" i="11"/>
  <c r="I990" i="11"/>
  <c r="I992" i="11"/>
  <c r="I993" i="11"/>
  <c r="I995" i="11"/>
  <c r="I996" i="11"/>
  <c r="I998" i="11"/>
  <c r="I999" i="11"/>
  <c r="I1001" i="11"/>
  <c r="I1002" i="11"/>
  <c r="I1004" i="11"/>
  <c r="I1005" i="11"/>
  <c r="I1007" i="11"/>
  <c r="I1008" i="11"/>
  <c r="I1009" i="11"/>
  <c r="I1010" i="11"/>
  <c r="I1012" i="11"/>
  <c r="I1013" i="11"/>
  <c r="I1014" i="11"/>
  <c r="I1015" i="11"/>
  <c r="I1017" i="11"/>
  <c r="I1018" i="11"/>
  <c r="I1019" i="11"/>
  <c r="I1021" i="11"/>
  <c r="I1022" i="11"/>
  <c r="I1023" i="11"/>
  <c r="I1025" i="11"/>
  <c r="I1026" i="11"/>
  <c r="I1027" i="11"/>
  <c r="I1029" i="11"/>
  <c r="I1030" i="11"/>
  <c r="I1031" i="11"/>
  <c r="I1033" i="11"/>
  <c r="I1034" i="11"/>
  <c r="I1035" i="11"/>
  <c r="I1037" i="11"/>
  <c r="I1038" i="11"/>
  <c r="I1039" i="11"/>
  <c r="I1041" i="11"/>
  <c r="I1042" i="11"/>
  <c r="I1043" i="11"/>
  <c r="I1045" i="11"/>
  <c r="I1046" i="11"/>
  <c r="I1048" i="11"/>
  <c r="I1049" i="11"/>
  <c r="I1051" i="11"/>
  <c r="I1052" i="11"/>
  <c r="I1054" i="11"/>
  <c r="I1055" i="11"/>
  <c r="I1057" i="11"/>
  <c r="I1058" i="11"/>
  <c r="I1059" i="11"/>
  <c r="I1061" i="11"/>
  <c r="I1062" i="11"/>
  <c r="I1063" i="11"/>
  <c r="I1065" i="11"/>
  <c r="I1066" i="11"/>
  <c r="I1068" i="11"/>
  <c r="I1069" i="11"/>
  <c r="I1071" i="11"/>
  <c r="I1072" i="11"/>
  <c r="I1073" i="11"/>
  <c r="I1074" i="11"/>
  <c r="I1076" i="11"/>
  <c r="I1077" i="11"/>
  <c r="I1078" i="11"/>
  <c r="I1080" i="11"/>
  <c r="I1081" i="11"/>
  <c r="I1082" i="11"/>
  <c r="I1084" i="11"/>
  <c r="I1085" i="11"/>
  <c r="I1087" i="11"/>
  <c r="I1088" i="11"/>
  <c r="I1089" i="11"/>
  <c r="I1090" i="11"/>
  <c r="I1091" i="11"/>
  <c r="I1092" i="11"/>
  <c r="I1093" i="11"/>
  <c r="I1094" i="11"/>
  <c r="I1095" i="11"/>
  <c r="I1097" i="11"/>
  <c r="I1098" i="11"/>
  <c r="I1100" i="11"/>
  <c r="I1101" i="11"/>
  <c r="I1102" i="11"/>
  <c r="I1104" i="11"/>
  <c r="I1105" i="11"/>
  <c r="I1106" i="11"/>
  <c r="I1107" i="11"/>
  <c r="I1109" i="11"/>
  <c r="I1111" i="11"/>
  <c r="I1113" i="11"/>
  <c r="I1114" i="11"/>
  <c r="I1115" i="11"/>
  <c r="I1117" i="11"/>
  <c r="I1118" i="11"/>
  <c r="I1119" i="11"/>
  <c r="I1121" i="11"/>
  <c r="I1122" i="11"/>
  <c r="I1124" i="11"/>
  <c r="I1126" i="11"/>
  <c r="I1127" i="11"/>
  <c r="I1129" i="11"/>
  <c r="I1131" i="11"/>
  <c r="I1132" i="11"/>
  <c r="I1133" i="11"/>
  <c r="I1134" i="11"/>
  <c r="I1136" i="11"/>
  <c r="I1137" i="11"/>
  <c r="I1138" i="11"/>
  <c r="I1140" i="11"/>
  <c r="I1142" i="11"/>
  <c r="I1143" i="11"/>
  <c r="I1145" i="11"/>
  <c r="I1146" i="11"/>
  <c r="I1148" i="11"/>
  <c r="I1149" i="11"/>
  <c r="I1150" i="11"/>
  <c r="I1151" i="11"/>
  <c r="I1153" i="11"/>
  <c r="I1154" i="11"/>
  <c r="I1155" i="11"/>
  <c r="I1156" i="11"/>
  <c r="I1157" i="11"/>
  <c r="I1159" i="11"/>
  <c r="I1160" i="11"/>
  <c r="I1162" i="11"/>
  <c r="I1163" i="11"/>
  <c r="I1164" i="11"/>
  <c r="I1165" i="11"/>
  <c r="I1166" i="11"/>
  <c r="I1167" i="11"/>
  <c r="I1169" i="11"/>
  <c r="I1170" i="11"/>
  <c r="I1172" i="11"/>
  <c r="I1174" i="11"/>
  <c r="I1175" i="11"/>
  <c r="I1176" i="11"/>
  <c r="I1178" i="11"/>
  <c r="I1179" i="11"/>
  <c r="I1180" i="11"/>
  <c r="I1182" i="11"/>
  <c r="I1183" i="11"/>
  <c r="I1184" i="11"/>
  <c r="I1186" i="11"/>
  <c r="I1187" i="11"/>
  <c r="I1188" i="11"/>
  <c r="I1190" i="11"/>
  <c r="I1191" i="11"/>
  <c r="I1192" i="11"/>
  <c r="I1194" i="11"/>
  <c r="I1195" i="11"/>
  <c r="I1196" i="11"/>
  <c r="I1198" i="11"/>
  <c r="I1199" i="11"/>
  <c r="I1200" i="11"/>
  <c r="I1202" i="11"/>
  <c r="I1204" i="11"/>
  <c r="I1206" i="11"/>
  <c r="I1208" i="11"/>
  <c r="I1210" i="11"/>
  <c r="I1212" i="11"/>
  <c r="I1214" i="11"/>
  <c r="I1216" i="11"/>
  <c r="I1218" i="11"/>
  <c r="I1220" i="11"/>
  <c r="I1222" i="11"/>
  <c r="I1224" i="11"/>
  <c r="I1225" i="11"/>
  <c r="I1226" i="11"/>
  <c r="I1227" i="11"/>
  <c r="I1228" i="11"/>
  <c r="I1230" i="11"/>
  <c r="I1231" i="11"/>
  <c r="I1232" i="11"/>
  <c r="I1234" i="11"/>
  <c r="I1235" i="11"/>
  <c r="I1236" i="11"/>
  <c r="I1238" i="11"/>
  <c r="I1239" i="11"/>
  <c r="I1240" i="11"/>
  <c r="I1242" i="11"/>
  <c r="I1243" i="11"/>
  <c r="I1244" i="11"/>
  <c r="I1245" i="11"/>
  <c r="I1247" i="11"/>
  <c r="I1248" i="11"/>
  <c r="I1250" i="11"/>
  <c r="I1252" i="11"/>
  <c r="I1253" i="11"/>
  <c r="I1255" i="11"/>
  <c r="I1256" i="11"/>
  <c r="I1258" i="11"/>
  <c r="I1259" i="11"/>
  <c r="I1261" i="11"/>
  <c r="I1262" i="11"/>
  <c r="I1264" i="11"/>
  <c r="I1265" i="11"/>
  <c r="I1267" i="11"/>
  <c r="I1268" i="11"/>
  <c r="I1270" i="11"/>
  <c r="I1272" i="11"/>
  <c r="I1274" i="11"/>
  <c r="I1275" i="11"/>
  <c r="I1277" i="11"/>
  <c r="I1278" i="11"/>
  <c r="I1280" i="11"/>
  <c r="I1281" i="11"/>
  <c r="I1283" i="11"/>
  <c r="I1284" i="11"/>
  <c r="I1286" i="11"/>
  <c r="I1287" i="11"/>
  <c r="I1289" i="11"/>
  <c r="I1291" i="11"/>
  <c r="I1293" i="11"/>
  <c r="I1295" i="11"/>
  <c r="I1297" i="11"/>
  <c r="I1299" i="11"/>
  <c r="I1301" i="11"/>
  <c r="I1303" i="11"/>
  <c r="I1305" i="11"/>
  <c r="I1307" i="11"/>
  <c r="I1309" i="11"/>
  <c r="I1311" i="11"/>
  <c r="I1313" i="11"/>
  <c r="I1314" i="11"/>
  <c r="I1315" i="11"/>
  <c r="I1317" i="11"/>
  <c r="I1318" i="11"/>
  <c r="I1319" i="11"/>
  <c r="I1321" i="11"/>
  <c r="I1322" i="11"/>
  <c r="I1323" i="11"/>
  <c r="I1325" i="11"/>
  <c r="I1326" i="11"/>
  <c r="I1327" i="11"/>
  <c r="I1328" i="11"/>
  <c r="I1330" i="11"/>
  <c r="I1332" i="11"/>
  <c r="I1334" i="11"/>
  <c r="I1335" i="11"/>
  <c r="I1337" i="11"/>
  <c r="I1338" i="11"/>
  <c r="I1340" i="11"/>
  <c r="I1341" i="11"/>
  <c r="I1343" i="11"/>
  <c r="I1345" i="11"/>
  <c r="I1347" i="11"/>
  <c r="I1348" i="11"/>
  <c r="I1350" i="11"/>
  <c r="I1351" i="11"/>
  <c r="I1353" i="11"/>
  <c r="I1355" i="11"/>
  <c r="I1356" i="11"/>
  <c r="I1358" i="11"/>
  <c r="I1359" i="11"/>
  <c r="I1361" i="11"/>
  <c r="I1362" i="11"/>
  <c r="I1364" i="11"/>
  <c r="I1365" i="11"/>
  <c r="I1367" i="11"/>
  <c r="I1368" i="11"/>
  <c r="I1369" i="11"/>
  <c r="I1371" i="11"/>
  <c r="I1372" i="11"/>
  <c r="I1373" i="11"/>
  <c r="I1375" i="11"/>
  <c r="I1376" i="11"/>
  <c r="I1377" i="11"/>
  <c r="I1378" i="11"/>
  <c r="I1379" i="11"/>
  <c r="I1380" i="11"/>
  <c r="I1382" i="11"/>
  <c r="I1383" i="11"/>
  <c r="I1384" i="11"/>
  <c r="I1385" i="11"/>
  <c r="I1386" i="11"/>
  <c r="I1387" i="11"/>
  <c r="I1389" i="11"/>
  <c r="I1390" i="11"/>
  <c r="I1391" i="11"/>
  <c r="I1392" i="11"/>
  <c r="I1393" i="11"/>
  <c r="I1395" i="11"/>
  <c r="I1396" i="11"/>
  <c r="I1397" i="11"/>
  <c r="I1398" i="11"/>
  <c r="I1399" i="11"/>
  <c r="I1401" i="11"/>
  <c r="I1402" i="11"/>
  <c r="I1403" i="11"/>
  <c r="I1404" i="11"/>
  <c r="I1405" i="11"/>
  <c r="I1407" i="11"/>
  <c r="I1408" i="11"/>
  <c r="I1409" i="11"/>
  <c r="I1410" i="11"/>
  <c r="I1411" i="11"/>
  <c r="I1413" i="11"/>
  <c r="I1414" i="11"/>
  <c r="I1415" i="11"/>
  <c r="I1416" i="11"/>
  <c r="I1417" i="11"/>
  <c r="I1419" i="11"/>
  <c r="I1420" i="11"/>
  <c r="I1421" i="11"/>
  <c r="I1423" i="11"/>
  <c r="I1424" i="11"/>
  <c r="I1425" i="11"/>
  <c r="I1427" i="11"/>
  <c r="I1428" i="11"/>
  <c r="I1429" i="11"/>
  <c r="I1431" i="11"/>
  <c r="I1432" i="11"/>
  <c r="I1433" i="11"/>
  <c r="I1434" i="11"/>
  <c r="I1435" i="11"/>
  <c r="I1436" i="11"/>
  <c r="I1437" i="11"/>
  <c r="I1439" i="11"/>
  <c r="I1440" i="11"/>
  <c r="I1441" i="11"/>
  <c r="I1442" i="11"/>
  <c r="I1443" i="11"/>
  <c r="I1444" i="11"/>
  <c r="I1445" i="11"/>
  <c r="I1447" i="11"/>
  <c r="I1448" i="11"/>
  <c r="I1450" i="11"/>
  <c r="I1451" i="11"/>
  <c r="I1453" i="11"/>
  <c r="I1454" i="11"/>
  <c r="I1456" i="11"/>
  <c r="I1457" i="11"/>
  <c r="I1459" i="11"/>
  <c r="I1460" i="11"/>
  <c r="I1461" i="11"/>
  <c r="I1462" i="11"/>
  <c r="I1463" i="11"/>
  <c r="I1464" i="11"/>
  <c r="I1466" i="11"/>
  <c r="I1467" i="11"/>
  <c r="I1468" i="11"/>
  <c r="I1469" i="11"/>
  <c r="I1470" i="11"/>
  <c r="I1471" i="11"/>
  <c r="I1473" i="11"/>
  <c r="I1474" i="11"/>
  <c r="I1476" i="11"/>
  <c r="I1477" i="11"/>
  <c r="I1479" i="11"/>
  <c r="I1480" i="11"/>
  <c r="I1481" i="11"/>
  <c r="I1483" i="11"/>
  <c r="I1484" i="11"/>
  <c r="I1485" i="11"/>
  <c r="I1486" i="11"/>
  <c r="I1488" i="11"/>
  <c r="I1489" i="11"/>
  <c r="I1490" i="11"/>
  <c r="I1491" i="11"/>
  <c r="I1493" i="11"/>
  <c r="I1494" i="11"/>
  <c r="I1495" i="11"/>
  <c r="I1496" i="11"/>
  <c r="I1498" i="11"/>
  <c r="I1499" i="11"/>
  <c r="I1500" i="11"/>
  <c r="I1501" i="11"/>
  <c r="I1503" i="11"/>
  <c r="I1504" i="11"/>
  <c r="I1505" i="11"/>
  <c r="I1506" i="11"/>
  <c r="I1508" i="11"/>
  <c r="I1509" i="11"/>
  <c r="I1510" i="11"/>
  <c r="I1511" i="11"/>
  <c r="I1513" i="11"/>
  <c r="I1514" i="11"/>
  <c r="I1515" i="11"/>
  <c r="I1516" i="11"/>
  <c r="I1517" i="11"/>
  <c r="I1518" i="11"/>
  <c r="I1520" i="11"/>
  <c r="I1521" i="11"/>
  <c r="I1522" i="11"/>
  <c r="I1523" i="11"/>
  <c r="I1524" i="11"/>
  <c r="I1525" i="11"/>
  <c r="I1527" i="11"/>
  <c r="I1528" i="11"/>
  <c r="I1529" i="11"/>
  <c r="I1530" i="11"/>
  <c r="I1531" i="11"/>
  <c r="I1532" i="11"/>
  <c r="I1533" i="11"/>
  <c r="I1534" i="11"/>
  <c r="I1536" i="11"/>
  <c r="I1537" i="11"/>
  <c r="I1538" i="11"/>
  <c r="I1539" i="11"/>
  <c r="I1540" i="11"/>
  <c r="I1541" i="11"/>
  <c r="I1542" i="11"/>
  <c r="I1543" i="11"/>
  <c r="I1545" i="11"/>
  <c r="I1546" i="11"/>
  <c r="I1547" i="11"/>
  <c r="I1548" i="11"/>
  <c r="I1549" i="11"/>
  <c r="I1550" i="11"/>
  <c r="I1551" i="11"/>
  <c r="I1552" i="11"/>
  <c r="I1553" i="11"/>
  <c r="I1555" i="11"/>
  <c r="I1556" i="11"/>
  <c r="I1557" i="11"/>
  <c r="I1558" i="11"/>
  <c r="I1559" i="11"/>
  <c r="I1560" i="11"/>
  <c r="I1561" i="11"/>
  <c r="I1562" i="11"/>
  <c r="I1563" i="11"/>
  <c r="I1565" i="11"/>
  <c r="I1566" i="11"/>
  <c r="I1568" i="11"/>
  <c r="I1569" i="11"/>
  <c r="I1571" i="11"/>
  <c r="I1572" i="11"/>
  <c r="I1573" i="11"/>
  <c r="I1574" i="11"/>
  <c r="I1575" i="11"/>
  <c r="I1576" i="11"/>
  <c r="I1577" i="11"/>
  <c r="I1579" i="11"/>
  <c r="I1580" i="11"/>
  <c r="I1581" i="11"/>
  <c r="I1582" i="11"/>
  <c r="I1583" i="11"/>
  <c r="I1584" i="11"/>
  <c r="I1585" i="11"/>
  <c r="I1587" i="11"/>
  <c r="I1588" i="11"/>
  <c r="I1589" i="11"/>
  <c r="I1591" i="11"/>
  <c r="I1592" i="11"/>
  <c r="I1593" i="11"/>
  <c r="I1594" i="11"/>
  <c r="I1595" i="11"/>
  <c r="I1596" i="11"/>
  <c r="I1597" i="11"/>
  <c r="I1598" i="11"/>
  <c r="I1600" i="11"/>
  <c r="I1601" i="11"/>
  <c r="I1602" i="11"/>
  <c r="I1603" i="11"/>
  <c r="I1604" i="11"/>
  <c r="I1606" i="11"/>
  <c r="I1607" i="11"/>
  <c r="I1608" i="11"/>
  <c r="I1610" i="11"/>
  <c r="I1611" i="11"/>
  <c r="I1612" i="11"/>
  <c r="I1614" i="11"/>
  <c r="I1615" i="11"/>
  <c r="I1616" i="11"/>
  <c r="I1618" i="11"/>
  <c r="I1619" i="11"/>
  <c r="I1620" i="11"/>
  <c r="I1622" i="11"/>
  <c r="I1623" i="11"/>
  <c r="I1624" i="11"/>
  <c r="I1626" i="11"/>
  <c r="I1627" i="11"/>
  <c r="I1629" i="11"/>
  <c r="I1630" i="11"/>
  <c r="I1631" i="11"/>
  <c r="I1632" i="11"/>
  <c r="I1634" i="11"/>
  <c r="I1635" i="11"/>
  <c r="I1636" i="11"/>
  <c r="I1637" i="11"/>
  <c r="I1638" i="11"/>
  <c r="I1640" i="11"/>
  <c r="I1642" i="11"/>
  <c r="I1643" i="11"/>
  <c r="I1645" i="11"/>
  <c r="I1646" i="11"/>
  <c r="I1647" i="11"/>
  <c r="I1648" i="11"/>
  <c r="I1650" i="11"/>
  <c r="I1651" i="11"/>
  <c r="I1652" i="11"/>
  <c r="I1653" i="11"/>
  <c r="I1654" i="11"/>
  <c r="I1656" i="11"/>
  <c r="I1657" i="11"/>
  <c r="I1658" i="11"/>
  <c r="I1660" i="11"/>
  <c r="I1661" i="11"/>
  <c r="I1662" i="11"/>
  <c r="I1663" i="11"/>
  <c r="I1664" i="11"/>
  <c r="I1666" i="11"/>
  <c r="I1667" i="11"/>
  <c r="I1668" i="11"/>
  <c r="I1669" i="11"/>
  <c r="I1670" i="11"/>
  <c r="I1671" i="11"/>
  <c r="I1673" i="11"/>
  <c r="I1674" i="11"/>
  <c r="I1675" i="11"/>
  <c r="I1676" i="11"/>
  <c r="I1678" i="11"/>
  <c r="I1679" i="11"/>
  <c r="I1680" i="11"/>
  <c r="I1682" i="11"/>
  <c r="I1683" i="11"/>
  <c r="I1684" i="11"/>
  <c r="I1686" i="11"/>
  <c r="I1687" i="11"/>
  <c r="I1688" i="11"/>
  <c r="I1690" i="11"/>
  <c r="I1691" i="11"/>
  <c r="I1693" i="11"/>
  <c r="I1694" i="11"/>
  <c r="I1696" i="11"/>
  <c r="I1697" i="11"/>
  <c r="I1699" i="11"/>
  <c r="I1700" i="11"/>
  <c r="I1702" i="11"/>
  <c r="I1703" i="11"/>
  <c r="I1704" i="11"/>
  <c r="I1706" i="11"/>
  <c r="I1707" i="11"/>
  <c r="I1708" i="11"/>
  <c r="I1709" i="11"/>
  <c r="I1711" i="11"/>
  <c r="I1712" i="11"/>
  <c r="I1713" i="11"/>
  <c r="I1715" i="11"/>
  <c r="I1716" i="11"/>
  <c r="I1717" i="11"/>
  <c r="I1719" i="11"/>
  <c r="I1720" i="11"/>
  <c r="I1721" i="11"/>
  <c r="I1723" i="11"/>
  <c r="I1724" i="11"/>
  <c r="I1725" i="11"/>
  <c r="I1726" i="11"/>
  <c r="I1728" i="11"/>
  <c r="I1729" i="11"/>
  <c r="I1730" i="11"/>
  <c r="I1732" i="11"/>
  <c r="I1733" i="11"/>
  <c r="I1735" i="11"/>
  <c r="I1736" i="11"/>
  <c r="I1738" i="11"/>
  <c r="I1739" i="11"/>
  <c r="I1740" i="11"/>
  <c r="I1742" i="11"/>
  <c r="I1743" i="11"/>
  <c r="I1744" i="11"/>
  <c r="I1746" i="11"/>
  <c r="I1747" i="11"/>
  <c r="I1748" i="11"/>
  <c r="I1750" i="11"/>
  <c r="I1751" i="11"/>
  <c r="I1753" i="11"/>
  <c r="I1754" i="11"/>
  <c r="I1756" i="11"/>
  <c r="I1757" i="11"/>
  <c r="I1758" i="11"/>
  <c r="I1760" i="11"/>
  <c r="I1761" i="11"/>
  <c r="I1762" i="11"/>
  <c r="I1764" i="11"/>
  <c r="I1765" i="11"/>
  <c r="I1766" i="11"/>
  <c r="I1768" i="11"/>
  <c r="I1769" i="11"/>
  <c r="I1770" i="11"/>
  <c r="I1772" i="11"/>
  <c r="I1773" i="11"/>
  <c r="I1774" i="11"/>
  <c r="I1776" i="11"/>
  <c r="I1777" i="11"/>
  <c r="I1779" i="11"/>
  <c r="I1780" i="11"/>
  <c r="I1782" i="11"/>
  <c r="I1783" i="11"/>
  <c r="I1785" i="11"/>
  <c r="I1786" i="11"/>
  <c r="I1788" i="11"/>
  <c r="I1789" i="11"/>
  <c r="I1790" i="11"/>
  <c r="I1792" i="11"/>
  <c r="I1793" i="11"/>
  <c r="I1794" i="11"/>
  <c r="I1796" i="11"/>
  <c r="I1797" i="11"/>
  <c r="I1798" i="11"/>
  <c r="I1799" i="11"/>
  <c r="I1801" i="11"/>
  <c r="I1802" i="11"/>
  <c r="I1803" i="11"/>
  <c r="I1804" i="11"/>
  <c r="I1806" i="11"/>
  <c r="I1807" i="11"/>
  <c r="I1808" i="11"/>
  <c r="I1809" i="11"/>
  <c r="I1811" i="11"/>
  <c r="I1812" i="11"/>
  <c r="I1814" i="11"/>
  <c r="I1815" i="11"/>
  <c r="I1817" i="11"/>
  <c r="I1818" i="11"/>
  <c r="I1819" i="11"/>
  <c r="I1820" i="11"/>
  <c r="I1821" i="11"/>
  <c r="I1822" i="11"/>
  <c r="I1824" i="11"/>
  <c r="I1825" i="11"/>
  <c r="I1826" i="11"/>
  <c r="I1827" i="11"/>
  <c r="I1828" i="11"/>
  <c r="I1830" i="11"/>
  <c r="I1831" i="11"/>
  <c r="I1832" i="11"/>
  <c r="I1834" i="11"/>
  <c r="I1835" i="11"/>
  <c r="I1837" i="11"/>
  <c r="I1838" i="11"/>
  <c r="I1840" i="11"/>
  <c r="I1841" i="11"/>
  <c r="I1843" i="11"/>
  <c r="I1844" i="11"/>
  <c r="I1845" i="11"/>
  <c r="I1846" i="11"/>
  <c r="I1848" i="11"/>
  <c r="I1849" i="11"/>
  <c r="I1850" i="11"/>
  <c r="I1852" i="11"/>
  <c r="I1853" i="11"/>
  <c r="I1854" i="11"/>
  <c r="I1856" i="11"/>
  <c r="I1857" i="11"/>
  <c r="I1858" i="11"/>
  <c r="I1860" i="11"/>
  <c r="I1861" i="11"/>
  <c r="I1862" i="11"/>
  <c r="I1863" i="11"/>
  <c r="I1864" i="11"/>
  <c r="I1866" i="11"/>
  <c r="I1867" i="11"/>
  <c r="I1868" i="11"/>
  <c r="I1869" i="11"/>
  <c r="I1871" i="11"/>
  <c r="I1872" i="11"/>
  <c r="I1873" i="11"/>
  <c r="I1875" i="11"/>
  <c r="I1876" i="11"/>
  <c r="I1877" i="11"/>
  <c r="I1878" i="11"/>
  <c r="I1880" i="11"/>
  <c r="I1881" i="11"/>
  <c r="I1883" i="11"/>
  <c r="I1885" i="11"/>
  <c r="I1886" i="11"/>
  <c r="I1887" i="11"/>
  <c r="I1888" i="11"/>
  <c r="I1890" i="11"/>
  <c r="I1891" i="11"/>
  <c r="I1892" i="11"/>
  <c r="I1894" i="11"/>
  <c r="I1896" i="11"/>
  <c r="I1898" i="11"/>
  <c r="I1900" i="11"/>
  <c r="I1901" i="11"/>
  <c r="I1903" i="11"/>
  <c r="I1904" i="11"/>
  <c r="I1906" i="11"/>
  <c r="I1908" i="11"/>
  <c r="I1910" i="11"/>
  <c r="I1912" i="11"/>
  <c r="I1914" i="11"/>
  <c r="I1916" i="11"/>
  <c r="I1918" i="11"/>
  <c r="I1920" i="11"/>
  <c r="I1922" i="11"/>
  <c r="I1924" i="11"/>
  <c r="I1926" i="11"/>
  <c r="I1928" i="11"/>
  <c r="I1930" i="11"/>
  <c r="I1932" i="11"/>
  <c r="I1934" i="11"/>
  <c r="I1935" i="11"/>
  <c r="I1937" i="11"/>
  <c r="I1938" i="11"/>
  <c r="I1940" i="11"/>
  <c r="I1941" i="11"/>
  <c r="I1943" i="11"/>
  <c r="I1944" i="11"/>
  <c r="I1946" i="11"/>
  <c r="I1947" i="11"/>
  <c r="I1949" i="11"/>
  <c r="I1950" i="11"/>
  <c r="I1952" i="11"/>
  <c r="I1953" i="11"/>
  <c r="I1955" i="11"/>
  <c r="I1956" i="11"/>
  <c r="I1957" i="11"/>
  <c r="I1959" i="11"/>
  <c r="I1960" i="11"/>
  <c r="I1961" i="11"/>
  <c r="I1963" i="11"/>
  <c r="I1964" i="11"/>
  <c r="I1965" i="11"/>
  <c r="I1967" i="11"/>
  <c r="I1968" i="11"/>
  <c r="I1970" i="11"/>
  <c r="I1971" i="11"/>
  <c r="I1973" i="11"/>
  <c r="I1974" i="11"/>
  <c r="I1975" i="11"/>
  <c r="I1976" i="11"/>
  <c r="I1978" i="11"/>
  <c r="I1980" i="11"/>
  <c r="I1981" i="11"/>
  <c r="I1982" i="11"/>
  <c r="I1984" i="11"/>
  <c r="I1986" i="11"/>
  <c r="I1988" i="11"/>
  <c r="I1989" i="11"/>
  <c r="I1990" i="11"/>
  <c r="I1992" i="11"/>
  <c r="I1994" i="11"/>
  <c r="I1996" i="11"/>
  <c r="I1998" i="11"/>
  <c r="I2000" i="11"/>
  <c r="I2002" i="11"/>
  <c r="I2003" i="11"/>
  <c r="I2004" i="11"/>
  <c r="I2006" i="11"/>
  <c r="I2008" i="11"/>
  <c r="I2010" i="11"/>
  <c r="I2012" i="11"/>
  <c r="I2014" i="11"/>
  <c r="I2015" i="11"/>
  <c r="I2017" i="11"/>
  <c r="I2018" i="11"/>
  <c r="I2019" i="11"/>
  <c r="I2021" i="11"/>
  <c r="I2022" i="11"/>
  <c r="I2023" i="11"/>
  <c r="I2025" i="11"/>
  <c r="I2027" i="11"/>
  <c r="I2029" i="11"/>
  <c r="I2030" i="11"/>
  <c r="I2032" i="11"/>
  <c r="I2034" i="11"/>
  <c r="I2036" i="11"/>
  <c r="I2037" i="11"/>
  <c r="I2038" i="11"/>
  <c r="I2039" i="11"/>
  <c r="I2040" i="11"/>
  <c r="I2041" i="11"/>
  <c r="I2043" i="11"/>
  <c r="I2044" i="11"/>
  <c r="I2045" i="11"/>
  <c r="I2046" i="11"/>
  <c r="I2047" i="11"/>
  <c r="I2048" i="11"/>
  <c r="I2049" i="11"/>
  <c r="I2051" i="11"/>
  <c r="I2052" i="11"/>
  <c r="I2053" i="11"/>
  <c r="I2054" i="11"/>
  <c r="I2056" i="11"/>
  <c r="I2057" i="11"/>
  <c r="I2058" i="11"/>
  <c r="I2059" i="11"/>
  <c r="I2060" i="11"/>
  <c r="I2061" i="11"/>
  <c r="I2063" i="11"/>
  <c r="I2064" i="11"/>
  <c r="I2065" i="11"/>
  <c r="I2067" i="11"/>
  <c r="I2068" i="11"/>
  <c r="I2069" i="11"/>
  <c r="I2071" i="11"/>
  <c r="I2072" i="11"/>
  <c r="I2073" i="11"/>
  <c r="I2075" i="11"/>
  <c r="I2076" i="11"/>
  <c r="I2077" i="11"/>
  <c r="I2078" i="11"/>
  <c r="I2079" i="11"/>
  <c r="I2081" i="11"/>
  <c r="I2082" i="11"/>
  <c r="I2083" i="11"/>
  <c r="I2084" i="11"/>
  <c r="I2085" i="11"/>
  <c r="I2087" i="11"/>
  <c r="I2088" i="11"/>
  <c r="I2089" i="11"/>
  <c r="I2090" i="11"/>
  <c r="I2091" i="11"/>
  <c r="I2092" i="11"/>
  <c r="I2094" i="11"/>
  <c r="I2095" i="11"/>
  <c r="I2096" i="11"/>
  <c r="I2097" i="11"/>
  <c r="H73" i="11"/>
  <c r="H153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1027" i="11"/>
  <c r="D1028" i="11"/>
  <c r="D1029" i="11"/>
  <c r="D1030" i="11"/>
  <c r="D1031" i="11"/>
  <c r="D1032" i="11"/>
  <c r="D1033" i="11"/>
  <c r="D1034" i="11"/>
  <c r="D1035" i="11"/>
  <c r="D1036" i="11"/>
  <c r="D1037" i="11"/>
  <c r="D1038" i="11"/>
  <c r="D1039" i="11"/>
  <c r="D1040" i="11"/>
  <c r="D1041" i="11"/>
  <c r="D1042" i="11"/>
  <c r="D1043" i="11"/>
  <c r="D1044" i="11"/>
  <c r="D1045" i="11"/>
  <c r="D1046" i="11"/>
  <c r="D1047" i="11"/>
  <c r="D1048" i="11"/>
  <c r="D1049" i="11"/>
  <c r="D1050" i="11"/>
  <c r="D1051" i="11"/>
  <c r="D1052" i="11"/>
  <c r="D1053" i="11"/>
  <c r="D1054" i="11"/>
  <c r="D1055" i="11"/>
  <c r="D1056" i="11"/>
  <c r="D1057" i="11"/>
  <c r="D1058" i="11"/>
  <c r="D1059" i="11"/>
  <c r="D1060" i="11"/>
  <c r="D1061" i="11"/>
  <c r="D1062" i="11"/>
  <c r="D1063" i="11"/>
  <c r="D1064" i="11"/>
  <c r="D1065" i="11"/>
  <c r="D1066" i="11"/>
  <c r="D1067" i="11"/>
  <c r="D1068" i="11"/>
  <c r="D1069" i="11"/>
  <c r="D1070" i="11"/>
  <c r="D1071" i="11"/>
  <c r="D1072" i="11"/>
  <c r="D1073" i="11"/>
  <c r="D1074" i="11"/>
  <c r="D1075" i="11"/>
  <c r="D1076" i="11"/>
  <c r="D1077" i="11"/>
  <c r="D1078" i="11"/>
  <c r="D1079" i="11"/>
  <c r="D1080" i="11"/>
  <c r="D1081" i="11"/>
  <c r="D1082" i="11"/>
  <c r="D1083" i="11"/>
  <c r="D1084" i="11"/>
  <c r="D1085" i="11"/>
  <c r="D1086" i="11"/>
  <c r="D1087" i="11"/>
  <c r="D1088" i="11"/>
  <c r="D1089" i="11"/>
  <c r="D1090" i="11"/>
  <c r="D1091" i="11"/>
  <c r="D1092" i="11"/>
  <c r="D1093" i="11"/>
  <c r="D1094" i="11"/>
  <c r="D1095" i="11"/>
  <c r="D1096" i="11"/>
  <c r="D1097" i="11"/>
  <c r="D1098" i="11"/>
  <c r="D1099" i="11"/>
  <c r="D1100" i="11"/>
  <c r="D1101" i="11"/>
  <c r="D1102" i="11"/>
  <c r="D1103" i="11"/>
  <c r="D1104" i="11"/>
  <c r="D1105" i="11"/>
  <c r="D1106" i="11"/>
  <c r="D1107" i="11"/>
  <c r="D1108" i="11"/>
  <c r="D1109" i="11"/>
  <c r="D1110" i="11"/>
  <c r="D1111" i="11"/>
  <c r="D1112" i="11"/>
  <c r="D1113" i="11"/>
  <c r="D1114" i="11"/>
  <c r="D1115" i="11"/>
  <c r="D1116" i="11"/>
  <c r="D1117" i="11"/>
  <c r="D1118" i="11"/>
  <c r="D1119" i="11"/>
  <c r="D1120" i="11"/>
  <c r="D1121" i="11"/>
  <c r="D1122" i="11"/>
  <c r="D1123" i="11"/>
  <c r="D1124" i="11"/>
  <c r="D1125" i="11"/>
  <c r="D1126" i="11"/>
  <c r="D1127" i="11"/>
  <c r="D1128" i="11"/>
  <c r="D1129" i="11"/>
  <c r="D1130" i="11"/>
  <c r="D1131" i="11"/>
  <c r="D1132" i="11"/>
  <c r="D1133" i="11"/>
  <c r="D1134" i="11"/>
  <c r="D1135" i="11"/>
  <c r="D1136" i="11"/>
  <c r="D1137" i="11"/>
  <c r="D1138" i="11"/>
  <c r="D1139" i="11"/>
  <c r="D1140" i="11"/>
  <c r="D1141" i="11"/>
  <c r="D1142" i="11"/>
  <c r="D1143" i="11"/>
  <c r="D1144" i="11"/>
  <c r="D1145" i="11"/>
  <c r="D1146" i="11"/>
  <c r="D1147" i="11"/>
  <c r="D1148" i="11"/>
  <c r="D1149" i="11"/>
  <c r="D1150" i="11"/>
  <c r="D1151" i="11"/>
  <c r="D1152" i="11"/>
  <c r="D1153" i="11"/>
  <c r="D1154" i="11"/>
  <c r="D1155" i="11"/>
  <c r="D1156" i="11"/>
  <c r="D1157" i="11"/>
  <c r="D1158" i="11"/>
  <c r="D1159" i="11"/>
  <c r="D1160" i="11"/>
  <c r="D1161" i="11"/>
  <c r="D1162" i="11"/>
  <c r="D1163" i="11"/>
  <c r="D1164" i="11"/>
  <c r="D1165" i="11"/>
  <c r="D1166" i="11"/>
  <c r="D1167" i="11"/>
  <c r="D1168" i="11"/>
  <c r="D1169" i="11"/>
  <c r="D1170" i="11"/>
  <c r="D1171" i="11"/>
  <c r="D1172" i="11"/>
  <c r="D1173" i="11"/>
  <c r="D1174" i="11"/>
  <c r="D1175" i="11"/>
  <c r="D1176" i="11"/>
  <c r="D1177" i="11"/>
  <c r="D1178" i="11"/>
  <c r="D1179" i="11"/>
  <c r="D1180" i="11"/>
  <c r="D1181" i="11"/>
  <c r="D1182" i="11"/>
  <c r="D1183" i="11"/>
  <c r="D1184" i="11"/>
  <c r="D1185" i="11"/>
  <c r="D1186" i="11"/>
  <c r="D1187" i="11"/>
  <c r="D1188" i="11"/>
  <c r="D1189" i="11"/>
  <c r="D1190" i="11"/>
  <c r="D1191" i="11"/>
  <c r="D1192" i="11"/>
  <c r="D1193" i="11"/>
  <c r="D1194" i="11"/>
  <c r="D1195" i="11"/>
  <c r="D1196" i="11"/>
  <c r="D1197" i="11"/>
  <c r="D1198" i="11"/>
  <c r="D1199" i="11"/>
  <c r="D1200" i="11"/>
  <c r="D1201" i="11"/>
  <c r="D1202" i="11"/>
  <c r="D1203" i="11"/>
  <c r="D1204" i="11"/>
  <c r="D1205" i="11"/>
  <c r="D1206" i="11"/>
  <c r="D1207" i="11"/>
  <c r="D1208" i="11"/>
  <c r="D1209" i="11"/>
  <c r="D1210" i="11"/>
  <c r="D1211" i="11"/>
  <c r="D1212" i="11"/>
  <c r="D1213" i="11"/>
  <c r="D1214" i="11"/>
  <c r="D1215" i="11"/>
  <c r="D1216" i="11"/>
  <c r="D1217" i="11"/>
  <c r="D1218" i="11"/>
  <c r="D1219" i="11"/>
  <c r="D1220" i="11"/>
  <c r="D1221" i="11"/>
  <c r="D1222" i="11"/>
  <c r="D1223" i="11"/>
  <c r="D1224" i="11"/>
  <c r="D1225" i="11"/>
  <c r="D1226" i="11"/>
  <c r="D1227" i="11"/>
  <c r="D1228" i="11"/>
  <c r="D1229" i="11"/>
  <c r="D1230" i="11"/>
  <c r="D1231" i="11"/>
  <c r="D1232" i="11"/>
  <c r="D1233" i="11"/>
  <c r="D1234" i="11"/>
  <c r="D1235" i="11"/>
  <c r="D1236" i="11"/>
  <c r="D1237" i="11"/>
  <c r="D1238" i="11"/>
  <c r="D1239" i="11"/>
  <c r="D1240" i="11"/>
  <c r="D1241" i="11"/>
  <c r="D1242" i="11"/>
  <c r="D1243" i="11"/>
  <c r="D1244" i="11"/>
  <c r="D1245" i="11"/>
  <c r="D1246" i="11"/>
  <c r="D1247" i="11"/>
  <c r="D1248" i="11"/>
  <c r="D1249" i="11"/>
  <c r="D1250" i="11"/>
  <c r="D1251" i="11"/>
  <c r="D1252" i="11"/>
  <c r="D1253" i="11"/>
  <c r="D1254" i="11"/>
  <c r="D1255" i="11"/>
  <c r="D1256" i="11"/>
  <c r="D1257" i="11"/>
  <c r="D1258" i="11"/>
  <c r="D1259" i="11"/>
  <c r="D1260" i="11"/>
  <c r="D1261" i="11"/>
  <c r="D1262" i="11"/>
  <c r="D1263" i="11"/>
  <c r="D1264" i="11"/>
  <c r="D1265" i="11"/>
  <c r="D1266" i="11"/>
  <c r="D1267" i="11"/>
  <c r="D1268" i="11"/>
  <c r="D1269" i="11"/>
  <c r="D1270" i="11"/>
  <c r="D1271" i="11"/>
  <c r="D1272" i="11"/>
  <c r="D1273" i="11"/>
  <c r="D1274" i="11"/>
  <c r="D1275" i="11"/>
  <c r="D1276" i="11"/>
  <c r="D1277" i="11"/>
  <c r="D1278" i="11"/>
  <c r="D1279" i="11"/>
  <c r="D1280" i="11"/>
  <c r="D1281" i="11"/>
  <c r="D1282" i="11"/>
  <c r="D1283" i="11"/>
  <c r="D1284" i="11"/>
  <c r="D1285" i="11"/>
  <c r="D1286" i="11"/>
  <c r="D1287" i="11"/>
  <c r="D1288" i="11"/>
  <c r="D1289" i="11"/>
  <c r="D1290" i="11"/>
  <c r="D1291" i="11"/>
  <c r="D1292" i="11"/>
  <c r="D1293" i="11"/>
  <c r="D1294" i="11"/>
  <c r="D1295" i="11"/>
  <c r="D1296" i="11"/>
  <c r="D1297" i="11"/>
  <c r="D1298" i="11"/>
  <c r="D1299" i="11"/>
  <c r="D1300" i="11"/>
  <c r="D1301" i="11"/>
  <c r="D1302" i="11"/>
  <c r="D1303" i="11"/>
  <c r="D1304" i="11"/>
  <c r="D1305" i="11"/>
  <c r="D1306" i="11"/>
  <c r="D1307" i="11"/>
  <c r="D1308" i="11"/>
  <c r="D1309" i="11"/>
  <c r="D1310" i="11"/>
  <c r="D1311" i="11"/>
  <c r="D1312" i="11"/>
  <c r="D1313" i="11"/>
  <c r="D1314" i="11"/>
  <c r="D1315" i="11"/>
  <c r="D1316" i="11"/>
  <c r="D1317" i="11"/>
  <c r="D1318" i="11"/>
  <c r="D1319" i="11"/>
  <c r="D1320" i="11"/>
  <c r="D1321" i="11"/>
  <c r="D1322" i="11"/>
  <c r="D1323" i="11"/>
  <c r="D1324" i="11"/>
  <c r="D1325" i="11"/>
  <c r="D1326" i="11"/>
  <c r="D1327" i="11"/>
  <c r="D1328" i="11"/>
  <c r="D1329" i="11"/>
  <c r="D1330" i="11"/>
  <c r="D1331" i="11"/>
  <c r="D1332" i="11"/>
  <c r="D1333" i="11"/>
  <c r="D1334" i="11"/>
  <c r="D1335" i="11"/>
  <c r="D1336" i="11"/>
  <c r="D1337" i="11"/>
  <c r="D1338" i="11"/>
  <c r="D1339" i="11"/>
  <c r="D1340" i="11"/>
  <c r="D1341" i="11"/>
  <c r="D1342" i="11"/>
  <c r="D1343" i="11"/>
  <c r="D1344" i="11"/>
  <c r="D1345" i="11"/>
  <c r="D1346" i="11"/>
  <c r="D1347" i="11"/>
  <c r="D1348" i="11"/>
  <c r="D1349" i="11"/>
  <c r="D1350" i="11"/>
  <c r="D1351" i="11"/>
  <c r="D1352" i="11"/>
  <c r="D1353" i="11"/>
  <c r="D1354" i="11"/>
  <c r="D1355" i="11"/>
  <c r="D1356" i="11"/>
  <c r="D1357" i="11"/>
  <c r="D1358" i="11"/>
  <c r="D1359" i="11"/>
  <c r="D1360" i="11"/>
  <c r="D1361" i="11"/>
  <c r="D1362" i="11"/>
  <c r="D1363" i="11"/>
  <c r="D1364" i="11"/>
  <c r="D1365" i="11"/>
  <c r="D1366" i="11"/>
  <c r="D1367" i="11"/>
  <c r="D1368" i="11"/>
  <c r="D1369" i="11"/>
  <c r="D1370" i="11"/>
  <c r="D1371" i="11"/>
  <c r="D1372" i="11"/>
  <c r="D1373" i="11"/>
  <c r="D1374" i="11"/>
  <c r="D1375" i="11"/>
  <c r="D1376" i="11"/>
  <c r="D1377" i="11"/>
  <c r="D1378" i="11"/>
  <c r="D1379" i="11"/>
  <c r="D1380" i="11"/>
  <c r="D1381" i="11"/>
  <c r="D1382" i="11"/>
  <c r="D1383" i="11"/>
  <c r="D1384" i="11"/>
  <c r="D1385" i="11"/>
  <c r="D1386" i="11"/>
  <c r="D1387" i="11"/>
  <c r="D1388" i="11"/>
  <c r="D1389" i="11"/>
  <c r="D1390" i="11"/>
  <c r="D1391" i="11"/>
  <c r="D1392" i="11"/>
  <c r="D1393" i="11"/>
  <c r="D1394" i="11"/>
  <c r="D1395" i="11"/>
  <c r="D1396" i="11"/>
  <c r="D1397" i="11"/>
  <c r="D1398" i="11"/>
  <c r="D1399" i="11"/>
  <c r="D1400" i="11"/>
  <c r="D1401" i="11"/>
  <c r="D1402" i="11"/>
  <c r="D1403" i="11"/>
  <c r="D1404" i="11"/>
  <c r="D1405" i="11"/>
  <c r="D1406" i="11"/>
  <c r="D1407" i="11"/>
  <c r="D1408" i="11"/>
  <c r="D1409" i="11"/>
  <c r="D1410" i="11"/>
  <c r="D1411" i="11"/>
  <c r="D1412" i="11"/>
  <c r="D1413" i="11"/>
  <c r="D1414" i="11"/>
  <c r="D1415" i="11"/>
  <c r="D1416" i="11"/>
  <c r="D1417" i="11"/>
  <c r="D1418" i="11"/>
  <c r="D1419" i="11"/>
  <c r="D1420" i="11"/>
  <c r="D1421" i="11"/>
  <c r="D1422" i="11"/>
  <c r="D1423" i="11"/>
  <c r="D1424" i="11"/>
  <c r="D1425" i="11"/>
  <c r="D1426" i="11"/>
  <c r="D1427" i="11"/>
  <c r="D1428" i="11"/>
  <c r="D1429" i="11"/>
  <c r="D1430" i="11"/>
  <c r="D1431" i="11"/>
  <c r="D1432" i="11"/>
  <c r="D1433" i="11"/>
  <c r="D1434" i="11"/>
  <c r="D1435" i="11"/>
  <c r="D1436" i="11"/>
  <c r="D1437" i="11"/>
  <c r="D1438" i="11"/>
  <c r="D1439" i="11"/>
  <c r="D1440" i="11"/>
  <c r="D1441" i="11"/>
  <c r="D1442" i="11"/>
  <c r="D1443" i="11"/>
  <c r="D1444" i="11"/>
  <c r="D1445" i="11"/>
  <c r="D1446" i="11"/>
  <c r="D1447" i="11"/>
  <c r="D1448" i="11"/>
  <c r="D1449" i="11"/>
  <c r="D1450" i="11"/>
  <c r="D1451" i="11"/>
  <c r="D1452" i="11"/>
  <c r="D1453" i="11"/>
  <c r="D1454" i="11"/>
  <c r="D1455" i="11"/>
  <c r="D1456" i="11"/>
  <c r="D1457" i="11"/>
  <c r="D1458" i="11"/>
  <c r="D1459" i="11"/>
  <c r="D1460" i="11"/>
  <c r="D1461" i="11"/>
  <c r="D1462" i="11"/>
  <c r="D1463" i="11"/>
  <c r="D1464" i="11"/>
  <c r="D1465" i="11"/>
  <c r="D1466" i="11"/>
  <c r="D1467" i="11"/>
  <c r="D1468" i="11"/>
  <c r="D1469" i="11"/>
  <c r="D1470" i="11"/>
  <c r="D1471" i="11"/>
  <c r="D1472" i="11"/>
  <c r="D1473" i="11"/>
  <c r="D1474" i="11"/>
  <c r="D1475" i="11"/>
  <c r="D1476" i="11"/>
  <c r="D1477" i="11"/>
  <c r="D1478" i="11"/>
  <c r="D1479" i="11"/>
  <c r="D1480" i="11"/>
  <c r="D1481" i="11"/>
  <c r="D1482" i="11"/>
  <c r="D1483" i="11"/>
  <c r="D1484" i="11"/>
  <c r="D1485" i="11"/>
  <c r="D1486" i="11"/>
  <c r="D1487" i="11"/>
  <c r="D1488" i="11"/>
  <c r="D1489" i="11"/>
  <c r="D1490" i="11"/>
  <c r="D1491" i="11"/>
  <c r="D1492" i="11"/>
  <c r="D1493" i="11"/>
  <c r="D1494" i="11"/>
  <c r="D1495" i="11"/>
  <c r="D1496" i="11"/>
  <c r="D1497" i="11"/>
  <c r="D1498" i="11"/>
  <c r="D1499" i="11"/>
  <c r="D1500" i="11"/>
  <c r="D1501" i="11"/>
  <c r="D1502" i="11"/>
  <c r="D1503" i="11"/>
  <c r="D1504" i="11"/>
  <c r="D1505" i="11"/>
  <c r="D1506" i="11"/>
  <c r="D1507" i="11"/>
  <c r="D1508" i="11"/>
  <c r="D1509" i="11"/>
  <c r="D1510" i="11"/>
  <c r="D1511" i="11"/>
  <c r="D1512" i="11"/>
  <c r="D1513" i="11"/>
  <c r="D1514" i="11"/>
  <c r="D1515" i="11"/>
  <c r="D1516" i="11"/>
  <c r="D1517" i="11"/>
  <c r="D1518" i="11"/>
  <c r="D1519" i="11"/>
  <c r="D1520" i="11"/>
  <c r="D1521" i="11"/>
  <c r="D1522" i="11"/>
  <c r="D1523" i="11"/>
  <c r="D1524" i="11"/>
  <c r="D1525" i="11"/>
  <c r="D1526" i="11"/>
  <c r="D1527" i="11"/>
  <c r="D1528" i="11"/>
  <c r="D1529" i="11"/>
  <c r="D1530" i="11"/>
  <c r="D1531" i="11"/>
  <c r="D1532" i="11"/>
  <c r="D1533" i="11"/>
  <c r="D1534" i="11"/>
  <c r="D1535" i="11"/>
  <c r="D1536" i="11"/>
  <c r="D1537" i="11"/>
  <c r="D1538" i="11"/>
  <c r="D1539" i="11"/>
  <c r="D1540" i="11"/>
  <c r="D1541" i="11"/>
  <c r="D1542" i="11"/>
  <c r="D1543" i="11"/>
  <c r="D1544" i="11"/>
  <c r="D1545" i="11"/>
  <c r="D1546" i="11"/>
  <c r="D1547" i="11"/>
  <c r="D1548" i="11"/>
  <c r="D1549" i="11"/>
  <c r="D1550" i="11"/>
  <c r="D1551" i="11"/>
  <c r="D1552" i="11"/>
  <c r="D1553" i="11"/>
  <c r="D1554" i="11"/>
  <c r="D1555" i="11"/>
  <c r="D1556" i="11"/>
  <c r="D1557" i="11"/>
  <c r="D1558" i="11"/>
  <c r="D1559" i="11"/>
  <c r="D1560" i="11"/>
  <c r="D1561" i="11"/>
  <c r="D1562" i="11"/>
  <c r="D1563" i="11"/>
  <c r="D1564" i="11"/>
  <c r="D1565" i="11"/>
  <c r="D1566" i="11"/>
  <c r="D1567" i="11"/>
  <c r="D1568" i="11"/>
  <c r="D1569" i="11"/>
  <c r="D1570" i="11"/>
  <c r="D1571" i="11"/>
  <c r="D1572" i="11"/>
  <c r="D1573" i="11"/>
  <c r="D1574" i="11"/>
  <c r="D1575" i="11"/>
  <c r="D1576" i="11"/>
  <c r="D1577" i="11"/>
  <c r="D1578" i="11"/>
  <c r="D1579" i="11"/>
  <c r="D1580" i="11"/>
  <c r="D1581" i="11"/>
  <c r="D1582" i="11"/>
  <c r="D1583" i="11"/>
  <c r="D1584" i="11"/>
  <c r="D1585" i="11"/>
  <c r="D1586" i="11"/>
  <c r="D1587" i="11"/>
  <c r="D1588" i="11"/>
  <c r="D1589" i="11"/>
  <c r="D1590" i="11"/>
  <c r="D1591" i="11"/>
  <c r="D1592" i="11"/>
  <c r="D1593" i="11"/>
  <c r="D1594" i="11"/>
  <c r="D1595" i="11"/>
  <c r="D1596" i="11"/>
  <c r="D1597" i="11"/>
  <c r="D1598" i="11"/>
  <c r="D1599" i="11"/>
  <c r="D1600" i="11"/>
  <c r="D1601" i="11"/>
  <c r="D1602" i="11"/>
  <c r="D1603" i="11"/>
  <c r="D1604" i="11"/>
  <c r="D1605" i="11"/>
  <c r="D1606" i="11"/>
  <c r="D1607" i="11"/>
  <c r="D1608" i="11"/>
  <c r="D1609" i="11"/>
  <c r="D1610" i="11"/>
  <c r="D1611" i="11"/>
  <c r="D1612" i="11"/>
  <c r="D1613" i="11"/>
  <c r="D1614" i="11"/>
  <c r="D1615" i="11"/>
  <c r="D1616" i="11"/>
  <c r="D1617" i="11"/>
  <c r="D1618" i="11"/>
  <c r="D1619" i="11"/>
  <c r="D1620" i="11"/>
  <c r="D1621" i="11"/>
  <c r="D1622" i="11"/>
  <c r="D1623" i="11"/>
  <c r="D1624" i="11"/>
  <c r="D1625" i="11"/>
  <c r="D1626" i="11"/>
  <c r="D1627" i="11"/>
  <c r="D1628" i="11"/>
  <c r="D1629" i="11"/>
  <c r="D1630" i="11"/>
  <c r="D1631" i="11"/>
  <c r="D1632" i="11"/>
  <c r="D1633" i="11"/>
  <c r="D1634" i="11"/>
  <c r="D1635" i="11"/>
  <c r="D1636" i="11"/>
  <c r="D1637" i="11"/>
  <c r="D1638" i="11"/>
  <c r="D1639" i="11"/>
  <c r="D1640" i="11"/>
  <c r="D1641" i="11"/>
  <c r="D1642" i="11"/>
  <c r="D1643" i="11"/>
  <c r="D1644" i="11"/>
  <c r="D1645" i="11"/>
  <c r="D1646" i="11"/>
  <c r="D1647" i="11"/>
  <c r="D1648" i="11"/>
  <c r="D1649" i="11"/>
  <c r="D1650" i="11"/>
  <c r="D1651" i="11"/>
  <c r="D1652" i="11"/>
  <c r="D1653" i="11"/>
  <c r="D1654" i="11"/>
  <c r="D1655" i="11"/>
  <c r="D1656" i="11"/>
  <c r="D1657" i="11"/>
  <c r="D1658" i="11"/>
  <c r="D1659" i="11"/>
  <c r="D1660" i="11"/>
  <c r="D1661" i="11"/>
  <c r="D1662" i="11"/>
  <c r="D1663" i="11"/>
  <c r="D1664" i="11"/>
  <c r="D1665" i="11"/>
  <c r="D1666" i="11"/>
  <c r="D1667" i="11"/>
  <c r="D1668" i="11"/>
  <c r="D1669" i="11"/>
  <c r="D1670" i="11"/>
  <c r="D1671" i="11"/>
  <c r="D1672" i="11"/>
  <c r="D1673" i="11"/>
  <c r="D1674" i="11"/>
  <c r="D1675" i="11"/>
  <c r="D1676" i="11"/>
  <c r="D1677" i="11"/>
  <c r="D1678" i="11"/>
  <c r="D1679" i="11"/>
  <c r="D1680" i="11"/>
  <c r="D1681" i="11"/>
  <c r="D1682" i="11"/>
  <c r="D1683" i="11"/>
  <c r="D1684" i="11"/>
  <c r="D1685" i="11"/>
  <c r="D1686" i="11"/>
  <c r="D1687" i="11"/>
  <c r="D1688" i="11"/>
  <c r="D1689" i="11"/>
  <c r="D1690" i="11"/>
  <c r="D1691" i="11"/>
  <c r="D1692" i="11"/>
  <c r="D1693" i="11"/>
  <c r="D1694" i="11"/>
  <c r="D1695" i="11"/>
  <c r="D1696" i="11"/>
  <c r="D1697" i="11"/>
  <c r="D1698" i="11"/>
  <c r="D1699" i="11"/>
  <c r="D1700" i="11"/>
  <c r="D1701" i="11"/>
  <c r="D1702" i="11"/>
  <c r="D1703" i="11"/>
  <c r="D1704" i="11"/>
  <c r="D1705" i="11"/>
  <c r="D1706" i="11"/>
  <c r="D1707" i="11"/>
  <c r="D1708" i="11"/>
  <c r="D1709" i="11"/>
  <c r="D1710" i="11"/>
  <c r="D1711" i="11"/>
  <c r="D1712" i="11"/>
  <c r="D1713" i="11"/>
  <c r="D1714" i="11"/>
  <c r="D1715" i="11"/>
  <c r="D1716" i="11"/>
  <c r="D1717" i="11"/>
  <c r="D1718" i="11"/>
  <c r="D1719" i="11"/>
  <c r="D1720" i="11"/>
  <c r="D1721" i="11"/>
  <c r="D1722" i="11"/>
  <c r="D1723" i="11"/>
  <c r="D1724" i="11"/>
  <c r="D1725" i="11"/>
  <c r="D1726" i="11"/>
  <c r="D1727" i="11"/>
  <c r="D1728" i="11"/>
  <c r="D1729" i="11"/>
  <c r="D1730" i="11"/>
  <c r="D1731" i="11"/>
  <c r="D1732" i="11"/>
  <c r="D1733" i="11"/>
  <c r="D1734" i="11"/>
  <c r="D1735" i="11"/>
  <c r="D1736" i="11"/>
  <c r="D1737" i="11"/>
  <c r="D1738" i="11"/>
  <c r="D1739" i="11"/>
  <c r="D1740" i="11"/>
  <c r="D1741" i="11"/>
  <c r="D1742" i="11"/>
  <c r="D1743" i="11"/>
  <c r="D1744" i="11"/>
  <c r="D1745" i="11"/>
  <c r="D1746" i="11"/>
  <c r="D1747" i="11"/>
  <c r="D1748" i="11"/>
  <c r="D1749" i="11"/>
  <c r="D1750" i="11"/>
  <c r="D1751" i="11"/>
  <c r="D1752" i="11"/>
  <c r="D1753" i="11"/>
  <c r="D1754" i="11"/>
  <c r="D1755" i="11"/>
  <c r="D1756" i="11"/>
  <c r="D1757" i="11"/>
  <c r="D1758" i="11"/>
  <c r="D1759" i="11"/>
  <c r="D1760" i="11"/>
  <c r="D1761" i="11"/>
  <c r="D1762" i="11"/>
  <c r="D1763" i="11"/>
  <c r="D1764" i="11"/>
  <c r="D1765" i="11"/>
  <c r="D1766" i="11"/>
  <c r="D1767" i="11"/>
  <c r="D1768" i="11"/>
  <c r="D1769" i="11"/>
  <c r="D1770" i="11"/>
  <c r="D1771" i="11"/>
  <c r="D1772" i="11"/>
  <c r="D1773" i="11"/>
  <c r="D1774" i="11"/>
  <c r="D1775" i="11"/>
  <c r="D1776" i="11"/>
  <c r="D1777" i="11"/>
  <c r="D1778" i="11"/>
  <c r="D1779" i="11"/>
  <c r="D1780" i="11"/>
  <c r="D1781" i="11"/>
  <c r="D1782" i="11"/>
  <c r="D1783" i="11"/>
  <c r="D1784" i="11"/>
  <c r="D1785" i="11"/>
  <c r="D1786" i="11"/>
  <c r="D1787" i="11"/>
  <c r="D1788" i="11"/>
  <c r="D1789" i="11"/>
  <c r="D1790" i="11"/>
  <c r="D1791" i="11"/>
  <c r="D1792" i="11"/>
  <c r="D1793" i="11"/>
  <c r="D1794" i="11"/>
  <c r="D1795" i="11"/>
  <c r="D1796" i="11"/>
  <c r="D1797" i="11"/>
  <c r="D1798" i="11"/>
  <c r="D1799" i="11"/>
  <c r="D1800" i="11"/>
  <c r="D1801" i="11"/>
  <c r="D1802" i="11"/>
  <c r="D1803" i="11"/>
  <c r="D1804" i="11"/>
  <c r="D1805" i="11"/>
  <c r="D1806" i="11"/>
  <c r="D1807" i="11"/>
  <c r="D1808" i="11"/>
  <c r="D1809" i="11"/>
  <c r="D1810" i="11"/>
  <c r="D1811" i="11"/>
  <c r="D1812" i="11"/>
  <c r="D1813" i="11"/>
  <c r="D1814" i="11"/>
  <c r="D1815" i="11"/>
  <c r="D1816" i="11"/>
  <c r="D1817" i="11"/>
  <c r="D1818" i="11"/>
  <c r="D1819" i="11"/>
  <c r="D1820" i="11"/>
  <c r="D1821" i="11"/>
  <c r="D1822" i="11"/>
  <c r="D1823" i="11"/>
  <c r="D1824" i="11"/>
  <c r="D1825" i="11"/>
  <c r="D1826" i="11"/>
  <c r="D1827" i="11"/>
  <c r="D1828" i="11"/>
  <c r="D1829" i="11"/>
  <c r="D1830" i="11"/>
  <c r="D1831" i="11"/>
  <c r="D1832" i="11"/>
  <c r="D1833" i="11"/>
  <c r="D1834" i="11"/>
  <c r="D1835" i="11"/>
  <c r="D1836" i="11"/>
  <c r="D1837" i="11"/>
  <c r="D1838" i="11"/>
  <c r="D1839" i="11"/>
  <c r="D1840" i="11"/>
  <c r="D1841" i="11"/>
  <c r="D1842" i="11"/>
  <c r="D1843" i="11"/>
  <c r="D1844" i="11"/>
  <c r="D1845" i="11"/>
  <c r="D1846" i="11"/>
  <c r="D1847" i="11"/>
  <c r="D1848" i="11"/>
  <c r="D1849" i="11"/>
  <c r="D1850" i="11"/>
  <c r="D1851" i="11"/>
  <c r="D1852" i="11"/>
  <c r="D1853" i="11"/>
  <c r="D1854" i="11"/>
  <c r="D1855" i="11"/>
  <c r="D1856" i="11"/>
  <c r="D1857" i="11"/>
  <c r="D1858" i="11"/>
  <c r="D1859" i="11"/>
  <c r="D1860" i="11"/>
  <c r="D1861" i="11"/>
  <c r="D1862" i="11"/>
  <c r="D1863" i="11"/>
  <c r="D1864" i="11"/>
  <c r="D1865" i="11"/>
  <c r="D1866" i="11"/>
  <c r="D1867" i="11"/>
  <c r="D1868" i="11"/>
  <c r="D1869" i="11"/>
  <c r="D1870" i="11"/>
  <c r="D1871" i="11"/>
  <c r="D1872" i="11"/>
  <c r="D1873" i="11"/>
  <c r="D1874" i="11"/>
  <c r="D1875" i="11"/>
  <c r="D1876" i="11"/>
  <c r="D1877" i="11"/>
  <c r="D1878" i="11"/>
  <c r="D1879" i="11"/>
  <c r="D1880" i="11"/>
  <c r="D1881" i="11"/>
  <c r="D1882" i="11"/>
  <c r="D1883" i="11"/>
  <c r="D1884" i="11"/>
  <c r="D1885" i="11"/>
  <c r="D1886" i="11"/>
  <c r="D1887" i="11"/>
  <c r="D1888" i="11"/>
  <c r="D1889" i="11"/>
  <c r="D1890" i="11"/>
  <c r="D1891" i="11"/>
  <c r="D1892" i="11"/>
  <c r="D1893" i="11"/>
  <c r="D1894" i="11"/>
  <c r="D1895" i="11"/>
  <c r="D1896" i="11"/>
  <c r="D1897" i="11"/>
  <c r="D1898" i="11"/>
  <c r="D1899" i="11"/>
  <c r="D1900" i="11"/>
  <c r="D1901" i="11"/>
  <c r="D1902" i="11"/>
  <c r="D1903" i="11"/>
  <c r="D1904" i="11"/>
  <c r="D1905" i="11"/>
  <c r="D1906" i="11"/>
  <c r="D1907" i="11"/>
  <c r="D1908" i="11"/>
  <c r="D1909" i="11"/>
  <c r="D1910" i="11"/>
  <c r="D1911" i="11"/>
  <c r="D1912" i="11"/>
  <c r="D1913" i="11"/>
  <c r="D1914" i="11"/>
  <c r="D1915" i="11"/>
  <c r="D1916" i="11"/>
  <c r="D1917" i="11"/>
  <c r="D1918" i="11"/>
  <c r="D1919" i="11"/>
  <c r="D1920" i="11"/>
  <c r="D1921" i="11"/>
  <c r="D1922" i="11"/>
  <c r="D1923" i="11"/>
  <c r="D1924" i="11"/>
  <c r="D1925" i="11"/>
  <c r="D1926" i="11"/>
  <c r="D1927" i="11"/>
  <c r="D1928" i="11"/>
  <c r="D1929" i="11"/>
  <c r="D1930" i="11"/>
  <c r="D1931" i="11"/>
  <c r="D1932" i="11"/>
  <c r="D1933" i="11"/>
  <c r="D1934" i="11"/>
  <c r="D1935" i="11"/>
  <c r="D1936" i="11"/>
  <c r="D1937" i="11"/>
  <c r="D1938" i="11"/>
  <c r="D1939" i="11"/>
  <c r="D1940" i="11"/>
  <c r="D1941" i="11"/>
  <c r="D1942" i="11"/>
  <c r="D1943" i="11"/>
  <c r="D1944" i="11"/>
  <c r="D1945" i="11"/>
  <c r="D1946" i="11"/>
  <c r="D1947" i="11"/>
  <c r="D1948" i="11"/>
  <c r="D1949" i="11"/>
  <c r="D1950" i="11"/>
  <c r="D1951" i="11"/>
  <c r="D1952" i="11"/>
  <c r="D1953" i="11"/>
  <c r="D1954" i="11"/>
  <c r="D1955" i="11"/>
  <c r="D1956" i="11"/>
  <c r="D1957" i="11"/>
  <c r="D1958" i="11"/>
  <c r="D1959" i="11"/>
  <c r="D1960" i="11"/>
  <c r="D1961" i="11"/>
  <c r="D1962" i="11"/>
  <c r="D1963" i="11"/>
  <c r="D1964" i="11"/>
  <c r="D1965" i="11"/>
  <c r="D1966" i="11"/>
  <c r="D1967" i="11"/>
  <c r="D1968" i="11"/>
  <c r="D1969" i="11"/>
  <c r="D1970" i="11"/>
  <c r="D1971" i="11"/>
  <c r="D1972" i="11"/>
  <c r="D1973" i="11"/>
  <c r="D1974" i="11"/>
  <c r="D1975" i="11"/>
  <c r="D1976" i="11"/>
  <c r="D1977" i="11"/>
  <c r="D1978" i="11"/>
  <c r="D1979" i="11"/>
  <c r="D1980" i="11"/>
  <c r="D1981" i="11"/>
  <c r="D1982" i="11"/>
  <c r="D1983" i="11"/>
  <c r="D1984" i="11"/>
  <c r="D1985" i="11"/>
  <c r="D1986" i="11"/>
  <c r="D1987" i="11"/>
  <c r="D1988" i="11"/>
  <c r="D1989" i="11"/>
  <c r="D1990" i="11"/>
  <c r="D1991" i="11"/>
  <c r="D1992" i="11"/>
  <c r="D1993" i="11"/>
  <c r="D1994" i="11"/>
  <c r="D1995" i="11"/>
  <c r="D1996" i="11"/>
  <c r="D1997" i="11"/>
  <c r="D1998" i="11"/>
  <c r="D1999" i="11"/>
  <c r="D2000" i="11"/>
  <c r="D2001" i="11"/>
  <c r="D2002" i="11"/>
  <c r="D2003" i="11"/>
  <c r="D2004" i="11"/>
  <c r="D2005" i="11"/>
  <c r="D2006" i="11"/>
  <c r="D2007" i="11"/>
  <c r="D2008" i="11"/>
  <c r="D2009" i="11"/>
  <c r="D2010" i="11"/>
  <c r="D2011" i="11"/>
  <c r="D2012" i="11"/>
  <c r="D2013" i="11"/>
  <c r="D2014" i="11"/>
  <c r="D2015" i="11"/>
  <c r="D2016" i="11"/>
  <c r="D2017" i="11"/>
  <c r="D2018" i="11"/>
  <c r="D2019" i="11"/>
  <c r="D2020" i="11"/>
  <c r="D2021" i="11"/>
  <c r="D2022" i="11"/>
  <c r="D2023" i="11"/>
  <c r="D2024" i="11"/>
  <c r="D2025" i="11"/>
  <c r="D2026" i="11"/>
  <c r="D2027" i="11"/>
  <c r="D2028" i="11"/>
  <c r="D2029" i="11"/>
  <c r="D2030" i="11"/>
  <c r="D2031" i="11"/>
  <c r="D2032" i="11"/>
  <c r="D2033" i="11"/>
  <c r="D2034" i="11"/>
  <c r="D2035" i="11"/>
  <c r="D2036" i="11"/>
  <c r="D2037" i="11"/>
  <c r="D2038" i="11"/>
  <c r="D2039" i="11"/>
  <c r="D2040" i="11"/>
  <c r="D2041" i="11"/>
  <c r="D2042" i="11"/>
  <c r="D2043" i="11"/>
  <c r="D2044" i="11"/>
  <c r="D2045" i="11"/>
  <c r="D2046" i="11"/>
  <c r="D2047" i="11"/>
  <c r="D2048" i="11"/>
  <c r="D2049" i="11"/>
  <c r="D2050" i="11"/>
  <c r="D2051" i="11"/>
  <c r="D2052" i="11"/>
  <c r="D2053" i="11"/>
  <c r="D2054" i="11"/>
  <c r="D2055" i="11"/>
  <c r="D2056" i="11"/>
  <c r="D2057" i="11"/>
  <c r="D2058" i="11"/>
  <c r="D2059" i="11"/>
  <c r="D2060" i="11"/>
  <c r="D2061" i="11"/>
  <c r="D2062" i="11"/>
  <c r="D2063" i="11"/>
  <c r="D2064" i="11"/>
  <c r="D2065" i="11"/>
  <c r="D2066" i="11"/>
  <c r="D2067" i="11"/>
  <c r="D2068" i="11"/>
  <c r="D2069" i="11"/>
  <c r="D2070" i="11"/>
  <c r="D2071" i="11"/>
  <c r="D2072" i="11"/>
  <c r="D2073" i="11"/>
  <c r="D2074" i="11"/>
  <c r="D2075" i="11"/>
  <c r="D2076" i="11"/>
  <c r="D2077" i="11"/>
  <c r="D2078" i="11"/>
  <c r="D2079" i="11"/>
  <c r="D2080" i="11"/>
  <c r="D2081" i="11"/>
  <c r="D2082" i="11"/>
  <c r="D2083" i="11"/>
  <c r="D2084" i="11"/>
  <c r="D2085" i="11"/>
  <c r="D2086" i="11"/>
  <c r="D2087" i="11"/>
  <c r="D2088" i="11"/>
  <c r="D2089" i="11"/>
  <c r="D2090" i="11"/>
  <c r="D2091" i="11"/>
  <c r="D2092" i="11"/>
  <c r="D2093" i="11"/>
  <c r="D2094" i="11"/>
  <c r="D2095" i="11"/>
  <c r="D2096" i="11"/>
  <c r="D2097" i="11"/>
  <c r="C4" i="11"/>
  <c r="E4" i="11" s="1"/>
  <c r="C5" i="11"/>
  <c r="E5" i="11" s="1"/>
  <c r="C6" i="11"/>
  <c r="E6" i="11" s="1"/>
  <c r="C7" i="11"/>
  <c r="C8" i="11"/>
  <c r="E8" i="11" s="1"/>
  <c r="C9" i="11"/>
  <c r="E9" i="11" s="1"/>
  <c r="C10" i="11"/>
  <c r="E10" i="11" s="1"/>
  <c r="C11" i="11"/>
  <c r="E11" i="11" s="1"/>
  <c r="C12" i="11"/>
  <c r="E12" i="11" s="1"/>
  <c r="C13" i="11"/>
  <c r="E13" i="11" s="1"/>
  <c r="C14" i="11"/>
  <c r="E14" i="11" s="1"/>
  <c r="C15" i="11"/>
  <c r="E15" i="11" s="1"/>
  <c r="C16" i="11"/>
  <c r="E16" i="11" s="1"/>
  <c r="C17" i="11"/>
  <c r="E17" i="11" s="1"/>
  <c r="C18" i="11"/>
  <c r="E18" i="11" s="1"/>
  <c r="C19" i="11"/>
  <c r="C20" i="11"/>
  <c r="E20" i="11" s="1"/>
  <c r="C21" i="11"/>
  <c r="E21" i="11" s="1"/>
  <c r="C22" i="11"/>
  <c r="E22" i="11" s="1"/>
  <c r="C23" i="11"/>
  <c r="C24" i="11"/>
  <c r="E24" i="11" s="1"/>
  <c r="C25" i="11"/>
  <c r="E25" i="11" s="1"/>
  <c r="C26" i="11"/>
  <c r="E26" i="11" s="1"/>
  <c r="C27" i="11"/>
  <c r="E27" i="11" s="1"/>
  <c r="C28" i="11"/>
  <c r="E28" i="11" s="1"/>
  <c r="C29" i="11"/>
  <c r="E29" i="11" s="1"/>
  <c r="C30" i="11"/>
  <c r="E30" i="11" s="1"/>
  <c r="C31" i="11"/>
  <c r="E31" i="11" s="1"/>
  <c r="C32" i="11"/>
  <c r="E32" i="11" s="1"/>
  <c r="C33" i="11"/>
  <c r="E33" i="11" s="1"/>
  <c r="C34" i="11"/>
  <c r="E34" i="11" s="1"/>
  <c r="C35" i="11"/>
  <c r="E35" i="11" s="1"/>
  <c r="C36" i="11"/>
  <c r="E36" i="11" s="1"/>
  <c r="C37" i="11"/>
  <c r="E37" i="11" s="1"/>
  <c r="C38" i="11"/>
  <c r="E38" i="11" s="1"/>
  <c r="C39" i="11"/>
  <c r="E39" i="11" s="1"/>
  <c r="C40" i="11"/>
  <c r="E40" i="11" s="1"/>
  <c r="C41" i="11"/>
  <c r="C42" i="11"/>
  <c r="E42" i="11" s="1"/>
  <c r="C43" i="11"/>
  <c r="E43" i="11" s="1"/>
  <c r="C44" i="11"/>
  <c r="E44" i="11" s="1"/>
  <c r="C45" i="11"/>
  <c r="H45" i="11" s="1"/>
  <c r="C46" i="11"/>
  <c r="E46" i="11" s="1"/>
  <c r="C47" i="11"/>
  <c r="E47" i="11" s="1"/>
  <c r="C48" i="11"/>
  <c r="E48" i="11" s="1"/>
  <c r="C49" i="11"/>
  <c r="E49" i="11" s="1"/>
  <c r="C50" i="11"/>
  <c r="E50" i="11" s="1"/>
  <c r="C51" i="11"/>
  <c r="E51" i="11" s="1"/>
  <c r="C52" i="11"/>
  <c r="E52" i="11" s="1"/>
  <c r="C53" i="11"/>
  <c r="E53" i="11" s="1"/>
  <c r="C54" i="11"/>
  <c r="E54" i="11" s="1"/>
  <c r="C55" i="11"/>
  <c r="E55" i="11" s="1"/>
  <c r="C56" i="11"/>
  <c r="E56" i="11" s="1"/>
  <c r="C57" i="11"/>
  <c r="E57" i="11" s="1"/>
  <c r="C58" i="11"/>
  <c r="E58" i="11" s="1"/>
  <c r="C59" i="11"/>
  <c r="E59" i="11" s="1"/>
  <c r="C60" i="11"/>
  <c r="E60" i="11" s="1"/>
  <c r="C61" i="11"/>
  <c r="E61" i="11" s="1"/>
  <c r="C62" i="11"/>
  <c r="E62" i="11" s="1"/>
  <c r="C63" i="11"/>
  <c r="E63" i="11" s="1"/>
  <c r="C64" i="11"/>
  <c r="E64" i="11" s="1"/>
  <c r="C65" i="11"/>
  <c r="E65" i="11" s="1"/>
  <c r="C66" i="11"/>
  <c r="E66" i="11" s="1"/>
  <c r="C67" i="11"/>
  <c r="E67" i="11" s="1"/>
  <c r="C68" i="11"/>
  <c r="E68" i="11" s="1"/>
  <c r="C69" i="11"/>
  <c r="E69" i="11" s="1"/>
  <c r="C70" i="11"/>
  <c r="E70" i="11" s="1"/>
  <c r="C71" i="11"/>
  <c r="E71" i="11" s="1"/>
  <c r="C72" i="11"/>
  <c r="E72" i="11" s="1"/>
  <c r="C73" i="11"/>
  <c r="E73" i="11" s="1"/>
  <c r="C74" i="11"/>
  <c r="E74" i="11" s="1"/>
  <c r="C75" i="11"/>
  <c r="E75" i="11" s="1"/>
  <c r="C76" i="11"/>
  <c r="E76" i="11" s="1"/>
  <c r="C77" i="11"/>
  <c r="E77" i="11" s="1"/>
  <c r="C78" i="11"/>
  <c r="E78" i="11" s="1"/>
  <c r="C79" i="11"/>
  <c r="E79" i="11" s="1"/>
  <c r="C80" i="11"/>
  <c r="E80" i="11" s="1"/>
  <c r="C81" i="11"/>
  <c r="E81" i="11" s="1"/>
  <c r="C82" i="11"/>
  <c r="E82" i="11" s="1"/>
  <c r="C83" i="11"/>
  <c r="E83" i="11" s="1"/>
  <c r="C84" i="11"/>
  <c r="E84" i="11" s="1"/>
  <c r="C85" i="11"/>
  <c r="E85" i="11" s="1"/>
  <c r="C86" i="11"/>
  <c r="E86" i="11" s="1"/>
  <c r="C87" i="11"/>
  <c r="E87" i="11" s="1"/>
  <c r="C88" i="11"/>
  <c r="E88" i="11" s="1"/>
  <c r="C89" i="11"/>
  <c r="E89" i="11" s="1"/>
  <c r="C90" i="11"/>
  <c r="E90" i="11" s="1"/>
  <c r="C91" i="11"/>
  <c r="E91" i="11" s="1"/>
  <c r="C92" i="11"/>
  <c r="E92" i="11" s="1"/>
  <c r="C93" i="11"/>
  <c r="E93" i="11" s="1"/>
  <c r="C94" i="11"/>
  <c r="E94" i="11" s="1"/>
  <c r="C95" i="11"/>
  <c r="E95" i="11" s="1"/>
  <c r="C96" i="11"/>
  <c r="E96" i="11" s="1"/>
  <c r="C97" i="11"/>
  <c r="E97" i="11" s="1"/>
  <c r="C98" i="11"/>
  <c r="E98" i="11" s="1"/>
  <c r="C99" i="11"/>
  <c r="E99" i="11" s="1"/>
  <c r="C100" i="11"/>
  <c r="E100" i="11" s="1"/>
  <c r="C101" i="11"/>
  <c r="E101" i="11" s="1"/>
  <c r="C102" i="11"/>
  <c r="E102" i="11" s="1"/>
  <c r="C103" i="11"/>
  <c r="E103" i="11" s="1"/>
  <c r="C104" i="11"/>
  <c r="E104" i="11" s="1"/>
  <c r="C105" i="11"/>
  <c r="E105" i="11" s="1"/>
  <c r="C106" i="11"/>
  <c r="E106" i="11" s="1"/>
  <c r="C107" i="11"/>
  <c r="E107" i="11" s="1"/>
  <c r="C108" i="11"/>
  <c r="E108" i="11" s="1"/>
  <c r="C109" i="11"/>
  <c r="E109" i="11" s="1"/>
  <c r="C110" i="11"/>
  <c r="E110" i="11" s="1"/>
  <c r="C111" i="11"/>
  <c r="E111" i="11" s="1"/>
  <c r="C112" i="11"/>
  <c r="E112" i="11" s="1"/>
  <c r="C113" i="11"/>
  <c r="E113" i="11" s="1"/>
  <c r="C114" i="11"/>
  <c r="E114" i="11" s="1"/>
  <c r="C115" i="11"/>
  <c r="E115" i="11" s="1"/>
  <c r="C116" i="11"/>
  <c r="E116" i="11" s="1"/>
  <c r="C117" i="11"/>
  <c r="E117" i="11" s="1"/>
  <c r="C118" i="11"/>
  <c r="E118" i="11" s="1"/>
  <c r="C119" i="11"/>
  <c r="E119" i="11" s="1"/>
  <c r="C120" i="11"/>
  <c r="E120" i="11" s="1"/>
  <c r="C121" i="11"/>
  <c r="E121" i="11" s="1"/>
  <c r="C122" i="11"/>
  <c r="E122" i="11" s="1"/>
  <c r="C123" i="11"/>
  <c r="E123" i="11" s="1"/>
  <c r="C124" i="11"/>
  <c r="E124" i="11" s="1"/>
  <c r="C125" i="11"/>
  <c r="E125" i="11" s="1"/>
  <c r="C126" i="11"/>
  <c r="E126" i="11" s="1"/>
  <c r="C127" i="11"/>
  <c r="E127" i="11" s="1"/>
  <c r="C128" i="11"/>
  <c r="E128" i="11" s="1"/>
  <c r="C129" i="11"/>
  <c r="E129" i="11" s="1"/>
  <c r="C130" i="11"/>
  <c r="E130" i="11" s="1"/>
  <c r="C131" i="11"/>
  <c r="E131" i="11" s="1"/>
  <c r="C132" i="11"/>
  <c r="E132" i="11" s="1"/>
  <c r="C133" i="11"/>
  <c r="E133" i="11" s="1"/>
  <c r="C134" i="11"/>
  <c r="E134" i="11" s="1"/>
  <c r="C135" i="11"/>
  <c r="E135" i="11" s="1"/>
  <c r="C136" i="11"/>
  <c r="E136" i="11" s="1"/>
  <c r="C137" i="11"/>
  <c r="E137" i="11" s="1"/>
  <c r="C138" i="11"/>
  <c r="E138" i="11" s="1"/>
  <c r="C139" i="11"/>
  <c r="E139" i="11" s="1"/>
  <c r="C140" i="11"/>
  <c r="E140" i="11" s="1"/>
  <c r="C141" i="11"/>
  <c r="C142" i="11"/>
  <c r="E142" i="11" s="1"/>
  <c r="C143" i="11"/>
  <c r="E143" i="11" s="1"/>
  <c r="C144" i="11"/>
  <c r="E144" i="11" s="1"/>
  <c r="C145" i="11"/>
  <c r="E145" i="11" s="1"/>
  <c r="C146" i="11"/>
  <c r="E146" i="11" s="1"/>
  <c r="C147" i="11"/>
  <c r="E147" i="11" s="1"/>
  <c r="C148" i="11"/>
  <c r="E148" i="11" s="1"/>
  <c r="C149" i="11"/>
  <c r="E149" i="11" s="1"/>
  <c r="C150" i="11"/>
  <c r="E150" i="11" s="1"/>
  <c r="C151" i="11"/>
  <c r="E151" i="11" s="1"/>
  <c r="C152" i="11"/>
  <c r="E152" i="11" s="1"/>
  <c r="C153" i="11"/>
  <c r="E153" i="11" s="1"/>
  <c r="C154" i="11"/>
  <c r="E154" i="11" s="1"/>
  <c r="C155" i="11"/>
  <c r="E155" i="11" s="1"/>
  <c r="C156" i="11"/>
  <c r="E156" i="11" s="1"/>
  <c r="C157" i="11"/>
  <c r="E157" i="11" s="1"/>
  <c r="C158" i="11"/>
  <c r="E158" i="11" s="1"/>
  <c r="C159" i="11"/>
  <c r="E159" i="11" s="1"/>
  <c r="C160" i="11"/>
  <c r="E160" i="11" s="1"/>
  <c r="C161" i="11"/>
  <c r="E161" i="11" s="1"/>
  <c r="C162" i="11"/>
  <c r="E162" i="11" s="1"/>
  <c r="C163" i="11"/>
  <c r="E163" i="11" s="1"/>
  <c r="C164" i="11"/>
  <c r="E164" i="11" s="1"/>
  <c r="C165" i="11"/>
  <c r="E165" i="11" s="1"/>
  <c r="C166" i="11"/>
  <c r="E166" i="11" s="1"/>
  <c r="C167" i="11"/>
  <c r="E167" i="11" s="1"/>
  <c r="C168" i="11"/>
  <c r="E168" i="11" s="1"/>
  <c r="C169" i="11"/>
  <c r="E169" i="11" s="1"/>
  <c r="C170" i="11"/>
  <c r="E170" i="11" s="1"/>
  <c r="C171" i="11"/>
  <c r="E171" i="11" s="1"/>
  <c r="C172" i="11"/>
  <c r="E172" i="11" s="1"/>
  <c r="C173" i="11"/>
  <c r="E173" i="11" s="1"/>
  <c r="C174" i="11"/>
  <c r="E174" i="11" s="1"/>
  <c r="C175" i="11"/>
  <c r="E175" i="11" s="1"/>
  <c r="C176" i="11"/>
  <c r="E176" i="11" s="1"/>
  <c r="C177" i="11"/>
  <c r="E177" i="11" s="1"/>
  <c r="C178" i="11"/>
  <c r="E178" i="11" s="1"/>
  <c r="C179" i="11"/>
  <c r="E179" i="11" s="1"/>
  <c r="C180" i="11"/>
  <c r="E180" i="11" s="1"/>
  <c r="C181" i="11"/>
  <c r="E181" i="11" s="1"/>
  <c r="C182" i="11"/>
  <c r="E182" i="11" s="1"/>
  <c r="C183" i="11"/>
  <c r="E183" i="11" s="1"/>
  <c r="C184" i="11"/>
  <c r="E184" i="11" s="1"/>
  <c r="C185" i="11"/>
  <c r="E185" i="11" s="1"/>
  <c r="C186" i="11"/>
  <c r="E186" i="11" s="1"/>
  <c r="C187" i="11"/>
  <c r="E187" i="11" s="1"/>
  <c r="C188" i="11"/>
  <c r="E188" i="11" s="1"/>
  <c r="C189" i="11"/>
  <c r="E189" i="11" s="1"/>
  <c r="C190" i="11"/>
  <c r="E190" i="11" s="1"/>
  <c r="C191" i="11"/>
  <c r="E191" i="11" s="1"/>
  <c r="C192" i="11"/>
  <c r="E192" i="11" s="1"/>
  <c r="C193" i="11"/>
  <c r="E193" i="11" s="1"/>
  <c r="C194" i="11"/>
  <c r="E194" i="11" s="1"/>
  <c r="C195" i="11"/>
  <c r="E195" i="11" s="1"/>
  <c r="C196" i="11"/>
  <c r="E196" i="11" s="1"/>
  <c r="C197" i="11"/>
  <c r="E197" i="11" s="1"/>
  <c r="C198" i="11"/>
  <c r="E198" i="11" s="1"/>
  <c r="C199" i="11"/>
  <c r="E199" i="11" s="1"/>
  <c r="C200" i="11"/>
  <c r="E200" i="11" s="1"/>
  <c r="C201" i="11"/>
  <c r="E201" i="11" s="1"/>
  <c r="C202" i="11"/>
  <c r="E202" i="11" s="1"/>
  <c r="C203" i="11"/>
  <c r="E203" i="11" s="1"/>
  <c r="C204" i="11"/>
  <c r="E204" i="11" s="1"/>
  <c r="C205" i="11"/>
  <c r="E205" i="11" s="1"/>
  <c r="C206" i="11"/>
  <c r="E206" i="11" s="1"/>
  <c r="C207" i="11"/>
  <c r="E207" i="11" s="1"/>
  <c r="C208" i="11"/>
  <c r="E208" i="11" s="1"/>
  <c r="C209" i="11"/>
  <c r="E209" i="11" s="1"/>
  <c r="C210" i="11"/>
  <c r="E210" i="11" s="1"/>
  <c r="C211" i="11"/>
  <c r="E211" i="11" s="1"/>
  <c r="C212" i="11"/>
  <c r="E212" i="11" s="1"/>
  <c r="C213" i="11"/>
  <c r="E213" i="11" s="1"/>
  <c r="C214" i="11"/>
  <c r="E214" i="11" s="1"/>
  <c r="C215" i="11"/>
  <c r="E215" i="11" s="1"/>
  <c r="C216" i="11"/>
  <c r="E216" i="11" s="1"/>
  <c r="C217" i="11"/>
  <c r="E217" i="11" s="1"/>
  <c r="C218" i="11"/>
  <c r="E218" i="11" s="1"/>
  <c r="C219" i="11"/>
  <c r="E219" i="11" s="1"/>
  <c r="C220" i="11"/>
  <c r="E220" i="11" s="1"/>
  <c r="C221" i="11"/>
  <c r="E221" i="11" s="1"/>
  <c r="C222" i="11"/>
  <c r="E222" i="11" s="1"/>
  <c r="C223" i="11"/>
  <c r="E223" i="11" s="1"/>
  <c r="C224" i="11"/>
  <c r="E224" i="11" s="1"/>
  <c r="C225" i="11"/>
  <c r="E225" i="11" s="1"/>
  <c r="C226" i="11"/>
  <c r="E226" i="11" s="1"/>
  <c r="C227" i="11"/>
  <c r="E227" i="11" s="1"/>
  <c r="C228" i="11"/>
  <c r="E228" i="11" s="1"/>
  <c r="C229" i="11"/>
  <c r="E229" i="11" s="1"/>
  <c r="C230" i="11"/>
  <c r="E230" i="11" s="1"/>
  <c r="C231" i="11"/>
  <c r="E231" i="11" s="1"/>
  <c r="C232" i="11"/>
  <c r="E232" i="11" s="1"/>
  <c r="C233" i="11"/>
  <c r="E233" i="11" s="1"/>
  <c r="C234" i="11"/>
  <c r="E234" i="11" s="1"/>
  <c r="C235" i="11"/>
  <c r="E235" i="11" s="1"/>
  <c r="C236" i="11"/>
  <c r="E236" i="11" s="1"/>
  <c r="C237" i="11"/>
  <c r="E237" i="11" s="1"/>
  <c r="C238" i="11"/>
  <c r="E238" i="11" s="1"/>
  <c r="C239" i="11"/>
  <c r="E239" i="11" s="1"/>
  <c r="C240" i="11"/>
  <c r="E240" i="11" s="1"/>
  <c r="C241" i="11"/>
  <c r="E241" i="11" s="1"/>
  <c r="C242" i="11"/>
  <c r="E242" i="11" s="1"/>
  <c r="C243" i="11"/>
  <c r="E243" i="11" s="1"/>
  <c r="C244" i="11"/>
  <c r="E244" i="11" s="1"/>
  <c r="C245" i="11"/>
  <c r="E245" i="11" s="1"/>
  <c r="C246" i="11"/>
  <c r="E246" i="11" s="1"/>
  <c r="C247" i="11"/>
  <c r="E247" i="11" s="1"/>
  <c r="C248" i="11"/>
  <c r="E248" i="11" s="1"/>
  <c r="C249" i="11"/>
  <c r="E249" i="11" s="1"/>
  <c r="C250" i="11"/>
  <c r="E250" i="11" s="1"/>
  <c r="C251" i="11"/>
  <c r="E251" i="11" s="1"/>
  <c r="C252" i="11"/>
  <c r="E252" i="11" s="1"/>
  <c r="C253" i="11"/>
  <c r="E253" i="11" s="1"/>
  <c r="C254" i="11"/>
  <c r="E254" i="11" s="1"/>
  <c r="C255" i="11"/>
  <c r="E255" i="11" s="1"/>
  <c r="C256" i="11"/>
  <c r="E256" i="11" s="1"/>
  <c r="C257" i="11"/>
  <c r="E257" i="11" s="1"/>
  <c r="C258" i="11"/>
  <c r="E258" i="11" s="1"/>
  <c r="C259" i="11"/>
  <c r="E259" i="11" s="1"/>
  <c r="C260" i="11"/>
  <c r="E260" i="11" s="1"/>
  <c r="C261" i="11"/>
  <c r="E261" i="11" s="1"/>
  <c r="C262" i="11"/>
  <c r="E262" i="11" s="1"/>
  <c r="C263" i="11"/>
  <c r="E263" i="11" s="1"/>
  <c r="C264" i="11"/>
  <c r="E264" i="11" s="1"/>
  <c r="C265" i="11"/>
  <c r="E265" i="11" s="1"/>
  <c r="C266" i="11"/>
  <c r="E266" i="11" s="1"/>
  <c r="C267" i="11"/>
  <c r="E267" i="11" s="1"/>
  <c r="C268" i="11"/>
  <c r="E268" i="11" s="1"/>
  <c r="C269" i="11"/>
  <c r="E269" i="11" s="1"/>
  <c r="C270" i="11"/>
  <c r="E270" i="11" s="1"/>
  <c r="C271" i="11"/>
  <c r="E271" i="11" s="1"/>
  <c r="C272" i="11"/>
  <c r="E272" i="11" s="1"/>
  <c r="C273" i="11"/>
  <c r="E273" i="11" s="1"/>
  <c r="C274" i="11"/>
  <c r="E274" i="11" s="1"/>
  <c r="C275" i="11"/>
  <c r="E275" i="11" s="1"/>
  <c r="C276" i="11"/>
  <c r="E276" i="11" s="1"/>
  <c r="C277" i="11"/>
  <c r="E277" i="11" s="1"/>
  <c r="C278" i="11"/>
  <c r="E278" i="11" s="1"/>
  <c r="C279" i="11"/>
  <c r="E279" i="11" s="1"/>
  <c r="C280" i="11"/>
  <c r="E280" i="11" s="1"/>
  <c r="C281" i="11"/>
  <c r="E281" i="11" s="1"/>
  <c r="C282" i="11"/>
  <c r="E282" i="11" s="1"/>
  <c r="C283" i="11"/>
  <c r="E283" i="11" s="1"/>
  <c r="C284" i="11"/>
  <c r="E284" i="11" s="1"/>
  <c r="C285" i="11"/>
  <c r="E285" i="11" s="1"/>
  <c r="C286" i="11"/>
  <c r="E286" i="11" s="1"/>
  <c r="C287" i="11"/>
  <c r="E287" i="11" s="1"/>
  <c r="C288" i="11"/>
  <c r="E288" i="11" s="1"/>
  <c r="C289" i="11"/>
  <c r="E289" i="11" s="1"/>
  <c r="C290" i="11"/>
  <c r="E290" i="11" s="1"/>
  <c r="C291" i="11"/>
  <c r="E291" i="11" s="1"/>
  <c r="C292" i="11"/>
  <c r="E292" i="11" s="1"/>
  <c r="C293" i="11"/>
  <c r="E293" i="11" s="1"/>
  <c r="C294" i="11"/>
  <c r="E294" i="11" s="1"/>
  <c r="C295" i="11"/>
  <c r="E295" i="11" s="1"/>
  <c r="C296" i="11"/>
  <c r="E296" i="11" s="1"/>
  <c r="C297" i="11"/>
  <c r="E297" i="11" s="1"/>
  <c r="C298" i="11"/>
  <c r="E298" i="11" s="1"/>
  <c r="C299" i="11"/>
  <c r="E299" i="11" s="1"/>
  <c r="C300" i="11"/>
  <c r="E300" i="11" s="1"/>
  <c r="C301" i="11"/>
  <c r="E301" i="11" s="1"/>
  <c r="C302" i="11"/>
  <c r="E302" i="11" s="1"/>
  <c r="C303" i="11"/>
  <c r="E303" i="11" s="1"/>
  <c r="C304" i="11"/>
  <c r="E304" i="11" s="1"/>
  <c r="C305" i="11"/>
  <c r="H305" i="11" s="1"/>
  <c r="C306" i="11"/>
  <c r="E306" i="11" s="1"/>
  <c r="C307" i="11"/>
  <c r="E307" i="11" s="1"/>
  <c r="C308" i="11"/>
  <c r="E308" i="11" s="1"/>
  <c r="C309" i="11"/>
  <c r="E309" i="11" s="1"/>
  <c r="C310" i="11"/>
  <c r="E310" i="11" s="1"/>
  <c r="C311" i="11"/>
  <c r="E311" i="11" s="1"/>
  <c r="C312" i="11"/>
  <c r="E312" i="11" s="1"/>
  <c r="C313" i="11"/>
  <c r="E313" i="11" s="1"/>
  <c r="C314" i="11"/>
  <c r="E314" i="11" s="1"/>
  <c r="C315" i="11"/>
  <c r="E315" i="11" s="1"/>
  <c r="C316" i="11"/>
  <c r="E316" i="11" s="1"/>
  <c r="C317" i="11"/>
  <c r="E317" i="11" s="1"/>
  <c r="C318" i="11"/>
  <c r="E318" i="11" s="1"/>
  <c r="C319" i="11"/>
  <c r="E319" i="11" s="1"/>
  <c r="C320" i="11"/>
  <c r="E320" i="11" s="1"/>
  <c r="C321" i="11"/>
  <c r="E321" i="11" s="1"/>
  <c r="C322" i="11"/>
  <c r="E322" i="11" s="1"/>
  <c r="C323" i="11"/>
  <c r="E323" i="11" s="1"/>
  <c r="C324" i="11"/>
  <c r="E324" i="11" s="1"/>
  <c r="C325" i="11"/>
  <c r="E325" i="11" s="1"/>
  <c r="C326" i="11"/>
  <c r="E326" i="11" s="1"/>
  <c r="C327" i="11"/>
  <c r="E327" i="11" s="1"/>
  <c r="C328" i="11"/>
  <c r="E328" i="11" s="1"/>
  <c r="C329" i="11"/>
  <c r="E329" i="11" s="1"/>
  <c r="C330" i="11"/>
  <c r="E330" i="11" s="1"/>
  <c r="C331" i="11"/>
  <c r="E331" i="11" s="1"/>
  <c r="C332" i="11"/>
  <c r="E332" i="11" s="1"/>
  <c r="C333" i="11"/>
  <c r="E333" i="11" s="1"/>
  <c r="C334" i="11"/>
  <c r="E334" i="11" s="1"/>
  <c r="C335" i="11"/>
  <c r="E335" i="11" s="1"/>
  <c r="C336" i="11"/>
  <c r="E336" i="11" s="1"/>
  <c r="C337" i="11"/>
  <c r="E337" i="11" s="1"/>
  <c r="C338" i="11"/>
  <c r="E338" i="11" s="1"/>
  <c r="C339" i="11"/>
  <c r="E339" i="11" s="1"/>
  <c r="C340" i="11"/>
  <c r="E340" i="11" s="1"/>
  <c r="C341" i="11"/>
  <c r="E341" i="11" s="1"/>
  <c r="C342" i="11"/>
  <c r="E342" i="11" s="1"/>
  <c r="C343" i="11"/>
  <c r="E343" i="11" s="1"/>
  <c r="C344" i="11"/>
  <c r="E344" i="11" s="1"/>
  <c r="C345" i="11"/>
  <c r="E345" i="11" s="1"/>
  <c r="C346" i="11"/>
  <c r="E346" i="11" s="1"/>
  <c r="C347" i="11"/>
  <c r="E347" i="11" s="1"/>
  <c r="C348" i="11"/>
  <c r="E348" i="11" s="1"/>
  <c r="C349" i="11"/>
  <c r="E349" i="11" s="1"/>
  <c r="C350" i="11"/>
  <c r="E350" i="11" s="1"/>
  <c r="C351" i="11"/>
  <c r="E351" i="11" s="1"/>
  <c r="C352" i="11"/>
  <c r="E352" i="11" s="1"/>
  <c r="C353" i="11"/>
  <c r="E353" i="11" s="1"/>
  <c r="C354" i="11"/>
  <c r="E354" i="11" s="1"/>
  <c r="C355" i="11"/>
  <c r="E355" i="11" s="1"/>
  <c r="C356" i="11"/>
  <c r="E356" i="11" s="1"/>
  <c r="C357" i="11"/>
  <c r="E357" i="11" s="1"/>
  <c r="C358" i="11"/>
  <c r="E358" i="11" s="1"/>
  <c r="C359" i="11"/>
  <c r="E359" i="11" s="1"/>
  <c r="C360" i="11"/>
  <c r="E360" i="11" s="1"/>
  <c r="C361" i="11"/>
  <c r="E361" i="11" s="1"/>
  <c r="C362" i="11"/>
  <c r="E362" i="11" s="1"/>
  <c r="C363" i="11"/>
  <c r="E363" i="11" s="1"/>
  <c r="C364" i="11"/>
  <c r="E364" i="11" s="1"/>
  <c r="C365" i="11"/>
  <c r="E365" i="11" s="1"/>
  <c r="C366" i="11"/>
  <c r="E366" i="11" s="1"/>
  <c r="C367" i="11"/>
  <c r="E367" i="11" s="1"/>
  <c r="C368" i="11"/>
  <c r="E368" i="11" s="1"/>
  <c r="C369" i="11"/>
  <c r="E369" i="11" s="1"/>
  <c r="C370" i="11"/>
  <c r="E370" i="11" s="1"/>
  <c r="C371" i="11"/>
  <c r="E371" i="11" s="1"/>
  <c r="C372" i="11"/>
  <c r="E372" i="11" s="1"/>
  <c r="C373" i="11"/>
  <c r="E373" i="11" s="1"/>
  <c r="C374" i="11"/>
  <c r="E374" i="11" s="1"/>
  <c r="C375" i="11"/>
  <c r="E375" i="11" s="1"/>
  <c r="C376" i="11"/>
  <c r="E376" i="11" s="1"/>
  <c r="C377" i="11"/>
  <c r="E377" i="11" s="1"/>
  <c r="C378" i="11"/>
  <c r="E378" i="11" s="1"/>
  <c r="C379" i="11"/>
  <c r="E379" i="11" s="1"/>
  <c r="C380" i="11"/>
  <c r="E380" i="11" s="1"/>
  <c r="C381" i="11"/>
  <c r="E381" i="11" s="1"/>
  <c r="C382" i="11"/>
  <c r="E382" i="11" s="1"/>
  <c r="C383" i="11"/>
  <c r="E383" i="11" s="1"/>
  <c r="C384" i="11"/>
  <c r="E384" i="11" s="1"/>
  <c r="C385" i="11"/>
  <c r="E385" i="11" s="1"/>
  <c r="C386" i="11"/>
  <c r="E386" i="11" s="1"/>
  <c r="C387" i="11"/>
  <c r="E387" i="11" s="1"/>
  <c r="C388" i="11"/>
  <c r="E388" i="11" s="1"/>
  <c r="C389" i="11"/>
  <c r="E389" i="11" s="1"/>
  <c r="C390" i="11"/>
  <c r="E390" i="11" s="1"/>
  <c r="C391" i="11"/>
  <c r="E391" i="11" s="1"/>
  <c r="C392" i="11"/>
  <c r="E392" i="11" s="1"/>
  <c r="C393" i="11"/>
  <c r="E393" i="11" s="1"/>
  <c r="C394" i="11"/>
  <c r="E394" i="11" s="1"/>
  <c r="C395" i="11"/>
  <c r="E395" i="11" s="1"/>
  <c r="C396" i="11"/>
  <c r="E396" i="11" s="1"/>
  <c r="C397" i="11"/>
  <c r="E397" i="11" s="1"/>
  <c r="C398" i="11"/>
  <c r="E398" i="11" s="1"/>
  <c r="C399" i="11"/>
  <c r="E399" i="11" s="1"/>
  <c r="C400" i="11"/>
  <c r="E400" i="11" s="1"/>
  <c r="C401" i="11"/>
  <c r="E401" i="11" s="1"/>
  <c r="C402" i="11"/>
  <c r="E402" i="11" s="1"/>
  <c r="C403" i="11"/>
  <c r="E403" i="11" s="1"/>
  <c r="C404" i="11"/>
  <c r="E404" i="11" s="1"/>
  <c r="C405" i="11"/>
  <c r="E405" i="11" s="1"/>
  <c r="C406" i="11"/>
  <c r="E406" i="11" s="1"/>
  <c r="C407" i="11"/>
  <c r="E407" i="11" s="1"/>
  <c r="C408" i="11"/>
  <c r="E408" i="11" s="1"/>
  <c r="C409" i="11"/>
  <c r="E409" i="11" s="1"/>
  <c r="C410" i="11"/>
  <c r="E410" i="11" s="1"/>
  <c r="C411" i="11"/>
  <c r="E411" i="11" s="1"/>
  <c r="C412" i="11"/>
  <c r="E412" i="11" s="1"/>
  <c r="C413" i="11"/>
  <c r="E413" i="11" s="1"/>
  <c r="C414" i="11"/>
  <c r="E414" i="11" s="1"/>
  <c r="C415" i="11"/>
  <c r="E415" i="11" s="1"/>
  <c r="C416" i="11"/>
  <c r="E416" i="11" s="1"/>
  <c r="C417" i="11"/>
  <c r="E417" i="11" s="1"/>
  <c r="C418" i="11"/>
  <c r="E418" i="11" s="1"/>
  <c r="C419" i="11"/>
  <c r="E419" i="11" s="1"/>
  <c r="C420" i="11"/>
  <c r="E420" i="11" s="1"/>
  <c r="C421" i="11"/>
  <c r="E421" i="11" s="1"/>
  <c r="C422" i="11"/>
  <c r="E422" i="11" s="1"/>
  <c r="C423" i="11"/>
  <c r="E423" i="11" s="1"/>
  <c r="C424" i="11"/>
  <c r="E424" i="11" s="1"/>
  <c r="C425" i="11"/>
  <c r="E425" i="11" s="1"/>
  <c r="C426" i="11"/>
  <c r="E426" i="11" s="1"/>
  <c r="C427" i="11"/>
  <c r="E427" i="11" s="1"/>
  <c r="C428" i="11"/>
  <c r="E428" i="11" s="1"/>
  <c r="C429" i="11"/>
  <c r="E429" i="11" s="1"/>
  <c r="C430" i="11"/>
  <c r="E430" i="11" s="1"/>
  <c r="C431" i="11"/>
  <c r="E431" i="11" s="1"/>
  <c r="C432" i="11"/>
  <c r="E432" i="11" s="1"/>
  <c r="C433" i="11"/>
  <c r="E433" i="11" s="1"/>
  <c r="C434" i="11"/>
  <c r="E434" i="11" s="1"/>
  <c r="C435" i="11"/>
  <c r="E435" i="11" s="1"/>
  <c r="C436" i="11"/>
  <c r="E436" i="11" s="1"/>
  <c r="C437" i="11"/>
  <c r="E437" i="11" s="1"/>
  <c r="C438" i="11"/>
  <c r="E438" i="11" s="1"/>
  <c r="C439" i="11"/>
  <c r="E439" i="11" s="1"/>
  <c r="C440" i="11"/>
  <c r="E440" i="11" s="1"/>
  <c r="C441" i="11"/>
  <c r="E441" i="11" s="1"/>
  <c r="C442" i="11"/>
  <c r="E442" i="11" s="1"/>
  <c r="C443" i="11"/>
  <c r="E443" i="11" s="1"/>
  <c r="C444" i="11"/>
  <c r="E444" i="11" s="1"/>
  <c r="C445" i="11"/>
  <c r="E445" i="11" s="1"/>
  <c r="C446" i="11"/>
  <c r="E446" i="11" s="1"/>
  <c r="C447" i="11"/>
  <c r="E447" i="11" s="1"/>
  <c r="C448" i="11"/>
  <c r="E448" i="11" s="1"/>
  <c r="C449" i="11"/>
  <c r="E449" i="11" s="1"/>
  <c r="C450" i="11"/>
  <c r="E450" i="11" s="1"/>
  <c r="C451" i="11"/>
  <c r="E451" i="11" s="1"/>
  <c r="C452" i="11"/>
  <c r="E452" i="11" s="1"/>
  <c r="C453" i="11"/>
  <c r="E453" i="11" s="1"/>
  <c r="C454" i="11"/>
  <c r="E454" i="11" s="1"/>
  <c r="C455" i="11"/>
  <c r="E455" i="11" s="1"/>
  <c r="C456" i="11"/>
  <c r="E456" i="11" s="1"/>
  <c r="C457" i="11"/>
  <c r="E457" i="11" s="1"/>
  <c r="C458" i="11"/>
  <c r="E458" i="11" s="1"/>
  <c r="C459" i="11"/>
  <c r="E459" i="11" s="1"/>
  <c r="C460" i="11"/>
  <c r="E460" i="11" s="1"/>
  <c r="C461" i="11"/>
  <c r="E461" i="11" s="1"/>
  <c r="C462" i="11"/>
  <c r="E462" i="11" s="1"/>
  <c r="C463" i="11"/>
  <c r="E463" i="11" s="1"/>
  <c r="C464" i="11"/>
  <c r="E464" i="11" s="1"/>
  <c r="C465" i="11"/>
  <c r="E465" i="11" s="1"/>
  <c r="C466" i="11"/>
  <c r="E466" i="11" s="1"/>
  <c r="C467" i="11"/>
  <c r="E467" i="11" s="1"/>
  <c r="C468" i="11"/>
  <c r="E468" i="11" s="1"/>
  <c r="C469" i="11"/>
  <c r="E469" i="11" s="1"/>
  <c r="C470" i="11"/>
  <c r="E470" i="11" s="1"/>
  <c r="C471" i="11"/>
  <c r="E471" i="11" s="1"/>
  <c r="C472" i="11"/>
  <c r="E472" i="11" s="1"/>
  <c r="C473" i="11"/>
  <c r="E473" i="11" s="1"/>
  <c r="C474" i="11"/>
  <c r="E474" i="11" s="1"/>
  <c r="C475" i="11"/>
  <c r="E475" i="11" s="1"/>
  <c r="C476" i="11"/>
  <c r="E476" i="11" s="1"/>
  <c r="C477" i="11"/>
  <c r="E477" i="11" s="1"/>
  <c r="C478" i="11"/>
  <c r="E478" i="11" s="1"/>
  <c r="C479" i="11"/>
  <c r="E479" i="11" s="1"/>
  <c r="C480" i="11"/>
  <c r="E480" i="11" s="1"/>
  <c r="C481" i="11"/>
  <c r="E481" i="11" s="1"/>
  <c r="C482" i="11"/>
  <c r="E482" i="11" s="1"/>
  <c r="C483" i="11"/>
  <c r="E483" i="11" s="1"/>
  <c r="C484" i="11"/>
  <c r="E484" i="11" s="1"/>
  <c r="C485" i="11"/>
  <c r="E485" i="11" s="1"/>
  <c r="C486" i="11"/>
  <c r="E486" i="11" s="1"/>
  <c r="C487" i="11"/>
  <c r="E487" i="11" s="1"/>
  <c r="C488" i="11"/>
  <c r="E488" i="11" s="1"/>
  <c r="C489" i="11"/>
  <c r="E489" i="11" s="1"/>
  <c r="C490" i="11"/>
  <c r="E490" i="11" s="1"/>
  <c r="C491" i="11"/>
  <c r="E491" i="11" s="1"/>
  <c r="C492" i="11"/>
  <c r="E492" i="11" s="1"/>
  <c r="C493" i="11"/>
  <c r="E493" i="11" s="1"/>
  <c r="C494" i="11"/>
  <c r="E494" i="11" s="1"/>
  <c r="C495" i="11"/>
  <c r="E495" i="11" s="1"/>
  <c r="C496" i="11"/>
  <c r="E496" i="11" s="1"/>
  <c r="C497" i="11"/>
  <c r="E497" i="11" s="1"/>
  <c r="C498" i="11"/>
  <c r="E498" i="11" s="1"/>
  <c r="C499" i="11"/>
  <c r="E499" i="11" s="1"/>
  <c r="C500" i="11"/>
  <c r="E500" i="11" s="1"/>
  <c r="C501" i="11"/>
  <c r="E501" i="11" s="1"/>
  <c r="C502" i="11"/>
  <c r="E502" i="11" s="1"/>
  <c r="C503" i="11"/>
  <c r="E503" i="11" s="1"/>
  <c r="C504" i="11"/>
  <c r="E504" i="11" s="1"/>
  <c r="C505" i="11"/>
  <c r="E505" i="11" s="1"/>
  <c r="C506" i="11"/>
  <c r="E506" i="11" s="1"/>
  <c r="C507" i="11"/>
  <c r="E507" i="11" s="1"/>
  <c r="C508" i="11"/>
  <c r="E508" i="11" s="1"/>
  <c r="C509" i="11"/>
  <c r="E509" i="11" s="1"/>
  <c r="C510" i="11"/>
  <c r="E510" i="11" s="1"/>
  <c r="C511" i="11"/>
  <c r="E511" i="11" s="1"/>
  <c r="C512" i="11"/>
  <c r="E512" i="11" s="1"/>
  <c r="C513" i="11"/>
  <c r="E513" i="11" s="1"/>
  <c r="C514" i="11"/>
  <c r="E514" i="11" s="1"/>
  <c r="C515" i="11"/>
  <c r="E515" i="11" s="1"/>
  <c r="C516" i="11"/>
  <c r="E516" i="11" s="1"/>
  <c r="C517" i="11"/>
  <c r="E517" i="11" s="1"/>
  <c r="C518" i="11"/>
  <c r="E518" i="11" s="1"/>
  <c r="C519" i="11"/>
  <c r="E519" i="11" s="1"/>
  <c r="C520" i="11"/>
  <c r="E520" i="11" s="1"/>
  <c r="C521" i="11"/>
  <c r="E521" i="11" s="1"/>
  <c r="C522" i="11"/>
  <c r="E522" i="11" s="1"/>
  <c r="C523" i="11"/>
  <c r="E523" i="11" s="1"/>
  <c r="C524" i="11"/>
  <c r="E524" i="11" s="1"/>
  <c r="C525" i="11"/>
  <c r="E525" i="11" s="1"/>
  <c r="C526" i="11"/>
  <c r="E526" i="11" s="1"/>
  <c r="C527" i="11"/>
  <c r="E527" i="11" s="1"/>
  <c r="C528" i="11"/>
  <c r="E528" i="11" s="1"/>
  <c r="C529" i="11"/>
  <c r="E529" i="11" s="1"/>
  <c r="C530" i="11"/>
  <c r="E530" i="11" s="1"/>
  <c r="C531" i="11"/>
  <c r="E531" i="11" s="1"/>
  <c r="C532" i="11"/>
  <c r="E532" i="11" s="1"/>
  <c r="C533" i="11"/>
  <c r="E533" i="11" s="1"/>
  <c r="C534" i="11"/>
  <c r="E534" i="11" s="1"/>
  <c r="C535" i="11"/>
  <c r="E535" i="11" s="1"/>
  <c r="C536" i="11"/>
  <c r="E536" i="11" s="1"/>
  <c r="C537" i="11"/>
  <c r="E537" i="11" s="1"/>
  <c r="C538" i="11"/>
  <c r="E538" i="11" s="1"/>
  <c r="C539" i="11"/>
  <c r="E539" i="11" s="1"/>
  <c r="C540" i="11"/>
  <c r="E540" i="11" s="1"/>
  <c r="C541" i="11"/>
  <c r="E541" i="11" s="1"/>
  <c r="C542" i="11"/>
  <c r="E542" i="11" s="1"/>
  <c r="C543" i="11"/>
  <c r="E543" i="11" s="1"/>
  <c r="C544" i="11"/>
  <c r="E544" i="11" s="1"/>
  <c r="C545" i="11"/>
  <c r="E545" i="11" s="1"/>
  <c r="C546" i="11"/>
  <c r="E546" i="11" s="1"/>
  <c r="C547" i="11"/>
  <c r="C548" i="11"/>
  <c r="E548" i="11" s="1"/>
  <c r="C549" i="11"/>
  <c r="E549" i="11" s="1"/>
  <c r="C550" i="11"/>
  <c r="E550" i="11" s="1"/>
  <c r="C551" i="11"/>
  <c r="E551" i="11" s="1"/>
  <c r="C552" i="11"/>
  <c r="E552" i="11" s="1"/>
  <c r="C553" i="11"/>
  <c r="E553" i="11" s="1"/>
  <c r="C554" i="11"/>
  <c r="E554" i="11" s="1"/>
  <c r="C555" i="11"/>
  <c r="E555" i="11" s="1"/>
  <c r="C556" i="11"/>
  <c r="E556" i="11" s="1"/>
  <c r="C557" i="11"/>
  <c r="E557" i="11" s="1"/>
  <c r="C558" i="11"/>
  <c r="E558" i="11" s="1"/>
  <c r="C559" i="11"/>
  <c r="E559" i="11" s="1"/>
  <c r="C560" i="11"/>
  <c r="E560" i="11" s="1"/>
  <c r="C561" i="11"/>
  <c r="E561" i="11" s="1"/>
  <c r="C562" i="11"/>
  <c r="E562" i="11" s="1"/>
  <c r="C563" i="11"/>
  <c r="E563" i="11" s="1"/>
  <c r="C564" i="11"/>
  <c r="E564" i="11" s="1"/>
  <c r="C565" i="11"/>
  <c r="E565" i="11" s="1"/>
  <c r="C566" i="11"/>
  <c r="E566" i="11" s="1"/>
  <c r="C567" i="11"/>
  <c r="E567" i="11" s="1"/>
  <c r="C568" i="11"/>
  <c r="E568" i="11" s="1"/>
  <c r="C569" i="11"/>
  <c r="E569" i="11" s="1"/>
  <c r="C570" i="11"/>
  <c r="E570" i="11" s="1"/>
  <c r="C571" i="11"/>
  <c r="E571" i="11" s="1"/>
  <c r="C572" i="11"/>
  <c r="E572" i="11" s="1"/>
  <c r="C573" i="11"/>
  <c r="E573" i="11" s="1"/>
  <c r="C574" i="11"/>
  <c r="E574" i="11" s="1"/>
  <c r="C575" i="11"/>
  <c r="E575" i="11" s="1"/>
  <c r="C576" i="11"/>
  <c r="E576" i="11" s="1"/>
  <c r="C577" i="11"/>
  <c r="E577" i="11" s="1"/>
  <c r="C578" i="11"/>
  <c r="E578" i="11" s="1"/>
  <c r="C579" i="11"/>
  <c r="E579" i="11" s="1"/>
  <c r="C580" i="11"/>
  <c r="E580" i="11" s="1"/>
  <c r="C581" i="11"/>
  <c r="E581" i="11" s="1"/>
  <c r="C582" i="11"/>
  <c r="E582" i="11" s="1"/>
  <c r="C583" i="11"/>
  <c r="E583" i="11" s="1"/>
  <c r="C584" i="11"/>
  <c r="E584" i="11" s="1"/>
  <c r="C585" i="11"/>
  <c r="E585" i="11" s="1"/>
  <c r="C586" i="11"/>
  <c r="E586" i="11" s="1"/>
  <c r="C587" i="11"/>
  <c r="C588" i="11"/>
  <c r="E588" i="11" s="1"/>
  <c r="C589" i="11"/>
  <c r="E589" i="11" s="1"/>
  <c r="C590" i="11"/>
  <c r="E590" i="11" s="1"/>
  <c r="C591" i="11"/>
  <c r="E591" i="11" s="1"/>
  <c r="C592" i="11"/>
  <c r="E592" i="11" s="1"/>
  <c r="C593" i="11"/>
  <c r="E593" i="11" s="1"/>
  <c r="C594" i="11"/>
  <c r="E594" i="11" s="1"/>
  <c r="C595" i="11"/>
  <c r="E595" i="11" s="1"/>
  <c r="C596" i="11"/>
  <c r="E596" i="11" s="1"/>
  <c r="C597" i="11"/>
  <c r="E597" i="11" s="1"/>
  <c r="C598" i="11"/>
  <c r="E598" i="11" s="1"/>
  <c r="C599" i="11"/>
  <c r="E599" i="11" s="1"/>
  <c r="C600" i="11"/>
  <c r="E600" i="11" s="1"/>
  <c r="C601" i="11"/>
  <c r="E601" i="11" s="1"/>
  <c r="C602" i="11"/>
  <c r="E602" i="11" s="1"/>
  <c r="C603" i="11"/>
  <c r="E603" i="11" s="1"/>
  <c r="C604" i="11"/>
  <c r="E604" i="11" s="1"/>
  <c r="C605" i="11"/>
  <c r="E605" i="11" s="1"/>
  <c r="C606" i="11"/>
  <c r="E606" i="11" s="1"/>
  <c r="C607" i="11"/>
  <c r="E607" i="11" s="1"/>
  <c r="C608" i="11"/>
  <c r="E608" i="11" s="1"/>
  <c r="C609" i="11"/>
  <c r="E609" i="11" s="1"/>
  <c r="C610" i="11"/>
  <c r="E610" i="11" s="1"/>
  <c r="C611" i="11"/>
  <c r="E611" i="11" s="1"/>
  <c r="C612" i="11"/>
  <c r="E612" i="11" s="1"/>
  <c r="C613" i="11"/>
  <c r="E613" i="11" s="1"/>
  <c r="C614" i="11"/>
  <c r="E614" i="11" s="1"/>
  <c r="C615" i="11"/>
  <c r="E615" i="11" s="1"/>
  <c r="C616" i="11"/>
  <c r="E616" i="11" s="1"/>
  <c r="C617" i="11"/>
  <c r="E617" i="11" s="1"/>
  <c r="C618" i="11"/>
  <c r="E618" i="11" s="1"/>
  <c r="C619" i="11"/>
  <c r="E619" i="11" s="1"/>
  <c r="C620" i="11"/>
  <c r="E620" i="11" s="1"/>
  <c r="C621" i="11"/>
  <c r="E621" i="11" s="1"/>
  <c r="C622" i="11"/>
  <c r="E622" i="11" s="1"/>
  <c r="C623" i="11"/>
  <c r="E623" i="11" s="1"/>
  <c r="C624" i="11"/>
  <c r="E624" i="11" s="1"/>
  <c r="C625" i="11"/>
  <c r="E625" i="11" s="1"/>
  <c r="C626" i="11"/>
  <c r="E626" i="11" s="1"/>
  <c r="C627" i="11"/>
  <c r="E627" i="11" s="1"/>
  <c r="C628" i="11"/>
  <c r="E628" i="11" s="1"/>
  <c r="C629" i="11"/>
  <c r="E629" i="11" s="1"/>
  <c r="C630" i="11"/>
  <c r="E630" i="11" s="1"/>
  <c r="C631" i="11"/>
  <c r="E631" i="11" s="1"/>
  <c r="C632" i="11"/>
  <c r="E632" i="11" s="1"/>
  <c r="C633" i="11"/>
  <c r="E633" i="11" s="1"/>
  <c r="C634" i="11"/>
  <c r="E634" i="11" s="1"/>
  <c r="C635" i="11"/>
  <c r="E635" i="11" s="1"/>
  <c r="C636" i="11"/>
  <c r="E636" i="11" s="1"/>
  <c r="C637" i="11"/>
  <c r="E637" i="11" s="1"/>
  <c r="C638" i="11"/>
  <c r="E638" i="11" s="1"/>
  <c r="C639" i="11"/>
  <c r="E639" i="11" s="1"/>
  <c r="C640" i="11"/>
  <c r="E640" i="11" s="1"/>
  <c r="C641" i="11"/>
  <c r="E641" i="11" s="1"/>
  <c r="C642" i="11"/>
  <c r="E642" i="11" s="1"/>
  <c r="C643" i="11"/>
  <c r="E643" i="11" s="1"/>
  <c r="C644" i="11"/>
  <c r="E644" i="11" s="1"/>
  <c r="C645" i="11"/>
  <c r="E645" i="11" s="1"/>
  <c r="C646" i="11"/>
  <c r="E646" i="11" s="1"/>
  <c r="C647" i="11"/>
  <c r="E647" i="11" s="1"/>
  <c r="C648" i="11"/>
  <c r="E648" i="11" s="1"/>
  <c r="C649" i="11"/>
  <c r="E649" i="11" s="1"/>
  <c r="C650" i="11"/>
  <c r="E650" i="11" s="1"/>
  <c r="C651" i="11"/>
  <c r="E651" i="11" s="1"/>
  <c r="C652" i="11"/>
  <c r="E652" i="11" s="1"/>
  <c r="C653" i="11"/>
  <c r="E653" i="11" s="1"/>
  <c r="C654" i="11"/>
  <c r="E654" i="11" s="1"/>
  <c r="C655" i="11"/>
  <c r="E655" i="11" s="1"/>
  <c r="C656" i="11"/>
  <c r="E656" i="11" s="1"/>
  <c r="C657" i="11"/>
  <c r="E657" i="11" s="1"/>
  <c r="C658" i="11"/>
  <c r="E658" i="11" s="1"/>
  <c r="C659" i="11"/>
  <c r="E659" i="11" s="1"/>
  <c r="C660" i="11"/>
  <c r="E660" i="11" s="1"/>
  <c r="C661" i="11"/>
  <c r="E661" i="11" s="1"/>
  <c r="C662" i="11"/>
  <c r="E662" i="11" s="1"/>
  <c r="C663" i="11"/>
  <c r="E663" i="11" s="1"/>
  <c r="C664" i="11"/>
  <c r="E664" i="11" s="1"/>
  <c r="C665" i="11"/>
  <c r="E665" i="11" s="1"/>
  <c r="C666" i="11"/>
  <c r="E666" i="11" s="1"/>
  <c r="C667" i="11"/>
  <c r="E667" i="11" s="1"/>
  <c r="C668" i="11"/>
  <c r="E668" i="11" s="1"/>
  <c r="C669" i="11"/>
  <c r="E669" i="11" s="1"/>
  <c r="C670" i="11"/>
  <c r="E670" i="11" s="1"/>
  <c r="C671" i="11"/>
  <c r="E671" i="11" s="1"/>
  <c r="C672" i="11"/>
  <c r="E672" i="11" s="1"/>
  <c r="C673" i="11"/>
  <c r="E673" i="11" s="1"/>
  <c r="C674" i="11"/>
  <c r="E674" i="11" s="1"/>
  <c r="C675" i="11"/>
  <c r="E675" i="11" s="1"/>
  <c r="C676" i="11"/>
  <c r="E676" i="11" s="1"/>
  <c r="C677" i="11"/>
  <c r="E677" i="11" s="1"/>
  <c r="C678" i="11"/>
  <c r="E678" i="11" s="1"/>
  <c r="C679" i="11"/>
  <c r="E679" i="11" s="1"/>
  <c r="C680" i="11"/>
  <c r="E680" i="11" s="1"/>
  <c r="C681" i="11"/>
  <c r="E681" i="11" s="1"/>
  <c r="C682" i="11"/>
  <c r="E682" i="11" s="1"/>
  <c r="C683" i="11"/>
  <c r="E683" i="11" s="1"/>
  <c r="C684" i="11"/>
  <c r="E684" i="11" s="1"/>
  <c r="C685" i="11"/>
  <c r="E685" i="11" s="1"/>
  <c r="C686" i="11"/>
  <c r="E686" i="11" s="1"/>
  <c r="C687" i="11"/>
  <c r="E687" i="11" s="1"/>
  <c r="C688" i="11"/>
  <c r="E688" i="11" s="1"/>
  <c r="C689" i="11"/>
  <c r="E689" i="11" s="1"/>
  <c r="C690" i="11"/>
  <c r="E690" i="11" s="1"/>
  <c r="C691" i="11"/>
  <c r="E691" i="11" s="1"/>
  <c r="C692" i="11"/>
  <c r="E692" i="11" s="1"/>
  <c r="C693" i="11"/>
  <c r="E693" i="11" s="1"/>
  <c r="C694" i="11"/>
  <c r="E694" i="11" s="1"/>
  <c r="C695" i="11"/>
  <c r="E695" i="11" s="1"/>
  <c r="C696" i="11"/>
  <c r="E696" i="11" s="1"/>
  <c r="C697" i="11"/>
  <c r="E697" i="11" s="1"/>
  <c r="C698" i="11"/>
  <c r="E698" i="11" s="1"/>
  <c r="C699" i="11"/>
  <c r="E699" i="11" s="1"/>
  <c r="C700" i="11"/>
  <c r="E700" i="11" s="1"/>
  <c r="C701" i="11"/>
  <c r="E701" i="11" s="1"/>
  <c r="C702" i="11"/>
  <c r="E702" i="11" s="1"/>
  <c r="C703" i="11"/>
  <c r="E703" i="11" s="1"/>
  <c r="C704" i="11"/>
  <c r="E704" i="11" s="1"/>
  <c r="C705" i="11"/>
  <c r="E705" i="11" s="1"/>
  <c r="C706" i="11"/>
  <c r="E706" i="11" s="1"/>
  <c r="C707" i="11"/>
  <c r="E707" i="11" s="1"/>
  <c r="C708" i="11"/>
  <c r="E708" i="11" s="1"/>
  <c r="C709" i="11"/>
  <c r="E709" i="11" s="1"/>
  <c r="C710" i="11"/>
  <c r="E710" i="11" s="1"/>
  <c r="C711" i="11"/>
  <c r="E711" i="11" s="1"/>
  <c r="C712" i="11"/>
  <c r="E712" i="11" s="1"/>
  <c r="C713" i="11"/>
  <c r="E713" i="11" s="1"/>
  <c r="C714" i="11"/>
  <c r="E714" i="11" s="1"/>
  <c r="C715" i="11"/>
  <c r="E715" i="11" s="1"/>
  <c r="C716" i="11"/>
  <c r="E716" i="11" s="1"/>
  <c r="C717" i="11"/>
  <c r="C718" i="11"/>
  <c r="E718" i="11" s="1"/>
  <c r="C719" i="11"/>
  <c r="E719" i="11" s="1"/>
  <c r="C720" i="11"/>
  <c r="E720" i="11" s="1"/>
  <c r="C721" i="11"/>
  <c r="E721" i="11" s="1"/>
  <c r="C722" i="11"/>
  <c r="C723" i="11"/>
  <c r="E723" i="11" s="1"/>
  <c r="C724" i="11"/>
  <c r="E724" i="11" s="1"/>
  <c r="C725" i="11"/>
  <c r="E725" i="11" s="1"/>
  <c r="C726" i="11"/>
  <c r="E726" i="11" s="1"/>
  <c r="C727" i="11"/>
  <c r="E727" i="11" s="1"/>
  <c r="C728" i="11"/>
  <c r="E728" i="11" s="1"/>
  <c r="C729" i="11"/>
  <c r="E729" i="11" s="1"/>
  <c r="C730" i="11"/>
  <c r="E730" i="11" s="1"/>
  <c r="C731" i="11"/>
  <c r="E731" i="11" s="1"/>
  <c r="C732" i="11"/>
  <c r="E732" i="11" s="1"/>
  <c r="C733" i="11"/>
  <c r="E733" i="11" s="1"/>
  <c r="C734" i="11"/>
  <c r="E734" i="11" s="1"/>
  <c r="C735" i="11"/>
  <c r="E735" i="11" s="1"/>
  <c r="C736" i="11"/>
  <c r="E736" i="11" s="1"/>
  <c r="C737" i="11"/>
  <c r="E737" i="11" s="1"/>
  <c r="C738" i="11"/>
  <c r="E738" i="11" s="1"/>
  <c r="C739" i="11"/>
  <c r="E739" i="11" s="1"/>
  <c r="C740" i="11"/>
  <c r="E740" i="11" s="1"/>
  <c r="C741" i="11"/>
  <c r="E741" i="11" s="1"/>
  <c r="C742" i="11"/>
  <c r="E742" i="11" s="1"/>
  <c r="C743" i="11"/>
  <c r="E743" i="11" s="1"/>
  <c r="C744" i="11"/>
  <c r="E744" i="11" s="1"/>
  <c r="C745" i="11"/>
  <c r="E745" i="11" s="1"/>
  <c r="C746" i="11"/>
  <c r="E746" i="11" s="1"/>
  <c r="C747" i="11"/>
  <c r="E747" i="11" s="1"/>
  <c r="C748" i="11"/>
  <c r="E748" i="11" s="1"/>
  <c r="C749" i="11"/>
  <c r="E749" i="11" s="1"/>
  <c r="C750" i="11"/>
  <c r="E750" i="11" s="1"/>
  <c r="C751" i="11"/>
  <c r="E751" i="11" s="1"/>
  <c r="C752" i="11"/>
  <c r="E752" i="11" s="1"/>
  <c r="C753" i="11"/>
  <c r="E753" i="11" s="1"/>
  <c r="C754" i="11"/>
  <c r="E754" i="11" s="1"/>
  <c r="C755" i="11"/>
  <c r="E755" i="11" s="1"/>
  <c r="C756" i="11"/>
  <c r="E756" i="11" s="1"/>
  <c r="C757" i="11"/>
  <c r="E757" i="11" s="1"/>
  <c r="C758" i="11"/>
  <c r="E758" i="11" s="1"/>
  <c r="C759" i="11"/>
  <c r="E759" i="11" s="1"/>
  <c r="C760" i="11"/>
  <c r="E760" i="11" s="1"/>
  <c r="C761" i="11"/>
  <c r="E761" i="11" s="1"/>
  <c r="C762" i="11"/>
  <c r="E762" i="11" s="1"/>
  <c r="C763" i="11"/>
  <c r="E763" i="11" s="1"/>
  <c r="C764" i="11"/>
  <c r="E764" i="11" s="1"/>
  <c r="C765" i="11"/>
  <c r="E765" i="11" s="1"/>
  <c r="C766" i="11"/>
  <c r="E766" i="11" s="1"/>
  <c r="C767" i="11"/>
  <c r="E767" i="11" s="1"/>
  <c r="C768" i="11"/>
  <c r="E768" i="11" s="1"/>
  <c r="C769" i="11"/>
  <c r="E769" i="11" s="1"/>
  <c r="C770" i="11"/>
  <c r="E770" i="11" s="1"/>
  <c r="C771" i="11"/>
  <c r="E771" i="11" s="1"/>
  <c r="C772" i="11"/>
  <c r="E772" i="11" s="1"/>
  <c r="C773" i="11"/>
  <c r="E773" i="11" s="1"/>
  <c r="C774" i="11"/>
  <c r="E774" i="11" s="1"/>
  <c r="C775" i="11"/>
  <c r="E775" i="11" s="1"/>
  <c r="C776" i="11"/>
  <c r="E776" i="11" s="1"/>
  <c r="C777" i="11"/>
  <c r="E777" i="11" s="1"/>
  <c r="C778" i="11"/>
  <c r="E778" i="11" s="1"/>
  <c r="C779" i="11"/>
  <c r="E779" i="11" s="1"/>
  <c r="C780" i="11"/>
  <c r="E780" i="11" s="1"/>
  <c r="C781" i="11"/>
  <c r="E781" i="11" s="1"/>
  <c r="C782" i="11"/>
  <c r="E782" i="11" s="1"/>
  <c r="C783" i="11"/>
  <c r="E783" i="11" s="1"/>
  <c r="C784" i="11"/>
  <c r="E784" i="11" s="1"/>
  <c r="C785" i="11"/>
  <c r="E785" i="11" s="1"/>
  <c r="C786" i="11"/>
  <c r="E786" i="11" s="1"/>
  <c r="C787" i="11"/>
  <c r="E787" i="11" s="1"/>
  <c r="C788" i="11"/>
  <c r="E788" i="11" s="1"/>
  <c r="C789" i="11"/>
  <c r="E789" i="11" s="1"/>
  <c r="C790" i="11"/>
  <c r="E790" i="11" s="1"/>
  <c r="C791" i="11"/>
  <c r="E791" i="11" s="1"/>
  <c r="C792" i="11"/>
  <c r="E792" i="11" s="1"/>
  <c r="C793" i="11"/>
  <c r="E793" i="11" s="1"/>
  <c r="C794" i="11"/>
  <c r="E794" i="11" s="1"/>
  <c r="C795" i="11"/>
  <c r="E795" i="11" s="1"/>
  <c r="C796" i="11"/>
  <c r="E796" i="11" s="1"/>
  <c r="C797" i="11"/>
  <c r="E797" i="11" s="1"/>
  <c r="C798" i="11"/>
  <c r="E798" i="11" s="1"/>
  <c r="C799" i="11"/>
  <c r="E799" i="11" s="1"/>
  <c r="C800" i="11"/>
  <c r="E800" i="11" s="1"/>
  <c r="C801" i="11"/>
  <c r="E801" i="11" s="1"/>
  <c r="C802" i="11"/>
  <c r="E802" i="11" s="1"/>
  <c r="C803" i="11"/>
  <c r="E803" i="11" s="1"/>
  <c r="C804" i="11"/>
  <c r="E804" i="11" s="1"/>
  <c r="C805" i="11"/>
  <c r="E805" i="11" s="1"/>
  <c r="C806" i="11"/>
  <c r="E806" i="11" s="1"/>
  <c r="C807" i="11"/>
  <c r="E807" i="11" s="1"/>
  <c r="C808" i="11"/>
  <c r="E808" i="11" s="1"/>
  <c r="C809" i="11"/>
  <c r="E809" i="11" s="1"/>
  <c r="C810" i="11"/>
  <c r="E810" i="11" s="1"/>
  <c r="C811" i="11"/>
  <c r="E811" i="11" s="1"/>
  <c r="C812" i="11"/>
  <c r="E812" i="11" s="1"/>
  <c r="C813" i="11"/>
  <c r="E813" i="11" s="1"/>
  <c r="C814" i="11"/>
  <c r="E814" i="11" s="1"/>
  <c r="C815" i="11"/>
  <c r="E815" i="11" s="1"/>
  <c r="C816" i="11"/>
  <c r="E816" i="11" s="1"/>
  <c r="C817" i="11"/>
  <c r="E817" i="11" s="1"/>
  <c r="C818" i="11"/>
  <c r="E818" i="11" s="1"/>
  <c r="C819" i="11"/>
  <c r="E819" i="11" s="1"/>
  <c r="C820" i="11"/>
  <c r="E820" i="11" s="1"/>
  <c r="C821" i="11"/>
  <c r="E821" i="11" s="1"/>
  <c r="C822" i="11"/>
  <c r="E822" i="11" s="1"/>
  <c r="C823" i="11"/>
  <c r="E823" i="11" s="1"/>
  <c r="C824" i="11"/>
  <c r="E824" i="11" s="1"/>
  <c r="C825" i="11"/>
  <c r="E825" i="11" s="1"/>
  <c r="C826" i="11"/>
  <c r="E826" i="11" s="1"/>
  <c r="C827" i="11"/>
  <c r="E827" i="11" s="1"/>
  <c r="C828" i="11"/>
  <c r="E828" i="11" s="1"/>
  <c r="C829" i="11"/>
  <c r="E829" i="11" s="1"/>
  <c r="C830" i="11"/>
  <c r="E830" i="11" s="1"/>
  <c r="C831" i="11"/>
  <c r="E831" i="11" s="1"/>
  <c r="C832" i="11"/>
  <c r="E832" i="11" s="1"/>
  <c r="C833" i="11"/>
  <c r="E833" i="11" s="1"/>
  <c r="C834" i="11"/>
  <c r="E834" i="11" s="1"/>
  <c r="C835" i="11"/>
  <c r="E835" i="11" s="1"/>
  <c r="C836" i="11"/>
  <c r="E836" i="11" s="1"/>
  <c r="C837" i="11"/>
  <c r="E837" i="11" s="1"/>
  <c r="C838" i="11"/>
  <c r="E838" i="11" s="1"/>
  <c r="C839" i="11"/>
  <c r="E839" i="11" s="1"/>
  <c r="C840" i="11"/>
  <c r="E840" i="11" s="1"/>
  <c r="C841" i="11"/>
  <c r="E841" i="11" s="1"/>
  <c r="C842" i="11"/>
  <c r="E842" i="11" s="1"/>
  <c r="C843" i="11"/>
  <c r="E843" i="11" s="1"/>
  <c r="C844" i="11"/>
  <c r="E844" i="11" s="1"/>
  <c r="C845" i="11"/>
  <c r="E845" i="11" s="1"/>
  <c r="C846" i="11"/>
  <c r="E846" i="11" s="1"/>
  <c r="C847" i="11"/>
  <c r="E847" i="11" s="1"/>
  <c r="C848" i="11"/>
  <c r="E848" i="11" s="1"/>
  <c r="C849" i="11"/>
  <c r="E849" i="11" s="1"/>
  <c r="C850" i="11"/>
  <c r="E850" i="11" s="1"/>
  <c r="C851" i="11"/>
  <c r="E851" i="11" s="1"/>
  <c r="C852" i="11"/>
  <c r="E852" i="11" s="1"/>
  <c r="C853" i="11"/>
  <c r="E853" i="11" s="1"/>
  <c r="C854" i="11"/>
  <c r="E854" i="11" s="1"/>
  <c r="C855" i="11"/>
  <c r="E855" i="11" s="1"/>
  <c r="C856" i="11"/>
  <c r="E856" i="11" s="1"/>
  <c r="C857" i="11"/>
  <c r="E857" i="11" s="1"/>
  <c r="C858" i="11"/>
  <c r="E858" i="11" s="1"/>
  <c r="C859" i="11"/>
  <c r="E859" i="11" s="1"/>
  <c r="C860" i="11"/>
  <c r="E860" i="11" s="1"/>
  <c r="C861" i="11"/>
  <c r="E861" i="11" s="1"/>
  <c r="C862" i="11"/>
  <c r="E862" i="11" s="1"/>
  <c r="C863" i="11"/>
  <c r="E863" i="11" s="1"/>
  <c r="C864" i="11"/>
  <c r="E864" i="11" s="1"/>
  <c r="C865" i="11"/>
  <c r="E865" i="11" s="1"/>
  <c r="C866" i="11"/>
  <c r="E866" i="11" s="1"/>
  <c r="C867" i="11"/>
  <c r="E867" i="11" s="1"/>
  <c r="C868" i="11"/>
  <c r="E868" i="11" s="1"/>
  <c r="C869" i="11"/>
  <c r="E869" i="11" s="1"/>
  <c r="C870" i="11"/>
  <c r="E870" i="11" s="1"/>
  <c r="C871" i="11"/>
  <c r="E871" i="11" s="1"/>
  <c r="C872" i="11"/>
  <c r="E872" i="11" s="1"/>
  <c r="C873" i="11"/>
  <c r="E873" i="11" s="1"/>
  <c r="C874" i="11"/>
  <c r="E874" i="11" s="1"/>
  <c r="C875" i="11"/>
  <c r="E875" i="11" s="1"/>
  <c r="C876" i="11"/>
  <c r="E876" i="11" s="1"/>
  <c r="C877" i="11"/>
  <c r="E877" i="11" s="1"/>
  <c r="C878" i="11"/>
  <c r="E878" i="11" s="1"/>
  <c r="C879" i="11"/>
  <c r="E879" i="11" s="1"/>
  <c r="C880" i="11"/>
  <c r="E880" i="11" s="1"/>
  <c r="C881" i="11"/>
  <c r="E881" i="11" s="1"/>
  <c r="C882" i="11"/>
  <c r="E882" i="11" s="1"/>
  <c r="C883" i="11"/>
  <c r="E883" i="11" s="1"/>
  <c r="C884" i="11"/>
  <c r="E884" i="11" s="1"/>
  <c r="C885" i="11"/>
  <c r="E885" i="11" s="1"/>
  <c r="C886" i="11"/>
  <c r="E886" i="11" s="1"/>
  <c r="C887" i="11"/>
  <c r="E887" i="11" s="1"/>
  <c r="C888" i="11"/>
  <c r="E888" i="11" s="1"/>
  <c r="C889" i="11"/>
  <c r="E889" i="11" s="1"/>
  <c r="C890" i="11"/>
  <c r="E890" i="11" s="1"/>
  <c r="C891" i="11"/>
  <c r="E891" i="11" s="1"/>
  <c r="C892" i="11"/>
  <c r="E892" i="11" s="1"/>
  <c r="C893" i="11"/>
  <c r="E893" i="11" s="1"/>
  <c r="C894" i="11"/>
  <c r="E894" i="11" s="1"/>
  <c r="C895" i="11"/>
  <c r="E895" i="11" s="1"/>
  <c r="C896" i="11"/>
  <c r="E896" i="11" s="1"/>
  <c r="C897" i="11"/>
  <c r="E897" i="11" s="1"/>
  <c r="C898" i="11"/>
  <c r="E898" i="11" s="1"/>
  <c r="C899" i="11"/>
  <c r="E899" i="11" s="1"/>
  <c r="C900" i="11"/>
  <c r="E900" i="11" s="1"/>
  <c r="C901" i="11"/>
  <c r="E901" i="11" s="1"/>
  <c r="C902" i="11"/>
  <c r="E902" i="11" s="1"/>
  <c r="C903" i="11"/>
  <c r="E903" i="11" s="1"/>
  <c r="C904" i="11"/>
  <c r="E904" i="11" s="1"/>
  <c r="C905" i="11"/>
  <c r="E905" i="11" s="1"/>
  <c r="C906" i="11"/>
  <c r="E906" i="11" s="1"/>
  <c r="C907" i="11"/>
  <c r="E907" i="11" s="1"/>
  <c r="C908" i="11"/>
  <c r="E908" i="11" s="1"/>
  <c r="C909" i="11"/>
  <c r="E909" i="11" s="1"/>
  <c r="C910" i="11"/>
  <c r="E910" i="11" s="1"/>
  <c r="C911" i="11"/>
  <c r="E911" i="11" s="1"/>
  <c r="C912" i="11"/>
  <c r="E912" i="11" s="1"/>
  <c r="C913" i="11"/>
  <c r="E913" i="11" s="1"/>
  <c r="C914" i="11"/>
  <c r="E914" i="11" s="1"/>
  <c r="C915" i="11"/>
  <c r="E915" i="11" s="1"/>
  <c r="C916" i="11"/>
  <c r="E916" i="11" s="1"/>
  <c r="C917" i="11"/>
  <c r="E917" i="11" s="1"/>
  <c r="C918" i="11"/>
  <c r="E918" i="11" s="1"/>
  <c r="C919" i="11"/>
  <c r="E919" i="11" s="1"/>
  <c r="C920" i="11"/>
  <c r="E920" i="11" s="1"/>
  <c r="C921" i="11"/>
  <c r="E921" i="11" s="1"/>
  <c r="C922" i="11"/>
  <c r="E922" i="11" s="1"/>
  <c r="C923" i="11"/>
  <c r="E923" i="11" s="1"/>
  <c r="C924" i="11"/>
  <c r="E924" i="11" s="1"/>
  <c r="C925" i="11"/>
  <c r="E925" i="11" s="1"/>
  <c r="C926" i="11"/>
  <c r="E926" i="11" s="1"/>
  <c r="C927" i="11"/>
  <c r="E927" i="11" s="1"/>
  <c r="C928" i="11"/>
  <c r="E928" i="11" s="1"/>
  <c r="C929" i="11"/>
  <c r="E929" i="11" s="1"/>
  <c r="C930" i="11"/>
  <c r="E930" i="11" s="1"/>
  <c r="C931" i="11"/>
  <c r="E931" i="11" s="1"/>
  <c r="C932" i="11"/>
  <c r="E932" i="11" s="1"/>
  <c r="C933" i="11"/>
  <c r="E933" i="11" s="1"/>
  <c r="C934" i="11"/>
  <c r="E934" i="11" s="1"/>
  <c r="C935" i="11"/>
  <c r="E935" i="11" s="1"/>
  <c r="C936" i="11"/>
  <c r="E936" i="11" s="1"/>
  <c r="C937" i="11"/>
  <c r="E937" i="11" s="1"/>
  <c r="C938" i="11"/>
  <c r="E938" i="11" s="1"/>
  <c r="C939" i="11"/>
  <c r="E939" i="11" s="1"/>
  <c r="C940" i="11"/>
  <c r="E940" i="11" s="1"/>
  <c r="C941" i="11"/>
  <c r="E941" i="11" s="1"/>
  <c r="C942" i="11"/>
  <c r="E942" i="11" s="1"/>
  <c r="C943" i="11"/>
  <c r="E943" i="11" s="1"/>
  <c r="C944" i="11"/>
  <c r="E944" i="11" s="1"/>
  <c r="C945" i="11"/>
  <c r="E945" i="11" s="1"/>
  <c r="C946" i="11"/>
  <c r="E946" i="11" s="1"/>
  <c r="C947" i="11"/>
  <c r="E947" i="11" s="1"/>
  <c r="C948" i="11"/>
  <c r="E948" i="11" s="1"/>
  <c r="C949" i="11"/>
  <c r="E949" i="11" s="1"/>
  <c r="C950" i="11"/>
  <c r="E950" i="11" s="1"/>
  <c r="C951" i="11"/>
  <c r="E951" i="11" s="1"/>
  <c r="C952" i="11"/>
  <c r="E952" i="11" s="1"/>
  <c r="C953" i="11"/>
  <c r="E953" i="11" s="1"/>
  <c r="C954" i="11"/>
  <c r="E954" i="11" s="1"/>
  <c r="C955" i="11"/>
  <c r="E955" i="11" s="1"/>
  <c r="C956" i="11"/>
  <c r="E956" i="11" s="1"/>
  <c r="C957" i="11"/>
  <c r="E957" i="11" s="1"/>
  <c r="C958" i="11"/>
  <c r="E958" i="11" s="1"/>
  <c r="C959" i="11"/>
  <c r="E959" i="11" s="1"/>
  <c r="C960" i="11"/>
  <c r="E960" i="11" s="1"/>
  <c r="C961" i="11"/>
  <c r="E961" i="11" s="1"/>
  <c r="C962" i="11"/>
  <c r="E962" i="11" s="1"/>
  <c r="C963" i="11"/>
  <c r="E963" i="11" s="1"/>
  <c r="C964" i="11"/>
  <c r="E964" i="11" s="1"/>
  <c r="C965" i="11"/>
  <c r="E965" i="11" s="1"/>
  <c r="C966" i="11"/>
  <c r="E966" i="11" s="1"/>
  <c r="C967" i="11"/>
  <c r="E967" i="11" s="1"/>
  <c r="C968" i="11"/>
  <c r="E968" i="11" s="1"/>
  <c r="C969" i="11"/>
  <c r="E969" i="11" s="1"/>
  <c r="C970" i="11"/>
  <c r="E970" i="11" s="1"/>
  <c r="C971" i="11"/>
  <c r="E971" i="11" s="1"/>
  <c r="C972" i="11"/>
  <c r="E972" i="11" s="1"/>
  <c r="C973" i="11"/>
  <c r="E973" i="11" s="1"/>
  <c r="C974" i="11"/>
  <c r="E974" i="11" s="1"/>
  <c r="C975" i="11"/>
  <c r="E975" i="11" s="1"/>
  <c r="C976" i="11"/>
  <c r="E976" i="11" s="1"/>
  <c r="C977" i="11"/>
  <c r="E977" i="11" s="1"/>
  <c r="C978" i="11"/>
  <c r="E978" i="11" s="1"/>
  <c r="C979" i="11"/>
  <c r="E979" i="11" s="1"/>
  <c r="C980" i="11"/>
  <c r="E980" i="11" s="1"/>
  <c r="C981" i="11"/>
  <c r="E981" i="11" s="1"/>
  <c r="C982" i="11"/>
  <c r="E982" i="11" s="1"/>
  <c r="C983" i="11"/>
  <c r="E983" i="11" s="1"/>
  <c r="C984" i="11"/>
  <c r="E984" i="11" s="1"/>
  <c r="C985" i="11"/>
  <c r="E985" i="11" s="1"/>
  <c r="C986" i="11"/>
  <c r="E986" i="11" s="1"/>
  <c r="C987" i="11"/>
  <c r="E987" i="11" s="1"/>
  <c r="C988" i="11"/>
  <c r="E988" i="11" s="1"/>
  <c r="C989" i="11"/>
  <c r="E989" i="11" s="1"/>
  <c r="C990" i="11"/>
  <c r="E990" i="11" s="1"/>
  <c r="C991" i="11"/>
  <c r="E991" i="11" s="1"/>
  <c r="C992" i="11"/>
  <c r="E992" i="11" s="1"/>
  <c r="C993" i="11"/>
  <c r="E993" i="11" s="1"/>
  <c r="C994" i="11"/>
  <c r="E994" i="11" s="1"/>
  <c r="C995" i="11"/>
  <c r="E995" i="11" s="1"/>
  <c r="C996" i="11"/>
  <c r="E996" i="11" s="1"/>
  <c r="C997" i="11"/>
  <c r="E997" i="11" s="1"/>
  <c r="C998" i="11"/>
  <c r="E998" i="11" s="1"/>
  <c r="C999" i="11"/>
  <c r="E999" i="11" s="1"/>
  <c r="C1000" i="11"/>
  <c r="E1000" i="11" s="1"/>
  <c r="C1001" i="11"/>
  <c r="E1001" i="11" s="1"/>
  <c r="C1002" i="11"/>
  <c r="E1002" i="11" s="1"/>
  <c r="C1003" i="11"/>
  <c r="E1003" i="11" s="1"/>
  <c r="C1004" i="11"/>
  <c r="E1004" i="11" s="1"/>
  <c r="C1005" i="11"/>
  <c r="E1005" i="11" s="1"/>
  <c r="C1006" i="11"/>
  <c r="E1006" i="11" s="1"/>
  <c r="C1007" i="11"/>
  <c r="E1007" i="11" s="1"/>
  <c r="C1008" i="11"/>
  <c r="E1008" i="11" s="1"/>
  <c r="C1009" i="11"/>
  <c r="E1009" i="11" s="1"/>
  <c r="C1010" i="11"/>
  <c r="E1010" i="11" s="1"/>
  <c r="C1011" i="11"/>
  <c r="E1011" i="11" s="1"/>
  <c r="C1012" i="11"/>
  <c r="E1012" i="11" s="1"/>
  <c r="C1013" i="11"/>
  <c r="E1013" i="11" s="1"/>
  <c r="C1014" i="11"/>
  <c r="E1014" i="11" s="1"/>
  <c r="C1015" i="11"/>
  <c r="E1015" i="11" s="1"/>
  <c r="C1016" i="11"/>
  <c r="E1016" i="11" s="1"/>
  <c r="C1017" i="11"/>
  <c r="E1017" i="11" s="1"/>
  <c r="C1018" i="11"/>
  <c r="E1018" i="11" s="1"/>
  <c r="C1019" i="11"/>
  <c r="E1019" i="11" s="1"/>
  <c r="C1020" i="11"/>
  <c r="E1020" i="11" s="1"/>
  <c r="C1021" i="11"/>
  <c r="E1021" i="11" s="1"/>
  <c r="C1022" i="11"/>
  <c r="E1022" i="11" s="1"/>
  <c r="C1023" i="11"/>
  <c r="E1023" i="11" s="1"/>
  <c r="C1024" i="11"/>
  <c r="H1024" i="11" s="1"/>
  <c r="C1025" i="11"/>
  <c r="E1025" i="11" s="1"/>
  <c r="C1026" i="11"/>
  <c r="E1026" i="11" s="1"/>
  <c r="C1027" i="11"/>
  <c r="E1027" i="11" s="1"/>
  <c r="C1028" i="11"/>
  <c r="H1028" i="11" s="1"/>
  <c r="C1029" i="11"/>
  <c r="E1029" i="11" s="1"/>
  <c r="C1030" i="11"/>
  <c r="E1030" i="11" s="1"/>
  <c r="C1031" i="11"/>
  <c r="E1031" i="11" s="1"/>
  <c r="C1032" i="11"/>
  <c r="E1032" i="11" s="1"/>
  <c r="C1033" i="11"/>
  <c r="E1033" i="11" s="1"/>
  <c r="C1034" i="11"/>
  <c r="E1034" i="11" s="1"/>
  <c r="C1035" i="11"/>
  <c r="E1035" i="11" s="1"/>
  <c r="C1036" i="11"/>
  <c r="E1036" i="11" s="1"/>
  <c r="C1037" i="11"/>
  <c r="E1037" i="11" s="1"/>
  <c r="C1038" i="11"/>
  <c r="E1038" i="11" s="1"/>
  <c r="C1039" i="11"/>
  <c r="E1039" i="11" s="1"/>
  <c r="C1040" i="11"/>
  <c r="H1040" i="11" s="1"/>
  <c r="C1041" i="11"/>
  <c r="E1041" i="11" s="1"/>
  <c r="C1042" i="11"/>
  <c r="E1042" i="11" s="1"/>
  <c r="C1043" i="11"/>
  <c r="E1043" i="11" s="1"/>
  <c r="C1044" i="11"/>
  <c r="E1044" i="11" s="1"/>
  <c r="C1045" i="11"/>
  <c r="E1045" i="11" s="1"/>
  <c r="C1046" i="11"/>
  <c r="E1046" i="11" s="1"/>
  <c r="C1047" i="11"/>
  <c r="E1047" i="11" s="1"/>
  <c r="C1048" i="11"/>
  <c r="E1048" i="11" s="1"/>
  <c r="C1049" i="11"/>
  <c r="E1049" i="11" s="1"/>
  <c r="C1050" i="11"/>
  <c r="E1050" i="11" s="1"/>
  <c r="C1051" i="11"/>
  <c r="E1051" i="11" s="1"/>
  <c r="C1052" i="11"/>
  <c r="E1052" i="11" s="1"/>
  <c r="C1053" i="11"/>
  <c r="E1053" i="11" s="1"/>
  <c r="C1054" i="11"/>
  <c r="E1054" i="11" s="1"/>
  <c r="C1055" i="11"/>
  <c r="E1055" i="11" s="1"/>
  <c r="C1056" i="11"/>
  <c r="E1056" i="11" s="1"/>
  <c r="C1057" i="11"/>
  <c r="E1057" i="11" s="1"/>
  <c r="C1058" i="11"/>
  <c r="E1058" i="11" s="1"/>
  <c r="C1059" i="11"/>
  <c r="E1059" i="11" s="1"/>
  <c r="C1060" i="11"/>
  <c r="E1060" i="11" s="1"/>
  <c r="C1061" i="11"/>
  <c r="E1061" i="11" s="1"/>
  <c r="C1062" i="11"/>
  <c r="E1062" i="11" s="1"/>
  <c r="C1063" i="11"/>
  <c r="E1063" i="11" s="1"/>
  <c r="C1064" i="11"/>
  <c r="C1065" i="11"/>
  <c r="E1065" i="11" s="1"/>
  <c r="C1066" i="11"/>
  <c r="E1066" i="11" s="1"/>
  <c r="C1067" i="11"/>
  <c r="E1067" i="11" s="1"/>
  <c r="C1068" i="11"/>
  <c r="E1068" i="11" s="1"/>
  <c r="C1069" i="11"/>
  <c r="E1069" i="11" s="1"/>
  <c r="C1070" i="11"/>
  <c r="E1070" i="11" s="1"/>
  <c r="C1071" i="11"/>
  <c r="E1071" i="11" s="1"/>
  <c r="C1072" i="11"/>
  <c r="E1072" i="11" s="1"/>
  <c r="C1073" i="11"/>
  <c r="E1073" i="11" s="1"/>
  <c r="C1074" i="11"/>
  <c r="E1074" i="11" s="1"/>
  <c r="C1075" i="11"/>
  <c r="E1075" i="11" s="1"/>
  <c r="C1076" i="11"/>
  <c r="E1076" i="11" s="1"/>
  <c r="C1077" i="11"/>
  <c r="E1077" i="11" s="1"/>
  <c r="C1078" i="11"/>
  <c r="E1078" i="11" s="1"/>
  <c r="C1079" i="11"/>
  <c r="E1079" i="11" s="1"/>
  <c r="C1080" i="11"/>
  <c r="E1080" i="11" s="1"/>
  <c r="C1081" i="11"/>
  <c r="E1081" i="11" s="1"/>
  <c r="C1082" i="11"/>
  <c r="E1082" i="11" s="1"/>
  <c r="C1083" i="11"/>
  <c r="E1083" i="11" s="1"/>
  <c r="C1084" i="11"/>
  <c r="E1084" i="11" s="1"/>
  <c r="C1085" i="11"/>
  <c r="E1085" i="11" s="1"/>
  <c r="C1086" i="11"/>
  <c r="E1086" i="11" s="1"/>
  <c r="C1087" i="11"/>
  <c r="E1087" i="11" s="1"/>
  <c r="C1088" i="11"/>
  <c r="E1088" i="11" s="1"/>
  <c r="C1089" i="11"/>
  <c r="E1089" i="11" s="1"/>
  <c r="C1090" i="11"/>
  <c r="E1090" i="11" s="1"/>
  <c r="C1091" i="11"/>
  <c r="E1091" i="11" s="1"/>
  <c r="C1092" i="11"/>
  <c r="E1092" i="11" s="1"/>
  <c r="C1093" i="11"/>
  <c r="E1093" i="11" s="1"/>
  <c r="C1094" i="11"/>
  <c r="E1094" i="11" s="1"/>
  <c r="C1095" i="11"/>
  <c r="E1095" i="11" s="1"/>
  <c r="C1096" i="11"/>
  <c r="E1096" i="11" s="1"/>
  <c r="C1097" i="11"/>
  <c r="E1097" i="11" s="1"/>
  <c r="C1098" i="11"/>
  <c r="E1098" i="11" s="1"/>
  <c r="C1099" i="11"/>
  <c r="E1099" i="11" s="1"/>
  <c r="C1100" i="11"/>
  <c r="E1100" i="11" s="1"/>
  <c r="C1101" i="11"/>
  <c r="E1101" i="11" s="1"/>
  <c r="C1102" i="11"/>
  <c r="E1102" i="11" s="1"/>
  <c r="C1103" i="11"/>
  <c r="E1103" i="11" s="1"/>
  <c r="C1104" i="11"/>
  <c r="E1104" i="11" s="1"/>
  <c r="C1105" i="11"/>
  <c r="E1105" i="11" s="1"/>
  <c r="C1106" i="11"/>
  <c r="E1106" i="11" s="1"/>
  <c r="C1107" i="11"/>
  <c r="E1107" i="11" s="1"/>
  <c r="C1108" i="11"/>
  <c r="E1108" i="11" s="1"/>
  <c r="C1109" i="11"/>
  <c r="E1109" i="11" s="1"/>
  <c r="C1110" i="11"/>
  <c r="E1110" i="11" s="1"/>
  <c r="C1111" i="11"/>
  <c r="E1111" i="11" s="1"/>
  <c r="C1112" i="11"/>
  <c r="E1112" i="11" s="1"/>
  <c r="C1113" i="11"/>
  <c r="E1113" i="11" s="1"/>
  <c r="C1114" i="11"/>
  <c r="E1114" i="11" s="1"/>
  <c r="C1115" i="11"/>
  <c r="E1115" i="11" s="1"/>
  <c r="C1116" i="11"/>
  <c r="E1116" i="11" s="1"/>
  <c r="C1117" i="11"/>
  <c r="E1117" i="11" s="1"/>
  <c r="C1118" i="11"/>
  <c r="E1118" i="11" s="1"/>
  <c r="C1119" i="11"/>
  <c r="E1119" i="11" s="1"/>
  <c r="C1120" i="11"/>
  <c r="E1120" i="11" s="1"/>
  <c r="C1121" i="11"/>
  <c r="E1121" i="11" s="1"/>
  <c r="C1122" i="11"/>
  <c r="E1122" i="11" s="1"/>
  <c r="C1123" i="11"/>
  <c r="E1123" i="11" s="1"/>
  <c r="C1124" i="11"/>
  <c r="E1124" i="11" s="1"/>
  <c r="C1125" i="11"/>
  <c r="E1125" i="11" s="1"/>
  <c r="C1126" i="11"/>
  <c r="E1126" i="11" s="1"/>
  <c r="C1127" i="11"/>
  <c r="E1127" i="11" s="1"/>
  <c r="C1128" i="11"/>
  <c r="E1128" i="11" s="1"/>
  <c r="C1129" i="11"/>
  <c r="E1129" i="11" s="1"/>
  <c r="C1130" i="11"/>
  <c r="E1130" i="11" s="1"/>
  <c r="C1131" i="11"/>
  <c r="E1131" i="11" s="1"/>
  <c r="C1132" i="11"/>
  <c r="E1132" i="11" s="1"/>
  <c r="C1133" i="11"/>
  <c r="E1133" i="11" s="1"/>
  <c r="C1134" i="11"/>
  <c r="E1134" i="11" s="1"/>
  <c r="C1135" i="11"/>
  <c r="E1135" i="11" s="1"/>
  <c r="C1136" i="11"/>
  <c r="E1136" i="11" s="1"/>
  <c r="C1137" i="11"/>
  <c r="E1137" i="11" s="1"/>
  <c r="C1138" i="11"/>
  <c r="E1138" i="11" s="1"/>
  <c r="C1139" i="11"/>
  <c r="E1139" i="11" s="1"/>
  <c r="C1140" i="11"/>
  <c r="E1140" i="11" s="1"/>
  <c r="C1141" i="11"/>
  <c r="E1141" i="11" s="1"/>
  <c r="C1142" i="11"/>
  <c r="E1142" i="11" s="1"/>
  <c r="C1143" i="11"/>
  <c r="E1143" i="11" s="1"/>
  <c r="C1144" i="11"/>
  <c r="E1144" i="11" s="1"/>
  <c r="C1145" i="11"/>
  <c r="E1145" i="11" s="1"/>
  <c r="C1146" i="11"/>
  <c r="E1146" i="11" s="1"/>
  <c r="C1147" i="11"/>
  <c r="E1147" i="11" s="1"/>
  <c r="C1148" i="11"/>
  <c r="E1148" i="11" s="1"/>
  <c r="C1149" i="11"/>
  <c r="E1149" i="11" s="1"/>
  <c r="C1150" i="11"/>
  <c r="E1150" i="11" s="1"/>
  <c r="C1151" i="11"/>
  <c r="E1151" i="11" s="1"/>
  <c r="C1152" i="11"/>
  <c r="E1152" i="11" s="1"/>
  <c r="C1153" i="11"/>
  <c r="E1153" i="11" s="1"/>
  <c r="C1154" i="11"/>
  <c r="E1154" i="11" s="1"/>
  <c r="C1155" i="11"/>
  <c r="E1155" i="11" s="1"/>
  <c r="C1156" i="11"/>
  <c r="E1156" i="11" s="1"/>
  <c r="C1157" i="11"/>
  <c r="E1157" i="11" s="1"/>
  <c r="C1158" i="11"/>
  <c r="E1158" i="11" s="1"/>
  <c r="C1159" i="11"/>
  <c r="E1159" i="11" s="1"/>
  <c r="C1160" i="11"/>
  <c r="E1160" i="11" s="1"/>
  <c r="C1161" i="11"/>
  <c r="E1161" i="11" s="1"/>
  <c r="C1162" i="11"/>
  <c r="E1162" i="11" s="1"/>
  <c r="C1163" i="11"/>
  <c r="E1163" i="11" s="1"/>
  <c r="C1164" i="11"/>
  <c r="E1164" i="11" s="1"/>
  <c r="C1165" i="11"/>
  <c r="E1165" i="11" s="1"/>
  <c r="C1166" i="11"/>
  <c r="E1166" i="11" s="1"/>
  <c r="C1167" i="11"/>
  <c r="E1167" i="11" s="1"/>
  <c r="C1168" i="11"/>
  <c r="E1168" i="11" s="1"/>
  <c r="C1169" i="11"/>
  <c r="E1169" i="11" s="1"/>
  <c r="C1170" i="11"/>
  <c r="E1170" i="11" s="1"/>
  <c r="C1171" i="11"/>
  <c r="E1171" i="11" s="1"/>
  <c r="C1172" i="11"/>
  <c r="E1172" i="11" s="1"/>
  <c r="C1173" i="11"/>
  <c r="E1173" i="11" s="1"/>
  <c r="C1174" i="11"/>
  <c r="E1174" i="11" s="1"/>
  <c r="C1175" i="11"/>
  <c r="E1175" i="11" s="1"/>
  <c r="C1176" i="11"/>
  <c r="E1176" i="11" s="1"/>
  <c r="C1177" i="11"/>
  <c r="H1177" i="11" s="1"/>
  <c r="C1178" i="11"/>
  <c r="E1178" i="11" s="1"/>
  <c r="C1179" i="11"/>
  <c r="E1179" i="11" s="1"/>
  <c r="C1180" i="11"/>
  <c r="E1180" i="11" s="1"/>
  <c r="C1181" i="11"/>
  <c r="C1182" i="11"/>
  <c r="E1182" i="11" s="1"/>
  <c r="C1183" i="11"/>
  <c r="E1183" i="11" s="1"/>
  <c r="C1184" i="11"/>
  <c r="E1184" i="11" s="1"/>
  <c r="C1185" i="11"/>
  <c r="E1185" i="11" s="1"/>
  <c r="C1186" i="11"/>
  <c r="E1186" i="11" s="1"/>
  <c r="C1187" i="11"/>
  <c r="E1187" i="11" s="1"/>
  <c r="C1188" i="11"/>
  <c r="E1188" i="11" s="1"/>
  <c r="C1189" i="11"/>
  <c r="E1189" i="11" s="1"/>
  <c r="C1190" i="11"/>
  <c r="E1190" i="11" s="1"/>
  <c r="C1191" i="11"/>
  <c r="E1191" i="11" s="1"/>
  <c r="C1192" i="11"/>
  <c r="E1192" i="11" s="1"/>
  <c r="C1193" i="11"/>
  <c r="H1193" i="11" s="1"/>
  <c r="C1194" i="11"/>
  <c r="E1194" i="11" s="1"/>
  <c r="C1195" i="11"/>
  <c r="E1195" i="11" s="1"/>
  <c r="C1196" i="11"/>
  <c r="E1196" i="11" s="1"/>
  <c r="C1197" i="11"/>
  <c r="C1198" i="11"/>
  <c r="E1198" i="11" s="1"/>
  <c r="C1199" i="11"/>
  <c r="E1199" i="11" s="1"/>
  <c r="C1200" i="11"/>
  <c r="E1200" i="11" s="1"/>
  <c r="C1201" i="11"/>
  <c r="E1201" i="11" s="1"/>
  <c r="C1202" i="11"/>
  <c r="E1202" i="11" s="1"/>
  <c r="C1203" i="11"/>
  <c r="E1203" i="11" s="1"/>
  <c r="C1204" i="11"/>
  <c r="E1204" i="11" s="1"/>
  <c r="C1205" i="11"/>
  <c r="E1205" i="11" s="1"/>
  <c r="C1206" i="11"/>
  <c r="E1206" i="11" s="1"/>
  <c r="C1207" i="11"/>
  <c r="C1208" i="11"/>
  <c r="E1208" i="11" s="1"/>
  <c r="C1209" i="11"/>
  <c r="E1209" i="11" s="1"/>
  <c r="C1210" i="11"/>
  <c r="E1210" i="11" s="1"/>
  <c r="C1211" i="11"/>
  <c r="E1211" i="11" s="1"/>
  <c r="C1212" i="11"/>
  <c r="E1212" i="11" s="1"/>
  <c r="C1213" i="11"/>
  <c r="E1213" i="11" s="1"/>
  <c r="C1214" i="11"/>
  <c r="E1214" i="11" s="1"/>
  <c r="C1215" i="11"/>
  <c r="C1216" i="11"/>
  <c r="E1216" i="11" s="1"/>
  <c r="C1217" i="11"/>
  <c r="E1217" i="11" s="1"/>
  <c r="C1218" i="11"/>
  <c r="E1218" i="11" s="1"/>
  <c r="C1219" i="11"/>
  <c r="E1219" i="11" s="1"/>
  <c r="C1220" i="11"/>
  <c r="E1220" i="11" s="1"/>
  <c r="C1221" i="11"/>
  <c r="E1221" i="11" s="1"/>
  <c r="C1222" i="11"/>
  <c r="E1222" i="11" s="1"/>
  <c r="C1223" i="11"/>
  <c r="C1224" i="11"/>
  <c r="E1224" i="11" s="1"/>
  <c r="C1225" i="11"/>
  <c r="E1225" i="11" s="1"/>
  <c r="C1226" i="11"/>
  <c r="E1226" i="11" s="1"/>
  <c r="C1227" i="11"/>
  <c r="E1227" i="11" s="1"/>
  <c r="C1228" i="11"/>
  <c r="E1228" i="11" s="1"/>
  <c r="C1229" i="11"/>
  <c r="E1229" i="11" s="1"/>
  <c r="C1230" i="11"/>
  <c r="E1230" i="11" s="1"/>
  <c r="C1231" i="11"/>
  <c r="E1231" i="11" s="1"/>
  <c r="C1232" i="11"/>
  <c r="E1232" i="11" s="1"/>
  <c r="C1233" i="11"/>
  <c r="H1233" i="11" s="1"/>
  <c r="C1234" i="11"/>
  <c r="E1234" i="11" s="1"/>
  <c r="C1235" i="11"/>
  <c r="E1235" i="11" s="1"/>
  <c r="C1236" i="11"/>
  <c r="E1236" i="11" s="1"/>
  <c r="C1237" i="11"/>
  <c r="E1237" i="11" s="1"/>
  <c r="C1238" i="11"/>
  <c r="E1238" i="11" s="1"/>
  <c r="C1239" i="11"/>
  <c r="E1239" i="11" s="1"/>
  <c r="C1240" i="11"/>
  <c r="E1240" i="11" s="1"/>
  <c r="C1241" i="11"/>
  <c r="E1241" i="11" s="1"/>
  <c r="C1242" i="11"/>
  <c r="E1242" i="11" s="1"/>
  <c r="C1243" i="11"/>
  <c r="E1243" i="11" s="1"/>
  <c r="C1244" i="11"/>
  <c r="E1244" i="11" s="1"/>
  <c r="C1245" i="11"/>
  <c r="E1245" i="11" s="1"/>
  <c r="C1246" i="11"/>
  <c r="E1246" i="11" s="1"/>
  <c r="C1247" i="11"/>
  <c r="E1247" i="11" s="1"/>
  <c r="C1248" i="11"/>
  <c r="E1248" i="11" s="1"/>
  <c r="C1249" i="11"/>
  <c r="E1249" i="11" s="1"/>
  <c r="C1250" i="11"/>
  <c r="E1250" i="11" s="1"/>
  <c r="C1251" i="11"/>
  <c r="C1252" i="11"/>
  <c r="E1252" i="11" s="1"/>
  <c r="C1253" i="11"/>
  <c r="E1253" i="11" s="1"/>
  <c r="C1254" i="11"/>
  <c r="E1254" i="11" s="1"/>
  <c r="C1255" i="11"/>
  <c r="E1255" i="11" s="1"/>
  <c r="C1256" i="11"/>
  <c r="E1256" i="11" s="1"/>
  <c r="C1257" i="11"/>
  <c r="E1257" i="11" s="1"/>
  <c r="C1258" i="11"/>
  <c r="E1258" i="11" s="1"/>
  <c r="C1259" i="11"/>
  <c r="E1259" i="11" s="1"/>
  <c r="C1260" i="11"/>
  <c r="E1260" i="11" s="1"/>
  <c r="C1261" i="11"/>
  <c r="E1261" i="11" s="1"/>
  <c r="C1262" i="11"/>
  <c r="E1262" i="11" s="1"/>
  <c r="C1263" i="11"/>
  <c r="C1264" i="11"/>
  <c r="E1264" i="11" s="1"/>
  <c r="C1265" i="11"/>
  <c r="E1265" i="11" s="1"/>
  <c r="C1266" i="11"/>
  <c r="E1266" i="11" s="1"/>
  <c r="C1267" i="11"/>
  <c r="E1267" i="11" s="1"/>
  <c r="C1268" i="11"/>
  <c r="E1268" i="11" s="1"/>
  <c r="C1269" i="11"/>
  <c r="E1269" i="11" s="1"/>
  <c r="C1270" i="11"/>
  <c r="E1270" i="11" s="1"/>
  <c r="C1271" i="11"/>
  <c r="E1271" i="11" s="1"/>
  <c r="C1272" i="11"/>
  <c r="E1272" i="11" s="1"/>
  <c r="C1273" i="11"/>
  <c r="E1273" i="11" s="1"/>
  <c r="C1274" i="11"/>
  <c r="E1274" i="11" s="1"/>
  <c r="C1275" i="11"/>
  <c r="E1275" i="11" s="1"/>
  <c r="C1276" i="11"/>
  <c r="C1277" i="11"/>
  <c r="E1277" i="11" s="1"/>
  <c r="C1278" i="11"/>
  <c r="E1278" i="11" s="1"/>
  <c r="C1279" i="11"/>
  <c r="E1279" i="11" s="1"/>
  <c r="C1280" i="11"/>
  <c r="E1280" i="11" s="1"/>
  <c r="C1281" i="11"/>
  <c r="E1281" i="11" s="1"/>
  <c r="C1282" i="11"/>
  <c r="E1282" i="11" s="1"/>
  <c r="C1283" i="11"/>
  <c r="E1283" i="11" s="1"/>
  <c r="C1284" i="11"/>
  <c r="E1284" i="11" s="1"/>
  <c r="C1285" i="11"/>
  <c r="E1285" i="11" s="1"/>
  <c r="C1286" i="11"/>
  <c r="E1286" i="11" s="1"/>
  <c r="C1287" i="11"/>
  <c r="E1287" i="11" s="1"/>
  <c r="C1288" i="11"/>
  <c r="C1289" i="11"/>
  <c r="E1289" i="11" s="1"/>
  <c r="C1290" i="11"/>
  <c r="E1290" i="11" s="1"/>
  <c r="C1291" i="11"/>
  <c r="E1291" i="11" s="1"/>
  <c r="C1292" i="11"/>
  <c r="E1292" i="11" s="1"/>
  <c r="C1293" i="11"/>
  <c r="E1293" i="11" s="1"/>
  <c r="C1294" i="11"/>
  <c r="E1294" i="11" s="1"/>
  <c r="C1295" i="11"/>
  <c r="E1295" i="11" s="1"/>
  <c r="C1296" i="11"/>
  <c r="C1297" i="11"/>
  <c r="E1297" i="11" s="1"/>
  <c r="C1298" i="11"/>
  <c r="E1298" i="11" s="1"/>
  <c r="C1299" i="11"/>
  <c r="E1299" i="11" s="1"/>
  <c r="C1300" i="11"/>
  <c r="E1300" i="11" s="1"/>
  <c r="C1301" i="11"/>
  <c r="E1301" i="11" s="1"/>
  <c r="C1302" i="11"/>
  <c r="E1302" i="11" s="1"/>
  <c r="C1303" i="11"/>
  <c r="E1303" i="11" s="1"/>
  <c r="C1304" i="11"/>
  <c r="C1305" i="11"/>
  <c r="E1305" i="11" s="1"/>
  <c r="C1306" i="11"/>
  <c r="E1306" i="11" s="1"/>
  <c r="C1307" i="11"/>
  <c r="E1307" i="11" s="1"/>
  <c r="C1308" i="11"/>
  <c r="E1308" i="11" s="1"/>
  <c r="C1309" i="11"/>
  <c r="E1309" i="11" s="1"/>
  <c r="C1310" i="11"/>
  <c r="E1310" i="11" s="1"/>
  <c r="C1311" i="11"/>
  <c r="E1311" i="11" s="1"/>
  <c r="C1312" i="11"/>
  <c r="C1313" i="11"/>
  <c r="E1313" i="11" s="1"/>
  <c r="C1314" i="11"/>
  <c r="E1314" i="11" s="1"/>
  <c r="C1315" i="11"/>
  <c r="E1315" i="11" s="1"/>
  <c r="C1316" i="11"/>
  <c r="E1316" i="11" s="1"/>
  <c r="C1317" i="11"/>
  <c r="E1317" i="11" s="1"/>
  <c r="C1318" i="11"/>
  <c r="E1318" i="11" s="1"/>
  <c r="C1319" i="11"/>
  <c r="E1319" i="11" s="1"/>
  <c r="C1320" i="11"/>
  <c r="C1321" i="11"/>
  <c r="E1321" i="11" s="1"/>
  <c r="C1322" i="11"/>
  <c r="E1322" i="11" s="1"/>
  <c r="C1323" i="11"/>
  <c r="E1323" i="11" s="1"/>
  <c r="C1324" i="11"/>
  <c r="C1325" i="11"/>
  <c r="E1325" i="11" s="1"/>
  <c r="C1326" i="11"/>
  <c r="E1326" i="11" s="1"/>
  <c r="C1327" i="11"/>
  <c r="E1327" i="11" s="1"/>
  <c r="C1328" i="11"/>
  <c r="E1328" i="11" s="1"/>
  <c r="C1329" i="11"/>
  <c r="E1329" i="11" s="1"/>
  <c r="C1330" i="11"/>
  <c r="E1330" i="11" s="1"/>
  <c r="C1331" i="11"/>
  <c r="E1331" i="11" s="1"/>
  <c r="C1332" i="11"/>
  <c r="E1332" i="11" s="1"/>
  <c r="C1333" i="11"/>
  <c r="E1333" i="11" s="1"/>
  <c r="C1334" i="11"/>
  <c r="E1334" i="11" s="1"/>
  <c r="C1335" i="11"/>
  <c r="E1335" i="11" s="1"/>
  <c r="C1336" i="11"/>
  <c r="H1336" i="11" s="1"/>
  <c r="C1337" i="11"/>
  <c r="E1337" i="11" s="1"/>
  <c r="C1338" i="11"/>
  <c r="E1338" i="11" s="1"/>
  <c r="C1339" i="11"/>
  <c r="C1340" i="11"/>
  <c r="E1340" i="11" s="1"/>
  <c r="C1341" i="11"/>
  <c r="E1341" i="11" s="1"/>
  <c r="C1342" i="11"/>
  <c r="E1342" i="11" s="1"/>
  <c r="C1343" i="11"/>
  <c r="E1343" i="11" s="1"/>
  <c r="C1344" i="11"/>
  <c r="E1344" i="11" s="1"/>
  <c r="C1345" i="11"/>
  <c r="E1345" i="11" s="1"/>
  <c r="C1346" i="11"/>
  <c r="E1346" i="11" s="1"/>
  <c r="C1347" i="11"/>
  <c r="E1347" i="11" s="1"/>
  <c r="C1348" i="11"/>
  <c r="E1348" i="11" s="1"/>
  <c r="C1349" i="11"/>
  <c r="E1349" i="11" s="1"/>
  <c r="C1350" i="11"/>
  <c r="E1350" i="11" s="1"/>
  <c r="C1351" i="11"/>
  <c r="E1351" i="11" s="1"/>
  <c r="C1352" i="11"/>
  <c r="E1352" i="11" s="1"/>
  <c r="C1353" i="11"/>
  <c r="E1353" i="11" s="1"/>
  <c r="C1354" i="11"/>
  <c r="E1354" i="11" s="1"/>
  <c r="C1355" i="11"/>
  <c r="E1355" i="11" s="1"/>
  <c r="C1356" i="11"/>
  <c r="E1356" i="11" s="1"/>
  <c r="C1357" i="11"/>
  <c r="E1357" i="11" s="1"/>
  <c r="C1358" i="11"/>
  <c r="E1358" i="11" s="1"/>
  <c r="C1359" i="11"/>
  <c r="E1359" i="11" s="1"/>
  <c r="C1360" i="11"/>
  <c r="C1361" i="11"/>
  <c r="E1361" i="11" s="1"/>
  <c r="C1362" i="11"/>
  <c r="E1362" i="11" s="1"/>
  <c r="C1363" i="11"/>
  <c r="E1363" i="11" s="1"/>
  <c r="C1364" i="11"/>
  <c r="E1364" i="11" s="1"/>
  <c r="C1365" i="11"/>
  <c r="E1365" i="11" s="1"/>
  <c r="C1366" i="11"/>
  <c r="E1366" i="11" s="1"/>
  <c r="C1367" i="11"/>
  <c r="E1367" i="11" s="1"/>
  <c r="C1368" i="11"/>
  <c r="E1368" i="11" s="1"/>
  <c r="C1369" i="11"/>
  <c r="E1369" i="11" s="1"/>
  <c r="C1370" i="11"/>
  <c r="E1370" i="11" s="1"/>
  <c r="C1371" i="11"/>
  <c r="E1371" i="11" s="1"/>
  <c r="C1372" i="11"/>
  <c r="E1372" i="11" s="1"/>
  <c r="C1373" i="11"/>
  <c r="E1373" i="11" s="1"/>
  <c r="C1374" i="11"/>
  <c r="E1374" i="11" s="1"/>
  <c r="C1375" i="11"/>
  <c r="E1375" i="11" s="1"/>
  <c r="C1376" i="11"/>
  <c r="E1376" i="11" s="1"/>
  <c r="C1377" i="11"/>
  <c r="E1377" i="11" s="1"/>
  <c r="C1378" i="11"/>
  <c r="E1378" i="11" s="1"/>
  <c r="C1379" i="11"/>
  <c r="E1379" i="11" s="1"/>
  <c r="C1380" i="11"/>
  <c r="E1380" i="11" s="1"/>
  <c r="C1381" i="11"/>
  <c r="E1381" i="11" s="1"/>
  <c r="C1382" i="11"/>
  <c r="E1382" i="11" s="1"/>
  <c r="C1383" i="11"/>
  <c r="E1383" i="11" s="1"/>
  <c r="C1384" i="11"/>
  <c r="E1384" i="11" s="1"/>
  <c r="C1385" i="11"/>
  <c r="E1385" i="11" s="1"/>
  <c r="C1386" i="11"/>
  <c r="E1386" i="11" s="1"/>
  <c r="C1387" i="11"/>
  <c r="E1387" i="11" s="1"/>
  <c r="C1388" i="11"/>
  <c r="E1388" i="11" s="1"/>
  <c r="C1389" i="11"/>
  <c r="E1389" i="11" s="1"/>
  <c r="C1390" i="11"/>
  <c r="E1390" i="11" s="1"/>
  <c r="C1391" i="11"/>
  <c r="E1391" i="11" s="1"/>
  <c r="C1392" i="11"/>
  <c r="E1392" i="11" s="1"/>
  <c r="C1393" i="11"/>
  <c r="E1393" i="11" s="1"/>
  <c r="C1394" i="11"/>
  <c r="E1394" i="11" s="1"/>
  <c r="C1395" i="11"/>
  <c r="E1395" i="11" s="1"/>
  <c r="C1396" i="11"/>
  <c r="E1396" i="11" s="1"/>
  <c r="C1397" i="11"/>
  <c r="E1397" i="11" s="1"/>
  <c r="C1398" i="11"/>
  <c r="E1398" i="11" s="1"/>
  <c r="C1399" i="11"/>
  <c r="E1399" i="11" s="1"/>
  <c r="C1400" i="11"/>
  <c r="C1401" i="11"/>
  <c r="E1401" i="11" s="1"/>
  <c r="C1402" i="11"/>
  <c r="E1402" i="11" s="1"/>
  <c r="C1403" i="11"/>
  <c r="E1403" i="11" s="1"/>
  <c r="C1404" i="11"/>
  <c r="E1404" i="11" s="1"/>
  <c r="C1405" i="11"/>
  <c r="E1405" i="11" s="1"/>
  <c r="C1406" i="11"/>
  <c r="E1406" i="11" s="1"/>
  <c r="C1407" i="11"/>
  <c r="E1407" i="11" s="1"/>
  <c r="C1408" i="11"/>
  <c r="E1408" i="11" s="1"/>
  <c r="C1409" i="11"/>
  <c r="E1409" i="11" s="1"/>
  <c r="C1410" i="11"/>
  <c r="E1410" i="11" s="1"/>
  <c r="C1411" i="11"/>
  <c r="E1411" i="11" s="1"/>
  <c r="C1412" i="11"/>
  <c r="E1412" i="11" s="1"/>
  <c r="C1413" i="11"/>
  <c r="E1413" i="11" s="1"/>
  <c r="C1414" i="11"/>
  <c r="E1414" i="11" s="1"/>
  <c r="C1415" i="11"/>
  <c r="E1415" i="11" s="1"/>
  <c r="C1416" i="11"/>
  <c r="E1416" i="11" s="1"/>
  <c r="C1417" i="11"/>
  <c r="E1417" i="11" s="1"/>
  <c r="C1418" i="11"/>
  <c r="E1418" i="11" s="1"/>
  <c r="C1419" i="11"/>
  <c r="E1419" i="11" s="1"/>
  <c r="C1420" i="11"/>
  <c r="E1420" i="11" s="1"/>
  <c r="C1421" i="11"/>
  <c r="E1421" i="11" s="1"/>
  <c r="C1422" i="11"/>
  <c r="E1422" i="11" s="1"/>
  <c r="C1423" i="11"/>
  <c r="E1423" i="11" s="1"/>
  <c r="C1424" i="11"/>
  <c r="E1424" i="11" s="1"/>
  <c r="C1425" i="11"/>
  <c r="E1425" i="11" s="1"/>
  <c r="C1426" i="11"/>
  <c r="E1426" i="11" s="1"/>
  <c r="C1427" i="11"/>
  <c r="E1427" i="11" s="1"/>
  <c r="C1428" i="11"/>
  <c r="E1428" i="11" s="1"/>
  <c r="C1429" i="11"/>
  <c r="E1429" i="11" s="1"/>
  <c r="C1430" i="11"/>
  <c r="E1430" i="11" s="1"/>
  <c r="C1431" i="11"/>
  <c r="E1431" i="11" s="1"/>
  <c r="C1432" i="11"/>
  <c r="E1432" i="11" s="1"/>
  <c r="C1433" i="11"/>
  <c r="E1433" i="11" s="1"/>
  <c r="C1434" i="11"/>
  <c r="E1434" i="11" s="1"/>
  <c r="C1435" i="11"/>
  <c r="E1435" i="11" s="1"/>
  <c r="C1436" i="11"/>
  <c r="E1436" i="11" s="1"/>
  <c r="C1437" i="11"/>
  <c r="E1437" i="11" s="1"/>
  <c r="C1438" i="11"/>
  <c r="E1438" i="11" s="1"/>
  <c r="C1439" i="11"/>
  <c r="E1439" i="11" s="1"/>
  <c r="C1440" i="11"/>
  <c r="E1440" i="11" s="1"/>
  <c r="C1441" i="11"/>
  <c r="E1441" i="11" s="1"/>
  <c r="C1442" i="11"/>
  <c r="E1442" i="11" s="1"/>
  <c r="C1443" i="11"/>
  <c r="E1443" i="11" s="1"/>
  <c r="C1444" i="11"/>
  <c r="E1444" i="11" s="1"/>
  <c r="C1445" i="11"/>
  <c r="E1445" i="11" s="1"/>
  <c r="C1446" i="11"/>
  <c r="E1446" i="11" s="1"/>
  <c r="C1447" i="11"/>
  <c r="E1447" i="11" s="1"/>
  <c r="C1448" i="11"/>
  <c r="E1448" i="11" s="1"/>
  <c r="C1449" i="11"/>
  <c r="E1449" i="11" s="1"/>
  <c r="C1450" i="11"/>
  <c r="E1450" i="11" s="1"/>
  <c r="C1451" i="11"/>
  <c r="E1451" i="11" s="1"/>
  <c r="C1452" i="11"/>
  <c r="E1452" i="11" s="1"/>
  <c r="C1453" i="11"/>
  <c r="E1453" i="11" s="1"/>
  <c r="C1454" i="11"/>
  <c r="E1454" i="11" s="1"/>
  <c r="C1455" i="11"/>
  <c r="C1456" i="11"/>
  <c r="E1456" i="11" s="1"/>
  <c r="C1457" i="11"/>
  <c r="E1457" i="11" s="1"/>
  <c r="C1458" i="11"/>
  <c r="E1458" i="11" s="1"/>
  <c r="C1459" i="11"/>
  <c r="E1459" i="11" s="1"/>
  <c r="C1460" i="11"/>
  <c r="E1460" i="11" s="1"/>
  <c r="C1461" i="11"/>
  <c r="E1461" i="11" s="1"/>
  <c r="C1462" i="11"/>
  <c r="E1462" i="11" s="1"/>
  <c r="C1463" i="11"/>
  <c r="E1463" i="11" s="1"/>
  <c r="C1464" i="11"/>
  <c r="E1464" i="11" s="1"/>
  <c r="C1465" i="11"/>
  <c r="E1465" i="11" s="1"/>
  <c r="C1466" i="11"/>
  <c r="E1466" i="11" s="1"/>
  <c r="C1467" i="11"/>
  <c r="E1467" i="11" s="1"/>
  <c r="C1468" i="11"/>
  <c r="E1468" i="11" s="1"/>
  <c r="C1469" i="11"/>
  <c r="E1469" i="11" s="1"/>
  <c r="C1470" i="11"/>
  <c r="E1470" i="11" s="1"/>
  <c r="C1471" i="11"/>
  <c r="E1471" i="11" s="1"/>
  <c r="C1472" i="11"/>
  <c r="E1472" i="11" s="1"/>
  <c r="C1473" i="11"/>
  <c r="E1473" i="11" s="1"/>
  <c r="C1474" i="11"/>
  <c r="E1474" i="11" s="1"/>
  <c r="C1475" i="11"/>
  <c r="C1476" i="11"/>
  <c r="E1476" i="11" s="1"/>
  <c r="C1477" i="11"/>
  <c r="E1477" i="11" s="1"/>
  <c r="C1478" i="11"/>
  <c r="E1478" i="11" s="1"/>
  <c r="C1479" i="11"/>
  <c r="E1479" i="11" s="1"/>
  <c r="C1480" i="11"/>
  <c r="E1480" i="11" s="1"/>
  <c r="C1481" i="11"/>
  <c r="E1481" i="11" s="1"/>
  <c r="C1482" i="11"/>
  <c r="E1482" i="11" s="1"/>
  <c r="C1483" i="11"/>
  <c r="E1483" i="11" s="1"/>
  <c r="C1484" i="11"/>
  <c r="E1484" i="11" s="1"/>
  <c r="C1485" i="11"/>
  <c r="E1485" i="11" s="1"/>
  <c r="C1486" i="11"/>
  <c r="E1486" i="11" s="1"/>
  <c r="C1487" i="11"/>
  <c r="E1487" i="11" s="1"/>
  <c r="C1488" i="11"/>
  <c r="E1488" i="11" s="1"/>
  <c r="C1489" i="11"/>
  <c r="E1489" i="11" s="1"/>
  <c r="C1490" i="11"/>
  <c r="E1490" i="11" s="1"/>
  <c r="C1491" i="11"/>
  <c r="E1491" i="11" s="1"/>
  <c r="C1492" i="11"/>
  <c r="H1492" i="11" s="1"/>
  <c r="C1493" i="11"/>
  <c r="E1493" i="11" s="1"/>
  <c r="C1494" i="11"/>
  <c r="E1494" i="11" s="1"/>
  <c r="C1495" i="11"/>
  <c r="E1495" i="11" s="1"/>
  <c r="C1496" i="11"/>
  <c r="E1496" i="11" s="1"/>
  <c r="C1497" i="11"/>
  <c r="E1497" i="11" s="1"/>
  <c r="C1498" i="11"/>
  <c r="E1498" i="11" s="1"/>
  <c r="C1499" i="11"/>
  <c r="E1499" i="11" s="1"/>
  <c r="C1500" i="11"/>
  <c r="E1500" i="11" s="1"/>
  <c r="C1501" i="11"/>
  <c r="E1501" i="11" s="1"/>
  <c r="C1502" i="11"/>
  <c r="E1502" i="11" s="1"/>
  <c r="C1503" i="11"/>
  <c r="E1503" i="11" s="1"/>
  <c r="C1504" i="11"/>
  <c r="E1504" i="11" s="1"/>
  <c r="C1505" i="11"/>
  <c r="E1505" i="11" s="1"/>
  <c r="C1506" i="11"/>
  <c r="E1506" i="11" s="1"/>
  <c r="C1507" i="11"/>
  <c r="E1507" i="11" s="1"/>
  <c r="C1508" i="11"/>
  <c r="E1508" i="11" s="1"/>
  <c r="C1509" i="11"/>
  <c r="E1509" i="11" s="1"/>
  <c r="C1510" i="11"/>
  <c r="E1510" i="11" s="1"/>
  <c r="C1511" i="11"/>
  <c r="E1511" i="11" s="1"/>
  <c r="C1512" i="11"/>
  <c r="C1513" i="11"/>
  <c r="E1513" i="11" s="1"/>
  <c r="C1514" i="11"/>
  <c r="E1514" i="11" s="1"/>
  <c r="C1515" i="11"/>
  <c r="E1515" i="11" s="1"/>
  <c r="C1516" i="11"/>
  <c r="E1516" i="11" s="1"/>
  <c r="C1517" i="11"/>
  <c r="E1517" i="11" s="1"/>
  <c r="C1518" i="11"/>
  <c r="E1518" i="11" s="1"/>
  <c r="C1519" i="11"/>
  <c r="C1520" i="11"/>
  <c r="E1520" i="11" s="1"/>
  <c r="C1521" i="11"/>
  <c r="E1521" i="11" s="1"/>
  <c r="C1522" i="11"/>
  <c r="E1522" i="11" s="1"/>
  <c r="C1523" i="11"/>
  <c r="E1523" i="11" s="1"/>
  <c r="C1524" i="11"/>
  <c r="E1524" i="11" s="1"/>
  <c r="C1525" i="11"/>
  <c r="E1525" i="11" s="1"/>
  <c r="C1526" i="11"/>
  <c r="E1526" i="11" s="1"/>
  <c r="C1527" i="11"/>
  <c r="E1527" i="11" s="1"/>
  <c r="C1528" i="11"/>
  <c r="E1528" i="11" s="1"/>
  <c r="C1529" i="11"/>
  <c r="E1529" i="11" s="1"/>
  <c r="C1530" i="11"/>
  <c r="E1530" i="11" s="1"/>
  <c r="C1531" i="11"/>
  <c r="E1531" i="11" s="1"/>
  <c r="C1532" i="11"/>
  <c r="E1532" i="11" s="1"/>
  <c r="C1533" i="11"/>
  <c r="E1533" i="11" s="1"/>
  <c r="C1534" i="11"/>
  <c r="E1534" i="11" s="1"/>
  <c r="C1535" i="11"/>
  <c r="E1535" i="11" s="1"/>
  <c r="C1536" i="11"/>
  <c r="E1536" i="11" s="1"/>
  <c r="C1537" i="11"/>
  <c r="E1537" i="11" s="1"/>
  <c r="C1538" i="11"/>
  <c r="E1538" i="11" s="1"/>
  <c r="C1539" i="11"/>
  <c r="E1539" i="11" s="1"/>
  <c r="C1540" i="11"/>
  <c r="E1540" i="11" s="1"/>
  <c r="C1541" i="11"/>
  <c r="E1541" i="11" s="1"/>
  <c r="C1542" i="11"/>
  <c r="E1542" i="11" s="1"/>
  <c r="C1543" i="11"/>
  <c r="E1543" i="11" s="1"/>
  <c r="C1544" i="11"/>
  <c r="C1545" i="11"/>
  <c r="E1545" i="11" s="1"/>
  <c r="C1546" i="11"/>
  <c r="E1546" i="11" s="1"/>
  <c r="C1547" i="11"/>
  <c r="E1547" i="11" s="1"/>
  <c r="C1548" i="11"/>
  <c r="E1548" i="11" s="1"/>
  <c r="C1549" i="11"/>
  <c r="E1549" i="11" s="1"/>
  <c r="C1550" i="11"/>
  <c r="E1550" i="11" s="1"/>
  <c r="C1551" i="11"/>
  <c r="E1551" i="11" s="1"/>
  <c r="C1552" i="11"/>
  <c r="E1552" i="11" s="1"/>
  <c r="C1553" i="11"/>
  <c r="E1553" i="11" s="1"/>
  <c r="C1554" i="11"/>
  <c r="C1555" i="11"/>
  <c r="E1555" i="11" s="1"/>
  <c r="C1556" i="11"/>
  <c r="E1556" i="11" s="1"/>
  <c r="C1557" i="11"/>
  <c r="E1557" i="11" s="1"/>
  <c r="C1558" i="11"/>
  <c r="E1558" i="11" s="1"/>
  <c r="C1559" i="11"/>
  <c r="E1559" i="11" s="1"/>
  <c r="C1560" i="11"/>
  <c r="E1560" i="11" s="1"/>
  <c r="C1561" i="11"/>
  <c r="E1561" i="11" s="1"/>
  <c r="C1562" i="11"/>
  <c r="E1562" i="11" s="1"/>
  <c r="C1563" i="11"/>
  <c r="E1563" i="11" s="1"/>
  <c r="C1564" i="11"/>
  <c r="E1564" i="11" s="1"/>
  <c r="C1565" i="11"/>
  <c r="E1565" i="11" s="1"/>
  <c r="C1566" i="11"/>
  <c r="E1566" i="11" s="1"/>
  <c r="C1567" i="11"/>
  <c r="E1567" i="11" s="1"/>
  <c r="C1568" i="11"/>
  <c r="E1568" i="11" s="1"/>
  <c r="C1569" i="11"/>
  <c r="E1569" i="11" s="1"/>
  <c r="C1570" i="11"/>
  <c r="H1570" i="11" s="1"/>
  <c r="C1571" i="11"/>
  <c r="E1571" i="11" s="1"/>
  <c r="C1572" i="11"/>
  <c r="E1572" i="11" s="1"/>
  <c r="C1573" i="11"/>
  <c r="E1573" i="11" s="1"/>
  <c r="C1574" i="11"/>
  <c r="E1574" i="11" s="1"/>
  <c r="C1575" i="11"/>
  <c r="E1575" i="11" s="1"/>
  <c r="C1576" i="11"/>
  <c r="E1576" i="11" s="1"/>
  <c r="C1577" i="11"/>
  <c r="E1577" i="11" s="1"/>
  <c r="C1578" i="11"/>
  <c r="C1579" i="11"/>
  <c r="E1579" i="11" s="1"/>
  <c r="C1580" i="11"/>
  <c r="E1580" i="11" s="1"/>
  <c r="C1581" i="11"/>
  <c r="E1581" i="11" s="1"/>
  <c r="C1582" i="11"/>
  <c r="E1582" i="11" s="1"/>
  <c r="C1583" i="11"/>
  <c r="E1583" i="11" s="1"/>
  <c r="C1584" i="11"/>
  <c r="E1584" i="11" s="1"/>
  <c r="C1585" i="11"/>
  <c r="E1585" i="11" s="1"/>
  <c r="C1586" i="11"/>
  <c r="E1586" i="11" s="1"/>
  <c r="C1587" i="11"/>
  <c r="E1587" i="11" s="1"/>
  <c r="C1588" i="11"/>
  <c r="E1588" i="11" s="1"/>
  <c r="C1589" i="11"/>
  <c r="E1589" i="11" s="1"/>
  <c r="C1590" i="11"/>
  <c r="E1590" i="11" s="1"/>
  <c r="C1591" i="11"/>
  <c r="E1591" i="11" s="1"/>
  <c r="C1592" i="11"/>
  <c r="E1592" i="11" s="1"/>
  <c r="C1593" i="11"/>
  <c r="E1593" i="11" s="1"/>
  <c r="C1594" i="11"/>
  <c r="E1594" i="11" s="1"/>
  <c r="C1595" i="11"/>
  <c r="E1595" i="11" s="1"/>
  <c r="C1596" i="11"/>
  <c r="E1596" i="11" s="1"/>
  <c r="C1597" i="11"/>
  <c r="E1597" i="11" s="1"/>
  <c r="C1598" i="11"/>
  <c r="E1598" i="11" s="1"/>
  <c r="C1599" i="11"/>
  <c r="C1600" i="11"/>
  <c r="E1600" i="11" s="1"/>
  <c r="C1601" i="11"/>
  <c r="E1601" i="11" s="1"/>
  <c r="C1602" i="11"/>
  <c r="E1602" i="11" s="1"/>
  <c r="C1603" i="11"/>
  <c r="E1603" i="11" s="1"/>
  <c r="C1604" i="11"/>
  <c r="E1604" i="11" s="1"/>
  <c r="C1605" i="11"/>
  <c r="C1606" i="11"/>
  <c r="E1606" i="11" s="1"/>
  <c r="C1607" i="11"/>
  <c r="E1607" i="11" s="1"/>
  <c r="C1608" i="11"/>
  <c r="E1608" i="11" s="1"/>
  <c r="C1609" i="11"/>
  <c r="E1609" i="11" s="1"/>
  <c r="C1610" i="11"/>
  <c r="E1610" i="11" s="1"/>
  <c r="C1611" i="11"/>
  <c r="E1611" i="11" s="1"/>
  <c r="C1612" i="11"/>
  <c r="E1612" i="11" s="1"/>
  <c r="C1613" i="11"/>
  <c r="E1613" i="11" s="1"/>
  <c r="C1614" i="11"/>
  <c r="E1614" i="11" s="1"/>
  <c r="C1615" i="11"/>
  <c r="E1615" i="11" s="1"/>
  <c r="C1616" i="11"/>
  <c r="E1616" i="11" s="1"/>
  <c r="C1617" i="11"/>
  <c r="H1617" i="11" s="1"/>
  <c r="C1618" i="11"/>
  <c r="E1618" i="11" s="1"/>
  <c r="C1619" i="11"/>
  <c r="E1619" i="11" s="1"/>
  <c r="C1620" i="11"/>
  <c r="E1620" i="11" s="1"/>
  <c r="C1621" i="11"/>
  <c r="C1622" i="11"/>
  <c r="E1622" i="11" s="1"/>
  <c r="C1623" i="11"/>
  <c r="E1623" i="11" s="1"/>
  <c r="C1624" i="11"/>
  <c r="E1624" i="11" s="1"/>
  <c r="C1625" i="11"/>
  <c r="C1626" i="11"/>
  <c r="E1626" i="11" s="1"/>
  <c r="C1627" i="11"/>
  <c r="E1627" i="11" s="1"/>
  <c r="C1628" i="11"/>
  <c r="E1628" i="11" s="1"/>
  <c r="C1629" i="11"/>
  <c r="E1629" i="11" s="1"/>
  <c r="C1630" i="11"/>
  <c r="E1630" i="11" s="1"/>
  <c r="C1631" i="11"/>
  <c r="E1631" i="11" s="1"/>
  <c r="C1632" i="11"/>
  <c r="E1632" i="11" s="1"/>
  <c r="C1633" i="11"/>
  <c r="H1633" i="11" s="1"/>
  <c r="C1634" i="11"/>
  <c r="E1634" i="11" s="1"/>
  <c r="C1635" i="11"/>
  <c r="E1635" i="11" s="1"/>
  <c r="C1636" i="11"/>
  <c r="E1636" i="11" s="1"/>
  <c r="C1637" i="11"/>
  <c r="E1637" i="11" s="1"/>
  <c r="C1638" i="11"/>
  <c r="E1638" i="11" s="1"/>
  <c r="C1639" i="11"/>
  <c r="C1640" i="11"/>
  <c r="E1640" i="11" s="1"/>
  <c r="C1641" i="11"/>
  <c r="E1641" i="11" s="1"/>
  <c r="C1642" i="11"/>
  <c r="E1642" i="11" s="1"/>
  <c r="C1643" i="11"/>
  <c r="E1643" i="11" s="1"/>
  <c r="C1644" i="11"/>
  <c r="E1644" i="11" s="1"/>
  <c r="C1645" i="11"/>
  <c r="E1645" i="11" s="1"/>
  <c r="C1646" i="11"/>
  <c r="E1646" i="11" s="1"/>
  <c r="C1647" i="11"/>
  <c r="E1647" i="11" s="1"/>
  <c r="C1648" i="11"/>
  <c r="E1648" i="11" s="1"/>
  <c r="C1649" i="11"/>
  <c r="H1649" i="11" s="1"/>
  <c r="C1650" i="11"/>
  <c r="E1650" i="11" s="1"/>
  <c r="C1651" i="11"/>
  <c r="E1651" i="11" s="1"/>
  <c r="C1652" i="11"/>
  <c r="E1652" i="11" s="1"/>
  <c r="C1653" i="11"/>
  <c r="E1653" i="11" s="1"/>
  <c r="C1654" i="11"/>
  <c r="E1654" i="11" s="1"/>
  <c r="C1655" i="11"/>
  <c r="C1656" i="11"/>
  <c r="E1656" i="11" s="1"/>
  <c r="C1657" i="11"/>
  <c r="E1657" i="11" s="1"/>
  <c r="C1658" i="11"/>
  <c r="E1658" i="11" s="1"/>
  <c r="C1659" i="11"/>
  <c r="C1660" i="11"/>
  <c r="E1660" i="11" s="1"/>
  <c r="C1661" i="11"/>
  <c r="E1661" i="11" s="1"/>
  <c r="C1662" i="11"/>
  <c r="E1662" i="11" s="1"/>
  <c r="C1663" i="11"/>
  <c r="E1663" i="11" s="1"/>
  <c r="C1664" i="11"/>
  <c r="C1665" i="11"/>
  <c r="H1665" i="11" s="1"/>
  <c r="C1666" i="11"/>
  <c r="E1666" i="11" s="1"/>
  <c r="C1667" i="11"/>
  <c r="E1667" i="11" s="1"/>
  <c r="C1668" i="11"/>
  <c r="E1668" i="11" s="1"/>
  <c r="C1669" i="11"/>
  <c r="E1669" i="11" s="1"/>
  <c r="C1670" i="11"/>
  <c r="E1670" i="11" s="1"/>
  <c r="C1671" i="11"/>
  <c r="E1671" i="11" s="1"/>
  <c r="C1672" i="11"/>
  <c r="H1672" i="11" s="1"/>
  <c r="C1673" i="11"/>
  <c r="E1673" i="11" s="1"/>
  <c r="C1674" i="11"/>
  <c r="E1674" i="11" s="1"/>
  <c r="C1675" i="11"/>
  <c r="E1675" i="11" s="1"/>
  <c r="C1676" i="11"/>
  <c r="E1676" i="11" s="1"/>
  <c r="C1677" i="11"/>
  <c r="C1678" i="11"/>
  <c r="E1678" i="11" s="1"/>
  <c r="C1679" i="11"/>
  <c r="E1679" i="11" s="1"/>
  <c r="C1680" i="11"/>
  <c r="E1680" i="11" s="1"/>
  <c r="C1681" i="11"/>
  <c r="C1682" i="11"/>
  <c r="E1682" i="11" s="1"/>
  <c r="C1683" i="11"/>
  <c r="E1683" i="11" s="1"/>
  <c r="C1684" i="11"/>
  <c r="E1684" i="11" s="1"/>
  <c r="C1685" i="11"/>
  <c r="H1685" i="11" s="1"/>
  <c r="C1686" i="11"/>
  <c r="E1686" i="11" s="1"/>
  <c r="C1687" i="11"/>
  <c r="E1687" i="11" s="1"/>
  <c r="C1688" i="11"/>
  <c r="E1688" i="11" s="1"/>
  <c r="C1689" i="11"/>
  <c r="H1689" i="11" s="1"/>
  <c r="C1690" i="11"/>
  <c r="E1690" i="11" s="1"/>
  <c r="C1691" i="11"/>
  <c r="E1691" i="11" s="1"/>
  <c r="C1692" i="11"/>
  <c r="C1693" i="11"/>
  <c r="E1693" i="11" s="1"/>
  <c r="C1694" i="11"/>
  <c r="E1694" i="11" s="1"/>
  <c r="C1695" i="11"/>
  <c r="C1696" i="11"/>
  <c r="E1696" i="11" s="1"/>
  <c r="C1697" i="11"/>
  <c r="E1697" i="11" s="1"/>
  <c r="C1698" i="11"/>
  <c r="C1699" i="11"/>
  <c r="E1699" i="11" s="1"/>
  <c r="C1700" i="11"/>
  <c r="E1700" i="11" s="1"/>
  <c r="C1701" i="11"/>
  <c r="H1701" i="11" s="1"/>
  <c r="C1702" i="11"/>
  <c r="E1702" i="11" s="1"/>
  <c r="C1703" i="11"/>
  <c r="E1703" i="11" s="1"/>
  <c r="C1704" i="11"/>
  <c r="E1704" i="11" s="1"/>
  <c r="C1705" i="11"/>
  <c r="C1706" i="11"/>
  <c r="E1706" i="11" s="1"/>
  <c r="C1707" i="11"/>
  <c r="E1707" i="11" s="1"/>
  <c r="C1708" i="11"/>
  <c r="E1708" i="11" s="1"/>
  <c r="C1709" i="11"/>
  <c r="E1709" i="11" s="1"/>
  <c r="C1710" i="11"/>
  <c r="C1711" i="11"/>
  <c r="E1711" i="11" s="1"/>
  <c r="C1712" i="11"/>
  <c r="E1712" i="11" s="1"/>
  <c r="C1713" i="11"/>
  <c r="E1713" i="11" s="1"/>
  <c r="C1714" i="11"/>
  <c r="C1715" i="11"/>
  <c r="E1715" i="11" s="1"/>
  <c r="C1716" i="11"/>
  <c r="E1716" i="11" s="1"/>
  <c r="C1717" i="11"/>
  <c r="E1717" i="11" s="1"/>
  <c r="C1718" i="11"/>
  <c r="H1718" i="11" s="1"/>
  <c r="C1719" i="11"/>
  <c r="E1719" i="11" s="1"/>
  <c r="C1720" i="11"/>
  <c r="E1720" i="11" s="1"/>
  <c r="C1721" i="11"/>
  <c r="E1721" i="11" s="1"/>
  <c r="C1722" i="11"/>
  <c r="C1723" i="11"/>
  <c r="E1723" i="11" s="1"/>
  <c r="C1724" i="11"/>
  <c r="E1724" i="11" s="1"/>
  <c r="C1725" i="11"/>
  <c r="E1725" i="11" s="1"/>
  <c r="C1726" i="11"/>
  <c r="E1726" i="11" s="1"/>
  <c r="C1727" i="11"/>
  <c r="C1728" i="11"/>
  <c r="E1728" i="11" s="1"/>
  <c r="C1729" i="11"/>
  <c r="E1729" i="11" s="1"/>
  <c r="C1730" i="11"/>
  <c r="E1730" i="11" s="1"/>
  <c r="C1731" i="11"/>
  <c r="C1732" i="11"/>
  <c r="E1732" i="11" s="1"/>
  <c r="C1733" i="11"/>
  <c r="E1733" i="11" s="1"/>
  <c r="C1734" i="11"/>
  <c r="H1734" i="11" s="1"/>
  <c r="C1735" i="11"/>
  <c r="E1735" i="11" s="1"/>
  <c r="C1736" i="11"/>
  <c r="E1736" i="11" s="1"/>
  <c r="C1737" i="11"/>
  <c r="C1738" i="11"/>
  <c r="E1738" i="11" s="1"/>
  <c r="C1739" i="11"/>
  <c r="E1739" i="11" s="1"/>
  <c r="C1740" i="11"/>
  <c r="E1740" i="11" s="1"/>
  <c r="C1741" i="11"/>
  <c r="C1742" i="11"/>
  <c r="E1742" i="11" s="1"/>
  <c r="C1743" i="11"/>
  <c r="E1743" i="11" s="1"/>
  <c r="C1744" i="11"/>
  <c r="E1744" i="11" s="1"/>
  <c r="C1745" i="11"/>
  <c r="H1745" i="11" s="1"/>
  <c r="C1746" i="11"/>
  <c r="E1746" i="11" s="1"/>
  <c r="C1747" i="11"/>
  <c r="E1747" i="11" s="1"/>
  <c r="C1748" i="11"/>
  <c r="E1748" i="11" s="1"/>
  <c r="C1749" i="11"/>
  <c r="H1749" i="11" s="1"/>
  <c r="C1750" i="11"/>
  <c r="E1750" i="11" s="1"/>
  <c r="C1751" i="11"/>
  <c r="E1751" i="11" s="1"/>
  <c r="C1752" i="11"/>
  <c r="C1753" i="11"/>
  <c r="E1753" i="11" s="1"/>
  <c r="C1754" i="11"/>
  <c r="E1754" i="11" s="1"/>
  <c r="C1755" i="11"/>
  <c r="C1756" i="11"/>
  <c r="E1756" i="11" s="1"/>
  <c r="C1757" i="11"/>
  <c r="E1757" i="11" s="1"/>
  <c r="C1758" i="11"/>
  <c r="E1758" i="11" s="1"/>
  <c r="C1759" i="11"/>
  <c r="C1760" i="11"/>
  <c r="E1760" i="11" s="1"/>
  <c r="C1761" i="11"/>
  <c r="E1761" i="11" s="1"/>
  <c r="C1762" i="11"/>
  <c r="E1762" i="11" s="1"/>
  <c r="C1763" i="11"/>
  <c r="H1763" i="11" s="1"/>
  <c r="C1764" i="11"/>
  <c r="E1764" i="11" s="1"/>
  <c r="C1765" i="11"/>
  <c r="E1765" i="11" s="1"/>
  <c r="C1766" i="11"/>
  <c r="E1766" i="11" s="1"/>
  <c r="C1767" i="11"/>
  <c r="C1768" i="11"/>
  <c r="E1768" i="11" s="1"/>
  <c r="C1769" i="11"/>
  <c r="E1769" i="11" s="1"/>
  <c r="C1770" i="11"/>
  <c r="E1770" i="11" s="1"/>
  <c r="C1771" i="11"/>
  <c r="C1772" i="11"/>
  <c r="E1772" i="11" s="1"/>
  <c r="C1773" i="11"/>
  <c r="E1773" i="11" s="1"/>
  <c r="C1774" i="11"/>
  <c r="E1774" i="11" s="1"/>
  <c r="C1775" i="11"/>
  <c r="C1776" i="11"/>
  <c r="E1776" i="11" s="1"/>
  <c r="C1777" i="11"/>
  <c r="E1777" i="11" s="1"/>
  <c r="C1778" i="11"/>
  <c r="H1778" i="11" s="1"/>
  <c r="C1779" i="11"/>
  <c r="E1779" i="11" s="1"/>
  <c r="C1780" i="11"/>
  <c r="E1780" i="11" s="1"/>
  <c r="C1781" i="11"/>
  <c r="C1782" i="11"/>
  <c r="E1782" i="11" s="1"/>
  <c r="C1783" i="11"/>
  <c r="E1783" i="11" s="1"/>
  <c r="C1784" i="11"/>
  <c r="C1785" i="11"/>
  <c r="E1785" i="11" s="1"/>
  <c r="C1786" i="11"/>
  <c r="E1786" i="11" s="1"/>
  <c r="C1787" i="11"/>
  <c r="C1788" i="11"/>
  <c r="E1788" i="11" s="1"/>
  <c r="C1789" i="11"/>
  <c r="E1789" i="11" s="1"/>
  <c r="C1790" i="11"/>
  <c r="E1790" i="11" s="1"/>
  <c r="C1791" i="11"/>
  <c r="H1791" i="11" s="1"/>
  <c r="C1792" i="11"/>
  <c r="E1792" i="11" s="1"/>
  <c r="C1793" i="11"/>
  <c r="E1793" i="11" s="1"/>
  <c r="C1794" i="11"/>
  <c r="E1794" i="11" s="1"/>
  <c r="C1795" i="11"/>
  <c r="C1796" i="11"/>
  <c r="E1796" i="11" s="1"/>
  <c r="C1797" i="11"/>
  <c r="E1797" i="11" s="1"/>
  <c r="C1798" i="11"/>
  <c r="E1798" i="11" s="1"/>
  <c r="C1799" i="11"/>
  <c r="E1799" i="11" s="1"/>
  <c r="C1800" i="11"/>
  <c r="C1801" i="11"/>
  <c r="E1801" i="11" s="1"/>
  <c r="C1802" i="11"/>
  <c r="E1802" i="11" s="1"/>
  <c r="C1803" i="11"/>
  <c r="E1803" i="11" s="1"/>
  <c r="C1804" i="11"/>
  <c r="E1804" i="11" s="1"/>
  <c r="C1805" i="11"/>
  <c r="H1805" i="11" s="1"/>
  <c r="C1806" i="11"/>
  <c r="E1806" i="11" s="1"/>
  <c r="C1807" i="11"/>
  <c r="E1807" i="11" s="1"/>
  <c r="C1808" i="11"/>
  <c r="E1808" i="11" s="1"/>
  <c r="C1809" i="11"/>
  <c r="E1809" i="11" s="1"/>
  <c r="C1810" i="11"/>
  <c r="H1810" i="11" s="1"/>
  <c r="C1811" i="11"/>
  <c r="E1811" i="11" s="1"/>
  <c r="C1812" i="11"/>
  <c r="E1812" i="11" s="1"/>
  <c r="C1813" i="11"/>
  <c r="C1814" i="11"/>
  <c r="E1814" i="11" s="1"/>
  <c r="C1815" i="11"/>
  <c r="E1815" i="11" s="1"/>
  <c r="C1816" i="11"/>
  <c r="C1817" i="11"/>
  <c r="E1817" i="11" s="1"/>
  <c r="C1818" i="11"/>
  <c r="E1818" i="11" s="1"/>
  <c r="C1819" i="11"/>
  <c r="E1819" i="11" s="1"/>
  <c r="C1820" i="11"/>
  <c r="E1820" i="11" s="1"/>
  <c r="C1821" i="11"/>
  <c r="E1821" i="11" s="1"/>
  <c r="C1822" i="11"/>
  <c r="E1822" i="11" s="1"/>
  <c r="C1823" i="11"/>
  <c r="C1824" i="11"/>
  <c r="E1824" i="11" s="1"/>
  <c r="C1825" i="11"/>
  <c r="E1825" i="11" s="1"/>
  <c r="C1826" i="11"/>
  <c r="E1826" i="11" s="1"/>
  <c r="C1827" i="11"/>
  <c r="E1827" i="11" s="1"/>
  <c r="C1828" i="11"/>
  <c r="E1828" i="11" s="1"/>
  <c r="C1829" i="11"/>
  <c r="H1829" i="11" s="1"/>
  <c r="C1830" i="11"/>
  <c r="E1830" i="11" s="1"/>
  <c r="C1831" i="11"/>
  <c r="E1831" i="11" s="1"/>
  <c r="C1832" i="11"/>
  <c r="E1832" i="11" s="1"/>
  <c r="C1833" i="11"/>
  <c r="C1834" i="11"/>
  <c r="E1834" i="11" s="1"/>
  <c r="C1835" i="11"/>
  <c r="E1835" i="11" s="1"/>
  <c r="C1836" i="11"/>
  <c r="C1837" i="11"/>
  <c r="E1837" i="11" s="1"/>
  <c r="C1838" i="11"/>
  <c r="E1838" i="11" s="1"/>
  <c r="C1839" i="11"/>
  <c r="C1840" i="11"/>
  <c r="E1840" i="11" s="1"/>
  <c r="C1841" i="11"/>
  <c r="E1841" i="11" s="1"/>
  <c r="C1842" i="11"/>
  <c r="H1842" i="11" s="1"/>
  <c r="C1843" i="11"/>
  <c r="E1843" i="11" s="1"/>
  <c r="C1844" i="11"/>
  <c r="E1844" i="11" s="1"/>
  <c r="C1845" i="11"/>
  <c r="E1845" i="11" s="1"/>
  <c r="C1846" i="11"/>
  <c r="E1846" i="11" s="1"/>
  <c r="C1847" i="11"/>
  <c r="C1848" i="11"/>
  <c r="E1848" i="11" s="1"/>
  <c r="C1849" i="11"/>
  <c r="E1849" i="11" s="1"/>
  <c r="C1850" i="11"/>
  <c r="E1850" i="11" s="1"/>
  <c r="C1851" i="11"/>
  <c r="C1852" i="11"/>
  <c r="E1852" i="11" s="1"/>
  <c r="C1853" i="11"/>
  <c r="E1853" i="11" s="1"/>
  <c r="C1854" i="11"/>
  <c r="E1854" i="11" s="1"/>
  <c r="C1855" i="11"/>
  <c r="C1856" i="11"/>
  <c r="E1856" i="11" s="1"/>
  <c r="C1857" i="11"/>
  <c r="E1857" i="11" s="1"/>
  <c r="C1858" i="11"/>
  <c r="E1858" i="11" s="1"/>
  <c r="C1859" i="11"/>
  <c r="C1860" i="11"/>
  <c r="E1860" i="11" s="1"/>
  <c r="C1861" i="11"/>
  <c r="E1861" i="11" s="1"/>
  <c r="C1862" i="11"/>
  <c r="E1862" i="11" s="1"/>
  <c r="C1863" i="11"/>
  <c r="E1863" i="11" s="1"/>
  <c r="C1864" i="11"/>
  <c r="E1864" i="11" s="1"/>
  <c r="C1865" i="11"/>
  <c r="C1866" i="11"/>
  <c r="E1866" i="11" s="1"/>
  <c r="C1867" i="11"/>
  <c r="E1867" i="11" s="1"/>
  <c r="C1868" i="11"/>
  <c r="E1868" i="11" s="1"/>
  <c r="C1869" i="11"/>
  <c r="E1869" i="11" s="1"/>
  <c r="C1870" i="11"/>
  <c r="C1871" i="11"/>
  <c r="E1871" i="11" s="1"/>
  <c r="C1872" i="11"/>
  <c r="E1872" i="11" s="1"/>
  <c r="C1873" i="11"/>
  <c r="E1873" i="11" s="1"/>
  <c r="C1874" i="11"/>
  <c r="C1875" i="11"/>
  <c r="E1875" i="11" s="1"/>
  <c r="C1876" i="11"/>
  <c r="E1876" i="11" s="1"/>
  <c r="C1877" i="11"/>
  <c r="E1877" i="11" s="1"/>
  <c r="C1878" i="11"/>
  <c r="E1878" i="11" s="1"/>
  <c r="C1879" i="11"/>
  <c r="H1879" i="11" s="1"/>
  <c r="C1880" i="11"/>
  <c r="E1880" i="11" s="1"/>
  <c r="C1881" i="11"/>
  <c r="E1881" i="11" s="1"/>
  <c r="C1882" i="11"/>
  <c r="C1883" i="11"/>
  <c r="E1883" i="11" s="1"/>
  <c r="C1884" i="11"/>
  <c r="C1885" i="11"/>
  <c r="E1885" i="11" s="1"/>
  <c r="C1886" i="11"/>
  <c r="E1886" i="11" s="1"/>
  <c r="C1887" i="11"/>
  <c r="E1887" i="11" s="1"/>
  <c r="C1888" i="11"/>
  <c r="E1888" i="11" s="1"/>
  <c r="C1889" i="11"/>
  <c r="H1889" i="11" s="1"/>
  <c r="C1890" i="11"/>
  <c r="E1890" i="11" s="1"/>
  <c r="C1891" i="11"/>
  <c r="E1891" i="11" s="1"/>
  <c r="C1892" i="11"/>
  <c r="E1892" i="11" s="1"/>
  <c r="C1893" i="11"/>
  <c r="H1893" i="11" s="1"/>
  <c r="C1894" i="11"/>
  <c r="E1894" i="11" s="1"/>
  <c r="C1895" i="11"/>
  <c r="C1896" i="11"/>
  <c r="E1896" i="11" s="1"/>
  <c r="C1897" i="11"/>
  <c r="C1898" i="11"/>
  <c r="E1898" i="11" s="1"/>
  <c r="C1899" i="11"/>
  <c r="C1900" i="11"/>
  <c r="E1900" i="11" s="1"/>
  <c r="C1901" i="11"/>
  <c r="E1901" i="11" s="1"/>
  <c r="C1902" i="11"/>
  <c r="H1902" i="11" s="1"/>
  <c r="C1903" i="11"/>
  <c r="E1903" i="11" s="1"/>
  <c r="C1904" i="11"/>
  <c r="E1904" i="11" s="1"/>
  <c r="C1905" i="11"/>
  <c r="C1906" i="11"/>
  <c r="E1906" i="11" s="1"/>
  <c r="C1907" i="11"/>
  <c r="C1908" i="11"/>
  <c r="E1908" i="11" s="1"/>
  <c r="C1909" i="11"/>
  <c r="H1909" i="11" s="1"/>
  <c r="C1910" i="11"/>
  <c r="E1910" i="11" s="1"/>
  <c r="C1911" i="11"/>
  <c r="H1911" i="11" s="1"/>
  <c r="C1912" i="11"/>
  <c r="E1912" i="11" s="1"/>
  <c r="C1913" i="11"/>
  <c r="C1914" i="11"/>
  <c r="E1914" i="11" s="1"/>
  <c r="C1915" i="11"/>
  <c r="C1916" i="11"/>
  <c r="E1916" i="11" s="1"/>
  <c r="C1917" i="11"/>
  <c r="H1917" i="11" s="1"/>
  <c r="C1918" i="11"/>
  <c r="E1918" i="11" s="1"/>
  <c r="C1919" i="11"/>
  <c r="H1919" i="11" s="1"/>
  <c r="C1920" i="11"/>
  <c r="E1920" i="11" s="1"/>
  <c r="C1921" i="11"/>
  <c r="C1922" i="11"/>
  <c r="E1922" i="11" s="1"/>
  <c r="C1923" i="11"/>
  <c r="C1924" i="11"/>
  <c r="E1924" i="11" s="1"/>
  <c r="C1925" i="11"/>
  <c r="H1925" i="11" s="1"/>
  <c r="C1926" i="11"/>
  <c r="E1926" i="11" s="1"/>
  <c r="C1927" i="11"/>
  <c r="H1927" i="11" s="1"/>
  <c r="C1928" i="11"/>
  <c r="E1928" i="11" s="1"/>
  <c r="C1929" i="11"/>
  <c r="C1930" i="11"/>
  <c r="E1930" i="11" s="1"/>
  <c r="C1931" i="11"/>
  <c r="C1932" i="11"/>
  <c r="E1932" i="11" s="1"/>
  <c r="C1933" i="11"/>
  <c r="H1933" i="11" s="1"/>
  <c r="C1934" i="11"/>
  <c r="E1934" i="11" s="1"/>
  <c r="C1935" i="11"/>
  <c r="E1935" i="11" s="1"/>
  <c r="C1936" i="11"/>
  <c r="H1936" i="11" s="1"/>
  <c r="C1937" i="11"/>
  <c r="E1937" i="11" s="1"/>
  <c r="C1938" i="11"/>
  <c r="E1938" i="11" s="1"/>
  <c r="C1939" i="11"/>
  <c r="C1940" i="11"/>
  <c r="E1940" i="11" s="1"/>
  <c r="C1941" i="11"/>
  <c r="E1941" i="11" s="1"/>
  <c r="C1942" i="11"/>
  <c r="C1943" i="11"/>
  <c r="E1943" i="11" s="1"/>
  <c r="C1944" i="11"/>
  <c r="E1944" i="11" s="1"/>
  <c r="C1945" i="11"/>
  <c r="H1945" i="11" s="1"/>
  <c r="C1946" i="11"/>
  <c r="E1946" i="11" s="1"/>
  <c r="C1947" i="11"/>
  <c r="E1947" i="11" s="1"/>
  <c r="C1948" i="11"/>
  <c r="H1948" i="11" s="1"/>
  <c r="C1949" i="11"/>
  <c r="E1949" i="11" s="1"/>
  <c r="C1950" i="11"/>
  <c r="E1950" i="11" s="1"/>
  <c r="C1951" i="11"/>
  <c r="C1952" i="11"/>
  <c r="E1952" i="11" s="1"/>
  <c r="C1953" i="11"/>
  <c r="E1953" i="11" s="1"/>
  <c r="C1954" i="11"/>
  <c r="C1955" i="11"/>
  <c r="E1955" i="11" s="1"/>
  <c r="C1956" i="11"/>
  <c r="E1956" i="11" s="1"/>
  <c r="C1957" i="11"/>
  <c r="E1957" i="11" s="1"/>
  <c r="C1958" i="11"/>
  <c r="G1957" i="11" s="1"/>
  <c r="C1959" i="11"/>
  <c r="E1959" i="11" s="1"/>
  <c r="C1960" i="11"/>
  <c r="E1960" i="11" s="1"/>
  <c r="C1961" i="11"/>
  <c r="E1961" i="11" s="1"/>
  <c r="C1962" i="11"/>
  <c r="H1962" i="11" s="1"/>
  <c r="C1963" i="11"/>
  <c r="E1963" i="11" s="1"/>
  <c r="C1964" i="11"/>
  <c r="E1964" i="11" s="1"/>
  <c r="C1965" i="11"/>
  <c r="E1965" i="11" s="1"/>
  <c r="C1966" i="11"/>
  <c r="C1967" i="11"/>
  <c r="E1967" i="11" s="1"/>
  <c r="C1968" i="11"/>
  <c r="E1968" i="11" s="1"/>
  <c r="C1969" i="11"/>
  <c r="C1970" i="11"/>
  <c r="E1970" i="11" s="1"/>
  <c r="C1971" i="11"/>
  <c r="E1971" i="11" s="1"/>
  <c r="C1972" i="11"/>
  <c r="C1973" i="11"/>
  <c r="E1973" i="11" s="1"/>
  <c r="C1974" i="11"/>
  <c r="E1974" i="11" s="1"/>
  <c r="C1975" i="11"/>
  <c r="E1975" i="11" s="1"/>
  <c r="C1976" i="11"/>
  <c r="E1976" i="11" s="1"/>
  <c r="C1977" i="11"/>
  <c r="H1977" i="11" s="1"/>
  <c r="C1978" i="11"/>
  <c r="E1978" i="11" s="1"/>
  <c r="C1979" i="11"/>
  <c r="C1980" i="11"/>
  <c r="E1980" i="11" s="1"/>
  <c r="C1981" i="11"/>
  <c r="E1981" i="11" s="1"/>
  <c r="C1982" i="11"/>
  <c r="E1982" i="11" s="1"/>
  <c r="C1983" i="11"/>
  <c r="C1984" i="11"/>
  <c r="E1984" i="11" s="1"/>
  <c r="C1985" i="11"/>
  <c r="H1985" i="11" s="1"/>
  <c r="C1986" i="11"/>
  <c r="E1986" i="11" s="1"/>
  <c r="C1987" i="11"/>
  <c r="H1987" i="11" s="1"/>
  <c r="C1988" i="11"/>
  <c r="E1988" i="11" s="1"/>
  <c r="C1989" i="11"/>
  <c r="E1989" i="11" s="1"/>
  <c r="C1990" i="11"/>
  <c r="E1990" i="11" s="1"/>
  <c r="C1991" i="11"/>
  <c r="C1992" i="11"/>
  <c r="E1992" i="11" s="1"/>
  <c r="C1993" i="11"/>
  <c r="C1994" i="11"/>
  <c r="E1994" i="11" s="1"/>
  <c r="C1995" i="11"/>
  <c r="C1996" i="11"/>
  <c r="E1996" i="11" s="1"/>
  <c r="C1997" i="11"/>
  <c r="H1997" i="11" s="1"/>
  <c r="C1998" i="11"/>
  <c r="E1998" i="11" s="1"/>
  <c r="C1999" i="11"/>
  <c r="C2000" i="11"/>
  <c r="E2000" i="11" s="1"/>
  <c r="C2001" i="11"/>
  <c r="C2002" i="11"/>
  <c r="E2002" i="11" s="1"/>
  <c r="C2003" i="11"/>
  <c r="E2003" i="11" s="1"/>
  <c r="C2004" i="11"/>
  <c r="E2004" i="11" s="1"/>
  <c r="C2005" i="11"/>
  <c r="H2005" i="11" s="1"/>
  <c r="C2006" i="11"/>
  <c r="E2006" i="11" s="1"/>
  <c r="C2007" i="11"/>
  <c r="C2008" i="11"/>
  <c r="E2008" i="11" s="1"/>
  <c r="C2009" i="11"/>
  <c r="C2010" i="11"/>
  <c r="E2010" i="11" s="1"/>
  <c r="C2011" i="11"/>
  <c r="C2012" i="11"/>
  <c r="E2012" i="11" s="1"/>
  <c r="C2013" i="11"/>
  <c r="H2013" i="11" s="1"/>
  <c r="C2014" i="11"/>
  <c r="E2014" i="11" s="1"/>
  <c r="C2015" i="11"/>
  <c r="E2015" i="11" s="1"/>
  <c r="C2016" i="11"/>
  <c r="H2016" i="11" s="1"/>
  <c r="C2017" i="11"/>
  <c r="E2017" i="11" s="1"/>
  <c r="C2018" i="11"/>
  <c r="E2018" i="11" s="1"/>
  <c r="C2019" i="11"/>
  <c r="E2019" i="11" s="1"/>
  <c r="C2020" i="11"/>
  <c r="C2021" i="11"/>
  <c r="E2021" i="11" s="1"/>
  <c r="C2022" i="11"/>
  <c r="E2022" i="11" s="1"/>
  <c r="C2023" i="11"/>
  <c r="E2023" i="11" s="1"/>
  <c r="C2024" i="11"/>
  <c r="C2025" i="11"/>
  <c r="E2025" i="11" s="1"/>
  <c r="C2026" i="11"/>
  <c r="C2027" i="11"/>
  <c r="E2027" i="11" s="1"/>
  <c r="C2028" i="11"/>
  <c r="H2028" i="11" s="1"/>
  <c r="C2029" i="11"/>
  <c r="E2029" i="11" s="1"/>
  <c r="C2030" i="11"/>
  <c r="E2030" i="11" s="1"/>
  <c r="C2031" i="11"/>
  <c r="C2032" i="11"/>
  <c r="E2032" i="11" s="1"/>
  <c r="C2033" i="11"/>
  <c r="C2034" i="11"/>
  <c r="E2034" i="11" s="1"/>
  <c r="C2035" i="11"/>
  <c r="H2035" i="11" s="1"/>
  <c r="C2036" i="11"/>
  <c r="E2036" i="11" s="1"/>
  <c r="C2037" i="11"/>
  <c r="E2037" i="11" s="1"/>
  <c r="C2038" i="11"/>
  <c r="E2038" i="11" s="1"/>
  <c r="C2039" i="11"/>
  <c r="E2039" i="11" s="1"/>
  <c r="C2040" i="11"/>
  <c r="E2040" i="11" s="1"/>
  <c r="C2041" i="11"/>
  <c r="E2041" i="11" s="1"/>
  <c r="C2042" i="11"/>
  <c r="H2042" i="11" s="1"/>
  <c r="C2043" i="11"/>
  <c r="E2043" i="11" s="1"/>
  <c r="C2044" i="11"/>
  <c r="E2044" i="11" s="1"/>
  <c r="C2045" i="11"/>
  <c r="E2045" i="11" s="1"/>
  <c r="C2046" i="11"/>
  <c r="E2046" i="11" s="1"/>
  <c r="C2047" i="11"/>
  <c r="E2047" i="11" s="1"/>
  <c r="C2048" i="11"/>
  <c r="E2048" i="11" s="1"/>
  <c r="C2049" i="11"/>
  <c r="E2049" i="11" s="1"/>
  <c r="C2050" i="11"/>
  <c r="C2051" i="11"/>
  <c r="E2051" i="11" s="1"/>
  <c r="C2052" i="11"/>
  <c r="E2052" i="11" s="1"/>
  <c r="C2053" i="11"/>
  <c r="E2053" i="11" s="1"/>
  <c r="C2054" i="11"/>
  <c r="E2054" i="11" s="1"/>
  <c r="C2055" i="11"/>
  <c r="C2056" i="11"/>
  <c r="E2056" i="11" s="1"/>
  <c r="C2057" i="11"/>
  <c r="E2057" i="11" s="1"/>
  <c r="C2058" i="11"/>
  <c r="E2058" i="11" s="1"/>
  <c r="C2059" i="11"/>
  <c r="E2059" i="11" s="1"/>
  <c r="C2060" i="11"/>
  <c r="E2060" i="11" s="1"/>
  <c r="C2061" i="11"/>
  <c r="E2061" i="11" s="1"/>
  <c r="C2062" i="11"/>
  <c r="C2063" i="11"/>
  <c r="E2063" i="11" s="1"/>
  <c r="C2064" i="11"/>
  <c r="E2064" i="11" s="1"/>
  <c r="C2065" i="11"/>
  <c r="E2065" i="11" s="1"/>
  <c r="C2066" i="11"/>
  <c r="H2066" i="11" s="1"/>
  <c r="C2067" i="11"/>
  <c r="E2067" i="11" s="1"/>
  <c r="C2068" i="11"/>
  <c r="E2068" i="11" s="1"/>
  <c r="C2069" i="11"/>
  <c r="E2069" i="11" s="1"/>
  <c r="C2070" i="11"/>
  <c r="C2071" i="11"/>
  <c r="E2071" i="11" s="1"/>
  <c r="C2072" i="11"/>
  <c r="E2072" i="11" s="1"/>
  <c r="C2073" i="11"/>
  <c r="E2073" i="11" s="1"/>
  <c r="C2074" i="11"/>
  <c r="C2075" i="11"/>
  <c r="E2075" i="11" s="1"/>
  <c r="C2076" i="11"/>
  <c r="E2076" i="11" s="1"/>
  <c r="C2077" i="11"/>
  <c r="E2077" i="11" s="1"/>
  <c r="C2078" i="11"/>
  <c r="E2078" i="11" s="1"/>
  <c r="C2079" i="11"/>
  <c r="E2079" i="11" s="1"/>
  <c r="C2080" i="11"/>
  <c r="C2081" i="11"/>
  <c r="E2081" i="11" s="1"/>
  <c r="C2082" i="11"/>
  <c r="E2082" i="11" s="1"/>
  <c r="C2083" i="11"/>
  <c r="E2083" i="11" s="1"/>
  <c r="C2084" i="11"/>
  <c r="E2084" i="11" s="1"/>
  <c r="C2085" i="11"/>
  <c r="E2085" i="11" s="1"/>
  <c r="C2086" i="11"/>
  <c r="H2086" i="11" s="1"/>
  <c r="C2087" i="11"/>
  <c r="E2087" i="11" s="1"/>
  <c r="C2088" i="11"/>
  <c r="E2088" i="11" s="1"/>
  <c r="C2089" i="11"/>
  <c r="E2089" i="11" s="1"/>
  <c r="C2090" i="11"/>
  <c r="E2090" i="11" s="1"/>
  <c r="C2091" i="11"/>
  <c r="E2091" i="11" s="1"/>
  <c r="C2092" i="11"/>
  <c r="E2092" i="11" s="1"/>
  <c r="C2093" i="11"/>
  <c r="F2093" i="11" s="1"/>
  <c r="G2093" i="11" s="1"/>
  <c r="C2094" i="11"/>
  <c r="E2094" i="11" s="1"/>
  <c r="C2095" i="11"/>
  <c r="E2095" i="11" s="1"/>
  <c r="C2096" i="11"/>
  <c r="E2096" i="11" s="1"/>
  <c r="C2097" i="11"/>
  <c r="E2097" i="11" s="1"/>
  <c r="C3" i="11"/>
  <c r="E3" i="11" s="1"/>
  <c r="H137" i="11" l="1"/>
  <c r="H65" i="11"/>
  <c r="H186" i="11"/>
  <c r="H121" i="11"/>
  <c r="H58" i="11"/>
  <c r="H170" i="11"/>
  <c r="H98" i="11"/>
  <c r="F2080" i="11"/>
  <c r="G2080" i="11" s="1"/>
  <c r="E2080" i="11"/>
  <c r="F2020" i="11"/>
  <c r="G2020" i="11" s="1"/>
  <c r="E2020" i="11"/>
  <c r="F1972" i="11"/>
  <c r="G1972" i="11" s="1"/>
  <c r="E1972" i="11"/>
  <c r="F1884" i="11"/>
  <c r="G1884" i="11" s="1"/>
  <c r="E1884" i="11"/>
  <c r="F1836" i="11"/>
  <c r="G1836" i="11" s="1"/>
  <c r="E1836" i="11"/>
  <c r="F1816" i="11"/>
  <c r="G1816" i="11" s="1"/>
  <c r="E1816" i="11"/>
  <c r="F1784" i="11"/>
  <c r="G1784" i="11" s="1"/>
  <c r="E1784" i="11"/>
  <c r="F1544" i="11"/>
  <c r="G1544" i="11" s="1"/>
  <c r="E1544" i="11"/>
  <c r="F1512" i="11"/>
  <c r="G1512" i="11" s="1"/>
  <c r="E1512" i="11"/>
  <c r="F1400" i="11"/>
  <c r="G1400" i="11" s="1"/>
  <c r="E1400" i="11"/>
  <c r="F1360" i="11"/>
  <c r="G1360" i="11" s="1"/>
  <c r="E1360" i="11"/>
  <c r="F1324" i="11"/>
  <c r="G1324" i="11" s="1"/>
  <c r="E1324" i="11"/>
  <c r="E1320" i="11"/>
  <c r="G1319" i="11"/>
  <c r="F1312" i="11"/>
  <c r="G1312" i="11" s="1"/>
  <c r="E1312" i="11"/>
  <c r="F1276" i="11"/>
  <c r="G1276" i="11" s="1"/>
  <c r="E1276" i="11"/>
  <c r="E1064" i="11"/>
  <c r="G1063" i="11"/>
  <c r="F2007" i="11"/>
  <c r="G2007" i="11" s="1"/>
  <c r="E2007" i="11"/>
  <c r="F1991" i="11"/>
  <c r="G1991" i="11" s="1"/>
  <c r="E1991" i="11"/>
  <c r="F1939" i="11"/>
  <c r="G1939" i="11" s="1"/>
  <c r="E1939" i="11"/>
  <c r="F1923" i="11"/>
  <c r="G1923" i="11" s="1"/>
  <c r="E1923" i="11"/>
  <c r="F1899" i="11"/>
  <c r="G1899" i="11" s="1"/>
  <c r="E1899" i="11"/>
  <c r="F1859" i="11"/>
  <c r="G1859" i="11" s="1"/>
  <c r="E1859" i="11"/>
  <c r="F1851" i="11"/>
  <c r="G1851" i="11" s="1"/>
  <c r="E1851" i="11"/>
  <c r="F1847" i="11"/>
  <c r="G1847" i="11" s="1"/>
  <c r="E1847" i="11"/>
  <c r="F1823" i="11"/>
  <c r="G1823" i="11" s="1"/>
  <c r="E1823" i="11"/>
  <c r="F1795" i="11"/>
  <c r="G1795" i="11" s="1"/>
  <c r="E1795" i="11"/>
  <c r="F1787" i="11"/>
  <c r="G1787" i="11" s="1"/>
  <c r="E1787" i="11"/>
  <c r="F1767" i="11"/>
  <c r="G1767" i="11" s="1"/>
  <c r="E1767" i="11"/>
  <c r="F1731" i="11"/>
  <c r="G1731" i="11" s="1"/>
  <c r="E1731" i="11"/>
  <c r="F1727" i="11"/>
  <c r="G1727" i="11" s="1"/>
  <c r="E1727" i="11"/>
  <c r="F1639" i="11"/>
  <c r="G1639" i="11" s="1"/>
  <c r="E1639" i="11"/>
  <c r="F1599" i="11"/>
  <c r="G1599" i="11" s="1"/>
  <c r="E1599" i="11"/>
  <c r="F1519" i="11"/>
  <c r="G1519" i="11" s="1"/>
  <c r="E1519" i="11"/>
  <c r="F1475" i="11"/>
  <c r="G1475" i="11" s="1"/>
  <c r="E1475" i="11"/>
  <c r="F1455" i="11"/>
  <c r="G1455" i="11" s="1"/>
  <c r="E1455" i="11"/>
  <c r="F1339" i="11"/>
  <c r="G1339" i="11" s="1"/>
  <c r="E1339" i="11"/>
  <c r="F1263" i="11"/>
  <c r="G1263" i="11" s="1"/>
  <c r="E1263" i="11"/>
  <c r="F1251" i="11"/>
  <c r="G1251" i="11" s="1"/>
  <c r="E1251" i="11"/>
  <c r="F1223" i="11"/>
  <c r="G1223" i="11" s="1"/>
  <c r="E1223" i="11"/>
  <c r="F1215" i="11"/>
  <c r="G1215" i="11" s="1"/>
  <c r="E1215" i="11"/>
  <c r="F1207" i="11"/>
  <c r="G1207" i="11" s="1"/>
  <c r="E1207" i="11"/>
  <c r="E587" i="11"/>
  <c r="G586" i="11"/>
  <c r="E547" i="11"/>
  <c r="G546" i="11"/>
  <c r="E23" i="11"/>
  <c r="G22" i="11"/>
  <c r="E19" i="11"/>
  <c r="G18" i="11"/>
  <c r="E7" i="11"/>
  <c r="G6" i="11"/>
  <c r="H2007" i="11"/>
  <c r="H1859" i="11"/>
  <c r="H1599" i="11"/>
  <c r="H1544" i="11"/>
  <c r="H1512" i="11"/>
  <c r="H1475" i="11"/>
  <c r="H1455" i="11"/>
  <c r="H1438" i="11"/>
  <c r="H1418" i="11"/>
  <c r="H1394" i="11"/>
  <c r="H1370" i="11"/>
  <c r="H1357" i="11"/>
  <c r="H1346" i="11"/>
  <c r="H1324" i="11"/>
  <c r="H1310" i="11"/>
  <c r="H1302" i="11"/>
  <c r="H1294" i="11"/>
  <c r="H1285" i="11"/>
  <c r="H1273" i="11"/>
  <c r="H1263" i="11"/>
  <c r="H1251" i="11"/>
  <c r="H1237" i="11"/>
  <c r="H1221" i="11"/>
  <c r="H1213" i="11"/>
  <c r="H1205" i="11"/>
  <c r="H1161" i="11"/>
  <c r="H1144" i="11"/>
  <c r="H1130" i="11"/>
  <c r="H1120" i="11"/>
  <c r="H1108" i="11"/>
  <c r="H1086" i="11"/>
  <c r="H1070" i="11"/>
  <c r="H1056" i="11"/>
  <c r="H1044" i="11"/>
  <c r="H1011" i="11"/>
  <c r="H997" i="11"/>
  <c r="H984" i="11"/>
  <c r="H972" i="11"/>
  <c r="H957" i="11"/>
  <c r="H944" i="11"/>
  <c r="H931" i="11"/>
  <c r="H914" i="11"/>
  <c r="H899" i="11"/>
  <c r="H887" i="11"/>
  <c r="H873" i="11"/>
  <c r="H859" i="11"/>
  <c r="H841" i="11"/>
  <c r="H826" i="11"/>
  <c r="H817" i="11"/>
  <c r="H804" i="11"/>
  <c r="H794" i="11"/>
  <c r="H778" i="11"/>
  <c r="H765" i="11"/>
  <c r="H751" i="11"/>
  <c r="I751" i="11" s="1"/>
  <c r="H236" i="1" s="1"/>
  <c r="H732" i="11"/>
  <c r="H724" i="11"/>
  <c r="H709" i="11"/>
  <c r="H697" i="11"/>
  <c r="H682" i="11"/>
  <c r="H672" i="11"/>
  <c r="H660" i="11"/>
  <c r="H644" i="11"/>
  <c r="H634" i="11"/>
  <c r="H619" i="11"/>
  <c r="H604" i="11"/>
  <c r="H592" i="11"/>
  <c r="H578" i="11"/>
  <c r="H569" i="11"/>
  <c r="H558" i="11"/>
  <c r="I558" i="11" s="1"/>
  <c r="H176" i="1" s="1"/>
  <c r="H547" i="11"/>
  <c r="H527" i="11"/>
  <c r="H518" i="11"/>
  <c r="H503" i="11"/>
  <c r="H483" i="11"/>
  <c r="H464" i="11"/>
  <c r="H442" i="11"/>
  <c r="H423" i="11"/>
  <c r="H413" i="11"/>
  <c r="H403" i="11"/>
  <c r="H394" i="11"/>
  <c r="H386" i="11"/>
  <c r="H373" i="11"/>
  <c r="H359" i="11"/>
  <c r="H348" i="11"/>
  <c r="H339" i="11"/>
  <c r="H328" i="11"/>
  <c r="H310" i="11"/>
  <c r="H296" i="11"/>
  <c r="H289" i="11"/>
  <c r="I289" i="11" s="1"/>
  <c r="H96" i="1" s="1"/>
  <c r="H280" i="11"/>
  <c r="H272" i="11"/>
  <c r="H262" i="11"/>
  <c r="H247" i="11"/>
  <c r="H240" i="11"/>
  <c r="I240" i="11" s="1"/>
  <c r="H76" i="1" s="1"/>
  <c r="H231" i="11"/>
  <c r="H221" i="11"/>
  <c r="H209" i="11"/>
  <c r="H108" i="11"/>
  <c r="H87" i="11"/>
  <c r="H48" i="11"/>
  <c r="H35" i="11"/>
  <c r="I35" i="11" s="1"/>
  <c r="H12" i="1" s="1"/>
  <c r="H23" i="11"/>
  <c r="H11" i="11"/>
  <c r="G1653" i="11"/>
  <c r="G1228" i="11"/>
  <c r="G1115" i="11"/>
  <c r="G1019" i="11"/>
  <c r="G469" i="11"/>
  <c r="G30" i="11"/>
  <c r="F2028" i="11"/>
  <c r="G2028" i="11" s="1"/>
  <c r="E2028" i="11"/>
  <c r="F2024" i="11"/>
  <c r="G2024" i="11" s="1"/>
  <c r="E2024" i="11"/>
  <c r="F2016" i="11"/>
  <c r="G2016" i="11" s="1"/>
  <c r="E2016" i="11"/>
  <c r="F1948" i="11"/>
  <c r="G1948" i="11" s="1"/>
  <c r="E1948" i="11"/>
  <c r="F1936" i="11"/>
  <c r="G1936" i="11" s="1"/>
  <c r="E1936" i="11"/>
  <c r="F1800" i="11"/>
  <c r="G1800" i="11" s="1"/>
  <c r="E1800" i="11"/>
  <c r="F1752" i="11"/>
  <c r="G1752" i="11" s="1"/>
  <c r="E1752" i="11"/>
  <c r="F1692" i="11"/>
  <c r="G1692" i="11" s="1"/>
  <c r="E1692" i="11"/>
  <c r="F1672" i="11"/>
  <c r="G1672" i="11" s="1"/>
  <c r="E1672" i="11"/>
  <c r="E1664" i="11"/>
  <c r="G1663" i="11"/>
  <c r="F1492" i="11"/>
  <c r="G1492" i="11" s="1"/>
  <c r="E1492" i="11"/>
  <c r="F1304" i="11"/>
  <c r="G1304" i="11" s="1"/>
  <c r="E1304" i="11"/>
  <c r="F1995" i="11"/>
  <c r="G1995" i="11" s="1"/>
  <c r="E1995" i="11"/>
  <c r="F1983" i="11"/>
  <c r="G1983" i="11" s="1"/>
  <c r="E1983" i="11"/>
  <c r="G1982" i="11"/>
  <c r="F1979" i="11"/>
  <c r="G1979" i="11" s="1"/>
  <c r="E1979" i="11"/>
  <c r="F1951" i="11"/>
  <c r="G1951" i="11" s="1"/>
  <c r="E1951" i="11"/>
  <c r="F1927" i="11"/>
  <c r="G1927" i="11" s="1"/>
  <c r="E1927" i="11"/>
  <c r="F1915" i="11"/>
  <c r="G1915" i="11" s="1"/>
  <c r="E1915" i="11"/>
  <c r="F1907" i="11"/>
  <c r="G1907" i="11" s="1"/>
  <c r="E1907" i="11"/>
  <c r="F1879" i="11"/>
  <c r="G1879" i="11" s="1"/>
  <c r="E1879" i="11"/>
  <c r="F1855" i="11"/>
  <c r="G1855" i="11" s="1"/>
  <c r="E1855" i="11"/>
  <c r="F1839" i="11"/>
  <c r="G1839" i="11" s="1"/>
  <c r="E1839" i="11"/>
  <c r="F1791" i="11"/>
  <c r="G1791" i="11" s="1"/>
  <c r="E1791" i="11"/>
  <c r="G1790" i="11"/>
  <c r="F1775" i="11"/>
  <c r="G1775" i="11" s="1"/>
  <c r="E1775" i="11"/>
  <c r="F1771" i="11"/>
  <c r="G1771" i="11" s="1"/>
  <c r="E1771" i="11"/>
  <c r="G1770" i="11"/>
  <c r="F1763" i="11"/>
  <c r="G1763" i="11" s="1"/>
  <c r="E1763" i="11"/>
  <c r="F1759" i="11"/>
  <c r="G1759" i="11" s="1"/>
  <c r="E1759" i="11"/>
  <c r="F1755" i="11"/>
  <c r="G1755" i="11" s="1"/>
  <c r="E1755" i="11"/>
  <c r="F1695" i="11"/>
  <c r="G1695" i="11" s="1"/>
  <c r="E1695" i="11"/>
  <c r="F1659" i="11"/>
  <c r="G1659" i="11" s="1"/>
  <c r="E1659" i="11"/>
  <c r="F1655" i="11"/>
  <c r="G1655" i="11" s="1"/>
  <c r="E1655" i="11"/>
  <c r="F2086" i="11"/>
  <c r="G2086" i="11" s="1"/>
  <c r="E2086" i="11"/>
  <c r="F2074" i="11"/>
  <c r="G2074" i="11" s="1"/>
  <c r="E2074" i="11"/>
  <c r="F2070" i="11"/>
  <c r="G2070" i="11" s="1"/>
  <c r="E2070" i="11"/>
  <c r="F2066" i="11"/>
  <c r="G2066" i="11" s="1"/>
  <c r="E2066" i="11"/>
  <c r="F2062" i="11"/>
  <c r="G2062" i="11" s="1"/>
  <c r="E2062" i="11"/>
  <c r="F2050" i="11"/>
  <c r="G2050" i="11" s="1"/>
  <c r="E2050" i="11"/>
  <c r="F2042" i="11"/>
  <c r="G2042" i="11" s="1"/>
  <c r="E2042" i="11"/>
  <c r="F2026" i="11"/>
  <c r="G2026" i="11" s="1"/>
  <c r="E2026" i="11"/>
  <c r="F1966" i="11"/>
  <c r="G1966" i="11" s="1"/>
  <c r="E1966" i="11"/>
  <c r="F1962" i="11"/>
  <c r="G1962" i="11" s="1"/>
  <c r="E1962" i="11"/>
  <c r="F1958" i="11"/>
  <c r="G1958" i="11" s="1"/>
  <c r="E1958" i="11"/>
  <c r="F1954" i="11"/>
  <c r="G1954" i="11" s="1"/>
  <c r="E1954" i="11"/>
  <c r="F1942" i="11"/>
  <c r="G1942" i="11" s="1"/>
  <c r="E1942" i="11"/>
  <c r="F1902" i="11"/>
  <c r="G1902" i="11" s="1"/>
  <c r="E1902" i="11"/>
  <c r="F1882" i="11"/>
  <c r="G1882" i="11" s="1"/>
  <c r="E1882" i="11"/>
  <c r="F1874" i="11"/>
  <c r="G1874" i="11" s="1"/>
  <c r="E1874" i="11"/>
  <c r="F1870" i="11"/>
  <c r="G1870" i="11" s="1"/>
  <c r="E1870" i="11"/>
  <c r="F1842" i="11"/>
  <c r="G1842" i="11" s="1"/>
  <c r="E1842" i="11"/>
  <c r="F1810" i="11"/>
  <c r="G1810" i="11" s="1"/>
  <c r="E1810" i="11"/>
  <c r="F1778" i="11"/>
  <c r="G1778" i="11" s="1"/>
  <c r="E1778" i="11"/>
  <c r="F1734" i="11"/>
  <c r="G1734" i="11" s="1"/>
  <c r="E1734" i="11"/>
  <c r="F1722" i="11"/>
  <c r="G1722" i="11" s="1"/>
  <c r="E1722" i="11"/>
  <c r="F1718" i="11"/>
  <c r="G1718" i="11" s="1"/>
  <c r="E1718" i="11"/>
  <c r="G1717" i="11"/>
  <c r="F1714" i="11"/>
  <c r="G1714" i="11" s="1"/>
  <c r="E1714" i="11"/>
  <c r="F1710" i="11"/>
  <c r="G1710" i="11" s="1"/>
  <c r="E1710" i="11"/>
  <c r="F1698" i="11"/>
  <c r="G1698" i="11" s="1"/>
  <c r="E1698" i="11"/>
  <c r="F1578" i="11"/>
  <c r="G1578" i="11" s="1"/>
  <c r="E1578" i="11"/>
  <c r="F1570" i="11"/>
  <c r="G1570" i="11" s="1"/>
  <c r="E1570" i="11"/>
  <c r="F1554" i="11"/>
  <c r="G1554" i="11" s="1"/>
  <c r="E1554" i="11"/>
  <c r="E722" i="11"/>
  <c r="G721" i="11"/>
  <c r="H2080" i="11"/>
  <c r="H2062" i="11"/>
  <c r="H2026" i="11"/>
  <c r="H1995" i="11"/>
  <c r="H1972" i="11"/>
  <c r="H1958" i="11"/>
  <c r="H1899" i="11"/>
  <c r="H1874" i="11"/>
  <c r="H1855" i="11"/>
  <c r="H1839" i="11"/>
  <c r="H1823" i="11"/>
  <c r="H1787" i="11"/>
  <c r="H1775" i="11"/>
  <c r="H1759" i="11"/>
  <c r="H1731" i="11"/>
  <c r="H1714" i="11"/>
  <c r="H1698" i="11"/>
  <c r="H1644" i="11"/>
  <c r="H1628" i="11"/>
  <c r="H1613" i="11"/>
  <c r="H1590" i="11"/>
  <c r="H1567" i="11"/>
  <c r="H1535" i="11"/>
  <c r="H1507" i="11"/>
  <c r="H1487" i="11"/>
  <c r="H1472" i="11"/>
  <c r="H1452" i="11"/>
  <c r="H1430" i="11"/>
  <c r="H1412" i="11"/>
  <c r="H1388" i="11"/>
  <c r="H1366" i="11"/>
  <c r="H1354" i="11"/>
  <c r="H1344" i="11"/>
  <c r="H1333" i="11"/>
  <c r="H1320" i="11"/>
  <c r="H1308" i="11"/>
  <c r="H1300" i="11"/>
  <c r="H1292" i="11"/>
  <c r="H1282" i="11"/>
  <c r="H1271" i="11"/>
  <c r="H1260" i="11"/>
  <c r="H1249" i="11"/>
  <c r="H1219" i="11"/>
  <c r="H1211" i="11"/>
  <c r="H1203" i="11"/>
  <c r="H1189" i="11"/>
  <c r="H1173" i="11"/>
  <c r="H1158" i="11"/>
  <c r="H1141" i="11"/>
  <c r="H1128" i="11"/>
  <c r="H1116" i="11"/>
  <c r="H1103" i="11"/>
  <c r="H1083" i="11"/>
  <c r="H1067" i="11"/>
  <c r="H1053" i="11"/>
  <c r="H1006" i="11"/>
  <c r="H994" i="11"/>
  <c r="H981" i="11"/>
  <c r="H969" i="11"/>
  <c r="H953" i="11"/>
  <c r="H942" i="11"/>
  <c r="H927" i="11"/>
  <c r="H911" i="11"/>
  <c r="H897" i="11"/>
  <c r="H883" i="11"/>
  <c r="H870" i="11"/>
  <c r="H853" i="11"/>
  <c r="H838" i="11"/>
  <c r="H823" i="11"/>
  <c r="H813" i="11"/>
  <c r="H802" i="11"/>
  <c r="H792" i="11"/>
  <c r="H777" i="11"/>
  <c r="I777" i="11" s="1"/>
  <c r="H243" i="1" s="1"/>
  <c r="H759" i="11"/>
  <c r="H749" i="11"/>
  <c r="H730" i="11"/>
  <c r="H722" i="11"/>
  <c r="H708" i="11"/>
  <c r="I708" i="11" s="1"/>
  <c r="H223" i="1" s="1"/>
  <c r="H696" i="11"/>
  <c r="I696" i="11" s="1"/>
  <c r="H219" i="1" s="1"/>
  <c r="H680" i="11"/>
  <c r="H670" i="11"/>
  <c r="H655" i="11"/>
  <c r="H642" i="11"/>
  <c r="H631" i="11"/>
  <c r="H615" i="11"/>
  <c r="H600" i="11"/>
  <c r="H589" i="11"/>
  <c r="H576" i="11"/>
  <c r="H565" i="11"/>
  <c r="H557" i="11"/>
  <c r="I557" i="11" s="1"/>
  <c r="H175" i="1" s="1"/>
  <c r="H543" i="11"/>
  <c r="H524" i="11"/>
  <c r="H516" i="11"/>
  <c r="H501" i="11"/>
  <c r="H477" i="11"/>
  <c r="H451" i="11"/>
  <c r="H438" i="11"/>
  <c r="H421" i="11"/>
  <c r="H410" i="11"/>
  <c r="H401" i="11"/>
  <c r="H392" i="11"/>
  <c r="H383" i="11"/>
  <c r="H371" i="11"/>
  <c r="H356" i="11"/>
  <c r="H346" i="11"/>
  <c r="H336" i="11"/>
  <c r="H326" i="11"/>
  <c r="H293" i="11"/>
  <c r="H286" i="11"/>
  <c r="H279" i="11"/>
  <c r="I279" i="11" s="1"/>
  <c r="H91" i="1" s="1"/>
  <c r="H271" i="11"/>
  <c r="I271" i="11" s="1"/>
  <c r="H87" i="1" s="1"/>
  <c r="H259" i="11"/>
  <c r="H245" i="11"/>
  <c r="H238" i="11"/>
  <c r="H229" i="11"/>
  <c r="H217" i="11"/>
  <c r="H205" i="11"/>
  <c r="H180" i="11"/>
  <c r="H168" i="11"/>
  <c r="H148" i="11"/>
  <c r="H133" i="11"/>
  <c r="H117" i="11"/>
  <c r="H104" i="11"/>
  <c r="H96" i="11"/>
  <c r="H82" i="11"/>
  <c r="H71" i="11"/>
  <c r="H63" i="11"/>
  <c r="H56" i="11"/>
  <c r="H33" i="11"/>
  <c r="H19" i="11"/>
  <c r="H7" i="11"/>
  <c r="G1794" i="11"/>
  <c r="G1647" i="11"/>
  <c r="G1200" i="11"/>
  <c r="G1082" i="11"/>
  <c r="G844" i="11"/>
  <c r="G463" i="11"/>
  <c r="G26" i="11"/>
  <c r="F1336" i="11"/>
  <c r="G1336" i="11" s="1"/>
  <c r="E1336" i="11"/>
  <c r="F1296" i="11"/>
  <c r="G1296" i="11" s="1"/>
  <c r="E1296" i="11"/>
  <c r="F1288" i="11"/>
  <c r="G1288" i="11" s="1"/>
  <c r="E1288" i="11"/>
  <c r="E1040" i="11"/>
  <c r="G1039" i="11"/>
  <c r="E1028" i="11"/>
  <c r="G1027" i="11"/>
  <c r="E1024" i="11"/>
  <c r="G1023" i="11"/>
  <c r="F2055" i="11"/>
  <c r="G2055" i="11" s="1"/>
  <c r="E2055" i="11"/>
  <c r="F2035" i="11"/>
  <c r="G2035" i="11" s="1"/>
  <c r="E2035" i="11"/>
  <c r="F2031" i="11"/>
  <c r="G2031" i="11" s="1"/>
  <c r="E2031" i="11"/>
  <c r="F2011" i="11"/>
  <c r="G2011" i="11" s="1"/>
  <c r="E2011" i="11"/>
  <c r="F1999" i="11"/>
  <c r="G1999" i="11" s="1"/>
  <c r="E1999" i="11"/>
  <c r="F1987" i="11"/>
  <c r="G1987" i="11" s="1"/>
  <c r="E1987" i="11"/>
  <c r="F1931" i="11"/>
  <c r="G1931" i="11" s="1"/>
  <c r="E1931" i="11"/>
  <c r="F1919" i="11"/>
  <c r="G1919" i="11" s="1"/>
  <c r="E1919" i="11"/>
  <c r="F1911" i="11"/>
  <c r="G1911" i="11" s="1"/>
  <c r="E1911" i="11"/>
  <c r="F1895" i="11"/>
  <c r="G1895" i="11" s="1"/>
  <c r="E1895" i="11"/>
  <c r="F2033" i="11"/>
  <c r="G2033" i="11" s="1"/>
  <c r="E2033" i="11"/>
  <c r="F2013" i="11"/>
  <c r="G2013" i="11" s="1"/>
  <c r="E2013" i="11"/>
  <c r="F2009" i="11"/>
  <c r="G2009" i="11" s="1"/>
  <c r="E2009" i="11"/>
  <c r="F2005" i="11"/>
  <c r="G2005" i="11" s="1"/>
  <c r="E2005" i="11"/>
  <c r="F2001" i="11"/>
  <c r="G2001" i="11" s="1"/>
  <c r="E2001" i="11"/>
  <c r="F1997" i="11"/>
  <c r="G1997" i="11" s="1"/>
  <c r="E1997" i="11"/>
  <c r="F1993" i="11"/>
  <c r="G1993" i="11" s="1"/>
  <c r="E1993" i="11"/>
  <c r="F1985" i="11"/>
  <c r="G1985" i="11" s="1"/>
  <c r="E1985" i="11"/>
  <c r="F1977" i="11"/>
  <c r="G1977" i="11" s="1"/>
  <c r="E1977" i="11"/>
  <c r="F1969" i="11"/>
  <c r="G1969" i="11" s="1"/>
  <c r="E1969" i="11"/>
  <c r="F1945" i="11"/>
  <c r="G1945" i="11" s="1"/>
  <c r="E1945" i="11"/>
  <c r="F1933" i="11"/>
  <c r="G1933" i="11" s="1"/>
  <c r="E1933" i="11"/>
  <c r="F1929" i="11"/>
  <c r="G1929" i="11" s="1"/>
  <c r="E1929" i="11"/>
  <c r="F1925" i="11"/>
  <c r="G1925" i="11" s="1"/>
  <c r="E1925" i="11"/>
  <c r="F1921" i="11"/>
  <c r="G1921" i="11" s="1"/>
  <c r="E1921" i="11"/>
  <c r="F1917" i="11"/>
  <c r="G1917" i="11" s="1"/>
  <c r="E1917" i="11"/>
  <c r="F1913" i="11"/>
  <c r="G1913" i="11" s="1"/>
  <c r="E1913" i="11"/>
  <c r="F1909" i="11"/>
  <c r="G1909" i="11" s="1"/>
  <c r="E1909" i="11"/>
  <c r="F1905" i="11"/>
  <c r="G1905" i="11" s="1"/>
  <c r="E1905" i="11"/>
  <c r="F1897" i="11"/>
  <c r="G1897" i="11" s="1"/>
  <c r="E1897" i="11"/>
  <c r="F1893" i="11"/>
  <c r="G1893" i="11" s="1"/>
  <c r="E1893" i="11"/>
  <c r="F1889" i="11"/>
  <c r="G1889" i="11" s="1"/>
  <c r="E1889" i="11"/>
  <c r="F1865" i="11"/>
  <c r="G1865" i="11" s="1"/>
  <c r="E1865" i="11"/>
  <c r="F1833" i="11"/>
  <c r="G1833" i="11" s="1"/>
  <c r="E1833" i="11"/>
  <c r="F1829" i="11"/>
  <c r="G1829" i="11" s="1"/>
  <c r="E1829" i="11"/>
  <c r="F1813" i="11"/>
  <c r="G1813" i="11" s="1"/>
  <c r="E1813" i="11"/>
  <c r="F1805" i="11"/>
  <c r="G1805" i="11" s="1"/>
  <c r="E1805" i="11"/>
  <c r="F1781" i="11"/>
  <c r="G1781" i="11" s="1"/>
  <c r="E1781" i="11"/>
  <c r="F1749" i="11"/>
  <c r="G1749" i="11" s="1"/>
  <c r="E1749" i="11"/>
  <c r="F1745" i="11"/>
  <c r="G1745" i="11" s="1"/>
  <c r="E1745" i="11"/>
  <c r="F1741" i="11"/>
  <c r="G1741" i="11" s="1"/>
  <c r="E1741" i="11"/>
  <c r="F1737" i="11"/>
  <c r="G1737" i="11" s="1"/>
  <c r="E1737" i="11"/>
  <c r="F1705" i="11"/>
  <c r="G1705" i="11" s="1"/>
  <c r="E1705" i="11"/>
  <c r="F1701" i="11"/>
  <c r="G1701" i="11" s="1"/>
  <c r="E1701" i="11"/>
  <c r="F1689" i="11"/>
  <c r="G1689" i="11" s="1"/>
  <c r="E1689" i="11"/>
  <c r="F1685" i="11"/>
  <c r="G1685" i="11" s="1"/>
  <c r="E1685" i="11"/>
  <c r="F1681" i="11"/>
  <c r="G1681" i="11" s="1"/>
  <c r="E1681" i="11"/>
  <c r="F1677" i="11"/>
  <c r="G1677" i="11" s="1"/>
  <c r="E1677" i="11"/>
  <c r="F1665" i="11"/>
  <c r="G1665" i="11" s="1"/>
  <c r="E1665" i="11"/>
  <c r="F1649" i="11"/>
  <c r="G1649" i="11" s="1"/>
  <c r="E1649" i="11"/>
  <c r="F1633" i="11"/>
  <c r="G1633" i="11" s="1"/>
  <c r="E1633" i="11"/>
  <c r="E1625" i="11"/>
  <c r="G1624" i="11"/>
  <c r="F1621" i="11"/>
  <c r="G1621" i="11" s="1"/>
  <c r="E1621" i="11"/>
  <c r="G1620" i="11"/>
  <c r="F1617" i="11"/>
  <c r="G1617" i="11" s="1"/>
  <c r="E1617" i="11"/>
  <c r="F1605" i="11"/>
  <c r="G1605" i="11" s="1"/>
  <c r="E1605" i="11"/>
  <c r="E1233" i="11"/>
  <c r="G1232" i="11"/>
  <c r="E1197" i="11"/>
  <c r="G1196" i="11"/>
  <c r="E1193" i="11"/>
  <c r="G1192" i="11"/>
  <c r="E1181" i="11"/>
  <c r="G1180" i="11"/>
  <c r="E1177" i="11"/>
  <c r="G1176" i="11"/>
  <c r="E717" i="11"/>
  <c r="G716" i="11"/>
  <c r="E305" i="11"/>
  <c r="G304" i="11"/>
  <c r="E141" i="11"/>
  <c r="G140" i="11"/>
  <c r="E45" i="11"/>
  <c r="G44" i="11"/>
  <c r="E41" i="11"/>
  <c r="G40" i="11"/>
  <c r="H2074" i="11"/>
  <c r="H2055" i="11"/>
  <c r="H2033" i="11"/>
  <c r="H2024" i="11"/>
  <c r="H2011" i="11"/>
  <c r="H2001" i="11"/>
  <c r="H1993" i="11"/>
  <c r="H1983" i="11"/>
  <c r="H1969" i="11"/>
  <c r="H1954" i="11"/>
  <c r="H1942" i="11"/>
  <c r="H1931" i="11"/>
  <c r="H1923" i="11"/>
  <c r="H1915" i="11"/>
  <c r="H1907" i="11"/>
  <c r="H1897" i="11"/>
  <c r="H1884" i="11"/>
  <c r="H1870" i="11"/>
  <c r="H1851" i="11"/>
  <c r="H1836" i="11"/>
  <c r="H1816" i="11"/>
  <c r="H1800" i="11"/>
  <c r="H1784" i="11"/>
  <c r="H1771" i="11"/>
  <c r="H1755" i="11"/>
  <c r="H1741" i="11"/>
  <c r="H1727" i="11"/>
  <c r="H1710" i="11"/>
  <c r="H1695" i="11"/>
  <c r="H1681" i="11"/>
  <c r="H1659" i="11"/>
  <c r="H1641" i="11"/>
  <c r="H1625" i="11"/>
  <c r="H1609" i="11"/>
  <c r="H1586" i="11"/>
  <c r="H1564" i="11"/>
  <c r="H1526" i="11"/>
  <c r="H1502" i="11"/>
  <c r="H1482" i="11"/>
  <c r="H1465" i="11"/>
  <c r="H1449" i="11"/>
  <c r="H1426" i="11"/>
  <c r="H1406" i="11"/>
  <c r="H1381" i="11"/>
  <c r="H1363" i="11"/>
  <c r="H1352" i="11"/>
  <c r="H1342" i="11"/>
  <c r="H1331" i="11"/>
  <c r="H1316" i="11"/>
  <c r="H1306" i="11"/>
  <c r="H1298" i="11"/>
  <c r="H1290" i="11"/>
  <c r="H1279" i="11"/>
  <c r="H1269" i="11"/>
  <c r="H1257" i="11"/>
  <c r="H1246" i="11"/>
  <c r="H1229" i="11"/>
  <c r="H1217" i="11"/>
  <c r="H1209" i="11"/>
  <c r="H1201" i="11"/>
  <c r="H1185" i="11"/>
  <c r="H1171" i="11"/>
  <c r="H1152" i="11"/>
  <c r="H1139" i="11"/>
  <c r="H1125" i="11"/>
  <c r="H1112" i="11"/>
  <c r="H1099" i="11"/>
  <c r="H1079" i="11"/>
  <c r="H1064" i="11"/>
  <c r="H1050" i="11"/>
  <c r="H1036" i="11"/>
  <c r="H1020" i="11"/>
  <c r="H1003" i="11"/>
  <c r="H991" i="11"/>
  <c r="H978" i="11"/>
  <c r="H966" i="11"/>
  <c r="H950" i="11"/>
  <c r="H938" i="11"/>
  <c r="H923" i="11"/>
  <c r="H907" i="11"/>
  <c r="H895" i="11"/>
  <c r="H881" i="11"/>
  <c r="H867" i="11"/>
  <c r="H851" i="11"/>
  <c r="H834" i="11"/>
  <c r="H821" i="11"/>
  <c r="H809" i="11"/>
  <c r="H800" i="11"/>
  <c r="H790" i="11"/>
  <c r="H775" i="11"/>
  <c r="H755" i="11"/>
  <c r="H738" i="11"/>
  <c r="H728" i="11"/>
  <c r="H717" i="11"/>
  <c r="H706" i="11"/>
  <c r="H692" i="11"/>
  <c r="H678" i="11"/>
  <c r="H666" i="11"/>
  <c r="H651" i="11"/>
  <c r="H640" i="11"/>
  <c r="H627" i="11"/>
  <c r="H610" i="11"/>
  <c r="H597" i="11"/>
  <c r="H587" i="11"/>
  <c r="H574" i="11"/>
  <c r="H562" i="11"/>
  <c r="H555" i="11"/>
  <c r="H536" i="11"/>
  <c r="H522" i="11"/>
  <c r="H512" i="11"/>
  <c r="H495" i="11"/>
  <c r="H472" i="11"/>
  <c r="H448" i="11"/>
  <c r="H432" i="11"/>
  <c r="H419" i="11"/>
  <c r="H407" i="11"/>
  <c r="H398" i="11"/>
  <c r="H390" i="11"/>
  <c r="H379" i="11"/>
  <c r="H366" i="11"/>
  <c r="H353" i="11"/>
  <c r="H344" i="11"/>
  <c r="H333" i="11"/>
  <c r="H318" i="11"/>
  <c r="H300" i="11"/>
  <c r="H291" i="11"/>
  <c r="H285" i="11"/>
  <c r="I285" i="11" s="1"/>
  <c r="H94" i="1" s="1"/>
  <c r="H276" i="11"/>
  <c r="H268" i="11"/>
  <c r="H256" i="11"/>
  <c r="H243" i="11"/>
  <c r="H236" i="11"/>
  <c r="H227" i="11"/>
  <c r="H213" i="11"/>
  <c r="H198" i="11"/>
  <c r="H174" i="11"/>
  <c r="H163" i="11"/>
  <c r="H145" i="11"/>
  <c r="H129" i="11"/>
  <c r="H113" i="11"/>
  <c r="H100" i="11"/>
  <c r="H94" i="11"/>
  <c r="H78" i="11"/>
  <c r="H69" i="11"/>
  <c r="H61" i="11"/>
  <c r="H54" i="11"/>
  <c r="H41" i="11"/>
  <c r="H31" i="11"/>
  <c r="H15" i="11"/>
  <c r="H3" i="11"/>
  <c r="G1766" i="11"/>
  <c r="G1616" i="11"/>
  <c r="G1188" i="11"/>
  <c r="G1035" i="11"/>
  <c r="G622" i="11"/>
  <c r="G107" i="11"/>
  <c r="H2093" i="11"/>
  <c r="H2070" i="11"/>
  <c r="H2050" i="11"/>
  <c r="H2031" i="11"/>
  <c r="H2020" i="11"/>
  <c r="H2009" i="11"/>
  <c r="H1999" i="11"/>
  <c r="H1991" i="11"/>
  <c r="H1979" i="11"/>
  <c r="H1966" i="11"/>
  <c r="H1951" i="11"/>
  <c r="H1939" i="11"/>
  <c r="H1929" i="11"/>
  <c r="H1921" i="11"/>
  <c r="H1913" i="11"/>
  <c r="H1905" i="11"/>
  <c r="H1895" i="11"/>
  <c r="H1882" i="11"/>
  <c r="H1865" i="11"/>
  <c r="H1847" i="11"/>
  <c r="H1833" i="11"/>
  <c r="H1813" i="11"/>
  <c r="H1795" i="11"/>
  <c r="H1781" i="11"/>
  <c r="H1767" i="11"/>
  <c r="H1752" i="11"/>
  <c r="H1737" i="11"/>
  <c r="H1722" i="11"/>
  <c r="H1705" i="11"/>
  <c r="H1692" i="11"/>
  <c r="H1677" i="11"/>
  <c r="H1655" i="11"/>
  <c r="H1639" i="11"/>
  <c r="H1621" i="11"/>
  <c r="H1605" i="11"/>
  <c r="H1578" i="11"/>
  <c r="H1554" i="11"/>
  <c r="H1519" i="11"/>
  <c r="H1497" i="11"/>
  <c r="H1478" i="11"/>
  <c r="H1458" i="11"/>
  <c r="H1446" i="11"/>
  <c r="H1422" i="11"/>
  <c r="H1400" i="11"/>
  <c r="H1374" i="11"/>
  <c r="H1360" i="11"/>
  <c r="H1349" i="11"/>
  <c r="H1339" i="11"/>
  <c r="H1329" i="11"/>
  <c r="H1312" i="11"/>
  <c r="H1304" i="11"/>
  <c r="H1296" i="11"/>
  <c r="H1288" i="11"/>
  <c r="H1276" i="11"/>
  <c r="H1266" i="11"/>
  <c r="H1254" i="11"/>
  <c r="H1241" i="11"/>
  <c r="H1223" i="11"/>
  <c r="H1215" i="11"/>
  <c r="H1207" i="11"/>
  <c r="H1197" i="11"/>
  <c r="H1181" i="11"/>
  <c r="H1168" i="11"/>
  <c r="H1147" i="11"/>
  <c r="H1135" i="11"/>
  <c r="H1123" i="11"/>
  <c r="H1110" i="11"/>
  <c r="H1096" i="11"/>
  <c r="H1075" i="11"/>
  <c r="H1060" i="11"/>
  <c r="H1047" i="11"/>
  <c r="H1032" i="11"/>
  <c r="H1016" i="11"/>
  <c r="H1000" i="11"/>
  <c r="H988" i="11"/>
  <c r="H975" i="11"/>
  <c r="H961" i="11"/>
  <c r="H948" i="11"/>
  <c r="H936" i="11"/>
  <c r="H919" i="11"/>
  <c r="H902" i="11"/>
  <c r="H891" i="11"/>
  <c r="H877" i="11"/>
  <c r="H864" i="11"/>
  <c r="H845" i="11"/>
  <c r="H830" i="11"/>
  <c r="H819" i="11"/>
  <c r="H806" i="11"/>
  <c r="H797" i="11"/>
  <c r="H784" i="11"/>
  <c r="H770" i="11"/>
  <c r="H752" i="11"/>
  <c r="H734" i="11"/>
  <c r="H726" i="11"/>
  <c r="H713" i="11"/>
  <c r="H705" i="11"/>
  <c r="I705" i="11" s="1"/>
  <c r="H221" i="1" s="1"/>
  <c r="H686" i="11"/>
  <c r="H675" i="11"/>
  <c r="H663" i="11"/>
  <c r="H647" i="11"/>
  <c r="H636" i="11"/>
  <c r="H623" i="11"/>
  <c r="H606" i="11"/>
  <c r="H594" i="11"/>
  <c r="H583" i="11"/>
  <c r="H572" i="11"/>
  <c r="H559" i="11"/>
  <c r="H550" i="11"/>
  <c r="H529" i="11"/>
  <c r="H520" i="11"/>
  <c r="H507" i="11"/>
  <c r="H489" i="11"/>
  <c r="H470" i="11"/>
  <c r="H445" i="11"/>
  <c r="H427" i="11"/>
  <c r="H416" i="11"/>
  <c r="H405" i="11"/>
  <c r="H396" i="11"/>
  <c r="H388" i="11"/>
  <c r="H377" i="11"/>
  <c r="H361" i="11"/>
  <c r="H350" i="11"/>
  <c r="H342" i="11"/>
  <c r="H330" i="11"/>
  <c r="H315" i="11"/>
  <c r="H298" i="11"/>
  <c r="H290" i="11"/>
  <c r="I290" i="11" s="1"/>
  <c r="H97" i="1" s="1"/>
  <c r="H282" i="11"/>
  <c r="H274" i="11"/>
  <c r="H266" i="11"/>
  <c r="H253" i="11"/>
  <c r="H241" i="11"/>
  <c r="H234" i="11"/>
  <c r="H225" i="11"/>
  <c r="H212" i="11"/>
  <c r="I212" i="11" s="1"/>
  <c r="H65" i="1" s="1"/>
  <c r="H192" i="11"/>
  <c r="H172" i="11"/>
  <c r="H158" i="11"/>
  <c r="H141" i="11"/>
  <c r="H125" i="11"/>
  <c r="H110" i="11"/>
  <c r="H99" i="11"/>
  <c r="H90" i="11"/>
  <c r="H75" i="11"/>
  <c r="H67" i="11"/>
  <c r="H60" i="11"/>
  <c r="I60" i="11" s="1"/>
  <c r="H21" i="1" s="1"/>
  <c r="H52" i="11"/>
  <c r="H36" i="11"/>
  <c r="H27" i="11"/>
  <c r="H13" i="11"/>
  <c r="G1721" i="11"/>
  <c r="G1323" i="11"/>
  <c r="G1184" i="11"/>
  <c r="G1031" i="11"/>
  <c r="G618" i="11"/>
  <c r="G103" i="11"/>
  <c r="E2093" i="11"/>
  <c r="F2096" i="11"/>
  <c r="G2096" i="11" s="1"/>
  <c r="F2092" i="11"/>
  <c r="G2092" i="11" s="1"/>
  <c r="F2088" i="11"/>
  <c r="G2088" i="11" s="1"/>
  <c r="F2084" i="11"/>
  <c r="G2084" i="11" s="1"/>
  <c r="F2076" i="11"/>
  <c r="G2076" i="11" s="1"/>
  <c r="F2072" i="11"/>
  <c r="G2072" i="11" s="1"/>
  <c r="F2068" i="11"/>
  <c r="G2068" i="11" s="1"/>
  <c r="F2064" i="11"/>
  <c r="G2064" i="11" s="1"/>
  <c r="F2060" i="11"/>
  <c r="G2060" i="11" s="1"/>
  <c r="F2056" i="11"/>
  <c r="G2056" i="11" s="1"/>
  <c r="F2052" i="11"/>
  <c r="G2052" i="11" s="1"/>
  <c r="F2048" i="11"/>
  <c r="G2048" i="11" s="1"/>
  <c r="F2044" i="11"/>
  <c r="G2044" i="11" s="1"/>
  <c r="F2040" i="11"/>
  <c r="G2040" i="11" s="1"/>
  <c r="F2036" i="11"/>
  <c r="G2036" i="11" s="1"/>
  <c r="H2036" i="11" s="1"/>
  <c r="F2032" i="11"/>
  <c r="G2032" i="11" s="1"/>
  <c r="H2032" i="11" s="1"/>
  <c r="I2031" i="11" s="1"/>
  <c r="H589" i="1" s="1"/>
  <c r="F2012" i="11"/>
  <c r="G2012" i="11" s="1"/>
  <c r="F2008" i="11"/>
  <c r="G2008" i="11" s="1"/>
  <c r="F2004" i="11"/>
  <c r="G2004" i="11" s="1"/>
  <c r="F2000" i="11"/>
  <c r="G2000" i="11" s="1"/>
  <c r="H2000" i="11" s="1"/>
  <c r="I1999" i="11" s="1"/>
  <c r="H577" i="1" s="1"/>
  <c r="F1996" i="11"/>
  <c r="G1996" i="11" s="1"/>
  <c r="H1996" i="11" s="1"/>
  <c r="I1995" i="11" s="1"/>
  <c r="H575" i="1" s="1"/>
  <c r="F1992" i="11"/>
  <c r="G1992" i="11" s="1"/>
  <c r="H1992" i="11" s="1"/>
  <c r="I1991" i="11" s="1"/>
  <c r="H573" i="1" s="1"/>
  <c r="F1988" i="11"/>
  <c r="G1988" i="11" s="1"/>
  <c r="H1988" i="11" s="1"/>
  <c r="F1984" i="11"/>
  <c r="G1984" i="11" s="1"/>
  <c r="H1984" i="11" s="1"/>
  <c r="I1983" i="11" s="1"/>
  <c r="H570" i="1" s="1"/>
  <c r="F1980" i="11"/>
  <c r="G1980" i="11" s="1"/>
  <c r="F1976" i="11"/>
  <c r="G1976" i="11" s="1"/>
  <c r="F1968" i="11"/>
  <c r="G1968" i="11" s="1"/>
  <c r="F1964" i="11"/>
  <c r="G1964" i="11" s="1"/>
  <c r="F1960" i="11"/>
  <c r="G1960" i="11" s="1"/>
  <c r="F1956" i="11"/>
  <c r="G1956" i="11" s="1"/>
  <c r="F1952" i="11"/>
  <c r="G1952" i="11" s="1"/>
  <c r="H1952" i="11" s="1"/>
  <c r="F1944" i="11"/>
  <c r="G1944" i="11" s="1"/>
  <c r="F1940" i="11"/>
  <c r="G1940" i="11" s="1"/>
  <c r="H1940" i="11" s="1"/>
  <c r="F1932" i="11"/>
  <c r="G1932" i="11" s="1"/>
  <c r="H1932" i="11" s="1"/>
  <c r="I1931" i="11" s="1"/>
  <c r="H554" i="1" s="1"/>
  <c r="F1928" i="11"/>
  <c r="G1928" i="11" s="1"/>
  <c r="H1928" i="11" s="1"/>
  <c r="I1927" i="11" s="1"/>
  <c r="H552" i="1" s="1"/>
  <c r="F1924" i="11"/>
  <c r="G1924" i="11" s="1"/>
  <c r="H1924" i="11" s="1"/>
  <c r="I1923" i="11" s="1"/>
  <c r="H550" i="1" s="1"/>
  <c r="F1920" i="11"/>
  <c r="G1920" i="11" s="1"/>
  <c r="H1920" i="11" s="1"/>
  <c r="I1919" i="11" s="1"/>
  <c r="H548" i="1" s="1"/>
  <c r="F1916" i="11"/>
  <c r="G1916" i="11" s="1"/>
  <c r="H1916" i="11" s="1"/>
  <c r="I1915" i="11" s="1"/>
  <c r="H546" i="1" s="1"/>
  <c r="F1912" i="11"/>
  <c r="G1912" i="11" s="1"/>
  <c r="H1912" i="11" s="1"/>
  <c r="I1911" i="11" s="1"/>
  <c r="H544" i="1" s="1"/>
  <c r="F1908" i="11"/>
  <c r="G1908" i="11" s="1"/>
  <c r="H1908" i="11" s="1"/>
  <c r="I1907" i="11" s="1"/>
  <c r="H542" i="1" s="1"/>
  <c r="F1904" i="11"/>
  <c r="G1904" i="11" s="1"/>
  <c r="F1900" i="11"/>
  <c r="G1900" i="11" s="1"/>
  <c r="H1900" i="11" s="1"/>
  <c r="F1896" i="11"/>
  <c r="G1896" i="11" s="1"/>
  <c r="F1892" i="11"/>
  <c r="G1892" i="11" s="1"/>
  <c r="F1888" i="11"/>
  <c r="G1888" i="11" s="1"/>
  <c r="F1880" i="11"/>
  <c r="G1880" i="11" s="1"/>
  <c r="H1880" i="11" s="1"/>
  <c r="F1876" i="11"/>
  <c r="G1876" i="11" s="1"/>
  <c r="F1872" i="11"/>
  <c r="G1872" i="11" s="1"/>
  <c r="F1868" i="11"/>
  <c r="G1868" i="11" s="1"/>
  <c r="F1864" i="11"/>
  <c r="G1864" i="11" s="1"/>
  <c r="F1860" i="11"/>
  <c r="G1860" i="11" s="1"/>
  <c r="H1860" i="11" s="1"/>
  <c r="F1856" i="11"/>
  <c r="G1856" i="11" s="1"/>
  <c r="H1856" i="11" s="1"/>
  <c r="F1852" i="11"/>
  <c r="G1852" i="11" s="1"/>
  <c r="H1852" i="11" s="1"/>
  <c r="F1848" i="11"/>
  <c r="G1848" i="11" s="1"/>
  <c r="H1848" i="11" s="1"/>
  <c r="F1844" i="11"/>
  <c r="G1844" i="11" s="1"/>
  <c r="F1840" i="11"/>
  <c r="G1840" i="11" s="1"/>
  <c r="H1840" i="11" s="1"/>
  <c r="F1832" i="11"/>
  <c r="G1832" i="11" s="1"/>
  <c r="F1828" i="11"/>
  <c r="G1828" i="11" s="1"/>
  <c r="F1824" i="11"/>
  <c r="G1824" i="11" s="1"/>
  <c r="H1824" i="11" s="1"/>
  <c r="F1820" i="11"/>
  <c r="G1820" i="11" s="1"/>
  <c r="F1812" i="11"/>
  <c r="G1812" i="11" s="1"/>
  <c r="F1808" i="11"/>
  <c r="G1808" i="11" s="1"/>
  <c r="F1804" i="11"/>
  <c r="G1804" i="11" s="1"/>
  <c r="F1796" i="11"/>
  <c r="G1796" i="11" s="1"/>
  <c r="H1796" i="11" s="1"/>
  <c r="F1792" i="11"/>
  <c r="G1792" i="11" s="1"/>
  <c r="H1792" i="11" s="1"/>
  <c r="F1788" i="11"/>
  <c r="G1788" i="11" s="1"/>
  <c r="H1788" i="11" s="1"/>
  <c r="F1780" i="11"/>
  <c r="G1780" i="11" s="1"/>
  <c r="F1776" i="11"/>
  <c r="G1776" i="11" s="1"/>
  <c r="H1776" i="11" s="1"/>
  <c r="F1772" i="11"/>
  <c r="G1772" i="11" s="1"/>
  <c r="H1772" i="11" s="1"/>
  <c r="F1768" i="11"/>
  <c r="G1768" i="11" s="1"/>
  <c r="F1764" i="11"/>
  <c r="G1764" i="11" s="1"/>
  <c r="H1764" i="11" s="1"/>
  <c r="F1760" i="11"/>
  <c r="G1760" i="11" s="1"/>
  <c r="H1760" i="11" s="1"/>
  <c r="F1756" i="11"/>
  <c r="G1756" i="11" s="1"/>
  <c r="F1748" i="11"/>
  <c r="G1748" i="11" s="1"/>
  <c r="F1744" i="11"/>
  <c r="G1744" i="11" s="1"/>
  <c r="F1740" i="11"/>
  <c r="G1740" i="11" s="1"/>
  <c r="F1736" i="11"/>
  <c r="G1736" i="11" s="1"/>
  <c r="F1732" i="11"/>
  <c r="G1732" i="11" s="1"/>
  <c r="H1732" i="11" s="1"/>
  <c r="F1728" i="11"/>
  <c r="G1728" i="11" s="1"/>
  <c r="H1728" i="11" s="1"/>
  <c r="F1724" i="11"/>
  <c r="G1724" i="11" s="1"/>
  <c r="F1720" i="11"/>
  <c r="G1720" i="11" s="1"/>
  <c r="F1716" i="11"/>
  <c r="G1716" i="11" s="1"/>
  <c r="F1712" i="11"/>
  <c r="G1712" i="11" s="1"/>
  <c r="F1708" i="11"/>
  <c r="G1708" i="11" s="1"/>
  <c r="F1704" i="11"/>
  <c r="G1704" i="11" s="1"/>
  <c r="F1700" i="11"/>
  <c r="G1700" i="11" s="1"/>
  <c r="F1696" i="11"/>
  <c r="G1696" i="11" s="1"/>
  <c r="F1688" i="11"/>
  <c r="G1688" i="11" s="1"/>
  <c r="F1684" i="11"/>
  <c r="G1684" i="11" s="1"/>
  <c r="F1680" i="11"/>
  <c r="G1680" i="11" s="1"/>
  <c r="F1676" i="11"/>
  <c r="G1676" i="11" s="1"/>
  <c r="F1668" i="11"/>
  <c r="G1668" i="11" s="1"/>
  <c r="F1664" i="11"/>
  <c r="G1664" i="11" s="1"/>
  <c r="F1660" i="11"/>
  <c r="G1660" i="11" s="1"/>
  <c r="H1660" i="11" s="1"/>
  <c r="F1656" i="11"/>
  <c r="G1656" i="11" s="1"/>
  <c r="H1656" i="11" s="1"/>
  <c r="F1652" i="11"/>
  <c r="G1652" i="11" s="1"/>
  <c r="F1648" i="11"/>
  <c r="G1648" i="11" s="1"/>
  <c r="F1644" i="11"/>
  <c r="G1644" i="11" s="1"/>
  <c r="F1640" i="11"/>
  <c r="G1640" i="11" s="1"/>
  <c r="F1636" i="11"/>
  <c r="G1636" i="11" s="1"/>
  <c r="F1632" i="11"/>
  <c r="G1632" i="11" s="1"/>
  <c r="F1628" i="11"/>
  <c r="G1628" i="11" s="1"/>
  <c r="F1624" i="11"/>
  <c r="F1620" i="11"/>
  <c r="F1616" i="11"/>
  <c r="F1612" i="11"/>
  <c r="G1612" i="11" s="1"/>
  <c r="F1608" i="11"/>
  <c r="G1608" i="11" s="1"/>
  <c r="F1604" i="11"/>
  <c r="G1604" i="11" s="1"/>
  <c r="F1600" i="11"/>
  <c r="G1600" i="11" s="1"/>
  <c r="H1600" i="11" s="1"/>
  <c r="F1596" i="11"/>
  <c r="G1596" i="11" s="1"/>
  <c r="F1592" i="11"/>
  <c r="G1592" i="11" s="1"/>
  <c r="F1588" i="11"/>
  <c r="G1588" i="11" s="1"/>
  <c r="F1584" i="11"/>
  <c r="G1584" i="11" s="1"/>
  <c r="F1580" i="11"/>
  <c r="G1580" i="11" s="1"/>
  <c r="F1576" i="11"/>
  <c r="G1576" i="11" s="1"/>
  <c r="F1572" i="11"/>
  <c r="G1572" i="11" s="1"/>
  <c r="F1568" i="11"/>
  <c r="G1568" i="11" s="1"/>
  <c r="F1564" i="11"/>
  <c r="G1564" i="11" s="1"/>
  <c r="F1560" i="11"/>
  <c r="G1560" i="11" s="1"/>
  <c r="F1556" i="11"/>
  <c r="G1556" i="11" s="1"/>
  <c r="F1552" i="11"/>
  <c r="G1552" i="11" s="1"/>
  <c r="F1548" i="11"/>
  <c r="G1548" i="11" s="1"/>
  <c r="F1540" i="11"/>
  <c r="G1540" i="11" s="1"/>
  <c r="F1536" i="11"/>
  <c r="G1536" i="11" s="1"/>
  <c r="H1536" i="11" s="1"/>
  <c r="F1532" i="11"/>
  <c r="G1532" i="11" s="1"/>
  <c r="F1528" i="11"/>
  <c r="G1528" i="11" s="1"/>
  <c r="F1524" i="11"/>
  <c r="G1524" i="11" s="1"/>
  <c r="F1520" i="11"/>
  <c r="G1520" i="11" s="1"/>
  <c r="H1520" i="11" s="1"/>
  <c r="F1516" i="11"/>
  <c r="G1516" i="11" s="1"/>
  <c r="F1508" i="11"/>
  <c r="G1508" i="11" s="1"/>
  <c r="H1508" i="11" s="1"/>
  <c r="F1504" i="11"/>
  <c r="G1504" i="11" s="1"/>
  <c r="F1500" i="11"/>
  <c r="G1500" i="11" s="1"/>
  <c r="F1496" i="11"/>
  <c r="G1496" i="11" s="1"/>
  <c r="F1488" i="11"/>
  <c r="G1488" i="11" s="1"/>
  <c r="H1488" i="11" s="1"/>
  <c r="F1484" i="11"/>
  <c r="G1484" i="11" s="1"/>
  <c r="F1480" i="11"/>
  <c r="G1480" i="11" s="1"/>
  <c r="F1476" i="11"/>
  <c r="G1476" i="11" s="1"/>
  <c r="H1476" i="11" s="1"/>
  <c r="F1472" i="11"/>
  <c r="G1472" i="11" s="1"/>
  <c r="F1468" i="11"/>
  <c r="G1468" i="11" s="1"/>
  <c r="F1464" i="11"/>
  <c r="G1464" i="11" s="1"/>
  <c r="F1460" i="11"/>
  <c r="G1460" i="11" s="1"/>
  <c r="F1456" i="11"/>
  <c r="G1456" i="11" s="1"/>
  <c r="H1456" i="11" s="1"/>
  <c r="F1452" i="11"/>
  <c r="G1452" i="11" s="1"/>
  <c r="F1448" i="11"/>
  <c r="G1448" i="11" s="1"/>
  <c r="F1444" i="11"/>
  <c r="G1444" i="11" s="1"/>
  <c r="F1440" i="11"/>
  <c r="G1440" i="11" s="1"/>
  <c r="F1436" i="11"/>
  <c r="G1436" i="11" s="1"/>
  <c r="F1432" i="11"/>
  <c r="G1432" i="11" s="1"/>
  <c r="F1428" i="11"/>
  <c r="G1428" i="11" s="1"/>
  <c r="F1424" i="11"/>
  <c r="G1424" i="11" s="1"/>
  <c r="F1420" i="11"/>
  <c r="G1420" i="11" s="1"/>
  <c r="F1416" i="11"/>
  <c r="G1416" i="11" s="1"/>
  <c r="F1412" i="11"/>
  <c r="G1412" i="11" s="1"/>
  <c r="F1408" i="11"/>
  <c r="G1408" i="11" s="1"/>
  <c r="F1404" i="11"/>
  <c r="G1404" i="11" s="1"/>
  <c r="F1396" i="11"/>
  <c r="G1396" i="11" s="1"/>
  <c r="F1392" i="11"/>
  <c r="G1392" i="11" s="1"/>
  <c r="F1388" i="11"/>
  <c r="G1388" i="11" s="1"/>
  <c r="F1384" i="11"/>
  <c r="G1384" i="11" s="1"/>
  <c r="F1380" i="11"/>
  <c r="G1380" i="11" s="1"/>
  <c r="F1376" i="11"/>
  <c r="G1376" i="11" s="1"/>
  <c r="F1372" i="11"/>
  <c r="G1372" i="11" s="1"/>
  <c r="F1368" i="11"/>
  <c r="G1368" i="11" s="1"/>
  <c r="F1364" i="11"/>
  <c r="G1364" i="11" s="1"/>
  <c r="H1364" i="11" s="1"/>
  <c r="F1356" i="11"/>
  <c r="G1356" i="11" s="1"/>
  <c r="F1352" i="11"/>
  <c r="G1352" i="11" s="1"/>
  <c r="F1348" i="11"/>
  <c r="G1348" i="11" s="1"/>
  <c r="F1344" i="11"/>
  <c r="G1344" i="11" s="1"/>
  <c r="F1340" i="11"/>
  <c r="G1340" i="11" s="1"/>
  <c r="H1340" i="11" s="1"/>
  <c r="F1332" i="11"/>
  <c r="G1332" i="11" s="1"/>
  <c r="H1332" i="11" s="1"/>
  <c r="I1331" i="11" s="1"/>
  <c r="H410" i="1" s="1"/>
  <c r="F1328" i="11"/>
  <c r="G1328" i="11" s="1"/>
  <c r="F1320" i="11"/>
  <c r="G1320" i="11" s="1"/>
  <c r="F1316" i="11"/>
  <c r="G1316" i="11" s="1"/>
  <c r="F1308" i="11"/>
  <c r="G1308" i="11" s="1"/>
  <c r="F1300" i="11"/>
  <c r="G1300" i="11" s="1"/>
  <c r="F1292" i="11"/>
  <c r="G1292" i="11" s="1"/>
  <c r="F1284" i="11"/>
  <c r="G1284" i="11" s="1"/>
  <c r="F1280" i="11"/>
  <c r="G1280" i="11" s="1"/>
  <c r="F1272" i="11"/>
  <c r="G1272" i="11" s="1"/>
  <c r="H1272" i="11" s="1"/>
  <c r="I1271" i="11" s="1"/>
  <c r="H387" i="1" s="1"/>
  <c r="F1268" i="11"/>
  <c r="G1268" i="11" s="1"/>
  <c r="F1264" i="11"/>
  <c r="G1264" i="11" s="1"/>
  <c r="H1264" i="11" s="1"/>
  <c r="F1260" i="11"/>
  <c r="G1260" i="11" s="1"/>
  <c r="F1256" i="11"/>
  <c r="G1256" i="11" s="1"/>
  <c r="F1252" i="11"/>
  <c r="G1252" i="11" s="1"/>
  <c r="H1252" i="11" s="1"/>
  <c r="F1248" i="11"/>
  <c r="G1248" i="11" s="1"/>
  <c r="F1244" i="11"/>
  <c r="G1244" i="11" s="1"/>
  <c r="F1240" i="11"/>
  <c r="G1240" i="11" s="1"/>
  <c r="F1236" i="11"/>
  <c r="G1236" i="11" s="1"/>
  <c r="F1232" i="11"/>
  <c r="F1228" i="11"/>
  <c r="F1224" i="11"/>
  <c r="G1224" i="11" s="1"/>
  <c r="H1224" i="11" s="1"/>
  <c r="F1220" i="11"/>
  <c r="G1220" i="11" s="1"/>
  <c r="H1220" i="11" s="1"/>
  <c r="I1219" i="11" s="1"/>
  <c r="H371" i="1" s="1"/>
  <c r="F1216" i="11"/>
  <c r="G1216" i="11" s="1"/>
  <c r="H1216" i="11" s="1"/>
  <c r="I1215" i="11" s="1"/>
  <c r="H369" i="1" s="1"/>
  <c r="F1212" i="11"/>
  <c r="G1212" i="11" s="1"/>
  <c r="H1212" i="11" s="1"/>
  <c r="I1211" i="11" s="1"/>
  <c r="H367" i="1" s="1"/>
  <c r="F1208" i="11"/>
  <c r="G1208" i="11" s="1"/>
  <c r="H1208" i="11" s="1"/>
  <c r="I1207" i="11" s="1"/>
  <c r="H365" i="1" s="1"/>
  <c r="F1204" i="11"/>
  <c r="G1204" i="11" s="1"/>
  <c r="H1204" i="11" s="1"/>
  <c r="I1203" i="11" s="1"/>
  <c r="H363" i="1" s="1"/>
  <c r="F1200" i="11"/>
  <c r="F1196" i="11"/>
  <c r="F1192" i="11"/>
  <c r="F1188" i="11"/>
  <c r="F1184" i="11"/>
  <c r="F1180" i="11"/>
  <c r="F1176" i="11"/>
  <c r="F1172" i="11"/>
  <c r="G1172" i="11" s="1"/>
  <c r="H1172" i="11" s="1"/>
  <c r="I1171" i="11" s="1"/>
  <c r="H354" i="1" s="1"/>
  <c r="F1168" i="11"/>
  <c r="G1168" i="11" s="1"/>
  <c r="F1164" i="11"/>
  <c r="G1164" i="11" s="1"/>
  <c r="F1160" i="11"/>
  <c r="G1160" i="11" s="1"/>
  <c r="F1156" i="11"/>
  <c r="G1156" i="11" s="1"/>
  <c r="F1152" i="11"/>
  <c r="G1152" i="11" s="1"/>
  <c r="F1148" i="11"/>
  <c r="G1148" i="11" s="1"/>
  <c r="H1148" i="11" s="1"/>
  <c r="F1144" i="11"/>
  <c r="G1144" i="11" s="1"/>
  <c r="F1140" i="11"/>
  <c r="G1140" i="11" s="1"/>
  <c r="H1140" i="11" s="1"/>
  <c r="I1139" i="11" s="1"/>
  <c r="H346" i="1" s="1"/>
  <c r="F1136" i="11"/>
  <c r="G1136" i="11" s="1"/>
  <c r="F1132" i="11"/>
  <c r="G1132" i="11" s="1"/>
  <c r="F1128" i="11"/>
  <c r="G1128" i="11" s="1"/>
  <c r="F1124" i="11"/>
  <c r="G1124" i="11" s="1"/>
  <c r="H1124" i="11" s="1"/>
  <c r="I1123" i="11" s="1"/>
  <c r="H341" i="1" s="1"/>
  <c r="F1120" i="11"/>
  <c r="G1120" i="11" s="1"/>
  <c r="F1116" i="11"/>
  <c r="G1116" i="11" s="1"/>
  <c r="F1112" i="11"/>
  <c r="G1112" i="11" s="1"/>
  <c r="F1108" i="11"/>
  <c r="G1108" i="11" s="1"/>
  <c r="F1104" i="11"/>
  <c r="G1104" i="11" s="1"/>
  <c r="H1104" i="11" s="1"/>
  <c r="F1100" i="11"/>
  <c r="G1100" i="11" s="1"/>
  <c r="H1100" i="11" s="1"/>
  <c r="F1096" i="11"/>
  <c r="G1096" i="11" s="1"/>
  <c r="F1092" i="11"/>
  <c r="G1092" i="11" s="1"/>
  <c r="F1088" i="11"/>
  <c r="G1088" i="11" s="1"/>
  <c r="F1084" i="11"/>
  <c r="G1084" i="11" s="1"/>
  <c r="H1084" i="11" s="1"/>
  <c r="F1080" i="11"/>
  <c r="G1080" i="11" s="1"/>
  <c r="H1080" i="11" s="1"/>
  <c r="F1076" i="11"/>
  <c r="G1076" i="11" s="1"/>
  <c r="H1076" i="11" s="1"/>
  <c r="F1072" i="11"/>
  <c r="G1072" i="11" s="1"/>
  <c r="F1068" i="11"/>
  <c r="G1068" i="11" s="1"/>
  <c r="F1064" i="11"/>
  <c r="G1064" i="11" s="1"/>
  <c r="F1060" i="11"/>
  <c r="G1060" i="11" s="1"/>
  <c r="F1056" i="11"/>
  <c r="G1056" i="11" s="1"/>
  <c r="F1052" i="11"/>
  <c r="G1052" i="11" s="1"/>
  <c r="F1048" i="11"/>
  <c r="G1048" i="11" s="1"/>
  <c r="H1048" i="11" s="1"/>
  <c r="F1044" i="11"/>
  <c r="G1044" i="11" s="1"/>
  <c r="F1040" i="11"/>
  <c r="G1040" i="11" s="1"/>
  <c r="F1036" i="11"/>
  <c r="G1036" i="11" s="1"/>
  <c r="F1032" i="11"/>
  <c r="G1032" i="11" s="1"/>
  <c r="F1028" i="11"/>
  <c r="G1028" i="11" s="1"/>
  <c r="F1024" i="11"/>
  <c r="G1024" i="11" s="1"/>
  <c r="F1020" i="11"/>
  <c r="G1020" i="11" s="1"/>
  <c r="F1016" i="11"/>
  <c r="G1016" i="11" s="1"/>
  <c r="F1012" i="11"/>
  <c r="G1012" i="11" s="1"/>
  <c r="H1012" i="11" s="1"/>
  <c r="F1008" i="11"/>
  <c r="G1008" i="11" s="1"/>
  <c r="F1004" i="11"/>
  <c r="G1004" i="11" s="1"/>
  <c r="F1000" i="11"/>
  <c r="G1000" i="11" s="1"/>
  <c r="F996" i="11"/>
  <c r="G996" i="11" s="1"/>
  <c r="F992" i="11"/>
  <c r="G992" i="11" s="1"/>
  <c r="H992" i="11" s="1"/>
  <c r="F988" i="11"/>
  <c r="G988" i="11" s="1"/>
  <c r="F984" i="11"/>
  <c r="G984" i="11" s="1"/>
  <c r="F980" i="11"/>
  <c r="G980" i="11" s="1"/>
  <c r="F976" i="11"/>
  <c r="G976" i="11" s="1"/>
  <c r="H976" i="11" s="1"/>
  <c r="F972" i="11"/>
  <c r="G972" i="11" s="1"/>
  <c r="F968" i="11"/>
  <c r="G968" i="11" s="1"/>
  <c r="F964" i="11"/>
  <c r="G964" i="11" s="1"/>
  <c r="F960" i="11"/>
  <c r="G960" i="11" s="1"/>
  <c r="F956" i="11"/>
  <c r="G956" i="11" s="1"/>
  <c r="F952" i="11"/>
  <c r="G952" i="11" s="1"/>
  <c r="F948" i="11"/>
  <c r="G948" i="11" s="1"/>
  <c r="F944" i="11"/>
  <c r="G944" i="11" s="1"/>
  <c r="F940" i="11"/>
  <c r="G940" i="11" s="1"/>
  <c r="F936" i="11"/>
  <c r="G936" i="11" s="1"/>
  <c r="F932" i="11"/>
  <c r="G932" i="11" s="1"/>
  <c r="H932" i="11" s="1"/>
  <c r="F928" i="11"/>
  <c r="G928" i="11" s="1"/>
  <c r="F924" i="11"/>
  <c r="G924" i="11" s="1"/>
  <c r="H924" i="11" s="1"/>
  <c r="F920" i="11"/>
  <c r="G920" i="11" s="1"/>
  <c r="H920" i="11" s="1"/>
  <c r="F916" i="11"/>
  <c r="G916" i="11" s="1"/>
  <c r="F912" i="11"/>
  <c r="G912" i="11" s="1"/>
  <c r="H912" i="11" s="1"/>
  <c r="F908" i="11"/>
  <c r="G908" i="11" s="1"/>
  <c r="H908" i="11" s="1"/>
  <c r="F904" i="11"/>
  <c r="G904" i="11" s="1"/>
  <c r="F900" i="11"/>
  <c r="G900" i="11" s="1"/>
  <c r="H900" i="11" s="1"/>
  <c r="F896" i="11"/>
  <c r="G896" i="11" s="1"/>
  <c r="F892" i="11"/>
  <c r="G892" i="11" s="1"/>
  <c r="H892" i="11" s="1"/>
  <c r="F888" i="11"/>
  <c r="G888" i="11" s="1"/>
  <c r="H888" i="11" s="1"/>
  <c r="F884" i="11"/>
  <c r="G884" i="11" s="1"/>
  <c r="H884" i="11" s="1"/>
  <c r="F880" i="11"/>
  <c r="G880" i="11" s="1"/>
  <c r="F876" i="11"/>
  <c r="G876" i="11" s="1"/>
  <c r="F872" i="11"/>
  <c r="G872" i="11" s="1"/>
  <c r="F868" i="11"/>
  <c r="G868" i="11" s="1"/>
  <c r="H868" i="11" s="1"/>
  <c r="F864" i="11"/>
  <c r="G864" i="11" s="1"/>
  <c r="F860" i="11"/>
  <c r="G860" i="11" s="1"/>
  <c r="H860" i="11" s="1"/>
  <c r="F856" i="11"/>
  <c r="G856" i="11" s="1"/>
  <c r="F852" i="11"/>
  <c r="G852" i="11" s="1"/>
  <c r="H852" i="11" s="1"/>
  <c r="I851" i="11" s="1"/>
  <c r="H266" i="1" s="1"/>
  <c r="F848" i="11"/>
  <c r="G848" i="11" s="1"/>
  <c r="F844" i="11"/>
  <c r="F840" i="11"/>
  <c r="G840" i="11" s="1"/>
  <c r="F836" i="11"/>
  <c r="G836" i="11" s="1"/>
  <c r="F832" i="11"/>
  <c r="G832" i="11" s="1"/>
  <c r="F828" i="11"/>
  <c r="G828" i="11" s="1"/>
  <c r="F824" i="11"/>
  <c r="G824" i="11" s="1"/>
  <c r="H824" i="11" s="1"/>
  <c r="F820" i="11"/>
  <c r="G820" i="11" s="1"/>
  <c r="H820" i="11" s="1"/>
  <c r="I819" i="11" s="1"/>
  <c r="H257" i="1" s="1"/>
  <c r="F816" i="11"/>
  <c r="G816" i="11" s="1"/>
  <c r="F812" i="11"/>
  <c r="G812" i="11" s="1"/>
  <c r="F808" i="11"/>
  <c r="G808" i="11" s="1"/>
  <c r="F804" i="11"/>
  <c r="G804" i="11" s="1"/>
  <c r="F800" i="11"/>
  <c r="G800" i="11" s="1"/>
  <c r="F796" i="11"/>
  <c r="G796" i="11" s="1"/>
  <c r="F792" i="11"/>
  <c r="G792" i="11" s="1"/>
  <c r="F788" i="11"/>
  <c r="G788" i="11" s="1"/>
  <c r="F784" i="11"/>
  <c r="G784" i="11" s="1"/>
  <c r="F780" i="11"/>
  <c r="G780" i="11" s="1"/>
  <c r="F776" i="11"/>
  <c r="G776" i="11" s="1"/>
  <c r="H776" i="11" s="1"/>
  <c r="I775" i="11" s="1"/>
  <c r="H242" i="1" s="1"/>
  <c r="F772" i="11"/>
  <c r="G772" i="11" s="1"/>
  <c r="F768" i="11"/>
  <c r="G768" i="11" s="1"/>
  <c r="F764" i="11"/>
  <c r="G764" i="11" s="1"/>
  <c r="F760" i="11"/>
  <c r="G760" i="11" s="1"/>
  <c r="F756" i="11"/>
  <c r="G756" i="11" s="1"/>
  <c r="H756" i="11" s="1"/>
  <c r="F752" i="11"/>
  <c r="G752" i="11" s="1"/>
  <c r="F748" i="11"/>
  <c r="G748" i="11" s="1"/>
  <c r="F744" i="11"/>
  <c r="G744" i="11" s="1"/>
  <c r="F740" i="11"/>
  <c r="G740" i="11" s="1"/>
  <c r="F736" i="11"/>
  <c r="G736" i="11" s="1"/>
  <c r="F732" i="11"/>
  <c r="G732" i="11" s="1"/>
  <c r="F728" i="11"/>
  <c r="G728" i="11" s="1"/>
  <c r="F724" i="11"/>
  <c r="G724" i="11" s="1"/>
  <c r="F720" i="11"/>
  <c r="G720" i="11" s="1"/>
  <c r="F716" i="11"/>
  <c r="F712" i="11"/>
  <c r="G712" i="11" s="1"/>
  <c r="F708" i="11"/>
  <c r="G708" i="11" s="1"/>
  <c r="F704" i="11"/>
  <c r="G704" i="11" s="1"/>
  <c r="F700" i="11"/>
  <c r="G700" i="11" s="1"/>
  <c r="F696" i="11"/>
  <c r="G696" i="11" s="1"/>
  <c r="F692" i="11"/>
  <c r="G692" i="11" s="1"/>
  <c r="F688" i="11"/>
  <c r="G688" i="11" s="1"/>
  <c r="F684" i="11"/>
  <c r="G684" i="11" s="1"/>
  <c r="F680" i="11"/>
  <c r="G680" i="11" s="1"/>
  <c r="F676" i="11"/>
  <c r="G676" i="11" s="1"/>
  <c r="H676" i="11" s="1"/>
  <c r="F672" i="11"/>
  <c r="G672" i="11" s="1"/>
  <c r="F668" i="11"/>
  <c r="G668" i="11" s="1"/>
  <c r="F664" i="11"/>
  <c r="G664" i="11" s="1"/>
  <c r="H664" i="11" s="1"/>
  <c r="F660" i="11"/>
  <c r="G660" i="11" s="1"/>
  <c r="F656" i="11"/>
  <c r="G656" i="11" s="1"/>
  <c r="F652" i="11"/>
  <c r="G652" i="11" s="1"/>
  <c r="H652" i="11" s="1"/>
  <c r="F648" i="11"/>
  <c r="G648" i="11" s="1"/>
  <c r="H648" i="11" s="1"/>
  <c r="F644" i="11"/>
  <c r="G644" i="11" s="1"/>
  <c r="F640" i="11"/>
  <c r="G640" i="11" s="1"/>
  <c r="F636" i="11"/>
  <c r="G636" i="11" s="1"/>
  <c r="F632" i="11"/>
  <c r="G632" i="11" s="1"/>
  <c r="H632" i="11" s="1"/>
  <c r="F628" i="11"/>
  <c r="G628" i="11" s="1"/>
  <c r="H628" i="11" s="1"/>
  <c r="F624" i="11"/>
  <c r="G624" i="11" s="1"/>
  <c r="H624" i="11" s="1"/>
  <c r="F620" i="11"/>
  <c r="G620" i="11" s="1"/>
  <c r="H620" i="11" s="1"/>
  <c r="F616" i="11"/>
  <c r="G616" i="11" s="1"/>
  <c r="H616" i="11" s="1"/>
  <c r="F612" i="11"/>
  <c r="G612" i="11" s="1"/>
  <c r="F608" i="11"/>
  <c r="G608" i="11" s="1"/>
  <c r="F604" i="11"/>
  <c r="G604" i="11" s="1"/>
  <c r="F600" i="11"/>
  <c r="G600" i="11" s="1"/>
  <c r="F596" i="11"/>
  <c r="G596" i="11" s="1"/>
  <c r="F592" i="11"/>
  <c r="G592" i="11" s="1"/>
  <c r="F588" i="11"/>
  <c r="G588" i="11" s="1"/>
  <c r="H588" i="11" s="1"/>
  <c r="I587" i="11" s="1"/>
  <c r="H186" i="1" s="1"/>
  <c r="F584" i="11"/>
  <c r="G584" i="11" s="1"/>
  <c r="F580" i="11"/>
  <c r="G580" i="11" s="1"/>
  <c r="F576" i="11"/>
  <c r="G576" i="11" s="1"/>
  <c r="F572" i="11"/>
  <c r="G572" i="11" s="1"/>
  <c r="F568" i="11"/>
  <c r="G568" i="11" s="1"/>
  <c r="F564" i="11"/>
  <c r="G564" i="11" s="1"/>
  <c r="F560" i="11"/>
  <c r="G560" i="11" s="1"/>
  <c r="H560" i="11" s="1"/>
  <c r="F556" i="11"/>
  <c r="G556" i="11" s="1"/>
  <c r="H556" i="11" s="1"/>
  <c r="I555" i="11" s="1"/>
  <c r="H174" i="1" s="1"/>
  <c r="F552" i="11"/>
  <c r="G552" i="11" s="1"/>
  <c r="F548" i="11"/>
  <c r="G548" i="11" s="1"/>
  <c r="H548" i="11" s="1"/>
  <c r="F544" i="11"/>
  <c r="G544" i="11" s="1"/>
  <c r="H544" i="11" s="1"/>
  <c r="F540" i="11"/>
  <c r="G540" i="11" s="1"/>
  <c r="F536" i="11"/>
  <c r="G536" i="11" s="1"/>
  <c r="F532" i="11"/>
  <c r="G532" i="11" s="1"/>
  <c r="F528" i="11"/>
  <c r="G528" i="11" s="1"/>
  <c r="H528" i="11" s="1"/>
  <c r="I527" i="11" s="1"/>
  <c r="H168" i="1" s="1"/>
  <c r="F524" i="11"/>
  <c r="G524" i="11" s="1"/>
  <c r="F520" i="11"/>
  <c r="G520" i="11" s="1"/>
  <c r="F516" i="11"/>
  <c r="G516" i="11" s="1"/>
  <c r="F512" i="11"/>
  <c r="G512" i="11" s="1"/>
  <c r="F508" i="11"/>
  <c r="G508" i="11" s="1"/>
  <c r="H508" i="11" s="1"/>
  <c r="F504" i="11"/>
  <c r="G504" i="11" s="1"/>
  <c r="F500" i="11"/>
  <c r="G500" i="11" s="1"/>
  <c r="F496" i="11"/>
  <c r="G496" i="11" s="1"/>
  <c r="H496" i="11" s="1"/>
  <c r="F492" i="11"/>
  <c r="G492" i="11" s="1"/>
  <c r="F488" i="11"/>
  <c r="G488" i="11" s="1"/>
  <c r="F484" i="11"/>
  <c r="G484" i="11" s="1"/>
  <c r="H484" i="11" s="1"/>
  <c r="F480" i="11"/>
  <c r="G480" i="11" s="1"/>
  <c r="F476" i="11"/>
  <c r="G476" i="11" s="1"/>
  <c r="F472" i="11"/>
  <c r="G472" i="11" s="1"/>
  <c r="F468" i="11"/>
  <c r="G468" i="11" s="1"/>
  <c r="F464" i="11"/>
  <c r="G464" i="11" s="1"/>
  <c r="F460" i="11"/>
  <c r="G460" i="11" s="1"/>
  <c r="F456" i="11"/>
  <c r="G456" i="11" s="1"/>
  <c r="F452" i="11"/>
  <c r="G452" i="11" s="1"/>
  <c r="H452" i="11" s="1"/>
  <c r="F448" i="11"/>
  <c r="G448" i="11" s="1"/>
  <c r="F444" i="11"/>
  <c r="G444" i="11" s="1"/>
  <c r="F440" i="11"/>
  <c r="G440" i="11" s="1"/>
  <c r="F436" i="11"/>
  <c r="G436" i="11" s="1"/>
  <c r="F432" i="11"/>
  <c r="G432" i="11" s="1"/>
  <c r="F428" i="11"/>
  <c r="G428" i="11" s="1"/>
  <c r="H428" i="11" s="1"/>
  <c r="F424" i="11"/>
  <c r="G424" i="11" s="1"/>
  <c r="F420" i="11"/>
  <c r="G420" i="11" s="1"/>
  <c r="H420" i="11" s="1"/>
  <c r="I419" i="11" s="1"/>
  <c r="H142" i="1" s="1"/>
  <c r="F416" i="11"/>
  <c r="G416" i="11" s="1"/>
  <c r="F412" i="11"/>
  <c r="G412" i="11" s="1"/>
  <c r="F408" i="11"/>
  <c r="G408" i="11" s="1"/>
  <c r="H408" i="11" s="1"/>
  <c r="F404" i="11"/>
  <c r="G404" i="11" s="1"/>
  <c r="H404" i="11" s="1"/>
  <c r="I403" i="11" s="1"/>
  <c r="H136" i="1" s="1"/>
  <c r="F400" i="11"/>
  <c r="G400" i="11" s="1"/>
  <c r="F396" i="11"/>
  <c r="G396" i="11" s="1"/>
  <c r="F392" i="11"/>
  <c r="G392" i="11" s="1"/>
  <c r="F388" i="11"/>
  <c r="G388" i="11" s="1"/>
  <c r="F384" i="11"/>
  <c r="G384" i="11" s="1"/>
  <c r="F380" i="11"/>
  <c r="G380" i="11" s="1"/>
  <c r="H380" i="11" s="1"/>
  <c r="F376" i="11"/>
  <c r="G376" i="11" s="1"/>
  <c r="F372" i="11"/>
  <c r="G372" i="11" s="1"/>
  <c r="H372" i="11" s="1"/>
  <c r="I371" i="11" s="1"/>
  <c r="H123" i="1" s="1"/>
  <c r="F368" i="11"/>
  <c r="G368" i="11" s="1"/>
  <c r="F364" i="11"/>
  <c r="G364" i="11" s="1"/>
  <c r="F360" i="11"/>
  <c r="G360" i="11" s="1"/>
  <c r="H360" i="11" s="1"/>
  <c r="I359" i="11" s="1"/>
  <c r="H120" i="1" s="1"/>
  <c r="F356" i="11"/>
  <c r="G356" i="11" s="1"/>
  <c r="F352" i="11"/>
  <c r="G352" i="11" s="1"/>
  <c r="F348" i="11"/>
  <c r="G348" i="11" s="1"/>
  <c r="F344" i="11"/>
  <c r="G344" i="11" s="1"/>
  <c r="F340" i="11"/>
  <c r="G340" i="11" s="1"/>
  <c r="H340" i="11" s="1"/>
  <c r="F336" i="11"/>
  <c r="G336" i="11" s="1"/>
  <c r="F332" i="11"/>
  <c r="G332" i="11" s="1"/>
  <c r="F328" i="11"/>
  <c r="G328" i="11" s="1"/>
  <c r="F324" i="11"/>
  <c r="G324" i="11" s="1"/>
  <c r="F320" i="11"/>
  <c r="G320" i="11" s="1"/>
  <c r="F316" i="11"/>
  <c r="G316" i="11" s="1"/>
  <c r="F312" i="11"/>
  <c r="G312" i="11" s="1"/>
  <c r="F308" i="11"/>
  <c r="G308" i="11" s="1"/>
  <c r="F304" i="11"/>
  <c r="F300" i="11"/>
  <c r="G300" i="11" s="1"/>
  <c r="F296" i="11"/>
  <c r="G296" i="11" s="1"/>
  <c r="F292" i="11"/>
  <c r="G292" i="11" s="1"/>
  <c r="H292" i="11" s="1"/>
  <c r="I291" i="11" s="1"/>
  <c r="H98" i="1" s="1"/>
  <c r="F288" i="11"/>
  <c r="G288" i="11" s="1"/>
  <c r="F284" i="11"/>
  <c r="G284" i="11" s="1"/>
  <c r="F280" i="11"/>
  <c r="G280" i="11" s="1"/>
  <c r="F276" i="11"/>
  <c r="G276" i="11" s="1"/>
  <c r="F272" i="11"/>
  <c r="G272" i="11" s="1"/>
  <c r="F268" i="11"/>
  <c r="G268" i="11" s="1"/>
  <c r="F264" i="11"/>
  <c r="G264" i="11" s="1"/>
  <c r="F260" i="11"/>
  <c r="G260" i="11" s="1"/>
  <c r="H260" i="11" s="1"/>
  <c r="F256" i="11"/>
  <c r="G256" i="11" s="1"/>
  <c r="F252" i="11"/>
  <c r="G252" i="11" s="1"/>
  <c r="F248" i="11"/>
  <c r="G248" i="11" s="1"/>
  <c r="F244" i="11"/>
  <c r="G244" i="11" s="1"/>
  <c r="H244" i="11" s="1"/>
  <c r="I243" i="11" s="1"/>
  <c r="H78" i="1" s="1"/>
  <c r="F240" i="11"/>
  <c r="G240" i="11" s="1"/>
  <c r="F236" i="11"/>
  <c r="G236" i="11" s="1"/>
  <c r="F232" i="11"/>
  <c r="G232" i="11" s="1"/>
  <c r="H232" i="11" s="1"/>
  <c r="F228" i="11"/>
  <c r="G228" i="11" s="1"/>
  <c r="H228" i="11" s="1"/>
  <c r="I227" i="11" s="1"/>
  <c r="H70" i="1" s="1"/>
  <c r="F224" i="11"/>
  <c r="G224" i="11" s="1"/>
  <c r="F220" i="11"/>
  <c r="G220" i="11" s="1"/>
  <c r="F216" i="11"/>
  <c r="G216" i="11" s="1"/>
  <c r="F212" i="11"/>
  <c r="G212" i="11" s="1"/>
  <c r="F208" i="11"/>
  <c r="G208" i="11" s="1"/>
  <c r="F204" i="11"/>
  <c r="G204" i="11" s="1"/>
  <c r="F200" i="11"/>
  <c r="G200" i="11" s="1"/>
  <c r="F196" i="11"/>
  <c r="G196" i="11" s="1"/>
  <c r="F192" i="11"/>
  <c r="G192" i="11" s="1"/>
  <c r="F188" i="11"/>
  <c r="G188" i="11" s="1"/>
  <c r="F184" i="11"/>
  <c r="G184" i="11" s="1"/>
  <c r="F180" i="11"/>
  <c r="G180" i="11" s="1"/>
  <c r="F176" i="11"/>
  <c r="G176" i="11" s="1"/>
  <c r="F172" i="11"/>
  <c r="G172" i="11" s="1"/>
  <c r="F168" i="11"/>
  <c r="G168" i="11" s="1"/>
  <c r="F164" i="11"/>
  <c r="G164" i="11" s="1"/>
  <c r="H164" i="11" s="1"/>
  <c r="F160" i="11"/>
  <c r="G160" i="11" s="1"/>
  <c r="F156" i="11"/>
  <c r="G156" i="11" s="1"/>
  <c r="F152" i="11"/>
  <c r="G152" i="11" s="1"/>
  <c r="F148" i="11"/>
  <c r="G148" i="11" s="1"/>
  <c r="F144" i="11"/>
  <c r="G144" i="11" s="1"/>
  <c r="F140" i="11"/>
  <c r="F136" i="11"/>
  <c r="G136" i="11" s="1"/>
  <c r="F132" i="11"/>
  <c r="G132" i="11" s="1"/>
  <c r="F128" i="11"/>
  <c r="G128" i="11" s="1"/>
  <c r="F124" i="11"/>
  <c r="G124" i="11" s="1"/>
  <c r="F120" i="11"/>
  <c r="G120" i="11" s="1"/>
  <c r="F116" i="11"/>
  <c r="G116" i="11" s="1"/>
  <c r="F112" i="11"/>
  <c r="G112" i="11" s="1"/>
  <c r="F108" i="11"/>
  <c r="G108" i="11" s="1"/>
  <c r="F104" i="11"/>
  <c r="G104" i="11" s="1"/>
  <c r="F100" i="11"/>
  <c r="G100" i="11" s="1"/>
  <c r="F96" i="11"/>
  <c r="G96" i="11" s="1"/>
  <c r="F92" i="11"/>
  <c r="G92" i="11" s="1"/>
  <c r="F88" i="11"/>
  <c r="G88" i="11" s="1"/>
  <c r="H88" i="11" s="1"/>
  <c r="F84" i="11"/>
  <c r="G84" i="11" s="1"/>
  <c r="F80" i="11"/>
  <c r="G80" i="11" s="1"/>
  <c r="F76" i="11"/>
  <c r="G76" i="11" s="1"/>
  <c r="H76" i="11" s="1"/>
  <c r="F72" i="11"/>
  <c r="G72" i="11" s="1"/>
  <c r="F68" i="11"/>
  <c r="G68" i="11" s="1"/>
  <c r="H68" i="11" s="1"/>
  <c r="I67" i="11" s="1"/>
  <c r="H25" i="1" s="1"/>
  <c r="F64" i="11"/>
  <c r="G64" i="11" s="1"/>
  <c r="H64" i="11" s="1"/>
  <c r="I63" i="11" s="1"/>
  <c r="H23" i="1" s="1"/>
  <c r="F60" i="11"/>
  <c r="G60" i="11" s="1"/>
  <c r="F56" i="11"/>
  <c r="G56" i="11" s="1"/>
  <c r="F52" i="11"/>
  <c r="G52" i="11" s="1"/>
  <c r="F48" i="11"/>
  <c r="G48" i="11" s="1"/>
  <c r="F44" i="11"/>
  <c r="F40" i="11"/>
  <c r="F36" i="11"/>
  <c r="G36" i="11" s="1"/>
  <c r="F32" i="11"/>
  <c r="G32" i="11" s="1"/>
  <c r="H32" i="11" s="1"/>
  <c r="I31" i="11" s="1"/>
  <c r="H10" i="1" s="1"/>
  <c r="F28" i="11"/>
  <c r="G28" i="11" s="1"/>
  <c r="F24" i="11"/>
  <c r="G24" i="11" s="1"/>
  <c r="H24" i="11" s="1"/>
  <c r="F20" i="11"/>
  <c r="G20" i="11" s="1"/>
  <c r="H20" i="11" s="1"/>
  <c r="F16" i="11"/>
  <c r="G16" i="11" s="1"/>
  <c r="F12" i="11"/>
  <c r="G12" i="11" s="1"/>
  <c r="H12" i="11" s="1"/>
  <c r="I11" i="11" s="1"/>
  <c r="H4" i="1" s="1"/>
  <c r="F8" i="11"/>
  <c r="G8" i="11" s="1"/>
  <c r="H8" i="11" s="1"/>
  <c r="F4" i="11"/>
  <c r="G4" i="11" s="1"/>
  <c r="H4" i="11" s="1"/>
  <c r="F2095" i="11"/>
  <c r="G2095" i="11" s="1"/>
  <c r="F2091" i="11"/>
  <c r="G2091" i="11" s="1"/>
  <c r="F2087" i="11"/>
  <c r="G2087" i="11" s="1"/>
  <c r="H2087" i="11" s="1"/>
  <c r="H2088" i="11" s="1"/>
  <c r="F2083" i="11"/>
  <c r="G2083" i="11" s="1"/>
  <c r="F2079" i="11"/>
  <c r="G2079" i="11" s="1"/>
  <c r="F2075" i="11"/>
  <c r="G2075" i="11" s="1"/>
  <c r="F2071" i="11"/>
  <c r="G2071" i="11" s="1"/>
  <c r="H2071" i="11" s="1"/>
  <c r="H2072" i="11" s="1"/>
  <c r="F2067" i="11"/>
  <c r="G2067" i="11" s="1"/>
  <c r="H2067" i="11" s="1"/>
  <c r="H2068" i="11" s="1"/>
  <c r="F2063" i="11"/>
  <c r="G2063" i="11" s="1"/>
  <c r="F2059" i="11"/>
  <c r="G2059" i="11" s="1"/>
  <c r="F2051" i="11"/>
  <c r="G2051" i="11" s="1"/>
  <c r="H2051" i="11" s="1"/>
  <c r="H2052" i="11" s="1"/>
  <c r="F2047" i="11"/>
  <c r="G2047" i="11" s="1"/>
  <c r="F2043" i="11"/>
  <c r="G2043" i="11" s="1"/>
  <c r="H2043" i="11" s="1"/>
  <c r="H2044" i="11" s="1"/>
  <c r="F2039" i="11"/>
  <c r="G2039" i="11" s="1"/>
  <c r="F2027" i="11"/>
  <c r="G2027" i="11" s="1"/>
  <c r="H2027" i="11" s="1"/>
  <c r="I2026" i="11" s="1"/>
  <c r="H587" i="1" s="1"/>
  <c r="F2023" i="11"/>
  <c r="G2023" i="11" s="1"/>
  <c r="F2019" i="11"/>
  <c r="G2019" i="11" s="1"/>
  <c r="F2015" i="11"/>
  <c r="G2015" i="11" s="1"/>
  <c r="F2003" i="11"/>
  <c r="G2003" i="11" s="1"/>
  <c r="F1975" i="11"/>
  <c r="G1975" i="11" s="1"/>
  <c r="F1971" i="11"/>
  <c r="G1971" i="11" s="1"/>
  <c r="F1967" i="11"/>
  <c r="G1967" i="11" s="1"/>
  <c r="H1967" i="11" s="1"/>
  <c r="H1968" i="11" s="1"/>
  <c r="I1966" i="11" s="1"/>
  <c r="H565" i="1" s="1"/>
  <c r="F1963" i="11"/>
  <c r="G1963" i="11" s="1"/>
  <c r="H1963" i="11" s="1"/>
  <c r="H1964" i="11" s="1"/>
  <c r="F1959" i="11"/>
  <c r="G1959" i="11" s="1"/>
  <c r="H1959" i="11" s="1"/>
  <c r="H1960" i="11" s="1"/>
  <c r="F1955" i="11"/>
  <c r="G1955" i="11" s="1"/>
  <c r="H1955" i="11" s="1"/>
  <c r="H1956" i="11" s="1"/>
  <c r="H1957" i="11" s="1"/>
  <c r="I1954" i="11" s="1"/>
  <c r="H562" i="1" s="1"/>
  <c r="F1947" i="11"/>
  <c r="G1947" i="11" s="1"/>
  <c r="F1943" i="11"/>
  <c r="G1943" i="11" s="1"/>
  <c r="H1943" i="11" s="1"/>
  <c r="H1944" i="11" s="1"/>
  <c r="I1942" i="11" s="1"/>
  <c r="H558" i="1" s="1"/>
  <c r="F1935" i="11"/>
  <c r="G1935" i="11" s="1"/>
  <c r="F1903" i="11"/>
  <c r="G1903" i="11" s="1"/>
  <c r="H1903" i="11" s="1"/>
  <c r="H1904" i="11" s="1"/>
  <c r="I1902" i="11" s="1"/>
  <c r="H540" i="1" s="1"/>
  <c r="F1891" i="11"/>
  <c r="G1891" i="11" s="1"/>
  <c r="F1887" i="11"/>
  <c r="G1887" i="11" s="1"/>
  <c r="F1883" i="11"/>
  <c r="G1883" i="11" s="1"/>
  <c r="H1883" i="11" s="1"/>
  <c r="I1882" i="11" s="1"/>
  <c r="H533" i="1" s="1"/>
  <c r="F1875" i="11"/>
  <c r="G1875" i="11" s="1"/>
  <c r="H1875" i="11" s="1"/>
  <c r="H1876" i="11" s="1"/>
  <c r="F1871" i="11"/>
  <c r="G1871" i="11" s="1"/>
  <c r="H1871" i="11" s="1"/>
  <c r="F1867" i="11"/>
  <c r="G1867" i="11" s="1"/>
  <c r="F1863" i="11"/>
  <c r="G1863" i="11" s="1"/>
  <c r="F1843" i="11"/>
  <c r="G1843" i="11" s="1"/>
  <c r="H1843" i="11" s="1"/>
  <c r="H1844" i="11" s="1"/>
  <c r="F1835" i="11"/>
  <c r="G1835" i="11" s="1"/>
  <c r="F1831" i="11"/>
  <c r="G1831" i="11" s="1"/>
  <c r="F1827" i="11"/>
  <c r="G1827" i="11" s="1"/>
  <c r="F1819" i="11"/>
  <c r="G1819" i="11" s="1"/>
  <c r="F1815" i="11"/>
  <c r="G1815" i="11" s="1"/>
  <c r="F1811" i="11"/>
  <c r="G1811" i="11" s="1"/>
  <c r="H1811" i="11" s="1"/>
  <c r="H1812" i="11" s="1"/>
  <c r="I1810" i="11" s="1"/>
  <c r="H516" i="1" s="1"/>
  <c r="F1807" i="11"/>
  <c r="G1807" i="11" s="1"/>
  <c r="F1803" i="11"/>
  <c r="G1803" i="11" s="1"/>
  <c r="F1799" i="11"/>
  <c r="G1799" i="11" s="1"/>
  <c r="F1783" i="11"/>
  <c r="G1783" i="11" s="1"/>
  <c r="F1779" i="11"/>
  <c r="G1779" i="11" s="1"/>
  <c r="H1779" i="11" s="1"/>
  <c r="H1780" i="11" s="1"/>
  <c r="I1778" i="11" s="1"/>
  <c r="H508" i="1" s="1"/>
  <c r="F1751" i="11"/>
  <c r="G1751" i="11" s="1"/>
  <c r="F1747" i="11"/>
  <c r="G1747" i="11" s="1"/>
  <c r="F1743" i="11"/>
  <c r="G1743" i="11" s="1"/>
  <c r="F1739" i="11"/>
  <c r="G1739" i="11" s="1"/>
  <c r="F1735" i="11"/>
  <c r="G1735" i="11" s="1"/>
  <c r="H1735" i="11" s="1"/>
  <c r="H1736" i="11" s="1"/>
  <c r="I1734" i="11" s="1"/>
  <c r="H496" i="1" s="1"/>
  <c r="F1723" i="11"/>
  <c r="G1723" i="11" s="1"/>
  <c r="H1723" i="11" s="1"/>
  <c r="F1719" i="11"/>
  <c r="G1719" i="11" s="1"/>
  <c r="H1719" i="11" s="1"/>
  <c r="H1720" i="11" s="1"/>
  <c r="H1721" i="11" s="1"/>
  <c r="I1718" i="11" s="1"/>
  <c r="H492" i="1" s="1"/>
  <c r="F1715" i="11"/>
  <c r="G1715" i="11" s="1"/>
  <c r="H1715" i="11" s="1"/>
  <c r="H1716" i="11" s="1"/>
  <c r="H1717" i="11" s="1"/>
  <c r="I1714" i="11" s="1"/>
  <c r="H491" i="1" s="1"/>
  <c r="F1711" i="11"/>
  <c r="G1711" i="11" s="1"/>
  <c r="H1711" i="11" s="1"/>
  <c r="H1712" i="11" s="1"/>
  <c r="F1707" i="11"/>
  <c r="G1707" i="11" s="1"/>
  <c r="F1703" i="11"/>
  <c r="G1703" i="11" s="1"/>
  <c r="F1699" i="11"/>
  <c r="G1699" i="11" s="1"/>
  <c r="H1699" i="11" s="1"/>
  <c r="H1700" i="11" s="1"/>
  <c r="I1698" i="11" s="1"/>
  <c r="H487" i="1" s="1"/>
  <c r="F1691" i="11"/>
  <c r="G1691" i="11" s="1"/>
  <c r="F1687" i="11"/>
  <c r="G1687" i="11" s="1"/>
  <c r="F1683" i="11"/>
  <c r="G1683" i="11" s="1"/>
  <c r="F1679" i="11"/>
  <c r="G1679" i="11" s="1"/>
  <c r="F1675" i="11"/>
  <c r="G1675" i="11" s="1"/>
  <c r="F1671" i="11"/>
  <c r="G1671" i="11" s="1"/>
  <c r="F1667" i="11"/>
  <c r="G1667" i="11" s="1"/>
  <c r="F1663" i="11"/>
  <c r="F1651" i="11"/>
  <c r="G1651" i="11" s="1"/>
  <c r="F1647" i="11"/>
  <c r="F1643" i="11"/>
  <c r="G1643" i="11" s="1"/>
  <c r="F1635" i="11"/>
  <c r="G1635" i="11" s="1"/>
  <c r="F1631" i="11"/>
  <c r="G1631" i="11" s="1"/>
  <c r="F1627" i="11"/>
  <c r="G1627" i="11" s="1"/>
  <c r="F1623" i="11"/>
  <c r="G1623" i="11" s="1"/>
  <c r="F1619" i="11"/>
  <c r="G1619" i="11" s="1"/>
  <c r="F1615" i="11"/>
  <c r="G1615" i="11" s="1"/>
  <c r="F1611" i="11"/>
  <c r="G1611" i="11" s="1"/>
  <c r="F1607" i="11"/>
  <c r="G1607" i="11" s="1"/>
  <c r="F1603" i="11"/>
  <c r="G1603" i="11" s="1"/>
  <c r="F1595" i="11"/>
  <c r="G1595" i="11" s="1"/>
  <c r="F1591" i="11"/>
  <c r="G1591" i="11" s="1"/>
  <c r="H1591" i="11" s="1"/>
  <c r="H1592" i="11" s="1"/>
  <c r="F1587" i="11"/>
  <c r="G1587" i="11" s="1"/>
  <c r="H1587" i="11" s="1"/>
  <c r="F1583" i="11"/>
  <c r="G1583" i="11" s="1"/>
  <c r="F1579" i="11"/>
  <c r="G1579" i="11" s="1"/>
  <c r="H1579" i="11" s="1"/>
  <c r="H1580" i="11" s="1"/>
  <c r="F1575" i="11"/>
  <c r="G1575" i="11" s="1"/>
  <c r="F1571" i="11"/>
  <c r="G1571" i="11" s="1"/>
  <c r="H1571" i="11" s="1"/>
  <c r="F1567" i="11"/>
  <c r="G1567" i="11" s="1"/>
  <c r="F1563" i="11"/>
  <c r="G1563" i="11" s="1"/>
  <c r="F1559" i="11"/>
  <c r="G1559" i="11" s="1"/>
  <c r="F1555" i="11"/>
  <c r="G1555" i="11" s="1"/>
  <c r="F1551" i="11"/>
  <c r="G1551" i="11" s="1"/>
  <c r="F1547" i="11"/>
  <c r="G1547" i="11" s="1"/>
  <c r="F1543" i="11"/>
  <c r="G1543" i="11" s="1"/>
  <c r="F1539" i="11"/>
  <c r="G1539" i="11" s="1"/>
  <c r="F1535" i="11"/>
  <c r="G1535" i="11" s="1"/>
  <c r="F1531" i="11"/>
  <c r="G1531" i="11" s="1"/>
  <c r="F1527" i="11"/>
  <c r="G1527" i="11" s="1"/>
  <c r="F1523" i="11"/>
  <c r="G1523" i="11" s="1"/>
  <c r="F1515" i="11"/>
  <c r="G1515" i="11" s="1"/>
  <c r="F1511" i="11"/>
  <c r="G1511" i="11" s="1"/>
  <c r="F1507" i="11"/>
  <c r="G1507" i="11" s="1"/>
  <c r="F1503" i="11"/>
  <c r="G1503" i="11" s="1"/>
  <c r="H1503" i="11" s="1"/>
  <c r="H1504" i="11" s="1"/>
  <c r="F1499" i="11"/>
  <c r="G1499" i="11" s="1"/>
  <c r="F1495" i="11"/>
  <c r="G1495" i="11" s="1"/>
  <c r="F1491" i="11"/>
  <c r="G1491" i="11" s="1"/>
  <c r="F1487" i="11"/>
  <c r="G1487" i="11" s="1"/>
  <c r="F1483" i="11"/>
  <c r="G1483" i="11" s="1"/>
  <c r="H1483" i="11" s="1"/>
  <c r="H1484" i="11" s="1"/>
  <c r="F1479" i="11"/>
  <c r="G1479" i="11" s="1"/>
  <c r="H1479" i="11" s="1"/>
  <c r="F1471" i="11"/>
  <c r="G1471" i="11" s="1"/>
  <c r="F1467" i="11"/>
  <c r="G1467" i="11" s="1"/>
  <c r="F1463" i="11"/>
  <c r="G1463" i="11" s="1"/>
  <c r="F1459" i="11"/>
  <c r="G1459" i="11" s="1"/>
  <c r="F1451" i="11"/>
  <c r="G1451" i="11" s="1"/>
  <c r="F1447" i="11"/>
  <c r="G1447" i="11" s="1"/>
  <c r="H1447" i="11" s="1"/>
  <c r="F1443" i="11"/>
  <c r="G1443" i="11" s="1"/>
  <c r="F1439" i="11"/>
  <c r="G1439" i="11" s="1"/>
  <c r="H1439" i="11" s="1"/>
  <c r="H1440" i="11" s="1"/>
  <c r="F1435" i="11"/>
  <c r="G1435" i="11" s="1"/>
  <c r="F1431" i="11"/>
  <c r="G1431" i="11" s="1"/>
  <c r="H1431" i="11" s="1"/>
  <c r="F1427" i="11"/>
  <c r="G1427" i="11" s="1"/>
  <c r="H1427" i="11" s="1"/>
  <c r="H1428" i="11" s="1"/>
  <c r="F1423" i="11"/>
  <c r="G1423" i="11" s="1"/>
  <c r="H1423" i="11" s="1"/>
  <c r="H1424" i="11" s="1"/>
  <c r="F1419" i="11"/>
  <c r="G1419" i="11" s="1"/>
  <c r="F1415" i="11"/>
  <c r="G1415" i="11" s="1"/>
  <c r="F1411" i="11"/>
  <c r="G1411" i="11" s="1"/>
  <c r="F1407" i="11"/>
  <c r="G1407" i="11" s="1"/>
  <c r="H1407" i="11" s="1"/>
  <c r="H1408" i="11" s="1"/>
  <c r="F1403" i="11"/>
  <c r="G1403" i="11" s="1"/>
  <c r="F1399" i="11"/>
  <c r="G1399" i="11" s="1"/>
  <c r="F1395" i="11"/>
  <c r="G1395" i="11" s="1"/>
  <c r="H1395" i="11" s="1"/>
  <c r="H1396" i="11" s="1"/>
  <c r="F1391" i="11"/>
  <c r="G1391" i="11" s="1"/>
  <c r="F1387" i="11"/>
  <c r="G1387" i="11" s="1"/>
  <c r="F1383" i="11"/>
  <c r="G1383" i="11" s="1"/>
  <c r="F1379" i="11"/>
  <c r="G1379" i="11" s="1"/>
  <c r="F1375" i="11"/>
  <c r="G1375" i="11" s="1"/>
  <c r="F1371" i="11"/>
  <c r="G1371" i="11" s="1"/>
  <c r="H1371" i="11" s="1"/>
  <c r="H1372" i="11" s="1"/>
  <c r="F1367" i="11"/>
  <c r="G1367" i="11" s="1"/>
  <c r="H1367" i="11" s="1"/>
  <c r="H1368" i="11" s="1"/>
  <c r="F1363" i="11"/>
  <c r="G1363" i="11" s="1"/>
  <c r="F1359" i="11"/>
  <c r="G1359" i="11" s="1"/>
  <c r="F1355" i="11"/>
  <c r="G1355" i="11" s="1"/>
  <c r="H1355" i="11" s="1"/>
  <c r="H1356" i="11" s="1"/>
  <c r="I1354" i="11" s="1"/>
  <c r="H419" i="1" s="1"/>
  <c r="F1351" i="11"/>
  <c r="G1351" i="11" s="1"/>
  <c r="F1347" i="11"/>
  <c r="G1347" i="11" s="1"/>
  <c r="H1347" i="11" s="1"/>
  <c r="H1348" i="11" s="1"/>
  <c r="I1346" i="11" s="1"/>
  <c r="H416" i="1" s="1"/>
  <c r="F1343" i="11"/>
  <c r="G1343" i="11" s="1"/>
  <c r="H1343" i="11" s="1"/>
  <c r="I1342" i="11" s="1"/>
  <c r="H414" i="1" s="1"/>
  <c r="F1335" i="11"/>
  <c r="G1335" i="11" s="1"/>
  <c r="F1331" i="11"/>
  <c r="G1331" i="11" s="1"/>
  <c r="F1327" i="11"/>
  <c r="G1327" i="11" s="1"/>
  <c r="F1323" i="11"/>
  <c r="F1319" i="11"/>
  <c r="F1315" i="11"/>
  <c r="G1315" i="11" s="1"/>
  <c r="F1311" i="11"/>
  <c r="G1311" i="11" s="1"/>
  <c r="H1311" i="11" s="1"/>
  <c r="I1310" i="11" s="1"/>
  <c r="H404" i="1" s="1"/>
  <c r="F1307" i="11"/>
  <c r="G1307" i="11" s="1"/>
  <c r="H1307" i="11" s="1"/>
  <c r="I1306" i="11" s="1"/>
  <c r="H402" i="1" s="1"/>
  <c r="F1303" i="11"/>
  <c r="G1303" i="11" s="1"/>
  <c r="H1303" i="11" s="1"/>
  <c r="I1302" i="11" s="1"/>
  <c r="H400" i="1" s="1"/>
  <c r="F1299" i="11"/>
  <c r="G1299" i="11" s="1"/>
  <c r="H1299" i="11" s="1"/>
  <c r="I1298" i="11" s="1"/>
  <c r="H398" i="1" s="1"/>
  <c r="F1295" i="11"/>
  <c r="G1295" i="11" s="1"/>
  <c r="H1295" i="11" s="1"/>
  <c r="I1294" i="11" s="1"/>
  <c r="H396" i="1" s="1"/>
  <c r="F1291" i="11"/>
  <c r="G1291" i="11" s="1"/>
  <c r="H1291" i="11" s="1"/>
  <c r="I1290" i="11" s="1"/>
  <c r="H394" i="1" s="1"/>
  <c r="F1287" i="11"/>
  <c r="G1287" i="11" s="1"/>
  <c r="F1283" i="11"/>
  <c r="G1283" i="11" s="1"/>
  <c r="H1283" i="11" s="1"/>
  <c r="H1284" i="11" s="1"/>
  <c r="I1282" i="11" s="1"/>
  <c r="H391" i="1" s="1"/>
  <c r="F1279" i="11"/>
  <c r="G1279" i="11" s="1"/>
  <c r="F1275" i="11"/>
  <c r="G1275" i="11" s="1"/>
  <c r="F1271" i="11"/>
  <c r="G1271" i="11" s="1"/>
  <c r="F1267" i="11"/>
  <c r="G1267" i="11" s="1"/>
  <c r="H1267" i="11" s="1"/>
  <c r="F1259" i="11"/>
  <c r="G1259" i="11" s="1"/>
  <c r="F1255" i="11"/>
  <c r="G1255" i="11" s="1"/>
  <c r="H1255" i="11" s="1"/>
  <c r="H1256" i="11" s="1"/>
  <c r="I1254" i="11" s="1"/>
  <c r="H381" i="1" s="1"/>
  <c r="F1247" i="11"/>
  <c r="G1247" i="11" s="1"/>
  <c r="H1247" i="11" s="1"/>
  <c r="H1248" i="11" s="1"/>
  <c r="I1246" i="11" s="1"/>
  <c r="H378" i="1" s="1"/>
  <c r="F1243" i="11"/>
  <c r="G1243" i="11" s="1"/>
  <c r="F1239" i="11"/>
  <c r="G1239" i="11" s="1"/>
  <c r="F1235" i="11"/>
  <c r="G1235" i="11" s="1"/>
  <c r="F1231" i="11"/>
  <c r="G1231" i="11" s="1"/>
  <c r="F1227" i="11"/>
  <c r="G1227" i="11" s="1"/>
  <c r="F1219" i="11"/>
  <c r="G1219" i="11" s="1"/>
  <c r="F1211" i="11"/>
  <c r="G1211" i="11" s="1"/>
  <c r="F1203" i="11"/>
  <c r="G1203" i="11" s="1"/>
  <c r="F1199" i="11"/>
  <c r="G1199" i="11" s="1"/>
  <c r="F1195" i="11"/>
  <c r="G1195" i="11" s="1"/>
  <c r="F1191" i="11"/>
  <c r="G1191" i="11" s="1"/>
  <c r="F1187" i="11"/>
  <c r="G1187" i="11" s="1"/>
  <c r="F1183" i="11"/>
  <c r="G1183" i="11" s="1"/>
  <c r="F1179" i="11"/>
  <c r="G1179" i="11" s="1"/>
  <c r="F1175" i="11"/>
  <c r="G1175" i="11" s="1"/>
  <c r="F1171" i="11"/>
  <c r="G1171" i="11" s="1"/>
  <c r="F1167" i="11"/>
  <c r="G1167" i="11" s="1"/>
  <c r="F1163" i="11"/>
  <c r="G1163" i="11" s="1"/>
  <c r="F1159" i="11"/>
  <c r="G1159" i="11" s="1"/>
  <c r="H1159" i="11" s="1"/>
  <c r="H1160" i="11" s="1"/>
  <c r="I1158" i="11" s="1"/>
  <c r="H351" i="1" s="1"/>
  <c r="F1155" i="11"/>
  <c r="G1155" i="11" s="1"/>
  <c r="F1151" i="11"/>
  <c r="G1151" i="11" s="1"/>
  <c r="F1147" i="11"/>
  <c r="G1147" i="11" s="1"/>
  <c r="F1143" i="11"/>
  <c r="G1143" i="11" s="1"/>
  <c r="F1139" i="11"/>
  <c r="G1139" i="11" s="1"/>
  <c r="F1135" i="11"/>
  <c r="G1135" i="11" s="1"/>
  <c r="F1131" i="11"/>
  <c r="G1131" i="11" s="1"/>
  <c r="H1131" i="11" s="1"/>
  <c r="H1132" i="11" s="1"/>
  <c r="F1127" i="11"/>
  <c r="G1127" i="11" s="1"/>
  <c r="F1123" i="11"/>
  <c r="G1123" i="11" s="1"/>
  <c r="F1119" i="11"/>
  <c r="G1119" i="11" s="1"/>
  <c r="F1115" i="11"/>
  <c r="F1111" i="11"/>
  <c r="G1111" i="11" s="1"/>
  <c r="H1111" i="11" s="1"/>
  <c r="I1110" i="11" s="1"/>
  <c r="H337" i="1" s="1"/>
  <c r="F1107" i="11"/>
  <c r="G1107" i="11" s="1"/>
  <c r="F1103" i="11"/>
  <c r="G1103" i="11" s="1"/>
  <c r="F1099" i="11"/>
  <c r="G1099" i="11" s="1"/>
  <c r="F1095" i="11"/>
  <c r="G1095" i="11" s="1"/>
  <c r="F1091" i="11"/>
  <c r="G1091" i="11" s="1"/>
  <c r="F1087" i="11"/>
  <c r="G1087" i="11" s="1"/>
  <c r="H1087" i="11" s="1"/>
  <c r="H1088" i="11" s="1"/>
  <c r="F1083" i="11"/>
  <c r="G1083" i="11" s="1"/>
  <c r="F1079" i="11"/>
  <c r="G1079" i="11" s="1"/>
  <c r="F1075" i="11"/>
  <c r="G1075" i="11" s="1"/>
  <c r="F1071" i="11"/>
  <c r="G1071" i="11" s="1"/>
  <c r="H1071" i="11" s="1"/>
  <c r="H1072" i="11" s="1"/>
  <c r="F1067" i="11"/>
  <c r="G1067" i="11" s="1"/>
  <c r="F1063" i="11"/>
  <c r="F1059" i="11"/>
  <c r="G1059" i="11" s="1"/>
  <c r="F1055" i="11"/>
  <c r="G1055" i="11" s="1"/>
  <c r="F1051" i="11"/>
  <c r="G1051" i="11" s="1"/>
  <c r="H1051" i="11" s="1"/>
  <c r="H1052" i="11" s="1"/>
  <c r="I1050" i="11" s="1"/>
  <c r="H322" i="1" s="1"/>
  <c r="F1047" i="11"/>
  <c r="G1047" i="11" s="1"/>
  <c r="F1043" i="11"/>
  <c r="G1043" i="11" s="1"/>
  <c r="F1039" i="11"/>
  <c r="F1035" i="11"/>
  <c r="F1031" i="11"/>
  <c r="F1027" i="11"/>
  <c r="F1023" i="11"/>
  <c r="F1019" i="11"/>
  <c r="F1015" i="11"/>
  <c r="G1015" i="11" s="1"/>
  <c r="F1011" i="11"/>
  <c r="G1011" i="11" s="1"/>
  <c r="F1007" i="11"/>
  <c r="G1007" i="11" s="1"/>
  <c r="H1007" i="11" s="1"/>
  <c r="H1008" i="11" s="1"/>
  <c r="F1003" i="11"/>
  <c r="G1003" i="11" s="1"/>
  <c r="F999" i="11"/>
  <c r="G999" i="11" s="1"/>
  <c r="F995" i="11"/>
  <c r="G995" i="11" s="1"/>
  <c r="H995" i="11" s="1"/>
  <c r="F991" i="11"/>
  <c r="G991" i="11" s="1"/>
  <c r="F987" i="11"/>
  <c r="G987" i="11" s="1"/>
  <c r="F983" i="11"/>
  <c r="G983" i="11" s="1"/>
  <c r="F979" i="11"/>
  <c r="G979" i="11" s="1"/>
  <c r="H979" i="11" s="1"/>
  <c r="F975" i="11"/>
  <c r="G975" i="11" s="1"/>
  <c r="F971" i="11"/>
  <c r="G971" i="11" s="1"/>
  <c r="F967" i="11"/>
  <c r="G967" i="11" s="1"/>
  <c r="H967" i="11" s="1"/>
  <c r="H968" i="11" s="1"/>
  <c r="I966" i="11" s="1"/>
  <c r="H298" i="1" s="1"/>
  <c r="F963" i="11"/>
  <c r="G963" i="11" s="1"/>
  <c r="F959" i="11"/>
  <c r="G959" i="11" s="1"/>
  <c r="F955" i="11"/>
  <c r="G955" i="11" s="1"/>
  <c r="F951" i="11"/>
  <c r="G951" i="11" s="1"/>
  <c r="F947" i="11"/>
  <c r="G947" i="11" s="1"/>
  <c r="F943" i="11"/>
  <c r="G943" i="11" s="1"/>
  <c r="H943" i="11" s="1"/>
  <c r="I942" i="11" s="1"/>
  <c r="H291" i="1" s="1"/>
  <c r="F939" i="11"/>
  <c r="G939" i="11" s="1"/>
  <c r="H939" i="11" s="1"/>
  <c r="H940" i="11" s="1"/>
  <c r="F935" i="11"/>
  <c r="G935" i="11" s="1"/>
  <c r="F931" i="11"/>
  <c r="G931" i="11" s="1"/>
  <c r="F927" i="11"/>
  <c r="G927" i="11" s="1"/>
  <c r="F923" i="11"/>
  <c r="G923" i="11" s="1"/>
  <c r="F919" i="11"/>
  <c r="G919" i="11" s="1"/>
  <c r="F915" i="11"/>
  <c r="G915" i="11" s="1"/>
  <c r="H915" i="11" s="1"/>
  <c r="F911" i="11"/>
  <c r="G911" i="11" s="1"/>
  <c r="F907" i="11"/>
  <c r="G907" i="11" s="1"/>
  <c r="F903" i="11"/>
  <c r="G903" i="11" s="1"/>
  <c r="F899" i="11"/>
  <c r="G899" i="11" s="1"/>
  <c r="F895" i="11"/>
  <c r="G895" i="11" s="1"/>
  <c r="F891" i="11"/>
  <c r="G891" i="11" s="1"/>
  <c r="F887" i="11"/>
  <c r="G887" i="11" s="1"/>
  <c r="F883" i="11"/>
  <c r="G883" i="11" s="1"/>
  <c r="F879" i="11"/>
  <c r="G879" i="11" s="1"/>
  <c r="F875" i="11"/>
  <c r="G875" i="11" s="1"/>
  <c r="F871" i="11"/>
  <c r="G871" i="11" s="1"/>
  <c r="F867" i="11"/>
  <c r="G867" i="11" s="1"/>
  <c r="F863" i="11"/>
  <c r="G863" i="11" s="1"/>
  <c r="F859" i="11"/>
  <c r="G859" i="11" s="1"/>
  <c r="F855" i="11"/>
  <c r="G855" i="11" s="1"/>
  <c r="F851" i="11"/>
  <c r="G851" i="11" s="1"/>
  <c r="F847" i="11"/>
  <c r="G847" i="11" s="1"/>
  <c r="F843" i="11"/>
  <c r="G843" i="11" s="1"/>
  <c r="F839" i="11"/>
  <c r="G839" i="11" s="1"/>
  <c r="H839" i="11" s="1"/>
  <c r="H840" i="11" s="1"/>
  <c r="I838" i="11" s="1"/>
  <c r="H263" i="1" s="1"/>
  <c r="F835" i="11"/>
  <c r="G835" i="11" s="1"/>
  <c r="F831" i="11"/>
  <c r="G831" i="11" s="1"/>
  <c r="H831" i="11" s="1"/>
  <c r="H832" i="11" s="1"/>
  <c r="F827" i="11"/>
  <c r="G827" i="11" s="1"/>
  <c r="H827" i="11" s="1"/>
  <c r="H828" i="11" s="1"/>
  <c r="F823" i="11"/>
  <c r="G823" i="11" s="1"/>
  <c r="F819" i="11"/>
  <c r="G819" i="11" s="1"/>
  <c r="F815" i="11"/>
  <c r="G815" i="11" s="1"/>
  <c r="F811" i="11"/>
  <c r="G811" i="11" s="1"/>
  <c r="F807" i="11"/>
  <c r="G807" i="11" s="1"/>
  <c r="H807" i="11" s="1"/>
  <c r="H808" i="11" s="1"/>
  <c r="I806" i="11" s="1"/>
  <c r="H253" i="1" s="1"/>
  <c r="F803" i="11"/>
  <c r="G803" i="11" s="1"/>
  <c r="H803" i="11" s="1"/>
  <c r="I802" i="11" s="1"/>
  <c r="H251" i="1" s="1"/>
  <c r="F799" i="11"/>
  <c r="G799" i="11" s="1"/>
  <c r="F795" i="11"/>
  <c r="G795" i="11" s="1"/>
  <c r="H795" i="11" s="1"/>
  <c r="H796" i="11" s="1"/>
  <c r="I794" i="11" s="1"/>
  <c r="H248" i="1" s="1"/>
  <c r="F791" i="11"/>
  <c r="G791" i="11" s="1"/>
  <c r="F787" i="11"/>
  <c r="G787" i="11" s="1"/>
  <c r="F783" i="11"/>
  <c r="G783" i="11" s="1"/>
  <c r="F779" i="11"/>
  <c r="G779" i="11" s="1"/>
  <c r="H779" i="11" s="1"/>
  <c r="H780" i="11" s="1"/>
  <c r="F775" i="11"/>
  <c r="G775" i="11" s="1"/>
  <c r="F771" i="11"/>
  <c r="G771" i="11" s="1"/>
  <c r="H771" i="11" s="1"/>
  <c r="F767" i="11"/>
  <c r="G767" i="11" s="1"/>
  <c r="F763" i="11"/>
  <c r="G763" i="11" s="1"/>
  <c r="F759" i="11"/>
  <c r="G759" i="11" s="1"/>
  <c r="F755" i="11"/>
  <c r="G755" i="11" s="1"/>
  <c r="F751" i="11"/>
  <c r="G751" i="11" s="1"/>
  <c r="F747" i="11"/>
  <c r="G747" i="11" s="1"/>
  <c r="F743" i="11"/>
  <c r="G743" i="11" s="1"/>
  <c r="F739" i="11"/>
  <c r="G739" i="11" s="1"/>
  <c r="H739" i="11" s="1"/>
  <c r="F735" i="11"/>
  <c r="G735" i="11" s="1"/>
  <c r="F731" i="11"/>
  <c r="G731" i="11" s="1"/>
  <c r="H731" i="11" s="1"/>
  <c r="I730" i="11" s="1"/>
  <c r="H231" i="1" s="1"/>
  <c r="F727" i="11"/>
  <c r="G727" i="11" s="1"/>
  <c r="H727" i="11" s="1"/>
  <c r="I726" i="11" s="1"/>
  <c r="H229" i="1" s="1"/>
  <c r="F723" i="11"/>
  <c r="G723" i="11" s="1"/>
  <c r="H723" i="11" s="1"/>
  <c r="I722" i="11" s="1"/>
  <c r="H227" i="1" s="1"/>
  <c r="F719" i="11"/>
  <c r="G719" i="11" s="1"/>
  <c r="F715" i="11"/>
  <c r="G715" i="11" s="1"/>
  <c r="F711" i="11"/>
  <c r="G711" i="11" s="1"/>
  <c r="F707" i="11"/>
  <c r="G707" i="11" s="1"/>
  <c r="H707" i="11" s="1"/>
  <c r="I706" i="11" s="1"/>
  <c r="H222" i="1" s="1"/>
  <c r="F703" i="11"/>
  <c r="G703" i="11" s="1"/>
  <c r="F699" i="11"/>
  <c r="G699" i="11" s="1"/>
  <c r="F695" i="11"/>
  <c r="G695" i="11" s="1"/>
  <c r="F691" i="11"/>
  <c r="G691" i="11" s="1"/>
  <c r="F687" i="11"/>
  <c r="G687" i="11" s="1"/>
  <c r="F683" i="11"/>
  <c r="G683" i="11" s="1"/>
  <c r="H683" i="11" s="1"/>
  <c r="H684" i="11" s="1"/>
  <c r="F679" i="11"/>
  <c r="G679" i="11" s="1"/>
  <c r="F675" i="11"/>
  <c r="G675" i="11" s="1"/>
  <c r="F671" i="11"/>
  <c r="G671" i="11" s="1"/>
  <c r="H671" i="11" s="1"/>
  <c r="I670" i="11" s="1"/>
  <c r="H211" i="1" s="1"/>
  <c r="F667" i="11"/>
  <c r="G667" i="11" s="1"/>
  <c r="H667" i="11" s="1"/>
  <c r="H668" i="11" s="1"/>
  <c r="F663" i="11"/>
  <c r="G663" i="11" s="1"/>
  <c r="F659" i="11"/>
  <c r="G659" i="11" s="1"/>
  <c r="F655" i="11"/>
  <c r="G655" i="11" s="1"/>
  <c r="F651" i="11"/>
  <c r="G651" i="11" s="1"/>
  <c r="F647" i="11"/>
  <c r="G647" i="11" s="1"/>
  <c r="F643" i="11"/>
  <c r="G643" i="11" s="1"/>
  <c r="H643" i="11" s="1"/>
  <c r="I642" i="11" s="1"/>
  <c r="H203" i="1" s="1"/>
  <c r="F639" i="11"/>
  <c r="G639" i="11" s="1"/>
  <c r="F635" i="11"/>
  <c r="G635" i="11" s="1"/>
  <c r="H635" i="11" s="1"/>
  <c r="I634" i="11" s="1"/>
  <c r="H200" i="1" s="1"/>
  <c r="F631" i="11"/>
  <c r="G631" i="11" s="1"/>
  <c r="F627" i="11"/>
  <c r="G627" i="11" s="1"/>
  <c r="F623" i="11"/>
  <c r="G623" i="11" s="1"/>
  <c r="F619" i="11"/>
  <c r="G619" i="11" s="1"/>
  <c r="F615" i="11"/>
  <c r="G615" i="11" s="1"/>
  <c r="F611" i="11"/>
  <c r="G611" i="11" s="1"/>
  <c r="H611" i="11" s="1"/>
  <c r="F607" i="11"/>
  <c r="G607" i="11" s="1"/>
  <c r="H607" i="11" s="1"/>
  <c r="H608" i="11" s="1"/>
  <c r="F603" i="11"/>
  <c r="G603" i="11" s="1"/>
  <c r="F599" i="11"/>
  <c r="G599" i="11" s="1"/>
  <c r="F595" i="11"/>
  <c r="G595" i="11" s="1"/>
  <c r="H595" i="11" s="1"/>
  <c r="F591" i="11"/>
  <c r="G591" i="11" s="1"/>
  <c r="F587" i="11"/>
  <c r="G587" i="11" s="1"/>
  <c r="F583" i="11"/>
  <c r="G583" i="11" s="1"/>
  <c r="F579" i="11"/>
  <c r="G579" i="11" s="1"/>
  <c r="H579" i="11" s="1"/>
  <c r="F575" i="11"/>
  <c r="G575" i="11" s="1"/>
  <c r="F571" i="11"/>
  <c r="G571" i="11" s="1"/>
  <c r="F567" i="11"/>
  <c r="G567" i="11" s="1"/>
  <c r="F563" i="11"/>
  <c r="G563" i="11" s="1"/>
  <c r="H563" i="11" s="1"/>
  <c r="F559" i="11"/>
  <c r="G559" i="11" s="1"/>
  <c r="F555" i="11"/>
  <c r="G555" i="11" s="1"/>
  <c r="F551" i="11"/>
  <c r="G551" i="11" s="1"/>
  <c r="H551" i="11" s="1"/>
  <c r="H552" i="11" s="1"/>
  <c r="F547" i="11"/>
  <c r="G547" i="11" s="1"/>
  <c r="F543" i="11"/>
  <c r="G543" i="11" s="1"/>
  <c r="F539" i="11"/>
  <c r="G539" i="11" s="1"/>
  <c r="F535" i="11"/>
  <c r="G535" i="11" s="1"/>
  <c r="F531" i="11"/>
  <c r="G531" i="11" s="1"/>
  <c r="F527" i="11"/>
  <c r="G527" i="11" s="1"/>
  <c r="F523" i="11"/>
  <c r="G523" i="11" s="1"/>
  <c r="H523" i="11" s="1"/>
  <c r="I522" i="11" s="1"/>
  <c r="H166" i="1" s="1"/>
  <c r="F519" i="11"/>
  <c r="G519" i="11" s="1"/>
  <c r="H519" i="11" s="1"/>
  <c r="I518" i="11" s="1"/>
  <c r="H164" i="1" s="1"/>
  <c r="F515" i="11"/>
  <c r="G515" i="11" s="1"/>
  <c r="F511" i="11"/>
  <c r="G511" i="11" s="1"/>
  <c r="F507" i="11"/>
  <c r="G507" i="11" s="1"/>
  <c r="F503" i="11"/>
  <c r="G503" i="11" s="1"/>
  <c r="F499" i="11"/>
  <c r="G499" i="11" s="1"/>
  <c r="F495" i="11"/>
  <c r="G495" i="11" s="1"/>
  <c r="F491" i="11"/>
  <c r="G491" i="11" s="1"/>
  <c r="F487" i="11"/>
  <c r="G487" i="11" s="1"/>
  <c r="F483" i="11"/>
  <c r="G483" i="11" s="1"/>
  <c r="F479" i="11"/>
  <c r="G479" i="11" s="1"/>
  <c r="F475" i="11"/>
  <c r="G475" i="11" s="1"/>
  <c r="F471" i="11"/>
  <c r="G471" i="11" s="1"/>
  <c r="F467" i="11"/>
  <c r="G467" i="11" s="1"/>
  <c r="F463" i="11"/>
  <c r="F459" i="11"/>
  <c r="G459" i="11" s="1"/>
  <c r="F455" i="11"/>
  <c r="G455" i="11" s="1"/>
  <c r="F451" i="11"/>
  <c r="G451" i="11" s="1"/>
  <c r="F447" i="11"/>
  <c r="G447" i="11" s="1"/>
  <c r="F443" i="11"/>
  <c r="G443" i="11" s="1"/>
  <c r="H443" i="11" s="1"/>
  <c r="H444" i="11" s="1"/>
  <c r="I442" i="11" s="1"/>
  <c r="H148" i="1" s="1"/>
  <c r="F439" i="11"/>
  <c r="G439" i="11" s="1"/>
  <c r="H439" i="11" s="1"/>
  <c r="H440" i="11" s="1"/>
  <c r="F435" i="11"/>
  <c r="G435" i="11" s="1"/>
  <c r="F431" i="11"/>
  <c r="G431" i="11" s="1"/>
  <c r="F427" i="11"/>
  <c r="G427" i="11" s="1"/>
  <c r="F423" i="11"/>
  <c r="G423" i="11" s="1"/>
  <c r="F419" i="11"/>
  <c r="G419" i="11" s="1"/>
  <c r="F415" i="11"/>
  <c r="G415" i="11" s="1"/>
  <c r="F411" i="11"/>
  <c r="G411" i="11" s="1"/>
  <c r="H411" i="11" s="1"/>
  <c r="H412" i="11" s="1"/>
  <c r="I410" i="11" s="1"/>
  <c r="H139" i="1" s="1"/>
  <c r="F407" i="11"/>
  <c r="G407" i="11" s="1"/>
  <c r="F403" i="11"/>
  <c r="G403" i="11" s="1"/>
  <c r="F399" i="11"/>
  <c r="G399" i="11" s="1"/>
  <c r="F395" i="11"/>
  <c r="G395" i="11" s="1"/>
  <c r="H395" i="11" s="1"/>
  <c r="I394" i="11" s="1"/>
  <c r="H132" i="1" s="1"/>
  <c r="F391" i="11"/>
  <c r="G391" i="11" s="1"/>
  <c r="H391" i="11" s="1"/>
  <c r="I390" i="11" s="1"/>
  <c r="H130" i="1" s="1"/>
  <c r="F387" i="11"/>
  <c r="G387" i="11" s="1"/>
  <c r="H387" i="11" s="1"/>
  <c r="I386" i="11" s="1"/>
  <c r="H128" i="1" s="1"/>
  <c r="F383" i="11"/>
  <c r="G383" i="11" s="1"/>
  <c r="F379" i="11"/>
  <c r="G379" i="11" s="1"/>
  <c r="F375" i="11"/>
  <c r="G375" i="11" s="1"/>
  <c r="F371" i="11"/>
  <c r="G371" i="11" s="1"/>
  <c r="F367" i="11"/>
  <c r="G367" i="11" s="1"/>
  <c r="H367" i="11" s="1"/>
  <c r="H368" i="11" s="1"/>
  <c r="F363" i="11"/>
  <c r="G363" i="11" s="1"/>
  <c r="F359" i="11"/>
  <c r="G359" i="11" s="1"/>
  <c r="F355" i="11"/>
  <c r="G355" i="11" s="1"/>
  <c r="F351" i="11"/>
  <c r="G351" i="11" s="1"/>
  <c r="H351" i="11" s="1"/>
  <c r="H352" i="11" s="1"/>
  <c r="I350" i="11" s="1"/>
  <c r="H117" i="1" s="1"/>
  <c r="F347" i="11"/>
  <c r="G347" i="11" s="1"/>
  <c r="H347" i="11" s="1"/>
  <c r="I346" i="11" s="1"/>
  <c r="H115" i="1" s="1"/>
  <c r="F343" i="11"/>
  <c r="G343" i="11" s="1"/>
  <c r="H343" i="11" s="1"/>
  <c r="I342" i="11" s="1"/>
  <c r="H113" i="1" s="1"/>
  <c r="F339" i="11"/>
  <c r="G339" i="11" s="1"/>
  <c r="F335" i="11"/>
  <c r="G335" i="11" s="1"/>
  <c r="F331" i="11"/>
  <c r="G331" i="11" s="1"/>
  <c r="H331" i="11" s="1"/>
  <c r="H332" i="11" s="1"/>
  <c r="I330" i="11" s="1"/>
  <c r="H109" i="1" s="1"/>
  <c r="F327" i="11"/>
  <c r="G327" i="11" s="1"/>
  <c r="H327" i="11" s="1"/>
  <c r="I326" i="11" s="1"/>
  <c r="H107" i="1" s="1"/>
  <c r="F323" i="11"/>
  <c r="G323" i="11" s="1"/>
  <c r="F319" i="11"/>
  <c r="G319" i="11" s="1"/>
  <c r="H319" i="11" s="1"/>
  <c r="H320" i="11" s="1"/>
  <c r="F315" i="11"/>
  <c r="G315" i="11" s="1"/>
  <c r="F311" i="11"/>
  <c r="G311" i="11" s="1"/>
  <c r="H311" i="11" s="1"/>
  <c r="H312" i="11" s="1"/>
  <c r="F307" i="11"/>
  <c r="G307" i="11" s="1"/>
  <c r="F303" i="11"/>
  <c r="G303" i="11" s="1"/>
  <c r="F299" i="11"/>
  <c r="G299" i="11" s="1"/>
  <c r="H299" i="11" s="1"/>
  <c r="I298" i="11" s="1"/>
  <c r="H101" i="1" s="1"/>
  <c r="F295" i="11"/>
  <c r="G295" i="11" s="1"/>
  <c r="F291" i="11"/>
  <c r="G291" i="11" s="1"/>
  <c r="F287" i="11"/>
  <c r="G287" i="11" s="1"/>
  <c r="H287" i="11" s="1"/>
  <c r="H288" i="11" s="1"/>
  <c r="I286" i="11" s="1"/>
  <c r="H95" i="1" s="1"/>
  <c r="F283" i="11"/>
  <c r="G283" i="11" s="1"/>
  <c r="H283" i="11" s="1"/>
  <c r="H284" i="11" s="1"/>
  <c r="I282" i="11" s="1"/>
  <c r="H93" i="1" s="1"/>
  <c r="F279" i="11"/>
  <c r="G279" i="11" s="1"/>
  <c r="F275" i="11"/>
  <c r="G275" i="11" s="1"/>
  <c r="H275" i="11" s="1"/>
  <c r="I274" i="11" s="1"/>
  <c r="H89" i="1" s="1"/>
  <c r="F271" i="11"/>
  <c r="G271" i="11" s="1"/>
  <c r="F267" i="11"/>
  <c r="G267" i="11" s="1"/>
  <c r="H267" i="11" s="1"/>
  <c r="I266" i="11" s="1"/>
  <c r="H85" i="1" s="1"/>
  <c r="F263" i="11"/>
  <c r="G263" i="11" s="1"/>
  <c r="H263" i="11" s="1"/>
  <c r="H264" i="11" s="1"/>
  <c r="F259" i="11"/>
  <c r="G259" i="11" s="1"/>
  <c r="F255" i="11"/>
  <c r="G255" i="11" s="1"/>
  <c r="F251" i="11"/>
  <c r="G251" i="11" s="1"/>
  <c r="F247" i="11"/>
  <c r="G247" i="11" s="1"/>
  <c r="F243" i="11"/>
  <c r="G243" i="11" s="1"/>
  <c r="F239" i="11"/>
  <c r="G239" i="11" s="1"/>
  <c r="F235" i="11"/>
  <c r="G235" i="11" s="1"/>
  <c r="H235" i="11" s="1"/>
  <c r="I234" i="11" s="1"/>
  <c r="H73" i="1" s="1"/>
  <c r="F231" i="11"/>
  <c r="G231" i="11" s="1"/>
  <c r="F227" i="11"/>
  <c r="G227" i="11" s="1"/>
  <c r="F223" i="11"/>
  <c r="G223" i="11" s="1"/>
  <c r="F219" i="11"/>
  <c r="G219" i="11" s="1"/>
  <c r="F215" i="11"/>
  <c r="G215" i="11" s="1"/>
  <c r="F211" i="11"/>
  <c r="G211" i="11" s="1"/>
  <c r="F207" i="11"/>
  <c r="G207" i="11" s="1"/>
  <c r="F203" i="11"/>
  <c r="G203" i="11" s="1"/>
  <c r="F199" i="11"/>
  <c r="G199" i="11" s="1"/>
  <c r="H199" i="11" s="1"/>
  <c r="H200" i="11" s="1"/>
  <c r="F195" i="11"/>
  <c r="G195" i="11" s="1"/>
  <c r="F191" i="11"/>
  <c r="G191" i="11" s="1"/>
  <c r="F187" i="11"/>
  <c r="G187" i="11" s="1"/>
  <c r="H187" i="11" s="1"/>
  <c r="H188" i="11" s="1"/>
  <c r="F183" i="11"/>
  <c r="G183" i="11" s="1"/>
  <c r="F179" i="11"/>
  <c r="G179" i="11" s="1"/>
  <c r="F175" i="11"/>
  <c r="G175" i="11" s="1"/>
  <c r="H175" i="11" s="1"/>
  <c r="H176" i="11" s="1"/>
  <c r="F171" i="11"/>
  <c r="G171" i="11" s="1"/>
  <c r="H171" i="11" s="1"/>
  <c r="I170" i="11" s="1"/>
  <c r="H56" i="1" s="1"/>
  <c r="F167" i="11"/>
  <c r="G167" i="11" s="1"/>
  <c r="F163" i="11"/>
  <c r="G163" i="11" s="1"/>
  <c r="F159" i="11"/>
  <c r="G159" i="11" s="1"/>
  <c r="H159" i="11" s="1"/>
  <c r="H160" i="11" s="1"/>
  <c r="F155" i="11"/>
  <c r="G155" i="11" s="1"/>
  <c r="F151" i="11"/>
  <c r="G151" i="11" s="1"/>
  <c r="F147" i="11"/>
  <c r="G147" i="11" s="1"/>
  <c r="F143" i="11"/>
  <c r="G143" i="11" s="1"/>
  <c r="F139" i="11"/>
  <c r="G139" i="11" s="1"/>
  <c r="F135" i="11"/>
  <c r="G135" i="11" s="1"/>
  <c r="F131" i="11"/>
  <c r="G131" i="11" s="1"/>
  <c r="F127" i="11"/>
  <c r="G127" i="11" s="1"/>
  <c r="F123" i="11"/>
  <c r="G123" i="11" s="1"/>
  <c r="F119" i="11"/>
  <c r="G119" i="11" s="1"/>
  <c r="F115" i="11"/>
  <c r="G115" i="11" s="1"/>
  <c r="F111" i="11"/>
  <c r="G111" i="11" s="1"/>
  <c r="F107" i="11"/>
  <c r="F103" i="11"/>
  <c r="F99" i="11"/>
  <c r="G99" i="11" s="1"/>
  <c r="F95" i="11"/>
  <c r="G95" i="11" s="1"/>
  <c r="H95" i="11" s="1"/>
  <c r="I94" i="11" s="1"/>
  <c r="H34" i="1" s="1"/>
  <c r="F91" i="11"/>
  <c r="G91" i="11" s="1"/>
  <c r="H91" i="11" s="1"/>
  <c r="H92" i="11" s="1"/>
  <c r="F87" i="11"/>
  <c r="G87" i="11" s="1"/>
  <c r="F83" i="11"/>
  <c r="G83" i="11" s="1"/>
  <c r="H83" i="11" s="1"/>
  <c r="F79" i="11"/>
  <c r="G79" i="11" s="1"/>
  <c r="H79" i="11" s="1"/>
  <c r="H80" i="11" s="1"/>
  <c r="F75" i="11"/>
  <c r="G75" i="11" s="1"/>
  <c r="F71" i="11"/>
  <c r="G71" i="11" s="1"/>
  <c r="F67" i="11"/>
  <c r="G67" i="11" s="1"/>
  <c r="F63" i="11"/>
  <c r="G63" i="11" s="1"/>
  <c r="F59" i="11"/>
  <c r="G59" i="11" s="1"/>
  <c r="H59" i="11" s="1"/>
  <c r="I58" i="11" s="1"/>
  <c r="H20" i="1" s="1"/>
  <c r="F55" i="11"/>
  <c r="G55" i="11" s="1"/>
  <c r="H55" i="11" s="1"/>
  <c r="I54" i="11" s="1"/>
  <c r="H18" i="1" s="1"/>
  <c r="F51" i="11"/>
  <c r="G51" i="11" s="1"/>
  <c r="F47" i="11"/>
  <c r="G47" i="11" s="1"/>
  <c r="F43" i="11"/>
  <c r="G43" i="11" s="1"/>
  <c r="F39" i="11"/>
  <c r="G39" i="11" s="1"/>
  <c r="F35" i="11"/>
  <c r="G35" i="11" s="1"/>
  <c r="F31" i="11"/>
  <c r="G31" i="11" s="1"/>
  <c r="F27" i="11"/>
  <c r="G27" i="11" s="1"/>
  <c r="F23" i="11"/>
  <c r="G23" i="11" s="1"/>
  <c r="F19" i="11"/>
  <c r="G19" i="11" s="1"/>
  <c r="F15" i="11"/>
  <c r="G15" i="11" s="1"/>
  <c r="F11" i="11"/>
  <c r="G11" i="11" s="1"/>
  <c r="F7" i="11"/>
  <c r="G7" i="11" s="1"/>
  <c r="F3" i="11"/>
  <c r="F2094" i="11"/>
  <c r="G2094" i="11" s="1"/>
  <c r="F2090" i="11"/>
  <c r="G2090" i="11" s="1"/>
  <c r="F2082" i="11"/>
  <c r="G2082" i="11" s="1"/>
  <c r="F2078" i="11"/>
  <c r="G2078" i="11" s="1"/>
  <c r="F2058" i="11"/>
  <c r="G2058" i="11" s="1"/>
  <c r="F2054" i="11"/>
  <c r="G2054" i="11" s="1"/>
  <c r="F2046" i="11"/>
  <c r="G2046" i="11" s="1"/>
  <c r="F2038" i="11"/>
  <c r="G2038" i="11" s="1"/>
  <c r="F2034" i="11"/>
  <c r="G2034" i="11" s="1"/>
  <c r="H2034" i="11" s="1"/>
  <c r="I2033" i="11" s="1"/>
  <c r="H590" i="1" s="1"/>
  <c r="F2030" i="11"/>
  <c r="G2030" i="11" s="1"/>
  <c r="F2022" i="11"/>
  <c r="G2022" i="11" s="1"/>
  <c r="F2018" i="11"/>
  <c r="G2018" i="11" s="1"/>
  <c r="F2014" i="11"/>
  <c r="G2014" i="11" s="1"/>
  <c r="H2014" i="11" s="1"/>
  <c r="H2015" i="11" s="1"/>
  <c r="I2013" i="11" s="1"/>
  <c r="H583" i="1" s="1"/>
  <c r="F2010" i="11"/>
  <c r="G2010" i="11" s="1"/>
  <c r="H2010" i="11" s="1"/>
  <c r="I2009" i="11" s="1"/>
  <c r="H581" i="1" s="1"/>
  <c r="F2006" i="11"/>
  <c r="G2006" i="11" s="1"/>
  <c r="H2006" i="11" s="1"/>
  <c r="I2005" i="11" s="1"/>
  <c r="H579" i="1" s="1"/>
  <c r="F2002" i="11"/>
  <c r="G2002" i="11" s="1"/>
  <c r="H2002" i="11" s="1"/>
  <c r="H2003" i="11" s="1"/>
  <c r="H2004" i="11" s="1"/>
  <c r="I2001" i="11" s="1"/>
  <c r="H578" i="1" s="1"/>
  <c r="F1998" i="11"/>
  <c r="G1998" i="11" s="1"/>
  <c r="H1998" i="11" s="1"/>
  <c r="I1997" i="11" s="1"/>
  <c r="H576" i="1" s="1"/>
  <c r="F1994" i="11"/>
  <c r="G1994" i="11" s="1"/>
  <c r="H1994" i="11" s="1"/>
  <c r="I1993" i="11" s="1"/>
  <c r="H574" i="1" s="1"/>
  <c r="F1990" i="11"/>
  <c r="G1990" i="11" s="1"/>
  <c r="F1986" i="11"/>
  <c r="G1986" i="11" s="1"/>
  <c r="H1986" i="11" s="1"/>
  <c r="I1985" i="11" s="1"/>
  <c r="H571" i="1" s="1"/>
  <c r="F1982" i="11"/>
  <c r="F1978" i="11"/>
  <c r="G1978" i="11" s="1"/>
  <c r="H1978" i="11" s="1"/>
  <c r="I1977" i="11" s="1"/>
  <c r="H568" i="1" s="1"/>
  <c r="F1974" i="11"/>
  <c r="G1974" i="11" s="1"/>
  <c r="F1970" i="11"/>
  <c r="G1970" i="11" s="1"/>
  <c r="H1970" i="11" s="1"/>
  <c r="H1971" i="11" s="1"/>
  <c r="I1969" i="11" s="1"/>
  <c r="H566" i="1" s="1"/>
  <c r="F1950" i="11"/>
  <c r="G1950" i="11" s="1"/>
  <c r="F1946" i="11"/>
  <c r="G1946" i="11" s="1"/>
  <c r="H1946" i="11" s="1"/>
  <c r="H1947" i="11" s="1"/>
  <c r="I1945" i="11" s="1"/>
  <c r="H559" i="1" s="1"/>
  <c r="F1938" i="11"/>
  <c r="G1938" i="11" s="1"/>
  <c r="F1934" i="11"/>
  <c r="G1934" i="11" s="1"/>
  <c r="H1934" i="11" s="1"/>
  <c r="H1935" i="11" s="1"/>
  <c r="I1933" i="11" s="1"/>
  <c r="H555" i="1" s="1"/>
  <c r="F1930" i="11"/>
  <c r="G1930" i="11" s="1"/>
  <c r="F1926" i="11"/>
  <c r="G1926" i="11" s="1"/>
  <c r="H1926" i="11" s="1"/>
  <c r="I1925" i="11" s="1"/>
  <c r="H551" i="1" s="1"/>
  <c r="F1922" i="11"/>
  <c r="G1922" i="11" s="1"/>
  <c r="H1922" i="11" s="1"/>
  <c r="I1921" i="11" s="1"/>
  <c r="H549" i="1" s="1"/>
  <c r="F1918" i="11"/>
  <c r="G1918" i="11" s="1"/>
  <c r="H1918" i="11" s="1"/>
  <c r="I1917" i="11" s="1"/>
  <c r="H547" i="1" s="1"/>
  <c r="F1914" i="11"/>
  <c r="G1914" i="11" s="1"/>
  <c r="H1914" i="11" s="1"/>
  <c r="I1913" i="11" s="1"/>
  <c r="H545" i="1" s="1"/>
  <c r="F1910" i="11"/>
  <c r="G1910" i="11" s="1"/>
  <c r="H1910" i="11" s="1"/>
  <c r="I1909" i="11" s="1"/>
  <c r="H543" i="1" s="1"/>
  <c r="F1906" i="11"/>
  <c r="G1906" i="11" s="1"/>
  <c r="H1906" i="11" s="1"/>
  <c r="I1905" i="11" s="1"/>
  <c r="H541" i="1" s="1"/>
  <c r="F1898" i="11"/>
  <c r="G1898" i="11" s="1"/>
  <c r="H1898" i="11" s="1"/>
  <c r="I1897" i="11" s="1"/>
  <c r="H538" i="1" s="1"/>
  <c r="F1894" i="11"/>
  <c r="G1894" i="11" s="1"/>
  <c r="H1894" i="11" s="1"/>
  <c r="I1893" i="11" s="1"/>
  <c r="H536" i="1" s="1"/>
  <c r="F1890" i="11"/>
  <c r="G1890" i="11" s="1"/>
  <c r="H1890" i="11" s="1"/>
  <c r="H1891" i="11" s="1"/>
  <c r="H1892" i="11" s="1"/>
  <c r="I1889" i="11" s="1"/>
  <c r="H535" i="1" s="1"/>
  <c r="F1886" i="11"/>
  <c r="G1886" i="11" s="1"/>
  <c r="F1878" i="11"/>
  <c r="G1878" i="11" s="1"/>
  <c r="F1866" i="11"/>
  <c r="G1866" i="11" s="1"/>
  <c r="H1866" i="11" s="1"/>
  <c r="H1867" i="11" s="1"/>
  <c r="H1868" i="11" s="1"/>
  <c r="F1862" i="11"/>
  <c r="G1862" i="11" s="1"/>
  <c r="F1858" i="11"/>
  <c r="G1858" i="11" s="1"/>
  <c r="F1854" i="11"/>
  <c r="G1854" i="11" s="1"/>
  <c r="F1850" i="11"/>
  <c r="G1850" i="11" s="1"/>
  <c r="F1846" i="11"/>
  <c r="G1846" i="11" s="1"/>
  <c r="F1838" i="11"/>
  <c r="G1838" i="11" s="1"/>
  <c r="F1834" i="11"/>
  <c r="G1834" i="11" s="1"/>
  <c r="H1834" i="11" s="1"/>
  <c r="H1835" i="11" s="1"/>
  <c r="I1833" i="11" s="1"/>
  <c r="H521" i="1" s="1"/>
  <c r="F1830" i="11"/>
  <c r="G1830" i="11" s="1"/>
  <c r="H1830" i="11" s="1"/>
  <c r="H1831" i="11" s="1"/>
  <c r="H1832" i="11" s="1"/>
  <c r="I1829" i="11" s="1"/>
  <c r="H520" i="1" s="1"/>
  <c r="F1826" i="11"/>
  <c r="G1826" i="11" s="1"/>
  <c r="F1822" i="11"/>
  <c r="G1822" i="11" s="1"/>
  <c r="F1818" i="11"/>
  <c r="G1818" i="11" s="1"/>
  <c r="F1814" i="11"/>
  <c r="G1814" i="11" s="1"/>
  <c r="H1814" i="11" s="1"/>
  <c r="H1815" i="11" s="1"/>
  <c r="I1813" i="11" s="1"/>
  <c r="H517" i="1" s="1"/>
  <c r="F1806" i="11"/>
  <c r="G1806" i="11" s="1"/>
  <c r="H1806" i="11" s="1"/>
  <c r="H1807" i="11" s="1"/>
  <c r="H1808" i="11" s="1"/>
  <c r="F1802" i="11"/>
  <c r="G1802" i="11" s="1"/>
  <c r="F1798" i="11"/>
  <c r="G1798" i="11" s="1"/>
  <c r="F1794" i="11"/>
  <c r="F1790" i="11"/>
  <c r="F1786" i="11"/>
  <c r="G1786" i="11" s="1"/>
  <c r="F1782" i="11"/>
  <c r="G1782" i="11" s="1"/>
  <c r="H1782" i="11" s="1"/>
  <c r="H1783" i="11" s="1"/>
  <c r="I1781" i="11" s="1"/>
  <c r="H509" i="1" s="1"/>
  <c r="F1774" i="11"/>
  <c r="G1774" i="11" s="1"/>
  <c r="F1770" i="11"/>
  <c r="F1766" i="11"/>
  <c r="F1762" i="11"/>
  <c r="G1762" i="11" s="1"/>
  <c r="F1758" i="11"/>
  <c r="G1758" i="11" s="1"/>
  <c r="F1754" i="11"/>
  <c r="G1754" i="11" s="1"/>
  <c r="F1750" i="11"/>
  <c r="G1750" i="11" s="1"/>
  <c r="H1750" i="11" s="1"/>
  <c r="H1751" i="11" s="1"/>
  <c r="I1749" i="11" s="1"/>
  <c r="H500" i="1" s="1"/>
  <c r="F1746" i="11"/>
  <c r="G1746" i="11" s="1"/>
  <c r="H1746" i="11" s="1"/>
  <c r="H1747" i="11" s="1"/>
  <c r="H1748" i="11" s="1"/>
  <c r="I1745" i="11" s="1"/>
  <c r="H499" i="1" s="1"/>
  <c r="F1742" i="11"/>
  <c r="G1742" i="11" s="1"/>
  <c r="H1742" i="11" s="1"/>
  <c r="H1743" i="11" s="1"/>
  <c r="H1744" i="11" s="1"/>
  <c r="I1741" i="11" s="1"/>
  <c r="H498" i="1" s="1"/>
  <c r="F1738" i="11"/>
  <c r="G1738" i="11" s="1"/>
  <c r="H1738" i="11" s="1"/>
  <c r="H1739" i="11" s="1"/>
  <c r="H1740" i="11" s="1"/>
  <c r="I1737" i="11" s="1"/>
  <c r="H497" i="1" s="1"/>
  <c r="F1730" i="11"/>
  <c r="G1730" i="11" s="1"/>
  <c r="F1726" i="11"/>
  <c r="G1726" i="11" s="1"/>
  <c r="F1706" i="11"/>
  <c r="G1706" i="11" s="1"/>
  <c r="F1702" i="11"/>
  <c r="G1702" i="11" s="1"/>
  <c r="H1702" i="11" s="1"/>
  <c r="H1703" i="11" s="1"/>
  <c r="H1704" i="11" s="1"/>
  <c r="I1701" i="11" s="1"/>
  <c r="H488" i="1" s="1"/>
  <c r="F1694" i="11"/>
  <c r="G1694" i="11" s="1"/>
  <c r="F1690" i="11"/>
  <c r="G1690" i="11" s="1"/>
  <c r="H1690" i="11" s="1"/>
  <c r="H1691" i="11" s="1"/>
  <c r="I1689" i="11" s="1"/>
  <c r="H484" i="1" s="1"/>
  <c r="F1686" i="11"/>
  <c r="G1686" i="11" s="1"/>
  <c r="H1686" i="11" s="1"/>
  <c r="H1687" i="11" s="1"/>
  <c r="H1688" i="11" s="1"/>
  <c r="I1685" i="11" s="1"/>
  <c r="H483" i="1" s="1"/>
  <c r="F1682" i="11"/>
  <c r="G1682" i="11" s="1"/>
  <c r="H1682" i="11" s="1"/>
  <c r="H1683" i="11" s="1"/>
  <c r="H1684" i="11" s="1"/>
  <c r="I1681" i="11" s="1"/>
  <c r="H482" i="1" s="1"/>
  <c r="F1678" i="11"/>
  <c r="G1678" i="11" s="1"/>
  <c r="H1678" i="11" s="1"/>
  <c r="H1679" i="11" s="1"/>
  <c r="H1680" i="11" s="1"/>
  <c r="I1677" i="11" s="1"/>
  <c r="H481" i="1" s="1"/>
  <c r="F1674" i="11"/>
  <c r="G1674" i="11" s="1"/>
  <c r="F1670" i="11"/>
  <c r="G1670" i="11" s="1"/>
  <c r="F1666" i="11"/>
  <c r="G1666" i="11" s="1"/>
  <c r="H1666" i="11" s="1"/>
  <c r="H1667" i="11" s="1"/>
  <c r="H1668" i="11" s="1"/>
  <c r="F1662" i="11"/>
  <c r="G1662" i="11" s="1"/>
  <c r="F1658" i="11"/>
  <c r="G1658" i="11" s="1"/>
  <c r="F1654" i="11"/>
  <c r="G1654" i="11" s="1"/>
  <c r="F1650" i="11"/>
  <c r="G1650" i="11" s="1"/>
  <c r="H1650" i="11" s="1"/>
  <c r="H1651" i="11" s="1"/>
  <c r="H1652" i="11" s="1"/>
  <c r="H1653" i="11" s="1"/>
  <c r="H1654" i="11" s="1"/>
  <c r="I1649" i="11" s="1"/>
  <c r="H476" i="1" s="1"/>
  <c r="F1646" i="11"/>
  <c r="G1646" i="11" s="1"/>
  <c r="F1642" i="11"/>
  <c r="G1642" i="11" s="1"/>
  <c r="H1642" i="11" s="1"/>
  <c r="H1643" i="11" s="1"/>
  <c r="I1641" i="11" s="1"/>
  <c r="H474" i="1" s="1"/>
  <c r="F1638" i="11"/>
  <c r="G1638" i="11" s="1"/>
  <c r="F1634" i="11"/>
  <c r="G1634" i="11" s="1"/>
  <c r="H1634" i="11" s="1"/>
  <c r="H1635" i="11" s="1"/>
  <c r="H1636" i="11" s="1"/>
  <c r="H1637" i="11" s="1"/>
  <c r="H1638" i="11" s="1"/>
  <c r="I1633" i="11" s="1"/>
  <c r="H472" i="1" s="1"/>
  <c r="F1630" i="11"/>
  <c r="G1630" i="11" s="1"/>
  <c r="F1626" i="11"/>
  <c r="G1626" i="11" s="1"/>
  <c r="H1626" i="11" s="1"/>
  <c r="H1627" i="11" s="1"/>
  <c r="I1625" i="11" s="1"/>
  <c r="H470" i="1" s="1"/>
  <c r="F1622" i="11"/>
  <c r="G1622" i="11" s="1"/>
  <c r="H1622" i="11" s="1"/>
  <c r="H1623" i="11" s="1"/>
  <c r="H1624" i="11" s="1"/>
  <c r="I1621" i="11" s="1"/>
  <c r="H469" i="1" s="1"/>
  <c r="F1618" i="11"/>
  <c r="G1618" i="11" s="1"/>
  <c r="H1618" i="11" s="1"/>
  <c r="H1619" i="11" s="1"/>
  <c r="H1620" i="11" s="1"/>
  <c r="I1617" i="11" s="1"/>
  <c r="H468" i="1" s="1"/>
  <c r="F1614" i="11"/>
  <c r="G1614" i="11" s="1"/>
  <c r="H1614" i="11" s="1"/>
  <c r="H1615" i="11" s="1"/>
  <c r="H1616" i="11" s="1"/>
  <c r="I1613" i="11" s="1"/>
  <c r="H467" i="1" s="1"/>
  <c r="F1610" i="11"/>
  <c r="G1610" i="11" s="1"/>
  <c r="H1610" i="11" s="1"/>
  <c r="H1611" i="11" s="1"/>
  <c r="H1612" i="11" s="1"/>
  <c r="I1609" i="11" s="1"/>
  <c r="H466" i="1" s="1"/>
  <c r="F1606" i="11"/>
  <c r="G1606" i="11" s="1"/>
  <c r="H1606" i="11" s="1"/>
  <c r="H1607" i="11" s="1"/>
  <c r="H1608" i="11" s="1"/>
  <c r="I1605" i="11" s="1"/>
  <c r="H465" i="1" s="1"/>
  <c r="F1602" i="11"/>
  <c r="G1602" i="11" s="1"/>
  <c r="F1598" i="11"/>
  <c r="G1598" i="11" s="1"/>
  <c r="F1594" i="11"/>
  <c r="G1594" i="11" s="1"/>
  <c r="F1590" i="11"/>
  <c r="G1590" i="11" s="1"/>
  <c r="F1586" i="11"/>
  <c r="G1586" i="11" s="1"/>
  <c r="F1582" i="11"/>
  <c r="G1582" i="11" s="1"/>
  <c r="F1574" i="11"/>
  <c r="G1574" i="11" s="1"/>
  <c r="F1566" i="11"/>
  <c r="G1566" i="11" s="1"/>
  <c r="F1562" i="11"/>
  <c r="G1562" i="11" s="1"/>
  <c r="F1558" i="11"/>
  <c r="G1558" i="11" s="1"/>
  <c r="F1550" i="11"/>
  <c r="G1550" i="11" s="1"/>
  <c r="F1546" i="11"/>
  <c r="G1546" i="11" s="1"/>
  <c r="F1542" i="11"/>
  <c r="G1542" i="11" s="1"/>
  <c r="F1538" i="11"/>
  <c r="G1538" i="11" s="1"/>
  <c r="F1534" i="11"/>
  <c r="G1534" i="11" s="1"/>
  <c r="F1530" i="11"/>
  <c r="G1530" i="11" s="1"/>
  <c r="F1526" i="11"/>
  <c r="G1526" i="11" s="1"/>
  <c r="F1522" i="11"/>
  <c r="G1522" i="11" s="1"/>
  <c r="F1518" i="11"/>
  <c r="G1518" i="11" s="1"/>
  <c r="F1514" i="11"/>
  <c r="G1514" i="11" s="1"/>
  <c r="F1510" i="11"/>
  <c r="G1510" i="11" s="1"/>
  <c r="F1506" i="11"/>
  <c r="G1506" i="11" s="1"/>
  <c r="F1502" i="11"/>
  <c r="G1502" i="11" s="1"/>
  <c r="F1498" i="11"/>
  <c r="G1498" i="11" s="1"/>
  <c r="H1498" i="11" s="1"/>
  <c r="H1499" i="11" s="1"/>
  <c r="H1500" i="11" s="1"/>
  <c r="F1494" i="11"/>
  <c r="G1494" i="11" s="1"/>
  <c r="F1490" i="11"/>
  <c r="G1490" i="11" s="1"/>
  <c r="F1486" i="11"/>
  <c r="G1486" i="11" s="1"/>
  <c r="F1482" i="11"/>
  <c r="G1482" i="11" s="1"/>
  <c r="F1478" i="11"/>
  <c r="G1478" i="11" s="1"/>
  <c r="F1474" i="11"/>
  <c r="G1474" i="11" s="1"/>
  <c r="F1470" i="11"/>
  <c r="G1470" i="11" s="1"/>
  <c r="F1466" i="11"/>
  <c r="G1466" i="11" s="1"/>
  <c r="H1466" i="11" s="1"/>
  <c r="H1467" i="11" s="1"/>
  <c r="H1468" i="11" s="1"/>
  <c r="F1462" i="11"/>
  <c r="G1462" i="11" s="1"/>
  <c r="F1458" i="11"/>
  <c r="G1458" i="11" s="1"/>
  <c r="F1454" i="11"/>
  <c r="G1454" i="11" s="1"/>
  <c r="F1450" i="11"/>
  <c r="G1450" i="11" s="1"/>
  <c r="H1450" i="11" s="1"/>
  <c r="H1451" i="11" s="1"/>
  <c r="I1449" i="11" s="1"/>
  <c r="H438" i="1" s="1"/>
  <c r="F1446" i="11"/>
  <c r="G1446" i="11" s="1"/>
  <c r="F1442" i="11"/>
  <c r="G1442" i="11" s="1"/>
  <c r="F1438" i="11"/>
  <c r="G1438" i="11" s="1"/>
  <c r="F1434" i="11"/>
  <c r="G1434" i="11" s="1"/>
  <c r="F1430" i="11"/>
  <c r="G1430" i="11" s="1"/>
  <c r="F1426" i="11"/>
  <c r="G1426" i="11" s="1"/>
  <c r="F1422" i="11"/>
  <c r="G1422" i="11" s="1"/>
  <c r="F1418" i="11"/>
  <c r="G1418" i="11" s="1"/>
  <c r="F1414" i="11"/>
  <c r="G1414" i="11" s="1"/>
  <c r="F1410" i="11"/>
  <c r="G1410" i="11" s="1"/>
  <c r="F1406" i="11"/>
  <c r="G1406" i="11" s="1"/>
  <c r="F1402" i="11"/>
  <c r="G1402" i="11" s="1"/>
  <c r="F1398" i="11"/>
  <c r="G1398" i="11" s="1"/>
  <c r="F1394" i="11"/>
  <c r="G1394" i="11" s="1"/>
  <c r="F1390" i="11"/>
  <c r="G1390" i="11" s="1"/>
  <c r="F1386" i="11"/>
  <c r="G1386" i="11" s="1"/>
  <c r="F1382" i="11"/>
  <c r="G1382" i="11" s="1"/>
  <c r="H1382" i="11" s="1"/>
  <c r="H1383" i="11" s="1"/>
  <c r="H1384" i="11" s="1"/>
  <c r="F1378" i="11"/>
  <c r="G1378" i="11" s="1"/>
  <c r="F1374" i="11"/>
  <c r="G1374" i="11" s="1"/>
  <c r="F1370" i="11"/>
  <c r="G1370" i="11" s="1"/>
  <c r="F1366" i="11"/>
  <c r="G1366" i="11" s="1"/>
  <c r="F1362" i="11"/>
  <c r="G1362" i="11" s="1"/>
  <c r="F1358" i="11"/>
  <c r="G1358" i="11" s="1"/>
  <c r="H1358" i="11" s="1"/>
  <c r="H1359" i="11" s="1"/>
  <c r="I1357" i="11" s="1"/>
  <c r="H420" i="1" s="1"/>
  <c r="F1354" i="11"/>
  <c r="G1354" i="11" s="1"/>
  <c r="F1350" i="11"/>
  <c r="G1350" i="11" s="1"/>
  <c r="H1350" i="11" s="1"/>
  <c r="H1351" i="11" s="1"/>
  <c r="I1349" i="11" s="1"/>
  <c r="H417" i="1" s="1"/>
  <c r="F1346" i="11"/>
  <c r="G1346" i="11" s="1"/>
  <c r="F1342" i="11"/>
  <c r="G1342" i="11" s="1"/>
  <c r="F1338" i="11"/>
  <c r="G1338" i="11" s="1"/>
  <c r="F1334" i="11"/>
  <c r="G1334" i="11" s="1"/>
  <c r="H1334" i="11" s="1"/>
  <c r="H1335" i="11" s="1"/>
  <c r="I1333" i="11" s="1"/>
  <c r="H411" i="1" s="1"/>
  <c r="F1330" i="11"/>
  <c r="G1330" i="11" s="1"/>
  <c r="F1326" i="11"/>
  <c r="G1326" i="11" s="1"/>
  <c r="F1322" i="11"/>
  <c r="G1322" i="11" s="1"/>
  <c r="F1318" i="11"/>
  <c r="G1318" i="11" s="1"/>
  <c r="F1314" i="11"/>
  <c r="G1314" i="11" s="1"/>
  <c r="F1310" i="11"/>
  <c r="G1310" i="11" s="1"/>
  <c r="F1306" i="11"/>
  <c r="G1306" i="11" s="1"/>
  <c r="F1302" i="11"/>
  <c r="G1302" i="11" s="1"/>
  <c r="F1298" i="11"/>
  <c r="G1298" i="11" s="1"/>
  <c r="F1294" i="11"/>
  <c r="G1294" i="11" s="1"/>
  <c r="F1290" i="11"/>
  <c r="G1290" i="11" s="1"/>
  <c r="F1286" i="11"/>
  <c r="G1286" i="11" s="1"/>
  <c r="H1286" i="11" s="1"/>
  <c r="H1287" i="11" s="1"/>
  <c r="I1285" i="11" s="1"/>
  <c r="H392" i="1" s="1"/>
  <c r="F1282" i="11"/>
  <c r="G1282" i="11" s="1"/>
  <c r="F1278" i="11"/>
  <c r="G1278" i="11" s="1"/>
  <c r="F1274" i="11"/>
  <c r="G1274" i="11" s="1"/>
  <c r="H1274" i="11" s="1"/>
  <c r="H1275" i="11" s="1"/>
  <c r="I1273" i="11" s="1"/>
  <c r="H388" i="1" s="1"/>
  <c r="F1270" i="11"/>
  <c r="G1270" i="11" s="1"/>
  <c r="H1270" i="11" s="1"/>
  <c r="I1269" i="11" s="1"/>
  <c r="H386" i="1" s="1"/>
  <c r="F1266" i="11"/>
  <c r="G1266" i="11" s="1"/>
  <c r="F1262" i="11"/>
  <c r="G1262" i="11" s="1"/>
  <c r="F1258" i="11"/>
  <c r="G1258" i="11" s="1"/>
  <c r="H1258" i="11" s="1"/>
  <c r="H1259" i="11" s="1"/>
  <c r="I1257" i="11" s="1"/>
  <c r="H382" i="1" s="1"/>
  <c r="F1254" i="11"/>
  <c r="G1254" i="11" s="1"/>
  <c r="F1250" i="11"/>
  <c r="G1250" i="11" s="1"/>
  <c r="F1246" i="11"/>
  <c r="G1246" i="11" s="1"/>
  <c r="F1242" i="11"/>
  <c r="G1242" i="11" s="1"/>
  <c r="H1242" i="11" s="1"/>
  <c r="H1243" i="11" s="1"/>
  <c r="H1244" i="11" s="1"/>
  <c r="F1238" i="11"/>
  <c r="G1238" i="11" s="1"/>
  <c r="H1238" i="11" s="1"/>
  <c r="H1239" i="11" s="1"/>
  <c r="H1240" i="11" s="1"/>
  <c r="I1237" i="11" s="1"/>
  <c r="H376" i="1" s="1"/>
  <c r="F1234" i="11"/>
  <c r="G1234" i="11" s="1"/>
  <c r="H1234" i="11" s="1"/>
  <c r="H1235" i="11" s="1"/>
  <c r="H1236" i="11" s="1"/>
  <c r="I1233" i="11" s="1"/>
  <c r="H375" i="1" s="1"/>
  <c r="F1230" i="11"/>
  <c r="G1230" i="11" s="1"/>
  <c r="H1230" i="11" s="1"/>
  <c r="H1231" i="11" s="1"/>
  <c r="H1232" i="11" s="1"/>
  <c r="I1229" i="11" s="1"/>
  <c r="H374" i="1" s="1"/>
  <c r="F1226" i="11"/>
  <c r="G1226" i="11" s="1"/>
  <c r="F1222" i="11"/>
  <c r="G1222" i="11" s="1"/>
  <c r="H1222" i="11" s="1"/>
  <c r="I1221" i="11" s="1"/>
  <c r="H372" i="1" s="1"/>
  <c r="F1218" i="11"/>
  <c r="G1218" i="11" s="1"/>
  <c r="H1218" i="11" s="1"/>
  <c r="I1217" i="11" s="1"/>
  <c r="H370" i="1" s="1"/>
  <c r="F1214" i="11"/>
  <c r="G1214" i="11" s="1"/>
  <c r="H1214" i="11" s="1"/>
  <c r="I1213" i="11" s="1"/>
  <c r="H368" i="1" s="1"/>
  <c r="F1210" i="11"/>
  <c r="G1210" i="11" s="1"/>
  <c r="H1210" i="11" s="1"/>
  <c r="I1209" i="11" s="1"/>
  <c r="H366" i="1" s="1"/>
  <c r="F1206" i="11"/>
  <c r="G1206" i="11" s="1"/>
  <c r="H1206" i="11" s="1"/>
  <c r="I1205" i="11" s="1"/>
  <c r="H364" i="1" s="1"/>
  <c r="F1202" i="11"/>
  <c r="G1202" i="11" s="1"/>
  <c r="H1202" i="11" s="1"/>
  <c r="I1201" i="11" s="1"/>
  <c r="H362" i="1" s="1"/>
  <c r="F1198" i="11"/>
  <c r="G1198" i="11" s="1"/>
  <c r="H1198" i="11" s="1"/>
  <c r="H1199" i="11" s="1"/>
  <c r="H1200" i="11" s="1"/>
  <c r="I1197" i="11" s="1"/>
  <c r="H361" i="1" s="1"/>
  <c r="F1194" i="11"/>
  <c r="G1194" i="11" s="1"/>
  <c r="H1194" i="11" s="1"/>
  <c r="H1195" i="11" s="1"/>
  <c r="H1196" i="11" s="1"/>
  <c r="I1193" i="11" s="1"/>
  <c r="H360" i="1" s="1"/>
  <c r="F1190" i="11"/>
  <c r="G1190" i="11" s="1"/>
  <c r="H1190" i="11" s="1"/>
  <c r="H1191" i="11" s="1"/>
  <c r="H1192" i="11" s="1"/>
  <c r="I1189" i="11" s="1"/>
  <c r="H359" i="1" s="1"/>
  <c r="F1186" i="11"/>
  <c r="G1186" i="11" s="1"/>
  <c r="F1182" i="11"/>
  <c r="G1182" i="11" s="1"/>
  <c r="H1182" i="11" s="1"/>
  <c r="H1183" i="11" s="1"/>
  <c r="H1184" i="11" s="1"/>
  <c r="I1181" i="11" s="1"/>
  <c r="H357" i="1" s="1"/>
  <c r="F1178" i="11"/>
  <c r="G1178" i="11" s="1"/>
  <c r="H1178" i="11" s="1"/>
  <c r="H1179" i="11" s="1"/>
  <c r="H1180" i="11" s="1"/>
  <c r="I1177" i="11" s="1"/>
  <c r="H356" i="1" s="1"/>
  <c r="F1174" i="11"/>
  <c r="G1174" i="11" s="1"/>
  <c r="H1174" i="11" s="1"/>
  <c r="H1175" i="11" s="1"/>
  <c r="H1176" i="11" s="1"/>
  <c r="I1173" i="11" s="1"/>
  <c r="H355" i="1" s="1"/>
  <c r="F1170" i="11"/>
  <c r="G1170" i="11" s="1"/>
  <c r="F1166" i="11"/>
  <c r="G1166" i="11" s="1"/>
  <c r="F1162" i="11"/>
  <c r="G1162" i="11" s="1"/>
  <c r="H1162" i="11" s="1"/>
  <c r="H1163" i="11" s="1"/>
  <c r="H1164" i="11" s="1"/>
  <c r="F1158" i="11"/>
  <c r="G1158" i="11" s="1"/>
  <c r="F1154" i="11"/>
  <c r="G1154" i="11" s="1"/>
  <c r="F1150" i="11"/>
  <c r="G1150" i="11" s="1"/>
  <c r="F1146" i="11"/>
  <c r="G1146" i="11" s="1"/>
  <c r="F1142" i="11"/>
  <c r="G1142" i="11" s="1"/>
  <c r="H1142" i="11" s="1"/>
  <c r="H1143" i="11" s="1"/>
  <c r="I1141" i="11" s="1"/>
  <c r="H347" i="1" s="1"/>
  <c r="F1138" i="11"/>
  <c r="G1138" i="11" s="1"/>
  <c r="F1134" i="11"/>
  <c r="G1134" i="11" s="1"/>
  <c r="F1130" i="11"/>
  <c r="G1130" i="11" s="1"/>
  <c r="F1126" i="11"/>
  <c r="G1126" i="11" s="1"/>
  <c r="H1126" i="11" s="1"/>
  <c r="H1127" i="11" s="1"/>
  <c r="I1125" i="11" s="1"/>
  <c r="H342" i="1" s="1"/>
  <c r="F1122" i="11"/>
  <c r="G1122" i="11" s="1"/>
  <c r="F1118" i="11"/>
  <c r="G1118" i="11" s="1"/>
  <c r="F1114" i="11"/>
  <c r="G1114" i="11" s="1"/>
  <c r="F1110" i="11"/>
  <c r="G1110" i="11" s="1"/>
  <c r="F1106" i="11"/>
  <c r="G1106" i="11" s="1"/>
  <c r="F1102" i="11"/>
  <c r="G1102" i="11" s="1"/>
  <c r="F1098" i="11"/>
  <c r="G1098" i="11" s="1"/>
  <c r="F1094" i="11"/>
  <c r="G1094" i="11" s="1"/>
  <c r="F1090" i="11"/>
  <c r="G1090" i="11" s="1"/>
  <c r="F1086" i="11"/>
  <c r="G1086" i="11" s="1"/>
  <c r="F1082" i="11"/>
  <c r="F1078" i="11"/>
  <c r="G1078" i="11" s="1"/>
  <c r="F1074" i="11"/>
  <c r="G1074" i="11" s="1"/>
  <c r="F1070" i="11"/>
  <c r="G1070" i="11" s="1"/>
  <c r="F1066" i="11"/>
  <c r="G1066" i="11" s="1"/>
  <c r="F1062" i="11"/>
  <c r="G1062" i="11" s="1"/>
  <c r="F1058" i="11"/>
  <c r="G1058" i="11" s="1"/>
  <c r="F1054" i="11"/>
  <c r="G1054" i="11" s="1"/>
  <c r="H1054" i="11" s="1"/>
  <c r="H1055" i="11" s="1"/>
  <c r="I1053" i="11" s="1"/>
  <c r="H323" i="1" s="1"/>
  <c r="F1050" i="11"/>
  <c r="G1050" i="11" s="1"/>
  <c r="F1046" i="11"/>
  <c r="G1046" i="11" s="1"/>
  <c r="F1042" i="11"/>
  <c r="G1042" i="11" s="1"/>
  <c r="F1038" i="11"/>
  <c r="G1038" i="11" s="1"/>
  <c r="F1034" i="11"/>
  <c r="G1034" i="11" s="1"/>
  <c r="F1030" i="11"/>
  <c r="G1030" i="11" s="1"/>
  <c r="F1026" i="11"/>
  <c r="G1026" i="11" s="1"/>
  <c r="F1022" i="11"/>
  <c r="G1022" i="11" s="1"/>
  <c r="F1018" i="11"/>
  <c r="G1018" i="11" s="1"/>
  <c r="F1014" i="11"/>
  <c r="G1014" i="11" s="1"/>
  <c r="F1010" i="11"/>
  <c r="G1010" i="11" s="1"/>
  <c r="F1006" i="11"/>
  <c r="G1006" i="11" s="1"/>
  <c r="F1002" i="11"/>
  <c r="G1002" i="11" s="1"/>
  <c r="F998" i="11"/>
  <c r="G998" i="11" s="1"/>
  <c r="H998" i="11" s="1"/>
  <c r="H999" i="11" s="1"/>
  <c r="I997" i="11" s="1"/>
  <c r="H308" i="1" s="1"/>
  <c r="F994" i="11"/>
  <c r="G994" i="11" s="1"/>
  <c r="F990" i="11"/>
  <c r="G990" i="11" s="1"/>
  <c r="F986" i="11"/>
  <c r="G986" i="11" s="1"/>
  <c r="F982" i="11"/>
  <c r="G982" i="11" s="1"/>
  <c r="H982" i="11" s="1"/>
  <c r="H983" i="11" s="1"/>
  <c r="I981" i="11" s="1"/>
  <c r="H303" i="1" s="1"/>
  <c r="F978" i="11"/>
  <c r="G978" i="11" s="1"/>
  <c r="F974" i="11"/>
  <c r="G974" i="11" s="1"/>
  <c r="F970" i="11"/>
  <c r="G970" i="11" s="1"/>
  <c r="H970" i="11" s="1"/>
  <c r="H971" i="11" s="1"/>
  <c r="I969" i="11" s="1"/>
  <c r="H299" i="1" s="1"/>
  <c r="F966" i="11"/>
  <c r="G966" i="11" s="1"/>
  <c r="F962" i="11"/>
  <c r="G962" i="11" s="1"/>
  <c r="F958" i="11"/>
  <c r="G958" i="11" s="1"/>
  <c r="H958" i="11" s="1"/>
  <c r="H959" i="11" s="1"/>
  <c r="H960" i="11" s="1"/>
  <c r="I957" i="11" s="1"/>
  <c r="H296" i="1" s="1"/>
  <c r="F954" i="11"/>
  <c r="G954" i="11" s="1"/>
  <c r="H954" i="11" s="1"/>
  <c r="H955" i="11" s="1"/>
  <c r="H956" i="11" s="1"/>
  <c r="I953" i="11" s="1"/>
  <c r="H295" i="1" s="1"/>
  <c r="F950" i="11"/>
  <c r="G950" i="11" s="1"/>
  <c r="F946" i="11"/>
  <c r="G946" i="11" s="1"/>
  <c r="F942" i="11"/>
  <c r="G942" i="11" s="1"/>
  <c r="F938" i="11"/>
  <c r="G938" i="11" s="1"/>
  <c r="F934" i="11"/>
  <c r="G934" i="11" s="1"/>
  <c r="F930" i="11"/>
  <c r="G930" i="11" s="1"/>
  <c r="F926" i="11"/>
  <c r="G926" i="11" s="1"/>
  <c r="F922" i="11"/>
  <c r="G922" i="11" s="1"/>
  <c r="F918" i="11"/>
  <c r="G918" i="11" s="1"/>
  <c r="F914" i="11"/>
  <c r="G914" i="11" s="1"/>
  <c r="F910" i="11"/>
  <c r="G910" i="11" s="1"/>
  <c r="F906" i="11"/>
  <c r="G906" i="11" s="1"/>
  <c r="F902" i="11"/>
  <c r="G902" i="11" s="1"/>
  <c r="F898" i="11"/>
  <c r="G898" i="11" s="1"/>
  <c r="H898" i="11" s="1"/>
  <c r="I897" i="11" s="1"/>
  <c r="H279" i="1" s="1"/>
  <c r="F894" i="11"/>
  <c r="G894" i="11" s="1"/>
  <c r="F890" i="11"/>
  <c r="G890" i="11" s="1"/>
  <c r="F886" i="11"/>
  <c r="G886" i="11" s="1"/>
  <c r="F882" i="11"/>
  <c r="G882" i="11" s="1"/>
  <c r="H882" i="11" s="1"/>
  <c r="I881" i="11" s="1"/>
  <c r="H274" i="1" s="1"/>
  <c r="F878" i="11"/>
  <c r="G878" i="11" s="1"/>
  <c r="H878" i="11" s="1"/>
  <c r="H879" i="11" s="1"/>
  <c r="H880" i="11" s="1"/>
  <c r="I877" i="11" s="1"/>
  <c r="H273" i="1" s="1"/>
  <c r="F874" i="11"/>
  <c r="G874" i="11" s="1"/>
  <c r="H874" i="11" s="1"/>
  <c r="H875" i="11" s="1"/>
  <c r="H876" i="11" s="1"/>
  <c r="I873" i="11" s="1"/>
  <c r="H272" i="1" s="1"/>
  <c r="F870" i="11"/>
  <c r="G870" i="11" s="1"/>
  <c r="F866" i="11"/>
  <c r="G866" i="11" s="1"/>
  <c r="F862" i="11"/>
  <c r="G862" i="11" s="1"/>
  <c r="F858" i="11"/>
  <c r="G858" i="11" s="1"/>
  <c r="F854" i="11"/>
  <c r="G854" i="11" s="1"/>
  <c r="H854" i="11" s="1"/>
  <c r="H855" i="11" s="1"/>
  <c r="H856" i="11" s="1"/>
  <c r="H857" i="11" s="1"/>
  <c r="H858" i="11" s="1"/>
  <c r="I853" i="11" s="1"/>
  <c r="H267" i="1" s="1"/>
  <c r="F850" i="11"/>
  <c r="G850" i="11" s="1"/>
  <c r="F846" i="11"/>
  <c r="G846" i="11" s="1"/>
  <c r="H846" i="11" s="1"/>
  <c r="H847" i="11" s="1"/>
  <c r="H848" i="11" s="1"/>
  <c r="F842" i="11"/>
  <c r="G842" i="11" s="1"/>
  <c r="H842" i="11" s="1"/>
  <c r="H843" i="11" s="1"/>
  <c r="H844" i="11" s="1"/>
  <c r="I841" i="11" s="1"/>
  <c r="H264" i="1" s="1"/>
  <c r="F838" i="11"/>
  <c r="G838" i="11" s="1"/>
  <c r="F834" i="11"/>
  <c r="G834" i="11" s="1"/>
  <c r="F830" i="11"/>
  <c r="G830" i="11" s="1"/>
  <c r="F826" i="11"/>
  <c r="G826" i="11" s="1"/>
  <c r="F822" i="11"/>
  <c r="G822" i="11" s="1"/>
  <c r="H822" i="11" s="1"/>
  <c r="I821" i="11" s="1"/>
  <c r="H258" i="1" s="1"/>
  <c r="F818" i="11"/>
  <c r="G818" i="11" s="1"/>
  <c r="F814" i="11"/>
  <c r="G814" i="11" s="1"/>
  <c r="H814" i="11" s="1"/>
  <c r="H815" i="11" s="1"/>
  <c r="H816" i="11" s="1"/>
  <c r="I813" i="11" s="1"/>
  <c r="H255" i="1" s="1"/>
  <c r="F810" i="11"/>
  <c r="G810" i="11" s="1"/>
  <c r="H810" i="11" s="1"/>
  <c r="H811" i="11" s="1"/>
  <c r="H812" i="11" s="1"/>
  <c r="I809" i="11" s="1"/>
  <c r="H254" i="1" s="1"/>
  <c r="F806" i="11"/>
  <c r="G806" i="11" s="1"/>
  <c r="F802" i="11"/>
  <c r="G802" i="11" s="1"/>
  <c r="F798" i="11"/>
  <c r="G798" i="11" s="1"/>
  <c r="H798" i="11" s="1"/>
  <c r="H799" i="11" s="1"/>
  <c r="I797" i="11" s="1"/>
  <c r="H249" i="1" s="1"/>
  <c r="F794" i="11"/>
  <c r="G794" i="11" s="1"/>
  <c r="F790" i="11"/>
  <c r="G790" i="11" s="1"/>
  <c r="F786" i="11"/>
  <c r="G786" i="11" s="1"/>
  <c r="F782" i="11"/>
  <c r="G782" i="11" s="1"/>
  <c r="F778" i="11"/>
  <c r="G778" i="11" s="1"/>
  <c r="F774" i="11"/>
  <c r="G774" i="11" s="1"/>
  <c r="F770" i="11"/>
  <c r="G770" i="11" s="1"/>
  <c r="F766" i="11"/>
  <c r="G766" i="11" s="1"/>
  <c r="H766" i="11" s="1"/>
  <c r="H767" i="11" s="1"/>
  <c r="H768" i="11" s="1"/>
  <c r="F762" i="11"/>
  <c r="G762" i="11" s="1"/>
  <c r="F758" i="11"/>
  <c r="G758" i="11" s="1"/>
  <c r="F754" i="11"/>
  <c r="G754" i="11" s="1"/>
  <c r="F750" i="11"/>
  <c r="G750" i="11" s="1"/>
  <c r="H750" i="11" s="1"/>
  <c r="I749" i="11" s="1"/>
  <c r="H235" i="1" s="1"/>
  <c r="F746" i="11"/>
  <c r="G746" i="11" s="1"/>
  <c r="F742" i="11"/>
  <c r="G742" i="11" s="1"/>
  <c r="F738" i="11"/>
  <c r="G738" i="11" s="1"/>
  <c r="F734" i="11"/>
  <c r="G734" i="11" s="1"/>
  <c r="F730" i="11"/>
  <c r="G730" i="11" s="1"/>
  <c r="F726" i="11"/>
  <c r="G726" i="11" s="1"/>
  <c r="F722" i="11"/>
  <c r="G722" i="11" s="1"/>
  <c r="F718" i="11"/>
  <c r="G718" i="11" s="1"/>
  <c r="H718" i="11" s="1"/>
  <c r="H719" i="11" s="1"/>
  <c r="H720" i="11" s="1"/>
  <c r="H721" i="11" s="1"/>
  <c r="I717" i="11" s="1"/>
  <c r="H226" i="1" s="1"/>
  <c r="F714" i="11"/>
  <c r="G714" i="11" s="1"/>
  <c r="H714" i="11" s="1"/>
  <c r="H715" i="11" s="1"/>
  <c r="H716" i="11" s="1"/>
  <c r="I713" i="11" s="1"/>
  <c r="H225" i="1" s="1"/>
  <c r="F710" i="11"/>
  <c r="G710" i="11" s="1"/>
  <c r="H710" i="11" s="1"/>
  <c r="H711" i="11" s="1"/>
  <c r="H712" i="11" s="1"/>
  <c r="I709" i="11" s="1"/>
  <c r="H224" i="1" s="1"/>
  <c r="F706" i="11"/>
  <c r="G706" i="11" s="1"/>
  <c r="F702" i="11"/>
  <c r="G702" i="11" s="1"/>
  <c r="F698" i="11"/>
  <c r="G698" i="11" s="1"/>
  <c r="H698" i="11" s="1"/>
  <c r="H699" i="11" s="1"/>
  <c r="H700" i="11" s="1"/>
  <c r="F694" i="11"/>
  <c r="G694" i="11" s="1"/>
  <c r="F690" i="11"/>
  <c r="G690" i="11" s="1"/>
  <c r="F686" i="11"/>
  <c r="G686" i="11" s="1"/>
  <c r="F682" i="11"/>
  <c r="G682" i="11" s="1"/>
  <c r="F678" i="11"/>
  <c r="G678" i="11" s="1"/>
  <c r="F674" i="11"/>
  <c r="G674" i="11" s="1"/>
  <c r="F670" i="11"/>
  <c r="G670" i="11" s="1"/>
  <c r="F666" i="11"/>
  <c r="G666" i="11" s="1"/>
  <c r="F662" i="11"/>
  <c r="G662" i="11" s="1"/>
  <c r="F658" i="11"/>
  <c r="G658" i="11" s="1"/>
  <c r="F654" i="11"/>
  <c r="G654" i="11" s="1"/>
  <c r="F650" i="11"/>
  <c r="G650" i="11" s="1"/>
  <c r="F646" i="11"/>
  <c r="G646" i="11" s="1"/>
  <c r="F642" i="11"/>
  <c r="G642" i="11" s="1"/>
  <c r="F638" i="11"/>
  <c r="G638" i="11" s="1"/>
  <c r="F634" i="11"/>
  <c r="G634" i="11" s="1"/>
  <c r="F630" i="11"/>
  <c r="G630" i="11" s="1"/>
  <c r="F626" i="11"/>
  <c r="G626" i="11" s="1"/>
  <c r="F622" i="11"/>
  <c r="F618" i="11"/>
  <c r="F614" i="11"/>
  <c r="G614" i="11" s="1"/>
  <c r="F610" i="11"/>
  <c r="G610" i="11" s="1"/>
  <c r="F606" i="11"/>
  <c r="G606" i="11" s="1"/>
  <c r="F602" i="11"/>
  <c r="G602" i="11" s="1"/>
  <c r="F598" i="11"/>
  <c r="G598" i="11" s="1"/>
  <c r="H598" i="11" s="1"/>
  <c r="H599" i="11" s="1"/>
  <c r="I597" i="11" s="1"/>
  <c r="H190" i="1" s="1"/>
  <c r="F594" i="11"/>
  <c r="G594" i="11" s="1"/>
  <c r="F590" i="11"/>
  <c r="G590" i="11" s="1"/>
  <c r="H590" i="11" s="1"/>
  <c r="H591" i="11" s="1"/>
  <c r="I589" i="11" s="1"/>
  <c r="H187" i="1" s="1"/>
  <c r="F586" i="11"/>
  <c r="F582" i="11"/>
  <c r="G582" i="11" s="1"/>
  <c r="F578" i="11"/>
  <c r="G578" i="11" s="1"/>
  <c r="F574" i="11"/>
  <c r="G574" i="11" s="1"/>
  <c r="F570" i="11"/>
  <c r="G570" i="11" s="1"/>
  <c r="H570" i="11" s="1"/>
  <c r="H571" i="11" s="1"/>
  <c r="I569" i="11" s="1"/>
  <c r="H180" i="1" s="1"/>
  <c r="F566" i="11"/>
  <c r="G566" i="11" s="1"/>
  <c r="H566" i="11" s="1"/>
  <c r="H567" i="11" s="1"/>
  <c r="H568" i="11" s="1"/>
  <c r="I565" i="11" s="1"/>
  <c r="H179" i="1" s="1"/>
  <c r="F562" i="11"/>
  <c r="G562" i="11" s="1"/>
  <c r="F558" i="11"/>
  <c r="G558" i="11" s="1"/>
  <c r="F554" i="11"/>
  <c r="G554" i="11" s="1"/>
  <c r="F550" i="11"/>
  <c r="G550" i="11" s="1"/>
  <c r="F546" i="11"/>
  <c r="F542" i="11"/>
  <c r="G542" i="11" s="1"/>
  <c r="F538" i="11"/>
  <c r="G538" i="11" s="1"/>
  <c r="F534" i="11"/>
  <c r="G534" i="11" s="1"/>
  <c r="F530" i="11"/>
  <c r="G530" i="11" s="1"/>
  <c r="F526" i="11"/>
  <c r="G526" i="11" s="1"/>
  <c r="F522" i="11"/>
  <c r="G522" i="11" s="1"/>
  <c r="F518" i="11"/>
  <c r="G518" i="11" s="1"/>
  <c r="F514" i="11"/>
  <c r="G514" i="11" s="1"/>
  <c r="F510" i="11"/>
  <c r="G510" i="11" s="1"/>
  <c r="F506" i="11"/>
  <c r="G506" i="11" s="1"/>
  <c r="F502" i="11"/>
  <c r="G502" i="11" s="1"/>
  <c r="H502" i="11" s="1"/>
  <c r="I501" i="11" s="1"/>
  <c r="H159" i="1" s="1"/>
  <c r="F498" i="11"/>
  <c r="G498" i="11" s="1"/>
  <c r="F494" i="11"/>
  <c r="G494" i="11" s="1"/>
  <c r="F490" i="11"/>
  <c r="G490" i="11" s="1"/>
  <c r="H490" i="11" s="1"/>
  <c r="H491" i="11" s="1"/>
  <c r="H492" i="11" s="1"/>
  <c r="F486" i="11"/>
  <c r="G486" i="11" s="1"/>
  <c r="F482" i="11"/>
  <c r="G482" i="11" s="1"/>
  <c r="F478" i="11"/>
  <c r="G478" i="11" s="1"/>
  <c r="H478" i="11" s="1"/>
  <c r="H479" i="11" s="1"/>
  <c r="H480" i="11" s="1"/>
  <c r="F474" i="11"/>
  <c r="G474" i="11" s="1"/>
  <c r="F470" i="11"/>
  <c r="G470" i="11" s="1"/>
  <c r="F466" i="11"/>
  <c r="G466" i="11" s="1"/>
  <c r="F462" i="11"/>
  <c r="G462" i="11" s="1"/>
  <c r="F458" i="11"/>
  <c r="G458" i="11" s="1"/>
  <c r="F454" i="11"/>
  <c r="G454" i="11" s="1"/>
  <c r="F450" i="11"/>
  <c r="G450" i="11" s="1"/>
  <c r="F446" i="11"/>
  <c r="G446" i="11" s="1"/>
  <c r="H446" i="11" s="1"/>
  <c r="H447" i="11" s="1"/>
  <c r="I445" i="11" s="1"/>
  <c r="H149" i="1" s="1"/>
  <c r="F442" i="11"/>
  <c r="G442" i="11" s="1"/>
  <c r="F438" i="11"/>
  <c r="G438" i="11" s="1"/>
  <c r="F434" i="11"/>
  <c r="G434" i="11" s="1"/>
  <c r="F430" i="11"/>
  <c r="G430" i="11" s="1"/>
  <c r="F426" i="11"/>
  <c r="G426" i="11" s="1"/>
  <c r="F422" i="11"/>
  <c r="G422" i="11" s="1"/>
  <c r="H422" i="11" s="1"/>
  <c r="I421" i="11" s="1"/>
  <c r="H143" i="1" s="1"/>
  <c r="F418" i="11"/>
  <c r="G418" i="11" s="1"/>
  <c r="F414" i="11"/>
  <c r="G414" i="11" s="1"/>
  <c r="H414" i="11" s="1"/>
  <c r="H415" i="11" s="1"/>
  <c r="I413" i="11" s="1"/>
  <c r="H140" i="1" s="1"/>
  <c r="F410" i="11"/>
  <c r="G410" i="11" s="1"/>
  <c r="F406" i="11"/>
  <c r="G406" i="11" s="1"/>
  <c r="H406" i="11" s="1"/>
  <c r="I405" i="11" s="1"/>
  <c r="H137" i="1" s="1"/>
  <c r="F402" i="11"/>
  <c r="G402" i="11" s="1"/>
  <c r="H402" i="11" s="1"/>
  <c r="I401" i="11" s="1"/>
  <c r="H135" i="1" s="1"/>
  <c r="F398" i="11"/>
  <c r="G398" i="11" s="1"/>
  <c r="F394" i="11"/>
  <c r="G394" i="11" s="1"/>
  <c r="F390" i="11"/>
  <c r="G390" i="11" s="1"/>
  <c r="F386" i="11"/>
  <c r="G386" i="11" s="1"/>
  <c r="F382" i="11"/>
  <c r="G382" i="11" s="1"/>
  <c r="F378" i="11"/>
  <c r="G378" i="11" s="1"/>
  <c r="H378" i="11" s="1"/>
  <c r="I377" i="11" s="1"/>
  <c r="H125" i="1" s="1"/>
  <c r="F374" i="11"/>
  <c r="G374" i="11" s="1"/>
  <c r="H374" i="11" s="1"/>
  <c r="H375" i="11" s="1"/>
  <c r="H376" i="11" s="1"/>
  <c r="I373" i="11" s="1"/>
  <c r="H124" i="1" s="1"/>
  <c r="F370" i="11"/>
  <c r="G370" i="11" s="1"/>
  <c r="F366" i="11"/>
  <c r="G366" i="11" s="1"/>
  <c r="F362" i="11"/>
  <c r="G362" i="11" s="1"/>
  <c r="H362" i="11" s="1"/>
  <c r="H363" i="11" s="1"/>
  <c r="H364" i="11" s="1"/>
  <c r="F358" i="11"/>
  <c r="G358" i="11" s="1"/>
  <c r="F354" i="11"/>
  <c r="G354" i="11" s="1"/>
  <c r="F350" i="11"/>
  <c r="G350" i="11" s="1"/>
  <c r="F346" i="11"/>
  <c r="G346" i="11" s="1"/>
  <c r="F342" i="11"/>
  <c r="G342" i="11" s="1"/>
  <c r="F338" i="11"/>
  <c r="G338" i="11" s="1"/>
  <c r="F334" i="11"/>
  <c r="G334" i="11" s="1"/>
  <c r="H334" i="11" s="1"/>
  <c r="H335" i="11" s="1"/>
  <c r="I333" i="11" s="1"/>
  <c r="H110" i="1" s="1"/>
  <c r="F330" i="11"/>
  <c r="G330" i="11" s="1"/>
  <c r="F326" i="11"/>
  <c r="G326" i="11" s="1"/>
  <c r="F322" i="11"/>
  <c r="G322" i="11" s="1"/>
  <c r="F318" i="11"/>
  <c r="G318" i="11" s="1"/>
  <c r="F314" i="11"/>
  <c r="G314" i="11" s="1"/>
  <c r="F310" i="11"/>
  <c r="G310" i="11" s="1"/>
  <c r="F306" i="11"/>
  <c r="G306" i="11" s="1"/>
  <c r="H306" i="11" s="1"/>
  <c r="H307" i="11" s="1"/>
  <c r="H308" i="11" s="1"/>
  <c r="F302" i="11"/>
  <c r="G302" i="11" s="1"/>
  <c r="F298" i="11"/>
  <c r="G298" i="11" s="1"/>
  <c r="F294" i="11"/>
  <c r="G294" i="11" s="1"/>
  <c r="H294" i="11" s="1"/>
  <c r="H295" i="11" s="1"/>
  <c r="I293" i="11" s="1"/>
  <c r="H99" i="1" s="1"/>
  <c r="F290" i="11"/>
  <c r="G290" i="11" s="1"/>
  <c r="F286" i="11"/>
  <c r="G286" i="11" s="1"/>
  <c r="F282" i="11"/>
  <c r="G282" i="11" s="1"/>
  <c r="F278" i="11"/>
  <c r="G278" i="11" s="1"/>
  <c r="F274" i="11"/>
  <c r="G274" i="11" s="1"/>
  <c r="F270" i="11"/>
  <c r="G270" i="11" s="1"/>
  <c r="F266" i="11"/>
  <c r="G266" i="11" s="1"/>
  <c r="F262" i="11"/>
  <c r="G262" i="11" s="1"/>
  <c r="F258" i="11"/>
  <c r="G258" i="11" s="1"/>
  <c r="F254" i="11"/>
  <c r="F250" i="11"/>
  <c r="G250" i="11" s="1"/>
  <c r="F246" i="11"/>
  <c r="G246" i="11" s="1"/>
  <c r="H246" i="11" s="1"/>
  <c r="I245" i="11" s="1"/>
  <c r="H79" i="1" s="1"/>
  <c r="F242" i="11"/>
  <c r="G242" i="11" s="1"/>
  <c r="H242" i="11" s="1"/>
  <c r="I241" i="11" s="1"/>
  <c r="H77" i="1" s="1"/>
  <c r="F238" i="11"/>
  <c r="G238" i="11" s="1"/>
  <c r="F234" i="11"/>
  <c r="G234" i="11" s="1"/>
  <c r="F230" i="11"/>
  <c r="G230" i="11" s="1"/>
  <c r="H230" i="11" s="1"/>
  <c r="I229" i="11" s="1"/>
  <c r="H71" i="1" s="1"/>
  <c r="F226" i="11"/>
  <c r="G226" i="11" s="1"/>
  <c r="H226" i="11" s="1"/>
  <c r="I225" i="11" s="1"/>
  <c r="H69" i="1" s="1"/>
  <c r="F222" i="11"/>
  <c r="G222" i="11" s="1"/>
  <c r="H222" i="11" s="1"/>
  <c r="H223" i="11" s="1"/>
  <c r="H224" i="11" s="1"/>
  <c r="I221" i="11" s="1"/>
  <c r="H68" i="1" s="1"/>
  <c r="F218" i="11"/>
  <c r="G218" i="11" s="1"/>
  <c r="H218" i="11" s="1"/>
  <c r="H219" i="11" s="1"/>
  <c r="H220" i="11" s="1"/>
  <c r="I217" i="11" s="1"/>
  <c r="H67" i="1" s="1"/>
  <c r="F214" i="11"/>
  <c r="G214" i="11" s="1"/>
  <c r="H214" i="11" s="1"/>
  <c r="H215" i="11" s="1"/>
  <c r="H216" i="11" s="1"/>
  <c r="I213" i="11" s="1"/>
  <c r="H66" i="1" s="1"/>
  <c r="F210" i="11"/>
  <c r="G210" i="11" s="1"/>
  <c r="F206" i="11"/>
  <c r="G206" i="11" s="1"/>
  <c r="H206" i="11" s="1"/>
  <c r="H207" i="11" s="1"/>
  <c r="H208" i="11" s="1"/>
  <c r="I205" i="11" s="1"/>
  <c r="H63" i="1" s="1"/>
  <c r="F202" i="11"/>
  <c r="G202" i="11" s="1"/>
  <c r="F198" i="11"/>
  <c r="G198" i="11" s="1"/>
  <c r="F194" i="11"/>
  <c r="G194" i="11" s="1"/>
  <c r="F190" i="11"/>
  <c r="G190" i="11" s="1"/>
  <c r="F186" i="11"/>
  <c r="G186" i="11" s="1"/>
  <c r="F182" i="11"/>
  <c r="G182" i="11" s="1"/>
  <c r="F178" i="11"/>
  <c r="G178" i="11" s="1"/>
  <c r="F174" i="11"/>
  <c r="G174" i="11" s="1"/>
  <c r="F170" i="11"/>
  <c r="G170" i="11" s="1"/>
  <c r="F166" i="11"/>
  <c r="G166" i="11" s="1"/>
  <c r="F162" i="11"/>
  <c r="G162" i="11" s="1"/>
  <c r="F158" i="11"/>
  <c r="G158" i="11" s="1"/>
  <c r="F154" i="11"/>
  <c r="G154" i="11" s="1"/>
  <c r="H154" i="11" s="1"/>
  <c r="H155" i="11" s="1"/>
  <c r="H156" i="11" s="1"/>
  <c r="F150" i="11"/>
  <c r="G150" i="11" s="1"/>
  <c r="F146" i="11"/>
  <c r="G146" i="11" s="1"/>
  <c r="H146" i="11" s="1"/>
  <c r="H147" i="11" s="1"/>
  <c r="I145" i="11" s="1"/>
  <c r="H50" i="1" s="1"/>
  <c r="F142" i="11"/>
  <c r="G142" i="11" s="1"/>
  <c r="H142" i="11" s="1"/>
  <c r="H143" i="11" s="1"/>
  <c r="H144" i="11" s="1"/>
  <c r="I141" i="11" s="1"/>
  <c r="H49" i="1" s="1"/>
  <c r="F138" i="11"/>
  <c r="G138" i="11" s="1"/>
  <c r="H138" i="11" s="1"/>
  <c r="H139" i="11" s="1"/>
  <c r="H140" i="11" s="1"/>
  <c r="I137" i="11" s="1"/>
  <c r="H48" i="1" s="1"/>
  <c r="F134" i="11"/>
  <c r="G134" i="11" s="1"/>
  <c r="H134" i="11" s="1"/>
  <c r="H135" i="11" s="1"/>
  <c r="H136" i="11" s="1"/>
  <c r="I133" i="11" s="1"/>
  <c r="H47" i="1" s="1"/>
  <c r="F130" i="11"/>
  <c r="G130" i="11" s="1"/>
  <c r="H130" i="11" s="1"/>
  <c r="H131" i="11" s="1"/>
  <c r="H132" i="11" s="1"/>
  <c r="I129" i="11" s="1"/>
  <c r="H46" i="1" s="1"/>
  <c r="F126" i="11"/>
  <c r="G126" i="11" s="1"/>
  <c r="H126" i="11" s="1"/>
  <c r="H127" i="11" s="1"/>
  <c r="H128" i="11" s="1"/>
  <c r="I125" i="11" s="1"/>
  <c r="H45" i="1" s="1"/>
  <c r="F122" i="11"/>
  <c r="G122" i="11" s="1"/>
  <c r="H122" i="11" s="1"/>
  <c r="H123" i="11" s="1"/>
  <c r="H124" i="11" s="1"/>
  <c r="I121" i="11" s="1"/>
  <c r="H44" i="1" s="1"/>
  <c r="F118" i="11"/>
  <c r="G118" i="11" s="1"/>
  <c r="H118" i="11" s="1"/>
  <c r="H119" i="11" s="1"/>
  <c r="H120" i="11" s="1"/>
  <c r="I117" i="11" s="1"/>
  <c r="H43" i="1" s="1"/>
  <c r="F114" i="11"/>
  <c r="G114" i="11" s="1"/>
  <c r="H114" i="11" s="1"/>
  <c r="H115" i="11" s="1"/>
  <c r="H116" i="11" s="1"/>
  <c r="I113" i="11" s="1"/>
  <c r="H42" i="1" s="1"/>
  <c r="F110" i="11"/>
  <c r="G110" i="11" s="1"/>
  <c r="F106" i="11"/>
  <c r="G106" i="11" s="1"/>
  <c r="F102" i="11"/>
  <c r="G102" i="11" s="1"/>
  <c r="F98" i="11"/>
  <c r="G98" i="11" s="1"/>
  <c r="F94" i="11"/>
  <c r="G94" i="11" s="1"/>
  <c r="F90" i="11"/>
  <c r="G90" i="11" s="1"/>
  <c r="F86" i="11"/>
  <c r="G86" i="11" s="1"/>
  <c r="F82" i="11"/>
  <c r="G82" i="11" s="1"/>
  <c r="F78" i="11"/>
  <c r="G78" i="11" s="1"/>
  <c r="F74" i="11"/>
  <c r="G74" i="11" s="1"/>
  <c r="H74" i="11" s="1"/>
  <c r="I73" i="11" s="1"/>
  <c r="H28" i="1" s="1"/>
  <c r="F70" i="11"/>
  <c r="G70" i="11" s="1"/>
  <c r="H70" i="11" s="1"/>
  <c r="I69" i="11" s="1"/>
  <c r="H26" i="1" s="1"/>
  <c r="F66" i="11"/>
  <c r="G66" i="11" s="1"/>
  <c r="H66" i="11" s="1"/>
  <c r="I65" i="11" s="1"/>
  <c r="H24" i="1" s="1"/>
  <c r="F62" i="11"/>
  <c r="G62" i="11" s="1"/>
  <c r="H62" i="11" s="1"/>
  <c r="I61" i="11" s="1"/>
  <c r="H22" i="1" s="1"/>
  <c r="F58" i="11"/>
  <c r="G58" i="11" s="1"/>
  <c r="F54" i="11"/>
  <c r="G54" i="11" s="1"/>
  <c r="F50" i="11"/>
  <c r="G50" i="11" s="1"/>
  <c r="F46" i="11"/>
  <c r="G46" i="11" s="1"/>
  <c r="H46" i="11" s="1"/>
  <c r="H47" i="11" s="1"/>
  <c r="I45" i="11" s="1"/>
  <c r="H15" i="1" s="1"/>
  <c r="F42" i="11"/>
  <c r="G42" i="11" s="1"/>
  <c r="H42" i="11" s="1"/>
  <c r="H43" i="11" s="1"/>
  <c r="H44" i="11" s="1"/>
  <c r="I41" i="11" s="1"/>
  <c r="H14" i="1" s="1"/>
  <c r="F38" i="11"/>
  <c r="G38" i="11" s="1"/>
  <c r="F34" i="11"/>
  <c r="G34" i="11" s="1"/>
  <c r="H34" i="11" s="1"/>
  <c r="I33" i="11" s="1"/>
  <c r="H11" i="1" s="1"/>
  <c r="F30" i="11"/>
  <c r="F26" i="11"/>
  <c r="F22" i="11"/>
  <c r="F18" i="11"/>
  <c r="F14" i="11"/>
  <c r="G14" i="11" s="1"/>
  <c r="H14" i="11" s="1"/>
  <c r="I13" i="11" s="1"/>
  <c r="H5" i="1" s="1"/>
  <c r="F10" i="11"/>
  <c r="G10" i="11" s="1"/>
  <c r="F6" i="11"/>
  <c r="F2097" i="11"/>
  <c r="G2097" i="11" s="1"/>
  <c r="F2089" i="11"/>
  <c r="G2089" i="11" s="1"/>
  <c r="F2085" i="11"/>
  <c r="G2085" i="11" s="1"/>
  <c r="F2081" i="11"/>
  <c r="G2081" i="11" s="1"/>
  <c r="H2081" i="11" s="1"/>
  <c r="H2082" i="11" s="1"/>
  <c r="H2083" i="11" s="1"/>
  <c r="H2084" i="11" s="1"/>
  <c r="H2085" i="11" s="1"/>
  <c r="I2080" i="11" s="1"/>
  <c r="H599" i="1" s="1"/>
  <c r="F2077" i="11"/>
  <c r="G2077" i="11" s="1"/>
  <c r="F2073" i="11"/>
  <c r="G2073" i="11" s="1"/>
  <c r="F2069" i="11"/>
  <c r="G2069" i="11" s="1"/>
  <c r="F2065" i="11"/>
  <c r="G2065" i="11" s="1"/>
  <c r="F2061" i="11"/>
  <c r="G2061" i="11" s="1"/>
  <c r="F2057" i="11"/>
  <c r="G2057" i="11" s="1"/>
  <c r="F2053" i="11"/>
  <c r="G2053" i="11" s="1"/>
  <c r="F2049" i="11"/>
  <c r="G2049" i="11" s="1"/>
  <c r="F2045" i="11"/>
  <c r="G2045" i="11" s="1"/>
  <c r="F2041" i="11"/>
  <c r="G2041" i="11" s="1"/>
  <c r="F2037" i="11"/>
  <c r="G2037" i="11" s="1"/>
  <c r="F2029" i="11"/>
  <c r="G2029" i="11" s="1"/>
  <c r="H2029" i="11" s="1"/>
  <c r="H2030" i="11" s="1"/>
  <c r="I2028" i="11" s="1"/>
  <c r="H588" i="1" s="1"/>
  <c r="F2025" i="11"/>
  <c r="G2025" i="11" s="1"/>
  <c r="H2025" i="11" s="1"/>
  <c r="I2024" i="11" s="1"/>
  <c r="H586" i="1" s="1"/>
  <c r="F2021" i="11"/>
  <c r="G2021" i="11" s="1"/>
  <c r="H2021" i="11" s="1"/>
  <c r="H2022" i="11" s="1"/>
  <c r="H2023" i="11" s="1"/>
  <c r="I2020" i="11" s="1"/>
  <c r="H585" i="1" s="1"/>
  <c r="F2017" i="11"/>
  <c r="G2017" i="11" s="1"/>
  <c r="H2017" i="11" s="1"/>
  <c r="H2018" i="11" s="1"/>
  <c r="H2019" i="11" s="1"/>
  <c r="I2016" i="11" s="1"/>
  <c r="H584" i="1" s="1"/>
  <c r="F1989" i="11"/>
  <c r="G1989" i="11" s="1"/>
  <c r="F1981" i="11"/>
  <c r="G1981" i="11" s="1"/>
  <c r="F1973" i="11"/>
  <c r="G1973" i="11" s="1"/>
  <c r="H1973" i="11" s="1"/>
  <c r="H1974" i="11" s="1"/>
  <c r="H1975" i="11" s="1"/>
  <c r="H1976" i="11" s="1"/>
  <c r="I1972" i="11" s="1"/>
  <c r="H567" i="1" s="1"/>
  <c r="F1965" i="11"/>
  <c r="G1965" i="11" s="1"/>
  <c r="F1961" i="11"/>
  <c r="G1961" i="11" s="1"/>
  <c r="F1957" i="11"/>
  <c r="F1953" i="11"/>
  <c r="G1953" i="11" s="1"/>
  <c r="F1949" i="11"/>
  <c r="G1949" i="11" s="1"/>
  <c r="H1949" i="11" s="1"/>
  <c r="H1950" i="11" s="1"/>
  <c r="I1948" i="11" s="1"/>
  <c r="H560" i="1" s="1"/>
  <c r="F1941" i="11"/>
  <c r="G1941" i="11" s="1"/>
  <c r="F1937" i="11"/>
  <c r="G1937" i="11" s="1"/>
  <c r="H1937" i="11" s="1"/>
  <c r="H1938" i="11" s="1"/>
  <c r="I1936" i="11" s="1"/>
  <c r="H556" i="1" s="1"/>
  <c r="F1901" i="11"/>
  <c r="G1901" i="11" s="1"/>
  <c r="F1885" i="11"/>
  <c r="G1885" i="11" s="1"/>
  <c r="H1885" i="11" s="1"/>
  <c r="H1886" i="11" s="1"/>
  <c r="H1887" i="11" s="1"/>
  <c r="H1888" i="11" s="1"/>
  <c r="I1884" i="11" s="1"/>
  <c r="H534" i="1" s="1"/>
  <c r="F1881" i="11"/>
  <c r="G1881" i="11" s="1"/>
  <c r="F1877" i="11"/>
  <c r="G1877" i="11" s="1"/>
  <c r="F1873" i="11"/>
  <c r="G1873" i="11" s="1"/>
  <c r="F1869" i="11"/>
  <c r="G1869" i="11" s="1"/>
  <c r="F1861" i="11"/>
  <c r="G1861" i="11" s="1"/>
  <c r="F1857" i="11"/>
  <c r="G1857" i="11" s="1"/>
  <c r="F1853" i="11"/>
  <c r="G1853" i="11" s="1"/>
  <c r="F1849" i="11"/>
  <c r="G1849" i="11" s="1"/>
  <c r="F1845" i="11"/>
  <c r="G1845" i="11" s="1"/>
  <c r="F1841" i="11"/>
  <c r="G1841" i="11" s="1"/>
  <c r="F1837" i="11"/>
  <c r="G1837" i="11" s="1"/>
  <c r="H1837" i="11" s="1"/>
  <c r="H1838" i="11" s="1"/>
  <c r="I1836" i="11" s="1"/>
  <c r="H522" i="1" s="1"/>
  <c r="F1825" i="11"/>
  <c r="G1825" i="11" s="1"/>
  <c r="F1821" i="11"/>
  <c r="G1821" i="11" s="1"/>
  <c r="F1817" i="11"/>
  <c r="G1817" i="11" s="1"/>
  <c r="F1809" i="11"/>
  <c r="G1809" i="11" s="1"/>
  <c r="F1801" i="11"/>
  <c r="G1801" i="11" s="1"/>
  <c r="H1801" i="11" s="1"/>
  <c r="H1802" i="11" s="1"/>
  <c r="H1803" i="11" s="1"/>
  <c r="H1804" i="11" s="1"/>
  <c r="I1800" i="11" s="1"/>
  <c r="H514" i="1" s="1"/>
  <c r="F1797" i="11"/>
  <c r="G1797" i="11" s="1"/>
  <c r="F1793" i="11"/>
  <c r="G1793" i="11" s="1"/>
  <c r="F1789" i="11"/>
  <c r="G1789" i="11" s="1"/>
  <c r="F1785" i="11"/>
  <c r="G1785" i="11" s="1"/>
  <c r="H1785" i="11" s="1"/>
  <c r="H1786" i="11" s="1"/>
  <c r="I1784" i="11" s="1"/>
  <c r="H510" i="1" s="1"/>
  <c r="F1777" i="11"/>
  <c r="G1777" i="11" s="1"/>
  <c r="F1773" i="11"/>
  <c r="G1773" i="11" s="1"/>
  <c r="F1769" i="11"/>
  <c r="G1769" i="11" s="1"/>
  <c r="F1765" i="11"/>
  <c r="G1765" i="11" s="1"/>
  <c r="F1761" i="11"/>
  <c r="G1761" i="11" s="1"/>
  <c r="F1757" i="11"/>
  <c r="G1757" i="11" s="1"/>
  <c r="F1753" i="11"/>
  <c r="G1753" i="11" s="1"/>
  <c r="H1753" i="11" s="1"/>
  <c r="H1754" i="11" s="1"/>
  <c r="I1752" i="11" s="1"/>
  <c r="H501" i="1" s="1"/>
  <c r="F1733" i="11"/>
  <c r="G1733" i="11" s="1"/>
  <c r="F1729" i="11"/>
  <c r="G1729" i="11" s="1"/>
  <c r="F1725" i="11"/>
  <c r="G1725" i="11" s="1"/>
  <c r="F1721" i="11"/>
  <c r="F1717" i="11"/>
  <c r="F1713" i="11"/>
  <c r="G1713" i="11" s="1"/>
  <c r="F1709" i="11"/>
  <c r="G1709" i="11" s="1"/>
  <c r="F1697" i="11"/>
  <c r="G1697" i="11" s="1"/>
  <c r="F1693" i="11"/>
  <c r="G1693" i="11" s="1"/>
  <c r="H1693" i="11" s="1"/>
  <c r="H1694" i="11" s="1"/>
  <c r="I1692" i="11" s="1"/>
  <c r="H485" i="1" s="1"/>
  <c r="F1673" i="11"/>
  <c r="G1673" i="11" s="1"/>
  <c r="H1673" i="11" s="1"/>
  <c r="H1674" i="11" s="1"/>
  <c r="H1675" i="11" s="1"/>
  <c r="H1676" i="11" s="1"/>
  <c r="I1672" i="11" s="1"/>
  <c r="H480" i="1" s="1"/>
  <c r="F1669" i="11"/>
  <c r="G1669" i="11" s="1"/>
  <c r="F1661" i="11"/>
  <c r="G1661" i="11" s="1"/>
  <c r="F1657" i="11"/>
  <c r="G1657" i="11" s="1"/>
  <c r="F1653" i="11"/>
  <c r="F1645" i="11"/>
  <c r="G1645" i="11" s="1"/>
  <c r="F1641" i="11"/>
  <c r="G1641" i="11" s="1"/>
  <c r="F1637" i="11"/>
  <c r="G1637" i="11" s="1"/>
  <c r="F1629" i="11"/>
  <c r="G1629" i="11" s="1"/>
  <c r="H1629" i="11" s="1"/>
  <c r="H1630" i="11" s="1"/>
  <c r="H1631" i="11" s="1"/>
  <c r="H1632" i="11" s="1"/>
  <c r="I1628" i="11" s="1"/>
  <c r="H471" i="1" s="1"/>
  <c r="F1625" i="11"/>
  <c r="G1625" i="11" s="1"/>
  <c r="F1613" i="11"/>
  <c r="G1613" i="11" s="1"/>
  <c r="F1609" i="11"/>
  <c r="G1609" i="11" s="1"/>
  <c r="F1601" i="11"/>
  <c r="G1601" i="11" s="1"/>
  <c r="F1597" i="11"/>
  <c r="G1597" i="11" s="1"/>
  <c r="F1593" i="11"/>
  <c r="G1593" i="11" s="1"/>
  <c r="F1589" i="11"/>
  <c r="G1589" i="11" s="1"/>
  <c r="F1585" i="11"/>
  <c r="G1585" i="11" s="1"/>
  <c r="F1581" i="11"/>
  <c r="G1581" i="11" s="1"/>
  <c r="F1577" i="11"/>
  <c r="G1577" i="11" s="1"/>
  <c r="F1573" i="11"/>
  <c r="G1573" i="11" s="1"/>
  <c r="F1569" i="11"/>
  <c r="G1569" i="11" s="1"/>
  <c r="F1565" i="11"/>
  <c r="G1565" i="11" s="1"/>
  <c r="H1565" i="11" s="1"/>
  <c r="H1566" i="11" s="1"/>
  <c r="I1564" i="11" s="1"/>
  <c r="H458" i="1" s="1"/>
  <c r="F1561" i="11"/>
  <c r="G1561" i="11" s="1"/>
  <c r="F1557" i="11"/>
  <c r="G1557" i="11" s="1"/>
  <c r="F1553" i="11"/>
  <c r="G1553" i="11" s="1"/>
  <c r="F1549" i="11"/>
  <c r="G1549" i="11" s="1"/>
  <c r="F1545" i="11"/>
  <c r="G1545" i="11" s="1"/>
  <c r="H1545" i="11" s="1"/>
  <c r="H1546" i="11" s="1"/>
  <c r="H1547" i="11" s="1"/>
  <c r="H1548" i="11" s="1"/>
  <c r="F1541" i="11"/>
  <c r="G1541" i="11" s="1"/>
  <c r="F1537" i="11"/>
  <c r="G1537" i="11" s="1"/>
  <c r="F1533" i="11"/>
  <c r="G1533" i="11" s="1"/>
  <c r="F1529" i="11"/>
  <c r="G1529" i="11" s="1"/>
  <c r="F1525" i="11"/>
  <c r="G1525" i="11" s="1"/>
  <c r="F1521" i="11"/>
  <c r="G1521" i="11" s="1"/>
  <c r="F1517" i="11"/>
  <c r="G1517" i="11" s="1"/>
  <c r="F1513" i="11"/>
  <c r="G1513" i="11" s="1"/>
  <c r="H1513" i="11" s="1"/>
  <c r="H1514" i="11" s="1"/>
  <c r="H1515" i="11" s="1"/>
  <c r="H1516" i="11" s="1"/>
  <c r="F1509" i="11"/>
  <c r="G1509" i="11" s="1"/>
  <c r="F1505" i="11"/>
  <c r="G1505" i="11" s="1"/>
  <c r="F1501" i="11"/>
  <c r="G1501" i="11" s="1"/>
  <c r="F1497" i="11"/>
  <c r="G1497" i="11" s="1"/>
  <c r="F1493" i="11"/>
  <c r="G1493" i="11" s="1"/>
  <c r="H1493" i="11" s="1"/>
  <c r="F1489" i="11"/>
  <c r="G1489" i="11" s="1"/>
  <c r="F1485" i="11"/>
  <c r="G1485" i="11" s="1"/>
  <c r="F1481" i="11"/>
  <c r="G1481" i="11" s="1"/>
  <c r="F1477" i="11"/>
  <c r="G1477" i="11" s="1"/>
  <c r="F1473" i="11"/>
  <c r="G1473" i="11" s="1"/>
  <c r="H1473" i="11" s="1"/>
  <c r="H1474" i="11" s="1"/>
  <c r="I1472" i="11" s="1"/>
  <c r="H443" i="1" s="1"/>
  <c r="F1469" i="11"/>
  <c r="G1469" i="11" s="1"/>
  <c r="F1465" i="11"/>
  <c r="G1465" i="11" s="1"/>
  <c r="F1461" i="11"/>
  <c r="G1461" i="11" s="1"/>
  <c r="F1457" i="11"/>
  <c r="G1457" i="11" s="1"/>
  <c r="F1453" i="11"/>
  <c r="G1453" i="11" s="1"/>
  <c r="H1453" i="11" s="1"/>
  <c r="H1454" i="11" s="1"/>
  <c r="I1452" i="11" s="1"/>
  <c r="H439" i="1" s="1"/>
  <c r="F1449" i="11"/>
  <c r="G1449" i="11" s="1"/>
  <c r="F1445" i="11"/>
  <c r="G1445" i="11" s="1"/>
  <c r="F1441" i="11"/>
  <c r="G1441" i="11" s="1"/>
  <c r="F1437" i="11"/>
  <c r="G1437" i="11" s="1"/>
  <c r="F1433" i="11"/>
  <c r="G1433" i="11" s="1"/>
  <c r="F1429" i="11"/>
  <c r="G1429" i="11" s="1"/>
  <c r="F1425" i="11"/>
  <c r="G1425" i="11" s="1"/>
  <c r="F1421" i="11"/>
  <c r="G1421" i="11" s="1"/>
  <c r="F1417" i="11"/>
  <c r="G1417" i="11" s="1"/>
  <c r="F1413" i="11"/>
  <c r="G1413" i="11" s="1"/>
  <c r="H1413" i="11" s="1"/>
  <c r="F1409" i="11"/>
  <c r="G1409" i="11" s="1"/>
  <c r="F1405" i="11"/>
  <c r="G1405" i="11" s="1"/>
  <c r="F1401" i="11"/>
  <c r="G1401" i="11" s="1"/>
  <c r="H1401" i="11" s="1"/>
  <c r="H1402" i="11" s="1"/>
  <c r="H1403" i="11" s="1"/>
  <c r="H1404" i="11" s="1"/>
  <c r="F1397" i="11"/>
  <c r="G1397" i="11" s="1"/>
  <c r="F1393" i="11"/>
  <c r="G1393" i="11" s="1"/>
  <c r="F1389" i="11"/>
  <c r="G1389" i="11" s="1"/>
  <c r="F1385" i="11"/>
  <c r="G1385" i="11" s="1"/>
  <c r="F1381" i="11"/>
  <c r="G1381" i="11" s="1"/>
  <c r="F1377" i="11"/>
  <c r="G1377" i="11" s="1"/>
  <c r="F1373" i="11"/>
  <c r="G1373" i="11" s="1"/>
  <c r="F1369" i="11"/>
  <c r="G1369" i="11" s="1"/>
  <c r="F1365" i="11"/>
  <c r="G1365" i="11" s="1"/>
  <c r="F1361" i="11"/>
  <c r="G1361" i="11" s="1"/>
  <c r="H1361" i="11" s="1"/>
  <c r="H1362" i="11" s="1"/>
  <c r="I1360" i="11" s="1"/>
  <c r="H421" i="1" s="1"/>
  <c r="F1357" i="11"/>
  <c r="G1357" i="11" s="1"/>
  <c r="F1353" i="11"/>
  <c r="G1353" i="11" s="1"/>
  <c r="H1353" i="11" s="1"/>
  <c r="I1352" i="11" s="1"/>
  <c r="H418" i="1" s="1"/>
  <c r="F1349" i="11"/>
  <c r="G1349" i="11" s="1"/>
  <c r="F1345" i="11"/>
  <c r="G1345" i="11" s="1"/>
  <c r="H1345" i="11" s="1"/>
  <c r="I1344" i="11" s="1"/>
  <c r="H415" i="1" s="1"/>
  <c r="F1341" i="11"/>
  <c r="G1341" i="11" s="1"/>
  <c r="F1337" i="11"/>
  <c r="G1337" i="11" s="1"/>
  <c r="H1337" i="11" s="1"/>
  <c r="H1338" i="11" s="1"/>
  <c r="I1336" i="11" s="1"/>
  <c r="H412" i="1" s="1"/>
  <c r="F1333" i="11"/>
  <c r="G1333" i="11" s="1"/>
  <c r="F1329" i="11"/>
  <c r="G1329" i="11" s="1"/>
  <c r="F1325" i="11"/>
  <c r="G1325" i="11" s="1"/>
  <c r="H1325" i="11" s="1"/>
  <c r="H1326" i="11" s="1"/>
  <c r="H1327" i="11" s="1"/>
  <c r="H1328" i="11" s="1"/>
  <c r="I1324" i="11" s="1"/>
  <c r="H408" i="1" s="1"/>
  <c r="F1321" i="11"/>
  <c r="G1321" i="11" s="1"/>
  <c r="H1321" i="11" s="1"/>
  <c r="H1322" i="11" s="1"/>
  <c r="H1323" i="11" s="1"/>
  <c r="I1320" i="11" s="1"/>
  <c r="H407" i="1" s="1"/>
  <c r="F1317" i="11"/>
  <c r="G1317" i="11" s="1"/>
  <c r="H1317" i="11" s="1"/>
  <c r="F1313" i="11"/>
  <c r="G1313" i="11" s="1"/>
  <c r="H1313" i="11" s="1"/>
  <c r="H1314" i="11" s="1"/>
  <c r="H1315" i="11" s="1"/>
  <c r="I1312" i="11" s="1"/>
  <c r="H405" i="1" s="1"/>
  <c r="F1309" i="11"/>
  <c r="G1309" i="11" s="1"/>
  <c r="H1309" i="11" s="1"/>
  <c r="I1308" i="11" s="1"/>
  <c r="H403" i="1" s="1"/>
  <c r="F1305" i="11"/>
  <c r="G1305" i="11" s="1"/>
  <c r="H1305" i="11" s="1"/>
  <c r="I1304" i="11" s="1"/>
  <c r="H401" i="1" s="1"/>
  <c r="F1301" i="11"/>
  <c r="G1301" i="11" s="1"/>
  <c r="H1301" i="11" s="1"/>
  <c r="I1300" i="11" s="1"/>
  <c r="H399" i="1" s="1"/>
  <c r="F1297" i="11"/>
  <c r="G1297" i="11" s="1"/>
  <c r="H1297" i="11" s="1"/>
  <c r="I1296" i="11" s="1"/>
  <c r="H397" i="1" s="1"/>
  <c r="F1293" i="11"/>
  <c r="G1293" i="11" s="1"/>
  <c r="F1289" i="11"/>
  <c r="G1289" i="11" s="1"/>
  <c r="H1289" i="11" s="1"/>
  <c r="I1288" i="11" s="1"/>
  <c r="H393" i="1" s="1"/>
  <c r="F1285" i="11"/>
  <c r="G1285" i="11" s="1"/>
  <c r="F1281" i="11"/>
  <c r="G1281" i="11" s="1"/>
  <c r="F1277" i="11"/>
  <c r="G1277" i="11" s="1"/>
  <c r="H1277" i="11" s="1"/>
  <c r="H1278" i="11" s="1"/>
  <c r="I1276" i="11" s="1"/>
  <c r="H389" i="1" s="1"/>
  <c r="F1273" i="11"/>
  <c r="G1273" i="11" s="1"/>
  <c r="F1269" i="11"/>
  <c r="G1269" i="11" s="1"/>
  <c r="F1265" i="11"/>
  <c r="G1265" i="11" s="1"/>
  <c r="F1261" i="11"/>
  <c r="G1261" i="11" s="1"/>
  <c r="H1261" i="11" s="1"/>
  <c r="H1262" i="11" s="1"/>
  <c r="I1260" i="11" s="1"/>
  <c r="H383" i="1" s="1"/>
  <c r="F1257" i="11"/>
  <c r="G1257" i="11" s="1"/>
  <c r="F1253" i="11"/>
  <c r="G1253" i="11" s="1"/>
  <c r="F1249" i="11"/>
  <c r="G1249" i="11" s="1"/>
  <c r="F1245" i="11"/>
  <c r="G1245" i="11" s="1"/>
  <c r="F1241" i="11"/>
  <c r="G1241" i="11" s="1"/>
  <c r="F1237" i="11"/>
  <c r="G1237" i="11" s="1"/>
  <c r="F1233" i="11"/>
  <c r="G1233" i="11" s="1"/>
  <c r="F1229" i="11"/>
  <c r="G1229" i="11" s="1"/>
  <c r="F1225" i="11"/>
  <c r="G1225" i="11" s="1"/>
  <c r="F1221" i="11"/>
  <c r="G1221" i="11" s="1"/>
  <c r="F1217" i="11"/>
  <c r="G1217" i="11" s="1"/>
  <c r="F1213" i="11"/>
  <c r="G1213" i="11" s="1"/>
  <c r="F1209" i="11"/>
  <c r="G1209" i="11" s="1"/>
  <c r="F1205" i="11"/>
  <c r="G1205" i="11" s="1"/>
  <c r="F1201" i="11"/>
  <c r="G1201" i="11" s="1"/>
  <c r="F1197" i="11"/>
  <c r="G1197" i="11" s="1"/>
  <c r="F1193" i="11"/>
  <c r="G1193" i="11" s="1"/>
  <c r="F1189" i="11"/>
  <c r="G1189" i="11" s="1"/>
  <c r="F1185" i="11"/>
  <c r="G1185" i="11" s="1"/>
  <c r="F1181" i="11"/>
  <c r="G1181" i="11" s="1"/>
  <c r="F1177" i="11"/>
  <c r="G1177" i="11" s="1"/>
  <c r="F1173" i="11"/>
  <c r="G1173" i="11" s="1"/>
  <c r="F1169" i="11"/>
  <c r="G1169" i="11" s="1"/>
  <c r="H1169" i="11" s="1"/>
  <c r="H1170" i="11" s="1"/>
  <c r="I1168" i="11" s="1"/>
  <c r="H353" i="1" s="1"/>
  <c r="F1165" i="11"/>
  <c r="G1165" i="11" s="1"/>
  <c r="F1161" i="11"/>
  <c r="G1161" i="11" s="1"/>
  <c r="F1157" i="11"/>
  <c r="G1157" i="11" s="1"/>
  <c r="F1153" i="11"/>
  <c r="G1153" i="11" s="1"/>
  <c r="H1153" i="11" s="1"/>
  <c r="H1154" i="11" s="1"/>
  <c r="H1155" i="11" s="1"/>
  <c r="H1156" i="11" s="1"/>
  <c r="F1149" i="11"/>
  <c r="G1149" i="11" s="1"/>
  <c r="F1145" i="11"/>
  <c r="G1145" i="11" s="1"/>
  <c r="H1145" i="11" s="1"/>
  <c r="H1146" i="11" s="1"/>
  <c r="I1144" i="11" s="1"/>
  <c r="H348" i="1" s="1"/>
  <c r="F1141" i="11"/>
  <c r="G1141" i="11" s="1"/>
  <c r="F1137" i="11"/>
  <c r="G1137" i="11" s="1"/>
  <c r="F1133" i="11"/>
  <c r="G1133" i="11" s="1"/>
  <c r="F1129" i="11"/>
  <c r="G1129" i="11" s="1"/>
  <c r="H1129" i="11" s="1"/>
  <c r="I1128" i="11" s="1"/>
  <c r="H343" i="1" s="1"/>
  <c r="F1125" i="11"/>
  <c r="G1125" i="11" s="1"/>
  <c r="F1121" i="11"/>
  <c r="G1121" i="11" s="1"/>
  <c r="H1121" i="11" s="1"/>
  <c r="H1122" i="11" s="1"/>
  <c r="I1120" i="11" s="1"/>
  <c r="H340" i="1" s="1"/>
  <c r="F1117" i="11"/>
  <c r="G1117" i="11" s="1"/>
  <c r="H1117" i="11" s="1"/>
  <c r="H1118" i="11" s="1"/>
  <c r="H1119" i="11" s="1"/>
  <c r="I1116" i="11" s="1"/>
  <c r="H339" i="1" s="1"/>
  <c r="F1113" i="11"/>
  <c r="G1113" i="11" s="1"/>
  <c r="H1113" i="11" s="1"/>
  <c r="H1114" i="11" s="1"/>
  <c r="H1115" i="11" s="1"/>
  <c r="I1112" i="11" s="1"/>
  <c r="H338" i="1" s="1"/>
  <c r="F1109" i="11"/>
  <c r="G1109" i="11" s="1"/>
  <c r="H1109" i="11" s="1"/>
  <c r="I1108" i="11" s="1"/>
  <c r="H336" i="1" s="1"/>
  <c r="F1105" i="11"/>
  <c r="G1105" i="11" s="1"/>
  <c r="F1101" i="11"/>
  <c r="G1101" i="11" s="1"/>
  <c r="F1097" i="11"/>
  <c r="G1097" i="11" s="1"/>
  <c r="H1097" i="11" s="1"/>
  <c r="H1098" i="11" s="1"/>
  <c r="I1096" i="11" s="1"/>
  <c r="H333" i="1" s="1"/>
  <c r="F1093" i="11"/>
  <c r="G1093" i="11" s="1"/>
  <c r="F1089" i="11"/>
  <c r="G1089" i="11" s="1"/>
  <c r="F1085" i="11"/>
  <c r="G1085" i="11" s="1"/>
  <c r="F1081" i="11"/>
  <c r="G1081" i="11" s="1"/>
  <c r="F1077" i="11"/>
  <c r="G1077" i="11" s="1"/>
  <c r="F1073" i="11"/>
  <c r="G1073" i="11" s="1"/>
  <c r="F1069" i="11"/>
  <c r="G1069" i="11" s="1"/>
  <c r="F1065" i="11"/>
  <c r="G1065" i="11" s="1"/>
  <c r="H1065" i="11" s="1"/>
  <c r="H1066" i="11" s="1"/>
  <c r="I1064" i="11" s="1"/>
  <c r="H326" i="1" s="1"/>
  <c r="F1061" i="11"/>
  <c r="G1061" i="11" s="1"/>
  <c r="H1061" i="11" s="1"/>
  <c r="H1062" i="11" s="1"/>
  <c r="H1063" i="11" s="1"/>
  <c r="I1060" i="11" s="1"/>
  <c r="H325" i="1" s="1"/>
  <c r="F1057" i="11"/>
  <c r="G1057" i="11" s="1"/>
  <c r="H1057" i="11" s="1"/>
  <c r="H1058" i="11" s="1"/>
  <c r="H1059" i="11" s="1"/>
  <c r="I1056" i="11" s="1"/>
  <c r="H324" i="1" s="1"/>
  <c r="F1053" i="11"/>
  <c r="G1053" i="11" s="1"/>
  <c r="F1049" i="11"/>
  <c r="G1049" i="11" s="1"/>
  <c r="F1045" i="11"/>
  <c r="G1045" i="11" s="1"/>
  <c r="H1045" i="11" s="1"/>
  <c r="H1046" i="11" s="1"/>
  <c r="I1044" i="11" s="1"/>
  <c r="H320" i="1" s="1"/>
  <c r="F1041" i="11"/>
  <c r="G1041" i="11" s="1"/>
  <c r="H1041" i="11" s="1"/>
  <c r="H1042" i="11" s="1"/>
  <c r="H1043" i="11" s="1"/>
  <c r="I1040" i="11" s="1"/>
  <c r="H319" i="1" s="1"/>
  <c r="F1037" i="11"/>
  <c r="G1037" i="11" s="1"/>
  <c r="H1037" i="11" s="1"/>
  <c r="H1038" i="11" s="1"/>
  <c r="H1039" i="11" s="1"/>
  <c r="I1036" i="11" s="1"/>
  <c r="H318" i="1" s="1"/>
  <c r="F1033" i="11"/>
  <c r="G1033" i="11" s="1"/>
  <c r="H1033" i="11" s="1"/>
  <c r="H1034" i="11" s="1"/>
  <c r="H1035" i="11" s="1"/>
  <c r="I1032" i="11" s="1"/>
  <c r="H317" i="1" s="1"/>
  <c r="F1029" i="11"/>
  <c r="G1029" i="11" s="1"/>
  <c r="H1029" i="11" s="1"/>
  <c r="H1030" i="11" s="1"/>
  <c r="H1031" i="11" s="1"/>
  <c r="I1028" i="11" s="1"/>
  <c r="H316" i="1" s="1"/>
  <c r="F1025" i="11"/>
  <c r="G1025" i="11" s="1"/>
  <c r="H1025" i="11" s="1"/>
  <c r="H1026" i="11" s="1"/>
  <c r="H1027" i="11" s="1"/>
  <c r="I1024" i="11" s="1"/>
  <c r="H315" i="1" s="1"/>
  <c r="F1021" i="11"/>
  <c r="G1021" i="11" s="1"/>
  <c r="H1021" i="11" s="1"/>
  <c r="H1022" i="11" s="1"/>
  <c r="H1023" i="11" s="1"/>
  <c r="I1020" i="11" s="1"/>
  <c r="H314" i="1" s="1"/>
  <c r="F1017" i="11"/>
  <c r="G1017" i="11" s="1"/>
  <c r="H1017" i="11" s="1"/>
  <c r="H1018" i="11" s="1"/>
  <c r="H1019" i="11" s="1"/>
  <c r="I1016" i="11" s="1"/>
  <c r="H313" i="1" s="1"/>
  <c r="F1013" i="11"/>
  <c r="G1013" i="11" s="1"/>
  <c r="F1009" i="11"/>
  <c r="G1009" i="11" s="1"/>
  <c r="F1005" i="11"/>
  <c r="G1005" i="11" s="1"/>
  <c r="F1001" i="11"/>
  <c r="G1001" i="11" s="1"/>
  <c r="H1001" i="11" s="1"/>
  <c r="H1002" i="11" s="1"/>
  <c r="I1000" i="11" s="1"/>
  <c r="H309" i="1" s="1"/>
  <c r="F997" i="11"/>
  <c r="G997" i="11" s="1"/>
  <c r="F993" i="11"/>
  <c r="G993" i="11" s="1"/>
  <c r="F989" i="11"/>
  <c r="G989" i="11" s="1"/>
  <c r="H989" i="11" s="1"/>
  <c r="H990" i="11" s="1"/>
  <c r="I988" i="11" s="1"/>
  <c r="H305" i="1" s="1"/>
  <c r="F985" i="11"/>
  <c r="G985" i="11" s="1"/>
  <c r="H985" i="11" s="1"/>
  <c r="H986" i="11" s="1"/>
  <c r="H987" i="11" s="1"/>
  <c r="I984" i="11" s="1"/>
  <c r="H304" i="1" s="1"/>
  <c r="F981" i="11"/>
  <c r="G981" i="11" s="1"/>
  <c r="F977" i="11"/>
  <c r="G977" i="11" s="1"/>
  <c r="F973" i="11"/>
  <c r="G973" i="11" s="1"/>
  <c r="H973" i="11" s="1"/>
  <c r="H974" i="11" s="1"/>
  <c r="I972" i="11" s="1"/>
  <c r="H300" i="1" s="1"/>
  <c r="F969" i="11"/>
  <c r="G969" i="11" s="1"/>
  <c r="F965" i="11"/>
  <c r="G965" i="11" s="1"/>
  <c r="F961" i="11"/>
  <c r="G961" i="11" s="1"/>
  <c r="F957" i="11"/>
  <c r="G957" i="11" s="1"/>
  <c r="F953" i="11"/>
  <c r="G953" i="11" s="1"/>
  <c r="F949" i="11"/>
  <c r="G949" i="11" s="1"/>
  <c r="H949" i="11" s="1"/>
  <c r="I948" i="11" s="1"/>
  <c r="H293" i="1" s="1"/>
  <c r="F945" i="11"/>
  <c r="G945" i="11" s="1"/>
  <c r="H945" i="11" s="1"/>
  <c r="H946" i="11" s="1"/>
  <c r="H947" i="11" s="1"/>
  <c r="I944" i="11" s="1"/>
  <c r="H292" i="1" s="1"/>
  <c r="F941" i="11"/>
  <c r="G941" i="11" s="1"/>
  <c r="F937" i="11"/>
  <c r="G937" i="11" s="1"/>
  <c r="H937" i="11" s="1"/>
  <c r="I936" i="11" s="1"/>
  <c r="H289" i="1" s="1"/>
  <c r="F933" i="11"/>
  <c r="G933" i="11" s="1"/>
  <c r="F929" i="11"/>
  <c r="G929" i="11" s="1"/>
  <c r="F925" i="11"/>
  <c r="G925" i="11" s="1"/>
  <c r="F921" i="11"/>
  <c r="G921" i="11" s="1"/>
  <c r="F917" i="11"/>
  <c r="G917" i="11" s="1"/>
  <c r="F913" i="11"/>
  <c r="G913" i="11" s="1"/>
  <c r="F909" i="11"/>
  <c r="G909" i="11" s="1"/>
  <c r="F905" i="11"/>
  <c r="G905" i="11" s="1"/>
  <c r="F901" i="11"/>
  <c r="F897" i="11"/>
  <c r="G897" i="11" s="1"/>
  <c r="F893" i="11"/>
  <c r="G893" i="11" s="1"/>
  <c r="F889" i="11"/>
  <c r="G889" i="11" s="1"/>
  <c r="F885" i="11"/>
  <c r="G885" i="11" s="1"/>
  <c r="F881" i="11"/>
  <c r="G881" i="11" s="1"/>
  <c r="F877" i="11"/>
  <c r="G877" i="11" s="1"/>
  <c r="F873" i="11"/>
  <c r="G873" i="11" s="1"/>
  <c r="F869" i="11"/>
  <c r="G869" i="11" s="1"/>
  <c r="F865" i="11"/>
  <c r="G865" i="11" s="1"/>
  <c r="H865" i="11" s="1"/>
  <c r="H866" i="11" s="1"/>
  <c r="I864" i="11" s="1"/>
  <c r="H269" i="1" s="1"/>
  <c r="F861" i="11"/>
  <c r="G861" i="11" s="1"/>
  <c r="F857" i="11"/>
  <c r="G857" i="11" s="1"/>
  <c r="F853" i="11"/>
  <c r="G853" i="11" s="1"/>
  <c r="F849" i="11"/>
  <c r="G849" i="11" s="1"/>
  <c r="F845" i="11"/>
  <c r="G845" i="11" s="1"/>
  <c r="F841" i="11"/>
  <c r="G841" i="11" s="1"/>
  <c r="F837" i="11"/>
  <c r="G837" i="11" s="1"/>
  <c r="F833" i="11"/>
  <c r="G833" i="11" s="1"/>
  <c r="F829" i="11"/>
  <c r="G829" i="11" s="1"/>
  <c r="F825" i="11"/>
  <c r="G825" i="11" s="1"/>
  <c r="F821" i="11"/>
  <c r="G821" i="11" s="1"/>
  <c r="F817" i="11"/>
  <c r="G817" i="11" s="1"/>
  <c r="F813" i="11"/>
  <c r="G813" i="11" s="1"/>
  <c r="F809" i="11"/>
  <c r="G809" i="11" s="1"/>
  <c r="F805" i="11"/>
  <c r="G805" i="11" s="1"/>
  <c r="H805" i="11" s="1"/>
  <c r="I804" i="11" s="1"/>
  <c r="H252" i="1" s="1"/>
  <c r="F801" i="11"/>
  <c r="G801" i="11" s="1"/>
  <c r="H801" i="11" s="1"/>
  <c r="I800" i="11" s="1"/>
  <c r="H250" i="1" s="1"/>
  <c r="F797" i="11"/>
  <c r="G797" i="11" s="1"/>
  <c r="F793" i="11"/>
  <c r="G793" i="11" s="1"/>
  <c r="H793" i="11" s="1"/>
  <c r="I792" i="11" s="1"/>
  <c r="H247" i="1" s="1"/>
  <c r="F789" i="11"/>
  <c r="G789" i="11" s="1"/>
  <c r="F785" i="11"/>
  <c r="G785" i="11" s="1"/>
  <c r="H785" i="11" s="1"/>
  <c r="H786" i="11" s="1"/>
  <c r="H787" i="11" s="1"/>
  <c r="H788" i="11" s="1"/>
  <c r="F781" i="11"/>
  <c r="G781" i="11" s="1"/>
  <c r="F777" i="11"/>
  <c r="G777" i="11" s="1"/>
  <c r="F773" i="11"/>
  <c r="G773" i="11" s="1"/>
  <c r="F769" i="11"/>
  <c r="G769" i="11" s="1"/>
  <c r="F765" i="11"/>
  <c r="G765" i="11" s="1"/>
  <c r="F761" i="11"/>
  <c r="G761" i="11" s="1"/>
  <c r="F757" i="11"/>
  <c r="G757" i="11" s="1"/>
  <c r="F753" i="11"/>
  <c r="G753" i="11" s="1"/>
  <c r="H753" i="11" s="1"/>
  <c r="H754" i="11" s="1"/>
  <c r="I752" i="11" s="1"/>
  <c r="H237" i="1" s="1"/>
  <c r="F749" i="11"/>
  <c r="G749" i="11" s="1"/>
  <c r="F745" i="11"/>
  <c r="G745" i="11" s="1"/>
  <c r="F741" i="11"/>
  <c r="G741" i="11" s="1"/>
  <c r="F737" i="11"/>
  <c r="G737" i="11" s="1"/>
  <c r="F733" i="11"/>
  <c r="G733" i="11" s="1"/>
  <c r="H733" i="11" s="1"/>
  <c r="I732" i="11" s="1"/>
  <c r="H232" i="1" s="1"/>
  <c r="F729" i="11"/>
  <c r="G729" i="11" s="1"/>
  <c r="H729" i="11" s="1"/>
  <c r="I728" i="11" s="1"/>
  <c r="H230" i="1" s="1"/>
  <c r="F725" i="11"/>
  <c r="G725" i="11" s="1"/>
  <c r="H725" i="11" s="1"/>
  <c r="I724" i="11" s="1"/>
  <c r="H228" i="1" s="1"/>
  <c r="F721" i="11"/>
  <c r="F717" i="11"/>
  <c r="G717" i="11" s="1"/>
  <c r="F713" i="11"/>
  <c r="G713" i="11" s="1"/>
  <c r="F709" i="11"/>
  <c r="G709" i="11" s="1"/>
  <c r="F705" i="11"/>
  <c r="G705" i="11" s="1"/>
  <c r="F701" i="11"/>
  <c r="G701" i="11" s="1"/>
  <c r="F697" i="11"/>
  <c r="G697" i="11" s="1"/>
  <c r="F693" i="11"/>
  <c r="G693" i="11" s="1"/>
  <c r="H693" i="11" s="1"/>
  <c r="H694" i="11" s="1"/>
  <c r="H695" i="11" s="1"/>
  <c r="I692" i="11" s="1"/>
  <c r="H218" i="1" s="1"/>
  <c r="F689" i="11"/>
  <c r="G689" i="11" s="1"/>
  <c r="F685" i="11"/>
  <c r="G685" i="11" s="1"/>
  <c r="F681" i="11"/>
  <c r="G681" i="11" s="1"/>
  <c r="H681" i="11" s="1"/>
  <c r="I680" i="11" s="1"/>
  <c r="H215" i="1" s="1"/>
  <c r="F677" i="11"/>
  <c r="G677" i="11" s="1"/>
  <c r="F673" i="11"/>
  <c r="G673" i="11" s="1"/>
  <c r="H673" i="11" s="1"/>
  <c r="H674" i="11" s="1"/>
  <c r="I672" i="11" s="1"/>
  <c r="H212" i="1" s="1"/>
  <c r="F669" i="11"/>
  <c r="G669" i="11" s="1"/>
  <c r="F665" i="11"/>
  <c r="G665" i="11" s="1"/>
  <c r="F661" i="11"/>
  <c r="G661" i="11" s="1"/>
  <c r="H661" i="11" s="1"/>
  <c r="H662" i="11" s="1"/>
  <c r="I660" i="11" s="1"/>
  <c r="H208" i="1" s="1"/>
  <c r="F657" i="11"/>
  <c r="G657" i="11" s="1"/>
  <c r="F653" i="11"/>
  <c r="G653" i="11" s="1"/>
  <c r="F649" i="11"/>
  <c r="G649" i="11" s="1"/>
  <c r="F645" i="11"/>
  <c r="G645" i="11" s="1"/>
  <c r="H645" i="11" s="1"/>
  <c r="H646" i="11" s="1"/>
  <c r="I644" i="11" s="1"/>
  <c r="H204" i="1" s="1"/>
  <c r="F641" i="11"/>
  <c r="G641" i="11" s="1"/>
  <c r="H641" i="11" s="1"/>
  <c r="I640" i="11" s="1"/>
  <c r="H202" i="1" s="1"/>
  <c r="F637" i="11"/>
  <c r="G637" i="11" s="1"/>
  <c r="F633" i="11"/>
  <c r="G633" i="11" s="1"/>
  <c r="F629" i="11"/>
  <c r="G629" i="11" s="1"/>
  <c r="F625" i="11"/>
  <c r="G625" i="11" s="1"/>
  <c r="F621" i="11"/>
  <c r="G621" i="11" s="1"/>
  <c r="F617" i="11"/>
  <c r="G617" i="11" s="1"/>
  <c r="F613" i="11"/>
  <c r="G613" i="11" s="1"/>
  <c r="F609" i="11"/>
  <c r="G609" i="11" s="1"/>
  <c r="F605" i="11"/>
  <c r="G605" i="11" s="1"/>
  <c r="H605" i="11" s="1"/>
  <c r="I604" i="11" s="1"/>
  <c r="H192" i="1" s="1"/>
  <c r="F601" i="11"/>
  <c r="G601" i="11" s="1"/>
  <c r="H601" i="11" s="1"/>
  <c r="H602" i="11" s="1"/>
  <c r="H603" i="11" s="1"/>
  <c r="I600" i="11" s="1"/>
  <c r="H191" i="1" s="1"/>
  <c r="F597" i="11"/>
  <c r="G597" i="11" s="1"/>
  <c r="F593" i="11"/>
  <c r="G593" i="11" s="1"/>
  <c r="H593" i="11" s="1"/>
  <c r="I592" i="11" s="1"/>
  <c r="H188" i="1" s="1"/>
  <c r="F589" i="11"/>
  <c r="G589" i="11" s="1"/>
  <c r="F585" i="11"/>
  <c r="G585" i="11" s="1"/>
  <c r="F581" i="11"/>
  <c r="G581" i="11" s="1"/>
  <c r="F577" i="11"/>
  <c r="G577" i="11" s="1"/>
  <c r="H577" i="11" s="1"/>
  <c r="I576" i="11" s="1"/>
  <c r="H183" i="1" s="1"/>
  <c r="F573" i="11"/>
  <c r="G573" i="11" s="1"/>
  <c r="H573" i="11" s="1"/>
  <c r="I572" i="11" s="1"/>
  <c r="H181" i="1" s="1"/>
  <c r="F569" i="11"/>
  <c r="G569" i="11" s="1"/>
  <c r="F565" i="11"/>
  <c r="G565" i="11" s="1"/>
  <c r="F561" i="11"/>
  <c r="G561" i="11" s="1"/>
  <c r="F557" i="11"/>
  <c r="G557" i="11" s="1"/>
  <c r="F553" i="11"/>
  <c r="G553" i="11" s="1"/>
  <c r="F549" i="11"/>
  <c r="G549" i="11" s="1"/>
  <c r="F545" i="11"/>
  <c r="G545" i="11" s="1"/>
  <c r="F541" i="11"/>
  <c r="G541" i="11" s="1"/>
  <c r="F537" i="11"/>
  <c r="G537" i="11" s="1"/>
  <c r="H537" i="11" s="1"/>
  <c r="H538" i="11" s="1"/>
  <c r="H539" i="11" s="1"/>
  <c r="H540" i="11" s="1"/>
  <c r="F533" i="11"/>
  <c r="G533" i="11" s="1"/>
  <c r="F529" i="11"/>
  <c r="G529" i="11" s="1"/>
  <c r="F525" i="11"/>
  <c r="G525" i="11" s="1"/>
  <c r="H525" i="11" s="1"/>
  <c r="H526" i="11" s="1"/>
  <c r="I524" i="11" s="1"/>
  <c r="H167" i="1" s="1"/>
  <c r="F521" i="11"/>
  <c r="G521" i="11" s="1"/>
  <c r="H521" i="11" s="1"/>
  <c r="I520" i="11" s="1"/>
  <c r="H165" i="1" s="1"/>
  <c r="F517" i="11"/>
  <c r="G517" i="11" s="1"/>
  <c r="H517" i="11" s="1"/>
  <c r="I516" i="11" s="1"/>
  <c r="H163" i="1" s="1"/>
  <c r="F513" i="11"/>
  <c r="G513" i="11" s="1"/>
  <c r="H513" i="11" s="1"/>
  <c r="H514" i="11" s="1"/>
  <c r="H515" i="11" s="1"/>
  <c r="I512" i="11" s="1"/>
  <c r="H162" i="1" s="1"/>
  <c r="F509" i="11"/>
  <c r="G509" i="11" s="1"/>
  <c r="F505" i="11"/>
  <c r="G505" i="11" s="1"/>
  <c r="F501" i="11"/>
  <c r="G501" i="11" s="1"/>
  <c r="F497" i="11"/>
  <c r="G497" i="11" s="1"/>
  <c r="F493" i="11"/>
  <c r="G493" i="11" s="1"/>
  <c r="F489" i="11"/>
  <c r="G489" i="11" s="1"/>
  <c r="F485" i="11"/>
  <c r="G485" i="11" s="1"/>
  <c r="F481" i="11"/>
  <c r="G481" i="11" s="1"/>
  <c r="F477" i="11"/>
  <c r="G477" i="11" s="1"/>
  <c r="F473" i="11"/>
  <c r="G473" i="11" s="1"/>
  <c r="H473" i="11" s="1"/>
  <c r="H474" i="11" s="1"/>
  <c r="H475" i="11" s="1"/>
  <c r="H476" i="11" s="1"/>
  <c r="I472" i="11" s="1"/>
  <c r="H154" i="1" s="1"/>
  <c r="F469" i="11"/>
  <c r="F465" i="11"/>
  <c r="G465" i="11" s="1"/>
  <c r="H465" i="11" s="1"/>
  <c r="H466" i="11" s="1"/>
  <c r="H467" i="11" s="1"/>
  <c r="H468" i="11" s="1"/>
  <c r="H469" i="11" s="1"/>
  <c r="I464" i="11" s="1"/>
  <c r="H152" i="1" s="1"/>
  <c r="F461" i="11"/>
  <c r="G461" i="11" s="1"/>
  <c r="F457" i="11"/>
  <c r="G457" i="11" s="1"/>
  <c r="F453" i="11"/>
  <c r="G453" i="11" s="1"/>
  <c r="F449" i="11"/>
  <c r="G449" i="11" s="1"/>
  <c r="H449" i="11" s="1"/>
  <c r="H450" i="11" s="1"/>
  <c r="I448" i="11" s="1"/>
  <c r="H150" i="1" s="1"/>
  <c r="F445" i="11"/>
  <c r="G445" i="11" s="1"/>
  <c r="F441" i="11"/>
  <c r="G441" i="11" s="1"/>
  <c r="F437" i="11"/>
  <c r="G437" i="11" s="1"/>
  <c r="F433" i="11"/>
  <c r="G433" i="11" s="1"/>
  <c r="H433" i="11" s="1"/>
  <c r="H434" i="11" s="1"/>
  <c r="H435" i="11" s="1"/>
  <c r="H436" i="11" s="1"/>
  <c r="F429" i="11"/>
  <c r="G429" i="11" s="1"/>
  <c r="F425" i="11"/>
  <c r="G425" i="11" s="1"/>
  <c r="F421" i="11"/>
  <c r="G421" i="11" s="1"/>
  <c r="F417" i="11"/>
  <c r="G417" i="11" s="1"/>
  <c r="H417" i="11" s="1"/>
  <c r="H418" i="11" s="1"/>
  <c r="I416" i="11" s="1"/>
  <c r="H141" i="1" s="1"/>
  <c r="F413" i="11"/>
  <c r="G413" i="11" s="1"/>
  <c r="F409" i="11"/>
  <c r="G409" i="11" s="1"/>
  <c r="F405" i="11"/>
  <c r="G405" i="11" s="1"/>
  <c r="F401" i="11"/>
  <c r="G401" i="11" s="1"/>
  <c r="F397" i="11"/>
  <c r="G397" i="11" s="1"/>
  <c r="H397" i="11" s="1"/>
  <c r="I396" i="11" s="1"/>
  <c r="H133" i="1" s="1"/>
  <c r="F393" i="11"/>
  <c r="G393" i="11" s="1"/>
  <c r="H393" i="11" s="1"/>
  <c r="I392" i="11" s="1"/>
  <c r="H131" i="1" s="1"/>
  <c r="F389" i="11"/>
  <c r="G389" i="11" s="1"/>
  <c r="H389" i="11" s="1"/>
  <c r="I388" i="11" s="1"/>
  <c r="H129" i="1" s="1"/>
  <c r="F385" i="11"/>
  <c r="G385" i="11" s="1"/>
  <c r="F381" i="11"/>
  <c r="G381" i="11" s="1"/>
  <c r="F377" i="11"/>
  <c r="G377" i="11" s="1"/>
  <c r="F373" i="11"/>
  <c r="G373" i="11" s="1"/>
  <c r="F369" i="11"/>
  <c r="G369" i="11" s="1"/>
  <c r="F365" i="11"/>
  <c r="G365" i="11" s="1"/>
  <c r="F361" i="11"/>
  <c r="G361" i="11" s="1"/>
  <c r="F357" i="11"/>
  <c r="G357" i="11" s="1"/>
  <c r="H357" i="11" s="1"/>
  <c r="H358" i="11" s="1"/>
  <c r="I356" i="11" s="1"/>
  <c r="H119" i="1" s="1"/>
  <c r="F353" i="11"/>
  <c r="G353" i="11" s="1"/>
  <c r="F349" i="11"/>
  <c r="G349" i="11" s="1"/>
  <c r="H349" i="11" s="1"/>
  <c r="I348" i="11" s="1"/>
  <c r="H116" i="1" s="1"/>
  <c r="F345" i="11"/>
  <c r="G345" i="11" s="1"/>
  <c r="H345" i="11" s="1"/>
  <c r="I344" i="11" s="1"/>
  <c r="H114" i="1" s="1"/>
  <c r="F341" i="11"/>
  <c r="G341" i="11" s="1"/>
  <c r="F337" i="11"/>
  <c r="G337" i="11" s="1"/>
  <c r="H337" i="11" s="1"/>
  <c r="H338" i="11" s="1"/>
  <c r="I336" i="11" s="1"/>
  <c r="H111" i="1" s="1"/>
  <c r="F333" i="11"/>
  <c r="G333" i="11" s="1"/>
  <c r="F329" i="11"/>
  <c r="G329" i="11" s="1"/>
  <c r="H329" i="11" s="1"/>
  <c r="I328" i="11" s="1"/>
  <c r="H108" i="1" s="1"/>
  <c r="F325" i="11"/>
  <c r="G325" i="11" s="1"/>
  <c r="F321" i="11"/>
  <c r="G321" i="11" s="1"/>
  <c r="F317" i="11"/>
  <c r="G317" i="11" s="1"/>
  <c r="F313" i="11"/>
  <c r="G313" i="11" s="1"/>
  <c r="F309" i="11"/>
  <c r="G309" i="11" s="1"/>
  <c r="F305" i="11"/>
  <c r="G305" i="11" s="1"/>
  <c r="F301" i="11"/>
  <c r="G301" i="11" s="1"/>
  <c r="F297" i="11"/>
  <c r="G297" i="11" s="1"/>
  <c r="H297" i="11" s="1"/>
  <c r="I296" i="11" s="1"/>
  <c r="H100" i="1" s="1"/>
  <c r="F293" i="11"/>
  <c r="G293" i="11" s="1"/>
  <c r="F289" i="11"/>
  <c r="G289" i="11" s="1"/>
  <c r="F285" i="11"/>
  <c r="G285" i="11" s="1"/>
  <c r="F281" i="11"/>
  <c r="G281" i="11" s="1"/>
  <c r="H281" i="11" s="1"/>
  <c r="I280" i="11" s="1"/>
  <c r="H92" i="1" s="1"/>
  <c r="F277" i="11"/>
  <c r="G277" i="11" s="1"/>
  <c r="H277" i="11" s="1"/>
  <c r="H278" i="11" s="1"/>
  <c r="I276" i="11" s="1"/>
  <c r="H90" i="1" s="1"/>
  <c r="F273" i="11"/>
  <c r="G273" i="11" s="1"/>
  <c r="H273" i="11" s="1"/>
  <c r="I272" i="11" s="1"/>
  <c r="H88" i="1" s="1"/>
  <c r="F269" i="11"/>
  <c r="G269" i="11" s="1"/>
  <c r="F265" i="11"/>
  <c r="G265" i="11" s="1"/>
  <c r="F261" i="11"/>
  <c r="G261" i="11" s="1"/>
  <c r="F257" i="11"/>
  <c r="G257" i="11" s="1"/>
  <c r="H257" i="11" s="1"/>
  <c r="H258" i="11" s="1"/>
  <c r="I256" i="11" s="1"/>
  <c r="H82" i="1" s="1"/>
  <c r="F253" i="11"/>
  <c r="G253" i="11" s="1"/>
  <c r="F249" i="11"/>
  <c r="G249" i="11" s="1"/>
  <c r="F245" i="11"/>
  <c r="G245" i="11" s="1"/>
  <c r="F241" i="11"/>
  <c r="G241" i="11" s="1"/>
  <c r="F237" i="11"/>
  <c r="G237" i="11" s="1"/>
  <c r="H237" i="11" s="1"/>
  <c r="I236" i="11" s="1"/>
  <c r="H74" i="1" s="1"/>
  <c r="F233" i="11"/>
  <c r="G233" i="11" s="1"/>
  <c r="F229" i="11"/>
  <c r="G229" i="11" s="1"/>
  <c r="F225" i="11"/>
  <c r="G225" i="11" s="1"/>
  <c r="F221" i="11"/>
  <c r="G221" i="11" s="1"/>
  <c r="F217" i="11"/>
  <c r="G217" i="11" s="1"/>
  <c r="F213" i="11"/>
  <c r="G213" i="11" s="1"/>
  <c r="F209" i="11"/>
  <c r="G209" i="11" s="1"/>
  <c r="F205" i="11"/>
  <c r="G205" i="11" s="1"/>
  <c r="F201" i="11"/>
  <c r="G201" i="11" s="1"/>
  <c r="F197" i="11"/>
  <c r="G197" i="11" s="1"/>
  <c r="F193" i="11"/>
  <c r="G193" i="11" s="1"/>
  <c r="H193" i="11" s="1"/>
  <c r="H194" i="11" s="1"/>
  <c r="H195" i="11" s="1"/>
  <c r="H196" i="11" s="1"/>
  <c r="F189" i="11"/>
  <c r="G189" i="11" s="1"/>
  <c r="F185" i="11"/>
  <c r="G185" i="11" s="1"/>
  <c r="F181" i="11"/>
  <c r="G181" i="11" s="1"/>
  <c r="H181" i="11" s="1"/>
  <c r="H182" i="11" s="1"/>
  <c r="H183" i="11" s="1"/>
  <c r="H184" i="11" s="1"/>
  <c r="H185" i="11" s="1"/>
  <c r="I180" i="11" s="1"/>
  <c r="H59" i="1" s="1"/>
  <c r="F177" i="11"/>
  <c r="G177" i="11" s="1"/>
  <c r="F173" i="11"/>
  <c r="G173" i="11" s="1"/>
  <c r="F169" i="11"/>
  <c r="G169" i="11" s="1"/>
  <c r="H169" i="11" s="1"/>
  <c r="I168" i="11" s="1"/>
  <c r="H55" i="1" s="1"/>
  <c r="F165" i="11"/>
  <c r="G165" i="11" s="1"/>
  <c r="F161" i="11"/>
  <c r="G161" i="11" s="1"/>
  <c r="F157" i="11"/>
  <c r="G157" i="11" s="1"/>
  <c r="F153" i="11"/>
  <c r="G153" i="11" s="1"/>
  <c r="F149" i="11"/>
  <c r="G149" i="11" s="1"/>
  <c r="H149" i="11" s="1"/>
  <c r="H150" i="11" s="1"/>
  <c r="H151" i="11" s="1"/>
  <c r="H152" i="11" s="1"/>
  <c r="I148" i="11" s="1"/>
  <c r="H51" i="1" s="1"/>
  <c r="F145" i="11"/>
  <c r="G145" i="11" s="1"/>
  <c r="F141" i="11"/>
  <c r="G141" i="11" s="1"/>
  <c r="F137" i="11"/>
  <c r="G137" i="11" s="1"/>
  <c r="F133" i="11"/>
  <c r="G133" i="11" s="1"/>
  <c r="F129" i="11"/>
  <c r="G129" i="11" s="1"/>
  <c r="F125" i="11"/>
  <c r="G125" i="11" s="1"/>
  <c r="F121" i="11"/>
  <c r="G121" i="11" s="1"/>
  <c r="F117" i="11"/>
  <c r="G117" i="11" s="1"/>
  <c r="F113" i="11"/>
  <c r="G113" i="11" s="1"/>
  <c r="F109" i="11"/>
  <c r="G109" i="11" s="1"/>
  <c r="H109" i="11" s="1"/>
  <c r="I108" i="11" s="1"/>
  <c r="H40" i="1" s="1"/>
  <c r="F105" i="11"/>
  <c r="G105" i="11" s="1"/>
  <c r="H105" i="11" s="1"/>
  <c r="H106" i="11" s="1"/>
  <c r="H107" i="11" s="1"/>
  <c r="I104" i="11" s="1"/>
  <c r="H39" i="1" s="1"/>
  <c r="F101" i="11"/>
  <c r="G101" i="11" s="1"/>
  <c r="H101" i="11" s="1"/>
  <c r="H102" i="11" s="1"/>
  <c r="H103" i="11" s="1"/>
  <c r="I100" i="11" s="1"/>
  <c r="H38" i="1" s="1"/>
  <c r="F97" i="11"/>
  <c r="G97" i="11" s="1"/>
  <c r="H97" i="11" s="1"/>
  <c r="I96" i="11" s="1"/>
  <c r="H35" i="1" s="1"/>
  <c r="F93" i="11"/>
  <c r="G93" i="11" s="1"/>
  <c r="F89" i="11"/>
  <c r="G89" i="11" s="1"/>
  <c r="F85" i="11"/>
  <c r="G85" i="11" s="1"/>
  <c r="F81" i="11"/>
  <c r="G81" i="11" s="1"/>
  <c r="F77" i="11"/>
  <c r="G77" i="11" s="1"/>
  <c r="F73" i="11"/>
  <c r="G73" i="11" s="1"/>
  <c r="F69" i="11"/>
  <c r="G69" i="11" s="1"/>
  <c r="F65" i="11"/>
  <c r="G65" i="11" s="1"/>
  <c r="F61" i="11"/>
  <c r="G61" i="11" s="1"/>
  <c r="F57" i="11"/>
  <c r="G57" i="11" s="1"/>
  <c r="H57" i="11" s="1"/>
  <c r="I56" i="11" s="1"/>
  <c r="H19" i="1" s="1"/>
  <c r="F53" i="11"/>
  <c r="G53" i="11" s="1"/>
  <c r="H53" i="11" s="1"/>
  <c r="I52" i="11" s="1"/>
  <c r="H17" i="1" s="1"/>
  <c r="F49" i="11"/>
  <c r="G49" i="11" s="1"/>
  <c r="H49" i="11" s="1"/>
  <c r="H50" i="11" s="1"/>
  <c r="H51" i="11" s="1"/>
  <c r="I48" i="11" s="1"/>
  <c r="H16" i="1" s="1"/>
  <c r="F45" i="11"/>
  <c r="G45" i="11" s="1"/>
  <c r="F41" i="11"/>
  <c r="G41" i="11" s="1"/>
  <c r="F37" i="11"/>
  <c r="G37" i="11" s="1"/>
  <c r="H37" i="11" s="1"/>
  <c r="H38" i="11" s="1"/>
  <c r="H39" i="11" s="1"/>
  <c r="H40" i="11" s="1"/>
  <c r="I36" i="11" s="1"/>
  <c r="H13" i="1" s="1"/>
  <c r="F33" i="11"/>
  <c r="G33" i="11" s="1"/>
  <c r="F29" i="11"/>
  <c r="G29" i="11" s="1"/>
  <c r="F25" i="11"/>
  <c r="G25" i="11" s="1"/>
  <c r="F21" i="11"/>
  <c r="G21" i="11" s="1"/>
  <c r="F17" i="11"/>
  <c r="G17" i="11" s="1"/>
  <c r="F13" i="11"/>
  <c r="G13" i="11" s="1"/>
  <c r="F9" i="11"/>
  <c r="G9" i="11" s="1"/>
  <c r="F5" i="11"/>
  <c r="G5" i="11" s="1"/>
  <c r="H1706" i="11" l="1"/>
  <c r="H1707" i="11" s="1"/>
  <c r="H1708" i="11" s="1"/>
  <c r="H1930" i="11"/>
  <c r="I1929" i="11" s="1"/>
  <c r="H553" i="1" s="1"/>
  <c r="H2094" i="11"/>
  <c r="H2095" i="11" s="1"/>
  <c r="H2096" i="11" s="1"/>
  <c r="H111" i="11"/>
  <c r="H112" i="11" s="1"/>
  <c r="I110" i="11" s="1"/>
  <c r="H41" i="1" s="1"/>
  <c r="H239" i="11"/>
  <c r="I238" i="11" s="1"/>
  <c r="H75" i="1" s="1"/>
  <c r="H399" i="11"/>
  <c r="H400" i="11" s="1"/>
  <c r="I398" i="11" s="1"/>
  <c r="H134" i="1" s="1"/>
  <c r="H575" i="11"/>
  <c r="I574" i="11" s="1"/>
  <c r="H182" i="1" s="1"/>
  <c r="H687" i="11"/>
  <c r="H688" i="11" s="1"/>
  <c r="H689" i="11" s="1"/>
  <c r="H690" i="11" s="1"/>
  <c r="H691" i="11" s="1"/>
  <c r="I686" i="11" s="1"/>
  <c r="H217" i="1" s="1"/>
  <c r="H735" i="11"/>
  <c r="H736" i="11" s="1"/>
  <c r="H1555" i="11"/>
  <c r="H72" i="11"/>
  <c r="I71" i="11" s="1"/>
  <c r="H27" i="1" s="1"/>
  <c r="H248" i="11"/>
  <c r="H249" i="11" s="1"/>
  <c r="H250" i="11" s="1"/>
  <c r="H251" i="11" s="1"/>
  <c r="H252" i="11" s="1"/>
  <c r="I247" i="11" s="1"/>
  <c r="H80" i="1" s="1"/>
  <c r="H424" i="11"/>
  <c r="H504" i="11"/>
  <c r="H584" i="11"/>
  <c r="H760" i="11"/>
  <c r="H761" i="11" s="1"/>
  <c r="H762" i="11" s="1"/>
  <c r="H763" i="11" s="1"/>
  <c r="H764" i="11" s="1"/>
  <c r="I759" i="11" s="1"/>
  <c r="H239" i="1" s="1"/>
  <c r="H1640" i="11"/>
  <c r="I1639" i="11" s="1"/>
  <c r="H473" i="1" s="1"/>
  <c r="H1696" i="11"/>
  <c r="H1896" i="11"/>
  <c r="I1895" i="11" s="1"/>
  <c r="H537" i="1" s="1"/>
  <c r="H835" i="11"/>
  <c r="H836" i="11" s="1"/>
  <c r="H837" i="11" s="1"/>
  <c r="I834" i="11" s="1"/>
  <c r="H262" i="1" s="1"/>
  <c r="H1419" i="11"/>
  <c r="H1420" i="11" s="1"/>
  <c r="H1527" i="11"/>
  <c r="H1528" i="11" s="1"/>
  <c r="H2075" i="11"/>
  <c r="H2076" i="11" s="1"/>
  <c r="H28" i="11"/>
  <c r="H316" i="11"/>
  <c r="H1004" i="11"/>
  <c r="H1068" i="11"/>
  <c r="H1280" i="11"/>
  <c r="H1281" i="11" s="1"/>
  <c r="I1279" i="11" s="1"/>
  <c r="H390" i="1" s="1"/>
  <c r="H1768" i="11"/>
  <c r="H2008" i="11"/>
  <c r="I2007" i="11" s="1"/>
  <c r="H580" i="1" s="1"/>
  <c r="H173" i="11"/>
  <c r="I172" i="11" s="1"/>
  <c r="H57" i="1" s="1"/>
  <c r="H269" i="11"/>
  <c r="H270" i="11" s="1"/>
  <c r="I268" i="11" s="1"/>
  <c r="H86" i="1" s="1"/>
  <c r="H301" i="11"/>
  <c r="H302" i="11" s="1"/>
  <c r="H303" i="11" s="1"/>
  <c r="H304" i="11" s="1"/>
  <c r="I300" i="11" s="1"/>
  <c r="H102" i="1" s="1"/>
  <c r="H637" i="11"/>
  <c r="H638" i="11" s="1"/>
  <c r="H639" i="11" s="1"/>
  <c r="I636" i="11" s="1"/>
  <c r="H201" i="1" s="1"/>
  <c r="H1293" i="11"/>
  <c r="I1292" i="11" s="1"/>
  <c r="H395" i="1" s="1"/>
  <c r="H1389" i="11"/>
  <c r="H1390" i="11" s="1"/>
  <c r="H1391" i="11" s="1"/>
  <c r="H1392" i="11" s="1"/>
  <c r="H1393" i="11" s="1"/>
  <c r="I1388" i="11" s="1"/>
  <c r="H427" i="1" s="1"/>
  <c r="H1645" i="11"/>
  <c r="H1646" i="11" s="1"/>
  <c r="H1647" i="11" s="1"/>
  <c r="H1648" i="11" s="1"/>
  <c r="I1644" i="11" s="1"/>
  <c r="H475" i="1" s="1"/>
  <c r="H1817" i="11"/>
  <c r="H1818" i="11" s="1"/>
  <c r="H1819" i="11" s="1"/>
  <c r="H1820" i="11" s="1"/>
  <c r="H210" i="11"/>
  <c r="H211" i="11" s="1"/>
  <c r="I209" i="11" s="1"/>
  <c r="H64" i="1" s="1"/>
  <c r="H354" i="11"/>
  <c r="H355" i="11" s="1"/>
  <c r="I353" i="11" s="1"/>
  <c r="H118" i="1" s="1"/>
  <c r="H530" i="11"/>
  <c r="H531" i="11" s="1"/>
  <c r="H532" i="11" s="1"/>
  <c r="H818" i="11"/>
  <c r="I817" i="11" s="1"/>
  <c r="H256" i="1" s="1"/>
  <c r="H962" i="11"/>
  <c r="H963" i="11" s="1"/>
  <c r="H964" i="11" s="1"/>
  <c r="H1186" i="11"/>
  <c r="H1187" i="11" s="1"/>
  <c r="H1188" i="11" s="1"/>
  <c r="I1185" i="11" s="1"/>
  <c r="H358" i="1" s="1"/>
  <c r="H1250" i="11"/>
  <c r="I1249" i="11" s="1"/>
  <c r="H379" i="1" s="1"/>
  <c r="H1330" i="11"/>
  <c r="I1329" i="11" s="1"/>
  <c r="H409" i="1" s="1"/>
  <c r="H471" i="11"/>
  <c r="I470" i="11" s="1"/>
  <c r="H153" i="1" s="1"/>
  <c r="H679" i="11"/>
  <c r="I678" i="11" s="1"/>
  <c r="H214" i="1" s="1"/>
  <c r="H791" i="11"/>
  <c r="I790" i="11" s="1"/>
  <c r="H246" i="1" s="1"/>
  <c r="H871" i="11"/>
  <c r="H872" i="11" s="1"/>
  <c r="I870" i="11" s="1"/>
  <c r="H271" i="1" s="1"/>
  <c r="H903" i="11"/>
  <c r="H904" i="11" s="1"/>
  <c r="H951" i="11"/>
  <c r="H952" i="11" s="1"/>
  <c r="I950" i="11" s="1"/>
  <c r="H294" i="1" s="1"/>
  <c r="H1375" i="11"/>
  <c r="H1376" i="11" s="1"/>
  <c r="H1459" i="11"/>
  <c r="H1460" i="11" s="1"/>
  <c r="H2063" i="11"/>
  <c r="H2064" i="11" s="1"/>
  <c r="H16" i="11"/>
  <c r="H17" i="11" s="1"/>
  <c r="H18" i="11" s="1"/>
  <c r="I15" i="11" s="1"/>
  <c r="H6" i="1" s="1"/>
  <c r="H384" i="11"/>
  <c r="H656" i="11"/>
  <c r="H896" i="11"/>
  <c r="I895" i="11" s="1"/>
  <c r="H278" i="1" s="1"/>
  <c r="H928" i="11"/>
  <c r="H929" i="11" s="1"/>
  <c r="H930" i="11" s="1"/>
  <c r="I927" i="11" s="1"/>
  <c r="H287" i="1" s="1"/>
  <c r="H1136" i="11"/>
  <c r="H1568" i="11"/>
  <c r="H1756" i="11"/>
  <c r="H1980" i="11"/>
  <c r="H1981" i="11" s="1"/>
  <c r="H1982" i="11" s="1"/>
  <c r="I1979" i="11" s="1"/>
  <c r="H569" i="1" s="1"/>
  <c r="H1268" i="11"/>
  <c r="I1266" i="11" s="1"/>
  <c r="H385" i="1" s="1"/>
  <c r="H1432" i="11"/>
  <c r="H1448" i="11"/>
  <c r="I1446" i="11" s="1"/>
  <c r="H437" i="1" s="1"/>
  <c r="H1556" i="11"/>
  <c r="H1557" i="11" s="1"/>
  <c r="H1558" i="11" s="1"/>
  <c r="H1559" i="11" s="1"/>
  <c r="H1560" i="11" s="1"/>
  <c r="H1561" i="11" s="1"/>
  <c r="H1562" i="11" s="1"/>
  <c r="H1563" i="11" s="1"/>
  <c r="I1554" i="11" s="1"/>
  <c r="H457" i="1" s="1"/>
  <c r="H1572" i="11"/>
  <c r="H1588" i="11"/>
  <c r="H1480" i="11"/>
  <c r="H541" i="11"/>
  <c r="H542" i="11" s="1"/>
  <c r="I536" i="11" s="1"/>
  <c r="H170" i="1" s="1"/>
  <c r="H1318" i="11"/>
  <c r="H1319" i="11" s="1"/>
  <c r="I1316" i="11" s="1"/>
  <c r="H406" i="1" s="1"/>
  <c r="H1414" i="11"/>
  <c r="H1415" i="11" s="1"/>
  <c r="H1416" i="11" s="1"/>
  <c r="H1417" i="11" s="1"/>
  <c r="I1412" i="11" s="1"/>
  <c r="H431" i="1" s="1"/>
  <c r="H1494" i="11"/>
  <c r="H1495" i="11" s="1"/>
  <c r="H1496" i="11" s="1"/>
  <c r="I1492" i="11" s="1"/>
  <c r="H448" i="1" s="1"/>
  <c r="H157" i="11"/>
  <c r="I153" i="11" s="1"/>
  <c r="H52" i="1" s="1"/>
  <c r="H365" i="11"/>
  <c r="I361" i="11" s="1"/>
  <c r="H121" i="1" s="1"/>
  <c r="H493" i="11"/>
  <c r="H494" i="11" s="1"/>
  <c r="I489" i="11" s="1"/>
  <c r="H157" i="1" s="1"/>
  <c r="H701" i="11"/>
  <c r="H702" i="11" s="1"/>
  <c r="H703" i="11" s="1"/>
  <c r="H704" i="11" s="1"/>
  <c r="I697" i="11" s="1"/>
  <c r="H220" i="1" s="1"/>
  <c r="H1469" i="11"/>
  <c r="H1470" i="11" s="1"/>
  <c r="H1471" i="11" s="1"/>
  <c r="I1465" i="11" s="1"/>
  <c r="H442" i="1" s="1"/>
  <c r="H1501" i="11"/>
  <c r="I1497" i="11" s="1"/>
  <c r="H449" i="1" s="1"/>
  <c r="H1709" i="11"/>
  <c r="I1705" i="11" s="1"/>
  <c r="H489" i="1" s="1"/>
  <c r="H1869" i="11"/>
  <c r="I1865" i="11" s="1"/>
  <c r="H529" i="1" s="1"/>
  <c r="H2097" i="11"/>
  <c r="I2093" i="11" s="1"/>
  <c r="H601" i="1" s="1"/>
  <c r="H81" i="11"/>
  <c r="I78" i="11" s="1"/>
  <c r="H30" i="1" s="1"/>
  <c r="H161" i="11"/>
  <c r="H162" i="11" s="1"/>
  <c r="I158" i="11" s="1"/>
  <c r="H53" i="1" s="1"/>
  <c r="H177" i="11"/>
  <c r="H178" i="11" s="1"/>
  <c r="H179" i="11" s="1"/>
  <c r="I174" i="11" s="1"/>
  <c r="H58" i="1" s="1"/>
  <c r="H321" i="11"/>
  <c r="H322" i="11" s="1"/>
  <c r="H323" i="11" s="1"/>
  <c r="H324" i="11" s="1"/>
  <c r="H325" i="11" s="1"/>
  <c r="I318" i="11" s="1"/>
  <c r="H106" i="1" s="1"/>
  <c r="H609" i="11"/>
  <c r="I606" i="11" s="1"/>
  <c r="H193" i="1" s="1"/>
  <c r="H737" i="11"/>
  <c r="I734" i="11" s="1"/>
  <c r="H233" i="1" s="1"/>
  <c r="H833" i="11"/>
  <c r="I830" i="11" s="1"/>
  <c r="H261" i="1" s="1"/>
  <c r="H1009" i="11"/>
  <c r="H1010" i="11" s="1"/>
  <c r="I1006" i="11" s="1"/>
  <c r="H311" i="1" s="1"/>
  <c r="H1073" i="11"/>
  <c r="H1074" i="11" s="1"/>
  <c r="I1070" i="11" s="1"/>
  <c r="H328" i="1" s="1"/>
  <c r="H1089" i="11"/>
  <c r="H1090" i="11" s="1"/>
  <c r="H1091" i="11" s="1"/>
  <c r="H1092" i="11" s="1"/>
  <c r="H1093" i="11" s="1"/>
  <c r="H1094" i="11" s="1"/>
  <c r="H1095" i="11" s="1"/>
  <c r="I1086" i="11" s="1"/>
  <c r="H332" i="1" s="1"/>
  <c r="H1369" i="11"/>
  <c r="I1366" i="11" s="1"/>
  <c r="H423" i="1" s="1"/>
  <c r="H1433" i="11"/>
  <c r="H1434" i="11" s="1"/>
  <c r="H1435" i="11" s="1"/>
  <c r="H1436" i="11" s="1"/>
  <c r="H1437" i="11" s="1"/>
  <c r="I1430" i="11" s="1"/>
  <c r="H435" i="1" s="1"/>
  <c r="H1505" i="11"/>
  <c r="H1506" i="11" s="1"/>
  <c r="I1502" i="11" s="1"/>
  <c r="H450" i="1" s="1"/>
  <c r="H1573" i="11"/>
  <c r="H1574" i="11" s="1"/>
  <c r="H1575" i="11" s="1"/>
  <c r="H1576" i="11" s="1"/>
  <c r="H1577" i="11" s="1"/>
  <c r="I1570" i="11" s="1"/>
  <c r="H460" i="1" s="1"/>
  <c r="H1589" i="11"/>
  <c r="I1586" i="11" s="1"/>
  <c r="H462" i="1" s="1"/>
  <c r="H1965" i="11"/>
  <c r="I1962" i="11" s="1"/>
  <c r="H564" i="1" s="1"/>
  <c r="H2053" i="11"/>
  <c r="H2054" i="11" s="1"/>
  <c r="I2050" i="11" s="1"/>
  <c r="H593" i="1" s="1"/>
  <c r="H2073" i="11"/>
  <c r="I2070" i="11" s="1"/>
  <c r="H597" i="1" s="1"/>
  <c r="H2089" i="11"/>
  <c r="H2090" i="11" s="1"/>
  <c r="H2091" i="11" s="1"/>
  <c r="H2092" i="11" s="1"/>
  <c r="I2086" i="11" s="1"/>
  <c r="H600" i="1" s="1"/>
  <c r="H9" i="11"/>
  <c r="H10" i="11" s="1"/>
  <c r="I7" i="11" s="1"/>
  <c r="H3" i="1" s="1"/>
  <c r="H25" i="11"/>
  <c r="H26" i="11" s="1"/>
  <c r="I23" i="11" s="1"/>
  <c r="H8" i="1" s="1"/>
  <c r="H89" i="11"/>
  <c r="I87" i="11" s="1"/>
  <c r="H32" i="1" s="1"/>
  <c r="H233" i="11"/>
  <c r="I231" i="11" s="1"/>
  <c r="H72" i="1" s="1"/>
  <c r="H409" i="11"/>
  <c r="I407" i="11" s="1"/>
  <c r="H138" i="1" s="1"/>
  <c r="H425" i="11"/>
  <c r="H426" i="11" s="1"/>
  <c r="I423" i="11" s="1"/>
  <c r="H144" i="1" s="1"/>
  <c r="H505" i="11"/>
  <c r="H506" i="11" s="1"/>
  <c r="I503" i="11" s="1"/>
  <c r="H160" i="1" s="1"/>
  <c r="H585" i="11"/>
  <c r="H586" i="11" s="1"/>
  <c r="I583" i="11" s="1"/>
  <c r="H185" i="1" s="1"/>
  <c r="H649" i="11"/>
  <c r="H650" i="11" s="1"/>
  <c r="I647" i="11" s="1"/>
  <c r="H205" i="1" s="1"/>
  <c r="H665" i="11"/>
  <c r="I663" i="11" s="1"/>
  <c r="H209" i="1" s="1"/>
  <c r="H825" i="11"/>
  <c r="I823" i="11" s="1"/>
  <c r="H259" i="1" s="1"/>
  <c r="H1049" i="11"/>
  <c r="I1047" i="11" s="1"/>
  <c r="H321" i="1" s="1"/>
  <c r="H1081" i="11"/>
  <c r="H1082" i="11" s="1"/>
  <c r="I1079" i="11" s="1"/>
  <c r="H330" i="1" s="1"/>
  <c r="H1225" i="11"/>
  <c r="H1226" i="11" s="1"/>
  <c r="H1227" i="11" s="1"/>
  <c r="H1228" i="11" s="1"/>
  <c r="I1223" i="11" s="1"/>
  <c r="H373" i="1" s="1"/>
  <c r="H1657" i="11"/>
  <c r="H1658" i="11" s="1"/>
  <c r="I1655" i="11" s="1"/>
  <c r="H477" i="1" s="1"/>
  <c r="H1697" i="11"/>
  <c r="I1695" i="11" s="1"/>
  <c r="H486" i="1" s="1"/>
  <c r="H1729" i="11"/>
  <c r="H1730" i="11" s="1"/>
  <c r="I1727" i="11" s="1"/>
  <c r="H494" i="1" s="1"/>
  <c r="H1765" i="11"/>
  <c r="H1766" i="11" s="1"/>
  <c r="I1763" i="11" s="1"/>
  <c r="H505" i="1" s="1"/>
  <c r="H1825" i="11"/>
  <c r="H1826" i="11" s="1"/>
  <c r="H1827" i="11" s="1"/>
  <c r="H1828" i="11" s="1"/>
  <c r="I1823" i="11" s="1"/>
  <c r="H519" i="1" s="1"/>
  <c r="H1861" i="11"/>
  <c r="H1862" i="11" s="1"/>
  <c r="H1863" i="11" s="1"/>
  <c r="H1864" i="11" s="1"/>
  <c r="I1859" i="11" s="1"/>
  <c r="H528" i="1" s="1"/>
  <c r="H1953" i="11"/>
  <c r="I1951" i="11" s="1"/>
  <c r="H561" i="1" s="1"/>
  <c r="H1989" i="11"/>
  <c r="H1990" i="11" s="1"/>
  <c r="I1987" i="11" s="1"/>
  <c r="H572" i="1" s="1"/>
  <c r="H2037" i="11"/>
  <c r="H2038" i="11" s="1"/>
  <c r="H2039" i="11" s="1"/>
  <c r="H2040" i="11" s="1"/>
  <c r="H2041" i="11" s="1"/>
  <c r="I2035" i="11" s="1"/>
  <c r="H591" i="1" s="1"/>
  <c r="H1405" i="11"/>
  <c r="I1400" i="11" s="1"/>
  <c r="H429" i="1" s="1"/>
  <c r="H1517" i="11"/>
  <c r="H1518" i="11" s="1"/>
  <c r="I1512" i="11" s="1"/>
  <c r="H452" i="1" s="1"/>
  <c r="H1549" i="11"/>
  <c r="H1550" i="11" s="1"/>
  <c r="H1551" i="11" s="1"/>
  <c r="H1552" i="11" s="1"/>
  <c r="H1553" i="11" s="1"/>
  <c r="I1544" i="11" s="1"/>
  <c r="H456" i="1" s="1"/>
  <c r="H481" i="11"/>
  <c r="H482" i="11" s="1"/>
  <c r="I477" i="11" s="1"/>
  <c r="H155" i="1" s="1"/>
  <c r="H849" i="11"/>
  <c r="H850" i="11" s="1"/>
  <c r="I845" i="11" s="1"/>
  <c r="H265" i="1" s="1"/>
  <c r="H84" i="11"/>
  <c r="H85" i="11" s="1"/>
  <c r="H86" i="11" s="1"/>
  <c r="I82" i="11" s="1"/>
  <c r="H31" i="1" s="1"/>
  <c r="H564" i="11"/>
  <c r="I562" i="11" s="1"/>
  <c r="H178" i="1" s="1"/>
  <c r="H580" i="11"/>
  <c r="H581" i="11" s="1"/>
  <c r="H582" i="11" s="1"/>
  <c r="I578" i="11" s="1"/>
  <c r="H184" i="1" s="1"/>
  <c r="H596" i="11"/>
  <c r="I594" i="11" s="1"/>
  <c r="H189" i="1" s="1"/>
  <c r="H612" i="11"/>
  <c r="H613" i="11" s="1"/>
  <c r="H614" i="11" s="1"/>
  <c r="I610" i="11" s="1"/>
  <c r="H194" i="1" s="1"/>
  <c r="H740" i="11"/>
  <c r="H741" i="11" s="1"/>
  <c r="H742" i="11" s="1"/>
  <c r="H743" i="11" s="1"/>
  <c r="H744" i="11" s="1"/>
  <c r="H745" i="11" s="1"/>
  <c r="H746" i="11" s="1"/>
  <c r="H747" i="11" s="1"/>
  <c r="H748" i="11" s="1"/>
  <c r="I738" i="11" s="1"/>
  <c r="H234" i="1" s="1"/>
  <c r="H772" i="11"/>
  <c r="H773" i="11" s="1"/>
  <c r="H774" i="11" s="1"/>
  <c r="I770" i="11" s="1"/>
  <c r="H241" i="1" s="1"/>
  <c r="H916" i="11"/>
  <c r="H917" i="11" s="1"/>
  <c r="H918" i="11" s="1"/>
  <c r="I914" i="11" s="1"/>
  <c r="H284" i="1" s="1"/>
  <c r="H980" i="11"/>
  <c r="I978" i="11" s="1"/>
  <c r="H302" i="1" s="1"/>
  <c r="H996" i="11"/>
  <c r="I994" i="11" s="1"/>
  <c r="H307" i="1" s="1"/>
  <c r="H1421" i="11"/>
  <c r="I1418" i="11" s="1"/>
  <c r="H432" i="1" s="1"/>
  <c r="H1529" i="11"/>
  <c r="H1530" i="11" s="1"/>
  <c r="H1531" i="11" s="1"/>
  <c r="H1532" i="11" s="1"/>
  <c r="H1533" i="11" s="1"/>
  <c r="H1534" i="11" s="1"/>
  <c r="I1526" i="11" s="1"/>
  <c r="H454" i="1" s="1"/>
  <c r="H1724" i="11"/>
  <c r="H1725" i="11" s="1"/>
  <c r="H1726" i="11" s="1"/>
  <c r="I1722" i="11" s="1"/>
  <c r="H493" i="1" s="1"/>
  <c r="H1872" i="11"/>
  <c r="H2077" i="11"/>
  <c r="H2078" i="11" s="1"/>
  <c r="H2079" i="11" s="1"/>
  <c r="I2074" i="11" s="1"/>
  <c r="H598" i="1" s="1"/>
  <c r="H29" i="11"/>
  <c r="H30" i="11" s="1"/>
  <c r="I27" i="11" s="1"/>
  <c r="H9" i="1" s="1"/>
  <c r="H77" i="11"/>
  <c r="I75" i="11" s="1"/>
  <c r="H29" i="1" s="1"/>
  <c r="H317" i="11"/>
  <c r="I315" i="11" s="1"/>
  <c r="H105" i="1" s="1"/>
  <c r="H381" i="11"/>
  <c r="H382" i="11" s="1"/>
  <c r="I379" i="11" s="1"/>
  <c r="H126" i="1" s="1"/>
  <c r="H429" i="11"/>
  <c r="H430" i="11" s="1"/>
  <c r="H431" i="11" s="1"/>
  <c r="I427" i="11" s="1"/>
  <c r="H145" i="1" s="1"/>
  <c r="H893" i="11"/>
  <c r="H894" i="11" s="1"/>
  <c r="I891" i="11" s="1"/>
  <c r="H277" i="1" s="1"/>
  <c r="H925" i="11"/>
  <c r="H926" i="11" s="1"/>
  <c r="I923" i="11" s="1"/>
  <c r="H286" i="1" s="1"/>
  <c r="H1005" i="11"/>
  <c r="I1003" i="11" s="1"/>
  <c r="H310" i="1" s="1"/>
  <c r="H1085" i="11"/>
  <c r="I1083" i="11" s="1"/>
  <c r="H331" i="1" s="1"/>
  <c r="H1101" i="11"/>
  <c r="H1102" i="11" s="1"/>
  <c r="I1099" i="11" s="1"/>
  <c r="H334" i="1" s="1"/>
  <c r="H1149" i="11"/>
  <c r="H1150" i="11" s="1"/>
  <c r="H1151" i="11" s="1"/>
  <c r="I1147" i="11" s="1"/>
  <c r="H349" i="1" s="1"/>
  <c r="H1457" i="11"/>
  <c r="I1455" i="11" s="1"/>
  <c r="H440" i="1" s="1"/>
  <c r="H1489" i="11"/>
  <c r="H1490" i="11" s="1"/>
  <c r="H1491" i="11" s="1"/>
  <c r="I1487" i="11" s="1"/>
  <c r="H447" i="1" s="1"/>
  <c r="H1509" i="11"/>
  <c r="H1510" i="11" s="1"/>
  <c r="H1511" i="11" s="1"/>
  <c r="I1507" i="11" s="1"/>
  <c r="H451" i="1" s="1"/>
  <c r="H1661" i="11"/>
  <c r="H1662" i="11" s="1"/>
  <c r="H1663" i="11" s="1"/>
  <c r="H1664" i="11" s="1"/>
  <c r="I1659" i="11" s="1"/>
  <c r="H478" i="1" s="1"/>
  <c r="H1733" i="11"/>
  <c r="I1731" i="11" s="1"/>
  <c r="H495" i="1" s="1"/>
  <c r="H1769" i="11"/>
  <c r="H1770" i="11" s="1"/>
  <c r="I1767" i="11" s="1"/>
  <c r="H504" i="1" s="1"/>
  <c r="H1789" i="11"/>
  <c r="H1790" i="11" s="1"/>
  <c r="I1787" i="11" s="1"/>
  <c r="H512" i="1" s="1"/>
  <c r="H1849" i="11"/>
  <c r="H1850" i="11" s="1"/>
  <c r="I1847" i="11" s="1"/>
  <c r="H525" i="1" s="1"/>
  <c r="H1881" i="11"/>
  <c r="I1879" i="11" s="1"/>
  <c r="H532" i="1" s="1"/>
  <c r="H1901" i="11"/>
  <c r="I1899" i="11" s="1"/>
  <c r="H539" i="1" s="1"/>
  <c r="H2056" i="11"/>
  <c r="H2057" i="11" s="1"/>
  <c r="H2058" i="11" s="1"/>
  <c r="H2059" i="11" s="1"/>
  <c r="H2060" i="11" s="1"/>
  <c r="H2061" i="11" s="1"/>
  <c r="I2055" i="11" s="1"/>
  <c r="H594" i="1" s="1"/>
  <c r="H197" i="11"/>
  <c r="I192" i="11" s="1"/>
  <c r="H61" i="1" s="1"/>
  <c r="H437" i="11"/>
  <c r="I432" i="11" s="1"/>
  <c r="H146" i="1" s="1"/>
  <c r="H789" i="11"/>
  <c r="I784" i="11" s="1"/>
  <c r="H245" i="1" s="1"/>
  <c r="H1157" i="11"/>
  <c r="I1152" i="11" s="1"/>
  <c r="H350" i="1" s="1"/>
  <c r="H1821" i="11"/>
  <c r="H1822" i="11" s="1"/>
  <c r="I1816" i="11" s="1"/>
  <c r="H518" i="1" s="1"/>
  <c r="H309" i="11"/>
  <c r="I305" i="11" s="1"/>
  <c r="H103" i="1" s="1"/>
  <c r="H533" i="11"/>
  <c r="H534" i="11" s="1"/>
  <c r="H535" i="11" s="1"/>
  <c r="I529" i="11" s="1"/>
  <c r="H169" i="1" s="1"/>
  <c r="H965" i="11"/>
  <c r="I961" i="11" s="1"/>
  <c r="H297" i="1" s="1"/>
  <c r="H201" i="11"/>
  <c r="H202" i="11" s="1"/>
  <c r="H203" i="11" s="1"/>
  <c r="H204" i="11" s="1"/>
  <c r="I198" i="11" s="1"/>
  <c r="H62" i="1" s="1"/>
  <c r="H265" i="11"/>
  <c r="I262" i="11" s="1"/>
  <c r="H84" i="1" s="1"/>
  <c r="H313" i="11"/>
  <c r="H314" i="11" s="1"/>
  <c r="I310" i="11" s="1"/>
  <c r="H104" i="1" s="1"/>
  <c r="H441" i="11"/>
  <c r="I438" i="11" s="1"/>
  <c r="H147" i="1" s="1"/>
  <c r="H553" i="11"/>
  <c r="H554" i="11" s="1"/>
  <c r="I550" i="11" s="1"/>
  <c r="H173" i="1" s="1"/>
  <c r="H905" i="11"/>
  <c r="H906" i="11" s="1"/>
  <c r="I902" i="11" s="1"/>
  <c r="H281" i="1" s="1"/>
  <c r="H1377" i="11"/>
  <c r="H1378" i="11" s="1"/>
  <c r="H1379" i="11" s="1"/>
  <c r="H1380" i="11" s="1"/>
  <c r="I1374" i="11" s="1"/>
  <c r="H425" i="1" s="1"/>
  <c r="H1409" i="11"/>
  <c r="H1410" i="11" s="1"/>
  <c r="H1411" i="11" s="1"/>
  <c r="I1406" i="11" s="1"/>
  <c r="H430" i="1" s="1"/>
  <c r="H1425" i="11"/>
  <c r="I1422" i="11" s="1"/>
  <c r="H433" i="1" s="1"/>
  <c r="H1481" i="11"/>
  <c r="I1478" i="11" s="1"/>
  <c r="H445" i="1" s="1"/>
  <c r="H1713" i="11"/>
  <c r="I1710" i="11" s="1"/>
  <c r="H490" i="1" s="1"/>
  <c r="H1845" i="11"/>
  <c r="H1846" i="11" s="1"/>
  <c r="I1842" i="11" s="1"/>
  <c r="H524" i="1" s="1"/>
  <c r="H1877" i="11"/>
  <c r="H1878" i="11" s="1"/>
  <c r="I1874" i="11" s="1"/>
  <c r="H531" i="1" s="1"/>
  <c r="H2045" i="11"/>
  <c r="H2046" i="11" s="1"/>
  <c r="H2047" i="11" s="1"/>
  <c r="H2048" i="11" s="1"/>
  <c r="H2049" i="11" s="1"/>
  <c r="I2042" i="11" s="1"/>
  <c r="H592" i="1" s="1"/>
  <c r="H2065" i="11"/>
  <c r="I2062" i="11" s="1"/>
  <c r="H595" i="1" s="1"/>
  <c r="H385" i="11"/>
  <c r="I383" i="11" s="1"/>
  <c r="H127" i="1" s="1"/>
  <c r="H545" i="11"/>
  <c r="H546" i="11" s="1"/>
  <c r="I543" i="11" s="1"/>
  <c r="H171" i="1" s="1"/>
  <c r="H625" i="11"/>
  <c r="H626" i="11" s="1"/>
  <c r="I623" i="11" s="1"/>
  <c r="H197" i="1" s="1"/>
  <c r="H913" i="11"/>
  <c r="I911" i="11" s="1"/>
  <c r="H283" i="1" s="1"/>
  <c r="H993" i="11"/>
  <c r="I991" i="11" s="1"/>
  <c r="H306" i="1" s="1"/>
  <c r="H1265" i="11"/>
  <c r="I1263" i="11" s="1"/>
  <c r="H384" i="1" s="1"/>
  <c r="H1341" i="11"/>
  <c r="I1339" i="11" s="1"/>
  <c r="H413" i="1" s="1"/>
  <c r="H1477" i="11"/>
  <c r="I1475" i="11" s="1"/>
  <c r="H444" i="1" s="1"/>
  <c r="H1569" i="11"/>
  <c r="I1567" i="11" s="1"/>
  <c r="H459" i="1" s="1"/>
  <c r="H1601" i="11"/>
  <c r="H1602" i="11" s="1"/>
  <c r="H1603" i="11" s="1"/>
  <c r="H1604" i="11" s="1"/>
  <c r="I1599" i="11" s="1"/>
  <c r="H464" i="1" s="1"/>
  <c r="H1757" i="11"/>
  <c r="H1758" i="11" s="1"/>
  <c r="I1755" i="11" s="1"/>
  <c r="H502" i="1" s="1"/>
  <c r="H1773" i="11"/>
  <c r="H1774" i="11" s="1"/>
  <c r="I1771" i="11" s="1"/>
  <c r="H506" i="1" s="1"/>
  <c r="H1793" i="11"/>
  <c r="H1794" i="11" s="1"/>
  <c r="I1791" i="11" s="1"/>
  <c r="H511" i="1" s="1"/>
  <c r="H1853" i="11"/>
  <c r="H1854" i="11" s="1"/>
  <c r="I1851" i="11" s="1"/>
  <c r="H526" i="1" s="1"/>
  <c r="H1941" i="11"/>
  <c r="I1939" i="11" s="1"/>
  <c r="H557" i="1" s="1"/>
  <c r="H2012" i="11"/>
  <c r="I2011" i="11" s="1"/>
  <c r="H582" i="1" s="1"/>
  <c r="H1385" i="11"/>
  <c r="H1386" i="11" s="1"/>
  <c r="H1387" i="11" s="1"/>
  <c r="I1381" i="11" s="1"/>
  <c r="H426" i="1" s="1"/>
  <c r="H1669" i="11"/>
  <c r="H1670" i="11" s="1"/>
  <c r="H1809" i="11"/>
  <c r="I1805" i="11" s="1"/>
  <c r="H515" i="1" s="1"/>
  <c r="H93" i="11"/>
  <c r="I90" i="11" s="1"/>
  <c r="H33" i="1" s="1"/>
  <c r="H669" i="11"/>
  <c r="I666" i="11" s="1"/>
  <c r="H210" i="1" s="1"/>
  <c r="H685" i="11"/>
  <c r="I682" i="11" s="1"/>
  <c r="H216" i="1" s="1"/>
  <c r="H781" i="11"/>
  <c r="H782" i="11" s="1"/>
  <c r="H783" i="11" s="1"/>
  <c r="I778" i="11" s="1"/>
  <c r="H244" i="1" s="1"/>
  <c r="H829" i="11"/>
  <c r="I826" i="11" s="1"/>
  <c r="H260" i="1" s="1"/>
  <c r="H941" i="11"/>
  <c r="I938" i="11" s="1"/>
  <c r="H290" i="1" s="1"/>
  <c r="H1133" i="11"/>
  <c r="H1134" i="11" s="1"/>
  <c r="I1130" i="11" s="1"/>
  <c r="H344" i="1" s="1"/>
  <c r="H1397" i="11"/>
  <c r="H1398" i="11" s="1"/>
  <c r="H1399" i="11" s="1"/>
  <c r="I1394" i="11" s="1"/>
  <c r="H428" i="1" s="1"/>
  <c r="H1961" i="11"/>
  <c r="I1958" i="11" s="1"/>
  <c r="H563" i="1" s="1"/>
  <c r="H2069" i="11"/>
  <c r="I2066" i="11" s="1"/>
  <c r="H596" i="1" s="1"/>
  <c r="H5" i="11"/>
  <c r="H6" i="11" s="1"/>
  <c r="I3" i="11" s="1"/>
  <c r="H2" i="1" s="1"/>
  <c r="H21" i="11"/>
  <c r="H22" i="11" s="1"/>
  <c r="I19" i="11" s="1"/>
  <c r="H7" i="1" s="1"/>
  <c r="H165" i="11"/>
  <c r="H166" i="11" s="1"/>
  <c r="H167" i="11" s="1"/>
  <c r="I163" i="11" s="1"/>
  <c r="H54" i="1" s="1"/>
  <c r="H261" i="11"/>
  <c r="I259" i="11" s="1"/>
  <c r="H83" i="1" s="1"/>
  <c r="H341" i="11"/>
  <c r="I339" i="11" s="1"/>
  <c r="H112" i="1" s="1"/>
  <c r="H453" i="1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I451" i="11" s="1"/>
  <c r="H151" i="1" s="1"/>
  <c r="H485" i="11"/>
  <c r="H486" i="11" s="1"/>
  <c r="H487" i="11" s="1"/>
  <c r="H488" i="11" s="1"/>
  <c r="I483" i="11" s="1"/>
  <c r="H156" i="1" s="1"/>
  <c r="H549" i="11"/>
  <c r="I547" i="11" s="1"/>
  <c r="H172" i="1" s="1"/>
  <c r="H629" i="11"/>
  <c r="H630" i="11" s="1"/>
  <c r="I627" i="11" s="1"/>
  <c r="H198" i="1" s="1"/>
  <c r="H677" i="11"/>
  <c r="I675" i="11" s="1"/>
  <c r="H213" i="1" s="1"/>
  <c r="H757" i="11"/>
  <c r="H758" i="11" s="1"/>
  <c r="I755" i="11" s="1"/>
  <c r="H238" i="1" s="1"/>
  <c r="H869" i="11"/>
  <c r="I867" i="11" s="1"/>
  <c r="H270" i="1" s="1"/>
  <c r="H885" i="11"/>
  <c r="H886" i="11" s="1"/>
  <c r="I883" i="11" s="1"/>
  <c r="H275" i="1" s="1"/>
  <c r="H933" i="11"/>
  <c r="H934" i="11" s="1"/>
  <c r="H935" i="11" s="1"/>
  <c r="I931" i="11" s="1"/>
  <c r="H288" i="1" s="1"/>
  <c r="H1013" i="11"/>
  <c r="H1014" i="11" s="1"/>
  <c r="H1015" i="11" s="1"/>
  <c r="I1011" i="11" s="1"/>
  <c r="H312" i="1" s="1"/>
  <c r="H1077" i="11"/>
  <c r="H1078" i="11" s="1"/>
  <c r="I1075" i="11" s="1"/>
  <c r="H329" i="1" s="1"/>
  <c r="H1253" i="11"/>
  <c r="I1251" i="11" s="1"/>
  <c r="H380" i="1" s="1"/>
  <c r="H1365" i="11"/>
  <c r="I1363" i="11" s="1"/>
  <c r="H422" i="1" s="1"/>
  <c r="H1521" i="11"/>
  <c r="H1522" i="11" s="1"/>
  <c r="H1523" i="11" s="1"/>
  <c r="H1524" i="11" s="1"/>
  <c r="H1525" i="11" s="1"/>
  <c r="I1519" i="11" s="1"/>
  <c r="H453" i="1" s="1"/>
  <c r="H1537" i="11"/>
  <c r="H1538" i="11" s="1"/>
  <c r="H1539" i="11" s="1"/>
  <c r="H1540" i="11" s="1"/>
  <c r="H1541" i="11" s="1"/>
  <c r="H1542" i="11" s="1"/>
  <c r="H1543" i="11" s="1"/>
  <c r="I1535" i="11" s="1"/>
  <c r="H455" i="1" s="1"/>
  <c r="H1761" i="11"/>
  <c r="H1762" i="11" s="1"/>
  <c r="I1759" i="11" s="1"/>
  <c r="H503" i="1" s="1"/>
  <c r="H1777" i="11"/>
  <c r="I1775" i="11" s="1"/>
  <c r="H507" i="1" s="1"/>
  <c r="H1797" i="11"/>
  <c r="H1798" i="11" s="1"/>
  <c r="H1799" i="11" s="1"/>
  <c r="I1795" i="11" s="1"/>
  <c r="H513" i="1" s="1"/>
  <c r="H1841" i="11"/>
  <c r="I1839" i="11" s="1"/>
  <c r="H523" i="1" s="1"/>
  <c r="H1857" i="11"/>
  <c r="H1858" i="11" s="1"/>
  <c r="I1855" i="11" s="1"/>
  <c r="H527" i="1" s="1"/>
  <c r="H1671" i="11"/>
  <c r="I1665" i="11"/>
  <c r="H479" i="1" s="1"/>
  <c r="G901" i="11"/>
  <c r="H901" i="11" s="1"/>
  <c r="I899" i="11" s="1"/>
  <c r="H280" i="1" s="1"/>
  <c r="H189" i="11"/>
  <c r="H190" i="11" s="1"/>
  <c r="H191" i="11" s="1"/>
  <c r="I186" i="11" s="1"/>
  <c r="H60" i="1" s="1"/>
  <c r="H1429" i="11"/>
  <c r="I1426" i="11" s="1"/>
  <c r="H434" i="1" s="1"/>
  <c r="H1485" i="11"/>
  <c r="H1486" i="11" s="1"/>
  <c r="I1482" i="11" s="1"/>
  <c r="H446" i="1" s="1"/>
  <c r="H1165" i="11"/>
  <c r="H1166" i="11" s="1"/>
  <c r="H1167" i="11" s="1"/>
  <c r="I1161" i="11" s="1"/>
  <c r="H352" i="1" s="1"/>
  <c r="H1245" i="11"/>
  <c r="I1241" i="11" s="1"/>
  <c r="H377" i="1" s="1"/>
  <c r="H369" i="11"/>
  <c r="H370" i="11" s="1"/>
  <c r="I366" i="11" s="1"/>
  <c r="H122" i="1" s="1"/>
  <c r="H617" i="11"/>
  <c r="H618" i="11" s="1"/>
  <c r="I615" i="11" s="1"/>
  <c r="H195" i="1" s="1"/>
  <c r="H633" i="11"/>
  <c r="I631" i="11" s="1"/>
  <c r="H199" i="1" s="1"/>
  <c r="H889" i="11"/>
  <c r="H890" i="11" s="1"/>
  <c r="I887" i="11" s="1"/>
  <c r="H276" i="1" s="1"/>
  <c r="H921" i="11"/>
  <c r="H922" i="11" s="1"/>
  <c r="I919" i="11" s="1"/>
  <c r="H285" i="1" s="1"/>
  <c r="G254" i="11"/>
  <c r="H254" i="11" s="1"/>
  <c r="H255" i="11" s="1"/>
  <c r="I253" i="11" s="1"/>
  <c r="H81" i="1" s="1"/>
  <c r="H769" i="11"/>
  <c r="I765" i="11" s="1"/>
  <c r="H240" i="1" s="1"/>
  <c r="H1373" i="11"/>
  <c r="I1370" i="11" s="1"/>
  <c r="H424" i="1" s="1"/>
  <c r="H1593" i="11"/>
  <c r="H1594" i="11" s="1"/>
  <c r="H1595" i="11" s="1"/>
  <c r="H1596" i="11" s="1"/>
  <c r="H1597" i="11" s="1"/>
  <c r="H1598" i="11" s="1"/>
  <c r="I1590" i="11" s="1"/>
  <c r="H463" i="1" s="1"/>
  <c r="H1873" i="11"/>
  <c r="I1870" i="11" s="1"/>
  <c r="H530" i="1" s="1"/>
  <c r="H509" i="11"/>
  <c r="H510" i="11" s="1"/>
  <c r="H511" i="11" s="1"/>
  <c r="I507" i="11" s="1"/>
  <c r="H161" i="1" s="1"/>
  <c r="H621" i="11"/>
  <c r="H622" i="11" s="1"/>
  <c r="I619" i="11" s="1"/>
  <c r="H196" i="1" s="1"/>
  <c r="H653" i="11"/>
  <c r="H654" i="11" s="1"/>
  <c r="I651" i="11" s="1"/>
  <c r="H206" i="1" s="1"/>
  <c r="H861" i="11"/>
  <c r="H862" i="11" s="1"/>
  <c r="H863" i="11" s="1"/>
  <c r="I859" i="11" s="1"/>
  <c r="H268" i="1" s="1"/>
  <c r="H909" i="11"/>
  <c r="H910" i="11" s="1"/>
  <c r="I907" i="11" s="1"/>
  <c r="H282" i="1" s="1"/>
  <c r="H1069" i="11"/>
  <c r="I1067" i="11" s="1"/>
  <c r="H327" i="1" s="1"/>
  <c r="H1441" i="11"/>
  <c r="H1442" i="11" s="1"/>
  <c r="H1443" i="11" s="1"/>
  <c r="H1444" i="11" s="1"/>
  <c r="H1445" i="11" s="1"/>
  <c r="I1438" i="11" s="1"/>
  <c r="H436" i="1" s="1"/>
  <c r="H1461" i="11"/>
  <c r="H1462" i="11" s="1"/>
  <c r="H1463" i="11" s="1"/>
  <c r="H1464" i="11" s="1"/>
  <c r="I1458" i="11" s="1"/>
  <c r="H441" i="1" s="1"/>
  <c r="H1581" i="11"/>
  <c r="H1582" i="11" s="1"/>
  <c r="H1583" i="11" s="1"/>
  <c r="H1584" i="11" s="1"/>
  <c r="H1585" i="11" s="1"/>
  <c r="I1578" i="11" s="1"/>
  <c r="H461" i="1" s="1"/>
  <c r="H497" i="11"/>
  <c r="H498" i="11" s="1"/>
  <c r="H499" i="11" s="1"/>
  <c r="H500" i="11" s="1"/>
  <c r="I495" i="11" s="1"/>
  <c r="H158" i="1" s="1"/>
  <c r="H561" i="11"/>
  <c r="I559" i="11" s="1"/>
  <c r="H177" i="1" s="1"/>
  <c r="H657" i="11"/>
  <c r="H658" i="11" s="1"/>
  <c r="H659" i="11" s="1"/>
  <c r="I655" i="11" s="1"/>
  <c r="H207" i="1" s="1"/>
  <c r="H977" i="11"/>
  <c r="I975" i="11" s="1"/>
  <c r="H301" i="1" s="1"/>
  <c r="H1105" i="11"/>
  <c r="H1106" i="11" s="1"/>
  <c r="H1107" i="11" s="1"/>
  <c r="I1103" i="11" s="1"/>
  <c r="H335" i="1" s="1"/>
  <c r="H1137" i="11"/>
  <c r="H1138" i="11" s="1"/>
  <c r="I1135" i="11" s="1"/>
  <c r="H345" i="1" s="1"/>
</calcChain>
</file>

<file path=xl/sharedStrings.xml><?xml version="1.0" encoding="utf-8"?>
<sst xmlns="http://schemas.openxmlformats.org/spreadsheetml/2006/main" count="12478" uniqueCount="2576">
  <si>
    <t>Value</t>
  </si>
  <si>
    <t>xlfCount</t>
  </si>
  <si>
    <t>COUNT</t>
  </si>
  <si>
    <t>xlfIf</t>
  </si>
  <si>
    <t>IF</t>
  </si>
  <si>
    <t>xlfIsna</t>
  </si>
  <si>
    <t>ISNA</t>
  </si>
  <si>
    <t>xlfIserror</t>
  </si>
  <si>
    <t>ISERROR</t>
  </si>
  <si>
    <t>xlfSum</t>
  </si>
  <si>
    <t>SUM</t>
  </si>
  <si>
    <t>xlfAverage</t>
  </si>
  <si>
    <t>AVERAGE</t>
  </si>
  <si>
    <t>xlfMin</t>
  </si>
  <si>
    <t>MIN</t>
  </si>
  <si>
    <t>xlfMax</t>
  </si>
  <si>
    <t>MAX</t>
  </si>
  <si>
    <t>xlfRow</t>
  </si>
  <si>
    <t>ROW</t>
  </si>
  <si>
    <t>xlfColumn</t>
  </si>
  <si>
    <t>COLUMN</t>
  </si>
  <si>
    <t>xlfNa</t>
  </si>
  <si>
    <t>NA</t>
  </si>
  <si>
    <t>xlfNpv</t>
  </si>
  <si>
    <t>NPV</t>
  </si>
  <si>
    <t>xlfStdev</t>
  </si>
  <si>
    <t>STDEV</t>
  </si>
  <si>
    <t>xlfDollar</t>
  </si>
  <si>
    <t>DOLLAR</t>
  </si>
  <si>
    <t>xlfFixed</t>
  </si>
  <si>
    <t>FIXED</t>
  </si>
  <si>
    <t>xlfSin</t>
  </si>
  <si>
    <t>SIN</t>
  </si>
  <si>
    <t>xlfCos</t>
  </si>
  <si>
    <t>COS</t>
  </si>
  <si>
    <t>xlfTan</t>
  </si>
  <si>
    <t>TAN</t>
  </si>
  <si>
    <t>xlfAtan</t>
  </si>
  <si>
    <t>ATAN</t>
  </si>
  <si>
    <t>xlfPi</t>
  </si>
  <si>
    <t>PI</t>
  </si>
  <si>
    <t>xlfSqrt</t>
  </si>
  <si>
    <t>SQRT</t>
  </si>
  <si>
    <t>xlfExp</t>
  </si>
  <si>
    <t>EXP</t>
  </si>
  <si>
    <t>xlfLn</t>
  </si>
  <si>
    <t>LN</t>
  </si>
  <si>
    <t>xlfLog10</t>
  </si>
  <si>
    <t>LOG10</t>
  </si>
  <si>
    <t>xlfAbs</t>
  </si>
  <si>
    <t>ABS</t>
  </si>
  <si>
    <t>xlfInt</t>
  </si>
  <si>
    <t>INT</t>
  </si>
  <si>
    <t>xlfSign</t>
  </si>
  <si>
    <t>SIGN</t>
  </si>
  <si>
    <t>xlfRound</t>
  </si>
  <si>
    <t>ROUND</t>
  </si>
  <si>
    <t>xlfLookup</t>
  </si>
  <si>
    <t>LOOKUP</t>
  </si>
  <si>
    <t>xlfIndex</t>
  </si>
  <si>
    <t>INDEX</t>
  </si>
  <si>
    <t>xlfRept</t>
  </si>
  <si>
    <t>REPT</t>
  </si>
  <si>
    <t>xlfMid</t>
  </si>
  <si>
    <t>MID</t>
  </si>
  <si>
    <t>xlfLen</t>
  </si>
  <si>
    <t>LEN</t>
  </si>
  <si>
    <t>xlfValue</t>
  </si>
  <si>
    <t>VALUE</t>
  </si>
  <si>
    <t>xlfTrue</t>
  </si>
  <si>
    <t>TRUE</t>
  </si>
  <si>
    <t>xlfFalse</t>
  </si>
  <si>
    <t>FALSE</t>
  </si>
  <si>
    <t>xlfAnd</t>
  </si>
  <si>
    <t>AND</t>
  </si>
  <si>
    <t>xlfOr</t>
  </si>
  <si>
    <t>OR</t>
  </si>
  <si>
    <t>xlfNot</t>
  </si>
  <si>
    <t>NOT</t>
  </si>
  <si>
    <t>xlfMod</t>
  </si>
  <si>
    <t>MOD</t>
  </si>
  <si>
    <t>xlfDcount</t>
  </si>
  <si>
    <t>DCOUNT</t>
  </si>
  <si>
    <t>xlfDsum</t>
  </si>
  <si>
    <t>DSUM</t>
  </si>
  <si>
    <t>xlfDaverage</t>
  </si>
  <si>
    <t>DAVERAGE</t>
  </si>
  <si>
    <t>xlfDmin</t>
  </si>
  <si>
    <t>DMIN</t>
  </si>
  <si>
    <t>xlfDmax</t>
  </si>
  <si>
    <t>DMAX</t>
  </si>
  <si>
    <t>xlfDstdev</t>
  </si>
  <si>
    <t>DSTDEV</t>
  </si>
  <si>
    <t>xlfVar</t>
  </si>
  <si>
    <t>VAR</t>
  </si>
  <si>
    <t>xlfDvar</t>
  </si>
  <si>
    <t>DVAR</t>
  </si>
  <si>
    <t>xlfText</t>
  </si>
  <si>
    <t>TEXT</t>
  </si>
  <si>
    <t>xlfLinest</t>
  </si>
  <si>
    <t>LINEST</t>
  </si>
  <si>
    <t>xlfTrend</t>
  </si>
  <si>
    <t>TREND</t>
  </si>
  <si>
    <t>xlfLogest</t>
  </si>
  <si>
    <t>LOGEST</t>
  </si>
  <si>
    <t>xlfGrowth</t>
  </si>
  <si>
    <t>GROWTH</t>
  </si>
  <si>
    <t>xlfGoto</t>
  </si>
  <si>
    <t>GOTO</t>
  </si>
  <si>
    <t>xlfHalt</t>
  </si>
  <si>
    <t>HALT</t>
  </si>
  <si>
    <t>xlfReturn</t>
  </si>
  <si>
    <t>RETURN</t>
  </si>
  <si>
    <t>xlfPv</t>
  </si>
  <si>
    <t>PV</t>
  </si>
  <si>
    <t>xlfFv</t>
  </si>
  <si>
    <t>FV</t>
  </si>
  <si>
    <t>xlfNper</t>
  </si>
  <si>
    <t>NPER</t>
  </si>
  <si>
    <t>xlfPmt</t>
  </si>
  <si>
    <t>PMT</t>
  </si>
  <si>
    <t>xlfRate</t>
  </si>
  <si>
    <t>RATE</t>
  </si>
  <si>
    <t>xlfMirr</t>
  </si>
  <si>
    <t>MIRR</t>
  </si>
  <si>
    <t>xlfIrr</t>
  </si>
  <si>
    <t>IRR</t>
  </si>
  <si>
    <t>xlfRand</t>
  </si>
  <si>
    <t>RAND</t>
  </si>
  <si>
    <t>xlfMatch</t>
  </si>
  <si>
    <t>MATCH</t>
  </si>
  <si>
    <t>xlfDate</t>
  </si>
  <si>
    <t>DATE</t>
  </si>
  <si>
    <t>xlfTime</t>
  </si>
  <si>
    <t>TIME</t>
  </si>
  <si>
    <t>xlfDay</t>
  </si>
  <si>
    <t>DAY</t>
  </si>
  <si>
    <t>xlfMonth</t>
  </si>
  <si>
    <t>MONTH</t>
  </si>
  <si>
    <t>xlfYear</t>
  </si>
  <si>
    <t>YEAR</t>
  </si>
  <si>
    <t>xlfWeekday</t>
  </si>
  <si>
    <t>WEEKDAY</t>
  </si>
  <si>
    <t>xlfHour</t>
  </si>
  <si>
    <t>HOUR</t>
  </si>
  <si>
    <t>xlfMinute</t>
  </si>
  <si>
    <t>MINUTE</t>
  </si>
  <si>
    <t>xlfSecond</t>
  </si>
  <si>
    <t>SECOND</t>
  </si>
  <si>
    <t>xlfNow</t>
  </si>
  <si>
    <t>NOW</t>
  </si>
  <si>
    <t>xlfAreas</t>
  </si>
  <si>
    <t>AREAS</t>
  </si>
  <si>
    <t>xlfRows</t>
  </si>
  <si>
    <t>ROWS</t>
  </si>
  <si>
    <t>xlfColumns</t>
  </si>
  <si>
    <t>COLUMNS</t>
  </si>
  <si>
    <t>xlfOffset</t>
  </si>
  <si>
    <t>OFFSET</t>
  </si>
  <si>
    <t>xlfAbsref</t>
  </si>
  <si>
    <t>ABSREF</t>
  </si>
  <si>
    <t>xlfRelref</t>
  </si>
  <si>
    <t>RELREF</t>
  </si>
  <si>
    <t>xlfArgument</t>
  </si>
  <si>
    <t>ARGUMENT</t>
  </si>
  <si>
    <t>xlfSearch</t>
  </si>
  <si>
    <t>SEARCH</t>
  </si>
  <si>
    <t>xlfTranspose</t>
  </si>
  <si>
    <t>TRANSPOSE</t>
  </si>
  <si>
    <t>xlfError</t>
  </si>
  <si>
    <t>ERROR</t>
  </si>
  <si>
    <t>xlfStep</t>
  </si>
  <si>
    <t>STEP</t>
  </si>
  <si>
    <t>xlfType</t>
  </si>
  <si>
    <t>TYPE</t>
  </si>
  <si>
    <t>xlfEcho</t>
  </si>
  <si>
    <t>ECHO</t>
  </si>
  <si>
    <t>xlfSetName</t>
  </si>
  <si>
    <t>SET.NAME</t>
  </si>
  <si>
    <t>xlfCaller</t>
  </si>
  <si>
    <t>CALLER</t>
  </si>
  <si>
    <t>xlfDeref</t>
  </si>
  <si>
    <t>DEREF</t>
  </si>
  <si>
    <t>xlfWindows</t>
  </si>
  <si>
    <t>WINDOWS</t>
  </si>
  <si>
    <t>xlfSeries</t>
  </si>
  <si>
    <t>SERIES</t>
  </si>
  <si>
    <t>xlfDocuments</t>
  </si>
  <si>
    <t>DOCUMENTS</t>
  </si>
  <si>
    <t>xlfActiveCell</t>
  </si>
  <si>
    <t>ACTIVE.CELL</t>
  </si>
  <si>
    <t>xlfSelection</t>
  </si>
  <si>
    <t>SELECTION</t>
  </si>
  <si>
    <t>xlfResult</t>
  </si>
  <si>
    <t>RESULT</t>
  </si>
  <si>
    <t>xlfAtan2</t>
  </si>
  <si>
    <t>ATAN2</t>
  </si>
  <si>
    <t>xlfAsin</t>
  </si>
  <si>
    <t>ASIN</t>
  </si>
  <si>
    <t>xlfAcos</t>
  </si>
  <si>
    <t>ACOS</t>
  </si>
  <si>
    <t>xlfChoose</t>
  </si>
  <si>
    <t>CHOOSE</t>
  </si>
  <si>
    <t>xlfHlookup</t>
  </si>
  <si>
    <t>HLOOKUP</t>
  </si>
  <si>
    <t>xlfVlookup</t>
  </si>
  <si>
    <t>VLOOKUP</t>
  </si>
  <si>
    <t>xlfLinks</t>
  </si>
  <si>
    <t>LINKS</t>
  </si>
  <si>
    <t>xlfInput</t>
  </si>
  <si>
    <t>INPUT</t>
  </si>
  <si>
    <t>xlfIsref</t>
  </si>
  <si>
    <t>ISREF</t>
  </si>
  <si>
    <t>xlfGetFormula</t>
  </si>
  <si>
    <t>GET.FORMULA</t>
  </si>
  <si>
    <t>xlfGetName</t>
  </si>
  <si>
    <t>GET.NAME</t>
  </si>
  <si>
    <t>xlfSetValue</t>
  </si>
  <si>
    <t>SET.VALUE</t>
  </si>
  <si>
    <t>xlfLog</t>
  </si>
  <si>
    <t>LOG</t>
  </si>
  <si>
    <t>xlfExec</t>
  </si>
  <si>
    <t>EXEC</t>
  </si>
  <si>
    <t>xlfChar</t>
  </si>
  <si>
    <t>CHAR</t>
  </si>
  <si>
    <t>xlfLower</t>
  </si>
  <si>
    <t>LOWER</t>
  </si>
  <si>
    <t>xlfUpper</t>
  </si>
  <si>
    <t>UPPER</t>
  </si>
  <si>
    <t>xlfProper</t>
  </si>
  <si>
    <t>PROPER</t>
  </si>
  <si>
    <t>xlfLeft</t>
  </si>
  <si>
    <t>LEFT</t>
  </si>
  <si>
    <t>xlfRight</t>
  </si>
  <si>
    <t>RIGHT</t>
  </si>
  <si>
    <t>xlfExact</t>
  </si>
  <si>
    <t>EXACT</t>
  </si>
  <si>
    <t>xlfTrim</t>
  </si>
  <si>
    <t>TRIM</t>
  </si>
  <si>
    <t>xlfReplace</t>
  </si>
  <si>
    <t>REPLACE</t>
  </si>
  <si>
    <t>xlfSubstitute</t>
  </si>
  <si>
    <t>SUBSTITUTE</t>
  </si>
  <si>
    <t>xlfCode</t>
  </si>
  <si>
    <t>CODE</t>
  </si>
  <si>
    <t>xlfNames</t>
  </si>
  <si>
    <t>NAMES</t>
  </si>
  <si>
    <t>xlfDirectory</t>
  </si>
  <si>
    <t>DIRECTORY</t>
  </si>
  <si>
    <t>xlfFind</t>
  </si>
  <si>
    <t>FIND</t>
  </si>
  <si>
    <t>xlfCell</t>
  </si>
  <si>
    <t>CELL</t>
  </si>
  <si>
    <t>xlfIserr</t>
  </si>
  <si>
    <t>ISERR</t>
  </si>
  <si>
    <t>xlfIstext</t>
  </si>
  <si>
    <t>ISTEXT</t>
  </si>
  <si>
    <t>xlfIsnumber</t>
  </si>
  <si>
    <t>ISNUMBER</t>
  </si>
  <si>
    <t>xlfIsblank</t>
  </si>
  <si>
    <t>ISBLANK</t>
  </si>
  <si>
    <t>xlfT</t>
  </si>
  <si>
    <t>T</t>
  </si>
  <si>
    <t>xlfN</t>
  </si>
  <si>
    <t>N</t>
  </si>
  <si>
    <t>xlfFopen</t>
  </si>
  <si>
    <t>FOPEN</t>
  </si>
  <si>
    <t>xlfFclose</t>
  </si>
  <si>
    <t>FCLOSE</t>
  </si>
  <si>
    <t>xlfFsize</t>
  </si>
  <si>
    <t>FSIZE</t>
  </si>
  <si>
    <t>xlfFreadln</t>
  </si>
  <si>
    <t>FREADLN</t>
  </si>
  <si>
    <t>xlfFread</t>
  </si>
  <si>
    <t>FREAD</t>
  </si>
  <si>
    <t>xlfFwriteln</t>
  </si>
  <si>
    <t>FWRITELN</t>
  </si>
  <si>
    <t>xlfFwrite</t>
  </si>
  <si>
    <t>FWRITE</t>
  </si>
  <si>
    <t>xlfFpos</t>
  </si>
  <si>
    <t>FPOS</t>
  </si>
  <si>
    <t>xlfDatevalue</t>
  </si>
  <si>
    <t>DATEVALUE</t>
  </si>
  <si>
    <t>xlfTimevalue</t>
  </si>
  <si>
    <t>TIMEVALUE</t>
  </si>
  <si>
    <t>xlfSln</t>
  </si>
  <si>
    <t>SLN</t>
  </si>
  <si>
    <t>xlfSyd</t>
  </si>
  <si>
    <t>SYD</t>
  </si>
  <si>
    <t>xlfDdb</t>
  </si>
  <si>
    <t>DDB</t>
  </si>
  <si>
    <t>xlfGetDef</t>
  </si>
  <si>
    <t>GET.DEF</t>
  </si>
  <si>
    <t>xlfReftext</t>
  </si>
  <si>
    <t>REFTEXT</t>
  </si>
  <si>
    <t>xlfTextref</t>
  </si>
  <si>
    <t>TEXTREF</t>
  </si>
  <si>
    <t>xlfIndirect</t>
  </si>
  <si>
    <t>INDIRECT</t>
  </si>
  <si>
    <t>xlfRegister</t>
  </si>
  <si>
    <t>REGISTER</t>
  </si>
  <si>
    <t>xlfCall</t>
  </si>
  <si>
    <t>CALL</t>
  </si>
  <si>
    <t>xlfAddBar</t>
  </si>
  <si>
    <t>ADD.BAR</t>
  </si>
  <si>
    <t>xlfAddMenu</t>
  </si>
  <si>
    <t>ADD.MENU</t>
  </si>
  <si>
    <t>xlfAddCommand</t>
  </si>
  <si>
    <t>ADD.COMMAND</t>
  </si>
  <si>
    <t>xlfEnableCommand</t>
  </si>
  <si>
    <t>ENABLE.COMMAND</t>
  </si>
  <si>
    <t>xlfCheckCommand</t>
  </si>
  <si>
    <t>CHECK.COMMAND</t>
  </si>
  <si>
    <t>xlfRenameCommand</t>
  </si>
  <si>
    <t>RENAME.COMMAND</t>
  </si>
  <si>
    <t>xlfShowBar</t>
  </si>
  <si>
    <t>SHOW.BAR</t>
  </si>
  <si>
    <t>xlfDeleteMenu</t>
  </si>
  <si>
    <t>DELETE.MENU</t>
  </si>
  <si>
    <t>xlfDeleteCommand</t>
  </si>
  <si>
    <t>DELETE.COMMAND</t>
  </si>
  <si>
    <t>xlfGetChartItem</t>
  </si>
  <si>
    <t>GET.CHART.ITEM</t>
  </si>
  <si>
    <t>xlfDialogBox</t>
  </si>
  <si>
    <t>DIALOG.BOX</t>
  </si>
  <si>
    <t>xlfClean</t>
  </si>
  <si>
    <t>CLEAN</t>
  </si>
  <si>
    <t>xlfMdeterm</t>
  </si>
  <si>
    <t>MDETERM</t>
  </si>
  <si>
    <t>xlfMinverse</t>
  </si>
  <si>
    <t>MINVERSE</t>
  </si>
  <si>
    <t>xlfMmult</t>
  </si>
  <si>
    <t>MMULT</t>
  </si>
  <si>
    <t>xlfFiles</t>
  </si>
  <si>
    <t>FILES</t>
  </si>
  <si>
    <t>xlfIpmt</t>
  </si>
  <si>
    <t>IPMT</t>
  </si>
  <si>
    <t>xlfPpmt</t>
  </si>
  <si>
    <t>PPMT</t>
  </si>
  <si>
    <t>xlfCounta</t>
  </si>
  <si>
    <t>COUNTA</t>
  </si>
  <si>
    <t>xlfCancelKey</t>
  </si>
  <si>
    <t>CANCEL.KEY</t>
  </si>
  <si>
    <t>xlfFor</t>
  </si>
  <si>
    <t>FOR</t>
  </si>
  <si>
    <t>xlfWhile</t>
  </si>
  <si>
    <t>WHILE</t>
  </si>
  <si>
    <t>xlfBreak</t>
  </si>
  <si>
    <t>BREAK</t>
  </si>
  <si>
    <t>xlfNext</t>
  </si>
  <si>
    <t>NEXT</t>
  </si>
  <si>
    <t>xlfInitiate</t>
  </si>
  <si>
    <t>INITIATE</t>
  </si>
  <si>
    <t>xlfRequest</t>
  </si>
  <si>
    <t>REQUEST</t>
  </si>
  <si>
    <t>xlfPoke</t>
  </si>
  <si>
    <t>POKE</t>
  </si>
  <si>
    <t>xlfExecute</t>
  </si>
  <si>
    <t>EXECUTE</t>
  </si>
  <si>
    <t>xlfTerminate</t>
  </si>
  <si>
    <t>TERMINATE</t>
  </si>
  <si>
    <t>xlfRestart</t>
  </si>
  <si>
    <t>RESTART</t>
  </si>
  <si>
    <t>xlfHelp</t>
  </si>
  <si>
    <t>HELP</t>
  </si>
  <si>
    <t>xlfGetBar</t>
  </si>
  <si>
    <t>GET.BAR</t>
  </si>
  <si>
    <t>xlfProduct</t>
  </si>
  <si>
    <t>PRODUCT</t>
  </si>
  <si>
    <t>xlfFact</t>
  </si>
  <si>
    <t>FACT</t>
  </si>
  <si>
    <t>xlfGetCell</t>
  </si>
  <si>
    <t>GET.CELL</t>
  </si>
  <si>
    <t>xlfGetWorkspace</t>
  </si>
  <si>
    <t>GET.WORKSPACE</t>
  </si>
  <si>
    <t>xlfGetWindow</t>
  </si>
  <si>
    <t>GET.WINDOW</t>
  </si>
  <si>
    <t>xlfGetDocument</t>
  </si>
  <si>
    <t>GET.DOCUMENT</t>
  </si>
  <si>
    <t>xlfDproduct</t>
  </si>
  <si>
    <t>DPRODUCT</t>
  </si>
  <si>
    <t>xlfIsnontext</t>
  </si>
  <si>
    <t>ISNONTEXT</t>
  </si>
  <si>
    <t>xlfGetNote</t>
  </si>
  <si>
    <t>GET.NOTE</t>
  </si>
  <si>
    <t>xlfNote</t>
  </si>
  <si>
    <t>NOTE</t>
  </si>
  <si>
    <t>xlfStdevp</t>
  </si>
  <si>
    <t>STDEVP</t>
  </si>
  <si>
    <t>xlfVarp</t>
  </si>
  <si>
    <t>VARP</t>
  </si>
  <si>
    <t>xlfDstdevp</t>
  </si>
  <si>
    <t>DSTDEVP</t>
  </si>
  <si>
    <t>xlfDvarp</t>
  </si>
  <si>
    <t>DVARP</t>
  </si>
  <si>
    <t>xlfTrunc</t>
  </si>
  <si>
    <t>TRUNC</t>
  </si>
  <si>
    <t>xlfIslogical</t>
  </si>
  <si>
    <t>ISLOGICAL</t>
  </si>
  <si>
    <t>xlfDcounta</t>
  </si>
  <si>
    <t>DCOUNTA</t>
  </si>
  <si>
    <t>xlfDeleteBar</t>
  </si>
  <si>
    <t>DELETE.BAR</t>
  </si>
  <si>
    <t>xlfUnregister</t>
  </si>
  <si>
    <t>UNREGISTER</t>
  </si>
  <si>
    <t>xlfUsdollar</t>
  </si>
  <si>
    <t>USDOLLAR</t>
  </si>
  <si>
    <t>xlfFindb</t>
  </si>
  <si>
    <t>FINDB</t>
  </si>
  <si>
    <t>xlfSearchb</t>
  </si>
  <si>
    <t>SEARCHB</t>
  </si>
  <si>
    <t>xlfReplaceb</t>
  </si>
  <si>
    <t>REPLACEB</t>
  </si>
  <si>
    <t>xlfLeftb</t>
  </si>
  <si>
    <t>LEFTB</t>
  </si>
  <si>
    <t>xlfRightb</t>
  </si>
  <si>
    <t>RIGHTB</t>
  </si>
  <si>
    <t>xlfMidb</t>
  </si>
  <si>
    <t>MIDB</t>
  </si>
  <si>
    <t>xlfLenb</t>
  </si>
  <si>
    <t>LENB</t>
  </si>
  <si>
    <t>xlfRoundup</t>
  </si>
  <si>
    <t>ROUNDUP</t>
  </si>
  <si>
    <t>xlfRounddown</t>
  </si>
  <si>
    <t>ROUNDDOWN</t>
  </si>
  <si>
    <t>xlfAsc</t>
  </si>
  <si>
    <t>ASC</t>
  </si>
  <si>
    <t>xlfDbcs</t>
  </si>
  <si>
    <t>DBCS</t>
  </si>
  <si>
    <t>xlfRank</t>
  </si>
  <si>
    <t>RANK</t>
  </si>
  <si>
    <t>xlfAddress</t>
  </si>
  <si>
    <t>ADDRESS</t>
  </si>
  <si>
    <t>xlfDays360</t>
  </si>
  <si>
    <t>DAYS360</t>
  </si>
  <si>
    <t>xlfToday</t>
  </si>
  <si>
    <t>TODAY</t>
  </si>
  <si>
    <t>xlfVdb</t>
  </si>
  <si>
    <t>VDB</t>
  </si>
  <si>
    <t>xlfElse</t>
  </si>
  <si>
    <t>ELSE</t>
  </si>
  <si>
    <t>xlfElseIf</t>
  </si>
  <si>
    <t>ELSE.IF</t>
  </si>
  <si>
    <t>xlfEndIf</t>
  </si>
  <si>
    <t>END.IF</t>
  </si>
  <si>
    <t>xlfForCell</t>
  </si>
  <si>
    <t>FOR.CELL</t>
  </si>
  <si>
    <t>xlfMedian</t>
  </si>
  <si>
    <t>MEDIAN</t>
  </si>
  <si>
    <t>xlfSumproduct</t>
  </si>
  <si>
    <t>SUMPRODUCT</t>
  </si>
  <si>
    <t>xlfSinh</t>
  </si>
  <si>
    <t>SINH</t>
  </si>
  <si>
    <t>xlfCosh</t>
  </si>
  <si>
    <t>COSH</t>
  </si>
  <si>
    <t>xlfTanh</t>
  </si>
  <si>
    <t>TANH</t>
  </si>
  <si>
    <t>xlfAsinh</t>
  </si>
  <si>
    <t>ASINH</t>
  </si>
  <si>
    <t>xlfAcosh</t>
  </si>
  <si>
    <t>ACOSH</t>
  </si>
  <si>
    <t>xlfAtanh</t>
  </si>
  <si>
    <t>ATANH</t>
  </si>
  <si>
    <t>xlfDget</t>
  </si>
  <si>
    <t>DGET</t>
  </si>
  <si>
    <t>xlfCreateObject</t>
  </si>
  <si>
    <t>CREATE.OBJECT</t>
  </si>
  <si>
    <t>xlfVolatile</t>
  </si>
  <si>
    <t>VOLATILE</t>
  </si>
  <si>
    <t>xlfLastError</t>
  </si>
  <si>
    <t>LAST.ERROR</t>
  </si>
  <si>
    <t>xlfCustomUndo</t>
  </si>
  <si>
    <t>CUSTOM.UNDO</t>
  </si>
  <si>
    <t>xlfCustomRepeat</t>
  </si>
  <si>
    <t>CUSTOM.REPEAT</t>
  </si>
  <si>
    <t>xlfFormulaConvert</t>
  </si>
  <si>
    <t>FORMULA.CONVERT</t>
  </si>
  <si>
    <t>xlfGetLinkInfo</t>
  </si>
  <si>
    <t>GET.LINK.INFO</t>
  </si>
  <si>
    <t>xlfTextBox</t>
  </si>
  <si>
    <t>TEXT.BOX</t>
  </si>
  <si>
    <t>xlfInfo</t>
  </si>
  <si>
    <t>INFO</t>
  </si>
  <si>
    <t>xlfGroup</t>
  </si>
  <si>
    <t>GROUP</t>
  </si>
  <si>
    <t>xlfGetObject</t>
  </si>
  <si>
    <t>GET.OBJECT</t>
  </si>
  <si>
    <t>xlfDb</t>
  </si>
  <si>
    <t>DB</t>
  </si>
  <si>
    <t>xlfPause</t>
  </si>
  <si>
    <t>PAUSE</t>
  </si>
  <si>
    <t>xlfResume</t>
  </si>
  <si>
    <t>RESUME</t>
  </si>
  <si>
    <t>xlfFrequency</t>
  </si>
  <si>
    <t>FREQUENCY</t>
  </si>
  <si>
    <t>xlfAddToolbar</t>
  </si>
  <si>
    <t>ADD.TOOLBAR</t>
  </si>
  <si>
    <t>xlfDeleteToolbar</t>
  </si>
  <si>
    <t>DELETE.TOOLBAR</t>
  </si>
  <si>
    <t>xlfResetToolbar</t>
  </si>
  <si>
    <t>RESET.TOOLBAR</t>
  </si>
  <si>
    <t>xlfEvaluate</t>
  </si>
  <si>
    <t>EVALUATE</t>
  </si>
  <si>
    <t>xlfGetToolbar</t>
  </si>
  <si>
    <t>GET.TOOLBAR</t>
  </si>
  <si>
    <t>xlfGetTool</t>
  </si>
  <si>
    <t>GET.TOOL</t>
  </si>
  <si>
    <t>xlfSpellingCheck</t>
  </si>
  <si>
    <t>SPELLING.CHECK</t>
  </si>
  <si>
    <t>xlfErrorType</t>
  </si>
  <si>
    <t>ERROR.TYPE</t>
  </si>
  <si>
    <t>xlfAppTitle</t>
  </si>
  <si>
    <t>APP.TITLE</t>
  </si>
  <si>
    <t>xlfWindowTitle</t>
  </si>
  <si>
    <t>WINDOW.TITLE</t>
  </si>
  <si>
    <t>xlfSaveToolbar</t>
  </si>
  <si>
    <t>SAVE.TOOLBAR</t>
  </si>
  <si>
    <t>xlfEnableTool</t>
  </si>
  <si>
    <t>ENABLE.TOOL</t>
  </si>
  <si>
    <t>xlfPressTool</t>
  </si>
  <si>
    <t>PRESS.TOOL</t>
  </si>
  <si>
    <t>xlfRegisterId</t>
  </si>
  <si>
    <t>REGISTER.ID</t>
  </si>
  <si>
    <t>xlfGetWorkbook</t>
  </si>
  <si>
    <t>GET.WORKBOOK</t>
  </si>
  <si>
    <t>xlfAvedev</t>
  </si>
  <si>
    <t>AVEDEV</t>
  </si>
  <si>
    <t>xlfBetadist</t>
  </si>
  <si>
    <t>BETADIST</t>
  </si>
  <si>
    <t>xlfGammaln</t>
  </si>
  <si>
    <t>GAMMALN</t>
  </si>
  <si>
    <t>xlfBetainv</t>
  </si>
  <si>
    <t>BETAINV</t>
  </si>
  <si>
    <t>xlfBinomdist</t>
  </si>
  <si>
    <t>BINOMDIST</t>
  </si>
  <si>
    <t>xlfChidist</t>
  </si>
  <si>
    <t>CHIDIST</t>
  </si>
  <si>
    <t>xlfChiinv</t>
  </si>
  <si>
    <t>CHIINV</t>
  </si>
  <si>
    <t>xlfCombin</t>
  </si>
  <si>
    <t>COMBIN</t>
  </si>
  <si>
    <t>xlfConfidence</t>
  </si>
  <si>
    <t>CONFIDENCE</t>
  </si>
  <si>
    <t>xlfCritbinom</t>
  </si>
  <si>
    <t>CRITBINOM</t>
  </si>
  <si>
    <t>xlfEven</t>
  </si>
  <si>
    <t>EVEN</t>
  </si>
  <si>
    <t>xlfExpondist</t>
  </si>
  <si>
    <t>EXPONDIST</t>
  </si>
  <si>
    <t>xlfFdist</t>
  </si>
  <si>
    <t>FDIST</t>
  </si>
  <si>
    <t>xlfFinv</t>
  </si>
  <si>
    <t>FINV</t>
  </si>
  <si>
    <t>xlfFisher</t>
  </si>
  <si>
    <t>FISHER</t>
  </si>
  <si>
    <t>xlfFisherinv</t>
  </si>
  <si>
    <t>FISHERINV</t>
  </si>
  <si>
    <t>xlfFloor</t>
  </si>
  <si>
    <t>FLOOR</t>
  </si>
  <si>
    <t>xlfGammadist</t>
  </si>
  <si>
    <t>GAMMADIST</t>
  </si>
  <si>
    <t>xlfGammainv</t>
  </si>
  <si>
    <t>GAMMAINV</t>
  </si>
  <si>
    <t>xlfCeiling</t>
  </si>
  <si>
    <t>CEILING</t>
  </si>
  <si>
    <t>xlfHypgeomdist</t>
  </si>
  <si>
    <t>HYPGEOMDIST</t>
  </si>
  <si>
    <t>xlfLognormdist</t>
  </si>
  <si>
    <t>LOGNORMDIST</t>
  </si>
  <si>
    <t>xlfLoginv</t>
  </si>
  <si>
    <t>LOGINV</t>
  </si>
  <si>
    <t>xlfNegbinomdist</t>
  </si>
  <si>
    <t>NEGBINOMDIST</t>
  </si>
  <si>
    <t>xlfNormdist</t>
  </si>
  <si>
    <t>NORMDIST</t>
  </si>
  <si>
    <t>xlfNormsdist</t>
  </si>
  <si>
    <t>NORMSDIST</t>
  </si>
  <si>
    <t>xlfNorminv</t>
  </si>
  <si>
    <t>NORMINV</t>
  </si>
  <si>
    <t>xlfNormsinv</t>
  </si>
  <si>
    <t>NORMSINV</t>
  </si>
  <si>
    <t>xlfStandardize</t>
  </si>
  <si>
    <t>STANDARDIZE</t>
  </si>
  <si>
    <t>xlfOdd</t>
  </si>
  <si>
    <t>ODD</t>
  </si>
  <si>
    <t>xlfPermut</t>
  </si>
  <si>
    <t>PERMUT</t>
  </si>
  <si>
    <t>xlfPoisson</t>
  </si>
  <si>
    <t>POISSON</t>
  </si>
  <si>
    <t>xlfTdist</t>
  </si>
  <si>
    <t>TDIST</t>
  </si>
  <si>
    <t>xlfWeibull</t>
  </si>
  <si>
    <t>WEIBULL</t>
  </si>
  <si>
    <t>xlfSumxmy2</t>
  </si>
  <si>
    <t>SUMXMY2</t>
  </si>
  <si>
    <t>xlfSumx2my2</t>
  </si>
  <si>
    <t>SUMX2MY2</t>
  </si>
  <si>
    <t>xlfSumx2py2</t>
  </si>
  <si>
    <t>SUMX2PY2</t>
  </si>
  <si>
    <t>xlfChitest</t>
  </si>
  <si>
    <t>CHITEST</t>
  </si>
  <si>
    <t>xlfCorrel</t>
  </si>
  <si>
    <t>CORREL</t>
  </si>
  <si>
    <t>xlfCovar</t>
  </si>
  <si>
    <t>COVAR</t>
  </si>
  <si>
    <t>xlfForecast</t>
  </si>
  <si>
    <t>FORECAST</t>
  </si>
  <si>
    <t>xlfFtest</t>
  </si>
  <si>
    <t>FTEST</t>
  </si>
  <si>
    <t>xlfIntercept</t>
  </si>
  <si>
    <t>INTERCEPT</t>
  </si>
  <si>
    <t>xlfPearson</t>
  </si>
  <si>
    <t>PEARSON</t>
  </si>
  <si>
    <t>xlfRsq</t>
  </si>
  <si>
    <t>RSQ</t>
  </si>
  <si>
    <t>xlfSteyx</t>
  </si>
  <si>
    <t>STEYX</t>
  </si>
  <si>
    <t>xlfSlope</t>
  </si>
  <si>
    <t>SLOPE</t>
  </si>
  <si>
    <t>xlfTtest</t>
  </si>
  <si>
    <t>TTEST</t>
  </si>
  <si>
    <t>xlfProb</t>
  </si>
  <si>
    <t>PROB</t>
  </si>
  <si>
    <t>xlfDevsq</t>
  </si>
  <si>
    <t>DEVSQ</t>
  </si>
  <si>
    <t>xlfGeomean</t>
  </si>
  <si>
    <t>GEOMEAN</t>
  </si>
  <si>
    <t>xlfHarmean</t>
  </si>
  <si>
    <t>HARMEAN</t>
  </si>
  <si>
    <t>xlfSumsq</t>
  </si>
  <si>
    <t>SUMSQ</t>
  </si>
  <si>
    <t>xlfKurt</t>
  </si>
  <si>
    <t>KURT</t>
  </si>
  <si>
    <t>xlfSkew</t>
  </si>
  <si>
    <t>SKEW</t>
  </si>
  <si>
    <t>xlfZtest</t>
  </si>
  <si>
    <t>ZTEST</t>
  </si>
  <si>
    <t>xlfLarge</t>
  </si>
  <si>
    <t>LARGE</t>
  </si>
  <si>
    <t>xlfSmall</t>
  </si>
  <si>
    <t>SMALL</t>
  </si>
  <si>
    <t>xlfQuartile</t>
  </si>
  <si>
    <t>QUARTILE</t>
  </si>
  <si>
    <t>xlfPercentile</t>
  </si>
  <si>
    <t>PERCENTILE</t>
  </si>
  <si>
    <t>xlfPercentrank</t>
  </si>
  <si>
    <t>PERCENTRANK</t>
  </si>
  <si>
    <t>xlfMode</t>
  </si>
  <si>
    <t>MODE</t>
  </si>
  <si>
    <t>xlfTrimmean</t>
  </si>
  <si>
    <t>TRIMMEAN</t>
  </si>
  <si>
    <t>xlfTinv</t>
  </si>
  <si>
    <t>TINV</t>
  </si>
  <si>
    <t>xlfMovieCommand</t>
  </si>
  <si>
    <t>MOVIE.COMMAND</t>
  </si>
  <si>
    <t>xlfGetMovie</t>
  </si>
  <si>
    <t>GET.MOVIE</t>
  </si>
  <si>
    <t>xlfConcatenate</t>
  </si>
  <si>
    <t>CONCATENATE</t>
  </si>
  <si>
    <t>xlfPower</t>
  </si>
  <si>
    <t>POWER</t>
  </si>
  <si>
    <t>xlfPivotAddData</t>
  </si>
  <si>
    <t>PIVOT.ADD.DATA</t>
  </si>
  <si>
    <t>xlfGetPivotTable</t>
  </si>
  <si>
    <t>GET.PIVOT.TABLE</t>
  </si>
  <si>
    <t>xlfGetPivotField</t>
  </si>
  <si>
    <t>GET.PIVOT.FIELD</t>
  </si>
  <si>
    <t>xlfGetPivotItem</t>
  </si>
  <si>
    <t>GET.PIVOT.ITEM</t>
  </si>
  <si>
    <t>xlfRadians</t>
  </si>
  <si>
    <t>RADIANS</t>
  </si>
  <si>
    <t>xlfDegrees</t>
  </si>
  <si>
    <t>DEGREES</t>
  </si>
  <si>
    <t>xlfSubtotal</t>
  </si>
  <si>
    <t>SUBTOTAL</t>
  </si>
  <si>
    <t>xlfSumif</t>
  </si>
  <si>
    <t>SUMIF</t>
  </si>
  <si>
    <t>xlfCountif</t>
  </si>
  <si>
    <t>COUNTIF</t>
  </si>
  <si>
    <t>xlfCountblank</t>
  </si>
  <si>
    <t>COUNTBLANK</t>
  </si>
  <si>
    <t>xlfScenarioGet</t>
  </si>
  <si>
    <t>SCENARIO.GET</t>
  </si>
  <si>
    <t>xlfOptionsListsGet</t>
  </si>
  <si>
    <t>OPTIONS.LISTS.GET</t>
  </si>
  <si>
    <t>xlfIspmt</t>
  </si>
  <si>
    <t>ISPMT</t>
  </si>
  <si>
    <t>xlfDatedif</t>
  </si>
  <si>
    <t>DATEDIF</t>
  </si>
  <si>
    <t>xlfDatestring</t>
  </si>
  <si>
    <t>DATESTRING</t>
  </si>
  <si>
    <t>xlfNumberstring</t>
  </si>
  <si>
    <t>NUMBERSTRING</t>
  </si>
  <si>
    <t>xlfRoman</t>
  </si>
  <si>
    <t>ROMAN</t>
  </si>
  <si>
    <t>xlfOpenDialog</t>
  </si>
  <si>
    <t>OPEN.DIALOG</t>
  </si>
  <si>
    <t>xlfSaveDialog</t>
  </si>
  <si>
    <t>SAVE.DIALOG</t>
  </si>
  <si>
    <t>xlfViewGet</t>
  </si>
  <si>
    <t>VIEW.GET</t>
  </si>
  <si>
    <t>xlfGetpivotdata</t>
  </si>
  <si>
    <t>GETPIVOTDATA</t>
  </si>
  <si>
    <t>xlfHyperlink</t>
  </si>
  <si>
    <t>HYPERLINK</t>
  </si>
  <si>
    <t>xlfPhonetic</t>
  </si>
  <si>
    <t>PHONETIC</t>
  </si>
  <si>
    <t>xlfAveragea</t>
  </si>
  <si>
    <t>AVERAGEA</t>
  </si>
  <si>
    <t>xlfMaxa</t>
  </si>
  <si>
    <t>MAXA</t>
  </si>
  <si>
    <t>xlfMina</t>
  </si>
  <si>
    <t>MINA</t>
  </si>
  <si>
    <t>xlfStdevpa</t>
  </si>
  <si>
    <t>STDEVPA</t>
  </si>
  <si>
    <t>xlfVarpa</t>
  </si>
  <si>
    <t>VARPA</t>
  </si>
  <si>
    <t>xlfStdeva</t>
  </si>
  <si>
    <t>STDEVA</t>
  </si>
  <si>
    <t>xlfVara</t>
  </si>
  <si>
    <t>VARA</t>
  </si>
  <si>
    <t>xlfBahttext</t>
  </si>
  <si>
    <t>BAHTTEXT</t>
  </si>
  <si>
    <t>xlfThaidayofweek</t>
  </si>
  <si>
    <t>THAIDAYOFWEEK</t>
  </si>
  <si>
    <t>xlfThaidigit</t>
  </si>
  <si>
    <t>THAIDIGIT</t>
  </si>
  <si>
    <t>xlfThaimonthofyear</t>
  </si>
  <si>
    <t>THAIMONTHOFYEAR</t>
  </si>
  <si>
    <t>xlfThainumsound</t>
  </si>
  <si>
    <t>THAINUMSOUND</t>
  </si>
  <si>
    <t>xlfThainumstring</t>
  </si>
  <si>
    <t>THAINUMSTRING</t>
  </si>
  <si>
    <t>xlfThaistringlength</t>
  </si>
  <si>
    <t>THAISTRINGLENGTH</t>
  </si>
  <si>
    <t>xlfIsthaidigit</t>
  </si>
  <si>
    <t>ISTHAIDIGIT</t>
  </si>
  <si>
    <t>xlfRoundbahtdown</t>
  </si>
  <si>
    <t>ROUNDBAHTDOWN</t>
  </si>
  <si>
    <t>xlfRoundbahtup</t>
  </si>
  <si>
    <t>ROUNDBAHTUP</t>
  </si>
  <si>
    <t>xlfThaiyear</t>
  </si>
  <si>
    <t>THAIYEAR</t>
  </si>
  <si>
    <t>xlfRtd</t>
  </si>
  <si>
    <t>RTD</t>
  </si>
  <si>
    <t>xlfCubevalue</t>
  </si>
  <si>
    <t>CUBEVALUE</t>
  </si>
  <si>
    <t>xlfCubemember</t>
  </si>
  <si>
    <t>CUBEMEMBER</t>
  </si>
  <si>
    <t>xlfCubememberproperty</t>
  </si>
  <si>
    <t>CUBEMEMBERPROPERTY</t>
  </si>
  <si>
    <t>xlfCuberankedmember</t>
  </si>
  <si>
    <t>CUBERANKEDMEMBER</t>
  </si>
  <si>
    <t>xlfHex2bin</t>
  </si>
  <si>
    <t>HEX2BIN</t>
  </si>
  <si>
    <t>xlfHex2dec</t>
  </si>
  <si>
    <t>HEX2DEC</t>
  </si>
  <si>
    <t>xlfHex2oct</t>
  </si>
  <si>
    <t>HEX2OCT</t>
  </si>
  <si>
    <t>xlfDec2bin</t>
  </si>
  <si>
    <t>DEC2BIN</t>
  </si>
  <si>
    <t>xlfDec2hex</t>
  </si>
  <si>
    <t>DEC2HEX</t>
  </si>
  <si>
    <t>xlfDec2oct</t>
  </si>
  <si>
    <t>DEC2OCT</t>
  </si>
  <si>
    <t>xlfOct2bin</t>
  </si>
  <si>
    <t>OCT2BIN</t>
  </si>
  <si>
    <t>xlfOct2hex</t>
  </si>
  <si>
    <t>OCT2HEX</t>
  </si>
  <si>
    <t>xlfOct2dec</t>
  </si>
  <si>
    <t>OCT2DEC</t>
  </si>
  <si>
    <t>xlfBin2dec</t>
  </si>
  <si>
    <t>BIN2DEC</t>
  </si>
  <si>
    <t>xlfBin2oct</t>
  </si>
  <si>
    <t>BIN2OCT</t>
  </si>
  <si>
    <t>xlfBin2hex</t>
  </si>
  <si>
    <t>BIN2HEX</t>
  </si>
  <si>
    <t>xlfImsub</t>
  </si>
  <si>
    <t>IMSUB</t>
  </si>
  <si>
    <t>xlfImdiv</t>
  </si>
  <si>
    <t>IMDIV</t>
  </si>
  <si>
    <t>xlfImpower</t>
  </si>
  <si>
    <t>IMPOWER</t>
  </si>
  <si>
    <t>xlfImabs</t>
  </si>
  <si>
    <t>IMABS</t>
  </si>
  <si>
    <t>xlfImsqrt</t>
  </si>
  <si>
    <t>IMSQRT</t>
  </si>
  <si>
    <t>xlfImln</t>
  </si>
  <si>
    <t>IMLN</t>
  </si>
  <si>
    <t>xlfImlog2</t>
  </si>
  <si>
    <t>IMLOG2</t>
  </si>
  <si>
    <t>xlfImlog10</t>
  </si>
  <si>
    <t>IMLOG10</t>
  </si>
  <si>
    <t>xlfImsin</t>
  </si>
  <si>
    <t>IMSIN</t>
  </si>
  <si>
    <t>xlfImcos</t>
  </si>
  <si>
    <t>IMCOS</t>
  </si>
  <si>
    <t>xlfImexp</t>
  </si>
  <si>
    <t>IMEXP</t>
  </si>
  <si>
    <t>xlfImargument</t>
  </si>
  <si>
    <t>IMARGUMENT</t>
  </si>
  <si>
    <t>xlfImconjugate</t>
  </si>
  <si>
    <t>IMCONJUGATE</t>
  </si>
  <si>
    <t>xlfImaginary</t>
  </si>
  <si>
    <t>IMAGINARY</t>
  </si>
  <si>
    <t>xlfImreal</t>
  </si>
  <si>
    <t>IMREAL</t>
  </si>
  <si>
    <t>xlfComplex</t>
  </si>
  <si>
    <t>COMPLEX</t>
  </si>
  <si>
    <t>xlfImsum</t>
  </si>
  <si>
    <t>IMSUM</t>
  </si>
  <si>
    <t>xlfImproduct</t>
  </si>
  <si>
    <t>IMPRODUCT</t>
  </si>
  <si>
    <t>xlfSeriessum</t>
  </si>
  <si>
    <t>SERIESSUM</t>
  </si>
  <si>
    <t>xlfFactdouble</t>
  </si>
  <si>
    <t>FACTDOUBLE</t>
  </si>
  <si>
    <t>xlfSqrtpi</t>
  </si>
  <si>
    <t>SQRTPI</t>
  </si>
  <si>
    <t>xlfQuotient</t>
  </si>
  <si>
    <t>QUOTIENT</t>
  </si>
  <si>
    <t>xlfDelta</t>
  </si>
  <si>
    <t>DELTA</t>
  </si>
  <si>
    <t>xlfGestep</t>
  </si>
  <si>
    <t>GESTEP</t>
  </si>
  <si>
    <t>xlfIseven</t>
  </si>
  <si>
    <t>ISEVEN</t>
  </si>
  <si>
    <t>xlfIsodd</t>
  </si>
  <si>
    <t>ISODD</t>
  </si>
  <si>
    <t>xlfMround</t>
  </si>
  <si>
    <t>MROUND</t>
  </si>
  <si>
    <t>xlfErf</t>
  </si>
  <si>
    <t>ERF</t>
  </si>
  <si>
    <t>xlfErfc</t>
  </si>
  <si>
    <t>ERFC</t>
  </si>
  <si>
    <t>xlfBesselj</t>
  </si>
  <si>
    <t>BESSELJ</t>
  </si>
  <si>
    <t>xlfBesselk</t>
  </si>
  <si>
    <t>BESSELK</t>
  </si>
  <si>
    <t>xlfBessely</t>
  </si>
  <si>
    <t>BESSELY</t>
  </si>
  <si>
    <t>xlfBesseli</t>
  </si>
  <si>
    <t>BESSELI</t>
  </si>
  <si>
    <t>xlfXirr</t>
  </si>
  <si>
    <t>XIRR</t>
  </si>
  <si>
    <t>xlfXnpv</t>
  </si>
  <si>
    <t>XNPV</t>
  </si>
  <si>
    <t>xlfPricemat</t>
  </si>
  <si>
    <t>PRICEMAT</t>
  </si>
  <si>
    <t>xlfYieldmat</t>
  </si>
  <si>
    <t>YIELDMAT</t>
  </si>
  <si>
    <t>xlfIntrate</t>
  </si>
  <si>
    <t>INTRATE</t>
  </si>
  <si>
    <t>xlfReceived</t>
  </si>
  <si>
    <t>RECEIVED</t>
  </si>
  <si>
    <t>xlfDisc</t>
  </si>
  <si>
    <t>DISC</t>
  </si>
  <si>
    <t>xlfPricedisc</t>
  </si>
  <si>
    <t>PRICEDISC</t>
  </si>
  <si>
    <t>xlfYielddisc</t>
  </si>
  <si>
    <t>YIELDDISC</t>
  </si>
  <si>
    <t>xlfTbilleq</t>
  </si>
  <si>
    <t>TBILLEQ</t>
  </si>
  <si>
    <t>xlfTbillprice</t>
  </si>
  <si>
    <t>TBILLPRICE</t>
  </si>
  <si>
    <t>xlfTbillyield</t>
  </si>
  <si>
    <t>TBILLYIELD</t>
  </si>
  <si>
    <t>xlfPrice</t>
  </si>
  <si>
    <t>PRICE</t>
  </si>
  <si>
    <t>xlfYield</t>
  </si>
  <si>
    <t>YIELD</t>
  </si>
  <si>
    <t>xlfDollarde</t>
  </si>
  <si>
    <t>DOLLARDE</t>
  </si>
  <si>
    <t>xlfDollarfr</t>
  </si>
  <si>
    <t>DOLLARFR</t>
  </si>
  <si>
    <t>xlfNominal</t>
  </si>
  <si>
    <t>NOMINAL</t>
  </si>
  <si>
    <t>xlfEffect</t>
  </si>
  <si>
    <t>EFFECT</t>
  </si>
  <si>
    <t>xlfCumprinc</t>
  </si>
  <si>
    <t>CUMPRINC</t>
  </si>
  <si>
    <t>xlfCumipmt</t>
  </si>
  <si>
    <t>CUMIPMT</t>
  </si>
  <si>
    <t>xlfEdate</t>
  </si>
  <si>
    <t>EDATE</t>
  </si>
  <si>
    <t>xlfEomonth</t>
  </si>
  <si>
    <t>EOMONTH</t>
  </si>
  <si>
    <t>xlfYearfrac</t>
  </si>
  <si>
    <t>YEARFRAC</t>
  </si>
  <si>
    <t>xlfCoupdaybs</t>
  </si>
  <si>
    <t>COUPDAYBS</t>
  </si>
  <si>
    <t>xlfCoupdays</t>
  </si>
  <si>
    <t>COUPDAYS</t>
  </si>
  <si>
    <t>xlfCoupdaysnc</t>
  </si>
  <si>
    <t>COUPDAYSNC</t>
  </si>
  <si>
    <t>xlfCoupncd</t>
  </si>
  <si>
    <t>COUPNCD</t>
  </si>
  <si>
    <t>xlfCoupnum</t>
  </si>
  <si>
    <t>COUPNUM</t>
  </si>
  <si>
    <t>xlfCouppcd</t>
  </si>
  <si>
    <t>COUPPCD</t>
  </si>
  <si>
    <t>xlfDuration</t>
  </si>
  <si>
    <t>DURATION</t>
  </si>
  <si>
    <t>xlfMduration</t>
  </si>
  <si>
    <t>MDURATION</t>
  </si>
  <si>
    <t>xlfOddlprice</t>
  </si>
  <si>
    <t>ODDLPRICE</t>
  </si>
  <si>
    <t>xlfOddlyield</t>
  </si>
  <si>
    <t>ODDLYIELD</t>
  </si>
  <si>
    <t>xlfOddfprice</t>
  </si>
  <si>
    <t>ODDFPRICE</t>
  </si>
  <si>
    <t>xlfOddfyield</t>
  </si>
  <si>
    <t>ODDFYIELD</t>
  </si>
  <si>
    <t>xlfRandbetween</t>
  </si>
  <si>
    <t>RANDBETWEEN</t>
  </si>
  <si>
    <t>xlfWeeknum</t>
  </si>
  <si>
    <t>WEEKNUM</t>
  </si>
  <si>
    <t>xlfAmordegrc</t>
  </si>
  <si>
    <t>AMORDEGRC</t>
  </si>
  <si>
    <t>xlfAmorlinc</t>
  </si>
  <si>
    <t>AMORLINC</t>
  </si>
  <si>
    <t>xlfConvert</t>
  </si>
  <si>
    <t>CONVERT</t>
  </si>
  <si>
    <t>xlfAccrint</t>
  </si>
  <si>
    <t>ACCRINT</t>
  </si>
  <si>
    <t>xlfAccrintm</t>
  </si>
  <si>
    <t>ACCRINTM</t>
  </si>
  <si>
    <t>xlfWorkday</t>
  </si>
  <si>
    <t>WORKDAY</t>
  </si>
  <si>
    <t>xlfNetworkdays</t>
  </si>
  <si>
    <t>NETWORKDAYS</t>
  </si>
  <si>
    <t>xlfGcd</t>
  </si>
  <si>
    <t>GCD</t>
  </si>
  <si>
    <t>xlfMultinomial</t>
  </si>
  <si>
    <t>MULTINOMIAL</t>
  </si>
  <si>
    <t>xlfLcm</t>
  </si>
  <si>
    <t>LCM</t>
  </si>
  <si>
    <t>xlfFvschedule</t>
  </si>
  <si>
    <t>FVSCHEDULE</t>
  </si>
  <si>
    <t>xlfCubekpimember</t>
  </si>
  <si>
    <t>CUBEKPIMEMBER</t>
  </si>
  <si>
    <t>xlfCubeset</t>
  </si>
  <si>
    <t>CUBESET</t>
  </si>
  <si>
    <t>xlfCubesetcount</t>
  </si>
  <si>
    <t>CUBESETCOUNT</t>
  </si>
  <si>
    <t>xlfIferror</t>
  </si>
  <si>
    <t>IFERROR</t>
  </si>
  <si>
    <t>xlfCountifs</t>
  </si>
  <si>
    <t>COUNTIFS</t>
  </si>
  <si>
    <t>xlfSumifs</t>
  </si>
  <si>
    <t>SUMIFS</t>
  </si>
  <si>
    <t>xlfAverageif</t>
  </si>
  <si>
    <t>AVERAGEIF</t>
  </si>
  <si>
    <t>xlfAverageifs</t>
  </si>
  <si>
    <t>AVERAGEIFS</t>
  </si>
  <si>
    <t>xlfAGGREGATE</t>
  </si>
  <si>
    <t>AGGREGATE</t>
  </si>
  <si>
    <t>xlfBINOM_DIST</t>
  </si>
  <si>
    <t>BINOM.DIST</t>
  </si>
  <si>
    <t>xlfBINOM_INV</t>
  </si>
  <si>
    <t>BINOM.INV</t>
  </si>
  <si>
    <t>xlfCONFIDENCE_NORM</t>
  </si>
  <si>
    <t>CONFIDENCE.NORM</t>
  </si>
  <si>
    <t>xlfCONFIDENCE_T</t>
  </si>
  <si>
    <t>CONFIDENCE.T</t>
  </si>
  <si>
    <t>xlfCHISQ_TEST</t>
  </si>
  <si>
    <t>CHISQ.TEST</t>
  </si>
  <si>
    <t>xlfF_TEST</t>
  </si>
  <si>
    <t>F.TEST</t>
  </si>
  <si>
    <t>xlfCOVARIANCE_P</t>
  </si>
  <si>
    <t>COVARIANCE.P</t>
  </si>
  <si>
    <t>xlfCOVARIANCE_S</t>
  </si>
  <si>
    <t>COVARIANCE.S</t>
  </si>
  <si>
    <t>xlfEXPON_DIST</t>
  </si>
  <si>
    <t>EXPON.DIST</t>
  </si>
  <si>
    <t>xlfGAMMA_DIST</t>
  </si>
  <si>
    <t>GAMMA.DIST</t>
  </si>
  <si>
    <t>xlfGAMMA_INV</t>
  </si>
  <si>
    <t>GAMMA.INV</t>
  </si>
  <si>
    <t>xlfMODE_MULT</t>
  </si>
  <si>
    <t>MODE.MULT</t>
  </si>
  <si>
    <t>xlfMODE_SNGL</t>
  </si>
  <si>
    <t>MODE.SNGL</t>
  </si>
  <si>
    <t>xlfNORM_DIST</t>
  </si>
  <si>
    <t>NORM.DIST</t>
  </si>
  <si>
    <t>xlfNORM_INV</t>
  </si>
  <si>
    <t>NORM.INV</t>
  </si>
  <si>
    <t>xlfPERCENTILE_EXC</t>
  </si>
  <si>
    <t>PERCENTILE.EXC</t>
  </si>
  <si>
    <t>xlfPERCENTILE_INC</t>
  </si>
  <si>
    <t>PERCENTILE.INC</t>
  </si>
  <si>
    <t>xlfPERCENTRANK_EXC</t>
  </si>
  <si>
    <t>PERCENTRANK.EXC</t>
  </si>
  <si>
    <t>xlfPERCENTRANK_INC</t>
  </si>
  <si>
    <t>PERCENTRANK.INC</t>
  </si>
  <si>
    <t>xlfPOISSON_DIST</t>
  </si>
  <si>
    <t>POISSON.DIST</t>
  </si>
  <si>
    <t>xlfQUARTILE_EXC</t>
  </si>
  <si>
    <t>QUARTILE.EXC</t>
  </si>
  <si>
    <t>xlfQUARTILE_INC</t>
  </si>
  <si>
    <t>QUARTILE.INC</t>
  </si>
  <si>
    <t>xlfRANK_AVG</t>
  </si>
  <si>
    <t>RANK.AVG</t>
  </si>
  <si>
    <t>xlfRANK_EQ</t>
  </si>
  <si>
    <t>RANK.EQ</t>
  </si>
  <si>
    <t>xlfSTDEV_P</t>
  </si>
  <si>
    <t>STDEV.P</t>
  </si>
  <si>
    <t>xlfSTDEV_S</t>
  </si>
  <si>
    <t>STDEV.S</t>
  </si>
  <si>
    <t>xlfT_DIST</t>
  </si>
  <si>
    <t>T.DIST</t>
  </si>
  <si>
    <t>xlfT_DIST_2T</t>
  </si>
  <si>
    <t>T.DIST.2T</t>
  </si>
  <si>
    <t>xlfT_DIST_RT</t>
  </si>
  <si>
    <t>T.DIST.RT</t>
  </si>
  <si>
    <t>xlfT_INV</t>
  </si>
  <si>
    <t>T.INV</t>
  </si>
  <si>
    <t>xlfT_INV_2T</t>
  </si>
  <si>
    <t>T.INV.2T</t>
  </si>
  <si>
    <t>xlfVAR_P</t>
  </si>
  <si>
    <t>VAR.P</t>
  </si>
  <si>
    <t>xlfVAR_S</t>
  </si>
  <si>
    <t>VAR.S</t>
  </si>
  <si>
    <t>xlfWEIBULL_DIST</t>
  </si>
  <si>
    <t>WEIBULL.DIST</t>
  </si>
  <si>
    <t>xlfNETWORKDAYS_INTL</t>
  </si>
  <si>
    <t>NETWORKDAYS.INTL</t>
  </si>
  <si>
    <t>xlfWORKDAY_INTL</t>
  </si>
  <si>
    <t>WORKDAY.INTL</t>
  </si>
  <si>
    <t>xlfECMA_CEILING</t>
  </si>
  <si>
    <t>ECMA.CEILING</t>
  </si>
  <si>
    <t>xlfISO_CEILING</t>
  </si>
  <si>
    <t>ISO.CEILING</t>
  </si>
  <si>
    <t>xlfBETA_DIST</t>
  </si>
  <si>
    <t>BETA.DIST</t>
  </si>
  <si>
    <t>xlfBETA_INV</t>
  </si>
  <si>
    <t>BETA.INV</t>
  </si>
  <si>
    <t>xlfCHISQ_DIST</t>
  </si>
  <si>
    <t>CHISQ.DIST</t>
  </si>
  <si>
    <t>xlfCHISQ_DIST_RT</t>
  </si>
  <si>
    <t>CHISQ.DIST.RT</t>
  </si>
  <si>
    <t>xlfCHISQ_INV</t>
  </si>
  <si>
    <t>CHISQ.INV</t>
  </si>
  <si>
    <t>xlfCHISQ_INV_RT</t>
  </si>
  <si>
    <t>CHISQ.INV.RT</t>
  </si>
  <si>
    <t>xlfF_DIST</t>
  </si>
  <si>
    <t>F.DIST</t>
  </si>
  <si>
    <t>xlfF_DIST_RT</t>
  </si>
  <si>
    <t>F.DIST.RT</t>
  </si>
  <si>
    <t>xlfF_INV</t>
  </si>
  <si>
    <t>F.INV</t>
  </si>
  <si>
    <t>xlfF_INV_RT</t>
  </si>
  <si>
    <t>F.INV.RT</t>
  </si>
  <si>
    <t>xlfHYPGEOM_DIST</t>
  </si>
  <si>
    <t>HYPGEOM.DIST</t>
  </si>
  <si>
    <t>xlfLOGNORM_DIST</t>
  </si>
  <si>
    <t>LOGNORM.DIST</t>
  </si>
  <si>
    <t>xlfLOGNORM_INV</t>
  </si>
  <si>
    <t>LOGNORM.INV</t>
  </si>
  <si>
    <t>xlfNEGBINOM_DIST</t>
  </si>
  <si>
    <t>NEGBINOM.DIST</t>
  </si>
  <si>
    <t>xlfNORM_S_DIST</t>
  </si>
  <si>
    <t>NORM.S.DIST</t>
  </si>
  <si>
    <t>xlfNORM_S_INV</t>
  </si>
  <si>
    <t>NORM.S.INV</t>
  </si>
  <si>
    <t>xlfT_TEST</t>
  </si>
  <si>
    <t>T.TEST</t>
  </si>
  <si>
    <t>xlfZ_TEST</t>
  </si>
  <si>
    <t>Z.TEST</t>
  </si>
  <si>
    <t>xlfERF_PRECISE</t>
  </si>
  <si>
    <t>ERF.PRECISE</t>
  </si>
  <si>
    <t>xlfERFC_PRECISE</t>
  </si>
  <si>
    <t>ERFC.PRECISE</t>
  </si>
  <si>
    <t>xlfGAMMALN_PRECISE</t>
  </si>
  <si>
    <t>GAMMALN.PRECISE</t>
  </si>
  <si>
    <t>xlfCEILING_PRECISE</t>
  </si>
  <si>
    <t>CEILING.PRECISE</t>
  </si>
  <si>
    <t>xlfFLOOR_PRECISE</t>
  </si>
  <si>
    <t>FLOOR.PRECISE</t>
  </si>
  <si>
    <t>xlfAcot</t>
  </si>
  <si>
    <t>xlfAcoth</t>
  </si>
  <si>
    <t>xlfCot</t>
  </si>
  <si>
    <t>xlfCoth</t>
  </si>
  <si>
    <t>xlfCsc</t>
  </si>
  <si>
    <t>xlfCsch</t>
  </si>
  <si>
    <t>xlfSec</t>
  </si>
  <si>
    <t>xlfSech</t>
  </si>
  <si>
    <t>xlfImtan</t>
  </si>
  <si>
    <t>xlfImcot</t>
  </si>
  <si>
    <t>xlfImcsc</t>
  </si>
  <si>
    <t>xlfImcsch</t>
  </si>
  <si>
    <t>xlfImsec</t>
  </si>
  <si>
    <t>xlfImsech</t>
  </si>
  <si>
    <t>xlfBitand</t>
  </si>
  <si>
    <t>xlfBitor</t>
  </si>
  <si>
    <t>xlfBitxor</t>
  </si>
  <si>
    <t>xlfBitlshift</t>
  </si>
  <si>
    <t>xlfBitrshift</t>
  </si>
  <si>
    <t>xlfPermutationa</t>
  </si>
  <si>
    <t>xlfCombina</t>
  </si>
  <si>
    <t>xlfXor</t>
  </si>
  <si>
    <t>xlfPduration</t>
  </si>
  <si>
    <t>xlfBase</t>
  </si>
  <si>
    <t>xlfDecimal</t>
  </si>
  <si>
    <t>xlfDays</t>
  </si>
  <si>
    <t>xlfBinom_dist_range</t>
  </si>
  <si>
    <t>xlfGamma</t>
  </si>
  <si>
    <t>xlfSkew_p</t>
  </si>
  <si>
    <t>xlfGauss</t>
  </si>
  <si>
    <t>xlfPhi</t>
  </si>
  <si>
    <t>xlfRri</t>
  </si>
  <si>
    <t>xlfUnichar</t>
  </si>
  <si>
    <t>xlfUnicode</t>
  </si>
  <si>
    <t>xlfMunit</t>
  </si>
  <si>
    <t>xlfArabic</t>
  </si>
  <si>
    <t>xlfIsoweeknum</t>
  </si>
  <si>
    <t>xlfNumbervalue</t>
  </si>
  <si>
    <t>xlfSheet</t>
  </si>
  <si>
    <t>xlfSheets</t>
  </si>
  <si>
    <t>xlfFormulatext</t>
  </si>
  <si>
    <t>xlfIsformula</t>
  </si>
  <si>
    <t>xlfIfna</t>
  </si>
  <si>
    <t>xlfCeiling_math</t>
  </si>
  <si>
    <t>xlfFloor_math</t>
  </si>
  <si>
    <t>xlfImsinh</t>
  </si>
  <si>
    <t>xlfImcosh</t>
  </si>
  <si>
    <t>xlfFilterxml</t>
  </si>
  <si>
    <t>xlfWebservice</t>
  </si>
  <si>
    <t>xlfEncodeurl</t>
  </si>
  <si>
    <t>ACOT</t>
  </si>
  <si>
    <t>ACOTH</t>
  </si>
  <si>
    <t>COT</t>
  </si>
  <si>
    <t>COTH</t>
  </si>
  <si>
    <t>CSC</t>
  </si>
  <si>
    <t>CSCH</t>
  </si>
  <si>
    <t>SEC</t>
  </si>
  <si>
    <t>SECH</t>
  </si>
  <si>
    <t>IMTAN</t>
  </si>
  <si>
    <t>IMCOT</t>
  </si>
  <si>
    <t>IMCSC</t>
  </si>
  <si>
    <t>IMCSCH</t>
  </si>
  <si>
    <t>IMSEC</t>
  </si>
  <si>
    <t>IMSECH</t>
  </si>
  <si>
    <t>BITAND</t>
  </si>
  <si>
    <t>BITOR</t>
  </si>
  <si>
    <t>BITXOR</t>
  </si>
  <si>
    <t>BITLSHIFT</t>
  </si>
  <si>
    <t>BITRSHIFT</t>
  </si>
  <si>
    <t>PERMUTATIONA</t>
  </si>
  <si>
    <t>COMBINA</t>
  </si>
  <si>
    <t>XOR</t>
  </si>
  <si>
    <t>PDURATION</t>
  </si>
  <si>
    <t>BASE</t>
  </si>
  <si>
    <t>DECIMAL</t>
  </si>
  <si>
    <t>DAYS</t>
  </si>
  <si>
    <t>GAMMA</t>
  </si>
  <si>
    <t>GAUSS</t>
  </si>
  <si>
    <t>PHI</t>
  </si>
  <si>
    <t>RRI</t>
  </si>
  <si>
    <t>UNICHAR</t>
  </si>
  <si>
    <t>UNICODE</t>
  </si>
  <si>
    <t>MUNIT</t>
  </si>
  <si>
    <t>ARABIC</t>
  </si>
  <si>
    <t>ISOWEEKNUM</t>
  </si>
  <si>
    <t>NUMBERVALUE</t>
  </si>
  <si>
    <t>SHEET</t>
  </si>
  <si>
    <t>SHEETS</t>
  </si>
  <si>
    <t>FORMULATEXT</t>
  </si>
  <si>
    <t>ISFORMULA</t>
  </si>
  <si>
    <t>IFNA</t>
  </si>
  <si>
    <t>IMSINH</t>
  </si>
  <si>
    <t>IMCOSH</t>
  </si>
  <si>
    <t>FILTERXML</t>
  </si>
  <si>
    <t>WEBSERVICE</t>
  </si>
  <si>
    <t>ENCODEURL</t>
  </si>
  <si>
    <t>BINOM.DIST.RANGE</t>
  </si>
  <si>
    <t>SKEW.P</t>
  </si>
  <si>
    <t>CEILING.MATH</t>
  </si>
  <si>
    <t>FLOOR.MATH</t>
  </si>
  <si>
    <t>FORECAST.ETS</t>
  </si>
  <si>
    <t>FORECAST.ETS.CONFINT</t>
  </si>
  <si>
    <t>FORECAST.ETS.SEASONALITY</t>
  </si>
  <si>
    <t>FORECAST.ETS.STAT</t>
  </si>
  <si>
    <t>FORECAST.LINEAR</t>
  </si>
  <si>
    <t>CONCAT</t>
  </si>
  <si>
    <t>IFS</t>
  </si>
  <si>
    <t>MAXIFS</t>
  </si>
  <si>
    <t>MINIFS</t>
  </si>
  <si>
    <t>SWITCH</t>
  </si>
  <si>
    <t>TEXTJOIN</t>
  </si>
  <si>
    <t>ATP</t>
  </si>
  <si>
    <t>Notes</t>
  </si>
  <si>
    <t>Version</t>
  </si>
  <si>
    <t>Category</t>
  </si>
  <si>
    <t>Math and trigonometry</t>
  </si>
  <si>
    <t>Financial</t>
  </si>
  <si>
    <t>Lookup and reference</t>
  </si>
  <si>
    <t>Logical</t>
  </si>
  <si>
    <t>Text</t>
  </si>
  <si>
    <t>Statistical</t>
  </si>
  <si>
    <t>Engineering</t>
  </si>
  <si>
    <t>Compatibility</t>
  </si>
  <si>
    <t>Add-in and Automation</t>
  </si>
  <si>
    <t>Information</t>
  </si>
  <si>
    <t>Cube</t>
  </si>
  <si>
    <t>Date and time</t>
  </si>
  <si>
    <t>Database</t>
  </si>
  <si>
    <t>Web</t>
  </si>
  <si>
    <t>Misc</t>
  </si>
  <si>
    <t>Macro</t>
  </si>
  <si>
    <t>Function</t>
  </si>
  <si>
    <t>xlcall.h</t>
  </si>
  <si>
    <t>value1</t>
  </si>
  <si>
    <t>value2</t>
  </si>
  <si>
    <t>...</t>
  </si>
  <si>
    <t>logical_test</t>
  </si>
  <si>
    <t>value_if_true</t>
  </si>
  <si>
    <t>value_if_false</t>
  </si>
  <si>
    <t>value</t>
  </si>
  <si>
    <t>number1</t>
  </si>
  <si>
    <t>number2</t>
  </si>
  <si>
    <t>reference</t>
  </si>
  <si>
    <t>rate</t>
  </si>
  <si>
    <t>number</t>
  </si>
  <si>
    <t>decimals</t>
  </si>
  <si>
    <t>no_commas</t>
  </si>
  <si>
    <t>num_digits</t>
  </si>
  <si>
    <t>lookup_value</t>
  </si>
  <si>
    <t>lookup_vector</t>
  </si>
  <si>
    <t>result_vector</t>
  </si>
  <si>
    <t>array</t>
  </si>
  <si>
    <t>row_num</t>
  </si>
  <si>
    <t>column_num</t>
  </si>
  <si>
    <t>text</t>
  </si>
  <si>
    <t>number_times</t>
  </si>
  <si>
    <t>start_num</t>
  </si>
  <si>
    <t>num_chars</t>
  </si>
  <si>
    <t>logical1</t>
  </si>
  <si>
    <t>logical2</t>
  </si>
  <si>
    <t>logical</t>
  </si>
  <si>
    <t>divisor</t>
  </si>
  <si>
    <t>database</t>
  </si>
  <si>
    <t>field</t>
  </si>
  <si>
    <t>criteria</t>
  </si>
  <si>
    <t>format_text</t>
  </si>
  <si>
    <t>known_ys</t>
  </si>
  <si>
    <t>known_xs</t>
  </si>
  <si>
    <t>const</t>
  </si>
  <si>
    <t>stats</t>
  </si>
  <si>
    <t>nper</t>
  </si>
  <si>
    <t>pmt</t>
  </si>
  <si>
    <t>fv</t>
  </si>
  <si>
    <t>type</t>
  </si>
  <si>
    <t>pv</t>
  </si>
  <si>
    <t>guess</t>
  </si>
  <si>
    <t>values</t>
  </si>
  <si>
    <t>finance_rate</t>
  </si>
  <si>
    <t>reinvest_rate</t>
  </si>
  <si>
    <t>lookup_array</t>
  </si>
  <si>
    <t>match_type</t>
  </si>
  <si>
    <t>year</t>
  </si>
  <si>
    <t>month</t>
  </si>
  <si>
    <t>day</t>
  </si>
  <si>
    <t>hour</t>
  </si>
  <si>
    <t>minute</t>
  </si>
  <si>
    <t>second</t>
  </si>
  <si>
    <t>serial_number</t>
  </si>
  <si>
    <t>return_type</t>
  </si>
  <si>
    <t>rows</t>
  </si>
  <si>
    <t>cols</t>
  </si>
  <si>
    <t>height</t>
  </si>
  <si>
    <t>width</t>
  </si>
  <si>
    <t>find_text</t>
  </si>
  <si>
    <t>within_text</t>
  </si>
  <si>
    <t>x_num</t>
  </si>
  <si>
    <t>y_num</t>
  </si>
  <si>
    <t>index_num</t>
  </si>
  <si>
    <t>table_array</t>
  </si>
  <si>
    <t>row_index_num</t>
  </si>
  <si>
    <t>range_lookup</t>
  </si>
  <si>
    <t>col_index_num</t>
  </si>
  <si>
    <t>base</t>
  </si>
  <si>
    <t>text1</t>
  </si>
  <si>
    <t>text2</t>
  </si>
  <si>
    <t>old_text</t>
  </si>
  <si>
    <t>new_text</t>
  </si>
  <si>
    <t>instance_num</t>
  </si>
  <si>
    <t>info_type</t>
  </si>
  <si>
    <t>date_text</t>
  </si>
  <si>
    <t>time_text</t>
  </si>
  <si>
    <t>cost</t>
  </si>
  <si>
    <t>salvage</t>
  </si>
  <si>
    <t>life</t>
  </si>
  <si>
    <t>per</t>
  </si>
  <si>
    <t>period</t>
  </si>
  <si>
    <t>factor</t>
  </si>
  <si>
    <t>ref_text</t>
  </si>
  <si>
    <t>a1</t>
  </si>
  <si>
    <t>array1</t>
  </si>
  <si>
    <t>array2</t>
  </si>
  <si>
    <t>num_bytes</t>
  </si>
  <si>
    <t>ref</t>
  </si>
  <si>
    <t>order</t>
  </si>
  <si>
    <t>abs_num</t>
  </si>
  <si>
    <t>sheet_text</t>
  </si>
  <si>
    <t>start_date</t>
  </si>
  <si>
    <t>end_date</t>
  </si>
  <si>
    <t>method</t>
  </si>
  <si>
    <t>start_period</t>
  </si>
  <si>
    <t>end_period</t>
  </si>
  <si>
    <t>no_switch</t>
  </si>
  <si>
    <t>array3</t>
  </si>
  <si>
    <t>type_text</t>
  </si>
  <si>
    <t>data_array</t>
  </si>
  <si>
    <t>bins_array</t>
  </si>
  <si>
    <t>error_val</t>
  </si>
  <si>
    <t>x</t>
  </si>
  <si>
    <t>alpha</t>
  </si>
  <si>
    <t>beta</t>
  </si>
  <si>
    <t>A</t>
  </si>
  <si>
    <t>B</t>
  </si>
  <si>
    <t>probability</t>
  </si>
  <si>
    <t>number_s</t>
  </si>
  <si>
    <t>trials</t>
  </si>
  <si>
    <t>probability_s</t>
  </si>
  <si>
    <t>cumulative</t>
  </si>
  <si>
    <t>deg_freedom</t>
  </si>
  <si>
    <t>number_chosen</t>
  </si>
  <si>
    <t>standard_dev</t>
  </si>
  <si>
    <t>size</t>
  </si>
  <si>
    <t>lambda</t>
  </si>
  <si>
    <t>deg_freedom1</t>
  </si>
  <si>
    <t>deg_freedom2</t>
  </si>
  <si>
    <t>y</t>
  </si>
  <si>
    <t>significance</t>
  </si>
  <si>
    <t>sample_s</t>
  </si>
  <si>
    <t>number_sample</t>
  </si>
  <si>
    <t>population_s</t>
  </si>
  <si>
    <t>number_pop</t>
  </si>
  <si>
    <t>mean</t>
  </si>
  <si>
    <t>number_f</t>
  </si>
  <si>
    <t>z</t>
  </si>
  <si>
    <t>tails</t>
  </si>
  <si>
    <t>array_x</t>
  </si>
  <si>
    <t>array_y</t>
  </si>
  <si>
    <t>actual_range</t>
  </si>
  <si>
    <t>expected_range</t>
  </si>
  <si>
    <t>x_range</t>
  </si>
  <si>
    <t>prob_range</t>
  </si>
  <si>
    <t>lower_limit</t>
  </si>
  <si>
    <t>upper_limit</t>
  </si>
  <si>
    <t>sigma</t>
  </si>
  <si>
    <t>k</t>
  </si>
  <si>
    <t>quart</t>
  </si>
  <si>
    <t>percent</t>
  </si>
  <si>
    <t>power</t>
  </si>
  <si>
    <t>angle</t>
  </si>
  <si>
    <t>function_num</t>
  </si>
  <si>
    <t>ref1</t>
  </si>
  <si>
    <t>range</t>
  </si>
  <si>
    <t>sum_range</t>
  </si>
  <si>
    <t>form</t>
  </si>
  <si>
    <t>data_field</t>
  </si>
  <si>
    <t>pivot_table</t>
  </si>
  <si>
    <t>link_location</t>
  </si>
  <si>
    <t>friendly_name</t>
  </si>
  <si>
    <t>progID</t>
  </si>
  <si>
    <t>server</t>
  </si>
  <si>
    <t>topic1</t>
  </si>
  <si>
    <t>topic2</t>
  </si>
  <si>
    <t>connection</t>
  </si>
  <si>
    <t>member_expression1</t>
  </si>
  <si>
    <t>member_expression</t>
  </si>
  <si>
    <t>caption</t>
  </si>
  <si>
    <t>property</t>
  </si>
  <si>
    <t>set_expression</t>
  </si>
  <si>
    <t>rank</t>
  </si>
  <si>
    <t>places</t>
  </si>
  <si>
    <t>inumber1</t>
  </si>
  <si>
    <t>inumber2</t>
  </si>
  <si>
    <t>inumber</t>
  </si>
  <si>
    <t>real_num</t>
  </si>
  <si>
    <t>i_num</t>
  </si>
  <si>
    <t>suffix</t>
  </si>
  <si>
    <t>n</t>
  </si>
  <si>
    <t>m</t>
  </si>
  <si>
    <t>coefficients</t>
  </si>
  <si>
    <t>numerator</t>
  </si>
  <si>
    <t>denominator</t>
  </si>
  <si>
    <t>step</t>
  </si>
  <si>
    <t>multiple</t>
  </si>
  <si>
    <t>dates</t>
  </si>
  <si>
    <t>settlement</t>
  </si>
  <si>
    <t>maturity</t>
  </si>
  <si>
    <t>issue</t>
  </si>
  <si>
    <t>yld</t>
  </si>
  <si>
    <t>basis</t>
  </si>
  <si>
    <t>pr</t>
  </si>
  <si>
    <t>investment</t>
  </si>
  <si>
    <t>redemption</t>
  </si>
  <si>
    <t>discount</t>
  </si>
  <si>
    <t>frequency</t>
  </si>
  <si>
    <t>fractional_dollar</t>
  </si>
  <si>
    <t>fraction</t>
  </si>
  <si>
    <t>decimal_dollar</t>
  </si>
  <si>
    <t>effect_rate</t>
  </si>
  <si>
    <t>npery</t>
  </si>
  <si>
    <t>nominal_rate</t>
  </si>
  <si>
    <t>months</t>
  </si>
  <si>
    <t>coupon</t>
  </si>
  <si>
    <t>last_interest</t>
  </si>
  <si>
    <t>first_coupon</t>
  </si>
  <si>
    <t>bottom</t>
  </si>
  <si>
    <t>top</t>
  </si>
  <si>
    <t>date_purchased</t>
  </si>
  <si>
    <t>first_period</t>
  </si>
  <si>
    <t>from_unit</t>
  </si>
  <si>
    <t>to_unit</t>
  </si>
  <si>
    <t>first_interest</t>
  </si>
  <si>
    <t>par</t>
  </si>
  <si>
    <t>calc_method</t>
  </si>
  <si>
    <t>days</t>
  </si>
  <si>
    <t>holidays</t>
  </si>
  <si>
    <t>principal</t>
  </si>
  <si>
    <t>schedule</t>
  </si>
  <si>
    <t>kpi_name</t>
  </si>
  <si>
    <t>kpi_property</t>
  </si>
  <si>
    <t>sort_order</t>
  </si>
  <si>
    <t>sort_by</t>
  </si>
  <si>
    <t>set</t>
  </si>
  <si>
    <t>value_if_error</t>
  </si>
  <si>
    <t>criteria_range</t>
  </si>
  <si>
    <t>average_range</t>
  </si>
  <si>
    <t>options</t>
  </si>
  <si>
    <t>weekend</t>
  </si>
  <si>
    <t>X</t>
  </si>
  <si>
    <t>shift_amount</t>
  </si>
  <si>
    <t>radix</t>
  </si>
  <si>
    <t>min_length</t>
  </si>
  <si>
    <t>number_s2</t>
  </si>
  <si>
    <t>dimension</t>
  </si>
  <si>
    <t>date</t>
  </si>
  <si>
    <t>decimal_separator</t>
  </si>
  <si>
    <t>group_separator</t>
  </si>
  <si>
    <t>value_if_na</t>
  </si>
  <si>
    <t>mode</t>
  </si>
  <si>
    <t>xml</t>
  </si>
  <si>
    <t>xpath</t>
  </si>
  <si>
    <t>url</t>
  </si>
  <si>
    <t>target_date</t>
  </si>
  <si>
    <t>timeline</t>
  </si>
  <si>
    <t>seasonality</t>
  </si>
  <si>
    <t>data_completion</t>
  </si>
  <si>
    <t>aggregation</t>
  </si>
  <si>
    <t>confidence_level</t>
  </si>
  <si>
    <t>statistic_type</t>
  </si>
  <si>
    <t>[text2]</t>
  </si>
  <si>
    <t>…</t>
  </si>
  <si>
    <t>logical_test1</t>
  </si>
  <si>
    <t>value_if_true1</t>
  </si>
  <si>
    <t>max_range</t>
  </si>
  <si>
    <t>criteria_range1</t>
  </si>
  <si>
    <t>criteria1</t>
  </si>
  <si>
    <t>min_range</t>
  </si>
  <si>
    <t>expression</t>
  </si>
  <si>
    <t>result1</t>
  </si>
  <si>
    <t>[default or value2]</t>
  </si>
  <si>
    <t>[result2]</t>
  </si>
  <si>
    <t>delimiter</t>
  </si>
  <si>
    <t>ignore_empty</t>
  </si>
  <si>
    <t>Arg</t>
  </si>
  <si>
    <t>Val</t>
  </si>
  <si>
    <t>area_num</t>
  </si>
  <si>
    <t>Na</t>
  </si>
  <si>
    <t>Pi</t>
  </si>
  <si>
    <t>Rand</t>
  </si>
  <si>
    <t>Now</t>
  </si>
  <si>
    <t>Step</t>
  </si>
  <si>
    <t>Caller</t>
  </si>
  <si>
    <t>Series</t>
  </si>
  <si>
    <t>Active.Cell</t>
  </si>
  <si>
    <t>Selection</t>
  </si>
  <si>
    <t>Today</t>
  </si>
  <si>
    <t>Last.Error</t>
  </si>
  <si>
    <t>Group</t>
  </si>
  <si>
    <t>Count</t>
  </si>
  <si>
    <t>If</t>
  </si>
  <si>
    <t>Isna</t>
  </si>
  <si>
    <t>Iserror</t>
  </si>
  <si>
    <t>Sum</t>
  </si>
  <si>
    <t>Average</t>
  </si>
  <si>
    <t>Min</t>
  </si>
  <si>
    <t>Max</t>
  </si>
  <si>
    <t>Row</t>
  </si>
  <si>
    <t>Column</t>
  </si>
  <si>
    <t>Npv</t>
  </si>
  <si>
    <t>Stdev</t>
  </si>
  <si>
    <t>Dollar</t>
  </si>
  <si>
    <t>Fixed</t>
  </si>
  <si>
    <t>Sin</t>
  </si>
  <si>
    <t>Cos</t>
  </si>
  <si>
    <t>Tan</t>
  </si>
  <si>
    <t>Atan</t>
  </si>
  <si>
    <t>Sqrt</t>
  </si>
  <si>
    <t>Exp</t>
  </si>
  <si>
    <t>Ln</t>
  </si>
  <si>
    <t>Abs</t>
  </si>
  <si>
    <t>Int</t>
  </si>
  <si>
    <t>Sign</t>
  </si>
  <si>
    <t>Round</t>
  </si>
  <si>
    <t>Lookup</t>
  </si>
  <si>
    <t>Rept</t>
  </si>
  <si>
    <t>Mid</t>
  </si>
  <si>
    <t>Len</t>
  </si>
  <si>
    <t>And</t>
  </si>
  <si>
    <t>Or</t>
  </si>
  <si>
    <t>Not</t>
  </si>
  <si>
    <t>Mod</t>
  </si>
  <si>
    <t>Dcount</t>
  </si>
  <si>
    <t>Dsum</t>
  </si>
  <si>
    <t>Daverage</t>
  </si>
  <si>
    <t>Dmin</t>
  </si>
  <si>
    <t>Dmax</t>
  </si>
  <si>
    <t>Dstdev</t>
  </si>
  <si>
    <t>Var</t>
  </si>
  <si>
    <t>Dvar</t>
  </si>
  <si>
    <t>Linest</t>
  </si>
  <si>
    <t>Trend</t>
  </si>
  <si>
    <t>Logest</t>
  </si>
  <si>
    <t>Growth</t>
  </si>
  <si>
    <t>Goto</t>
  </si>
  <si>
    <t>Halt</t>
  </si>
  <si>
    <t>Pv</t>
  </si>
  <si>
    <t>Fv</t>
  </si>
  <si>
    <t>Nper</t>
  </si>
  <si>
    <t>Pmt</t>
  </si>
  <si>
    <t>Rate</t>
  </si>
  <si>
    <t>Mirr</t>
  </si>
  <si>
    <t>Irr</t>
  </si>
  <si>
    <t>Match</t>
  </si>
  <si>
    <t>Date</t>
  </si>
  <si>
    <t>Time</t>
  </si>
  <si>
    <t>Day</t>
  </si>
  <si>
    <t>Month</t>
  </si>
  <si>
    <t>Year</t>
  </si>
  <si>
    <t>Weekday</t>
  </si>
  <si>
    <t>Hour</t>
  </si>
  <si>
    <t>Minute</t>
  </si>
  <si>
    <t>Second</t>
  </si>
  <si>
    <t>Areas</t>
  </si>
  <si>
    <t>Rows</t>
  </si>
  <si>
    <t>Columns</t>
  </si>
  <si>
    <t>Offset</t>
  </si>
  <si>
    <t>Absref</t>
  </si>
  <si>
    <t>Relref</t>
  </si>
  <si>
    <t>Argument</t>
  </si>
  <si>
    <t>Search</t>
  </si>
  <si>
    <t>Transpose</t>
  </si>
  <si>
    <t>Error</t>
  </si>
  <si>
    <t>Type</t>
  </si>
  <si>
    <t>Echo</t>
  </si>
  <si>
    <t>Set.Name</t>
  </si>
  <si>
    <t>Deref</t>
  </si>
  <si>
    <t>Windows</t>
  </si>
  <si>
    <t>Documents</t>
  </si>
  <si>
    <t>Result</t>
  </si>
  <si>
    <t>Atan2</t>
  </si>
  <si>
    <t>Asin</t>
  </si>
  <si>
    <t>Acos</t>
  </si>
  <si>
    <t>Choose</t>
  </si>
  <si>
    <t>Hlookup</t>
  </si>
  <si>
    <t>Vlookup</t>
  </si>
  <si>
    <t>Links</t>
  </si>
  <si>
    <t>Input</t>
  </si>
  <si>
    <t>Isref</t>
  </si>
  <si>
    <t>Get.Formula</t>
  </si>
  <si>
    <t>Get.Name</t>
  </si>
  <si>
    <t>Set.Value</t>
  </si>
  <si>
    <t>Log</t>
  </si>
  <si>
    <t>Exec</t>
  </si>
  <si>
    <t>Char</t>
  </si>
  <si>
    <t>Lower</t>
  </si>
  <si>
    <t>Upper</t>
  </si>
  <si>
    <t>Proper</t>
  </si>
  <si>
    <t>Left</t>
  </si>
  <si>
    <t>Right</t>
  </si>
  <si>
    <t>Exact</t>
  </si>
  <si>
    <t>Trim</t>
  </si>
  <si>
    <t>Replace</t>
  </si>
  <si>
    <t>Substitute</t>
  </si>
  <si>
    <t>Code</t>
  </si>
  <si>
    <t>Names</t>
  </si>
  <si>
    <t>Directory</t>
  </si>
  <si>
    <t>Find</t>
  </si>
  <si>
    <t>Cell</t>
  </si>
  <si>
    <t>Iserr</t>
  </si>
  <si>
    <t>Istext</t>
  </si>
  <si>
    <t>Isnumber</t>
  </si>
  <si>
    <t>Isblank</t>
  </si>
  <si>
    <t>Fopen</t>
  </si>
  <si>
    <t>Fclose</t>
  </si>
  <si>
    <t>Fsize</t>
  </si>
  <si>
    <t>Freadln</t>
  </si>
  <si>
    <t>Fread</t>
  </si>
  <si>
    <t>Fwriteln</t>
  </si>
  <si>
    <t>Fwrite</t>
  </si>
  <si>
    <t>Fpos</t>
  </si>
  <si>
    <t>Datevalue</t>
  </si>
  <si>
    <t>Timevalue</t>
  </si>
  <si>
    <t>Sln</t>
  </si>
  <si>
    <t>Syd</t>
  </si>
  <si>
    <t>Ddb</t>
  </si>
  <si>
    <t>Get.Def</t>
  </si>
  <si>
    <t>Reftext</t>
  </si>
  <si>
    <t>Textref</t>
  </si>
  <si>
    <t>Indirect</t>
  </si>
  <si>
    <t>Register</t>
  </si>
  <si>
    <t>Add.Bar</t>
  </si>
  <si>
    <t>Add.Menu</t>
  </si>
  <si>
    <t>Add.Command</t>
  </si>
  <si>
    <t>Enable.Command</t>
  </si>
  <si>
    <t>Check.Command</t>
  </si>
  <si>
    <t>Rename.Command</t>
  </si>
  <si>
    <t>Show.Bar</t>
  </si>
  <si>
    <t>Delete.Menu</t>
  </si>
  <si>
    <t>Delete.Command</t>
  </si>
  <si>
    <t>Get.Chart.Item</t>
  </si>
  <si>
    <t>Dialog.Box</t>
  </si>
  <si>
    <t>Clean</t>
  </si>
  <si>
    <t>Mdeterm</t>
  </si>
  <si>
    <t>Minverse</t>
  </si>
  <si>
    <t>Mmult</t>
  </si>
  <si>
    <t>Files</t>
  </si>
  <si>
    <t>Ipmt</t>
  </si>
  <si>
    <t>Ppmt</t>
  </si>
  <si>
    <t>Counta</t>
  </si>
  <si>
    <t>Cancel.Key</t>
  </si>
  <si>
    <t>Initiate</t>
  </si>
  <si>
    <t>Request</t>
  </si>
  <si>
    <t>Poke</t>
  </si>
  <si>
    <t>Execute</t>
  </si>
  <si>
    <t>Terminate</t>
  </si>
  <si>
    <t>Restart</t>
  </si>
  <si>
    <t>Help</t>
  </si>
  <si>
    <t>Get.Bar</t>
  </si>
  <si>
    <t>Product</t>
  </si>
  <si>
    <t>Fact</t>
  </si>
  <si>
    <t>Get.Cell</t>
  </si>
  <si>
    <t>Get.Workspace</t>
  </si>
  <si>
    <t>Get.Window</t>
  </si>
  <si>
    <t>Get.Document</t>
  </si>
  <si>
    <t>Dproduct</t>
  </si>
  <si>
    <t>Isnontext</t>
  </si>
  <si>
    <t>Get.Note</t>
  </si>
  <si>
    <t>Note</t>
  </si>
  <si>
    <t>Stdevp</t>
  </si>
  <si>
    <t>Varp</t>
  </si>
  <si>
    <t>Dstdevp</t>
  </si>
  <si>
    <t>Dvarp</t>
  </si>
  <si>
    <t>Trunc</t>
  </si>
  <si>
    <t>Islogical</t>
  </si>
  <si>
    <t>Dcounta</t>
  </si>
  <si>
    <t>Delete.Bar</t>
  </si>
  <si>
    <t>Unregister</t>
  </si>
  <si>
    <t>Usdollar</t>
  </si>
  <si>
    <t>Findb</t>
  </si>
  <si>
    <t>Searchb</t>
  </si>
  <si>
    <t>Replaceb</t>
  </si>
  <si>
    <t>Leftb</t>
  </si>
  <si>
    <t>Rightb</t>
  </si>
  <si>
    <t>Midb</t>
  </si>
  <si>
    <t>Lenb</t>
  </si>
  <si>
    <t>Roundup</t>
  </si>
  <si>
    <t>Rounddown</t>
  </si>
  <si>
    <t>Asc</t>
  </si>
  <si>
    <t>Dbcs</t>
  </si>
  <si>
    <t>Rank</t>
  </si>
  <si>
    <t>Address</t>
  </si>
  <si>
    <t>Days360</t>
  </si>
  <si>
    <t>Vdb</t>
  </si>
  <si>
    <t>Median</t>
  </si>
  <si>
    <t>Sumproduct</t>
  </si>
  <si>
    <t>Sinh</t>
  </si>
  <si>
    <t>Cosh</t>
  </si>
  <si>
    <t>Tanh</t>
  </si>
  <si>
    <t>Asinh</t>
  </si>
  <si>
    <t>Acosh</t>
  </si>
  <si>
    <t>Atanh</t>
  </si>
  <si>
    <t>Dget</t>
  </si>
  <si>
    <t>Create.Object</t>
  </si>
  <si>
    <t>Volatile</t>
  </si>
  <si>
    <t>Custom.Undo</t>
  </si>
  <si>
    <t>Custom.Repeat</t>
  </si>
  <si>
    <t>Formula.Convert</t>
  </si>
  <si>
    <t>Get.Link.Info</t>
  </si>
  <si>
    <t>Text.Box</t>
  </si>
  <si>
    <t>Info</t>
  </si>
  <si>
    <t>Get.Object</t>
  </si>
  <si>
    <t>Db</t>
  </si>
  <si>
    <t>Pause</t>
  </si>
  <si>
    <t>Resume</t>
  </si>
  <si>
    <t>Frequency</t>
  </si>
  <si>
    <t>Add.Toolbar</t>
  </si>
  <si>
    <t>Delete.Toolbar</t>
  </si>
  <si>
    <t>Reset.Toolbar</t>
  </si>
  <si>
    <t>Evaluate</t>
  </si>
  <si>
    <t>Get.Toolbar</t>
  </si>
  <si>
    <t>Get.Tool</t>
  </si>
  <si>
    <t>Spelling.Check</t>
  </si>
  <si>
    <t>Error.Type</t>
  </si>
  <si>
    <t>App.Title</t>
  </si>
  <si>
    <t>Window.Title</t>
  </si>
  <si>
    <t>Save.Toolbar</t>
  </si>
  <si>
    <t>Enable.Tool</t>
  </si>
  <si>
    <t>Press.Tool</t>
  </si>
  <si>
    <t>Register.Id</t>
  </si>
  <si>
    <t>Get.Workbook</t>
  </si>
  <si>
    <t>Avedev</t>
  </si>
  <si>
    <t>Betadist</t>
  </si>
  <si>
    <t>Gammaln</t>
  </si>
  <si>
    <t>Betainv</t>
  </si>
  <si>
    <t>Binomdist</t>
  </si>
  <si>
    <t>Chidist</t>
  </si>
  <si>
    <t>Chiinv</t>
  </si>
  <si>
    <t>Combin</t>
  </si>
  <si>
    <t>Confidence</t>
  </si>
  <si>
    <t>Critbinom</t>
  </si>
  <si>
    <t>Even</t>
  </si>
  <si>
    <t>Expondist</t>
  </si>
  <si>
    <t>Fdist</t>
  </si>
  <si>
    <t>Finv</t>
  </si>
  <si>
    <t>Fisher</t>
  </si>
  <si>
    <t>Fisherinv</t>
  </si>
  <si>
    <t>Floor</t>
  </si>
  <si>
    <t>Gammadist</t>
  </si>
  <si>
    <t>Gammainv</t>
  </si>
  <si>
    <t>Ceiling</t>
  </si>
  <si>
    <t>Hypgeomdist</t>
  </si>
  <si>
    <t>Lognormdist</t>
  </si>
  <si>
    <t>Loginv</t>
  </si>
  <si>
    <t>Negbinomdist</t>
  </si>
  <si>
    <t>Normdist</t>
  </si>
  <si>
    <t>Normsdist</t>
  </si>
  <si>
    <t>Norminv</t>
  </si>
  <si>
    <t>Normsinv</t>
  </si>
  <si>
    <t>Standardize</t>
  </si>
  <si>
    <t>Odd</t>
  </si>
  <si>
    <t>Permut</t>
  </si>
  <si>
    <t>Poisson</t>
  </si>
  <si>
    <t>Tdist</t>
  </si>
  <si>
    <t>Weibull</t>
  </si>
  <si>
    <t>Sumxmy2</t>
  </si>
  <si>
    <t>Chitest</t>
  </si>
  <si>
    <t>Correl</t>
  </si>
  <si>
    <t>Covar</t>
  </si>
  <si>
    <t>Forecast</t>
  </si>
  <si>
    <t>Ftest</t>
  </si>
  <si>
    <t>Intercept</t>
  </si>
  <si>
    <t>Pearson</t>
  </si>
  <si>
    <t>Rsq</t>
  </si>
  <si>
    <t>Steyx</t>
  </si>
  <si>
    <t>Slope</t>
  </si>
  <si>
    <t>Ttest</t>
  </si>
  <si>
    <t>Prob</t>
  </si>
  <si>
    <t>Devsq</t>
  </si>
  <si>
    <t>Geomean</t>
  </si>
  <si>
    <t>Harmean</t>
  </si>
  <si>
    <t>Sumsq</t>
  </si>
  <si>
    <t>Kurt</t>
  </si>
  <si>
    <t>Skew</t>
  </si>
  <si>
    <t>Ztest</t>
  </si>
  <si>
    <t>Large</t>
  </si>
  <si>
    <t>Small</t>
  </si>
  <si>
    <t>Quartile</t>
  </si>
  <si>
    <t>Percentile</t>
  </si>
  <si>
    <t>Percentrank</t>
  </si>
  <si>
    <t>Mode</t>
  </si>
  <si>
    <t>Trimmean</t>
  </si>
  <si>
    <t>Tinv</t>
  </si>
  <si>
    <t>Movie.Command</t>
  </si>
  <si>
    <t>Get.Movie</t>
  </si>
  <si>
    <t>Concatenate</t>
  </si>
  <si>
    <t>Power</t>
  </si>
  <si>
    <t>Pivot.Add.Data</t>
  </si>
  <si>
    <t>Get.Pivot.Table</t>
  </si>
  <si>
    <t>Get.Pivot.Field</t>
  </si>
  <si>
    <t>Get.Pivot.Item</t>
  </si>
  <si>
    <t>Radians</t>
  </si>
  <si>
    <t>Degrees</t>
  </si>
  <si>
    <t>Subtotal</t>
  </si>
  <si>
    <t>Sumif</t>
  </si>
  <si>
    <t>Countif</t>
  </si>
  <si>
    <t>Countblank</t>
  </si>
  <si>
    <t>Scenario.Get</t>
  </si>
  <si>
    <t>Options.Lists.Get</t>
  </si>
  <si>
    <t>Ispmt</t>
  </si>
  <si>
    <t>Roman</t>
  </si>
  <si>
    <t>Open.Dialog</t>
  </si>
  <si>
    <t>Save.Dialog</t>
  </si>
  <si>
    <t>View.Get</t>
  </si>
  <si>
    <t>Getpivotdata</t>
  </si>
  <si>
    <t>Hyperlink</t>
  </si>
  <si>
    <t>Phonetic</t>
  </si>
  <si>
    <t>Averagea</t>
  </si>
  <si>
    <t>Maxa</t>
  </si>
  <si>
    <t>Mina</t>
  </si>
  <si>
    <t>Stdevpa</t>
  </si>
  <si>
    <t>Varpa</t>
  </si>
  <si>
    <t>Stdeva</t>
  </si>
  <si>
    <t>Vara</t>
  </si>
  <si>
    <t>Bahttext</t>
  </si>
  <si>
    <t>Thaidayofweek</t>
  </si>
  <si>
    <t>Thaidigit</t>
  </si>
  <si>
    <t>Thaimonthofyear</t>
  </si>
  <si>
    <t>Thainumsound</t>
  </si>
  <si>
    <t>Thainumstring</t>
  </si>
  <si>
    <t>Thaistringlength</t>
  </si>
  <si>
    <t>Isthaidigit</t>
  </si>
  <si>
    <t>Roundbahtdown</t>
  </si>
  <si>
    <t>Roundbahtup</t>
  </si>
  <si>
    <t>Thaiyear</t>
  </si>
  <si>
    <t>Rtd</t>
  </si>
  <si>
    <t>Cubevalue</t>
  </si>
  <si>
    <t>Cubemember</t>
  </si>
  <si>
    <t>Cubememberproperty</t>
  </si>
  <si>
    <t>Cuberankedmember</t>
  </si>
  <si>
    <t>Imsub</t>
  </si>
  <si>
    <t>Imdiv</t>
  </si>
  <si>
    <t>Impower</t>
  </si>
  <si>
    <t>Imabs</t>
  </si>
  <si>
    <t>Imsqrt</t>
  </si>
  <si>
    <t>Imln</t>
  </si>
  <si>
    <t>Imlog2</t>
  </si>
  <si>
    <t>Imlog10</t>
  </si>
  <si>
    <t>Imsin</t>
  </si>
  <si>
    <t>Imcos</t>
  </si>
  <si>
    <t>Imexp</t>
  </si>
  <si>
    <t>Imargument</t>
  </si>
  <si>
    <t>Imconjugate</t>
  </si>
  <si>
    <t>Imaginary</t>
  </si>
  <si>
    <t>Imreal</t>
  </si>
  <si>
    <t>Complex</t>
  </si>
  <si>
    <t>Imsum</t>
  </si>
  <si>
    <t>Improduct</t>
  </si>
  <si>
    <t>Seriessum</t>
  </si>
  <si>
    <t>Factdouble</t>
  </si>
  <si>
    <t>Sqrtpi</t>
  </si>
  <si>
    <t>Quotient</t>
  </si>
  <si>
    <t>Delta</t>
  </si>
  <si>
    <t>Gestep</t>
  </si>
  <si>
    <t>Iseven</t>
  </si>
  <si>
    <t>Isodd</t>
  </si>
  <si>
    <t>Mround</t>
  </si>
  <si>
    <t>Erf</t>
  </si>
  <si>
    <t>Erfc</t>
  </si>
  <si>
    <t>Besselj</t>
  </si>
  <si>
    <t>Besselk</t>
  </si>
  <si>
    <t>Bessely</t>
  </si>
  <si>
    <t>Besseli</t>
  </si>
  <si>
    <t>Xirr</t>
  </si>
  <si>
    <t>Xnpv</t>
  </si>
  <si>
    <t>Pricemat</t>
  </si>
  <si>
    <t>Yieldmat</t>
  </si>
  <si>
    <t>Intrate</t>
  </si>
  <si>
    <t>Received</t>
  </si>
  <si>
    <t>Disc</t>
  </si>
  <si>
    <t>Pricedisc</t>
  </si>
  <si>
    <t>Yielddisc</t>
  </si>
  <si>
    <t>Tbilleq</t>
  </si>
  <si>
    <t>Tbillprice</t>
  </si>
  <si>
    <t>Tbillyield</t>
  </si>
  <si>
    <t>Price</t>
  </si>
  <si>
    <t>Yield</t>
  </si>
  <si>
    <t>Dollarde</t>
  </si>
  <si>
    <t>Dollarfr</t>
  </si>
  <si>
    <t>Nominal</t>
  </si>
  <si>
    <t>Effect</t>
  </si>
  <si>
    <t>Cumprinc</t>
  </si>
  <si>
    <t>Cumipmt</t>
  </si>
  <si>
    <t>Edate</t>
  </si>
  <si>
    <t>Eomonth</t>
  </si>
  <si>
    <t>Yearfrac</t>
  </si>
  <si>
    <t>Coupdaybs</t>
  </si>
  <si>
    <t>Coupdays</t>
  </si>
  <si>
    <t>Coupdaysnc</t>
  </si>
  <si>
    <t>Coupncd</t>
  </si>
  <si>
    <t>Coupnum</t>
  </si>
  <si>
    <t>Couppcd</t>
  </si>
  <si>
    <t>Duration</t>
  </si>
  <si>
    <t>Mduration</t>
  </si>
  <si>
    <t>Oddlprice</t>
  </si>
  <si>
    <t>Oddlyield</t>
  </si>
  <si>
    <t>Oddfprice</t>
  </si>
  <si>
    <t>Oddfyield</t>
  </si>
  <si>
    <t>Randbetween</t>
  </si>
  <si>
    <t>Weeknum</t>
  </si>
  <si>
    <t>Amordegrc</t>
  </si>
  <si>
    <t>Amorlinc</t>
  </si>
  <si>
    <t>Convert</t>
  </si>
  <si>
    <t>Accrint</t>
  </si>
  <si>
    <t>Accrintm</t>
  </si>
  <si>
    <t>Workday</t>
  </si>
  <si>
    <t>Networkdays</t>
  </si>
  <si>
    <t>Gcd</t>
  </si>
  <si>
    <t>Multinomial</t>
  </si>
  <si>
    <t>Lcm</t>
  </si>
  <si>
    <t>Fvschedule</t>
  </si>
  <si>
    <t>Cubekpimember</t>
  </si>
  <si>
    <t>Cubeset</t>
  </si>
  <si>
    <t>Cubesetcount</t>
  </si>
  <si>
    <t>Iferror</t>
  </si>
  <si>
    <t>Countifs</t>
  </si>
  <si>
    <t>Sumifs</t>
  </si>
  <si>
    <t>Averageif</t>
  </si>
  <si>
    <t>Averageifs</t>
  </si>
  <si>
    <t>Aggregate</t>
  </si>
  <si>
    <t>known_y's</t>
  </si>
  <si>
    <t>known_x's</t>
  </si>
  <si>
    <t>new_x's</t>
  </si>
  <si>
    <t>name_text</t>
  </si>
  <si>
    <t>enable_logical</t>
  </si>
  <si>
    <t>type_num</t>
  </si>
  <si>
    <t>document_text</t>
  </si>
  <si>
    <t>message_text</t>
  </si>
  <si>
    <t>title_text</t>
  </si>
  <si>
    <t>default</t>
  </si>
  <si>
    <t>x_pos</t>
  </si>
  <si>
    <t>y_pos</t>
  </si>
  <si>
    <t>program_text</t>
  </si>
  <si>
    <t>file_text</t>
  </si>
  <si>
    <t>file_num</t>
  </si>
  <si>
    <t>def_text</t>
  </si>
  <si>
    <t>module_text</t>
  </si>
  <si>
    <t>procedure</t>
  </si>
  <si>
    <t>function_text</t>
  </si>
  <si>
    <t>argument_text</t>
  </si>
  <si>
    <t>macro_type</t>
  </si>
  <si>
    <t>category</t>
  </si>
  <si>
    <t>shortcut_text</t>
  </si>
  <si>
    <t>help_topic</t>
  </si>
  <si>
    <t>function_help</t>
  </si>
  <si>
    <t>argument_help1</t>
  </si>
  <si>
    <t>argument1</t>
  </si>
  <si>
    <t>bar_num</t>
  </si>
  <si>
    <t>menu_ref</t>
  </si>
  <si>
    <t>position1</t>
  </si>
  <si>
    <t>menu</t>
  </si>
  <si>
    <t>command_ref</t>
  </si>
  <si>
    <t>command</t>
  </si>
  <si>
    <t>enable</t>
  </si>
  <si>
    <t>check</t>
  </si>
  <si>
    <t>x_y_index</t>
  </si>
  <si>
    <t>point_index</t>
  </si>
  <si>
    <t>counter_text</t>
  </si>
  <si>
    <t>end_num</t>
  </si>
  <si>
    <t>app_text</t>
  </si>
  <si>
    <t>channel_num</t>
  </si>
  <si>
    <t>item_text</t>
  </si>
  <si>
    <t>cell_ref</t>
  </si>
  <si>
    <t>start_char</t>
  </si>
  <si>
    <t>add_text</t>
  </si>
  <si>
    <t>ref_name</t>
  </si>
  <si>
    <t>area_ref</t>
  </si>
  <si>
    <t>obj_type</t>
  </si>
  <si>
    <t>x_offset1</t>
  </si>
  <si>
    <t>y_offset1</t>
  </si>
  <si>
    <t>ref2</t>
  </si>
  <si>
    <t>x_offset2</t>
  </si>
  <si>
    <t>y_offset2</t>
  </si>
  <si>
    <t>fill</t>
  </si>
  <si>
    <t>macro_text</t>
  </si>
  <si>
    <t>repeat_text</t>
  </si>
  <si>
    <t>formula_text</t>
  </si>
  <si>
    <t>from_a1</t>
  </si>
  <si>
    <t>to_a1</t>
  </si>
  <si>
    <t>to_ref_type</t>
  </si>
  <si>
    <t>link_text</t>
  </si>
  <si>
    <t>type_of_link</t>
  </si>
  <si>
    <t>object_id_text</t>
  </si>
  <si>
    <t>count_num</t>
  </si>
  <si>
    <t>bar_name</t>
  </si>
  <si>
    <t>bar_id</t>
  </si>
  <si>
    <t>word_text</t>
  </si>
  <si>
    <t>custom_dic</t>
  </si>
  <si>
    <t>position</t>
  </si>
  <si>
    <t>command_num</t>
  </si>
  <si>
    <t>param1</t>
  </si>
  <si>
    <t>name</t>
  </si>
  <si>
    <t>pivot_field_name</t>
  </si>
  <si>
    <t>new_name</t>
  </si>
  <si>
    <t>function</t>
  </si>
  <si>
    <t>calculation</t>
  </si>
  <si>
    <t>base_field</t>
  </si>
  <si>
    <t>base_item</t>
  </si>
  <si>
    <t>pivot_item_name</t>
  </si>
  <si>
    <t>ARG1</t>
  </si>
  <si>
    <t>ARG2</t>
  </si>
  <si>
    <t>file_filter</t>
  </si>
  <si>
    <t>button_text</t>
  </si>
  <si>
    <t>title</t>
  </si>
  <si>
    <t>init_filename</t>
  </si>
  <si>
    <t>cancel_close</t>
  </si>
  <si>
    <t>rel_to_ref</t>
  </si>
  <si>
    <t>data_type_num</t>
  </si>
  <si>
    <t>macro_ref</t>
  </si>
  <si>
    <t>match_text</t>
  </si>
  <si>
    <t>help_ref</t>
  </si>
  <si>
    <t>window_num</t>
  </si>
  <si>
    <t>path_text</t>
  </si>
  <si>
    <t>access_num</t>
  </si>
  <si>
    <t>position_num</t>
  </si>
  <si>
    <t>position2</t>
  </si>
  <si>
    <t>subcommand</t>
  </si>
  <si>
    <t>submenu</t>
  </si>
  <si>
    <t>dialog_ref</t>
  </si>
  <si>
    <t>directory_text</t>
  </si>
  <si>
    <t>step_num</t>
  </si>
  <si>
    <t>topic_text</t>
  </si>
  <si>
    <t>data_ref</t>
  </si>
  <si>
    <t>execute_text</t>
  </si>
  <si>
    <t>level_num</t>
  </si>
  <si>
    <t>window_text</t>
  </si>
  <si>
    <t>register_id</t>
  </si>
  <si>
    <t>skip_blanks</t>
  </si>
  <si>
    <t>editable</t>
  </si>
  <si>
    <t>undo_text</t>
  </si>
  <si>
    <t>record_text</t>
  </si>
  <si>
    <t>item_index</t>
  </si>
  <si>
    <t>no_tool</t>
  </si>
  <si>
    <t>tool_ref</t>
  </si>
  <si>
    <t>ignore_uppercase</t>
  </si>
  <si>
    <t>filename</t>
  </si>
  <si>
    <t>down</t>
  </si>
  <si>
    <t>units</t>
  </si>
  <si>
    <t>format</t>
  </si>
  <si>
    <t>pivot_table_name</t>
  </si>
  <si>
    <t>scen_name</t>
  </si>
  <si>
    <t>list_num</t>
  </si>
  <si>
    <t>ARG3</t>
  </si>
  <si>
    <t>filter_index</t>
  </si>
  <si>
    <t>view_name</t>
  </si>
  <si>
    <t>Log10</t>
  </si>
  <si>
    <t>Index</t>
  </si>
  <si>
    <t>True</t>
  </si>
  <si>
    <t>False</t>
  </si>
  <si>
    <t>Return</t>
  </si>
  <si>
    <t>Call</t>
  </si>
  <si>
    <t>For</t>
  </si>
  <si>
    <t>While</t>
  </si>
  <si>
    <t>Break</t>
  </si>
  <si>
    <t>Next</t>
  </si>
  <si>
    <t>Else</t>
  </si>
  <si>
    <t>Else.If</t>
  </si>
  <si>
    <t>End.If</t>
  </si>
  <si>
    <t>For.Cell</t>
  </si>
  <si>
    <t>Sumx2My2</t>
  </si>
  <si>
    <t>Sumx2Py2</t>
  </si>
  <si>
    <t>Datedif</t>
  </si>
  <si>
    <t>Datestring</t>
  </si>
  <si>
    <t>Numberstring</t>
  </si>
  <si>
    <t>Hex2Bin</t>
  </si>
  <si>
    <t>Hex2Dec</t>
  </si>
  <si>
    <t>Hex2Oct</t>
  </si>
  <si>
    <t>Dec2Bin</t>
  </si>
  <si>
    <t>Dec2Hex</t>
  </si>
  <si>
    <t>Dec2Oct</t>
  </si>
  <si>
    <t>Oct2Bin</t>
  </si>
  <si>
    <t>Oct2Hex</t>
  </si>
  <si>
    <t>Oct2Dec</t>
  </si>
  <si>
    <t>Bin2Dec</t>
  </si>
  <si>
    <t>Bin2Oct</t>
  </si>
  <si>
    <t>Bin2Hex</t>
  </si>
  <si>
    <t>Binom.Dist</t>
  </si>
  <si>
    <t>Binom.Inv</t>
  </si>
  <si>
    <t>Confidence.Norm</t>
  </si>
  <si>
    <t>Confidence.T</t>
  </si>
  <si>
    <t>Chisq.Test</t>
  </si>
  <si>
    <t>F.Test</t>
  </si>
  <si>
    <t>Covariance.P</t>
  </si>
  <si>
    <t>Covariance.S</t>
  </si>
  <si>
    <t>Expon.Dist</t>
  </si>
  <si>
    <t>Gamma.Dist</t>
  </si>
  <si>
    <t>Gamma.Inv</t>
  </si>
  <si>
    <t>Mode.Mult</t>
  </si>
  <si>
    <t>Mode.Sngl</t>
  </si>
  <si>
    <t>Norm.Dist</t>
  </si>
  <si>
    <t>Norm.Inv</t>
  </si>
  <si>
    <t>Percentile.Exc</t>
  </si>
  <si>
    <t>Percentile.Inc</t>
  </si>
  <si>
    <t>Percentrank.Exc</t>
  </si>
  <si>
    <t>Percentrank.Inc</t>
  </si>
  <si>
    <t>Poisson.Dist</t>
  </si>
  <si>
    <t>Quartile.Exc</t>
  </si>
  <si>
    <t>Quartile.Inc</t>
  </si>
  <si>
    <t>Rank.Avg</t>
  </si>
  <si>
    <t>Rank.Eq</t>
  </si>
  <si>
    <t>Stdev.S</t>
  </si>
  <si>
    <t>Stdev.P</t>
  </si>
  <si>
    <t>T.Dist</t>
  </si>
  <si>
    <t>T.Dist.2T</t>
  </si>
  <si>
    <t>T.Dist.Rt</t>
  </si>
  <si>
    <t>T.Inv</t>
  </si>
  <si>
    <t>T.Inv.2T</t>
  </si>
  <si>
    <t>Var.S</t>
  </si>
  <si>
    <t>Var.P</t>
  </si>
  <si>
    <t>Weibull.Dist</t>
  </si>
  <si>
    <t>Networkdays.Intl</t>
  </si>
  <si>
    <t>Workday.Intl</t>
  </si>
  <si>
    <t>Ecma.Ceiling</t>
  </si>
  <si>
    <t>Iso.Ceiling</t>
  </si>
  <si>
    <t>Beta.Dist</t>
  </si>
  <si>
    <t>Beta.Inv</t>
  </si>
  <si>
    <t>Chisq.Dist</t>
  </si>
  <si>
    <t>Chisq.Dist.Rt</t>
  </si>
  <si>
    <t>Chisq.Inv</t>
  </si>
  <si>
    <t>Chisq.Inv.Rt</t>
  </si>
  <si>
    <t>F.Dist</t>
  </si>
  <si>
    <t>F.Dist.Rt</t>
  </si>
  <si>
    <t>F.Inv</t>
  </si>
  <si>
    <t>F.Inv.Rt</t>
  </si>
  <si>
    <t>Hypgeom.Dist</t>
  </si>
  <si>
    <t>Lognorm.Dist</t>
  </si>
  <si>
    <t>Lognorm.Inv</t>
  </si>
  <si>
    <t>Negbinom.Dist</t>
  </si>
  <si>
    <t>Norm.S.Dist</t>
  </si>
  <si>
    <t>Norm.S.Inv</t>
  </si>
  <si>
    <t>T.Test</t>
  </si>
  <si>
    <t>Z.Test</t>
  </si>
  <si>
    <t>Erf.Precise</t>
  </si>
  <si>
    <t>Erfc.Precise</t>
  </si>
  <si>
    <t>Gammaln.Precise</t>
  </si>
  <si>
    <t>Ceiling.Precise</t>
  </si>
  <si>
    <t>Floor.Precise</t>
  </si>
  <si>
    <t>Acot</t>
  </si>
  <si>
    <t>Acoth</t>
  </si>
  <si>
    <t>Cot</t>
  </si>
  <si>
    <t>Coth</t>
  </si>
  <si>
    <t>Csc</t>
  </si>
  <si>
    <t>Csch</t>
  </si>
  <si>
    <t>Sec</t>
  </si>
  <si>
    <t>Sech</t>
  </si>
  <si>
    <t>Imtan</t>
  </si>
  <si>
    <t>Imcot</t>
  </si>
  <si>
    <t>Imcsc</t>
  </si>
  <si>
    <t>Imcsch</t>
  </si>
  <si>
    <t>Imsec</t>
  </si>
  <si>
    <t>Imsech</t>
  </si>
  <si>
    <t>Bitand</t>
  </si>
  <si>
    <t>Bitor</t>
  </si>
  <si>
    <t>Bitxor</t>
  </si>
  <si>
    <t>Bitlshift</t>
  </si>
  <si>
    <t>Bitrshift</t>
  </si>
  <si>
    <t>Permutationa</t>
  </si>
  <si>
    <t>Combina</t>
  </si>
  <si>
    <t>Xor</t>
  </si>
  <si>
    <t>Pduration</t>
  </si>
  <si>
    <t>Base</t>
  </si>
  <si>
    <t>Decimal</t>
  </si>
  <si>
    <t>Days</t>
  </si>
  <si>
    <t>Binom.Dist.Range</t>
  </si>
  <si>
    <t>Gamma</t>
  </si>
  <si>
    <t>Skew.P</t>
  </si>
  <si>
    <t>Gauss</t>
  </si>
  <si>
    <t>Phi</t>
  </si>
  <si>
    <t>Rri</t>
  </si>
  <si>
    <t>Unichar</t>
  </si>
  <si>
    <t>Unicode</t>
  </si>
  <si>
    <t>Munit</t>
  </si>
  <si>
    <t>Arabic</t>
  </si>
  <si>
    <t>Isoweeknum</t>
  </si>
  <si>
    <t>Numbervalue</t>
  </si>
  <si>
    <t>Sheet</t>
  </si>
  <si>
    <t>Sheets</t>
  </si>
  <si>
    <t>Formulatext</t>
  </si>
  <si>
    <t>Isformula</t>
  </si>
  <si>
    <t>Ifna</t>
  </si>
  <si>
    <t>Ceiling.Math</t>
  </si>
  <si>
    <t>Floor.Math</t>
  </si>
  <si>
    <t>Imsinh</t>
  </si>
  <si>
    <t>Imcosh</t>
  </si>
  <si>
    <t>Filterxml</t>
  </si>
  <si>
    <t>Webservice</t>
  </si>
  <si>
    <t>Encodeurl</t>
  </si>
  <si>
    <t>Forecast.Ets</t>
  </si>
  <si>
    <t>Forecast.Ets.Confint</t>
  </si>
  <si>
    <t>Forecast.Ets.Seasonality</t>
  </si>
  <si>
    <t>Forecast.Ets.Stat</t>
  </si>
  <si>
    <t>Forecast.Linear</t>
  </si>
  <si>
    <t>Concat</t>
  </si>
  <si>
    <t>Ifs</t>
  </si>
  <si>
    <t>Maxifs</t>
  </si>
  <si>
    <t>Minifs</t>
  </si>
  <si>
    <t>Switch</t>
  </si>
  <si>
    <t>Textjoin</t>
  </si>
  <si>
    <t>ArgCount</t>
  </si>
  <si>
    <t>ArgID</t>
  </si>
  <si>
    <t>Optional</t>
  </si>
  <si>
    <t>=Iferror(Index(Error(0),Row(set.name("_",+INDEX(1,)))),Return(Index(Type(_),Set.Name("_"))))</t>
  </si>
  <si>
    <t>=Iferror(Index(Error(0),Column(set.name("_",+INDEX(1,)))),Return(Index(Type(_),Set.Name("_"))))</t>
  </si>
  <si>
    <t>=Iferror(Index(Error(0),Dcount(set.name("_",+INDEX(1,)),#ref!,#ref!)),Return(Index(Type(_),Set.Name("_"))))</t>
  </si>
  <si>
    <t>=Iferror(Index(Error(0),Dsum(set.name("_",+INDEX(1,)),#ref!,#ref!)),Return(Index(Type(_),Set.Name("_"))))</t>
  </si>
  <si>
    <t>=Iferror(Index(Error(0),Daverage(set.name("_",+INDEX(1,)),#ref!,#ref!)),Return(Index(Type(_),Set.Name("_"))))</t>
  </si>
  <si>
    <t>=Iferror(Index(Error(0),Dmin(set.name("_",+INDEX(1,)),#ref!,#ref!)),Return(Index(Type(_),Set.Name("_"))))</t>
  </si>
  <si>
    <t>=Iferror(Index(Error(0),Dmax(set.name("_",+INDEX(1,)),#ref!,#ref!)),Return(Index(Type(_),Set.Name("_"))))</t>
  </si>
  <si>
    <t>=Iferror(Index(Error(0),Dstdev(set.name("_",+INDEX(1,)),#ref!,#ref!)),Return(Index(Type(_),Set.Name("_"))))</t>
  </si>
  <si>
    <t>=Iferror(Index(Error(0),Dvar(set.name("_",+INDEX(1,)),#ref!,#ref!)),Return(Index(Type(_),Set.Name("_"))))</t>
  </si>
  <si>
    <t>=Iferror(Index(Error(0),Goto(set.name("_",+INDEX(1,)))),Return(Index(Type(_),Set.Name("_"))))</t>
  </si>
  <si>
    <t>=Iferror(Index(Error(0),Areas(set.name("_",+INDEX(1,)))),Return(Index(Type(_),Set.Name("_"))))</t>
  </si>
  <si>
    <t>=Iferror(Index(Error(0),Offset(set.name("_",+INDEX(1,)),#ref!,#ref!,#ref!,#ref!)),Return(Index(Type(_),Set.Name("_"))))</t>
  </si>
  <si>
    <t>=Iferror(Index(Error(0),Absref(#ref!,set.name("_",+INDEX(1,)))),Return(Index(Type(_),Set.Name("_"))))</t>
  </si>
  <si>
    <t>=Iferror(Index(Error(0),Relref(set.name("_",+INDEX(1,)),#ref!)),Return(Index(Type(_),Set.Name("_"))))</t>
  </si>
  <si>
    <t>=Iferror(Index(Error(0),Relref(#ref!,set.name("_",+INDEX(1,)))),Return(Index(Type(_),Set.Name("_"))))</t>
  </si>
  <si>
    <t>=Iferror(Index(Error(0),Deref(set.name("_",+INDEX(1,)))),Return(Index(Type(_),Set.Name("_"))))</t>
  </si>
  <si>
    <t>=Iferror(Index(Error(0),Set.Value(set.name("_",+INDEX(1,)),#ref!)),Return(Index(Type(_),Set.Name("_"))))</t>
  </si>
  <si>
    <t>=Iferror(Index(Error(0),Cell(#ref!,set.name("_",+INDEX(1,)))),Return(Index(Type(_),Set.Name("_"))))</t>
  </si>
  <si>
    <t>=Iferror(Index(Error(0),Reftext(set.name("_",+INDEX(1,)),#ref!)),Return(Index(Type(_),Set.Name("_"))))</t>
  </si>
  <si>
    <t>=Iferror(Index(Error(0),Cancel.Key(#ref!,set.name("_",+INDEX(1,)))),Return(Index(Type(_),Set.Name("_"))))</t>
  </si>
  <si>
    <t>=Iferror(Index(Error(0),Get.Cell(#ref!,set.name("_",+INDEX(1,)))),Return(Index(Type(_),Set.Name("_"))))</t>
  </si>
  <si>
    <t>=Iferror(Index(Error(0),Dproduct(set.name("_",+INDEX(1,)),#ref!,#ref!)),Return(Index(Type(_),Set.Name("_"))))</t>
  </si>
  <si>
    <t>=Iferror(Index(Error(0),Dstdevp(set.name("_",+INDEX(1,)),#ref!,#ref!)),Return(Index(Type(_),Set.Name("_"))))</t>
  </si>
  <si>
    <t>=Iferror(Index(Error(0),Dvarp(set.name("_",+INDEX(1,)),#ref!,#ref!)),Return(Index(Type(_),Set.Name("_"))))</t>
  </si>
  <si>
    <t>=Iferror(Index(Error(0),Dcounta(set.name("_",+INDEX(1,)),#ref!,#ref!)),Return(Index(Type(_),Set.Name("_"))))</t>
  </si>
  <si>
    <t>=Iferror(Index(Error(0),Rank(#ref!,set.name("_",+INDEX(1,)),#ref!)),Return(Index(Type(_),Set.Name("_"))))</t>
  </si>
  <si>
    <t>=Iferror(Index(Error(0),Dget(set.name("_",+INDEX(1,)),#ref!,#ref!)),Return(Index(Type(_),Set.Name("_"))))</t>
  </si>
  <si>
    <t>=Iferror(Index(Error(0),Subtotal(#ref!,set.name("_",+INDEX(1,)),#ref!)),Return(Index(Type(_),Set.Name("_"))))</t>
  </si>
  <si>
    <t>=Iferror(Index(Error(0),Subtotal(#ref!,#ref!,set.name("_",+INDEX(1,)))),Return(Index(Type(_),Set.Name("_"))))</t>
  </si>
  <si>
    <t>=Iferror(Index(Error(0),Sumif(set.name("_",+INDEX(1,)),#ref!,#ref!)),Return(Index(Type(_),Set.Name("_"))))</t>
  </si>
  <si>
    <t>=Iferror(Index(Error(0),Sumif(#ref!,#ref!,set.name("_",+INDEX(1,)))),Return(Index(Type(_),Set.Name("_"))))</t>
  </si>
  <si>
    <t>=Iferror(Index(Error(0),Countif(set.name("_",+INDEX(1,)),#ref!)),Return(Index(Type(_),Set.Name("_"))))</t>
  </si>
  <si>
    <t>=Iferror(Index(Error(0),Countblank(set.name("_",+INDEX(1,)))),Return(Index(Type(_),Set.Name("_"))))</t>
  </si>
  <si>
    <t>=Iferror(Index(Error(0),Phonetic(set.name("_",+INDEX(1,)))),Return(Index(Type(_),Set.Name("_"))))</t>
  </si>
  <si>
    <t>=Iferror(Index(Error(0),Averageif(set.name("_",+INDEX(1,)),#ref!,#ref!)),Return(Index(Type(_),Set.Name("_"))))</t>
  </si>
  <si>
    <t>=Iferror(Index(Error(0),Averageif(#ref!,#ref!,set.name("_",+INDEX(1,)))),Return(Index(Type(_),Set.Name("_"))))</t>
  </si>
  <si>
    <t>=Iferror(Index(Error(0),Rank.Avg(#ref!,set.name("_",+INDEX(1,)),#ref!)),Return(Index(Type(_),Set.Name("_"))))</t>
  </si>
  <si>
    <t>=Iferror(Index(Error(0),Rank.Eq(#ref!,set.name("_",+INDEX(1,)),#ref!)),Return(Index(Type(_),Set.Name("_"))))</t>
  </si>
  <si>
    <t>=Iferror(Index(Error(0),Formulatext(set.name("_",+INDEX(1,)))),Return(Index(Type(_),Set.Name("_"))))</t>
  </si>
  <si>
    <t>=Iferror(Index(Error(0),Isformula(set.name("_",+INDEX(1,)))),Return(Index(Type(_),Set.Name("_"))))</t>
  </si>
  <si>
    <t>Array</t>
  </si>
  <si>
    <t>ArgType</t>
  </si>
  <si>
    <t>(ref|val)'</t>
  </si>
  <si>
    <t>RetType</t>
  </si>
  <si>
    <t>Arr(Arr)</t>
  </si>
  <si>
    <t>(arr)</t>
  </si>
  <si>
    <t>ref|val'</t>
  </si>
  <si>
    <t>val</t>
  </si>
  <si>
    <t>Arr(Val)</t>
  </si>
  <si>
    <t>Arr(Ref)</t>
  </si>
  <si>
    <t>=type(Series())</t>
  </si>
  <si>
    <t>Arr</t>
  </si>
  <si>
    <t>Ref</t>
  </si>
  <si>
    <t>ValType</t>
  </si>
  <si>
    <t>ArrType</t>
  </si>
  <si>
    <t>FuncType</t>
  </si>
  <si>
    <t>field2</t>
  </si>
  <si>
    <t>item2</t>
  </si>
  <si>
    <t>field1</t>
  </si>
  <si>
    <t>item1</t>
  </si>
  <si>
    <t>Ref|Arr'</t>
  </si>
  <si>
    <t>Arr|Ref'</t>
  </si>
  <si>
    <t>=Row(1)</t>
  </si>
  <si>
    <t>=Column(1)</t>
  </si>
  <si>
    <t>=Dcount(1,#ref!,#ref!)</t>
  </si>
  <si>
    <t>=Dsum(1,#ref!,#ref!)</t>
  </si>
  <si>
    <t>=Daverage(1,#ref!,#ref!)</t>
  </si>
  <si>
    <t>=Dmin(1,#ref!,#ref!)</t>
  </si>
  <si>
    <t>=Dmax(1,#ref!,#ref!)</t>
  </si>
  <si>
    <t>=Dstdev(1,#ref!,#ref!)</t>
  </si>
  <si>
    <t>=Dvar(1,#ref!,#ref!)</t>
  </si>
  <si>
    <t>=Goto(1)</t>
  </si>
  <si>
    <t>=Areas(1)</t>
  </si>
  <si>
    <t>=Offset(1,#ref!,#ref!,#ref!,#ref!)</t>
  </si>
  <si>
    <t>=Absref(#ref!,1)</t>
  </si>
  <si>
    <t>=Relref(1,#ref!)</t>
  </si>
  <si>
    <t>=Relref(#ref!,1)</t>
  </si>
  <si>
    <t>=Deref(1)</t>
  </si>
  <si>
    <t>=Set.Value(1,#ref!)</t>
  </si>
  <si>
    <t>=Cell(#ref!,1)</t>
  </si>
  <si>
    <t>=Reftext(1,#ref!)</t>
  </si>
  <si>
    <t>=Cancel.Key(#ref!,1)</t>
  </si>
  <si>
    <t>=Get.Cell(#ref!,1)</t>
  </si>
  <si>
    <t>=Dproduct(1,#ref!,#ref!)</t>
  </si>
  <si>
    <t>=Dstdevp(1,#ref!,#ref!)</t>
  </si>
  <si>
    <t>=Dvarp(1,#ref!,#ref!)</t>
  </si>
  <si>
    <t>=Dcounta(1,#ref!,#ref!)</t>
  </si>
  <si>
    <t>=Rank(#ref!,1,#ref!)</t>
  </si>
  <si>
    <t>=Dget(1,#ref!,#ref!)</t>
  </si>
  <si>
    <t>=Subtotal(#ref!,1,#ref!)</t>
  </si>
  <si>
    <t>=Subtotal(#ref!,#ref!,1)</t>
  </si>
  <si>
    <t>=Sumif(1,#ref!,#ref!)</t>
  </si>
  <si>
    <t>=Sumif(#ref!,#ref!,1)</t>
  </si>
  <si>
    <t>=Countif(1,#ref!)</t>
  </si>
  <si>
    <t>=Countblank(1)</t>
  </si>
  <si>
    <t>=Phonetic(1)</t>
  </si>
  <si>
    <t>=Countifs(1,#ref!,#ref!,#ref!)</t>
  </si>
  <si>
    <t>=Iferror(Index(Error(0),Countifs(set.name("_",+INDEX(1,)),#ref!,#ref!,#ref!)),Return(Index(Type(_),Set.Name("_"))))</t>
  </si>
  <si>
    <t>=Countifs(#ref!,#ref!,1,#ref!)</t>
  </si>
  <si>
    <t>=Iferror(Index(Error(0),Countifs(#ref!,#ref!,set.name("_",+INDEX(1,)),#ref!)),Return(Index(Type(_),Set.Name("_"))))</t>
  </si>
  <si>
    <t>=Sumifs(1,#ref!,#ref!,#ref!,#ref!)</t>
  </si>
  <si>
    <t>=Iferror(Index(Error(0),Sumifs(set.name("_",+INDEX(1,)),#ref!,#ref!,#ref!,#ref!)),Return(Index(Type(_),Set.Name("_"))))</t>
  </si>
  <si>
    <t>=Sumifs(#ref!,1,#ref!,#ref!,#ref!)</t>
  </si>
  <si>
    <t>=Iferror(Index(Error(0),Sumifs(#ref!,set.name("_",+INDEX(1,)),#ref!,#ref!,#ref!)),Return(Index(Type(_),Set.Name("_"))))</t>
  </si>
  <si>
    <t>=Sumifs(#ref!,#ref!,#ref!,1,#ref!)</t>
  </si>
  <si>
    <t>=Iferror(Index(Error(0),Sumifs(#ref!,#ref!,#ref!,set.name("_",+INDEX(1,)),#ref!)),Return(Index(Type(_),Set.Name("_"))))</t>
  </si>
  <si>
    <t>=Averageif(1,#ref!,#ref!)</t>
  </si>
  <si>
    <t>=Averageif(#ref!,#ref!,1)</t>
  </si>
  <si>
    <t>=Averageifs(1,#ref!,#ref!,#ref!,#ref!)</t>
  </si>
  <si>
    <t>=Iferror(Index(Error(0),Averageifs(set.name("_",+INDEX(1,)),#ref!,#ref!,#ref!,#ref!)),Return(Index(Type(_),Set.Name("_"))))</t>
  </si>
  <si>
    <t>=Averageifs(#ref!,1,#ref!,#ref!,#ref!)</t>
  </si>
  <si>
    <t>=Iferror(Index(Error(0),Averageifs(#ref!,set.name("_",+INDEX(1,)),#ref!,#ref!,#ref!)),Return(Index(Type(_),Set.Name("_"))))</t>
  </si>
  <si>
    <t>=Averageifs(#ref!,#ref!,#ref!,1,#ref!)</t>
  </si>
  <si>
    <t>=Iferror(Index(Error(0),Averageifs(#ref!,#ref!,#ref!,set.name("_",+INDEX(1,)),#ref!)),Return(Index(Type(_),Set.Name("_"))))</t>
  </si>
  <si>
    <t>=Aggregate(#ref!,#ref!,#ref!,#ref!,1,#ref!)</t>
  </si>
  <si>
    <t>=Iferror(Index(Error(0),Aggregate(#ref!,#ref!,#ref!,#ref!,set.name("_",+INDEX(1,)),#ref!)),Return(Index(Type(_),Set.Name("_"))))</t>
  </si>
  <si>
    <t>=Aggregate(#ref!,#ref!,#ref!,#ref!,#ref!,1)</t>
  </si>
  <si>
    <t>=Iferror(Index(Error(0),Aggregate(#ref!,#ref!,#ref!,#ref!,#ref!,set.name("_",+INDEX(1,)))),Return(Index(Type(_),Set.Name("_"))))</t>
  </si>
  <si>
    <t>=Rank.Avg(#ref!,1,#ref!)</t>
  </si>
  <si>
    <t>=Rank.Eq(#ref!,1,#ref!)</t>
  </si>
  <si>
    <t>=Formulatext(1)</t>
  </si>
  <si>
    <t>=Isformula(1)</t>
  </si>
  <si>
    <t>JoinType</t>
  </si>
  <si>
    <t>ArgOpt</t>
  </si>
  <si>
    <t>ArgMulti</t>
  </si>
  <si>
    <t>value1,value2,...</t>
  </si>
  <si>
    <t>logical_test,value_if_true,value_if_false</t>
  </si>
  <si>
    <t>number1,number2,...</t>
  </si>
  <si>
    <t>rate,value1,value2,...</t>
  </si>
  <si>
    <t>number,decimals</t>
  </si>
  <si>
    <t>number,decimals,no_commas</t>
  </si>
  <si>
    <t>number,num_digits</t>
  </si>
  <si>
    <t>lookup_value,lookup_vector,result_vector</t>
  </si>
  <si>
    <t>reference,row_num,column_num,area_num</t>
  </si>
  <si>
    <t>text,number_times</t>
  </si>
  <si>
    <t>text,start_num,num_chars</t>
  </si>
  <si>
    <t>logical1,logical2,...</t>
  </si>
  <si>
    <t>number,divisor</t>
  </si>
  <si>
    <t>database,field,criteria</t>
  </si>
  <si>
    <t>value,format_text</t>
  </si>
  <si>
    <t>known_y's,known_x's,const,stats</t>
  </si>
  <si>
    <t>known_y's,known_x's,new_x's,const</t>
  </si>
  <si>
    <t>rate,nper,pmt,fv,type</t>
  </si>
  <si>
    <t>rate,nper,pmt,pv,type</t>
  </si>
  <si>
    <t>rate,pmt,pv,fv,type</t>
  </si>
  <si>
    <t>rate,nper,pv,fv,type</t>
  </si>
  <si>
    <t>nper,pmt,pv,fv,type,guess</t>
  </si>
  <si>
    <t>values,finance_rate,reinvest_rate</t>
  </si>
  <si>
    <t>values,guess</t>
  </si>
  <si>
    <t>lookup_value,lookup_array,match_type</t>
  </si>
  <si>
    <t>year,month,day</t>
  </si>
  <si>
    <t>hour,minute,second</t>
  </si>
  <si>
    <t>serial_number,return_type</t>
  </si>
  <si>
    <t>reference,rows,cols,height,width</t>
  </si>
  <si>
    <t>ref_text,reference</t>
  </si>
  <si>
    <t>reference,rel_to_ref</t>
  </si>
  <si>
    <t>name_text,data_type_num</t>
  </si>
  <si>
    <t>find_text,within_text,start_num</t>
  </si>
  <si>
    <t>enable_logical,macro_ref</t>
  </si>
  <si>
    <t>name_text,value</t>
  </si>
  <si>
    <t>type_num,match_text</t>
  </si>
  <si>
    <t>x_num,y_num</t>
  </si>
  <si>
    <t>index_num,value1,value2,...</t>
  </si>
  <si>
    <t>lookup_value,table_array,row_index_num,range_lookup</t>
  </si>
  <si>
    <t>lookup_value,table_array,col_index_num,range_lookup</t>
  </si>
  <si>
    <t>document_text,type_num</t>
  </si>
  <si>
    <t>message_text,type_num,title_text,default,x_pos,y_pos,help_ref</t>
  </si>
  <si>
    <t>name_text,info_type</t>
  </si>
  <si>
    <t>reference,values</t>
  </si>
  <si>
    <t>number,base</t>
  </si>
  <si>
    <t>program_text,window_num</t>
  </si>
  <si>
    <t>text,num_chars</t>
  </si>
  <si>
    <t>text1,text2</t>
  </si>
  <si>
    <t>old_text,start_num,num_chars,new_text</t>
  </si>
  <si>
    <t>text,old_text,new_text,instance_num</t>
  </si>
  <si>
    <t>document_text,type_num,match_text</t>
  </si>
  <si>
    <t>info_type,reference</t>
  </si>
  <si>
    <t>file_text,access_num</t>
  </si>
  <si>
    <t>file_num,num_chars</t>
  </si>
  <si>
    <t>file_num,text</t>
  </si>
  <si>
    <t>file_num,position_num</t>
  </si>
  <si>
    <t>cost,salvage,life</t>
  </si>
  <si>
    <t>cost,salvage,life,per</t>
  </si>
  <si>
    <t>cost,salvage,life,period,factor</t>
  </si>
  <si>
    <t>def_text,document_text,type_num</t>
  </si>
  <si>
    <t>reference,a1</t>
  </si>
  <si>
    <t>text,a1</t>
  </si>
  <si>
    <t>ref_text,a1</t>
  </si>
  <si>
    <t>module_text,procedure,type_text,function_text,argument_text,macro_type,category,shortcut_text,help_topic,function_help,argument_help1,...</t>
  </si>
  <si>
    <t>module_text,procedure,type_text,argument1,...</t>
  </si>
  <si>
    <t>bar_num,menu_ref,position1,position2</t>
  </si>
  <si>
    <t>bar_num,menu,command_ref,position1,position2</t>
  </si>
  <si>
    <t>bar_num,menu,command,enable,subcommand</t>
  </si>
  <si>
    <t>bar_num,menu,command,check,position</t>
  </si>
  <si>
    <t>bar_num,menu,command,name_text,position</t>
  </si>
  <si>
    <t>bar_num,menu,submenu</t>
  </si>
  <si>
    <t>bar_num,menu,command,subcommand</t>
  </si>
  <si>
    <t>x_y_index,point_index,item_text</t>
  </si>
  <si>
    <t>array1,array2</t>
  </si>
  <si>
    <t>rate,per,nper,pv,fv,type</t>
  </si>
  <si>
    <t>enable,macro_ref</t>
  </si>
  <si>
    <t>counter_text,start_num,end_num,step_num</t>
  </si>
  <si>
    <t>app_text,topic_text</t>
  </si>
  <si>
    <t>channel_num,item_text</t>
  </si>
  <si>
    <t>channel_num,item_text,data_ref</t>
  </si>
  <si>
    <t>channel_num,execute_text</t>
  </si>
  <si>
    <t>type_num,reference</t>
  </si>
  <si>
    <t>type_num,window_text</t>
  </si>
  <si>
    <t>type_num,name_text</t>
  </si>
  <si>
    <t>cell_ref,start_char,num_chars</t>
  </si>
  <si>
    <t>add_text,cell_ref,start_char,num_chars</t>
  </si>
  <si>
    <t>old_text,start_num,num_bytes,new_text</t>
  </si>
  <si>
    <t>text,num_bytes</t>
  </si>
  <si>
    <t>text,start_num,num_bytes</t>
  </si>
  <si>
    <t>number,ref,order</t>
  </si>
  <si>
    <t>row_num,column_num,abs_num,a1,sheet_text</t>
  </si>
  <si>
    <t>start_date,end_date,method</t>
  </si>
  <si>
    <t>cost,salvage,life,start_period,end_period,factor,no_switch</t>
  </si>
  <si>
    <t>ref_name,area_ref,skip_blanks</t>
  </si>
  <si>
    <t>array1,array2,array3,...</t>
  </si>
  <si>
    <t>obj_type,ref1,x_offset1,y_offset1,ref2,x_offset2,y_offset2,text,fill,editable</t>
  </si>
  <si>
    <t>macro_text,undo_text</t>
  </si>
  <si>
    <t>macro_text,repeat_text,record_text</t>
  </si>
  <si>
    <t>formula_text,from_a1,to_a1,to_ref_type,rel_to_ref</t>
  </si>
  <si>
    <t>link_text,type_num,type_of_link,reference</t>
  </si>
  <si>
    <t>add_text,object_id_text,start_num,num_chars</t>
  </si>
  <si>
    <t>type_num,object_id_text,start_num,count_num,item_index</t>
  </si>
  <si>
    <t>cost,salvage,life,period,month</t>
  </si>
  <si>
    <t>data_array,bins_array</t>
  </si>
  <si>
    <t>bar_name,tool_ref</t>
  </si>
  <si>
    <t>type_num,bar_id</t>
  </si>
  <si>
    <t>type_num,bar_id,position</t>
  </si>
  <si>
    <t>word_text,custom_dic,ignore_uppercase</t>
  </si>
  <si>
    <t>bar_id,filename</t>
  </si>
  <si>
    <t>bar_id,position,enable</t>
  </si>
  <si>
    <t>bar_id,position,down</t>
  </si>
  <si>
    <t>module_text,procedure,type_text</t>
  </si>
  <si>
    <t>x,alpha,beta,A,B</t>
  </si>
  <si>
    <t>probability,alpha,beta,A,B</t>
  </si>
  <si>
    <t>number_s,trials,probability_s,cumulative</t>
  </si>
  <si>
    <t>x,deg_freedom</t>
  </si>
  <si>
    <t>probability,deg_freedom</t>
  </si>
  <si>
    <t>number,number_chosen</t>
  </si>
  <si>
    <t>alpha,standard_dev,size</t>
  </si>
  <si>
    <t>trials,probability_s,alpha</t>
  </si>
  <si>
    <t>x,lambda,cumulative</t>
  </si>
  <si>
    <t>x,deg_freedom1,deg_freedom2</t>
  </si>
  <si>
    <t>probability,deg_freedom1,deg_freedom2</t>
  </si>
  <si>
    <t>number,significance</t>
  </si>
  <si>
    <t>x,alpha,beta,cumulative</t>
  </si>
  <si>
    <t>probability,alpha,beta</t>
  </si>
  <si>
    <t>sample_s,number_sample,population_s,number_pop</t>
  </si>
  <si>
    <t>x,mean,standard_dev</t>
  </si>
  <si>
    <t>probability,mean,standard_dev</t>
  </si>
  <si>
    <t>number_f,number_s,probability_s</t>
  </si>
  <si>
    <t>x,mean,standard_dev,cumulative</t>
  </si>
  <si>
    <t>x,mean,cumulative</t>
  </si>
  <si>
    <t>x,deg_freedom,tails</t>
  </si>
  <si>
    <t>array_x,array_y</t>
  </si>
  <si>
    <t>actual_range,expected_range</t>
  </si>
  <si>
    <t>x,known_y's,known_x's</t>
  </si>
  <si>
    <t>known_y's,known_x's</t>
  </si>
  <si>
    <t>array1,array2,tails,type</t>
  </si>
  <si>
    <t>x_range,prob_range,lower_limit,upper_limit</t>
  </si>
  <si>
    <t>array,x,sigma</t>
  </si>
  <si>
    <t>array,k</t>
  </si>
  <si>
    <t>array,quart</t>
  </si>
  <si>
    <t>array,x,significance</t>
  </si>
  <si>
    <t>array,percent</t>
  </si>
  <si>
    <t>object_id_text,command_num,param1,units</t>
  </si>
  <si>
    <t>object_id_text,command_num,format</t>
  </si>
  <si>
    <t>text1,text2,...</t>
  </si>
  <si>
    <t>number,power</t>
  </si>
  <si>
    <t>name,pivot_field_name,new_name,position,function,calculation,base_field,base_item,format_text</t>
  </si>
  <si>
    <t>type_num,pivot_table_name</t>
  </si>
  <si>
    <t>type_num,pivot_field_name,pivot_table_name</t>
  </si>
  <si>
    <t>type_num,pivot_item_name,pivot_field_name,pivot_table_name</t>
  </si>
  <si>
    <t>function_num,ref1,...</t>
  </si>
  <si>
    <t>range,criteria,sum_range</t>
  </si>
  <si>
    <t>range,criteria</t>
  </si>
  <si>
    <t>type_num,scen_name</t>
  </si>
  <si>
    <t>rate,per,nper,pv</t>
  </si>
  <si>
    <t>ARG1,ARG2,ARG3</t>
  </si>
  <si>
    <t>ARG1,ARG2</t>
  </si>
  <si>
    <t>number,form</t>
  </si>
  <si>
    <t>file_filter,button_text,title,filter_index</t>
  </si>
  <si>
    <t>init_filename,title,button_text,file_filter,filter_index</t>
  </si>
  <si>
    <t>type_num,view_name</t>
  </si>
  <si>
    <t>data_field,pivot_table,field,item,...</t>
  </si>
  <si>
    <t>link_location,friendly_name</t>
  </si>
  <si>
    <t>progID,server,topic1,topic2,...</t>
  </si>
  <si>
    <t>connection,member_expression1,...</t>
  </si>
  <si>
    <t>connection,member_expression,caption</t>
  </si>
  <si>
    <t>connection,member_expression,property</t>
  </si>
  <si>
    <t>connection,set_expression,rank,caption</t>
  </si>
  <si>
    <t>number,places</t>
  </si>
  <si>
    <t>inumber1,inumber2</t>
  </si>
  <si>
    <t>inumber,number</t>
  </si>
  <si>
    <t>real_num,i_num,suffix</t>
  </si>
  <si>
    <t>inumber1,inumber2,...</t>
  </si>
  <si>
    <t>x,n,m,coefficients</t>
  </si>
  <si>
    <t>numerator,denominator</t>
  </si>
  <si>
    <t>number1,number2</t>
  </si>
  <si>
    <t>number,step</t>
  </si>
  <si>
    <t>number,multiple</t>
  </si>
  <si>
    <t>lower_limit,upper_limit</t>
  </si>
  <si>
    <t>x,n</t>
  </si>
  <si>
    <t>values,dates,guess</t>
  </si>
  <si>
    <t>rate,values,dates</t>
  </si>
  <si>
    <t>settlement,maturity,issue,rate,yld,basis</t>
  </si>
  <si>
    <t>settlement,maturity,issue,rate,pr,basis</t>
  </si>
  <si>
    <t>settlement,maturity,investment,redemption,basis</t>
  </si>
  <si>
    <t>settlement,maturity,investment,discount,basis</t>
  </si>
  <si>
    <t>settlement,maturity,pr,redemption,basis</t>
  </si>
  <si>
    <t>settlement,maturity,discount,redemption,basis</t>
  </si>
  <si>
    <t>settlement,maturity,discount</t>
  </si>
  <si>
    <t>settlement,maturity,pr</t>
  </si>
  <si>
    <t>settlement,maturity,rate,yld,redemption,frequency,basis</t>
  </si>
  <si>
    <t>settlement,maturity,rate,pr,redemption,frequency,basis</t>
  </si>
  <si>
    <t>fractional_dollar,fraction</t>
  </si>
  <si>
    <t>decimal_dollar,fraction</t>
  </si>
  <si>
    <t>effect_rate,npery</t>
  </si>
  <si>
    <t>nominal_rate,npery</t>
  </si>
  <si>
    <t>rate,nper,pv,start_period,end_period,type</t>
  </si>
  <si>
    <t>start_date,months</t>
  </si>
  <si>
    <t>start_date,end_date,basis</t>
  </si>
  <si>
    <t>settlement,maturity,frequency,basis</t>
  </si>
  <si>
    <t>settlement,maturity,coupon,yld,frequency,basis</t>
  </si>
  <si>
    <t>settlement,maturity,last_interest,rate,yld,redemption,frequency,basis</t>
  </si>
  <si>
    <t>settlement,maturity,last_interest,rate,pr,redemption,frequency,basis</t>
  </si>
  <si>
    <t>settlement,maturity,issue,first_coupon,rate,yld,redemption,frequency,basis</t>
  </si>
  <si>
    <t>settlement,maturity,issue,first_coupon,rate,pr,redemption,frequency,basis</t>
  </si>
  <si>
    <t>bottom,top</t>
  </si>
  <si>
    <t>cost,date_purchased,first_period,salvage,period,rate,basis</t>
  </si>
  <si>
    <t>number,from_unit,to_unit</t>
  </si>
  <si>
    <t>issue,first_interest,settlement,rate,par,frequency,basis,calc_method</t>
  </si>
  <si>
    <t>issue,settlement,rate,par,basis</t>
  </si>
  <si>
    <t>start_date,days,holidays</t>
  </si>
  <si>
    <t>start_date,end_date,holidays</t>
  </si>
  <si>
    <t>principal,schedule</t>
  </si>
  <si>
    <t>connection,kpi_name,kpi_property,caption</t>
  </si>
  <si>
    <t>connection,set_expression,caption,sort_order,sort_by</t>
  </si>
  <si>
    <t>value,value_if_error</t>
  </si>
  <si>
    <t>criteria_range,criteria,...</t>
  </si>
  <si>
    <t>sum_range,criteria_range,criteria,...</t>
  </si>
  <si>
    <t>range,criteria,average_range</t>
  </si>
  <si>
    <t>average_range,criteria_range,criteria,...</t>
  </si>
  <si>
    <t>function_num,options,array,k</t>
  </si>
  <si>
    <t>x,deg_freedom,cumulative</t>
  </si>
  <si>
    <t>start_date,end_date,weekend,holidays</t>
  </si>
  <si>
    <t>start_date,days,weekend,holidays</t>
  </si>
  <si>
    <t>x,alpha,beta,cumulative,A,B</t>
  </si>
  <si>
    <t>x,deg_freedom1,deg_freedom2,cumulative</t>
  </si>
  <si>
    <t>sample_s,number_sample,population_s,number_pop,cumulative</t>
  </si>
  <si>
    <t>number_f,number_s,probability_s,cumulative</t>
  </si>
  <si>
    <t>z,cumulative</t>
  </si>
  <si>
    <t>number,shift_amount</t>
  </si>
  <si>
    <t>rate,pv,fv</t>
  </si>
  <si>
    <t>number,radix,min_length</t>
  </si>
  <si>
    <t>number,radix</t>
  </si>
  <si>
    <t>end_date,start_date</t>
  </si>
  <si>
    <t>trials,probability_s,number_s,number_s2</t>
  </si>
  <si>
    <t>nper,pv,fv</t>
  </si>
  <si>
    <t>text,decimal_separator,group_separator</t>
  </si>
  <si>
    <t>value,value_if_na</t>
  </si>
  <si>
    <t>number,significance,mode</t>
  </si>
  <si>
    <t>xml,xpath</t>
  </si>
  <si>
    <t>target_date,values,timeline,seasonality,data_completion,aggregation</t>
  </si>
  <si>
    <t>target_date,values,timeline,confidence_level,seasonality,data_completion,aggregation</t>
  </si>
  <si>
    <t>values,timeline,data_completion,aggregation</t>
  </si>
  <si>
    <t>values,timeline,statistic_type,seasonality,data_completion,aggregation</t>
  </si>
  <si>
    <t>x,known_ys,known_xs</t>
  </si>
  <si>
    <t>text1,[text2],…</t>
  </si>
  <si>
    <t>logical_test1,value_if_true1,…</t>
  </si>
  <si>
    <t>max_range,criteria_range1,criteria1,…</t>
  </si>
  <si>
    <t>min_range,criteria_range1,criteria1,…</t>
  </si>
  <si>
    <t>expression,value1,result1,[default or value2],[result2],…</t>
  </si>
  <si>
    <t>delimiter,ignore_empty,text1,…</t>
  </si>
  <si>
    <t>FuncNum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</si>
</sst>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/>
    <xf numFmtId="0" fontId="1" fillId="0" borderId="0" xfId="0" applyFont="1"/>
    <xf numFmtId="0" fontId="0" fillId="0" borderId="0" xfId="0" quotePrefix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microsoft.com/office/2006/relationships/xlMacrosheet" Target="macro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Macrosheet" Target="macrosheets/sheet3.xml"/><Relationship Id="rId4" Type="http://schemas.microsoft.com/office/2006/relationships/xlMacrosheet" Target="macrosheets/sheet2.xml"/><Relationship Id="rId9" Type="http://schemas.openxmlformats.org/officeDocument/2006/relationships/calcChain" Target="calcChain.xml"/></Relationships>
</file>

<file path=xl/macro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097"/>
  <sheetViews>
    <sheetView zoomScaleNormal="100" workbookViewId="0"/>
  </sheetViews>
  <sheetFormatPr defaultColWidth="9" defaultRowHeight="14.4" x14ac:dyDescent="0.55000000000000004"/>
  <cols>
    <col min="1" max="14" width="9" style="1"/>
  </cols>
  <sheetData>
    <row r="1" spans="1:14" s="4" customFormat="1" x14ac:dyDescent="0.55000000000000004">
      <c r="A1" s="4" t="s">
        <v>1210</v>
      </c>
      <c r="B1" s="4" t="s">
        <v>2194</v>
      </c>
      <c r="C1" s="4" t="s">
        <v>2195</v>
      </c>
      <c r="D1" s="4" t="s">
        <v>2238</v>
      </c>
      <c r="E1" s="4" t="s">
        <v>2240</v>
      </c>
      <c r="F1" s="4" t="s">
        <v>2249</v>
      </c>
      <c r="G1" s="4" t="s">
        <v>2250</v>
      </c>
      <c r="H1" s="4" t="s">
        <v>2248</v>
      </c>
      <c r="I1" s="4" t="s">
        <v>2251</v>
      </c>
      <c r="J1" s="4" t="s">
        <v>2241</v>
      </c>
      <c r="K1" s="4" t="s">
        <v>2245</v>
      </c>
      <c r="M1" s="4" t="s">
        <v>2246</v>
      </c>
    </row>
    <row r="2" spans="1:14" x14ac:dyDescent="0.55000000000000004">
      <c r="B2" s="2">
        <f>COUNTIF(A:A,A2)-1</f>
        <v>-1</v>
      </c>
      <c r="C2" s="2">
        <f>COUNTIF(A$1:A2,A2)-1</f>
        <v>-1</v>
      </c>
      <c r="D2" s="2" t="str">
        <f>Argument!D2</f>
        <v/>
      </c>
      <c r="E2" s="2" t="str">
        <f t="shared" ref="E2:E65" si="0">IF(C2=0,IF(SUMIFS(H:H,A:A,A2),IF(COUNTIFS(A:A,A2,G:G,64),,"v")&amp;IF(F2,"ar","a"),IF(F2,"r","v")),"")</f>
        <v/>
      </c>
      <c r="F2" s="2" t="str">
        <f>IF(C2=0,ISTEXT(FORMULA.CONVERT("="&amp;A2&amp;"("&amp;REPLACE(REPT(",#ref!",B2),1,1,"")&amp;")()",1)),"")</f>
        <v/>
      </c>
      <c r="G2" s="2" t="str">
        <f>IFERROR(FORMULA.CONVERT("=type("&amp;A2&amp;"("&amp;SUBSTITUTE(REPLACE(REPT(",if(1,1)",B2),1,1,),"if(1,1)","{1}",C2)&amp;"))",1),"")</f>
        <v/>
      </c>
      <c r="H2" s="2" t="str">
        <f t="shared" ref="H2:H65" si="1">IF((I2=64)*(J2=B2)+(1-L2)*COUNTIF(D2,"*v*")+(1-N2)*COUNTIF(D2,"*r*"),1,"")</f>
        <v/>
      </c>
      <c r="I2" s="2" t="str">
        <f>IF(C2&gt;=0,"=type("&amp;A2&amp;"("&amp;REPLACE(REPT(",if(1,1)",B2),1,1,)&amp;"))","")</f>
        <v/>
      </c>
      <c r="J2" s="2" t="str">
        <f>IF(C2=0,COUNTIFS(A:A,A2,D:D,"a"),"")</f>
        <v/>
      </c>
      <c r="K2" s="2" t="str">
        <f>IF(C2&lt;1,"",FORMULA.CONVERT("=index(+"&amp;A2&amp;"("&amp;SUBSTITUTE(REPLACE(REPT(",#ref!",B2),1,1,""),"#ref!","rc:rc[1]",C2)&amp;"),)",0,1,,K2))</f>
        <v/>
      </c>
      <c r="M2" s="2" t="str">
        <f>IF(C2&lt;1,"",FORMULA.CONVERT("=index(+"&amp;A2&amp;"("&amp;SUBSTITUTE(REPLACE(REPT(",#ref!",B2),1,1,""),"#ref!","indirect(rc:rc[1])",C2)&amp;"),)",0,1,M2))</f>
        <v/>
      </c>
    </row>
    <row r="3" spans="1:14" x14ac:dyDescent="0.55000000000000004">
      <c r="A3" s="1" t="s">
        <v>1485</v>
      </c>
      <c r="B3" s="2">
        <f>COUNTIF(A:A,A3)-1</f>
        <v>3</v>
      </c>
      <c r="C3" s="2">
        <f>COUNTIF(A$1:A3,A3)-1</f>
        <v>0</v>
      </c>
      <c r="D3" s="2" t="str">
        <f>Argument!D3</f>
        <v/>
      </c>
      <c r="E3" s="2" t="str">
        <f t="shared" si="0"/>
        <v>v</v>
      </c>
      <c r="F3" s="2" t="b">
        <f>IF(C3=0,ISTEXT(FORMULA.CONVERT("="&amp;A3&amp;"("&amp;REPLACE(REPT(",#ref!",B3),1,1,"")&amp;")()",1)),"")</f>
        <v>0</v>
      </c>
      <c r="G3" s="2"/>
      <c r="H3" s="2" t="str">
        <f t="shared" si="1"/>
        <v/>
      </c>
      <c r="I3" s="2">
        <f>TYPE(COUNT(IF(1,1),IF(1,1),IF(1,1)))</f>
        <v>1</v>
      </c>
      <c r="J3" s="2">
        <f>IF(C3=0,COUNTIFS(A:A,A3,D:D,"a"),"")</f>
        <v>0</v>
      </c>
      <c r="K3" s="2"/>
      <c r="M3" s="2"/>
    </row>
    <row r="4" spans="1:14" x14ac:dyDescent="0.55000000000000004">
      <c r="A4" s="1" t="s">
        <v>1485</v>
      </c>
      <c r="B4" s="2">
        <f>COUNTIF(A:A,A4)-1</f>
        <v>3</v>
      </c>
      <c r="C4" s="2">
        <f>COUNTIF(A$1:A4,A4)-1</f>
        <v>1</v>
      </c>
      <c r="D4" s="2" t="str">
        <f>Argument!D4</f>
        <v>var</v>
      </c>
      <c r="E4" s="2" t="str">
        <f t="shared" si="0"/>
        <v/>
      </c>
      <c r="F4" s="2" t="str">
        <f>IF(C4=0,ISTEXT(FORMULA.CONVERT("="&amp;A4&amp;"("&amp;REPLACE(REPT(",#ref!",B4),1,1,"")&amp;")()",1)),"")</f>
        <v/>
      </c>
      <c r="G4" s="2">
        <f>TYPE(COUNT({1},IF(1,1),IF(1,1)))</f>
        <v>1</v>
      </c>
      <c r="H4" s="2" t="str">
        <f t="shared" si="1"/>
        <v/>
      </c>
      <c r="I4" s="2">
        <f>TYPE(COUNT(IF(1,1),IF(1,1),IF(1,1)))</f>
        <v>1</v>
      </c>
      <c r="J4" s="2" t="str">
        <f>IF(C4=0,COUNTIFS(A:A,A4,D:D,"a"),"")</f>
        <v/>
      </c>
      <c r="K4" s="2">
        <f>INDEX(+COUNT(K4:L4,#REF!,#REF!),)</f>
        <v>1</v>
      </c>
      <c r="L4" s="1">
        <v>1</v>
      </c>
      <c r="M4" s="2">
        <f>INDEX(+COUNT(INDIRECT(M4:N4),#REF!,#REF!),)</f>
        <v>0</v>
      </c>
      <c r="N4" s="1">
        <v>1</v>
      </c>
    </row>
    <row r="5" spans="1:14" x14ac:dyDescent="0.55000000000000004">
      <c r="A5" s="1" t="s">
        <v>1485</v>
      </c>
      <c r="B5" s="2">
        <f>COUNTIF(A:A,A5)-1</f>
        <v>3</v>
      </c>
      <c r="C5" s="2">
        <f>COUNTIF(A$1:A5,A5)-1</f>
        <v>2</v>
      </c>
      <c r="D5" s="2" t="str">
        <f>Argument!D5</f>
        <v>var</v>
      </c>
      <c r="E5" s="2" t="str">
        <f t="shared" si="0"/>
        <v/>
      </c>
      <c r="F5" s="2" t="str">
        <f>IF(C5=0,ISTEXT(FORMULA.CONVERT("="&amp;A5&amp;"("&amp;REPLACE(REPT(",#ref!",B5),1,1,"")&amp;")()",1)),"")</f>
        <v/>
      </c>
      <c r="G5" s="2">
        <f>TYPE(COUNT(IF(1,1),{1},IF(1,1)))</f>
        <v>1</v>
      </c>
      <c r="H5" s="2" t="str">
        <f t="shared" si="1"/>
        <v/>
      </c>
      <c r="I5" s="2">
        <f>TYPE(COUNT(IF(1,1),IF(1,1),IF(1,1)))</f>
        <v>1</v>
      </c>
      <c r="J5" s="2" t="str">
        <f>IF(C5=0,COUNTIFS(A:A,A5,D:D,"a"),"")</f>
        <v/>
      </c>
      <c r="K5" s="2">
        <f>INDEX(+COUNT(#REF!,K5:L5,#REF!),)</f>
        <v>1</v>
      </c>
      <c r="L5" s="1">
        <v>1</v>
      </c>
      <c r="M5" s="2">
        <f>INDEX(+COUNT(#REF!,INDIRECT(M5:N5),#REF!),)</f>
        <v>0</v>
      </c>
      <c r="N5" s="1">
        <v>1</v>
      </c>
    </row>
    <row r="6" spans="1:14" x14ac:dyDescent="0.55000000000000004">
      <c r="A6" s="1" t="s">
        <v>1485</v>
      </c>
      <c r="B6" s="2">
        <f>COUNTIF(A:A,A6)-1</f>
        <v>3</v>
      </c>
      <c r="C6" s="2">
        <f>COUNTIF(A$1:A6,A6)-1</f>
        <v>3</v>
      </c>
      <c r="D6" s="2" t="str">
        <f>Argument!D6</f>
        <v>var</v>
      </c>
      <c r="E6" s="2" t="str">
        <f t="shared" si="0"/>
        <v/>
      </c>
      <c r="F6" s="2" t="str">
        <f>IF(C6=0,ISTEXT(FORMULA.CONVERT("="&amp;A6&amp;"("&amp;REPLACE(REPT(",#ref!",B6),1,1,"")&amp;")()",1)),"")</f>
        <v/>
      </c>
      <c r="G6" s="2">
        <f>TYPE(COUNT(IF(1,1),IF(1,1),{1}))</f>
        <v>1</v>
      </c>
      <c r="H6" s="2" t="str">
        <f t="shared" si="1"/>
        <v/>
      </c>
      <c r="I6" s="2">
        <f>TYPE(COUNT(IF(1,1),IF(1,1),IF(1,1)))</f>
        <v>1</v>
      </c>
      <c r="J6" s="2" t="str">
        <f>IF(C6=0,COUNTIFS(A:A,A6,D:D,"a"),"")</f>
        <v/>
      </c>
      <c r="K6" s="2">
        <f>INDEX(+COUNT(#REF!,#REF!,K6:L6),)</f>
        <v>1</v>
      </c>
      <c r="L6" s="1">
        <v>1</v>
      </c>
      <c r="M6" s="2">
        <f>INDEX(+COUNT(#REF!,#REF!,INDIRECT(M6:N6)),)</f>
        <v>0</v>
      </c>
      <c r="N6" s="1">
        <v>1</v>
      </c>
    </row>
    <row r="7" spans="1:14" x14ac:dyDescent="0.55000000000000004">
      <c r="A7" s="1" t="s">
        <v>1486</v>
      </c>
      <c r="B7" s="2">
        <f>COUNTIF(A:A,A7)-1</f>
        <v>3</v>
      </c>
      <c r="C7" s="2">
        <f>COUNTIF(A$1:A7,A7)-1</f>
        <v>0</v>
      </c>
      <c r="D7" s="2" t="str">
        <f>Argument!D7</f>
        <v/>
      </c>
      <c r="E7" s="2" t="str">
        <f t="shared" si="0"/>
        <v>var</v>
      </c>
      <c r="F7" s="2" t="b">
        <f>IF(C7=0,ISTEXT(FORMULA.CONVERT("="&amp;A7&amp;"("&amp;REPLACE(REPT(",#ref!",B7),1,1,"")&amp;")()",1)),"")</f>
        <v>1</v>
      </c>
      <c r="G7" s="2"/>
      <c r="H7" s="2" t="str">
        <f t="shared" si="1"/>
        <v/>
      </c>
      <c r="I7" s="2">
        <f>TYPE(IF(IF(1,1),IF(1,1),IF(1,1)))</f>
        <v>1</v>
      </c>
      <c r="J7" s="2">
        <f>IF(C7=0,COUNTIFS(A:A,A7,D:D,"a"),"")</f>
        <v>0</v>
      </c>
      <c r="K7" s="2"/>
      <c r="M7" s="2"/>
    </row>
    <row r="8" spans="1:14" x14ac:dyDescent="0.55000000000000004">
      <c r="A8" s="1" t="s">
        <v>1486</v>
      </c>
      <c r="B8" s="2">
        <f>COUNTIF(A:A,A8)-1</f>
        <v>3</v>
      </c>
      <c r="C8" s="2">
        <f>COUNTIF(A$1:A8,A8)-1</f>
        <v>1</v>
      </c>
      <c r="D8" s="2" t="str">
        <f>Argument!D8</f>
        <v>va</v>
      </c>
      <c r="E8" s="2" t="str">
        <f t="shared" si="0"/>
        <v/>
      </c>
      <c r="F8" s="2" t="str">
        <f>IF(C8=0,ISTEXT(FORMULA.CONVERT("="&amp;A8&amp;"("&amp;REPLACE(REPT(",#ref!",B8),1,1,"")&amp;")()",1)),"")</f>
        <v/>
      </c>
      <c r="G8" s="2">
        <f>TYPE(IF({1},IF(1,1),IF(1,1)))</f>
        <v>1</v>
      </c>
      <c r="H8" s="2">
        <f t="shared" si="1"/>
        <v>1</v>
      </c>
      <c r="I8" s="2">
        <f>TYPE(IF(IF(1,1),IF(1,1),IF(1,1)))</f>
        <v>1</v>
      </c>
      <c r="J8" s="2" t="str">
        <f>IF(C8=0,COUNTIFS(A:A,A8,D:D,"a"),"")</f>
        <v/>
      </c>
      <c r="K8" s="2" t="e">
        <f>INDEX(+IF(K8:L8,#REF!,#REF!),)</f>
        <v>#REF!</v>
      </c>
      <c r="M8" s="2" t="e">
        <f>INDEX(+IF(INDIRECT(M8:N8),#REF!,#REF!),)</f>
        <v>#REF!</v>
      </c>
    </row>
    <row r="9" spans="1:14" x14ac:dyDescent="0.55000000000000004">
      <c r="A9" s="1" t="s">
        <v>1486</v>
      </c>
      <c r="B9" s="2">
        <f>COUNTIF(A:A,A9)-1</f>
        <v>3</v>
      </c>
      <c r="C9" s="2">
        <f>COUNTIF(A$1:A9,A9)-1</f>
        <v>2</v>
      </c>
      <c r="D9" s="2" t="str">
        <f>Argument!D9</f>
        <v>var</v>
      </c>
      <c r="E9" s="2" t="str">
        <f t="shared" si="0"/>
        <v/>
      </c>
      <c r="F9" s="2" t="str">
        <f>IF(C9=0,ISTEXT(FORMULA.CONVERT("="&amp;A9&amp;"("&amp;REPLACE(REPT(",#ref!",B9),1,1,"")&amp;")()",1)),"")</f>
        <v/>
      </c>
      <c r="G9" s="2">
        <f>TYPE(IF(IF(1,1),{1},IF(1,1)))</f>
        <v>1</v>
      </c>
      <c r="H9" s="2">
        <f t="shared" si="1"/>
        <v>1</v>
      </c>
      <c r="I9" s="2">
        <f>TYPE(IF(IF(1,1),IF(1,1),IF(1,1)))</f>
        <v>1</v>
      </c>
      <c r="J9" s="2" t="str">
        <f>IF(C9=0,COUNTIFS(A:A,A9,D:D,"a"),"")</f>
        <v/>
      </c>
      <c r="K9" s="2" t="e">
        <f>INDEX(+IF(#REF!,K9:L9,#REF!),)</f>
        <v>#REF!</v>
      </c>
      <c r="L9" s="1">
        <v>1</v>
      </c>
      <c r="M9" s="2" t="e">
        <f>INDEX(+IF(#REF!,INDIRECT(M9:N9),#REF!),)</f>
        <v>#REF!</v>
      </c>
    </row>
    <row r="10" spans="1:14" x14ac:dyDescent="0.55000000000000004">
      <c r="A10" s="1" t="s">
        <v>1486</v>
      </c>
      <c r="B10" s="2">
        <f>COUNTIF(A:A,A10)-1</f>
        <v>3</v>
      </c>
      <c r="C10" s="2">
        <f>COUNTIF(A$1:A10,A10)-1</f>
        <v>3</v>
      </c>
      <c r="D10" s="2" t="str">
        <f>Argument!D10</f>
        <v>var</v>
      </c>
      <c r="E10" s="2" t="str">
        <f t="shared" si="0"/>
        <v/>
      </c>
      <c r="F10" s="2" t="str">
        <f>IF(C10=0,ISTEXT(FORMULA.CONVERT("="&amp;A10&amp;"("&amp;REPLACE(REPT(",#ref!",B10),1,1,"")&amp;")()",1)),"")</f>
        <v/>
      </c>
      <c r="G10" s="2">
        <f>TYPE(IF(IF(1,1),IF(1,1),{1}))</f>
        <v>1</v>
      </c>
      <c r="H10" s="2">
        <f t="shared" si="1"/>
        <v>1</v>
      </c>
      <c r="I10" s="2">
        <f>TYPE(IF(IF(1,1),IF(1,1),IF(1,1)))</f>
        <v>1</v>
      </c>
      <c r="J10" s="2" t="str">
        <f>IF(C10=0,COUNTIFS(A:A,A10,D:D,"a"),"")</f>
        <v/>
      </c>
      <c r="K10" s="2" t="e">
        <f>INDEX(+IF(#REF!,#REF!,K10:L10),)</f>
        <v>#REF!</v>
      </c>
      <c r="L10" s="1">
        <v>1</v>
      </c>
      <c r="M10" s="2" t="e">
        <f>INDEX(+IF(#REF!,#REF!,INDIRECT(M10:N10)),)</f>
        <v>#REF!</v>
      </c>
    </row>
    <row r="11" spans="1:14" x14ac:dyDescent="0.55000000000000004">
      <c r="A11" s="1" t="s">
        <v>1487</v>
      </c>
      <c r="B11" s="2">
        <f>COUNTIF(A:A,A11)-1</f>
        <v>1</v>
      </c>
      <c r="C11" s="2">
        <f>COUNTIF(A$1:A11,A11)-1</f>
        <v>0</v>
      </c>
      <c r="D11" s="2" t="str">
        <f>Argument!D11</f>
        <v/>
      </c>
      <c r="E11" s="2" t="str">
        <f t="shared" si="0"/>
        <v>v</v>
      </c>
      <c r="F11" s="2" t="b">
        <f>IF(C11=0,ISTEXT(FORMULA.CONVERT("="&amp;A11&amp;"("&amp;REPLACE(REPT(",#ref!",B11),1,1,"")&amp;")()",1)),"")</f>
        <v>0</v>
      </c>
      <c r="G11" s="2"/>
      <c r="H11" s="2" t="str">
        <f t="shared" si="1"/>
        <v/>
      </c>
      <c r="I11" s="2">
        <f>TYPE(ISNA(IF(1,1)))</f>
        <v>4</v>
      </c>
      <c r="J11" s="2">
        <f>IF(C11=0,COUNTIFS(A:A,A11,D:D,"a"),"")</f>
        <v>0</v>
      </c>
      <c r="K11" s="2"/>
      <c r="M11" s="2"/>
    </row>
    <row r="12" spans="1:14" x14ac:dyDescent="0.55000000000000004">
      <c r="A12" s="1" t="s">
        <v>1487</v>
      </c>
      <c r="B12" s="2">
        <f>COUNTIF(A:A,A12)-1</f>
        <v>1</v>
      </c>
      <c r="C12" s="2">
        <f>COUNTIF(A$1:A12,A12)-1</f>
        <v>1</v>
      </c>
      <c r="D12" s="2" t="str">
        <f>Argument!D12</f>
        <v>v</v>
      </c>
      <c r="E12" s="2" t="str">
        <f t="shared" si="0"/>
        <v/>
      </c>
      <c r="F12" s="2" t="str">
        <f>IF(C12=0,ISTEXT(FORMULA.CONVERT("="&amp;A12&amp;"("&amp;REPLACE(REPT(",#ref!",B12),1,1,"")&amp;")()",1)),"")</f>
        <v/>
      </c>
      <c r="G12" s="2">
        <f>TYPE(ISNA({1}))</f>
        <v>64</v>
      </c>
      <c r="H12" s="2" t="str">
        <f t="shared" si="1"/>
        <v/>
      </c>
      <c r="I12" s="2">
        <f>TYPE(ISNA(IF(1,1)))</f>
        <v>4</v>
      </c>
      <c r="J12" s="2" t="str">
        <f>IF(C12=0,COUNTIFS(A:A,A12,D:D,"a"),"")</f>
        <v/>
      </c>
      <c r="K12" s="2" t="b">
        <f>INDEX(+ISNA(K12:L12),)</f>
        <v>0</v>
      </c>
      <c r="L12" s="1">
        <v>1</v>
      </c>
      <c r="M12" s="2" t="b">
        <f>INDEX(+ISNA(INDIRECT(M12:N12)),)</f>
        <v>0</v>
      </c>
      <c r="N12" s="1">
        <v>1</v>
      </c>
    </row>
    <row r="13" spans="1:14" x14ac:dyDescent="0.55000000000000004">
      <c r="A13" s="1" t="s">
        <v>1488</v>
      </c>
      <c r="B13" s="2">
        <f>COUNTIF(A:A,A13)-1</f>
        <v>1</v>
      </c>
      <c r="C13" s="2">
        <f>COUNTIF(A$1:A13,A13)-1</f>
        <v>0</v>
      </c>
      <c r="D13" s="2" t="str">
        <f>Argument!D13</f>
        <v/>
      </c>
      <c r="E13" s="2" t="str">
        <f t="shared" si="0"/>
        <v>v</v>
      </c>
      <c r="F13" s="2" t="b">
        <f>IF(C13=0,ISTEXT(FORMULA.CONVERT("="&amp;A13&amp;"("&amp;REPLACE(REPT(",#ref!",B13),1,1,"")&amp;")()",1)),"")</f>
        <v>0</v>
      </c>
      <c r="G13" s="2"/>
      <c r="H13" s="2" t="str">
        <f t="shared" si="1"/>
        <v/>
      </c>
      <c r="I13" s="2">
        <f>TYPE(ISERROR(IF(1,1)))</f>
        <v>4</v>
      </c>
      <c r="J13" s="2">
        <f>IF(C13=0,COUNTIFS(A:A,A13,D:D,"a"),"")</f>
        <v>0</v>
      </c>
      <c r="K13" s="2"/>
      <c r="M13" s="2"/>
    </row>
    <row r="14" spans="1:14" x14ac:dyDescent="0.55000000000000004">
      <c r="A14" s="1" t="s">
        <v>1488</v>
      </c>
      <c r="B14" s="2">
        <f>COUNTIF(A:A,A14)-1</f>
        <v>1</v>
      </c>
      <c r="C14" s="2">
        <f>COUNTIF(A$1:A14,A14)-1</f>
        <v>1</v>
      </c>
      <c r="D14" s="2" t="str">
        <f>Argument!D14</f>
        <v>v</v>
      </c>
      <c r="E14" s="2" t="str">
        <f t="shared" si="0"/>
        <v/>
      </c>
      <c r="F14" s="2" t="str">
        <f>IF(C14=0,ISTEXT(FORMULA.CONVERT("="&amp;A14&amp;"("&amp;REPLACE(REPT(",#ref!",B14),1,1,"")&amp;")()",1)),"")</f>
        <v/>
      </c>
      <c r="G14" s="2">
        <f>TYPE(ISERROR({1}))</f>
        <v>64</v>
      </c>
      <c r="H14" s="2" t="str">
        <f t="shared" si="1"/>
        <v/>
      </c>
      <c r="I14" s="2">
        <f>TYPE(ISERROR(IF(1,1)))</f>
        <v>4</v>
      </c>
      <c r="J14" s="2" t="str">
        <f>IF(C14=0,COUNTIFS(A:A,A14,D:D,"a"),"")</f>
        <v/>
      </c>
      <c r="K14" s="2" t="b">
        <f>INDEX(+ISERROR(K14:L14),)</f>
        <v>0</v>
      </c>
      <c r="L14" s="1">
        <v>1</v>
      </c>
      <c r="M14" s="2" t="b">
        <f>INDEX(+ISERROR(INDIRECT(M14:N14)),)</f>
        <v>1</v>
      </c>
      <c r="N14" s="1">
        <v>1</v>
      </c>
    </row>
    <row r="15" spans="1:14" x14ac:dyDescent="0.55000000000000004">
      <c r="A15" s="1" t="s">
        <v>1489</v>
      </c>
      <c r="B15" s="2">
        <f>COUNTIF(A:A,A15)-1</f>
        <v>3</v>
      </c>
      <c r="C15" s="2">
        <f>COUNTIF(A$1:A15,A15)-1</f>
        <v>0</v>
      </c>
      <c r="D15" s="2" t="str">
        <f>Argument!D15</f>
        <v/>
      </c>
      <c r="E15" s="2" t="str">
        <f t="shared" si="0"/>
        <v>v</v>
      </c>
      <c r="F15" s="2" t="b">
        <f>IF(C15=0,ISTEXT(FORMULA.CONVERT("="&amp;A15&amp;"("&amp;REPLACE(REPT(",#ref!",B15),1,1,"")&amp;")()",1)),"")</f>
        <v>0</v>
      </c>
      <c r="G15" s="2"/>
      <c r="H15" s="2" t="str">
        <f t="shared" si="1"/>
        <v/>
      </c>
      <c r="I15" s="2">
        <f>TYPE(SUM(IF(1,1),IF(1,1),IF(1,1)))</f>
        <v>1</v>
      </c>
      <c r="J15" s="2">
        <f>IF(C15=0,COUNTIFS(A:A,A15,D:D,"a"),"")</f>
        <v>0</v>
      </c>
      <c r="K15" s="2"/>
      <c r="M15" s="2"/>
    </row>
    <row r="16" spans="1:14" x14ac:dyDescent="0.55000000000000004">
      <c r="A16" s="1" t="s">
        <v>1489</v>
      </c>
      <c r="B16" s="2">
        <f>COUNTIF(A:A,A16)-1</f>
        <v>3</v>
      </c>
      <c r="C16" s="2">
        <f>COUNTIF(A$1:A16,A16)-1</f>
        <v>1</v>
      </c>
      <c r="D16" s="2" t="str">
        <f>Argument!D16</f>
        <v>var</v>
      </c>
      <c r="E16" s="2" t="str">
        <f t="shared" si="0"/>
        <v/>
      </c>
      <c r="F16" s="2" t="str">
        <f>IF(C16=0,ISTEXT(FORMULA.CONVERT("="&amp;A16&amp;"("&amp;REPLACE(REPT(",#ref!",B16),1,1,"")&amp;")()",1)),"")</f>
        <v/>
      </c>
      <c r="G16" s="2">
        <f>TYPE(SUM({1},IF(1,1),IF(1,1)))</f>
        <v>1</v>
      </c>
      <c r="H16" s="2" t="str">
        <f t="shared" si="1"/>
        <v/>
      </c>
      <c r="I16" s="2">
        <f>TYPE(SUM(IF(1,1),IF(1,1),IF(1,1)))</f>
        <v>1</v>
      </c>
      <c r="J16" s="2" t="str">
        <f>IF(C16=0,COUNTIFS(A:A,A16,D:D,"a"),"")</f>
        <v/>
      </c>
      <c r="K16" s="2" t="e">
        <f>INDEX(+SUM(K16:L16,#REF!,#REF!),)</f>
        <v>#REF!</v>
      </c>
      <c r="L16" s="1">
        <v>1</v>
      </c>
      <c r="M16" s="2" t="e">
        <f>INDEX(+SUM(INDIRECT(M16:N16),#REF!,#REF!),)</f>
        <v>#REF!</v>
      </c>
      <c r="N16" s="1">
        <v>1</v>
      </c>
    </row>
    <row r="17" spans="1:14" x14ac:dyDescent="0.55000000000000004">
      <c r="A17" s="1" t="s">
        <v>1489</v>
      </c>
      <c r="B17" s="2">
        <f>COUNTIF(A:A,A17)-1</f>
        <v>3</v>
      </c>
      <c r="C17" s="2">
        <f>COUNTIF(A$1:A17,A17)-1</f>
        <v>2</v>
      </c>
      <c r="D17" s="2" t="str">
        <f>Argument!D17</f>
        <v>var</v>
      </c>
      <c r="E17" s="2" t="str">
        <f t="shared" si="0"/>
        <v/>
      </c>
      <c r="F17" s="2" t="str">
        <f>IF(C17=0,ISTEXT(FORMULA.CONVERT("="&amp;A17&amp;"("&amp;REPLACE(REPT(",#ref!",B17),1,1,"")&amp;")()",1)),"")</f>
        <v/>
      </c>
      <c r="G17" s="2">
        <f>TYPE(SUM(IF(1,1),{1},IF(1,1)))</f>
        <v>1</v>
      </c>
      <c r="H17" s="2" t="str">
        <f t="shared" si="1"/>
        <v/>
      </c>
      <c r="I17" s="2">
        <f>TYPE(SUM(IF(1,1),IF(1,1),IF(1,1)))</f>
        <v>1</v>
      </c>
      <c r="J17" s="2" t="str">
        <f>IF(C17=0,COUNTIFS(A:A,A17,D:D,"a"),"")</f>
        <v/>
      </c>
      <c r="K17" s="2" t="e">
        <f>INDEX(+SUM(#REF!,K17:L17,#REF!),)</f>
        <v>#REF!</v>
      </c>
      <c r="L17" s="1">
        <v>1</v>
      </c>
      <c r="M17" s="2" t="e">
        <f>INDEX(+SUM(#REF!,INDIRECT(M17:N17),#REF!),)</f>
        <v>#REF!</v>
      </c>
      <c r="N17" s="1">
        <v>1</v>
      </c>
    </row>
    <row r="18" spans="1:14" x14ac:dyDescent="0.55000000000000004">
      <c r="A18" s="1" t="s">
        <v>1489</v>
      </c>
      <c r="B18" s="2">
        <f>COUNTIF(A:A,A18)-1</f>
        <v>3</v>
      </c>
      <c r="C18" s="2">
        <f>COUNTIF(A$1:A18,A18)-1</f>
        <v>3</v>
      </c>
      <c r="D18" s="2" t="str">
        <f>Argument!D18</f>
        <v>var</v>
      </c>
      <c r="E18" s="2" t="str">
        <f t="shared" si="0"/>
        <v/>
      </c>
      <c r="F18" s="2" t="str">
        <f>IF(C18=0,ISTEXT(FORMULA.CONVERT("="&amp;A18&amp;"("&amp;REPLACE(REPT(",#ref!",B18),1,1,"")&amp;")()",1)),"")</f>
        <v/>
      </c>
      <c r="G18" s="2">
        <f>TYPE(SUM(IF(1,1),IF(1,1),{1}))</f>
        <v>1</v>
      </c>
      <c r="H18" s="2" t="str">
        <f t="shared" si="1"/>
        <v/>
      </c>
      <c r="I18" s="2">
        <f>TYPE(SUM(IF(1,1),IF(1,1),IF(1,1)))</f>
        <v>1</v>
      </c>
      <c r="J18" s="2" t="str">
        <f>IF(C18=0,COUNTIFS(A:A,A18,D:D,"a"),"")</f>
        <v/>
      </c>
      <c r="K18" s="2" t="e">
        <f>INDEX(+SUM(#REF!,#REF!,K18:L18),)</f>
        <v>#REF!</v>
      </c>
      <c r="L18" s="1">
        <v>1</v>
      </c>
      <c r="M18" s="2" t="e">
        <f>INDEX(+SUM(#REF!,#REF!,INDIRECT(M18:N18)),)</f>
        <v>#REF!</v>
      </c>
      <c r="N18" s="1">
        <v>1</v>
      </c>
    </row>
    <row r="19" spans="1:14" x14ac:dyDescent="0.55000000000000004">
      <c r="A19" s="1" t="s">
        <v>1490</v>
      </c>
      <c r="B19" s="2">
        <f>COUNTIF(A:A,A19)-1</f>
        <v>3</v>
      </c>
      <c r="C19" s="2">
        <f>COUNTIF(A$1:A19,A19)-1</f>
        <v>0</v>
      </c>
      <c r="D19" s="2" t="str">
        <f>Argument!D19</f>
        <v/>
      </c>
      <c r="E19" s="2" t="str">
        <f t="shared" si="0"/>
        <v>v</v>
      </c>
      <c r="F19" s="2" t="b">
        <f>IF(C19=0,ISTEXT(FORMULA.CONVERT("="&amp;A19&amp;"("&amp;REPLACE(REPT(",#ref!",B19),1,1,"")&amp;")()",1)),"")</f>
        <v>0</v>
      </c>
      <c r="G19" s="2"/>
      <c r="H19" s="2" t="str">
        <f t="shared" si="1"/>
        <v/>
      </c>
      <c r="I19" s="2">
        <f>TYPE(AVERAGE(IF(1,1),IF(1,1),IF(1,1)))</f>
        <v>1</v>
      </c>
      <c r="J19" s="2">
        <f>IF(C19=0,COUNTIFS(A:A,A19,D:D,"a"),"")</f>
        <v>0</v>
      </c>
      <c r="K19" s="2"/>
      <c r="M19" s="2"/>
    </row>
    <row r="20" spans="1:14" x14ac:dyDescent="0.55000000000000004">
      <c r="A20" s="1" t="s">
        <v>1490</v>
      </c>
      <c r="B20" s="2">
        <f>COUNTIF(A:A,A20)-1</f>
        <v>3</v>
      </c>
      <c r="C20" s="2">
        <f>COUNTIF(A$1:A20,A20)-1</f>
        <v>1</v>
      </c>
      <c r="D20" s="2" t="str">
        <f>Argument!D20</f>
        <v>var</v>
      </c>
      <c r="E20" s="2" t="str">
        <f t="shared" si="0"/>
        <v/>
      </c>
      <c r="F20" s="2" t="str">
        <f>IF(C20=0,ISTEXT(FORMULA.CONVERT("="&amp;A20&amp;"("&amp;REPLACE(REPT(",#ref!",B20),1,1,"")&amp;")()",1)),"")</f>
        <v/>
      </c>
      <c r="G20" s="2">
        <f>TYPE(AVERAGE({1},IF(1,1),IF(1,1)))</f>
        <v>1</v>
      </c>
      <c r="H20" s="2" t="str">
        <f t="shared" si="1"/>
        <v/>
      </c>
      <c r="I20" s="2">
        <f>TYPE(AVERAGE(IF(1,1),IF(1,1),IF(1,1)))</f>
        <v>1</v>
      </c>
      <c r="J20" s="2" t="str">
        <f>IF(C20=0,COUNTIFS(A:A,A20,D:D,"a"),"")</f>
        <v/>
      </c>
      <c r="K20" s="2" t="e">
        <f>INDEX(+AVERAGE(K20:L20,#REF!,#REF!),)</f>
        <v>#REF!</v>
      </c>
      <c r="L20" s="1">
        <v>1</v>
      </c>
      <c r="M20" s="2" t="e">
        <f>INDEX(+AVERAGE(INDIRECT(M20:N20),#REF!,#REF!),)</f>
        <v>#REF!</v>
      </c>
      <c r="N20" s="1">
        <v>1</v>
      </c>
    </row>
    <row r="21" spans="1:14" x14ac:dyDescent="0.55000000000000004">
      <c r="A21" s="1" t="s">
        <v>1490</v>
      </c>
      <c r="B21" s="2">
        <f>COUNTIF(A:A,A21)-1</f>
        <v>3</v>
      </c>
      <c r="C21" s="2">
        <f>COUNTIF(A$1:A21,A21)-1</f>
        <v>2</v>
      </c>
      <c r="D21" s="2" t="str">
        <f>Argument!D21</f>
        <v>var</v>
      </c>
      <c r="E21" s="2" t="str">
        <f t="shared" si="0"/>
        <v/>
      </c>
      <c r="F21" s="2" t="str">
        <f>IF(C21=0,ISTEXT(FORMULA.CONVERT("="&amp;A21&amp;"("&amp;REPLACE(REPT(",#ref!",B21),1,1,"")&amp;")()",1)),"")</f>
        <v/>
      </c>
      <c r="G21" s="2">
        <f>TYPE(AVERAGE(IF(1,1),{1},IF(1,1)))</f>
        <v>1</v>
      </c>
      <c r="H21" s="2" t="str">
        <f t="shared" si="1"/>
        <v/>
      </c>
      <c r="I21" s="2">
        <f>TYPE(AVERAGE(IF(1,1),IF(1,1),IF(1,1)))</f>
        <v>1</v>
      </c>
      <c r="J21" s="2" t="str">
        <f>IF(C21=0,COUNTIFS(A:A,A21,D:D,"a"),"")</f>
        <v/>
      </c>
      <c r="K21" s="2" t="e">
        <f>INDEX(+AVERAGE(#REF!,K21:L21,#REF!),)</f>
        <v>#REF!</v>
      </c>
      <c r="L21" s="1">
        <v>1</v>
      </c>
      <c r="M21" s="2" t="e">
        <f>INDEX(+AVERAGE(#REF!,INDIRECT(M21:N21),#REF!),)</f>
        <v>#REF!</v>
      </c>
      <c r="N21" s="1">
        <v>1</v>
      </c>
    </row>
    <row r="22" spans="1:14" x14ac:dyDescent="0.55000000000000004">
      <c r="A22" s="1" t="s">
        <v>1490</v>
      </c>
      <c r="B22" s="2">
        <f>COUNTIF(A:A,A22)-1</f>
        <v>3</v>
      </c>
      <c r="C22" s="2">
        <f>COUNTIF(A$1:A22,A22)-1</f>
        <v>3</v>
      </c>
      <c r="D22" s="2" t="str">
        <f>Argument!D22</f>
        <v>var</v>
      </c>
      <c r="E22" s="2" t="str">
        <f t="shared" si="0"/>
        <v/>
      </c>
      <c r="F22" s="2" t="str">
        <f>IF(C22=0,ISTEXT(FORMULA.CONVERT("="&amp;A22&amp;"("&amp;REPLACE(REPT(",#ref!",B22),1,1,"")&amp;")()",1)),"")</f>
        <v/>
      </c>
      <c r="G22" s="2">
        <f>TYPE(AVERAGE(IF(1,1),IF(1,1),{1}))</f>
        <v>1</v>
      </c>
      <c r="H22" s="2" t="str">
        <f t="shared" si="1"/>
        <v/>
      </c>
      <c r="I22" s="2">
        <f>TYPE(AVERAGE(IF(1,1),IF(1,1),IF(1,1)))</f>
        <v>1</v>
      </c>
      <c r="J22" s="2" t="str">
        <f>IF(C22=0,COUNTIFS(A:A,A22,D:D,"a"),"")</f>
        <v/>
      </c>
      <c r="K22" s="2" t="e">
        <f>INDEX(+AVERAGE(#REF!,#REF!,K22:L22),)</f>
        <v>#REF!</v>
      </c>
      <c r="L22" s="1">
        <v>1</v>
      </c>
      <c r="M22" s="2" t="e">
        <f>INDEX(+AVERAGE(#REF!,#REF!,INDIRECT(M22:N22)),)</f>
        <v>#REF!</v>
      </c>
      <c r="N22" s="1">
        <v>1</v>
      </c>
    </row>
    <row r="23" spans="1:14" x14ac:dyDescent="0.55000000000000004">
      <c r="A23" s="1" t="s">
        <v>1491</v>
      </c>
      <c r="B23" s="2">
        <f>COUNTIF(A:A,A23)-1</f>
        <v>3</v>
      </c>
      <c r="C23" s="2">
        <f>COUNTIF(A$1:A23,A23)-1</f>
        <v>0</v>
      </c>
      <c r="D23" s="2" t="str">
        <f>Argument!D23</f>
        <v/>
      </c>
      <c r="E23" s="2" t="str">
        <f t="shared" si="0"/>
        <v>v</v>
      </c>
      <c r="F23" s="2" t="b">
        <f>IF(C23=0,ISTEXT(FORMULA.CONVERT("="&amp;A23&amp;"("&amp;REPLACE(REPT(",#ref!",B23),1,1,"")&amp;")()",1)),"")</f>
        <v>0</v>
      </c>
      <c r="G23" s="2"/>
      <c r="H23" s="2" t="str">
        <f t="shared" si="1"/>
        <v/>
      </c>
      <c r="I23" s="2">
        <f>TYPE(MIN(IF(1,1),IF(1,1),IF(1,1)))</f>
        <v>1</v>
      </c>
      <c r="J23" s="2">
        <f>IF(C23=0,COUNTIFS(A:A,A23,D:D,"a"),"")</f>
        <v>0</v>
      </c>
      <c r="K23" s="2"/>
      <c r="M23" s="2"/>
    </row>
    <row r="24" spans="1:14" x14ac:dyDescent="0.55000000000000004">
      <c r="A24" s="1" t="s">
        <v>1491</v>
      </c>
      <c r="B24" s="2">
        <f>COUNTIF(A:A,A24)-1</f>
        <v>3</v>
      </c>
      <c r="C24" s="2">
        <f>COUNTIF(A$1:A24,A24)-1</f>
        <v>1</v>
      </c>
      <c r="D24" s="2" t="str">
        <f>Argument!D24</f>
        <v>var</v>
      </c>
      <c r="E24" s="2" t="str">
        <f t="shared" si="0"/>
        <v/>
      </c>
      <c r="F24" s="2" t="str">
        <f>IF(C24=0,ISTEXT(FORMULA.CONVERT("="&amp;A24&amp;"("&amp;REPLACE(REPT(",#ref!",B24),1,1,"")&amp;")()",1)),"")</f>
        <v/>
      </c>
      <c r="G24" s="2">
        <f>TYPE(MIN({1},IF(1,1),IF(1,1)))</f>
        <v>1</v>
      </c>
      <c r="H24" s="2" t="str">
        <f t="shared" si="1"/>
        <v/>
      </c>
      <c r="I24" s="2">
        <f>TYPE(MIN(IF(1,1),IF(1,1),IF(1,1)))</f>
        <v>1</v>
      </c>
      <c r="J24" s="2" t="str">
        <f>IF(C24=0,COUNTIFS(A:A,A24,D:D,"a"),"")</f>
        <v/>
      </c>
      <c r="K24" s="2" t="e">
        <f>INDEX(+MIN(K24:L24,#REF!,#REF!),)</f>
        <v>#REF!</v>
      </c>
      <c r="L24" s="1">
        <v>1</v>
      </c>
      <c r="M24" s="2" t="e">
        <f>INDEX(+MIN(INDIRECT(M24:N24),#REF!,#REF!),)</f>
        <v>#REF!</v>
      </c>
      <c r="N24" s="1">
        <v>1</v>
      </c>
    </row>
    <row r="25" spans="1:14" x14ac:dyDescent="0.55000000000000004">
      <c r="A25" s="1" t="s">
        <v>1491</v>
      </c>
      <c r="B25" s="2">
        <f>COUNTIF(A:A,A25)-1</f>
        <v>3</v>
      </c>
      <c r="C25" s="2">
        <f>COUNTIF(A$1:A25,A25)-1</f>
        <v>2</v>
      </c>
      <c r="D25" s="2" t="str">
        <f>Argument!D25</f>
        <v>var</v>
      </c>
      <c r="E25" s="2" t="str">
        <f t="shared" si="0"/>
        <v/>
      </c>
      <c r="F25" s="2" t="str">
        <f>IF(C25=0,ISTEXT(FORMULA.CONVERT("="&amp;A25&amp;"("&amp;REPLACE(REPT(",#ref!",B25),1,1,"")&amp;")()",1)),"")</f>
        <v/>
      </c>
      <c r="G25" s="2">
        <f>TYPE(MIN(IF(1,1),{1},IF(1,1)))</f>
        <v>1</v>
      </c>
      <c r="H25" s="2" t="str">
        <f t="shared" si="1"/>
        <v/>
      </c>
      <c r="I25" s="2">
        <f>TYPE(MIN(IF(1,1),IF(1,1),IF(1,1)))</f>
        <v>1</v>
      </c>
      <c r="J25" s="2" t="str">
        <f>IF(C25=0,COUNTIFS(A:A,A25,D:D,"a"),"")</f>
        <v/>
      </c>
      <c r="K25" s="2" t="e">
        <f>INDEX(+MIN(#REF!,K25:L25,#REF!),)</f>
        <v>#REF!</v>
      </c>
      <c r="L25" s="1">
        <v>1</v>
      </c>
      <c r="M25" s="2" t="e">
        <f>INDEX(+MIN(#REF!,INDIRECT(M25:N25),#REF!),)</f>
        <v>#REF!</v>
      </c>
      <c r="N25" s="1">
        <v>1</v>
      </c>
    </row>
    <row r="26" spans="1:14" x14ac:dyDescent="0.55000000000000004">
      <c r="A26" s="1" t="s">
        <v>1491</v>
      </c>
      <c r="B26" s="2">
        <f>COUNTIF(A:A,A26)-1</f>
        <v>3</v>
      </c>
      <c r="C26" s="2">
        <f>COUNTIF(A$1:A26,A26)-1</f>
        <v>3</v>
      </c>
      <c r="D26" s="2" t="str">
        <f>Argument!D26</f>
        <v>var</v>
      </c>
      <c r="E26" s="2" t="str">
        <f t="shared" si="0"/>
        <v/>
      </c>
      <c r="F26" s="2" t="str">
        <f>IF(C26=0,ISTEXT(FORMULA.CONVERT("="&amp;A26&amp;"("&amp;REPLACE(REPT(",#ref!",B26),1,1,"")&amp;")()",1)),"")</f>
        <v/>
      </c>
      <c r="G26" s="2">
        <f>TYPE(MIN(IF(1,1),IF(1,1),{1}))</f>
        <v>1</v>
      </c>
      <c r="H26" s="2" t="str">
        <f t="shared" si="1"/>
        <v/>
      </c>
      <c r="I26" s="2">
        <f>TYPE(MIN(IF(1,1),IF(1,1),IF(1,1)))</f>
        <v>1</v>
      </c>
      <c r="J26" s="2" t="str">
        <f>IF(C26=0,COUNTIFS(A:A,A26,D:D,"a"),"")</f>
        <v/>
      </c>
      <c r="K26" s="2" t="e">
        <f>INDEX(+MIN(#REF!,#REF!,K26:L26),)</f>
        <v>#REF!</v>
      </c>
      <c r="L26" s="1">
        <v>1</v>
      </c>
      <c r="M26" s="2" t="e">
        <f>INDEX(+MIN(#REF!,#REF!,INDIRECT(M26:N26)),)</f>
        <v>#REF!</v>
      </c>
      <c r="N26" s="1">
        <v>1</v>
      </c>
    </row>
    <row r="27" spans="1:14" x14ac:dyDescent="0.55000000000000004">
      <c r="A27" s="1" t="s">
        <v>1492</v>
      </c>
      <c r="B27" s="2">
        <f>COUNTIF(A:A,A27)-1</f>
        <v>3</v>
      </c>
      <c r="C27" s="2">
        <f>COUNTIF(A$1:A27,A27)-1</f>
        <v>0</v>
      </c>
      <c r="D27" s="2" t="str">
        <f>Argument!D27</f>
        <v/>
      </c>
      <c r="E27" s="2" t="str">
        <f t="shared" si="0"/>
        <v>v</v>
      </c>
      <c r="F27" s="2" t="b">
        <f>IF(C27=0,ISTEXT(FORMULA.CONVERT("="&amp;A27&amp;"("&amp;REPLACE(REPT(",#ref!",B27),1,1,"")&amp;")()",1)),"")</f>
        <v>0</v>
      </c>
      <c r="G27" s="2"/>
      <c r="H27" s="2" t="str">
        <f t="shared" si="1"/>
        <v/>
      </c>
      <c r="I27" s="2">
        <f>TYPE(MAX(IF(1,1),IF(1,1),IF(1,1)))</f>
        <v>1</v>
      </c>
      <c r="J27" s="2">
        <f>IF(C27=0,COUNTIFS(A:A,A27,D:D,"a"),"")</f>
        <v>0</v>
      </c>
      <c r="K27" s="2"/>
      <c r="M27" s="2"/>
    </row>
    <row r="28" spans="1:14" x14ac:dyDescent="0.55000000000000004">
      <c r="A28" s="1" t="s">
        <v>1492</v>
      </c>
      <c r="B28" s="2">
        <f>COUNTIF(A:A,A28)-1</f>
        <v>3</v>
      </c>
      <c r="C28" s="2">
        <f>COUNTIF(A$1:A28,A28)-1</f>
        <v>1</v>
      </c>
      <c r="D28" s="2" t="str">
        <f>Argument!D28</f>
        <v>var</v>
      </c>
      <c r="E28" s="2" t="str">
        <f t="shared" si="0"/>
        <v/>
      </c>
      <c r="F28" s="2" t="str">
        <f>IF(C28=0,ISTEXT(FORMULA.CONVERT("="&amp;A28&amp;"("&amp;REPLACE(REPT(",#ref!",B28),1,1,"")&amp;")()",1)),"")</f>
        <v/>
      </c>
      <c r="G28" s="2">
        <f>TYPE(MAX({1},IF(1,1),IF(1,1)))</f>
        <v>1</v>
      </c>
      <c r="H28" s="2" t="str">
        <f t="shared" si="1"/>
        <v/>
      </c>
      <c r="I28" s="2">
        <f>TYPE(MAX(IF(1,1),IF(1,1),IF(1,1)))</f>
        <v>1</v>
      </c>
      <c r="J28" s="2" t="str">
        <f>IF(C28=0,COUNTIFS(A:A,A28,D:D,"a"),"")</f>
        <v/>
      </c>
      <c r="K28" s="2" t="e">
        <f>INDEX(+MAX(K28:L28,#REF!,#REF!),)</f>
        <v>#REF!</v>
      </c>
      <c r="L28" s="1">
        <v>1</v>
      </c>
      <c r="M28" s="2" t="e">
        <f>INDEX(+MAX(INDIRECT(M28:N28),#REF!,#REF!),)</f>
        <v>#REF!</v>
      </c>
      <c r="N28" s="1">
        <v>1</v>
      </c>
    </row>
    <row r="29" spans="1:14" x14ac:dyDescent="0.55000000000000004">
      <c r="A29" s="1" t="s">
        <v>1492</v>
      </c>
      <c r="B29" s="2">
        <f>COUNTIF(A:A,A29)-1</f>
        <v>3</v>
      </c>
      <c r="C29" s="2">
        <f>COUNTIF(A$1:A29,A29)-1</f>
        <v>2</v>
      </c>
      <c r="D29" s="2" t="str">
        <f>Argument!D29</f>
        <v>var</v>
      </c>
      <c r="E29" s="2" t="str">
        <f t="shared" si="0"/>
        <v/>
      </c>
      <c r="F29" s="2" t="str">
        <f>IF(C29=0,ISTEXT(FORMULA.CONVERT("="&amp;A29&amp;"("&amp;REPLACE(REPT(",#ref!",B29),1,1,"")&amp;")()",1)),"")</f>
        <v/>
      </c>
      <c r="G29" s="2">
        <f>TYPE(MAX(IF(1,1),{1},IF(1,1)))</f>
        <v>1</v>
      </c>
      <c r="H29" s="2" t="str">
        <f t="shared" si="1"/>
        <v/>
      </c>
      <c r="I29" s="2">
        <f>TYPE(MAX(IF(1,1),IF(1,1),IF(1,1)))</f>
        <v>1</v>
      </c>
      <c r="J29" s="2" t="str">
        <f>IF(C29=0,COUNTIFS(A:A,A29,D:D,"a"),"")</f>
        <v/>
      </c>
      <c r="K29" s="2" t="e">
        <f>INDEX(+MAX(#REF!,K29:L29,#REF!),)</f>
        <v>#REF!</v>
      </c>
      <c r="L29" s="1">
        <v>1</v>
      </c>
      <c r="M29" s="2" t="e">
        <f>INDEX(+MAX(#REF!,INDIRECT(M29:N29),#REF!),)</f>
        <v>#REF!</v>
      </c>
      <c r="N29" s="1">
        <v>1</v>
      </c>
    </row>
    <row r="30" spans="1:14" x14ac:dyDescent="0.55000000000000004">
      <c r="A30" s="1" t="s">
        <v>1492</v>
      </c>
      <c r="B30" s="2">
        <f>COUNTIF(A:A,A30)-1</f>
        <v>3</v>
      </c>
      <c r="C30" s="2">
        <f>COUNTIF(A$1:A30,A30)-1</f>
        <v>3</v>
      </c>
      <c r="D30" s="2" t="str">
        <f>Argument!D30</f>
        <v>var</v>
      </c>
      <c r="E30" s="2" t="str">
        <f t="shared" si="0"/>
        <v/>
      </c>
      <c r="F30" s="2" t="str">
        <f>IF(C30=0,ISTEXT(FORMULA.CONVERT("="&amp;A30&amp;"("&amp;REPLACE(REPT(",#ref!",B30),1,1,"")&amp;")()",1)),"")</f>
        <v/>
      </c>
      <c r="G30" s="2">
        <f>TYPE(MAX(IF(1,1),IF(1,1),{1}))</f>
        <v>1</v>
      </c>
      <c r="H30" s="2" t="str">
        <f t="shared" si="1"/>
        <v/>
      </c>
      <c r="I30" s="2">
        <f>TYPE(MAX(IF(1,1),IF(1,1),IF(1,1)))</f>
        <v>1</v>
      </c>
      <c r="J30" s="2" t="str">
        <f>IF(C30=0,COUNTIFS(A:A,A30,D:D,"a"),"")</f>
        <v/>
      </c>
      <c r="K30" s="2" t="e">
        <f>INDEX(+MAX(#REF!,#REF!,K30:L30),)</f>
        <v>#REF!</v>
      </c>
      <c r="L30" s="1">
        <v>1</v>
      </c>
      <c r="M30" s="2" t="e">
        <f>INDEX(+MAX(#REF!,#REF!,INDIRECT(M30:N30)),)</f>
        <v>#REF!</v>
      </c>
      <c r="N30" s="1">
        <v>1</v>
      </c>
    </row>
    <row r="31" spans="1:14" x14ac:dyDescent="0.55000000000000004">
      <c r="A31" s="1" t="s">
        <v>1493</v>
      </c>
      <c r="B31" s="2">
        <f>COUNTIF(A:A,A31)-1</f>
        <v>1</v>
      </c>
      <c r="C31" s="2">
        <f>COUNTIF(A$1:A31,A31)-1</f>
        <v>0</v>
      </c>
      <c r="D31" s="2" t="str">
        <f>Argument!D31</f>
        <v/>
      </c>
      <c r="E31" s="2" t="str">
        <f t="shared" si="0"/>
        <v>va</v>
      </c>
      <c r="F31" s="2" t="b">
        <f>IF(C31=0,ISTEXT(FORMULA.CONVERT("="&amp;A31&amp;"("&amp;REPLACE(REPT(",#ref!",B31),1,1,"")&amp;")()",1)),"")</f>
        <v>0</v>
      </c>
      <c r="G31" s="2"/>
      <c r="H31" s="2" t="str">
        <f t="shared" si="1"/>
        <v/>
      </c>
      <c r="I31" s="2">
        <f>TYPE(ROW(IF(1,1)))</f>
        <v>16</v>
      </c>
      <c r="J31" s="2">
        <f>IF(C31=0,COUNTIFS(A:A,A31,D:D,"a"),"")</f>
        <v>0</v>
      </c>
      <c r="K31" s="2"/>
      <c r="M31" s="2"/>
    </row>
    <row r="32" spans="1:14" x14ac:dyDescent="0.55000000000000004">
      <c r="A32" s="1" t="s">
        <v>1493</v>
      </c>
      <c r="B32" s="2">
        <f>COUNTIF(A:A,A32)-1</f>
        <v>1</v>
      </c>
      <c r="C32" s="2">
        <f>COUNTIF(A$1:A32,A32)-1</f>
        <v>1</v>
      </c>
      <c r="D32" s="2" t="str">
        <f>Argument!D32</f>
        <v>r</v>
      </c>
      <c r="E32" s="2" t="str">
        <f t="shared" si="0"/>
        <v/>
      </c>
      <c r="F32" s="2" t="str">
        <f>IF(C32=0,ISTEXT(FORMULA.CONVERT("="&amp;A32&amp;"("&amp;REPLACE(REPT(",#ref!",B32),1,1,"")&amp;")()",1)),"")</f>
        <v/>
      </c>
      <c r="G32" s="2"/>
      <c r="H32" s="2">
        <f t="shared" si="1"/>
        <v>1</v>
      </c>
      <c r="I32" s="2">
        <f>TYPE(ROW(IF(1,1)))</f>
        <v>16</v>
      </c>
      <c r="J32" s="2" t="str">
        <f>IF(C32=0,COUNTIFS(A:A,A32,D:D,"a"),"")</f>
        <v/>
      </c>
      <c r="K32" s="2">
        <f>INDEX(+ROW(K32:L32),)</f>
        <v>32</v>
      </c>
      <c r="L32" s="1">
        <v>1</v>
      </c>
      <c r="M32" s="2" t="e">
        <f>INDEX(+ROW(INDIRECT(M32:N32)),)</f>
        <v>#REF!</v>
      </c>
    </row>
    <row r="33" spans="1:14" x14ac:dyDescent="0.55000000000000004">
      <c r="A33" s="1" t="s">
        <v>1494</v>
      </c>
      <c r="B33" s="2">
        <f>COUNTIF(A:A,A33)-1</f>
        <v>1</v>
      </c>
      <c r="C33" s="2">
        <f>COUNTIF(A$1:A33,A33)-1</f>
        <v>0</v>
      </c>
      <c r="D33" s="2" t="str">
        <f>Argument!D33</f>
        <v/>
      </c>
      <c r="E33" s="2" t="str">
        <f t="shared" si="0"/>
        <v>va</v>
      </c>
      <c r="F33" s="2" t="b">
        <f>IF(C33=0,ISTEXT(FORMULA.CONVERT("="&amp;A33&amp;"("&amp;REPLACE(REPT(",#ref!",B33),1,1,"")&amp;")()",1)),"")</f>
        <v>0</v>
      </c>
      <c r="G33" s="2"/>
      <c r="H33" s="2" t="str">
        <f t="shared" si="1"/>
        <v/>
      </c>
      <c r="I33" s="2">
        <f>TYPE(COLUMN(IF(1,1)))</f>
        <v>16</v>
      </c>
      <c r="J33" s="2">
        <f>IF(C33=0,COUNTIFS(A:A,A33,D:D,"a"),"")</f>
        <v>0</v>
      </c>
      <c r="K33" s="2"/>
      <c r="M33" s="2"/>
    </row>
    <row r="34" spans="1:14" x14ac:dyDescent="0.55000000000000004">
      <c r="A34" s="1" t="s">
        <v>1494</v>
      </c>
      <c r="B34" s="2">
        <f>COUNTIF(A:A,A34)-1</f>
        <v>1</v>
      </c>
      <c r="C34" s="2">
        <f>COUNTIF(A$1:A34,A34)-1</f>
        <v>1</v>
      </c>
      <c r="D34" s="2" t="str">
        <f>Argument!D34</f>
        <v>r</v>
      </c>
      <c r="E34" s="2" t="str">
        <f t="shared" si="0"/>
        <v/>
      </c>
      <c r="F34" s="2" t="str">
        <f>IF(C34=0,ISTEXT(FORMULA.CONVERT("="&amp;A34&amp;"("&amp;REPLACE(REPT(",#ref!",B34),1,1,"")&amp;")()",1)),"")</f>
        <v/>
      </c>
      <c r="G34" s="2"/>
      <c r="H34" s="2">
        <f t="shared" si="1"/>
        <v>1</v>
      </c>
      <c r="I34" s="2">
        <f>TYPE(COLUMN(IF(1,1)))</f>
        <v>16</v>
      </c>
      <c r="J34" s="2" t="str">
        <f>IF(C34=0,COUNTIFS(A:A,A34,D:D,"a"),"")</f>
        <v/>
      </c>
      <c r="K34" s="2">
        <f>INDEX(+COLUMN(K34:L34),)</f>
        <v>10</v>
      </c>
      <c r="L34" s="1">
        <v>1</v>
      </c>
      <c r="M34" s="2" t="e">
        <f>INDEX(+COLUMN(INDIRECT(M34:N34)),)</f>
        <v>#REF!</v>
      </c>
    </row>
    <row r="35" spans="1:14" x14ac:dyDescent="0.55000000000000004">
      <c r="A35" s="1" t="s">
        <v>1473</v>
      </c>
      <c r="B35" s="2">
        <f>COUNTIF(A:A,A35)-1</f>
        <v>0</v>
      </c>
      <c r="C35" s="2">
        <f>COUNTIF(A$1:A35,A35)-1</f>
        <v>0</v>
      </c>
      <c r="D35" s="2" t="str">
        <f>Argument!D35</f>
        <v/>
      </c>
      <c r="E35" s="2" t="str">
        <f t="shared" si="0"/>
        <v>v</v>
      </c>
      <c r="F35" s="2" t="b">
        <f>IF(C35=0,ISTEXT(FORMULA.CONVERT("="&amp;A35&amp;"("&amp;REPLACE(REPT(",#ref!",B35),1,1,"")&amp;")()",1)),"")</f>
        <v>0</v>
      </c>
      <c r="G35" s="2"/>
      <c r="H35" s="2" t="str">
        <f t="shared" si="1"/>
        <v/>
      </c>
      <c r="I35" s="2">
        <f>TYPE(NA())</f>
        <v>16</v>
      </c>
      <c r="J35" s="2">
        <f>IF(C35=0,COUNTIFS(A:A,A35,D:D,"a"),"")</f>
        <v>0</v>
      </c>
      <c r="K35" s="2"/>
      <c r="M35" s="2"/>
    </row>
    <row r="36" spans="1:14" x14ac:dyDescent="0.55000000000000004">
      <c r="A36" s="1" t="s">
        <v>1495</v>
      </c>
      <c r="B36" s="2">
        <f>COUNTIF(A:A,A36)-1</f>
        <v>4</v>
      </c>
      <c r="C36" s="2">
        <f>COUNTIF(A$1:A36,A36)-1</f>
        <v>0</v>
      </c>
      <c r="D36" s="2" t="str">
        <f>Argument!D36</f>
        <v/>
      </c>
      <c r="E36" s="2" t="str">
        <f t="shared" si="0"/>
        <v>v</v>
      </c>
      <c r="F36" s="2" t="b">
        <f>IF(C36=0,ISTEXT(FORMULA.CONVERT("="&amp;A36&amp;"("&amp;REPLACE(REPT(",#ref!",B36),1,1,"")&amp;")()",1)),"")</f>
        <v>0</v>
      </c>
      <c r="G36" s="2"/>
      <c r="H36" s="2" t="str">
        <f t="shared" si="1"/>
        <v/>
      </c>
      <c r="I36" s="2">
        <f>TYPE(NPV(IF(1,1),IF(1,1),IF(1,1),IF(1,1)))</f>
        <v>1</v>
      </c>
      <c r="J36" s="2">
        <f>IF(C36=0,COUNTIFS(A:A,A36,D:D,"a"),"")</f>
        <v>0</v>
      </c>
      <c r="K36" s="2"/>
      <c r="M36" s="2"/>
    </row>
    <row r="37" spans="1:14" x14ac:dyDescent="0.55000000000000004">
      <c r="A37" s="1" t="s">
        <v>1495</v>
      </c>
      <c r="B37" s="2">
        <f>COUNTIF(A:A,A37)-1</f>
        <v>4</v>
      </c>
      <c r="C37" s="2">
        <f>COUNTIF(A$1:A37,A37)-1</f>
        <v>1</v>
      </c>
      <c r="D37" s="2" t="str">
        <f>Argument!D37</f>
        <v>v</v>
      </c>
      <c r="E37" s="2" t="str">
        <f t="shared" si="0"/>
        <v/>
      </c>
      <c r="F37" s="2" t="str">
        <f>IF(C37=0,ISTEXT(FORMULA.CONVERT("="&amp;A37&amp;"("&amp;REPLACE(REPT(",#ref!",B37),1,1,"")&amp;")()",1)),"")</f>
        <v/>
      </c>
      <c r="G37" s="2">
        <f>TYPE(NPV({1},IF(1,1),IF(1,1),IF(1,1)))</f>
        <v>64</v>
      </c>
      <c r="H37" s="2" t="str">
        <f t="shared" si="1"/>
        <v/>
      </c>
      <c r="I37" s="2">
        <f>TYPE(NPV(IF(1,1),IF(1,1),IF(1,1),IF(1,1)))</f>
        <v>1</v>
      </c>
      <c r="J37" s="2" t="str">
        <f>IF(C37=0,COUNTIFS(A:A,A37,D:D,"a"),"")</f>
        <v/>
      </c>
      <c r="K37" s="2" t="e">
        <f>INDEX(+NPV(K37:L37,#REF!,#REF!,#REF!),)</f>
        <v>#REF!</v>
      </c>
      <c r="L37" s="1">
        <v>1</v>
      </c>
      <c r="M37" s="2" t="e">
        <f>INDEX(+NPV(INDIRECT(M37:N37),#REF!,#REF!,#REF!),)</f>
        <v>#REF!</v>
      </c>
      <c r="N37" s="1">
        <v>1</v>
      </c>
    </row>
    <row r="38" spans="1:14" x14ac:dyDescent="0.55000000000000004">
      <c r="A38" s="1" t="s">
        <v>1495</v>
      </c>
      <c r="B38" s="2">
        <f>COUNTIF(A:A,A38)-1</f>
        <v>4</v>
      </c>
      <c r="C38" s="2">
        <f>COUNTIF(A$1:A38,A38)-1</f>
        <v>2</v>
      </c>
      <c r="D38" s="2" t="str">
        <f>Argument!D38</f>
        <v>var</v>
      </c>
      <c r="E38" s="2" t="str">
        <f t="shared" si="0"/>
        <v/>
      </c>
      <c r="F38" s="2" t="str">
        <f>IF(C38=0,ISTEXT(FORMULA.CONVERT("="&amp;A38&amp;"("&amp;REPLACE(REPT(",#ref!",B38),1,1,"")&amp;")()",1)),"")</f>
        <v/>
      </c>
      <c r="G38" s="2">
        <f>TYPE(NPV(IF(1,1),{1},IF(1,1),IF(1,1)))</f>
        <v>1</v>
      </c>
      <c r="H38" s="2" t="str">
        <f t="shared" si="1"/>
        <v/>
      </c>
      <c r="I38" s="2">
        <f>TYPE(NPV(IF(1,1),IF(1,1),IF(1,1),IF(1,1)))</f>
        <v>1</v>
      </c>
      <c r="J38" s="2" t="str">
        <f>IF(C38=0,COUNTIFS(A:A,A38,D:D,"a"),"")</f>
        <v/>
      </c>
      <c r="K38" s="2" t="e">
        <f>INDEX(+NPV(#REF!,K38:L38,#REF!,#REF!),)</f>
        <v>#REF!</v>
      </c>
      <c r="L38" s="1">
        <v>1</v>
      </c>
      <c r="M38" s="2" t="e">
        <f>INDEX(+NPV(#REF!,INDIRECT(M38:N38),#REF!,#REF!),)</f>
        <v>#REF!</v>
      </c>
      <c r="N38" s="1">
        <v>1</v>
      </c>
    </row>
    <row r="39" spans="1:14" x14ac:dyDescent="0.55000000000000004">
      <c r="A39" s="1" t="s">
        <v>1495</v>
      </c>
      <c r="B39" s="2">
        <f>COUNTIF(A:A,A39)-1</f>
        <v>4</v>
      </c>
      <c r="C39" s="2">
        <f>COUNTIF(A$1:A39,A39)-1</f>
        <v>3</v>
      </c>
      <c r="D39" s="2" t="str">
        <f>Argument!D39</f>
        <v>var</v>
      </c>
      <c r="E39" s="2" t="str">
        <f t="shared" si="0"/>
        <v/>
      </c>
      <c r="F39" s="2" t="str">
        <f>IF(C39=0,ISTEXT(FORMULA.CONVERT("="&amp;A39&amp;"("&amp;REPLACE(REPT(",#ref!",B39),1,1,"")&amp;")()",1)),"")</f>
        <v/>
      </c>
      <c r="G39" s="2">
        <f>TYPE(NPV(IF(1,1),IF(1,1),{1},IF(1,1)))</f>
        <v>1</v>
      </c>
      <c r="H39" s="2" t="str">
        <f t="shared" si="1"/>
        <v/>
      </c>
      <c r="I39" s="2">
        <f>TYPE(NPV(IF(1,1),IF(1,1),IF(1,1),IF(1,1)))</f>
        <v>1</v>
      </c>
      <c r="J39" s="2" t="str">
        <f>IF(C39=0,COUNTIFS(A:A,A39,D:D,"a"),"")</f>
        <v/>
      </c>
      <c r="K39" s="2" t="e">
        <f>INDEX(+NPV(#REF!,#REF!,K39:L39,#REF!),)</f>
        <v>#REF!</v>
      </c>
      <c r="L39" s="1">
        <v>1</v>
      </c>
      <c r="M39" s="2" t="e">
        <f>INDEX(+NPV(#REF!,#REF!,INDIRECT(M39:N39),#REF!),)</f>
        <v>#REF!</v>
      </c>
      <c r="N39" s="1">
        <v>1</v>
      </c>
    </row>
    <row r="40" spans="1:14" x14ac:dyDescent="0.55000000000000004">
      <c r="A40" s="1" t="s">
        <v>1495</v>
      </c>
      <c r="B40" s="2">
        <f>COUNTIF(A:A,A40)-1</f>
        <v>4</v>
      </c>
      <c r="C40" s="2">
        <f>COUNTIF(A$1:A40,A40)-1</f>
        <v>4</v>
      </c>
      <c r="D40" s="2" t="str">
        <f>Argument!D40</f>
        <v>var</v>
      </c>
      <c r="E40" s="2" t="str">
        <f t="shared" si="0"/>
        <v/>
      </c>
      <c r="F40" s="2" t="str">
        <f>IF(C40=0,ISTEXT(FORMULA.CONVERT("="&amp;A40&amp;"("&amp;REPLACE(REPT(",#ref!",B40),1,1,"")&amp;")()",1)),"")</f>
        <v/>
      </c>
      <c r="G40" s="2">
        <f>TYPE(NPV(IF(1,1),IF(1,1),IF(1,1),{1}))</f>
        <v>1</v>
      </c>
      <c r="H40" s="2" t="str">
        <f t="shared" si="1"/>
        <v/>
      </c>
      <c r="I40" s="2">
        <f>TYPE(NPV(IF(1,1),IF(1,1),IF(1,1),IF(1,1)))</f>
        <v>1</v>
      </c>
      <c r="J40" s="2" t="str">
        <f>IF(C40=0,COUNTIFS(A:A,A40,D:D,"a"),"")</f>
        <v/>
      </c>
      <c r="K40" s="2" t="e">
        <f>INDEX(+NPV(#REF!,#REF!,#REF!,K40:L40),)</f>
        <v>#REF!</v>
      </c>
      <c r="L40" s="1">
        <v>1</v>
      </c>
      <c r="M40" s="2" t="e">
        <f>INDEX(+NPV(#REF!,#REF!,#REF!,INDIRECT(M40:N40)),)</f>
        <v>#REF!</v>
      </c>
      <c r="N40" s="1">
        <v>1</v>
      </c>
    </row>
    <row r="41" spans="1:14" x14ac:dyDescent="0.55000000000000004">
      <c r="A41" s="1" t="s">
        <v>1496</v>
      </c>
      <c r="B41" s="2">
        <f>COUNTIF(A:A,A41)-1</f>
        <v>3</v>
      </c>
      <c r="C41" s="2">
        <f>COUNTIF(A$1:A41,A41)-1</f>
        <v>0</v>
      </c>
      <c r="D41" s="2" t="str">
        <f>Argument!D41</f>
        <v/>
      </c>
      <c r="E41" s="2" t="str">
        <f t="shared" si="0"/>
        <v>v</v>
      </c>
      <c r="F41" s="2" t="b">
        <f>IF(C41=0,ISTEXT(FORMULA.CONVERT("="&amp;A41&amp;"("&amp;REPLACE(REPT(",#ref!",B41),1,1,"")&amp;")()",1)),"")</f>
        <v>0</v>
      </c>
      <c r="G41" s="2"/>
      <c r="H41" s="2" t="str">
        <f t="shared" si="1"/>
        <v/>
      </c>
      <c r="I41" s="2">
        <f>TYPE(STDEV(IF(1,1),IF(1,1),IF(1,1)))</f>
        <v>1</v>
      </c>
      <c r="J41" s="2">
        <f>IF(C41=0,COUNTIFS(A:A,A41,D:D,"a"),"")</f>
        <v>0</v>
      </c>
      <c r="K41" s="2"/>
      <c r="M41" s="2"/>
    </row>
    <row r="42" spans="1:14" x14ac:dyDescent="0.55000000000000004">
      <c r="A42" s="1" t="s">
        <v>1496</v>
      </c>
      <c r="B42" s="2">
        <f>COUNTIF(A:A,A42)-1</f>
        <v>3</v>
      </c>
      <c r="C42" s="2">
        <f>COUNTIF(A$1:A42,A42)-1</f>
        <v>1</v>
      </c>
      <c r="D42" s="2" t="str">
        <f>Argument!D42</f>
        <v>var</v>
      </c>
      <c r="E42" s="2" t="str">
        <f t="shared" si="0"/>
        <v/>
      </c>
      <c r="F42" s="2" t="str">
        <f>IF(C42=0,ISTEXT(FORMULA.CONVERT("="&amp;A42&amp;"("&amp;REPLACE(REPT(",#ref!",B42),1,1,"")&amp;")()",1)),"")</f>
        <v/>
      </c>
      <c r="G42" s="2">
        <f>TYPE(STDEV({1},IF(1,1),IF(1,1)))</f>
        <v>1</v>
      </c>
      <c r="H42" s="2" t="str">
        <f t="shared" si="1"/>
        <v/>
      </c>
      <c r="I42" s="2">
        <f>TYPE(STDEV(IF(1,1),IF(1,1),IF(1,1)))</f>
        <v>1</v>
      </c>
      <c r="J42" s="2" t="str">
        <f>IF(C42=0,COUNTIFS(A:A,A42,D:D,"a"),"")</f>
        <v/>
      </c>
      <c r="K42" s="2" t="e">
        <f>INDEX(+STDEV(K42:L42,#REF!,#REF!),)</f>
        <v>#REF!</v>
      </c>
      <c r="L42" s="1">
        <v>1</v>
      </c>
      <c r="M42" s="2" t="e">
        <f>INDEX(+STDEV(INDIRECT(M42:N42),#REF!,#REF!),)</f>
        <v>#REF!</v>
      </c>
      <c r="N42" s="1">
        <v>1</v>
      </c>
    </row>
    <row r="43" spans="1:14" x14ac:dyDescent="0.55000000000000004">
      <c r="A43" s="1" t="s">
        <v>1496</v>
      </c>
      <c r="B43" s="2">
        <f>COUNTIF(A:A,A43)-1</f>
        <v>3</v>
      </c>
      <c r="C43" s="2">
        <f>COUNTIF(A$1:A43,A43)-1</f>
        <v>2</v>
      </c>
      <c r="D43" s="2" t="str">
        <f>Argument!D43</f>
        <v>var</v>
      </c>
      <c r="E43" s="2" t="str">
        <f t="shared" si="0"/>
        <v/>
      </c>
      <c r="F43" s="2" t="str">
        <f>IF(C43=0,ISTEXT(FORMULA.CONVERT("="&amp;A43&amp;"("&amp;REPLACE(REPT(",#ref!",B43),1,1,"")&amp;")()",1)),"")</f>
        <v/>
      </c>
      <c r="G43" s="2">
        <f>TYPE(STDEV(IF(1,1),{1},IF(1,1)))</f>
        <v>1</v>
      </c>
      <c r="H43" s="2" t="str">
        <f t="shared" si="1"/>
        <v/>
      </c>
      <c r="I43" s="2">
        <f>TYPE(STDEV(IF(1,1),IF(1,1),IF(1,1)))</f>
        <v>1</v>
      </c>
      <c r="J43" s="2" t="str">
        <f>IF(C43=0,COUNTIFS(A:A,A43,D:D,"a"),"")</f>
        <v/>
      </c>
      <c r="K43" s="2" t="e">
        <f>INDEX(+STDEV(#REF!,K43:L43,#REF!),)</f>
        <v>#REF!</v>
      </c>
      <c r="L43" s="1">
        <v>1</v>
      </c>
      <c r="M43" s="2" t="e">
        <f>INDEX(+STDEV(#REF!,INDIRECT(M43:N43),#REF!),)</f>
        <v>#REF!</v>
      </c>
      <c r="N43" s="1">
        <v>1</v>
      </c>
    </row>
    <row r="44" spans="1:14" x14ac:dyDescent="0.55000000000000004">
      <c r="A44" s="1" t="s">
        <v>1496</v>
      </c>
      <c r="B44" s="2">
        <f>COUNTIF(A:A,A44)-1</f>
        <v>3</v>
      </c>
      <c r="C44" s="2">
        <f>COUNTIF(A$1:A44,A44)-1</f>
        <v>3</v>
      </c>
      <c r="D44" s="2" t="str">
        <f>Argument!D44</f>
        <v>var</v>
      </c>
      <c r="E44" s="2" t="str">
        <f t="shared" si="0"/>
        <v/>
      </c>
      <c r="F44" s="2" t="str">
        <f>IF(C44=0,ISTEXT(FORMULA.CONVERT("="&amp;A44&amp;"("&amp;REPLACE(REPT(",#ref!",B44),1,1,"")&amp;")()",1)),"")</f>
        <v/>
      </c>
      <c r="G44" s="2">
        <f>TYPE(STDEV(IF(1,1),IF(1,1),{1}))</f>
        <v>1</v>
      </c>
      <c r="H44" s="2" t="str">
        <f t="shared" si="1"/>
        <v/>
      </c>
      <c r="I44" s="2">
        <f>TYPE(STDEV(IF(1,1),IF(1,1),IF(1,1)))</f>
        <v>1</v>
      </c>
      <c r="J44" s="2" t="str">
        <f>IF(C44=0,COUNTIFS(A:A,A44,D:D,"a"),"")</f>
        <v/>
      </c>
      <c r="K44" s="2" t="e">
        <f>INDEX(+STDEV(#REF!,#REF!,K44:L44),)</f>
        <v>#REF!</v>
      </c>
      <c r="L44" s="1">
        <v>1</v>
      </c>
      <c r="M44" s="2" t="e">
        <f>INDEX(+STDEV(#REF!,#REF!,INDIRECT(M44:N44)),)</f>
        <v>#REF!</v>
      </c>
      <c r="N44" s="1">
        <v>1</v>
      </c>
    </row>
    <row r="45" spans="1:14" x14ac:dyDescent="0.55000000000000004">
      <c r="A45" s="1" t="s">
        <v>1497</v>
      </c>
      <c r="B45" s="2">
        <f>COUNTIF(A:A,A45)-1</f>
        <v>2</v>
      </c>
      <c r="C45" s="2">
        <f>COUNTIF(A$1:A45,A45)-1</f>
        <v>0</v>
      </c>
      <c r="D45" s="2" t="str">
        <f>Argument!D45</f>
        <v/>
      </c>
      <c r="E45" s="2" t="str">
        <f t="shared" si="0"/>
        <v>v</v>
      </c>
      <c r="F45" s="2" t="b">
        <f>IF(C45=0,ISTEXT(FORMULA.CONVERT("="&amp;A45&amp;"("&amp;REPLACE(REPT(",#ref!",B45),1,1,"")&amp;")()",1)),"")</f>
        <v>0</v>
      </c>
      <c r="G45" s="2"/>
      <c r="H45" s="2" t="str">
        <f t="shared" si="1"/>
        <v/>
      </c>
      <c r="I45" s="2">
        <f>TYPE(DOLLAR(IF(1,1),IF(1,1)))</f>
        <v>2</v>
      </c>
      <c r="J45" s="2">
        <f>IF(C45=0,COUNTIFS(A:A,A45,D:D,"a"),"")</f>
        <v>0</v>
      </c>
      <c r="K45" s="2"/>
      <c r="M45" s="2"/>
    </row>
    <row r="46" spans="1:14" x14ac:dyDescent="0.55000000000000004">
      <c r="A46" s="1" t="s">
        <v>1497</v>
      </c>
      <c r="B46" s="2">
        <f>COUNTIF(A:A,A46)-1</f>
        <v>2</v>
      </c>
      <c r="C46" s="2">
        <f>COUNTIF(A$1:A46,A46)-1</f>
        <v>1</v>
      </c>
      <c r="D46" s="2" t="str">
        <f>Argument!D46</f>
        <v>v</v>
      </c>
      <c r="E46" s="2" t="str">
        <f t="shared" si="0"/>
        <v/>
      </c>
      <c r="F46" s="2" t="str">
        <f>IF(C46=0,ISTEXT(FORMULA.CONVERT("="&amp;A46&amp;"("&amp;REPLACE(REPT(",#ref!",B46),1,1,"")&amp;")()",1)),"")</f>
        <v/>
      </c>
      <c r="G46" s="2">
        <f>TYPE(DOLLAR({1},IF(1,1)))</f>
        <v>64</v>
      </c>
      <c r="H46" s="2" t="str">
        <f t="shared" si="1"/>
        <v/>
      </c>
      <c r="I46" s="2">
        <f>TYPE(DOLLAR(IF(1,1),IF(1,1)))</f>
        <v>2</v>
      </c>
      <c r="J46" s="2" t="str">
        <f>IF(C46=0,COUNTIFS(A:A,A46,D:D,"a"),"")</f>
        <v/>
      </c>
      <c r="K46" s="2" t="e">
        <f>INDEX(+DOLLAR(K46:L46,#REF!),)</f>
        <v>#REF!</v>
      </c>
      <c r="L46" s="1">
        <v>1</v>
      </c>
      <c r="M46" s="2" t="e">
        <f>INDEX(+DOLLAR(INDIRECT(M46:N46),#REF!),)</f>
        <v>#REF!</v>
      </c>
      <c r="N46" s="1">
        <v>1</v>
      </c>
    </row>
    <row r="47" spans="1:14" x14ac:dyDescent="0.55000000000000004">
      <c r="A47" s="1" t="s">
        <v>1497</v>
      </c>
      <c r="B47" s="2">
        <f>COUNTIF(A:A,A47)-1</f>
        <v>2</v>
      </c>
      <c r="C47" s="2">
        <f>COUNTIF(A$1:A47,A47)-1</f>
        <v>2</v>
      </c>
      <c r="D47" s="2" t="str">
        <f>Argument!D47</f>
        <v>v</v>
      </c>
      <c r="E47" s="2" t="str">
        <f t="shared" si="0"/>
        <v/>
      </c>
      <c r="F47" s="2" t="str">
        <f>IF(C47=0,ISTEXT(FORMULA.CONVERT("="&amp;A47&amp;"("&amp;REPLACE(REPT(",#ref!",B47),1,1,"")&amp;")()",1)),"")</f>
        <v/>
      </c>
      <c r="G47" s="2">
        <f>TYPE(DOLLAR(IF(1,1),{1}))</f>
        <v>64</v>
      </c>
      <c r="H47" s="2" t="str">
        <f t="shared" si="1"/>
        <v/>
      </c>
      <c r="I47" s="2">
        <f>TYPE(DOLLAR(IF(1,1),IF(1,1)))</f>
        <v>2</v>
      </c>
      <c r="J47" s="2" t="str">
        <f>IF(C47=0,COUNTIFS(A:A,A47,D:D,"a"),"")</f>
        <v/>
      </c>
      <c r="K47" s="2" t="e">
        <f>INDEX(+DOLLAR(#REF!,K47:L47),)</f>
        <v>#REF!</v>
      </c>
      <c r="L47" s="1">
        <v>1</v>
      </c>
      <c r="M47" s="2" t="e">
        <f>INDEX(+DOLLAR(#REF!,INDIRECT(M47:N47)),)</f>
        <v>#REF!</v>
      </c>
      <c r="N47" s="1">
        <v>1</v>
      </c>
    </row>
    <row r="48" spans="1:14" x14ac:dyDescent="0.55000000000000004">
      <c r="A48" s="1" t="s">
        <v>1498</v>
      </c>
      <c r="B48" s="2">
        <f>COUNTIF(A:A,A48)-1</f>
        <v>3</v>
      </c>
      <c r="C48" s="2">
        <f>COUNTIF(A$1:A48,A48)-1</f>
        <v>0</v>
      </c>
      <c r="D48" s="2" t="str">
        <f>Argument!D48</f>
        <v/>
      </c>
      <c r="E48" s="2" t="str">
        <f t="shared" si="0"/>
        <v>v</v>
      </c>
      <c r="F48" s="2" t="b">
        <f>IF(C48=0,ISTEXT(FORMULA.CONVERT("="&amp;A48&amp;"("&amp;REPLACE(REPT(",#ref!",B48),1,1,"")&amp;")()",1)),"")</f>
        <v>0</v>
      </c>
      <c r="G48" s="2"/>
      <c r="H48" s="2" t="str">
        <f t="shared" si="1"/>
        <v/>
      </c>
      <c r="I48" s="2">
        <f>TYPE(FIXED(IF(1,1),IF(1,1),IF(1,1)))</f>
        <v>2</v>
      </c>
      <c r="J48" s="2">
        <f>IF(C48=0,COUNTIFS(A:A,A48,D:D,"a"),"")</f>
        <v>0</v>
      </c>
      <c r="K48" s="2"/>
      <c r="M48" s="2"/>
    </row>
    <row r="49" spans="1:14" x14ac:dyDescent="0.55000000000000004">
      <c r="A49" s="1" t="s">
        <v>1498</v>
      </c>
      <c r="B49" s="2">
        <f>COUNTIF(A:A,A49)-1</f>
        <v>3</v>
      </c>
      <c r="C49" s="2">
        <f>COUNTIF(A$1:A49,A49)-1</f>
        <v>1</v>
      </c>
      <c r="D49" s="2" t="str">
        <f>Argument!D49</f>
        <v>v</v>
      </c>
      <c r="E49" s="2" t="str">
        <f t="shared" si="0"/>
        <v/>
      </c>
      <c r="F49" s="2" t="str">
        <f>IF(C49=0,ISTEXT(FORMULA.CONVERT("="&amp;A49&amp;"("&amp;REPLACE(REPT(",#ref!",B49),1,1,"")&amp;")()",1)),"")</f>
        <v/>
      </c>
      <c r="G49" s="2">
        <f>TYPE(FIXED({1},IF(1,1),IF(1,1)))</f>
        <v>64</v>
      </c>
      <c r="H49" s="2" t="str">
        <f t="shared" si="1"/>
        <v/>
      </c>
      <c r="I49" s="2">
        <f>TYPE(FIXED(IF(1,1),IF(1,1),IF(1,1)))</f>
        <v>2</v>
      </c>
      <c r="J49" s="2" t="str">
        <f>IF(C49=0,COUNTIFS(A:A,A49,D:D,"a"),"")</f>
        <v/>
      </c>
      <c r="K49" s="2" t="e">
        <f>INDEX(+FIXED(K49:L49,#REF!,#REF!),)</f>
        <v>#REF!</v>
      </c>
      <c r="L49" s="1">
        <v>1</v>
      </c>
      <c r="M49" s="2" t="e">
        <f>INDEX(+FIXED(INDIRECT(M49:N49),#REF!,#REF!),)</f>
        <v>#REF!</v>
      </c>
      <c r="N49" s="1">
        <v>1</v>
      </c>
    </row>
    <row r="50" spans="1:14" x14ac:dyDescent="0.55000000000000004">
      <c r="A50" s="1" t="s">
        <v>1498</v>
      </c>
      <c r="B50" s="2">
        <f>COUNTIF(A:A,A50)-1</f>
        <v>3</v>
      </c>
      <c r="C50" s="2">
        <f>COUNTIF(A$1:A50,A50)-1</f>
        <v>2</v>
      </c>
      <c r="D50" s="2" t="str">
        <f>Argument!D50</f>
        <v>v</v>
      </c>
      <c r="E50" s="2" t="str">
        <f t="shared" si="0"/>
        <v/>
      </c>
      <c r="F50" s="2" t="str">
        <f>IF(C50=0,ISTEXT(FORMULA.CONVERT("="&amp;A50&amp;"("&amp;REPLACE(REPT(",#ref!",B50),1,1,"")&amp;")()",1)),"")</f>
        <v/>
      </c>
      <c r="G50" s="2">
        <f>TYPE(FIXED(IF(1,1),{1},IF(1,1)))</f>
        <v>64</v>
      </c>
      <c r="H50" s="2" t="str">
        <f t="shared" si="1"/>
        <v/>
      </c>
      <c r="I50" s="2">
        <f>TYPE(FIXED(IF(1,1),IF(1,1),IF(1,1)))</f>
        <v>2</v>
      </c>
      <c r="J50" s="2" t="str">
        <f>IF(C50=0,COUNTIFS(A:A,A50,D:D,"a"),"")</f>
        <v/>
      </c>
      <c r="K50" s="2" t="e">
        <f>INDEX(+FIXED(#REF!,K50:L50,#REF!),)</f>
        <v>#REF!</v>
      </c>
      <c r="L50" s="1">
        <v>1</v>
      </c>
      <c r="M50" s="2" t="e">
        <f>INDEX(+FIXED(#REF!,INDIRECT(M50:N50),#REF!),)</f>
        <v>#REF!</v>
      </c>
      <c r="N50" s="1">
        <v>1</v>
      </c>
    </row>
    <row r="51" spans="1:14" x14ac:dyDescent="0.55000000000000004">
      <c r="A51" s="1" t="s">
        <v>1498</v>
      </c>
      <c r="B51" s="2">
        <f>COUNTIF(A:A,A51)-1</f>
        <v>3</v>
      </c>
      <c r="C51" s="2">
        <f>COUNTIF(A$1:A51,A51)-1</f>
        <v>3</v>
      </c>
      <c r="D51" s="2" t="str">
        <f>Argument!D51</f>
        <v>v</v>
      </c>
      <c r="E51" s="2" t="str">
        <f t="shared" si="0"/>
        <v/>
      </c>
      <c r="F51" s="2" t="str">
        <f>IF(C51=0,ISTEXT(FORMULA.CONVERT("="&amp;A51&amp;"("&amp;REPLACE(REPT(",#ref!",B51),1,1,"")&amp;")()",1)),"")</f>
        <v/>
      </c>
      <c r="G51" s="2">
        <f>TYPE(FIXED(IF(1,1),IF(1,1),{1}))</f>
        <v>64</v>
      </c>
      <c r="H51" s="2" t="str">
        <f t="shared" si="1"/>
        <v/>
      </c>
      <c r="I51" s="2">
        <f>TYPE(FIXED(IF(1,1),IF(1,1),IF(1,1)))</f>
        <v>2</v>
      </c>
      <c r="J51" s="2" t="str">
        <f>IF(C51=0,COUNTIFS(A:A,A51,D:D,"a"),"")</f>
        <v/>
      </c>
      <c r="K51" s="2" t="e">
        <f>INDEX(+FIXED(#REF!,#REF!,K51:L51),)</f>
        <v>#REF!</v>
      </c>
      <c r="L51" s="1">
        <v>1</v>
      </c>
      <c r="M51" s="2" t="e">
        <f>INDEX(+FIXED(#REF!,#REF!,INDIRECT(M51:N51)),)</f>
        <v>#REF!</v>
      </c>
      <c r="N51" s="1">
        <v>1</v>
      </c>
    </row>
    <row r="52" spans="1:14" x14ac:dyDescent="0.55000000000000004">
      <c r="A52" s="1" t="s">
        <v>1499</v>
      </c>
      <c r="B52" s="2">
        <f>COUNTIF(A:A,A52)-1</f>
        <v>1</v>
      </c>
      <c r="C52" s="2">
        <f>COUNTIF(A$1:A52,A52)-1</f>
        <v>0</v>
      </c>
      <c r="D52" s="2" t="str">
        <f>Argument!D52</f>
        <v/>
      </c>
      <c r="E52" s="2" t="str">
        <f t="shared" si="0"/>
        <v>v</v>
      </c>
      <c r="F52" s="2" t="b">
        <f>IF(C52=0,ISTEXT(FORMULA.CONVERT("="&amp;A52&amp;"("&amp;REPLACE(REPT(",#ref!",B52),1,1,"")&amp;")()",1)),"")</f>
        <v>0</v>
      </c>
      <c r="G52" s="2"/>
      <c r="H52" s="2" t="str">
        <f t="shared" si="1"/>
        <v/>
      </c>
      <c r="I52" s="2">
        <f>TYPE(SIN(IF(1,1)))</f>
        <v>1</v>
      </c>
      <c r="J52" s="2">
        <f>IF(C52=0,COUNTIFS(A:A,A52,D:D,"a"),"")</f>
        <v>0</v>
      </c>
      <c r="K52" s="2"/>
      <c r="M52" s="2"/>
    </row>
    <row r="53" spans="1:14" x14ac:dyDescent="0.55000000000000004">
      <c r="A53" s="1" t="s">
        <v>1499</v>
      </c>
      <c r="B53" s="2">
        <f>COUNTIF(A:A,A53)-1</f>
        <v>1</v>
      </c>
      <c r="C53" s="2">
        <f>COUNTIF(A$1:A53,A53)-1</f>
        <v>1</v>
      </c>
      <c r="D53" s="2" t="str">
        <f>Argument!D53</f>
        <v>v</v>
      </c>
      <c r="E53" s="2" t="str">
        <f t="shared" si="0"/>
        <v/>
      </c>
      <c r="F53" s="2" t="str">
        <f>IF(C53=0,ISTEXT(FORMULA.CONVERT("="&amp;A53&amp;"("&amp;REPLACE(REPT(",#ref!",B53),1,1,"")&amp;")()",1)),"")</f>
        <v/>
      </c>
      <c r="G53" s="2">
        <f>TYPE(SIN({1}))</f>
        <v>64</v>
      </c>
      <c r="H53" s="2" t="str">
        <f t="shared" si="1"/>
        <v/>
      </c>
      <c r="I53" s="2">
        <f>TYPE(SIN(IF(1,1)))</f>
        <v>1</v>
      </c>
      <c r="J53" s="2" t="str">
        <f>IF(C53=0,COUNTIFS(A:A,A53,D:D,"a"),"")</f>
        <v/>
      </c>
      <c r="K53" s="2">
        <f>INDEX(+SIN(K53:L53),)</f>
        <v>0</v>
      </c>
      <c r="L53" s="1">
        <v>1</v>
      </c>
      <c r="M53" s="2" t="e">
        <f>INDEX(+SIN(INDIRECT(M53:N53)),)</f>
        <v>#REF!</v>
      </c>
      <c r="N53" s="1">
        <v>1</v>
      </c>
    </row>
    <row r="54" spans="1:14" x14ac:dyDescent="0.55000000000000004">
      <c r="A54" s="1" t="s">
        <v>1500</v>
      </c>
      <c r="B54" s="2">
        <f>COUNTIF(A:A,A54)-1</f>
        <v>1</v>
      </c>
      <c r="C54" s="2">
        <f>COUNTIF(A$1:A54,A54)-1</f>
        <v>0</v>
      </c>
      <c r="D54" s="2" t="str">
        <f>Argument!D54</f>
        <v/>
      </c>
      <c r="E54" s="2" t="str">
        <f t="shared" si="0"/>
        <v>v</v>
      </c>
      <c r="F54" s="2" t="b">
        <f>IF(C54=0,ISTEXT(FORMULA.CONVERT("="&amp;A54&amp;"("&amp;REPLACE(REPT(",#ref!",B54),1,1,"")&amp;")()",1)),"")</f>
        <v>0</v>
      </c>
      <c r="G54" s="2"/>
      <c r="H54" s="2" t="str">
        <f t="shared" si="1"/>
        <v/>
      </c>
      <c r="I54" s="2">
        <f>TYPE(COS(IF(1,1)))</f>
        <v>1</v>
      </c>
      <c r="J54" s="2">
        <f>IF(C54=0,COUNTIFS(A:A,A54,D:D,"a"),"")</f>
        <v>0</v>
      </c>
      <c r="K54" s="2"/>
      <c r="M54" s="2"/>
    </row>
    <row r="55" spans="1:14" x14ac:dyDescent="0.55000000000000004">
      <c r="A55" s="1" t="s">
        <v>1500</v>
      </c>
      <c r="B55" s="2">
        <f>COUNTIF(A:A,A55)-1</f>
        <v>1</v>
      </c>
      <c r="C55" s="2">
        <f>COUNTIF(A$1:A55,A55)-1</f>
        <v>1</v>
      </c>
      <c r="D55" s="2" t="str">
        <f>Argument!D55</f>
        <v>v</v>
      </c>
      <c r="E55" s="2" t="str">
        <f t="shared" si="0"/>
        <v/>
      </c>
      <c r="F55" s="2" t="str">
        <f>IF(C55=0,ISTEXT(FORMULA.CONVERT("="&amp;A55&amp;"("&amp;REPLACE(REPT(",#ref!",B55),1,1,"")&amp;")()",1)),"")</f>
        <v/>
      </c>
      <c r="G55" s="2">
        <f>TYPE(COS({1}))</f>
        <v>64</v>
      </c>
      <c r="H55" s="2" t="str">
        <f t="shared" si="1"/>
        <v/>
      </c>
      <c r="I55" s="2">
        <f>TYPE(COS(IF(1,1)))</f>
        <v>1</v>
      </c>
      <c r="J55" s="2" t="str">
        <f>IF(C55=0,COUNTIFS(A:A,A55,D:D,"a"),"")</f>
        <v/>
      </c>
      <c r="K55" s="2">
        <f>INDEX(+COS(K55:L55),)</f>
        <v>1</v>
      </c>
      <c r="L55" s="1">
        <v>1</v>
      </c>
      <c r="M55" s="2" t="e">
        <f>INDEX(+COS(INDIRECT(M55:N55)),)</f>
        <v>#REF!</v>
      </c>
      <c r="N55" s="1">
        <v>1</v>
      </c>
    </row>
    <row r="56" spans="1:14" x14ac:dyDescent="0.55000000000000004">
      <c r="A56" s="1" t="s">
        <v>1501</v>
      </c>
      <c r="B56" s="2">
        <f>COUNTIF(A:A,A56)-1</f>
        <v>1</v>
      </c>
      <c r="C56" s="2">
        <f>COUNTIF(A$1:A56,A56)-1</f>
        <v>0</v>
      </c>
      <c r="D56" s="2" t="str">
        <f>Argument!D56</f>
        <v/>
      </c>
      <c r="E56" s="2" t="str">
        <f t="shared" si="0"/>
        <v>v</v>
      </c>
      <c r="F56" s="2" t="b">
        <f>IF(C56=0,ISTEXT(FORMULA.CONVERT("="&amp;A56&amp;"("&amp;REPLACE(REPT(",#ref!",B56),1,1,"")&amp;")()",1)),"")</f>
        <v>0</v>
      </c>
      <c r="G56" s="2"/>
      <c r="H56" s="2" t="str">
        <f t="shared" si="1"/>
        <v/>
      </c>
      <c r="I56" s="2">
        <f>TYPE(TAN(IF(1,1)))</f>
        <v>1</v>
      </c>
      <c r="J56" s="2">
        <f>IF(C56=0,COUNTIFS(A:A,A56,D:D,"a"),"")</f>
        <v>0</v>
      </c>
      <c r="K56" s="2"/>
      <c r="M56" s="2"/>
    </row>
    <row r="57" spans="1:14" x14ac:dyDescent="0.55000000000000004">
      <c r="A57" s="1" t="s">
        <v>1501</v>
      </c>
      <c r="B57" s="2">
        <f>COUNTIF(A:A,A57)-1</f>
        <v>1</v>
      </c>
      <c r="C57" s="2">
        <f>COUNTIF(A$1:A57,A57)-1</f>
        <v>1</v>
      </c>
      <c r="D57" s="2" t="str">
        <f>Argument!D57</f>
        <v>v</v>
      </c>
      <c r="E57" s="2" t="str">
        <f t="shared" si="0"/>
        <v/>
      </c>
      <c r="F57" s="2" t="str">
        <f>IF(C57=0,ISTEXT(FORMULA.CONVERT("="&amp;A57&amp;"("&amp;REPLACE(REPT(",#ref!",B57),1,1,"")&amp;")()",1)),"")</f>
        <v/>
      </c>
      <c r="G57" s="2">
        <f>TYPE(TAN({1}))</f>
        <v>64</v>
      </c>
      <c r="H57" s="2" t="str">
        <f t="shared" si="1"/>
        <v/>
      </c>
      <c r="I57" s="2">
        <f>TYPE(TAN(IF(1,1)))</f>
        <v>1</v>
      </c>
      <c r="J57" s="2" t="str">
        <f>IF(C57=0,COUNTIFS(A:A,A57,D:D,"a"),"")</f>
        <v/>
      </c>
      <c r="K57" s="2">
        <f>INDEX(+TAN(K57:L57),)</f>
        <v>0</v>
      </c>
      <c r="L57" s="1">
        <v>1</v>
      </c>
      <c r="M57" s="2" t="e">
        <f>INDEX(+TAN(INDIRECT(M57:N57)),)</f>
        <v>#REF!</v>
      </c>
      <c r="N57" s="1">
        <v>1</v>
      </c>
    </row>
    <row r="58" spans="1:14" x14ac:dyDescent="0.55000000000000004">
      <c r="A58" s="1" t="s">
        <v>1502</v>
      </c>
      <c r="B58" s="2">
        <f>COUNTIF(A:A,A58)-1</f>
        <v>1</v>
      </c>
      <c r="C58" s="2">
        <f>COUNTIF(A$1:A58,A58)-1</f>
        <v>0</v>
      </c>
      <c r="D58" s="2" t="str">
        <f>Argument!D58</f>
        <v/>
      </c>
      <c r="E58" s="2" t="str">
        <f t="shared" si="0"/>
        <v>v</v>
      </c>
      <c r="F58" s="2" t="b">
        <f>IF(C58=0,ISTEXT(FORMULA.CONVERT("="&amp;A58&amp;"("&amp;REPLACE(REPT(",#ref!",B58),1,1,"")&amp;")()",1)),"")</f>
        <v>0</v>
      </c>
      <c r="G58" s="2"/>
      <c r="H58" s="2" t="str">
        <f t="shared" si="1"/>
        <v/>
      </c>
      <c r="I58" s="2">
        <f>TYPE(ATAN(IF(1,1)))</f>
        <v>1</v>
      </c>
      <c r="J58" s="2">
        <f>IF(C58=0,COUNTIFS(A:A,A58,D:D,"a"),"")</f>
        <v>0</v>
      </c>
      <c r="K58" s="2"/>
      <c r="M58" s="2"/>
    </row>
    <row r="59" spans="1:14" x14ac:dyDescent="0.55000000000000004">
      <c r="A59" s="1" t="s">
        <v>1502</v>
      </c>
      <c r="B59" s="2">
        <f>COUNTIF(A:A,A59)-1</f>
        <v>1</v>
      </c>
      <c r="C59" s="2">
        <f>COUNTIF(A$1:A59,A59)-1</f>
        <v>1</v>
      </c>
      <c r="D59" s="2" t="str">
        <f>Argument!D59</f>
        <v>v</v>
      </c>
      <c r="E59" s="2" t="str">
        <f t="shared" si="0"/>
        <v/>
      </c>
      <c r="F59" s="2" t="str">
        <f>IF(C59=0,ISTEXT(FORMULA.CONVERT("="&amp;A59&amp;"("&amp;REPLACE(REPT(",#ref!",B59),1,1,"")&amp;")()",1)),"")</f>
        <v/>
      </c>
      <c r="G59" s="2">
        <f>TYPE(ATAN({1}))</f>
        <v>64</v>
      </c>
      <c r="H59" s="2" t="str">
        <f t="shared" si="1"/>
        <v/>
      </c>
      <c r="I59" s="2">
        <f>TYPE(ATAN(IF(1,1)))</f>
        <v>1</v>
      </c>
      <c r="J59" s="2" t="str">
        <f>IF(C59=0,COUNTIFS(A:A,A59,D:D,"a"),"")</f>
        <v/>
      </c>
      <c r="K59" s="2">
        <f>INDEX(+ATAN(K59:L59),)</f>
        <v>0</v>
      </c>
      <c r="L59" s="1">
        <v>1</v>
      </c>
      <c r="M59" s="2" t="e">
        <f>INDEX(+ATAN(INDIRECT(M59:N59)),)</f>
        <v>#REF!</v>
      </c>
      <c r="N59" s="1">
        <v>1</v>
      </c>
    </row>
    <row r="60" spans="1:14" x14ac:dyDescent="0.55000000000000004">
      <c r="A60" s="1" t="s">
        <v>1474</v>
      </c>
      <c r="B60" s="2">
        <f>COUNTIF(A:A,A60)-1</f>
        <v>0</v>
      </c>
      <c r="C60" s="2">
        <f>COUNTIF(A$1:A60,A60)-1</f>
        <v>0</v>
      </c>
      <c r="D60" s="2" t="str">
        <f>Argument!D60</f>
        <v/>
      </c>
      <c r="E60" s="2" t="str">
        <f t="shared" si="0"/>
        <v>v</v>
      </c>
      <c r="F60" s="2" t="b">
        <f>IF(C60=0,ISTEXT(FORMULA.CONVERT("="&amp;A60&amp;"("&amp;REPLACE(REPT(",#ref!",B60),1,1,"")&amp;")()",1)),"")</f>
        <v>0</v>
      </c>
      <c r="G60" s="2"/>
      <c r="H60" s="2" t="str">
        <f t="shared" si="1"/>
        <v/>
      </c>
      <c r="I60" s="2">
        <f>TYPE(PI())</f>
        <v>1</v>
      </c>
      <c r="J60" s="2">
        <f>IF(C60=0,COUNTIFS(A:A,A60,D:D,"a"),"")</f>
        <v>0</v>
      </c>
      <c r="K60" s="2"/>
      <c r="M60" s="2"/>
    </row>
    <row r="61" spans="1:14" x14ac:dyDescent="0.55000000000000004">
      <c r="A61" s="1" t="s">
        <v>1503</v>
      </c>
      <c r="B61" s="2">
        <f>COUNTIF(A:A,A61)-1</f>
        <v>1</v>
      </c>
      <c r="C61" s="2">
        <f>COUNTIF(A$1:A61,A61)-1</f>
        <v>0</v>
      </c>
      <c r="D61" s="2" t="str">
        <f>Argument!D61</f>
        <v/>
      </c>
      <c r="E61" s="2" t="str">
        <f t="shared" si="0"/>
        <v>v</v>
      </c>
      <c r="F61" s="2" t="b">
        <f>IF(C61=0,ISTEXT(FORMULA.CONVERT("="&amp;A61&amp;"("&amp;REPLACE(REPT(",#ref!",B61),1,1,"")&amp;")()",1)),"")</f>
        <v>0</v>
      </c>
      <c r="G61" s="2"/>
      <c r="H61" s="2" t="str">
        <f t="shared" si="1"/>
        <v/>
      </c>
      <c r="I61" s="2">
        <f>TYPE(SQRT(IF(1,1)))</f>
        <v>1</v>
      </c>
      <c r="J61" s="2">
        <f>IF(C61=0,COUNTIFS(A:A,A61,D:D,"a"),"")</f>
        <v>0</v>
      </c>
      <c r="K61" s="2"/>
      <c r="M61" s="2"/>
    </row>
    <row r="62" spans="1:14" x14ac:dyDescent="0.55000000000000004">
      <c r="A62" s="1" t="s">
        <v>1503</v>
      </c>
      <c r="B62" s="2">
        <f>COUNTIF(A:A,A62)-1</f>
        <v>1</v>
      </c>
      <c r="C62" s="2">
        <f>COUNTIF(A$1:A62,A62)-1</f>
        <v>1</v>
      </c>
      <c r="D62" s="2" t="str">
        <f>Argument!D62</f>
        <v>v</v>
      </c>
      <c r="E62" s="2" t="str">
        <f t="shared" si="0"/>
        <v/>
      </c>
      <c r="F62" s="2" t="str">
        <f>IF(C62=0,ISTEXT(FORMULA.CONVERT("="&amp;A62&amp;"("&amp;REPLACE(REPT(",#ref!",B62),1,1,"")&amp;")()",1)),"")</f>
        <v/>
      </c>
      <c r="G62" s="2">
        <f>TYPE(SQRT({1}))</f>
        <v>64</v>
      </c>
      <c r="H62" s="2" t="str">
        <f t="shared" si="1"/>
        <v/>
      </c>
      <c r="I62" s="2">
        <f>TYPE(SQRT(IF(1,1)))</f>
        <v>1</v>
      </c>
      <c r="J62" s="2" t="str">
        <f>IF(C62=0,COUNTIFS(A:A,A62,D:D,"a"),"")</f>
        <v/>
      </c>
      <c r="K62" s="2">
        <f>INDEX(+SQRT(K62:L62),)</f>
        <v>0</v>
      </c>
      <c r="L62" s="1">
        <v>1</v>
      </c>
      <c r="M62" s="2" t="e">
        <f>INDEX(+SQRT(INDIRECT(M62:N62)),)</f>
        <v>#REF!</v>
      </c>
      <c r="N62" s="1">
        <v>1</v>
      </c>
    </row>
    <row r="63" spans="1:14" x14ac:dyDescent="0.55000000000000004">
      <c r="A63" s="1" t="s">
        <v>1504</v>
      </c>
      <c r="B63" s="2">
        <f>COUNTIF(A:A,A63)-1</f>
        <v>1</v>
      </c>
      <c r="C63" s="2">
        <f>COUNTIF(A$1:A63,A63)-1</f>
        <v>0</v>
      </c>
      <c r="D63" s="2" t="str">
        <f>Argument!D63</f>
        <v/>
      </c>
      <c r="E63" s="2" t="str">
        <f t="shared" si="0"/>
        <v>v</v>
      </c>
      <c r="F63" s="2" t="b">
        <f>IF(C63=0,ISTEXT(FORMULA.CONVERT("="&amp;A63&amp;"("&amp;REPLACE(REPT(",#ref!",B63),1,1,"")&amp;")()",1)),"")</f>
        <v>0</v>
      </c>
      <c r="G63" s="2"/>
      <c r="H63" s="2" t="str">
        <f t="shared" si="1"/>
        <v/>
      </c>
      <c r="I63" s="2">
        <f>TYPE(EXP(IF(1,1)))</f>
        <v>1</v>
      </c>
      <c r="J63" s="2">
        <f>IF(C63=0,COUNTIFS(A:A,A63,D:D,"a"),"")</f>
        <v>0</v>
      </c>
      <c r="K63" s="2"/>
      <c r="M63" s="2"/>
    </row>
    <row r="64" spans="1:14" x14ac:dyDescent="0.55000000000000004">
      <c r="A64" s="1" t="s">
        <v>1504</v>
      </c>
      <c r="B64" s="2">
        <f>COUNTIF(A:A,A64)-1</f>
        <v>1</v>
      </c>
      <c r="C64" s="2">
        <f>COUNTIF(A$1:A64,A64)-1</f>
        <v>1</v>
      </c>
      <c r="D64" s="2" t="str">
        <f>Argument!D64</f>
        <v>v</v>
      </c>
      <c r="E64" s="2" t="str">
        <f t="shared" si="0"/>
        <v/>
      </c>
      <c r="F64" s="2" t="str">
        <f>IF(C64=0,ISTEXT(FORMULA.CONVERT("="&amp;A64&amp;"("&amp;REPLACE(REPT(",#ref!",B64),1,1,"")&amp;")()",1)),"")</f>
        <v/>
      </c>
      <c r="G64" s="2">
        <f>TYPE(EXP({1}))</f>
        <v>64</v>
      </c>
      <c r="H64" s="2" t="str">
        <f t="shared" si="1"/>
        <v/>
      </c>
      <c r="I64" s="2">
        <f>TYPE(EXP(IF(1,1)))</f>
        <v>1</v>
      </c>
      <c r="J64" s="2" t="str">
        <f>IF(C64=0,COUNTIFS(A:A,A64,D:D,"a"),"")</f>
        <v/>
      </c>
      <c r="K64" s="2">
        <f>INDEX(+EXP(K64:L64),)</f>
        <v>1</v>
      </c>
      <c r="L64" s="1">
        <v>1</v>
      </c>
      <c r="M64" s="2" t="e">
        <f>INDEX(+EXP(INDIRECT(M64:N64)),)</f>
        <v>#REF!</v>
      </c>
      <c r="N64" s="1">
        <v>1</v>
      </c>
    </row>
    <row r="65" spans="1:14" x14ac:dyDescent="0.55000000000000004">
      <c r="A65" s="1" t="s">
        <v>1505</v>
      </c>
      <c r="B65" s="2">
        <f>COUNTIF(A:A,A65)-1</f>
        <v>1</v>
      </c>
      <c r="C65" s="2">
        <f>COUNTIF(A$1:A65,A65)-1</f>
        <v>0</v>
      </c>
      <c r="D65" s="2" t="str">
        <f>Argument!D65</f>
        <v/>
      </c>
      <c r="E65" s="2" t="str">
        <f t="shared" si="0"/>
        <v>v</v>
      </c>
      <c r="F65" s="2" t="b">
        <f>IF(C65=0,ISTEXT(FORMULA.CONVERT("="&amp;A65&amp;"("&amp;REPLACE(REPT(",#ref!",B65),1,1,"")&amp;")()",1)),"")</f>
        <v>0</v>
      </c>
      <c r="G65" s="2"/>
      <c r="H65" s="2" t="str">
        <f t="shared" si="1"/>
        <v/>
      </c>
      <c r="I65" s="2">
        <f>TYPE(LN(IF(1,1)))</f>
        <v>1</v>
      </c>
      <c r="J65" s="2">
        <f>IF(C65=0,COUNTIFS(A:A,A65,D:D,"a"),"")</f>
        <v>0</v>
      </c>
      <c r="K65" s="2"/>
      <c r="M65" s="2"/>
    </row>
    <row r="66" spans="1:14" x14ac:dyDescent="0.55000000000000004">
      <c r="A66" s="1" t="s">
        <v>1505</v>
      </c>
      <c r="B66" s="2">
        <f>COUNTIF(A:A,A66)-1</f>
        <v>1</v>
      </c>
      <c r="C66" s="2">
        <f>COUNTIF(A$1:A66,A66)-1</f>
        <v>1</v>
      </c>
      <c r="D66" s="2" t="str">
        <f>Argument!D66</f>
        <v>v</v>
      </c>
      <c r="E66" s="2" t="str">
        <f t="shared" ref="E66:E129" si="2">IF(C66=0,IF(SUMIFS(H:H,A:A,A66),IF(COUNTIFS(A:A,A66,G:G,64),,"v")&amp;IF(F66,"ar","a"),IF(F66,"r","v")),"")</f>
        <v/>
      </c>
      <c r="F66" s="2" t="str">
        <f>IF(C66=0,ISTEXT(FORMULA.CONVERT("="&amp;A66&amp;"("&amp;REPLACE(REPT(",#ref!",B66),1,1,"")&amp;")()",1)),"")</f>
        <v/>
      </c>
      <c r="G66" s="2">
        <f>TYPE(LN({1}))</f>
        <v>64</v>
      </c>
      <c r="H66" s="2" t="str">
        <f t="shared" ref="H66:H129" si="3">IF((I66=64)*(J66=B66)+(1-L66)*COUNTIF(D66,"*v*")+(1-N66)*COUNTIF(D66,"*r*"),1,"")</f>
        <v/>
      </c>
      <c r="I66" s="2">
        <f>TYPE(LN(IF(1,1)))</f>
        <v>1</v>
      </c>
      <c r="J66" s="2" t="str">
        <f>IF(C66=0,COUNTIFS(A:A,A66,D:D,"a"),"")</f>
        <v/>
      </c>
      <c r="K66" s="2" t="e">
        <f>INDEX(+LN(K66:L66),)</f>
        <v>#NUM!</v>
      </c>
      <c r="L66" s="1">
        <v>1</v>
      </c>
      <c r="M66" s="2" t="e">
        <f>INDEX(+LN(INDIRECT(M66:N66)),)</f>
        <v>#REF!</v>
      </c>
      <c r="N66" s="1">
        <v>1</v>
      </c>
    </row>
    <row r="67" spans="1:14" x14ac:dyDescent="0.55000000000000004">
      <c r="A67" s="1" t="s">
        <v>2041</v>
      </c>
      <c r="B67" s="2">
        <f>COUNTIF(A:A,A67)-1</f>
        <v>1</v>
      </c>
      <c r="C67" s="2">
        <f>COUNTIF(A$1:A67,A67)-1</f>
        <v>0</v>
      </c>
      <c r="D67" s="2" t="str">
        <f>Argument!D67</f>
        <v/>
      </c>
      <c r="E67" s="2" t="str">
        <f t="shared" si="2"/>
        <v>v</v>
      </c>
      <c r="F67" s="2" t="b">
        <f>IF(C67=0,ISTEXT(FORMULA.CONVERT("="&amp;A67&amp;"("&amp;REPLACE(REPT(",#ref!",B67),1,1,"")&amp;")()",1)),"")</f>
        <v>0</v>
      </c>
      <c r="G67" s="2"/>
      <c r="H67" s="2" t="str">
        <f t="shared" si="3"/>
        <v/>
      </c>
      <c r="I67" s="2">
        <f>TYPE(LOG10(IF(1,1)))</f>
        <v>1</v>
      </c>
      <c r="J67" s="2">
        <f>IF(C67=0,COUNTIFS(A:A,A67,D:D,"a"),"")</f>
        <v>0</v>
      </c>
      <c r="K67" s="2"/>
      <c r="M67" s="2"/>
    </row>
    <row r="68" spans="1:14" x14ac:dyDescent="0.55000000000000004">
      <c r="A68" s="1" t="s">
        <v>2041</v>
      </c>
      <c r="B68" s="2">
        <f>COUNTIF(A:A,A68)-1</f>
        <v>1</v>
      </c>
      <c r="C68" s="2">
        <f>COUNTIF(A$1:A68,A68)-1</f>
        <v>1</v>
      </c>
      <c r="D68" s="2" t="str">
        <f>Argument!D68</f>
        <v>v</v>
      </c>
      <c r="E68" s="2" t="str">
        <f t="shared" si="2"/>
        <v/>
      </c>
      <c r="F68" s="2" t="str">
        <f>IF(C68=0,ISTEXT(FORMULA.CONVERT("="&amp;A68&amp;"("&amp;REPLACE(REPT(",#ref!",B68),1,1,"")&amp;")()",1)),"")</f>
        <v/>
      </c>
      <c r="G68" s="2">
        <f>TYPE(LOG10({1}))</f>
        <v>64</v>
      </c>
      <c r="H68" s="2" t="str">
        <f t="shared" si="3"/>
        <v/>
      </c>
      <c r="I68" s="2">
        <f>TYPE(LOG10(IF(1,1)))</f>
        <v>1</v>
      </c>
      <c r="J68" s="2" t="str">
        <f>IF(C68=0,COUNTIFS(A:A,A68,D:D,"a"),"")</f>
        <v/>
      </c>
      <c r="K68" s="2" t="e">
        <f>INDEX(+LOG10(K68:L68),)</f>
        <v>#NUM!</v>
      </c>
      <c r="L68" s="1">
        <v>1</v>
      </c>
      <c r="M68" s="2" t="e">
        <f>INDEX(+LOG10(INDIRECT(M68:N68)),)</f>
        <v>#REF!</v>
      </c>
      <c r="N68" s="1">
        <v>1</v>
      </c>
    </row>
    <row r="69" spans="1:14" x14ac:dyDescent="0.55000000000000004">
      <c r="A69" s="1" t="s">
        <v>1506</v>
      </c>
      <c r="B69" s="2">
        <f>COUNTIF(A:A,A69)-1</f>
        <v>1</v>
      </c>
      <c r="C69" s="2">
        <f>COUNTIF(A$1:A69,A69)-1</f>
        <v>0</v>
      </c>
      <c r="D69" s="2" t="str">
        <f>Argument!D69</f>
        <v/>
      </c>
      <c r="E69" s="2" t="str">
        <f t="shared" si="2"/>
        <v>v</v>
      </c>
      <c r="F69" s="2" t="b">
        <f>IF(C69=0,ISTEXT(FORMULA.CONVERT("="&amp;A69&amp;"("&amp;REPLACE(REPT(",#ref!",B69),1,1,"")&amp;")()",1)),"")</f>
        <v>0</v>
      </c>
      <c r="G69" s="2"/>
      <c r="H69" s="2" t="str">
        <f t="shared" si="3"/>
        <v/>
      </c>
      <c r="I69" s="2">
        <f>TYPE(ABS(IF(1,1)))</f>
        <v>1</v>
      </c>
      <c r="J69" s="2">
        <f>IF(C69=0,COUNTIFS(A:A,A69,D:D,"a"),"")</f>
        <v>0</v>
      </c>
      <c r="K69" s="2"/>
      <c r="M69" s="2"/>
    </row>
    <row r="70" spans="1:14" x14ac:dyDescent="0.55000000000000004">
      <c r="A70" s="1" t="s">
        <v>1506</v>
      </c>
      <c r="B70" s="2">
        <f>COUNTIF(A:A,A70)-1</f>
        <v>1</v>
      </c>
      <c r="C70" s="2">
        <f>COUNTIF(A$1:A70,A70)-1</f>
        <v>1</v>
      </c>
      <c r="D70" s="2" t="str">
        <f>Argument!D70</f>
        <v>v</v>
      </c>
      <c r="E70" s="2" t="str">
        <f t="shared" si="2"/>
        <v/>
      </c>
      <c r="F70" s="2" t="str">
        <f>IF(C70=0,ISTEXT(FORMULA.CONVERT("="&amp;A70&amp;"("&amp;REPLACE(REPT(",#ref!",B70),1,1,"")&amp;")()",1)),"")</f>
        <v/>
      </c>
      <c r="G70" s="2">
        <f>TYPE(ABS({1}))</f>
        <v>64</v>
      </c>
      <c r="H70" s="2" t="str">
        <f t="shared" si="3"/>
        <v/>
      </c>
      <c r="I70" s="2">
        <f>TYPE(ABS(IF(1,1)))</f>
        <v>1</v>
      </c>
      <c r="J70" s="2" t="str">
        <f>IF(C70=0,COUNTIFS(A:A,A70,D:D,"a"),"")</f>
        <v/>
      </c>
      <c r="K70" s="2">
        <f>INDEX(+ABS(K70:L70),)</f>
        <v>0</v>
      </c>
      <c r="L70" s="1">
        <v>1</v>
      </c>
      <c r="M70" s="2" t="e">
        <f>INDEX(+ABS(INDIRECT(M70:N70)),)</f>
        <v>#REF!</v>
      </c>
      <c r="N70" s="1">
        <v>1</v>
      </c>
    </row>
    <row r="71" spans="1:14" x14ac:dyDescent="0.55000000000000004">
      <c r="A71" s="1" t="s">
        <v>1507</v>
      </c>
      <c r="B71" s="2">
        <f>COUNTIF(A:A,A71)-1</f>
        <v>1</v>
      </c>
      <c r="C71" s="2">
        <f>COUNTIF(A$1:A71,A71)-1</f>
        <v>0</v>
      </c>
      <c r="D71" s="2" t="str">
        <f>Argument!D71</f>
        <v/>
      </c>
      <c r="E71" s="2" t="str">
        <f t="shared" si="2"/>
        <v>v</v>
      </c>
      <c r="F71" s="2" t="b">
        <f>IF(C71=0,ISTEXT(FORMULA.CONVERT("="&amp;A71&amp;"("&amp;REPLACE(REPT(",#ref!",B71),1,1,"")&amp;")()",1)),"")</f>
        <v>0</v>
      </c>
      <c r="G71" s="2"/>
      <c r="H71" s="2" t="str">
        <f t="shared" si="3"/>
        <v/>
      </c>
      <c r="I71" s="2">
        <f>TYPE(INT(IF(1,1)))</f>
        <v>1</v>
      </c>
      <c r="J71" s="2">
        <f>IF(C71=0,COUNTIFS(A:A,A71,D:D,"a"),"")</f>
        <v>0</v>
      </c>
      <c r="K71" s="2"/>
      <c r="M71" s="2"/>
    </row>
    <row r="72" spans="1:14" x14ac:dyDescent="0.55000000000000004">
      <c r="A72" s="1" t="s">
        <v>1507</v>
      </c>
      <c r="B72" s="2">
        <f>COUNTIF(A:A,A72)-1</f>
        <v>1</v>
      </c>
      <c r="C72" s="2">
        <f>COUNTIF(A$1:A72,A72)-1</f>
        <v>1</v>
      </c>
      <c r="D72" s="2" t="str">
        <f>Argument!D72</f>
        <v>v</v>
      </c>
      <c r="E72" s="2" t="str">
        <f t="shared" si="2"/>
        <v/>
      </c>
      <c r="F72" s="2" t="str">
        <f>IF(C72=0,ISTEXT(FORMULA.CONVERT("="&amp;A72&amp;"("&amp;REPLACE(REPT(",#ref!",B72),1,1,"")&amp;")()",1)),"")</f>
        <v/>
      </c>
      <c r="G72" s="2">
        <f>TYPE(INT({1}))</f>
        <v>64</v>
      </c>
      <c r="H72" s="2" t="str">
        <f t="shared" si="3"/>
        <v/>
      </c>
      <c r="I72" s="2">
        <f>TYPE(INT(IF(1,1)))</f>
        <v>1</v>
      </c>
      <c r="J72" s="2" t="str">
        <f>IF(C72=0,COUNTIFS(A:A,A72,D:D,"a"),"")</f>
        <v/>
      </c>
      <c r="K72" s="2">
        <f>INDEX(+INT(K72:L72),)</f>
        <v>0</v>
      </c>
      <c r="L72" s="1">
        <v>1</v>
      </c>
      <c r="M72" s="2" t="e">
        <f>INDEX(+INT(INDIRECT(M72:N72)),)</f>
        <v>#REF!</v>
      </c>
      <c r="N72" s="1">
        <v>1</v>
      </c>
    </row>
    <row r="73" spans="1:14" x14ac:dyDescent="0.55000000000000004">
      <c r="A73" s="1" t="s">
        <v>1508</v>
      </c>
      <c r="B73" s="2">
        <f>COUNTIF(A:A,A73)-1</f>
        <v>1</v>
      </c>
      <c r="C73" s="2">
        <f>COUNTIF(A$1:A73,A73)-1</f>
        <v>0</v>
      </c>
      <c r="D73" s="2" t="str">
        <f>Argument!D73</f>
        <v/>
      </c>
      <c r="E73" s="2" t="str">
        <f t="shared" si="2"/>
        <v>v</v>
      </c>
      <c r="F73" s="2" t="b">
        <f>IF(C73=0,ISTEXT(FORMULA.CONVERT("="&amp;A73&amp;"("&amp;REPLACE(REPT(",#ref!",B73),1,1,"")&amp;")()",1)),"")</f>
        <v>0</v>
      </c>
      <c r="G73" s="2"/>
      <c r="H73" s="2" t="str">
        <f t="shared" si="3"/>
        <v/>
      </c>
      <c r="I73" s="2">
        <f>TYPE(SIGN(IF(1,1)))</f>
        <v>1</v>
      </c>
      <c r="J73" s="2">
        <f>IF(C73=0,COUNTIFS(A:A,A73,D:D,"a"),"")</f>
        <v>0</v>
      </c>
      <c r="K73" s="2"/>
      <c r="M73" s="2"/>
    </row>
    <row r="74" spans="1:14" x14ac:dyDescent="0.55000000000000004">
      <c r="A74" s="1" t="s">
        <v>1508</v>
      </c>
      <c r="B74" s="2">
        <f>COUNTIF(A:A,A74)-1</f>
        <v>1</v>
      </c>
      <c r="C74" s="2">
        <f>COUNTIF(A$1:A74,A74)-1</f>
        <v>1</v>
      </c>
      <c r="D74" s="2" t="str">
        <f>Argument!D74</f>
        <v>v</v>
      </c>
      <c r="E74" s="2" t="str">
        <f t="shared" si="2"/>
        <v/>
      </c>
      <c r="F74" s="2" t="str">
        <f>IF(C74=0,ISTEXT(FORMULA.CONVERT("="&amp;A74&amp;"("&amp;REPLACE(REPT(",#ref!",B74),1,1,"")&amp;")()",1)),"")</f>
        <v/>
      </c>
      <c r="G74" s="2">
        <f>TYPE(SIGN({1}))</f>
        <v>64</v>
      </c>
      <c r="H74" s="2" t="str">
        <f t="shared" si="3"/>
        <v/>
      </c>
      <c r="I74" s="2">
        <f>TYPE(SIGN(IF(1,1)))</f>
        <v>1</v>
      </c>
      <c r="J74" s="2" t="str">
        <f>IF(C74=0,COUNTIFS(A:A,A74,D:D,"a"),"")</f>
        <v/>
      </c>
      <c r="K74" s="2">
        <f>INDEX(+SIGN(K74:L74),)</f>
        <v>0</v>
      </c>
      <c r="L74" s="1">
        <v>1</v>
      </c>
      <c r="M74" s="2" t="e">
        <f>INDEX(+SIGN(INDIRECT(M74:N74)),)</f>
        <v>#REF!</v>
      </c>
      <c r="N74" s="1">
        <v>1</v>
      </c>
    </row>
    <row r="75" spans="1:14" x14ac:dyDescent="0.55000000000000004">
      <c r="A75" s="1" t="s">
        <v>1509</v>
      </c>
      <c r="B75" s="2">
        <f>COUNTIF(A:A,A75)-1</f>
        <v>2</v>
      </c>
      <c r="C75" s="2">
        <f>COUNTIF(A$1:A75,A75)-1</f>
        <v>0</v>
      </c>
      <c r="D75" s="2" t="str">
        <f>Argument!D75</f>
        <v/>
      </c>
      <c r="E75" s="2" t="str">
        <f t="shared" si="2"/>
        <v>v</v>
      </c>
      <c r="F75" s="2" t="b">
        <f>IF(C75=0,ISTEXT(FORMULA.CONVERT("="&amp;A75&amp;"("&amp;REPLACE(REPT(",#ref!",B75),1,1,"")&amp;")()",1)),"")</f>
        <v>0</v>
      </c>
      <c r="G75" s="2"/>
      <c r="H75" s="2" t="str">
        <f t="shared" si="3"/>
        <v/>
      </c>
      <c r="I75" s="2">
        <f>TYPE(ROUND(IF(1,1),IF(1,1)))</f>
        <v>1</v>
      </c>
      <c r="J75" s="2">
        <f>IF(C75=0,COUNTIFS(A:A,A75,D:D,"a"),"")</f>
        <v>0</v>
      </c>
      <c r="K75" s="2"/>
      <c r="M75" s="2"/>
    </row>
    <row r="76" spans="1:14" x14ac:dyDescent="0.55000000000000004">
      <c r="A76" s="1" t="s">
        <v>1509</v>
      </c>
      <c r="B76" s="2">
        <f>COUNTIF(A:A,A76)-1</f>
        <v>2</v>
      </c>
      <c r="C76" s="2">
        <f>COUNTIF(A$1:A76,A76)-1</f>
        <v>1</v>
      </c>
      <c r="D76" s="2" t="str">
        <f>Argument!D76</f>
        <v>v</v>
      </c>
      <c r="E76" s="2" t="str">
        <f t="shared" si="2"/>
        <v/>
      </c>
      <c r="F76" s="2" t="str">
        <f>IF(C76=0,ISTEXT(FORMULA.CONVERT("="&amp;A76&amp;"("&amp;REPLACE(REPT(",#ref!",B76),1,1,"")&amp;")()",1)),"")</f>
        <v/>
      </c>
      <c r="G76" s="2">
        <f>TYPE(ROUND({1},IF(1,1)))</f>
        <v>64</v>
      </c>
      <c r="H76" s="2" t="str">
        <f t="shared" si="3"/>
        <v/>
      </c>
      <c r="I76" s="2">
        <f>TYPE(ROUND(IF(1,1),IF(1,1)))</f>
        <v>1</v>
      </c>
      <c r="J76" s="2" t="str">
        <f>IF(C76=0,COUNTIFS(A:A,A76,D:D,"a"),"")</f>
        <v/>
      </c>
      <c r="K76" s="2" t="e">
        <f>INDEX(+ROUND(K76:L76,#REF!),)</f>
        <v>#REF!</v>
      </c>
      <c r="L76" s="1">
        <v>1</v>
      </c>
      <c r="M76" s="2" t="e">
        <f>INDEX(+ROUND(INDIRECT(M76:N76),#REF!),)</f>
        <v>#REF!</v>
      </c>
      <c r="N76" s="1">
        <v>1</v>
      </c>
    </row>
    <row r="77" spans="1:14" x14ac:dyDescent="0.55000000000000004">
      <c r="A77" s="1" t="s">
        <v>1509</v>
      </c>
      <c r="B77" s="2">
        <f>COUNTIF(A:A,A77)-1</f>
        <v>2</v>
      </c>
      <c r="C77" s="2">
        <f>COUNTIF(A$1:A77,A77)-1</f>
        <v>2</v>
      </c>
      <c r="D77" s="2" t="str">
        <f>Argument!D77</f>
        <v>v</v>
      </c>
      <c r="E77" s="2" t="str">
        <f t="shared" si="2"/>
        <v/>
      </c>
      <c r="F77" s="2" t="str">
        <f>IF(C77=0,ISTEXT(FORMULA.CONVERT("="&amp;A77&amp;"("&amp;REPLACE(REPT(",#ref!",B77),1,1,"")&amp;")()",1)),"")</f>
        <v/>
      </c>
      <c r="G77" s="2">
        <f>TYPE(ROUND(IF(1,1),{1}))</f>
        <v>64</v>
      </c>
      <c r="H77" s="2" t="str">
        <f t="shared" si="3"/>
        <v/>
      </c>
      <c r="I77" s="2">
        <f>TYPE(ROUND(IF(1,1),IF(1,1)))</f>
        <v>1</v>
      </c>
      <c r="J77" s="2" t="str">
        <f>IF(C77=0,COUNTIFS(A:A,A77,D:D,"a"),"")</f>
        <v/>
      </c>
      <c r="K77" s="2" t="e">
        <f>INDEX(+ROUND(#REF!,K77:L77),)</f>
        <v>#REF!</v>
      </c>
      <c r="L77" s="1">
        <v>1</v>
      </c>
      <c r="M77" s="2" t="e">
        <f>INDEX(+ROUND(#REF!,INDIRECT(M77:N77)),)</f>
        <v>#REF!</v>
      </c>
      <c r="N77" s="1">
        <v>1</v>
      </c>
    </row>
    <row r="78" spans="1:14" x14ac:dyDescent="0.55000000000000004">
      <c r="A78" s="1" t="s">
        <v>1510</v>
      </c>
      <c r="B78" s="2">
        <f>COUNTIF(A:A,A78)-1</f>
        <v>3</v>
      </c>
      <c r="C78" s="2">
        <f>COUNTIF(A$1:A78,A78)-1</f>
        <v>0</v>
      </c>
      <c r="D78" s="2" t="str">
        <f>Argument!D78</f>
        <v/>
      </c>
      <c r="E78" s="2" t="str">
        <f t="shared" si="2"/>
        <v>v</v>
      </c>
      <c r="F78" s="2" t="b">
        <f>IF(C78=0,ISTEXT(FORMULA.CONVERT("="&amp;A78&amp;"("&amp;REPLACE(REPT(",#ref!",B78),1,1,"")&amp;")()",1)),"")</f>
        <v>0</v>
      </c>
      <c r="G78" s="2"/>
      <c r="H78" s="2" t="str">
        <f t="shared" si="3"/>
        <v/>
      </c>
      <c r="I78" s="2">
        <f>TYPE(LOOKUP(IF(1,1),IF(1,1),IF(1,1)))</f>
        <v>1</v>
      </c>
      <c r="J78" s="2">
        <f>IF(C78=0,COUNTIFS(A:A,A78,D:D,"a"),"")</f>
        <v>0</v>
      </c>
      <c r="K78" s="2"/>
      <c r="M78" s="2"/>
    </row>
    <row r="79" spans="1:14" x14ac:dyDescent="0.55000000000000004">
      <c r="A79" s="1" t="s">
        <v>1510</v>
      </c>
      <c r="B79" s="2">
        <f>COUNTIF(A:A,A79)-1</f>
        <v>3</v>
      </c>
      <c r="C79" s="2">
        <f>COUNTIF(A$1:A79,A79)-1</f>
        <v>1</v>
      </c>
      <c r="D79" s="2" t="str">
        <f>Argument!D79</f>
        <v>v</v>
      </c>
      <c r="E79" s="2" t="str">
        <f t="shared" si="2"/>
        <v/>
      </c>
      <c r="F79" s="2" t="str">
        <f>IF(C79=0,ISTEXT(FORMULA.CONVERT("="&amp;A79&amp;"("&amp;REPLACE(REPT(",#ref!",B79),1,1,"")&amp;")()",1)),"")</f>
        <v/>
      </c>
      <c r="G79" s="2">
        <f>TYPE(LOOKUP({1},IF(1,1),IF(1,1)))</f>
        <v>64</v>
      </c>
      <c r="H79" s="2" t="str">
        <f t="shared" si="3"/>
        <v/>
      </c>
      <c r="I79" s="2">
        <f>TYPE(LOOKUP(IF(1,1),IF(1,1),IF(1,1)))</f>
        <v>1</v>
      </c>
      <c r="J79" s="2" t="str">
        <f>IF(C79=0,COUNTIFS(A:A,A79,D:D,"a"),"")</f>
        <v/>
      </c>
      <c r="K79" s="2" t="e">
        <f>INDEX(+LOOKUP(K79:L79,#REF!,#REF!),)</f>
        <v>#REF!</v>
      </c>
      <c r="L79" s="1">
        <v>1</v>
      </c>
      <c r="M79" s="2" t="e">
        <f>INDEX(+LOOKUP(INDIRECT(M79:N79),#REF!,#REF!),)</f>
        <v>#REF!</v>
      </c>
      <c r="N79" s="1">
        <v>1</v>
      </c>
    </row>
    <row r="80" spans="1:14" x14ac:dyDescent="0.55000000000000004">
      <c r="A80" s="1" t="s">
        <v>1510</v>
      </c>
      <c r="B80" s="2">
        <f>COUNTIF(A:A,A80)-1</f>
        <v>3</v>
      </c>
      <c r="C80" s="2">
        <f>COUNTIF(A$1:A80,A80)-1</f>
        <v>2</v>
      </c>
      <c r="D80" s="2" t="str">
        <f>Argument!D80</f>
        <v>ar</v>
      </c>
      <c r="E80" s="2" t="str">
        <f t="shared" si="2"/>
        <v/>
      </c>
      <c r="F80" s="2" t="str">
        <f>IF(C80=0,ISTEXT(FORMULA.CONVERT("="&amp;A80&amp;"("&amp;REPLACE(REPT(",#ref!",B80),1,1,"")&amp;")()",1)),"")</f>
        <v/>
      </c>
      <c r="G80" s="2">
        <f>TYPE(LOOKUP(IF(1,1),{1},IF(1,1)))</f>
        <v>1</v>
      </c>
      <c r="H80" s="2" t="str">
        <f t="shared" si="3"/>
        <v/>
      </c>
      <c r="I80" s="2">
        <f>TYPE(LOOKUP(IF(1,1),IF(1,1),IF(1,1)))</f>
        <v>1</v>
      </c>
      <c r="J80" s="2" t="str">
        <f>IF(C80=0,COUNTIFS(A:A,A80,D:D,"a"),"")</f>
        <v/>
      </c>
      <c r="K80" s="2" t="e">
        <f>INDEX(+LOOKUP(#REF!,K80:L80,#REF!),)</f>
        <v>#REF!</v>
      </c>
      <c r="L80" s="1">
        <v>1</v>
      </c>
      <c r="M80" s="2" t="e">
        <f>INDEX(+LOOKUP(#REF!,INDIRECT(M80:N80),#REF!),)</f>
        <v>#REF!</v>
      </c>
      <c r="N80" s="1">
        <v>1</v>
      </c>
    </row>
    <row r="81" spans="1:14" x14ac:dyDescent="0.55000000000000004">
      <c r="A81" s="1" t="s">
        <v>1510</v>
      </c>
      <c r="B81" s="2">
        <f>COUNTIF(A:A,A81)-1</f>
        <v>3</v>
      </c>
      <c r="C81" s="2">
        <f>COUNTIF(A$1:A81,A81)-1</f>
        <v>3</v>
      </c>
      <c r="D81" s="2" t="str">
        <f>Argument!D81</f>
        <v>ar</v>
      </c>
      <c r="E81" s="2" t="str">
        <f t="shared" si="2"/>
        <v/>
      </c>
      <c r="F81" s="2" t="str">
        <f>IF(C81=0,ISTEXT(FORMULA.CONVERT("="&amp;A81&amp;"("&amp;REPLACE(REPT(",#ref!",B81),1,1,"")&amp;")()",1)),"")</f>
        <v/>
      </c>
      <c r="G81" s="2">
        <f>TYPE(LOOKUP(IF(1,1),IF(1,1),{1}))</f>
        <v>1</v>
      </c>
      <c r="H81" s="2" t="str">
        <f t="shared" si="3"/>
        <v/>
      </c>
      <c r="I81" s="2">
        <f>TYPE(LOOKUP(IF(1,1),IF(1,1),IF(1,1)))</f>
        <v>1</v>
      </c>
      <c r="J81" s="2" t="str">
        <f>IF(C81=0,COUNTIFS(A:A,A81,D:D,"a"),"")</f>
        <v/>
      </c>
      <c r="K81" s="2" t="e">
        <f>INDEX(+LOOKUP(#REF!,#REF!,K81:L81),)</f>
        <v>#REF!</v>
      </c>
      <c r="L81" s="1">
        <v>1</v>
      </c>
      <c r="M81" s="2" t="e">
        <f>INDEX(+LOOKUP(#REF!,#REF!,INDIRECT(M81:N81)),)</f>
        <v>#REF!</v>
      </c>
      <c r="N81" s="1">
        <v>1</v>
      </c>
    </row>
    <row r="82" spans="1:14" x14ac:dyDescent="0.55000000000000004">
      <c r="A82" s="1" t="s">
        <v>2042</v>
      </c>
      <c r="B82" s="2">
        <f>COUNTIF(A:A,A82)-1</f>
        <v>4</v>
      </c>
      <c r="C82" s="2">
        <f>COUNTIF(A$1:A82,A82)-1</f>
        <v>0</v>
      </c>
      <c r="D82" s="2" t="str">
        <f>Argument!D82</f>
        <v/>
      </c>
      <c r="E82" s="2" t="str">
        <f t="shared" si="2"/>
        <v>var</v>
      </c>
      <c r="F82" s="2" t="b">
        <f>IF(C82=0,ISTEXT(FORMULA.CONVERT("="&amp;A82&amp;"("&amp;REPLACE(REPT(",#ref!",B82),1,1,"")&amp;")()",1)),"")</f>
        <v>1</v>
      </c>
      <c r="G82" s="2"/>
      <c r="H82" s="2" t="str">
        <f t="shared" si="3"/>
        <v/>
      </c>
      <c r="I82" s="2">
        <f>TYPE(INDEX(IF(1,1),IF(1,1),IF(1,1),IF(1,1)))</f>
        <v>1</v>
      </c>
      <c r="J82" s="2">
        <f>IF(C82=0,COUNTIFS(A:A,A82,D:D,"a"),"")</f>
        <v>0</v>
      </c>
      <c r="K82" s="2"/>
      <c r="M82" s="2"/>
    </row>
    <row r="83" spans="1:14" x14ac:dyDescent="0.55000000000000004">
      <c r="A83" s="1" t="s">
        <v>2042</v>
      </c>
      <c r="B83" s="2">
        <f>COUNTIF(A:A,A83)-1</f>
        <v>4</v>
      </c>
      <c r="C83" s="2">
        <f>COUNTIF(A$1:A83,A83)-1</f>
        <v>1</v>
      </c>
      <c r="D83" s="2" t="str">
        <f>Argument!D83</f>
        <v>ar</v>
      </c>
      <c r="E83" s="2" t="str">
        <f t="shared" si="2"/>
        <v/>
      </c>
      <c r="F83" s="2" t="str">
        <f>IF(C83=0,ISTEXT(FORMULA.CONVERT("="&amp;A83&amp;"("&amp;REPLACE(REPT(",#ref!",B83),1,1,"")&amp;")()",1)),"")</f>
        <v/>
      </c>
      <c r="G83" s="2">
        <f>TYPE(INDEX({1},IF(1,1),IF(1,1),IF(1,1)))</f>
        <v>1</v>
      </c>
      <c r="H83" s="2">
        <f t="shared" si="3"/>
        <v>1</v>
      </c>
      <c r="I83" s="2">
        <f>TYPE(INDEX(IF(1,1),IF(1,1),IF(1,1),IF(1,1)))</f>
        <v>1</v>
      </c>
      <c r="J83" s="2" t="str">
        <f>IF(C83=0,COUNTIFS(A:A,A83,D:D,"a"),"")</f>
        <v/>
      </c>
      <c r="K83" s="2" t="e">
        <f>INDEX(+INDEX(K83:L83,#REF!,#REF!,#REF!),)</f>
        <v>#REF!</v>
      </c>
      <c r="L83" s="1">
        <v>1</v>
      </c>
      <c r="M83" s="2" t="e">
        <f>INDEX(+INDEX(INDIRECT(M83:N83),#REF!,#REF!,#REF!),)</f>
        <v>#REF!</v>
      </c>
    </row>
    <row r="84" spans="1:14" x14ac:dyDescent="0.55000000000000004">
      <c r="A84" s="1" t="s">
        <v>2042</v>
      </c>
      <c r="B84" s="2">
        <f>COUNTIF(A:A,A84)-1</f>
        <v>4</v>
      </c>
      <c r="C84" s="2">
        <f>COUNTIF(A$1:A84,A84)-1</f>
        <v>2</v>
      </c>
      <c r="D84" s="2" t="str">
        <f>Argument!D84</f>
        <v>v</v>
      </c>
      <c r="E84" s="2" t="str">
        <f t="shared" si="2"/>
        <v/>
      </c>
      <c r="F84" s="2" t="str">
        <f>IF(C84=0,ISTEXT(FORMULA.CONVERT("="&amp;A84&amp;"("&amp;REPLACE(REPT(",#ref!",B84),1,1,"")&amp;")()",1)),"")</f>
        <v/>
      </c>
      <c r="G84" s="2">
        <f>TYPE(INDEX(IF(1,1),{1},IF(1,1),IF(1,1)))</f>
        <v>1</v>
      </c>
      <c r="H84" s="2">
        <f t="shared" si="3"/>
        <v>1</v>
      </c>
      <c r="I84" s="2">
        <f>TYPE(INDEX(IF(1,1),IF(1,1),IF(1,1),IF(1,1)))</f>
        <v>1</v>
      </c>
      <c r="J84" s="2" t="str">
        <f>IF(C84=0,COUNTIFS(A:A,A84,D:D,"a"),"")</f>
        <v/>
      </c>
      <c r="K84" s="2" t="e">
        <f>INDEX(+INDEX(#REF!,K84:L84,#REF!,#REF!),)</f>
        <v>#REF!</v>
      </c>
      <c r="M84" s="2" t="e">
        <f>INDEX(+INDEX(#REF!,INDIRECT(M84:N84),#REF!,#REF!),)</f>
        <v>#REF!</v>
      </c>
    </row>
    <row r="85" spans="1:14" x14ac:dyDescent="0.55000000000000004">
      <c r="A85" s="1" t="s">
        <v>2042</v>
      </c>
      <c r="B85" s="2">
        <f>COUNTIF(A:A,A85)-1</f>
        <v>4</v>
      </c>
      <c r="C85" s="2">
        <f>COUNTIF(A$1:A85,A85)-1</f>
        <v>3</v>
      </c>
      <c r="D85" s="2" t="str">
        <f>Argument!D85</f>
        <v>v</v>
      </c>
      <c r="E85" s="2" t="str">
        <f t="shared" si="2"/>
        <v/>
      </c>
      <c r="F85" s="2" t="str">
        <f>IF(C85=0,ISTEXT(FORMULA.CONVERT("="&amp;A85&amp;"("&amp;REPLACE(REPT(",#ref!",B85),1,1,"")&amp;")()",1)),"")</f>
        <v/>
      </c>
      <c r="G85" s="2">
        <f>TYPE(INDEX(IF(1,1),IF(1,1),{1},IF(1,1)))</f>
        <v>1</v>
      </c>
      <c r="H85" s="2">
        <f t="shared" si="3"/>
        <v>1</v>
      </c>
      <c r="I85" s="2">
        <f>TYPE(INDEX(IF(1,1),IF(1,1),IF(1,1),IF(1,1)))</f>
        <v>1</v>
      </c>
      <c r="J85" s="2" t="str">
        <f>IF(C85=0,COUNTIFS(A:A,A85,D:D,"a"),"")</f>
        <v/>
      </c>
      <c r="K85" s="2" t="e">
        <f>INDEX(+INDEX(#REF!,#REF!,K85:L85,#REF!),)</f>
        <v>#REF!</v>
      </c>
      <c r="M85" s="2" t="e">
        <f>INDEX(+INDEX(#REF!,#REF!,INDIRECT(M85:N85),#REF!),)</f>
        <v>#REF!</v>
      </c>
    </row>
    <row r="86" spans="1:14" x14ac:dyDescent="0.55000000000000004">
      <c r="A86" s="1" t="s">
        <v>2042</v>
      </c>
      <c r="B86" s="2">
        <f>COUNTIF(A:A,A86)-1</f>
        <v>4</v>
      </c>
      <c r="C86" s="2">
        <f>COUNTIF(A$1:A86,A86)-1</f>
        <v>4</v>
      </c>
      <c r="D86" s="2" t="str">
        <f>Argument!D86</f>
        <v>v</v>
      </c>
      <c r="E86" s="2" t="str">
        <f t="shared" si="2"/>
        <v/>
      </c>
      <c r="F86" s="2" t="str">
        <f>IF(C86=0,ISTEXT(FORMULA.CONVERT("="&amp;A86&amp;"("&amp;REPLACE(REPT(",#ref!",B86),1,1,"")&amp;")()",1)),"")</f>
        <v/>
      </c>
      <c r="G86" s="2">
        <f>TYPE(INDEX(IF(1,1),IF(1,1),IF(1,1),{1}))</f>
        <v>1</v>
      </c>
      <c r="H86" s="2">
        <f t="shared" si="3"/>
        <v>1</v>
      </c>
      <c r="I86" s="2">
        <f>TYPE(INDEX(IF(1,1),IF(1,1),IF(1,1),IF(1,1)))</f>
        <v>1</v>
      </c>
      <c r="J86" s="2" t="str">
        <f>IF(C86=0,COUNTIFS(A:A,A86,D:D,"a"),"")</f>
        <v/>
      </c>
      <c r="K86" s="2" t="e">
        <f>INDEX(+INDEX(#REF!,#REF!,#REF!,K86:L86),)</f>
        <v>#REF!</v>
      </c>
      <c r="M86" s="2" t="e">
        <f>INDEX(+INDEX(#REF!,#REF!,#REF!,INDIRECT(M86:N86)),)</f>
        <v>#REF!</v>
      </c>
    </row>
    <row r="87" spans="1:14" x14ac:dyDescent="0.55000000000000004">
      <c r="A87" s="1" t="s">
        <v>1511</v>
      </c>
      <c r="B87" s="2">
        <f>COUNTIF(A:A,A87)-1</f>
        <v>2</v>
      </c>
      <c r="C87" s="2">
        <f>COUNTIF(A$1:A87,A87)-1</f>
        <v>0</v>
      </c>
      <c r="D87" s="2" t="str">
        <f>Argument!D87</f>
        <v/>
      </c>
      <c r="E87" s="2" t="str">
        <f t="shared" si="2"/>
        <v>v</v>
      </c>
      <c r="F87" s="2" t="b">
        <f>IF(C87=0,ISTEXT(FORMULA.CONVERT("="&amp;A87&amp;"("&amp;REPLACE(REPT(",#ref!",B87),1,1,"")&amp;")()",1)),"")</f>
        <v>0</v>
      </c>
      <c r="G87" s="2"/>
      <c r="H87" s="2" t="str">
        <f t="shared" si="3"/>
        <v/>
      </c>
      <c r="I87" s="2">
        <f>TYPE(REPT(IF(1,1),IF(1,1)))</f>
        <v>2</v>
      </c>
      <c r="J87" s="2">
        <f>IF(C87=0,COUNTIFS(A:A,A87,D:D,"a"),"")</f>
        <v>0</v>
      </c>
      <c r="K87" s="2"/>
      <c r="M87" s="2"/>
    </row>
    <row r="88" spans="1:14" x14ac:dyDescent="0.55000000000000004">
      <c r="A88" s="1" t="s">
        <v>1511</v>
      </c>
      <c r="B88" s="2">
        <f>COUNTIF(A:A,A88)-1</f>
        <v>2</v>
      </c>
      <c r="C88" s="2">
        <f>COUNTIF(A$1:A88,A88)-1</f>
        <v>1</v>
      </c>
      <c r="D88" s="2" t="str">
        <f>Argument!D88</f>
        <v>v</v>
      </c>
      <c r="E88" s="2" t="str">
        <f t="shared" si="2"/>
        <v/>
      </c>
      <c r="F88" s="2" t="str">
        <f>IF(C88=0,ISTEXT(FORMULA.CONVERT("="&amp;A88&amp;"("&amp;REPLACE(REPT(",#ref!",B88),1,1,"")&amp;")()",1)),"")</f>
        <v/>
      </c>
      <c r="G88" s="2">
        <f>TYPE(REPT({1},IF(1,1)))</f>
        <v>64</v>
      </c>
      <c r="H88" s="2" t="str">
        <f t="shared" si="3"/>
        <v/>
      </c>
      <c r="I88" s="2">
        <f>TYPE(REPT(IF(1,1),IF(1,1)))</f>
        <v>2</v>
      </c>
      <c r="J88" s="2" t="str">
        <f>IF(C88=0,COUNTIFS(A:A,A88,D:D,"a"),"")</f>
        <v/>
      </c>
      <c r="K88" s="2" t="e">
        <f>INDEX(+REPT(K88:L88,#REF!),)</f>
        <v>#REF!</v>
      </c>
      <c r="L88" s="1">
        <v>1</v>
      </c>
      <c r="M88" s="2" t="e">
        <f>INDEX(+REPT(INDIRECT(M88:N88),#REF!),)</f>
        <v>#REF!</v>
      </c>
      <c r="N88" s="1">
        <v>1</v>
      </c>
    </row>
    <row r="89" spans="1:14" x14ac:dyDescent="0.55000000000000004">
      <c r="A89" s="1" t="s">
        <v>1511</v>
      </c>
      <c r="B89" s="2">
        <f>COUNTIF(A:A,A89)-1</f>
        <v>2</v>
      </c>
      <c r="C89" s="2">
        <f>COUNTIF(A$1:A89,A89)-1</f>
        <v>2</v>
      </c>
      <c r="D89" s="2" t="str">
        <f>Argument!D89</f>
        <v>v</v>
      </c>
      <c r="E89" s="2" t="str">
        <f t="shared" si="2"/>
        <v/>
      </c>
      <c r="F89" s="2" t="str">
        <f>IF(C89=0,ISTEXT(FORMULA.CONVERT("="&amp;A89&amp;"("&amp;REPLACE(REPT(",#ref!",B89),1,1,"")&amp;")()",1)),"")</f>
        <v/>
      </c>
      <c r="G89" s="2">
        <f>TYPE(REPT(IF(1,1),{1}))</f>
        <v>64</v>
      </c>
      <c r="H89" s="2" t="str">
        <f t="shared" si="3"/>
        <v/>
      </c>
      <c r="I89" s="2">
        <f>TYPE(REPT(IF(1,1),IF(1,1)))</f>
        <v>2</v>
      </c>
      <c r="J89" s="2" t="str">
        <f>IF(C89=0,COUNTIFS(A:A,A89,D:D,"a"),"")</f>
        <v/>
      </c>
      <c r="K89" s="2" t="e">
        <f>INDEX(+REPT(#REF!,K89:L89),)</f>
        <v>#REF!</v>
      </c>
      <c r="L89" s="1">
        <v>1</v>
      </c>
      <c r="M89" s="2" t="e">
        <f>INDEX(+REPT(#REF!,INDIRECT(M89:N89)),)</f>
        <v>#REF!</v>
      </c>
      <c r="N89" s="1">
        <v>1</v>
      </c>
    </row>
    <row r="90" spans="1:14" x14ac:dyDescent="0.55000000000000004">
      <c r="A90" s="1" t="s">
        <v>1512</v>
      </c>
      <c r="B90" s="2">
        <f>COUNTIF(A:A,A90)-1</f>
        <v>3</v>
      </c>
      <c r="C90" s="2">
        <f>COUNTIF(A$1:A90,A90)-1</f>
        <v>0</v>
      </c>
      <c r="D90" s="2" t="str">
        <f>Argument!D90</f>
        <v/>
      </c>
      <c r="E90" s="2" t="str">
        <f t="shared" si="2"/>
        <v>v</v>
      </c>
      <c r="F90" s="2" t="b">
        <f>IF(C90=0,ISTEXT(FORMULA.CONVERT("="&amp;A90&amp;"("&amp;REPLACE(REPT(",#ref!",B90),1,1,"")&amp;")()",1)),"")</f>
        <v>0</v>
      </c>
      <c r="G90" s="2"/>
      <c r="H90" s="2" t="str">
        <f t="shared" si="3"/>
        <v/>
      </c>
      <c r="I90" s="2">
        <f>TYPE(MID(IF(1,1),IF(1,1),IF(1,1)))</f>
        <v>2</v>
      </c>
      <c r="J90" s="2">
        <f>IF(C90=0,COUNTIFS(A:A,A90,D:D,"a"),"")</f>
        <v>0</v>
      </c>
      <c r="K90" s="2"/>
      <c r="M90" s="2"/>
    </row>
    <row r="91" spans="1:14" x14ac:dyDescent="0.55000000000000004">
      <c r="A91" s="1" t="s">
        <v>1512</v>
      </c>
      <c r="B91" s="2">
        <f>COUNTIF(A:A,A91)-1</f>
        <v>3</v>
      </c>
      <c r="C91" s="2">
        <f>COUNTIF(A$1:A91,A91)-1</f>
        <v>1</v>
      </c>
      <c r="D91" s="2" t="str">
        <f>Argument!D91</f>
        <v>v</v>
      </c>
      <c r="E91" s="2" t="str">
        <f t="shared" si="2"/>
        <v/>
      </c>
      <c r="F91" s="2" t="str">
        <f>IF(C91=0,ISTEXT(FORMULA.CONVERT("="&amp;A91&amp;"("&amp;REPLACE(REPT(",#ref!",B91),1,1,"")&amp;")()",1)),"")</f>
        <v/>
      </c>
      <c r="G91" s="2">
        <f>TYPE(MID({1},IF(1,1),IF(1,1)))</f>
        <v>64</v>
      </c>
      <c r="H91" s="2" t="str">
        <f t="shared" si="3"/>
        <v/>
      </c>
      <c r="I91" s="2">
        <f>TYPE(MID(IF(1,1),IF(1,1),IF(1,1)))</f>
        <v>2</v>
      </c>
      <c r="J91" s="2" t="str">
        <f>IF(C91=0,COUNTIFS(A:A,A91,D:D,"a"),"")</f>
        <v/>
      </c>
      <c r="K91" s="2" t="e">
        <f>INDEX(+MID(K91:L91,#REF!,#REF!),)</f>
        <v>#REF!</v>
      </c>
      <c r="L91" s="1">
        <v>1</v>
      </c>
      <c r="M91" s="2" t="e">
        <f>INDEX(+MID(INDIRECT(M91:N91),#REF!,#REF!),)</f>
        <v>#REF!</v>
      </c>
      <c r="N91" s="1">
        <v>1</v>
      </c>
    </row>
    <row r="92" spans="1:14" x14ac:dyDescent="0.55000000000000004">
      <c r="A92" s="1" t="s">
        <v>1512</v>
      </c>
      <c r="B92" s="2">
        <f>COUNTIF(A:A,A92)-1</f>
        <v>3</v>
      </c>
      <c r="C92" s="2">
        <f>COUNTIF(A$1:A92,A92)-1</f>
        <v>2</v>
      </c>
      <c r="D92" s="2" t="str">
        <f>Argument!D92</f>
        <v>v</v>
      </c>
      <c r="E92" s="2" t="str">
        <f t="shared" si="2"/>
        <v/>
      </c>
      <c r="F92" s="2" t="str">
        <f>IF(C92=0,ISTEXT(FORMULA.CONVERT("="&amp;A92&amp;"("&amp;REPLACE(REPT(",#ref!",B92),1,1,"")&amp;")()",1)),"")</f>
        <v/>
      </c>
      <c r="G92" s="2">
        <f>TYPE(MID(IF(1,1),{1},IF(1,1)))</f>
        <v>64</v>
      </c>
      <c r="H92" s="2" t="str">
        <f t="shared" si="3"/>
        <v/>
      </c>
      <c r="I92" s="2">
        <f>TYPE(MID(IF(1,1),IF(1,1),IF(1,1)))</f>
        <v>2</v>
      </c>
      <c r="J92" s="2" t="str">
        <f>IF(C92=0,COUNTIFS(A:A,A92,D:D,"a"),"")</f>
        <v/>
      </c>
      <c r="K92" s="2" t="e">
        <f>INDEX(+MID(#REF!,K92:L92,#REF!),)</f>
        <v>#REF!</v>
      </c>
      <c r="L92" s="1">
        <v>1</v>
      </c>
      <c r="M92" s="2" t="e">
        <f>INDEX(+MID(#REF!,INDIRECT(M92:N92),#REF!),)</f>
        <v>#REF!</v>
      </c>
      <c r="N92" s="1">
        <v>1</v>
      </c>
    </row>
    <row r="93" spans="1:14" x14ac:dyDescent="0.55000000000000004">
      <c r="A93" s="1" t="s">
        <v>1512</v>
      </c>
      <c r="B93" s="2">
        <f>COUNTIF(A:A,A93)-1</f>
        <v>3</v>
      </c>
      <c r="C93" s="2">
        <f>COUNTIF(A$1:A93,A93)-1</f>
        <v>3</v>
      </c>
      <c r="D93" s="2" t="str">
        <f>Argument!D93</f>
        <v>v</v>
      </c>
      <c r="E93" s="2" t="str">
        <f t="shared" si="2"/>
        <v/>
      </c>
      <c r="F93" s="2" t="str">
        <f>IF(C93=0,ISTEXT(FORMULA.CONVERT("="&amp;A93&amp;"("&amp;REPLACE(REPT(",#ref!",B93),1,1,"")&amp;")()",1)),"")</f>
        <v/>
      </c>
      <c r="G93" s="2">
        <f>TYPE(MID(IF(1,1),IF(1,1),{1}))</f>
        <v>64</v>
      </c>
      <c r="H93" s="2" t="str">
        <f t="shared" si="3"/>
        <v/>
      </c>
      <c r="I93" s="2">
        <f>TYPE(MID(IF(1,1),IF(1,1),IF(1,1)))</f>
        <v>2</v>
      </c>
      <c r="J93" s="2" t="str">
        <f>IF(C93=0,COUNTIFS(A:A,A93,D:D,"a"),"")</f>
        <v/>
      </c>
      <c r="K93" s="2" t="e">
        <f>INDEX(+MID(#REF!,#REF!,K93:L93),)</f>
        <v>#REF!</v>
      </c>
      <c r="L93" s="1">
        <v>1</v>
      </c>
      <c r="M93" s="2" t="e">
        <f>INDEX(+MID(#REF!,#REF!,INDIRECT(M93:N93)),)</f>
        <v>#REF!</v>
      </c>
      <c r="N93" s="1">
        <v>1</v>
      </c>
    </row>
    <row r="94" spans="1:14" x14ac:dyDescent="0.55000000000000004">
      <c r="A94" s="1" t="s">
        <v>1513</v>
      </c>
      <c r="B94" s="2">
        <f>COUNTIF(A:A,A94)-1</f>
        <v>1</v>
      </c>
      <c r="C94" s="2">
        <f>COUNTIF(A$1:A94,A94)-1</f>
        <v>0</v>
      </c>
      <c r="D94" s="2" t="str">
        <f>Argument!D94</f>
        <v/>
      </c>
      <c r="E94" s="2" t="str">
        <f t="shared" si="2"/>
        <v>v</v>
      </c>
      <c r="F94" s="2" t="b">
        <f>IF(C94=0,ISTEXT(FORMULA.CONVERT("="&amp;A94&amp;"("&amp;REPLACE(REPT(",#ref!",B94),1,1,"")&amp;")()",1)),"")</f>
        <v>0</v>
      </c>
      <c r="G94" s="2"/>
      <c r="H94" s="2" t="str">
        <f t="shared" si="3"/>
        <v/>
      </c>
      <c r="I94" s="2">
        <f>TYPE(LEN(IF(1,1)))</f>
        <v>1</v>
      </c>
      <c r="J94" s="2">
        <f>IF(C94=0,COUNTIFS(A:A,A94,D:D,"a"),"")</f>
        <v>0</v>
      </c>
      <c r="K94" s="2"/>
      <c r="M94" s="2"/>
    </row>
    <row r="95" spans="1:14" x14ac:dyDescent="0.55000000000000004">
      <c r="A95" s="1" t="s">
        <v>1513</v>
      </c>
      <c r="B95" s="2">
        <f>COUNTIF(A:A,A95)-1</f>
        <v>1</v>
      </c>
      <c r="C95" s="2">
        <f>COUNTIF(A$1:A95,A95)-1</f>
        <v>1</v>
      </c>
      <c r="D95" s="2" t="str">
        <f>Argument!D95</f>
        <v>v</v>
      </c>
      <c r="E95" s="2" t="str">
        <f t="shared" si="2"/>
        <v/>
      </c>
      <c r="F95" s="2" t="str">
        <f>IF(C95=0,ISTEXT(FORMULA.CONVERT("="&amp;A95&amp;"("&amp;REPLACE(REPT(",#ref!",B95),1,1,"")&amp;")()",1)),"")</f>
        <v/>
      </c>
      <c r="G95" s="2">
        <f>TYPE(LEN({1}))</f>
        <v>64</v>
      </c>
      <c r="H95" s="2" t="str">
        <f t="shared" si="3"/>
        <v/>
      </c>
      <c r="I95" s="2">
        <f>TYPE(LEN(IF(1,1)))</f>
        <v>1</v>
      </c>
      <c r="J95" s="2" t="str">
        <f>IF(C95=0,COUNTIFS(A:A,A95,D:D,"a"),"")</f>
        <v/>
      </c>
      <c r="K95" s="2">
        <f>INDEX(+LEN(K95:L95),)</f>
        <v>1</v>
      </c>
      <c r="L95" s="1">
        <v>1</v>
      </c>
      <c r="M95" s="2" t="e">
        <f>INDEX(+LEN(INDIRECT(M95:N95)),)</f>
        <v>#REF!</v>
      </c>
      <c r="N95" s="1">
        <v>1</v>
      </c>
    </row>
    <row r="96" spans="1:14" x14ac:dyDescent="0.55000000000000004">
      <c r="A96" s="1" t="s">
        <v>0</v>
      </c>
      <c r="B96" s="2">
        <f>COUNTIF(A:A,A96)-1</f>
        <v>1</v>
      </c>
      <c r="C96" s="2">
        <f>COUNTIF(A$1:A96,A96)-1</f>
        <v>0</v>
      </c>
      <c r="D96" s="2" t="str">
        <f>Argument!D96</f>
        <v/>
      </c>
      <c r="E96" s="2" t="str">
        <f t="shared" si="2"/>
        <v>v</v>
      </c>
      <c r="F96" s="2" t="b">
        <f>IF(C96=0,ISTEXT(FORMULA.CONVERT("="&amp;A96&amp;"("&amp;REPLACE(REPT(",#ref!",B96),1,1,"")&amp;")()",1)),"")</f>
        <v>0</v>
      </c>
      <c r="G96" s="2"/>
      <c r="H96" s="2" t="str">
        <f t="shared" si="3"/>
        <v/>
      </c>
      <c r="I96" s="2">
        <f>TYPE(VALUE(IF(1,1)))</f>
        <v>1</v>
      </c>
      <c r="J96" s="2">
        <f>IF(C96=0,COUNTIFS(A:A,A96,D:D,"a"),"")</f>
        <v>0</v>
      </c>
      <c r="K96" s="2"/>
      <c r="M96" s="2"/>
    </row>
    <row r="97" spans="1:14" x14ac:dyDescent="0.55000000000000004">
      <c r="A97" s="1" t="s">
        <v>0</v>
      </c>
      <c r="B97" s="2">
        <f>COUNTIF(A:A,A97)-1</f>
        <v>1</v>
      </c>
      <c r="C97" s="2">
        <f>COUNTIF(A$1:A97,A97)-1</f>
        <v>1</v>
      </c>
      <c r="D97" s="2" t="str">
        <f>Argument!D97</f>
        <v>v</v>
      </c>
      <c r="E97" s="2" t="str">
        <f t="shared" si="2"/>
        <v/>
      </c>
      <c r="F97" s="2" t="str">
        <f>IF(C97=0,ISTEXT(FORMULA.CONVERT("="&amp;A97&amp;"("&amp;REPLACE(REPT(",#ref!",B97),1,1,"")&amp;")()",1)),"")</f>
        <v/>
      </c>
      <c r="G97" s="2">
        <f>TYPE(VALUE({1}))</f>
        <v>64</v>
      </c>
      <c r="H97" s="2" t="str">
        <f t="shared" si="3"/>
        <v/>
      </c>
      <c r="I97" s="2">
        <f>TYPE(VALUE(IF(1,1)))</f>
        <v>1</v>
      </c>
      <c r="J97" s="2" t="str">
        <f>IF(C97=0,COUNTIFS(A:A,A97,D:D,"a"),"")</f>
        <v/>
      </c>
      <c r="K97" s="2">
        <f>INDEX(+VALUE(K97:L97),)</f>
        <v>0</v>
      </c>
      <c r="L97" s="1">
        <v>1</v>
      </c>
      <c r="M97" s="2" t="e">
        <f>INDEX(+VALUE(INDIRECT(M97:N97)),)</f>
        <v>#REF!</v>
      </c>
      <c r="N97" s="1">
        <v>1</v>
      </c>
    </row>
    <row r="98" spans="1:14" x14ac:dyDescent="0.55000000000000004">
      <c r="A98" s="1" t="s">
        <v>2043</v>
      </c>
      <c r="B98" s="2">
        <f>COUNTIF(A:A,A98)-1</f>
        <v>-1</v>
      </c>
      <c r="C98" s="2">
        <f>COUNTIF(A$1:A98,A98)-1</f>
        <v>-1</v>
      </c>
      <c r="D98" s="2" t="str">
        <f>Argument!D98</f>
        <v/>
      </c>
      <c r="E98" s="2" t="str">
        <f t="shared" si="2"/>
        <v/>
      </c>
      <c r="F98" s="2" t="str">
        <f>IF(C98=0,ISTEXT(FORMULA.CONVERT("="&amp;A98&amp;"("&amp;REPLACE(REPT(",#ref!",B98),1,1,"")&amp;")()",1)),"")</f>
        <v/>
      </c>
      <c r="G98" s="2"/>
      <c r="H98" s="2" t="str">
        <f t="shared" si="3"/>
        <v/>
      </c>
      <c r="I98" s="2"/>
      <c r="J98" s="2" t="str">
        <f>IF(C98=0,COUNTIFS(A:A,A98,D:D,"a"),"")</f>
        <v/>
      </c>
      <c r="K98" s="2"/>
      <c r="M98" s="2"/>
    </row>
    <row r="99" spans="1:14" x14ac:dyDescent="0.55000000000000004">
      <c r="A99" s="1" t="s">
        <v>2044</v>
      </c>
      <c r="B99" s="2">
        <f>COUNTIF(A:A,A99)-1</f>
        <v>-1</v>
      </c>
      <c r="C99" s="2">
        <f>COUNTIF(A$1:A99,A99)-1</f>
        <v>-1</v>
      </c>
      <c r="D99" s="2" t="str">
        <f>Argument!D99</f>
        <v/>
      </c>
      <c r="E99" s="2" t="str">
        <f t="shared" si="2"/>
        <v/>
      </c>
      <c r="F99" s="2" t="str">
        <f>IF(C99=0,ISTEXT(FORMULA.CONVERT("="&amp;A99&amp;"("&amp;REPLACE(REPT(",#ref!",B99),1,1,"")&amp;")()",1)),"")</f>
        <v/>
      </c>
      <c r="G99" s="2"/>
      <c r="H99" s="2" t="str">
        <f t="shared" si="3"/>
        <v/>
      </c>
      <c r="I99" s="2"/>
      <c r="J99" s="2" t="str">
        <f>IF(C99=0,COUNTIFS(A:A,A99,D:D,"a"),"")</f>
        <v/>
      </c>
      <c r="K99" s="2"/>
      <c r="M99" s="2"/>
    </row>
    <row r="100" spans="1:14" x14ac:dyDescent="0.55000000000000004">
      <c r="A100" s="1" t="s">
        <v>1514</v>
      </c>
      <c r="B100" s="2">
        <f>COUNTIF(A:A,A100)-1</f>
        <v>3</v>
      </c>
      <c r="C100" s="2">
        <f>COUNTIF(A$1:A100,A100)-1</f>
        <v>0</v>
      </c>
      <c r="D100" s="2" t="str">
        <f>Argument!D100</f>
        <v/>
      </c>
      <c r="E100" s="2" t="str">
        <f t="shared" si="2"/>
        <v>v</v>
      </c>
      <c r="F100" s="2" t="b">
        <f>IF(C100=0,ISTEXT(FORMULA.CONVERT("="&amp;A100&amp;"("&amp;REPLACE(REPT(",#ref!",B100),1,1,"")&amp;")()",1)),"")</f>
        <v>0</v>
      </c>
      <c r="G100" s="2"/>
      <c r="H100" s="2" t="str">
        <f t="shared" si="3"/>
        <v/>
      </c>
      <c r="I100" s="2">
        <f>TYPE(AND(IF(1,1),IF(1,1),IF(1,1)))</f>
        <v>4</v>
      </c>
      <c r="J100" s="2">
        <f>IF(C100=0,COUNTIFS(A:A,A100,D:D,"a"),"")</f>
        <v>0</v>
      </c>
      <c r="K100" s="2"/>
      <c r="M100" s="2"/>
    </row>
    <row r="101" spans="1:14" x14ac:dyDescent="0.55000000000000004">
      <c r="A101" s="1" t="s">
        <v>1514</v>
      </c>
      <c r="B101" s="2">
        <f>COUNTIF(A:A,A101)-1</f>
        <v>3</v>
      </c>
      <c r="C101" s="2">
        <f>COUNTIF(A$1:A101,A101)-1</f>
        <v>1</v>
      </c>
      <c r="D101" s="2" t="str">
        <f>Argument!D101</f>
        <v>var</v>
      </c>
      <c r="E101" s="2" t="str">
        <f t="shared" si="2"/>
        <v/>
      </c>
      <c r="F101" s="2" t="str">
        <f>IF(C101=0,ISTEXT(FORMULA.CONVERT("="&amp;A101&amp;"("&amp;REPLACE(REPT(",#ref!",B101),1,1,"")&amp;")()",1)),"")</f>
        <v/>
      </c>
      <c r="G101" s="2">
        <f>TYPE(AND({1},IF(1,1),IF(1,1)))</f>
        <v>4</v>
      </c>
      <c r="H101" s="2" t="str">
        <f t="shared" si="3"/>
        <v/>
      </c>
      <c r="I101" s="2">
        <f>TYPE(AND(IF(1,1),IF(1,1),IF(1,1)))</f>
        <v>4</v>
      </c>
      <c r="J101" s="2" t="str">
        <f>IF(C101=0,COUNTIFS(A:A,A101,D:D,"a"),"")</f>
        <v/>
      </c>
      <c r="K101" s="2" t="e">
        <f>INDEX(+AND(K101:L101,#REF!,#REF!),)</f>
        <v>#REF!</v>
      </c>
      <c r="L101" s="1">
        <v>1</v>
      </c>
      <c r="M101" s="2" t="e">
        <f>INDEX(+AND(INDIRECT(M101:N101),#REF!,#REF!),)</f>
        <v>#REF!</v>
      </c>
      <c r="N101" s="1">
        <v>1</v>
      </c>
    </row>
    <row r="102" spans="1:14" x14ac:dyDescent="0.55000000000000004">
      <c r="A102" s="1" t="s">
        <v>1514</v>
      </c>
      <c r="B102" s="2">
        <f>COUNTIF(A:A,A102)-1</f>
        <v>3</v>
      </c>
      <c r="C102" s="2">
        <f>COUNTIF(A$1:A102,A102)-1</f>
        <v>2</v>
      </c>
      <c r="D102" s="2" t="str">
        <f>Argument!D102</f>
        <v>var</v>
      </c>
      <c r="E102" s="2" t="str">
        <f t="shared" si="2"/>
        <v/>
      </c>
      <c r="F102" s="2" t="str">
        <f>IF(C102=0,ISTEXT(FORMULA.CONVERT("="&amp;A102&amp;"("&amp;REPLACE(REPT(",#ref!",B102),1,1,"")&amp;")()",1)),"")</f>
        <v/>
      </c>
      <c r="G102" s="2">
        <f>TYPE(AND(IF(1,1),{1},IF(1,1)))</f>
        <v>4</v>
      </c>
      <c r="H102" s="2" t="str">
        <f t="shared" si="3"/>
        <v/>
      </c>
      <c r="I102" s="2">
        <f>TYPE(AND(IF(1,1),IF(1,1),IF(1,1)))</f>
        <v>4</v>
      </c>
      <c r="J102" s="2" t="str">
        <f>IF(C102=0,COUNTIFS(A:A,A102,D:D,"a"),"")</f>
        <v/>
      </c>
      <c r="K102" s="2" t="e">
        <f>INDEX(+AND(#REF!,K102:L102,#REF!),)</f>
        <v>#REF!</v>
      </c>
      <c r="L102" s="1">
        <v>1</v>
      </c>
      <c r="M102" s="2" t="e">
        <f>INDEX(+AND(#REF!,INDIRECT(M102:N102),#REF!),)</f>
        <v>#REF!</v>
      </c>
      <c r="N102" s="1">
        <v>1</v>
      </c>
    </row>
    <row r="103" spans="1:14" x14ac:dyDescent="0.55000000000000004">
      <c r="A103" s="1" t="s">
        <v>1514</v>
      </c>
      <c r="B103" s="2">
        <f>COUNTIF(A:A,A103)-1</f>
        <v>3</v>
      </c>
      <c r="C103" s="2">
        <f>COUNTIF(A$1:A103,A103)-1</f>
        <v>3</v>
      </c>
      <c r="D103" s="2" t="str">
        <f>Argument!D103</f>
        <v>var</v>
      </c>
      <c r="E103" s="2" t="str">
        <f t="shared" si="2"/>
        <v/>
      </c>
      <c r="F103" s="2" t="str">
        <f>IF(C103=0,ISTEXT(FORMULA.CONVERT("="&amp;A103&amp;"("&amp;REPLACE(REPT(",#ref!",B103),1,1,"")&amp;")()",1)),"")</f>
        <v/>
      </c>
      <c r="G103" s="2">
        <f>TYPE(AND(IF(1,1),IF(1,1),{1}))</f>
        <v>4</v>
      </c>
      <c r="H103" s="2" t="str">
        <f t="shared" si="3"/>
        <v/>
      </c>
      <c r="I103" s="2">
        <f>TYPE(AND(IF(1,1),IF(1,1),IF(1,1)))</f>
        <v>4</v>
      </c>
      <c r="J103" s="2" t="str">
        <f>IF(C103=0,COUNTIFS(A:A,A103,D:D,"a"),"")</f>
        <v/>
      </c>
      <c r="K103" s="2" t="e">
        <f>INDEX(+AND(#REF!,#REF!,K103:L103),)</f>
        <v>#REF!</v>
      </c>
      <c r="L103" s="1">
        <v>1</v>
      </c>
      <c r="M103" s="2" t="e">
        <f>INDEX(+AND(#REF!,#REF!,INDIRECT(M103:N103)),)</f>
        <v>#REF!</v>
      </c>
      <c r="N103" s="1">
        <v>1</v>
      </c>
    </row>
    <row r="104" spans="1:14" x14ac:dyDescent="0.55000000000000004">
      <c r="A104" s="1" t="s">
        <v>1515</v>
      </c>
      <c r="B104" s="2">
        <f>COUNTIF(A:A,A104)-1</f>
        <v>3</v>
      </c>
      <c r="C104" s="2">
        <f>COUNTIF(A$1:A104,A104)-1</f>
        <v>0</v>
      </c>
      <c r="D104" s="2" t="str">
        <f>Argument!D104</f>
        <v/>
      </c>
      <c r="E104" s="2" t="str">
        <f t="shared" si="2"/>
        <v>v</v>
      </c>
      <c r="F104" s="2" t="b">
        <f>IF(C104=0,ISTEXT(FORMULA.CONVERT("="&amp;A104&amp;"("&amp;REPLACE(REPT(",#ref!",B104),1,1,"")&amp;")()",1)),"")</f>
        <v>0</v>
      </c>
      <c r="G104" s="2"/>
      <c r="H104" s="2" t="str">
        <f t="shared" si="3"/>
        <v/>
      </c>
      <c r="I104" s="2">
        <f>TYPE(OR(IF(1,1),IF(1,1),IF(1,1)))</f>
        <v>4</v>
      </c>
      <c r="J104" s="2">
        <f>IF(C104=0,COUNTIFS(A:A,A104,D:D,"a"),"")</f>
        <v>0</v>
      </c>
      <c r="K104" s="2"/>
      <c r="M104" s="2"/>
    </row>
    <row r="105" spans="1:14" x14ac:dyDescent="0.55000000000000004">
      <c r="A105" s="1" t="s">
        <v>1515</v>
      </c>
      <c r="B105" s="2">
        <f>COUNTIF(A:A,A105)-1</f>
        <v>3</v>
      </c>
      <c r="C105" s="2">
        <f>COUNTIF(A$1:A105,A105)-1</f>
        <v>1</v>
      </c>
      <c r="D105" s="2" t="str">
        <f>Argument!D105</f>
        <v>var</v>
      </c>
      <c r="E105" s="2" t="str">
        <f t="shared" si="2"/>
        <v/>
      </c>
      <c r="F105" s="2" t="str">
        <f>IF(C105=0,ISTEXT(FORMULA.CONVERT("="&amp;A105&amp;"("&amp;REPLACE(REPT(",#ref!",B105),1,1,"")&amp;")()",1)),"")</f>
        <v/>
      </c>
      <c r="G105" s="2">
        <f>TYPE(OR({1},IF(1,1),IF(1,1)))</f>
        <v>4</v>
      </c>
      <c r="H105" s="2" t="str">
        <f t="shared" si="3"/>
        <v/>
      </c>
      <c r="I105" s="2">
        <f>TYPE(OR(IF(1,1),IF(1,1),IF(1,1)))</f>
        <v>4</v>
      </c>
      <c r="J105" s="2" t="str">
        <f>IF(C105=0,COUNTIFS(A:A,A105,D:D,"a"),"")</f>
        <v/>
      </c>
      <c r="K105" s="2" t="e">
        <f>INDEX(+OR(K105:L105,#REF!,#REF!),)</f>
        <v>#REF!</v>
      </c>
      <c r="L105" s="1">
        <v>1</v>
      </c>
      <c r="M105" s="2" t="e">
        <f>INDEX(+OR(INDIRECT(M105:N105),#REF!,#REF!),)</f>
        <v>#REF!</v>
      </c>
      <c r="N105" s="1">
        <v>1</v>
      </c>
    </row>
    <row r="106" spans="1:14" x14ac:dyDescent="0.55000000000000004">
      <c r="A106" s="1" t="s">
        <v>1515</v>
      </c>
      <c r="B106" s="2">
        <f>COUNTIF(A:A,A106)-1</f>
        <v>3</v>
      </c>
      <c r="C106" s="2">
        <f>COUNTIF(A$1:A106,A106)-1</f>
        <v>2</v>
      </c>
      <c r="D106" s="2" t="str">
        <f>Argument!D106</f>
        <v>var</v>
      </c>
      <c r="E106" s="2" t="str">
        <f t="shared" si="2"/>
        <v/>
      </c>
      <c r="F106" s="2" t="str">
        <f>IF(C106=0,ISTEXT(FORMULA.CONVERT("="&amp;A106&amp;"("&amp;REPLACE(REPT(",#ref!",B106),1,1,"")&amp;")()",1)),"")</f>
        <v/>
      </c>
      <c r="G106" s="2">
        <f>TYPE(OR(IF(1,1),{1},IF(1,1)))</f>
        <v>4</v>
      </c>
      <c r="H106" s="2" t="str">
        <f t="shared" si="3"/>
        <v/>
      </c>
      <c r="I106" s="2">
        <f>TYPE(OR(IF(1,1),IF(1,1),IF(1,1)))</f>
        <v>4</v>
      </c>
      <c r="J106" s="2" t="str">
        <f>IF(C106=0,COUNTIFS(A:A,A106,D:D,"a"),"")</f>
        <v/>
      </c>
      <c r="K106" s="2" t="e">
        <f>INDEX(+OR(#REF!,K106:L106,#REF!),)</f>
        <v>#REF!</v>
      </c>
      <c r="L106" s="1">
        <v>1</v>
      </c>
      <c r="M106" s="2" t="e">
        <f>INDEX(+OR(#REF!,INDIRECT(M106:N106),#REF!),)</f>
        <v>#REF!</v>
      </c>
      <c r="N106" s="1">
        <v>1</v>
      </c>
    </row>
    <row r="107" spans="1:14" x14ac:dyDescent="0.55000000000000004">
      <c r="A107" s="1" t="s">
        <v>1515</v>
      </c>
      <c r="B107" s="2">
        <f>COUNTIF(A:A,A107)-1</f>
        <v>3</v>
      </c>
      <c r="C107" s="2">
        <f>COUNTIF(A$1:A107,A107)-1</f>
        <v>3</v>
      </c>
      <c r="D107" s="2" t="str">
        <f>Argument!D107</f>
        <v>var</v>
      </c>
      <c r="E107" s="2" t="str">
        <f t="shared" si="2"/>
        <v/>
      </c>
      <c r="F107" s="2" t="str">
        <f>IF(C107=0,ISTEXT(FORMULA.CONVERT("="&amp;A107&amp;"("&amp;REPLACE(REPT(",#ref!",B107),1,1,"")&amp;")()",1)),"")</f>
        <v/>
      </c>
      <c r="G107" s="2">
        <f>TYPE(OR(IF(1,1),IF(1,1),{1}))</f>
        <v>4</v>
      </c>
      <c r="H107" s="2" t="str">
        <f t="shared" si="3"/>
        <v/>
      </c>
      <c r="I107" s="2">
        <f>TYPE(OR(IF(1,1),IF(1,1),IF(1,1)))</f>
        <v>4</v>
      </c>
      <c r="J107" s="2" t="str">
        <f>IF(C107=0,COUNTIFS(A:A,A107,D:D,"a"),"")</f>
        <v/>
      </c>
      <c r="K107" s="2" t="e">
        <f>INDEX(+OR(#REF!,#REF!,K107:L107),)</f>
        <v>#REF!</v>
      </c>
      <c r="L107" s="1">
        <v>1</v>
      </c>
      <c r="M107" s="2" t="e">
        <f>INDEX(+OR(#REF!,#REF!,INDIRECT(M107:N107)),)</f>
        <v>#REF!</v>
      </c>
      <c r="N107" s="1">
        <v>1</v>
      </c>
    </row>
    <row r="108" spans="1:14" x14ac:dyDescent="0.55000000000000004">
      <c r="A108" s="1" t="s">
        <v>1516</v>
      </c>
      <c r="B108" s="2">
        <f>COUNTIF(A:A,A108)-1</f>
        <v>1</v>
      </c>
      <c r="C108" s="2">
        <f>COUNTIF(A$1:A108,A108)-1</f>
        <v>0</v>
      </c>
      <c r="D108" s="2" t="str">
        <f>Argument!D108</f>
        <v/>
      </c>
      <c r="E108" s="2" t="str">
        <f t="shared" si="2"/>
        <v>v</v>
      </c>
      <c r="F108" s="2" t="b">
        <f>IF(C108=0,ISTEXT(FORMULA.CONVERT("="&amp;A108&amp;"("&amp;REPLACE(REPT(",#ref!",B108),1,1,"")&amp;")()",1)),"")</f>
        <v>0</v>
      </c>
      <c r="G108" s="2"/>
      <c r="H108" s="2" t="str">
        <f t="shared" si="3"/>
        <v/>
      </c>
      <c r="I108" s="2">
        <f>TYPE(NOT(IF(1,1)))</f>
        <v>4</v>
      </c>
      <c r="J108" s="2">
        <f>IF(C108=0,COUNTIFS(A:A,A108,D:D,"a"),"")</f>
        <v>0</v>
      </c>
      <c r="K108" s="2"/>
      <c r="M108" s="2"/>
    </row>
    <row r="109" spans="1:14" x14ac:dyDescent="0.55000000000000004">
      <c r="A109" s="1" t="s">
        <v>1516</v>
      </c>
      <c r="B109" s="2">
        <f>COUNTIF(A:A,A109)-1</f>
        <v>1</v>
      </c>
      <c r="C109" s="2">
        <f>COUNTIF(A$1:A109,A109)-1</f>
        <v>1</v>
      </c>
      <c r="D109" s="2" t="str">
        <f>Argument!D109</f>
        <v>v</v>
      </c>
      <c r="E109" s="2" t="str">
        <f t="shared" si="2"/>
        <v/>
      </c>
      <c r="F109" s="2" t="str">
        <f>IF(C109=0,ISTEXT(FORMULA.CONVERT("="&amp;A109&amp;"("&amp;REPLACE(REPT(",#ref!",B109),1,1,"")&amp;")()",1)),"")</f>
        <v/>
      </c>
      <c r="G109" s="2">
        <f>TYPE(NOT({1}))</f>
        <v>64</v>
      </c>
      <c r="H109" s="2" t="str">
        <f t="shared" si="3"/>
        <v/>
      </c>
      <c r="I109" s="2">
        <f>TYPE(NOT(IF(1,1)))</f>
        <v>4</v>
      </c>
      <c r="J109" s="2" t="str">
        <f>IF(C109=0,COUNTIFS(A:A,A109,D:D,"a"),"")</f>
        <v/>
      </c>
      <c r="K109" s="2" t="b">
        <f>INDEX(+NOT(K109:L109),)</f>
        <v>1</v>
      </c>
      <c r="L109" s="1">
        <v>1</v>
      </c>
      <c r="M109" s="2" t="e">
        <f>INDEX(+NOT(INDIRECT(M109:N109)),)</f>
        <v>#REF!</v>
      </c>
      <c r="N109" s="1">
        <v>1</v>
      </c>
    </row>
    <row r="110" spans="1:14" x14ac:dyDescent="0.55000000000000004">
      <c r="A110" s="1" t="s">
        <v>1517</v>
      </c>
      <c r="B110" s="2">
        <f>COUNTIF(A:A,A110)-1</f>
        <v>2</v>
      </c>
      <c r="C110" s="2">
        <f>COUNTIF(A$1:A110,A110)-1</f>
        <v>0</v>
      </c>
      <c r="D110" s="2" t="str">
        <f>Argument!D110</f>
        <v/>
      </c>
      <c r="E110" s="2" t="str">
        <f t="shared" si="2"/>
        <v>v</v>
      </c>
      <c r="F110" s="2" t="b">
        <f>IF(C110=0,ISTEXT(FORMULA.CONVERT("="&amp;A110&amp;"("&amp;REPLACE(REPT(",#ref!",B110),1,1,"")&amp;")()",1)),"")</f>
        <v>0</v>
      </c>
      <c r="G110" s="2"/>
      <c r="H110" s="2" t="str">
        <f t="shared" si="3"/>
        <v/>
      </c>
      <c r="I110" s="2">
        <f>TYPE(MOD(IF(1,1),IF(1,1)))</f>
        <v>1</v>
      </c>
      <c r="J110" s="2">
        <f>IF(C110=0,COUNTIFS(A:A,A110,D:D,"a"),"")</f>
        <v>0</v>
      </c>
      <c r="K110" s="2"/>
      <c r="M110" s="2"/>
    </row>
    <row r="111" spans="1:14" x14ac:dyDescent="0.55000000000000004">
      <c r="A111" s="1" t="s">
        <v>1517</v>
      </c>
      <c r="B111" s="2">
        <f>COUNTIF(A:A,A111)-1</f>
        <v>2</v>
      </c>
      <c r="C111" s="2">
        <f>COUNTIF(A$1:A111,A111)-1</f>
        <v>1</v>
      </c>
      <c r="D111" s="2" t="str">
        <f>Argument!D111</f>
        <v>v</v>
      </c>
      <c r="E111" s="2" t="str">
        <f t="shared" si="2"/>
        <v/>
      </c>
      <c r="F111" s="2" t="str">
        <f>IF(C111=0,ISTEXT(FORMULA.CONVERT("="&amp;A111&amp;"("&amp;REPLACE(REPT(",#ref!",B111),1,1,"")&amp;")()",1)),"")</f>
        <v/>
      </c>
      <c r="G111" s="2">
        <f>TYPE(MOD({1},IF(1,1)))</f>
        <v>64</v>
      </c>
      <c r="H111" s="2" t="str">
        <f t="shared" si="3"/>
        <v/>
      </c>
      <c r="I111" s="2">
        <f>TYPE(MOD(IF(1,1),IF(1,1)))</f>
        <v>1</v>
      </c>
      <c r="J111" s="2" t="str">
        <f>IF(C111=0,COUNTIFS(A:A,A111,D:D,"a"),"")</f>
        <v/>
      </c>
      <c r="K111" s="2" t="e">
        <f>INDEX(+MOD(K111:L111,#REF!),)</f>
        <v>#REF!</v>
      </c>
      <c r="L111" s="1">
        <v>1</v>
      </c>
      <c r="M111" s="2" t="e">
        <f>INDEX(+MOD(INDIRECT(M111:N111),#REF!),)</f>
        <v>#REF!</v>
      </c>
      <c r="N111" s="1">
        <v>1</v>
      </c>
    </row>
    <row r="112" spans="1:14" x14ac:dyDescent="0.55000000000000004">
      <c r="A112" s="1" t="s">
        <v>1517</v>
      </c>
      <c r="B112" s="2">
        <f>COUNTIF(A:A,A112)-1</f>
        <v>2</v>
      </c>
      <c r="C112" s="2">
        <f>COUNTIF(A$1:A112,A112)-1</f>
        <v>2</v>
      </c>
      <c r="D112" s="2" t="str">
        <f>Argument!D112</f>
        <v>v</v>
      </c>
      <c r="E112" s="2" t="str">
        <f t="shared" si="2"/>
        <v/>
      </c>
      <c r="F112" s="2" t="str">
        <f>IF(C112=0,ISTEXT(FORMULA.CONVERT("="&amp;A112&amp;"("&amp;REPLACE(REPT(",#ref!",B112),1,1,"")&amp;")()",1)),"")</f>
        <v/>
      </c>
      <c r="G112" s="2">
        <f>TYPE(MOD(IF(1,1),{1}))</f>
        <v>64</v>
      </c>
      <c r="H112" s="2" t="str">
        <f t="shared" si="3"/>
        <v/>
      </c>
      <c r="I112" s="2">
        <f>TYPE(MOD(IF(1,1),IF(1,1)))</f>
        <v>1</v>
      </c>
      <c r="J112" s="2" t="str">
        <f>IF(C112=0,COUNTIFS(A:A,A112,D:D,"a"),"")</f>
        <v/>
      </c>
      <c r="K112" s="2" t="e">
        <f>INDEX(+MOD(#REF!,K112:L112),)</f>
        <v>#REF!</v>
      </c>
      <c r="L112" s="1">
        <v>1</v>
      </c>
      <c r="M112" s="2" t="e">
        <f>INDEX(+MOD(#REF!,INDIRECT(M112:N112)),)</f>
        <v>#REF!</v>
      </c>
      <c r="N112" s="1">
        <v>1</v>
      </c>
    </row>
    <row r="113" spans="1:14" x14ac:dyDescent="0.55000000000000004">
      <c r="A113" s="1" t="s">
        <v>1518</v>
      </c>
      <c r="B113" s="2">
        <f>COUNTIF(A:A,A113)-1</f>
        <v>3</v>
      </c>
      <c r="C113" s="2">
        <f>COUNTIF(A$1:A113,A113)-1</f>
        <v>0</v>
      </c>
      <c r="D113" s="2" t="str">
        <f>Argument!D113</f>
        <v/>
      </c>
      <c r="E113" s="2" t="str">
        <f t="shared" si="2"/>
        <v>v</v>
      </c>
      <c r="F113" s="2" t="b">
        <f>IF(C113=0,ISTEXT(FORMULA.CONVERT("="&amp;A113&amp;"("&amp;REPLACE(REPT(",#ref!",B113),1,1,"")&amp;")()",1)),"")</f>
        <v>0</v>
      </c>
      <c r="G113" s="2"/>
      <c r="H113" s="2" t="str">
        <f t="shared" si="3"/>
        <v/>
      </c>
      <c r="I113" s="2">
        <f>TYPE(DCOUNT(IF(1,1),IF(1,1),IF(1,1)))</f>
        <v>16</v>
      </c>
      <c r="J113" s="2">
        <f>IF(C113=0,COUNTIFS(A:A,A113,D:D,"a"),"")</f>
        <v>0</v>
      </c>
      <c r="K113" s="2"/>
      <c r="M113" s="2"/>
    </row>
    <row r="114" spans="1:14" x14ac:dyDescent="0.55000000000000004">
      <c r="A114" s="1" t="s">
        <v>1518</v>
      </c>
      <c r="B114" s="2">
        <f>COUNTIF(A:A,A114)-1</f>
        <v>3</v>
      </c>
      <c r="C114" s="2">
        <f>COUNTIF(A$1:A114,A114)-1</f>
        <v>1</v>
      </c>
      <c r="D114" s="2" t="str">
        <f>Argument!D114</f>
        <v>r</v>
      </c>
      <c r="E114" s="2" t="str">
        <f t="shared" si="2"/>
        <v/>
      </c>
      <c r="F114" s="2" t="str">
        <f>IF(C114=0,ISTEXT(FORMULA.CONVERT("="&amp;A114&amp;"("&amp;REPLACE(REPT(",#ref!",B114),1,1,"")&amp;")()",1)),"")</f>
        <v/>
      </c>
      <c r="G114" s="2"/>
      <c r="H114" s="2" t="str">
        <f t="shared" si="3"/>
        <v/>
      </c>
      <c r="I114" s="2">
        <f>TYPE(DCOUNT(IF(1,1),IF(1,1),IF(1,1)))</f>
        <v>16</v>
      </c>
      <c r="J114" s="2" t="str">
        <f>IF(C114=0,COUNTIFS(A:A,A114,D:D,"a"),"")</f>
        <v/>
      </c>
      <c r="K114" s="2" t="e">
        <f>INDEX(+DCOUNT(K114:L114,#REF!,#REF!),)</f>
        <v>#REF!</v>
      </c>
      <c r="L114" s="1">
        <v>1</v>
      </c>
      <c r="M114" s="2" t="e">
        <f>INDEX(+DCOUNT(INDIRECT(M114:N114),#REF!,#REF!),)</f>
        <v>#REF!</v>
      </c>
      <c r="N114" s="1">
        <v>1</v>
      </c>
    </row>
    <row r="115" spans="1:14" x14ac:dyDescent="0.55000000000000004">
      <c r="A115" s="1" t="s">
        <v>1518</v>
      </c>
      <c r="B115" s="2">
        <f>COUNTIF(A:A,A115)-1</f>
        <v>3</v>
      </c>
      <c r="C115" s="2">
        <f>COUNTIF(A$1:A115,A115)-1</f>
        <v>2</v>
      </c>
      <c r="D115" s="2" t="str">
        <f>Argument!D115</f>
        <v>vr</v>
      </c>
      <c r="E115" s="2" t="str">
        <f t="shared" si="2"/>
        <v/>
      </c>
      <c r="F115" s="2" t="str">
        <f>IF(C115=0,ISTEXT(FORMULA.CONVERT("="&amp;A115&amp;"("&amp;REPLACE(REPT(",#ref!",B115),1,1,"")&amp;")()",1)),"")</f>
        <v/>
      </c>
      <c r="G115" s="2">
        <f>TYPE(DCOUNT(IF(1,1),{1},IF(1,1)))</f>
        <v>64</v>
      </c>
      <c r="H115" s="2" t="str">
        <f t="shared" si="3"/>
        <v/>
      </c>
      <c r="I115" s="2">
        <f>TYPE(DCOUNT(IF(1,1),IF(1,1),IF(1,1)))</f>
        <v>16</v>
      </c>
      <c r="J115" s="2" t="str">
        <f>IF(C115=0,COUNTIFS(A:A,A115,D:D,"a"),"")</f>
        <v/>
      </c>
      <c r="K115" s="2" t="e">
        <f>INDEX(+DCOUNT(#REF!,K115:L115,#REF!),)</f>
        <v>#REF!</v>
      </c>
      <c r="L115" s="1">
        <v>1</v>
      </c>
      <c r="M115" s="2" t="e">
        <f>INDEX(+DCOUNT(#REF!,INDIRECT(M115:N115),#REF!),)</f>
        <v>#REF!</v>
      </c>
      <c r="N115" s="1">
        <v>1</v>
      </c>
    </row>
    <row r="116" spans="1:14" x14ac:dyDescent="0.55000000000000004">
      <c r="A116" s="1" t="s">
        <v>1518</v>
      </c>
      <c r="B116" s="2">
        <f>COUNTIF(A:A,A116)-1</f>
        <v>3</v>
      </c>
      <c r="C116" s="2">
        <f>COUNTIF(A$1:A116,A116)-1</f>
        <v>3</v>
      </c>
      <c r="D116" s="2" t="str">
        <f>Argument!D116</f>
        <v>vr</v>
      </c>
      <c r="E116" s="2" t="str">
        <f t="shared" si="2"/>
        <v/>
      </c>
      <c r="F116" s="2" t="str">
        <f>IF(C116=0,ISTEXT(FORMULA.CONVERT("="&amp;A116&amp;"("&amp;REPLACE(REPT(",#ref!",B116),1,1,"")&amp;")()",1)),"")</f>
        <v/>
      </c>
      <c r="G116" s="2">
        <f>TYPE(DCOUNT(IF(1,1),IF(1,1),{1}))</f>
        <v>64</v>
      </c>
      <c r="H116" s="2" t="str">
        <f t="shared" si="3"/>
        <v/>
      </c>
      <c r="I116" s="2">
        <f>TYPE(DCOUNT(IF(1,1),IF(1,1),IF(1,1)))</f>
        <v>16</v>
      </c>
      <c r="J116" s="2" t="str">
        <f>IF(C116=0,COUNTIFS(A:A,A116,D:D,"a"),"")</f>
        <v/>
      </c>
      <c r="K116" s="2" t="e">
        <f>INDEX(+DCOUNT(#REF!,#REF!,K116:L116),)</f>
        <v>#REF!</v>
      </c>
      <c r="L116" s="1">
        <v>1</v>
      </c>
      <c r="M116" s="2" t="e">
        <f>INDEX(+DCOUNT(#REF!,#REF!,INDIRECT(M116:N116)),)</f>
        <v>#REF!</v>
      </c>
      <c r="N116" s="1">
        <v>1</v>
      </c>
    </row>
    <row r="117" spans="1:14" x14ac:dyDescent="0.55000000000000004">
      <c r="A117" s="1" t="s">
        <v>1519</v>
      </c>
      <c r="B117" s="2">
        <f>COUNTIF(A:A,A117)-1</f>
        <v>3</v>
      </c>
      <c r="C117" s="2">
        <f>COUNTIF(A$1:A117,A117)-1</f>
        <v>0</v>
      </c>
      <c r="D117" s="2" t="str">
        <f>Argument!D117</f>
        <v/>
      </c>
      <c r="E117" s="2" t="str">
        <f t="shared" si="2"/>
        <v>v</v>
      </c>
      <c r="F117" s="2" t="b">
        <f>IF(C117=0,ISTEXT(FORMULA.CONVERT("="&amp;A117&amp;"("&amp;REPLACE(REPT(",#ref!",B117),1,1,"")&amp;")()",1)),"")</f>
        <v>0</v>
      </c>
      <c r="G117" s="2"/>
      <c r="H117" s="2" t="str">
        <f t="shared" si="3"/>
        <v/>
      </c>
      <c r="I117" s="2">
        <f>TYPE(DSUM(IF(1,1),IF(1,1),IF(1,1)))</f>
        <v>16</v>
      </c>
      <c r="J117" s="2">
        <f>IF(C117=0,COUNTIFS(A:A,A117,D:D,"a"),"")</f>
        <v>0</v>
      </c>
      <c r="K117" s="2"/>
      <c r="M117" s="2"/>
    </row>
    <row r="118" spans="1:14" x14ac:dyDescent="0.55000000000000004">
      <c r="A118" s="1" t="s">
        <v>1519</v>
      </c>
      <c r="B118" s="2">
        <f>COUNTIF(A:A,A118)-1</f>
        <v>3</v>
      </c>
      <c r="C118" s="2">
        <f>COUNTIF(A$1:A118,A118)-1</f>
        <v>1</v>
      </c>
      <c r="D118" s="2" t="str">
        <f>Argument!D118</f>
        <v>r</v>
      </c>
      <c r="E118" s="2" t="str">
        <f t="shared" si="2"/>
        <v/>
      </c>
      <c r="F118" s="2" t="str">
        <f>IF(C118=0,ISTEXT(FORMULA.CONVERT("="&amp;A118&amp;"("&amp;REPLACE(REPT(",#ref!",B118),1,1,"")&amp;")()",1)),"")</f>
        <v/>
      </c>
      <c r="G118" s="2"/>
      <c r="H118" s="2" t="str">
        <f t="shared" si="3"/>
        <v/>
      </c>
      <c r="I118" s="2">
        <f>TYPE(DSUM(IF(1,1),IF(1,1),IF(1,1)))</f>
        <v>16</v>
      </c>
      <c r="J118" s="2" t="str">
        <f>IF(C118=0,COUNTIFS(A:A,A118,D:D,"a"),"")</f>
        <v/>
      </c>
      <c r="K118" s="2" t="e">
        <f>INDEX(+DSUM(K118:L118,#REF!,#REF!),)</f>
        <v>#REF!</v>
      </c>
      <c r="L118" s="1">
        <v>1</v>
      </c>
      <c r="M118" s="2" t="e">
        <f>INDEX(+DSUM(INDIRECT(M118:N118),#REF!,#REF!),)</f>
        <v>#REF!</v>
      </c>
      <c r="N118" s="1">
        <v>1</v>
      </c>
    </row>
    <row r="119" spans="1:14" x14ac:dyDescent="0.55000000000000004">
      <c r="A119" s="1" t="s">
        <v>1519</v>
      </c>
      <c r="B119" s="2">
        <f>COUNTIF(A:A,A119)-1</f>
        <v>3</v>
      </c>
      <c r="C119" s="2">
        <f>COUNTIF(A$1:A119,A119)-1</f>
        <v>2</v>
      </c>
      <c r="D119" s="2" t="str">
        <f>Argument!D119</f>
        <v>vr</v>
      </c>
      <c r="E119" s="2" t="str">
        <f t="shared" si="2"/>
        <v/>
      </c>
      <c r="F119" s="2" t="str">
        <f>IF(C119=0,ISTEXT(FORMULA.CONVERT("="&amp;A119&amp;"("&amp;REPLACE(REPT(",#ref!",B119),1,1,"")&amp;")()",1)),"")</f>
        <v/>
      </c>
      <c r="G119" s="2">
        <f>TYPE(DSUM(IF(1,1),{1},IF(1,1)))</f>
        <v>64</v>
      </c>
      <c r="H119" s="2" t="str">
        <f t="shared" si="3"/>
        <v/>
      </c>
      <c r="I119" s="2">
        <f>TYPE(DSUM(IF(1,1),IF(1,1),IF(1,1)))</f>
        <v>16</v>
      </c>
      <c r="J119" s="2" t="str">
        <f>IF(C119=0,COUNTIFS(A:A,A119,D:D,"a"),"")</f>
        <v/>
      </c>
      <c r="K119" s="2" t="e">
        <f>INDEX(+DSUM(#REF!,K119:L119,#REF!),)</f>
        <v>#REF!</v>
      </c>
      <c r="L119" s="1">
        <v>1</v>
      </c>
      <c r="M119" s="2" t="e">
        <f>INDEX(+DSUM(#REF!,INDIRECT(M119:N119),#REF!),)</f>
        <v>#REF!</v>
      </c>
      <c r="N119" s="1">
        <v>1</v>
      </c>
    </row>
    <row r="120" spans="1:14" x14ac:dyDescent="0.55000000000000004">
      <c r="A120" s="1" t="s">
        <v>1519</v>
      </c>
      <c r="B120" s="2">
        <f>COUNTIF(A:A,A120)-1</f>
        <v>3</v>
      </c>
      <c r="C120" s="2">
        <f>COUNTIF(A$1:A120,A120)-1</f>
        <v>3</v>
      </c>
      <c r="D120" s="2" t="str">
        <f>Argument!D120</f>
        <v>vr</v>
      </c>
      <c r="E120" s="2" t="str">
        <f t="shared" si="2"/>
        <v/>
      </c>
      <c r="F120" s="2" t="str">
        <f>IF(C120=0,ISTEXT(FORMULA.CONVERT("="&amp;A120&amp;"("&amp;REPLACE(REPT(",#ref!",B120),1,1,"")&amp;")()",1)),"")</f>
        <v/>
      </c>
      <c r="G120" s="2">
        <f>TYPE(DSUM(IF(1,1),IF(1,1),{1}))</f>
        <v>64</v>
      </c>
      <c r="H120" s="2" t="str">
        <f t="shared" si="3"/>
        <v/>
      </c>
      <c r="I120" s="2">
        <f>TYPE(DSUM(IF(1,1),IF(1,1),IF(1,1)))</f>
        <v>16</v>
      </c>
      <c r="J120" s="2" t="str">
        <f>IF(C120=0,COUNTIFS(A:A,A120,D:D,"a"),"")</f>
        <v/>
      </c>
      <c r="K120" s="2" t="e">
        <f>INDEX(+DSUM(#REF!,#REF!,K120:L120),)</f>
        <v>#REF!</v>
      </c>
      <c r="L120" s="1">
        <v>1</v>
      </c>
      <c r="M120" s="2" t="e">
        <f>INDEX(+DSUM(#REF!,#REF!,INDIRECT(M120:N120)),)</f>
        <v>#REF!</v>
      </c>
      <c r="N120" s="1">
        <v>1</v>
      </c>
    </row>
    <row r="121" spans="1:14" x14ac:dyDescent="0.55000000000000004">
      <c r="A121" s="1" t="s">
        <v>1520</v>
      </c>
      <c r="B121" s="2">
        <f>COUNTIF(A:A,A121)-1</f>
        <v>3</v>
      </c>
      <c r="C121" s="2">
        <f>COUNTIF(A$1:A121,A121)-1</f>
        <v>0</v>
      </c>
      <c r="D121" s="2" t="str">
        <f>Argument!D121</f>
        <v/>
      </c>
      <c r="E121" s="2" t="str">
        <f t="shared" si="2"/>
        <v>v</v>
      </c>
      <c r="F121" s="2" t="b">
        <f>IF(C121=0,ISTEXT(FORMULA.CONVERT("="&amp;A121&amp;"("&amp;REPLACE(REPT(",#ref!",B121),1,1,"")&amp;")()",1)),"")</f>
        <v>0</v>
      </c>
      <c r="G121" s="2"/>
      <c r="H121" s="2" t="str">
        <f t="shared" si="3"/>
        <v/>
      </c>
      <c r="I121" s="2">
        <f>TYPE(DAVERAGE(IF(1,1),IF(1,1),IF(1,1)))</f>
        <v>16</v>
      </c>
      <c r="J121" s="2">
        <f>IF(C121=0,COUNTIFS(A:A,A121,D:D,"a"),"")</f>
        <v>0</v>
      </c>
      <c r="K121" s="2"/>
      <c r="M121" s="2"/>
    </row>
    <row r="122" spans="1:14" x14ac:dyDescent="0.55000000000000004">
      <c r="A122" s="1" t="s">
        <v>1520</v>
      </c>
      <c r="B122" s="2">
        <f>COUNTIF(A:A,A122)-1</f>
        <v>3</v>
      </c>
      <c r="C122" s="2">
        <f>COUNTIF(A$1:A122,A122)-1</f>
        <v>1</v>
      </c>
      <c r="D122" s="2" t="str">
        <f>Argument!D122</f>
        <v>r</v>
      </c>
      <c r="E122" s="2" t="str">
        <f t="shared" si="2"/>
        <v/>
      </c>
      <c r="F122" s="2" t="str">
        <f>IF(C122=0,ISTEXT(FORMULA.CONVERT("="&amp;A122&amp;"("&amp;REPLACE(REPT(",#ref!",B122),1,1,"")&amp;")()",1)),"")</f>
        <v/>
      </c>
      <c r="G122" s="2"/>
      <c r="H122" s="2" t="str">
        <f t="shared" si="3"/>
        <v/>
      </c>
      <c r="I122" s="2">
        <f>TYPE(DAVERAGE(IF(1,1),IF(1,1),IF(1,1)))</f>
        <v>16</v>
      </c>
      <c r="J122" s="2" t="str">
        <f>IF(C122=0,COUNTIFS(A:A,A122,D:D,"a"),"")</f>
        <v/>
      </c>
      <c r="K122" s="2" t="e">
        <f>INDEX(+DAVERAGE(K122:L122,#REF!,#REF!),)</f>
        <v>#REF!</v>
      </c>
      <c r="L122" s="1">
        <v>1</v>
      </c>
      <c r="M122" s="2" t="e">
        <f>INDEX(+DAVERAGE(INDIRECT(M122:N122),#REF!,#REF!),)</f>
        <v>#REF!</v>
      </c>
      <c r="N122" s="1">
        <v>1</v>
      </c>
    </row>
    <row r="123" spans="1:14" x14ac:dyDescent="0.55000000000000004">
      <c r="A123" s="1" t="s">
        <v>1520</v>
      </c>
      <c r="B123" s="2">
        <f>COUNTIF(A:A,A123)-1</f>
        <v>3</v>
      </c>
      <c r="C123" s="2">
        <f>COUNTIF(A$1:A123,A123)-1</f>
        <v>2</v>
      </c>
      <c r="D123" s="2" t="str">
        <f>Argument!D123</f>
        <v>vr</v>
      </c>
      <c r="E123" s="2" t="str">
        <f t="shared" si="2"/>
        <v/>
      </c>
      <c r="F123" s="2" t="str">
        <f>IF(C123=0,ISTEXT(FORMULA.CONVERT("="&amp;A123&amp;"("&amp;REPLACE(REPT(",#ref!",B123),1,1,"")&amp;")()",1)),"")</f>
        <v/>
      </c>
      <c r="G123" s="2">
        <f>TYPE(DAVERAGE(IF(1,1),{1},IF(1,1)))</f>
        <v>64</v>
      </c>
      <c r="H123" s="2" t="str">
        <f t="shared" si="3"/>
        <v/>
      </c>
      <c r="I123" s="2">
        <f>TYPE(DAVERAGE(IF(1,1),IF(1,1),IF(1,1)))</f>
        <v>16</v>
      </c>
      <c r="J123" s="2" t="str">
        <f>IF(C123=0,COUNTIFS(A:A,A123,D:D,"a"),"")</f>
        <v/>
      </c>
      <c r="K123" s="2" t="e">
        <f>INDEX(+DAVERAGE(#REF!,K123:L123,#REF!),)</f>
        <v>#REF!</v>
      </c>
      <c r="L123" s="1">
        <v>1</v>
      </c>
      <c r="M123" s="2" t="e">
        <f>INDEX(+DAVERAGE(#REF!,INDIRECT(M123:N123),#REF!),)</f>
        <v>#REF!</v>
      </c>
      <c r="N123" s="1">
        <v>1</v>
      </c>
    </row>
    <row r="124" spans="1:14" x14ac:dyDescent="0.55000000000000004">
      <c r="A124" s="1" t="s">
        <v>1520</v>
      </c>
      <c r="B124" s="2">
        <f>COUNTIF(A:A,A124)-1</f>
        <v>3</v>
      </c>
      <c r="C124" s="2">
        <f>COUNTIF(A$1:A124,A124)-1</f>
        <v>3</v>
      </c>
      <c r="D124" s="2" t="str">
        <f>Argument!D124</f>
        <v>vr</v>
      </c>
      <c r="E124" s="2" t="str">
        <f t="shared" si="2"/>
        <v/>
      </c>
      <c r="F124" s="2" t="str">
        <f>IF(C124=0,ISTEXT(FORMULA.CONVERT("="&amp;A124&amp;"("&amp;REPLACE(REPT(",#ref!",B124),1,1,"")&amp;")()",1)),"")</f>
        <v/>
      </c>
      <c r="G124" s="2">
        <f>TYPE(DAVERAGE(IF(1,1),IF(1,1),{1}))</f>
        <v>64</v>
      </c>
      <c r="H124" s="2" t="str">
        <f t="shared" si="3"/>
        <v/>
      </c>
      <c r="I124" s="2">
        <f>TYPE(DAVERAGE(IF(1,1),IF(1,1),IF(1,1)))</f>
        <v>16</v>
      </c>
      <c r="J124" s="2" t="str">
        <f>IF(C124=0,COUNTIFS(A:A,A124,D:D,"a"),"")</f>
        <v/>
      </c>
      <c r="K124" s="2" t="e">
        <f>INDEX(+DAVERAGE(#REF!,#REF!,K124:L124),)</f>
        <v>#REF!</v>
      </c>
      <c r="L124" s="1">
        <v>1</v>
      </c>
      <c r="M124" s="2" t="e">
        <f>INDEX(+DAVERAGE(#REF!,#REF!,INDIRECT(M124:N124)),)</f>
        <v>#REF!</v>
      </c>
      <c r="N124" s="1">
        <v>1</v>
      </c>
    </row>
    <row r="125" spans="1:14" x14ac:dyDescent="0.55000000000000004">
      <c r="A125" s="1" t="s">
        <v>1521</v>
      </c>
      <c r="B125" s="2">
        <f>COUNTIF(A:A,A125)-1</f>
        <v>3</v>
      </c>
      <c r="C125" s="2">
        <f>COUNTIF(A$1:A125,A125)-1</f>
        <v>0</v>
      </c>
      <c r="D125" s="2" t="str">
        <f>Argument!D125</f>
        <v/>
      </c>
      <c r="E125" s="2" t="str">
        <f t="shared" si="2"/>
        <v>v</v>
      </c>
      <c r="F125" s="2" t="b">
        <f>IF(C125=0,ISTEXT(FORMULA.CONVERT("="&amp;A125&amp;"("&amp;REPLACE(REPT(",#ref!",B125),1,1,"")&amp;")()",1)),"")</f>
        <v>0</v>
      </c>
      <c r="G125" s="2"/>
      <c r="H125" s="2" t="str">
        <f t="shared" si="3"/>
        <v/>
      </c>
      <c r="I125" s="2">
        <f>TYPE(DMIN(IF(1,1),IF(1,1),IF(1,1)))</f>
        <v>16</v>
      </c>
      <c r="J125" s="2">
        <f>IF(C125=0,COUNTIFS(A:A,A125,D:D,"a"),"")</f>
        <v>0</v>
      </c>
      <c r="K125" s="2"/>
      <c r="M125" s="2"/>
    </row>
    <row r="126" spans="1:14" x14ac:dyDescent="0.55000000000000004">
      <c r="A126" s="1" t="s">
        <v>1521</v>
      </c>
      <c r="B126" s="2">
        <f>COUNTIF(A:A,A126)-1</f>
        <v>3</v>
      </c>
      <c r="C126" s="2">
        <f>COUNTIF(A$1:A126,A126)-1</f>
        <v>1</v>
      </c>
      <c r="D126" s="2" t="str">
        <f>Argument!D126</f>
        <v>r</v>
      </c>
      <c r="E126" s="2" t="str">
        <f t="shared" si="2"/>
        <v/>
      </c>
      <c r="F126" s="2" t="str">
        <f>IF(C126=0,ISTEXT(FORMULA.CONVERT("="&amp;A126&amp;"("&amp;REPLACE(REPT(",#ref!",B126),1,1,"")&amp;")()",1)),"")</f>
        <v/>
      </c>
      <c r="G126" s="2"/>
      <c r="H126" s="2" t="str">
        <f t="shared" si="3"/>
        <v/>
      </c>
      <c r="I126" s="2">
        <f>TYPE(DMIN(IF(1,1),IF(1,1),IF(1,1)))</f>
        <v>16</v>
      </c>
      <c r="J126" s="2" t="str">
        <f>IF(C126=0,COUNTIFS(A:A,A126,D:D,"a"),"")</f>
        <v/>
      </c>
      <c r="K126" s="2" t="e">
        <f>INDEX(+DMIN(K126:L126,#REF!,#REF!),)</f>
        <v>#REF!</v>
      </c>
      <c r="L126" s="1">
        <v>1</v>
      </c>
      <c r="M126" s="2" t="e">
        <f>INDEX(+DMIN(INDIRECT(M126:N126),#REF!,#REF!),)</f>
        <v>#REF!</v>
      </c>
      <c r="N126" s="1">
        <v>1</v>
      </c>
    </row>
    <row r="127" spans="1:14" x14ac:dyDescent="0.55000000000000004">
      <c r="A127" s="1" t="s">
        <v>1521</v>
      </c>
      <c r="B127" s="2">
        <f>COUNTIF(A:A,A127)-1</f>
        <v>3</v>
      </c>
      <c r="C127" s="2">
        <f>COUNTIF(A$1:A127,A127)-1</f>
        <v>2</v>
      </c>
      <c r="D127" s="2" t="str">
        <f>Argument!D127</f>
        <v>vr</v>
      </c>
      <c r="E127" s="2" t="str">
        <f t="shared" si="2"/>
        <v/>
      </c>
      <c r="F127" s="2" t="str">
        <f>IF(C127=0,ISTEXT(FORMULA.CONVERT("="&amp;A127&amp;"("&amp;REPLACE(REPT(",#ref!",B127),1,1,"")&amp;")()",1)),"")</f>
        <v/>
      </c>
      <c r="G127" s="2">
        <f>TYPE(DMIN(IF(1,1),{1},IF(1,1)))</f>
        <v>64</v>
      </c>
      <c r="H127" s="2" t="str">
        <f t="shared" si="3"/>
        <v/>
      </c>
      <c r="I127" s="2">
        <f>TYPE(DMIN(IF(1,1),IF(1,1),IF(1,1)))</f>
        <v>16</v>
      </c>
      <c r="J127" s="2" t="str">
        <f>IF(C127=0,COUNTIFS(A:A,A127,D:D,"a"),"")</f>
        <v/>
      </c>
      <c r="K127" s="2" t="e">
        <f>INDEX(+DMIN(#REF!,K127:L127,#REF!),)</f>
        <v>#REF!</v>
      </c>
      <c r="L127" s="1">
        <v>1</v>
      </c>
      <c r="M127" s="2" t="e">
        <f>INDEX(+DMIN(#REF!,INDIRECT(M127:N127),#REF!),)</f>
        <v>#REF!</v>
      </c>
      <c r="N127" s="1">
        <v>1</v>
      </c>
    </row>
    <row r="128" spans="1:14" x14ac:dyDescent="0.55000000000000004">
      <c r="A128" s="1" t="s">
        <v>1521</v>
      </c>
      <c r="B128" s="2">
        <f>COUNTIF(A:A,A128)-1</f>
        <v>3</v>
      </c>
      <c r="C128" s="2">
        <f>COUNTIF(A$1:A128,A128)-1</f>
        <v>3</v>
      </c>
      <c r="D128" s="2" t="str">
        <f>Argument!D128</f>
        <v>vr</v>
      </c>
      <c r="E128" s="2" t="str">
        <f t="shared" si="2"/>
        <v/>
      </c>
      <c r="F128" s="2" t="str">
        <f>IF(C128=0,ISTEXT(FORMULA.CONVERT("="&amp;A128&amp;"("&amp;REPLACE(REPT(",#ref!",B128),1,1,"")&amp;")()",1)),"")</f>
        <v/>
      </c>
      <c r="G128" s="2">
        <f>TYPE(DMIN(IF(1,1),IF(1,1),{1}))</f>
        <v>64</v>
      </c>
      <c r="H128" s="2" t="str">
        <f t="shared" si="3"/>
        <v/>
      </c>
      <c r="I128" s="2">
        <f>TYPE(DMIN(IF(1,1),IF(1,1),IF(1,1)))</f>
        <v>16</v>
      </c>
      <c r="J128" s="2" t="str">
        <f>IF(C128=0,COUNTIFS(A:A,A128,D:D,"a"),"")</f>
        <v/>
      </c>
      <c r="K128" s="2" t="e">
        <f>INDEX(+DMIN(#REF!,#REF!,K128:L128),)</f>
        <v>#REF!</v>
      </c>
      <c r="L128" s="1">
        <v>1</v>
      </c>
      <c r="M128" s="2" t="e">
        <f>INDEX(+DMIN(#REF!,#REF!,INDIRECT(M128:N128)),)</f>
        <v>#REF!</v>
      </c>
      <c r="N128" s="1">
        <v>1</v>
      </c>
    </row>
    <row r="129" spans="1:14" x14ac:dyDescent="0.55000000000000004">
      <c r="A129" s="1" t="s">
        <v>1522</v>
      </c>
      <c r="B129" s="2">
        <f>COUNTIF(A:A,A129)-1</f>
        <v>3</v>
      </c>
      <c r="C129" s="2">
        <f>COUNTIF(A$1:A129,A129)-1</f>
        <v>0</v>
      </c>
      <c r="D129" s="2" t="str">
        <f>Argument!D129</f>
        <v/>
      </c>
      <c r="E129" s="2" t="str">
        <f t="shared" si="2"/>
        <v>v</v>
      </c>
      <c r="F129" s="2" t="b">
        <f>IF(C129=0,ISTEXT(FORMULA.CONVERT("="&amp;A129&amp;"("&amp;REPLACE(REPT(",#ref!",B129),1,1,"")&amp;")()",1)),"")</f>
        <v>0</v>
      </c>
      <c r="G129" s="2"/>
      <c r="H129" s="2" t="str">
        <f t="shared" si="3"/>
        <v/>
      </c>
      <c r="I129" s="2">
        <f>TYPE(DMAX(IF(1,1),IF(1,1),IF(1,1)))</f>
        <v>16</v>
      </c>
      <c r="J129" s="2">
        <f>IF(C129=0,COUNTIFS(A:A,A129,D:D,"a"),"")</f>
        <v>0</v>
      </c>
      <c r="K129" s="2"/>
      <c r="M129" s="2"/>
    </row>
    <row r="130" spans="1:14" x14ac:dyDescent="0.55000000000000004">
      <c r="A130" s="1" t="s">
        <v>1522</v>
      </c>
      <c r="B130" s="2">
        <f>COUNTIF(A:A,A130)-1</f>
        <v>3</v>
      </c>
      <c r="C130" s="2">
        <f>COUNTIF(A$1:A130,A130)-1</f>
        <v>1</v>
      </c>
      <c r="D130" s="2" t="str">
        <f>Argument!D130</f>
        <v>r</v>
      </c>
      <c r="E130" s="2" t="str">
        <f t="shared" ref="E130:E193" si="4">IF(C130=0,IF(SUMIFS(H:H,A:A,A130),IF(COUNTIFS(A:A,A130,G:G,64),,"v")&amp;IF(F130,"ar","a"),IF(F130,"r","v")),"")</f>
        <v/>
      </c>
      <c r="F130" s="2" t="str">
        <f>IF(C130=0,ISTEXT(FORMULA.CONVERT("="&amp;A130&amp;"("&amp;REPLACE(REPT(",#ref!",B130),1,1,"")&amp;")()",1)),"")</f>
        <v/>
      </c>
      <c r="G130" s="2"/>
      <c r="H130" s="2" t="str">
        <f t="shared" ref="H130:H193" si="5">IF((I130=64)*(J130=B130)+(1-L130)*COUNTIF(D130,"*v*")+(1-N130)*COUNTIF(D130,"*r*"),1,"")</f>
        <v/>
      </c>
      <c r="I130" s="2">
        <f>TYPE(DMAX(IF(1,1),IF(1,1),IF(1,1)))</f>
        <v>16</v>
      </c>
      <c r="J130" s="2" t="str">
        <f>IF(C130=0,COUNTIFS(A:A,A130,D:D,"a"),"")</f>
        <v/>
      </c>
      <c r="K130" s="2" t="e">
        <f>INDEX(+DMAX(K130:L130,#REF!,#REF!),)</f>
        <v>#REF!</v>
      </c>
      <c r="L130" s="1">
        <v>1</v>
      </c>
      <c r="M130" s="2" t="e">
        <f>INDEX(+DMAX(INDIRECT(M130:N130),#REF!,#REF!),)</f>
        <v>#REF!</v>
      </c>
      <c r="N130" s="1">
        <v>1</v>
      </c>
    </row>
    <row r="131" spans="1:14" x14ac:dyDescent="0.55000000000000004">
      <c r="A131" s="1" t="s">
        <v>1522</v>
      </c>
      <c r="B131" s="2">
        <f>COUNTIF(A:A,A131)-1</f>
        <v>3</v>
      </c>
      <c r="C131" s="2">
        <f>COUNTIF(A$1:A131,A131)-1</f>
        <v>2</v>
      </c>
      <c r="D131" s="2" t="str">
        <f>Argument!D131</f>
        <v>vr</v>
      </c>
      <c r="E131" s="2" t="str">
        <f t="shared" si="4"/>
        <v/>
      </c>
      <c r="F131" s="2" t="str">
        <f>IF(C131=0,ISTEXT(FORMULA.CONVERT("="&amp;A131&amp;"("&amp;REPLACE(REPT(",#ref!",B131),1,1,"")&amp;")()",1)),"")</f>
        <v/>
      </c>
      <c r="G131" s="2">
        <f>TYPE(DMAX(IF(1,1),{1},IF(1,1)))</f>
        <v>64</v>
      </c>
      <c r="H131" s="2" t="str">
        <f t="shared" si="5"/>
        <v/>
      </c>
      <c r="I131" s="2">
        <f>TYPE(DMAX(IF(1,1),IF(1,1),IF(1,1)))</f>
        <v>16</v>
      </c>
      <c r="J131" s="2" t="str">
        <f>IF(C131=0,COUNTIFS(A:A,A131,D:D,"a"),"")</f>
        <v/>
      </c>
      <c r="K131" s="2" t="e">
        <f>INDEX(+DMAX(#REF!,K131:L131,#REF!),)</f>
        <v>#REF!</v>
      </c>
      <c r="L131" s="1">
        <v>1</v>
      </c>
      <c r="M131" s="2" t="e">
        <f>INDEX(+DMAX(#REF!,INDIRECT(M131:N131),#REF!),)</f>
        <v>#REF!</v>
      </c>
      <c r="N131" s="1">
        <v>1</v>
      </c>
    </row>
    <row r="132" spans="1:14" x14ac:dyDescent="0.55000000000000004">
      <c r="A132" s="1" t="s">
        <v>1522</v>
      </c>
      <c r="B132" s="2">
        <f>COUNTIF(A:A,A132)-1</f>
        <v>3</v>
      </c>
      <c r="C132" s="2">
        <f>COUNTIF(A$1:A132,A132)-1</f>
        <v>3</v>
      </c>
      <c r="D132" s="2" t="str">
        <f>Argument!D132</f>
        <v>vr</v>
      </c>
      <c r="E132" s="2" t="str">
        <f t="shared" si="4"/>
        <v/>
      </c>
      <c r="F132" s="2" t="str">
        <f>IF(C132=0,ISTEXT(FORMULA.CONVERT("="&amp;A132&amp;"("&amp;REPLACE(REPT(",#ref!",B132),1,1,"")&amp;")()",1)),"")</f>
        <v/>
      </c>
      <c r="G132" s="2">
        <f>TYPE(DMAX(IF(1,1),IF(1,1),{1}))</f>
        <v>64</v>
      </c>
      <c r="H132" s="2" t="str">
        <f t="shared" si="5"/>
        <v/>
      </c>
      <c r="I132" s="2">
        <f>TYPE(DMAX(IF(1,1),IF(1,1),IF(1,1)))</f>
        <v>16</v>
      </c>
      <c r="J132" s="2" t="str">
        <f>IF(C132=0,COUNTIFS(A:A,A132,D:D,"a"),"")</f>
        <v/>
      </c>
      <c r="K132" s="2" t="e">
        <f>INDEX(+DMAX(#REF!,#REF!,K132:L132),)</f>
        <v>#REF!</v>
      </c>
      <c r="L132" s="1">
        <v>1</v>
      </c>
      <c r="M132" s="2" t="e">
        <f>INDEX(+DMAX(#REF!,#REF!,INDIRECT(M132:N132)),)</f>
        <v>#REF!</v>
      </c>
      <c r="N132" s="1">
        <v>1</v>
      </c>
    </row>
    <row r="133" spans="1:14" x14ac:dyDescent="0.55000000000000004">
      <c r="A133" s="1" t="s">
        <v>1523</v>
      </c>
      <c r="B133" s="2">
        <f>COUNTIF(A:A,A133)-1</f>
        <v>3</v>
      </c>
      <c r="C133" s="2">
        <f>COUNTIF(A$1:A133,A133)-1</f>
        <v>0</v>
      </c>
      <c r="D133" s="2" t="str">
        <f>Argument!D133</f>
        <v/>
      </c>
      <c r="E133" s="2" t="str">
        <f t="shared" si="4"/>
        <v>v</v>
      </c>
      <c r="F133" s="2" t="b">
        <f>IF(C133=0,ISTEXT(FORMULA.CONVERT("="&amp;A133&amp;"("&amp;REPLACE(REPT(",#ref!",B133),1,1,"")&amp;")()",1)),"")</f>
        <v>0</v>
      </c>
      <c r="G133" s="2"/>
      <c r="H133" s="2" t="str">
        <f t="shared" si="5"/>
        <v/>
      </c>
      <c r="I133" s="2">
        <f>TYPE(DSTDEV(IF(1,1),IF(1,1),IF(1,1)))</f>
        <v>16</v>
      </c>
      <c r="J133" s="2">
        <f>IF(C133=0,COUNTIFS(A:A,A133,D:D,"a"),"")</f>
        <v>0</v>
      </c>
      <c r="K133" s="2"/>
      <c r="M133" s="2"/>
    </row>
    <row r="134" spans="1:14" x14ac:dyDescent="0.55000000000000004">
      <c r="A134" s="1" t="s">
        <v>1523</v>
      </c>
      <c r="B134" s="2">
        <f>COUNTIF(A:A,A134)-1</f>
        <v>3</v>
      </c>
      <c r="C134" s="2">
        <f>COUNTIF(A$1:A134,A134)-1</f>
        <v>1</v>
      </c>
      <c r="D134" s="2" t="str">
        <f>Argument!D134</f>
        <v>r</v>
      </c>
      <c r="E134" s="2" t="str">
        <f t="shared" si="4"/>
        <v/>
      </c>
      <c r="F134" s="2" t="str">
        <f>IF(C134=0,ISTEXT(FORMULA.CONVERT("="&amp;A134&amp;"("&amp;REPLACE(REPT(",#ref!",B134),1,1,"")&amp;")()",1)),"")</f>
        <v/>
      </c>
      <c r="G134" s="2"/>
      <c r="H134" s="2" t="str">
        <f t="shared" si="5"/>
        <v/>
      </c>
      <c r="I134" s="2">
        <f>TYPE(DSTDEV(IF(1,1),IF(1,1),IF(1,1)))</f>
        <v>16</v>
      </c>
      <c r="J134" s="2" t="str">
        <f>IF(C134=0,COUNTIFS(A:A,A134,D:D,"a"),"")</f>
        <v/>
      </c>
      <c r="K134" s="2" t="e">
        <f>INDEX(+DSTDEV(K134:L134,#REF!,#REF!),)</f>
        <v>#REF!</v>
      </c>
      <c r="L134" s="1">
        <v>1</v>
      </c>
      <c r="M134" s="2" t="e">
        <f>INDEX(+DSTDEV(INDIRECT(M134:N134),#REF!,#REF!),)</f>
        <v>#REF!</v>
      </c>
      <c r="N134" s="1">
        <v>1</v>
      </c>
    </row>
    <row r="135" spans="1:14" x14ac:dyDescent="0.55000000000000004">
      <c r="A135" s="1" t="s">
        <v>1523</v>
      </c>
      <c r="B135" s="2">
        <f>COUNTIF(A:A,A135)-1</f>
        <v>3</v>
      </c>
      <c r="C135" s="2">
        <f>COUNTIF(A$1:A135,A135)-1</f>
        <v>2</v>
      </c>
      <c r="D135" s="2" t="str">
        <f>Argument!D135</f>
        <v>vr</v>
      </c>
      <c r="E135" s="2" t="str">
        <f t="shared" si="4"/>
        <v/>
      </c>
      <c r="F135" s="2" t="str">
        <f>IF(C135=0,ISTEXT(FORMULA.CONVERT("="&amp;A135&amp;"("&amp;REPLACE(REPT(",#ref!",B135),1,1,"")&amp;")()",1)),"")</f>
        <v/>
      </c>
      <c r="G135" s="2">
        <f>TYPE(DSTDEV(IF(1,1),{1},IF(1,1)))</f>
        <v>64</v>
      </c>
      <c r="H135" s="2" t="str">
        <f t="shared" si="5"/>
        <v/>
      </c>
      <c r="I135" s="2">
        <f>TYPE(DSTDEV(IF(1,1),IF(1,1),IF(1,1)))</f>
        <v>16</v>
      </c>
      <c r="J135" s="2" t="str">
        <f>IF(C135=0,COUNTIFS(A:A,A135,D:D,"a"),"")</f>
        <v/>
      </c>
      <c r="K135" s="2" t="e">
        <f>INDEX(+DSTDEV(#REF!,K135:L135,#REF!),)</f>
        <v>#REF!</v>
      </c>
      <c r="L135" s="1">
        <v>1</v>
      </c>
      <c r="M135" s="2" t="e">
        <f>INDEX(+DSTDEV(#REF!,INDIRECT(M135:N135),#REF!),)</f>
        <v>#REF!</v>
      </c>
      <c r="N135" s="1">
        <v>1</v>
      </c>
    </row>
    <row r="136" spans="1:14" x14ac:dyDescent="0.55000000000000004">
      <c r="A136" s="1" t="s">
        <v>1523</v>
      </c>
      <c r="B136" s="2">
        <f>COUNTIF(A:A,A136)-1</f>
        <v>3</v>
      </c>
      <c r="C136" s="2">
        <f>COUNTIF(A$1:A136,A136)-1</f>
        <v>3</v>
      </c>
      <c r="D136" s="2" t="str">
        <f>Argument!D136</f>
        <v>vr</v>
      </c>
      <c r="E136" s="2" t="str">
        <f t="shared" si="4"/>
        <v/>
      </c>
      <c r="F136" s="2" t="str">
        <f>IF(C136=0,ISTEXT(FORMULA.CONVERT("="&amp;A136&amp;"("&amp;REPLACE(REPT(",#ref!",B136),1,1,"")&amp;")()",1)),"")</f>
        <v/>
      </c>
      <c r="G136" s="2">
        <f>TYPE(DSTDEV(IF(1,1),IF(1,1),{1}))</f>
        <v>64</v>
      </c>
      <c r="H136" s="2" t="str">
        <f t="shared" si="5"/>
        <v/>
      </c>
      <c r="I136" s="2">
        <f>TYPE(DSTDEV(IF(1,1),IF(1,1),IF(1,1)))</f>
        <v>16</v>
      </c>
      <c r="J136" s="2" t="str">
        <f>IF(C136=0,COUNTIFS(A:A,A136,D:D,"a"),"")</f>
        <v/>
      </c>
      <c r="K136" s="2" t="e">
        <f>INDEX(+DSTDEV(#REF!,#REF!,K136:L136),)</f>
        <v>#REF!</v>
      </c>
      <c r="L136" s="1">
        <v>1</v>
      </c>
      <c r="M136" s="2" t="e">
        <f>INDEX(+DSTDEV(#REF!,#REF!,INDIRECT(M136:N136)),)</f>
        <v>#REF!</v>
      </c>
      <c r="N136" s="1">
        <v>1</v>
      </c>
    </row>
    <row r="137" spans="1:14" x14ac:dyDescent="0.55000000000000004">
      <c r="A137" s="1" t="s">
        <v>1524</v>
      </c>
      <c r="B137" s="2">
        <f>COUNTIF(A:A,A137)-1</f>
        <v>3</v>
      </c>
      <c r="C137" s="2">
        <f>COUNTIF(A$1:A137,A137)-1</f>
        <v>0</v>
      </c>
      <c r="D137" s="2" t="str">
        <f>Argument!D137</f>
        <v/>
      </c>
      <c r="E137" s="2" t="str">
        <f t="shared" si="4"/>
        <v>v</v>
      </c>
      <c r="F137" s="2" t="b">
        <f>IF(C137=0,ISTEXT(FORMULA.CONVERT("="&amp;A137&amp;"("&amp;REPLACE(REPT(",#ref!",B137),1,1,"")&amp;")()",1)),"")</f>
        <v>0</v>
      </c>
      <c r="G137" s="2"/>
      <c r="H137" s="2" t="str">
        <f t="shared" si="5"/>
        <v/>
      </c>
      <c r="I137" s="2">
        <f>TYPE(VAR(IF(1,1),IF(1,1),IF(1,1)))</f>
        <v>1</v>
      </c>
      <c r="J137" s="2">
        <f>IF(C137=0,COUNTIFS(A:A,A137,D:D,"a"),"")</f>
        <v>0</v>
      </c>
      <c r="K137" s="2"/>
      <c r="M137" s="2"/>
    </row>
    <row r="138" spans="1:14" x14ac:dyDescent="0.55000000000000004">
      <c r="A138" s="1" t="s">
        <v>1524</v>
      </c>
      <c r="B138" s="2">
        <f>COUNTIF(A:A,A138)-1</f>
        <v>3</v>
      </c>
      <c r="C138" s="2">
        <f>COUNTIF(A$1:A138,A138)-1</f>
        <v>1</v>
      </c>
      <c r="D138" s="2" t="str">
        <f>Argument!D138</f>
        <v>var</v>
      </c>
      <c r="E138" s="2" t="str">
        <f t="shared" si="4"/>
        <v/>
      </c>
      <c r="F138" s="2" t="str">
        <f>IF(C138=0,ISTEXT(FORMULA.CONVERT("="&amp;A138&amp;"("&amp;REPLACE(REPT(",#ref!",B138),1,1,"")&amp;")()",1)),"")</f>
        <v/>
      </c>
      <c r="G138" s="2">
        <f>TYPE(VAR({1},IF(1,1),IF(1,1)))</f>
        <v>1</v>
      </c>
      <c r="H138" s="2" t="str">
        <f t="shared" si="5"/>
        <v/>
      </c>
      <c r="I138" s="2">
        <f>TYPE(VAR(IF(1,1),IF(1,1),IF(1,1)))</f>
        <v>1</v>
      </c>
      <c r="J138" s="2" t="str">
        <f>IF(C138=0,COUNTIFS(A:A,A138,D:D,"a"),"")</f>
        <v/>
      </c>
      <c r="K138" s="2" t="e">
        <f>INDEX(+VAR(K138:L138,#REF!,#REF!),)</f>
        <v>#REF!</v>
      </c>
      <c r="L138" s="1">
        <v>1</v>
      </c>
      <c r="M138" s="2" t="e">
        <f>INDEX(+VAR(INDIRECT(M138:N138),#REF!,#REF!),)</f>
        <v>#REF!</v>
      </c>
      <c r="N138" s="1">
        <v>1</v>
      </c>
    </row>
    <row r="139" spans="1:14" x14ac:dyDescent="0.55000000000000004">
      <c r="A139" s="1" t="s">
        <v>1524</v>
      </c>
      <c r="B139" s="2">
        <f>COUNTIF(A:A,A139)-1</f>
        <v>3</v>
      </c>
      <c r="C139" s="2">
        <f>COUNTIF(A$1:A139,A139)-1</f>
        <v>2</v>
      </c>
      <c r="D139" s="2" t="str">
        <f>Argument!D139</f>
        <v>var</v>
      </c>
      <c r="E139" s="2" t="str">
        <f t="shared" si="4"/>
        <v/>
      </c>
      <c r="F139" s="2" t="str">
        <f>IF(C139=0,ISTEXT(FORMULA.CONVERT("="&amp;A139&amp;"("&amp;REPLACE(REPT(",#ref!",B139),1,1,"")&amp;")()",1)),"")</f>
        <v/>
      </c>
      <c r="G139" s="2">
        <f>TYPE(VAR(IF(1,1),{1},IF(1,1)))</f>
        <v>1</v>
      </c>
      <c r="H139" s="2" t="str">
        <f t="shared" si="5"/>
        <v/>
      </c>
      <c r="I139" s="2">
        <f>TYPE(VAR(IF(1,1),IF(1,1),IF(1,1)))</f>
        <v>1</v>
      </c>
      <c r="J139" s="2" t="str">
        <f>IF(C139=0,COUNTIFS(A:A,A139,D:D,"a"),"")</f>
        <v/>
      </c>
      <c r="K139" s="2" t="e">
        <f>INDEX(+VAR(#REF!,K139:L139,#REF!),)</f>
        <v>#REF!</v>
      </c>
      <c r="L139" s="1">
        <v>1</v>
      </c>
      <c r="M139" s="2" t="e">
        <f>INDEX(+VAR(#REF!,INDIRECT(M139:N139),#REF!),)</f>
        <v>#REF!</v>
      </c>
      <c r="N139" s="1">
        <v>1</v>
      </c>
    </row>
    <row r="140" spans="1:14" x14ac:dyDescent="0.55000000000000004">
      <c r="A140" s="1" t="s">
        <v>1524</v>
      </c>
      <c r="B140" s="2">
        <f>COUNTIF(A:A,A140)-1</f>
        <v>3</v>
      </c>
      <c r="C140" s="2">
        <f>COUNTIF(A$1:A140,A140)-1</f>
        <v>3</v>
      </c>
      <c r="D140" s="2" t="str">
        <f>Argument!D140</f>
        <v>var</v>
      </c>
      <c r="E140" s="2" t="str">
        <f t="shared" si="4"/>
        <v/>
      </c>
      <c r="F140" s="2" t="str">
        <f>IF(C140=0,ISTEXT(FORMULA.CONVERT("="&amp;A140&amp;"("&amp;REPLACE(REPT(",#ref!",B140),1,1,"")&amp;")()",1)),"")</f>
        <v/>
      </c>
      <c r="G140" s="2">
        <f>TYPE(VAR(IF(1,1),IF(1,1),{1}))</f>
        <v>1</v>
      </c>
      <c r="H140" s="2" t="str">
        <f t="shared" si="5"/>
        <v/>
      </c>
      <c r="I140" s="2">
        <f>TYPE(VAR(IF(1,1),IF(1,1),IF(1,1)))</f>
        <v>1</v>
      </c>
      <c r="J140" s="2" t="str">
        <f>IF(C140=0,COUNTIFS(A:A,A140,D:D,"a"),"")</f>
        <v/>
      </c>
      <c r="K140" s="2" t="e">
        <f>INDEX(+VAR(#REF!,#REF!,K140:L140),)</f>
        <v>#REF!</v>
      </c>
      <c r="L140" s="1">
        <v>1</v>
      </c>
      <c r="M140" s="2" t="e">
        <f>INDEX(+VAR(#REF!,#REF!,INDIRECT(M140:N140)),)</f>
        <v>#REF!</v>
      </c>
      <c r="N140" s="1">
        <v>1</v>
      </c>
    </row>
    <row r="141" spans="1:14" x14ac:dyDescent="0.55000000000000004">
      <c r="A141" s="1" t="s">
        <v>1525</v>
      </c>
      <c r="B141" s="2">
        <f>COUNTIF(A:A,A141)-1</f>
        <v>3</v>
      </c>
      <c r="C141" s="2">
        <f>COUNTIF(A$1:A141,A141)-1</f>
        <v>0</v>
      </c>
      <c r="D141" s="2" t="str">
        <f>Argument!D141</f>
        <v/>
      </c>
      <c r="E141" s="2" t="str">
        <f t="shared" si="4"/>
        <v>v</v>
      </c>
      <c r="F141" s="2" t="b">
        <f>IF(C141=0,ISTEXT(FORMULA.CONVERT("="&amp;A141&amp;"("&amp;REPLACE(REPT(",#ref!",B141),1,1,"")&amp;")()",1)),"")</f>
        <v>0</v>
      </c>
      <c r="G141" s="2"/>
      <c r="H141" s="2" t="str">
        <f t="shared" si="5"/>
        <v/>
      </c>
      <c r="I141" s="2">
        <f>TYPE(DVAR(IF(1,1),IF(1,1),IF(1,1)))</f>
        <v>16</v>
      </c>
      <c r="J141" s="2">
        <f>IF(C141=0,COUNTIFS(A:A,A141,D:D,"a"),"")</f>
        <v>0</v>
      </c>
      <c r="K141" s="2"/>
      <c r="M141" s="2"/>
    </row>
    <row r="142" spans="1:14" x14ac:dyDescent="0.55000000000000004">
      <c r="A142" s="1" t="s">
        <v>1525</v>
      </c>
      <c r="B142" s="2">
        <f>COUNTIF(A:A,A142)-1</f>
        <v>3</v>
      </c>
      <c r="C142" s="2">
        <f>COUNTIF(A$1:A142,A142)-1</f>
        <v>1</v>
      </c>
      <c r="D142" s="2" t="str">
        <f>Argument!D142</f>
        <v>r</v>
      </c>
      <c r="E142" s="2" t="str">
        <f t="shared" si="4"/>
        <v/>
      </c>
      <c r="F142" s="2" t="str">
        <f>IF(C142=0,ISTEXT(FORMULA.CONVERT("="&amp;A142&amp;"("&amp;REPLACE(REPT(",#ref!",B142),1,1,"")&amp;")()",1)),"")</f>
        <v/>
      </c>
      <c r="G142" s="2"/>
      <c r="H142" s="2" t="str">
        <f t="shared" si="5"/>
        <v/>
      </c>
      <c r="I142" s="2">
        <f>TYPE(DVAR(IF(1,1),IF(1,1),IF(1,1)))</f>
        <v>16</v>
      </c>
      <c r="J142" s="2" t="str">
        <f>IF(C142=0,COUNTIFS(A:A,A142,D:D,"a"),"")</f>
        <v/>
      </c>
      <c r="K142" s="2" t="e">
        <f>INDEX(+DVAR(K142:L142,#REF!,#REF!),)</f>
        <v>#REF!</v>
      </c>
      <c r="L142" s="1">
        <v>1</v>
      </c>
      <c r="M142" s="2" t="e">
        <f>INDEX(+DVAR(INDIRECT(M142:N142),#REF!,#REF!),)</f>
        <v>#REF!</v>
      </c>
      <c r="N142" s="1">
        <v>1</v>
      </c>
    </row>
    <row r="143" spans="1:14" x14ac:dyDescent="0.55000000000000004">
      <c r="A143" s="1" t="s">
        <v>1525</v>
      </c>
      <c r="B143" s="2">
        <f>COUNTIF(A:A,A143)-1</f>
        <v>3</v>
      </c>
      <c r="C143" s="2">
        <f>COUNTIF(A$1:A143,A143)-1</f>
        <v>2</v>
      </c>
      <c r="D143" s="2" t="str">
        <f>Argument!D143</f>
        <v>vr</v>
      </c>
      <c r="E143" s="2" t="str">
        <f t="shared" si="4"/>
        <v/>
      </c>
      <c r="F143" s="2" t="str">
        <f>IF(C143=0,ISTEXT(FORMULA.CONVERT("="&amp;A143&amp;"("&amp;REPLACE(REPT(",#ref!",B143),1,1,"")&amp;")()",1)),"")</f>
        <v/>
      </c>
      <c r="G143" s="2">
        <f>TYPE(DVAR(IF(1,1),{1},IF(1,1)))</f>
        <v>64</v>
      </c>
      <c r="H143" s="2" t="str">
        <f t="shared" si="5"/>
        <v/>
      </c>
      <c r="I143" s="2">
        <f>TYPE(DVAR(IF(1,1),IF(1,1),IF(1,1)))</f>
        <v>16</v>
      </c>
      <c r="J143" s="2" t="str">
        <f>IF(C143=0,COUNTIFS(A:A,A143,D:D,"a"),"")</f>
        <v/>
      </c>
      <c r="K143" s="2" t="e">
        <f>INDEX(+DVAR(#REF!,K143:L143,#REF!),)</f>
        <v>#REF!</v>
      </c>
      <c r="L143" s="1">
        <v>1</v>
      </c>
      <c r="M143" s="2" t="e">
        <f>INDEX(+DVAR(#REF!,INDIRECT(M143:N143),#REF!),)</f>
        <v>#REF!</v>
      </c>
      <c r="N143" s="1">
        <v>1</v>
      </c>
    </row>
    <row r="144" spans="1:14" x14ac:dyDescent="0.55000000000000004">
      <c r="A144" s="1" t="s">
        <v>1525</v>
      </c>
      <c r="B144" s="2">
        <f>COUNTIF(A:A,A144)-1</f>
        <v>3</v>
      </c>
      <c r="C144" s="2">
        <f>COUNTIF(A$1:A144,A144)-1</f>
        <v>3</v>
      </c>
      <c r="D144" s="2" t="str">
        <f>Argument!D144</f>
        <v>vr</v>
      </c>
      <c r="E144" s="2" t="str">
        <f t="shared" si="4"/>
        <v/>
      </c>
      <c r="F144" s="2" t="str">
        <f>IF(C144=0,ISTEXT(FORMULA.CONVERT("="&amp;A144&amp;"("&amp;REPLACE(REPT(",#ref!",B144),1,1,"")&amp;")()",1)),"")</f>
        <v/>
      </c>
      <c r="G144" s="2">
        <f>TYPE(DVAR(IF(1,1),IF(1,1),{1}))</f>
        <v>64</v>
      </c>
      <c r="H144" s="2" t="str">
        <f t="shared" si="5"/>
        <v/>
      </c>
      <c r="I144" s="2">
        <f>TYPE(DVAR(IF(1,1),IF(1,1),IF(1,1)))</f>
        <v>16</v>
      </c>
      <c r="J144" s="2" t="str">
        <f>IF(C144=0,COUNTIFS(A:A,A144,D:D,"a"),"")</f>
        <v/>
      </c>
      <c r="K144" s="2" t="e">
        <f>INDEX(+DVAR(#REF!,#REF!,K144:L144),)</f>
        <v>#REF!</v>
      </c>
      <c r="L144" s="1">
        <v>1</v>
      </c>
      <c r="M144" s="2" t="e">
        <f>INDEX(+DVAR(#REF!,#REF!,INDIRECT(M144:N144)),)</f>
        <v>#REF!</v>
      </c>
      <c r="N144" s="1">
        <v>1</v>
      </c>
    </row>
    <row r="145" spans="1:14" x14ac:dyDescent="0.55000000000000004">
      <c r="A145" s="1" t="s">
        <v>1198</v>
      </c>
      <c r="B145" s="2">
        <f>COUNTIF(A:A,A145)-1</f>
        <v>2</v>
      </c>
      <c r="C145" s="2">
        <f>COUNTIF(A$1:A145,A145)-1</f>
        <v>0</v>
      </c>
      <c r="D145" s="2" t="str">
        <f>Argument!D145</f>
        <v/>
      </c>
      <c r="E145" s="2" t="str">
        <f t="shared" si="4"/>
        <v>v</v>
      </c>
      <c r="F145" s="2" t="b">
        <f>IF(C145=0,ISTEXT(FORMULA.CONVERT("="&amp;A145&amp;"("&amp;REPLACE(REPT(",#ref!",B145),1,1,"")&amp;")()",1)),"")</f>
        <v>0</v>
      </c>
      <c r="G145" s="2"/>
      <c r="H145" s="2" t="str">
        <f t="shared" si="5"/>
        <v/>
      </c>
      <c r="I145" s="2">
        <f>TYPE(TEXT(IF(1,1),IF(1,1)))</f>
        <v>2</v>
      </c>
      <c r="J145" s="2">
        <f>IF(C145=0,COUNTIFS(A:A,A145,D:D,"a"),"")</f>
        <v>0</v>
      </c>
      <c r="K145" s="2"/>
      <c r="M145" s="2"/>
    </row>
    <row r="146" spans="1:14" x14ac:dyDescent="0.55000000000000004">
      <c r="A146" s="1" t="s">
        <v>1198</v>
      </c>
      <c r="B146" s="2">
        <f>COUNTIF(A:A,A146)-1</f>
        <v>2</v>
      </c>
      <c r="C146" s="2">
        <f>COUNTIF(A$1:A146,A146)-1</f>
        <v>1</v>
      </c>
      <c r="D146" s="2" t="str">
        <f>Argument!D146</f>
        <v>v</v>
      </c>
      <c r="E146" s="2" t="str">
        <f t="shared" si="4"/>
        <v/>
      </c>
      <c r="F146" s="2" t="str">
        <f>IF(C146=0,ISTEXT(FORMULA.CONVERT("="&amp;A146&amp;"("&amp;REPLACE(REPT(",#ref!",B146),1,1,"")&amp;")()",1)),"")</f>
        <v/>
      </c>
      <c r="G146" s="2">
        <f>TYPE(TEXT({1},IF(1,1)))</f>
        <v>64</v>
      </c>
      <c r="H146" s="2" t="str">
        <f t="shared" si="5"/>
        <v/>
      </c>
      <c r="I146" s="2">
        <f>TYPE(TEXT(IF(1,1),IF(1,1)))</f>
        <v>2</v>
      </c>
      <c r="J146" s="2" t="str">
        <f>IF(C146=0,COUNTIFS(A:A,A146,D:D,"a"),"")</f>
        <v/>
      </c>
      <c r="K146" s="2" t="e">
        <f>INDEX(+TEXT(K146:L146,#REF!),)</f>
        <v>#REF!</v>
      </c>
      <c r="L146" s="1">
        <v>1</v>
      </c>
      <c r="M146" s="2" t="e">
        <f>INDEX(+TEXT(INDIRECT(M146:N146),#REF!),)</f>
        <v>#REF!</v>
      </c>
      <c r="N146" s="1">
        <v>1</v>
      </c>
    </row>
    <row r="147" spans="1:14" x14ac:dyDescent="0.55000000000000004">
      <c r="A147" s="1" t="s">
        <v>1198</v>
      </c>
      <c r="B147" s="2">
        <f>COUNTIF(A:A,A147)-1</f>
        <v>2</v>
      </c>
      <c r="C147" s="2">
        <f>COUNTIF(A$1:A147,A147)-1</f>
        <v>2</v>
      </c>
      <c r="D147" s="2" t="str">
        <f>Argument!D147</f>
        <v>v</v>
      </c>
      <c r="E147" s="2" t="str">
        <f t="shared" si="4"/>
        <v/>
      </c>
      <c r="F147" s="2" t="str">
        <f>IF(C147=0,ISTEXT(FORMULA.CONVERT("="&amp;A147&amp;"("&amp;REPLACE(REPT(",#ref!",B147),1,1,"")&amp;")()",1)),"")</f>
        <v/>
      </c>
      <c r="G147" s="2">
        <f>TYPE(TEXT(IF(1,1),{1}))</f>
        <v>64</v>
      </c>
      <c r="H147" s="2" t="str">
        <f t="shared" si="5"/>
        <v/>
      </c>
      <c r="I147" s="2">
        <f>TYPE(TEXT(IF(1,1),IF(1,1)))</f>
        <v>2</v>
      </c>
      <c r="J147" s="2" t="str">
        <f>IF(C147=0,COUNTIFS(A:A,A147,D:D,"a"),"")</f>
        <v/>
      </c>
      <c r="K147" s="2" t="e">
        <f>INDEX(+TEXT(#REF!,K147:L147),)</f>
        <v>#REF!</v>
      </c>
      <c r="L147" s="1">
        <v>1</v>
      </c>
      <c r="M147" s="2" t="e">
        <f>INDEX(+TEXT(#REF!,INDIRECT(M147:N147)),)</f>
        <v>#REF!</v>
      </c>
      <c r="N147" s="1">
        <v>1</v>
      </c>
    </row>
    <row r="148" spans="1:14" x14ac:dyDescent="0.55000000000000004">
      <c r="A148" s="1" t="s">
        <v>1526</v>
      </c>
      <c r="B148" s="2">
        <f>COUNTIF(A:A,A148)-1</f>
        <v>4</v>
      </c>
      <c r="C148" s="2">
        <f>COUNTIF(A$1:A148,A148)-1</f>
        <v>0</v>
      </c>
      <c r="D148" s="2" t="str">
        <f>Argument!D148</f>
        <v/>
      </c>
      <c r="E148" s="2" t="str">
        <f t="shared" si="4"/>
        <v>a</v>
      </c>
      <c r="F148" s="2" t="b">
        <f>IF(C148=0,ISTEXT(FORMULA.CONVERT("="&amp;A148&amp;"("&amp;REPLACE(REPT(",#ref!",B148),1,1,"")&amp;")()",1)),"")</f>
        <v>0</v>
      </c>
      <c r="G148" s="2"/>
      <c r="H148" s="2" t="str">
        <f t="shared" si="5"/>
        <v/>
      </c>
      <c r="I148" s="2">
        <f>TYPE(LINEST(IF(1,1),IF(1,1),IF(1,1),IF(1,1)))</f>
        <v>64</v>
      </c>
      <c r="J148" s="2">
        <f>IF(C148=0,COUNTIFS(A:A,A148,D:D,"a"),"")</f>
        <v>0</v>
      </c>
      <c r="K148" s="2"/>
      <c r="M148" s="2"/>
    </row>
    <row r="149" spans="1:14" x14ac:dyDescent="0.55000000000000004">
      <c r="A149" s="1" t="s">
        <v>1526</v>
      </c>
      <c r="B149" s="2">
        <f>COUNTIF(A:A,A149)-1</f>
        <v>4</v>
      </c>
      <c r="C149" s="2">
        <f>COUNTIF(A$1:A149,A149)-1</f>
        <v>1</v>
      </c>
      <c r="D149" s="2" t="str">
        <f>Argument!D149</f>
        <v>ar</v>
      </c>
      <c r="E149" s="2" t="str">
        <f t="shared" si="4"/>
        <v/>
      </c>
      <c r="F149" s="2" t="str">
        <f>IF(C149=0,ISTEXT(FORMULA.CONVERT("="&amp;A149&amp;"("&amp;REPLACE(REPT(",#ref!",B149),1,1,"")&amp;")()",1)),"")</f>
        <v/>
      </c>
      <c r="G149" s="2">
        <f>TYPE(LINEST({1},IF(1,1),IF(1,1),IF(1,1)))</f>
        <v>64</v>
      </c>
      <c r="H149" s="2">
        <f t="shared" si="5"/>
        <v>1</v>
      </c>
      <c r="I149" s="2">
        <f>TYPE(LINEST(IF(1,1),IF(1,1),IF(1,1),IF(1,1)))</f>
        <v>64</v>
      </c>
      <c r="J149" s="2" t="str">
        <f>IF(C149=0,COUNTIFS(A:A,A149,D:D,"a"),"")</f>
        <v/>
      </c>
      <c r="K149" s="2" t="e">
        <f>INDEX(+LINEST(K149:L149,#REF!,#REF!,#REF!),)</f>
        <v>#REF!</v>
      </c>
      <c r="L149" s="1">
        <v>1</v>
      </c>
      <c r="M149" s="2" t="e">
        <f>INDEX(+LINEST(INDIRECT(M149:N149),#REF!,#REF!,#REF!),)</f>
        <v>#REF!</v>
      </c>
    </row>
    <row r="150" spans="1:14" x14ac:dyDescent="0.55000000000000004">
      <c r="A150" s="1" t="s">
        <v>1526</v>
      </c>
      <c r="B150" s="2">
        <f>COUNTIF(A:A,A150)-1</f>
        <v>4</v>
      </c>
      <c r="C150" s="2">
        <f>COUNTIF(A$1:A150,A150)-1</f>
        <v>2</v>
      </c>
      <c r="D150" s="2" t="str">
        <f>Argument!D150</f>
        <v>ar</v>
      </c>
      <c r="E150" s="2" t="str">
        <f t="shared" si="4"/>
        <v/>
      </c>
      <c r="F150" s="2" t="str">
        <f>IF(C150=0,ISTEXT(FORMULA.CONVERT("="&amp;A150&amp;"("&amp;REPLACE(REPT(",#ref!",B150),1,1,"")&amp;")()",1)),"")</f>
        <v/>
      </c>
      <c r="G150" s="2">
        <f>TYPE(LINEST(IF(1,1),{1},IF(1,1),IF(1,1)))</f>
        <v>64</v>
      </c>
      <c r="H150" s="2">
        <f t="shared" si="5"/>
        <v>1</v>
      </c>
      <c r="I150" s="2">
        <f>TYPE(LINEST(IF(1,1),IF(1,1),IF(1,1),IF(1,1)))</f>
        <v>64</v>
      </c>
      <c r="J150" s="2" t="str">
        <f>IF(C150=0,COUNTIFS(A:A,A150,D:D,"a"),"")</f>
        <v/>
      </c>
      <c r="K150" s="2" t="e">
        <f>INDEX(+LINEST(#REF!,K150:L150,#REF!,#REF!),)</f>
        <v>#REF!</v>
      </c>
      <c r="L150" s="1">
        <v>1</v>
      </c>
      <c r="M150" s="2" t="e">
        <f>INDEX(+LINEST(#REF!,INDIRECT(M150:N150),#REF!,#REF!),)</f>
        <v>#REF!</v>
      </c>
    </row>
    <row r="151" spans="1:14" x14ac:dyDescent="0.55000000000000004">
      <c r="A151" s="1" t="s">
        <v>1526</v>
      </c>
      <c r="B151" s="2">
        <f>COUNTIF(A:A,A151)-1</f>
        <v>4</v>
      </c>
      <c r="C151" s="2">
        <f>COUNTIF(A$1:A151,A151)-1</f>
        <v>3</v>
      </c>
      <c r="D151" s="2" t="str">
        <f>Argument!D151</f>
        <v>vr</v>
      </c>
      <c r="E151" s="2" t="str">
        <f t="shared" si="4"/>
        <v/>
      </c>
      <c r="F151" s="2" t="str">
        <f>IF(C151=0,ISTEXT(FORMULA.CONVERT("="&amp;A151&amp;"("&amp;REPLACE(REPT(",#ref!",B151),1,1,"")&amp;")()",1)),"")</f>
        <v/>
      </c>
      <c r="G151" s="2">
        <f>TYPE(LINEST(IF(1,1),IF(1,1),{1},IF(1,1)))</f>
        <v>64</v>
      </c>
      <c r="H151" s="2">
        <f t="shared" si="5"/>
        <v>1</v>
      </c>
      <c r="I151" s="2">
        <f>TYPE(LINEST(IF(1,1),IF(1,1),IF(1,1),IF(1,1)))</f>
        <v>64</v>
      </c>
      <c r="J151" s="2" t="str">
        <f>IF(C151=0,COUNTIFS(A:A,A151,D:D,"a"),"")</f>
        <v/>
      </c>
      <c r="K151" s="2" t="e">
        <f>INDEX(+LINEST(#REF!,#REF!,K151:L151,#REF!),)</f>
        <v>#REF!</v>
      </c>
      <c r="L151" s="1">
        <v>1</v>
      </c>
      <c r="M151" s="2" t="e">
        <f>INDEX(+LINEST(#REF!,#REF!,INDIRECT(M151:N151),#REF!),)</f>
        <v>#REF!</v>
      </c>
    </row>
    <row r="152" spans="1:14" x14ac:dyDescent="0.55000000000000004">
      <c r="A152" s="1" t="s">
        <v>1526</v>
      </c>
      <c r="B152" s="2">
        <f>COUNTIF(A:A,A152)-1</f>
        <v>4</v>
      </c>
      <c r="C152" s="2">
        <f>COUNTIF(A$1:A152,A152)-1</f>
        <v>4</v>
      </c>
      <c r="D152" s="2" t="str">
        <f>Argument!D152</f>
        <v>vr</v>
      </c>
      <c r="E152" s="2" t="str">
        <f t="shared" si="4"/>
        <v/>
      </c>
      <c r="F152" s="2" t="str">
        <f>IF(C152=0,ISTEXT(FORMULA.CONVERT("="&amp;A152&amp;"("&amp;REPLACE(REPT(",#ref!",B152),1,1,"")&amp;")()",1)),"")</f>
        <v/>
      </c>
      <c r="G152" s="2">
        <f>TYPE(LINEST(IF(1,1),IF(1,1),IF(1,1),{1}))</f>
        <v>64</v>
      </c>
      <c r="H152" s="2">
        <f t="shared" si="5"/>
        <v>1</v>
      </c>
      <c r="I152" s="2">
        <f>TYPE(LINEST(IF(1,1),IF(1,1),IF(1,1),IF(1,1)))</f>
        <v>64</v>
      </c>
      <c r="J152" s="2" t="str">
        <f>IF(C152=0,COUNTIFS(A:A,A152,D:D,"a"),"")</f>
        <v/>
      </c>
      <c r="K152" s="2" t="e">
        <f>INDEX(+LINEST(#REF!,#REF!,#REF!,K152:L152),)</f>
        <v>#REF!</v>
      </c>
      <c r="L152" s="1">
        <v>1</v>
      </c>
      <c r="M152" s="2" t="e">
        <f>INDEX(+LINEST(#REF!,#REF!,#REF!,INDIRECT(M152:N152)),)</f>
        <v>#REF!</v>
      </c>
    </row>
    <row r="153" spans="1:14" x14ac:dyDescent="0.55000000000000004">
      <c r="A153" s="1" t="s">
        <v>1527</v>
      </c>
      <c r="B153" s="2">
        <f>COUNTIF(A:A,A153)-1</f>
        <v>4</v>
      </c>
      <c r="C153" s="2">
        <f>COUNTIF(A$1:A153,A153)-1</f>
        <v>0</v>
      </c>
      <c r="D153" s="2" t="str">
        <f>Argument!D153</f>
        <v/>
      </c>
      <c r="E153" s="2" t="str">
        <f t="shared" si="4"/>
        <v>a</v>
      </c>
      <c r="F153" s="2" t="b">
        <f>IF(C153=0,ISTEXT(FORMULA.CONVERT("="&amp;A153&amp;"("&amp;REPLACE(REPT(",#ref!",B153),1,1,"")&amp;")()",1)),"")</f>
        <v>0</v>
      </c>
      <c r="G153" s="2"/>
      <c r="H153" s="2" t="str">
        <f t="shared" si="5"/>
        <v/>
      </c>
      <c r="I153" s="2">
        <f>TYPE(TREND(IF(1,1),IF(1,1),IF(1,1),IF(1,1)))</f>
        <v>64</v>
      </c>
      <c r="J153" s="2">
        <f>IF(C153=0,COUNTIFS(A:A,A153,D:D,"a"),"")</f>
        <v>0</v>
      </c>
      <c r="K153" s="2"/>
      <c r="M153" s="2"/>
    </row>
    <row r="154" spans="1:14" x14ac:dyDescent="0.55000000000000004">
      <c r="A154" s="1" t="s">
        <v>1527</v>
      </c>
      <c r="B154" s="2">
        <f>COUNTIF(A:A,A154)-1</f>
        <v>4</v>
      </c>
      <c r="C154" s="2">
        <f>COUNTIF(A$1:A154,A154)-1</f>
        <v>1</v>
      </c>
      <c r="D154" s="2" t="str">
        <f>Argument!D154</f>
        <v>ar</v>
      </c>
      <c r="E154" s="2" t="str">
        <f t="shared" si="4"/>
        <v/>
      </c>
      <c r="F154" s="2" t="str">
        <f>IF(C154=0,ISTEXT(FORMULA.CONVERT("="&amp;A154&amp;"("&amp;REPLACE(REPT(",#ref!",B154),1,1,"")&amp;")()",1)),"")</f>
        <v/>
      </c>
      <c r="G154" s="2">
        <f>TYPE(TREND({1},IF(1,1),IF(1,1),IF(1,1)))</f>
        <v>64</v>
      </c>
      <c r="H154" s="2">
        <f t="shared" si="5"/>
        <v>1</v>
      </c>
      <c r="I154" s="2">
        <f>TYPE(TREND(IF(1,1),IF(1,1),IF(1,1),IF(1,1)))</f>
        <v>64</v>
      </c>
      <c r="J154" s="2" t="str">
        <f>IF(C154=0,COUNTIFS(A:A,A154,D:D,"a"),"")</f>
        <v/>
      </c>
      <c r="K154" s="2" t="e">
        <f>INDEX(+TREND(K154:L154,#REF!,#REF!,#REF!),)</f>
        <v>#REF!</v>
      </c>
      <c r="L154" s="1">
        <v>1</v>
      </c>
      <c r="M154" s="2" t="e">
        <f>INDEX(+TREND(INDIRECT(M154:N154),#REF!,#REF!,#REF!),)</f>
        <v>#REF!</v>
      </c>
    </row>
    <row r="155" spans="1:14" x14ac:dyDescent="0.55000000000000004">
      <c r="A155" s="1" t="s">
        <v>1527</v>
      </c>
      <c r="B155" s="2">
        <f>COUNTIF(A:A,A155)-1</f>
        <v>4</v>
      </c>
      <c r="C155" s="2">
        <f>COUNTIF(A$1:A155,A155)-1</f>
        <v>2</v>
      </c>
      <c r="D155" s="2" t="str">
        <f>Argument!D155</f>
        <v>ar</v>
      </c>
      <c r="E155" s="2" t="str">
        <f t="shared" si="4"/>
        <v/>
      </c>
      <c r="F155" s="2" t="str">
        <f>IF(C155=0,ISTEXT(FORMULA.CONVERT("="&amp;A155&amp;"("&amp;REPLACE(REPT(",#ref!",B155),1,1,"")&amp;")()",1)),"")</f>
        <v/>
      </c>
      <c r="G155" s="2">
        <f>TYPE(TREND(IF(1,1),{1},IF(1,1),IF(1,1)))</f>
        <v>64</v>
      </c>
      <c r="H155" s="2">
        <f t="shared" si="5"/>
        <v>1</v>
      </c>
      <c r="I155" s="2">
        <f>TYPE(TREND(IF(1,1),IF(1,1),IF(1,1),IF(1,1)))</f>
        <v>64</v>
      </c>
      <c r="J155" s="2" t="str">
        <f>IF(C155=0,COUNTIFS(A:A,A155,D:D,"a"),"")</f>
        <v/>
      </c>
      <c r="K155" s="2" t="e">
        <f>INDEX(+TREND(#REF!,K155:L155,#REF!,#REF!),)</f>
        <v>#REF!</v>
      </c>
      <c r="L155" s="1">
        <v>1</v>
      </c>
      <c r="M155" s="2" t="e">
        <f>INDEX(+TREND(#REF!,INDIRECT(M155:N155),#REF!,#REF!),)</f>
        <v>#REF!</v>
      </c>
    </row>
    <row r="156" spans="1:14" x14ac:dyDescent="0.55000000000000004">
      <c r="A156" s="1" t="s">
        <v>1527</v>
      </c>
      <c r="B156" s="2">
        <f>COUNTIF(A:A,A156)-1</f>
        <v>4</v>
      </c>
      <c r="C156" s="2">
        <f>COUNTIF(A$1:A156,A156)-1</f>
        <v>3</v>
      </c>
      <c r="D156" s="2" t="str">
        <f>Argument!D156</f>
        <v>ar</v>
      </c>
      <c r="E156" s="2" t="str">
        <f t="shared" si="4"/>
        <v/>
      </c>
      <c r="F156" s="2" t="str">
        <f>IF(C156=0,ISTEXT(FORMULA.CONVERT("="&amp;A156&amp;"("&amp;REPLACE(REPT(",#ref!",B156),1,1,"")&amp;")()",1)),"")</f>
        <v/>
      </c>
      <c r="G156" s="2">
        <f>TYPE(TREND(IF(1,1),IF(1,1),{1},IF(1,1)))</f>
        <v>64</v>
      </c>
      <c r="H156" s="2">
        <f t="shared" si="5"/>
        <v>1</v>
      </c>
      <c r="I156" s="2">
        <f>TYPE(TREND(IF(1,1),IF(1,1),IF(1,1),IF(1,1)))</f>
        <v>64</v>
      </c>
      <c r="J156" s="2" t="str">
        <f>IF(C156=0,COUNTIFS(A:A,A156,D:D,"a"),"")</f>
        <v/>
      </c>
      <c r="K156" s="2" t="e">
        <f>INDEX(+TREND(#REF!,#REF!,K156:L156,#REF!),)</f>
        <v>#REF!</v>
      </c>
      <c r="L156" s="1">
        <v>1</v>
      </c>
      <c r="M156" s="2" t="e">
        <f>INDEX(+TREND(#REF!,#REF!,INDIRECT(M156:N156),#REF!),)</f>
        <v>#REF!</v>
      </c>
    </row>
    <row r="157" spans="1:14" x14ac:dyDescent="0.55000000000000004">
      <c r="A157" s="1" t="s">
        <v>1527</v>
      </c>
      <c r="B157" s="2">
        <f>COUNTIF(A:A,A157)-1</f>
        <v>4</v>
      </c>
      <c r="C157" s="2">
        <f>COUNTIF(A$1:A157,A157)-1</f>
        <v>4</v>
      </c>
      <c r="D157" s="2" t="str">
        <f>Argument!D157</f>
        <v>vr</v>
      </c>
      <c r="E157" s="2" t="str">
        <f t="shared" si="4"/>
        <v/>
      </c>
      <c r="F157" s="2" t="str">
        <f>IF(C157=0,ISTEXT(FORMULA.CONVERT("="&amp;A157&amp;"("&amp;REPLACE(REPT(",#ref!",B157),1,1,"")&amp;")()",1)),"")</f>
        <v/>
      </c>
      <c r="G157" s="2">
        <f>TYPE(TREND(IF(1,1),IF(1,1),IF(1,1),{1}))</f>
        <v>64</v>
      </c>
      <c r="H157" s="2">
        <f t="shared" si="5"/>
        <v>1</v>
      </c>
      <c r="I157" s="2">
        <f>TYPE(TREND(IF(1,1),IF(1,1),IF(1,1),IF(1,1)))</f>
        <v>64</v>
      </c>
      <c r="J157" s="2" t="str">
        <f>IF(C157=0,COUNTIFS(A:A,A157,D:D,"a"),"")</f>
        <v/>
      </c>
      <c r="K157" s="2" t="e">
        <f>INDEX(+TREND(#REF!,#REF!,#REF!,K157:L157),)</f>
        <v>#REF!</v>
      </c>
      <c r="L157" s="1">
        <v>1</v>
      </c>
      <c r="M157" s="2" t="e">
        <f>INDEX(+TREND(#REF!,#REF!,#REF!,INDIRECT(M157:N157)),)</f>
        <v>#REF!</v>
      </c>
    </row>
    <row r="158" spans="1:14" x14ac:dyDescent="0.55000000000000004">
      <c r="A158" s="1" t="s">
        <v>1528</v>
      </c>
      <c r="B158" s="2">
        <f>COUNTIF(A:A,A158)-1</f>
        <v>4</v>
      </c>
      <c r="C158" s="2">
        <f>COUNTIF(A$1:A158,A158)-1</f>
        <v>0</v>
      </c>
      <c r="D158" s="2" t="str">
        <f>Argument!D158</f>
        <v/>
      </c>
      <c r="E158" s="2" t="str">
        <f t="shared" si="4"/>
        <v>a</v>
      </c>
      <c r="F158" s="2" t="b">
        <f>IF(C158=0,ISTEXT(FORMULA.CONVERT("="&amp;A158&amp;"("&amp;REPLACE(REPT(",#ref!",B158),1,1,"")&amp;")()",1)),"")</f>
        <v>0</v>
      </c>
      <c r="G158" s="2"/>
      <c r="H158" s="2" t="str">
        <f t="shared" si="5"/>
        <v/>
      </c>
      <c r="I158" s="2">
        <f>TYPE(LOGEST(IF(1,1),IF(1,1),IF(1,1),IF(1,1)))</f>
        <v>64</v>
      </c>
      <c r="J158" s="2">
        <f>IF(C158=0,COUNTIFS(A:A,A158,D:D,"a"),"")</f>
        <v>0</v>
      </c>
      <c r="K158" s="2"/>
      <c r="M158" s="2"/>
    </row>
    <row r="159" spans="1:14" x14ac:dyDescent="0.55000000000000004">
      <c r="A159" s="1" t="s">
        <v>1528</v>
      </c>
      <c r="B159" s="2">
        <f>COUNTIF(A:A,A159)-1</f>
        <v>4</v>
      </c>
      <c r="C159" s="2">
        <f>COUNTIF(A$1:A159,A159)-1</f>
        <v>1</v>
      </c>
      <c r="D159" s="2" t="str">
        <f>Argument!D159</f>
        <v>ar</v>
      </c>
      <c r="E159" s="2" t="str">
        <f t="shared" si="4"/>
        <v/>
      </c>
      <c r="F159" s="2" t="str">
        <f>IF(C159=0,ISTEXT(FORMULA.CONVERT("="&amp;A159&amp;"("&amp;REPLACE(REPT(",#ref!",B159),1,1,"")&amp;")()",1)),"")</f>
        <v/>
      </c>
      <c r="G159" s="2">
        <f>TYPE(LOGEST({1},IF(1,1),IF(1,1),IF(1,1)))</f>
        <v>64</v>
      </c>
      <c r="H159" s="2">
        <f t="shared" si="5"/>
        <v>1</v>
      </c>
      <c r="I159" s="2">
        <f>TYPE(LOGEST(IF(1,1),IF(1,1),IF(1,1),IF(1,1)))</f>
        <v>64</v>
      </c>
      <c r="J159" s="2" t="str">
        <f>IF(C159=0,COUNTIFS(A:A,A159,D:D,"a"),"")</f>
        <v/>
      </c>
      <c r="K159" s="2" t="e">
        <f>INDEX(+LOGEST(K159:L159,#REF!,#REF!,#REF!),)</f>
        <v>#REF!</v>
      </c>
      <c r="L159" s="1">
        <v>1</v>
      </c>
      <c r="M159" s="2" t="e">
        <f>INDEX(+LOGEST(INDIRECT(M159:N159),#REF!,#REF!,#REF!),)</f>
        <v>#REF!</v>
      </c>
    </row>
    <row r="160" spans="1:14" x14ac:dyDescent="0.55000000000000004">
      <c r="A160" s="1" t="s">
        <v>1528</v>
      </c>
      <c r="B160" s="2">
        <f>COUNTIF(A:A,A160)-1</f>
        <v>4</v>
      </c>
      <c r="C160" s="2">
        <f>COUNTIF(A$1:A160,A160)-1</f>
        <v>2</v>
      </c>
      <c r="D160" s="2" t="str">
        <f>Argument!D160</f>
        <v>ar</v>
      </c>
      <c r="E160" s="2" t="str">
        <f t="shared" si="4"/>
        <v/>
      </c>
      <c r="F160" s="2" t="str">
        <f>IF(C160=0,ISTEXT(FORMULA.CONVERT("="&amp;A160&amp;"("&amp;REPLACE(REPT(",#ref!",B160),1,1,"")&amp;")()",1)),"")</f>
        <v/>
      </c>
      <c r="G160" s="2">
        <f>TYPE(LOGEST(IF(1,1),{1},IF(1,1),IF(1,1)))</f>
        <v>64</v>
      </c>
      <c r="H160" s="2">
        <f t="shared" si="5"/>
        <v>1</v>
      </c>
      <c r="I160" s="2">
        <f>TYPE(LOGEST(IF(1,1),IF(1,1),IF(1,1),IF(1,1)))</f>
        <v>64</v>
      </c>
      <c r="J160" s="2" t="str">
        <f>IF(C160=0,COUNTIFS(A:A,A160,D:D,"a"),"")</f>
        <v/>
      </c>
      <c r="K160" s="2" t="e">
        <f>INDEX(+LOGEST(#REF!,K160:L160,#REF!,#REF!),)</f>
        <v>#REF!</v>
      </c>
      <c r="L160" s="1">
        <v>1</v>
      </c>
      <c r="M160" s="2" t="e">
        <f>INDEX(+LOGEST(#REF!,INDIRECT(M160:N160),#REF!,#REF!),)</f>
        <v>#REF!</v>
      </c>
    </row>
    <row r="161" spans="1:14" x14ac:dyDescent="0.55000000000000004">
      <c r="A161" s="1" t="s">
        <v>1528</v>
      </c>
      <c r="B161" s="2">
        <f>COUNTIF(A:A,A161)-1</f>
        <v>4</v>
      </c>
      <c r="C161" s="2">
        <f>COUNTIF(A$1:A161,A161)-1</f>
        <v>3</v>
      </c>
      <c r="D161" s="2" t="str">
        <f>Argument!D161</f>
        <v>vr</v>
      </c>
      <c r="E161" s="2" t="str">
        <f t="shared" si="4"/>
        <v/>
      </c>
      <c r="F161" s="2" t="str">
        <f>IF(C161=0,ISTEXT(FORMULA.CONVERT("="&amp;A161&amp;"("&amp;REPLACE(REPT(",#ref!",B161),1,1,"")&amp;")()",1)),"")</f>
        <v/>
      </c>
      <c r="G161" s="2">
        <f>TYPE(LOGEST(IF(1,1),IF(1,1),{1},IF(1,1)))</f>
        <v>64</v>
      </c>
      <c r="H161" s="2">
        <f t="shared" si="5"/>
        <v>1</v>
      </c>
      <c r="I161" s="2">
        <f>TYPE(LOGEST(IF(1,1),IF(1,1),IF(1,1),IF(1,1)))</f>
        <v>64</v>
      </c>
      <c r="J161" s="2" t="str">
        <f>IF(C161=0,COUNTIFS(A:A,A161,D:D,"a"),"")</f>
        <v/>
      </c>
      <c r="K161" s="2" t="e">
        <f>INDEX(+LOGEST(#REF!,#REF!,K161:L161,#REF!),)</f>
        <v>#REF!</v>
      </c>
      <c r="L161" s="1">
        <v>1</v>
      </c>
      <c r="M161" s="2" t="e">
        <f>INDEX(+LOGEST(#REF!,#REF!,INDIRECT(M161:N161),#REF!),)</f>
        <v>#REF!</v>
      </c>
    </row>
    <row r="162" spans="1:14" x14ac:dyDescent="0.55000000000000004">
      <c r="A162" s="1" t="s">
        <v>1528</v>
      </c>
      <c r="B162" s="2">
        <f>COUNTIF(A:A,A162)-1</f>
        <v>4</v>
      </c>
      <c r="C162" s="2">
        <f>COUNTIF(A$1:A162,A162)-1</f>
        <v>4</v>
      </c>
      <c r="D162" s="2" t="str">
        <f>Argument!D162</f>
        <v>vr</v>
      </c>
      <c r="E162" s="2" t="str">
        <f t="shared" si="4"/>
        <v/>
      </c>
      <c r="F162" s="2" t="str">
        <f>IF(C162=0,ISTEXT(FORMULA.CONVERT("="&amp;A162&amp;"("&amp;REPLACE(REPT(",#ref!",B162),1,1,"")&amp;")()",1)),"")</f>
        <v/>
      </c>
      <c r="G162" s="2">
        <f>TYPE(LOGEST(IF(1,1),IF(1,1),IF(1,1),{1}))</f>
        <v>64</v>
      </c>
      <c r="H162" s="2">
        <f t="shared" si="5"/>
        <v>1</v>
      </c>
      <c r="I162" s="2">
        <f>TYPE(LOGEST(IF(1,1),IF(1,1),IF(1,1),IF(1,1)))</f>
        <v>64</v>
      </c>
      <c r="J162" s="2" t="str">
        <f>IF(C162=0,COUNTIFS(A:A,A162,D:D,"a"),"")</f>
        <v/>
      </c>
      <c r="K162" s="2" t="e">
        <f>INDEX(+LOGEST(#REF!,#REF!,#REF!,K162:L162),)</f>
        <v>#REF!</v>
      </c>
      <c r="L162" s="1">
        <v>1</v>
      </c>
      <c r="M162" s="2" t="e">
        <f>INDEX(+LOGEST(#REF!,#REF!,#REF!,INDIRECT(M162:N162)),)</f>
        <v>#REF!</v>
      </c>
    </row>
    <row r="163" spans="1:14" x14ac:dyDescent="0.55000000000000004">
      <c r="A163" s="1" t="s">
        <v>1529</v>
      </c>
      <c r="B163" s="2">
        <f>COUNTIF(A:A,A163)-1</f>
        <v>4</v>
      </c>
      <c r="C163" s="2">
        <f>COUNTIF(A$1:A163,A163)-1</f>
        <v>0</v>
      </c>
      <c r="D163" s="2" t="str">
        <f>Argument!D163</f>
        <v/>
      </c>
      <c r="E163" s="2" t="str">
        <f t="shared" si="4"/>
        <v>a</v>
      </c>
      <c r="F163" s="2" t="b">
        <f>IF(C163=0,ISTEXT(FORMULA.CONVERT("="&amp;A163&amp;"("&amp;REPLACE(REPT(",#ref!",B163),1,1,"")&amp;")()",1)),"")</f>
        <v>0</v>
      </c>
      <c r="G163" s="2"/>
      <c r="H163" s="2" t="str">
        <f t="shared" si="5"/>
        <v/>
      </c>
      <c r="I163" s="2">
        <f>TYPE(GROWTH(IF(1,1),IF(1,1),IF(1,1),IF(1,1)))</f>
        <v>64</v>
      </c>
      <c r="J163" s="2">
        <f>IF(C163=0,COUNTIFS(A:A,A163,D:D,"a"),"")</f>
        <v>0</v>
      </c>
      <c r="K163" s="2"/>
      <c r="M163" s="2"/>
    </row>
    <row r="164" spans="1:14" x14ac:dyDescent="0.55000000000000004">
      <c r="A164" s="1" t="s">
        <v>1529</v>
      </c>
      <c r="B164" s="2">
        <f>COUNTIF(A:A,A164)-1</f>
        <v>4</v>
      </c>
      <c r="C164" s="2">
        <f>COUNTIF(A$1:A164,A164)-1</f>
        <v>1</v>
      </c>
      <c r="D164" s="2" t="str">
        <f>Argument!D164</f>
        <v>ar</v>
      </c>
      <c r="E164" s="2" t="str">
        <f t="shared" si="4"/>
        <v/>
      </c>
      <c r="F164" s="2" t="str">
        <f>IF(C164=0,ISTEXT(FORMULA.CONVERT("="&amp;A164&amp;"("&amp;REPLACE(REPT(",#ref!",B164),1,1,"")&amp;")()",1)),"")</f>
        <v/>
      </c>
      <c r="G164" s="2">
        <f>TYPE(GROWTH({1},IF(1,1),IF(1,1),IF(1,1)))</f>
        <v>64</v>
      </c>
      <c r="H164" s="2">
        <f t="shared" si="5"/>
        <v>1</v>
      </c>
      <c r="I164" s="2">
        <f>TYPE(GROWTH(IF(1,1),IF(1,1),IF(1,1),IF(1,1)))</f>
        <v>64</v>
      </c>
      <c r="J164" s="2" t="str">
        <f>IF(C164=0,COUNTIFS(A:A,A164,D:D,"a"),"")</f>
        <v/>
      </c>
      <c r="K164" s="2" t="e">
        <f>INDEX(+GROWTH(K164:L164,#REF!,#REF!,#REF!),)</f>
        <v>#REF!</v>
      </c>
      <c r="L164" s="1">
        <v>1</v>
      </c>
      <c r="M164" s="2" t="e">
        <f>INDEX(+GROWTH(INDIRECT(M164:N164),#REF!,#REF!,#REF!),)</f>
        <v>#REF!</v>
      </c>
    </row>
    <row r="165" spans="1:14" x14ac:dyDescent="0.55000000000000004">
      <c r="A165" s="1" t="s">
        <v>1529</v>
      </c>
      <c r="B165" s="2">
        <f>COUNTIF(A:A,A165)-1</f>
        <v>4</v>
      </c>
      <c r="C165" s="2">
        <f>COUNTIF(A$1:A165,A165)-1</f>
        <v>2</v>
      </c>
      <c r="D165" s="2" t="str">
        <f>Argument!D165</f>
        <v>ar</v>
      </c>
      <c r="E165" s="2" t="str">
        <f t="shared" si="4"/>
        <v/>
      </c>
      <c r="F165" s="2" t="str">
        <f>IF(C165=0,ISTEXT(FORMULA.CONVERT("="&amp;A165&amp;"("&amp;REPLACE(REPT(",#ref!",B165),1,1,"")&amp;")()",1)),"")</f>
        <v/>
      </c>
      <c r="G165" s="2">
        <f>TYPE(GROWTH(IF(1,1),{1},IF(1,1),IF(1,1)))</f>
        <v>64</v>
      </c>
      <c r="H165" s="2">
        <f t="shared" si="5"/>
        <v>1</v>
      </c>
      <c r="I165" s="2">
        <f>TYPE(GROWTH(IF(1,1),IF(1,1),IF(1,1),IF(1,1)))</f>
        <v>64</v>
      </c>
      <c r="J165" s="2" t="str">
        <f>IF(C165=0,COUNTIFS(A:A,A165,D:D,"a"),"")</f>
        <v/>
      </c>
      <c r="K165" s="2" t="e">
        <f>INDEX(+GROWTH(#REF!,K165:L165,#REF!,#REF!),)</f>
        <v>#REF!</v>
      </c>
      <c r="L165" s="1">
        <v>1</v>
      </c>
      <c r="M165" s="2" t="e">
        <f>INDEX(+GROWTH(#REF!,INDIRECT(M165:N165),#REF!,#REF!),)</f>
        <v>#REF!</v>
      </c>
    </row>
    <row r="166" spans="1:14" x14ac:dyDescent="0.55000000000000004">
      <c r="A166" s="1" t="s">
        <v>1529</v>
      </c>
      <c r="B166" s="2">
        <f>COUNTIF(A:A,A166)-1</f>
        <v>4</v>
      </c>
      <c r="C166" s="2">
        <f>COUNTIF(A$1:A166,A166)-1</f>
        <v>3</v>
      </c>
      <c r="D166" s="2" t="str">
        <f>Argument!D166</f>
        <v>ar</v>
      </c>
      <c r="E166" s="2" t="str">
        <f t="shared" si="4"/>
        <v/>
      </c>
      <c r="F166" s="2" t="str">
        <f>IF(C166=0,ISTEXT(FORMULA.CONVERT("="&amp;A166&amp;"("&amp;REPLACE(REPT(",#ref!",B166),1,1,"")&amp;")()",1)),"")</f>
        <v/>
      </c>
      <c r="G166" s="2">
        <f>TYPE(GROWTH(IF(1,1),IF(1,1),{1},IF(1,1)))</f>
        <v>64</v>
      </c>
      <c r="H166" s="2">
        <f t="shared" si="5"/>
        <v>1</v>
      </c>
      <c r="I166" s="2">
        <f>TYPE(GROWTH(IF(1,1),IF(1,1),IF(1,1),IF(1,1)))</f>
        <v>64</v>
      </c>
      <c r="J166" s="2" t="str">
        <f>IF(C166=0,COUNTIFS(A:A,A166,D:D,"a"),"")</f>
        <v/>
      </c>
      <c r="K166" s="2" t="e">
        <f>INDEX(+GROWTH(#REF!,#REF!,K166:L166,#REF!),)</f>
        <v>#REF!</v>
      </c>
      <c r="L166" s="1">
        <v>1</v>
      </c>
      <c r="M166" s="2" t="e">
        <f>INDEX(+GROWTH(#REF!,#REF!,INDIRECT(M166:N166),#REF!),)</f>
        <v>#REF!</v>
      </c>
    </row>
    <row r="167" spans="1:14" x14ac:dyDescent="0.55000000000000004">
      <c r="A167" s="1" t="s">
        <v>1529</v>
      </c>
      <c r="B167" s="2">
        <f>COUNTIF(A:A,A167)-1</f>
        <v>4</v>
      </c>
      <c r="C167" s="2">
        <f>COUNTIF(A$1:A167,A167)-1</f>
        <v>4</v>
      </c>
      <c r="D167" s="2" t="str">
        <f>Argument!D167</f>
        <v>vr</v>
      </c>
      <c r="E167" s="2" t="str">
        <f t="shared" si="4"/>
        <v/>
      </c>
      <c r="F167" s="2" t="str">
        <f>IF(C167=0,ISTEXT(FORMULA.CONVERT("="&amp;A167&amp;"("&amp;REPLACE(REPT(",#ref!",B167),1,1,"")&amp;")()",1)),"")</f>
        <v/>
      </c>
      <c r="G167" s="2">
        <f>TYPE(GROWTH(IF(1,1),IF(1,1),IF(1,1),{1}))</f>
        <v>64</v>
      </c>
      <c r="H167" s="2">
        <f t="shared" si="5"/>
        <v>1</v>
      </c>
      <c r="I167" s="2">
        <f>TYPE(GROWTH(IF(1,1),IF(1,1),IF(1,1),IF(1,1)))</f>
        <v>64</v>
      </c>
      <c r="J167" s="2" t="str">
        <f>IF(C167=0,COUNTIFS(A:A,A167,D:D,"a"),"")</f>
        <v/>
      </c>
      <c r="K167" s="2" t="e">
        <f>INDEX(+GROWTH(#REF!,#REF!,#REF!,K167:L167),)</f>
        <v>#REF!</v>
      </c>
      <c r="L167" s="1">
        <v>1</v>
      </c>
      <c r="M167" s="2" t="e">
        <f>INDEX(+GROWTH(#REF!,#REF!,#REF!,INDIRECT(M167:N167)),)</f>
        <v>#REF!</v>
      </c>
    </row>
    <row r="168" spans="1:14" x14ac:dyDescent="0.55000000000000004">
      <c r="A168" s="1" t="s">
        <v>1530</v>
      </c>
      <c r="B168" s="2">
        <f>COUNTIF(A:A,A168)-1</f>
        <v>1</v>
      </c>
      <c r="C168" s="2">
        <f>COUNTIF(A$1:A168,A168)-1</f>
        <v>0</v>
      </c>
      <c r="D168" s="2" t="str">
        <f>Argument!D168</f>
        <v/>
      </c>
      <c r="E168" s="2" t="str">
        <f t="shared" si="4"/>
        <v>v</v>
      </c>
      <c r="F168" s="2" t="b">
        <f>IF(C168=0,ISTEXT(FORMULA.CONVERT("="&amp;A168&amp;"("&amp;REPLACE(REPT(",#ref!",B168),1,1,"")&amp;")()",1)),"")</f>
        <v>0</v>
      </c>
      <c r="G168" s="2"/>
      <c r="H168" s="2" t="str">
        <f t="shared" si="5"/>
        <v/>
      </c>
      <c r="I168" s="2">
        <f>TYPE(GOTO(IF(1,1)))</f>
        <v>4</v>
      </c>
      <c r="J168" s="2">
        <f>IF(C168=0,COUNTIFS(A:A,A168,D:D,"a"),"")</f>
        <v>0</v>
      </c>
      <c r="K168" s="2"/>
      <c r="M168" s="2"/>
    </row>
    <row r="169" spans="1:14" x14ac:dyDescent="0.55000000000000004">
      <c r="A169" s="1" t="s">
        <v>1530</v>
      </c>
      <c r="B169" s="2">
        <f>COUNTIF(A:A,A169)-1</f>
        <v>1</v>
      </c>
      <c r="C169" s="2">
        <f>COUNTIF(A$1:A169,A169)-1</f>
        <v>1</v>
      </c>
      <c r="D169" s="2" t="str">
        <f>Argument!D169</f>
        <v>r</v>
      </c>
      <c r="E169" s="2" t="str">
        <f t="shared" si="4"/>
        <v/>
      </c>
      <c r="F169" s="2" t="str">
        <f>IF(C169=0,ISTEXT(FORMULA.CONVERT("="&amp;A169&amp;"("&amp;REPLACE(REPT(",#ref!",B169),1,1,"")&amp;")()",1)),"")</f>
        <v/>
      </c>
      <c r="G169" s="2"/>
      <c r="H169" s="2" t="str">
        <f t="shared" si="5"/>
        <v/>
      </c>
      <c r="I169" s="2">
        <f>TYPE(GOTO(IF(1,1)))</f>
        <v>4</v>
      </c>
      <c r="J169" s="2" t="str">
        <f>IF(C169=0,COUNTIFS(A:A,A169,D:D,"a"),"")</f>
        <v/>
      </c>
      <c r="K169" s="2" t="e">
        <f>INDEX(+GOTO(K169:L169),)</f>
        <v>#VALUE!</v>
      </c>
      <c r="L169" s="1">
        <v>1</v>
      </c>
      <c r="M169" s="2" t="e">
        <f>INDEX(+GOTO(INDIRECT(M169:N169)),)</f>
        <v>#REF!</v>
      </c>
      <c r="N169" s="1">
        <v>1</v>
      </c>
    </row>
    <row r="170" spans="1:14" x14ac:dyDescent="0.55000000000000004">
      <c r="A170" s="1" t="s">
        <v>1531</v>
      </c>
      <c r="B170" s="2">
        <f>COUNTIF(A:A,A170)-1</f>
        <v>1</v>
      </c>
      <c r="C170" s="2">
        <f>COUNTIF(A$1:A170,A170)-1</f>
        <v>0</v>
      </c>
      <c r="D170" s="2" t="str">
        <f>Argument!D170</f>
        <v/>
      </c>
      <c r="E170" s="2" t="str">
        <f t="shared" si="4"/>
        <v>v</v>
      </c>
      <c r="F170" s="2" t="b">
        <f>IF(C170=0,ISTEXT(FORMULA.CONVERT("="&amp;A170&amp;"("&amp;REPLACE(REPT(",#ref!",B170),1,1,"")&amp;")()",1)),"")</f>
        <v>0</v>
      </c>
      <c r="G170" s="2"/>
      <c r="H170" s="2" t="str">
        <f t="shared" si="5"/>
        <v/>
      </c>
      <c r="I170" s="2">
        <f>TYPE(HALT(IF(1,1)))</f>
        <v>4</v>
      </c>
      <c r="J170" s="2">
        <f>IF(C170=0,COUNTIFS(A:A,A170,D:D,"a"),"")</f>
        <v>0</v>
      </c>
      <c r="K170" s="2"/>
      <c r="M170" s="2"/>
    </row>
    <row r="171" spans="1:14" x14ac:dyDescent="0.55000000000000004">
      <c r="A171" s="1" t="s">
        <v>1531</v>
      </c>
      <c r="B171" s="2">
        <f>COUNTIF(A:A,A171)-1</f>
        <v>1</v>
      </c>
      <c r="C171" s="2">
        <f>COUNTIF(A$1:A171,A171)-1</f>
        <v>1</v>
      </c>
      <c r="D171" s="2" t="str">
        <f>Argument!D171</f>
        <v>v</v>
      </c>
      <c r="E171" s="2" t="str">
        <f t="shared" si="4"/>
        <v/>
      </c>
      <c r="F171" s="2" t="str">
        <f>IF(C171=0,ISTEXT(FORMULA.CONVERT("="&amp;A171&amp;"("&amp;REPLACE(REPT(",#ref!",B171),1,1,"")&amp;")()",1)),"")</f>
        <v/>
      </c>
      <c r="G171" s="2">
        <f>TYPE(HALT({1}))</f>
        <v>64</v>
      </c>
      <c r="H171" s="2" t="str">
        <f t="shared" si="5"/>
        <v/>
      </c>
      <c r="I171" s="2">
        <f>TYPE(HALT(IF(1,1)))</f>
        <v>4</v>
      </c>
      <c r="J171" s="2" t="str">
        <f>IF(C171=0,COUNTIFS(A:A,A171,D:D,"a"),"")</f>
        <v/>
      </c>
      <c r="K171" s="2" t="b">
        <f>INDEX(+HALT(K171:L171),)</f>
        <v>0</v>
      </c>
      <c r="L171" s="1">
        <v>1</v>
      </c>
      <c r="M171" s="2" t="b">
        <f>INDEX(+HALT(INDIRECT(M171:N171)),)</f>
        <v>0</v>
      </c>
      <c r="N171" s="1">
        <v>1</v>
      </c>
    </row>
    <row r="172" spans="1:14" x14ac:dyDescent="0.55000000000000004">
      <c r="A172" s="1" t="s">
        <v>2045</v>
      </c>
      <c r="B172" s="2">
        <f>COUNTIF(A:A,A172)-1</f>
        <v>1</v>
      </c>
      <c r="C172" s="2">
        <f>COUNTIF(A$1:A172,A172)-1</f>
        <v>0</v>
      </c>
      <c r="D172" s="2" t="str">
        <f>Argument!D172</f>
        <v/>
      </c>
      <c r="E172" s="2" t="str">
        <f t="shared" si="4"/>
        <v>v</v>
      </c>
      <c r="F172" s="2" t="b">
        <f>IF(C172=0,ISTEXT(FORMULA.CONVERT("="&amp;A172&amp;"("&amp;REPLACE(REPT(",#ref!",B172),1,1,"")&amp;")()",1)),"")</f>
        <v>0</v>
      </c>
      <c r="G172" s="2"/>
      <c r="H172" s="2" t="str">
        <f t="shared" si="5"/>
        <v/>
      </c>
      <c r="I172" s="2">
        <f>TYPE(RETURN(IF(1,1)))</f>
        <v>4</v>
      </c>
      <c r="J172" s="2">
        <f>IF(C172=0,COUNTIFS(A:A,A172,D:D,"a"),"")</f>
        <v>0</v>
      </c>
      <c r="K172" s="2"/>
      <c r="M172" s="2"/>
    </row>
    <row r="173" spans="1:14" x14ac:dyDescent="0.55000000000000004">
      <c r="A173" s="1" t="s">
        <v>2045</v>
      </c>
      <c r="B173" s="2">
        <f>COUNTIF(A:A,A173)-1</f>
        <v>1</v>
      </c>
      <c r="C173" s="2">
        <f>COUNTIF(A$1:A173,A173)-1</f>
        <v>1</v>
      </c>
      <c r="D173" s="2" t="str">
        <f>Argument!D173</f>
        <v>var</v>
      </c>
      <c r="E173" s="2" t="str">
        <f t="shared" si="4"/>
        <v/>
      </c>
      <c r="F173" s="2" t="str">
        <f>IF(C173=0,ISTEXT(FORMULA.CONVERT("="&amp;A173&amp;"("&amp;REPLACE(REPT(",#ref!",B173),1,1,"")&amp;")()",1)),"")</f>
        <v/>
      </c>
      <c r="G173" s="2">
        <f>TYPE(RETURN({1}))</f>
        <v>4</v>
      </c>
      <c r="H173" s="2" t="str">
        <f t="shared" si="5"/>
        <v/>
      </c>
      <c r="I173" s="2">
        <f>TYPE(RETURN(IF(1,1)))</f>
        <v>4</v>
      </c>
      <c r="J173" s="2" t="str">
        <f>IF(C173=0,COUNTIFS(A:A,A173,D:D,"a"),"")</f>
        <v/>
      </c>
      <c r="K173" s="2" t="e">
        <f>INDEX(+RETURN(K173:L173),)</f>
        <v>#VALUE!</v>
      </c>
      <c r="L173" s="1">
        <v>1</v>
      </c>
      <c r="M173" s="2" t="e">
        <f>INDEX(+RETURN(INDIRECT(M173:N173)),)</f>
        <v>#VALUE!</v>
      </c>
      <c r="N173" s="1">
        <v>1</v>
      </c>
    </row>
    <row r="174" spans="1:14" x14ac:dyDescent="0.55000000000000004">
      <c r="A174" s="1" t="s">
        <v>1532</v>
      </c>
      <c r="B174" s="2">
        <f>COUNTIF(A:A,A174)-1</f>
        <v>5</v>
      </c>
      <c r="C174" s="2">
        <f>COUNTIF(A$1:A174,A174)-1</f>
        <v>0</v>
      </c>
      <c r="D174" s="2" t="str">
        <f>Argument!D174</f>
        <v/>
      </c>
      <c r="E174" s="2" t="str">
        <f t="shared" si="4"/>
        <v>v</v>
      </c>
      <c r="F174" s="2" t="b">
        <f>IF(C174=0,ISTEXT(FORMULA.CONVERT("="&amp;A174&amp;"("&amp;REPLACE(REPT(",#ref!",B174),1,1,"")&amp;")()",1)),"")</f>
        <v>0</v>
      </c>
      <c r="G174" s="2"/>
      <c r="H174" s="2" t="str">
        <f t="shared" si="5"/>
        <v/>
      </c>
      <c r="I174" s="2">
        <f>TYPE(PV(IF(1,1),IF(1,1),IF(1,1),IF(1,1),IF(1,1)))</f>
        <v>1</v>
      </c>
      <c r="J174" s="2">
        <f>IF(C174=0,COUNTIFS(A:A,A174,D:D,"a"),"")</f>
        <v>0</v>
      </c>
      <c r="K174" s="2"/>
      <c r="M174" s="2"/>
    </row>
    <row r="175" spans="1:14" x14ac:dyDescent="0.55000000000000004">
      <c r="A175" s="1" t="s">
        <v>1532</v>
      </c>
      <c r="B175" s="2">
        <f>COUNTIF(A:A,A175)-1</f>
        <v>5</v>
      </c>
      <c r="C175" s="2">
        <f>COUNTIF(A$1:A175,A175)-1</f>
        <v>1</v>
      </c>
      <c r="D175" s="2" t="str">
        <f>Argument!D175</f>
        <v>v</v>
      </c>
      <c r="E175" s="2" t="str">
        <f t="shared" si="4"/>
        <v/>
      </c>
      <c r="F175" s="2" t="str">
        <f>IF(C175=0,ISTEXT(FORMULA.CONVERT("="&amp;A175&amp;"("&amp;REPLACE(REPT(",#ref!",B175),1,1,"")&amp;")()",1)),"")</f>
        <v/>
      </c>
      <c r="G175" s="2">
        <f>TYPE(PV({1},IF(1,1),IF(1,1),IF(1,1),IF(1,1)))</f>
        <v>64</v>
      </c>
      <c r="H175" s="2" t="str">
        <f t="shared" si="5"/>
        <v/>
      </c>
      <c r="I175" s="2">
        <f>TYPE(PV(IF(1,1),IF(1,1),IF(1,1),IF(1,1),IF(1,1)))</f>
        <v>1</v>
      </c>
      <c r="J175" s="2" t="str">
        <f>IF(C175=0,COUNTIFS(A:A,A175,D:D,"a"),"")</f>
        <v/>
      </c>
      <c r="K175" s="2" t="e">
        <f>INDEX(+PV(K175:L175,#REF!,#REF!,#REF!,#REF!),)</f>
        <v>#REF!</v>
      </c>
      <c r="L175" s="1">
        <v>1</v>
      </c>
      <c r="M175" s="2" t="e">
        <f>INDEX(+PV(INDIRECT(M175:N175),#REF!,#REF!,#REF!,#REF!),)</f>
        <v>#REF!</v>
      </c>
      <c r="N175" s="1">
        <v>1</v>
      </c>
    </row>
    <row r="176" spans="1:14" x14ac:dyDescent="0.55000000000000004">
      <c r="A176" s="1" t="s">
        <v>1532</v>
      </c>
      <c r="B176" s="2">
        <f>COUNTIF(A:A,A176)-1</f>
        <v>5</v>
      </c>
      <c r="C176" s="2">
        <f>COUNTIF(A$1:A176,A176)-1</f>
        <v>2</v>
      </c>
      <c r="D176" s="2" t="str">
        <f>Argument!D176</f>
        <v>v</v>
      </c>
      <c r="E176" s="2" t="str">
        <f t="shared" si="4"/>
        <v/>
      </c>
      <c r="F176" s="2" t="str">
        <f>IF(C176=0,ISTEXT(FORMULA.CONVERT("="&amp;A176&amp;"("&amp;REPLACE(REPT(",#ref!",B176),1,1,"")&amp;")()",1)),"")</f>
        <v/>
      </c>
      <c r="G176" s="2">
        <f>TYPE(PV(IF(1,1),{1},IF(1,1),IF(1,1),IF(1,1)))</f>
        <v>64</v>
      </c>
      <c r="H176" s="2" t="str">
        <f t="shared" si="5"/>
        <v/>
      </c>
      <c r="I176" s="2">
        <f>TYPE(PV(IF(1,1),IF(1,1),IF(1,1),IF(1,1),IF(1,1)))</f>
        <v>1</v>
      </c>
      <c r="J176" s="2" t="str">
        <f>IF(C176=0,COUNTIFS(A:A,A176,D:D,"a"),"")</f>
        <v/>
      </c>
      <c r="K176" s="2" t="e">
        <f>INDEX(+PV(#REF!,K176:L176,#REF!,#REF!,#REF!),)</f>
        <v>#REF!</v>
      </c>
      <c r="L176" s="1">
        <v>1</v>
      </c>
      <c r="M176" s="2" t="e">
        <f>INDEX(+PV(#REF!,INDIRECT(M176:N176),#REF!,#REF!,#REF!),)</f>
        <v>#REF!</v>
      </c>
      <c r="N176" s="1">
        <v>1</v>
      </c>
    </row>
    <row r="177" spans="1:14" x14ac:dyDescent="0.55000000000000004">
      <c r="A177" s="1" t="s">
        <v>1532</v>
      </c>
      <c r="B177" s="2">
        <f>COUNTIF(A:A,A177)-1</f>
        <v>5</v>
      </c>
      <c r="C177" s="2">
        <f>COUNTIF(A$1:A177,A177)-1</f>
        <v>3</v>
      </c>
      <c r="D177" s="2" t="str">
        <f>Argument!D177</f>
        <v>v</v>
      </c>
      <c r="E177" s="2" t="str">
        <f t="shared" si="4"/>
        <v/>
      </c>
      <c r="F177" s="2" t="str">
        <f>IF(C177=0,ISTEXT(FORMULA.CONVERT("="&amp;A177&amp;"("&amp;REPLACE(REPT(",#ref!",B177),1,1,"")&amp;")()",1)),"")</f>
        <v/>
      </c>
      <c r="G177" s="2">
        <f>TYPE(PV(IF(1,1),IF(1,1),{1},IF(1,1),IF(1,1)))</f>
        <v>64</v>
      </c>
      <c r="H177" s="2" t="str">
        <f t="shared" si="5"/>
        <v/>
      </c>
      <c r="I177" s="2">
        <f>TYPE(PV(IF(1,1),IF(1,1),IF(1,1),IF(1,1),IF(1,1)))</f>
        <v>1</v>
      </c>
      <c r="J177" s="2" t="str">
        <f>IF(C177=0,COUNTIFS(A:A,A177,D:D,"a"),"")</f>
        <v/>
      </c>
      <c r="K177" s="2" t="e">
        <f>INDEX(+PV(#REF!,#REF!,K177:L177,#REF!,#REF!),)</f>
        <v>#REF!</v>
      </c>
      <c r="L177" s="1">
        <v>1</v>
      </c>
      <c r="M177" s="2" t="e">
        <f>INDEX(+PV(#REF!,#REF!,INDIRECT(M177:N177),#REF!,#REF!),)</f>
        <v>#REF!</v>
      </c>
      <c r="N177" s="1">
        <v>1</v>
      </c>
    </row>
    <row r="178" spans="1:14" x14ac:dyDescent="0.55000000000000004">
      <c r="A178" s="1" t="s">
        <v>1532</v>
      </c>
      <c r="B178" s="2">
        <f>COUNTIF(A:A,A178)-1</f>
        <v>5</v>
      </c>
      <c r="C178" s="2">
        <f>COUNTIF(A$1:A178,A178)-1</f>
        <v>4</v>
      </c>
      <c r="D178" s="2" t="str">
        <f>Argument!D178</f>
        <v>v</v>
      </c>
      <c r="E178" s="2" t="str">
        <f t="shared" si="4"/>
        <v/>
      </c>
      <c r="F178" s="2" t="str">
        <f>IF(C178=0,ISTEXT(FORMULA.CONVERT("="&amp;A178&amp;"("&amp;REPLACE(REPT(",#ref!",B178),1,1,"")&amp;")()",1)),"")</f>
        <v/>
      </c>
      <c r="G178" s="2">
        <f>TYPE(PV(IF(1,1),IF(1,1),IF(1,1),{1},IF(1,1)))</f>
        <v>64</v>
      </c>
      <c r="H178" s="2" t="str">
        <f t="shared" si="5"/>
        <v/>
      </c>
      <c r="I178" s="2">
        <f>TYPE(PV(IF(1,1),IF(1,1),IF(1,1),IF(1,1),IF(1,1)))</f>
        <v>1</v>
      </c>
      <c r="J178" s="2" t="str">
        <f>IF(C178=0,COUNTIFS(A:A,A178,D:D,"a"),"")</f>
        <v/>
      </c>
      <c r="K178" s="2" t="e">
        <f>INDEX(+PV(#REF!,#REF!,#REF!,K178:L178,#REF!),)</f>
        <v>#REF!</v>
      </c>
      <c r="L178" s="1">
        <v>1</v>
      </c>
      <c r="M178" s="2" t="e">
        <f>INDEX(+PV(#REF!,#REF!,#REF!,INDIRECT(M178:N178),#REF!),)</f>
        <v>#REF!</v>
      </c>
      <c r="N178" s="1">
        <v>1</v>
      </c>
    </row>
    <row r="179" spans="1:14" x14ac:dyDescent="0.55000000000000004">
      <c r="A179" s="1" t="s">
        <v>1532</v>
      </c>
      <c r="B179" s="2">
        <f>COUNTIF(A:A,A179)-1</f>
        <v>5</v>
      </c>
      <c r="C179" s="2">
        <f>COUNTIF(A$1:A179,A179)-1</f>
        <v>5</v>
      </c>
      <c r="D179" s="2" t="str">
        <f>Argument!D179</f>
        <v>v</v>
      </c>
      <c r="E179" s="2" t="str">
        <f t="shared" si="4"/>
        <v/>
      </c>
      <c r="F179" s="2" t="str">
        <f>IF(C179=0,ISTEXT(FORMULA.CONVERT("="&amp;A179&amp;"("&amp;REPLACE(REPT(",#ref!",B179),1,1,"")&amp;")()",1)),"")</f>
        <v/>
      </c>
      <c r="G179" s="2">
        <f>TYPE(PV(IF(1,1),IF(1,1),IF(1,1),IF(1,1),{1}))</f>
        <v>64</v>
      </c>
      <c r="H179" s="2" t="str">
        <f t="shared" si="5"/>
        <v/>
      </c>
      <c r="I179" s="2">
        <f>TYPE(PV(IF(1,1),IF(1,1),IF(1,1),IF(1,1),IF(1,1)))</f>
        <v>1</v>
      </c>
      <c r="J179" s="2" t="str">
        <f>IF(C179=0,COUNTIFS(A:A,A179,D:D,"a"),"")</f>
        <v/>
      </c>
      <c r="K179" s="2" t="e">
        <f>INDEX(+PV(#REF!,#REF!,#REF!,#REF!,K179:L179),)</f>
        <v>#REF!</v>
      </c>
      <c r="L179" s="1">
        <v>1</v>
      </c>
      <c r="M179" s="2" t="e">
        <f>INDEX(+PV(#REF!,#REF!,#REF!,#REF!,INDIRECT(M179:N179)),)</f>
        <v>#REF!</v>
      </c>
      <c r="N179" s="1">
        <v>1</v>
      </c>
    </row>
    <row r="180" spans="1:14" x14ac:dyDescent="0.55000000000000004">
      <c r="A180" s="1" t="s">
        <v>1533</v>
      </c>
      <c r="B180" s="2">
        <f>COUNTIF(A:A,A180)-1</f>
        <v>5</v>
      </c>
      <c r="C180" s="2">
        <f>COUNTIF(A$1:A180,A180)-1</f>
        <v>0</v>
      </c>
      <c r="D180" s="2" t="str">
        <f>Argument!D180</f>
        <v/>
      </c>
      <c r="E180" s="2" t="str">
        <f t="shared" si="4"/>
        <v>v</v>
      </c>
      <c r="F180" s="2" t="b">
        <f>IF(C180=0,ISTEXT(FORMULA.CONVERT("="&amp;A180&amp;"("&amp;REPLACE(REPT(",#ref!",B180),1,1,"")&amp;")()",1)),"")</f>
        <v>0</v>
      </c>
      <c r="G180" s="2"/>
      <c r="H180" s="2" t="str">
        <f t="shared" si="5"/>
        <v/>
      </c>
      <c r="I180" s="2">
        <f>TYPE(FV(IF(1,1),IF(1,1),IF(1,1),IF(1,1),IF(1,1)))</f>
        <v>1</v>
      </c>
      <c r="J180" s="2">
        <f>IF(C180=0,COUNTIFS(A:A,A180,D:D,"a"),"")</f>
        <v>0</v>
      </c>
      <c r="K180" s="2"/>
      <c r="M180" s="2"/>
    </row>
    <row r="181" spans="1:14" x14ac:dyDescent="0.55000000000000004">
      <c r="A181" s="1" t="s">
        <v>1533</v>
      </c>
      <c r="B181" s="2">
        <f>COUNTIF(A:A,A181)-1</f>
        <v>5</v>
      </c>
      <c r="C181" s="2">
        <f>COUNTIF(A$1:A181,A181)-1</f>
        <v>1</v>
      </c>
      <c r="D181" s="2" t="str">
        <f>Argument!D181</f>
        <v>v</v>
      </c>
      <c r="E181" s="2" t="str">
        <f t="shared" si="4"/>
        <v/>
      </c>
      <c r="F181" s="2" t="str">
        <f>IF(C181=0,ISTEXT(FORMULA.CONVERT("="&amp;A181&amp;"("&amp;REPLACE(REPT(",#ref!",B181),1,1,"")&amp;")()",1)),"")</f>
        <v/>
      </c>
      <c r="G181" s="2">
        <f>TYPE(FV({1},IF(1,1),IF(1,1),IF(1,1),IF(1,1)))</f>
        <v>64</v>
      </c>
      <c r="H181" s="2" t="str">
        <f t="shared" si="5"/>
        <v/>
      </c>
      <c r="I181" s="2">
        <f>TYPE(FV(IF(1,1),IF(1,1),IF(1,1),IF(1,1),IF(1,1)))</f>
        <v>1</v>
      </c>
      <c r="J181" s="2" t="str">
        <f>IF(C181=0,COUNTIFS(A:A,A181,D:D,"a"),"")</f>
        <v/>
      </c>
      <c r="K181" s="2" t="e">
        <f>INDEX(+FV(K181:L181,#REF!,#REF!,#REF!,#REF!),)</f>
        <v>#REF!</v>
      </c>
      <c r="L181" s="1">
        <v>1</v>
      </c>
      <c r="M181" s="2" t="e">
        <f>INDEX(+FV(INDIRECT(M181:N181),#REF!,#REF!,#REF!,#REF!),)</f>
        <v>#REF!</v>
      </c>
      <c r="N181" s="1">
        <v>1</v>
      </c>
    </row>
    <row r="182" spans="1:14" x14ac:dyDescent="0.55000000000000004">
      <c r="A182" s="1" t="s">
        <v>1533</v>
      </c>
      <c r="B182" s="2">
        <f>COUNTIF(A:A,A182)-1</f>
        <v>5</v>
      </c>
      <c r="C182" s="2">
        <f>COUNTIF(A$1:A182,A182)-1</f>
        <v>2</v>
      </c>
      <c r="D182" s="2" t="str">
        <f>Argument!D182</f>
        <v>v</v>
      </c>
      <c r="E182" s="2" t="str">
        <f t="shared" si="4"/>
        <v/>
      </c>
      <c r="F182" s="2" t="str">
        <f>IF(C182=0,ISTEXT(FORMULA.CONVERT("="&amp;A182&amp;"("&amp;REPLACE(REPT(",#ref!",B182),1,1,"")&amp;")()",1)),"")</f>
        <v/>
      </c>
      <c r="G182" s="2">
        <f>TYPE(FV(IF(1,1),{1},IF(1,1),IF(1,1),IF(1,1)))</f>
        <v>64</v>
      </c>
      <c r="H182" s="2" t="str">
        <f t="shared" si="5"/>
        <v/>
      </c>
      <c r="I182" s="2">
        <f>TYPE(FV(IF(1,1),IF(1,1),IF(1,1),IF(1,1),IF(1,1)))</f>
        <v>1</v>
      </c>
      <c r="J182" s="2" t="str">
        <f>IF(C182=0,COUNTIFS(A:A,A182,D:D,"a"),"")</f>
        <v/>
      </c>
      <c r="K182" s="2" t="e">
        <f>INDEX(+FV(#REF!,K182:L182,#REF!,#REF!,#REF!),)</f>
        <v>#REF!</v>
      </c>
      <c r="L182" s="1">
        <v>1</v>
      </c>
      <c r="M182" s="2" t="e">
        <f>INDEX(+FV(#REF!,INDIRECT(M182:N182),#REF!,#REF!,#REF!),)</f>
        <v>#REF!</v>
      </c>
      <c r="N182" s="1">
        <v>1</v>
      </c>
    </row>
    <row r="183" spans="1:14" x14ac:dyDescent="0.55000000000000004">
      <c r="A183" s="1" t="s">
        <v>1533</v>
      </c>
      <c r="B183" s="2">
        <f>COUNTIF(A:A,A183)-1</f>
        <v>5</v>
      </c>
      <c r="C183" s="2">
        <f>COUNTIF(A$1:A183,A183)-1</f>
        <v>3</v>
      </c>
      <c r="D183" s="2" t="str">
        <f>Argument!D183</f>
        <v>v</v>
      </c>
      <c r="E183" s="2" t="str">
        <f t="shared" si="4"/>
        <v/>
      </c>
      <c r="F183" s="2" t="str">
        <f>IF(C183=0,ISTEXT(FORMULA.CONVERT("="&amp;A183&amp;"("&amp;REPLACE(REPT(",#ref!",B183),1,1,"")&amp;")()",1)),"")</f>
        <v/>
      </c>
      <c r="G183" s="2">
        <f>TYPE(FV(IF(1,1),IF(1,1),{1},IF(1,1),IF(1,1)))</f>
        <v>64</v>
      </c>
      <c r="H183" s="2" t="str">
        <f t="shared" si="5"/>
        <v/>
      </c>
      <c r="I183" s="2">
        <f>TYPE(FV(IF(1,1),IF(1,1),IF(1,1),IF(1,1),IF(1,1)))</f>
        <v>1</v>
      </c>
      <c r="J183" s="2" t="str">
        <f>IF(C183=0,COUNTIFS(A:A,A183,D:D,"a"),"")</f>
        <v/>
      </c>
      <c r="K183" s="2" t="e">
        <f>INDEX(+FV(#REF!,#REF!,K183:L183,#REF!,#REF!),)</f>
        <v>#REF!</v>
      </c>
      <c r="L183" s="1">
        <v>1</v>
      </c>
      <c r="M183" s="2" t="e">
        <f>INDEX(+FV(#REF!,#REF!,INDIRECT(M183:N183),#REF!,#REF!),)</f>
        <v>#REF!</v>
      </c>
      <c r="N183" s="1">
        <v>1</v>
      </c>
    </row>
    <row r="184" spans="1:14" x14ac:dyDescent="0.55000000000000004">
      <c r="A184" s="1" t="s">
        <v>1533</v>
      </c>
      <c r="B184" s="2">
        <f>COUNTIF(A:A,A184)-1</f>
        <v>5</v>
      </c>
      <c r="C184" s="2">
        <f>COUNTIF(A$1:A184,A184)-1</f>
        <v>4</v>
      </c>
      <c r="D184" s="2" t="str">
        <f>Argument!D184</f>
        <v>v</v>
      </c>
      <c r="E184" s="2" t="str">
        <f t="shared" si="4"/>
        <v/>
      </c>
      <c r="F184" s="2" t="str">
        <f>IF(C184=0,ISTEXT(FORMULA.CONVERT("="&amp;A184&amp;"("&amp;REPLACE(REPT(",#ref!",B184),1,1,"")&amp;")()",1)),"")</f>
        <v/>
      </c>
      <c r="G184" s="2">
        <f>TYPE(FV(IF(1,1),IF(1,1),IF(1,1),{1},IF(1,1)))</f>
        <v>64</v>
      </c>
      <c r="H184" s="2" t="str">
        <f t="shared" si="5"/>
        <v/>
      </c>
      <c r="I184" s="2">
        <f>TYPE(FV(IF(1,1),IF(1,1),IF(1,1),IF(1,1),IF(1,1)))</f>
        <v>1</v>
      </c>
      <c r="J184" s="2" t="str">
        <f>IF(C184=0,COUNTIFS(A:A,A184,D:D,"a"),"")</f>
        <v/>
      </c>
      <c r="K184" s="2" t="e">
        <f>INDEX(+FV(#REF!,#REF!,#REF!,K184:L184,#REF!),)</f>
        <v>#REF!</v>
      </c>
      <c r="L184" s="1">
        <v>1</v>
      </c>
      <c r="M184" s="2" t="e">
        <f>INDEX(+FV(#REF!,#REF!,#REF!,INDIRECT(M184:N184),#REF!),)</f>
        <v>#REF!</v>
      </c>
      <c r="N184" s="1">
        <v>1</v>
      </c>
    </row>
    <row r="185" spans="1:14" x14ac:dyDescent="0.55000000000000004">
      <c r="A185" s="1" t="s">
        <v>1533</v>
      </c>
      <c r="B185" s="2">
        <f>COUNTIF(A:A,A185)-1</f>
        <v>5</v>
      </c>
      <c r="C185" s="2">
        <f>COUNTIF(A$1:A185,A185)-1</f>
        <v>5</v>
      </c>
      <c r="D185" s="2" t="str">
        <f>Argument!D185</f>
        <v>v</v>
      </c>
      <c r="E185" s="2" t="str">
        <f t="shared" si="4"/>
        <v/>
      </c>
      <c r="F185" s="2" t="str">
        <f>IF(C185=0,ISTEXT(FORMULA.CONVERT("="&amp;A185&amp;"("&amp;REPLACE(REPT(",#ref!",B185),1,1,"")&amp;")()",1)),"")</f>
        <v/>
      </c>
      <c r="G185" s="2">
        <f>TYPE(FV(IF(1,1),IF(1,1),IF(1,1),IF(1,1),{1}))</f>
        <v>64</v>
      </c>
      <c r="H185" s="2" t="str">
        <f t="shared" si="5"/>
        <v/>
      </c>
      <c r="I185" s="2">
        <f>TYPE(FV(IF(1,1),IF(1,1),IF(1,1),IF(1,1),IF(1,1)))</f>
        <v>1</v>
      </c>
      <c r="J185" s="2" t="str">
        <f>IF(C185=0,COUNTIFS(A:A,A185,D:D,"a"),"")</f>
        <v/>
      </c>
      <c r="K185" s="2" t="e">
        <f>INDEX(+FV(#REF!,#REF!,#REF!,#REF!,K185:L185),)</f>
        <v>#REF!</v>
      </c>
      <c r="L185" s="1">
        <v>1</v>
      </c>
      <c r="M185" s="2" t="e">
        <f>INDEX(+FV(#REF!,#REF!,#REF!,#REF!,INDIRECT(M185:N185)),)</f>
        <v>#REF!</v>
      </c>
      <c r="N185" s="1">
        <v>1</v>
      </c>
    </row>
    <row r="186" spans="1:14" x14ac:dyDescent="0.55000000000000004">
      <c r="A186" s="1" t="s">
        <v>1534</v>
      </c>
      <c r="B186" s="2">
        <f>COUNTIF(A:A,A186)-1</f>
        <v>5</v>
      </c>
      <c r="C186" s="2">
        <f>COUNTIF(A$1:A186,A186)-1</f>
        <v>0</v>
      </c>
      <c r="D186" s="2" t="str">
        <f>Argument!D186</f>
        <v/>
      </c>
      <c r="E186" s="2" t="str">
        <f t="shared" si="4"/>
        <v>v</v>
      </c>
      <c r="F186" s="2" t="b">
        <f>IF(C186=0,ISTEXT(FORMULA.CONVERT("="&amp;A186&amp;"("&amp;REPLACE(REPT(",#ref!",B186),1,1,"")&amp;")()",1)),"")</f>
        <v>0</v>
      </c>
      <c r="G186" s="2"/>
      <c r="H186" s="2" t="str">
        <f t="shared" si="5"/>
        <v/>
      </c>
      <c r="I186" s="2">
        <f>TYPE(NPER(IF(1,1),IF(1,1),IF(1,1),IF(1,1),IF(1,1)))</f>
        <v>1</v>
      </c>
      <c r="J186" s="2">
        <f>IF(C186=0,COUNTIFS(A:A,A186,D:D,"a"),"")</f>
        <v>0</v>
      </c>
      <c r="K186" s="2"/>
      <c r="M186" s="2"/>
    </row>
    <row r="187" spans="1:14" x14ac:dyDescent="0.55000000000000004">
      <c r="A187" s="1" t="s">
        <v>1534</v>
      </c>
      <c r="B187" s="2">
        <f>COUNTIF(A:A,A187)-1</f>
        <v>5</v>
      </c>
      <c r="C187" s="2">
        <f>COUNTIF(A$1:A187,A187)-1</f>
        <v>1</v>
      </c>
      <c r="D187" s="2" t="str">
        <f>Argument!D187</f>
        <v>v</v>
      </c>
      <c r="E187" s="2" t="str">
        <f t="shared" si="4"/>
        <v/>
      </c>
      <c r="F187" s="2" t="str">
        <f>IF(C187=0,ISTEXT(FORMULA.CONVERT("="&amp;A187&amp;"("&amp;REPLACE(REPT(",#ref!",B187),1,1,"")&amp;")()",1)),"")</f>
        <v/>
      </c>
      <c r="G187" s="2">
        <f>TYPE(NPER({1},IF(1,1),IF(1,1),IF(1,1),IF(1,1)))</f>
        <v>64</v>
      </c>
      <c r="H187" s="2" t="str">
        <f t="shared" si="5"/>
        <v/>
      </c>
      <c r="I187" s="2">
        <f>TYPE(NPER(IF(1,1),IF(1,1),IF(1,1),IF(1,1),IF(1,1)))</f>
        <v>1</v>
      </c>
      <c r="J187" s="2" t="str">
        <f>IF(C187=0,COUNTIFS(A:A,A187,D:D,"a"),"")</f>
        <v/>
      </c>
      <c r="K187" s="2" t="e">
        <f>INDEX(+NPER(K187:L187,#REF!,#REF!,#REF!,#REF!),)</f>
        <v>#REF!</v>
      </c>
      <c r="L187" s="1">
        <v>1</v>
      </c>
      <c r="M187" s="2" t="e">
        <f>INDEX(+NPER(INDIRECT(M187:N187),#REF!,#REF!,#REF!,#REF!),)</f>
        <v>#REF!</v>
      </c>
      <c r="N187" s="1">
        <v>1</v>
      </c>
    </row>
    <row r="188" spans="1:14" x14ac:dyDescent="0.55000000000000004">
      <c r="A188" s="1" t="s">
        <v>1534</v>
      </c>
      <c r="B188" s="2">
        <f>COUNTIF(A:A,A188)-1</f>
        <v>5</v>
      </c>
      <c r="C188" s="2">
        <f>COUNTIF(A$1:A188,A188)-1</f>
        <v>2</v>
      </c>
      <c r="D188" s="2" t="str">
        <f>Argument!D188</f>
        <v>v</v>
      </c>
      <c r="E188" s="2" t="str">
        <f t="shared" si="4"/>
        <v/>
      </c>
      <c r="F188" s="2" t="str">
        <f>IF(C188=0,ISTEXT(FORMULA.CONVERT("="&amp;A188&amp;"("&amp;REPLACE(REPT(",#ref!",B188),1,1,"")&amp;")()",1)),"")</f>
        <v/>
      </c>
      <c r="G188" s="2">
        <f>TYPE(NPER(IF(1,1),{1},IF(1,1),IF(1,1),IF(1,1)))</f>
        <v>64</v>
      </c>
      <c r="H188" s="2" t="str">
        <f t="shared" si="5"/>
        <v/>
      </c>
      <c r="I188" s="2">
        <f>TYPE(NPER(IF(1,1),IF(1,1),IF(1,1),IF(1,1),IF(1,1)))</f>
        <v>1</v>
      </c>
      <c r="J188" s="2" t="str">
        <f>IF(C188=0,COUNTIFS(A:A,A188,D:D,"a"),"")</f>
        <v/>
      </c>
      <c r="K188" s="2" t="e">
        <f>INDEX(+NPER(#REF!,K188:L188,#REF!,#REF!,#REF!),)</f>
        <v>#REF!</v>
      </c>
      <c r="L188" s="1">
        <v>1</v>
      </c>
      <c r="M188" s="2" t="e">
        <f>INDEX(+NPER(#REF!,INDIRECT(M188:N188),#REF!,#REF!,#REF!),)</f>
        <v>#REF!</v>
      </c>
      <c r="N188" s="1">
        <v>1</v>
      </c>
    </row>
    <row r="189" spans="1:14" x14ac:dyDescent="0.55000000000000004">
      <c r="A189" s="1" t="s">
        <v>1534</v>
      </c>
      <c r="B189" s="2">
        <f>COUNTIF(A:A,A189)-1</f>
        <v>5</v>
      </c>
      <c r="C189" s="2">
        <f>COUNTIF(A$1:A189,A189)-1</f>
        <v>3</v>
      </c>
      <c r="D189" s="2" t="str">
        <f>Argument!D189</f>
        <v>v</v>
      </c>
      <c r="E189" s="2" t="str">
        <f t="shared" si="4"/>
        <v/>
      </c>
      <c r="F189" s="2" t="str">
        <f>IF(C189=0,ISTEXT(FORMULA.CONVERT("="&amp;A189&amp;"("&amp;REPLACE(REPT(",#ref!",B189),1,1,"")&amp;")()",1)),"")</f>
        <v/>
      </c>
      <c r="G189" s="2">
        <f>TYPE(NPER(IF(1,1),IF(1,1),{1},IF(1,1),IF(1,1)))</f>
        <v>64</v>
      </c>
      <c r="H189" s="2" t="str">
        <f t="shared" si="5"/>
        <v/>
      </c>
      <c r="I189" s="2">
        <f>TYPE(NPER(IF(1,1),IF(1,1),IF(1,1),IF(1,1),IF(1,1)))</f>
        <v>1</v>
      </c>
      <c r="J189" s="2" t="str">
        <f>IF(C189=0,COUNTIFS(A:A,A189,D:D,"a"),"")</f>
        <v/>
      </c>
      <c r="K189" s="2" t="e">
        <f>INDEX(+NPER(#REF!,#REF!,K189:L189,#REF!,#REF!),)</f>
        <v>#REF!</v>
      </c>
      <c r="L189" s="1">
        <v>1</v>
      </c>
      <c r="M189" s="2" t="e">
        <f>INDEX(+NPER(#REF!,#REF!,INDIRECT(M189:N189),#REF!,#REF!),)</f>
        <v>#REF!</v>
      </c>
      <c r="N189" s="1">
        <v>1</v>
      </c>
    </row>
    <row r="190" spans="1:14" x14ac:dyDescent="0.55000000000000004">
      <c r="A190" s="1" t="s">
        <v>1534</v>
      </c>
      <c r="B190" s="2">
        <f>COUNTIF(A:A,A190)-1</f>
        <v>5</v>
      </c>
      <c r="C190" s="2">
        <f>COUNTIF(A$1:A190,A190)-1</f>
        <v>4</v>
      </c>
      <c r="D190" s="2" t="str">
        <f>Argument!D190</f>
        <v>v</v>
      </c>
      <c r="E190" s="2" t="str">
        <f t="shared" si="4"/>
        <v/>
      </c>
      <c r="F190" s="2" t="str">
        <f>IF(C190=0,ISTEXT(FORMULA.CONVERT("="&amp;A190&amp;"("&amp;REPLACE(REPT(",#ref!",B190),1,1,"")&amp;")()",1)),"")</f>
        <v/>
      </c>
      <c r="G190" s="2">
        <f>TYPE(NPER(IF(1,1),IF(1,1),IF(1,1),{1},IF(1,1)))</f>
        <v>64</v>
      </c>
      <c r="H190" s="2" t="str">
        <f t="shared" si="5"/>
        <v/>
      </c>
      <c r="I190" s="2">
        <f>TYPE(NPER(IF(1,1),IF(1,1),IF(1,1),IF(1,1),IF(1,1)))</f>
        <v>1</v>
      </c>
      <c r="J190" s="2" t="str">
        <f>IF(C190=0,COUNTIFS(A:A,A190,D:D,"a"),"")</f>
        <v/>
      </c>
      <c r="K190" s="2" t="e">
        <f>INDEX(+NPER(#REF!,#REF!,#REF!,K190:L190,#REF!),)</f>
        <v>#REF!</v>
      </c>
      <c r="L190" s="1">
        <v>1</v>
      </c>
      <c r="M190" s="2" t="e">
        <f>INDEX(+NPER(#REF!,#REF!,#REF!,INDIRECT(M190:N190),#REF!),)</f>
        <v>#REF!</v>
      </c>
      <c r="N190" s="1">
        <v>1</v>
      </c>
    </row>
    <row r="191" spans="1:14" x14ac:dyDescent="0.55000000000000004">
      <c r="A191" s="1" t="s">
        <v>1534</v>
      </c>
      <c r="B191" s="2">
        <f>COUNTIF(A:A,A191)-1</f>
        <v>5</v>
      </c>
      <c r="C191" s="2">
        <f>COUNTIF(A$1:A191,A191)-1</f>
        <v>5</v>
      </c>
      <c r="D191" s="2" t="str">
        <f>Argument!D191</f>
        <v>v</v>
      </c>
      <c r="E191" s="2" t="str">
        <f t="shared" si="4"/>
        <v/>
      </c>
      <c r="F191" s="2" t="str">
        <f>IF(C191=0,ISTEXT(FORMULA.CONVERT("="&amp;A191&amp;"("&amp;REPLACE(REPT(",#ref!",B191),1,1,"")&amp;")()",1)),"")</f>
        <v/>
      </c>
      <c r="G191" s="2">
        <f>TYPE(NPER(IF(1,1),IF(1,1),IF(1,1),IF(1,1),{1}))</f>
        <v>64</v>
      </c>
      <c r="H191" s="2" t="str">
        <f t="shared" si="5"/>
        <v/>
      </c>
      <c r="I191" s="2">
        <f>TYPE(NPER(IF(1,1),IF(1,1),IF(1,1),IF(1,1),IF(1,1)))</f>
        <v>1</v>
      </c>
      <c r="J191" s="2" t="str">
        <f>IF(C191=0,COUNTIFS(A:A,A191,D:D,"a"),"")</f>
        <v/>
      </c>
      <c r="K191" s="2" t="e">
        <f>INDEX(+NPER(#REF!,#REF!,#REF!,#REF!,K191:L191),)</f>
        <v>#REF!</v>
      </c>
      <c r="L191" s="1">
        <v>1</v>
      </c>
      <c r="M191" s="2" t="e">
        <f>INDEX(+NPER(#REF!,#REF!,#REF!,#REF!,INDIRECT(M191:N191)),)</f>
        <v>#REF!</v>
      </c>
      <c r="N191" s="1">
        <v>1</v>
      </c>
    </row>
    <row r="192" spans="1:14" x14ac:dyDescent="0.55000000000000004">
      <c r="A192" s="1" t="s">
        <v>1535</v>
      </c>
      <c r="B192" s="2">
        <f>COUNTIF(A:A,A192)-1</f>
        <v>5</v>
      </c>
      <c r="C192" s="2">
        <f>COUNTIF(A$1:A192,A192)-1</f>
        <v>0</v>
      </c>
      <c r="D192" s="2" t="str">
        <f>Argument!D192</f>
        <v/>
      </c>
      <c r="E192" s="2" t="str">
        <f t="shared" si="4"/>
        <v>v</v>
      </c>
      <c r="F192" s="2" t="b">
        <f>IF(C192=0,ISTEXT(FORMULA.CONVERT("="&amp;A192&amp;"("&amp;REPLACE(REPT(",#ref!",B192),1,1,"")&amp;")()",1)),"")</f>
        <v>0</v>
      </c>
      <c r="G192" s="2"/>
      <c r="H192" s="2" t="str">
        <f t="shared" si="5"/>
        <v/>
      </c>
      <c r="I192" s="2">
        <f>TYPE(PMT(IF(1,1),IF(1,1),IF(1,1),IF(1,1),IF(1,1)))</f>
        <v>1</v>
      </c>
      <c r="J192" s="2">
        <f>IF(C192=0,COUNTIFS(A:A,A192,D:D,"a"),"")</f>
        <v>0</v>
      </c>
      <c r="K192" s="2"/>
      <c r="M192" s="2"/>
    </row>
    <row r="193" spans="1:14" x14ac:dyDescent="0.55000000000000004">
      <c r="A193" s="1" t="s">
        <v>1535</v>
      </c>
      <c r="B193" s="2">
        <f>COUNTIF(A:A,A193)-1</f>
        <v>5</v>
      </c>
      <c r="C193" s="2">
        <f>COUNTIF(A$1:A193,A193)-1</f>
        <v>1</v>
      </c>
      <c r="D193" s="2" t="str">
        <f>Argument!D193</f>
        <v>v</v>
      </c>
      <c r="E193" s="2" t="str">
        <f t="shared" si="4"/>
        <v/>
      </c>
      <c r="F193" s="2" t="str">
        <f>IF(C193=0,ISTEXT(FORMULA.CONVERT("="&amp;A193&amp;"("&amp;REPLACE(REPT(",#ref!",B193),1,1,"")&amp;")()",1)),"")</f>
        <v/>
      </c>
      <c r="G193" s="2">
        <f>TYPE(PMT({1},IF(1,1),IF(1,1),IF(1,1),IF(1,1)))</f>
        <v>64</v>
      </c>
      <c r="H193" s="2" t="str">
        <f t="shared" si="5"/>
        <v/>
      </c>
      <c r="I193" s="2">
        <f>TYPE(PMT(IF(1,1),IF(1,1),IF(1,1),IF(1,1),IF(1,1)))</f>
        <v>1</v>
      </c>
      <c r="J193" s="2" t="str">
        <f>IF(C193=0,COUNTIFS(A:A,A193,D:D,"a"),"")</f>
        <v/>
      </c>
      <c r="K193" s="2" t="e">
        <f>INDEX(+PMT(K193:L193,#REF!,#REF!,#REF!,#REF!),)</f>
        <v>#REF!</v>
      </c>
      <c r="L193" s="1">
        <v>1</v>
      </c>
      <c r="M193" s="2" t="e">
        <f>INDEX(+PMT(INDIRECT(M193:N193),#REF!,#REF!,#REF!,#REF!),)</f>
        <v>#REF!</v>
      </c>
      <c r="N193" s="1">
        <v>1</v>
      </c>
    </row>
    <row r="194" spans="1:14" x14ac:dyDescent="0.55000000000000004">
      <c r="A194" s="1" t="s">
        <v>1535</v>
      </c>
      <c r="B194" s="2">
        <f>COUNTIF(A:A,A194)-1</f>
        <v>5</v>
      </c>
      <c r="C194" s="2">
        <f>COUNTIF(A$1:A194,A194)-1</f>
        <v>2</v>
      </c>
      <c r="D194" s="2" t="str">
        <f>Argument!D194</f>
        <v>v</v>
      </c>
      <c r="E194" s="2" t="str">
        <f t="shared" ref="E194:E257" si="6">IF(C194=0,IF(SUMIFS(H:H,A:A,A194),IF(COUNTIFS(A:A,A194,G:G,64),,"v")&amp;IF(F194,"ar","a"),IF(F194,"r","v")),"")</f>
        <v/>
      </c>
      <c r="F194" s="2" t="str">
        <f>IF(C194=0,ISTEXT(FORMULA.CONVERT("="&amp;A194&amp;"("&amp;REPLACE(REPT(",#ref!",B194),1,1,"")&amp;")()",1)),"")</f>
        <v/>
      </c>
      <c r="G194" s="2">
        <f>TYPE(PMT(IF(1,1),{1},IF(1,1),IF(1,1),IF(1,1)))</f>
        <v>64</v>
      </c>
      <c r="H194" s="2" t="str">
        <f t="shared" ref="H194:H257" si="7">IF((I194=64)*(J194=B194)+(1-L194)*COUNTIF(D194,"*v*")+(1-N194)*COUNTIF(D194,"*r*"),1,"")</f>
        <v/>
      </c>
      <c r="I194" s="2">
        <f>TYPE(PMT(IF(1,1),IF(1,1),IF(1,1),IF(1,1),IF(1,1)))</f>
        <v>1</v>
      </c>
      <c r="J194" s="2" t="str">
        <f>IF(C194=0,COUNTIFS(A:A,A194,D:D,"a"),"")</f>
        <v/>
      </c>
      <c r="K194" s="2" t="e">
        <f>INDEX(+PMT(#REF!,K194:L194,#REF!,#REF!,#REF!),)</f>
        <v>#REF!</v>
      </c>
      <c r="L194" s="1">
        <v>1</v>
      </c>
      <c r="M194" s="2" t="e">
        <f>INDEX(+PMT(#REF!,INDIRECT(M194:N194),#REF!,#REF!,#REF!),)</f>
        <v>#REF!</v>
      </c>
      <c r="N194" s="1">
        <v>1</v>
      </c>
    </row>
    <row r="195" spans="1:14" x14ac:dyDescent="0.55000000000000004">
      <c r="A195" s="1" t="s">
        <v>1535</v>
      </c>
      <c r="B195" s="2">
        <f>COUNTIF(A:A,A195)-1</f>
        <v>5</v>
      </c>
      <c r="C195" s="2">
        <f>COUNTIF(A$1:A195,A195)-1</f>
        <v>3</v>
      </c>
      <c r="D195" s="2" t="str">
        <f>Argument!D195</f>
        <v>v</v>
      </c>
      <c r="E195" s="2" t="str">
        <f t="shared" si="6"/>
        <v/>
      </c>
      <c r="F195" s="2" t="str">
        <f>IF(C195=0,ISTEXT(FORMULA.CONVERT("="&amp;A195&amp;"("&amp;REPLACE(REPT(",#ref!",B195),1,1,"")&amp;")()",1)),"")</f>
        <v/>
      </c>
      <c r="G195" s="2">
        <f>TYPE(PMT(IF(1,1),IF(1,1),{1},IF(1,1),IF(1,1)))</f>
        <v>64</v>
      </c>
      <c r="H195" s="2" t="str">
        <f t="shared" si="7"/>
        <v/>
      </c>
      <c r="I195" s="2">
        <f>TYPE(PMT(IF(1,1),IF(1,1),IF(1,1),IF(1,1),IF(1,1)))</f>
        <v>1</v>
      </c>
      <c r="J195" s="2" t="str">
        <f>IF(C195=0,COUNTIFS(A:A,A195,D:D,"a"),"")</f>
        <v/>
      </c>
      <c r="K195" s="2" t="e">
        <f>INDEX(+PMT(#REF!,#REF!,K195:L195,#REF!,#REF!),)</f>
        <v>#REF!</v>
      </c>
      <c r="L195" s="1">
        <v>1</v>
      </c>
      <c r="M195" s="2" t="e">
        <f>INDEX(+PMT(#REF!,#REF!,INDIRECT(M195:N195),#REF!,#REF!),)</f>
        <v>#REF!</v>
      </c>
      <c r="N195" s="1">
        <v>1</v>
      </c>
    </row>
    <row r="196" spans="1:14" x14ac:dyDescent="0.55000000000000004">
      <c r="A196" s="1" t="s">
        <v>1535</v>
      </c>
      <c r="B196" s="2">
        <f>COUNTIF(A:A,A196)-1</f>
        <v>5</v>
      </c>
      <c r="C196" s="2">
        <f>COUNTIF(A$1:A196,A196)-1</f>
        <v>4</v>
      </c>
      <c r="D196" s="2" t="str">
        <f>Argument!D196</f>
        <v>v</v>
      </c>
      <c r="E196" s="2" t="str">
        <f t="shared" si="6"/>
        <v/>
      </c>
      <c r="F196" s="2" t="str">
        <f>IF(C196=0,ISTEXT(FORMULA.CONVERT("="&amp;A196&amp;"("&amp;REPLACE(REPT(",#ref!",B196),1,1,"")&amp;")()",1)),"")</f>
        <v/>
      </c>
      <c r="G196" s="2">
        <f>TYPE(PMT(IF(1,1),IF(1,1),IF(1,1),{1},IF(1,1)))</f>
        <v>64</v>
      </c>
      <c r="H196" s="2" t="str">
        <f t="shared" si="7"/>
        <v/>
      </c>
      <c r="I196" s="2">
        <f>TYPE(PMT(IF(1,1),IF(1,1),IF(1,1),IF(1,1),IF(1,1)))</f>
        <v>1</v>
      </c>
      <c r="J196" s="2" t="str">
        <f>IF(C196=0,COUNTIFS(A:A,A196,D:D,"a"),"")</f>
        <v/>
      </c>
      <c r="K196" s="2" t="e">
        <f>INDEX(+PMT(#REF!,#REF!,#REF!,K196:L196,#REF!),)</f>
        <v>#REF!</v>
      </c>
      <c r="L196" s="1">
        <v>1</v>
      </c>
      <c r="M196" s="2" t="e">
        <f>INDEX(+PMT(#REF!,#REF!,#REF!,INDIRECT(M196:N196),#REF!),)</f>
        <v>#REF!</v>
      </c>
      <c r="N196" s="1">
        <v>1</v>
      </c>
    </row>
    <row r="197" spans="1:14" x14ac:dyDescent="0.55000000000000004">
      <c r="A197" s="1" t="s">
        <v>1535</v>
      </c>
      <c r="B197" s="2">
        <f>COUNTIF(A:A,A197)-1</f>
        <v>5</v>
      </c>
      <c r="C197" s="2">
        <f>COUNTIF(A$1:A197,A197)-1</f>
        <v>5</v>
      </c>
      <c r="D197" s="2" t="str">
        <f>Argument!D197</f>
        <v>v</v>
      </c>
      <c r="E197" s="2" t="str">
        <f t="shared" si="6"/>
        <v/>
      </c>
      <c r="F197" s="2" t="str">
        <f>IF(C197=0,ISTEXT(FORMULA.CONVERT("="&amp;A197&amp;"("&amp;REPLACE(REPT(",#ref!",B197),1,1,"")&amp;")()",1)),"")</f>
        <v/>
      </c>
      <c r="G197" s="2">
        <f>TYPE(PMT(IF(1,1),IF(1,1),IF(1,1),IF(1,1),{1}))</f>
        <v>64</v>
      </c>
      <c r="H197" s="2" t="str">
        <f t="shared" si="7"/>
        <v/>
      </c>
      <c r="I197" s="2">
        <f>TYPE(PMT(IF(1,1),IF(1,1),IF(1,1),IF(1,1),IF(1,1)))</f>
        <v>1</v>
      </c>
      <c r="J197" s="2" t="str">
        <f>IF(C197=0,COUNTIFS(A:A,A197,D:D,"a"),"")</f>
        <v/>
      </c>
      <c r="K197" s="2" t="e">
        <f>INDEX(+PMT(#REF!,#REF!,#REF!,#REF!,K197:L197),)</f>
        <v>#REF!</v>
      </c>
      <c r="L197" s="1">
        <v>1</v>
      </c>
      <c r="M197" s="2" t="e">
        <f>INDEX(+PMT(#REF!,#REF!,#REF!,#REF!,INDIRECT(M197:N197)),)</f>
        <v>#REF!</v>
      </c>
      <c r="N197" s="1">
        <v>1</v>
      </c>
    </row>
    <row r="198" spans="1:14" x14ac:dyDescent="0.55000000000000004">
      <c r="A198" s="1" t="s">
        <v>1536</v>
      </c>
      <c r="B198" s="2">
        <f>COUNTIF(A:A,A198)-1</f>
        <v>6</v>
      </c>
      <c r="C198" s="2">
        <f>COUNTIF(A$1:A198,A198)-1</f>
        <v>0</v>
      </c>
      <c r="D198" s="2" t="str">
        <f>Argument!D198</f>
        <v/>
      </c>
      <c r="E198" s="2" t="str">
        <f t="shared" si="6"/>
        <v>v</v>
      </c>
      <c r="F198" s="2" t="b">
        <f>IF(C198=0,ISTEXT(FORMULA.CONVERT("="&amp;A198&amp;"("&amp;REPLACE(REPT(",#ref!",B198),1,1,"")&amp;")()",1)),"")</f>
        <v>0</v>
      </c>
      <c r="G198" s="2"/>
      <c r="H198" s="2" t="str">
        <f t="shared" si="7"/>
        <v/>
      </c>
      <c r="I198" s="2">
        <f>TYPE(RATE(IF(1,1),IF(1,1),IF(1,1),IF(1,1),IF(1,1),IF(1,1)))</f>
        <v>16</v>
      </c>
      <c r="J198" s="2">
        <f>IF(C198=0,COUNTIFS(A:A,A198,D:D,"a"),"")</f>
        <v>0</v>
      </c>
      <c r="K198" s="2"/>
      <c r="M198" s="2"/>
    </row>
    <row r="199" spans="1:14" x14ac:dyDescent="0.55000000000000004">
      <c r="A199" s="1" t="s">
        <v>1536</v>
      </c>
      <c r="B199" s="2">
        <f>COUNTIF(A:A,A199)-1</f>
        <v>6</v>
      </c>
      <c r="C199" s="2">
        <f>COUNTIF(A$1:A199,A199)-1</f>
        <v>1</v>
      </c>
      <c r="D199" s="2" t="str">
        <f>Argument!D199</f>
        <v>v</v>
      </c>
      <c r="E199" s="2" t="str">
        <f t="shared" si="6"/>
        <v/>
      </c>
      <c r="F199" s="2" t="str">
        <f>IF(C199=0,ISTEXT(FORMULA.CONVERT("="&amp;A199&amp;"("&amp;REPLACE(REPT(",#ref!",B199),1,1,"")&amp;")()",1)),"")</f>
        <v/>
      </c>
      <c r="G199" s="2">
        <f>TYPE(RATE({1},IF(1,1),IF(1,1),IF(1,1),IF(1,1),IF(1,1)))</f>
        <v>64</v>
      </c>
      <c r="H199" s="2" t="str">
        <f t="shared" si="7"/>
        <v/>
      </c>
      <c r="I199" s="2">
        <f>TYPE(RATE(IF(1,1),IF(1,1),IF(1,1),IF(1,1),IF(1,1),IF(1,1)))</f>
        <v>16</v>
      </c>
      <c r="J199" s="2" t="str">
        <f>IF(C199=0,COUNTIFS(A:A,A199,D:D,"a"),"")</f>
        <v/>
      </c>
      <c r="K199" s="2" t="e">
        <f>INDEX(+RATE(K199:L199,#REF!,#REF!,#REF!,#REF!,#REF!),)</f>
        <v>#REF!</v>
      </c>
      <c r="L199" s="1">
        <v>1</v>
      </c>
      <c r="M199" s="2" t="e">
        <f>INDEX(+RATE(INDIRECT(M199:N199),#REF!,#REF!,#REF!,#REF!,#REF!),)</f>
        <v>#REF!</v>
      </c>
      <c r="N199" s="1">
        <v>1</v>
      </c>
    </row>
    <row r="200" spans="1:14" x14ac:dyDescent="0.55000000000000004">
      <c r="A200" s="1" t="s">
        <v>1536</v>
      </c>
      <c r="B200" s="2">
        <f>COUNTIF(A:A,A200)-1</f>
        <v>6</v>
      </c>
      <c r="C200" s="2">
        <f>COUNTIF(A$1:A200,A200)-1</f>
        <v>2</v>
      </c>
      <c r="D200" s="2" t="str">
        <f>Argument!D200</f>
        <v>v</v>
      </c>
      <c r="E200" s="2" t="str">
        <f t="shared" si="6"/>
        <v/>
      </c>
      <c r="F200" s="2" t="str">
        <f>IF(C200=0,ISTEXT(FORMULA.CONVERT("="&amp;A200&amp;"("&amp;REPLACE(REPT(",#ref!",B200),1,1,"")&amp;")()",1)),"")</f>
        <v/>
      </c>
      <c r="G200" s="2">
        <f>TYPE(RATE(IF(1,1),{1},IF(1,1),IF(1,1),IF(1,1),IF(1,1)))</f>
        <v>64</v>
      </c>
      <c r="H200" s="2" t="str">
        <f t="shared" si="7"/>
        <v/>
      </c>
      <c r="I200" s="2">
        <f>TYPE(RATE(IF(1,1),IF(1,1),IF(1,1),IF(1,1),IF(1,1),IF(1,1)))</f>
        <v>16</v>
      </c>
      <c r="J200" s="2" t="str">
        <f>IF(C200=0,COUNTIFS(A:A,A200,D:D,"a"),"")</f>
        <v/>
      </c>
      <c r="K200" s="2" t="e">
        <f>INDEX(+RATE(#REF!,K200:L200,#REF!,#REF!,#REF!,#REF!),)</f>
        <v>#REF!</v>
      </c>
      <c r="L200" s="1">
        <v>1</v>
      </c>
      <c r="M200" s="2" t="e">
        <f>INDEX(+RATE(#REF!,INDIRECT(M200:N200),#REF!,#REF!,#REF!,#REF!),)</f>
        <v>#REF!</v>
      </c>
      <c r="N200" s="1">
        <v>1</v>
      </c>
    </row>
    <row r="201" spans="1:14" x14ac:dyDescent="0.55000000000000004">
      <c r="A201" s="1" t="s">
        <v>1536</v>
      </c>
      <c r="B201" s="2">
        <f>COUNTIF(A:A,A201)-1</f>
        <v>6</v>
      </c>
      <c r="C201" s="2">
        <f>COUNTIF(A$1:A201,A201)-1</f>
        <v>3</v>
      </c>
      <c r="D201" s="2" t="str">
        <f>Argument!D201</f>
        <v>v</v>
      </c>
      <c r="E201" s="2" t="str">
        <f t="shared" si="6"/>
        <v/>
      </c>
      <c r="F201" s="2" t="str">
        <f>IF(C201=0,ISTEXT(FORMULA.CONVERT("="&amp;A201&amp;"("&amp;REPLACE(REPT(",#ref!",B201),1,1,"")&amp;")()",1)),"")</f>
        <v/>
      </c>
      <c r="G201" s="2">
        <f>TYPE(RATE(IF(1,1),IF(1,1),{1},IF(1,1),IF(1,1),IF(1,1)))</f>
        <v>64</v>
      </c>
      <c r="H201" s="2" t="str">
        <f t="shared" si="7"/>
        <v/>
      </c>
      <c r="I201" s="2">
        <f>TYPE(RATE(IF(1,1),IF(1,1),IF(1,1),IF(1,1),IF(1,1),IF(1,1)))</f>
        <v>16</v>
      </c>
      <c r="J201" s="2" t="str">
        <f>IF(C201=0,COUNTIFS(A:A,A201,D:D,"a"),"")</f>
        <v/>
      </c>
      <c r="K201" s="2" t="e">
        <f>INDEX(+RATE(#REF!,#REF!,K201:L201,#REF!,#REF!,#REF!),)</f>
        <v>#REF!</v>
      </c>
      <c r="L201" s="1">
        <v>1</v>
      </c>
      <c r="M201" s="2" t="e">
        <f>INDEX(+RATE(#REF!,#REF!,INDIRECT(M201:N201),#REF!,#REF!,#REF!),)</f>
        <v>#REF!</v>
      </c>
      <c r="N201" s="1">
        <v>1</v>
      </c>
    </row>
    <row r="202" spans="1:14" x14ac:dyDescent="0.55000000000000004">
      <c r="A202" s="1" t="s">
        <v>1536</v>
      </c>
      <c r="B202" s="2">
        <f>COUNTIF(A:A,A202)-1</f>
        <v>6</v>
      </c>
      <c r="C202" s="2">
        <f>COUNTIF(A$1:A202,A202)-1</f>
        <v>4</v>
      </c>
      <c r="D202" s="2" t="str">
        <f>Argument!D202</f>
        <v>v</v>
      </c>
      <c r="E202" s="2" t="str">
        <f t="shared" si="6"/>
        <v/>
      </c>
      <c r="F202" s="2" t="str">
        <f>IF(C202=0,ISTEXT(FORMULA.CONVERT("="&amp;A202&amp;"("&amp;REPLACE(REPT(",#ref!",B202),1,1,"")&amp;")()",1)),"")</f>
        <v/>
      </c>
      <c r="G202" s="2">
        <f>TYPE(RATE(IF(1,1),IF(1,1),IF(1,1),{1},IF(1,1),IF(1,1)))</f>
        <v>64</v>
      </c>
      <c r="H202" s="2" t="str">
        <f t="shared" si="7"/>
        <v/>
      </c>
      <c r="I202" s="2">
        <f>TYPE(RATE(IF(1,1),IF(1,1),IF(1,1),IF(1,1),IF(1,1),IF(1,1)))</f>
        <v>16</v>
      </c>
      <c r="J202" s="2" t="str">
        <f>IF(C202=0,COUNTIFS(A:A,A202,D:D,"a"),"")</f>
        <v/>
      </c>
      <c r="K202" s="2" t="e">
        <f>INDEX(+RATE(#REF!,#REF!,#REF!,K202:L202,#REF!,#REF!),)</f>
        <v>#REF!</v>
      </c>
      <c r="L202" s="1">
        <v>1</v>
      </c>
      <c r="M202" s="2" t="e">
        <f>INDEX(+RATE(#REF!,#REF!,#REF!,INDIRECT(M202:N202),#REF!,#REF!),)</f>
        <v>#REF!</v>
      </c>
      <c r="N202" s="1">
        <v>1</v>
      </c>
    </row>
    <row r="203" spans="1:14" x14ac:dyDescent="0.55000000000000004">
      <c r="A203" s="1" t="s">
        <v>1536</v>
      </c>
      <c r="B203" s="2">
        <f>COUNTIF(A:A,A203)-1</f>
        <v>6</v>
      </c>
      <c r="C203" s="2">
        <f>COUNTIF(A$1:A203,A203)-1</f>
        <v>5</v>
      </c>
      <c r="D203" s="2" t="str">
        <f>Argument!D203</f>
        <v>v</v>
      </c>
      <c r="E203" s="2" t="str">
        <f t="shared" si="6"/>
        <v/>
      </c>
      <c r="F203" s="2" t="str">
        <f>IF(C203=0,ISTEXT(FORMULA.CONVERT("="&amp;A203&amp;"("&amp;REPLACE(REPT(",#ref!",B203),1,1,"")&amp;")()",1)),"")</f>
        <v/>
      </c>
      <c r="G203" s="2">
        <f>TYPE(RATE(IF(1,1),IF(1,1),IF(1,1),IF(1,1),{1},IF(1,1)))</f>
        <v>64</v>
      </c>
      <c r="H203" s="2" t="str">
        <f t="shared" si="7"/>
        <v/>
      </c>
      <c r="I203" s="2">
        <f>TYPE(RATE(IF(1,1),IF(1,1),IF(1,1),IF(1,1),IF(1,1),IF(1,1)))</f>
        <v>16</v>
      </c>
      <c r="J203" s="2" t="str">
        <f>IF(C203=0,COUNTIFS(A:A,A203,D:D,"a"),"")</f>
        <v/>
      </c>
      <c r="K203" s="2" t="e">
        <f>INDEX(+RATE(#REF!,#REF!,#REF!,#REF!,K203:L203,#REF!),)</f>
        <v>#REF!</v>
      </c>
      <c r="L203" s="1">
        <v>1</v>
      </c>
      <c r="M203" s="2" t="e">
        <f>INDEX(+RATE(#REF!,#REF!,#REF!,#REF!,INDIRECT(M203:N203),#REF!),)</f>
        <v>#REF!</v>
      </c>
      <c r="N203" s="1">
        <v>1</v>
      </c>
    </row>
    <row r="204" spans="1:14" x14ac:dyDescent="0.55000000000000004">
      <c r="A204" s="1" t="s">
        <v>1536</v>
      </c>
      <c r="B204" s="2">
        <f>COUNTIF(A:A,A204)-1</f>
        <v>6</v>
      </c>
      <c r="C204" s="2">
        <f>COUNTIF(A$1:A204,A204)-1</f>
        <v>6</v>
      </c>
      <c r="D204" s="2" t="str">
        <f>Argument!D204</f>
        <v>v</v>
      </c>
      <c r="E204" s="2" t="str">
        <f t="shared" si="6"/>
        <v/>
      </c>
      <c r="F204" s="2" t="str">
        <f>IF(C204=0,ISTEXT(FORMULA.CONVERT("="&amp;A204&amp;"("&amp;REPLACE(REPT(",#ref!",B204),1,1,"")&amp;")()",1)),"")</f>
        <v/>
      </c>
      <c r="G204" s="2">
        <f>TYPE(RATE(IF(1,1),IF(1,1),IF(1,1),IF(1,1),IF(1,1),{1}))</f>
        <v>64</v>
      </c>
      <c r="H204" s="2" t="str">
        <f t="shared" si="7"/>
        <v/>
      </c>
      <c r="I204" s="2">
        <f>TYPE(RATE(IF(1,1),IF(1,1),IF(1,1),IF(1,1),IF(1,1),IF(1,1)))</f>
        <v>16</v>
      </c>
      <c r="J204" s="2" t="str">
        <f>IF(C204=0,COUNTIFS(A:A,A204,D:D,"a"),"")</f>
        <v/>
      </c>
      <c r="K204" s="2" t="e">
        <f>INDEX(+RATE(#REF!,#REF!,#REF!,#REF!,#REF!,K204:L204),)</f>
        <v>#REF!</v>
      </c>
      <c r="L204" s="1">
        <v>1</v>
      </c>
      <c r="M204" s="2" t="e">
        <f>INDEX(+RATE(#REF!,#REF!,#REF!,#REF!,#REF!,INDIRECT(M204:N204)),)</f>
        <v>#REF!</v>
      </c>
      <c r="N204" s="1">
        <v>1</v>
      </c>
    </row>
    <row r="205" spans="1:14" x14ac:dyDescent="0.55000000000000004">
      <c r="A205" s="1" t="s">
        <v>1537</v>
      </c>
      <c r="B205" s="2">
        <f>COUNTIF(A:A,A205)-1</f>
        <v>3</v>
      </c>
      <c r="C205" s="2">
        <f>COUNTIF(A$1:A205,A205)-1</f>
        <v>0</v>
      </c>
      <c r="D205" s="2" t="str">
        <f>Argument!D205</f>
        <v/>
      </c>
      <c r="E205" s="2" t="str">
        <f t="shared" si="6"/>
        <v>v</v>
      </c>
      <c r="F205" s="2" t="b">
        <f>IF(C205=0,ISTEXT(FORMULA.CONVERT("="&amp;A205&amp;"("&amp;REPLACE(REPT(",#ref!",B205),1,1,"")&amp;")()",1)),"")</f>
        <v>0</v>
      </c>
      <c r="G205" s="2"/>
      <c r="H205" s="2" t="str">
        <f t="shared" si="7"/>
        <v/>
      </c>
      <c r="I205" s="2">
        <f>TYPE(MIRR(IF(1,1),IF(1,1),IF(1,1)))</f>
        <v>16</v>
      </c>
      <c r="J205" s="2">
        <f>IF(C205=0,COUNTIFS(A:A,A205,D:D,"a"),"")</f>
        <v>0</v>
      </c>
      <c r="K205" s="2"/>
      <c r="M205" s="2"/>
    </row>
    <row r="206" spans="1:14" x14ac:dyDescent="0.55000000000000004">
      <c r="A206" s="1" t="s">
        <v>1537</v>
      </c>
      <c r="B206" s="2">
        <f>COUNTIF(A:A,A206)-1</f>
        <v>3</v>
      </c>
      <c r="C206" s="2">
        <f>COUNTIF(A$1:A206,A206)-1</f>
        <v>1</v>
      </c>
      <c r="D206" s="2" t="str">
        <f>Argument!D206</f>
        <v>ar</v>
      </c>
      <c r="E206" s="2" t="str">
        <f t="shared" si="6"/>
        <v/>
      </c>
      <c r="F206" s="2" t="str">
        <f>IF(C206=0,ISTEXT(FORMULA.CONVERT("="&amp;A206&amp;"("&amp;REPLACE(REPT(",#ref!",B206),1,1,"")&amp;")()",1)),"")</f>
        <v/>
      </c>
      <c r="G206" s="2">
        <f>TYPE(MIRR({1},IF(1,1),IF(1,1)))</f>
        <v>16</v>
      </c>
      <c r="H206" s="2" t="str">
        <f t="shared" si="7"/>
        <v/>
      </c>
      <c r="I206" s="2">
        <f>TYPE(MIRR(IF(1,1),IF(1,1),IF(1,1)))</f>
        <v>16</v>
      </c>
      <c r="J206" s="2" t="str">
        <f>IF(C206=0,COUNTIFS(A:A,A206,D:D,"a"),"")</f>
        <v/>
      </c>
      <c r="K206" s="2" t="e">
        <f>INDEX(+MIRR(K206:L206,#REF!,#REF!),)</f>
        <v>#REF!</v>
      </c>
      <c r="L206" s="1">
        <v>1</v>
      </c>
      <c r="M206" s="2" t="e">
        <f>INDEX(+MIRR(INDIRECT(M206:N206),#REF!,#REF!),)</f>
        <v>#REF!</v>
      </c>
      <c r="N206" s="1">
        <v>1</v>
      </c>
    </row>
    <row r="207" spans="1:14" x14ac:dyDescent="0.55000000000000004">
      <c r="A207" s="1" t="s">
        <v>1537</v>
      </c>
      <c r="B207" s="2">
        <f>COUNTIF(A:A,A207)-1</f>
        <v>3</v>
      </c>
      <c r="C207" s="2">
        <f>COUNTIF(A$1:A207,A207)-1</f>
        <v>2</v>
      </c>
      <c r="D207" s="2" t="str">
        <f>Argument!D207</f>
        <v>v</v>
      </c>
      <c r="E207" s="2" t="str">
        <f t="shared" si="6"/>
        <v/>
      </c>
      <c r="F207" s="2" t="str">
        <f>IF(C207=0,ISTEXT(FORMULA.CONVERT("="&amp;A207&amp;"("&amp;REPLACE(REPT(",#ref!",B207),1,1,"")&amp;")()",1)),"")</f>
        <v/>
      </c>
      <c r="G207" s="2">
        <f>TYPE(MIRR(IF(1,1),{1},IF(1,1)))</f>
        <v>64</v>
      </c>
      <c r="H207" s="2" t="str">
        <f t="shared" si="7"/>
        <v/>
      </c>
      <c r="I207" s="2">
        <f>TYPE(MIRR(IF(1,1),IF(1,1),IF(1,1)))</f>
        <v>16</v>
      </c>
      <c r="J207" s="2" t="str">
        <f>IF(C207=0,COUNTIFS(A:A,A207,D:D,"a"),"")</f>
        <v/>
      </c>
      <c r="K207" s="2" t="e">
        <f>INDEX(+MIRR(#REF!,K207:L207,#REF!),)</f>
        <v>#REF!</v>
      </c>
      <c r="L207" s="1">
        <v>1</v>
      </c>
      <c r="M207" s="2" t="e">
        <f>INDEX(+MIRR(#REF!,INDIRECT(M207:N207),#REF!),)</f>
        <v>#REF!</v>
      </c>
      <c r="N207" s="1">
        <v>1</v>
      </c>
    </row>
    <row r="208" spans="1:14" x14ac:dyDescent="0.55000000000000004">
      <c r="A208" s="1" t="s">
        <v>1537</v>
      </c>
      <c r="B208" s="2">
        <f>COUNTIF(A:A,A208)-1</f>
        <v>3</v>
      </c>
      <c r="C208" s="2">
        <f>COUNTIF(A$1:A208,A208)-1</f>
        <v>3</v>
      </c>
      <c r="D208" s="2" t="str">
        <f>Argument!D208</f>
        <v>v</v>
      </c>
      <c r="E208" s="2" t="str">
        <f t="shared" si="6"/>
        <v/>
      </c>
      <c r="F208" s="2" t="str">
        <f>IF(C208=0,ISTEXT(FORMULA.CONVERT("="&amp;A208&amp;"("&amp;REPLACE(REPT(",#ref!",B208),1,1,"")&amp;")()",1)),"")</f>
        <v/>
      </c>
      <c r="G208" s="2">
        <f>TYPE(MIRR(IF(1,1),IF(1,1),{1}))</f>
        <v>64</v>
      </c>
      <c r="H208" s="2" t="str">
        <f t="shared" si="7"/>
        <v/>
      </c>
      <c r="I208" s="2">
        <f>TYPE(MIRR(IF(1,1),IF(1,1),IF(1,1)))</f>
        <v>16</v>
      </c>
      <c r="J208" s="2" t="str">
        <f>IF(C208=0,COUNTIFS(A:A,A208,D:D,"a"),"")</f>
        <v/>
      </c>
      <c r="K208" s="2" t="e">
        <f>INDEX(+MIRR(#REF!,#REF!,K208:L208),)</f>
        <v>#REF!</v>
      </c>
      <c r="L208" s="1">
        <v>1</v>
      </c>
      <c r="M208" s="2" t="e">
        <f>INDEX(+MIRR(#REF!,#REF!,INDIRECT(M208:N208)),)</f>
        <v>#REF!</v>
      </c>
      <c r="N208" s="1">
        <v>1</v>
      </c>
    </row>
    <row r="209" spans="1:14" x14ac:dyDescent="0.55000000000000004">
      <c r="A209" s="1" t="s">
        <v>1538</v>
      </c>
      <c r="B209" s="2">
        <f>COUNTIF(A:A,A209)-1</f>
        <v>2</v>
      </c>
      <c r="C209" s="2">
        <f>COUNTIF(A$1:A209,A209)-1</f>
        <v>0</v>
      </c>
      <c r="D209" s="2" t="str">
        <f>Argument!D209</f>
        <v/>
      </c>
      <c r="E209" s="2" t="str">
        <f t="shared" si="6"/>
        <v>v</v>
      </c>
      <c r="F209" s="2" t="b">
        <f>IF(C209=0,ISTEXT(FORMULA.CONVERT("="&amp;A209&amp;"("&amp;REPLACE(REPT(",#ref!",B209),1,1,"")&amp;")()",1)),"")</f>
        <v>0</v>
      </c>
      <c r="G209" s="2"/>
      <c r="H209" s="2" t="str">
        <f t="shared" si="7"/>
        <v/>
      </c>
      <c r="I209" s="2">
        <f>TYPE(IRR(IF(1,1),IF(1,1)))</f>
        <v>16</v>
      </c>
      <c r="J209" s="2">
        <f>IF(C209=0,COUNTIFS(A:A,A209,D:D,"a"),"")</f>
        <v>0</v>
      </c>
      <c r="K209" s="2"/>
      <c r="M209" s="2"/>
    </row>
    <row r="210" spans="1:14" x14ac:dyDescent="0.55000000000000004">
      <c r="A210" s="1" t="s">
        <v>1538</v>
      </c>
      <c r="B210" s="2">
        <f>COUNTIF(A:A,A210)-1</f>
        <v>2</v>
      </c>
      <c r="C210" s="2">
        <f>COUNTIF(A$1:A210,A210)-1</f>
        <v>1</v>
      </c>
      <c r="D210" s="2" t="str">
        <f>Argument!D210</f>
        <v>ar</v>
      </c>
      <c r="E210" s="2" t="str">
        <f t="shared" si="6"/>
        <v/>
      </c>
      <c r="F210" s="2" t="str">
        <f>IF(C210=0,ISTEXT(FORMULA.CONVERT("="&amp;A210&amp;"("&amp;REPLACE(REPT(",#ref!",B210),1,1,"")&amp;")()",1)),"")</f>
        <v/>
      </c>
      <c r="G210" s="2">
        <f>TYPE(IRR({1},IF(1,1)))</f>
        <v>16</v>
      </c>
      <c r="H210" s="2" t="str">
        <f t="shared" si="7"/>
        <v/>
      </c>
      <c r="I210" s="2">
        <f>TYPE(IRR(IF(1,1),IF(1,1)))</f>
        <v>16</v>
      </c>
      <c r="J210" s="2" t="str">
        <f>IF(C210=0,COUNTIFS(A:A,A210,D:D,"a"),"")</f>
        <v/>
      </c>
      <c r="K210" s="2" t="e">
        <f>INDEX(+IRR(K210:L210,#REF!),)</f>
        <v>#REF!</v>
      </c>
      <c r="L210" s="1">
        <v>1</v>
      </c>
      <c r="M210" s="2" t="e">
        <f>INDEX(+IRR(INDIRECT(M210:N210),#REF!),)</f>
        <v>#REF!</v>
      </c>
      <c r="N210" s="1">
        <v>1</v>
      </c>
    </row>
    <row r="211" spans="1:14" x14ac:dyDescent="0.55000000000000004">
      <c r="A211" s="1" t="s">
        <v>1538</v>
      </c>
      <c r="B211" s="2">
        <f>COUNTIF(A:A,A211)-1</f>
        <v>2</v>
      </c>
      <c r="C211" s="2">
        <f>COUNTIF(A$1:A211,A211)-1</f>
        <v>2</v>
      </c>
      <c r="D211" s="2" t="str">
        <f>Argument!D211</f>
        <v>v</v>
      </c>
      <c r="E211" s="2" t="str">
        <f t="shared" si="6"/>
        <v/>
      </c>
      <c r="F211" s="2" t="str">
        <f>IF(C211=0,ISTEXT(FORMULA.CONVERT("="&amp;A211&amp;"("&amp;REPLACE(REPT(",#ref!",B211),1,1,"")&amp;")()",1)),"")</f>
        <v/>
      </c>
      <c r="G211" s="2">
        <f>TYPE(IRR(IF(1,1),{1}))</f>
        <v>64</v>
      </c>
      <c r="H211" s="2" t="str">
        <f t="shared" si="7"/>
        <v/>
      </c>
      <c r="I211" s="2">
        <f>TYPE(IRR(IF(1,1),IF(1,1)))</f>
        <v>16</v>
      </c>
      <c r="J211" s="2" t="str">
        <f>IF(C211=0,COUNTIFS(A:A,A211,D:D,"a"),"")</f>
        <v/>
      </c>
      <c r="K211" s="2" t="e">
        <f>INDEX(+IRR(#REF!,K211:L211),)</f>
        <v>#REF!</v>
      </c>
      <c r="L211" s="1">
        <v>1</v>
      </c>
      <c r="M211" s="2" t="e">
        <f>INDEX(+IRR(#REF!,INDIRECT(M211:N211)),)</f>
        <v>#REF!</v>
      </c>
      <c r="N211" s="1">
        <v>1</v>
      </c>
    </row>
    <row r="212" spans="1:14" x14ac:dyDescent="0.55000000000000004">
      <c r="A212" s="1" t="s">
        <v>1475</v>
      </c>
      <c r="B212" s="2">
        <f>COUNTIF(A:A,A212)-1</f>
        <v>0</v>
      </c>
      <c r="C212" s="2">
        <f>COUNTIF(A$1:A212,A212)-1</f>
        <v>0</v>
      </c>
      <c r="D212" s="2" t="str">
        <f>Argument!D212</f>
        <v/>
      </c>
      <c r="E212" s="2" t="str">
        <f t="shared" si="6"/>
        <v>v</v>
      </c>
      <c r="F212" s="2" t="b">
        <f>IF(C212=0,ISTEXT(FORMULA.CONVERT("="&amp;A212&amp;"("&amp;REPLACE(REPT(",#ref!",B212),1,1,"")&amp;")()",1)),"")</f>
        <v>0</v>
      </c>
      <c r="G212" s="2"/>
      <c r="H212" s="2" t="str">
        <f t="shared" si="7"/>
        <v/>
      </c>
      <c r="I212" s="2">
        <f>TYPE(RAND())</f>
        <v>1</v>
      </c>
      <c r="J212" s="2">
        <f>IF(C212=0,COUNTIFS(A:A,A212,D:D,"a"),"")</f>
        <v>0</v>
      </c>
      <c r="K212" s="2"/>
      <c r="M212" s="2"/>
    </row>
    <row r="213" spans="1:14" x14ac:dyDescent="0.55000000000000004">
      <c r="A213" s="1" t="s">
        <v>1539</v>
      </c>
      <c r="B213" s="2">
        <f>COUNTIF(A:A,A213)-1</f>
        <v>3</v>
      </c>
      <c r="C213" s="2">
        <f>COUNTIF(A$1:A213,A213)-1</f>
        <v>0</v>
      </c>
      <c r="D213" s="2" t="str">
        <f>Argument!D213</f>
        <v/>
      </c>
      <c r="E213" s="2" t="str">
        <f t="shared" si="6"/>
        <v>v</v>
      </c>
      <c r="F213" s="2" t="b">
        <f>IF(C213=0,ISTEXT(FORMULA.CONVERT("="&amp;A213&amp;"("&amp;REPLACE(REPT(",#ref!",B213),1,1,"")&amp;")()",1)),"")</f>
        <v>0</v>
      </c>
      <c r="G213" s="2"/>
      <c r="H213" s="2" t="str">
        <f t="shared" si="7"/>
        <v/>
      </c>
      <c r="I213" s="2">
        <f>TYPE(MATCH(IF(1,1),IF(1,1),IF(1,1)))</f>
        <v>16</v>
      </c>
      <c r="J213" s="2">
        <f>IF(C213=0,COUNTIFS(A:A,A213,D:D,"a"),"")</f>
        <v>0</v>
      </c>
      <c r="K213" s="2"/>
      <c r="M213" s="2"/>
    </row>
    <row r="214" spans="1:14" x14ac:dyDescent="0.55000000000000004">
      <c r="A214" s="1" t="s">
        <v>1539</v>
      </c>
      <c r="B214" s="2">
        <f>COUNTIF(A:A,A214)-1</f>
        <v>3</v>
      </c>
      <c r="C214" s="2">
        <f>COUNTIF(A$1:A214,A214)-1</f>
        <v>1</v>
      </c>
      <c r="D214" s="2" t="str">
        <f>Argument!D214</f>
        <v>v</v>
      </c>
      <c r="E214" s="2" t="str">
        <f t="shared" si="6"/>
        <v/>
      </c>
      <c r="F214" s="2" t="str">
        <f>IF(C214=0,ISTEXT(FORMULA.CONVERT("="&amp;A214&amp;"("&amp;REPLACE(REPT(",#ref!",B214),1,1,"")&amp;")()",1)),"")</f>
        <v/>
      </c>
      <c r="G214" s="2">
        <f>TYPE(MATCH({1},IF(1,1),IF(1,1)))</f>
        <v>64</v>
      </c>
      <c r="H214" s="2" t="str">
        <f t="shared" si="7"/>
        <v/>
      </c>
      <c r="I214" s="2">
        <f>TYPE(MATCH(IF(1,1),IF(1,1),IF(1,1)))</f>
        <v>16</v>
      </c>
      <c r="J214" s="2" t="str">
        <f>IF(C214=0,COUNTIFS(A:A,A214,D:D,"a"),"")</f>
        <v/>
      </c>
      <c r="K214" s="2" t="e">
        <f>INDEX(+MATCH(K214:L214,#REF!,#REF!),)</f>
        <v>#REF!</v>
      </c>
      <c r="L214" s="1">
        <v>1</v>
      </c>
      <c r="M214" s="2" t="e">
        <f>INDEX(+MATCH(INDIRECT(M214:N214),#REF!,#REF!),)</f>
        <v>#REF!</v>
      </c>
      <c r="N214" s="1">
        <v>1</v>
      </c>
    </row>
    <row r="215" spans="1:14" x14ac:dyDescent="0.55000000000000004">
      <c r="A215" s="1" t="s">
        <v>1539</v>
      </c>
      <c r="B215" s="2">
        <f>COUNTIF(A:A,A215)-1</f>
        <v>3</v>
      </c>
      <c r="C215" s="2">
        <f>COUNTIF(A$1:A215,A215)-1</f>
        <v>2</v>
      </c>
      <c r="D215" s="2" t="str">
        <f>Argument!D215</f>
        <v>var</v>
      </c>
      <c r="E215" s="2" t="str">
        <f t="shared" si="6"/>
        <v/>
      </c>
      <c r="F215" s="2" t="str">
        <f>IF(C215=0,ISTEXT(FORMULA.CONVERT("="&amp;A215&amp;"("&amp;REPLACE(REPT(",#ref!",B215),1,1,"")&amp;")()",1)),"")</f>
        <v/>
      </c>
      <c r="G215" s="2">
        <f>TYPE(MATCH(IF(1,1),{1},IF(1,1)))</f>
        <v>1</v>
      </c>
      <c r="H215" s="2" t="str">
        <f t="shared" si="7"/>
        <v/>
      </c>
      <c r="I215" s="2">
        <f>TYPE(MATCH(IF(1,1),IF(1,1),IF(1,1)))</f>
        <v>16</v>
      </c>
      <c r="J215" s="2" t="str">
        <f>IF(C215=0,COUNTIFS(A:A,A215,D:D,"a"),"")</f>
        <v/>
      </c>
      <c r="K215" s="2" t="e">
        <f>INDEX(+MATCH(#REF!,K215:L215,#REF!),)</f>
        <v>#REF!</v>
      </c>
      <c r="L215" s="1">
        <v>1</v>
      </c>
      <c r="M215" s="2" t="e">
        <f>INDEX(+MATCH(#REF!,INDIRECT(M215:N215),#REF!),)</f>
        <v>#REF!</v>
      </c>
      <c r="N215" s="1">
        <v>1</v>
      </c>
    </row>
    <row r="216" spans="1:14" x14ac:dyDescent="0.55000000000000004">
      <c r="A216" s="1" t="s">
        <v>1539</v>
      </c>
      <c r="B216" s="2">
        <f>COUNTIF(A:A,A216)-1</f>
        <v>3</v>
      </c>
      <c r="C216" s="2">
        <f>COUNTIF(A$1:A216,A216)-1</f>
        <v>3</v>
      </c>
      <c r="D216" s="2" t="str">
        <f>Argument!D216</f>
        <v>vr</v>
      </c>
      <c r="E216" s="2" t="str">
        <f t="shared" si="6"/>
        <v/>
      </c>
      <c r="F216" s="2" t="str">
        <f>IF(C216=0,ISTEXT(FORMULA.CONVERT("="&amp;A216&amp;"("&amp;REPLACE(REPT(",#ref!",B216),1,1,"")&amp;")()",1)),"")</f>
        <v/>
      </c>
      <c r="G216" s="2">
        <f>TYPE(MATCH(IF(1,1),IF(1,1),{1}))</f>
        <v>64</v>
      </c>
      <c r="H216" s="2" t="str">
        <f t="shared" si="7"/>
        <v/>
      </c>
      <c r="I216" s="2">
        <f>TYPE(MATCH(IF(1,1),IF(1,1),IF(1,1)))</f>
        <v>16</v>
      </c>
      <c r="J216" s="2" t="str">
        <f>IF(C216=0,COUNTIFS(A:A,A216,D:D,"a"),"")</f>
        <v/>
      </c>
      <c r="K216" s="2" t="e">
        <f>INDEX(+MATCH(#REF!,#REF!,K216:L216),)</f>
        <v>#REF!</v>
      </c>
      <c r="L216" s="1">
        <v>1</v>
      </c>
      <c r="M216" s="2" t="e">
        <f>INDEX(+MATCH(#REF!,#REF!,INDIRECT(M216:N216)),)</f>
        <v>#REF!</v>
      </c>
      <c r="N216" s="1">
        <v>1</v>
      </c>
    </row>
    <row r="217" spans="1:14" x14ac:dyDescent="0.55000000000000004">
      <c r="A217" s="1" t="s">
        <v>1540</v>
      </c>
      <c r="B217" s="2">
        <f>COUNTIF(A:A,A217)-1</f>
        <v>3</v>
      </c>
      <c r="C217" s="2">
        <f>COUNTIF(A$1:A217,A217)-1</f>
        <v>0</v>
      </c>
      <c r="D217" s="2" t="str">
        <f>Argument!D217</f>
        <v/>
      </c>
      <c r="E217" s="2" t="str">
        <f t="shared" si="6"/>
        <v>v</v>
      </c>
      <c r="F217" s="2" t="b">
        <f>IF(C217=0,ISTEXT(FORMULA.CONVERT("="&amp;A217&amp;"("&amp;REPLACE(REPT(",#ref!",B217),1,1,"")&amp;")()",1)),"")</f>
        <v>0</v>
      </c>
      <c r="G217" s="2"/>
      <c r="H217" s="2" t="str">
        <f t="shared" si="7"/>
        <v/>
      </c>
      <c r="I217" s="2">
        <f>TYPE(DATE(IF(1,1),IF(1,1),IF(1,1)))</f>
        <v>1</v>
      </c>
      <c r="J217" s="2">
        <f>IF(C217=0,COUNTIFS(A:A,A217,D:D,"a"),"")</f>
        <v>0</v>
      </c>
      <c r="K217" s="2"/>
      <c r="M217" s="2"/>
    </row>
    <row r="218" spans="1:14" x14ac:dyDescent="0.55000000000000004">
      <c r="A218" s="1" t="s">
        <v>1540</v>
      </c>
      <c r="B218" s="2">
        <f>COUNTIF(A:A,A218)-1</f>
        <v>3</v>
      </c>
      <c r="C218" s="2">
        <f>COUNTIF(A$1:A218,A218)-1</f>
        <v>1</v>
      </c>
      <c r="D218" s="2" t="str">
        <f>Argument!D218</f>
        <v>v</v>
      </c>
      <c r="E218" s="2" t="str">
        <f t="shared" si="6"/>
        <v/>
      </c>
      <c r="F218" s="2" t="str">
        <f>IF(C218=0,ISTEXT(FORMULA.CONVERT("="&amp;A218&amp;"("&amp;REPLACE(REPT(",#ref!",B218),1,1,"")&amp;")()",1)),"")</f>
        <v/>
      </c>
      <c r="G218" s="2">
        <f>TYPE(DATE({1},IF(1,1),IF(1,1)))</f>
        <v>64</v>
      </c>
      <c r="H218" s="2" t="str">
        <f t="shared" si="7"/>
        <v/>
      </c>
      <c r="I218" s="2">
        <f>TYPE(DATE(IF(1,1),IF(1,1),IF(1,1)))</f>
        <v>1</v>
      </c>
      <c r="J218" s="2" t="str">
        <f>IF(C218=0,COUNTIFS(A:A,A218,D:D,"a"),"")</f>
        <v/>
      </c>
      <c r="K218" s="2" t="e">
        <f>INDEX(+DATE(K218:L218,#REF!,#REF!),)</f>
        <v>#REF!</v>
      </c>
      <c r="L218" s="1">
        <v>1</v>
      </c>
      <c r="M218" s="2" t="e">
        <f>INDEX(+DATE(INDIRECT(M218:N218),#REF!,#REF!),)</f>
        <v>#REF!</v>
      </c>
      <c r="N218" s="1">
        <v>1</v>
      </c>
    </row>
    <row r="219" spans="1:14" x14ac:dyDescent="0.55000000000000004">
      <c r="A219" s="1" t="s">
        <v>1540</v>
      </c>
      <c r="B219" s="2">
        <f>COUNTIF(A:A,A219)-1</f>
        <v>3</v>
      </c>
      <c r="C219" s="2">
        <f>COUNTIF(A$1:A219,A219)-1</f>
        <v>2</v>
      </c>
      <c r="D219" s="2" t="str">
        <f>Argument!D219</f>
        <v>v</v>
      </c>
      <c r="E219" s="2" t="str">
        <f t="shared" si="6"/>
        <v/>
      </c>
      <c r="F219" s="2" t="str">
        <f>IF(C219=0,ISTEXT(FORMULA.CONVERT("="&amp;A219&amp;"("&amp;REPLACE(REPT(",#ref!",B219),1,1,"")&amp;")()",1)),"")</f>
        <v/>
      </c>
      <c r="G219" s="2">
        <f>TYPE(DATE(IF(1,1),{1},IF(1,1)))</f>
        <v>64</v>
      </c>
      <c r="H219" s="2" t="str">
        <f t="shared" si="7"/>
        <v/>
      </c>
      <c r="I219" s="2">
        <f>TYPE(DATE(IF(1,1),IF(1,1),IF(1,1)))</f>
        <v>1</v>
      </c>
      <c r="J219" s="2" t="str">
        <f>IF(C219=0,COUNTIFS(A:A,A219,D:D,"a"),"")</f>
        <v/>
      </c>
      <c r="K219" s="2" t="e">
        <f>INDEX(+DATE(#REF!,K219:L219,#REF!),)</f>
        <v>#REF!</v>
      </c>
      <c r="L219" s="1">
        <v>1</v>
      </c>
      <c r="M219" s="2" t="e">
        <f>INDEX(+DATE(#REF!,INDIRECT(M219:N219),#REF!),)</f>
        <v>#REF!</v>
      </c>
      <c r="N219" s="1">
        <v>1</v>
      </c>
    </row>
    <row r="220" spans="1:14" x14ac:dyDescent="0.55000000000000004">
      <c r="A220" s="1" t="s">
        <v>1540</v>
      </c>
      <c r="B220" s="2">
        <f>COUNTIF(A:A,A220)-1</f>
        <v>3</v>
      </c>
      <c r="C220" s="2">
        <f>COUNTIF(A$1:A220,A220)-1</f>
        <v>3</v>
      </c>
      <c r="D220" s="2" t="str">
        <f>Argument!D220</f>
        <v>v</v>
      </c>
      <c r="E220" s="2" t="str">
        <f t="shared" si="6"/>
        <v/>
      </c>
      <c r="F220" s="2" t="str">
        <f>IF(C220=0,ISTEXT(FORMULA.CONVERT("="&amp;A220&amp;"("&amp;REPLACE(REPT(",#ref!",B220),1,1,"")&amp;")()",1)),"")</f>
        <v/>
      </c>
      <c r="G220" s="2">
        <f>TYPE(DATE(IF(1,1),IF(1,1),{1}))</f>
        <v>64</v>
      </c>
      <c r="H220" s="2" t="str">
        <f t="shared" si="7"/>
        <v/>
      </c>
      <c r="I220" s="2">
        <f>TYPE(DATE(IF(1,1),IF(1,1),IF(1,1)))</f>
        <v>1</v>
      </c>
      <c r="J220" s="2" t="str">
        <f>IF(C220=0,COUNTIFS(A:A,A220,D:D,"a"),"")</f>
        <v/>
      </c>
      <c r="K220" s="2" t="e">
        <f>INDEX(+DATE(#REF!,#REF!,K220:L220),)</f>
        <v>#REF!</v>
      </c>
      <c r="L220" s="1">
        <v>1</v>
      </c>
      <c r="M220" s="2" t="e">
        <f>INDEX(+DATE(#REF!,#REF!,INDIRECT(M220:N220)),)</f>
        <v>#REF!</v>
      </c>
      <c r="N220" s="1">
        <v>1</v>
      </c>
    </row>
    <row r="221" spans="1:14" x14ac:dyDescent="0.55000000000000004">
      <c r="A221" s="1" t="s">
        <v>1541</v>
      </c>
      <c r="B221" s="2">
        <f>COUNTIF(A:A,A221)-1</f>
        <v>3</v>
      </c>
      <c r="C221" s="2">
        <f>COUNTIF(A$1:A221,A221)-1</f>
        <v>0</v>
      </c>
      <c r="D221" s="2" t="str">
        <f>Argument!D221</f>
        <v/>
      </c>
      <c r="E221" s="2" t="str">
        <f t="shared" si="6"/>
        <v>v</v>
      </c>
      <c r="F221" s="2" t="b">
        <f>IF(C221=0,ISTEXT(FORMULA.CONVERT("="&amp;A221&amp;"("&amp;REPLACE(REPT(",#ref!",B221),1,1,"")&amp;")()",1)),"")</f>
        <v>0</v>
      </c>
      <c r="G221" s="2"/>
      <c r="H221" s="2" t="str">
        <f t="shared" si="7"/>
        <v/>
      </c>
      <c r="I221" s="2">
        <f>TYPE(TIME(IF(1,1),IF(1,1),IF(1,1)))</f>
        <v>1</v>
      </c>
      <c r="J221" s="2">
        <f>IF(C221=0,COUNTIFS(A:A,A221,D:D,"a"),"")</f>
        <v>0</v>
      </c>
      <c r="K221" s="2"/>
      <c r="M221" s="2"/>
    </row>
    <row r="222" spans="1:14" x14ac:dyDescent="0.55000000000000004">
      <c r="A222" s="1" t="s">
        <v>1541</v>
      </c>
      <c r="B222" s="2">
        <f>COUNTIF(A:A,A222)-1</f>
        <v>3</v>
      </c>
      <c r="C222" s="2">
        <f>COUNTIF(A$1:A222,A222)-1</f>
        <v>1</v>
      </c>
      <c r="D222" s="2" t="str">
        <f>Argument!D222</f>
        <v>v</v>
      </c>
      <c r="E222" s="2" t="str">
        <f t="shared" si="6"/>
        <v/>
      </c>
      <c r="F222" s="2" t="str">
        <f>IF(C222=0,ISTEXT(FORMULA.CONVERT("="&amp;A222&amp;"("&amp;REPLACE(REPT(",#ref!",B222),1,1,"")&amp;")()",1)),"")</f>
        <v/>
      </c>
      <c r="G222" s="2">
        <f>TYPE(TIME({1},IF(1,1),IF(1,1)))</f>
        <v>64</v>
      </c>
      <c r="H222" s="2" t="str">
        <f t="shared" si="7"/>
        <v/>
      </c>
      <c r="I222" s="2">
        <f>TYPE(TIME(IF(1,1),IF(1,1),IF(1,1)))</f>
        <v>1</v>
      </c>
      <c r="J222" s="2" t="str">
        <f>IF(C222=0,COUNTIFS(A:A,A222,D:D,"a"),"")</f>
        <v/>
      </c>
      <c r="K222" s="2" t="e">
        <f>INDEX(+TIME(K222:L222,#REF!,#REF!),)</f>
        <v>#REF!</v>
      </c>
      <c r="L222" s="1">
        <v>1</v>
      </c>
      <c r="M222" s="2" t="e">
        <f>INDEX(+TIME(INDIRECT(M222:N222),#REF!,#REF!),)</f>
        <v>#REF!</v>
      </c>
      <c r="N222" s="1">
        <v>1</v>
      </c>
    </row>
    <row r="223" spans="1:14" x14ac:dyDescent="0.55000000000000004">
      <c r="A223" s="1" t="s">
        <v>1541</v>
      </c>
      <c r="B223" s="2">
        <f>COUNTIF(A:A,A223)-1</f>
        <v>3</v>
      </c>
      <c r="C223" s="2">
        <f>COUNTIF(A$1:A223,A223)-1</f>
        <v>2</v>
      </c>
      <c r="D223" s="2" t="str">
        <f>Argument!D223</f>
        <v>v</v>
      </c>
      <c r="E223" s="2" t="str">
        <f t="shared" si="6"/>
        <v/>
      </c>
      <c r="F223" s="2" t="str">
        <f>IF(C223=0,ISTEXT(FORMULA.CONVERT("="&amp;A223&amp;"("&amp;REPLACE(REPT(",#ref!",B223),1,1,"")&amp;")()",1)),"")</f>
        <v/>
      </c>
      <c r="G223" s="2">
        <f>TYPE(TIME(IF(1,1),{1},IF(1,1)))</f>
        <v>64</v>
      </c>
      <c r="H223" s="2" t="str">
        <f t="shared" si="7"/>
        <v/>
      </c>
      <c r="I223" s="2">
        <f>TYPE(TIME(IF(1,1),IF(1,1),IF(1,1)))</f>
        <v>1</v>
      </c>
      <c r="J223" s="2" t="str">
        <f>IF(C223=0,COUNTIFS(A:A,A223,D:D,"a"),"")</f>
        <v/>
      </c>
      <c r="K223" s="2" t="e">
        <f>INDEX(+TIME(#REF!,K223:L223,#REF!),)</f>
        <v>#REF!</v>
      </c>
      <c r="L223" s="1">
        <v>1</v>
      </c>
      <c r="M223" s="2" t="e">
        <f>INDEX(+TIME(#REF!,INDIRECT(M223:N223),#REF!),)</f>
        <v>#REF!</v>
      </c>
      <c r="N223" s="1">
        <v>1</v>
      </c>
    </row>
    <row r="224" spans="1:14" x14ac:dyDescent="0.55000000000000004">
      <c r="A224" s="1" t="s">
        <v>1541</v>
      </c>
      <c r="B224" s="2">
        <f>COUNTIF(A:A,A224)-1</f>
        <v>3</v>
      </c>
      <c r="C224" s="2">
        <f>COUNTIF(A$1:A224,A224)-1</f>
        <v>3</v>
      </c>
      <c r="D224" s="2" t="str">
        <f>Argument!D224</f>
        <v>v</v>
      </c>
      <c r="E224" s="2" t="str">
        <f t="shared" si="6"/>
        <v/>
      </c>
      <c r="F224" s="2" t="str">
        <f>IF(C224=0,ISTEXT(FORMULA.CONVERT("="&amp;A224&amp;"("&amp;REPLACE(REPT(",#ref!",B224),1,1,"")&amp;")()",1)),"")</f>
        <v/>
      </c>
      <c r="G224" s="2">
        <f>TYPE(TIME(IF(1,1),IF(1,1),{1}))</f>
        <v>64</v>
      </c>
      <c r="H224" s="2" t="str">
        <f t="shared" si="7"/>
        <v/>
      </c>
      <c r="I224" s="2">
        <f>TYPE(TIME(IF(1,1),IF(1,1),IF(1,1)))</f>
        <v>1</v>
      </c>
      <c r="J224" s="2" t="str">
        <f>IF(C224=0,COUNTIFS(A:A,A224,D:D,"a"),"")</f>
        <v/>
      </c>
      <c r="K224" s="2" t="e">
        <f>INDEX(+TIME(#REF!,#REF!,K224:L224),)</f>
        <v>#REF!</v>
      </c>
      <c r="L224" s="1">
        <v>1</v>
      </c>
      <c r="M224" s="2" t="e">
        <f>INDEX(+TIME(#REF!,#REF!,INDIRECT(M224:N224)),)</f>
        <v>#REF!</v>
      </c>
      <c r="N224" s="1">
        <v>1</v>
      </c>
    </row>
    <row r="225" spans="1:14" x14ac:dyDescent="0.55000000000000004">
      <c r="A225" s="1" t="s">
        <v>1542</v>
      </c>
      <c r="B225" s="2">
        <f>COUNTIF(A:A,A225)-1</f>
        <v>1</v>
      </c>
      <c r="C225" s="2">
        <f>COUNTIF(A$1:A225,A225)-1</f>
        <v>0</v>
      </c>
      <c r="D225" s="2" t="str">
        <f>Argument!D225</f>
        <v/>
      </c>
      <c r="E225" s="2" t="str">
        <f t="shared" si="6"/>
        <v>v</v>
      </c>
      <c r="F225" s="2" t="b">
        <f>IF(C225=0,ISTEXT(FORMULA.CONVERT("="&amp;A225&amp;"("&amp;REPLACE(REPT(",#ref!",B225),1,1,"")&amp;")()",1)),"")</f>
        <v>0</v>
      </c>
      <c r="G225" s="2"/>
      <c r="H225" s="2" t="str">
        <f t="shared" si="7"/>
        <v/>
      </c>
      <c r="I225" s="2">
        <f>TYPE(DAY(IF(1,1)))</f>
        <v>1</v>
      </c>
      <c r="J225" s="2">
        <f>IF(C225=0,COUNTIFS(A:A,A225,D:D,"a"),"")</f>
        <v>0</v>
      </c>
      <c r="K225" s="2"/>
      <c r="M225" s="2"/>
    </row>
    <row r="226" spans="1:14" x14ac:dyDescent="0.55000000000000004">
      <c r="A226" s="1" t="s">
        <v>1542</v>
      </c>
      <c r="B226" s="2">
        <f>COUNTIF(A:A,A226)-1</f>
        <v>1</v>
      </c>
      <c r="C226" s="2">
        <f>COUNTIF(A$1:A226,A226)-1</f>
        <v>1</v>
      </c>
      <c r="D226" s="2" t="str">
        <f>Argument!D226</f>
        <v>v</v>
      </c>
      <c r="E226" s="2" t="str">
        <f t="shared" si="6"/>
        <v/>
      </c>
      <c r="F226" s="2" t="str">
        <f>IF(C226=0,ISTEXT(FORMULA.CONVERT("="&amp;A226&amp;"("&amp;REPLACE(REPT(",#ref!",B226),1,1,"")&amp;")()",1)),"")</f>
        <v/>
      </c>
      <c r="G226" s="2">
        <f>TYPE(DAY({1}))</f>
        <v>64</v>
      </c>
      <c r="H226" s="2" t="str">
        <f t="shared" si="7"/>
        <v/>
      </c>
      <c r="I226" s="2">
        <f>TYPE(DAY(IF(1,1)))</f>
        <v>1</v>
      </c>
      <c r="J226" s="2" t="str">
        <f>IF(C226=0,COUNTIFS(A:A,A226,D:D,"a"),"")</f>
        <v/>
      </c>
      <c r="K226" s="2">
        <f>INDEX(+DAY(K226:L226),)</f>
        <v>0</v>
      </c>
      <c r="L226" s="1">
        <v>1</v>
      </c>
      <c r="M226" s="2" t="e">
        <f>INDEX(+DAY(INDIRECT(M226:N226)),)</f>
        <v>#REF!</v>
      </c>
      <c r="N226" s="1">
        <v>1</v>
      </c>
    </row>
    <row r="227" spans="1:14" x14ac:dyDescent="0.55000000000000004">
      <c r="A227" s="1" t="s">
        <v>1543</v>
      </c>
      <c r="B227" s="2">
        <f>COUNTIF(A:A,A227)-1</f>
        <v>1</v>
      </c>
      <c r="C227" s="2">
        <f>COUNTIF(A$1:A227,A227)-1</f>
        <v>0</v>
      </c>
      <c r="D227" s="2" t="str">
        <f>Argument!D227</f>
        <v/>
      </c>
      <c r="E227" s="2" t="str">
        <f t="shared" si="6"/>
        <v>v</v>
      </c>
      <c r="F227" s="2" t="b">
        <f>IF(C227=0,ISTEXT(FORMULA.CONVERT("="&amp;A227&amp;"("&amp;REPLACE(REPT(",#ref!",B227),1,1,"")&amp;")()",1)),"")</f>
        <v>0</v>
      </c>
      <c r="G227" s="2"/>
      <c r="H227" s="2" t="str">
        <f t="shared" si="7"/>
        <v/>
      </c>
      <c r="I227" s="2">
        <f>TYPE(MONTH(IF(1,1)))</f>
        <v>1</v>
      </c>
      <c r="J227" s="2">
        <f>IF(C227=0,COUNTIFS(A:A,A227,D:D,"a"),"")</f>
        <v>0</v>
      </c>
      <c r="K227" s="2"/>
      <c r="M227" s="2"/>
    </row>
    <row r="228" spans="1:14" x14ac:dyDescent="0.55000000000000004">
      <c r="A228" s="1" t="s">
        <v>1543</v>
      </c>
      <c r="B228" s="2">
        <f>COUNTIF(A:A,A228)-1</f>
        <v>1</v>
      </c>
      <c r="C228" s="2">
        <f>COUNTIF(A$1:A228,A228)-1</f>
        <v>1</v>
      </c>
      <c r="D228" s="2" t="str">
        <f>Argument!D228</f>
        <v>v</v>
      </c>
      <c r="E228" s="2" t="str">
        <f t="shared" si="6"/>
        <v/>
      </c>
      <c r="F228" s="2" t="str">
        <f>IF(C228=0,ISTEXT(FORMULA.CONVERT("="&amp;A228&amp;"("&amp;REPLACE(REPT(",#ref!",B228),1,1,"")&amp;")()",1)),"")</f>
        <v/>
      </c>
      <c r="G228" s="2">
        <f>TYPE(MONTH({1}))</f>
        <v>64</v>
      </c>
      <c r="H228" s="2" t="str">
        <f t="shared" si="7"/>
        <v/>
      </c>
      <c r="I228" s="2">
        <f>TYPE(MONTH(IF(1,1)))</f>
        <v>1</v>
      </c>
      <c r="J228" s="2" t="str">
        <f>IF(C228=0,COUNTIFS(A:A,A228,D:D,"a"),"")</f>
        <v/>
      </c>
      <c r="K228" s="2">
        <f>INDEX(+MONTH(K228:L228),)</f>
        <v>1</v>
      </c>
      <c r="L228" s="1">
        <v>1</v>
      </c>
      <c r="M228" s="2" t="e">
        <f>INDEX(+MONTH(INDIRECT(M228:N228)),)</f>
        <v>#REF!</v>
      </c>
      <c r="N228" s="1">
        <v>1</v>
      </c>
    </row>
    <row r="229" spans="1:14" x14ac:dyDescent="0.55000000000000004">
      <c r="A229" s="1" t="s">
        <v>1544</v>
      </c>
      <c r="B229" s="2">
        <f>COUNTIF(A:A,A229)-1</f>
        <v>1</v>
      </c>
      <c r="C229" s="2">
        <f>COUNTIF(A$1:A229,A229)-1</f>
        <v>0</v>
      </c>
      <c r="D229" s="2" t="str">
        <f>Argument!D229</f>
        <v/>
      </c>
      <c r="E229" s="2" t="str">
        <f t="shared" si="6"/>
        <v>v</v>
      </c>
      <c r="F229" s="2" t="b">
        <f>IF(C229=0,ISTEXT(FORMULA.CONVERT("="&amp;A229&amp;"("&amp;REPLACE(REPT(",#ref!",B229),1,1,"")&amp;")()",1)),"")</f>
        <v>0</v>
      </c>
      <c r="G229" s="2"/>
      <c r="H229" s="2" t="str">
        <f t="shared" si="7"/>
        <v/>
      </c>
      <c r="I229" s="2">
        <f>TYPE(YEAR(IF(1,1)))</f>
        <v>1</v>
      </c>
      <c r="J229" s="2">
        <f>IF(C229=0,COUNTIFS(A:A,A229,D:D,"a"),"")</f>
        <v>0</v>
      </c>
      <c r="K229" s="2"/>
      <c r="M229" s="2"/>
    </row>
    <row r="230" spans="1:14" x14ac:dyDescent="0.55000000000000004">
      <c r="A230" s="1" t="s">
        <v>1544</v>
      </c>
      <c r="B230" s="2">
        <f>COUNTIF(A:A,A230)-1</f>
        <v>1</v>
      </c>
      <c r="C230" s="2">
        <f>COUNTIF(A$1:A230,A230)-1</f>
        <v>1</v>
      </c>
      <c r="D230" s="2" t="str">
        <f>Argument!D230</f>
        <v>v</v>
      </c>
      <c r="E230" s="2" t="str">
        <f t="shared" si="6"/>
        <v/>
      </c>
      <c r="F230" s="2" t="str">
        <f>IF(C230=0,ISTEXT(FORMULA.CONVERT("="&amp;A230&amp;"("&amp;REPLACE(REPT(",#ref!",B230),1,1,"")&amp;")()",1)),"")</f>
        <v/>
      </c>
      <c r="G230" s="2">
        <f>TYPE(YEAR({1}))</f>
        <v>64</v>
      </c>
      <c r="H230" s="2" t="str">
        <f t="shared" si="7"/>
        <v/>
      </c>
      <c r="I230" s="2">
        <f>TYPE(YEAR(IF(1,1)))</f>
        <v>1</v>
      </c>
      <c r="J230" s="2" t="str">
        <f>IF(C230=0,COUNTIFS(A:A,A230,D:D,"a"),"")</f>
        <v/>
      </c>
      <c r="K230" s="2">
        <f>INDEX(+YEAR(K230:L230),)</f>
        <v>1900</v>
      </c>
      <c r="L230" s="1">
        <v>1</v>
      </c>
      <c r="M230" s="2" t="e">
        <f>INDEX(+YEAR(INDIRECT(M230:N230)),)</f>
        <v>#REF!</v>
      </c>
      <c r="N230" s="1">
        <v>1</v>
      </c>
    </row>
    <row r="231" spans="1:14" x14ac:dyDescent="0.55000000000000004">
      <c r="A231" s="1" t="s">
        <v>1545</v>
      </c>
      <c r="B231" s="2">
        <f>COUNTIF(A:A,A231)-1</f>
        <v>2</v>
      </c>
      <c r="C231" s="2">
        <f>COUNTIF(A$1:A231,A231)-1</f>
        <v>0</v>
      </c>
      <c r="D231" s="2" t="str">
        <f>Argument!D231</f>
        <v/>
      </c>
      <c r="E231" s="2" t="str">
        <f t="shared" si="6"/>
        <v>v</v>
      </c>
      <c r="F231" s="2" t="b">
        <f>IF(C231=0,ISTEXT(FORMULA.CONVERT("="&amp;A231&amp;"("&amp;REPLACE(REPT(",#ref!",B231),1,1,"")&amp;")()",1)),"")</f>
        <v>0</v>
      </c>
      <c r="G231" s="2"/>
      <c r="H231" s="2" t="str">
        <f t="shared" si="7"/>
        <v/>
      </c>
      <c r="I231" s="2">
        <f>TYPE(WEEKDAY(IF(1,1),IF(1,1)))</f>
        <v>1</v>
      </c>
      <c r="J231" s="2">
        <f>IF(C231=0,COUNTIFS(A:A,A231,D:D,"a"),"")</f>
        <v>0</v>
      </c>
      <c r="K231" s="2"/>
      <c r="M231" s="2"/>
    </row>
    <row r="232" spans="1:14" x14ac:dyDescent="0.55000000000000004">
      <c r="A232" s="1" t="s">
        <v>1545</v>
      </c>
      <c r="B232" s="2">
        <f>COUNTIF(A:A,A232)-1</f>
        <v>2</v>
      </c>
      <c r="C232" s="2">
        <f>COUNTIF(A$1:A232,A232)-1</f>
        <v>1</v>
      </c>
      <c r="D232" s="2" t="str">
        <f>Argument!D232</f>
        <v>v</v>
      </c>
      <c r="E232" s="2" t="str">
        <f t="shared" si="6"/>
        <v/>
      </c>
      <c r="F232" s="2" t="str">
        <f>IF(C232=0,ISTEXT(FORMULA.CONVERT("="&amp;A232&amp;"("&amp;REPLACE(REPT(",#ref!",B232),1,1,"")&amp;")()",1)),"")</f>
        <v/>
      </c>
      <c r="G232" s="2">
        <f>TYPE(WEEKDAY({1},IF(1,1)))</f>
        <v>64</v>
      </c>
      <c r="H232" s="2" t="str">
        <f t="shared" si="7"/>
        <v/>
      </c>
      <c r="I232" s="2">
        <f>TYPE(WEEKDAY(IF(1,1),IF(1,1)))</f>
        <v>1</v>
      </c>
      <c r="J232" s="2" t="str">
        <f>IF(C232=0,COUNTIFS(A:A,A232,D:D,"a"),"")</f>
        <v/>
      </c>
      <c r="K232" s="2" t="e">
        <f>INDEX(+WEEKDAY(K232:L232,#REF!),)</f>
        <v>#REF!</v>
      </c>
      <c r="L232" s="1">
        <v>1</v>
      </c>
      <c r="M232" s="2" t="e">
        <f>INDEX(+WEEKDAY(INDIRECT(M232:N232),#REF!),)</f>
        <v>#REF!</v>
      </c>
      <c r="N232" s="1">
        <v>1</v>
      </c>
    </row>
    <row r="233" spans="1:14" x14ac:dyDescent="0.55000000000000004">
      <c r="A233" s="1" t="s">
        <v>1545</v>
      </c>
      <c r="B233" s="2">
        <f>COUNTIF(A:A,A233)-1</f>
        <v>2</v>
      </c>
      <c r="C233" s="2">
        <f>COUNTIF(A$1:A233,A233)-1</f>
        <v>2</v>
      </c>
      <c r="D233" s="2" t="str">
        <f>Argument!D233</f>
        <v>v</v>
      </c>
      <c r="E233" s="2" t="str">
        <f t="shared" si="6"/>
        <v/>
      </c>
      <c r="F233" s="2" t="str">
        <f>IF(C233=0,ISTEXT(FORMULA.CONVERT("="&amp;A233&amp;"("&amp;REPLACE(REPT(",#ref!",B233),1,1,"")&amp;")()",1)),"")</f>
        <v/>
      </c>
      <c r="G233" s="2">
        <f>TYPE(WEEKDAY(IF(1,1),{1}))</f>
        <v>64</v>
      </c>
      <c r="H233" s="2" t="str">
        <f t="shared" si="7"/>
        <v/>
      </c>
      <c r="I233" s="2">
        <f>TYPE(WEEKDAY(IF(1,1),IF(1,1)))</f>
        <v>1</v>
      </c>
      <c r="J233" s="2" t="str">
        <f>IF(C233=0,COUNTIFS(A:A,A233,D:D,"a"),"")</f>
        <v/>
      </c>
      <c r="K233" s="2" t="e">
        <f>INDEX(+WEEKDAY(#REF!,K233:L233),)</f>
        <v>#REF!</v>
      </c>
      <c r="L233" s="1">
        <v>1</v>
      </c>
      <c r="M233" s="2" t="e">
        <f>INDEX(+WEEKDAY(#REF!,INDIRECT(M233:N233)),)</f>
        <v>#REF!</v>
      </c>
      <c r="N233" s="1">
        <v>1</v>
      </c>
    </row>
    <row r="234" spans="1:14" x14ac:dyDescent="0.55000000000000004">
      <c r="A234" s="1" t="s">
        <v>1546</v>
      </c>
      <c r="B234" s="2">
        <f>COUNTIF(A:A,A234)-1</f>
        <v>1</v>
      </c>
      <c r="C234" s="2">
        <f>COUNTIF(A$1:A234,A234)-1</f>
        <v>0</v>
      </c>
      <c r="D234" s="2" t="str">
        <f>Argument!D234</f>
        <v/>
      </c>
      <c r="E234" s="2" t="str">
        <f t="shared" si="6"/>
        <v>v</v>
      </c>
      <c r="F234" s="2" t="b">
        <f>IF(C234=0,ISTEXT(FORMULA.CONVERT("="&amp;A234&amp;"("&amp;REPLACE(REPT(",#ref!",B234),1,1,"")&amp;")()",1)),"")</f>
        <v>0</v>
      </c>
      <c r="G234" s="2"/>
      <c r="H234" s="2" t="str">
        <f t="shared" si="7"/>
        <v/>
      </c>
      <c r="I234" s="2">
        <f>TYPE(HOUR(IF(1,1)))</f>
        <v>1</v>
      </c>
      <c r="J234" s="2">
        <f>IF(C234=0,COUNTIFS(A:A,A234,D:D,"a"),"")</f>
        <v>0</v>
      </c>
      <c r="K234" s="2"/>
      <c r="M234" s="2"/>
    </row>
    <row r="235" spans="1:14" x14ac:dyDescent="0.55000000000000004">
      <c r="A235" s="1" t="s">
        <v>1546</v>
      </c>
      <c r="B235" s="2">
        <f>COUNTIF(A:A,A235)-1</f>
        <v>1</v>
      </c>
      <c r="C235" s="2">
        <f>COUNTIF(A$1:A235,A235)-1</f>
        <v>1</v>
      </c>
      <c r="D235" s="2" t="str">
        <f>Argument!D235</f>
        <v>v</v>
      </c>
      <c r="E235" s="2" t="str">
        <f t="shared" si="6"/>
        <v/>
      </c>
      <c r="F235" s="2" t="str">
        <f>IF(C235=0,ISTEXT(FORMULA.CONVERT("="&amp;A235&amp;"("&amp;REPLACE(REPT(",#ref!",B235),1,1,"")&amp;")()",1)),"")</f>
        <v/>
      </c>
      <c r="G235" s="2">
        <f>TYPE(HOUR({1}))</f>
        <v>64</v>
      </c>
      <c r="H235" s="2" t="str">
        <f t="shared" si="7"/>
        <v/>
      </c>
      <c r="I235" s="2">
        <f>TYPE(HOUR(IF(1,1)))</f>
        <v>1</v>
      </c>
      <c r="J235" s="2" t="str">
        <f>IF(C235=0,COUNTIFS(A:A,A235,D:D,"a"),"")</f>
        <v/>
      </c>
      <c r="K235" s="2">
        <f>INDEX(+HOUR(K235:L235),)</f>
        <v>0</v>
      </c>
      <c r="L235" s="1">
        <v>1</v>
      </c>
      <c r="M235" s="2" t="e">
        <f>INDEX(+HOUR(INDIRECT(M235:N235)),)</f>
        <v>#REF!</v>
      </c>
      <c r="N235" s="1">
        <v>1</v>
      </c>
    </row>
    <row r="236" spans="1:14" x14ac:dyDescent="0.55000000000000004">
      <c r="A236" s="1" t="s">
        <v>1547</v>
      </c>
      <c r="B236" s="2">
        <f>COUNTIF(A:A,A236)-1</f>
        <v>1</v>
      </c>
      <c r="C236" s="2">
        <f>COUNTIF(A$1:A236,A236)-1</f>
        <v>0</v>
      </c>
      <c r="D236" s="2" t="str">
        <f>Argument!D236</f>
        <v/>
      </c>
      <c r="E236" s="2" t="str">
        <f t="shared" si="6"/>
        <v>v</v>
      </c>
      <c r="F236" s="2" t="b">
        <f>IF(C236=0,ISTEXT(FORMULA.CONVERT("="&amp;A236&amp;"("&amp;REPLACE(REPT(",#ref!",B236),1,1,"")&amp;")()",1)),"")</f>
        <v>0</v>
      </c>
      <c r="G236" s="2"/>
      <c r="H236" s="2" t="str">
        <f t="shared" si="7"/>
        <v/>
      </c>
      <c r="I236" s="2">
        <f>TYPE(MINUTE(IF(1,1)))</f>
        <v>1</v>
      </c>
      <c r="J236" s="2">
        <f>IF(C236=0,COUNTIFS(A:A,A236,D:D,"a"),"")</f>
        <v>0</v>
      </c>
      <c r="K236" s="2"/>
      <c r="M236" s="2"/>
    </row>
    <row r="237" spans="1:14" x14ac:dyDescent="0.55000000000000004">
      <c r="A237" s="1" t="s">
        <v>1547</v>
      </c>
      <c r="B237" s="2">
        <f>COUNTIF(A:A,A237)-1</f>
        <v>1</v>
      </c>
      <c r="C237" s="2">
        <f>COUNTIF(A$1:A237,A237)-1</f>
        <v>1</v>
      </c>
      <c r="D237" s="2" t="str">
        <f>Argument!D237</f>
        <v>v</v>
      </c>
      <c r="E237" s="2" t="str">
        <f t="shared" si="6"/>
        <v/>
      </c>
      <c r="F237" s="2" t="str">
        <f>IF(C237=0,ISTEXT(FORMULA.CONVERT("="&amp;A237&amp;"("&amp;REPLACE(REPT(",#ref!",B237),1,1,"")&amp;")()",1)),"")</f>
        <v/>
      </c>
      <c r="G237" s="2">
        <f>TYPE(MINUTE({1}))</f>
        <v>64</v>
      </c>
      <c r="H237" s="2" t="str">
        <f t="shared" si="7"/>
        <v/>
      </c>
      <c r="I237" s="2">
        <f>TYPE(MINUTE(IF(1,1)))</f>
        <v>1</v>
      </c>
      <c r="J237" s="2" t="str">
        <f>IF(C237=0,COUNTIFS(A:A,A237,D:D,"a"),"")</f>
        <v/>
      </c>
      <c r="K237" s="2">
        <f>INDEX(+MINUTE(K237:L237),)</f>
        <v>0</v>
      </c>
      <c r="L237" s="1">
        <v>1</v>
      </c>
      <c r="M237" s="2" t="e">
        <f>INDEX(+MINUTE(INDIRECT(M237:N237)),)</f>
        <v>#REF!</v>
      </c>
      <c r="N237" s="1">
        <v>1</v>
      </c>
    </row>
    <row r="238" spans="1:14" x14ac:dyDescent="0.55000000000000004">
      <c r="A238" s="1" t="s">
        <v>1548</v>
      </c>
      <c r="B238" s="2">
        <f>COUNTIF(A:A,A238)-1</f>
        <v>1</v>
      </c>
      <c r="C238" s="2">
        <f>COUNTIF(A$1:A238,A238)-1</f>
        <v>0</v>
      </c>
      <c r="D238" s="2" t="str">
        <f>Argument!D238</f>
        <v/>
      </c>
      <c r="E238" s="2" t="str">
        <f t="shared" si="6"/>
        <v>v</v>
      </c>
      <c r="F238" s="2" t="b">
        <f>IF(C238=0,ISTEXT(FORMULA.CONVERT("="&amp;A238&amp;"("&amp;REPLACE(REPT(",#ref!",B238),1,1,"")&amp;")()",1)),"")</f>
        <v>0</v>
      </c>
      <c r="G238" s="2"/>
      <c r="H238" s="2" t="str">
        <f t="shared" si="7"/>
        <v/>
      </c>
      <c r="I238" s="2">
        <f>TYPE(SECOND(IF(1,1)))</f>
        <v>1</v>
      </c>
      <c r="J238" s="2">
        <f>IF(C238=0,COUNTIFS(A:A,A238,D:D,"a"),"")</f>
        <v>0</v>
      </c>
      <c r="K238" s="2"/>
      <c r="M238" s="2"/>
    </row>
    <row r="239" spans="1:14" x14ac:dyDescent="0.55000000000000004">
      <c r="A239" s="1" t="s">
        <v>1548</v>
      </c>
      <c r="B239" s="2">
        <f>COUNTIF(A:A,A239)-1</f>
        <v>1</v>
      </c>
      <c r="C239" s="2">
        <f>COUNTIF(A$1:A239,A239)-1</f>
        <v>1</v>
      </c>
      <c r="D239" s="2" t="str">
        <f>Argument!D239</f>
        <v>v</v>
      </c>
      <c r="E239" s="2" t="str">
        <f t="shared" si="6"/>
        <v/>
      </c>
      <c r="F239" s="2" t="str">
        <f>IF(C239=0,ISTEXT(FORMULA.CONVERT("="&amp;A239&amp;"("&amp;REPLACE(REPT(",#ref!",B239),1,1,"")&amp;")()",1)),"")</f>
        <v/>
      </c>
      <c r="G239" s="2">
        <f>TYPE(SECOND({1}))</f>
        <v>64</v>
      </c>
      <c r="H239" s="2" t="str">
        <f t="shared" si="7"/>
        <v/>
      </c>
      <c r="I239" s="2">
        <f>TYPE(SECOND(IF(1,1)))</f>
        <v>1</v>
      </c>
      <c r="J239" s="2" t="str">
        <f>IF(C239=0,COUNTIFS(A:A,A239,D:D,"a"),"")</f>
        <v/>
      </c>
      <c r="K239" s="2">
        <f>INDEX(+SECOND(K239:L239),)</f>
        <v>0</v>
      </c>
      <c r="L239" s="1">
        <v>1</v>
      </c>
      <c r="M239" s="2" t="e">
        <f>INDEX(+SECOND(INDIRECT(M239:N239)),)</f>
        <v>#REF!</v>
      </c>
      <c r="N239" s="1">
        <v>1</v>
      </c>
    </row>
    <row r="240" spans="1:14" x14ac:dyDescent="0.55000000000000004">
      <c r="A240" s="1" t="s">
        <v>1476</v>
      </c>
      <c r="B240" s="2">
        <f>COUNTIF(A:A,A240)-1</f>
        <v>0</v>
      </c>
      <c r="C240" s="2">
        <f>COUNTIF(A$1:A240,A240)-1</f>
        <v>0</v>
      </c>
      <c r="D240" s="2" t="str">
        <f>Argument!D240</f>
        <v/>
      </c>
      <c r="E240" s="2" t="str">
        <f t="shared" si="6"/>
        <v>v</v>
      </c>
      <c r="F240" s="2" t="b">
        <f>IF(C240=0,ISTEXT(FORMULA.CONVERT("="&amp;A240&amp;"("&amp;REPLACE(REPT(",#ref!",B240),1,1,"")&amp;")()",1)),"")</f>
        <v>0</v>
      </c>
      <c r="G240" s="2"/>
      <c r="H240" s="2" t="str">
        <f t="shared" si="7"/>
        <v/>
      </c>
      <c r="I240" s="2">
        <f>TYPE(NOW())</f>
        <v>1</v>
      </c>
      <c r="J240" s="2">
        <f>IF(C240=0,COUNTIFS(A:A,A240,D:D,"a"),"")</f>
        <v>0</v>
      </c>
      <c r="K240" s="2"/>
      <c r="M240" s="2"/>
    </row>
    <row r="241" spans="1:14" x14ac:dyDescent="0.55000000000000004">
      <c r="A241" s="1" t="s">
        <v>1549</v>
      </c>
      <c r="B241" s="2">
        <f>COUNTIF(A:A,A241)-1</f>
        <v>1</v>
      </c>
      <c r="C241" s="2">
        <f>COUNTIF(A$1:A241,A241)-1</f>
        <v>0</v>
      </c>
      <c r="D241" s="2" t="str">
        <f>Argument!D241</f>
        <v/>
      </c>
      <c r="E241" s="2" t="str">
        <f t="shared" si="6"/>
        <v>v</v>
      </c>
      <c r="F241" s="2" t="b">
        <f>IF(C241=0,ISTEXT(FORMULA.CONVERT("="&amp;A241&amp;"("&amp;REPLACE(REPT(",#ref!",B241),1,1,"")&amp;")()",1)),"")</f>
        <v>0</v>
      </c>
      <c r="G241" s="2"/>
      <c r="H241" s="2" t="str">
        <f t="shared" si="7"/>
        <v/>
      </c>
      <c r="I241" s="2">
        <f>TYPE(AREAS(IF(1,1)))</f>
        <v>16</v>
      </c>
      <c r="J241" s="2">
        <f>IF(C241=0,COUNTIFS(A:A,A241,D:D,"a"),"")</f>
        <v>0</v>
      </c>
      <c r="K241" s="2"/>
      <c r="M241" s="2"/>
    </row>
    <row r="242" spans="1:14" x14ac:dyDescent="0.55000000000000004">
      <c r="A242" s="1" t="s">
        <v>1549</v>
      </c>
      <c r="B242" s="2">
        <f>COUNTIF(A:A,A242)-1</f>
        <v>1</v>
      </c>
      <c r="C242" s="2">
        <f>COUNTIF(A$1:A242,A242)-1</f>
        <v>1</v>
      </c>
      <c r="D242" s="2" t="str">
        <f>Argument!D242</f>
        <v>r</v>
      </c>
      <c r="E242" s="2" t="str">
        <f t="shared" si="6"/>
        <v/>
      </c>
      <c r="F242" s="2" t="str">
        <f>IF(C242=0,ISTEXT(FORMULA.CONVERT("="&amp;A242&amp;"("&amp;REPLACE(REPT(",#ref!",B242),1,1,"")&amp;")()",1)),"")</f>
        <v/>
      </c>
      <c r="G242" s="2"/>
      <c r="H242" s="2" t="str">
        <f t="shared" si="7"/>
        <v/>
      </c>
      <c r="I242" s="2">
        <f>TYPE(AREAS(IF(1,1)))</f>
        <v>16</v>
      </c>
      <c r="J242" s="2" t="str">
        <f>IF(C242=0,COUNTIFS(A:A,A242,D:D,"a"),"")</f>
        <v/>
      </c>
      <c r="K242" s="2">
        <f>INDEX(+AREAS(K242:L242),)</f>
        <v>1</v>
      </c>
      <c r="L242" s="1">
        <v>1</v>
      </c>
      <c r="M242" s="2" t="e">
        <f>INDEX(+AREAS(INDIRECT(M242:N242)),)</f>
        <v>#REF!</v>
      </c>
      <c r="N242" s="1">
        <v>1</v>
      </c>
    </row>
    <row r="243" spans="1:14" x14ac:dyDescent="0.55000000000000004">
      <c r="A243" s="1" t="s">
        <v>1550</v>
      </c>
      <c r="B243" s="2">
        <f>COUNTIF(A:A,A243)-1</f>
        <v>1</v>
      </c>
      <c r="C243" s="2">
        <f>COUNTIF(A$1:A243,A243)-1</f>
        <v>0</v>
      </c>
      <c r="D243" s="2" t="str">
        <f>Argument!D243</f>
        <v/>
      </c>
      <c r="E243" s="2" t="str">
        <f t="shared" si="6"/>
        <v>v</v>
      </c>
      <c r="F243" s="2" t="b">
        <f>IF(C243=0,ISTEXT(FORMULA.CONVERT("="&amp;A243&amp;"("&amp;REPLACE(REPT(",#ref!",B243),1,1,"")&amp;")()",1)),"")</f>
        <v>0</v>
      </c>
      <c r="G243" s="2"/>
      <c r="H243" s="2" t="str">
        <f t="shared" si="7"/>
        <v/>
      </c>
      <c r="I243" s="2">
        <f>TYPE(ROWS(IF(1,1)))</f>
        <v>1</v>
      </c>
      <c r="J243" s="2">
        <f>IF(C243=0,COUNTIFS(A:A,A243,D:D,"a"),"")</f>
        <v>0</v>
      </c>
      <c r="K243" s="2"/>
      <c r="M243" s="2"/>
    </row>
    <row r="244" spans="1:14" x14ac:dyDescent="0.55000000000000004">
      <c r="A244" s="1" t="s">
        <v>1550</v>
      </c>
      <c r="B244" s="2">
        <f>COUNTIF(A:A,A244)-1</f>
        <v>1</v>
      </c>
      <c r="C244" s="2">
        <f>COUNTIF(A$1:A244,A244)-1</f>
        <v>1</v>
      </c>
      <c r="D244" s="2" t="str">
        <f>Argument!D244</f>
        <v>ar</v>
      </c>
      <c r="E244" s="2" t="str">
        <f t="shared" si="6"/>
        <v/>
      </c>
      <c r="F244" s="2" t="str">
        <f>IF(C244=0,ISTEXT(FORMULA.CONVERT("="&amp;A244&amp;"("&amp;REPLACE(REPT(",#ref!",B244),1,1,"")&amp;")()",1)),"")</f>
        <v/>
      </c>
      <c r="G244" s="2">
        <f>TYPE(ROWS({1}))</f>
        <v>1</v>
      </c>
      <c r="H244" s="2" t="str">
        <f t="shared" si="7"/>
        <v/>
      </c>
      <c r="I244" s="2">
        <f>TYPE(ROWS(IF(1,1)))</f>
        <v>1</v>
      </c>
      <c r="J244" s="2" t="str">
        <f>IF(C244=0,COUNTIFS(A:A,A244,D:D,"a"),"")</f>
        <v/>
      </c>
      <c r="K244" s="2">
        <f>INDEX(+ROWS(K244:L244),)</f>
        <v>1</v>
      </c>
      <c r="L244" s="1">
        <v>1</v>
      </c>
      <c r="M244" s="2">
        <f>INDEX(+ROWS(INDIRECT(M244:N244)),)</f>
        <v>1</v>
      </c>
      <c r="N244" s="1">
        <v>1</v>
      </c>
    </row>
    <row r="245" spans="1:14" x14ac:dyDescent="0.55000000000000004">
      <c r="A245" s="1" t="s">
        <v>1551</v>
      </c>
      <c r="B245" s="2">
        <f>COUNTIF(A:A,A245)-1</f>
        <v>1</v>
      </c>
      <c r="C245" s="2">
        <f>COUNTIF(A$1:A245,A245)-1</f>
        <v>0</v>
      </c>
      <c r="D245" s="2" t="str">
        <f>Argument!D245</f>
        <v/>
      </c>
      <c r="E245" s="2" t="str">
        <f t="shared" si="6"/>
        <v>v</v>
      </c>
      <c r="F245" s="2" t="b">
        <f>IF(C245=0,ISTEXT(FORMULA.CONVERT("="&amp;A245&amp;"("&amp;REPLACE(REPT(",#ref!",B245),1,1,"")&amp;")()",1)),"")</f>
        <v>0</v>
      </c>
      <c r="G245" s="2"/>
      <c r="H245" s="2" t="str">
        <f t="shared" si="7"/>
        <v/>
      </c>
      <c r="I245" s="2">
        <f>TYPE(COLUMNS(IF(1,1)))</f>
        <v>1</v>
      </c>
      <c r="J245" s="2">
        <f>IF(C245=0,COUNTIFS(A:A,A245,D:D,"a"),"")</f>
        <v>0</v>
      </c>
      <c r="K245" s="2"/>
      <c r="M245" s="2"/>
    </row>
    <row r="246" spans="1:14" x14ac:dyDescent="0.55000000000000004">
      <c r="A246" s="1" t="s">
        <v>1551</v>
      </c>
      <c r="B246" s="2">
        <f>COUNTIF(A:A,A246)-1</f>
        <v>1</v>
      </c>
      <c r="C246" s="2">
        <f>COUNTIF(A$1:A246,A246)-1</f>
        <v>1</v>
      </c>
      <c r="D246" s="2" t="str">
        <f>Argument!D246</f>
        <v>ar</v>
      </c>
      <c r="E246" s="2" t="str">
        <f t="shared" si="6"/>
        <v/>
      </c>
      <c r="F246" s="2" t="str">
        <f>IF(C246=0,ISTEXT(FORMULA.CONVERT("="&amp;A246&amp;"("&amp;REPLACE(REPT(",#ref!",B246),1,1,"")&amp;")()",1)),"")</f>
        <v/>
      </c>
      <c r="G246" s="2">
        <f>TYPE(COLUMNS({1}))</f>
        <v>1</v>
      </c>
      <c r="H246" s="2" t="str">
        <f t="shared" si="7"/>
        <v/>
      </c>
      <c r="I246" s="2">
        <f>TYPE(COLUMNS(IF(1,1)))</f>
        <v>1</v>
      </c>
      <c r="J246" s="2" t="str">
        <f>IF(C246=0,COUNTIFS(A:A,A246,D:D,"a"),"")</f>
        <v/>
      </c>
      <c r="K246" s="2">
        <f>INDEX(+COLUMNS(K246:L246),)</f>
        <v>2</v>
      </c>
      <c r="L246" s="1">
        <v>1</v>
      </c>
      <c r="M246" s="2">
        <f>INDEX(+COLUMNS(INDIRECT(M246:N246)),)</f>
        <v>2</v>
      </c>
      <c r="N246" s="1">
        <v>1</v>
      </c>
    </row>
    <row r="247" spans="1:14" x14ac:dyDescent="0.55000000000000004">
      <c r="A247" s="1" t="s">
        <v>1552</v>
      </c>
      <c r="B247" s="2">
        <f>COUNTIF(A:A,A247)-1</f>
        <v>5</v>
      </c>
      <c r="C247" s="2">
        <f>COUNTIF(A$1:A247,A247)-1</f>
        <v>0</v>
      </c>
      <c r="D247" s="2" t="str">
        <f>Argument!D247</f>
        <v/>
      </c>
      <c r="E247" s="2" t="str">
        <f t="shared" si="6"/>
        <v>r</v>
      </c>
      <c r="F247" s="2" t="b">
        <f>IF(C247=0,ISTEXT(FORMULA.CONVERT("="&amp;A247&amp;"("&amp;REPLACE(REPT(",#ref!",B247),1,1,"")&amp;")()",1)),"")</f>
        <v>1</v>
      </c>
      <c r="G247" s="2"/>
      <c r="H247" s="2" t="str">
        <f t="shared" si="7"/>
        <v/>
      </c>
      <c r="I247" s="2">
        <f>TYPE(OFFSET(IF(1,1),IF(1,1),IF(1,1),IF(1,1),IF(1,1)))</f>
        <v>16</v>
      </c>
      <c r="J247" s="2">
        <f>IF(C247=0,COUNTIFS(A:A,A247,D:D,"a"),"")</f>
        <v>0</v>
      </c>
      <c r="K247" s="2"/>
      <c r="M247" s="2"/>
    </row>
    <row r="248" spans="1:14" x14ac:dyDescent="0.55000000000000004">
      <c r="A248" s="1" t="s">
        <v>1552</v>
      </c>
      <c r="B248" s="2">
        <f>COUNTIF(A:A,A248)-1</f>
        <v>5</v>
      </c>
      <c r="C248" s="2">
        <f>COUNTIF(A$1:A248,A248)-1</f>
        <v>1</v>
      </c>
      <c r="D248" s="2" t="str">
        <f>Argument!D248</f>
        <v>r</v>
      </c>
      <c r="E248" s="2" t="str">
        <f t="shared" si="6"/>
        <v/>
      </c>
      <c r="F248" s="2" t="str">
        <f>IF(C248=0,ISTEXT(FORMULA.CONVERT("="&amp;A248&amp;"("&amp;REPLACE(REPT(",#ref!",B248),1,1,"")&amp;")()",1)),"")</f>
        <v/>
      </c>
      <c r="G248" s="2"/>
      <c r="H248" s="2" t="str">
        <f t="shared" si="7"/>
        <v/>
      </c>
      <c r="I248" s="2">
        <f>TYPE(OFFSET(IF(1,1),IF(1,1),IF(1,1),IF(1,1),IF(1,1)))</f>
        <v>16</v>
      </c>
      <c r="J248" s="2" t="str">
        <f>IF(C248=0,COUNTIFS(A:A,A248,D:D,"a"),"")</f>
        <v/>
      </c>
      <c r="K248" s="2" t="e">
        <f>INDEX(+OFFSET(K248:L248,#REF!,#REF!,#REF!,#REF!),)</f>
        <v>#REF!</v>
      </c>
      <c r="L248" s="1">
        <v>1</v>
      </c>
      <c r="M248" s="2" t="e">
        <f>INDEX(+OFFSET(INDIRECT(M248:N248),#REF!,#REF!,#REF!,#REF!),)</f>
        <v>#REF!</v>
      </c>
      <c r="N248" s="1">
        <v>1</v>
      </c>
    </row>
    <row r="249" spans="1:14" x14ac:dyDescent="0.55000000000000004">
      <c r="A249" s="1" t="s">
        <v>1552</v>
      </c>
      <c r="B249" s="2">
        <f>COUNTIF(A:A,A249)-1</f>
        <v>5</v>
      </c>
      <c r="C249" s="2">
        <f>COUNTIF(A$1:A249,A249)-1</f>
        <v>2</v>
      </c>
      <c r="D249" s="2" t="str">
        <f>Argument!D249</f>
        <v>v</v>
      </c>
      <c r="E249" s="2" t="str">
        <f t="shared" si="6"/>
        <v/>
      </c>
      <c r="F249" s="2" t="str">
        <f>IF(C249=0,ISTEXT(FORMULA.CONVERT("="&amp;A249&amp;"("&amp;REPLACE(REPT(",#ref!",B249),1,1,"")&amp;")()",1)),"")</f>
        <v/>
      </c>
      <c r="G249" s="2">
        <f>TYPE(OFFSET(IF(1,1),{1},IF(1,1),IF(1,1),IF(1,1)))</f>
        <v>64</v>
      </c>
      <c r="H249" s="2" t="str">
        <f t="shared" si="7"/>
        <v/>
      </c>
      <c r="I249" s="2">
        <f>TYPE(OFFSET(IF(1,1),IF(1,1),IF(1,1),IF(1,1),IF(1,1)))</f>
        <v>16</v>
      </c>
      <c r="J249" s="2" t="str">
        <f>IF(C249=0,COUNTIFS(A:A,A249,D:D,"a"),"")</f>
        <v/>
      </c>
      <c r="K249" s="2" t="e">
        <f>INDEX(+OFFSET(#REF!,K249:L249,#REF!,#REF!,#REF!),)</f>
        <v>#REF!</v>
      </c>
      <c r="L249" s="1">
        <v>1</v>
      </c>
      <c r="M249" s="2" t="e">
        <f>INDEX(+OFFSET(#REF!,INDIRECT(M249:N249),#REF!,#REF!,#REF!),)</f>
        <v>#REF!</v>
      </c>
      <c r="N249" s="1">
        <v>1</v>
      </c>
    </row>
    <row r="250" spans="1:14" x14ac:dyDescent="0.55000000000000004">
      <c r="A250" s="1" t="s">
        <v>1552</v>
      </c>
      <c r="B250" s="2">
        <f>COUNTIF(A:A,A250)-1</f>
        <v>5</v>
      </c>
      <c r="C250" s="2">
        <f>COUNTIF(A$1:A250,A250)-1</f>
        <v>3</v>
      </c>
      <c r="D250" s="2" t="str">
        <f>Argument!D250</f>
        <v>v</v>
      </c>
      <c r="E250" s="2" t="str">
        <f t="shared" si="6"/>
        <v/>
      </c>
      <c r="F250" s="2" t="str">
        <f>IF(C250=0,ISTEXT(FORMULA.CONVERT("="&amp;A250&amp;"("&amp;REPLACE(REPT(",#ref!",B250),1,1,"")&amp;")()",1)),"")</f>
        <v/>
      </c>
      <c r="G250" s="2">
        <f>TYPE(OFFSET(IF(1,1),IF(1,1),{1},IF(1,1),IF(1,1)))</f>
        <v>64</v>
      </c>
      <c r="H250" s="2" t="str">
        <f t="shared" si="7"/>
        <v/>
      </c>
      <c r="I250" s="2">
        <f>TYPE(OFFSET(IF(1,1),IF(1,1),IF(1,1),IF(1,1),IF(1,1)))</f>
        <v>16</v>
      </c>
      <c r="J250" s="2" t="str">
        <f>IF(C250=0,COUNTIFS(A:A,A250,D:D,"a"),"")</f>
        <v/>
      </c>
      <c r="K250" s="2" t="e">
        <f>INDEX(+OFFSET(#REF!,#REF!,K250:L250,#REF!,#REF!),)</f>
        <v>#REF!</v>
      </c>
      <c r="L250" s="1">
        <v>1</v>
      </c>
      <c r="M250" s="2" t="e">
        <f>INDEX(+OFFSET(#REF!,#REF!,INDIRECT(M250:N250),#REF!,#REF!),)</f>
        <v>#REF!</v>
      </c>
      <c r="N250" s="1">
        <v>1</v>
      </c>
    </row>
    <row r="251" spans="1:14" x14ac:dyDescent="0.55000000000000004">
      <c r="A251" s="1" t="s">
        <v>1552</v>
      </c>
      <c r="B251" s="2">
        <f>COUNTIF(A:A,A251)-1</f>
        <v>5</v>
      </c>
      <c r="C251" s="2">
        <f>COUNTIF(A$1:A251,A251)-1</f>
        <v>4</v>
      </c>
      <c r="D251" s="2" t="str">
        <f>Argument!D251</f>
        <v>v</v>
      </c>
      <c r="E251" s="2" t="str">
        <f t="shared" si="6"/>
        <v/>
      </c>
      <c r="F251" s="2" t="str">
        <f>IF(C251=0,ISTEXT(FORMULA.CONVERT("="&amp;A251&amp;"("&amp;REPLACE(REPT(",#ref!",B251),1,1,"")&amp;")()",1)),"")</f>
        <v/>
      </c>
      <c r="G251" s="2">
        <f>TYPE(OFFSET(IF(1,1),IF(1,1),IF(1,1),{1},IF(1,1)))</f>
        <v>64</v>
      </c>
      <c r="H251" s="2" t="str">
        <f t="shared" si="7"/>
        <v/>
      </c>
      <c r="I251" s="2">
        <f>TYPE(OFFSET(IF(1,1),IF(1,1),IF(1,1),IF(1,1),IF(1,1)))</f>
        <v>16</v>
      </c>
      <c r="J251" s="2" t="str">
        <f>IF(C251=0,COUNTIFS(A:A,A251,D:D,"a"),"")</f>
        <v/>
      </c>
      <c r="K251" s="2" t="e">
        <f>INDEX(+OFFSET(#REF!,#REF!,#REF!,K251:L251,#REF!),)</f>
        <v>#REF!</v>
      </c>
      <c r="L251" s="1">
        <v>1</v>
      </c>
      <c r="M251" s="2" t="e">
        <f>INDEX(+OFFSET(#REF!,#REF!,#REF!,INDIRECT(M251:N251),#REF!),)</f>
        <v>#REF!</v>
      </c>
      <c r="N251" s="1">
        <v>1</v>
      </c>
    </row>
    <row r="252" spans="1:14" x14ac:dyDescent="0.55000000000000004">
      <c r="A252" s="1" t="s">
        <v>1552</v>
      </c>
      <c r="B252" s="2">
        <f>COUNTIF(A:A,A252)-1</f>
        <v>5</v>
      </c>
      <c r="C252" s="2">
        <f>COUNTIF(A$1:A252,A252)-1</f>
        <v>5</v>
      </c>
      <c r="D252" s="2" t="str">
        <f>Argument!D252</f>
        <v>v</v>
      </c>
      <c r="E252" s="2" t="str">
        <f t="shared" si="6"/>
        <v/>
      </c>
      <c r="F252" s="2" t="str">
        <f>IF(C252=0,ISTEXT(FORMULA.CONVERT("="&amp;A252&amp;"("&amp;REPLACE(REPT(",#ref!",B252),1,1,"")&amp;")()",1)),"")</f>
        <v/>
      </c>
      <c r="G252" s="2">
        <f>TYPE(OFFSET(IF(1,1),IF(1,1),IF(1,1),IF(1,1),{1}))</f>
        <v>64</v>
      </c>
      <c r="H252" s="2" t="str">
        <f t="shared" si="7"/>
        <v/>
      </c>
      <c r="I252" s="2">
        <f>TYPE(OFFSET(IF(1,1),IF(1,1),IF(1,1),IF(1,1),IF(1,1)))</f>
        <v>16</v>
      </c>
      <c r="J252" s="2" t="str">
        <f>IF(C252=0,COUNTIFS(A:A,A252,D:D,"a"),"")</f>
        <v/>
      </c>
      <c r="K252" s="2" t="e">
        <f>INDEX(+OFFSET(#REF!,#REF!,#REF!,#REF!,K252:L252),)</f>
        <v>#REF!</v>
      </c>
      <c r="L252" s="1">
        <v>1</v>
      </c>
      <c r="M252" s="2" t="e">
        <f>INDEX(+OFFSET(#REF!,#REF!,#REF!,#REF!,INDIRECT(M252:N252)),)</f>
        <v>#REF!</v>
      </c>
      <c r="N252" s="1">
        <v>1</v>
      </c>
    </row>
    <row r="253" spans="1:14" x14ac:dyDescent="0.55000000000000004">
      <c r="A253" s="1" t="s">
        <v>1553</v>
      </c>
      <c r="B253" s="2">
        <f>COUNTIF(A:A,A253)-1</f>
        <v>2</v>
      </c>
      <c r="C253" s="2">
        <f>COUNTIF(A$1:A253,A253)-1</f>
        <v>0</v>
      </c>
      <c r="D253" s="2" t="str">
        <f>Argument!D253</f>
        <v/>
      </c>
      <c r="E253" s="2" t="str">
        <f t="shared" si="6"/>
        <v>r</v>
      </c>
      <c r="F253" s="2" t="b">
        <f>IF(C253=0,ISTEXT(FORMULA.CONVERT("="&amp;A253&amp;"("&amp;REPLACE(REPT(",#ref!",B253),1,1,"")&amp;")()",1)),"")</f>
        <v>1</v>
      </c>
      <c r="G253" s="2"/>
      <c r="H253" s="2" t="str">
        <f t="shared" si="7"/>
        <v/>
      </c>
      <c r="I253" s="2">
        <f>TYPE(ABSREF(IF(1,1),IF(1,1)))</f>
        <v>16</v>
      </c>
      <c r="J253" s="2">
        <f>IF(C253=0,COUNTIFS(A:A,A253,D:D,"a"),"")</f>
        <v>0</v>
      </c>
      <c r="K253" s="2"/>
      <c r="M253" s="2"/>
    </row>
    <row r="254" spans="1:14" x14ac:dyDescent="0.55000000000000004">
      <c r="A254" s="1" t="s">
        <v>1553</v>
      </c>
      <c r="B254" s="2">
        <f>COUNTIF(A:A,A254)-1</f>
        <v>2</v>
      </c>
      <c r="C254" s="2">
        <f>COUNTIF(A$1:A254,A254)-1</f>
        <v>1</v>
      </c>
      <c r="D254" s="2" t="str">
        <f>Argument!D254</f>
        <v>v</v>
      </c>
      <c r="E254" s="2" t="str">
        <f t="shared" si="6"/>
        <v/>
      </c>
      <c r="F254" s="2" t="str">
        <f>IF(C254=0,ISTEXT(FORMULA.CONVERT("="&amp;A254&amp;"("&amp;REPLACE(REPT(",#ref!",B254),1,1,"")&amp;")()",1)),"")</f>
        <v/>
      </c>
      <c r="G254" s="2">
        <f>TYPE(ABSREF({1},IF(1,1)))</f>
        <v>64</v>
      </c>
      <c r="H254" s="2" t="str">
        <f t="shared" si="7"/>
        <v/>
      </c>
      <c r="I254" s="2">
        <f>TYPE(ABSREF(IF(1,1),IF(1,1)))</f>
        <v>16</v>
      </c>
      <c r="J254" s="2" t="str">
        <f>IF(C254=0,COUNTIFS(A:A,A254,D:D,"a"),"")</f>
        <v/>
      </c>
      <c r="K254" s="2" t="e">
        <f>INDEX(+ABSREF(K254:L254,#REF!),)</f>
        <v>#REF!</v>
      </c>
      <c r="L254" s="1">
        <v>1</v>
      </c>
      <c r="M254" s="2" t="e">
        <f>INDEX(+ABSREF(INDIRECT(M254:N254),#REF!),)</f>
        <v>#REF!</v>
      </c>
      <c r="N254" s="1">
        <v>1</v>
      </c>
    </row>
    <row r="255" spans="1:14" x14ac:dyDescent="0.55000000000000004">
      <c r="A255" s="1" t="s">
        <v>1553</v>
      </c>
      <c r="B255" s="2">
        <f>COUNTIF(A:A,A255)-1</f>
        <v>2</v>
      </c>
      <c r="C255" s="2">
        <f>COUNTIF(A$1:A255,A255)-1</f>
        <v>2</v>
      </c>
      <c r="D255" s="2" t="str">
        <f>Argument!D255</f>
        <v>r</v>
      </c>
      <c r="E255" s="2" t="str">
        <f t="shared" si="6"/>
        <v/>
      </c>
      <c r="F255" s="2" t="str">
        <f>IF(C255=0,ISTEXT(FORMULA.CONVERT("="&amp;A255&amp;"("&amp;REPLACE(REPT(",#ref!",B255),1,1,"")&amp;")()",1)),"")</f>
        <v/>
      </c>
      <c r="G255" s="2"/>
      <c r="H255" s="2" t="str">
        <f t="shared" si="7"/>
        <v/>
      </c>
      <c r="I255" s="2">
        <f>TYPE(ABSREF(IF(1,1),IF(1,1)))</f>
        <v>16</v>
      </c>
      <c r="J255" s="2" t="str">
        <f>IF(C255=0,COUNTIFS(A:A,A255,D:D,"a"),"")</f>
        <v/>
      </c>
      <c r="K255" s="2" t="e">
        <f>INDEX(+ABSREF(#REF!,K255:L255),)</f>
        <v>#REF!</v>
      </c>
      <c r="L255" s="1">
        <v>1</v>
      </c>
      <c r="M255" s="2" t="e">
        <f>INDEX(+ABSREF(#REF!,INDIRECT(M255:N255)),)</f>
        <v>#REF!</v>
      </c>
      <c r="N255" s="1">
        <v>1</v>
      </c>
    </row>
    <row r="256" spans="1:14" x14ac:dyDescent="0.55000000000000004">
      <c r="A256" s="1" t="s">
        <v>1554</v>
      </c>
      <c r="B256" s="2">
        <f>COUNTIF(A:A,A256)-1</f>
        <v>2</v>
      </c>
      <c r="C256" s="2">
        <f>COUNTIF(A$1:A256,A256)-1</f>
        <v>0</v>
      </c>
      <c r="D256" s="2" t="str">
        <f>Argument!D256</f>
        <v/>
      </c>
      <c r="E256" s="2" t="str">
        <f t="shared" si="6"/>
        <v>v</v>
      </c>
      <c r="F256" s="2" t="b">
        <f>IF(C256=0,ISTEXT(FORMULA.CONVERT("="&amp;A256&amp;"("&amp;REPLACE(REPT(",#ref!",B256),1,1,"")&amp;")()",1)),"")</f>
        <v>0</v>
      </c>
      <c r="G256" s="2"/>
      <c r="H256" s="2" t="str">
        <f t="shared" si="7"/>
        <v/>
      </c>
      <c r="I256" s="2">
        <f>TYPE(RELREF(IF(1,1),IF(1,1)))</f>
        <v>16</v>
      </c>
      <c r="J256" s="2">
        <f>IF(C256=0,COUNTIFS(A:A,A256,D:D,"a"),"")</f>
        <v>0</v>
      </c>
      <c r="K256" s="2"/>
      <c r="M256" s="2"/>
    </row>
    <row r="257" spans="1:14" x14ac:dyDescent="0.55000000000000004">
      <c r="A257" s="1" t="s">
        <v>1554</v>
      </c>
      <c r="B257" s="2">
        <f>COUNTIF(A:A,A257)-1</f>
        <v>2</v>
      </c>
      <c r="C257" s="2">
        <f>COUNTIF(A$1:A257,A257)-1</f>
        <v>1</v>
      </c>
      <c r="D257" s="2" t="str">
        <f>Argument!D257</f>
        <v>r</v>
      </c>
      <c r="E257" s="2" t="str">
        <f t="shared" si="6"/>
        <v/>
      </c>
      <c r="F257" s="2" t="str">
        <f>IF(C257=0,ISTEXT(FORMULA.CONVERT("="&amp;A257&amp;"("&amp;REPLACE(REPT(",#ref!",B257),1,1,"")&amp;")()",1)),"")</f>
        <v/>
      </c>
      <c r="G257" s="2"/>
      <c r="H257" s="2" t="str">
        <f t="shared" si="7"/>
        <v/>
      </c>
      <c r="I257" s="2">
        <f>TYPE(RELREF(IF(1,1),IF(1,1)))</f>
        <v>16</v>
      </c>
      <c r="J257" s="2" t="str">
        <f>IF(C257=0,COUNTIFS(A:A,A257,D:D,"a"),"")</f>
        <v/>
      </c>
      <c r="K257" s="2" t="e">
        <f>INDEX(+RELREF(K257:L257,#REF!),)</f>
        <v>#REF!</v>
      </c>
      <c r="L257" s="1">
        <v>1</v>
      </c>
      <c r="M257" s="2" t="e">
        <f>INDEX(+RELREF(INDIRECT(M257:N257),#REF!),)</f>
        <v>#REF!</v>
      </c>
      <c r="N257" s="1">
        <v>1</v>
      </c>
    </row>
    <row r="258" spans="1:14" x14ac:dyDescent="0.55000000000000004">
      <c r="A258" s="1" t="s">
        <v>1554</v>
      </c>
      <c r="B258" s="2">
        <f>COUNTIF(A:A,A258)-1</f>
        <v>2</v>
      </c>
      <c r="C258" s="2">
        <f>COUNTIF(A$1:A258,A258)-1</f>
        <v>2</v>
      </c>
      <c r="D258" s="2" t="str">
        <f>Argument!D258</f>
        <v>r</v>
      </c>
      <c r="E258" s="2" t="str">
        <f t="shared" ref="E258:E321" si="8">IF(C258=0,IF(SUMIFS(H:H,A:A,A258),IF(COUNTIFS(A:A,A258,G:G,64),,"v")&amp;IF(F258,"ar","a"),IF(F258,"r","v")),"")</f>
        <v/>
      </c>
      <c r="F258" s="2" t="str">
        <f>IF(C258=0,ISTEXT(FORMULA.CONVERT("="&amp;A258&amp;"("&amp;REPLACE(REPT(",#ref!",B258),1,1,"")&amp;")()",1)),"")</f>
        <v/>
      </c>
      <c r="G258" s="2"/>
      <c r="H258" s="2" t="str">
        <f t="shared" ref="H258:H321" si="9">IF((I258=64)*(J258=B258)+(1-L258)*COUNTIF(D258,"*v*")+(1-N258)*COUNTIF(D258,"*r*"),1,"")</f>
        <v/>
      </c>
      <c r="I258" s="2">
        <f>TYPE(RELREF(IF(1,1),IF(1,1)))</f>
        <v>16</v>
      </c>
      <c r="J258" s="2" t="str">
        <f>IF(C258=0,COUNTIFS(A:A,A258,D:D,"a"),"")</f>
        <v/>
      </c>
      <c r="K258" s="2" t="e">
        <f>INDEX(+RELREF(#REF!,K258:L258),)</f>
        <v>#REF!</v>
      </c>
      <c r="L258" s="1">
        <v>1</v>
      </c>
      <c r="M258" s="2" t="e">
        <f>INDEX(+RELREF(#REF!,INDIRECT(M258:N258)),)</f>
        <v>#REF!</v>
      </c>
      <c r="N258" s="1">
        <v>1</v>
      </c>
    </row>
    <row r="259" spans="1:14" x14ac:dyDescent="0.55000000000000004">
      <c r="A259" s="1" t="s">
        <v>1555</v>
      </c>
      <c r="B259" s="2">
        <f>COUNTIF(A:A,A259)-1</f>
        <v>2</v>
      </c>
      <c r="C259" s="2">
        <f>COUNTIF(A$1:A259,A259)-1</f>
        <v>0</v>
      </c>
      <c r="D259" s="2" t="str">
        <f>Argument!D259</f>
        <v/>
      </c>
      <c r="E259" s="2" t="str">
        <f t="shared" si="8"/>
        <v>v</v>
      </c>
      <c r="F259" s="2" t="b">
        <f>IF(C259=0,ISTEXT(FORMULA.CONVERT("="&amp;A259&amp;"("&amp;REPLACE(REPT(",#ref!",B259),1,1,"")&amp;")()",1)),"")</f>
        <v>0</v>
      </c>
      <c r="G259" s="2"/>
      <c r="H259" s="2" t="str">
        <f t="shared" si="9"/>
        <v/>
      </c>
      <c r="I259" s="2">
        <f>TYPE(ARGUMENT(IF(1,1),IF(1,1)))</f>
        <v>4</v>
      </c>
      <c r="J259" s="2">
        <f>IF(C259=0,COUNTIFS(A:A,A259,D:D,"a"),"")</f>
        <v>0</v>
      </c>
      <c r="K259" s="2"/>
      <c r="M259" s="2"/>
    </row>
    <row r="260" spans="1:14" x14ac:dyDescent="0.55000000000000004">
      <c r="A260" s="1" t="s">
        <v>1555</v>
      </c>
      <c r="B260" s="2">
        <f>COUNTIF(A:A,A260)-1</f>
        <v>2</v>
      </c>
      <c r="C260" s="2">
        <f>COUNTIF(A$1:A260,A260)-1</f>
        <v>1</v>
      </c>
      <c r="D260" s="2" t="str">
        <f>Argument!D260</f>
        <v>v</v>
      </c>
      <c r="E260" s="2" t="str">
        <f t="shared" si="8"/>
        <v/>
      </c>
      <c r="F260" s="2" t="str">
        <f>IF(C260=0,ISTEXT(FORMULA.CONVERT("="&amp;A260&amp;"("&amp;REPLACE(REPT(",#ref!",B260),1,1,"")&amp;")()",1)),"")</f>
        <v/>
      </c>
      <c r="G260" s="2">
        <f>TYPE(ARGUMENT({1},IF(1,1)))</f>
        <v>64</v>
      </c>
      <c r="H260" s="2" t="str">
        <f t="shared" si="9"/>
        <v/>
      </c>
      <c r="I260" s="2">
        <f>TYPE(ARGUMENT(IF(1,1),IF(1,1)))</f>
        <v>4</v>
      </c>
      <c r="J260" s="2" t="str">
        <f>IF(C260=0,COUNTIFS(A:A,A260,D:D,"a"),"")</f>
        <v/>
      </c>
      <c r="K260" s="2" t="e">
        <f>INDEX(+ARGUMENT(K260:L260,#REF!),)</f>
        <v>#REF!</v>
      </c>
      <c r="L260" s="1">
        <v>1</v>
      </c>
      <c r="M260" s="2" t="e">
        <f>INDEX(+ARGUMENT(INDIRECT(M260:N260),#REF!),)</f>
        <v>#REF!</v>
      </c>
      <c r="N260" s="1">
        <v>1</v>
      </c>
    </row>
    <row r="261" spans="1:14" x14ac:dyDescent="0.55000000000000004">
      <c r="A261" s="1" t="s">
        <v>1555</v>
      </c>
      <c r="B261" s="2">
        <f>COUNTIF(A:A,A261)-1</f>
        <v>2</v>
      </c>
      <c r="C261" s="2">
        <f>COUNTIF(A$1:A261,A261)-1</f>
        <v>2</v>
      </c>
      <c r="D261" s="2" t="str">
        <f>Argument!D261</f>
        <v>vr</v>
      </c>
      <c r="E261" s="2" t="str">
        <f t="shared" si="8"/>
        <v/>
      </c>
      <c r="F261" s="2" t="str">
        <f>IF(C261=0,ISTEXT(FORMULA.CONVERT("="&amp;A261&amp;"("&amp;REPLACE(REPT(",#ref!",B261),1,1,"")&amp;")()",1)),"")</f>
        <v/>
      </c>
      <c r="G261" s="2">
        <f>TYPE(ARGUMENT(IF(1,1),{1}))</f>
        <v>64</v>
      </c>
      <c r="H261" s="2" t="str">
        <f t="shared" si="9"/>
        <v/>
      </c>
      <c r="I261" s="2">
        <f>TYPE(ARGUMENT(IF(1,1),IF(1,1)))</f>
        <v>4</v>
      </c>
      <c r="J261" s="2" t="str">
        <f>IF(C261=0,COUNTIFS(A:A,A261,D:D,"a"),"")</f>
        <v/>
      </c>
      <c r="K261" s="2" t="e">
        <f>INDEX(+ARGUMENT(#REF!,K261:L261),)</f>
        <v>#REF!</v>
      </c>
      <c r="L261" s="1">
        <v>1</v>
      </c>
      <c r="M261" s="2" t="e">
        <f>INDEX(+ARGUMENT(#REF!,INDIRECT(M261:N261)),)</f>
        <v>#REF!</v>
      </c>
      <c r="N261" s="1">
        <v>1</v>
      </c>
    </row>
    <row r="262" spans="1:14" x14ac:dyDescent="0.55000000000000004">
      <c r="A262" s="1" t="s">
        <v>1556</v>
      </c>
      <c r="B262" s="2">
        <f>COUNTIF(A:A,A262)-1</f>
        <v>3</v>
      </c>
      <c r="C262" s="2">
        <f>COUNTIF(A$1:A262,A262)-1</f>
        <v>0</v>
      </c>
      <c r="D262" s="2" t="str">
        <f>Argument!D262</f>
        <v/>
      </c>
      <c r="E262" s="2" t="str">
        <f t="shared" si="8"/>
        <v>v</v>
      </c>
      <c r="F262" s="2" t="b">
        <f>IF(C262=0,ISTEXT(FORMULA.CONVERT("="&amp;A262&amp;"("&amp;REPLACE(REPT(",#ref!",B262),1,1,"")&amp;")()",1)),"")</f>
        <v>0</v>
      </c>
      <c r="G262" s="2"/>
      <c r="H262" s="2" t="str">
        <f t="shared" si="9"/>
        <v/>
      </c>
      <c r="I262" s="2">
        <f>TYPE(SEARCH(IF(1,1),IF(1,1),IF(1,1)))</f>
        <v>1</v>
      </c>
      <c r="J262" s="2">
        <f>IF(C262=0,COUNTIFS(A:A,A262,D:D,"a"),"")</f>
        <v>0</v>
      </c>
      <c r="K262" s="2"/>
      <c r="M262" s="2"/>
    </row>
    <row r="263" spans="1:14" x14ac:dyDescent="0.55000000000000004">
      <c r="A263" s="1" t="s">
        <v>1556</v>
      </c>
      <c r="B263" s="2">
        <f>COUNTIF(A:A,A263)-1</f>
        <v>3</v>
      </c>
      <c r="C263" s="2">
        <f>COUNTIF(A$1:A263,A263)-1</f>
        <v>1</v>
      </c>
      <c r="D263" s="2" t="str">
        <f>Argument!D263</f>
        <v>v</v>
      </c>
      <c r="E263" s="2" t="str">
        <f t="shared" si="8"/>
        <v/>
      </c>
      <c r="F263" s="2" t="str">
        <f>IF(C263=0,ISTEXT(FORMULA.CONVERT("="&amp;A263&amp;"("&amp;REPLACE(REPT(",#ref!",B263),1,1,"")&amp;")()",1)),"")</f>
        <v/>
      </c>
      <c r="G263" s="2">
        <f>TYPE(SEARCH({1},IF(1,1),IF(1,1)))</f>
        <v>64</v>
      </c>
      <c r="H263" s="2" t="str">
        <f t="shared" si="9"/>
        <v/>
      </c>
      <c r="I263" s="2">
        <f>TYPE(SEARCH(IF(1,1),IF(1,1),IF(1,1)))</f>
        <v>1</v>
      </c>
      <c r="J263" s="2" t="str">
        <f>IF(C263=0,COUNTIFS(A:A,A263,D:D,"a"),"")</f>
        <v/>
      </c>
      <c r="K263" s="2" t="e">
        <f>INDEX(+SEARCH(K263:L263,#REF!,#REF!),)</f>
        <v>#REF!</v>
      </c>
      <c r="L263" s="1">
        <v>1</v>
      </c>
      <c r="M263" s="2" t="e">
        <f>INDEX(+SEARCH(INDIRECT(M263:N263),#REF!,#REF!),)</f>
        <v>#REF!</v>
      </c>
      <c r="N263" s="1">
        <v>1</v>
      </c>
    </row>
    <row r="264" spans="1:14" x14ac:dyDescent="0.55000000000000004">
      <c r="A264" s="1" t="s">
        <v>1556</v>
      </c>
      <c r="B264" s="2">
        <f>COUNTIF(A:A,A264)-1</f>
        <v>3</v>
      </c>
      <c r="C264" s="2">
        <f>COUNTIF(A$1:A264,A264)-1</f>
        <v>2</v>
      </c>
      <c r="D264" s="2" t="str">
        <f>Argument!D264</f>
        <v>v</v>
      </c>
      <c r="E264" s="2" t="str">
        <f t="shared" si="8"/>
        <v/>
      </c>
      <c r="F264" s="2" t="str">
        <f>IF(C264=0,ISTEXT(FORMULA.CONVERT("="&amp;A264&amp;"("&amp;REPLACE(REPT(",#ref!",B264),1,1,"")&amp;")()",1)),"")</f>
        <v/>
      </c>
      <c r="G264" s="2">
        <f>TYPE(SEARCH(IF(1,1),{1},IF(1,1)))</f>
        <v>64</v>
      </c>
      <c r="H264" s="2" t="str">
        <f t="shared" si="9"/>
        <v/>
      </c>
      <c r="I264" s="2">
        <f>TYPE(SEARCH(IF(1,1),IF(1,1),IF(1,1)))</f>
        <v>1</v>
      </c>
      <c r="J264" s="2" t="str">
        <f>IF(C264=0,COUNTIFS(A:A,A264,D:D,"a"),"")</f>
        <v/>
      </c>
      <c r="K264" s="2" t="e">
        <f>INDEX(+SEARCH(#REF!,K264:L264,#REF!),)</f>
        <v>#REF!</v>
      </c>
      <c r="L264" s="1">
        <v>1</v>
      </c>
      <c r="M264" s="2" t="e">
        <f>INDEX(+SEARCH(#REF!,INDIRECT(M264:N264),#REF!),)</f>
        <v>#REF!</v>
      </c>
      <c r="N264" s="1">
        <v>1</v>
      </c>
    </row>
    <row r="265" spans="1:14" x14ac:dyDescent="0.55000000000000004">
      <c r="A265" s="1" t="s">
        <v>1556</v>
      </c>
      <c r="B265" s="2">
        <f>COUNTIF(A:A,A265)-1</f>
        <v>3</v>
      </c>
      <c r="C265" s="2">
        <f>COUNTIF(A$1:A265,A265)-1</f>
        <v>3</v>
      </c>
      <c r="D265" s="2" t="str">
        <f>Argument!D265</f>
        <v>v</v>
      </c>
      <c r="E265" s="2" t="str">
        <f t="shared" si="8"/>
        <v/>
      </c>
      <c r="F265" s="2" t="str">
        <f>IF(C265=0,ISTEXT(FORMULA.CONVERT("="&amp;A265&amp;"("&amp;REPLACE(REPT(",#ref!",B265),1,1,"")&amp;")()",1)),"")</f>
        <v/>
      </c>
      <c r="G265" s="2">
        <f>TYPE(SEARCH(IF(1,1),IF(1,1),{1}))</f>
        <v>64</v>
      </c>
      <c r="H265" s="2" t="str">
        <f t="shared" si="9"/>
        <v/>
      </c>
      <c r="I265" s="2">
        <f>TYPE(SEARCH(IF(1,1),IF(1,1),IF(1,1)))</f>
        <v>1</v>
      </c>
      <c r="J265" s="2" t="str">
        <f>IF(C265=0,COUNTIFS(A:A,A265,D:D,"a"),"")</f>
        <v/>
      </c>
      <c r="K265" s="2" t="e">
        <f>INDEX(+SEARCH(#REF!,#REF!,K265:L265),)</f>
        <v>#REF!</v>
      </c>
      <c r="L265" s="1">
        <v>1</v>
      </c>
      <c r="M265" s="2" t="e">
        <f>INDEX(+SEARCH(#REF!,#REF!,INDIRECT(M265:N265)),)</f>
        <v>#REF!</v>
      </c>
      <c r="N265" s="1">
        <v>1</v>
      </c>
    </row>
    <row r="266" spans="1:14" x14ac:dyDescent="0.55000000000000004">
      <c r="A266" s="1" t="s">
        <v>1557</v>
      </c>
      <c r="B266" s="2">
        <f>COUNTIF(A:A,A266)-1</f>
        <v>1</v>
      </c>
      <c r="C266" s="2">
        <f>COUNTIF(A$1:A266,A266)-1</f>
        <v>0</v>
      </c>
      <c r="D266" s="2" t="str">
        <f>Argument!D266</f>
        <v/>
      </c>
      <c r="E266" s="2" t="str">
        <f t="shared" si="8"/>
        <v>a</v>
      </c>
      <c r="F266" s="2" t="b">
        <f>IF(C266=0,ISTEXT(FORMULA.CONVERT("="&amp;A266&amp;"("&amp;REPLACE(REPT(",#ref!",B266),1,1,"")&amp;")()",1)),"")</f>
        <v>0</v>
      </c>
      <c r="G266" s="2"/>
      <c r="H266" s="2" t="str">
        <f t="shared" si="9"/>
        <v/>
      </c>
      <c r="I266" s="2">
        <f>TYPE(TRANSPOSE(IF(1,1)))</f>
        <v>1</v>
      </c>
      <c r="J266" s="2">
        <f>IF(C266=0,COUNTIFS(A:A,A266,D:D,"a"),"")</f>
        <v>0</v>
      </c>
      <c r="K266" s="2"/>
      <c r="M266" s="2"/>
    </row>
    <row r="267" spans="1:14" x14ac:dyDescent="0.55000000000000004">
      <c r="A267" s="1" t="s">
        <v>1557</v>
      </c>
      <c r="B267" s="2">
        <f>COUNTIF(A:A,A267)-1</f>
        <v>1</v>
      </c>
      <c r="C267" s="2">
        <f>COUNTIF(A$1:A267,A267)-1</f>
        <v>1</v>
      </c>
      <c r="D267" s="2" t="str">
        <f>Argument!D267</f>
        <v>va</v>
      </c>
      <c r="E267" s="2" t="str">
        <f t="shared" si="8"/>
        <v/>
      </c>
      <c r="F267" s="2" t="str">
        <f>IF(C267=0,ISTEXT(FORMULA.CONVERT("="&amp;A267&amp;"("&amp;REPLACE(REPT(",#ref!",B267),1,1,"")&amp;")()",1)),"")</f>
        <v/>
      </c>
      <c r="G267" s="2">
        <f>TYPE(TRANSPOSE({1}))</f>
        <v>64</v>
      </c>
      <c r="H267" s="2">
        <f t="shared" si="9"/>
        <v>1</v>
      </c>
      <c r="I267" s="2">
        <f>TYPE(TRANSPOSE(IF(1,1)))</f>
        <v>1</v>
      </c>
      <c r="J267" s="2" t="str">
        <f>IF(C267=0,COUNTIFS(A:A,A267,D:D,"a"),"")</f>
        <v/>
      </c>
      <c r="K267" s="2">
        <f>INDEX(+TRANSPOSE(K267:L267),)</f>
        <v>0</v>
      </c>
      <c r="M267" s="2" t="e">
        <f>INDEX(+TRANSPOSE(INDIRECT(M267:N267)),)</f>
        <v>#REF!</v>
      </c>
    </row>
    <row r="268" spans="1:14" x14ac:dyDescent="0.55000000000000004">
      <c r="A268" s="1" t="s">
        <v>1558</v>
      </c>
      <c r="B268" s="2">
        <f>COUNTIF(A:A,A268)-1</f>
        <v>2</v>
      </c>
      <c r="C268" s="2">
        <f>COUNTIF(A$1:A268,A268)-1</f>
        <v>0</v>
      </c>
      <c r="D268" s="2" t="str">
        <f>Argument!D268</f>
        <v/>
      </c>
      <c r="E268" s="2" t="str">
        <f t="shared" si="8"/>
        <v>v</v>
      </c>
      <c r="F268" s="2" t="b">
        <f>IF(C268=0,ISTEXT(FORMULA.CONVERT("="&amp;A268&amp;"("&amp;REPLACE(REPT(",#ref!",B268),1,1,"")&amp;")()",1)),"")</f>
        <v>0</v>
      </c>
      <c r="G268" s="2"/>
      <c r="H268" s="2" t="str">
        <f t="shared" si="9"/>
        <v/>
      </c>
      <c r="I268" s="2">
        <f>TYPE(ERROR(IF(1,1),IF(1,1)))</f>
        <v>4</v>
      </c>
      <c r="J268" s="2">
        <f>IF(C268=0,COUNTIFS(A:A,A268,D:D,"a"),"")</f>
        <v>0</v>
      </c>
      <c r="K268" s="2"/>
      <c r="M268" s="2"/>
    </row>
    <row r="269" spans="1:14" x14ac:dyDescent="0.55000000000000004">
      <c r="A269" s="1" t="s">
        <v>1558</v>
      </c>
      <c r="B269" s="2">
        <f>COUNTIF(A:A,A269)-1</f>
        <v>2</v>
      </c>
      <c r="C269" s="2">
        <f>COUNTIF(A$1:A269,A269)-1</f>
        <v>1</v>
      </c>
      <c r="D269" s="2" t="str">
        <f>Argument!D269</f>
        <v>v</v>
      </c>
      <c r="E269" s="2" t="str">
        <f t="shared" si="8"/>
        <v/>
      </c>
      <c r="F269" s="2" t="str">
        <f>IF(C269=0,ISTEXT(FORMULA.CONVERT("="&amp;A269&amp;"("&amp;REPLACE(REPT(",#ref!",B269),1,1,"")&amp;")()",1)),"")</f>
        <v/>
      </c>
      <c r="G269" s="2">
        <f>TYPE(ERROR({1},IF(1,1)))</f>
        <v>64</v>
      </c>
      <c r="H269" s="2" t="str">
        <f t="shared" si="9"/>
        <v/>
      </c>
      <c r="I269" s="2">
        <f>TYPE(ERROR(IF(1,1),IF(1,1)))</f>
        <v>4</v>
      </c>
      <c r="J269" s="2" t="str">
        <f>IF(C269=0,COUNTIFS(A:A,A269,D:D,"a"),"")</f>
        <v/>
      </c>
      <c r="K269" s="2" t="b">
        <f>INDEX(+ERROR(K269:L269,#REF!),)</f>
        <v>0</v>
      </c>
      <c r="L269" s="1">
        <v>1</v>
      </c>
      <c r="M269" s="2" t="b">
        <f>INDEX(+ERROR(INDIRECT(M269:N269),#REF!),)</f>
        <v>0</v>
      </c>
      <c r="N269" s="1">
        <v>1</v>
      </c>
    </row>
    <row r="270" spans="1:14" x14ac:dyDescent="0.55000000000000004">
      <c r="A270" s="1" t="s">
        <v>1558</v>
      </c>
      <c r="B270" s="2">
        <f>COUNTIF(A:A,A270)-1</f>
        <v>2</v>
      </c>
      <c r="C270" s="2">
        <f>COUNTIF(A$1:A270,A270)-1</f>
        <v>2</v>
      </c>
      <c r="D270" s="2" t="str">
        <f>Argument!D270</f>
        <v>vr</v>
      </c>
      <c r="E270" s="2" t="str">
        <f t="shared" si="8"/>
        <v/>
      </c>
      <c r="F270" s="2" t="str">
        <f>IF(C270=0,ISTEXT(FORMULA.CONVERT("="&amp;A270&amp;"("&amp;REPLACE(REPT(",#ref!",B270),1,1,"")&amp;")()",1)),"")</f>
        <v/>
      </c>
      <c r="G270" s="2">
        <f>TYPE(ERROR(IF(1,1),{1}))</f>
        <v>64</v>
      </c>
      <c r="H270" s="2" t="str">
        <f t="shared" si="9"/>
        <v/>
      </c>
      <c r="I270" s="2">
        <f>TYPE(ERROR(IF(1,1),IF(1,1)))</f>
        <v>4</v>
      </c>
      <c r="J270" s="2" t="str">
        <f>IF(C270=0,COUNTIFS(A:A,A270,D:D,"a"),"")</f>
        <v/>
      </c>
      <c r="K270" s="2" t="e">
        <f>INDEX(+ERROR(#REF!,K270:L270),)</f>
        <v>#VALUE!</v>
      </c>
      <c r="L270" s="1">
        <v>1</v>
      </c>
      <c r="M270" s="2" t="b">
        <f>INDEX(+ERROR(#REF!,INDIRECT(M270:N270)),)</f>
        <v>0</v>
      </c>
      <c r="N270" s="1">
        <v>1</v>
      </c>
    </row>
    <row r="271" spans="1:14" x14ac:dyDescent="0.55000000000000004">
      <c r="A271" s="1" t="s">
        <v>1477</v>
      </c>
      <c r="B271" s="2">
        <f>COUNTIF(A:A,A271)-1</f>
        <v>0</v>
      </c>
      <c r="C271" s="2">
        <f>COUNTIF(A$1:A271,A271)-1</f>
        <v>0</v>
      </c>
      <c r="D271" s="2" t="str">
        <f>Argument!D271</f>
        <v/>
      </c>
      <c r="E271" s="2" t="str">
        <f t="shared" si="8"/>
        <v>v</v>
      </c>
      <c r="F271" s="2" t="b">
        <f>IF(C271=0,ISTEXT(FORMULA.CONVERT("="&amp;A271&amp;"("&amp;REPLACE(REPT(",#ref!",B271),1,1,"")&amp;")()",1)),"")</f>
        <v>0</v>
      </c>
      <c r="G271" s="2"/>
      <c r="H271" s="2" t="str">
        <f t="shared" si="9"/>
        <v/>
      </c>
      <c r="I271" s="2">
        <f>TYPE(STEP())</f>
        <v>4</v>
      </c>
      <c r="J271" s="2">
        <f>IF(C271=0,COUNTIFS(A:A,A271,D:D,"a"),"")</f>
        <v>0</v>
      </c>
      <c r="K271" s="2"/>
      <c r="M271" s="2"/>
    </row>
    <row r="272" spans="1:14" x14ac:dyDescent="0.55000000000000004">
      <c r="A272" s="1" t="s">
        <v>1559</v>
      </c>
      <c r="B272" s="2">
        <f>COUNTIF(A:A,A272)-1</f>
        <v>1</v>
      </c>
      <c r="C272" s="2">
        <f>COUNTIF(A$1:A272,A272)-1</f>
        <v>0</v>
      </c>
      <c r="D272" s="2" t="str">
        <f>Argument!D272</f>
        <v/>
      </c>
      <c r="E272" s="2" t="str">
        <f t="shared" si="8"/>
        <v>v</v>
      </c>
      <c r="F272" s="2" t="b">
        <f>IF(C272=0,ISTEXT(FORMULA.CONVERT("="&amp;A272&amp;"("&amp;REPLACE(REPT(",#ref!",B272),1,1,"")&amp;")()",1)),"")</f>
        <v>0</v>
      </c>
      <c r="G272" s="2"/>
      <c r="H272" s="2" t="str">
        <f t="shared" si="9"/>
        <v/>
      </c>
      <c r="I272" s="2">
        <f>TYPE(TYPE(IF(1,1)))</f>
        <v>1</v>
      </c>
      <c r="J272" s="2">
        <f>IF(C272=0,COUNTIFS(A:A,A272,D:D,"a"),"")</f>
        <v>0</v>
      </c>
      <c r="K272" s="2"/>
      <c r="M272" s="2"/>
    </row>
    <row r="273" spans="1:14" x14ac:dyDescent="0.55000000000000004">
      <c r="A273" s="1" t="s">
        <v>1559</v>
      </c>
      <c r="B273" s="2">
        <f>COUNTIF(A:A,A273)-1</f>
        <v>1</v>
      </c>
      <c r="C273" s="2">
        <f>COUNTIF(A$1:A273,A273)-1</f>
        <v>1</v>
      </c>
      <c r="D273" s="2" t="str">
        <f>Argument!D273</f>
        <v>va</v>
      </c>
      <c r="E273" s="2" t="str">
        <f t="shared" si="8"/>
        <v/>
      </c>
      <c r="F273" s="2" t="str">
        <f>IF(C273=0,ISTEXT(FORMULA.CONVERT("="&amp;A273&amp;"("&amp;REPLACE(REPT(",#ref!",B273),1,1,"")&amp;")()",1)),"")</f>
        <v/>
      </c>
      <c r="G273" s="2">
        <f>TYPE(TYPE({1}))</f>
        <v>1</v>
      </c>
      <c r="H273" s="2" t="str">
        <f t="shared" si="9"/>
        <v/>
      </c>
      <c r="I273" s="2">
        <f>TYPE(TYPE(IF(1,1)))</f>
        <v>1</v>
      </c>
      <c r="J273" s="2" t="str">
        <f>IF(C273=0,COUNTIFS(A:A,A273,D:D,"a"),"")</f>
        <v/>
      </c>
      <c r="K273" s="2">
        <f>INDEX(+TYPE(K273:L273),)</f>
        <v>64</v>
      </c>
      <c r="L273" s="1">
        <v>1</v>
      </c>
      <c r="M273" s="2">
        <f>INDEX(+TYPE(INDIRECT(M273:N273)),)</f>
        <v>16</v>
      </c>
    </row>
    <row r="274" spans="1:14" x14ac:dyDescent="0.55000000000000004">
      <c r="A274" s="1" t="s">
        <v>1560</v>
      </c>
      <c r="B274" s="2">
        <f>COUNTIF(A:A,A274)-1</f>
        <v>1</v>
      </c>
      <c r="C274" s="2">
        <f>COUNTIF(A$1:A274,A274)-1</f>
        <v>0</v>
      </c>
      <c r="D274" s="2" t="str">
        <f>Argument!D274</f>
        <v/>
      </c>
      <c r="E274" s="2" t="str">
        <f t="shared" si="8"/>
        <v>v</v>
      </c>
      <c r="F274" s="2" t="b">
        <f>IF(C274=0,ISTEXT(FORMULA.CONVERT("="&amp;A274&amp;"("&amp;REPLACE(REPT(",#ref!",B274),1,1,"")&amp;")()",1)),"")</f>
        <v>0</v>
      </c>
      <c r="G274" s="2"/>
      <c r="H274" s="2" t="str">
        <f t="shared" si="9"/>
        <v/>
      </c>
      <c r="I274" s="2">
        <f>TYPE(ECHO(IF(1,1)))</f>
        <v>4</v>
      </c>
      <c r="J274" s="2">
        <f>IF(C274=0,COUNTIFS(A:A,A274,D:D,"a"),"")</f>
        <v>0</v>
      </c>
      <c r="K274" s="2"/>
      <c r="M274" s="2"/>
    </row>
    <row r="275" spans="1:14" x14ac:dyDescent="0.55000000000000004">
      <c r="A275" s="1" t="s">
        <v>1560</v>
      </c>
      <c r="B275" s="2">
        <f>COUNTIF(A:A,A275)-1</f>
        <v>1</v>
      </c>
      <c r="C275" s="2">
        <f>COUNTIF(A$1:A275,A275)-1</f>
        <v>1</v>
      </c>
      <c r="D275" s="2" t="str">
        <f>Argument!D275</f>
        <v>v</v>
      </c>
      <c r="E275" s="2" t="str">
        <f t="shared" si="8"/>
        <v/>
      </c>
      <c r="F275" s="2" t="str">
        <f>IF(C275=0,ISTEXT(FORMULA.CONVERT("="&amp;A275&amp;"("&amp;REPLACE(REPT(",#ref!",B275),1,1,"")&amp;")()",1)),"")</f>
        <v/>
      </c>
      <c r="G275" s="2">
        <f>TYPE(ECHO({1}))</f>
        <v>64</v>
      </c>
      <c r="H275" s="2" t="str">
        <f t="shared" si="9"/>
        <v/>
      </c>
      <c r="I275" s="2">
        <f>TYPE(ECHO(IF(1,1)))</f>
        <v>4</v>
      </c>
      <c r="J275" s="2" t="str">
        <f>IF(C275=0,COUNTIFS(A:A,A275,D:D,"a"),"")</f>
        <v/>
      </c>
      <c r="K275" s="2" t="b">
        <f>INDEX(+ECHO(K275:L275),)</f>
        <v>0</v>
      </c>
      <c r="L275" s="1">
        <v>1</v>
      </c>
      <c r="M275" s="2" t="b">
        <f>INDEX(+ECHO(INDIRECT(M275:N275)),)</f>
        <v>0</v>
      </c>
      <c r="N275" s="1">
        <v>1</v>
      </c>
    </row>
    <row r="276" spans="1:14" x14ac:dyDescent="0.55000000000000004">
      <c r="A276" s="1" t="s">
        <v>1561</v>
      </c>
      <c r="B276" s="2">
        <f>COUNTIF(A:A,A276)-1</f>
        <v>2</v>
      </c>
      <c r="C276" s="2">
        <f>COUNTIF(A$1:A276,A276)-1</f>
        <v>0</v>
      </c>
      <c r="D276" s="2" t="str">
        <f>Argument!D276</f>
        <v/>
      </c>
      <c r="E276" s="2" t="str">
        <f t="shared" si="8"/>
        <v>v</v>
      </c>
      <c r="F276" s="2" t="b">
        <f>IF(C276=0,ISTEXT(FORMULA.CONVERT("="&amp;A276&amp;"("&amp;REPLACE(REPT(",#ref!",B276),1,1,"")&amp;")()",1)),"")</f>
        <v>0</v>
      </c>
      <c r="G276" s="2"/>
      <c r="H276" s="2" t="str">
        <f t="shared" si="9"/>
        <v/>
      </c>
      <c r="I276" s="2">
        <f>TYPE(SET.NAME(IF(1,1),IF(1,1)))</f>
        <v>4</v>
      </c>
      <c r="J276" s="2">
        <f>IF(C276=0,COUNTIFS(A:A,A276,D:D,"a"),"")</f>
        <v>0</v>
      </c>
      <c r="K276" s="2"/>
      <c r="M276" s="2"/>
    </row>
    <row r="277" spans="1:14" x14ac:dyDescent="0.55000000000000004">
      <c r="A277" s="1" t="s">
        <v>1561</v>
      </c>
      <c r="B277" s="2">
        <f>COUNTIF(A:A,A277)-1</f>
        <v>2</v>
      </c>
      <c r="C277" s="2">
        <f>COUNTIF(A$1:A277,A277)-1</f>
        <v>1</v>
      </c>
      <c r="D277" s="2" t="str">
        <f>Argument!D277</f>
        <v>v</v>
      </c>
      <c r="E277" s="2" t="str">
        <f t="shared" si="8"/>
        <v/>
      </c>
      <c r="F277" s="2" t="str">
        <f>IF(C277=0,ISTEXT(FORMULA.CONVERT("="&amp;A277&amp;"("&amp;REPLACE(REPT(",#ref!",B277),1,1,"")&amp;")()",1)),"")</f>
        <v/>
      </c>
      <c r="G277" s="2">
        <f>TYPE(SET.NAME({1},IF(1,1)))</f>
        <v>64</v>
      </c>
      <c r="H277" s="2" t="str">
        <f t="shared" si="9"/>
        <v/>
      </c>
      <c r="I277" s="2">
        <f>TYPE(SET.NAME(IF(1,1),IF(1,1)))</f>
        <v>4</v>
      </c>
      <c r="J277" s="2" t="str">
        <f>IF(C277=0,COUNTIFS(A:A,A277,D:D,"a"),"")</f>
        <v/>
      </c>
      <c r="K277" s="2" t="b">
        <f>INDEX(+SET.NAME(K277:L277,#REF!),)</f>
        <v>0</v>
      </c>
      <c r="L277" s="1">
        <v>1</v>
      </c>
      <c r="M277" s="2" t="b">
        <f>INDEX(+SET.NAME(INDIRECT(M277:N277),#REF!),)</f>
        <v>0</v>
      </c>
      <c r="N277" s="1">
        <v>1</v>
      </c>
    </row>
    <row r="278" spans="1:14" x14ac:dyDescent="0.55000000000000004">
      <c r="A278" s="1" t="s">
        <v>1561</v>
      </c>
      <c r="B278" s="2">
        <f>COUNTIF(A:A,A278)-1</f>
        <v>2</v>
      </c>
      <c r="C278" s="2">
        <f>COUNTIF(A$1:A278,A278)-1</f>
        <v>2</v>
      </c>
      <c r="D278" s="2" t="str">
        <f>Argument!D278</f>
        <v>var</v>
      </c>
      <c r="E278" s="2" t="str">
        <f t="shared" si="8"/>
        <v/>
      </c>
      <c r="F278" s="2" t="str">
        <f>IF(C278=0,ISTEXT(FORMULA.CONVERT("="&amp;A278&amp;"("&amp;REPLACE(REPT(",#ref!",B278),1,1,"")&amp;")()",1)),"")</f>
        <v/>
      </c>
      <c r="G278" s="2">
        <f>TYPE(SET.NAME(IF(1,1),{1}))</f>
        <v>4</v>
      </c>
      <c r="H278" s="2" t="str">
        <f t="shared" si="9"/>
        <v/>
      </c>
      <c r="I278" s="2">
        <f>TYPE(SET.NAME(IF(1,1),IF(1,1)))</f>
        <v>4</v>
      </c>
      <c r="J278" s="2" t="str">
        <f>IF(C278=0,COUNTIFS(A:A,A278,D:D,"a"),"")</f>
        <v/>
      </c>
      <c r="K278" s="2" t="e">
        <f>INDEX(+SET.NAME(#REF!,K278:L278),)</f>
        <v>#VALUE!</v>
      </c>
      <c r="L278" s="1">
        <v>1</v>
      </c>
      <c r="M278" s="2" t="e">
        <f>INDEX(+SET.NAME(#REF!,INDIRECT(M278:N278)),)</f>
        <v>#VALUE!</v>
      </c>
      <c r="N278" s="1">
        <v>1</v>
      </c>
    </row>
    <row r="279" spans="1:14" x14ac:dyDescent="0.55000000000000004">
      <c r="A279" s="1" t="s">
        <v>1478</v>
      </c>
      <c r="B279" s="2">
        <f>COUNTIF(A:A,A279)-1</f>
        <v>0</v>
      </c>
      <c r="C279" s="2">
        <f>COUNTIF(A$1:A279,A279)-1</f>
        <v>0</v>
      </c>
      <c r="D279" s="2" t="str">
        <f>Argument!D279</f>
        <v/>
      </c>
      <c r="E279" s="2" t="str">
        <f t="shared" si="8"/>
        <v>r</v>
      </c>
      <c r="F279" s="2" t="b">
        <f>IF(C279=0,ISTEXT(FORMULA.CONVERT("="&amp;A279&amp;"("&amp;REPLACE(REPT(",#ref!",B279),1,1,"")&amp;")()",1)),"")</f>
        <v>1</v>
      </c>
      <c r="G279" s="2"/>
      <c r="H279" s="2" t="str">
        <f t="shared" si="9"/>
        <v/>
      </c>
      <c r="I279" s="2">
        <f>TYPE(CALLER())</f>
        <v>16</v>
      </c>
      <c r="J279" s="2">
        <f>IF(C279=0,COUNTIFS(A:A,A279,D:D,"a"),"")</f>
        <v>0</v>
      </c>
      <c r="K279" s="2"/>
      <c r="M279" s="2"/>
    </row>
    <row r="280" spans="1:14" x14ac:dyDescent="0.55000000000000004">
      <c r="A280" s="1" t="s">
        <v>1562</v>
      </c>
      <c r="B280" s="2">
        <f>COUNTIF(A:A,A280)-1</f>
        <v>1</v>
      </c>
      <c r="C280" s="2">
        <f>COUNTIF(A$1:A280,A280)-1</f>
        <v>0</v>
      </c>
      <c r="D280" s="2" t="str">
        <f>Argument!D280</f>
        <v/>
      </c>
      <c r="E280" s="2" t="str">
        <f t="shared" si="8"/>
        <v>va</v>
      </c>
      <c r="F280" s="2" t="b">
        <f>IF(C280=0,ISTEXT(FORMULA.CONVERT("="&amp;A280&amp;"("&amp;REPLACE(REPT(",#ref!",B280),1,1,"")&amp;")()",1)),"")</f>
        <v>0</v>
      </c>
      <c r="G280" s="2"/>
      <c r="H280" s="2" t="str">
        <f t="shared" si="9"/>
        <v/>
      </c>
      <c r="I280" s="2">
        <f>TYPE(DEREF(IF(1,1)))</f>
        <v>16</v>
      </c>
      <c r="J280" s="2">
        <f>IF(C280=0,COUNTIFS(A:A,A280,D:D,"a"),"")</f>
        <v>0</v>
      </c>
      <c r="K280" s="2"/>
      <c r="M280" s="2"/>
    </row>
    <row r="281" spans="1:14" x14ac:dyDescent="0.55000000000000004">
      <c r="A281" s="1" t="s">
        <v>1562</v>
      </c>
      <c r="B281" s="2">
        <f>COUNTIF(A:A,A281)-1</f>
        <v>1</v>
      </c>
      <c r="C281" s="2">
        <f>COUNTIF(A$1:A281,A281)-1</f>
        <v>1</v>
      </c>
      <c r="D281" s="2" t="str">
        <f>Argument!D281</f>
        <v>r</v>
      </c>
      <c r="E281" s="2" t="str">
        <f t="shared" si="8"/>
        <v/>
      </c>
      <c r="F281" s="2" t="str">
        <f>IF(C281=0,ISTEXT(FORMULA.CONVERT("="&amp;A281&amp;"("&amp;REPLACE(REPT(",#ref!",B281),1,1,"")&amp;")()",1)),"")</f>
        <v/>
      </c>
      <c r="G281" s="2"/>
      <c r="H281" s="2">
        <f t="shared" si="9"/>
        <v>1</v>
      </c>
      <c r="I281" s="2">
        <f>TYPE(DEREF(IF(1,1)))</f>
        <v>16</v>
      </c>
      <c r="J281" s="2" t="str">
        <f>IF(C281=0,COUNTIFS(A:A,A281,D:D,"a"),"")</f>
        <v/>
      </c>
      <c r="K281" s="2">
        <f>INDEX(+DEREF(K281:L281),)</f>
        <v>0</v>
      </c>
      <c r="L281" s="1">
        <v>1</v>
      </c>
      <c r="M281" s="2" t="e">
        <f>INDEX(+DEREF(INDIRECT(M281:N281)),)</f>
        <v>#REF!</v>
      </c>
    </row>
    <row r="282" spans="1:14" x14ac:dyDescent="0.55000000000000004">
      <c r="A282" s="1" t="s">
        <v>1563</v>
      </c>
      <c r="B282" s="2">
        <f>COUNTIF(A:A,A282)-1</f>
        <v>2</v>
      </c>
      <c r="C282" s="2">
        <f>COUNTIF(A$1:A282,A282)-1</f>
        <v>0</v>
      </c>
      <c r="D282" s="2" t="str">
        <f>Argument!D282</f>
        <v/>
      </c>
      <c r="E282" s="2" t="str">
        <f t="shared" si="8"/>
        <v>va</v>
      </c>
      <c r="F282" s="2" t="b">
        <f>IF(C282=0,ISTEXT(FORMULA.CONVERT("="&amp;A282&amp;"("&amp;REPLACE(REPT(",#ref!",B282),1,1,"")&amp;")()",1)),"")</f>
        <v>0</v>
      </c>
      <c r="G282" s="2"/>
      <c r="H282" s="2" t="str">
        <f t="shared" si="9"/>
        <v/>
      </c>
      <c r="I282" s="2">
        <f>TYPE(WINDOWS(IF(1,1),IF(1,1)))</f>
        <v>16</v>
      </c>
      <c r="J282" s="2">
        <f>IF(C282=0,COUNTIFS(A:A,A282,D:D,"a"),"")</f>
        <v>0</v>
      </c>
      <c r="K282" s="2"/>
      <c r="M282" s="2"/>
    </row>
    <row r="283" spans="1:14" x14ac:dyDescent="0.55000000000000004">
      <c r="A283" s="1" t="s">
        <v>1563</v>
      </c>
      <c r="B283" s="2">
        <f>COUNTIF(A:A,A283)-1</f>
        <v>2</v>
      </c>
      <c r="C283" s="2">
        <f>COUNTIF(A$1:A283,A283)-1</f>
        <v>1</v>
      </c>
      <c r="D283" s="2" t="str">
        <f>Argument!D283</f>
        <v>v</v>
      </c>
      <c r="E283" s="2" t="str">
        <f t="shared" si="8"/>
        <v/>
      </c>
      <c r="F283" s="2" t="str">
        <f>IF(C283=0,ISTEXT(FORMULA.CONVERT("="&amp;A283&amp;"("&amp;REPLACE(REPT(",#ref!",B283),1,1,"")&amp;")()",1)),"")</f>
        <v/>
      </c>
      <c r="G283" s="2">
        <f>TYPE(WINDOWS({1},IF(1,1)))</f>
        <v>16</v>
      </c>
      <c r="H283" s="2">
        <f t="shared" si="9"/>
        <v>1</v>
      </c>
      <c r="I283" s="2">
        <f>TYPE(WINDOWS(IF(1,1),IF(1,1)))</f>
        <v>16</v>
      </c>
      <c r="J283" s="2" t="str">
        <f>IF(C283=0,COUNTIFS(A:A,A283,D:D,"a"),"")</f>
        <v/>
      </c>
      <c r="K283" s="2" t="e">
        <f>INDEX(+WINDOWS(K283:L283,#REF!),)</f>
        <v>#REF!</v>
      </c>
      <c r="M283" s="2" t="e">
        <f>INDEX(+WINDOWS(INDIRECT(M283:N283),#REF!),)</f>
        <v>#REF!</v>
      </c>
    </row>
    <row r="284" spans="1:14" x14ac:dyDescent="0.55000000000000004">
      <c r="A284" s="1" t="s">
        <v>1563</v>
      </c>
      <c r="B284" s="2">
        <f>COUNTIF(A:A,A284)-1</f>
        <v>2</v>
      </c>
      <c r="C284" s="2">
        <f>COUNTIF(A$1:A284,A284)-1</f>
        <v>2</v>
      </c>
      <c r="D284" s="2" t="str">
        <f>Argument!D284</f>
        <v>v</v>
      </c>
      <c r="E284" s="2" t="str">
        <f t="shared" si="8"/>
        <v/>
      </c>
      <c r="F284" s="2" t="str">
        <f>IF(C284=0,ISTEXT(FORMULA.CONVERT("="&amp;A284&amp;"("&amp;REPLACE(REPT(",#ref!",B284),1,1,"")&amp;")()",1)),"")</f>
        <v/>
      </c>
      <c r="G284" s="2">
        <f>TYPE(WINDOWS(IF(1,1),{1}))</f>
        <v>16</v>
      </c>
      <c r="H284" s="2">
        <f t="shared" si="9"/>
        <v>1</v>
      </c>
      <c r="I284" s="2">
        <f>TYPE(WINDOWS(IF(1,1),IF(1,1)))</f>
        <v>16</v>
      </c>
      <c r="J284" s="2" t="str">
        <f>IF(C284=0,COUNTIFS(A:A,A284,D:D,"a"),"")</f>
        <v/>
      </c>
      <c r="K284" s="2" t="e">
        <f>INDEX(+WINDOWS(#REF!,K284:L284),)</f>
        <v>#REF!</v>
      </c>
      <c r="M284" s="2" t="e">
        <f>INDEX(+WINDOWS(#REF!,INDIRECT(M284:N284)),)</f>
        <v>#REF!</v>
      </c>
    </row>
    <row r="285" spans="1:14" x14ac:dyDescent="0.55000000000000004">
      <c r="A285" s="1" t="s">
        <v>1479</v>
      </c>
      <c r="B285" s="2">
        <f>COUNTIF(A:A,A285)-1</f>
        <v>0</v>
      </c>
      <c r="C285" s="2">
        <f>COUNTIF(A$1:A285,A285)-1</f>
        <v>0</v>
      </c>
      <c r="D285" s="2" t="str">
        <f>Argument!D285</f>
        <v/>
      </c>
      <c r="E285" s="2" t="str">
        <f t="shared" si="8"/>
        <v>v</v>
      </c>
      <c r="F285" s="2" t="b">
        <f>IF(C285=0,ISTEXT(FORMULA.CONVERT("="&amp;A285&amp;"("&amp;REPLACE(REPT(",#ref!",B285),1,1,"")&amp;")()",1)),"")</f>
        <v>0</v>
      </c>
      <c r="G285" s="2"/>
      <c r="H285" s="2" t="str">
        <f t="shared" si="9"/>
        <v/>
      </c>
      <c r="I285" s="2" t="s">
        <v>2247</v>
      </c>
      <c r="J285" s="2">
        <f>IF(C285=0,COUNTIFS(A:A,A285,D:D,"a"),"")</f>
        <v>0</v>
      </c>
      <c r="K285" s="2"/>
      <c r="M285" s="2"/>
    </row>
    <row r="286" spans="1:14" x14ac:dyDescent="0.55000000000000004">
      <c r="A286" s="1" t="s">
        <v>1564</v>
      </c>
      <c r="B286" s="2">
        <f>COUNTIF(A:A,A286)-1</f>
        <v>2</v>
      </c>
      <c r="C286" s="2">
        <f>COUNTIF(A$1:A286,A286)-1</f>
        <v>0</v>
      </c>
      <c r="D286" s="2" t="str">
        <f>Argument!D286</f>
        <v/>
      </c>
      <c r="E286" s="2" t="str">
        <f t="shared" si="8"/>
        <v>va</v>
      </c>
      <c r="F286" s="2" t="b">
        <f>IF(C286=0,ISTEXT(FORMULA.CONVERT("="&amp;A286&amp;"("&amp;REPLACE(REPT(",#ref!",B286),1,1,"")&amp;")()",1)),"")</f>
        <v>0</v>
      </c>
      <c r="G286" s="2"/>
      <c r="H286" s="2" t="str">
        <f t="shared" si="9"/>
        <v/>
      </c>
      <c r="I286" s="2">
        <f>TYPE(DOCUMENTS(IF(1,1),IF(1,1)))</f>
        <v>16</v>
      </c>
      <c r="J286" s="2">
        <f>IF(C286=0,COUNTIFS(A:A,A286,D:D,"a"),"")</f>
        <v>0</v>
      </c>
      <c r="K286" s="2"/>
      <c r="M286" s="2"/>
    </row>
    <row r="287" spans="1:14" x14ac:dyDescent="0.55000000000000004">
      <c r="A287" s="1" t="s">
        <v>1564</v>
      </c>
      <c r="B287" s="2">
        <f>COUNTIF(A:A,A287)-1</f>
        <v>2</v>
      </c>
      <c r="C287" s="2">
        <f>COUNTIF(A$1:A287,A287)-1</f>
        <v>1</v>
      </c>
      <c r="D287" s="2" t="str">
        <f>Argument!D287</f>
        <v>v</v>
      </c>
      <c r="E287" s="2" t="str">
        <f t="shared" si="8"/>
        <v/>
      </c>
      <c r="F287" s="2" t="str">
        <f>IF(C287=0,ISTEXT(FORMULA.CONVERT("="&amp;A287&amp;"("&amp;REPLACE(REPT(",#ref!",B287),1,1,"")&amp;")()",1)),"")</f>
        <v/>
      </c>
      <c r="G287" s="2">
        <f>TYPE(DOCUMENTS({1},IF(1,1)))</f>
        <v>16</v>
      </c>
      <c r="H287" s="2">
        <f t="shared" si="9"/>
        <v>1</v>
      </c>
      <c r="I287" s="2">
        <f>TYPE(DOCUMENTS(IF(1,1),IF(1,1)))</f>
        <v>16</v>
      </c>
      <c r="J287" s="2" t="str">
        <f>IF(C287=0,COUNTIFS(A:A,A287,D:D,"a"),"")</f>
        <v/>
      </c>
      <c r="K287" s="2" t="e">
        <f>INDEX(+DOCUMENTS(K287:L287,#REF!),)</f>
        <v>#REF!</v>
      </c>
      <c r="M287" s="2" t="e">
        <f>INDEX(+DOCUMENTS(INDIRECT(M287:N287),#REF!),)</f>
        <v>#REF!</v>
      </c>
    </row>
    <row r="288" spans="1:14" x14ac:dyDescent="0.55000000000000004">
      <c r="A288" s="1" t="s">
        <v>1564</v>
      </c>
      <c r="B288" s="2">
        <f>COUNTIF(A:A,A288)-1</f>
        <v>2</v>
      </c>
      <c r="C288" s="2">
        <f>COUNTIF(A$1:A288,A288)-1</f>
        <v>2</v>
      </c>
      <c r="D288" s="2" t="str">
        <f>Argument!D288</f>
        <v>v</v>
      </c>
      <c r="E288" s="2" t="str">
        <f t="shared" si="8"/>
        <v/>
      </c>
      <c r="F288" s="2" t="str">
        <f>IF(C288=0,ISTEXT(FORMULA.CONVERT("="&amp;A288&amp;"("&amp;REPLACE(REPT(",#ref!",B288),1,1,"")&amp;")()",1)),"")</f>
        <v/>
      </c>
      <c r="G288" s="2">
        <f>TYPE(DOCUMENTS(IF(1,1),{1}))</f>
        <v>16</v>
      </c>
      <c r="H288" s="2">
        <f t="shared" si="9"/>
        <v>1</v>
      </c>
      <c r="I288" s="2">
        <f>TYPE(DOCUMENTS(IF(1,1),IF(1,1)))</f>
        <v>16</v>
      </c>
      <c r="J288" s="2" t="str">
        <f>IF(C288=0,COUNTIFS(A:A,A288,D:D,"a"),"")</f>
        <v/>
      </c>
      <c r="K288" s="2" t="e">
        <f>INDEX(+DOCUMENTS(#REF!,K288:L288),)</f>
        <v>#REF!</v>
      </c>
      <c r="M288" s="2" t="e">
        <f>INDEX(+DOCUMENTS(#REF!,INDIRECT(M288:N288)),)</f>
        <v>#REF!</v>
      </c>
    </row>
    <row r="289" spans="1:14" x14ac:dyDescent="0.55000000000000004">
      <c r="A289" s="1" t="s">
        <v>1480</v>
      </c>
      <c r="B289" s="2">
        <f>COUNTIF(A:A,A289)-1</f>
        <v>0</v>
      </c>
      <c r="C289" s="2">
        <f>COUNTIF(A$1:A289,A289)-1</f>
        <v>0</v>
      </c>
      <c r="D289" s="2" t="str">
        <f>Argument!D289</f>
        <v/>
      </c>
      <c r="E289" s="2" t="str">
        <f t="shared" si="8"/>
        <v>r</v>
      </c>
      <c r="F289" s="2" t="b">
        <f>IF(C289=0,ISTEXT(FORMULA.CONVERT("="&amp;A289&amp;"("&amp;REPLACE(REPT(",#ref!",B289),1,1,"")&amp;")()",1)),"")</f>
        <v>1</v>
      </c>
      <c r="G289" s="2"/>
      <c r="H289" s="2" t="str">
        <f t="shared" si="9"/>
        <v/>
      </c>
      <c r="I289" s="2">
        <f>TYPE(ACTIVE.CELL())</f>
        <v>1</v>
      </c>
      <c r="J289" s="2">
        <f>IF(C289=0,COUNTIFS(A:A,A289,D:D,"a"),"")</f>
        <v>0</v>
      </c>
      <c r="K289" s="2"/>
      <c r="M289" s="2"/>
    </row>
    <row r="290" spans="1:14" x14ac:dyDescent="0.55000000000000004">
      <c r="A290" s="1" t="s">
        <v>1481</v>
      </c>
      <c r="B290" s="2">
        <f>COUNTIF(A:A,A290)-1</f>
        <v>0</v>
      </c>
      <c r="C290" s="2">
        <f>COUNTIF(A$1:A290,A290)-1</f>
        <v>0</v>
      </c>
      <c r="D290" s="2" t="str">
        <f>Argument!D290</f>
        <v/>
      </c>
      <c r="E290" s="2" t="str">
        <f t="shared" si="8"/>
        <v>r</v>
      </c>
      <c r="F290" s="2" t="b">
        <f>IF(C290=0,ISTEXT(FORMULA.CONVERT("="&amp;A290&amp;"("&amp;REPLACE(REPT(",#ref!",B290),1,1,"")&amp;")()",1)),"")</f>
        <v>1</v>
      </c>
      <c r="G290" s="2"/>
      <c r="H290" s="2" t="str">
        <f t="shared" si="9"/>
        <v/>
      </c>
      <c r="I290" s="2">
        <f>TYPE(SELECTION())</f>
        <v>1</v>
      </c>
      <c r="J290" s="2">
        <f>IF(C290=0,COUNTIFS(A:A,A290,D:D,"a"),"")</f>
        <v>0</v>
      </c>
      <c r="K290" s="2"/>
      <c r="M290" s="2"/>
    </row>
    <row r="291" spans="1:14" x14ac:dyDescent="0.55000000000000004">
      <c r="A291" s="1" t="s">
        <v>1565</v>
      </c>
      <c r="B291" s="2">
        <f>COUNTIF(A:A,A291)-1</f>
        <v>1</v>
      </c>
      <c r="C291" s="2">
        <f>COUNTIF(A$1:A291,A291)-1</f>
        <v>0</v>
      </c>
      <c r="D291" s="2" t="str">
        <f>Argument!D291</f>
        <v/>
      </c>
      <c r="E291" s="2" t="str">
        <f t="shared" si="8"/>
        <v>v</v>
      </c>
      <c r="F291" s="2" t="b">
        <f>IF(C291=0,ISTEXT(FORMULA.CONVERT("="&amp;A291&amp;"("&amp;REPLACE(REPT(",#ref!",B291),1,1,"")&amp;")()",1)),"")</f>
        <v>0</v>
      </c>
      <c r="G291" s="2"/>
      <c r="H291" s="2" t="str">
        <f t="shared" si="9"/>
        <v/>
      </c>
      <c r="I291" s="2">
        <f>TYPE(RESULT(IF(1,1)))</f>
        <v>4</v>
      </c>
      <c r="J291" s="2">
        <f>IF(C291=0,COUNTIFS(A:A,A291,D:D,"a"),"")</f>
        <v>0</v>
      </c>
      <c r="K291" s="2"/>
      <c r="M291" s="2"/>
    </row>
    <row r="292" spans="1:14" x14ac:dyDescent="0.55000000000000004">
      <c r="A292" s="1" t="s">
        <v>1565</v>
      </c>
      <c r="B292" s="2">
        <f>COUNTIF(A:A,A292)-1</f>
        <v>1</v>
      </c>
      <c r="C292" s="2">
        <f>COUNTIF(A$1:A292,A292)-1</f>
        <v>1</v>
      </c>
      <c r="D292" s="2" t="str">
        <f>Argument!D292</f>
        <v>v</v>
      </c>
      <c r="E292" s="2" t="str">
        <f t="shared" si="8"/>
        <v/>
      </c>
      <c r="F292" s="2" t="str">
        <f>IF(C292=0,ISTEXT(FORMULA.CONVERT("="&amp;A292&amp;"("&amp;REPLACE(REPT(",#ref!",B292),1,1,"")&amp;")()",1)),"")</f>
        <v/>
      </c>
      <c r="G292" s="2">
        <f>TYPE(RESULT({1}))</f>
        <v>64</v>
      </c>
      <c r="H292" s="2" t="str">
        <f t="shared" si="9"/>
        <v/>
      </c>
      <c r="I292" s="2">
        <f>TYPE(RESULT(IF(1,1)))</f>
        <v>4</v>
      </c>
      <c r="J292" s="2" t="str">
        <f>IF(C292=0,COUNTIFS(A:A,A292,D:D,"a"),"")</f>
        <v/>
      </c>
      <c r="K292" s="2" t="b">
        <f>INDEX(+RESULT(K292:L292),)</f>
        <v>0</v>
      </c>
      <c r="L292" s="1">
        <v>1</v>
      </c>
      <c r="M292" s="2" t="b">
        <f>INDEX(+RESULT(INDIRECT(M292:N292)),)</f>
        <v>0</v>
      </c>
      <c r="N292" s="1">
        <v>1</v>
      </c>
    </row>
    <row r="293" spans="1:14" x14ac:dyDescent="0.55000000000000004">
      <c r="A293" s="1" t="s">
        <v>1566</v>
      </c>
      <c r="B293" s="2">
        <f>COUNTIF(A:A,A293)-1</f>
        <v>2</v>
      </c>
      <c r="C293" s="2">
        <f>COUNTIF(A$1:A293,A293)-1</f>
        <v>0</v>
      </c>
      <c r="D293" s="2" t="str">
        <f>Argument!D293</f>
        <v/>
      </c>
      <c r="E293" s="2" t="str">
        <f t="shared" si="8"/>
        <v>v</v>
      </c>
      <c r="F293" s="2" t="b">
        <f>IF(C293=0,ISTEXT(FORMULA.CONVERT("="&amp;A293&amp;"("&amp;REPLACE(REPT(",#ref!",B293),1,1,"")&amp;")()",1)),"")</f>
        <v>0</v>
      </c>
      <c r="G293" s="2"/>
      <c r="H293" s="2" t="str">
        <f t="shared" si="9"/>
        <v/>
      </c>
      <c r="I293" s="2">
        <f>TYPE(ATAN2(IF(1,1),IF(1,1)))</f>
        <v>1</v>
      </c>
      <c r="J293" s="2">
        <f>IF(C293=0,COUNTIFS(A:A,A293,D:D,"a"),"")</f>
        <v>0</v>
      </c>
      <c r="K293" s="2"/>
      <c r="M293" s="2"/>
    </row>
    <row r="294" spans="1:14" x14ac:dyDescent="0.55000000000000004">
      <c r="A294" s="1" t="s">
        <v>1566</v>
      </c>
      <c r="B294" s="2">
        <f>COUNTIF(A:A,A294)-1</f>
        <v>2</v>
      </c>
      <c r="C294" s="2">
        <f>COUNTIF(A$1:A294,A294)-1</f>
        <v>1</v>
      </c>
      <c r="D294" s="2" t="str">
        <f>Argument!D294</f>
        <v>v</v>
      </c>
      <c r="E294" s="2" t="str">
        <f t="shared" si="8"/>
        <v/>
      </c>
      <c r="F294" s="2" t="str">
        <f>IF(C294=0,ISTEXT(FORMULA.CONVERT("="&amp;A294&amp;"("&amp;REPLACE(REPT(",#ref!",B294),1,1,"")&amp;")()",1)),"")</f>
        <v/>
      </c>
      <c r="G294" s="2">
        <f>TYPE(ATAN2({1},IF(1,1)))</f>
        <v>64</v>
      </c>
      <c r="H294" s="2" t="str">
        <f t="shared" si="9"/>
        <v/>
      </c>
      <c r="I294" s="2">
        <f>TYPE(ATAN2(IF(1,1),IF(1,1)))</f>
        <v>1</v>
      </c>
      <c r="J294" s="2" t="str">
        <f>IF(C294=0,COUNTIFS(A:A,A294,D:D,"a"),"")</f>
        <v/>
      </c>
      <c r="K294" s="2" t="e">
        <f>INDEX(+ATAN2(K294:L294,#REF!),)</f>
        <v>#REF!</v>
      </c>
      <c r="L294" s="1">
        <v>1</v>
      </c>
      <c r="M294" s="2" t="e">
        <f>INDEX(+ATAN2(INDIRECT(M294:N294),#REF!),)</f>
        <v>#REF!</v>
      </c>
      <c r="N294" s="1">
        <v>1</v>
      </c>
    </row>
    <row r="295" spans="1:14" x14ac:dyDescent="0.55000000000000004">
      <c r="A295" s="1" t="s">
        <v>1566</v>
      </c>
      <c r="B295" s="2">
        <f>COUNTIF(A:A,A295)-1</f>
        <v>2</v>
      </c>
      <c r="C295" s="2">
        <f>COUNTIF(A$1:A295,A295)-1</f>
        <v>2</v>
      </c>
      <c r="D295" s="2" t="str">
        <f>Argument!D295</f>
        <v>v</v>
      </c>
      <c r="E295" s="2" t="str">
        <f t="shared" si="8"/>
        <v/>
      </c>
      <c r="F295" s="2" t="str">
        <f>IF(C295=0,ISTEXT(FORMULA.CONVERT("="&amp;A295&amp;"("&amp;REPLACE(REPT(",#ref!",B295),1,1,"")&amp;")()",1)),"")</f>
        <v/>
      </c>
      <c r="G295" s="2">
        <f>TYPE(ATAN2(IF(1,1),{1}))</f>
        <v>64</v>
      </c>
      <c r="H295" s="2" t="str">
        <f t="shared" si="9"/>
        <v/>
      </c>
      <c r="I295" s="2">
        <f>TYPE(ATAN2(IF(1,1),IF(1,1)))</f>
        <v>1</v>
      </c>
      <c r="J295" s="2" t="str">
        <f>IF(C295=0,COUNTIFS(A:A,A295,D:D,"a"),"")</f>
        <v/>
      </c>
      <c r="K295" s="2" t="e">
        <f>INDEX(+ATAN2(#REF!,K295:L295),)</f>
        <v>#REF!</v>
      </c>
      <c r="L295" s="1">
        <v>1</v>
      </c>
      <c r="M295" s="2" t="e">
        <f>INDEX(+ATAN2(#REF!,INDIRECT(M295:N295)),)</f>
        <v>#REF!</v>
      </c>
      <c r="N295" s="1">
        <v>1</v>
      </c>
    </row>
    <row r="296" spans="1:14" x14ac:dyDescent="0.55000000000000004">
      <c r="A296" s="1" t="s">
        <v>1567</v>
      </c>
      <c r="B296" s="2">
        <f>COUNTIF(A:A,A296)-1</f>
        <v>1</v>
      </c>
      <c r="C296" s="2">
        <f>COUNTIF(A$1:A296,A296)-1</f>
        <v>0</v>
      </c>
      <c r="D296" s="2" t="str">
        <f>Argument!D296</f>
        <v/>
      </c>
      <c r="E296" s="2" t="str">
        <f t="shared" si="8"/>
        <v>v</v>
      </c>
      <c r="F296" s="2" t="b">
        <f>IF(C296=0,ISTEXT(FORMULA.CONVERT("="&amp;A296&amp;"("&amp;REPLACE(REPT(",#ref!",B296),1,1,"")&amp;")()",1)),"")</f>
        <v>0</v>
      </c>
      <c r="G296" s="2"/>
      <c r="H296" s="2" t="str">
        <f t="shared" si="9"/>
        <v/>
      </c>
      <c r="I296" s="2">
        <f>TYPE(ASIN(IF(1,1)))</f>
        <v>1</v>
      </c>
      <c r="J296" s="2">
        <f>IF(C296=0,COUNTIFS(A:A,A296,D:D,"a"),"")</f>
        <v>0</v>
      </c>
      <c r="K296" s="2"/>
      <c r="M296" s="2"/>
    </row>
    <row r="297" spans="1:14" x14ac:dyDescent="0.55000000000000004">
      <c r="A297" s="1" t="s">
        <v>1567</v>
      </c>
      <c r="B297" s="2">
        <f>COUNTIF(A:A,A297)-1</f>
        <v>1</v>
      </c>
      <c r="C297" s="2">
        <f>COUNTIF(A$1:A297,A297)-1</f>
        <v>1</v>
      </c>
      <c r="D297" s="2" t="str">
        <f>Argument!D297</f>
        <v>v</v>
      </c>
      <c r="E297" s="2" t="str">
        <f t="shared" si="8"/>
        <v/>
      </c>
      <c r="F297" s="2" t="str">
        <f>IF(C297=0,ISTEXT(FORMULA.CONVERT("="&amp;A297&amp;"("&amp;REPLACE(REPT(",#ref!",B297),1,1,"")&amp;")()",1)),"")</f>
        <v/>
      </c>
      <c r="G297" s="2">
        <f>TYPE(ASIN({1}))</f>
        <v>64</v>
      </c>
      <c r="H297" s="2" t="str">
        <f t="shared" si="9"/>
        <v/>
      </c>
      <c r="I297" s="2">
        <f>TYPE(ASIN(IF(1,1)))</f>
        <v>1</v>
      </c>
      <c r="J297" s="2" t="str">
        <f>IF(C297=0,COUNTIFS(A:A,A297,D:D,"a"),"")</f>
        <v/>
      </c>
      <c r="K297" s="2">
        <f>INDEX(+ASIN(K297:L297),)</f>
        <v>0</v>
      </c>
      <c r="L297" s="1">
        <v>1</v>
      </c>
      <c r="M297" s="2" t="e">
        <f>INDEX(+ASIN(INDIRECT(M297:N297)),)</f>
        <v>#REF!</v>
      </c>
      <c r="N297" s="1">
        <v>1</v>
      </c>
    </row>
    <row r="298" spans="1:14" x14ac:dyDescent="0.55000000000000004">
      <c r="A298" s="1" t="s">
        <v>1568</v>
      </c>
      <c r="B298" s="2">
        <f>COUNTIF(A:A,A298)-1</f>
        <v>1</v>
      </c>
      <c r="C298" s="2">
        <f>COUNTIF(A$1:A298,A298)-1</f>
        <v>0</v>
      </c>
      <c r="D298" s="2" t="str">
        <f>Argument!D298</f>
        <v/>
      </c>
      <c r="E298" s="2" t="str">
        <f t="shared" si="8"/>
        <v>v</v>
      </c>
      <c r="F298" s="2" t="b">
        <f>IF(C298=0,ISTEXT(FORMULA.CONVERT("="&amp;A298&amp;"("&amp;REPLACE(REPT(",#ref!",B298),1,1,"")&amp;")()",1)),"")</f>
        <v>0</v>
      </c>
      <c r="G298" s="2"/>
      <c r="H298" s="2" t="str">
        <f t="shared" si="9"/>
        <v/>
      </c>
      <c r="I298" s="2">
        <f>TYPE(ACOS(IF(1,1)))</f>
        <v>1</v>
      </c>
      <c r="J298" s="2">
        <f>IF(C298=0,COUNTIFS(A:A,A298,D:D,"a"),"")</f>
        <v>0</v>
      </c>
      <c r="K298" s="2"/>
      <c r="M298" s="2"/>
    </row>
    <row r="299" spans="1:14" x14ac:dyDescent="0.55000000000000004">
      <c r="A299" s="1" t="s">
        <v>1568</v>
      </c>
      <c r="B299" s="2">
        <f>COUNTIF(A:A,A299)-1</f>
        <v>1</v>
      </c>
      <c r="C299" s="2">
        <f>COUNTIF(A$1:A299,A299)-1</f>
        <v>1</v>
      </c>
      <c r="D299" s="2" t="str">
        <f>Argument!D299</f>
        <v>v</v>
      </c>
      <c r="E299" s="2" t="str">
        <f t="shared" si="8"/>
        <v/>
      </c>
      <c r="F299" s="2" t="str">
        <f>IF(C299=0,ISTEXT(FORMULA.CONVERT("="&amp;A299&amp;"("&amp;REPLACE(REPT(",#ref!",B299),1,1,"")&amp;")()",1)),"")</f>
        <v/>
      </c>
      <c r="G299" s="2">
        <f>TYPE(ACOS({1}))</f>
        <v>64</v>
      </c>
      <c r="H299" s="2" t="str">
        <f t="shared" si="9"/>
        <v/>
      </c>
      <c r="I299" s="2">
        <f>TYPE(ACOS(IF(1,1)))</f>
        <v>1</v>
      </c>
      <c r="J299" s="2" t="str">
        <f>IF(C299=0,COUNTIFS(A:A,A299,D:D,"a"),"")</f>
        <v/>
      </c>
      <c r="K299" s="2">
        <f>INDEX(+ACOS(K299:L299),)</f>
        <v>1.5707963267948966</v>
      </c>
      <c r="L299" s="1">
        <v>1</v>
      </c>
      <c r="M299" s="2" t="e">
        <f>INDEX(+ACOS(INDIRECT(M299:N299)),)</f>
        <v>#REF!</v>
      </c>
      <c r="N299" s="1">
        <v>1</v>
      </c>
    </row>
    <row r="300" spans="1:14" x14ac:dyDescent="0.55000000000000004">
      <c r="A300" s="1" t="s">
        <v>1569</v>
      </c>
      <c r="B300" s="2">
        <f>COUNTIF(A:A,A300)-1</f>
        <v>4</v>
      </c>
      <c r="C300" s="2">
        <f>COUNTIF(A$1:A300,A300)-1</f>
        <v>0</v>
      </c>
      <c r="D300" s="2" t="str">
        <f>Argument!D300</f>
        <v/>
      </c>
      <c r="E300" s="2" t="str">
        <f t="shared" si="8"/>
        <v>var</v>
      </c>
      <c r="F300" s="2" t="b">
        <f>IF(C300=0,ISTEXT(FORMULA.CONVERT("="&amp;A300&amp;"("&amp;REPLACE(REPT(",#ref!",B300),1,1,"")&amp;")()",1)),"")</f>
        <v>1</v>
      </c>
      <c r="G300" s="2"/>
      <c r="H300" s="2" t="str">
        <f t="shared" si="9"/>
        <v/>
      </c>
      <c r="I300" s="2">
        <f>TYPE(CHOOSE(IF(1,1),IF(1,1),IF(1,1),IF(1,1)))</f>
        <v>1</v>
      </c>
      <c r="J300" s="2">
        <f>IF(C300=0,COUNTIFS(A:A,A300,D:D,"a"),"")</f>
        <v>0</v>
      </c>
      <c r="K300" s="2"/>
      <c r="M300" s="2"/>
    </row>
    <row r="301" spans="1:14" x14ac:dyDescent="0.55000000000000004">
      <c r="A301" s="1" t="s">
        <v>1569</v>
      </c>
      <c r="B301" s="2">
        <f>COUNTIF(A:A,A301)-1</f>
        <v>4</v>
      </c>
      <c r="C301" s="2">
        <f>COUNTIF(A$1:A301,A301)-1</f>
        <v>1</v>
      </c>
      <c r="D301" s="2" t="str">
        <f>Argument!D301</f>
        <v>va</v>
      </c>
      <c r="E301" s="2" t="str">
        <f t="shared" si="8"/>
        <v/>
      </c>
      <c r="F301" s="2" t="str">
        <f>IF(C301=0,ISTEXT(FORMULA.CONVERT("="&amp;A301&amp;"("&amp;REPLACE(REPT(",#ref!",B301),1,1,"")&amp;")()",1)),"")</f>
        <v/>
      </c>
      <c r="G301" s="2">
        <f>TYPE(CHOOSE({1},IF(1,1),IF(1,1),IF(1,1)))</f>
        <v>1</v>
      </c>
      <c r="H301" s="2">
        <f t="shared" si="9"/>
        <v>1</v>
      </c>
      <c r="I301" s="2">
        <f>TYPE(CHOOSE(IF(1,1),IF(1,1),IF(1,1),IF(1,1)))</f>
        <v>1</v>
      </c>
      <c r="J301" s="2" t="str">
        <f>IF(C301=0,COUNTIFS(A:A,A301,D:D,"a"),"")</f>
        <v/>
      </c>
      <c r="K301" s="2" t="e">
        <f>INDEX(+CHOOSE(K301:L301,#REF!,#REF!,#REF!),)</f>
        <v>#VALUE!</v>
      </c>
      <c r="M301" s="2" t="e">
        <f>INDEX(+CHOOSE(INDIRECT(M301:N301),#REF!,#REF!,#REF!),)</f>
        <v>#REF!</v>
      </c>
    </row>
    <row r="302" spans="1:14" x14ac:dyDescent="0.55000000000000004">
      <c r="A302" s="1" t="s">
        <v>1569</v>
      </c>
      <c r="B302" s="2">
        <f>COUNTIF(A:A,A302)-1</f>
        <v>4</v>
      </c>
      <c r="C302" s="2">
        <f>COUNTIF(A$1:A302,A302)-1</f>
        <v>2</v>
      </c>
      <c r="D302" s="2" t="str">
        <f>Argument!D302</f>
        <v>var</v>
      </c>
      <c r="E302" s="2" t="str">
        <f t="shared" si="8"/>
        <v/>
      </c>
      <c r="F302" s="2" t="str">
        <f>IF(C302=0,ISTEXT(FORMULA.CONVERT("="&amp;A302&amp;"("&amp;REPLACE(REPT(",#ref!",B302),1,1,"")&amp;")()",1)),"")</f>
        <v/>
      </c>
      <c r="G302" s="2">
        <f>TYPE(CHOOSE(IF(1,1),{1},IF(1,1),IF(1,1)))</f>
        <v>1</v>
      </c>
      <c r="H302" s="2">
        <f t="shared" si="9"/>
        <v>1</v>
      </c>
      <c r="I302" s="2">
        <f>TYPE(CHOOSE(IF(1,1),IF(1,1),IF(1,1),IF(1,1)))</f>
        <v>1</v>
      </c>
      <c r="J302" s="2" t="str">
        <f>IF(C302=0,COUNTIFS(A:A,A302,D:D,"a"),"")</f>
        <v/>
      </c>
      <c r="K302" s="2" t="e">
        <f>INDEX(+CHOOSE(#REF!,K302:L302,#REF!,#REF!),)</f>
        <v>#REF!</v>
      </c>
      <c r="L302" s="1">
        <v>1</v>
      </c>
      <c r="M302" s="2" t="e">
        <f>INDEX(+CHOOSE(#REF!,INDIRECT(M302:N302),#REF!,#REF!),)</f>
        <v>#REF!</v>
      </c>
    </row>
    <row r="303" spans="1:14" x14ac:dyDescent="0.55000000000000004">
      <c r="A303" s="1" t="s">
        <v>1569</v>
      </c>
      <c r="B303" s="2">
        <f>COUNTIF(A:A,A303)-1</f>
        <v>4</v>
      </c>
      <c r="C303" s="2">
        <f>COUNTIF(A$1:A303,A303)-1</f>
        <v>3</v>
      </c>
      <c r="D303" s="2" t="str">
        <f>Argument!D303</f>
        <v>var</v>
      </c>
      <c r="E303" s="2" t="str">
        <f t="shared" si="8"/>
        <v/>
      </c>
      <c r="F303" s="2" t="str">
        <f>IF(C303=0,ISTEXT(FORMULA.CONVERT("="&amp;A303&amp;"("&amp;REPLACE(REPT(",#ref!",B303),1,1,"")&amp;")()",1)),"")</f>
        <v/>
      </c>
      <c r="G303" s="2">
        <f>TYPE(CHOOSE(IF(1,1),IF(1,1),{1},IF(1,1)))</f>
        <v>1</v>
      </c>
      <c r="H303" s="2">
        <f t="shared" si="9"/>
        <v>1</v>
      </c>
      <c r="I303" s="2">
        <f>TYPE(CHOOSE(IF(1,1),IF(1,1),IF(1,1),IF(1,1)))</f>
        <v>1</v>
      </c>
      <c r="J303" s="2" t="str">
        <f>IF(C303=0,COUNTIFS(A:A,A303,D:D,"a"),"")</f>
        <v/>
      </c>
      <c r="K303" s="2" t="e">
        <f>INDEX(+CHOOSE(#REF!,#REF!,K303:L303,#REF!),)</f>
        <v>#REF!</v>
      </c>
      <c r="L303" s="1">
        <v>1</v>
      </c>
      <c r="M303" s="2" t="e">
        <f>INDEX(+CHOOSE(#REF!,#REF!,INDIRECT(M303:N303),#REF!),)</f>
        <v>#REF!</v>
      </c>
    </row>
    <row r="304" spans="1:14" x14ac:dyDescent="0.55000000000000004">
      <c r="A304" s="1" t="s">
        <v>1569</v>
      </c>
      <c r="B304" s="2">
        <f>COUNTIF(A:A,A304)-1</f>
        <v>4</v>
      </c>
      <c r="C304" s="2">
        <f>COUNTIF(A$1:A304,A304)-1</f>
        <v>4</v>
      </c>
      <c r="D304" s="2" t="str">
        <f>Argument!D304</f>
        <v>var</v>
      </c>
      <c r="E304" s="2" t="str">
        <f t="shared" si="8"/>
        <v/>
      </c>
      <c r="F304" s="2" t="str">
        <f>IF(C304=0,ISTEXT(FORMULA.CONVERT("="&amp;A304&amp;"("&amp;REPLACE(REPT(",#ref!",B304),1,1,"")&amp;")()",1)),"")</f>
        <v/>
      </c>
      <c r="G304" s="2">
        <f>TYPE(CHOOSE(IF(1,1),IF(1,1),IF(1,1),{1}))</f>
        <v>1</v>
      </c>
      <c r="H304" s="2">
        <f t="shared" si="9"/>
        <v>1</v>
      </c>
      <c r="I304" s="2">
        <f>TYPE(CHOOSE(IF(1,1),IF(1,1),IF(1,1),IF(1,1)))</f>
        <v>1</v>
      </c>
      <c r="J304" s="2" t="str">
        <f>IF(C304=0,COUNTIFS(A:A,A304,D:D,"a"),"")</f>
        <v/>
      </c>
      <c r="K304" s="2" t="e">
        <f>INDEX(+CHOOSE(#REF!,#REF!,#REF!,K304:L304),)</f>
        <v>#REF!</v>
      </c>
      <c r="L304" s="1">
        <v>1</v>
      </c>
      <c r="M304" s="2" t="e">
        <f>INDEX(+CHOOSE(#REF!,#REF!,#REF!,INDIRECT(M304:N304)),)</f>
        <v>#REF!</v>
      </c>
    </row>
    <row r="305" spans="1:13" x14ac:dyDescent="0.55000000000000004">
      <c r="A305" s="1" t="s">
        <v>1570</v>
      </c>
      <c r="B305" s="2">
        <f>COUNTIF(A:A,A305)-1</f>
        <v>4</v>
      </c>
      <c r="C305" s="2">
        <f>COUNTIF(A$1:A305,A305)-1</f>
        <v>0</v>
      </c>
      <c r="D305" s="2" t="str">
        <f>Argument!D305</f>
        <v/>
      </c>
      <c r="E305" s="2" t="str">
        <f t="shared" si="8"/>
        <v>va</v>
      </c>
      <c r="F305" s="2" t="b">
        <f>IF(C305=0,ISTEXT(FORMULA.CONVERT("="&amp;A305&amp;"("&amp;REPLACE(REPT(",#ref!",B305),1,1,"")&amp;")()",1)),"")</f>
        <v>0</v>
      </c>
      <c r="G305" s="2"/>
      <c r="H305" s="2" t="str">
        <f t="shared" si="9"/>
        <v/>
      </c>
      <c r="I305" s="2">
        <f>TYPE(HLOOKUP(IF(1,1),IF(1,1),IF(1,1),IF(1,1)))</f>
        <v>16</v>
      </c>
      <c r="J305" s="2">
        <f>IF(C305=0,COUNTIFS(A:A,A305,D:D,"a"),"")</f>
        <v>0</v>
      </c>
      <c r="K305" s="2"/>
      <c r="M305" s="2"/>
    </row>
    <row r="306" spans="1:13" x14ac:dyDescent="0.55000000000000004">
      <c r="A306" s="1" t="s">
        <v>1570</v>
      </c>
      <c r="B306" s="2">
        <f>COUNTIF(A:A,A306)-1</f>
        <v>4</v>
      </c>
      <c r="C306" s="2">
        <f>COUNTIF(A$1:A306,A306)-1</f>
        <v>1</v>
      </c>
      <c r="D306" s="2" t="str">
        <f>Argument!D306</f>
        <v>v</v>
      </c>
      <c r="E306" s="2" t="str">
        <f t="shared" si="8"/>
        <v/>
      </c>
      <c r="F306" s="2" t="str">
        <f>IF(C306=0,ISTEXT(FORMULA.CONVERT("="&amp;A306&amp;"("&amp;REPLACE(REPT(",#ref!",B306),1,1,"")&amp;")()",1)),"")</f>
        <v/>
      </c>
      <c r="G306" s="2">
        <f>TYPE(HLOOKUP({1},IF(1,1),IF(1,1),IF(1,1)))</f>
        <v>16</v>
      </c>
      <c r="H306" s="2">
        <f t="shared" si="9"/>
        <v>1</v>
      </c>
      <c r="I306" s="2">
        <f>TYPE(HLOOKUP(IF(1,1),IF(1,1),IF(1,1),IF(1,1)))</f>
        <v>16</v>
      </c>
      <c r="J306" s="2" t="str">
        <f>IF(C306=0,COUNTIFS(A:A,A306,D:D,"a"),"")</f>
        <v/>
      </c>
      <c r="K306" s="2" t="e">
        <f>INDEX(+HLOOKUP(K306:L306,#REF!,#REF!,#REF!),)</f>
        <v>#REF!</v>
      </c>
      <c r="M306" s="2" t="e">
        <f>INDEX(+HLOOKUP(INDIRECT(M306:N306),#REF!,#REF!,#REF!),)</f>
        <v>#REF!</v>
      </c>
    </row>
    <row r="307" spans="1:13" x14ac:dyDescent="0.55000000000000004">
      <c r="A307" s="1" t="s">
        <v>1570</v>
      </c>
      <c r="B307" s="2">
        <f>COUNTIF(A:A,A307)-1</f>
        <v>4</v>
      </c>
      <c r="C307" s="2">
        <f>COUNTIF(A$1:A307,A307)-1</f>
        <v>2</v>
      </c>
      <c r="D307" s="2" t="str">
        <f>Argument!D307</f>
        <v>var</v>
      </c>
      <c r="E307" s="2" t="str">
        <f t="shared" si="8"/>
        <v/>
      </c>
      <c r="F307" s="2" t="str">
        <f>IF(C307=0,ISTEXT(FORMULA.CONVERT("="&amp;A307&amp;"("&amp;REPLACE(REPT(",#ref!",B307),1,1,"")&amp;")()",1)),"")</f>
        <v/>
      </c>
      <c r="G307" s="2">
        <f>TYPE(HLOOKUP(IF(1,1),{1},IF(1,1),IF(1,1)))</f>
        <v>1</v>
      </c>
      <c r="H307" s="2">
        <f t="shared" si="9"/>
        <v>1</v>
      </c>
      <c r="I307" s="2">
        <f>TYPE(HLOOKUP(IF(1,1),IF(1,1),IF(1,1),IF(1,1)))</f>
        <v>16</v>
      </c>
      <c r="J307" s="2" t="str">
        <f>IF(C307=0,COUNTIFS(A:A,A307,D:D,"a"),"")</f>
        <v/>
      </c>
      <c r="K307" s="2" t="e">
        <f>INDEX(+HLOOKUP(#REF!,K307:L307,#REF!,#REF!),)</f>
        <v>#REF!</v>
      </c>
      <c r="L307" s="1">
        <v>1</v>
      </c>
      <c r="M307" s="2" t="e">
        <f>INDEX(+HLOOKUP(#REF!,INDIRECT(M307:N307),#REF!,#REF!),)</f>
        <v>#REF!</v>
      </c>
    </row>
    <row r="308" spans="1:13" x14ac:dyDescent="0.55000000000000004">
      <c r="A308" s="1" t="s">
        <v>1570</v>
      </c>
      <c r="B308" s="2">
        <f>COUNTIF(A:A,A308)-1</f>
        <v>4</v>
      </c>
      <c r="C308" s="2">
        <f>COUNTIF(A$1:A308,A308)-1</f>
        <v>3</v>
      </c>
      <c r="D308" s="2" t="str">
        <f>Argument!D308</f>
        <v>var</v>
      </c>
      <c r="E308" s="2" t="str">
        <f t="shared" si="8"/>
        <v/>
      </c>
      <c r="F308" s="2" t="str">
        <f>IF(C308=0,ISTEXT(FORMULA.CONVERT("="&amp;A308&amp;"("&amp;REPLACE(REPT(",#ref!",B308),1,1,"")&amp;")()",1)),"")</f>
        <v/>
      </c>
      <c r="G308" s="2">
        <f>TYPE(HLOOKUP(IF(1,1),IF(1,1),{1},IF(1,1)))</f>
        <v>16</v>
      </c>
      <c r="H308" s="2">
        <f t="shared" si="9"/>
        <v>1</v>
      </c>
      <c r="I308" s="2">
        <f>TYPE(HLOOKUP(IF(1,1),IF(1,1),IF(1,1),IF(1,1)))</f>
        <v>16</v>
      </c>
      <c r="J308" s="2" t="str">
        <f>IF(C308=0,COUNTIFS(A:A,A308,D:D,"a"),"")</f>
        <v/>
      </c>
      <c r="K308" s="2" t="e">
        <f>INDEX(+HLOOKUP(#REF!,#REF!,K308:L308,#REF!),)</f>
        <v>#REF!</v>
      </c>
      <c r="L308" s="1">
        <v>1</v>
      </c>
      <c r="M308" s="2" t="e">
        <f>INDEX(+HLOOKUP(#REF!,#REF!,INDIRECT(M308:N308),#REF!),)</f>
        <v>#REF!</v>
      </c>
    </row>
    <row r="309" spans="1:13" x14ac:dyDescent="0.55000000000000004">
      <c r="A309" s="1" t="s">
        <v>1570</v>
      </c>
      <c r="B309" s="2">
        <f>COUNTIF(A:A,A309)-1</f>
        <v>4</v>
      </c>
      <c r="C309" s="2">
        <f>COUNTIF(A$1:A309,A309)-1</f>
        <v>4</v>
      </c>
      <c r="D309" s="2" t="str">
        <f>Argument!D309</f>
        <v>v</v>
      </c>
      <c r="E309" s="2" t="str">
        <f t="shared" si="8"/>
        <v/>
      </c>
      <c r="F309" s="2" t="str">
        <f>IF(C309=0,ISTEXT(FORMULA.CONVERT("="&amp;A309&amp;"("&amp;REPLACE(REPT(",#ref!",B309),1,1,"")&amp;")()",1)),"")</f>
        <v/>
      </c>
      <c r="G309" s="2">
        <f>TYPE(HLOOKUP(IF(1,1),IF(1,1),IF(1,1),{1}))</f>
        <v>16</v>
      </c>
      <c r="H309" s="2">
        <f t="shared" si="9"/>
        <v>1</v>
      </c>
      <c r="I309" s="2">
        <f>TYPE(HLOOKUP(IF(1,1),IF(1,1),IF(1,1),IF(1,1)))</f>
        <v>16</v>
      </c>
      <c r="J309" s="2" t="str">
        <f>IF(C309=0,COUNTIFS(A:A,A309,D:D,"a"),"")</f>
        <v/>
      </c>
      <c r="K309" s="2" t="e">
        <f>INDEX(+HLOOKUP(#REF!,#REF!,#REF!,K309:L309),)</f>
        <v>#REF!</v>
      </c>
      <c r="M309" s="2" t="e">
        <f>INDEX(+HLOOKUP(#REF!,#REF!,#REF!,INDIRECT(M309:N309)),)</f>
        <v>#REF!</v>
      </c>
    </row>
    <row r="310" spans="1:13" x14ac:dyDescent="0.55000000000000004">
      <c r="A310" s="1" t="s">
        <v>1571</v>
      </c>
      <c r="B310" s="2">
        <f>COUNTIF(A:A,A310)-1</f>
        <v>4</v>
      </c>
      <c r="C310" s="2">
        <f>COUNTIF(A$1:A310,A310)-1</f>
        <v>0</v>
      </c>
      <c r="D310" s="2" t="str">
        <f>Argument!D310</f>
        <v/>
      </c>
      <c r="E310" s="2" t="str">
        <f t="shared" si="8"/>
        <v>va</v>
      </c>
      <c r="F310" s="2" t="b">
        <f>IF(C310=0,ISTEXT(FORMULA.CONVERT("="&amp;A310&amp;"("&amp;REPLACE(REPT(",#ref!",B310),1,1,"")&amp;")()",1)),"")</f>
        <v>0</v>
      </c>
      <c r="G310" s="2"/>
      <c r="H310" s="2" t="str">
        <f t="shared" si="9"/>
        <v/>
      </c>
      <c r="I310" s="2">
        <f>TYPE(VLOOKUP(IF(1,1),IF(1,1),IF(1,1),IF(1,1)))</f>
        <v>16</v>
      </c>
      <c r="J310" s="2">
        <f>IF(C310=0,COUNTIFS(A:A,A310,D:D,"a"),"")</f>
        <v>0</v>
      </c>
      <c r="K310" s="2"/>
      <c r="M310" s="2"/>
    </row>
    <row r="311" spans="1:13" x14ac:dyDescent="0.55000000000000004">
      <c r="A311" s="1" t="s">
        <v>1571</v>
      </c>
      <c r="B311" s="2">
        <f>COUNTIF(A:A,A311)-1</f>
        <v>4</v>
      </c>
      <c r="C311" s="2">
        <f>COUNTIF(A$1:A311,A311)-1</f>
        <v>1</v>
      </c>
      <c r="D311" s="2" t="str">
        <f>Argument!D311</f>
        <v>v</v>
      </c>
      <c r="E311" s="2" t="str">
        <f t="shared" si="8"/>
        <v/>
      </c>
      <c r="F311" s="2" t="str">
        <f>IF(C311=0,ISTEXT(FORMULA.CONVERT("="&amp;A311&amp;"("&amp;REPLACE(REPT(",#ref!",B311),1,1,"")&amp;")()",1)),"")</f>
        <v/>
      </c>
      <c r="G311" s="2">
        <f>TYPE(VLOOKUP({1},IF(1,1),IF(1,1),IF(1,1)))</f>
        <v>16</v>
      </c>
      <c r="H311" s="2">
        <f t="shared" si="9"/>
        <v>1</v>
      </c>
      <c r="I311" s="2">
        <f>TYPE(VLOOKUP(IF(1,1),IF(1,1),IF(1,1),IF(1,1)))</f>
        <v>16</v>
      </c>
      <c r="J311" s="2" t="str">
        <f>IF(C311=0,COUNTIFS(A:A,A311,D:D,"a"),"")</f>
        <v/>
      </c>
      <c r="K311" s="2" t="e">
        <f>INDEX(+VLOOKUP(K311:L311,#REF!,#REF!,#REF!),)</f>
        <v>#REF!</v>
      </c>
      <c r="M311" s="2" t="e">
        <f>INDEX(+VLOOKUP(INDIRECT(M311:N311),#REF!,#REF!,#REF!),)</f>
        <v>#REF!</v>
      </c>
    </row>
    <row r="312" spans="1:13" x14ac:dyDescent="0.55000000000000004">
      <c r="A312" s="1" t="s">
        <v>1571</v>
      </c>
      <c r="B312" s="2">
        <f>COUNTIF(A:A,A312)-1</f>
        <v>4</v>
      </c>
      <c r="C312" s="2">
        <f>COUNTIF(A$1:A312,A312)-1</f>
        <v>2</v>
      </c>
      <c r="D312" s="2" t="str">
        <f>Argument!D312</f>
        <v>var</v>
      </c>
      <c r="E312" s="2" t="str">
        <f t="shared" si="8"/>
        <v/>
      </c>
      <c r="F312" s="2" t="str">
        <f>IF(C312=0,ISTEXT(FORMULA.CONVERT("="&amp;A312&amp;"("&amp;REPLACE(REPT(",#ref!",B312),1,1,"")&amp;")()",1)),"")</f>
        <v/>
      </c>
      <c r="G312" s="2">
        <f>TYPE(VLOOKUP(IF(1,1),{1},IF(1,1),IF(1,1)))</f>
        <v>1</v>
      </c>
      <c r="H312" s="2">
        <f t="shared" si="9"/>
        <v>1</v>
      </c>
      <c r="I312" s="2">
        <f>TYPE(VLOOKUP(IF(1,1),IF(1,1),IF(1,1),IF(1,1)))</f>
        <v>16</v>
      </c>
      <c r="J312" s="2" t="str">
        <f>IF(C312=0,COUNTIFS(A:A,A312,D:D,"a"),"")</f>
        <v/>
      </c>
      <c r="K312" s="2" t="e">
        <f>INDEX(+VLOOKUP(#REF!,K312:L312,#REF!,#REF!),)</f>
        <v>#REF!</v>
      </c>
      <c r="L312" s="1">
        <v>1</v>
      </c>
      <c r="M312" s="2" t="e">
        <f>INDEX(+VLOOKUP(#REF!,INDIRECT(M312:N312),#REF!,#REF!),)</f>
        <v>#REF!</v>
      </c>
    </row>
    <row r="313" spans="1:13" x14ac:dyDescent="0.55000000000000004">
      <c r="A313" s="1" t="s">
        <v>1571</v>
      </c>
      <c r="B313" s="2">
        <f>COUNTIF(A:A,A313)-1</f>
        <v>4</v>
      </c>
      <c r="C313" s="2">
        <f>COUNTIF(A$1:A313,A313)-1</f>
        <v>3</v>
      </c>
      <c r="D313" s="2" t="str">
        <f>Argument!D313</f>
        <v>var</v>
      </c>
      <c r="E313" s="2" t="str">
        <f t="shared" si="8"/>
        <v/>
      </c>
      <c r="F313" s="2" t="str">
        <f>IF(C313=0,ISTEXT(FORMULA.CONVERT("="&amp;A313&amp;"("&amp;REPLACE(REPT(",#ref!",B313),1,1,"")&amp;")()",1)),"")</f>
        <v/>
      </c>
      <c r="G313" s="2">
        <f>TYPE(VLOOKUP(IF(1,1),IF(1,1),{1},IF(1,1)))</f>
        <v>16</v>
      </c>
      <c r="H313" s="2">
        <f t="shared" si="9"/>
        <v>1</v>
      </c>
      <c r="I313" s="2">
        <f>TYPE(VLOOKUP(IF(1,1),IF(1,1),IF(1,1),IF(1,1)))</f>
        <v>16</v>
      </c>
      <c r="J313" s="2" t="str">
        <f>IF(C313=0,COUNTIFS(A:A,A313,D:D,"a"),"")</f>
        <v/>
      </c>
      <c r="K313" s="2" t="e">
        <f>INDEX(+VLOOKUP(#REF!,#REF!,K313:L313,#REF!),)</f>
        <v>#REF!</v>
      </c>
      <c r="L313" s="1">
        <v>1</v>
      </c>
      <c r="M313" s="2" t="e">
        <f>INDEX(+VLOOKUP(#REF!,#REF!,INDIRECT(M313:N313),#REF!),)</f>
        <v>#REF!</v>
      </c>
    </row>
    <row r="314" spans="1:13" x14ac:dyDescent="0.55000000000000004">
      <c r="A314" s="1" t="s">
        <v>1571</v>
      </c>
      <c r="B314" s="2">
        <f>COUNTIF(A:A,A314)-1</f>
        <v>4</v>
      </c>
      <c r="C314" s="2">
        <f>COUNTIF(A$1:A314,A314)-1</f>
        <v>4</v>
      </c>
      <c r="D314" s="2" t="str">
        <f>Argument!D314</f>
        <v>v</v>
      </c>
      <c r="E314" s="2" t="str">
        <f t="shared" si="8"/>
        <v/>
      </c>
      <c r="F314" s="2" t="str">
        <f>IF(C314=0,ISTEXT(FORMULA.CONVERT("="&amp;A314&amp;"("&amp;REPLACE(REPT(",#ref!",B314),1,1,"")&amp;")()",1)),"")</f>
        <v/>
      </c>
      <c r="G314" s="2">
        <f>TYPE(VLOOKUP(IF(1,1),IF(1,1),IF(1,1),{1}))</f>
        <v>16</v>
      </c>
      <c r="H314" s="2">
        <f t="shared" si="9"/>
        <v>1</v>
      </c>
      <c r="I314" s="2">
        <f>TYPE(VLOOKUP(IF(1,1),IF(1,1),IF(1,1),IF(1,1)))</f>
        <v>16</v>
      </c>
      <c r="J314" s="2" t="str">
        <f>IF(C314=0,COUNTIFS(A:A,A314,D:D,"a"),"")</f>
        <v/>
      </c>
      <c r="K314" s="2" t="e">
        <f>INDEX(+VLOOKUP(#REF!,#REF!,#REF!,K314:L314),)</f>
        <v>#REF!</v>
      </c>
      <c r="M314" s="2" t="e">
        <f>INDEX(+VLOOKUP(#REF!,#REF!,#REF!,INDIRECT(M314:N314)),)</f>
        <v>#REF!</v>
      </c>
    </row>
    <row r="315" spans="1:13" x14ac:dyDescent="0.55000000000000004">
      <c r="A315" s="1" t="s">
        <v>1572</v>
      </c>
      <c r="B315" s="2">
        <f>COUNTIF(A:A,A315)-1</f>
        <v>2</v>
      </c>
      <c r="C315" s="2">
        <f>COUNTIF(A$1:A315,A315)-1</f>
        <v>0</v>
      </c>
      <c r="D315" s="2" t="str">
        <f>Argument!D315</f>
        <v/>
      </c>
      <c r="E315" s="2" t="str">
        <f t="shared" si="8"/>
        <v>va</v>
      </c>
      <c r="F315" s="2" t="b">
        <f>IF(C315=0,ISTEXT(FORMULA.CONVERT("="&amp;A315&amp;"("&amp;REPLACE(REPT(",#ref!",B315),1,1,"")&amp;")()",1)),"")</f>
        <v>0</v>
      </c>
      <c r="G315" s="2"/>
      <c r="H315" s="2" t="str">
        <f t="shared" si="9"/>
        <v/>
      </c>
      <c r="I315" s="2">
        <f>TYPE(LINKS(IF(1,1),IF(1,1)))</f>
        <v>16</v>
      </c>
      <c r="J315" s="2">
        <f>IF(C315=0,COUNTIFS(A:A,A315,D:D,"a"),"")</f>
        <v>0</v>
      </c>
      <c r="K315" s="2"/>
      <c r="M315" s="2"/>
    </row>
    <row r="316" spans="1:13" x14ac:dyDescent="0.55000000000000004">
      <c r="A316" s="1" t="s">
        <v>1572</v>
      </c>
      <c r="B316" s="2">
        <f>COUNTIF(A:A,A316)-1</f>
        <v>2</v>
      </c>
      <c r="C316" s="2">
        <f>COUNTIF(A$1:A316,A316)-1</f>
        <v>1</v>
      </c>
      <c r="D316" s="2" t="str">
        <f>Argument!D316</f>
        <v>v</v>
      </c>
      <c r="E316" s="2" t="str">
        <f t="shared" si="8"/>
        <v/>
      </c>
      <c r="F316" s="2" t="str">
        <f>IF(C316=0,ISTEXT(FORMULA.CONVERT("="&amp;A316&amp;"("&amp;REPLACE(REPT(",#ref!",B316),1,1,"")&amp;")()",1)),"")</f>
        <v/>
      </c>
      <c r="G316" s="2">
        <f>TYPE(LINKS({1},IF(1,1)))</f>
        <v>16</v>
      </c>
      <c r="H316" s="2">
        <f t="shared" si="9"/>
        <v>1</v>
      </c>
      <c r="I316" s="2">
        <f>TYPE(LINKS(IF(1,1),IF(1,1)))</f>
        <v>16</v>
      </c>
      <c r="J316" s="2" t="str">
        <f>IF(C316=0,COUNTIFS(A:A,A316,D:D,"a"),"")</f>
        <v/>
      </c>
      <c r="K316" s="2" t="e">
        <f>INDEX(+LINKS(K316:L316,#REF!),)</f>
        <v>#REF!</v>
      </c>
      <c r="M316" s="2" t="e">
        <f>INDEX(+LINKS(INDIRECT(M316:N316),#REF!),)</f>
        <v>#REF!</v>
      </c>
    </row>
    <row r="317" spans="1:13" x14ac:dyDescent="0.55000000000000004">
      <c r="A317" s="1" t="s">
        <v>1572</v>
      </c>
      <c r="B317" s="2">
        <f>COUNTIF(A:A,A317)-1</f>
        <v>2</v>
      </c>
      <c r="C317" s="2">
        <f>COUNTIF(A$1:A317,A317)-1</f>
        <v>2</v>
      </c>
      <c r="D317" s="2" t="str">
        <f>Argument!D317</f>
        <v>v</v>
      </c>
      <c r="E317" s="2" t="str">
        <f t="shared" si="8"/>
        <v/>
      </c>
      <c r="F317" s="2" t="str">
        <f>IF(C317=0,ISTEXT(FORMULA.CONVERT("="&amp;A317&amp;"("&amp;REPLACE(REPT(",#ref!",B317),1,1,"")&amp;")()",1)),"")</f>
        <v/>
      </c>
      <c r="G317" s="2">
        <f>TYPE(LINKS(IF(1,1),{1}))</f>
        <v>16</v>
      </c>
      <c r="H317" s="2">
        <f t="shared" si="9"/>
        <v>1</v>
      </c>
      <c r="I317" s="2">
        <f>TYPE(LINKS(IF(1,1),IF(1,1)))</f>
        <v>16</v>
      </c>
      <c r="J317" s="2" t="str">
        <f>IF(C317=0,COUNTIFS(A:A,A317,D:D,"a"),"")</f>
        <v/>
      </c>
      <c r="K317" s="2" t="e">
        <f>INDEX(+LINKS(#REF!,K317:L317),)</f>
        <v>#REF!</v>
      </c>
      <c r="M317" s="2" t="e">
        <f>INDEX(+LINKS(#REF!,INDIRECT(M317:N317)),)</f>
        <v>#REF!</v>
      </c>
    </row>
    <row r="318" spans="1:13" x14ac:dyDescent="0.55000000000000004">
      <c r="A318" s="1" t="s">
        <v>1573</v>
      </c>
      <c r="B318" s="2">
        <f>COUNTIF(A:A,A318)-1</f>
        <v>7</v>
      </c>
      <c r="C318" s="2">
        <f>COUNTIF(A$1:A318,A318)-1</f>
        <v>0</v>
      </c>
      <c r="D318" s="2" t="str">
        <f>Argument!D318</f>
        <v/>
      </c>
      <c r="E318" s="2" t="str">
        <f t="shared" si="8"/>
        <v>var</v>
      </c>
      <c r="F318" s="2" t="b">
        <f>IF(C318=0,ISTEXT(FORMULA.CONVERT("="&amp;A318&amp;"("&amp;REPLACE(REPT(",#ref!",B318),1,1,"")&amp;")()",1)),"")</f>
        <v>1</v>
      </c>
      <c r="G318" s="2"/>
      <c r="H318" s="2" t="str">
        <f t="shared" si="9"/>
        <v/>
      </c>
      <c r="I318" s="2">
        <f>TYPE(INPUT(IF(1,1),IF(1,1),IF(1,1),IF(1,1),IF(1,1),IF(1,1),IF(1,1)))</f>
        <v>4</v>
      </c>
      <c r="J318" s="2">
        <f>IF(C318=0,COUNTIFS(A:A,A318,D:D,"a"),"")</f>
        <v>0</v>
      </c>
      <c r="K318" s="2"/>
      <c r="M318" s="2"/>
    </row>
    <row r="319" spans="1:13" x14ac:dyDescent="0.55000000000000004">
      <c r="A319" s="1" t="s">
        <v>1573</v>
      </c>
      <c r="B319" s="2">
        <f>COUNTIF(A:A,A319)-1</f>
        <v>7</v>
      </c>
      <c r="C319" s="2">
        <f>COUNTIF(A$1:A319,A319)-1</f>
        <v>1</v>
      </c>
      <c r="D319" s="2" t="str">
        <f>Argument!D319</f>
        <v>v</v>
      </c>
      <c r="E319" s="2" t="str">
        <f t="shared" si="8"/>
        <v/>
      </c>
      <c r="F319" s="2" t="str">
        <f>IF(C319=0,ISTEXT(FORMULA.CONVERT("="&amp;A319&amp;"("&amp;REPLACE(REPT(",#ref!",B319),1,1,"")&amp;")()",1)),"")</f>
        <v/>
      </c>
      <c r="G319" s="2">
        <f>TYPE(INPUT({1},IF(1,1),IF(1,1),IF(1,1),IF(1,1),IF(1,1),IF(1,1)))</f>
        <v>4</v>
      </c>
      <c r="H319" s="2">
        <f t="shared" si="9"/>
        <v>1</v>
      </c>
      <c r="I319" s="2">
        <f>TYPE(INPUT(IF(1,1),IF(1,1),IF(1,1),IF(1,1),IF(1,1),IF(1,1),IF(1,1)))</f>
        <v>4</v>
      </c>
      <c r="J319" s="2" t="str">
        <f>IF(C319=0,COUNTIFS(A:A,A319,D:D,"a"),"")</f>
        <v/>
      </c>
      <c r="K319" s="2" t="e">
        <f>INDEX(+INPUT(K319:L319,#REF!,#REF!,#REF!,#REF!,#REF!,#REF!),)</f>
        <v>#REF!</v>
      </c>
      <c r="M319" s="2" t="e">
        <f>INDEX(+INPUT(INDIRECT(M319:N319),#REF!,#REF!,#REF!,#REF!,#REF!,#REF!),)</f>
        <v>#REF!</v>
      </c>
    </row>
    <row r="320" spans="1:13" x14ac:dyDescent="0.55000000000000004">
      <c r="A320" s="1" t="s">
        <v>1573</v>
      </c>
      <c r="B320" s="2">
        <f>COUNTIF(A:A,A320)-1</f>
        <v>7</v>
      </c>
      <c r="C320" s="2">
        <f>COUNTIF(A$1:A320,A320)-1</f>
        <v>2</v>
      </c>
      <c r="D320" s="2" t="str">
        <f>Argument!D320</f>
        <v>v</v>
      </c>
      <c r="E320" s="2" t="str">
        <f t="shared" si="8"/>
        <v/>
      </c>
      <c r="F320" s="2" t="str">
        <f>IF(C320=0,ISTEXT(FORMULA.CONVERT("="&amp;A320&amp;"("&amp;REPLACE(REPT(",#ref!",B320),1,1,"")&amp;")()",1)),"")</f>
        <v/>
      </c>
      <c r="G320" s="2">
        <f>TYPE(INPUT(IF(1,1),{1},IF(1,1),IF(1,1),IF(1,1),IF(1,1),IF(1,1)))</f>
        <v>4</v>
      </c>
      <c r="H320" s="2">
        <f t="shared" si="9"/>
        <v>1</v>
      </c>
      <c r="I320" s="2">
        <f>TYPE(INPUT(IF(1,1),IF(1,1),IF(1,1),IF(1,1),IF(1,1),IF(1,1),IF(1,1)))</f>
        <v>4</v>
      </c>
      <c r="J320" s="2" t="str">
        <f>IF(C320=0,COUNTIFS(A:A,A320,D:D,"a"),"")</f>
        <v/>
      </c>
      <c r="K320" s="2" t="e">
        <f>INDEX(+INPUT(#REF!,K320:L320,#REF!,#REF!,#REF!,#REF!,#REF!),)</f>
        <v>#REF!</v>
      </c>
      <c r="M320" s="2" t="e">
        <f>INDEX(+INPUT(#REF!,INDIRECT(M320:N320),#REF!,#REF!,#REF!,#REF!,#REF!),)</f>
        <v>#REF!</v>
      </c>
    </row>
    <row r="321" spans="1:14" x14ac:dyDescent="0.55000000000000004">
      <c r="A321" s="1" t="s">
        <v>1573</v>
      </c>
      <c r="B321" s="2">
        <f>COUNTIF(A:A,A321)-1</f>
        <v>7</v>
      </c>
      <c r="C321" s="2">
        <f>COUNTIF(A$1:A321,A321)-1</f>
        <v>3</v>
      </c>
      <c r="D321" s="2" t="str">
        <f>Argument!D321</f>
        <v>v</v>
      </c>
      <c r="E321" s="2" t="str">
        <f t="shared" si="8"/>
        <v/>
      </c>
      <c r="F321" s="2" t="str">
        <f>IF(C321=0,ISTEXT(FORMULA.CONVERT("="&amp;A321&amp;"("&amp;REPLACE(REPT(",#ref!",B321),1,1,"")&amp;")()",1)),"")</f>
        <v/>
      </c>
      <c r="G321" s="2">
        <f>TYPE(INPUT(IF(1,1),IF(1,1),{1},IF(1,1),IF(1,1),IF(1,1),IF(1,1)))</f>
        <v>4</v>
      </c>
      <c r="H321" s="2">
        <f t="shared" si="9"/>
        <v>1</v>
      </c>
      <c r="I321" s="2">
        <f>TYPE(INPUT(IF(1,1),IF(1,1),IF(1,1),IF(1,1),IF(1,1),IF(1,1),IF(1,1)))</f>
        <v>4</v>
      </c>
      <c r="J321" s="2" t="str">
        <f>IF(C321=0,COUNTIFS(A:A,A321,D:D,"a"),"")</f>
        <v/>
      </c>
      <c r="K321" s="2" t="e">
        <f>INDEX(+INPUT(#REF!,#REF!,K321:L321,#REF!,#REF!,#REF!,#REF!),)</f>
        <v>#REF!</v>
      </c>
      <c r="M321" s="2" t="e">
        <f>INDEX(+INPUT(#REF!,#REF!,INDIRECT(M321:N321),#REF!,#REF!,#REF!,#REF!),)</f>
        <v>#REF!</v>
      </c>
    </row>
    <row r="322" spans="1:14" x14ac:dyDescent="0.55000000000000004">
      <c r="A322" s="1" t="s">
        <v>1573</v>
      </c>
      <c r="B322" s="2">
        <f>COUNTIF(A:A,A322)-1</f>
        <v>7</v>
      </c>
      <c r="C322" s="2">
        <f>COUNTIF(A$1:A322,A322)-1</f>
        <v>4</v>
      </c>
      <c r="D322" s="2" t="str">
        <f>Argument!D322</f>
        <v>v</v>
      </c>
      <c r="E322" s="2" t="str">
        <f t="shared" ref="E322:E385" si="10">IF(C322=0,IF(SUMIFS(H:H,A:A,A322),IF(COUNTIFS(A:A,A322,G:G,64),,"v")&amp;IF(F322,"ar","a"),IF(F322,"r","v")),"")</f>
        <v/>
      </c>
      <c r="F322" s="2" t="str">
        <f>IF(C322=0,ISTEXT(FORMULA.CONVERT("="&amp;A322&amp;"("&amp;REPLACE(REPT(",#ref!",B322),1,1,"")&amp;")()",1)),"")</f>
        <v/>
      </c>
      <c r="G322" s="2">
        <f>TYPE(INPUT(IF(1,1),IF(1,1),IF(1,1),{1},IF(1,1),IF(1,1),IF(1,1)))</f>
        <v>4</v>
      </c>
      <c r="H322" s="2">
        <f t="shared" ref="H322:H385" si="11">IF((I322=64)*(J322=B322)+(1-L322)*COUNTIF(D322,"*v*")+(1-N322)*COUNTIF(D322,"*r*"),1,"")</f>
        <v>1</v>
      </c>
      <c r="I322" s="2">
        <f>TYPE(INPUT(IF(1,1),IF(1,1),IF(1,1),IF(1,1),IF(1,1),IF(1,1),IF(1,1)))</f>
        <v>4</v>
      </c>
      <c r="J322" s="2" t="str">
        <f>IF(C322=0,COUNTIFS(A:A,A322,D:D,"a"),"")</f>
        <v/>
      </c>
      <c r="K322" s="2" t="e">
        <f>INDEX(+INPUT(#REF!,#REF!,#REF!,K322:L322,#REF!,#REF!,#REF!),)</f>
        <v>#REF!</v>
      </c>
      <c r="M322" s="2" t="e">
        <f>INDEX(+INPUT(#REF!,#REF!,#REF!,INDIRECT(M322:N322),#REF!,#REF!,#REF!),)</f>
        <v>#REF!</v>
      </c>
    </row>
    <row r="323" spans="1:14" x14ac:dyDescent="0.55000000000000004">
      <c r="A323" s="1" t="s">
        <v>1573</v>
      </c>
      <c r="B323" s="2">
        <f>COUNTIF(A:A,A323)-1</f>
        <v>7</v>
      </c>
      <c r="C323" s="2">
        <f>COUNTIF(A$1:A323,A323)-1</f>
        <v>5</v>
      </c>
      <c r="D323" s="2" t="str">
        <f>Argument!D323</f>
        <v>v</v>
      </c>
      <c r="E323" s="2" t="str">
        <f t="shared" si="10"/>
        <v/>
      </c>
      <c r="F323" s="2" t="str">
        <f>IF(C323=0,ISTEXT(FORMULA.CONVERT("="&amp;A323&amp;"("&amp;REPLACE(REPT(",#ref!",B323),1,1,"")&amp;")()",1)),"")</f>
        <v/>
      </c>
      <c r="G323" s="2">
        <f>TYPE(INPUT(IF(1,1),IF(1,1),IF(1,1),IF(1,1),{1},IF(1,1),IF(1,1)))</f>
        <v>4</v>
      </c>
      <c r="H323" s="2">
        <f t="shared" si="11"/>
        <v>1</v>
      </c>
      <c r="I323" s="2">
        <f>TYPE(INPUT(IF(1,1),IF(1,1),IF(1,1),IF(1,1),IF(1,1),IF(1,1),IF(1,1)))</f>
        <v>4</v>
      </c>
      <c r="J323" s="2" t="str">
        <f>IF(C323=0,COUNTIFS(A:A,A323,D:D,"a"),"")</f>
        <v/>
      </c>
      <c r="K323" s="2" t="e">
        <f>INDEX(+INPUT(#REF!,#REF!,#REF!,#REF!,K323:L323,#REF!,#REF!),)</f>
        <v>#REF!</v>
      </c>
      <c r="M323" s="2" t="e">
        <f>INDEX(+INPUT(#REF!,#REF!,#REF!,#REF!,INDIRECT(M323:N323),#REF!,#REF!),)</f>
        <v>#REF!</v>
      </c>
    </row>
    <row r="324" spans="1:14" x14ac:dyDescent="0.55000000000000004">
      <c r="A324" s="1" t="s">
        <v>1573</v>
      </c>
      <c r="B324" s="2">
        <f>COUNTIF(A:A,A324)-1</f>
        <v>7</v>
      </c>
      <c r="C324" s="2">
        <f>COUNTIF(A$1:A324,A324)-1</f>
        <v>6</v>
      </c>
      <c r="D324" s="2" t="str">
        <f>Argument!D324</f>
        <v>v</v>
      </c>
      <c r="E324" s="2" t="str">
        <f t="shared" si="10"/>
        <v/>
      </c>
      <c r="F324" s="2" t="str">
        <f>IF(C324=0,ISTEXT(FORMULA.CONVERT("="&amp;A324&amp;"("&amp;REPLACE(REPT(",#ref!",B324),1,1,"")&amp;")()",1)),"")</f>
        <v/>
      </c>
      <c r="G324" s="2">
        <f>TYPE(INPUT(IF(1,1),IF(1,1),IF(1,1),IF(1,1),IF(1,1),{1},IF(1,1)))</f>
        <v>4</v>
      </c>
      <c r="H324" s="2">
        <f t="shared" si="11"/>
        <v>1</v>
      </c>
      <c r="I324" s="2">
        <f>TYPE(INPUT(IF(1,1),IF(1,1),IF(1,1),IF(1,1),IF(1,1),IF(1,1),IF(1,1)))</f>
        <v>4</v>
      </c>
      <c r="J324" s="2" t="str">
        <f>IF(C324=0,COUNTIFS(A:A,A324,D:D,"a"),"")</f>
        <v/>
      </c>
      <c r="K324" s="2" t="e">
        <f>INDEX(+INPUT(#REF!,#REF!,#REF!,#REF!,#REF!,K324:L324,#REF!),)</f>
        <v>#REF!</v>
      </c>
      <c r="M324" s="2" t="e">
        <f>INDEX(+INPUT(#REF!,#REF!,#REF!,#REF!,#REF!,INDIRECT(M324:N324),#REF!),)</f>
        <v>#REF!</v>
      </c>
    </row>
    <row r="325" spans="1:14" x14ac:dyDescent="0.55000000000000004">
      <c r="A325" s="1" t="s">
        <v>1573</v>
      </c>
      <c r="B325" s="2">
        <f>COUNTIF(A:A,A325)-1</f>
        <v>7</v>
      </c>
      <c r="C325" s="2">
        <f>COUNTIF(A$1:A325,A325)-1</f>
        <v>7</v>
      </c>
      <c r="D325" s="2" t="str">
        <f>Argument!D325</f>
        <v>v</v>
      </c>
      <c r="E325" s="2" t="str">
        <f t="shared" si="10"/>
        <v/>
      </c>
      <c r="F325" s="2" t="str">
        <f>IF(C325=0,ISTEXT(FORMULA.CONVERT("="&amp;A325&amp;"("&amp;REPLACE(REPT(",#ref!",B325),1,1,"")&amp;")()",1)),"")</f>
        <v/>
      </c>
      <c r="G325" s="2">
        <f>TYPE(INPUT(IF(1,1),IF(1,1),IF(1,1),IF(1,1),IF(1,1),IF(1,1),{1}))</f>
        <v>4</v>
      </c>
      <c r="H325" s="2">
        <f t="shared" si="11"/>
        <v>1</v>
      </c>
      <c r="I325" s="2">
        <f>TYPE(INPUT(IF(1,1),IF(1,1),IF(1,1),IF(1,1),IF(1,1),IF(1,1),IF(1,1)))</f>
        <v>4</v>
      </c>
      <c r="J325" s="2" t="str">
        <f>IF(C325=0,COUNTIFS(A:A,A325,D:D,"a"),"")</f>
        <v/>
      </c>
      <c r="K325" s="2" t="e">
        <f>INDEX(+INPUT(#REF!,#REF!,#REF!,#REF!,#REF!,#REF!,K325:L325),)</f>
        <v>#REF!</v>
      </c>
      <c r="M325" s="2" t="e">
        <f>INDEX(+INPUT(#REF!,#REF!,#REF!,#REF!,#REF!,#REF!,INDIRECT(M325:N325)),)</f>
        <v>#REF!</v>
      </c>
    </row>
    <row r="326" spans="1:14" x14ac:dyDescent="0.55000000000000004">
      <c r="A326" s="1" t="s">
        <v>1574</v>
      </c>
      <c r="B326" s="2">
        <f>COUNTIF(A:A,A326)-1</f>
        <v>1</v>
      </c>
      <c r="C326" s="2">
        <f>COUNTIF(A$1:A326,A326)-1</f>
        <v>0</v>
      </c>
      <c r="D326" s="2" t="str">
        <f>Argument!D326</f>
        <v/>
      </c>
      <c r="E326" s="2" t="str">
        <f t="shared" si="10"/>
        <v>v</v>
      </c>
      <c r="F326" s="2" t="b">
        <f>IF(C326=0,ISTEXT(FORMULA.CONVERT("="&amp;A326&amp;"("&amp;REPLACE(REPT(",#ref!",B326),1,1,"")&amp;")()",1)),"")</f>
        <v>0</v>
      </c>
      <c r="G326" s="2"/>
      <c r="H326" s="2" t="str">
        <f t="shared" si="11"/>
        <v/>
      </c>
      <c r="I326" s="2">
        <f>TYPE(ISREF(IF(1,1)))</f>
        <v>4</v>
      </c>
      <c r="J326" s="2">
        <f>IF(C326=0,COUNTIFS(A:A,A326,D:D,"a"),"")</f>
        <v>0</v>
      </c>
      <c r="K326" s="2"/>
      <c r="M326" s="2"/>
    </row>
    <row r="327" spans="1:14" x14ac:dyDescent="0.55000000000000004">
      <c r="A327" s="1" t="s">
        <v>1574</v>
      </c>
      <c r="B327" s="2">
        <f>COUNTIF(A:A,A327)-1</f>
        <v>1</v>
      </c>
      <c r="C327" s="2">
        <f>COUNTIF(A$1:A327,A327)-1</f>
        <v>1</v>
      </c>
      <c r="D327" s="2" t="str">
        <f>Argument!D327</f>
        <v>var</v>
      </c>
      <c r="E327" s="2" t="str">
        <f t="shared" si="10"/>
        <v/>
      </c>
      <c r="F327" s="2" t="str">
        <f>IF(C327=0,ISTEXT(FORMULA.CONVERT("="&amp;A327&amp;"("&amp;REPLACE(REPT(",#ref!",B327),1,1,"")&amp;")()",1)),"")</f>
        <v/>
      </c>
      <c r="G327" s="2">
        <f>TYPE(ISREF({1}))</f>
        <v>4</v>
      </c>
      <c r="H327" s="2" t="str">
        <f t="shared" si="11"/>
        <v/>
      </c>
      <c r="I327" s="2">
        <f>TYPE(ISREF(IF(1,1)))</f>
        <v>4</v>
      </c>
      <c r="J327" s="2" t="str">
        <f>IF(C327=0,COUNTIFS(A:A,A327,D:D,"a"),"")</f>
        <v/>
      </c>
      <c r="K327" s="2" t="e">
        <f>INDEX(+ISREF(K327:L327),)</f>
        <v>#VALUE!</v>
      </c>
      <c r="L327" s="1">
        <v>1</v>
      </c>
      <c r="M327" s="2" t="e">
        <f>INDEX(+ISREF(INDIRECT(M327:N327)),)</f>
        <v>#VALUE!</v>
      </c>
      <c r="N327" s="1">
        <v>1</v>
      </c>
    </row>
    <row r="328" spans="1:14" x14ac:dyDescent="0.55000000000000004">
      <c r="A328" s="1" t="s">
        <v>1575</v>
      </c>
      <c r="B328" s="2">
        <f>COUNTIF(A:A,A328)-1</f>
        <v>1</v>
      </c>
      <c r="C328" s="2">
        <f>COUNTIF(A$1:A328,A328)-1</f>
        <v>0</v>
      </c>
      <c r="D328" s="2" t="str">
        <f>Argument!D328</f>
        <v/>
      </c>
      <c r="E328" s="2" t="str">
        <f t="shared" si="10"/>
        <v>v</v>
      </c>
      <c r="F328" s="2" t="b">
        <f>IF(C328=0,ISTEXT(FORMULA.CONVERT("="&amp;A328&amp;"("&amp;REPLACE(REPT(",#ref!",B328),1,1,"")&amp;")()",1)),"")</f>
        <v>0</v>
      </c>
      <c r="G328" s="2"/>
      <c r="H328" s="2" t="str">
        <f t="shared" si="11"/>
        <v/>
      </c>
      <c r="I328" s="2">
        <f>TYPE(GET.FORMULA(IF(1,1)))</f>
        <v>16</v>
      </c>
      <c r="J328" s="2">
        <f>IF(C328=0,COUNTIFS(A:A,A328,D:D,"a"),"")</f>
        <v>0</v>
      </c>
      <c r="K328" s="2"/>
      <c r="M328" s="2"/>
    </row>
    <row r="329" spans="1:14" x14ac:dyDescent="0.55000000000000004">
      <c r="A329" s="1" t="s">
        <v>1575</v>
      </c>
      <c r="B329" s="2">
        <f>COUNTIF(A:A,A329)-1</f>
        <v>1</v>
      </c>
      <c r="C329" s="2">
        <f>COUNTIF(A$1:A329,A329)-1</f>
        <v>1</v>
      </c>
      <c r="D329" s="2" t="str">
        <f>Argument!D329</f>
        <v>vr</v>
      </c>
      <c r="E329" s="2" t="str">
        <f t="shared" si="10"/>
        <v/>
      </c>
      <c r="F329" s="2" t="str">
        <f>IF(C329=0,ISTEXT(FORMULA.CONVERT("="&amp;A329&amp;"("&amp;REPLACE(REPT(",#ref!",B329),1,1,"")&amp;")()",1)),"")</f>
        <v/>
      </c>
      <c r="G329" s="2">
        <f>TYPE(GET.FORMULA({1}))</f>
        <v>64</v>
      </c>
      <c r="H329" s="2" t="str">
        <f t="shared" si="11"/>
        <v/>
      </c>
      <c r="I329" s="2">
        <f>TYPE(GET.FORMULA(IF(1,1)))</f>
        <v>16</v>
      </c>
      <c r="J329" s="2" t="str">
        <f>IF(C329=0,COUNTIFS(A:A,A329,D:D,"a"),"")</f>
        <v/>
      </c>
      <c r="K329" s="2" t="e">
        <f>INDEX(+GET.FORMULA(K329:L329),)</f>
        <v>#VALUE!</v>
      </c>
      <c r="L329" s="1">
        <v>1</v>
      </c>
      <c r="M329" s="2" t="e">
        <f>INDEX(+GET.FORMULA(INDIRECT(M329:N329)),)</f>
        <v>#REF!</v>
      </c>
      <c r="N329" s="1">
        <v>1</v>
      </c>
    </row>
    <row r="330" spans="1:14" x14ac:dyDescent="0.55000000000000004">
      <c r="A330" s="1" t="s">
        <v>1576</v>
      </c>
      <c r="B330" s="2">
        <f>COUNTIF(A:A,A330)-1</f>
        <v>2</v>
      </c>
      <c r="C330" s="2">
        <f>COUNTIF(A$1:A330,A330)-1</f>
        <v>0</v>
      </c>
      <c r="D330" s="2" t="str">
        <f>Argument!D330</f>
        <v/>
      </c>
      <c r="E330" s="2" t="str">
        <f t="shared" si="10"/>
        <v>v</v>
      </c>
      <c r="F330" s="2" t="b">
        <f>IF(C330=0,ISTEXT(FORMULA.CONVERT("="&amp;A330&amp;"("&amp;REPLACE(REPT(",#ref!",B330),1,1,"")&amp;")()",1)),"")</f>
        <v>0</v>
      </c>
      <c r="G330" s="2"/>
      <c r="H330" s="2" t="str">
        <f t="shared" si="11"/>
        <v/>
      </c>
      <c r="I330" s="2">
        <f>TYPE(GET.NAME(IF(1,1),IF(1,1)))</f>
        <v>16</v>
      </c>
      <c r="J330" s="2">
        <f>IF(C330=0,COUNTIFS(A:A,A330,D:D,"a"),"")</f>
        <v>0</v>
      </c>
      <c r="K330" s="2"/>
      <c r="M330" s="2"/>
    </row>
    <row r="331" spans="1:14" x14ac:dyDescent="0.55000000000000004">
      <c r="A331" s="1" t="s">
        <v>1576</v>
      </c>
      <c r="B331" s="2">
        <f>COUNTIF(A:A,A331)-1</f>
        <v>2</v>
      </c>
      <c r="C331" s="2">
        <f>COUNTIF(A$1:A331,A331)-1</f>
        <v>1</v>
      </c>
      <c r="D331" s="2" t="str">
        <f>Argument!D331</f>
        <v>v</v>
      </c>
      <c r="E331" s="2" t="str">
        <f t="shared" si="10"/>
        <v/>
      </c>
      <c r="F331" s="2" t="str">
        <f>IF(C331=0,ISTEXT(FORMULA.CONVERT("="&amp;A331&amp;"("&amp;REPLACE(REPT(",#ref!",B331),1,1,"")&amp;")()",1)),"")</f>
        <v/>
      </c>
      <c r="G331" s="2">
        <f>TYPE(GET.NAME({1},IF(1,1)))</f>
        <v>64</v>
      </c>
      <c r="H331" s="2" t="str">
        <f t="shared" si="11"/>
        <v/>
      </c>
      <c r="I331" s="2">
        <f>TYPE(GET.NAME(IF(1,1),IF(1,1)))</f>
        <v>16</v>
      </c>
      <c r="J331" s="2" t="str">
        <f>IF(C331=0,COUNTIFS(A:A,A331,D:D,"a"),"")</f>
        <v/>
      </c>
      <c r="K331" s="2" t="e">
        <f>INDEX(+GET.NAME(K331:L331,#REF!),)</f>
        <v>#REF!</v>
      </c>
      <c r="L331" s="1">
        <v>1</v>
      </c>
      <c r="M331" s="2" t="e">
        <f>INDEX(+GET.NAME(INDIRECT(M331:N331),#REF!),)</f>
        <v>#REF!</v>
      </c>
      <c r="N331" s="1">
        <v>1</v>
      </c>
    </row>
    <row r="332" spans="1:14" x14ac:dyDescent="0.55000000000000004">
      <c r="A332" s="1" t="s">
        <v>1576</v>
      </c>
      <c r="B332" s="2">
        <f>COUNTIF(A:A,A332)-1</f>
        <v>2</v>
      </c>
      <c r="C332" s="2">
        <f>COUNTIF(A$1:A332,A332)-1</f>
        <v>2</v>
      </c>
      <c r="D332" s="2" t="str">
        <f>Argument!D332</f>
        <v>v</v>
      </c>
      <c r="E332" s="2" t="str">
        <f t="shared" si="10"/>
        <v/>
      </c>
      <c r="F332" s="2" t="str">
        <f>IF(C332=0,ISTEXT(FORMULA.CONVERT("="&amp;A332&amp;"("&amp;REPLACE(REPT(",#ref!",B332),1,1,"")&amp;")()",1)),"")</f>
        <v/>
      </c>
      <c r="G332" s="2">
        <f>TYPE(GET.NAME(IF(1,1),{1}))</f>
        <v>64</v>
      </c>
      <c r="H332" s="2" t="str">
        <f t="shared" si="11"/>
        <v/>
      </c>
      <c r="I332" s="2">
        <f>TYPE(GET.NAME(IF(1,1),IF(1,1)))</f>
        <v>16</v>
      </c>
      <c r="J332" s="2" t="str">
        <f>IF(C332=0,COUNTIFS(A:A,A332,D:D,"a"),"")</f>
        <v/>
      </c>
      <c r="K332" s="2" t="e">
        <f>INDEX(+GET.NAME(#REF!,K332:L332),)</f>
        <v>#REF!</v>
      </c>
      <c r="L332" s="1">
        <v>1</v>
      </c>
      <c r="M332" s="2" t="e">
        <f>INDEX(+GET.NAME(#REF!,INDIRECT(M332:N332)),)</f>
        <v>#REF!</v>
      </c>
      <c r="N332" s="1">
        <v>1</v>
      </c>
    </row>
    <row r="333" spans="1:14" x14ac:dyDescent="0.55000000000000004">
      <c r="A333" s="1" t="s">
        <v>1577</v>
      </c>
      <c r="B333" s="2">
        <f>COUNTIF(A:A,A333)-1</f>
        <v>2</v>
      </c>
      <c r="C333" s="2">
        <f>COUNTIF(A$1:A333,A333)-1</f>
        <v>0</v>
      </c>
      <c r="D333" s="2" t="str">
        <f>Argument!D333</f>
        <v/>
      </c>
      <c r="E333" s="2" t="str">
        <f t="shared" si="10"/>
        <v>v</v>
      </c>
      <c r="F333" s="2" t="b">
        <f>IF(C333=0,ISTEXT(FORMULA.CONVERT("="&amp;A333&amp;"("&amp;REPLACE(REPT(",#ref!",B333),1,1,"")&amp;")()",1)),"")</f>
        <v>0</v>
      </c>
      <c r="G333" s="2"/>
      <c r="H333" s="2" t="str">
        <f t="shared" si="11"/>
        <v/>
      </c>
      <c r="I333" s="2">
        <f>TYPE(SET.VALUE(IF(1,1),IF(1,1)))</f>
        <v>4</v>
      </c>
      <c r="J333" s="2">
        <f>IF(C333=0,COUNTIFS(A:A,A333,D:D,"a"),"")</f>
        <v>0</v>
      </c>
      <c r="K333" s="2"/>
      <c r="M333" s="2"/>
    </row>
    <row r="334" spans="1:14" x14ac:dyDescent="0.55000000000000004">
      <c r="A334" s="1" t="s">
        <v>1577</v>
      </c>
      <c r="B334" s="2">
        <f>COUNTIF(A:A,A334)-1</f>
        <v>2</v>
      </c>
      <c r="C334" s="2">
        <f>COUNTIF(A$1:A334,A334)-1</f>
        <v>1</v>
      </c>
      <c r="D334" s="2" t="str">
        <f>Argument!D334</f>
        <v>r</v>
      </c>
      <c r="E334" s="2" t="str">
        <f t="shared" si="10"/>
        <v/>
      </c>
      <c r="F334" s="2" t="str">
        <f>IF(C334=0,ISTEXT(FORMULA.CONVERT("="&amp;A334&amp;"("&amp;REPLACE(REPT(",#ref!",B334),1,1,"")&amp;")()",1)),"")</f>
        <v/>
      </c>
      <c r="G334" s="2"/>
      <c r="H334" s="2" t="str">
        <f t="shared" si="11"/>
        <v/>
      </c>
      <c r="I334" s="2">
        <f>TYPE(SET.VALUE(IF(1,1),IF(1,1)))</f>
        <v>4</v>
      </c>
      <c r="J334" s="2" t="str">
        <f>IF(C334=0,COUNTIFS(A:A,A334,D:D,"a"),"")</f>
        <v/>
      </c>
      <c r="K334" s="2" t="e">
        <f>INDEX(+SET.VALUE(K334:L334,#REF!),)</f>
        <v>#VALUE!</v>
      </c>
      <c r="L334" s="1">
        <v>1</v>
      </c>
      <c r="M334" s="2" t="b">
        <f>INDEX(+SET.VALUE(INDIRECT(M334:N334),#REF!),)</f>
        <v>0</v>
      </c>
      <c r="N334" s="1">
        <v>1</v>
      </c>
    </row>
    <row r="335" spans="1:14" x14ac:dyDescent="0.55000000000000004">
      <c r="A335" s="1" t="s">
        <v>1577</v>
      </c>
      <c r="B335" s="2">
        <f>COUNTIF(A:A,A335)-1</f>
        <v>2</v>
      </c>
      <c r="C335" s="2">
        <f>COUNTIF(A$1:A335,A335)-1</f>
        <v>2</v>
      </c>
      <c r="D335" s="2" t="str">
        <f>Argument!D335</f>
        <v>va</v>
      </c>
      <c r="E335" s="2" t="str">
        <f t="shared" si="10"/>
        <v/>
      </c>
      <c r="F335" s="2" t="str">
        <f>IF(C335=0,ISTEXT(FORMULA.CONVERT("="&amp;A335&amp;"("&amp;REPLACE(REPT(",#ref!",B335),1,1,"")&amp;")()",1)),"")</f>
        <v/>
      </c>
      <c r="G335" s="2">
        <f>TYPE(SET.VALUE(IF(1,1),{1}))</f>
        <v>4</v>
      </c>
      <c r="H335" s="2" t="str">
        <f t="shared" si="11"/>
        <v/>
      </c>
      <c r="I335" s="2">
        <f>TYPE(SET.VALUE(IF(1,1),IF(1,1)))</f>
        <v>4</v>
      </c>
      <c r="J335" s="2" t="str">
        <f>IF(C335=0,COUNTIFS(A:A,A335,D:D,"a"),"")</f>
        <v/>
      </c>
      <c r="K335" s="2" t="e">
        <f>INDEX(+SET.VALUE(#REF!,K335:L335),)</f>
        <v>#VALUE!</v>
      </c>
      <c r="L335" s="1">
        <v>1</v>
      </c>
      <c r="M335" s="2" t="e">
        <f>INDEX(+SET.VALUE(#REF!,INDIRECT(M335:N335)),)</f>
        <v>#VALUE!</v>
      </c>
    </row>
    <row r="336" spans="1:14" x14ac:dyDescent="0.55000000000000004">
      <c r="A336" s="1" t="s">
        <v>1578</v>
      </c>
      <c r="B336" s="2">
        <f>COUNTIF(A:A,A336)-1</f>
        <v>2</v>
      </c>
      <c r="C336" s="2">
        <f>COUNTIF(A$1:A336,A336)-1</f>
        <v>0</v>
      </c>
      <c r="D336" s="2" t="str">
        <f>Argument!D336</f>
        <v/>
      </c>
      <c r="E336" s="2" t="str">
        <f t="shared" si="10"/>
        <v>v</v>
      </c>
      <c r="F336" s="2" t="b">
        <f>IF(C336=0,ISTEXT(FORMULA.CONVERT("="&amp;A336&amp;"("&amp;REPLACE(REPT(",#ref!",B336),1,1,"")&amp;")()",1)),"")</f>
        <v>0</v>
      </c>
      <c r="G336" s="2"/>
      <c r="H336" s="2" t="str">
        <f t="shared" si="11"/>
        <v/>
      </c>
      <c r="I336" s="2">
        <f>TYPE(LOG(IF(1,1),IF(1,1)))</f>
        <v>16</v>
      </c>
      <c r="J336" s="2">
        <f>IF(C336=0,COUNTIFS(A:A,A336,D:D,"a"),"")</f>
        <v>0</v>
      </c>
      <c r="K336" s="2"/>
      <c r="M336" s="2"/>
    </row>
    <row r="337" spans="1:14" x14ac:dyDescent="0.55000000000000004">
      <c r="A337" s="1" t="s">
        <v>1578</v>
      </c>
      <c r="B337" s="2">
        <f>COUNTIF(A:A,A337)-1</f>
        <v>2</v>
      </c>
      <c r="C337" s="2">
        <f>COUNTIF(A$1:A337,A337)-1</f>
        <v>1</v>
      </c>
      <c r="D337" s="2" t="str">
        <f>Argument!D337</f>
        <v>v</v>
      </c>
      <c r="E337" s="2" t="str">
        <f t="shared" si="10"/>
        <v/>
      </c>
      <c r="F337" s="2" t="str">
        <f>IF(C337=0,ISTEXT(FORMULA.CONVERT("="&amp;A337&amp;"("&amp;REPLACE(REPT(",#ref!",B337),1,1,"")&amp;")()",1)),"")</f>
        <v/>
      </c>
      <c r="G337" s="2">
        <f>TYPE(LOG({1},IF(1,1)))</f>
        <v>64</v>
      </c>
      <c r="H337" s="2" t="str">
        <f t="shared" si="11"/>
        <v/>
      </c>
      <c r="I337" s="2">
        <f>TYPE(LOG(IF(1,1),IF(1,1)))</f>
        <v>16</v>
      </c>
      <c r="J337" s="2" t="str">
        <f>IF(C337=0,COUNTIFS(A:A,A337,D:D,"a"),"")</f>
        <v/>
      </c>
      <c r="K337" s="2" t="e">
        <f>INDEX(+LOG(K337:L337,#REF!),)</f>
        <v>#REF!</v>
      </c>
      <c r="L337" s="1">
        <v>1</v>
      </c>
      <c r="M337" s="2" t="e">
        <f>INDEX(+LOG(INDIRECT(M337:N337),#REF!),)</f>
        <v>#REF!</v>
      </c>
      <c r="N337" s="1">
        <v>1</v>
      </c>
    </row>
    <row r="338" spans="1:14" x14ac:dyDescent="0.55000000000000004">
      <c r="A338" s="1" t="s">
        <v>1578</v>
      </c>
      <c r="B338" s="2">
        <f>COUNTIF(A:A,A338)-1</f>
        <v>2</v>
      </c>
      <c r="C338" s="2">
        <f>COUNTIF(A$1:A338,A338)-1</f>
        <v>2</v>
      </c>
      <c r="D338" s="2" t="str">
        <f>Argument!D338</f>
        <v>v</v>
      </c>
      <c r="E338" s="2" t="str">
        <f t="shared" si="10"/>
        <v/>
      </c>
      <c r="F338" s="2" t="str">
        <f>IF(C338=0,ISTEXT(FORMULA.CONVERT("="&amp;A338&amp;"("&amp;REPLACE(REPT(",#ref!",B338),1,1,"")&amp;")()",1)),"")</f>
        <v/>
      </c>
      <c r="G338" s="2">
        <f>TYPE(LOG(IF(1,1),{1}))</f>
        <v>64</v>
      </c>
      <c r="H338" s="2" t="str">
        <f t="shared" si="11"/>
        <v/>
      </c>
      <c r="I338" s="2">
        <f>TYPE(LOG(IF(1,1),IF(1,1)))</f>
        <v>16</v>
      </c>
      <c r="J338" s="2" t="str">
        <f>IF(C338=0,COUNTIFS(A:A,A338,D:D,"a"),"")</f>
        <v/>
      </c>
      <c r="K338" s="2" t="e">
        <f>INDEX(+LOG(#REF!,K338:L338),)</f>
        <v>#REF!</v>
      </c>
      <c r="L338" s="1">
        <v>1</v>
      </c>
      <c r="M338" s="2" t="e">
        <f>INDEX(+LOG(#REF!,INDIRECT(M338:N338)),)</f>
        <v>#REF!</v>
      </c>
      <c r="N338" s="1">
        <v>1</v>
      </c>
    </row>
    <row r="339" spans="1:14" x14ac:dyDescent="0.55000000000000004">
      <c r="A339" s="1" t="s">
        <v>1579</v>
      </c>
      <c r="B339" s="2">
        <f>COUNTIF(A:A,A339)-1</f>
        <v>2</v>
      </c>
      <c r="C339" s="2">
        <f>COUNTIF(A$1:A339,A339)-1</f>
        <v>0</v>
      </c>
      <c r="D339" s="2" t="str">
        <f>Argument!D339</f>
        <v/>
      </c>
      <c r="E339" s="2" t="str">
        <f t="shared" si="10"/>
        <v>v</v>
      </c>
      <c r="F339" s="2" t="b">
        <f>IF(C339=0,ISTEXT(FORMULA.CONVERT("="&amp;A339&amp;"("&amp;REPLACE(REPT(",#ref!",B339),1,1,"")&amp;")()",1)),"")</f>
        <v>0</v>
      </c>
      <c r="G339" s="2"/>
      <c r="H339" s="2" t="str">
        <f t="shared" si="11"/>
        <v/>
      </c>
      <c r="I339" s="2">
        <f>TYPE(EXEC(IF(1,1),IF(1,1)))</f>
        <v>4</v>
      </c>
      <c r="J339" s="2">
        <f>IF(C339=0,COUNTIFS(A:A,A339,D:D,"a"),"")</f>
        <v>0</v>
      </c>
      <c r="K339" s="2"/>
      <c r="M339" s="2"/>
    </row>
    <row r="340" spans="1:14" x14ac:dyDescent="0.55000000000000004">
      <c r="A340" s="1" t="s">
        <v>1579</v>
      </c>
      <c r="B340" s="2">
        <f>COUNTIF(A:A,A340)-1</f>
        <v>2</v>
      </c>
      <c r="C340" s="2">
        <f>COUNTIF(A$1:A340,A340)-1</f>
        <v>1</v>
      </c>
      <c r="D340" s="2" t="str">
        <f>Argument!D340</f>
        <v>v</v>
      </c>
      <c r="E340" s="2" t="str">
        <f t="shared" si="10"/>
        <v/>
      </c>
      <c r="F340" s="2" t="str">
        <f>IF(C340=0,ISTEXT(FORMULA.CONVERT("="&amp;A340&amp;"("&amp;REPLACE(REPT(",#ref!",B340),1,1,"")&amp;")()",1)),"")</f>
        <v/>
      </c>
      <c r="G340" s="2">
        <f>TYPE(EXEC({1},IF(1,1)))</f>
        <v>64</v>
      </c>
      <c r="H340" s="2" t="str">
        <f t="shared" si="11"/>
        <v/>
      </c>
      <c r="I340" s="2">
        <f>TYPE(EXEC(IF(1,1),IF(1,1)))</f>
        <v>4</v>
      </c>
      <c r="J340" s="2" t="str">
        <f>IF(C340=0,COUNTIFS(A:A,A340,D:D,"a"),"")</f>
        <v/>
      </c>
      <c r="K340" s="2" t="e">
        <f>INDEX(+EXEC(K340:L340,#REF!),)</f>
        <v>#REF!</v>
      </c>
      <c r="L340" s="1">
        <v>1</v>
      </c>
      <c r="M340" s="2" t="e">
        <f>INDEX(+EXEC(INDIRECT(M340:N340),#REF!),)</f>
        <v>#REF!</v>
      </c>
      <c r="N340" s="1">
        <v>1</v>
      </c>
    </row>
    <row r="341" spans="1:14" x14ac:dyDescent="0.55000000000000004">
      <c r="A341" s="1" t="s">
        <v>1579</v>
      </c>
      <c r="B341" s="2">
        <f>COUNTIF(A:A,A341)-1</f>
        <v>2</v>
      </c>
      <c r="C341" s="2">
        <f>COUNTIF(A$1:A341,A341)-1</f>
        <v>2</v>
      </c>
      <c r="D341" s="2" t="str">
        <f>Argument!D341</f>
        <v>v</v>
      </c>
      <c r="E341" s="2" t="str">
        <f t="shared" si="10"/>
        <v/>
      </c>
      <c r="F341" s="2" t="str">
        <f>IF(C341=0,ISTEXT(FORMULA.CONVERT("="&amp;A341&amp;"("&amp;REPLACE(REPT(",#ref!",B341),1,1,"")&amp;")()",1)),"")</f>
        <v/>
      </c>
      <c r="G341" s="2">
        <f>TYPE(EXEC(IF(1,1),{1}))</f>
        <v>64</v>
      </c>
      <c r="H341" s="2" t="str">
        <f t="shared" si="11"/>
        <v/>
      </c>
      <c r="I341" s="2">
        <f>TYPE(EXEC(IF(1,1),IF(1,1)))</f>
        <v>4</v>
      </c>
      <c r="J341" s="2" t="str">
        <f>IF(C341=0,COUNTIFS(A:A,A341,D:D,"a"),"")</f>
        <v/>
      </c>
      <c r="K341" s="2" t="e">
        <f>INDEX(+EXEC(#REF!,K341:L341),)</f>
        <v>#REF!</v>
      </c>
      <c r="L341" s="1">
        <v>1</v>
      </c>
      <c r="M341" s="2" t="e">
        <f>INDEX(+EXEC(#REF!,INDIRECT(M341:N341)),)</f>
        <v>#REF!</v>
      </c>
      <c r="N341" s="1">
        <v>1</v>
      </c>
    </row>
    <row r="342" spans="1:14" x14ac:dyDescent="0.55000000000000004">
      <c r="A342" s="1" t="s">
        <v>1580</v>
      </c>
      <c r="B342" s="2">
        <f>COUNTIF(A:A,A342)-1</f>
        <v>1</v>
      </c>
      <c r="C342" s="2">
        <f>COUNTIF(A$1:A342,A342)-1</f>
        <v>0</v>
      </c>
      <c r="D342" s="2" t="str">
        <f>Argument!D342</f>
        <v/>
      </c>
      <c r="E342" s="2" t="str">
        <f t="shared" si="10"/>
        <v>v</v>
      </c>
      <c r="F342" s="2" t="b">
        <f>IF(C342=0,ISTEXT(FORMULA.CONVERT("="&amp;A342&amp;"("&amp;REPLACE(REPT(",#ref!",B342),1,1,"")&amp;")()",1)),"")</f>
        <v>0</v>
      </c>
      <c r="G342" s="2"/>
      <c r="H342" s="2" t="str">
        <f t="shared" si="11"/>
        <v/>
      </c>
      <c r="I342" s="2">
        <f>TYPE(CHAR(IF(1,1)))</f>
        <v>2</v>
      </c>
      <c r="J342" s="2">
        <f>IF(C342=0,COUNTIFS(A:A,A342,D:D,"a"),"")</f>
        <v>0</v>
      </c>
      <c r="K342" s="2"/>
      <c r="M342" s="2"/>
    </row>
    <row r="343" spans="1:14" x14ac:dyDescent="0.55000000000000004">
      <c r="A343" s="1" t="s">
        <v>1580</v>
      </c>
      <c r="B343" s="2">
        <f>COUNTIF(A:A,A343)-1</f>
        <v>1</v>
      </c>
      <c r="C343" s="2">
        <f>COUNTIF(A$1:A343,A343)-1</f>
        <v>1</v>
      </c>
      <c r="D343" s="2" t="str">
        <f>Argument!D343</f>
        <v>v</v>
      </c>
      <c r="E343" s="2" t="str">
        <f t="shared" si="10"/>
        <v/>
      </c>
      <c r="F343" s="2" t="str">
        <f>IF(C343=0,ISTEXT(FORMULA.CONVERT("="&amp;A343&amp;"("&amp;REPLACE(REPT(",#ref!",B343),1,1,"")&amp;")()",1)),"")</f>
        <v/>
      </c>
      <c r="G343" s="2">
        <f>TYPE(CHAR({1}))</f>
        <v>64</v>
      </c>
      <c r="H343" s="2" t="str">
        <f t="shared" si="11"/>
        <v/>
      </c>
      <c r="I343" s="2">
        <f>TYPE(CHAR(IF(1,1)))</f>
        <v>2</v>
      </c>
      <c r="J343" s="2" t="str">
        <f>IF(C343=0,COUNTIFS(A:A,A343,D:D,"a"),"")</f>
        <v/>
      </c>
      <c r="K343" s="2" t="e">
        <f>INDEX(+CHAR(K343:L343),)</f>
        <v>#VALUE!</v>
      </c>
      <c r="L343" s="1">
        <v>1</v>
      </c>
      <c r="M343" s="2" t="e">
        <f>INDEX(+CHAR(INDIRECT(M343:N343)),)</f>
        <v>#REF!</v>
      </c>
      <c r="N343" s="1">
        <v>1</v>
      </c>
    </row>
    <row r="344" spans="1:14" x14ac:dyDescent="0.55000000000000004">
      <c r="A344" s="1" t="s">
        <v>1581</v>
      </c>
      <c r="B344" s="2">
        <f>COUNTIF(A:A,A344)-1</f>
        <v>1</v>
      </c>
      <c r="C344" s="2">
        <f>COUNTIF(A$1:A344,A344)-1</f>
        <v>0</v>
      </c>
      <c r="D344" s="2" t="str">
        <f>Argument!D344</f>
        <v/>
      </c>
      <c r="E344" s="2" t="str">
        <f t="shared" si="10"/>
        <v>v</v>
      </c>
      <c r="F344" s="2" t="b">
        <f>IF(C344=0,ISTEXT(FORMULA.CONVERT("="&amp;A344&amp;"("&amp;REPLACE(REPT(",#ref!",B344),1,1,"")&amp;")()",1)),"")</f>
        <v>0</v>
      </c>
      <c r="G344" s="2"/>
      <c r="H344" s="2" t="str">
        <f t="shared" si="11"/>
        <v/>
      </c>
      <c r="I344" s="2">
        <f>TYPE(LOWER(IF(1,1)))</f>
        <v>2</v>
      </c>
      <c r="J344" s="2">
        <f>IF(C344=0,COUNTIFS(A:A,A344,D:D,"a"),"")</f>
        <v>0</v>
      </c>
      <c r="K344" s="2"/>
      <c r="M344" s="2"/>
    </row>
    <row r="345" spans="1:14" x14ac:dyDescent="0.55000000000000004">
      <c r="A345" s="1" t="s">
        <v>1581</v>
      </c>
      <c r="B345" s="2">
        <f>COUNTIF(A:A,A345)-1</f>
        <v>1</v>
      </c>
      <c r="C345" s="2">
        <f>COUNTIF(A$1:A345,A345)-1</f>
        <v>1</v>
      </c>
      <c r="D345" s="2" t="str">
        <f>Argument!D345</f>
        <v>v</v>
      </c>
      <c r="E345" s="2" t="str">
        <f t="shared" si="10"/>
        <v/>
      </c>
      <c r="F345" s="2" t="str">
        <f>IF(C345=0,ISTEXT(FORMULA.CONVERT("="&amp;A345&amp;"("&amp;REPLACE(REPT(",#ref!",B345),1,1,"")&amp;")()",1)),"")</f>
        <v/>
      </c>
      <c r="G345" s="2">
        <f>TYPE(LOWER({1}))</f>
        <v>64</v>
      </c>
      <c r="H345" s="2" t="str">
        <f t="shared" si="11"/>
        <v/>
      </c>
      <c r="I345" s="2">
        <f>TYPE(LOWER(IF(1,1)))</f>
        <v>2</v>
      </c>
      <c r="J345" s="2" t="str">
        <f>IF(C345=0,COUNTIFS(A:A,A345,D:D,"a"),"")</f>
        <v/>
      </c>
      <c r="K345" s="2" t="str">
        <f>INDEX(+LOWER(K345:L345),)</f>
        <v>0</v>
      </c>
      <c r="L345" s="1">
        <v>1</v>
      </c>
      <c r="M345" s="2" t="e">
        <f>INDEX(+LOWER(INDIRECT(M345:N345)),)</f>
        <v>#REF!</v>
      </c>
      <c r="N345" s="1">
        <v>1</v>
      </c>
    </row>
    <row r="346" spans="1:14" x14ac:dyDescent="0.55000000000000004">
      <c r="A346" s="1" t="s">
        <v>1582</v>
      </c>
      <c r="B346" s="2">
        <f>COUNTIF(A:A,A346)-1</f>
        <v>1</v>
      </c>
      <c r="C346" s="2">
        <f>COUNTIF(A$1:A346,A346)-1</f>
        <v>0</v>
      </c>
      <c r="D346" s="2" t="str">
        <f>Argument!D346</f>
        <v/>
      </c>
      <c r="E346" s="2" t="str">
        <f t="shared" si="10"/>
        <v>v</v>
      </c>
      <c r="F346" s="2" t="b">
        <f>IF(C346=0,ISTEXT(FORMULA.CONVERT("="&amp;A346&amp;"("&amp;REPLACE(REPT(",#ref!",B346),1,1,"")&amp;")()",1)),"")</f>
        <v>0</v>
      </c>
      <c r="G346" s="2"/>
      <c r="H346" s="2" t="str">
        <f t="shared" si="11"/>
        <v/>
      </c>
      <c r="I346" s="2">
        <f>TYPE(UPPER(IF(1,1)))</f>
        <v>2</v>
      </c>
      <c r="J346" s="2">
        <f>IF(C346=0,COUNTIFS(A:A,A346,D:D,"a"),"")</f>
        <v>0</v>
      </c>
      <c r="K346" s="2"/>
      <c r="M346" s="2"/>
    </row>
    <row r="347" spans="1:14" x14ac:dyDescent="0.55000000000000004">
      <c r="A347" s="1" t="s">
        <v>1582</v>
      </c>
      <c r="B347" s="2">
        <f>COUNTIF(A:A,A347)-1</f>
        <v>1</v>
      </c>
      <c r="C347" s="2">
        <f>COUNTIF(A$1:A347,A347)-1</f>
        <v>1</v>
      </c>
      <c r="D347" s="2" t="str">
        <f>Argument!D347</f>
        <v>v</v>
      </c>
      <c r="E347" s="2" t="str">
        <f t="shared" si="10"/>
        <v/>
      </c>
      <c r="F347" s="2" t="str">
        <f>IF(C347=0,ISTEXT(FORMULA.CONVERT("="&amp;A347&amp;"("&amp;REPLACE(REPT(",#ref!",B347),1,1,"")&amp;")()",1)),"")</f>
        <v/>
      </c>
      <c r="G347" s="2">
        <f>TYPE(UPPER({1}))</f>
        <v>64</v>
      </c>
      <c r="H347" s="2" t="str">
        <f t="shared" si="11"/>
        <v/>
      </c>
      <c r="I347" s="2">
        <f>TYPE(UPPER(IF(1,1)))</f>
        <v>2</v>
      </c>
      <c r="J347" s="2" t="str">
        <f>IF(C347=0,COUNTIFS(A:A,A347,D:D,"a"),"")</f>
        <v/>
      </c>
      <c r="K347" s="2" t="str">
        <f>INDEX(+UPPER(K347:L347),)</f>
        <v>0</v>
      </c>
      <c r="L347" s="1">
        <v>1</v>
      </c>
      <c r="M347" s="2" t="e">
        <f>INDEX(+UPPER(INDIRECT(M347:N347)),)</f>
        <v>#REF!</v>
      </c>
      <c r="N347" s="1">
        <v>1</v>
      </c>
    </row>
    <row r="348" spans="1:14" x14ac:dyDescent="0.55000000000000004">
      <c r="A348" s="1" t="s">
        <v>1583</v>
      </c>
      <c r="B348" s="2">
        <f>COUNTIF(A:A,A348)-1</f>
        <v>1</v>
      </c>
      <c r="C348" s="2">
        <f>COUNTIF(A$1:A348,A348)-1</f>
        <v>0</v>
      </c>
      <c r="D348" s="2" t="str">
        <f>Argument!D348</f>
        <v/>
      </c>
      <c r="E348" s="2" t="str">
        <f t="shared" si="10"/>
        <v>v</v>
      </c>
      <c r="F348" s="2" t="b">
        <f>IF(C348=0,ISTEXT(FORMULA.CONVERT("="&amp;A348&amp;"("&amp;REPLACE(REPT(",#ref!",B348),1,1,"")&amp;")()",1)),"")</f>
        <v>0</v>
      </c>
      <c r="G348" s="2"/>
      <c r="H348" s="2" t="str">
        <f t="shared" si="11"/>
        <v/>
      </c>
      <c r="I348" s="2">
        <f>TYPE(PROPER(IF(1,1)))</f>
        <v>2</v>
      </c>
      <c r="J348" s="2">
        <f>IF(C348=0,COUNTIFS(A:A,A348,D:D,"a"),"")</f>
        <v>0</v>
      </c>
      <c r="K348" s="2"/>
      <c r="M348" s="2"/>
    </row>
    <row r="349" spans="1:14" x14ac:dyDescent="0.55000000000000004">
      <c r="A349" s="1" t="s">
        <v>1583</v>
      </c>
      <c r="B349" s="2">
        <f>COUNTIF(A:A,A349)-1</f>
        <v>1</v>
      </c>
      <c r="C349" s="2">
        <f>COUNTIF(A$1:A349,A349)-1</f>
        <v>1</v>
      </c>
      <c r="D349" s="2" t="str">
        <f>Argument!D349</f>
        <v>v</v>
      </c>
      <c r="E349" s="2" t="str">
        <f t="shared" si="10"/>
        <v/>
      </c>
      <c r="F349" s="2" t="str">
        <f>IF(C349=0,ISTEXT(FORMULA.CONVERT("="&amp;A349&amp;"("&amp;REPLACE(REPT(",#ref!",B349),1,1,"")&amp;")()",1)),"")</f>
        <v/>
      </c>
      <c r="G349" s="2">
        <f>TYPE(PROPER({1}))</f>
        <v>64</v>
      </c>
      <c r="H349" s="2" t="str">
        <f t="shared" si="11"/>
        <v/>
      </c>
      <c r="I349" s="2">
        <f>TYPE(PROPER(IF(1,1)))</f>
        <v>2</v>
      </c>
      <c r="J349" s="2" t="str">
        <f>IF(C349=0,COUNTIFS(A:A,A349,D:D,"a"),"")</f>
        <v/>
      </c>
      <c r="K349" s="2" t="str">
        <f>INDEX(+PROPER(K349:L349),)</f>
        <v>0</v>
      </c>
      <c r="L349" s="1">
        <v>1</v>
      </c>
      <c r="M349" s="2" t="e">
        <f>INDEX(+PROPER(INDIRECT(M349:N349)),)</f>
        <v>#REF!</v>
      </c>
      <c r="N349" s="1">
        <v>1</v>
      </c>
    </row>
    <row r="350" spans="1:14" x14ac:dyDescent="0.55000000000000004">
      <c r="A350" s="1" t="s">
        <v>1584</v>
      </c>
      <c r="B350" s="2">
        <f>COUNTIF(A:A,A350)-1</f>
        <v>2</v>
      </c>
      <c r="C350" s="2">
        <f>COUNTIF(A$1:A350,A350)-1</f>
        <v>0</v>
      </c>
      <c r="D350" s="2" t="str">
        <f>Argument!D350</f>
        <v/>
      </c>
      <c r="E350" s="2" t="str">
        <f t="shared" si="10"/>
        <v>v</v>
      </c>
      <c r="F350" s="2" t="b">
        <f>IF(C350=0,ISTEXT(FORMULA.CONVERT("="&amp;A350&amp;"("&amp;REPLACE(REPT(",#ref!",B350),1,1,"")&amp;")()",1)),"")</f>
        <v>0</v>
      </c>
      <c r="G350" s="2"/>
      <c r="H350" s="2" t="str">
        <f t="shared" si="11"/>
        <v/>
      </c>
      <c r="I350" s="2">
        <f>TYPE(LEFT(IF(1,1),IF(1,1)))</f>
        <v>2</v>
      </c>
      <c r="J350" s="2">
        <f>IF(C350=0,COUNTIFS(A:A,A350,D:D,"a"),"")</f>
        <v>0</v>
      </c>
      <c r="K350" s="2"/>
      <c r="M350" s="2"/>
    </row>
    <row r="351" spans="1:14" x14ac:dyDescent="0.55000000000000004">
      <c r="A351" s="1" t="s">
        <v>1584</v>
      </c>
      <c r="B351" s="2">
        <f>COUNTIF(A:A,A351)-1</f>
        <v>2</v>
      </c>
      <c r="C351" s="2">
        <f>COUNTIF(A$1:A351,A351)-1</f>
        <v>1</v>
      </c>
      <c r="D351" s="2" t="str">
        <f>Argument!D351</f>
        <v>v</v>
      </c>
      <c r="E351" s="2" t="str">
        <f t="shared" si="10"/>
        <v/>
      </c>
      <c r="F351" s="2" t="str">
        <f>IF(C351=0,ISTEXT(FORMULA.CONVERT("="&amp;A351&amp;"("&amp;REPLACE(REPT(",#ref!",B351),1,1,"")&amp;")()",1)),"")</f>
        <v/>
      </c>
      <c r="G351" s="2">
        <f>TYPE(LEFT({1},IF(1,1)))</f>
        <v>64</v>
      </c>
      <c r="H351" s="2" t="str">
        <f t="shared" si="11"/>
        <v/>
      </c>
      <c r="I351" s="2">
        <f>TYPE(LEFT(IF(1,1),IF(1,1)))</f>
        <v>2</v>
      </c>
      <c r="J351" s="2" t="str">
        <f>IF(C351=0,COUNTIFS(A:A,A351,D:D,"a"),"")</f>
        <v/>
      </c>
      <c r="K351" s="2" t="e">
        <f>INDEX(+LEFT(K351:L351,#REF!),)</f>
        <v>#REF!</v>
      </c>
      <c r="L351" s="1">
        <v>1</v>
      </c>
      <c r="M351" s="2" t="e">
        <f>INDEX(+LEFT(INDIRECT(M351:N351),#REF!),)</f>
        <v>#REF!</v>
      </c>
      <c r="N351" s="1">
        <v>1</v>
      </c>
    </row>
    <row r="352" spans="1:14" x14ac:dyDescent="0.55000000000000004">
      <c r="A352" s="1" t="s">
        <v>1584</v>
      </c>
      <c r="B352" s="2">
        <f>COUNTIF(A:A,A352)-1</f>
        <v>2</v>
      </c>
      <c r="C352" s="2">
        <f>COUNTIF(A$1:A352,A352)-1</f>
        <v>2</v>
      </c>
      <c r="D352" s="2" t="str">
        <f>Argument!D352</f>
        <v>v</v>
      </c>
      <c r="E352" s="2" t="str">
        <f t="shared" si="10"/>
        <v/>
      </c>
      <c r="F352" s="2" t="str">
        <f>IF(C352=0,ISTEXT(FORMULA.CONVERT("="&amp;A352&amp;"("&amp;REPLACE(REPT(",#ref!",B352),1,1,"")&amp;")()",1)),"")</f>
        <v/>
      </c>
      <c r="G352" s="2">
        <f>TYPE(LEFT(IF(1,1),{1}))</f>
        <v>64</v>
      </c>
      <c r="H352" s="2" t="str">
        <f t="shared" si="11"/>
        <v/>
      </c>
      <c r="I352" s="2">
        <f>TYPE(LEFT(IF(1,1),IF(1,1)))</f>
        <v>2</v>
      </c>
      <c r="J352" s="2" t="str">
        <f>IF(C352=0,COUNTIFS(A:A,A352,D:D,"a"),"")</f>
        <v/>
      </c>
      <c r="K352" s="2" t="e">
        <f>INDEX(+LEFT(#REF!,K352:L352),)</f>
        <v>#REF!</v>
      </c>
      <c r="L352" s="1">
        <v>1</v>
      </c>
      <c r="M352" s="2" t="e">
        <f>INDEX(+LEFT(#REF!,INDIRECT(M352:N352)),)</f>
        <v>#REF!</v>
      </c>
      <c r="N352" s="1">
        <v>1</v>
      </c>
    </row>
    <row r="353" spans="1:14" x14ac:dyDescent="0.55000000000000004">
      <c r="A353" s="1" t="s">
        <v>1585</v>
      </c>
      <c r="B353" s="2">
        <f>COUNTIF(A:A,A353)-1</f>
        <v>2</v>
      </c>
      <c r="C353" s="2">
        <f>COUNTIF(A$1:A353,A353)-1</f>
        <v>0</v>
      </c>
      <c r="D353" s="2" t="str">
        <f>Argument!D353</f>
        <v/>
      </c>
      <c r="E353" s="2" t="str">
        <f t="shared" si="10"/>
        <v>v</v>
      </c>
      <c r="F353" s="2" t="b">
        <f>IF(C353=0,ISTEXT(FORMULA.CONVERT("="&amp;A353&amp;"("&amp;REPLACE(REPT(",#ref!",B353),1,1,"")&amp;")()",1)),"")</f>
        <v>0</v>
      </c>
      <c r="G353" s="2"/>
      <c r="H353" s="2" t="str">
        <f t="shared" si="11"/>
        <v/>
      </c>
      <c r="I353" s="2">
        <f>TYPE(RIGHT(IF(1,1),IF(1,1)))</f>
        <v>2</v>
      </c>
      <c r="J353" s="2">
        <f>IF(C353=0,COUNTIFS(A:A,A353,D:D,"a"),"")</f>
        <v>0</v>
      </c>
      <c r="K353" s="2"/>
      <c r="M353" s="2"/>
    </row>
    <row r="354" spans="1:14" x14ac:dyDescent="0.55000000000000004">
      <c r="A354" s="1" t="s">
        <v>1585</v>
      </c>
      <c r="B354" s="2">
        <f>COUNTIF(A:A,A354)-1</f>
        <v>2</v>
      </c>
      <c r="C354" s="2">
        <f>COUNTIF(A$1:A354,A354)-1</f>
        <v>1</v>
      </c>
      <c r="D354" s="2" t="str">
        <f>Argument!D354</f>
        <v>v</v>
      </c>
      <c r="E354" s="2" t="str">
        <f t="shared" si="10"/>
        <v/>
      </c>
      <c r="F354" s="2" t="str">
        <f>IF(C354=0,ISTEXT(FORMULA.CONVERT("="&amp;A354&amp;"("&amp;REPLACE(REPT(",#ref!",B354),1,1,"")&amp;")()",1)),"")</f>
        <v/>
      </c>
      <c r="G354" s="2">
        <f>TYPE(RIGHT({1},IF(1,1)))</f>
        <v>64</v>
      </c>
      <c r="H354" s="2" t="str">
        <f t="shared" si="11"/>
        <v/>
      </c>
      <c r="I354" s="2">
        <f>TYPE(RIGHT(IF(1,1),IF(1,1)))</f>
        <v>2</v>
      </c>
      <c r="J354" s="2" t="str">
        <f>IF(C354=0,COUNTIFS(A:A,A354,D:D,"a"),"")</f>
        <v/>
      </c>
      <c r="K354" s="2" t="e">
        <f>INDEX(+RIGHT(K354:L354,#REF!),)</f>
        <v>#REF!</v>
      </c>
      <c r="L354" s="1">
        <v>1</v>
      </c>
      <c r="M354" s="2" t="e">
        <f>INDEX(+RIGHT(INDIRECT(M354:N354),#REF!),)</f>
        <v>#REF!</v>
      </c>
      <c r="N354" s="1">
        <v>1</v>
      </c>
    </row>
    <row r="355" spans="1:14" x14ac:dyDescent="0.55000000000000004">
      <c r="A355" s="1" t="s">
        <v>1585</v>
      </c>
      <c r="B355" s="2">
        <f>COUNTIF(A:A,A355)-1</f>
        <v>2</v>
      </c>
      <c r="C355" s="2">
        <f>COUNTIF(A$1:A355,A355)-1</f>
        <v>2</v>
      </c>
      <c r="D355" s="2" t="str">
        <f>Argument!D355</f>
        <v>v</v>
      </c>
      <c r="E355" s="2" t="str">
        <f t="shared" si="10"/>
        <v/>
      </c>
      <c r="F355" s="2" t="str">
        <f>IF(C355=0,ISTEXT(FORMULA.CONVERT("="&amp;A355&amp;"("&amp;REPLACE(REPT(",#ref!",B355),1,1,"")&amp;")()",1)),"")</f>
        <v/>
      </c>
      <c r="G355" s="2">
        <f>TYPE(RIGHT(IF(1,1),{1}))</f>
        <v>64</v>
      </c>
      <c r="H355" s="2" t="str">
        <f t="shared" si="11"/>
        <v/>
      </c>
      <c r="I355" s="2">
        <f>TYPE(RIGHT(IF(1,1),IF(1,1)))</f>
        <v>2</v>
      </c>
      <c r="J355" s="2" t="str">
        <f>IF(C355=0,COUNTIFS(A:A,A355,D:D,"a"),"")</f>
        <v/>
      </c>
      <c r="K355" s="2" t="e">
        <f>INDEX(+RIGHT(#REF!,K355:L355),)</f>
        <v>#REF!</v>
      </c>
      <c r="L355" s="1">
        <v>1</v>
      </c>
      <c r="M355" s="2" t="e">
        <f>INDEX(+RIGHT(#REF!,INDIRECT(M355:N355)),)</f>
        <v>#REF!</v>
      </c>
      <c r="N355" s="1">
        <v>1</v>
      </c>
    </row>
    <row r="356" spans="1:14" x14ac:dyDescent="0.55000000000000004">
      <c r="A356" s="1" t="s">
        <v>1586</v>
      </c>
      <c r="B356" s="2">
        <f>COUNTIF(A:A,A356)-1</f>
        <v>2</v>
      </c>
      <c r="C356" s="2">
        <f>COUNTIF(A$1:A356,A356)-1</f>
        <v>0</v>
      </c>
      <c r="D356" s="2" t="str">
        <f>Argument!D356</f>
        <v/>
      </c>
      <c r="E356" s="2" t="str">
        <f t="shared" si="10"/>
        <v>v</v>
      </c>
      <c r="F356" s="2" t="b">
        <f>IF(C356=0,ISTEXT(FORMULA.CONVERT("="&amp;A356&amp;"("&amp;REPLACE(REPT(",#ref!",B356),1,1,"")&amp;")()",1)),"")</f>
        <v>0</v>
      </c>
      <c r="G356" s="2"/>
      <c r="H356" s="2" t="str">
        <f t="shared" si="11"/>
        <v/>
      </c>
      <c r="I356" s="2">
        <f>TYPE(EXACT(IF(1,1),IF(1,1)))</f>
        <v>4</v>
      </c>
      <c r="J356" s="2">
        <f>IF(C356=0,COUNTIFS(A:A,A356,D:D,"a"),"")</f>
        <v>0</v>
      </c>
      <c r="K356" s="2"/>
      <c r="M356" s="2"/>
    </row>
    <row r="357" spans="1:14" x14ac:dyDescent="0.55000000000000004">
      <c r="A357" s="1" t="s">
        <v>1586</v>
      </c>
      <c r="B357" s="2">
        <f>COUNTIF(A:A,A357)-1</f>
        <v>2</v>
      </c>
      <c r="C357" s="2">
        <f>COUNTIF(A$1:A357,A357)-1</f>
        <v>1</v>
      </c>
      <c r="D357" s="2" t="str">
        <f>Argument!D357</f>
        <v>v</v>
      </c>
      <c r="E357" s="2" t="str">
        <f t="shared" si="10"/>
        <v/>
      </c>
      <c r="F357" s="2" t="str">
        <f>IF(C357=0,ISTEXT(FORMULA.CONVERT("="&amp;A357&amp;"("&amp;REPLACE(REPT(",#ref!",B357),1,1,"")&amp;")()",1)),"")</f>
        <v/>
      </c>
      <c r="G357" s="2">
        <f>TYPE(EXACT({1},IF(1,1)))</f>
        <v>64</v>
      </c>
      <c r="H357" s="2" t="str">
        <f t="shared" si="11"/>
        <v/>
      </c>
      <c r="I357" s="2">
        <f>TYPE(EXACT(IF(1,1),IF(1,1)))</f>
        <v>4</v>
      </c>
      <c r="J357" s="2" t="str">
        <f>IF(C357=0,COUNTIFS(A:A,A357,D:D,"a"),"")</f>
        <v/>
      </c>
      <c r="K357" s="2" t="e">
        <f>INDEX(+EXACT(K357:L357,#REF!),)</f>
        <v>#REF!</v>
      </c>
      <c r="L357" s="1">
        <v>1</v>
      </c>
      <c r="M357" s="2" t="e">
        <f>INDEX(+EXACT(INDIRECT(M357:N357),#REF!),)</f>
        <v>#REF!</v>
      </c>
      <c r="N357" s="1">
        <v>1</v>
      </c>
    </row>
    <row r="358" spans="1:14" x14ac:dyDescent="0.55000000000000004">
      <c r="A358" s="1" t="s">
        <v>1586</v>
      </c>
      <c r="B358" s="2">
        <f>COUNTIF(A:A,A358)-1</f>
        <v>2</v>
      </c>
      <c r="C358" s="2">
        <f>COUNTIF(A$1:A358,A358)-1</f>
        <v>2</v>
      </c>
      <c r="D358" s="2" t="str">
        <f>Argument!D358</f>
        <v>v</v>
      </c>
      <c r="E358" s="2" t="str">
        <f t="shared" si="10"/>
        <v/>
      </c>
      <c r="F358" s="2" t="str">
        <f>IF(C358=0,ISTEXT(FORMULA.CONVERT("="&amp;A358&amp;"("&amp;REPLACE(REPT(",#ref!",B358),1,1,"")&amp;")()",1)),"")</f>
        <v/>
      </c>
      <c r="G358" s="2">
        <f>TYPE(EXACT(IF(1,1),{1}))</f>
        <v>64</v>
      </c>
      <c r="H358" s="2" t="str">
        <f t="shared" si="11"/>
        <v/>
      </c>
      <c r="I358" s="2">
        <f>TYPE(EXACT(IF(1,1),IF(1,1)))</f>
        <v>4</v>
      </c>
      <c r="J358" s="2" t="str">
        <f>IF(C358=0,COUNTIFS(A:A,A358,D:D,"a"),"")</f>
        <v/>
      </c>
      <c r="K358" s="2" t="e">
        <f>INDEX(+EXACT(#REF!,K358:L358),)</f>
        <v>#REF!</v>
      </c>
      <c r="L358" s="1">
        <v>1</v>
      </c>
      <c r="M358" s="2" t="e">
        <f>INDEX(+EXACT(#REF!,INDIRECT(M358:N358)),)</f>
        <v>#REF!</v>
      </c>
      <c r="N358" s="1">
        <v>1</v>
      </c>
    </row>
    <row r="359" spans="1:14" x14ac:dyDescent="0.55000000000000004">
      <c r="A359" s="1" t="s">
        <v>1587</v>
      </c>
      <c r="B359" s="2">
        <f>COUNTIF(A:A,A359)-1</f>
        <v>1</v>
      </c>
      <c r="C359" s="2">
        <f>COUNTIF(A$1:A359,A359)-1</f>
        <v>0</v>
      </c>
      <c r="D359" s="2" t="str">
        <f>Argument!D359</f>
        <v/>
      </c>
      <c r="E359" s="2" t="str">
        <f t="shared" si="10"/>
        <v>v</v>
      </c>
      <c r="F359" s="2" t="b">
        <f>IF(C359=0,ISTEXT(FORMULA.CONVERT("="&amp;A359&amp;"("&amp;REPLACE(REPT(",#ref!",B359),1,1,"")&amp;")()",1)),"")</f>
        <v>0</v>
      </c>
      <c r="G359" s="2"/>
      <c r="H359" s="2" t="str">
        <f t="shared" si="11"/>
        <v/>
      </c>
      <c r="I359" s="2">
        <f>TYPE(TRIM(IF(1,1)))</f>
        <v>2</v>
      </c>
      <c r="J359" s="2">
        <f>IF(C359=0,COUNTIFS(A:A,A359,D:D,"a"),"")</f>
        <v>0</v>
      </c>
      <c r="K359" s="2"/>
      <c r="M359" s="2"/>
    </row>
    <row r="360" spans="1:14" x14ac:dyDescent="0.55000000000000004">
      <c r="A360" s="1" t="s">
        <v>1587</v>
      </c>
      <c r="B360" s="2">
        <f>COUNTIF(A:A,A360)-1</f>
        <v>1</v>
      </c>
      <c r="C360" s="2">
        <f>COUNTIF(A$1:A360,A360)-1</f>
        <v>1</v>
      </c>
      <c r="D360" s="2" t="str">
        <f>Argument!D360</f>
        <v>v</v>
      </c>
      <c r="E360" s="2" t="str">
        <f t="shared" si="10"/>
        <v/>
      </c>
      <c r="F360" s="2" t="str">
        <f>IF(C360=0,ISTEXT(FORMULA.CONVERT("="&amp;A360&amp;"("&amp;REPLACE(REPT(",#ref!",B360),1,1,"")&amp;")()",1)),"")</f>
        <v/>
      </c>
      <c r="G360" s="2">
        <f>TYPE(TRIM({1}))</f>
        <v>64</v>
      </c>
      <c r="H360" s="2" t="str">
        <f t="shared" si="11"/>
        <v/>
      </c>
      <c r="I360" s="2">
        <f>TYPE(TRIM(IF(1,1)))</f>
        <v>2</v>
      </c>
      <c r="J360" s="2" t="str">
        <f>IF(C360=0,COUNTIFS(A:A,A360,D:D,"a"),"")</f>
        <v/>
      </c>
      <c r="K360" s="2" t="str">
        <f>INDEX(+TRIM(K360:L360),)</f>
        <v>0</v>
      </c>
      <c r="L360" s="1">
        <v>1</v>
      </c>
      <c r="M360" s="2" t="e">
        <f>INDEX(+TRIM(INDIRECT(M360:N360)),)</f>
        <v>#REF!</v>
      </c>
      <c r="N360" s="1">
        <v>1</v>
      </c>
    </row>
    <row r="361" spans="1:14" x14ac:dyDescent="0.55000000000000004">
      <c r="A361" s="1" t="s">
        <v>1588</v>
      </c>
      <c r="B361" s="2">
        <f>COUNTIF(A:A,A361)-1</f>
        <v>4</v>
      </c>
      <c r="C361" s="2">
        <f>COUNTIF(A$1:A361,A361)-1</f>
        <v>0</v>
      </c>
      <c r="D361" s="2" t="str">
        <f>Argument!D361</f>
        <v/>
      </c>
      <c r="E361" s="2" t="str">
        <f t="shared" si="10"/>
        <v>v</v>
      </c>
      <c r="F361" s="2" t="b">
        <f>IF(C361=0,ISTEXT(FORMULA.CONVERT("="&amp;A361&amp;"("&amp;REPLACE(REPT(",#ref!",B361),1,1,"")&amp;")()",1)),"")</f>
        <v>0</v>
      </c>
      <c r="G361" s="2"/>
      <c r="H361" s="2" t="str">
        <f t="shared" si="11"/>
        <v/>
      </c>
      <c r="I361" s="2">
        <f>TYPE(REPLACE(IF(1,1),IF(1,1),IF(1,1),IF(1,1)))</f>
        <v>2</v>
      </c>
      <c r="J361" s="2">
        <f>IF(C361=0,COUNTIFS(A:A,A361,D:D,"a"),"")</f>
        <v>0</v>
      </c>
      <c r="K361" s="2"/>
      <c r="M361" s="2"/>
    </row>
    <row r="362" spans="1:14" x14ac:dyDescent="0.55000000000000004">
      <c r="A362" s="1" t="s">
        <v>1588</v>
      </c>
      <c r="B362" s="2">
        <f>COUNTIF(A:A,A362)-1</f>
        <v>4</v>
      </c>
      <c r="C362" s="2">
        <f>COUNTIF(A$1:A362,A362)-1</f>
        <v>1</v>
      </c>
      <c r="D362" s="2" t="str">
        <f>Argument!D362</f>
        <v>v</v>
      </c>
      <c r="E362" s="2" t="str">
        <f t="shared" si="10"/>
        <v/>
      </c>
      <c r="F362" s="2" t="str">
        <f>IF(C362=0,ISTEXT(FORMULA.CONVERT("="&amp;A362&amp;"("&amp;REPLACE(REPT(",#ref!",B362),1,1,"")&amp;")()",1)),"")</f>
        <v/>
      </c>
      <c r="G362" s="2">
        <f>TYPE(REPLACE({1},IF(1,1),IF(1,1),IF(1,1)))</f>
        <v>64</v>
      </c>
      <c r="H362" s="2" t="str">
        <f t="shared" si="11"/>
        <v/>
      </c>
      <c r="I362" s="2">
        <f>TYPE(REPLACE(IF(1,1),IF(1,1),IF(1,1),IF(1,1)))</f>
        <v>2</v>
      </c>
      <c r="J362" s="2" t="str">
        <f>IF(C362=0,COUNTIFS(A:A,A362,D:D,"a"),"")</f>
        <v/>
      </c>
      <c r="K362" s="2" t="e">
        <f>INDEX(+REPLACE(K362:L362,#REF!,#REF!,#REF!),)</f>
        <v>#REF!</v>
      </c>
      <c r="L362" s="1">
        <v>1</v>
      </c>
      <c r="M362" s="2" t="e">
        <f>INDEX(+REPLACE(INDIRECT(M362:N362),#REF!,#REF!,#REF!),)</f>
        <v>#REF!</v>
      </c>
      <c r="N362" s="1">
        <v>1</v>
      </c>
    </row>
    <row r="363" spans="1:14" x14ac:dyDescent="0.55000000000000004">
      <c r="A363" s="1" t="s">
        <v>1588</v>
      </c>
      <c r="B363" s="2">
        <f>COUNTIF(A:A,A363)-1</f>
        <v>4</v>
      </c>
      <c r="C363" s="2">
        <f>COUNTIF(A$1:A363,A363)-1</f>
        <v>2</v>
      </c>
      <c r="D363" s="2" t="str">
        <f>Argument!D363</f>
        <v>v</v>
      </c>
      <c r="E363" s="2" t="str">
        <f t="shared" si="10"/>
        <v/>
      </c>
      <c r="F363" s="2" t="str">
        <f>IF(C363=0,ISTEXT(FORMULA.CONVERT("="&amp;A363&amp;"("&amp;REPLACE(REPT(",#ref!",B363),1,1,"")&amp;")()",1)),"")</f>
        <v/>
      </c>
      <c r="G363" s="2">
        <f>TYPE(REPLACE(IF(1,1),{1},IF(1,1),IF(1,1)))</f>
        <v>64</v>
      </c>
      <c r="H363" s="2" t="str">
        <f t="shared" si="11"/>
        <v/>
      </c>
      <c r="I363" s="2">
        <f>TYPE(REPLACE(IF(1,1),IF(1,1),IF(1,1),IF(1,1)))</f>
        <v>2</v>
      </c>
      <c r="J363" s="2" t="str">
        <f>IF(C363=0,COUNTIFS(A:A,A363,D:D,"a"),"")</f>
        <v/>
      </c>
      <c r="K363" s="2" t="e">
        <f>INDEX(+REPLACE(#REF!,K363:L363,#REF!,#REF!),)</f>
        <v>#REF!</v>
      </c>
      <c r="L363" s="1">
        <v>1</v>
      </c>
      <c r="M363" s="2" t="e">
        <f>INDEX(+REPLACE(#REF!,INDIRECT(M363:N363),#REF!,#REF!),)</f>
        <v>#REF!</v>
      </c>
      <c r="N363" s="1">
        <v>1</v>
      </c>
    </row>
    <row r="364" spans="1:14" x14ac:dyDescent="0.55000000000000004">
      <c r="A364" s="1" t="s">
        <v>1588</v>
      </c>
      <c r="B364" s="2">
        <f>COUNTIF(A:A,A364)-1</f>
        <v>4</v>
      </c>
      <c r="C364" s="2">
        <f>COUNTIF(A$1:A364,A364)-1</f>
        <v>3</v>
      </c>
      <c r="D364" s="2" t="str">
        <f>Argument!D364</f>
        <v>v</v>
      </c>
      <c r="E364" s="2" t="str">
        <f t="shared" si="10"/>
        <v/>
      </c>
      <c r="F364" s="2" t="str">
        <f>IF(C364=0,ISTEXT(FORMULA.CONVERT("="&amp;A364&amp;"("&amp;REPLACE(REPT(",#ref!",B364),1,1,"")&amp;")()",1)),"")</f>
        <v/>
      </c>
      <c r="G364" s="2">
        <f>TYPE(REPLACE(IF(1,1),IF(1,1),{1},IF(1,1)))</f>
        <v>64</v>
      </c>
      <c r="H364" s="2" t="str">
        <f t="shared" si="11"/>
        <v/>
      </c>
      <c r="I364" s="2">
        <f>TYPE(REPLACE(IF(1,1),IF(1,1),IF(1,1),IF(1,1)))</f>
        <v>2</v>
      </c>
      <c r="J364" s="2" t="str">
        <f>IF(C364=0,COUNTIFS(A:A,A364,D:D,"a"),"")</f>
        <v/>
      </c>
      <c r="K364" s="2" t="e">
        <f>INDEX(+REPLACE(#REF!,#REF!,K364:L364,#REF!),)</f>
        <v>#REF!</v>
      </c>
      <c r="L364" s="1">
        <v>1</v>
      </c>
      <c r="M364" s="2" t="e">
        <f>INDEX(+REPLACE(#REF!,#REF!,INDIRECT(M364:N364),#REF!),)</f>
        <v>#REF!</v>
      </c>
      <c r="N364" s="1">
        <v>1</v>
      </c>
    </row>
    <row r="365" spans="1:14" x14ac:dyDescent="0.55000000000000004">
      <c r="A365" s="1" t="s">
        <v>1588</v>
      </c>
      <c r="B365" s="2">
        <f>COUNTIF(A:A,A365)-1</f>
        <v>4</v>
      </c>
      <c r="C365" s="2">
        <f>COUNTIF(A$1:A365,A365)-1</f>
        <v>4</v>
      </c>
      <c r="D365" s="2" t="str">
        <f>Argument!D365</f>
        <v>v</v>
      </c>
      <c r="E365" s="2" t="str">
        <f t="shared" si="10"/>
        <v/>
      </c>
      <c r="F365" s="2" t="str">
        <f>IF(C365=0,ISTEXT(FORMULA.CONVERT("="&amp;A365&amp;"("&amp;REPLACE(REPT(",#ref!",B365),1,1,"")&amp;")()",1)),"")</f>
        <v/>
      </c>
      <c r="G365" s="2">
        <f>TYPE(REPLACE(IF(1,1),IF(1,1),IF(1,1),{1}))</f>
        <v>64</v>
      </c>
      <c r="H365" s="2" t="str">
        <f t="shared" si="11"/>
        <v/>
      </c>
      <c r="I365" s="2">
        <f>TYPE(REPLACE(IF(1,1),IF(1,1),IF(1,1),IF(1,1)))</f>
        <v>2</v>
      </c>
      <c r="J365" s="2" t="str">
        <f>IF(C365=0,COUNTIFS(A:A,A365,D:D,"a"),"")</f>
        <v/>
      </c>
      <c r="K365" s="2" t="e">
        <f>INDEX(+REPLACE(#REF!,#REF!,#REF!,K365:L365),)</f>
        <v>#REF!</v>
      </c>
      <c r="L365" s="1">
        <v>1</v>
      </c>
      <c r="M365" s="2" t="e">
        <f>INDEX(+REPLACE(#REF!,#REF!,#REF!,INDIRECT(M365:N365)),)</f>
        <v>#REF!</v>
      </c>
      <c r="N365" s="1">
        <v>1</v>
      </c>
    </row>
    <row r="366" spans="1:14" x14ac:dyDescent="0.55000000000000004">
      <c r="A366" s="1" t="s">
        <v>1589</v>
      </c>
      <c r="B366" s="2">
        <f>COUNTIF(A:A,A366)-1</f>
        <v>4</v>
      </c>
      <c r="C366" s="2">
        <f>COUNTIF(A$1:A366,A366)-1</f>
        <v>0</v>
      </c>
      <c r="D366" s="2" t="str">
        <f>Argument!D366</f>
        <v/>
      </c>
      <c r="E366" s="2" t="str">
        <f t="shared" si="10"/>
        <v>v</v>
      </c>
      <c r="F366" s="2" t="b">
        <f>IF(C366=0,ISTEXT(FORMULA.CONVERT("="&amp;A366&amp;"("&amp;REPLACE(REPT(",#ref!",B366),1,1,"")&amp;")()",1)),"")</f>
        <v>0</v>
      </c>
      <c r="G366" s="2"/>
      <c r="H366" s="2" t="str">
        <f t="shared" si="11"/>
        <v/>
      </c>
      <c r="I366" s="2">
        <f>TYPE(SUBSTITUTE(IF(1,1),IF(1,1),IF(1,1),IF(1,1)))</f>
        <v>2</v>
      </c>
      <c r="J366" s="2">
        <f>IF(C366=0,COUNTIFS(A:A,A366,D:D,"a"),"")</f>
        <v>0</v>
      </c>
      <c r="K366" s="2"/>
      <c r="M366" s="2"/>
    </row>
    <row r="367" spans="1:14" x14ac:dyDescent="0.55000000000000004">
      <c r="A367" s="1" t="s">
        <v>1589</v>
      </c>
      <c r="B367" s="2">
        <f>COUNTIF(A:A,A367)-1</f>
        <v>4</v>
      </c>
      <c r="C367" s="2">
        <f>COUNTIF(A$1:A367,A367)-1</f>
        <v>1</v>
      </c>
      <c r="D367" s="2" t="str">
        <f>Argument!D367</f>
        <v>v</v>
      </c>
      <c r="E367" s="2" t="str">
        <f t="shared" si="10"/>
        <v/>
      </c>
      <c r="F367" s="2" t="str">
        <f>IF(C367=0,ISTEXT(FORMULA.CONVERT("="&amp;A367&amp;"("&amp;REPLACE(REPT(",#ref!",B367),1,1,"")&amp;")()",1)),"")</f>
        <v/>
      </c>
      <c r="G367" s="2">
        <f>TYPE(SUBSTITUTE({1},IF(1,1),IF(1,1),IF(1,1)))</f>
        <v>64</v>
      </c>
      <c r="H367" s="2" t="str">
        <f t="shared" si="11"/>
        <v/>
      </c>
      <c r="I367" s="2">
        <f>TYPE(SUBSTITUTE(IF(1,1),IF(1,1),IF(1,1),IF(1,1)))</f>
        <v>2</v>
      </c>
      <c r="J367" s="2" t="str">
        <f>IF(C367=0,COUNTIFS(A:A,A367,D:D,"a"),"")</f>
        <v/>
      </c>
      <c r="K367" s="2" t="e">
        <f>INDEX(+SUBSTITUTE(K367:L367,#REF!,#REF!,#REF!),)</f>
        <v>#REF!</v>
      </c>
      <c r="L367" s="1">
        <v>1</v>
      </c>
      <c r="M367" s="2" t="e">
        <f>INDEX(+SUBSTITUTE(INDIRECT(M367:N367),#REF!,#REF!,#REF!),)</f>
        <v>#REF!</v>
      </c>
      <c r="N367" s="1">
        <v>1</v>
      </c>
    </row>
    <row r="368" spans="1:14" x14ac:dyDescent="0.55000000000000004">
      <c r="A368" s="1" t="s">
        <v>1589</v>
      </c>
      <c r="B368" s="2">
        <f>COUNTIF(A:A,A368)-1</f>
        <v>4</v>
      </c>
      <c r="C368" s="2">
        <f>COUNTIF(A$1:A368,A368)-1</f>
        <v>2</v>
      </c>
      <c r="D368" s="2" t="str">
        <f>Argument!D368</f>
        <v>v</v>
      </c>
      <c r="E368" s="2" t="str">
        <f t="shared" si="10"/>
        <v/>
      </c>
      <c r="F368" s="2" t="str">
        <f>IF(C368=0,ISTEXT(FORMULA.CONVERT("="&amp;A368&amp;"("&amp;REPLACE(REPT(",#ref!",B368),1,1,"")&amp;")()",1)),"")</f>
        <v/>
      </c>
      <c r="G368" s="2">
        <f>TYPE(SUBSTITUTE(IF(1,1),{1},IF(1,1),IF(1,1)))</f>
        <v>64</v>
      </c>
      <c r="H368" s="2" t="str">
        <f t="shared" si="11"/>
        <v/>
      </c>
      <c r="I368" s="2">
        <f>TYPE(SUBSTITUTE(IF(1,1),IF(1,1),IF(1,1),IF(1,1)))</f>
        <v>2</v>
      </c>
      <c r="J368" s="2" t="str">
        <f>IF(C368=0,COUNTIFS(A:A,A368,D:D,"a"),"")</f>
        <v/>
      </c>
      <c r="K368" s="2" t="e">
        <f>INDEX(+SUBSTITUTE(#REF!,K368:L368,#REF!,#REF!),)</f>
        <v>#REF!</v>
      </c>
      <c r="L368" s="1">
        <v>1</v>
      </c>
      <c r="M368" s="2" t="e">
        <f>INDEX(+SUBSTITUTE(#REF!,INDIRECT(M368:N368),#REF!,#REF!),)</f>
        <v>#REF!</v>
      </c>
      <c r="N368" s="1">
        <v>1</v>
      </c>
    </row>
    <row r="369" spans="1:14" x14ac:dyDescent="0.55000000000000004">
      <c r="A369" s="1" t="s">
        <v>1589</v>
      </c>
      <c r="B369" s="2">
        <f>COUNTIF(A:A,A369)-1</f>
        <v>4</v>
      </c>
      <c r="C369" s="2">
        <f>COUNTIF(A$1:A369,A369)-1</f>
        <v>3</v>
      </c>
      <c r="D369" s="2" t="str">
        <f>Argument!D369</f>
        <v>v</v>
      </c>
      <c r="E369" s="2" t="str">
        <f t="shared" si="10"/>
        <v/>
      </c>
      <c r="F369" s="2" t="str">
        <f>IF(C369=0,ISTEXT(FORMULA.CONVERT("="&amp;A369&amp;"("&amp;REPLACE(REPT(",#ref!",B369),1,1,"")&amp;")()",1)),"")</f>
        <v/>
      </c>
      <c r="G369" s="2">
        <f>TYPE(SUBSTITUTE(IF(1,1),IF(1,1),{1},IF(1,1)))</f>
        <v>64</v>
      </c>
      <c r="H369" s="2" t="str">
        <f t="shared" si="11"/>
        <v/>
      </c>
      <c r="I369" s="2">
        <f>TYPE(SUBSTITUTE(IF(1,1),IF(1,1),IF(1,1),IF(1,1)))</f>
        <v>2</v>
      </c>
      <c r="J369" s="2" t="str">
        <f>IF(C369=0,COUNTIFS(A:A,A369,D:D,"a"),"")</f>
        <v/>
      </c>
      <c r="K369" s="2" t="e">
        <f>INDEX(+SUBSTITUTE(#REF!,#REF!,K369:L369,#REF!),)</f>
        <v>#REF!</v>
      </c>
      <c r="L369" s="1">
        <v>1</v>
      </c>
      <c r="M369" s="2" t="e">
        <f>INDEX(+SUBSTITUTE(#REF!,#REF!,INDIRECT(M369:N369),#REF!),)</f>
        <v>#REF!</v>
      </c>
      <c r="N369" s="1">
        <v>1</v>
      </c>
    </row>
    <row r="370" spans="1:14" x14ac:dyDescent="0.55000000000000004">
      <c r="A370" s="1" t="s">
        <v>1589</v>
      </c>
      <c r="B370" s="2">
        <f>COUNTIF(A:A,A370)-1</f>
        <v>4</v>
      </c>
      <c r="C370" s="2">
        <f>COUNTIF(A$1:A370,A370)-1</f>
        <v>4</v>
      </c>
      <c r="D370" s="2" t="str">
        <f>Argument!D370</f>
        <v>v</v>
      </c>
      <c r="E370" s="2" t="str">
        <f t="shared" si="10"/>
        <v/>
      </c>
      <c r="F370" s="2" t="str">
        <f>IF(C370=0,ISTEXT(FORMULA.CONVERT("="&amp;A370&amp;"("&amp;REPLACE(REPT(",#ref!",B370),1,1,"")&amp;")()",1)),"")</f>
        <v/>
      </c>
      <c r="G370" s="2">
        <f>TYPE(SUBSTITUTE(IF(1,1),IF(1,1),IF(1,1),{1}))</f>
        <v>64</v>
      </c>
      <c r="H370" s="2" t="str">
        <f t="shared" si="11"/>
        <v/>
      </c>
      <c r="I370" s="2">
        <f>TYPE(SUBSTITUTE(IF(1,1),IF(1,1),IF(1,1),IF(1,1)))</f>
        <v>2</v>
      </c>
      <c r="J370" s="2" t="str">
        <f>IF(C370=0,COUNTIFS(A:A,A370,D:D,"a"),"")</f>
        <v/>
      </c>
      <c r="K370" s="2" t="e">
        <f>INDEX(+SUBSTITUTE(#REF!,#REF!,#REF!,K370:L370),)</f>
        <v>#REF!</v>
      </c>
      <c r="L370" s="1">
        <v>1</v>
      </c>
      <c r="M370" s="2" t="e">
        <f>INDEX(+SUBSTITUTE(#REF!,#REF!,#REF!,INDIRECT(M370:N370)),)</f>
        <v>#REF!</v>
      </c>
      <c r="N370" s="1">
        <v>1</v>
      </c>
    </row>
    <row r="371" spans="1:14" x14ac:dyDescent="0.55000000000000004">
      <c r="A371" s="1" t="s">
        <v>1590</v>
      </c>
      <c r="B371" s="2">
        <f>COUNTIF(A:A,A371)-1</f>
        <v>1</v>
      </c>
      <c r="C371" s="2">
        <f>COUNTIF(A$1:A371,A371)-1</f>
        <v>0</v>
      </c>
      <c r="D371" s="2" t="str">
        <f>Argument!D371</f>
        <v/>
      </c>
      <c r="E371" s="2" t="str">
        <f t="shared" si="10"/>
        <v>v</v>
      </c>
      <c r="F371" s="2" t="b">
        <f>IF(C371=0,ISTEXT(FORMULA.CONVERT("="&amp;A371&amp;"("&amp;REPLACE(REPT(",#ref!",B371),1,1,"")&amp;")()",1)),"")</f>
        <v>0</v>
      </c>
      <c r="G371" s="2"/>
      <c r="H371" s="2" t="str">
        <f t="shared" si="11"/>
        <v/>
      </c>
      <c r="I371" s="2">
        <f>TYPE(CODE(IF(1,1)))</f>
        <v>1</v>
      </c>
      <c r="J371" s="2">
        <f>IF(C371=0,COUNTIFS(A:A,A371,D:D,"a"),"")</f>
        <v>0</v>
      </c>
      <c r="K371" s="2"/>
      <c r="M371" s="2"/>
    </row>
    <row r="372" spans="1:14" x14ac:dyDescent="0.55000000000000004">
      <c r="A372" s="1" t="s">
        <v>1590</v>
      </c>
      <c r="B372" s="2">
        <f>COUNTIF(A:A,A372)-1</f>
        <v>1</v>
      </c>
      <c r="C372" s="2">
        <f>COUNTIF(A$1:A372,A372)-1</f>
        <v>1</v>
      </c>
      <c r="D372" s="2" t="str">
        <f>Argument!D372</f>
        <v>v</v>
      </c>
      <c r="E372" s="2" t="str">
        <f t="shared" si="10"/>
        <v/>
      </c>
      <c r="F372" s="2" t="str">
        <f>IF(C372=0,ISTEXT(FORMULA.CONVERT("="&amp;A372&amp;"("&amp;REPLACE(REPT(",#ref!",B372),1,1,"")&amp;")()",1)),"")</f>
        <v/>
      </c>
      <c r="G372" s="2">
        <f>TYPE(CODE({1}))</f>
        <v>64</v>
      </c>
      <c r="H372" s="2" t="str">
        <f t="shared" si="11"/>
        <v/>
      </c>
      <c r="I372" s="2">
        <f>TYPE(CODE(IF(1,1)))</f>
        <v>1</v>
      </c>
      <c r="J372" s="2" t="str">
        <f>IF(C372=0,COUNTIFS(A:A,A372,D:D,"a"),"")</f>
        <v/>
      </c>
      <c r="K372" s="2">
        <f>INDEX(+CODE(K372:L372),)</f>
        <v>48</v>
      </c>
      <c r="L372" s="1">
        <v>1</v>
      </c>
      <c r="M372" s="2" t="e">
        <f>INDEX(+CODE(INDIRECT(M372:N372)),)</f>
        <v>#REF!</v>
      </c>
      <c r="N372" s="1">
        <v>1</v>
      </c>
    </row>
    <row r="373" spans="1:14" x14ac:dyDescent="0.55000000000000004">
      <c r="A373" s="1" t="s">
        <v>1591</v>
      </c>
      <c r="B373" s="2">
        <f>COUNTIF(A:A,A373)-1</f>
        <v>3</v>
      </c>
      <c r="C373" s="2">
        <f>COUNTIF(A$1:A373,A373)-1</f>
        <v>0</v>
      </c>
      <c r="D373" s="2" t="str">
        <f>Argument!D373</f>
        <v/>
      </c>
      <c r="E373" s="2" t="str">
        <f t="shared" si="10"/>
        <v>va</v>
      </c>
      <c r="F373" s="2" t="b">
        <f>IF(C373=0,ISTEXT(FORMULA.CONVERT("="&amp;A373&amp;"("&amp;REPLACE(REPT(",#ref!",B373),1,1,"")&amp;")()",1)),"")</f>
        <v>0</v>
      </c>
      <c r="G373" s="2"/>
      <c r="H373" s="2" t="str">
        <f t="shared" si="11"/>
        <v/>
      </c>
      <c r="I373" s="2">
        <f>TYPE(NAMES(IF(1,1),IF(1,1),IF(1,1)))</f>
        <v>16</v>
      </c>
      <c r="J373" s="2">
        <f>IF(C373=0,COUNTIFS(A:A,A373,D:D,"a"),"")</f>
        <v>0</v>
      </c>
      <c r="K373" s="2"/>
      <c r="M373" s="2"/>
    </row>
    <row r="374" spans="1:14" x14ac:dyDescent="0.55000000000000004">
      <c r="A374" s="1" t="s">
        <v>1591</v>
      </c>
      <c r="B374" s="2">
        <f>COUNTIF(A:A,A374)-1</f>
        <v>3</v>
      </c>
      <c r="C374" s="2">
        <f>COUNTIF(A$1:A374,A374)-1</f>
        <v>1</v>
      </c>
      <c r="D374" s="2" t="str">
        <f>Argument!D374</f>
        <v>v</v>
      </c>
      <c r="E374" s="2" t="str">
        <f t="shared" si="10"/>
        <v/>
      </c>
      <c r="F374" s="2" t="str">
        <f>IF(C374=0,ISTEXT(FORMULA.CONVERT("="&amp;A374&amp;"("&amp;REPLACE(REPT(",#ref!",B374),1,1,"")&amp;")()",1)),"")</f>
        <v/>
      </c>
      <c r="G374" s="2">
        <f>TYPE(NAMES({1},IF(1,1),IF(1,1)))</f>
        <v>16</v>
      </c>
      <c r="H374" s="2">
        <f t="shared" si="11"/>
        <v>1</v>
      </c>
      <c r="I374" s="2">
        <f>TYPE(NAMES(IF(1,1),IF(1,1),IF(1,1)))</f>
        <v>16</v>
      </c>
      <c r="J374" s="2" t="str">
        <f>IF(C374=0,COUNTIFS(A:A,A374,D:D,"a"),"")</f>
        <v/>
      </c>
      <c r="K374" s="2" t="e">
        <f>INDEX(+NAMES(K374:L374,#REF!,#REF!),)</f>
        <v>#REF!</v>
      </c>
      <c r="M374" s="2" t="e">
        <f>INDEX(+NAMES(INDIRECT(M374:N374),#REF!,#REF!),)</f>
        <v>#REF!</v>
      </c>
    </row>
    <row r="375" spans="1:14" x14ac:dyDescent="0.55000000000000004">
      <c r="A375" s="1" t="s">
        <v>1591</v>
      </c>
      <c r="B375" s="2">
        <f>COUNTIF(A:A,A375)-1</f>
        <v>3</v>
      </c>
      <c r="C375" s="2">
        <f>COUNTIF(A$1:A375,A375)-1</f>
        <v>2</v>
      </c>
      <c r="D375" s="2" t="str">
        <f>Argument!D375</f>
        <v>v</v>
      </c>
      <c r="E375" s="2" t="str">
        <f t="shared" si="10"/>
        <v/>
      </c>
      <c r="F375" s="2" t="str">
        <f>IF(C375=0,ISTEXT(FORMULA.CONVERT("="&amp;A375&amp;"("&amp;REPLACE(REPT(",#ref!",B375),1,1,"")&amp;")()",1)),"")</f>
        <v/>
      </c>
      <c r="G375" s="2">
        <f>TYPE(NAMES(IF(1,1),{1},IF(1,1)))</f>
        <v>16</v>
      </c>
      <c r="H375" s="2">
        <f t="shared" si="11"/>
        <v>1</v>
      </c>
      <c r="I375" s="2">
        <f>TYPE(NAMES(IF(1,1),IF(1,1),IF(1,1)))</f>
        <v>16</v>
      </c>
      <c r="J375" s="2" t="str">
        <f>IF(C375=0,COUNTIFS(A:A,A375,D:D,"a"),"")</f>
        <v/>
      </c>
      <c r="K375" s="2" t="e">
        <f>INDEX(+NAMES(#REF!,K375:L375,#REF!),)</f>
        <v>#REF!</v>
      </c>
      <c r="M375" s="2" t="e">
        <f>INDEX(+NAMES(#REF!,INDIRECT(M375:N375),#REF!),)</f>
        <v>#REF!</v>
      </c>
    </row>
    <row r="376" spans="1:14" x14ac:dyDescent="0.55000000000000004">
      <c r="A376" s="1" t="s">
        <v>1591</v>
      </c>
      <c r="B376" s="2">
        <f>COUNTIF(A:A,A376)-1</f>
        <v>3</v>
      </c>
      <c r="C376" s="2">
        <f>COUNTIF(A$1:A376,A376)-1</f>
        <v>3</v>
      </c>
      <c r="D376" s="2" t="str">
        <f>Argument!D376</f>
        <v>v</v>
      </c>
      <c r="E376" s="2" t="str">
        <f t="shared" si="10"/>
        <v/>
      </c>
      <c r="F376" s="2" t="str">
        <f>IF(C376=0,ISTEXT(FORMULA.CONVERT("="&amp;A376&amp;"("&amp;REPLACE(REPT(",#ref!",B376),1,1,"")&amp;")()",1)),"")</f>
        <v/>
      </c>
      <c r="G376" s="2">
        <f>TYPE(NAMES(IF(1,1),IF(1,1),{1}))</f>
        <v>16</v>
      </c>
      <c r="H376" s="2">
        <f t="shared" si="11"/>
        <v>1</v>
      </c>
      <c r="I376" s="2">
        <f>TYPE(NAMES(IF(1,1),IF(1,1),IF(1,1)))</f>
        <v>16</v>
      </c>
      <c r="J376" s="2" t="str">
        <f>IF(C376=0,COUNTIFS(A:A,A376,D:D,"a"),"")</f>
        <v/>
      </c>
      <c r="K376" s="2" t="e">
        <f>INDEX(+NAMES(#REF!,#REF!,K376:L376),)</f>
        <v>#REF!</v>
      </c>
      <c r="M376" s="2" t="e">
        <f>INDEX(+NAMES(#REF!,#REF!,INDIRECT(M376:N376)),)</f>
        <v>#REF!</v>
      </c>
    </row>
    <row r="377" spans="1:14" x14ac:dyDescent="0.55000000000000004">
      <c r="A377" s="1" t="s">
        <v>1592</v>
      </c>
      <c r="B377" s="2">
        <f>COUNTIF(A:A,A377)-1</f>
        <v>1</v>
      </c>
      <c r="C377" s="2">
        <f>COUNTIF(A$1:A377,A377)-1</f>
        <v>0</v>
      </c>
      <c r="D377" s="2" t="str">
        <f>Argument!D377</f>
        <v/>
      </c>
      <c r="E377" s="2" t="str">
        <f t="shared" si="10"/>
        <v>v</v>
      </c>
      <c r="F377" s="2" t="b">
        <f>IF(C377=0,ISTEXT(FORMULA.CONVERT("="&amp;A377&amp;"("&amp;REPLACE(REPT(",#ref!",B377),1,1,"")&amp;")()",1)),"")</f>
        <v>0</v>
      </c>
      <c r="G377" s="2"/>
      <c r="H377" s="2" t="str">
        <f t="shared" si="11"/>
        <v/>
      </c>
      <c r="I377" s="2">
        <f>TYPE(DIRECTORY(IF(1,1)))</f>
        <v>4</v>
      </c>
      <c r="J377" s="2">
        <f>IF(C377=0,COUNTIFS(A:A,A377,D:D,"a"),"")</f>
        <v>0</v>
      </c>
      <c r="K377" s="2"/>
      <c r="M377" s="2"/>
    </row>
    <row r="378" spans="1:14" x14ac:dyDescent="0.55000000000000004">
      <c r="A378" s="1" t="s">
        <v>1592</v>
      </c>
      <c r="B378" s="2">
        <f>COUNTIF(A:A,A378)-1</f>
        <v>1</v>
      </c>
      <c r="C378" s="2">
        <f>COUNTIF(A$1:A378,A378)-1</f>
        <v>1</v>
      </c>
      <c r="D378" s="2" t="str">
        <f>Argument!D378</f>
        <v>v</v>
      </c>
      <c r="E378" s="2" t="str">
        <f t="shared" si="10"/>
        <v/>
      </c>
      <c r="F378" s="2" t="str">
        <f>IF(C378=0,ISTEXT(FORMULA.CONVERT("="&amp;A378&amp;"("&amp;REPLACE(REPT(",#ref!",B378),1,1,"")&amp;")()",1)),"")</f>
        <v/>
      </c>
      <c r="G378" s="2">
        <f>TYPE(DIRECTORY({1}))</f>
        <v>64</v>
      </c>
      <c r="H378" s="2" t="str">
        <f t="shared" si="11"/>
        <v/>
      </c>
      <c r="I378" s="2">
        <f>TYPE(DIRECTORY(IF(1,1)))</f>
        <v>4</v>
      </c>
      <c r="J378" s="2" t="str">
        <f>IF(C378=0,COUNTIFS(A:A,A378,D:D,"a"),"")</f>
        <v/>
      </c>
      <c r="K378" s="2" t="b">
        <f>INDEX(+DIRECTORY(K378:L378),)</f>
        <v>0</v>
      </c>
      <c r="L378" s="1">
        <v>1</v>
      </c>
      <c r="M378" s="2" t="e">
        <f>INDEX(+DIRECTORY(INDIRECT(M378:N378)),)</f>
        <v>#REF!</v>
      </c>
      <c r="N378" s="1">
        <v>1</v>
      </c>
    </row>
    <row r="379" spans="1:14" x14ac:dyDescent="0.55000000000000004">
      <c r="A379" s="1" t="s">
        <v>1593</v>
      </c>
      <c r="B379" s="2">
        <f>COUNTIF(A:A,A379)-1</f>
        <v>3</v>
      </c>
      <c r="C379" s="2">
        <f>COUNTIF(A$1:A379,A379)-1</f>
        <v>0</v>
      </c>
      <c r="D379" s="2" t="str">
        <f>Argument!D379</f>
        <v/>
      </c>
      <c r="E379" s="2" t="str">
        <f t="shared" si="10"/>
        <v>v</v>
      </c>
      <c r="F379" s="2" t="b">
        <f>IF(C379=0,ISTEXT(FORMULA.CONVERT("="&amp;A379&amp;"("&amp;REPLACE(REPT(",#ref!",B379),1,1,"")&amp;")()",1)),"")</f>
        <v>0</v>
      </c>
      <c r="G379" s="2"/>
      <c r="H379" s="2" t="str">
        <f t="shared" si="11"/>
        <v/>
      </c>
      <c r="I379" s="2">
        <f>TYPE(FIND(IF(1,1),IF(1,1),IF(1,1)))</f>
        <v>1</v>
      </c>
      <c r="J379" s="2">
        <f>IF(C379=0,COUNTIFS(A:A,A379,D:D,"a"),"")</f>
        <v>0</v>
      </c>
      <c r="K379" s="2"/>
      <c r="M379" s="2"/>
    </row>
    <row r="380" spans="1:14" x14ac:dyDescent="0.55000000000000004">
      <c r="A380" s="1" t="s">
        <v>1593</v>
      </c>
      <c r="B380" s="2">
        <f>COUNTIF(A:A,A380)-1</f>
        <v>3</v>
      </c>
      <c r="C380" s="2">
        <f>COUNTIF(A$1:A380,A380)-1</f>
        <v>1</v>
      </c>
      <c r="D380" s="2" t="str">
        <f>Argument!D380</f>
        <v>v</v>
      </c>
      <c r="E380" s="2" t="str">
        <f t="shared" si="10"/>
        <v/>
      </c>
      <c r="F380" s="2" t="str">
        <f>IF(C380=0,ISTEXT(FORMULA.CONVERT("="&amp;A380&amp;"("&amp;REPLACE(REPT(",#ref!",B380),1,1,"")&amp;")()",1)),"")</f>
        <v/>
      </c>
      <c r="G380" s="2">
        <f>TYPE(FIND({1},IF(1,1),IF(1,1)))</f>
        <v>64</v>
      </c>
      <c r="H380" s="2" t="str">
        <f t="shared" si="11"/>
        <v/>
      </c>
      <c r="I380" s="2">
        <f>TYPE(FIND(IF(1,1),IF(1,1),IF(1,1)))</f>
        <v>1</v>
      </c>
      <c r="J380" s="2" t="str">
        <f>IF(C380=0,COUNTIFS(A:A,A380,D:D,"a"),"")</f>
        <v/>
      </c>
      <c r="K380" s="2" t="e">
        <f>INDEX(+FIND(K380:L380,#REF!,#REF!),)</f>
        <v>#REF!</v>
      </c>
      <c r="L380" s="1">
        <v>1</v>
      </c>
      <c r="M380" s="2" t="e">
        <f>INDEX(+FIND(INDIRECT(M380:N380),#REF!,#REF!),)</f>
        <v>#REF!</v>
      </c>
      <c r="N380" s="1">
        <v>1</v>
      </c>
    </row>
    <row r="381" spans="1:14" x14ac:dyDescent="0.55000000000000004">
      <c r="A381" s="1" t="s">
        <v>1593</v>
      </c>
      <c r="B381" s="2">
        <f>COUNTIF(A:A,A381)-1</f>
        <v>3</v>
      </c>
      <c r="C381" s="2">
        <f>COUNTIF(A$1:A381,A381)-1</f>
        <v>2</v>
      </c>
      <c r="D381" s="2" t="str">
        <f>Argument!D381</f>
        <v>v</v>
      </c>
      <c r="E381" s="2" t="str">
        <f t="shared" si="10"/>
        <v/>
      </c>
      <c r="F381" s="2" t="str">
        <f>IF(C381=0,ISTEXT(FORMULA.CONVERT("="&amp;A381&amp;"("&amp;REPLACE(REPT(",#ref!",B381),1,1,"")&amp;")()",1)),"")</f>
        <v/>
      </c>
      <c r="G381" s="2">
        <f>TYPE(FIND(IF(1,1),{1},IF(1,1)))</f>
        <v>64</v>
      </c>
      <c r="H381" s="2" t="str">
        <f t="shared" si="11"/>
        <v/>
      </c>
      <c r="I381" s="2">
        <f>TYPE(FIND(IF(1,1),IF(1,1),IF(1,1)))</f>
        <v>1</v>
      </c>
      <c r="J381" s="2" t="str">
        <f>IF(C381=0,COUNTIFS(A:A,A381,D:D,"a"),"")</f>
        <v/>
      </c>
      <c r="K381" s="2" t="e">
        <f>INDEX(+FIND(#REF!,K381:L381,#REF!),)</f>
        <v>#REF!</v>
      </c>
      <c r="L381" s="1">
        <v>1</v>
      </c>
      <c r="M381" s="2" t="e">
        <f>INDEX(+FIND(#REF!,INDIRECT(M381:N381),#REF!),)</f>
        <v>#REF!</v>
      </c>
      <c r="N381" s="1">
        <v>1</v>
      </c>
    </row>
    <row r="382" spans="1:14" x14ac:dyDescent="0.55000000000000004">
      <c r="A382" s="1" t="s">
        <v>1593</v>
      </c>
      <c r="B382" s="2">
        <f>COUNTIF(A:A,A382)-1</f>
        <v>3</v>
      </c>
      <c r="C382" s="2">
        <f>COUNTIF(A$1:A382,A382)-1</f>
        <v>3</v>
      </c>
      <c r="D382" s="2" t="str">
        <f>Argument!D382</f>
        <v>v</v>
      </c>
      <c r="E382" s="2" t="str">
        <f t="shared" si="10"/>
        <v/>
      </c>
      <c r="F382" s="2" t="str">
        <f>IF(C382=0,ISTEXT(FORMULA.CONVERT("="&amp;A382&amp;"("&amp;REPLACE(REPT(",#ref!",B382),1,1,"")&amp;")()",1)),"")</f>
        <v/>
      </c>
      <c r="G382" s="2">
        <f>TYPE(FIND(IF(1,1),IF(1,1),{1}))</f>
        <v>64</v>
      </c>
      <c r="H382" s="2" t="str">
        <f t="shared" si="11"/>
        <v/>
      </c>
      <c r="I382" s="2">
        <f>TYPE(FIND(IF(1,1),IF(1,1),IF(1,1)))</f>
        <v>1</v>
      </c>
      <c r="J382" s="2" t="str">
        <f>IF(C382=0,COUNTIFS(A:A,A382,D:D,"a"),"")</f>
        <v/>
      </c>
      <c r="K382" s="2" t="e">
        <f>INDEX(+FIND(#REF!,#REF!,K382:L382),)</f>
        <v>#REF!</v>
      </c>
      <c r="L382" s="1">
        <v>1</v>
      </c>
      <c r="M382" s="2" t="e">
        <f>INDEX(+FIND(#REF!,#REF!,INDIRECT(M382:N382)),)</f>
        <v>#REF!</v>
      </c>
      <c r="N382" s="1">
        <v>1</v>
      </c>
    </row>
    <row r="383" spans="1:14" x14ac:dyDescent="0.55000000000000004">
      <c r="A383" s="1" t="s">
        <v>1594</v>
      </c>
      <c r="B383" s="2">
        <f>COUNTIF(A:A,A383)-1</f>
        <v>2</v>
      </c>
      <c r="C383" s="2">
        <f>COUNTIF(A$1:A383,A383)-1</f>
        <v>0</v>
      </c>
      <c r="D383" s="2" t="str">
        <f>Argument!D383</f>
        <v/>
      </c>
      <c r="E383" s="2" t="str">
        <f t="shared" si="10"/>
        <v>va</v>
      </c>
      <c r="F383" s="2" t="b">
        <f>IF(C383=0,ISTEXT(FORMULA.CONVERT("="&amp;A383&amp;"("&amp;REPLACE(REPT(",#ref!",B383),1,1,"")&amp;")()",1)),"")</f>
        <v>0</v>
      </c>
      <c r="G383" s="2"/>
      <c r="H383" s="2" t="str">
        <f t="shared" si="11"/>
        <v/>
      </c>
      <c r="I383" s="2">
        <f>TYPE(CELL(IF(1,1),IF(1,1)))</f>
        <v>16</v>
      </c>
      <c r="J383" s="2">
        <f>IF(C383=0,COUNTIFS(A:A,A383,D:D,"a"),"")</f>
        <v>0</v>
      </c>
      <c r="K383" s="2"/>
      <c r="M383" s="2"/>
    </row>
    <row r="384" spans="1:14" x14ac:dyDescent="0.55000000000000004">
      <c r="A384" s="1" t="s">
        <v>1594</v>
      </c>
      <c r="B384" s="2">
        <f>COUNTIF(A:A,A384)-1</f>
        <v>2</v>
      </c>
      <c r="C384" s="2">
        <f>COUNTIF(A$1:A384,A384)-1</f>
        <v>1</v>
      </c>
      <c r="D384" s="2" t="str">
        <f>Argument!D384</f>
        <v>v</v>
      </c>
      <c r="E384" s="2" t="str">
        <f t="shared" si="10"/>
        <v/>
      </c>
      <c r="F384" s="2" t="str">
        <f>IF(C384=0,ISTEXT(FORMULA.CONVERT("="&amp;A384&amp;"("&amp;REPLACE(REPT(",#ref!",B384),1,1,"")&amp;")()",1)),"")</f>
        <v/>
      </c>
      <c r="G384" s="2">
        <f>TYPE(CELL({1},IF(1,1)))</f>
        <v>16</v>
      </c>
      <c r="H384" s="2">
        <f t="shared" si="11"/>
        <v>1</v>
      </c>
      <c r="I384" s="2">
        <f>TYPE(CELL(IF(1,1),IF(1,1)))</f>
        <v>16</v>
      </c>
      <c r="J384" s="2" t="str">
        <f>IF(C384=0,COUNTIFS(A:A,A384,D:D,"a"),"")</f>
        <v/>
      </c>
      <c r="K384" s="2" t="e">
        <f>INDEX(+CELL(K384:L384,#REF!),)</f>
        <v>#REF!</v>
      </c>
      <c r="M384" s="2" t="e">
        <f>INDEX(+CELL(INDIRECT(M384:N384),#REF!),)</f>
        <v>#REF!</v>
      </c>
    </row>
    <row r="385" spans="1:14" x14ac:dyDescent="0.55000000000000004">
      <c r="A385" s="1" t="s">
        <v>1594</v>
      </c>
      <c r="B385" s="2">
        <f>COUNTIF(A:A,A385)-1</f>
        <v>2</v>
      </c>
      <c r="C385" s="2">
        <f>COUNTIF(A$1:A385,A385)-1</f>
        <v>2</v>
      </c>
      <c r="D385" s="2" t="str">
        <f>Argument!D385</f>
        <v>r</v>
      </c>
      <c r="E385" s="2" t="str">
        <f t="shared" si="10"/>
        <v/>
      </c>
      <c r="F385" s="2" t="str">
        <f>IF(C385=0,ISTEXT(FORMULA.CONVERT("="&amp;A385&amp;"("&amp;REPLACE(REPT(",#ref!",B385),1,1,"")&amp;")()",1)),"")</f>
        <v/>
      </c>
      <c r="G385" s="2"/>
      <c r="H385" s="2">
        <f t="shared" si="11"/>
        <v>1</v>
      </c>
      <c r="I385" s="2">
        <f>TYPE(CELL(IF(1,1),IF(1,1)))</f>
        <v>16</v>
      </c>
      <c r="J385" s="2" t="str">
        <f>IF(C385=0,COUNTIFS(A:A,A385,D:D,"a"),"")</f>
        <v/>
      </c>
      <c r="K385" s="2" t="e">
        <f>INDEX(+CELL(#REF!,K385:L385),)</f>
        <v>#REF!</v>
      </c>
      <c r="L385" s="1">
        <v>1</v>
      </c>
      <c r="M385" s="2" t="e">
        <f>INDEX(+CELL(#REF!,INDIRECT(M385:N385)),)</f>
        <v>#REF!</v>
      </c>
    </row>
    <row r="386" spans="1:14" x14ac:dyDescent="0.55000000000000004">
      <c r="A386" s="1" t="s">
        <v>1595</v>
      </c>
      <c r="B386" s="2">
        <f>COUNTIF(A:A,A386)-1</f>
        <v>1</v>
      </c>
      <c r="C386" s="2">
        <f>COUNTIF(A$1:A386,A386)-1</f>
        <v>0</v>
      </c>
      <c r="D386" s="2" t="str">
        <f>Argument!D386</f>
        <v/>
      </c>
      <c r="E386" s="2" t="str">
        <f t="shared" ref="E386:E449" si="12">IF(C386=0,IF(SUMIFS(H:H,A:A,A386),IF(COUNTIFS(A:A,A386,G:G,64),,"v")&amp;IF(F386,"ar","a"),IF(F386,"r","v")),"")</f>
        <v>v</v>
      </c>
      <c r="F386" s="2" t="b">
        <f>IF(C386=0,ISTEXT(FORMULA.CONVERT("="&amp;A386&amp;"("&amp;REPLACE(REPT(",#ref!",B386),1,1,"")&amp;")()",1)),"")</f>
        <v>0</v>
      </c>
      <c r="G386" s="2"/>
      <c r="H386" s="2" t="str">
        <f t="shared" ref="H386:H449" si="13">IF((I386=64)*(J386=B386)+(1-L386)*COUNTIF(D386,"*v*")+(1-N386)*COUNTIF(D386,"*r*"),1,"")</f>
        <v/>
      </c>
      <c r="I386" s="2">
        <f>TYPE(ISERR(IF(1,1)))</f>
        <v>4</v>
      </c>
      <c r="J386" s="2">
        <f>IF(C386=0,COUNTIFS(A:A,A386,D:D,"a"),"")</f>
        <v>0</v>
      </c>
      <c r="K386" s="2"/>
      <c r="M386" s="2"/>
    </row>
    <row r="387" spans="1:14" x14ac:dyDescent="0.55000000000000004">
      <c r="A387" s="1" t="s">
        <v>1595</v>
      </c>
      <c r="B387" s="2">
        <f>COUNTIF(A:A,A387)-1</f>
        <v>1</v>
      </c>
      <c r="C387" s="2">
        <f>COUNTIF(A$1:A387,A387)-1</f>
        <v>1</v>
      </c>
      <c r="D387" s="2" t="str">
        <f>Argument!D387</f>
        <v>v</v>
      </c>
      <c r="E387" s="2" t="str">
        <f t="shared" si="12"/>
        <v/>
      </c>
      <c r="F387" s="2" t="str">
        <f>IF(C387=0,ISTEXT(FORMULA.CONVERT("="&amp;A387&amp;"("&amp;REPLACE(REPT(",#ref!",B387),1,1,"")&amp;")()",1)),"")</f>
        <v/>
      </c>
      <c r="G387" s="2">
        <f>TYPE(ISERR({1}))</f>
        <v>64</v>
      </c>
      <c r="H387" s="2" t="str">
        <f t="shared" si="13"/>
        <v/>
      </c>
      <c r="I387" s="2">
        <f>TYPE(ISERR(IF(1,1)))</f>
        <v>4</v>
      </c>
      <c r="J387" s="2" t="str">
        <f>IF(C387=0,COUNTIFS(A:A,A387,D:D,"a"),"")</f>
        <v/>
      </c>
      <c r="K387" s="2" t="b">
        <f>INDEX(+ISERR(K387:L387),)</f>
        <v>0</v>
      </c>
      <c r="L387" s="1">
        <v>1</v>
      </c>
      <c r="M387" s="2" t="b">
        <f>INDEX(+ISERR(INDIRECT(M387:N387)),)</f>
        <v>1</v>
      </c>
      <c r="N387" s="1">
        <v>1</v>
      </c>
    </row>
    <row r="388" spans="1:14" x14ac:dyDescent="0.55000000000000004">
      <c r="A388" s="1" t="s">
        <v>1596</v>
      </c>
      <c r="B388" s="2">
        <f>COUNTIF(A:A,A388)-1</f>
        <v>1</v>
      </c>
      <c r="C388" s="2">
        <f>COUNTIF(A$1:A388,A388)-1</f>
        <v>0</v>
      </c>
      <c r="D388" s="2" t="str">
        <f>Argument!D388</f>
        <v/>
      </c>
      <c r="E388" s="2" t="str">
        <f t="shared" si="12"/>
        <v>v</v>
      </c>
      <c r="F388" s="2" t="b">
        <f>IF(C388=0,ISTEXT(FORMULA.CONVERT("="&amp;A388&amp;"("&amp;REPLACE(REPT(",#ref!",B388),1,1,"")&amp;")()",1)),"")</f>
        <v>0</v>
      </c>
      <c r="G388" s="2"/>
      <c r="H388" s="2" t="str">
        <f t="shared" si="13"/>
        <v/>
      </c>
      <c r="I388" s="2">
        <f>TYPE(ISTEXT(IF(1,1)))</f>
        <v>4</v>
      </c>
      <c r="J388" s="2">
        <f>IF(C388=0,COUNTIFS(A:A,A388,D:D,"a"),"")</f>
        <v>0</v>
      </c>
      <c r="K388" s="2"/>
      <c r="M388" s="2"/>
    </row>
    <row r="389" spans="1:14" x14ac:dyDescent="0.55000000000000004">
      <c r="A389" s="1" t="s">
        <v>1596</v>
      </c>
      <c r="B389" s="2">
        <f>COUNTIF(A:A,A389)-1</f>
        <v>1</v>
      </c>
      <c r="C389" s="2">
        <f>COUNTIF(A$1:A389,A389)-1</f>
        <v>1</v>
      </c>
      <c r="D389" s="2" t="str">
        <f>Argument!D389</f>
        <v>v</v>
      </c>
      <c r="E389" s="2" t="str">
        <f t="shared" si="12"/>
        <v/>
      </c>
      <c r="F389" s="2" t="str">
        <f>IF(C389=0,ISTEXT(FORMULA.CONVERT("="&amp;A389&amp;"("&amp;REPLACE(REPT(",#ref!",B389),1,1,"")&amp;")()",1)),"")</f>
        <v/>
      </c>
      <c r="G389" s="2">
        <f>TYPE(ISTEXT({1}))</f>
        <v>64</v>
      </c>
      <c r="H389" s="2" t="str">
        <f t="shared" si="13"/>
        <v/>
      </c>
      <c r="I389" s="2">
        <f>TYPE(ISTEXT(IF(1,1)))</f>
        <v>4</v>
      </c>
      <c r="J389" s="2" t="str">
        <f>IF(C389=0,COUNTIFS(A:A,A389,D:D,"a"),"")</f>
        <v/>
      </c>
      <c r="K389" s="2" t="b">
        <f>INDEX(+ISTEXT(K389:L389),)</f>
        <v>0</v>
      </c>
      <c r="L389" s="1">
        <v>1</v>
      </c>
      <c r="M389" s="2" t="b">
        <f>INDEX(+ISTEXT(INDIRECT(M389:N389)),)</f>
        <v>0</v>
      </c>
      <c r="N389" s="1">
        <v>1</v>
      </c>
    </row>
    <row r="390" spans="1:14" x14ac:dyDescent="0.55000000000000004">
      <c r="A390" s="1" t="s">
        <v>1597</v>
      </c>
      <c r="B390" s="2">
        <f>COUNTIF(A:A,A390)-1</f>
        <v>1</v>
      </c>
      <c r="C390" s="2">
        <f>COUNTIF(A$1:A390,A390)-1</f>
        <v>0</v>
      </c>
      <c r="D390" s="2" t="str">
        <f>Argument!D390</f>
        <v/>
      </c>
      <c r="E390" s="2" t="str">
        <f t="shared" si="12"/>
        <v>v</v>
      </c>
      <c r="F390" s="2" t="b">
        <f>IF(C390=0,ISTEXT(FORMULA.CONVERT("="&amp;A390&amp;"("&amp;REPLACE(REPT(",#ref!",B390),1,1,"")&amp;")()",1)),"")</f>
        <v>0</v>
      </c>
      <c r="G390" s="2"/>
      <c r="H390" s="2" t="str">
        <f t="shared" si="13"/>
        <v/>
      </c>
      <c r="I390" s="2">
        <f>TYPE(ISNUMBER(IF(1,1)))</f>
        <v>4</v>
      </c>
      <c r="J390" s="2">
        <f>IF(C390=0,COUNTIFS(A:A,A390,D:D,"a"),"")</f>
        <v>0</v>
      </c>
      <c r="K390" s="2"/>
      <c r="M390" s="2"/>
    </row>
    <row r="391" spans="1:14" x14ac:dyDescent="0.55000000000000004">
      <c r="A391" s="1" t="s">
        <v>1597</v>
      </c>
      <c r="B391" s="2">
        <f>COUNTIF(A:A,A391)-1</f>
        <v>1</v>
      </c>
      <c r="C391" s="2">
        <f>COUNTIF(A$1:A391,A391)-1</f>
        <v>1</v>
      </c>
      <c r="D391" s="2" t="str">
        <f>Argument!D391</f>
        <v>v</v>
      </c>
      <c r="E391" s="2" t="str">
        <f t="shared" si="12"/>
        <v/>
      </c>
      <c r="F391" s="2" t="str">
        <f>IF(C391=0,ISTEXT(FORMULA.CONVERT("="&amp;A391&amp;"("&amp;REPLACE(REPT(",#ref!",B391),1,1,"")&amp;")()",1)),"")</f>
        <v/>
      </c>
      <c r="G391" s="2">
        <f>TYPE(ISNUMBER({1}))</f>
        <v>64</v>
      </c>
      <c r="H391" s="2" t="str">
        <f t="shared" si="13"/>
        <v/>
      </c>
      <c r="I391" s="2">
        <f>TYPE(ISNUMBER(IF(1,1)))</f>
        <v>4</v>
      </c>
      <c r="J391" s="2" t="str">
        <f>IF(C391=0,COUNTIFS(A:A,A391,D:D,"a"),"")</f>
        <v/>
      </c>
      <c r="K391" s="2" t="b">
        <f>INDEX(+ISNUMBER(K391:L391),)</f>
        <v>1</v>
      </c>
      <c r="L391" s="1">
        <v>1</v>
      </c>
      <c r="M391" s="2" t="b">
        <f>INDEX(+ISNUMBER(INDIRECT(M391:N391)),)</f>
        <v>0</v>
      </c>
      <c r="N391" s="1">
        <v>1</v>
      </c>
    </row>
    <row r="392" spans="1:14" x14ac:dyDescent="0.55000000000000004">
      <c r="A392" s="1" t="s">
        <v>1598</v>
      </c>
      <c r="B392" s="2">
        <f>COUNTIF(A:A,A392)-1</f>
        <v>1</v>
      </c>
      <c r="C392" s="2">
        <f>COUNTIF(A$1:A392,A392)-1</f>
        <v>0</v>
      </c>
      <c r="D392" s="2" t="str">
        <f>Argument!D392</f>
        <v/>
      </c>
      <c r="E392" s="2" t="str">
        <f t="shared" si="12"/>
        <v>v</v>
      </c>
      <c r="F392" s="2" t="b">
        <f>IF(C392=0,ISTEXT(FORMULA.CONVERT("="&amp;A392&amp;"("&amp;REPLACE(REPT(",#ref!",B392),1,1,"")&amp;")()",1)),"")</f>
        <v>0</v>
      </c>
      <c r="G392" s="2"/>
      <c r="H392" s="2" t="str">
        <f t="shared" si="13"/>
        <v/>
      </c>
      <c r="I392" s="2">
        <f>TYPE(ISBLANK(IF(1,1)))</f>
        <v>4</v>
      </c>
      <c r="J392" s="2">
        <f>IF(C392=0,COUNTIFS(A:A,A392,D:D,"a"),"")</f>
        <v>0</v>
      </c>
      <c r="K392" s="2"/>
      <c r="M392" s="2"/>
    </row>
    <row r="393" spans="1:14" x14ac:dyDescent="0.55000000000000004">
      <c r="A393" s="1" t="s">
        <v>1598</v>
      </c>
      <c r="B393" s="2">
        <f>COUNTIF(A:A,A393)-1</f>
        <v>1</v>
      </c>
      <c r="C393" s="2">
        <f>COUNTIF(A$1:A393,A393)-1</f>
        <v>1</v>
      </c>
      <c r="D393" s="2" t="str">
        <f>Argument!D393</f>
        <v>v</v>
      </c>
      <c r="E393" s="2" t="str">
        <f t="shared" si="12"/>
        <v/>
      </c>
      <c r="F393" s="2" t="str">
        <f>IF(C393=0,ISTEXT(FORMULA.CONVERT("="&amp;A393&amp;"("&amp;REPLACE(REPT(",#ref!",B393),1,1,"")&amp;")()",1)),"")</f>
        <v/>
      </c>
      <c r="G393" s="2">
        <f>TYPE(ISBLANK({1}))</f>
        <v>64</v>
      </c>
      <c r="H393" s="2" t="str">
        <f t="shared" si="13"/>
        <v/>
      </c>
      <c r="I393" s="2">
        <f>TYPE(ISBLANK(IF(1,1)))</f>
        <v>4</v>
      </c>
      <c r="J393" s="2" t="str">
        <f>IF(C393=0,COUNTIFS(A:A,A393,D:D,"a"),"")</f>
        <v/>
      </c>
      <c r="K393" s="2" t="b">
        <f>INDEX(+ISBLANK(K393:L393),)</f>
        <v>0</v>
      </c>
      <c r="L393" s="1">
        <v>1</v>
      </c>
      <c r="M393" s="2" t="b">
        <f>INDEX(+ISBLANK(INDIRECT(M393:N393)),)</f>
        <v>0</v>
      </c>
      <c r="N393" s="1">
        <v>1</v>
      </c>
    </row>
    <row r="394" spans="1:14" x14ac:dyDescent="0.55000000000000004">
      <c r="A394" s="1" t="s">
        <v>262</v>
      </c>
      <c r="B394" s="2">
        <f>COUNTIF(A:A,A394)-1</f>
        <v>1</v>
      </c>
      <c r="C394" s="2">
        <f>COUNTIF(A$1:A394,A394)-1</f>
        <v>0</v>
      </c>
      <c r="D394" s="2" t="str">
        <f>Argument!D394</f>
        <v/>
      </c>
      <c r="E394" s="2" t="str">
        <f t="shared" si="12"/>
        <v>v</v>
      </c>
      <c r="F394" s="2" t="b">
        <f>IF(C394=0,ISTEXT(FORMULA.CONVERT("="&amp;A394&amp;"("&amp;REPLACE(REPT(",#ref!",B394),1,1,"")&amp;")()",1)),"")</f>
        <v>0</v>
      </c>
      <c r="G394" s="2"/>
      <c r="H394" s="2" t="str">
        <f t="shared" si="13"/>
        <v/>
      </c>
      <c r="I394" s="2">
        <f>TYPE(T(IF(1,1)))</f>
        <v>2</v>
      </c>
      <c r="J394" s="2">
        <f>IF(C394=0,COUNTIFS(A:A,A394,D:D,"a"),"")</f>
        <v>0</v>
      </c>
      <c r="K394" s="2"/>
      <c r="M394" s="2"/>
    </row>
    <row r="395" spans="1:14" x14ac:dyDescent="0.55000000000000004">
      <c r="A395" s="1" t="s">
        <v>262</v>
      </c>
      <c r="B395" s="2">
        <f>COUNTIF(A:A,A395)-1</f>
        <v>1</v>
      </c>
      <c r="C395" s="2">
        <f>COUNTIF(A$1:A395,A395)-1</f>
        <v>1</v>
      </c>
      <c r="D395" s="2" t="str">
        <f>Argument!D395</f>
        <v>vr</v>
      </c>
      <c r="E395" s="2" t="str">
        <f t="shared" si="12"/>
        <v/>
      </c>
      <c r="F395" s="2" t="str">
        <f>IF(C395=0,ISTEXT(FORMULA.CONVERT("="&amp;A395&amp;"("&amp;REPLACE(REPT(",#ref!",B395),1,1,"")&amp;")()",1)),"")</f>
        <v/>
      </c>
      <c r="G395" s="2">
        <f>TYPE(T({1}))</f>
        <v>64</v>
      </c>
      <c r="H395" s="2" t="str">
        <f t="shared" si="13"/>
        <v/>
      </c>
      <c r="I395" s="2">
        <f>TYPE(T(IF(1,1)))</f>
        <v>2</v>
      </c>
      <c r="J395" s="2" t="str">
        <f>IF(C395=0,COUNTIFS(A:A,A395,D:D,"a"),"")</f>
        <v/>
      </c>
      <c r="K395" s="2" t="e">
        <f>INDEX(+T(K395:L395),)</f>
        <v>#VALUE!</v>
      </c>
      <c r="L395" s="1">
        <v>1</v>
      </c>
      <c r="M395" s="2" t="e">
        <f>INDEX(+T(INDIRECT(M395:N395)),)</f>
        <v>#REF!</v>
      </c>
      <c r="N395" s="1">
        <v>1</v>
      </c>
    </row>
    <row r="396" spans="1:14" x14ac:dyDescent="0.55000000000000004">
      <c r="A396" s="1" t="s">
        <v>264</v>
      </c>
      <c r="B396" s="2">
        <f>COUNTIF(A:A,A396)-1</f>
        <v>1</v>
      </c>
      <c r="C396" s="2">
        <f>COUNTIF(A$1:A396,A396)-1</f>
        <v>0</v>
      </c>
      <c r="D396" s="2" t="str">
        <f>Argument!D396</f>
        <v/>
      </c>
      <c r="E396" s="2" t="str">
        <f t="shared" si="12"/>
        <v>v</v>
      </c>
      <c r="F396" s="2" t="b">
        <f>IF(C396=0,ISTEXT(FORMULA.CONVERT("="&amp;A396&amp;"("&amp;REPLACE(REPT(",#ref!",B396),1,1,"")&amp;")()",1)),"")</f>
        <v>0</v>
      </c>
      <c r="G396" s="2"/>
      <c r="H396" s="2" t="str">
        <f t="shared" si="13"/>
        <v/>
      </c>
      <c r="I396" s="2">
        <f>TYPE(N(IF(1,1)))</f>
        <v>1</v>
      </c>
      <c r="J396" s="2">
        <f>IF(C396=0,COUNTIFS(A:A,A396,D:D,"a"),"")</f>
        <v>0</v>
      </c>
      <c r="K396" s="2"/>
      <c r="M396" s="2"/>
    </row>
    <row r="397" spans="1:14" x14ac:dyDescent="0.55000000000000004">
      <c r="A397" s="1" t="s">
        <v>264</v>
      </c>
      <c r="B397" s="2">
        <f>COUNTIF(A:A,A397)-1</f>
        <v>1</v>
      </c>
      <c r="C397" s="2">
        <f>COUNTIF(A$1:A397,A397)-1</f>
        <v>1</v>
      </c>
      <c r="D397" s="2" t="str">
        <f>Argument!D397</f>
        <v>vr</v>
      </c>
      <c r="E397" s="2" t="str">
        <f t="shared" si="12"/>
        <v/>
      </c>
      <c r="F397" s="2" t="str">
        <f>IF(C397=0,ISTEXT(FORMULA.CONVERT("="&amp;A397&amp;"("&amp;REPLACE(REPT(",#ref!",B397),1,1,"")&amp;")()",1)),"")</f>
        <v/>
      </c>
      <c r="G397" s="2">
        <f>TYPE(N({1}))</f>
        <v>64</v>
      </c>
      <c r="H397" s="2" t="str">
        <f t="shared" si="13"/>
        <v/>
      </c>
      <c r="I397" s="2">
        <f>TYPE(N(IF(1,1)))</f>
        <v>1</v>
      </c>
      <c r="J397" s="2" t="str">
        <f>IF(C397=0,COUNTIFS(A:A,A397,D:D,"a"),"")</f>
        <v/>
      </c>
      <c r="K397" s="2">
        <f>INDEX(+N(K397:L397),)</f>
        <v>0</v>
      </c>
      <c r="L397" s="1">
        <v>1</v>
      </c>
      <c r="M397" s="2" t="e">
        <f>INDEX(+N(INDIRECT(M397:N397)),)</f>
        <v>#REF!</v>
      </c>
      <c r="N397" s="1">
        <v>1</v>
      </c>
    </row>
    <row r="398" spans="1:14" x14ac:dyDescent="0.55000000000000004">
      <c r="A398" s="1" t="s">
        <v>1599</v>
      </c>
      <c r="B398" s="2">
        <f>COUNTIF(A:A,A398)-1</f>
        <v>2</v>
      </c>
      <c r="C398" s="2">
        <f>COUNTIF(A$1:A398,A398)-1</f>
        <v>0</v>
      </c>
      <c r="D398" s="2" t="str">
        <f>Argument!D398</f>
        <v/>
      </c>
      <c r="E398" s="2" t="str">
        <f t="shared" si="12"/>
        <v>v</v>
      </c>
      <c r="F398" s="2" t="b">
        <f>IF(C398=0,ISTEXT(FORMULA.CONVERT("="&amp;A398&amp;"("&amp;REPLACE(REPT(",#ref!",B398),1,1,"")&amp;")()",1)),"")</f>
        <v>0</v>
      </c>
      <c r="G398" s="2"/>
      <c r="H398" s="2" t="str">
        <f t="shared" si="13"/>
        <v/>
      </c>
      <c r="I398" s="2">
        <f>TYPE(FOPEN(IF(1,1),IF(1,1)))</f>
        <v>4</v>
      </c>
      <c r="J398" s="2">
        <f>IF(C398=0,COUNTIFS(A:A,A398,D:D,"a"),"")</f>
        <v>0</v>
      </c>
      <c r="K398" s="2"/>
      <c r="M398" s="2"/>
    </row>
    <row r="399" spans="1:14" x14ac:dyDescent="0.55000000000000004">
      <c r="A399" s="1" t="s">
        <v>1599</v>
      </c>
      <c r="B399" s="2">
        <f>COUNTIF(A:A,A399)-1</f>
        <v>2</v>
      </c>
      <c r="C399" s="2">
        <f>COUNTIF(A$1:A399,A399)-1</f>
        <v>1</v>
      </c>
      <c r="D399" s="2" t="str">
        <f>Argument!D399</f>
        <v>v</v>
      </c>
      <c r="E399" s="2" t="str">
        <f t="shared" si="12"/>
        <v/>
      </c>
      <c r="F399" s="2" t="str">
        <f>IF(C399=0,ISTEXT(FORMULA.CONVERT("="&amp;A399&amp;"("&amp;REPLACE(REPT(",#ref!",B399),1,1,"")&amp;")()",1)),"")</f>
        <v/>
      </c>
      <c r="G399" s="2">
        <f>TYPE(FOPEN({1},IF(1,1)))</f>
        <v>64</v>
      </c>
      <c r="H399" s="2" t="str">
        <f t="shared" si="13"/>
        <v/>
      </c>
      <c r="I399" s="2">
        <f>TYPE(FOPEN(IF(1,1),IF(1,1)))</f>
        <v>4</v>
      </c>
      <c r="J399" s="2" t="str">
        <f>IF(C399=0,COUNTIFS(A:A,A399,D:D,"a"),"")</f>
        <v/>
      </c>
      <c r="K399" s="2" t="e">
        <f>INDEX(+FOPEN(K399:L399,#REF!),)</f>
        <v>#REF!</v>
      </c>
      <c r="L399" s="1">
        <v>1</v>
      </c>
      <c r="M399" s="2" t="e">
        <f>INDEX(+FOPEN(INDIRECT(M399:N399),#REF!),)</f>
        <v>#REF!</v>
      </c>
      <c r="N399" s="1">
        <v>1</v>
      </c>
    </row>
    <row r="400" spans="1:14" x14ac:dyDescent="0.55000000000000004">
      <c r="A400" s="1" t="s">
        <v>1599</v>
      </c>
      <c r="B400" s="2">
        <f>COUNTIF(A:A,A400)-1</f>
        <v>2</v>
      </c>
      <c r="C400" s="2">
        <f>COUNTIF(A$1:A400,A400)-1</f>
        <v>2</v>
      </c>
      <c r="D400" s="2" t="str">
        <f>Argument!D400</f>
        <v>v</v>
      </c>
      <c r="E400" s="2" t="str">
        <f t="shared" si="12"/>
        <v/>
      </c>
      <c r="F400" s="2" t="str">
        <f>IF(C400=0,ISTEXT(FORMULA.CONVERT("="&amp;A400&amp;"("&amp;REPLACE(REPT(",#ref!",B400),1,1,"")&amp;")()",1)),"")</f>
        <v/>
      </c>
      <c r="G400" s="2">
        <f>TYPE(FOPEN(IF(1,1),{1}))</f>
        <v>64</v>
      </c>
      <c r="H400" s="2" t="str">
        <f t="shared" si="13"/>
        <v/>
      </c>
      <c r="I400" s="2">
        <f>TYPE(FOPEN(IF(1,1),IF(1,1)))</f>
        <v>4</v>
      </c>
      <c r="J400" s="2" t="str">
        <f>IF(C400=0,COUNTIFS(A:A,A400,D:D,"a"),"")</f>
        <v/>
      </c>
      <c r="K400" s="2" t="e">
        <f>INDEX(+FOPEN(#REF!,K400:L400),)</f>
        <v>#REF!</v>
      </c>
      <c r="L400" s="1">
        <v>1</v>
      </c>
      <c r="M400" s="2" t="e">
        <f>INDEX(+FOPEN(#REF!,INDIRECT(M400:N400)),)</f>
        <v>#REF!</v>
      </c>
      <c r="N400" s="1">
        <v>1</v>
      </c>
    </row>
    <row r="401" spans="1:14" x14ac:dyDescent="0.55000000000000004">
      <c r="A401" s="1" t="s">
        <v>1600</v>
      </c>
      <c r="B401" s="2">
        <f>COUNTIF(A:A,A401)-1</f>
        <v>1</v>
      </c>
      <c r="C401" s="2">
        <f>COUNTIF(A$1:A401,A401)-1</f>
        <v>0</v>
      </c>
      <c r="D401" s="2" t="str">
        <f>Argument!D401</f>
        <v/>
      </c>
      <c r="E401" s="2" t="str">
        <f t="shared" si="12"/>
        <v>v</v>
      </c>
      <c r="F401" s="2" t="b">
        <f>IF(C401=0,ISTEXT(FORMULA.CONVERT("="&amp;A401&amp;"("&amp;REPLACE(REPT(",#ref!",B401),1,1,"")&amp;")()",1)),"")</f>
        <v>0</v>
      </c>
      <c r="G401" s="2"/>
      <c r="H401" s="2" t="str">
        <f t="shared" si="13"/>
        <v/>
      </c>
      <c r="I401" s="2">
        <f>TYPE(FCLOSE(IF(1,1)))</f>
        <v>4</v>
      </c>
      <c r="J401" s="2">
        <f>IF(C401=0,COUNTIFS(A:A,A401,D:D,"a"),"")</f>
        <v>0</v>
      </c>
      <c r="K401" s="2"/>
      <c r="M401" s="2"/>
    </row>
    <row r="402" spans="1:14" x14ac:dyDescent="0.55000000000000004">
      <c r="A402" s="1" t="s">
        <v>1600</v>
      </c>
      <c r="B402" s="2">
        <f>COUNTIF(A:A,A402)-1</f>
        <v>1</v>
      </c>
      <c r="C402" s="2">
        <f>COUNTIF(A$1:A402,A402)-1</f>
        <v>1</v>
      </c>
      <c r="D402" s="2" t="str">
        <f>Argument!D402</f>
        <v>v</v>
      </c>
      <c r="E402" s="2" t="str">
        <f t="shared" si="12"/>
        <v/>
      </c>
      <c r="F402" s="2" t="str">
        <f>IF(C402=0,ISTEXT(FORMULA.CONVERT("="&amp;A402&amp;"("&amp;REPLACE(REPT(",#ref!",B402),1,1,"")&amp;")()",1)),"")</f>
        <v/>
      </c>
      <c r="G402" s="2">
        <f>TYPE(FCLOSE({1}))</f>
        <v>64</v>
      </c>
      <c r="H402" s="2" t="str">
        <f t="shared" si="13"/>
        <v/>
      </c>
      <c r="I402" s="2">
        <f>TYPE(FCLOSE(IF(1,1)))</f>
        <v>4</v>
      </c>
      <c r="J402" s="2" t="str">
        <f>IF(C402=0,COUNTIFS(A:A,A402,D:D,"a"),"")</f>
        <v/>
      </c>
      <c r="K402" s="2" t="b">
        <f>INDEX(+FCLOSE(K402:L402),)</f>
        <v>0</v>
      </c>
      <c r="L402" s="1">
        <v>1</v>
      </c>
      <c r="M402" s="2" t="e">
        <f>INDEX(+FCLOSE(INDIRECT(M402:N402)),)</f>
        <v>#REF!</v>
      </c>
      <c r="N402" s="1">
        <v>1</v>
      </c>
    </row>
    <row r="403" spans="1:14" x14ac:dyDescent="0.55000000000000004">
      <c r="A403" s="1" t="s">
        <v>1601</v>
      </c>
      <c r="B403" s="2">
        <f>COUNTIF(A:A,A403)-1</f>
        <v>1</v>
      </c>
      <c r="C403" s="2">
        <f>COUNTIF(A$1:A403,A403)-1</f>
        <v>0</v>
      </c>
      <c r="D403" s="2" t="str">
        <f>Argument!D403</f>
        <v/>
      </c>
      <c r="E403" s="2" t="str">
        <f t="shared" si="12"/>
        <v>v</v>
      </c>
      <c r="F403" s="2" t="b">
        <f>IF(C403=0,ISTEXT(FORMULA.CONVERT("="&amp;A403&amp;"("&amp;REPLACE(REPT(",#ref!",B403),1,1,"")&amp;")()",1)),"")</f>
        <v>0</v>
      </c>
      <c r="G403" s="2"/>
      <c r="H403" s="2" t="str">
        <f t="shared" si="13"/>
        <v/>
      </c>
      <c r="I403" s="2">
        <f>TYPE(FSIZE(IF(1,1)))</f>
        <v>4</v>
      </c>
      <c r="J403" s="2">
        <f>IF(C403=0,COUNTIFS(A:A,A403,D:D,"a"),"")</f>
        <v>0</v>
      </c>
      <c r="K403" s="2"/>
      <c r="M403" s="2"/>
    </row>
    <row r="404" spans="1:14" x14ac:dyDescent="0.55000000000000004">
      <c r="A404" s="1" t="s">
        <v>1601</v>
      </c>
      <c r="B404" s="2">
        <f>COUNTIF(A:A,A404)-1</f>
        <v>1</v>
      </c>
      <c r="C404" s="2">
        <f>COUNTIF(A$1:A404,A404)-1</f>
        <v>1</v>
      </c>
      <c r="D404" s="2" t="str">
        <f>Argument!D404</f>
        <v>v</v>
      </c>
      <c r="E404" s="2" t="str">
        <f t="shared" si="12"/>
        <v/>
      </c>
      <c r="F404" s="2" t="str">
        <f>IF(C404=0,ISTEXT(FORMULA.CONVERT("="&amp;A404&amp;"("&amp;REPLACE(REPT(",#ref!",B404),1,1,"")&amp;")()",1)),"")</f>
        <v/>
      </c>
      <c r="G404" s="2">
        <f>TYPE(FSIZE({1}))</f>
        <v>64</v>
      </c>
      <c r="H404" s="2" t="str">
        <f t="shared" si="13"/>
        <v/>
      </c>
      <c r="I404" s="2">
        <f>TYPE(FSIZE(IF(1,1)))</f>
        <v>4</v>
      </c>
      <c r="J404" s="2" t="str">
        <f>IF(C404=0,COUNTIFS(A:A,A404,D:D,"a"),"")</f>
        <v/>
      </c>
      <c r="K404" s="2" t="b">
        <f>INDEX(+FSIZE(K404:L404),)</f>
        <v>0</v>
      </c>
      <c r="L404" s="1">
        <v>1</v>
      </c>
      <c r="M404" s="2" t="e">
        <f>INDEX(+FSIZE(INDIRECT(M404:N404)),)</f>
        <v>#REF!</v>
      </c>
      <c r="N404" s="1">
        <v>1</v>
      </c>
    </row>
    <row r="405" spans="1:14" x14ac:dyDescent="0.55000000000000004">
      <c r="A405" s="1" t="s">
        <v>1602</v>
      </c>
      <c r="B405" s="2">
        <f>COUNTIF(A:A,A405)-1</f>
        <v>1</v>
      </c>
      <c r="C405" s="2">
        <f>COUNTIF(A$1:A405,A405)-1</f>
        <v>0</v>
      </c>
      <c r="D405" s="2" t="str">
        <f>Argument!D405</f>
        <v/>
      </c>
      <c r="E405" s="2" t="str">
        <f t="shared" si="12"/>
        <v>v</v>
      </c>
      <c r="F405" s="2" t="b">
        <f>IF(C405=0,ISTEXT(FORMULA.CONVERT("="&amp;A405&amp;"("&amp;REPLACE(REPT(",#ref!",B405),1,1,"")&amp;")()",1)),"")</f>
        <v>0</v>
      </c>
      <c r="G405" s="2"/>
      <c r="H405" s="2" t="str">
        <f t="shared" si="13"/>
        <v/>
      </c>
      <c r="I405" s="2">
        <f>TYPE(FREADLN(IF(1,1)))</f>
        <v>4</v>
      </c>
      <c r="J405" s="2">
        <f>IF(C405=0,COUNTIFS(A:A,A405,D:D,"a"),"")</f>
        <v>0</v>
      </c>
      <c r="K405" s="2"/>
      <c r="M405" s="2"/>
    </row>
    <row r="406" spans="1:14" x14ac:dyDescent="0.55000000000000004">
      <c r="A406" s="1" t="s">
        <v>1602</v>
      </c>
      <c r="B406" s="2">
        <f>COUNTIF(A:A,A406)-1</f>
        <v>1</v>
      </c>
      <c r="C406" s="2">
        <f>COUNTIF(A$1:A406,A406)-1</f>
        <v>1</v>
      </c>
      <c r="D406" s="2" t="str">
        <f>Argument!D406</f>
        <v>v</v>
      </c>
      <c r="E406" s="2" t="str">
        <f t="shared" si="12"/>
        <v/>
      </c>
      <c r="F406" s="2" t="str">
        <f>IF(C406=0,ISTEXT(FORMULA.CONVERT("="&amp;A406&amp;"("&amp;REPLACE(REPT(",#ref!",B406),1,1,"")&amp;")()",1)),"")</f>
        <v/>
      </c>
      <c r="G406" s="2">
        <f>TYPE(FREADLN({1}))</f>
        <v>64</v>
      </c>
      <c r="H406" s="2" t="str">
        <f t="shared" si="13"/>
        <v/>
      </c>
      <c r="I406" s="2">
        <f>TYPE(FREADLN(IF(1,1)))</f>
        <v>4</v>
      </c>
      <c r="J406" s="2" t="str">
        <f>IF(C406=0,COUNTIFS(A:A,A406,D:D,"a"),"")</f>
        <v/>
      </c>
      <c r="K406" s="2" t="b">
        <f>INDEX(+FREADLN(K406:L406),)</f>
        <v>0</v>
      </c>
      <c r="L406" s="1">
        <v>1</v>
      </c>
      <c r="M406" s="2" t="e">
        <f>INDEX(+FREADLN(INDIRECT(M406:N406)),)</f>
        <v>#REF!</v>
      </c>
      <c r="N406" s="1">
        <v>1</v>
      </c>
    </row>
    <row r="407" spans="1:14" x14ac:dyDescent="0.55000000000000004">
      <c r="A407" s="1" t="s">
        <v>1603</v>
      </c>
      <c r="B407" s="2">
        <f>COUNTIF(A:A,A407)-1</f>
        <v>2</v>
      </c>
      <c r="C407" s="2">
        <f>COUNTIF(A$1:A407,A407)-1</f>
        <v>0</v>
      </c>
      <c r="D407" s="2" t="str">
        <f>Argument!D407</f>
        <v/>
      </c>
      <c r="E407" s="2" t="str">
        <f t="shared" si="12"/>
        <v>v</v>
      </c>
      <c r="F407" s="2" t="b">
        <f>IF(C407=0,ISTEXT(FORMULA.CONVERT("="&amp;A407&amp;"("&amp;REPLACE(REPT(",#ref!",B407),1,1,"")&amp;")()",1)),"")</f>
        <v>0</v>
      </c>
      <c r="G407" s="2"/>
      <c r="H407" s="2" t="str">
        <f t="shared" si="13"/>
        <v/>
      </c>
      <c r="I407" s="2">
        <f>TYPE(FREAD(IF(1,1),IF(1,1)))</f>
        <v>4</v>
      </c>
      <c r="J407" s="2">
        <f>IF(C407=0,COUNTIFS(A:A,A407,D:D,"a"),"")</f>
        <v>0</v>
      </c>
      <c r="K407" s="2"/>
      <c r="M407" s="2"/>
    </row>
    <row r="408" spans="1:14" x14ac:dyDescent="0.55000000000000004">
      <c r="A408" s="1" t="s">
        <v>1603</v>
      </c>
      <c r="B408" s="2">
        <f>COUNTIF(A:A,A408)-1</f>
        <v>2</v>
      </c>
      <c r="C408" s="2">
        <f>COUNTIF(A$1:A408,A408)-1</f>
        <v>1</v>
      </c>
      <c r="D408" s="2" t="str">
        <f>Argument!D408</f>
        <v>v</v>
      </c>
      <c r="E408" s="2" t="str">
        <f t="shared" si="12"/>
        <v/>
      </c>
      <c r="F408" s="2" t="str">
        <f>IF(C408=0,ISTEXT(FORMULA.CONVERT("="&amp;A408&amp;"("&amp;REPLACE(REPT(",#ref!",B408),1,1,"")&amp;")()",1)),"")</f>
        <v/>
      </c>
      <c r="G408" s="2">
        <f>TYPE(FREAD({1},IF(1,1)))</f>
        <v>64</v>
      </c>
      <c r="H408" s="2" t="str">
        <f t="shared" si="13"/>
        <v/>
      </c>
      <c r="I408" s="2">
        <f>TYPE(FREAD(IF(1,1),IF(1,1)))</f>
        <v>4</v>
      </c>
      <c r="J408" s="2" t="str">
        <f>IF(C408=0,COUNTIFS(A:A,A408,D:D,"a"),"")</f>
        <v/>
      </c>
      <c r="K408" s="2" t="e">
        <f>INDEX(+FREAD(K408:L408,#REF!),)</f>
        <v>#REF!</v>
      </c>
      <c r="L408" s="1">
        <v>1</v>
      </c>
      <c r="M408" s="2" t="e">
        <f>INDEX(+FREAD(INDIRECT(M408:N408),#REF!),)</f>
        <v>#REF!</v>
      </c>
      <c r="N408" s="1">
        <v>1</v>
      </c>
    </row>
    <row r="409" spans="1:14" x14ac:dyDescent="0.55000000000000004">
      <c r="A409" s="1" t="s">
        <v>1603</v>
      </c>
      <c r="B409" s="2">
        <f>COUNTIF(A:A,A409)-1</f>
        <v>2</v>
      </c>
      <c r="C409" s="2">
        <f>COUNTIF(A$1:A409,A409)-1</f>
        <v>2</v>
      </c>
      <c r="D409" s="2" t="str">
        <f>Argument!D409</f>
        <v>v</v>
      </c>
      <c r="E409" s="2" t="str">
        <f t="shared" si="12"/>
        <v/>
      </c>
      <c r="F409" s="2" t="str">
        <f>IF(C409=0,ISTEXT(FORMULA.CONVERT("="&amp;A409&amp;"("&amp;REPLACE(REPT(",#ref!",B409),1,1,"")&amp;")()",1)),"")</f>
        <v/>
      </c>
      <c r="G409" s="2">
        <f>TYPE(FREAD(IF(1,1),{1}))</f>
        <v>64</v>
      </c>
      <c r="H409" s="2" t="str">
        <f t="shared" si="13"/>
        <v/>
      </c>
      <c r="I409" s="2">
        <f>TYPE(FREAD(IF(1,1),IF(1,1)))</f>
        <v>4</v>
      </c>
      <c r="J409" s="2" t="str">
        <f>IF(C409=0,COUNTIFS(A:A,A409,D:D,"a"),"")</f>
        <v/>
      </c>
      <c r="K409" s="2" t="e">
        <f>INDEX(+FREAD(#REF!,K409:L409),)</f>
        <v>#REF!</v>
      </c>
      <c r="L409" s="1">
        <v>1</v>
      </c>
      <c r="M409" s="2" t="e">
        <f>INDEX(+FREAD(#REF!,INDIRECT(M409:N409)),)</f>
        <v>#REF!</v>
      </c>
      <c r="N409" s="1">
        <v>1</v>
      </c>
    </row>
    <row r="410" spans="1:14" x14ac:dyDescent="0.55000000000000004">
      <c r="A410" s="1" t="s">
        <v>1604</v>
      </c>
      <c r="B410" s="2">
        <f>COUNTIF(A:A,A410)-1</f>
        <v>2</v>
      </c>
      <c r="C410" s="2">
        <f>COUNTIF(A$1:A410,A410)-1</f>
        <v>0</v>
      </c>
      <c r="D410" s="2" t="str">
        <f>Argument!D410</f>
        <v/>
      </c>
      <c r="E410" s="2" t="str">
        <f t="shared" si="12"/>
        <v>v</v>
      </c>
      <c r="F410" s="2" t="b">
        <f>IF(C410=0,ISTEXT(FORMULA.CONVERT("="&amp;A410&amp;"("&amp;REPLACE(REPT(",#ref!",B410),1,1,"")&amp;")()",1)),"")</f>
        <v>0</v>
      </c>
      <c r="G410" s="2"/>
      <c r="H410" s="2" t="str">
        <f t="shared" si="13"/>
        <v/>
      </c>
      <c r="I410" s="2">
        <f>TYPE(FWRITELN(IF(1,1),IF(1,1)))</f>
        <v>4</v>
      </c>
      <c r="J410" s="2">
        <f>IF(C410=0,COUNTIFS(A:A,A410,D:D,"a"),"")</f>
        <v>0</v>
      </c>
      <c r="K410" s="2"/>
      <c r="M410" s="2"/>
    </row>
    <row r="411" spans="1:14" x14ac:dyDescent="0.55000000000000004">
      <c r="A411" s="1" t="s">
        <v>1604</v>
      </c>
      <c r="B411" s="2">
        <f>COUNTIF(A:A,A411)-1</f>
        <v>2</v>
      </c>
      <c r="C411" s="2">
        <f>COUNTIF(A$1:A411,A411)-1</f>
        <v>1</v>
      </c>
      <c r="D411" s="2" t="str">
        <f>Argument!D411</f>
        <v>v</v>
      </c>
      <c r="E411" s="2" t="str">
        <f t="shared" si="12"/>
        <v/>
      </c>
      <c r="F411" s="2" t="str">
        <f>IF(C411=0,ISTEXT(FORMULA.CONVERT("="&amp;A411&amp;"("&amp;REPLACE(REPT(",#ref!",B411),1,1,"")&amp;")()",1)),"")</f>
        <v/>
      </c>
      <c r="G411" s="2">
        <f>TYPE(FWRITELN({1},IF(1,1)))</f>
        <v>64</v>
      </c>
      <c r="H411" s="2" t="str">
        <f t="shared" si="13"/>
        <v/>
      </c>
      <c r="I411" s="2">
        <f>TYPE(FWRITELN(IF(1,1),IF(1,1)))</f>
        <v>4</v>
      </c>
      <c r="J411" s="2" t="str">
        <f>IF(C411=0,COUNTIFS(A:A,A411,D:D,"a"),"")</f>
        <v/>
      </c>
      <c r="K411" s="2" t="e">
        <f>INDEX(+FWRITELN(K411:L411,#REF!),)</f>
        <v>#REF!</v>
      </c>
      <c r="L411" s="1">
        <v>1</v>
      </c>
      <c r="M411" s="2" t="e">
        <f>INDEX(+FWRITELN(INDIRECT(M411:N411),#REF!),)</f>
        <v>#REF!</v>
      </c>
      <c r="N411" s="1">
        <v>1</v>
      </c>
    </row>
    <row r="412" spans="1:14" x14ac:dyDescent="0.55000000000000004">
      <c r="A412" s="1" t="s">
        <v>1604</v>
      </c>
      <c r="B412" s="2">
        <f>COUNTIF(A:A,A412)-1</f>
        <v>2</v>
      </c>
      <c r="C412" s="2">
        <f>COUNTIF(A$1:A412,A412)-1</f>
        <v>2</v>
      </c>
      <c r="D412" s="2" t="str">
        <f>Argument!D412</f>
        <v>v</v>
      </c>
      <c r="E412" s="2" t="str">
        <f t="shared" si="12"/>
        <v/>
      </c>
      <c r="F412" s="2" t="str">
        <f>IF(C412=0,ISTEXT(FORMULA.CONVERT("="&amp;A412&amp;"("&amp;REPLACE(REPT(",#ref!",B412),1,1,"")&amp;")()",1)),"")</f>
        <v/>
      </c>
      <c r="G412" s="2">
        <f>TYPE(FWRITELN(IF(1,1),{1}))</f>
        <v>64</v>
      </c>
      <c r="H412" s="2" t="str">
        <f t="shared" si="13"/>
        <v/>
      </c>
      <c r="I412" s="2">
        <f>TYPE(FWRITELN(IF(1,1),IF(1,1)))</f>
        <v>4</v>
      </c>
      <c r="J412" s="2" t="str">
        <f>IF(C412=0,COUNTIFS(A:A,A412,D:D,"a"),"")</f>
        <v/>
      </c>
      <c r="K412" s="2" t="e">
        <f>INDEX(+FWRITELN(#REF!,K412:L412),)</f>
        <v>#REF!</v>
      </c>
      <c r="L412" s="1">
        <v>1</v>
      </c>
      <c r="M412" s="2" t="e">
        <f>INDEX(+FWRITELN(#REF!,INDIRECT(M412:N412)),)</f>
        <v>#REF!</v>
      </c>
      <c r="N412" s="1">
        <v>1</v>
      </c>
    </row>
    <row r="413" spans="1:14" x14ac:dyDescent="0.55000000000000004">
      <c r="A413" s="1" t="s">
        <v>1605</v>
      </c>
      <c r="B413" s="2">
        <f>COUNTIF(A:A,A413)-1</f>
        <v>2</v>
      </c>
      <c r="C413" s="2">
        <f>COUNTIF(A$1:A413,A413)-1</f>
        <v>0</v>
      </c>
      <c r="D413" s="2" t="str">
        <f>Argument!D413</f>
        <v/>
      </c>
      <c r="E413" s="2" t="str">
        <f t="shared" si="12"/>
        <v>v</v>
      </c>
      <c r="F413" s="2" t="b">
        <f>IF(C413=0,ISTEXT(FORMULA.CONVERT("="&amp;A413&amp;"("&amp;REPLACE(REPT(",#ref!",B413),1,1,"")&amp;")()",1)),"")</f>
        <v>0</v>
      </c>
      <c r="G413" s="2"/>
      <c r="H413" s="2" t="str">
        <f t="shared" si="13"/>
        <v/>
      </c>
      <c r="I413" s="2">
        <f>TYPE(FWRITE(IF(1,1),IF(1,1)))</f>
        <v>4</v>
      </c>
      <c r="J413" s="2">
        <f>IF(C413=0,COUNTIFS(A:A,A413,D:D,"a"),"")</f>
        <v>0</v>
      </c>
      <c r="K413" s="2"/>
      <c r="M413" s="2"/>
    </row>
    <row r="414" spans="1:14" x14ac:dyDescent="0.55000000000000004">
      <c r="A414" s="1" t="s">
        <v>1605</v>
      </c>
      <c r="B414" s="2">
        <f>COUNTIF(A:A,A414)-1</f>
        <v>2</v>
      </c>
      <c r="C414" s="2">
        <f>COUNTIF(A$1:A414,A414)-1</f>
        <v>1</v>
      </c>
      <c r="D414" s="2" t="str">
        <f>Argument!D414</f>
        <v>v</v>
      </c>
      <c r="E414" s="2" t="str">
        <f t="shared" si="12"/>
        <v/>
      </c>
      <c r="F414" s="2" t="str">
        <f>IF(C414=0,ISTEXT(FORMULA.CONVERT("="&amp;A414&amp;"("&amp;REPLACE(REPT(",#ref!",B414),1,1,"")&amp;")()",1)),"")</f>
        <v/>
      </c>
      <c r="G414" s="2">
        <f>TYPE(FWRITE({1},IF(1,1)))</f>
        <v>64</v>
      </c>
      <c r="H414" s="2" t="str">
        <f t="shared" si="13"/>
        <v/>
      </c>
      <c r="I414" s="2">
        <f>TYPE(FWRITE(IF(1,1),IF(1,1)))</f>
        <v>4</v>
      </c>
      <c r="J414" s="2" t="str">
        <f>IF(C414=0,COUNTIFS(A:A,A414,D:D,"a"),"")</f>
        <v/>
      </c>
      <c r="K414" s="2" t="e">
        <f>INDEX(+FWRITE(K414:L414,#REF!),)</f>
        <v>#REF!</v>
      </c>
      <c r="L414" s="1">
        <v>1</v>
      </c>
      <c r="M414" s="2" t="e">
        <f>INDEX(+FWRITE(INDIRECT(M414:N414),#REF!),)</f>
        <v>#REF!</v>
      </c>
      <c r="N414" s="1">
        <v>1</v>
      </c>
    </row>
    <row r="415" spans="1:14" x14ac:dyDescent="0.55000000000000004">
      <c r="A415" s="1" t="s">
        <v>1605</v>
      </c>
      <c r="B415" s="2">
        <f>COUNTIF(A:A,A415)-1</f>
        <v>2</v>
      </c>
      <c r="C415" s="2">
        <f>COUNTIF(A$1:A415,A415)-1</f>
        <v>2</v>
      </c>
      <c r="D415" s="2" t="str">
        <f>Argument!D415</f>
        <v>v</v>
      </c>
      <c r="E415" s="2" t="str">
        <f t="shared" si="12"/>
        <v/>
      </c>
      <c r="F415" s="2" t="str">
        <f>IF(C415=0,ISTEXT(FORMULA.CONVERT("="&amp;A415&amp;"("&amp;REPLACE(REPT(",#ref!",B415),1,1,"")&amp;")()",1)),"")</f>
        <v/>
      </c>
      <c r="G415" s="2">
        <f>TYPE(FWRITE(IF(1,1),{1}))</f>
        <v>64</v>
      </c>
      <c r="H415" s="2" t="str">
        <f t="shared" si="13"/>
        <v/>
      </c>
      <c r="I415" s="2">
        <f>TYPE(FWRITE(IF(1,1),IF(1,1)))</f>
        <v>4</v>
      </c>
      <c r="J415" s="2" t="str">
        <f>IF(C415=0,COUNTIFS(A:A,A415,D:D,"a"),"")</f>
        <v/>
      </c>
      <c r="K415" s="2" t="e">
        <f>INDEX(+FWRITE(#REF!,K415:L415),)</f>
        <v>#REF!</v>
      </c>
      <c r="L415" s="1">
        <v>1</v>
      </c>
      <c r="M415" s="2" t="e">
        <f>INDEX(+FWRITE(#REF!,INDIRECT(M415:N415)),)</f>
        <v>#REF!</v>
      </c>
      <c r="N415" s="1">
        <v>1</v>
      </c>
    </row>
    <row r="416" spans="1:14" x14ac:dyDescent="0.55000000000000004">
      <c r="A416" s="1" t="s">
        <v>1606</v>
      </c>
      <c r="B416" s="2">
        <f>COUNTIF(A:A,A416)-1</f>
        <v>2</v>
      </c>
      <c r="C416" s="2">
        <f>COUNTIF(A$1:A416,A416)-1</f>
        <v>0</v>
      </c>
      <c r="D416" s="2" t="str">
        <f>Argument!D416</f>
        <v/>
      </c>
      <c r="E416" s="2" t="str">
        <f t="shared" si="12"/>
        <v>v</v>
      </c>
      <c r="F416" s="2" t="b">
        <f>IF(C416=0,ISTEXT(FORMULA.CONVERT("="&amp;A416&amp;"("&amp;REPLACE(REPT(",#ref!",B416),1,1,"")&amp;")()",1)),"")</f>
        <v>0</v>
      </c>
      <c r="G416" s="2"/>
      <c r="H416" s="2" t="str">
        <f t="shared" si="13"/>
        <v/>
      </c>
      <c r="I416" s="2">
        <f>TYPE(FPOS(IF(1,1),IF(1,1)))</f>
        <v>4</v>
      </c>
      <c r="J416" s="2">
        <f>IF(C416=0,COUNTIFS(A:A,A416,D:D,"a"),"")</f>
        <v>0</v>
      </c>
      <c r="K416" s="2"/>
      <c r="M416" s="2"/>
    </row>
    <row r="417" spans="1:14" x14ac:dyDescent="0.55000000000000004">
      <c r="A417" s="1" t="s">
        <v>1606</v>
      </c>
      <c r="B417" s="2">
        <f>COUNTIF(A:A,A417)-1</f>
        <v>2</v>
      </c>
      <c r="C417" s="2">
        <f>COUNTIF(A$1:A417,A417)-1</f>
        <v>1</v>
      </c>
      <c r="D417" s="2" t="str">
        <f>Argument!D417</f>
        <v>v</v>
      </c>
      <c r="E417" s="2" t="str">
        <f t="shared" si="12"/>
        <v/>
      </c>
      <c r="F417" s="2" t="str">
        <f>IF(C417=0,ISTEXT(FORMULA.CONVERT("="&amp;A417&amp;"("&amp;REPLACE(REPT(",#ref!",B417),1,1,"")&amp;")()",1)),"")</f>
        <v/>
      </c>
      <c r="G417" s="2">
        <f>TYPE(FPOS({1},IF(1,1)))</f>
        <v>64</v>
      </c>
      <c r="H417" s="2" t="str">
        <f t="shared" si="13"/>
        <v/>
      </c>
      <c r="I417" s="2">
        <f>TYPE(FPOS(IF(1,1),IF(1,1)))</f>
        <v>4</v>
      </c>
      <c r="J417" s="2" t="str">
        <f>IF(C417=0,COUNTIFS(A:A,A417,D:D,"a"),"")</f>
        <v/>
      </c>
      <c r="K417" s="2" t="e">
        <f>INDEX(+FPOS(K417:L417,#REF!),)</f>
        <v>#REF!</v>
      </c>
      <c r="L417" s="1">
        <v>1</v>
      </c>
      <c r="M417" s="2" t="e">
        <f>INDEX(+FPOS(INDIRECT(M417:N417),#REF!),)</f>
        <v>#REF!</v>
      </c>
      <c r="N417" s="1">
        <v>1</v>
      </c>
    </row>
    <row r="418" spans="1:14" x14ac:dyDescent="0.55000000000000004">
      <c r="A418" s="1" t="s">
        <v>1606</v>
      </c>
      <c r="B418" s="2">
        <f>COUNTIF(A:A,A418)-1</f>
        <v>2</v>
      </c>
      <c r="C418" s="2">
        <f>COUNTIF(A$1:A418,A418)-1</f>
        <v>2</v>
      </c>
      <c r="D418" s="2" t="str">
        <f>Argument!D418</f>
        <v>v</v>
      </c>
      <c r="E418" s="2" t="str">
        <f t="shared" si="12"/>
        <v/>
      </c>
      <c r="F418" s="2" t="str">
        <f>IF(C418=0,ISTEXT(FORMULA.CONVERT("="&amp;A418&amp;"("&amp;REPLACE(REPT(",#ref!",B418),1,1,"")&amp;")()",1)),"")</f>
        <v/>
      </c>
      <c r="G418" s="2">
        <f>TYPE(FPOS(IF(1,1),{1}))</f>
        <v>64</v>
      </c>
      <c r="H418" s="2" t="str">
        <f t="shared" si="13"/>
        <v/>
      </c>
      <c r="I418" s="2">
        <f>TYPE(FPOS(IF(1,1),IF(1,1)))</f>
        <v>4</v>
      </c>
      <c r="J418" s="2" t="str">
        <f>IF(C418=0,COUNTIFS(A:A,A418,D:D,"a"),"")</f>
        <v/>
      </c>
      <c r="K418" s="2" t="e">
        <f>INDEX(+FPOS(#REF!,K418:L418),)</f>
        <v>#REF!</v>
      </c>
      <c r="L418" s="1">
        <v>1</v>
      </c>
      <c r="M418" s="2" t="e">
        <f>INDEX(+FPOS(#REF!,INDIRECT(M418:N418)),)</f>
        <v>#REF!</v>
      </c>
      <c r="N418" s="1">
        <v>1</v>
      </c>
    </row>
    <row r="419" spans="1:14" x14ac:dyDescent="0.55000000000000004">
      <c r="A419" s="1" t="s">
        <v>1607</v>
      </c>
      <c r="B419" s="2">
        <f>COUNTIF(A:A,A419)-1</f>
        <v>1</v>
      </c>
      <c r="C419" s="2">
        <f>COUNTIF(A$1:A419,A419)-1</f>
        <v>0</v>
      </c>
      <c r="D419" s="2" t="str">
        <f>Argument!D419</f>
        <v/>
      </c>
      <c r="E419" s="2" t="str">
        <f t="shared" si="12"/>
        <v>v</v>
      </c>
      <c r="F419" s="2" t="b">
        <f>IF(C419=0,ISTEXT(FORMULA.CONVERT("="&amp;A419&amp;"("&amp;REPLACE(REPT(",#ref!",B419),1,1,"")&amp;")()",1)),"")</f>
        <v>0</v>
      </c>
      <c r="G419" s="2"/>
      <c r="H419" s="2" t="str">
        <f t="shared" si="13"/>
        <v/>
      </c>
      <c r="I419" s="2">
        <f>TYPE(DATEVALUE(IF(1,1)))</f>
        <v>16</v>
      </c>
      <c r="J419" s="2">
        <f>IF(C419=0,COUNTIFS(A:A,A419,D:D,"a"),"")</f>
        <v>0</v>
      </c>
      <c r="K419" s="2"/>
      <c r="M419" s="2"/>
    </row>
    <row r="420" spans="1:14" x14ac:dyDescent="0.55000000000000004">
      <c r="A420" s="1" t="s">
        <v>1607</v>
      </c>
      <c r="B420" s="2">
        <f>COUNTIF(A:A,A420)-1</f>
        <v>1</v>
      </c>
      <c r="C420" s="2">
        <f>COUNTIF(A$1:A420,A420)-1</f>
        <v>1</v>
      </c>
      <c r="D420" s="2" t="str">
        <f>Argument!D420</f>
        <v>v</v>
      </c>
      <c r="E420" s="2" t="str">
        <f t="shared" si="12"/>
        <v/>
      </c>
      <c r="F420" s="2" t="str">
        <f>IF(C420=0,ISTEXT(FORMULA.CONVERT("="&amp;A420&amp;"("&amp;REPLACE(REPT(",#ref!",B420),1,1,"")&amp;")()",1)),"")</f>
        <v/>
      </c>
      <c r="G420" s="2">
        <f>TYPE(DATEVALUE({1}))</f>
        <v>64</v>
      </c>
      <c r="H420" s="2" t="str">
        <f t="shared" si="13"/>
        <v/>
      </c>
      <c r="I420" s="2">
        <f>TYPE(DATEVALUE(IF(1,1)))</f>
        <v>16</v>
      </c>
      <c r="J420" s="2" t="str">
        <f>IF(C420=0,COUNTIFS(A:A,A420,D:D,"a"),"")</f>
        <v/>
      </c>
      <c r="K420" s="2" t="e">
        <f>INDEX(+DATEVALUE(K420:L420),)</f>
        <v>#VALUE!</v>
      </c>
      <c r="L420" s="1">
        <v>1</v>
      </c>
      <c r="M420" s="2" t="e">
        <f>INDEX(+DATEVALUE(INDIRECT(M420:N420)),)</f>
        <v>#REF!</v>
      </c>
      <c r="N420" s="1">
        <v>1</v>
      </c>
    </row>
    <row r="421" spans="1:14" x14ac:dyDescent="0.55000000000000004">
      <c r="A421" s="1" t="s">
        <v>1608</v>
      </c>
      <c r="B421" s="2">
        <f>COUNTIF(A:A,A421)-1</f>
        <v>1</v>
      </c>
      <c r="C421" s="2">
        <f>COUNTIF(A$1:A421,A421)-1</f>
        <v>0</v>
      </c>
      <c r="D421" s="2" t="str">
        <f>Argument!D421</f>
        <v/>
      </c>
      <c r="E421" s="2" t="str">
        <f t="shared" si="12"/>
        <v>v</v>
      </c>
      <c r="F421" s="2" t="b">
        <f>IF(C421=0,ISTEXT(FORMULA.CONVERT("="&amp;A421&amp;"("&amp;REPLACE(REPT(",#ref!",B421),1,1,"")&amp;")()",1)),"")</f>
        <v>0</v>
      </c>
      <c r="G421" s="2"/>
      <c r="H421" s="2" t="str">
        <f t="shared" si="13"/>
        <v/>
      </c>
      <c r="I421" s="2">
        <f>TYPE(TIMEVALUE(IF(1,1)))</f>
        <v>16</v>
      </c>
      <c r="J421" s="2">
        <f>IF(C421=0,COUNTIFS(A:A,A421,D:D,"a"),"")</f>
        <v>0</v>
      </c>
      <c r="K421" s="2"/>
      <c r="M421" s="2"/>
    </row>
    <row r="422" spans="1:14" x14ac:dyDescent="0.55000000000000004">
      <c r="A422" s="1" t="s">
        <v>1608</v>
      </c>
      <c r="B422" s="2">
        <f>COUNTIF(A:A,A422)-1</f>
        <v>1</v>
      </c>
      <c r="C422" s="2">
        <f>COUNTIF(A$1:A422,A422)-1</f>
        <v>1</v>
      </c>
      <c r="D422" s="2" t="str">
        <f>Argument!D422</f>
        <v>v</v>
      </c>
      <c r="E422" s="2" t="str">
        <f t="shared" si="12"/>
        <v/>
      </c>
      <c r="F422" s="2" t="str">
        <f>IF(C422=0,ISTEXT(FORMULA.CONVERT("="&amp;A422&amp;"("&amp;REPLACE(REPT(",#ref!",B422),1,1,"")&amp;")()",1)),"")</f>
        <v/>
      </c>
      <c r="G422" s="2">
        <f>TYPE(TIMEVALUE({1}))</f>
        <v>64</v>
      </c>
      <c r="H422" s="2" t="str">
        <f t="shared" si="13"/>
        <v/>
      </c>
      <c r="I422" s="2">
        <f>TYPE(TIMEVALUE(IF(1,1)))</f>
        <v>16</v>
      </c>
      <c r="J422" s="2" t="str">
        <f>IF(C422=0,COUNTIFS(A:A,A422,D:D,"a"),"")</f>
        <v/>
      </c>
      <c r="K422" s="2" t="e">
        <f>INDEX(+TIMEVALUE(K422:L422),)</f>
        <v>#VALUE!</v>
      </c>
      <c r="L422" s="1">
        <v>1</v>
      </c>
      <c r="M422" s="2" t="e">
        <f>INDEX(+TIMEVALUE(INDIRECT(M422:N422)),)</f>
        <v>#REF!</v>
      </c>
      <c r="N422" s="1">
        <v>1</v>
      </c>
    </row>
    <row r="423" spans="1:14" x14ac:dyDescent="0.55000000000000004">
      <c r="A423" s="1" t="s">
        <v>1609</v>
      </c>
      <c r="B423" s="2">
        <f>COUNTIF(A:A,A423)-1</f>
        <v>3</v>
      </c>
      <c r="C423" s="2">
        <f>COUNTIF(A$1:A423,A423)-1</f>
        <v>0</v>
      </c>
      <c r="D423" s="2" t="str">
        <f>Argument!D423</f>
        <v/>
      </c>
      <c r="E423" s="2" t="str">
        <f t="shared" si="12"/>
        <v>v</v>
      </c>
      <c r="F423" s="2" t="b">
        <f>IF(C423=0,ISTEXT(FORMULA.CONVERT("="&amp;A423&amp;"("&amp;REPLACE(REPT(",#ref!",B423),1,1,"")&amp;")()",1)),"")</f>
        <v>0</v>
      </c>
      <c r="G423" s="2"/>
      <c r="H423" s="2" t="str">
        <f t="shared" si="13"/>
        <v/>
      </c>
      <c r="I423" s="2">
        <f>TYPE(SLN(IF(1,1),IF(1,1),IF(1,1)))</f>
        <v>1</v>
      </c>
      <c r="J423" s="2">
        <f>IF(C423=0,COUNTIFS(A:A,A423,D:D,"a"),"")</f>
        <v>0</v>
      </c>
      <c r="K423" s="2"/>
      <c r="M423" s="2"/>
    </row>
    <row r="424" spans="1:14" x14ac:dyDescent="0.55000000000000004">
      <c r="A424" s="1" t="s">
        <v>1609</v>
      </c>
      <c r="B424" s="2">
        <f>COUNTIF(A:A,A424)-1</f>
        <v>3</v>
      </c>
      <c r="C424" s="2">
        <f>COUNTIF(A$1:A424,A424)-1</f>
        <v>1</v>
      </c>
      <c r="D424" s="2" t="str">
        <f>Argument!D424</f>
        <v>v</v>
      </c>
      <c r="E424" s="2" t="str">
        <f t="shared" si="12"/>
        <v/>
      </c>
      <c r="F424" s="2" t="str">
        <f>IF(C424=0,ISTEXT(FORMULA.CONVERT("="&amp;A424&amp;"("&amp;REPLACE(REPT(",#ref!",B424),1,1,"")&amp;")()",1)),"")</f>
        <v/>
      </c>
      <c r="G424" s="2">
        <f>TYPE(SLN({1},IF(1,1),IF(1,1)))</f>
        <v>64</v>
      </c>
      <c r="H424" s="2" t="str">
        <f t="shared" si="13"/>
        <v/>
      </c>
      <c r="I424" s="2">
        <f>TYPE(SLN(IF(1,1),IF(1,1),IF(1,1)))</f>
        <v>1</v>
      </c>
      <c r="J424" s="2" t="str">
        <f>IF(C424=0,COUNTIFS(A:A,A424,D:D,"a"),"")</f>
        <v/>
      </c>
      <c r="K424" s="2" t="e">
        <f>INDEX(+SLN(K424:L424,#REF!,#REF!),)</f>
        <v>#REF!</v>
      </c>
      <c r="L424" s="1">
        <v>1</v>
      </c>
      <c r="M424" s="2" t="e">
        <f>INDEX(+SLN(INDIRECT(M424:N424),#REF!,#REF!),)</f>
        <v>#REF!</v>
      </c>
      <c r="N424" s="1">
        <v>1</v>
      </c>
    </row>
    <row r="425" spans="1:14" x14ac:dyDescent="0.55000000000000004">
      <c r="A425" s="1" t="s">
        <v>1609</v>
      </c>
      <c r="B425" s="2">
        <f>COUNTIF(A:A,A425)-1</f>
        <v>3</v>
      </c>
      <c r="C425" s="2">
        <f>COUNTIF(A$1:A425,A425)-1</f>
        <v>2</v>
      </c>
      <c r="D425" s="2" t="str">
        <f>Argument!D425</f>
        <v>v</v>
      </c>
      <c r="E425" s="2" t="str">
        <f t="shared" si="12"/>
        <v/>
      </c>
      <c r="F425" s="2" t="str">
        <f>IF(C425=0,ISTEXT(FORMULA.CONVERT("="&amp;A425&amp;"("&amp;REPLACE(REPT(",#ref!",B425),1,1,"")&amp;")()",1)),"")</f>
        <v/>
      </c>
      <c r="G425" s="2">
        <f>TYPE(SLN(IF(1,1),{1},IF(1,1)))</f>
        <v>64</v>
      </c>
      <c r="H425" s="2" t="str">
        <f t="shared" si="13"/>
        <v/>
      </c>
      <c r="I425" s="2">
        <f>TYPE(SLN(IF(1,1),IF(1,1),IF(1,1)))</f>
        <v>1</v>
      </c>
      <c r="J425" s="2" t="str">
        <f>IF(C425=0,COUNTIFS(A:A,A425,D:D,"a"),"")</f>
        <v/>
      </c>
      <c r="K425" s="2" t="e">
        <f>INDEX(+SLN(#REF!,K425:L425,#REF!),)</f>
        <v>#REF!</v>
      </c>
      <c r="L425" s="1">
        <v>1</v>
      </c>
      <c r="M425" s="2" t="e">
        <f>INDEX(+SLN(#REF!,INDIRECT(M425:N425),#REF!),)</f>
        <v>#REF!</v>
      </c>
      <c r="N425" s="1">
        <v>1</v>
      </c>
    </row>
    <row r="426" spans="1:14" x14ac:dyDescent="0.55000000000000004">
      <c r="A426" s="1" t="s">
        <v>1609</v>
      </c>
      <c r="B426" s="2">
        <f>COUNTIF(A:A,A426)-1</f>
        <v>3</v>
      </c>
      <c r="C426" s="2">
        <f>COUNTIF(A$1:A426,A426)-1</f>
        <v>3</v>
      </c>
      <c r="D426" s="2" t="str">
        <f>Argument!D426</f>
        <v>v</v>
      </c>
      <c r="E426" s="2" t="str">
        <f t="shared" si="12"/>
        <v/>
      </c>
      <c r="F426" s="2" t="str">
        <f>IF(C426=0,ISTEXT(FORMULA.CONVERT("="&amp;A426&amp;"("&amp;REPLACE(REPT(",#ref!",B426),1,1,"")&amp;")()",1)),"")</f>
        <v/>
      </c>
      <c r="G426" s="2">
        <f>TYPE(SLN(IF(1,1),IF(1,1),{1}))</f>
        <v>64</v>
      </c>
      <c r="H426" s="2" t="str">
        <f t="shared" si="13"/>
        <v/>
      </c>
      <c r="I426" s="2">
        <f>TYPE(SLN(IF(1,1),IF(1,1),IF(1,1)))</f>
        <v>1</v>
      </c>
      <c r="J426" s="2" t="str">
        <f>IF(C426=0,COUNTIFS(A:A,A426,D:D,"a"),"")</f>
        <v/>
      </c>
      <c r="K426" s="2" t="e">
        <f>INDEX(+SLN(#REF!,#REF!,K426:L426),)</f>
        <v>#REF!</v>
      </c>
      <c r="L426" s="1">
        <v>1</v>
      </c>
      <c r="M426" s="2" t="e">
        <f>INDEX(+SLN(#REF!,#REF!,INDIRECT(M426:N426)),)</f>
        <v>#REF!</v>
      </c>
      <c r="N426" s="1">
        <v>1</v>
      </c>
    </row>
    <row r="427" spans="1:14" x14ac:dyDescent="0.55000000000000004">
      <c r="A427" s="1" t="s">
        <v>1610</v>
      </c>
      <c r="B427" s="2">
        <f>COUNTIF(A:A,A427)-1</f>
        <v>4</v>
      </c>
      <c r="C427" s="2">
        <f>COUNTIF(A$1:A427,A427)-1</f>
        <v>0</v>
      </c>
      <c r="D427" s="2" t="str">
        <f>Argument!D427</f>
        <v/>
      </c>
      <c r="E427" s="2" t="str">
        <f t="shared" si="12"/>
        <v>v</v>
      </c>
      <c r="F427" s="2" t="b">
        <f>IF(C427=0,ISTEXT(FORMULA.CONVERT("="&amp;A427&amp;"("&amp;REPLACE(REPT(",#ref!",B427),1,1,"")&amp;")()",1)),"")</f>
        <v>0</v>
      </c>
      <c r="G427" s="2"/>
      <c r="H427" s="2" t="str">
        <f t="shared" si="13"/>
        <v/>
      </c>
      <c r="I427" s="2">
        <f>TYPE(SYD(IF(1,1),IF(1,1),IF(1,1),IF(1,1)))</f>
        <v>1</v>
      </c>
      <c r="J427" s="2">
        <f>IF(C427=0,COUNTIFS(A:A,A427,D:D,"a"),"")</f>
        <v>0</v>
      </c>
      <c r="K427" s="2"/>
      <c r="M427" s="2"/>
    </row>
    <row r="428" spans="1:14" x14ac:dyDescent="0.55000000000000004">
      <c r="A428" s="1" t="s">
        <v>1610</v>
      </c>
      <c r="B428" s="2">
        <f>COUNTIF(A:A,A428)-1</f>
        <v>4</v>
      </c>
      <c r="C428" s="2">
        <f>COUNTIF(A$1:A428,A428)-1</f>
        <v>1</v>
      </c>
      <c r="D428" s="2" t="str">
        <f>Argument!D428</f>
        <v>v</v>
      </c>
      <c r="E428" s="2" t="str">
        <f t="shared" si="12"/>
        <v/>
      </c>
      <c r="F428" s="2" t="str">
        <f>IF(C428=0,ISTEXT(FORMULA.CONVERT("="&amp;A428&amp;"("&amp;REPLACE(REPT(",#ref!",B428),1,1,"")&amp;")()",1)),"")</f>
        <v/>
      </c>
      <c r="G428" s="2">
        <f>TYPE(SYD({1},IF(1,1),IF(1,1),IF(1,1)))</f>
        <v>64</v>
      </c>
      <c r="H428" s="2" t="str">
        <f t="shared" si="13"/>
        <v/>
      </c>
      <c r="I428" s="2">
        <f>TYPE(SYD(IF(1,1),IF(1,1),IF(1,1),IF(1,1)))</f>
        <v>1</v>
      </c>
      <c r="J428" s="2" t="str">
        <f>IF(C428=0,COUNTIFS(A:A,A428,D:D,"a"),"")</f>
        <v/>
      </c>
      <c r="K428" s="2" t="e">
        <f>INDEX(+SYD(K428:L428,#REF!,#REF!,#REF!),)</f>
        <v>#REF!</v>
      </c>
      <c r="L428" s="1">
        <v>1</v>
      </c>
      <c r="M428" s="2" t="e">
        <f>INDEX(+SYD(INDIRECT(M428:N428),#REF!,#REF!,#REF!),)</f>
        <v>#REF!</v>
      </c>
      <c r="N428" s="1">
        <v>1</v>
      </c>
    </row>
    <row r="429" spans="1:14" x14ac:dyDescent="0.55000000000000004">
      <c r="A429" s="1" t="s">
        <v>1610</v>
      </c>
      <c r="B429" s="2">
        <f>COUNTIF(A:A,A429)-1</f>
        <v>4</v>
      </c>
      <c r="C429" s="2">
        <f>COUNTIF(A$1:A429,A429)-1</f>
        <v>2</v>
      </c>
      <c r="D429" s="2" t="str">
        <f>Argument!D429</f>
        <v>v</v>
      </c>
      <c r="E429" s="2" t="str">
        <f t="shared" si="12"/>
        <v/>
      </c>
      <c r="F429" s="2" t="str">
        <f>IF(C429=0,ISTEXT(FORMULA.CONVERT("="&amp;A429&amp;"("&amp;REPLACE(REPT(",#ref!",B429),1,1,"")&amp;")()",1)),"")</f>
        <v/>
      </c>
      <c r="G429" s="2">
        <f>TYPE(SYD(IF(1,1),{1},IF(1,1),IF(1,1)))</f>
        <v>64</v>
      </c>
      <c r="H429" s="2" t="str">
        <f t="shared" si="13"/>
        <v/>
      </c>
      <c r="I429" s="2">
        <f>TYPE(SYD(IF(1,1),IF(1,1),IF(1,1),IF(1,1)))</f>
        <v>1</v>
      </c>
      <c r="J429" s="2" t="str">
        <f>IF(C429=0,COUNTIFS(A:A,A429,D:D,"a"),"")</f>
        <v/>
      </c>
      <c r="K429" s="2" t="e">
        <f>INDEX(+SYD(#REF!,K429:L429,#REF!,#REF!),)</f>
        <v>#REF!</v>
      </c>
      <c r="L429" s="1">
        <v>1</v>
      </c>
      <c r="M429" s="2" t="e">
        <f>INDEX(+SYD(#REF!,INDIRECT(M429:N429),#REF!,#REF!),)</f>
        <v>#REF!</v>
      </c>
      <c r="N429" s="1">
        <v>1</v>
      </c>
    </row>
    <row r="430" spans="1:14" x14ac:dyDescent="0.55000000000000004">
      <c r="A430" s="1" t="s">
        <v>1610</v>
      </c>
      <c r="B430" s="2">
        <f>COUNTIF(A:A,A430)-1</f>
        <v>4</v>
      </c>
      <c r="C430" s="2">
        <f>COUNTIF(A$1:A430,A430)-1</f>
        <v>3</v>
      </c>
      <c r="D430" s="2" t="str">
        <f>Argument!D430</f>
        <v>v</v>
      </c>
      <c r="E430" s="2" t="str">
        <f t="shared" si="12"/>
        <v/>
      </c>
      <c r="F430" s="2" t="str">
        <f>IF(C430=0,ISTEXT(FORMULA.CONVERT("="&amp;A430&amp;"("&amp;REPLACE(REPT(",#ref!",B430),1,1,"")&amp;")()",1)),"")</f>
        <v/>
      </c>
      <c r="G430" s="2">
        <f>TYPE(SYD(IF(1,1),IF(1,1),{1},IF(1,1)))</f>
        <v>64</v>
      </c>
      <c r="H430" s="2" t="str">
        <f t="shared" si="13"/>
        <v/>
      </c>
      <c r="I430" s="2">
        <f>TYPE(SYD(IF(1,1),IF(1,1),IF(1,1),IF(1,1)))</f>
        <v>1</v>
      </c>
      <c r="J430" s="2" t="str">
        <f>IF(C430=0,COUNTIFS(A:A,A430,D:D,"a"),"")</f>
        <v/>
      </c>
      <c r="K430" s="2" t="e">
        <f>INDEX(+SYD(#REF!,#REF!,K430:L430,#REF!),)</f>
        <v>#REF!</v>
      </c>
      <c r="L430" s="1">
        <v>1</v>
      </c>
      <c r="M430" s="2" t="e">
        <f>INDEX(+SYD(#REF!,#REF!,INDIRECT(M430:N430),#REF!),)</f>
        <v>#REF!</v>
      </c>
      <c r="N430" s="1">
        <v>1</v>
      </c>
    </row>
    <row r="431" spans="1:14" x14ac:dyDescent="0.55000000000000004">
      <c r="A431" s="1" t="s">
        <v>1610</v>
      </c>
      <c r="B431" s="2">
        <f>COUNTIF(A:A,A431)-1</f>
        <v>4</v>
      </c>
      <c r="C431" s="2">
        <f>COUNTIF(A$1:A431,A431)-1</f>
        <v>4</v>
      </c>
      <c r="D431" s="2" t="str">
        <f>Argument!D431</f>
        <v>v</v>
      </c>
      <c r="E431" s="2" t="str">
        <f t="shared" si="12"/>
        <v/>
      </c>
      <c r="F431" s="2" t="str">
        <f>IF(C431=0,ISTEXT(FORMULA.CONVERT("="&amp;A431&amp;"("&amp;REPLACE(REPT(",#ref!",B431),1,1,"")&amp;")()",1)),"")</f>
        <v/>
      </c>
      <c r="G431" s="2">
        <f>TYPE(SYD(IF(1,1),IF(1,1),IF(1,1),{1}))</f>
        <v>64</v>
      </c>
      <c r="H431" s="2" t="str">
        <f t="shared" si="13"/>
        <v/>
      </c>
      <c r="I431" s="2">
        <f>TYPE(SYD(IF(1,1),IF(1,1),IF(1,1),IF(1,1)))</f>
        <v>1</v>
      </c>
      <c r="J431" s="2" t="str">
        <f>IF(C431=0,COUNTIFS(A:A,A431,D:D,"a"),"")</f>
        <v/>
      </c>
      <c r="K431" s="2" t="e">
        <f>INDEX(+SYD(#REF!,#REF!,#REF!,K431:L431),)</f>
        <v>#REF!</v>
      </c>
      <c r="L431" s="1">
        <v>1</v>
      </c>
      <c r="M431" s="2" t="e">
        <f>INDEX(+SYD(#REF!,#REF!,#REF!,INDIRECT(M431:N431)),)</f>
        <v>#REF!</v>
      </c>
      <c r="N431" s="1">
        <v>1</v>
      </c>
    </row>
    <row r="432" spans="1:14" x14ac:dyDescent="0.55000000000000004">
      <c r="A432" s="1" t="s">
        <v>1611</v>
      </c>
      <c r="B432" s="2">
        <f>COUNTIF(A:A,A432)-1</f>
        <v>5</v>
      </c>
      <c r="C432" s="2">
        <f>COUNTIF(A$1:A432,A432)-1</f>
        <v>0</v>
      </c>
      <c r="D432" s="2" t="str">
        <f>Argument!D432</f>
        <v/>
      </c>
      <c r="E432" s="2" t="str">
        <f t="shared" si="12"/>
        <v>v</v>
      </c>
      <c r="F432" s="2" t="b">
        <f>IF(C432=0,ISTEXT(FORMULA.CONVERT("="&amp;A432&amp;"("&amp;REPLACE(REPT(",#ref!",B432),1,1,"")&amp;")()",1)),"")</f>
        <v>0</v>
      </c>
      <c r="G432" s="2"/>
      <c r="H432" s="2" t="str">
        <f t="shared" si="13"/>
        <v/>
      </c>
      <c r="I432" s="2">
        <f>TYPE(DDB(IF(1,1),IF(1,1),IF(1,1),IF(1,1),IF(1,1)))</f>
        <v>1</v>
      </c>
      <c r="J432" s="2">
        <f>IF(C432=0,COUNTIFS(A:A,A432,D:D,"a"),"")</f>
        <v>0</v>
      </c>
      <c r="K432" s="2"/>
      <c r="M432" s="2"/>
    </row>
    <row r="433" spans="1:14" x14ac:dyDescent="0.55000000000000004">
      <c r="A433" s="1" t="s">
        <v>1611</v>
      </c>
      <c r="B433" s="2">
        <f>COUNTIF(A:A,A433)-1</f>
        <v>5</v>
      </c>
      <c r="C433" s="2">
        <f>COUNTIF(A$1:A433,A433)-1</f>
        <v>1</v>
      </c>
      <c r="D433" s="2" t="str">
        <f>Argument!D433</f>
        <v>v</v>
      </c>
      <c r="E433" s="2" t="str">
        <f t="shared" si="12"/>
        <v/>
      </c>
      <c r="F433" s="2" t="str">
        <f>IF(C433=0,ISTEXT(FORMULA.CONVERT("="&amp;A433&amp;"("&amp;REPLACE(REPT(",#ref!",B433),1,1,"")&amp;")()",1)),"")</f>
        <v/>
      </c>
      <c r="G433" s="2">
        <f>TYPE(DDB({1},IF(1,1),IF(1,1),IF(1,1),IF(1,1)))</f>
        <v>64</v>
      </c>
      <c r="H433" s="2" t="str">
        <f t="shared" si="13"/>
        <v/>
      </c>
      <c r="I433" s="2">
        <f>TYPE(DDB(IF(1,1),IF(1,1),IF(1,1),IF(1,1),IF(1,1)))</f>
        <v>1</v>
      </c>
      <c r="J433" s="2" t="str">
        <f>IF(C433=0,COUNTIFS(A:A,A433,D:D,"a"),"")</f>
        <v/>
      </c>
      <c r="K433" s="2" t="e">
        <f>INDEX(+DDB(K433:L433,#REF!,#REF!,#REF!,#REF!),)</f>
        <v>#REF!</v>
      </c>
      <c r="L433" s="1">
        <v>1</v>
      </c>
      <c r="M433" s="2" t="e">
        <f>INDEX(+DDB(INDIRECT(M433:N433),#REF!,#REF!,#REF!,#REF!),)</f>
        <v>#REF!</v>
      </c>
      <c r="N433" s="1">
        <v>1</v>
      </c>
    </row>
    <row r="434" spans="1:14" x14ac:dyDescent="0.55000000000000004">
      <c r="A434" s="1" t="s">
        <v>1611</v>
      </c>
      <c r="B434" s="2">
        <f>COUNTIF(A:A,A434)-1</f>
        <v>5</v>
      </c>
      <c r="C434" s="2">
        <f>COUNTIF(A$1:A434,A434)-1</f>
        <v>2</v>
      </c>
      <c r="D434" s="2" t="str">
        <f>Argument!D434</f>
        <v>v</v>
      </c>
      <c r="E434" s="2" t="str">
        <f t="shared" si="12"/>
        <v/>
      </c>
      <c r="F434" s="2" t="str">
        <f>IF(C434=0,ISTEXT(FORMULA.CONVERT("="&amp;A434&amp;"("&amp;REPLACE(REPT(",#ref!",B434),1,1,"")&amp;")()",1)),"")</f>
        <v/>
      </c>
      <c r="G434" s="2">
        <f>TYPE(DDB(IF(1,1),{1},IF(1,1),IF(1,1),IF(1,1)))</f>
        <v>64</v>
      </c>
      <c r="H434" s="2" t="str">
        <f t="shared" si="13"/>
        <v/>
      </c>
      <c r="I434" s="2">
        <f>TYPE(DDB(IF(1,1),IF(1,1),IF(1,1),IF(1,1),IF(1,1)))</f>
        <v>1</v>
      </c>
      <c r="J434" s="2" t="str">
        <f>IF(C434=0,COUNTIFS(A:A,A434,D:D,"a"),"")</f>
        <v/>
      </c>
      <c r="K434" s="2" t="e">
        <f>INDEX(+DDB(#REF!,K434:L434,#REF!,#REF!,#REF!),)</f>
        <v>#REF!</v>
      </c>
      <c r="L434" s="1">
        <v>1</v>
      </c>
      <c r="M434" s="2" t="e">
        <f>INDEX(+DDB(#REF!,INDIRECT(M434:N434),#REF!,#REF!,#REF!),)</f>
        <v>#REF!</v>
      </c>
      <c r="N434" s="1">
        <v>1</v>
      </c>
    </row>
    <row r="435" spans="1:14" x14ac:dyDescent="0.55000000000000004">
      <c r="A435" s="1" t="s">
        <v>1611</v>
      </c>
      <c r="B435" s="2">
        <f>COUNTIF(A:A,A435)-1</f>
        <v>5</v>
      </c>
      <c r="C435" s="2">
        <f>COUNTIF(A$1:A435,A435)-1</f>
        <v>3</v>
      </c>
      <c r="D435" s="2" t="str">
        <f>Argument!D435</f>
        <v>v</v>
      </c>
      <c r="E435" s="2" t="str">
        <f t="shared" si="12"/>
        <v/>
      </c>
      <c r="F435" s="2" t="str">
        <f>IF(C435=0,ISTEXT(FORMULA.CONVERT("="&amp;A435&amp;"("&amp;REPLACE(REPT(",#ref!",B435),1,1,"")&amp;")()",1)),"")</f>
        <v/>
      </c>
      <c r="G435" s="2">
        <f>TYPE(DDB(IF(1,1),IF(1,1),{1},IF(1,1),IF(1,1)))</f>
        <v>64</v>
      </c>
      <c r="H435" s="2" t="str">
        <f t="shared" si="13"/>
        <v/>
      </c>
      <c r="I435" s="2">
        <f>TYPE(DDB(IF(1,1),IF(1,1),IF(1,1),IF(1,1),IF(1,1)))</f>
        <v>1</v>
      </c>
      <c r="J435" s="2" t="str">
        <f>IF(C435=0,COUNTIFS(A:A,A435,D:D,"a"),"")</f>
        <v/>
      </c>
      <c r="K435" s="2" t="e">
        <f>INDEX(+DDB(#REF!,#REF!,K435:L435,#REF!,#REF!),)</f>
        <v>#REF!</v>
      </c>
      <c r="L435" s="1">
        <v>1</v>
      </c>
      <c r="M435" s="2" t="e">
        <f>INDEX(+DDB(#REF!,#REF!,INDIRECT(M435:N435),#REF!,#REF!),)</f>
        <v>#REF!</v>
      </c>
      <c r="N435" s="1">
        <v>1</v>
      </c>
    </row>
    <row r="436" spans="1:14" x14ac:dyDescent="0.55000000000000004">
      <c r="A436" s="1" t="s">
        <v>1611</v>
      </c>
      <c r="B436" s="2">
        <f>COUNTIF(A:A,A436)-1</f>
        <v>5</v>
      </c>
      <c r="C436" s="2">
        <f>COUNTIF(A$1:A436,A436)-1</f>
        <v>4</v>
      </c>
      <c r="D436" s="2" t="str">
        <f>Argument!D436</f>
        <v>v</v>
      </c>
      <c r="E436" s="2" t="str">
        <f t="shared" si="12"/>
        <v/>
      </c>
      <c r="F436" s="2" t="str">
        <f>IF(C436=0,ISTEXT(FORMULA.CONVERT("="&amp;A436&amp;"("&amp;REPLACE(REPT(",#ref!",B436),1,1,"")&amp;")()",1)),"")</f>
        <v/>
      </c>
      <c r="G436" s="2">
        <f>TYPE(DDB(IF(1,1),IF(1,1),IF(1,1),{1},IF(1,1)))</f>
        <v>64</v>
      </c>
      <c r="H436" s="2" t="str">
        <f t="shared" si="13"/>
        <v/>
      </c>
      <c r="I436" s="2">
        <f>TYPE(DDB(IF(1,1),IF(1,1),IF(1,1),IF(1,1),IF(1,1)))</f>
        <v>1</v>
      </c>
      <c r="J436" s="2" t="str">
        <f>IF(C436=0,COUNTIFS(A:A,A436,D:D,"a"),"")</f>
        <v/>
      </c>
      <c r="K436" s="2" t="e">
        <f>INDEX(+DDB(#REF!,#REF!,#REF!,K436:L436,#REF!),)</f>
        <v>#REF!</v>
      </c>
      <c r="L436" s="1">
        <v>1</v>
      </c>
      <c r="M436" s="2" t="e">
        <f>INDEX(+DDB(#REF!,#REF!,#REF!,INDIRECT(M436:N436),#REF!),)</f>
        <v>#REF!</v>
      </c>
      <c r="N436" s="1">
        <v>1</v>
      </c>
    </row>
    <row r="437" spans="1:14" x14ac:dyDescent="0.55000000000000004">
      <c r="A437" s="1" t="s">
        <v>1611</v>
      </c>
      <c r="B437" s="2">
        <f>COUNTIF(A:A,A437)-1</f>
        <v>5</v>
      </c>
      <c r="C437" s="2">
        <f>COUNTIF(A$1:A437,A437)-1</f>
        <v>5</v>
      </c>
      <c r="D437" s="2" t="str">
        <f>Argument!D437</f>
        <v>v</v>
      </c>
      <c r="E437" s="2" t="str">
        <f t="shared" si="12"/>
        <v/>
      </c>
      <c r="F437" s="2" t="str">
        <f>IF(C437=0,ISTEXT(FORMULA.CONVERT("="&amp;A437&amp;"("&amp;REPLACE(REPT(",#ref!",B437),1,1,"")&amp;")()",1)),"")</f>
        <v/>
      </c>
      <c r="G437" s="2">
        <f>TYPE(DDB(IF(1,1),IF(1,1),IF(1,1),IF(1,1),{1}))</f>
        <v>64</v>
      </c>
      <c r="H437" s="2" t="str">
        <f t="shared" si="13"/>
        <v/>
      </c>
      <c r="I437" s="2">
        <f>TYPE(DDB(IF(1,1),IF(1,1),IF(1,1),IF(1,1),IF(1,1)))</f>
        <v>1</v>
      </c>
      <c r="J437" s="2" t="str">
        <f>IF(C437=0,COUNTIFS(A:A,A437,D:D,"a"),"")</f>
        <v/>
      </c>
      <c r="K437" s="2" t="e">
        <f>INDEX(+DDB(#REF!,#REF!,#REF!,#REF!,K437:L437),)</f>
        <v>#REF!</v>
      </c>
      <c r="L437" s="1">
        <v>1</v>
      </c>
      <c r="M437" s="2" t="e">
        <f>INDEX(+DDB(#REF!,#REF!,#REF!,#REF!,INDIRECT(M437:N437)),)</f>
        <v>#REF!</v>
      </c>
      <c r="N437" s="1">
        <v>1</v>
      </c>
    </row>
    <row r="438" spans="1:14" x14ac:dyDescent="0.55000000000000004">
      <c r="A438" s="1" t="s">
        <v>1612</v>
      </c>
      <c r="B438" s="2">
        <f>COUNTIF(A:A,A438)-1</f>
        <v>3</v>
      </c>
      <c r="C438" s="2">
        <f>COUNTIF(A$1:A438,A438)-1</f>
        <v>0</v>
      </c>
      <c r="D438" s="2" t="str">
        <f>Argument!D438</f>
        <v/>
      </c>
      <c r="E438" s="2" t="str">
        <f t="shared" si="12"/>
        <v>v</v>
      </c>
      <c r="F438" s="2" t="b">
        <f>IF(C438=0,ISTEXT(FORMULA.CONVERT("="&amp;A438&amp;"("&amp;REPLACE(REPT(",#ref!",B438),1,1,"")&amp;")()",1)),"")</f>
        <v>0</v>
      </c>
      <c r="G438" s="2"/>
      <c r="H438" s="2" t="str">
        <f t="shared" si="13"/>
        <v/>
      </c>
      <c r="I438" s="2">
        <f>TYPE(GET.DEF(IF(1,1),IF(1,1),IF(1,1)))</f>
        <v>16</v>
      </c>
      <c r="J438" s="2">
        <f>IF(C438=0,COUNTIFS(A:A,A438,D:D,"a"),"")</f>
        <v>0</v>
      </c>
      <c r="K438" s="2"/>
      <c r="M438" s="2"/>
    </row>
    <row r="439" spans="1:14" x14ac:dyDescent="0.55000000000000004">
      <c r="A439" s="1" t="s">
        <v>1612</v>
      </c>
      <c r="B439" s="2">
        <f>COUNTIF(A:A,A439)-1</f>
        <v>3</v>
      </c>
      <c r="C439" s="2">
        <f>COUNTIF(A$1:A439,A439)-1</f>
        <v>1</v>
      </c>
      <c r="D439" s="2" t="str">
        <f>Argument!D439</f>
        <v>v</v>
      </c>
      <c r="E439" s="2" t="str">
        <f t="shared" si="12"/>
        <v/>
      </c>
      <c r="F439" s="2" t="str">
        <f>IF(C439=0,ISTEXT(FORMULA.CONVERT("="&amp;A439&amp;"("&amp;REPLACE(REPT(",#ref!",B439),1,1,"")&amp;")()",1)),"")</f>
        <v/>
      </c>
      <c r="G439" s="2">
        <f>TYPE(GET.DEF({1},IF(1,1),IF(1,1)))</f>
        <v>64</v>
      </c>
      <c r="H439" s="2" t="str">
        <f t="shared" si="13"/>
        <v/>
      </c>
      <c r="I439" s="2">
        <f>TYPE(GET.DEF(IF(1,1),IF(1,1),IF(1,1)))</f>
        <v>16</v>
      </c>
      <c r="J439" s="2" t="str">
        <f>IF(C439=0,COUNTIFS(A:A,A439,D:D,"a"),"")</f>
        <v/>
      </c>
      <c r="K439" s="2" t="e">
        <f>INDEX(+GET.DEF(K439:L439,#REF!,#REF!),)</f>
        <v>#REF!</v>
      </c>
      <c r="L439" s="1">
        <v>1</v>
      </c>
      <c r="M439" s="2" t="e">
        <f>INDEX(+GET.DEF(INDIRECT(M439:N439),#REF!,#REF!),)</f>
        <v>#REF!</v>
      </c>
      <c r="N439" s="1">
        <v>1</v>
      </c>
    </row>
    <row r="440" spans="1:14" x14ac:dyDescent="0.55000000000000004">
      <c r="A440" s="1" t="s">
        <v>1612</v>
      </c>
      <c r="B440" s="2">
        <f>COUNTIF(A:A,A440)-1</f>
        <v>3</v>
      </c>
      <c r="C440" s="2">
        <f>COUNTIF(A$1:A440,A440)-1</f>
        <v>2</v>
      </c>
      <c r="D440" s="2" t="str">
        <f>Argument!D440</f>
        <v>v</v>
      </c>
      <c r="E440" s="2" t="str">
        <f t="shared" si="12"/>
        <v/>
      </c>
      <c r="F440" s="2" t="str">
        <f>IF(C440=0,ISTEXT(FORMULA.CONVERT("="&amp;A440&amp;"("&amp;REPLACE(REPT(",#ref!",B440),1,1,"")&amp;")()",1)),"")</f>
        <v/>
      </c>
      <c r="G440" s="2">
        <f>TYPE(GET.DEF(IF(1,1),{1},IF(1,1)))</f>
        <v>64</v>
      </c>
      <c r="H440" s="2" t="str">
        <f t="shared" si="13"/>
        <v/>
      </c>
      <c r="I440" s="2">
        <f>TYPE(GET.DEF(IF(1,1),IF(1,1),IF(1,1)))</f>
        <v>16</v>
      </c>
      <c r="J440" s="2" t="str">
        <f>IF(C440=0,COUNTIFS(A:A,A440,D:D,"a"),"")</f>
        <v/>
      </c>
      <c r="K440" s="2" t="e">
        <f>INDEX(+GET.DEF(#REF!,K440:L440,#REF!),)</f>
        <v>#REF!</v>
      </c>
      <c r="L440" s="1">
        <v>1</v>
      </c>
      <c r="M440" s="2" t="e">
        <f>INDEX(+GET.DEF(#REF!,INDIRECT(M440:N440),#REF!),)</f>
        <v>#REF!</v>
      </c>
      <c r="N440" s="1">
        <v>1</v>
      </c>
    </row>
    <row r="441" spans="1:14" x14ac:dyDescent="0.55000000000000004">
      <c r="A441" s="1" t="s">
        <v>1612</v>
      </c>
      <c r="B441" s="2">
        <f>COUNTIF(A:A,A441)-1</f>
        <v>3</v>
      </c>
      <c r="C441" s="2">
        <f>COUNTIF(A$1:A441,A441)-1</f>
        <v>3</v>
      </c>
      <c r="D441" s="2" t="str">
        <f>Argument!D441</f>
        <v>v</v>
      </c>
      <c r="E441" s="2" t="str">
        <f t="shared" si="12"/>
        <v/>
      </c>
      <c r="F441" s="2" t="str">
        <f>IF(C441=0,ISTEXT(FORMULA.CONVERT("="&amp;A441&amp;"("&amp;REPLACE(REPT(",#ref!",B441),1,1,"")&amp;")()",1)),"")</f>
        <v/>
      </c>
      <c r="G441" s="2">
        <f>TYPE(GET.DEF(IF(1,1),IF(1,1),{1}))</f>
        <v>64</v>
      </c>
      <c r="H441" s="2" t="str">
        <f t="shared" si="13"/>
        <v/>
      </c>
      <c r="I441" s="2">
        <f>TYPE(GET.DEF(IF(1,1),IF(1,1),IF(1,1)))</f>
        <v>16</v>
      </c>
      <c r="J441" s="2" t="str">
        <f>IF(C441=0,COUNTIFS(A:A,A441,D:D,"a"),"")</f>
        <v/>
      </c>
      <c r="K441" s="2" t="e">
        <f>INDEX(+GET.DEF(#REF!,#REF!,K441:L441),)</f>
        <v>#REF!</v>
      </c>
      <c r="L441" s="1">
        <v>1</v>
      </c>
      <c r="M441" s="2" t="e">
        <f>INDEX(+GET.DEF(#REF!,#REF!,INDIRECT(M441:N441)),)</f>
        <v>#REF!</v>
      </c>
      <c r="N441" s="1">
        <v>1</v>
      </c>
    </row>
    <row r="442" spans="1:14" x14ac:dyDescent="0.55000000000000004">
      <c r="A442" s="1" t="s">
        <v>1613</v>
      </c>
      <c r="B442" s="2">
        <f>COUNTIF(A:A,A442)-1</f>
        <v>2</v>
      </c>
      <c r="C442" s="2">
        <f>COUNTIF(A$1:A442,A442)-1</f>
        <v>0</v>
      </c>
      <c r="D442" s="2" t="str">
        <f>Argument!D442</f>
        <v/>
      </c>
      <c r="E442" s="2" t="str">
        <f t="shared" si="12"/>
        <v>v</v>
      </c>
      <c r="F442" s="2" t="b">
        <f>IF(C442=0,ISTEXT(FORMULA.CONVERT("="&amp;A442&amp;"("&amp;REPLACE(REPT(",#ref!",B442),1,1,"")&amp;")()",1)),"")</f>
        <v>0</v>
      </c>
      <c r="G442" s="2"/>
      <c r="H442" s="2" t="str">
        <f t="shared" si="13"/>
        <v/>
      </c>
      <c r="I442" s="2">
        <f>TYPE(REFTEXT(IF(1,1),IF(1,1)))</f>
        <v>16</v>
      </c>
      <c r="J442" s="2">
        <f>IF(C442=0,COUNTIFS(A:A,A442,D:D,"a"),"")</f>
        <v>0</v>
      </c>
      <c r="K442" s="2"/>
      <c r="M442" s="2"/>
    </row>
    <row r="443" spans="1:14" x14ac:dyDescent="0.55000000000000004">
      <c r="A443" s="1" t="s">
        <v>1613</v>
      </c>
      <c r="B443" s="2">
        <f>COUNTIF(A:A,A443)-1</f>
        <v>2</v>
      </c>
      <c r="C443" s="2">
        <f>COUNTIF(A$1:A443,A443)-1</f>
        <v>1</v>
      </c>
      <c r="D443" s="2" t="str">
        <f>Argument!D443</f>
        <v>r</v>
      </c>
      <c r="E443" s="2" t="str">
        <f t="shared" si="12"/>
        <v/>
      </c>
      <c r="F443" s="2" t="str">
        <f>IF(C443=0,ISTEXT(FORMULA.CONVERT("="&amp;A443&amp;"("&amp;REPLACE(REPT(",#ref!",B443),1,1,"")&amp;")()",1)),"")</f>
        <v/>
      </c>
      <c r="G443" s="2"/>
      <c r="H443" s="2" t="str">
        <f t="shared" si="13"/>
        <v/>
      </c>
      <c r="I443" s="2">
        <f>TYPE(REFTEXT(IF(1,1),IF(1,1)))</f>
        <v>16</v>
      </c>
      <c r="J443" s="2" t="str">
        <f>IF(C443=0,COUNTIFS(A:A,A443,D:D,"a"),"")</f>
        <v/>
      </c>
      <c r="K443" s="2" t="e">
        <f>INDEX(+REFTEXT(K443:L443,#REF!),)</f>
        <v>#REF!</v>
      </c>
      <c r="L443" s="1">
        <v>1</v>
      </c>
      <c r="M443" s="2" t="e">
        <f>INDEX(+REFTEXT(INDIRECT(M443:N443),#REF!),)</f>
        <v>#REF!</v>
      </c>
      <c r="N443" s="1">
        <v>1</v>
      </c>
    </row>
    <row r="444" spans="1:14" x14ac:dyDescent="0.55000000000000004">
      <c r="A444" s="1" t="s">
        <v>1613</v>
      </c>
      <c r="B444" s="2">
        <f>COUNTIF(A:A,A444)-1</f>
        <v>2</v>
      </c>
      <c r="C444" s="2">
        <f>COUNTIF(A$1:A444,A444)-1</f>
        <v>2</v>
      </c>
      <c r="D444" s="2" t="str">
        <f>Argument!D444</f>
        <v>v</v>
      </c>
      <c r="E444" s="2" t="str">
        <f t="shared" si="12"/>
        <v/>
      </c>
      <c r="F444" s="2" t="str">
        <f>IF(C444=0,ISTEXT(FORMULA.CONVERT("="&amp;A444&amp;"("&amp;REPLACE(REPT(",#ref!",B444),1,1,"")&amp;")()",1)),"")</f>
        <v/>
      </c>
      <c r="G444" s="2">
        <f>TYPE(REFTEXT(IF(1,1),{1}))</f>
        <v>64</v>
      </c>
      <c r="H444" s="2" t="str">
        <f t="shared" si="13"/>
        <v/>
      </c>
      <c r="I444" s="2">
        <f>TYPE(REFTEXT(IF(1,1),IF(1,1)))</f>
        <v>16</v>
      </c>
      <c r="J444" s="2" t="str">
        <f>IF(C444=0,COUNTIFS(A:A,A444,D:D,"a"),"")</f>
        <v/>
      </c>
      <c r="K444" s="2" t="e">
        <f>INDEX(+REFTEXT(#REF!,K444:L444),)</f>
        <v>#REF!</v>
      </c>
      <c r="L444" s="1">
        <v>1</v>
      </c>
      <c r="M444" s="2" t="e">
        <f>INDEX(+REFTEXT(#REF!,INDIRECT(M444:N444)),)</f>
        <v>#REF!</v>
      </c>
      <c r="N444" s="1">
        <v>1</v>
      </c>
    </row>
    <row r="445" spans="1:14" x14ac:dyDescent="0.55000000000000004">
      <c r="A445" s="1" t="s">
        <v>1614</v>
      </c>
      <c r="B445" s="2">
        <f>COUNTIF(A:A,A445)-1</f>
        <v>2</v>
      </c>
      <c r="C445" s="2">
        <f>COUNTIF(A$1:A445,A445)-1</f>
        <v>0</v>
      </c>
      <c r="D445" s="2" t="str">
        <f>Argument!D445</f>
        <v/>
      </c>
      <c r="E445" s="2" t="str">
        <f t="shared" si="12"/>
        <v>r</v>
      </c>
      <c r="F445" s="2" t="b">
        <f>IF(C445=0,ISTEXT(FORMULA.CONVERT("="&amp;A445&amp;"("&amp;REPLACE(REPT(",#ref!",B445),1,1,"")&amp;")()",1)),"")</f>
        <v>1</v>
      </c>
      <c r="G445" s="2"/>
      <c r="H445" s="2" t="str">
        <f t="shared" si="13"/>
        <v/>
      </c>
      <c r="I445" s="2">
        <f>TYPE(TEXTREF(IF(1,1),IF(1,1)))</f>
        <v>16</v>
      </c>
      <c r="J445" s="2">
        <f>IF(C445=0,COUNTIFS(A:A,A445,D:D,"a"),"")</f>
        <v>0</v>
      </c>
      <c r="K445" s="2"/>
      <c r="M445" s="2"/>
    </row>
    <row r="446" spans="1:14" x14ac:dyDescent="0.55000000000000004">
      <c r="A446" s="1" t="s">
        <v>1614</v>
      </c>
      <c r="B446" s="2">
        <f>COUNTIF(A:A,A446)-1</f>
        <v>2</v>
      </c>
      <c r="C446" s="2">
        <f>COUNTIF(A$1:A446,A446)-1</f>
        <v>1</v>
      </c>
      <c r="D446" s="2" t="str">
        <f>Argument!D446</f>
        <v>v</v>
      </c>
      <c r="E446" s="2" t="str">
        <f t="shared" si="12"/>
        <v/>
      </c>
      <c r="F446" s="2" t="str">
        <f>IF(C446=0,ISTEXT(FORMULA.CONVERT("="&amp;A446&amp;"("&amp;REPLACE(REPT(",#ref!",B446),1,1,"")&amp;")()",1)),"")</f>
        <v/>
      </c>
      <c r="G446" s="2">
        <f>TYPE(TEXTREF({1},IF(1,1)))</f>
        <v>64</v>
      </c>
      <c r="H446" s="2" t="str">
        <f t="shared" si="13"/>
        <v/>
      </c>
      <c r="I446" s="2">
        <f>TYPE(TEXTREF(IF(1,1),IF(1,1)))</f>
        <v>16</v>
      </c>
      <c r="J446" s="2" t="str">
        <f>IF(C446=0,COUNTIFS(A:A,A446,D:D,"a"),"")</f>
        <v/>
      </c>
      <c r="K446" s="2" t="e">
        <f>INDEX(+TEXTREF(K446:L446,#REF!),)</f>
        <v>#REF!</v>
      </c>
      <c r="L446" s="1">
        <v>1</v>
      </c>
      <c r="M446" s="2" t="e">
        <f>INDEX(+TEXTREF(INDIRECT(M446:N446),#REF!),)</f>
        <v>#REF!</v>
      </c>
      <c r="N446" s="1">
        <v>1</v>
      </c>
    </row>
    <row r="447" spans="1:14" x14ac:dyDescent="0.55000000000000004">
      <c r="A447" s="1" t="s">
        <v>1614</v>
      </c>
      <c r="B447" s="2">
        <f>COUNTIF(A:A,A447)-1</f>
        <v>2</v>
      </c>
      <c r="C447" s="2">
        <f>COUNTIF(A$1:A447,A447)-1</f>
        <v>2</v>
      </c>
      <c r="D447" s="2" t="str">
        <f>Argument!D447</f>
        <v>v</v>
      </c>
      <c r="E447" s="2" t="str">
        <f t="shared" si="12"/>
        <v/>
      </c>
      <c r="F447" s="2" t="str">
        <f>IF(C447=0,ISTEXT(FORMULA.CONVERT("="&amp;A447&amp;"("&amp;REPLACE(REPT(",#ref!",B447),1,1,"")&amp;")()",1)),"")</f>
        <v/>
      </c>
      <c r="G447" s="2">
        <f>TYPE(TEXTREF(IF(1,1),{1}))</f>
        <v>64</v>
      </c>
      <c r="H447" s="2" t="str">
        <f t="shared" si="13"/>
        <v/>
      </c>
      <c r="I447" s="2">
        <f>TYPE(TEXTREF(IF(1,1),IF(1,1)))</f>
        <v>16</v>
      </c>
      <c r="J447" s="2" t="str">
        <f>IF(C447=0,COUNTIFS(A:A,A447,D:D,"a"),"")</f>
        <v/>
      </c>
      <c r="K447" s="2" t="e">
        <f>INDEX(+TEXTREF(#REF!,K447:L447),)</f>
        <v>#REF!</v>
      </c>
      <c r="L447" s="1">
        <v>1</v>
      </c>
      <c r="M447" s="2" t="e">
        <f>INDEX(+TEXTREF(#REF!,INDIRECT(M447:N447)),)</f>
        <v>#REF!</v>
      </c>
      <c r="N447" s="1">
        <v>1</v>
      </c>
    </row>
    <row r="448" spans="1:14" x14ac:dyDescent="0.55000000000000004">
      <c r="A448" s="1" t="s">
        <v>1615</v>
      </c>
      <c r="B448" s="2">
        <f>COUNTIF(A:A,A448)-1</f>
        <v>2</v>
      </c>
      <c r="C448" s="2">
        <f>COUNTIF(A$1:A448,A448)-1</f>
        <v>0</v>
      </c>
      <c r="D448" s="2" t="str">
        <f>Argument!D448</f>
        <v/>
      </c>
      <c r="E448" s="2" t="str">
        <f t="shared" si="12"/>
        <v>r</v>
      </c>
      <c r="F448" s="2" t="b">
        <f>IF(C448=0,ISTEXT(FORMULA.CONVERT("="&amp;A448&amp;"("&amp;REPLACE(REPT(",#ref!",B448),1,1,"")&amp;")()",1)),"")</f>
        <v>1</v>
      </c>
      <c r="G448" s="2"/>
      <c r="H448" s="2" t="str">
        <f t="shared" si="13"/>
        <v/>
      </c>
      <c r="I448" s="2">
        <f>TYPE(INDIRECT(IF(1,1),IF(1,1)))</f>
        <v>16</v>
      </c>
      <c r="J448" s="2">
        <f>IF(C448=0,COUNTIFS(A:A,A448,D:D,"a"),"")</f>
        <v>0</v>
      </c>
      <c r="K448" s="2"/>
      <c r="M448" s="2"/>
    </row>
    <row r="449" spans="1:14" x14ac:dyDescent="0.55000000000000004">
      <c r="A449" s="1" t="s">
        <v>1615</v>
      </c>
      <c r="B449" s="2">
        <f>COUNTIF(A:A,A449)-1</f>
        <v>2</v>
      </c>
      <c r="C449" s="2">
        <f>COUNTIF(A$1:A449,A449)-1</f>
        <v>1</v>
      </c>
      <c r="D449" s="2" t="str">
        <f>Argument!D449</f>
        <v>v</v>
      </c>
      <c r="E449" s="2" t="str">
        <f t="shared" si="12"/>
        <v/>
      </c>
      <c r="F449" s="2" t="str">
        <f>IF(C449=0,ISTEXT(FORMULA.CONVERT("="&amp;A449&amp;"("&amp;REPLACE(REPT(",#ref!",B449),1,1,"")&amp;")()",1)),"")</f>
        <v/>
      </c>
      <c r="G449" s="2">
        <f>TYPE(INDIRECT({1},IF(1,1)))</f>
        <v>64</v>
      </c>
      <c r="H449" s="2" t="str">
        <f t="shared" si="13"/>
        <v/>
      </c>
      <c r="I449" s="2">
        <f>TYPE(INDIRECT(IF(1,1),IF(1,1)))</f>
        <v>16</v>
      </c>
      <c r="J449" s="2" t="str">
        <f>IF(C449=0,COUNTIFS(A:A,A449,D:D,"a"),"")</f>
        <v/>
      </c>
      <c r="K449" s="2" t="e">
        <f>INDEX(+INDIRECT(K449:L449,#REF!),)</f>
        <v>#REF!</v>
      </c>
      <c r="L449" s="1">
        <v>1</v>
      </c>
      <c r="M449" s="2" t="e">
        <f>INDEX(+INDIRECT(INDIRECT(M449:N449),#REF!),)</f>
        <v>#REF!</v>
      </c>
      <c r="N449" s="1">
        <v>1</v>
      </c>
    </row>
    <row r="450" spans="1:14" x14ac:dyDescent="0.55000000000000004">
      <c r="A450" s="1" t="s">
        <v>1615</v>
      </c>
      <c r="B450" s="2">
        <f>COUNTIF(A:A,A450)-1</f>
        <v>2</v>
      </c>
      <c r="C450" s="2">
        <f>COUNTIF(A$1:A450,A450)-1</f>
        <v>2</v>
      </c>
      <c r="D450" s="2" t="str">
        <f>Argument!D450</f>
        <v>v</v>
      </c>
      <c r="E450" s="2" t="str">
        <f t="shared" ref="E450:E513" si="14">IF(C450=0,IF(SUMIFS(H:H,A:A,A450),IF(COUNTIFS(A:A,A450,G:G,64),,"v")&amp;IF(F450,"ar","a"),IF(F450,"r","v")),"")</f>
        <v/>
      </c>
      <c r="F450" s="2" t="str">
        <f>IF(C450=0,ISTEXT(FORMULA.CONVERT("="&amp;A450&amp;"("&amp;REPLACE(REPT(",#ref!",B450),1,1,"")&amp;")()",1)),"")</f>
        <v/>
      </c>
      <c r="G450" s="2">
        <f>TYPE(INDIRECT(IF(1,1),{1}))</f>
        <v>64</v>
      </c>
      <c r="H450" s="2" t="str">
        <f t="shared" ref="H450:H513" si="15">IF((I450=64)*(J450=B450)+(1-L450)*COUNTIF(D450,"*v*")+(1-N450)*COUNTIF(D450,"*r*"),1,"")</f>
        <v/>
      </c>
      <c r="I450" s="2">
        <f>TYPE(INDIRECT(IF(1,1),IF(1,1)))</f>
        <v>16</v>
      </c>
      <c r="J450" s="2" t="str">
        <f>IF(C450=0,COUNTIFS(A:A,A450,D:D,"a"),"")</f>
        <v/>
      </c>
      <c r="K450" s="2" t="e">
        <f>INDEX(+INDIRECT(#REF!,K450:L450),)</f>
        <v>#REF!</v>
      </c>
      <c r="L450" s="1">
        <v>1</v>
      </c>
      <c r="M450" s="2" t="e">
        <f>INDEX(+INDIRECT(#REF!,INDIRECT(M450:N450)),)</f>
        <v>#REF!</v>
      </c>
      <c r="N450" s="1">
        <v>1</v>
      </c>
    </row>
    <row r="451" spans="1:14" x14ac:dyDescent="0.55000000000000004">
      <c r="A451" s="1" t="s">
        <v>1616</v>
      </c>
      <c r="B451" s="2">
        <f>COUNTIF(A:A,A451)-1</f>
        <v>12</v>
      </c>
      <c r="C451" s="2">
        <f>COUNTIF(A$1:A451,A451)-1</f>
        <v>0</v>
      </c>
      <c r="D451" s="2" t="str">
        <f>Argument!D451</f>
        <v/>
      </c>
      <c r="E451" s="2" t="str">
        <f t="shared" si="14"/>
        <v>v</v>
      </c>
      <c r="F451" s="2" t="b">
        <f>IF(C451=0,ISTEXT(FORMULA.CONVERT("="&amp;A451&amp;"("&amp;REPLACE(REPT(",#ref!",B451),1,1,"")&amp;")()",1)),"")</f>
        <v>0</v>
      </c>
      <c r="G451" s="2"/>
      <c r="H451" s="2" t="str">
        <f t="shared" si="15"/>
        <v/>
      </c>
      <c r="I451" s="2">
        <f>TYPE(REGISTER(IF(1,1),IF(1,1),IF(1,1),IF(1,1),IF(1,1),IF(1,1),IF(1,1),IF(1,1),IF(1,1),IF(1,1),IF(1,1),IF(1,1)))</f>
        <v>4</v>
      </c>
      <c r="J451" s="2">
        <f>IF(C451=0,COUNTIFS(A:A,A451,D:D,"a"),"")</f>
        <v>0</v>
      </c>
      <c r="K451" s="2"/>
      <c r="M451" s="2"/>
    </row>
    <row r="452" spans="1:14" x14ac:dyDescent="0.55000000000000004">
      <c r="A452" s="1" t="s">
        <v>1616</v>
      </c>
      <c r="B452" s="2">
        <f>COUNTIF(A:A,A452)-1</f>
        <v>12</v>
      </c>
      <c r="C452" s="2">
        <f>COUNTIF(A$1:A452,A452)-1</f>
        <v>1</v>
      </c>
      <c r="D452" s="2" t="str">
        <f>Argument!D452</f>
        <v>v</v>
      </c>
      <c r="E452" s="2" t="str">
        <f t="shared" si="14"/>
        <v/>
      </c>
      <c r="F452" s="2" t="str">
        <f>IF(C452=0,ISTEXT(FORMULA.CONVERT("="&amp;A452&amp;"("&amp;REPLACE(REPT(",#ref!",B452),1,1,"")&amp;")()",1)),"")</f>
        <v/>
      </c>
      <c r="G452" s="2">
        <f>TYPE(REGISTER({1},IF(1,1),IF(1,1),IF(1,1),IF(1,1),IF(1,1),IF(1,1),IF(1,1),IF(1,1),IF(1,1),IF(1,1),IF(1,1)))</f>
        <v>64</v>
      </c>
      <c r="H452" s="2" t="str">
        <f t="shared" si="15"/>
        <v/>
      </c>
      <c r="I452" s="2">
        <f>TYPE(REGISTER(IF(1,1),IF(1,1),IF(1,1),IF(1,1),IF(1,1),IF(1,1),IF(1,1),IF(1,1),IF(1,1),IF(1,1),IF(1,1),IF(1,1)))</f>
        <v>4</v>
      </c>
      <c r="J452" s="2" t="str">
        <f>IF(C452=0,COUNTIFS(A:A,A452,D:D,"a"),"")</f>
        <v/>
      </c>
      <c r="K452" s="2" t="e">
        <f>INDEX(+REGISTER(K452:L452,#REF!,#REF!,#REF!,#REF!,#REF!,#REF!,#REF!,#REF!,#REF!,#REF!,#REF!),)</f>
        <v>#REF!</v>
      </c>
      <c r="L452" s="1">
        <v>1</v>
      </c>
      <c r="M452" s="2" t="e">
        <f>INDEX(+REGISTER(INDIRECT(M452:N452),#REF!,#REF!,#REF!,#REF!,#REF!,#REF!,#REF!,#REF!,#REF!,#REF!,#REF!),)</f>
        <v>#REF!</v>
      </c>
      <c r="N452" s="1">
        <v>1</v>
      </c>
    </row>
    <row r="453" spans="1:14" x14ac:dyDescent="0.55000000000000004">
      <c r="A453" s="1" t="s">
        <v>1616</v>
      </c>
      <c r="B453" s="2">
        <f>COUNTIF(A:A,A453)-1</f>
        <v>12</v>
      </c>
      <c r="C453" s="2">
        <f>COUNTIF(A$1:A453,A453)-1</f>
        <v>2</v>
      </c>
      <c r="D453" s="2" t="str">
        <f>Argument!D453</f>
        <v>v</v>
      </c>
      <c r="E453" s="2" t="str">
        <f t="shared" si="14"/>
        <v/>
      </c>
      <c r="F453" s="2" t="str">
        <f>IF(C453=0,ISTEXT(FORMULA.CONVERT("="&amp;A453&amp;"("&amp;REPLACE(REPT(",#ref!",B453),1,1,"")&amp;")()",1)),"")</f>
        <v/>
      </c>
      <c r="G453" s="2">
        <f>TYPE(REGISTER(IF(1,1),{1},IF(1,1),IF(1,1),IF(1,1),IF(1,1),IF(1,1),IF(1,1),IF(1,1),IF(1,1),IF(1,1),IF(1,1)))</f>
        <v>64</v>
      </c>
      <c r="H453" s="2" t="str">
        <f t="shared" si="15"/>
        <v/>
      </c>
      <c r="I453" s="2">
        <f>TYPE(REGISTER(IF(1,1),IF(1,1),IF(1,1),IF(1,1),IF(1,1),IF(1,1),IF(1,1),IF(1,1),IF(1,1),IF(1,1),IF(1,1),IF(1,1)))</f>
        <v>4</v>
      </c>
      <c r="J453" s="2" t="str">
        <f>IF(C453=0,COUNTIFS(A:A,A453,D:D,"a"),"")</f>
        <v/>
      </c>
      <c r="K453" s="2" t="e">
        <f>INDEX(+REGISTER(#REF!,K453:L453,#REF!,#REF!,#REF!,#REF!,#REF!,#REF!,#REF!,#REF!,#REF!,#REF!),)</f>
        <v>#REF!</v>
      </c>
      <c r="L453" s="1">
        <v>1</v>
      </c>
      <c r="M453" s="2" t="e">
        <f>INDEX(+REGISTER(#REF!,INDIRECT(M453:N453),#REF!,#REF!,#REF!,#REF!,#REF!,#REF!,#REF!,#REF!,#REF!,#REF!),)</f>
        <v>#REF!</v>
      </c>
      <c r="N453" s="1">
        <v>1</v>
      </c>
    </row>
    <row r="454" spans="1:14" x14ac:dyDescent="0.55000000000000004">
      <c r="A454" s="1" t="s">
        <v>1616</v>
      </c>
      <c r="B454" s="2">
        <f>COUNTIF(A:A,A454)-1</f>
        <v>12</v>
      </c>
      <c r="C454" s="2">
        <f>COUNTIF(A$1:A454,A454)-1</f>
        <v>3</v>
      </c>
      <c r="D454" s="2" t="str">
        <f>Argument!D454</f>
        <v>v</v>
      </c>
      <c r="E454" s="2" t="str">
        <f t="shared" si="14"/>
        <v/>
      </c>
      <c r="F454" s="2" t="str">
        <f>IF(C454=0,ISTEXT(FORMULA.CONVERT("="&amp;A454&amp;"("&amp;REPLACE(REPT(",#ref!",B454),1,1,"")&amp;")()",1)),"")</f>
        <v/>
      </c>
      <c r="G454" s="2">
        <f>TYPE(REGISTER(IF(1,1),IF(1,1),{1},IF(1,1),IF(1,1),IF(1,1),IF(1,1),IF(1,1),IF(1,1),IF(1,1),IF(1,1),IF(1,1)))</f>
        <v>64</v>
      </c>
      <c r="H454" s="2" t="str">
        <f t="shared" si="15"/>
        <v/>
      </c>
      <c r="I454" s="2">
        <f>TYPE(REGISTER(IF(1,1),IF(1,1),IF(1,1),IF(1,1),IF(1,1),IF(1,1),IF(1,1),IF(1,1),IF(1,1),IF(1,1),IF(1,1),IF(1,1)))</f>
        <v>4</v>
      </c>
      <c r="J454" s="2" t="str">
        <f>IF(C454=0,COUNTIFS(A:A,A454,D:D,"a"),"")</f>
        <v/>
      </c>
      <c r="K454" s="2" t="e">
        <f>INDEX(+REGISTER(#REF!,#REF!,K454:L454,#REF!,#REF!,#REF!,#REF!,#REF!,#REF!,#REF!,#REF!,#REF!),)</f>
        <v>#REF!</v>
      </c>
      <c r="L454" s="1">
        <v>1</v>
      </c>
      <c r="M454" s="2" t="e">
        <f>INDEX(+REGISTER(#REF!,#REF!,INDIRECT(M454:N454),#REF!,#REF!,#REF!,#REF!,#REF!,#REF!,#REF!,#REF!,#REF!),)</f>
        <v>#REF!</v>
      </c>
      <c r="N454" s="1">
        <v>1</v>
      </c>
    </row>
    <row r="455" spans="1:14" x14ac:dyDescent="0.55000000000000004">
      <c r="A455" s="1" t="s">
        <v>1616</v>
      </c>
      <c r="B455" s="2">
        <f>COUNTIF(A:A,A455)-1</f>
        <v>12</v>
      </c>
      <c r="C455" s="2">
        <f>COUNTIF(A$1:A455,A455)-1</f>
        <v>4</v>
      </c>
      <c r="D455" s="2" t="str">
        <f>Argument!D455</f>
        <v>v</v>
      </c>
      <c r="E455" s="2" t="str">
        <f t="shared" si="14"/>
        <v/>
      </c>
      <c r="F455" s="2" t="str">
        <f>IF(C455=0,ISTEXT(FORMULA.CONVERT("="&amp;A455&amp;"("&amp;REPLACE(REPT(",#ref!",B455),1,1,"")&amp;")()",1)),"")</f>
        <v/>
      </c>
      <c r="G455" s="2">
        <f>TYPE(REGISTER(IF(1,1),IF(1,1),IF(1,1),{1},IF(1,1),IF(1,1),IF(1,1),IF(1,1),IF(1,1),IF(1,1),IF(1,1),IF(1,1)))</f>
        <v>64</v>
      </c>
      <c r="H455" s="2" t="str">
        <f t="shared" si="15"/>
        <v/>
      </c>
      <c r="I455" s="2">
        <f>TYPE(REGISTER(IF(1,1),IF(1,1),IF(1,1),IF(1,1),IF(1,1),IF(1,1),IF(1,1),IF(1,1),IF(1,1),IF(1,1),IF(1,1),IF(1,1)))</f>
        <v>4</v>
      </c>
      <c r="J455" s="2" t="str">
        <f>IF(C455=0,COUNTIFS(A:A,A455,D:D,"a"),"")</f>
        <v/>
      </c>
      <c r="K455" s="2" t="e">
        <f>INDEX(+REGISTER(#REF!,#REF!,#REF!,K455:L455,#REF!,#REF!,#REF!,#REF!,#REF!,#REF!,#REF!,#REF!),)</f>
        <v>#REF!</v>
      </c>
      <c r="L455" s="1">
        <v>1</v>
      </c>
      <c r="M455" s="2" t="e">
        <f>INDEX(+REGISTER(#REF!,#REF!,#REF!,INDIRECT(M455:N455),#REF!,#REF!,#REF!,#REF!,#REF!,#REF!,#REF!,#REF!),)</f>
        <v>#REF!</v>
      </c>
      <c r="N455" s="1">
        <v>1</v>
      </c>
    </row>
    <row r="456" spans="1:14" x14ac:dyDescent="0.55000000000000004">
      <c r="A456" s="1" t="s">
        <v>1616</v>
      </c>
      <c r="B456" s="2">
        <f>COUNTIF(A:A,A456)-1</f>
        <v>12</v>
      </c>
      <c r="C456" s="2">
        <f>COUNTIF(A$1:A456,A456)-1</f>
        <v>5</v>
      </c>
      <c r="D456" s="2" t="str">
        <f>Argument!D456</f>
        <v>v</v>
      </c>
      <c r="E456" s="2" t="str">
        <f t="shared" si="14"/>
        <v/>
      </c>
      <c r="F456" s="2" t="str">
        <f>IF(C456=0,ISTEXT(FORMULA.CONVERT("="&amp;A456&amp;"("&amp;REPLACE(REPT(",#ref!",B456),1,1,"")&amp;")()",1)),"")</f>
        <v/>
      </c>
      <c r="G456" s="2">
        <f>TYPE(REGISTER(IF(1,1),IF(1,1),IF(1,1),IF(1,1),{1},IF(1,1),IF(1,1),IF(1,1),IF(1,1),IF(1,1),IF(1,1),IF(1,1)))</f>
        <v>64</v>
      </c>
      <c r="H456" s="2" t="str">
        <f t="shared" si="15"/>
        <v/>
      </c>
      <c r="I456" s="2">
        <f>TYPE(REGISTER(IF(1,1),IF(1,1),IF(1,1),IF(1,1),IF(1,1),IF(1,1),IF(1,1),IF(1,1),IF(1,1),IF(1,1),IF(1,1),IF(1,1)))</f>
        <v>4</v>
      </c>
      <c r="J456" s="2" t="str">
        <f>IF(C456=0,COUNTIFS(A:A,A456,D:D,"a"),"")</f>
        <v/>
      </c>
      <c r="K456" s="2" t="e">
        <f>INDEX(+REGISTER(#REF!,#REF!,#REF!,#REF!,K456:L456,#REF!,#REF!,#REF!,#REF!,#REF!,#REF!,#REF!),)</f>
        <v>#REF!</v>
      </c>
      <c r="L456" s="1">
        <v>1</v>
      </c>
      <c r="M456" s="2" t="e">
        <f>INDEX(+REGISTER(#REF!,#REF!,#REF!,#REF!,INDIRECT(M456:N456),#REF!,#REF!,#REF!,#REF!,#REF!,#REF!,#REF!),)</f>
        <v>#REF!</v>
      </c>
      <c r="N456" s="1">
        <v>1</v>
      </c>
    </row>
    <row r="457" spans="1:14" x14ac:dyDescent="0.55000000000000004">
      <c r="A457" s="1" t="s">
        <v>1616</v>
      </c>
      <c r="B457" s="2">
        <f>COUNTIF(A:A,A457)-1</f>
        <v>12</v>
      </c>
      <c r="C457" s="2">
        <f>COUNTIF(A$1:A457,A457)-1</f>
        <v>6</v>
      </c>
      <c r="D457" s="2" t="str">
        <f>Argument!D457</f>
        <v>v</v>
      </c>
      <c r="E457" s="2" t="str">
        <f t="shared" si="14"/>
        <v/>
      </c>
      <c r="F457" s="2" t="str">
        <f>IF(C457=0,ISTEXT(FORMULA.CONVERT("="&amp;A457&amp;"("&amp;REPLACE(REPT(",#ref!",B457),1,1,"")&amp;")()",1)),"")</f>
        <v/>
      </c>
      <c r="G457" s="2">
        <f>TYPE(REGISTER(IF(1,1),IF(1,1),IF(1,1),IF(1,1),IF(1,1),{1},IF(1,1),IF(1,1),IF(1,1),IF(1,1),IF(1,1),IF(1,1)))</f>
        <v>64</v>
      </c>
      <c r="H457" s="2" t="str">
        <f t="shared" si="15"/>
        <v/>
      </c>
      <c r="I457" s="2">
        <f>TYPE(REGISTER(IF(1,1),IF(1,1),IF(1,1),IF(1,1),IF(1,1),IF(1,1),IF(1,1),IF(1,1),IF(1,1),IF(1,1),IF(1,1),IF(1,1)))</f>
        <v>4</v>
      </c>
      <c r="J457" s="2" t="str">
        <f>IF(C457=0,COUNTIFS(A:A,A457,D:D,"a"),"")</f>
        <v/>
      </c>
      <c r="K457" s="2" t="e">
        <f>INDEX(+REGISTER(#REF!,#REF!,#REF!,#REF!,#REF!,K457:L457,#REF!,#REF!,#REF!,#REF!,#REF!,#REF!),)</f>
        <v>#REF!</v>
      </c>
      <c r="L457" s="1">
        <v>1</v>
      </c>
      <c r="M457" s="2" t="e">
        <f>INDEX(+REGISTER(#REF!,#REF!,#REF!,#REF!,#REF!,INDIRECT(M457:N457),#REF!,#REF!,#REF!,#REF!,#REF!,#REF!),)</f>
        <v>#REF!</v>
      </c>
      <c r="N457" s="1">
        <v>1</v>
      </c>
    </row>
    <row r="458" spans="1:14" x14ac:dyDescent="0.55000000000000004">
      <c r="A458" s="1" t="s">
        <v>1616</v>
      </c>
      <c r="B458" s="2">
        <f>COUNTIF(A:A,A458)-1</f>
        <v>12</v>
      </c>
      <c r="C458" s="2">
        <f>COUNTIF(A$1:A458,A458)-1</f>
        <v>7</v>
      </c>
      <c r="D458" s="2" t="str">
        <f>Argument!D458</f>
        <v>v</v>
      </c>
      <c r="E458" s="2" t="str">
        <f t="shared" si="14"/>
        <v/>
      </c>
      <c r="F458" s="2" t="str">
        <f>IF(C458=0,ISTEXT(FORMULA.CONVERT("="&amp;A458&amp;"("&amp;REPLACE(REPT(",#ref!",B458),1,1,"")&amp;")()",1)),"")</f>
        <v/>
      </c>
      <c r="G458" s="2">
        <f>TYPE(REGISTER(IF(1,1),IF(1,1),IF(1,1),IF(1,1),IF(1,1),IF(1,1),{1},IF(1,1),IF(1,1),IF(1,1),IF(1,1),IF(1,1)))</f>
        <v>64</v>
      </c>
      <c r="H458" s="2" t="str">
        <f t="shared" si="15"/>
        <v/>
      </c>
      <c r="I458" s="2">
        <f>TYPE(REGISTER(IF(1,1),IF(1,1),IF(1,1),IF(1,1),IF(1,1),IF(1,1),IF(1,1),IF(1,1),IF(1,1),IF(1,1),IF(1,1),IF(1,1)))</f>
        <v>4</v>
      </c>
      <c r="J458" s="2" t="str">
        <f>IF(C458=0,COUNTIFS(A:A,A458,D:D,"a"),"")</f>
        <v/>
      </c>
      <c r="K458" s="2" t="e">
        <f>INDEX(+REGISTER(#REF!,#REF!,#REF!,#REF!,#REF!,#REF!,K458:L458,#REF!,#REF!,#REF!,#REF!,#REF!),)</f>
        <v>#REF!</v>
      </c>
      <c r="L458" s="1">
        <v>1</v>
      </c>
      <c r="M458" s="2" t="e">
        <f>INDEX(+REGISTER(#REF!,#REF!,#REF!,#REF!,#REF!,#REF!,INDIRECT(M458:N458),#REF!,#REF!,#REF!,#REF!,#REF!),)</f>
        <v>#REF!</v>
      </c>
      <c r="N458" s="1">
        <v>1</v>
      </c>
    </row>
    <row r="459" spans="1:14" x14ac:dyDescent="0.55000000000000004">
      <c r="A459" s="1" t="s">
        <v>1616</v>
      </c>
      <c r="B459" s="2">
        <f>COUNTIF(A:A,A459)-1</f>
        <v>12</v>
      </c>
      <c r="C459" s="2">
        <f>COUNTIF(A$1:A459,A459)-1</f>
        <v>8</v>
      </c>
      <c r="D459" s="2" t="str">
        <f>Argument!D459</f>
        <v>v</v>
      </c>
      <c r="E459" s="2" t="str">
        <f t="shared" si="14"/>
        <v/>
      </c>
      <c r="F459" s="2" t="str">
        <f>IF(C459=0,ISTEXT(FORMULA.CONVERT("="&amp;A459&amp;"("&amp;REPLACE(REPT(",#ref!",B459),1,1,"")&amp;")()",1)),"")</f>
        <v/>
      </c>
      <c r="G459" s="2">
        <f>TYPE(REGISTER(IF(1,1),IF(1,1),IF(1,1),IF(1,1),IF(1,1),IF(1,1),IF(1,1),{1},IF(1,1),IF(1,1),IF(1,1),IF(1,1)))</f>
        <v>64</v>
      </c>
      <c r="H459" s="2" t="str">
        <f t="shared" si="15"/>
        <v/>
      </c>
      <c r="I459" s="2">
        <f>TYPE(REGISTER(IF(1,1),IF(1,1),IF(1,1),IF(1,1),IF(1,1),IF(1,1),IF(1,1),IF(1,1),IF(1,1),IF(1,1),IF(1,1),IF(1,1)))</f>
        <v>4</v>
      </c>
      <c r="J459" s="2" t="str">
        <f>IF(C459=0,COUNTIFS(A:A,A459,D:D,"a"),"")</f>
        <v/>
      </c>
      <c r="K459" s="2" t="e">
        <f>INDEX(+REGISTER(#REF!,#REF!,#REF!,#REF!,#REF!,#REF!,#REF!,K459:L459,#REF!,#REF!,#REF!,#REF!),)</f>
        <v>#REF!</v>
      </c>
      <c r="L459" s="1">
        <v>1</v>
      </c>
      <c r="M459" s="2" t="e">
        <f>INDEX(+REGISTER(#REF!,#REF!,#REF!,#REF!,#REF!,#REF!,#REF!,INDIRECT(M459:N459),#REF!,#REF!,#REF!,#REF!),)</f>
        <v>#REF!</v>
      </c>
      <c r="N459" s="1">
        <v>1</v>
      </c>
    </row>
    <row r="460" spans="1:14" x14ac:dyDescent="0.55000000000000004">
      <c r="A460" s="1" t="s">
        <v>1616</v>
      </c>
      <c r="B460" s="2">
        <f>COUNTIF(A:A,A460)-1</f>
        <v>12</v>
      </c>
      <c r="C460" s="2">
        <f>COUNTIF(A$1:A460,A460)-1</f>
        <v>9</v>
      </c>
      <c r="D460" s="2" t="str">
        <f>Argument!D460</f>
        <v>v</v>
      </c>
      <c r="E460" s="2" t="str">
        <f t="shared" si="14"/>
        <v/>
      </c>
      <c r="F460" s="2" t="str">
        <f>IF(C460=0,ISTEXT(FORMULA.CONVERT("="&amp;A460&amp;"("&amp;REPLACE(REPT(",#ref!",B460),1,1,"")&amp;")()",1)),"")</f>
        <v/>
      </c>
      <c r="G460" s="2">
        <f>TYPE(REGISTER(IF(1,1),IF(1,1),IF(1,1),IF(1,1),IF(1,1),IF(1,1),IF(1,1),IF(1,1),{1},IF(1,1),IF(1,1),IF(1,1)))</f>
        <v>64</v>
      </c>
      <c r="H460" s="2" t="str">
        <f t="shared" si="15"/>
        <v/>
      </c>
      <c r="I460" s="2">
        <f>TYPE(REGISTER(IF(1,1),IF(1,1),IF(1,1),IF(1,1),IF(1,1),IF(1,1),IF(1,1),IF(1,1),IF(1,1),IF(1,1),IF(1,1),IF(1,1)))</f>
        <v>4</v>
      </c>
      <c r="J460" s="2" t="str">
        <f>IF(C460=0,COUNTIFS(A:A,A460,D:D,"a"),"")</f>
        <v/>
      </c>
      <c r="K460" s="2" t="e">
        <f>INDEX(+REGISTER(#REF!,#REF!,#REF!,#REF!,#REF!,#REF!,#REF!,#REF!,K460:L460,#REF!,#REF!,#REF!),)</f>
        <v>#REF!</v>
      </c>
      <c r="L460" s="1">
        <v>1</v>
      </c>
      <c r="M460" s="2" t="e">
        <f>INDEX(+REGISTER(#REF!,#REF!,#REF!,#REF!,#REF!,#REF!,#REF!,#REF!,INDIRECT(M460:N460),#REF!,#REF!,#REF!),)</f>
        <v>#REF!</v>
      </c>
      <c r="N460" s="1">
        <v>1</v>
      </c>
    </row>
    <row r="461" spans="1:14" x14ac:dyDescent="0.55000000000000004">
      <c r="A461" s="1" t="s">
        <v>1616</v>
      </c>
      <c r="B461" s="2">
        <f>COUNTIF(A:A,A461)-1</f>
        <v>12</v>
      </c>
      <c r="C461" s="2">
        <f>COUNTIF(A$1:A461,A461)-1</f>
        <v>10</v>
      </c>
      <c r="D461" s="2" t="str">
        <f>Argument!D461</f>
        <v>v</v>
      </c>
      <c r="E461" s="2" t="str">
        <f t="shared" si="14"/>
        <v/>
      </c>
      <c r="F461" s="2" t="str">
        <f>IF(C461=0,ISTEXT(FORMULA.CONVERT("="&amp;A461&amp;"("&amp;REPLACE(REPT(",#ref!",B461),1,1,"")&amp;")()",1)),"")</f>
        <v/>
      </c>
      <c r="G461" s="2">
        <f>TYPE(REGISTER(IF(1,1),IF(1,1),IF(1,1),IF(1,1),IF(1,1),IF(1,1),IF(1,1),IF(1,1),IF(1,1),{1},IF(1,1),IF(1,1)))</f>
        <v>64</v>
      </c>
      <c r="H461" s="2" t="str">
        <f t="shared" si="15"/>
        <v/>
      </c>
      <c r="I461" s="2">
        <f>TYPE(REGISTER(IF(1,1),IF(1,1),IF(1,1),IF(1,1),IF(1,1),IF(1,1),IF(1,1),IF(1,1),IF(1,1),IF(1,1),IF(1,1),IF(1,1)))</f>
        <v>4</v>
      </c>
      <c r="J461" s="2" t="str">
        <f>IF(C461=0,COUNTIFS(A:A,A461,D:D,"a"),"")</f>
        <v/>
      </c>
      <c r="K461" s="2" t="e">
        <f>INDEX(+REGISTER(#REF!,#REF!,#REF!,#REF!,#REF!,#REF!,#REF!,#REF!,#REF!,K461:L461,#REF!,#REF!),)</f>
        <v>#REF!</v>
      </c>
      <c r="L461" s="1">
        <v>1</v>
      </c>
      <c r="M461" s="2" t="e">
        <f>INDEX(+REGISTER(#REF!,#REF!,#REF!,#REF!,#REF!,#REF!,#REF!,#REF!,#REF!,INDIRECT(M461:N461),#REF!,#REF!),)</f>
        <v>#REF!</v>
      </c>
      <c r="N461" s="1">
        <v>1</v>
      </c>
    </row>
    <row r="462" spans="1:14" x14ac:dyDescent="0.55000000000000004">
      <c r="A462" s="1" t="s">
        <v>1616</v>
      </c>
      <c r="B462" s="2">
        <f>COUNTIF(A:A,A462)-1</f>
        <v>12</v>
      </c>
      <c r="C462" s="2">
        <f>COUNTIF(A$1:A462,A462)-1</f>
        <v>11</v>
      </c>
      <c r="D462" s="2" t="str">
        <f>Argument!D462</f>
        <v>v</v>
      </c>
      <c r="E462" s="2" t="str">
        <f t="shared" si="14"/>
        <v/>
      </c>
      <c r="F462" s="2" t="str">
        <f>IF(C462=0,ISTEXT(FORMULA.CONVERT("="&amp;A462&amp;"("&amp;REPLACE(REPT(",#ref!",B462),1,1,"")&amp;")()",1)),"")</f>
        <v/>
      </c>
      <c r="G462" s="2">
        <f>TYPE(REGISTER(IF(1,1),IF(1,1),IF(1,1),IF(1,1),IF(1,1),IF(1,1),IF(1,1),IF(1,1),IF(1,1),IF(1,1),{1},IF(1,1)))</f>
        <v>64</v>
      </c>
      <c r="H462" s="2" t="str">
        <f t="shared" si="15"/>
        <v/>
      </c>
      <c r="I462" s="2">
        <f>TYPE(REGISTER(IF(1,1),IF(1,1),IF(1,1),IF(1,1),IF(1,1),IF(1,1),IF(1,1),IF(1,1),IF(1,1),IF(1,1),IF(1,1),IF(1,1)))</f>
        <v>4</v>
      </c>
      <c r="J462" s="2" t="str">
        <f>IF(C462=0,COUNTIFS(A:A,A462,D:D,"a"),"")</f>
        <v/>
      </c>
      <c r="K462" s="2" t="e">
        <f>INDEX(+REGISTER(#REF!,#REF!,#REF!,#REF!,#REF!,#REF!,#REF!,#REF!,#REF!,#REF!,K462:L462,#REF!),)</f>
        <v>#REF!</v>
      </c>
      <c r="L462" s="1">
        <v>1</v>
      </c>
      <c r="M462" s="2" t="e">
        <f>INDEX(+REGISTER(#REF!,#REF!,#REF!,#REF!,#REF!,#REF!,#REF!,#REF!,#REF!,#REF!,INDIRECT(M462:N462),#REF!),)</f>
        <v>#REF!</v>
      </c>
      <c r="N462" s="1">
        <v>1</v>
      </c>
    </row>
    <row r="463" spans="1:14" x14ac:dyDescent="0.55000000000000004">
      <c r="A463" s="1" t="s">
        <v>1616</v>
      </c>
      <c r="B463" s="2">
        <f>COUNTIF(A:A,A463)-1</f>
        <v>12</v>
      </c>
      <c r="C463" s="2">
        <f>COUNTIF(A$1:A463,A463)-1</f>
        <v>12</v>
      </c>
      <c r="D463" s="2" t="str">
        <f>Argument!D463</f>
        <v>v</v>
      </c>
      <c r="E463" s="2" t="str">
        <f t="shared" si="14"/>
        <v/>
      </c>
      <c r="F463" s="2" t="str">
        <f>IF(C463=0,ISTEXT(FORMULA.CONVERT("="&amp;A463&amp;"("&amp;REPLACE(REPT(",#ref!",B463),1,1,"")&amp;")()",1)),"")</f>
        <v/>
      </c>
      <c r="G463" s="2">
        <f>TYPE(REGISTER(IF(1,1),IF(1,1),IF(1,1),IF(1,1),IF(1,1),IF(1,1),IF(1,1),IF(1,1),IF(1,1),IF(1,1),IF(1,1),{1}))</f>
        <v>64</v>
      </c>
      <c r="H463" s="2" t="str">
        <f t="shared" si="15"/>
        <v/>
      </c>
      <c r="I463" s="2">
        <f>TYPE(REGISTER(IF(1,1),IF(1,1),IF(1,1),IF(1,1),IF(1,1),IF(1,1),IF(1,1),IF(1,1),IF(1,1),IF(1,1),IF(1,1),IF(1,1)))</f>
        <v>4</v>
      </c>
      <c r="J463" s="2" t="str">
        <f>IF(C463=0,COUNTIFS(A:A,A463,D:D,"a"),"")</f>
        <v/>
      </c>
      <c r="K463" s="2" t="e">
        <f>INDEX(+REGISTER(#REF!,#REF!,#REF!,#REF!,#REF!,#REF!,#REF!,#REF!,#REF!,#REF!,#REF!,K463:L463),)</f>
        <v>#REF!</v>
      </c>
      <c r="L463" s="1">
        <v>1</v>
      </c>
      <c r="M463" s="2" t="e">
        <f>INDEX(+REGISTER(#REF!,#REF!,#REF!,#REF!,#REF!,#REF!,#REF!,#REF!,#REF!,#REF!,#REF!,INDIRECT(M463:N463)),)</f>
        <v>#REF!</v>
      </c>
      <c r="N463" s="1">
        <v>1</v>
      </c>
    </row>
    <row r="464" spans="1:14" x14ac:dyDescent="0.55000000000000004">
      <c r="A464" s="1" t="s">
        <v>2046</v>
      </c>
      <c r="B464" s="2">
        <f>COUNTIF(A:A,A464)-1</f>
        <v>5</v>
      </c>
      <c r="C464" s="2">
        <f>COUNTIF(A$1:A464,A464)-1</f>
        <v>0</v>
      </c>
      <c r="D464" s="2" t="str">
        <f>Argument!D464</f>
        <v/>
      </c>
      <c r="E464" s="2" t="str">
        <f t="shared" si="14"/>
        <v>var</v>
      </c>
      <c r="F464" s="2" t="b">
        <f>IF(C464=0,ISTEXT(FORMULA.CONVERT("="&amp;A464&amp;"("&amp;REPLACE(REPT(",#ref!",B464),1,1,"")&amp;")()",1)),"")</f>
        <v>1</v>
      </c>
      <c r="G464" s="2"/>
      <c r="H464" s="2" t="str">
        <f t="shared" si="15"/>
        <v/>
      </c>
      <c r="I464" s="2">
        <f>TYPE(CALL(IF(1,1),IF(1,1),IF(1,1),IF(1,1),IF(1,1)))</f>
        <v>4</v>
      </c>
      <c r="J464" s="2">
        <f>IF(C464=0,COUNTIFS(A:A,A464,D:D,"a"),"")</f>
        <v>0</v>
      </c>
      <c r="K464" s="2"/>
      <c r="M464" s="2"/>
    </row>
    <row r="465" spans="1:14" x14ac:dyDescent="0.55000000000000004">
      <c r="A465" s="1" t="s">
        <v>2046</v>
      </c>
      <c r="B465" s="2">
        <f>COUNTIF(A:A,A465)-1</f>
        <v>5</v>
      </c>
      <c r="C465" s="2">
        <f>COUNTIF(A$1:A465,A465)-1</f>
        <v>1</v>
      </c>
      <c r="D465" s="2" t="str">
        <f>Argument!D465</f>
        <v>v</v>
      </c>
      <c r="E465" s="2" t="str">
        <f t="shared" si="14"/>
        <v/>
      </c>
      <c r="F465" s="2" t="str">
        <f>IF(C465=0,ISTEXT(FORMULA.CONVERT("="&amp;A465&amp;"("&amp;REPLACE(REPT(",#ref!",B465),1,1,"")&amp;")()",1)),"")</f>
        <v/>
      </c>
      <c r="G465" s="2">
        <f>TYPE(CALL({1},IF(1,1),IF(1,1),IF(1,1),IF(1,1)))</f>
        <v>4</v>
      </c>
      <c r="H465" s="2">
        <f t="shared" si="15"/>
        <v>1</v>
      </c>
      <c r="I465" s="2">
        <f>TYPE(CALL(IF(1,1),IF(1,1),IF(1,1),IF(1,1),IF(1,1)))</f>
        <v>4</v>
      </c>
      <c r="J465" s="2" t="str">
        <f>IF(C465=0,COUNTIFS(A:A,A465,D:D,"a"),"")</f>
        <v/>
      </c>
      <c r="K465" s="2" t="e">
        <f>INDEX(+CALL(K465:L465,#REF!,#REF!,#REF!,#REF!),)</f>
        <v>#VALUE!</v>
      </c>
      <c r="M465" s="2" t="e">
        <f>INDEX(+CALL(INDIRECT(M465:N465),#REF!,#REF!,#REF!,#REF!),)</f>
        <v>#REF!</v>
      </c>
    </row>
    <row r="466" spans="1:14" x14ac:dyDescent="0.55000000000000004">
      <c r="A466" s="1" t="s">
        <v>2046</v>
      </c>
      <c r="B466" s="2">
        <f>COUNTIF(A:A,A466)-1</f>
        <v>5</v>
      </c>
      <c r="C466" s="2">
        <f>COUNTIF(A$1:A466,A466)-1</f>
        <v>2</v>
      </c>
      <c r="D466" s="2" t="str">
        <f>Argument!D466</f>
        <v>var</v>
      </c>
      <c r="E466" s="2" t="str">
        <f t="shared" si="14"/>
        <v/>
      </c>
      <c r="F466" s="2" t="str">
        <f>IF(C466=0,ISTEXT(FORMULA.CONVERT("="&amp;A466&amp;"("&amp;REPLACE(REPT(",#ref!",B466),1,1,"")&amp;")()",1)),"")</f>
        <v/>
      </c>
      <c r="G466" s="2">
        <f>TYPE(CALL(IF(1,1),{1},IF(1,1),IF(1,1),IF(1,1)))</f>
        <v>4</v>
      </c>
      <c r="H466" s="2">
        <f t="shared" si="15"/>
        <v>1</v>
      </c>
      <c r="I466" s="2">
        <f>TYPE(CALL(IF(1,1),IF(1,1),IF(1,1),IF(1,1),IF(1,1)))</f>
        <v>4</v>
      </c>
      <c r="J466" s="2" t="str">
        <f>IF(C466=0,COUNTIFS(A:A,A466,D:D,"a"),"")</f>
        <v/>
      </c>
      <c r="K466" s="2" t="e">
        <f>INDEX(+CALL(#REF!,K466:L466,#REF!,#REF!,#REF!),)</f>
        <v>#REF!</v>
      </c>
      <c r="L466" s="1">
        <v>1</v>
      </c>
      <c r="M466" s="2" t="e">
        <f>INDEX(+CALL(#REF!,INDIRECT(M466:N466),#REF!,#REF!,#REF!),)</f>
        <v>#REF!</v>
      </c>
    </row>
    <row r="467" spans="1:14" x14ac:dyDescent="0.55000000000000004">
      <c r="A467" s="1" t="s">
        <v>2046</v>
      </c>
      <c r="B467" s="2">
        <f>COUNTIF(A:A,A467)-1</f>
        <v>5</v>
      </c>
      <c r="C467" s="2">
        <f>COUNTIF(A$1:A467,A467)-1</f>
        <v>3</v>
      </c>
      <c r="D467" s="2" t="str">
        <f>Argument!D467</f>
        <v>var</v>
      </c>
      <c r="E467" s="2" t="str">
        <f t="shared" si="14"/>
        <v/>
      </c>
      <c r="F467" s="2" t="str">
        <f>IF(C467=0,ISTEXT(FORMULA.CONVERT("="&amp;A467&amp;"("&amp;REPLACE(REPT(",#ref!",B467),1,1,"")&amp;")()",1)),"")</f>
        <v/>
      </c>
      <c r="G467" s="2">
        <f>TYPE(CALL(IF(1,1),IF(1,1),{1},IF(1,1),IF(1,1)))</f>
        <v>4</v>
      </c>
      <c r="H467" s="2">
        <f t="shared" si="15"/>
        <v>1</v>
      </c>
      <c r="I467" s="2">
        <f>TYPE(CALL(IF(1,1),IF(1,1),IF(1,1),IF(1,1),IF(1,1)))</f>
        <v>4</v>
      </c>
      <c r="J467" s="2" t="str">
        <f>IF(C467=0,COUNTIFS(A:A,A467,D:D,"a"),"")</f>
        <v/>
      </c>
      <c r="K467" s="2" t="e">
        <f>INDEX(+CALL(#REF!,#REF!,K467:L467,#REF!,#REF!),)</f>
        <v>#REF!</v>
      </c>
      <c r="L467" s="1">
        <v>1</v>
      </c>
      <c r="M467" s="2" t="e">
        <f>INDEX(+CALL(#REF!,#REF!,INDIRECT(M467:N467),#REF!,#REF!),)</f>
        <v>#REF!</v>
      </c>
    </row>
    <row r="468" spans="1:14" x14ac:dyDescent="0.55000000000000004">
      <c r="A468" s="1" t="s">
        <v>2046</v>
      </c>
      <c r="B468" s="2">
        <f>COUNTIF(A:A,A468)-1</f>
        <v>5</v>
      </c>
      <c r="C468" s="2">
        <f>COUNTIF(A$1:A468,A468)-1</f>
        <v>4</v>
      </c>
      <c r="D468" s="2" t="str">
        <f>Argument!D468</f>
        <v>var</v>
      </c>
      <c r="E468" s="2" t="str">
        <f t="shared" si="14"/>
        <v/>
      </c>
      <c r="F468" s="2" t="str">
        <f>IF(C468=0,ISTEXT(FORMULA.CONVERT("="&amp;A468&amp;"("&amp;REPLACE(REPT(",#ref!",B468),1,1,"")&amp;")()",1)),"")</f>
        <v/>
      </c>
      <c r="G468" s="2">
        <f>TYPE(CALL(IF(1,1),IF(1,1),IF(1,1),{1},IF(1,1)))</f>
        <v>4</v>
      </c>
      <c r="H468" s="2">
        <f t="shared" si="15"/>
        <v>1</v>
      </c>
      <c r="I468" s="2">
        <f>TYPE(CALL(IF(1,1),IF(1,1),IF(1,1),IF(1,1),IF(1,1)))</f>
        <v>4</v>
      </c>
      <c r="J468" s="2" t="str">
        <f>IF(C468=0,COUNTIFS(A:A,A468,D:D,"a"),"")</f>
        <v/>
      </c>
      <c r="K468" s="2" t="e">
        <f>INDEX(+CALL(#REF!,#REF!,#REF!,K468:L468,#REF!),)</f>
        <v>#REF!</v>
      </c>
      <c r="L468" s="1">
        <v>1</v>
      </c>
      <c r="M468" s="2" t="e">
        <f>INDEX(+CALL(#REF!,#REF!,#REF!,INDIRECT(M468:N468),#REF!),)</f>
        <v>#REF!</v>
      </c>
    </row>
    <row r="469" spans="1:14" x14ac:dyDescent="0.55000000000000004">
      <c r="A469" s="1" t="s">
        <v>2046</v>
      </c>
      <c r="B469" s="2">
        <f>COUNTIF(A:A,A469)-1</f>
        <v>5</v>
      </c>
      <c r="C469" s="2">
        <f>COUNTIF(A$1:A469,A469)-1</f>
        <v>5</v>
      </c>
      <c r="D469" s="2" t="str">
        <f>Argument!D469</f>
        <v>var</v>
      </c>
      <c r="E469" s="2" t="str">
        <f t="shared" si="14"/>
        <v/>
      </c>
      <c r="F469" s="2" t="str">
        <f>IF(C469=0,ISTEXT(FORMULA.CONVERT("="&amp;A469&amp;"("&amp;REPLACE(REPT(",#ref!",B469),1,1,"")&amp;")()",1)),"")</f>
        <v/>
      </c>
      <c r="G469" s="2">
        <f>TYPE(CALL(IF(1,1),IF(1,1),IF(1,1),IF(1,1),{1}))</f>
        <v>4</v>
      </c>
      <c r="H469" s="2">
        <f t="shared" si="15"/>
        <v>1</v>
      </c>
      <c r="I469" s="2">
        <f>TYPE(CALL(IF(1,1),IF(1,1),IF(1,1),IF(1,1),IF(1,1)))</f>
        <v>4</v>
      </c>
      <c r="J469" s="2" t="str">
        <f>IF(C469=0,COUNTIFS(A:A,A469,D:D,"a"),"")</f>
        <v/>
      </c>
      <c r="K469" s="2" t="e">
        <f>INDEX(+CALL(#REF!,#REF!,#REF!,#REF!,K469:L469),)</f>
        <v>#REF!</v>
      </c>
      <c r="L469" s="1">
        <v>1</v>
      </c>
      <c r="M469" s="2" t="e">
        <f>INDEX(+CALL(#REF!,#REF!,#REF!,#REF!,INDIRECT(M469:N469)),)</f>
        <v>#REF!</v>
      </c>
    </row>
    <row r="470" spans="1:14" x14ac:dyDescent="0.55000000000000004">
      <c r="A470" s="1" t="s">
        <v>1617</v>
      </c>
      <c r="B470" s="2">
        <f>COUNTIF(A:A,A470)-1</f>
        <v>1</v>
      </c>
      <c r="C470" s="2">
        <f>COUNTIF(A$1:A470,A470)-1</f>
        <v>0</v>
      </c>
      <c r="D470" s="2" t="str">
        <f>Argument!D470</f>
        <v/>
      </c>
      <c r="E470" s="2" t="str">
        <f t="shared" si="14"/>
        <v>v</v>
      </c>
      <c r="F470" s="2" t="b">
        <f>IF(C470=0,ISTEXT(FORMULA.CONVERT("="&amp;A470&amp;"("&amp;REPLACE(REPT(",#ref!",B470),1,1,"")&amp;")()",1)),"")</f>
        <v>0</v>
      </c>
      <c r="G470" s="2"/>
      <c r="H470" s="2" t="str">
        <f t="shared" si="15"/>
        <v/>
      </c>
      <c r="I470" s="2">
        <f>TYPE(ADD.BAR(IF(1,1)))</f>
        <v>4</v>
      </c>
      <c r="J470" s="2">
        <f>IF(C470=0,COUNTIFS(A:A,A470,D:D,"a"),"")</f>
        <v>0</v>
      </c>
      <c r="K470" s="2"/>
      <c r="M470" s="2"/>
    </row>
    <row r="471" spans="1:14" x14ac:dyDescent="0.55000000000000004">
      <c r="A471" s="1" t="s">
        <v>1617</v>
      </c>
      <c r="B471" s="2">
        <f>COUNTIF(A:A,A471)-1</f>
        <v>1</v>
      </c>
      <c r="C471" s="2">
        <f>COUNTIF(A$1:A471,A471)-1</f>
        <v>1</v>
      </c>
      <c r="D471" s="2" t="str">
        <f>Argument!D471</f>
        <v>v</v>
      </c>
      <c r="E471" s="2" t="str">
        <f t="shared" si="14"/>
        <v/>
      </c>
      <c r="F471" s="2" t="str">
        <f>IF(C471=0,ISTEXT(FORMULA.CONVERT("="&amp;A471&amp;"("&amp;REPLACE(REPT(",#ref!",B471),1,1,"")&amp;")()",1)),"")</f>
        <v/>
      </c>
      <c r="G471" s="2">
        <f>TYPE(ADD.BAR({1}))</f>
        <v>64</v>
      </c>
      <c r="H471" s="2" t="str">
        <f t="shared" si="15"/>
        <v/>
      </c>
      <c r="I471" s="2">
        <f>TYPE(ADD.BAR(IF(1,1)))</f>
        <v>4</v>
      </c>
      <c r="J471" s="2" t="str">
        <f>IF(C471=0,COUNTIFS(A:A,A471,D:D,"a"),"")</f>
        <v/>
      </c>
      <c r="K471" s="2" t="b">
        <f>INDEX(+ADD.BAR(K471:L471),)</f>
        <v>0</v>
      </c>
      <c r="L471" s="1">
        <v>1</v>
      </c>
      <c r="M471" s="2" t="b">
        <f>INDEX(+ADD.BAR(INDIRECT(M471:N471)),)</f>
        <v>0</v>
      </c>
      <c r="N471" s="1">
        <v>1</v>
      </c>
    </row>
    <row r="472" spans="1:14" x14ac:dyDescent="0.55000000000000004">
      <c r="A472" s="1" t="s">
        <v>1618</v>
      </c>
      <c r="B472" s="2">
        <f>COUNTIF(A:A,A472)-1</f>
        <v>4</v>
      </c>
      <c r="C472" s="2">
        <f>COUNTIF(A$1:A472,A472)-1</f>
        <v>0</v>
      </c>
      <c r="D472" s="2" t="str">
        <f>Argument!D472</f>
        <v/>
      </c>
      <c r="E472" s="2" t="str">
        <f t="shared" si="14"/>
        <v>v</v>
      </c>
      <c r="F472" s="2" t="b">
        <f>IF(C472=0,ISTEXT(FORMULA.CONVERT("="&amp;A472&amp;"("&amp;REPLACE(REPT(",#ref!",B472),1,1,"")&amp;")()",1)),"")</f>
        <v>0</v>
      </c>
      <c r="G472" s="2"/>
      <c r="H472" s="2" t="str">
        <f t="shared" si="15"/>
        <v/>
      </c>
      <c r="I472" s="2">
        <f>TYPE(ADD.MENU(IF(1,1),IF(1,1),IF(1,1),IF(1,1)))</f>
        <v>4</v>
      </c>
      <c r="J472" s="2">
        <f>IF(C472=0,COUNTIFS(A:A,A472,D:D,"a"),"")</f>
        <v>0</v>
      </c>
      <c r="K472" s="2"/>
      <c r="M472" s="2"/>
    </row>
    <row r="473" spans="1:14" x14ac:dyDescent="0.55000000000000004">
      <c r="A473" s="1" t="s">
        <v>1618</v>
      </c>
      <c r="B473" s="2">
        <f>COUNTIF(A:A,A473)-1</f>
        <v>4</v>
      </c>
      <c r="C473" s="2">
        <f>COUNTIF(A$1:A473,A473)-1</f>
        <v>1</v>
      </c>
      <c r="D473" s="2" t="str">
        <f>Argument!D473</f>
        <v>v</v>
      </c>
      <c r="E473" s="2" t="str">
        <f t="shared" si="14"/>
        <v/>
      </c>
      <c r="F473" s="2" t="str">
        <f>IF(C473=0,ISTEXT(FORMULA.CONVERT("="&amp;A473&amp;"("&amp;REPLACE(REPT(",#ref!",B473),1,1,"")&amp;")()",1)),"")</f>
        <v/>
      </c>
      <c r="G473" s="2">
        <f>TYPE(ADD.MENU({1},IF(1,1),IF(1,1),IF(1,1)))</f>
        <v>64</v>
      </c>
      <c r="H473" s="2" t="str">
        <f t="shared" si="15"/>
        <v/>
      </c>
      <c r="I473" s="2">
        <f>TYPE(ADD.MENU(IF(1,1),IF(1,1),IF(1,1),IF(1,1)))</f>
        <v>4</v>
      </c>
      <c r="J473" s="2" t="str">
        <f>IF(C473=0,COUNTIFS(A:A,A473,D:D,"a"),"")</f>
        <v/>
      </c>
      <c r="K473" s="2" t="b">
        <f>INDEX(+ADD.MENU(K473:L473,#REF!,#REF!,#REF!),)</f>
        <v>0</v>
      </c>
      <c r="L473" s="1">
        <v>1</v>
      </c>
      <c r="M473" s="2" t="b">
        <f>INDEX(+ADD.MENU(INDIRECT(M473:N473),#REF!,#REF!,#REF!),)</f>
        <v>0</v>
      </c>
      <c r="N473" s="1">
        <v>1</v>
      </c>
    </row>
    <row r="474" spans="1:14" x14ac:dyDescent="0.55000000000000004">
      <c r="A474" s="1" t="s">
        <v>1618</v>
      </c>
      <c r="B474" s="2">
        <f>COUNTIF(A:A,A474)-1</f>
        <v>4</v>
      </c>
      <c r="C474" s="2">
        <f>COUNTIF(A$1:A474,A474)-1</f>
        <v>2</v>
      </c>
      <c r="D474" s="2" t="str">
        <f>Argument!D474</f>
        <v>var</v>
      </c>
      <c r="E474" s="2" t="str">
        <f t="shared" si="14"/>
        <v/>
      </c>
      <c r="F474" s="2" t="str">
        <f>IF(C474=0,ISTEXT(FORMULA.CONVERT("="&amp;A474&amp;"("&amp;REPLACE(REPT(",#ref!",B474),1,1,"")&amp;")()",1)),"")</f>
        <v/>
      </c>
      <c r="G474" s="2">
        <f>TYPE(ADD.MENU(IF(1,1),{1},IF(1,1),IF(1,1)))</f>
        <v>4</v>
      </c>
      <c r="H474" s="2" t="str">
        <f t="shared" si="15"/>
        <v/>
      </c>
      <c r="I474" s="2">
        <f>TYPE(ADD.MENU(IF(1,1),IF(1,1),IF(1,1),IF(1,1)))</f>
        <v>4</v>
      </c>
      <c r="J474" s="2" t="str">
        <f>IF(C474=0,COUNTIFS(A:A,A474,D:D,"a"),"")</f>
        <v/>
      </c>
      <c r="K474" s="2" t="e">
        <f>INDEX(+ADD.MENU(#REF!,K474:L474,#REF!,#REF!),)</f>
        <v>#VALUE!</v>
      </c>
      <c r="L474" s="1">
        <v>1</v>
      </c>
      <c r="M474" s="2" t="e">
        <f>INDEX(+ADD.MENU(#REF!,INDIRECT(M474:N474),#REF!,#REF!),)</f>
        <v>#VALUE!</v>
      </c>
      <c r="N474" s="1">
        <v>1</v>
      </c>
    </row>
    <row r="475" spans="1:14" x14ac:dyDescent="0.55000000000000004">
      <c r="A475" s="1" t="s">
        <v>1618</v>
      </c>
      <c r="B475" s="2">
        <f>COUNTIF(A:A,A475)-1</f>
        <v>4</v>
      </c>
      <c r="C475" s="2">
        <f>COUNTIF(A$1:A475,A475)-1</f>
        <v>3</v>
      </c>
      <c r="D475" s="2" t="str">
        <f>Argument!D475</f>
        <v>vr</v>
      </c>
      <c r="E475" s="2" t="str">
        <f t="shared" si="14"/>
        <v/>
      </c>
      <c r="F475" s="2" t="str">
        <f>IF(C475=0,ISTEXT(FORMULA.CONVERT("="&amp;A475&amp;"("&amp;REPLACE(REPT(",#ref!",B475),1,1,"")&amp;")()",1)),"")</f>
        <v/>
      </c>
      <c r="G475" s="2">
        <f>TYPE(ADD.MENU(IF(1,1),IF(1,1),{1},IF(1,1)))</f>
        <v>64</v>
      </c>
      <c r="H475" s="2" t="str">
        <f t="shared" si="15"/>
        <v/>
      </c>
      <c r="I475" s="2">
        <f>TYPE(ADD.MENU(IF(1,1),IF(1,1),IF(1,1),IF(1,1)))</f>
        <v>4</v>
      </c>
      <c r="J475" s="2" t="str">
        <f>IF(C475=0,COUNTIFS(A:A,A475,D:D,"a"),"")</f>
        <v/>
      </c>
      <c r="K475" s="2" t="e">
        <f>INDEX(+ADD.MENU(#REF!,#REF!,K475:L475,#REF!),)</f>
        <v>#VALUE!</v>
      </c>
      <c r="L475" s="1">
        <v>1</v>
      </c>
      <c r="M475" s="2" t="b">
        <f>INDEX(+ADD.MENU(#REF!,#REF!,INDIRECT(M475:N475),#REF!),)</f>
        <v>0</v>
      </c>
      <c r="N475" s="1">
        <v>1</v>
      </c>
    </row>
    <row r="476" spans="1:14" x14ac:dyDescent="0.55000000000000004">
      <c r="A476" s="1" t="s">
        <v>1618</v>
      </c>
      <c r="B476" s="2">
        <f>COUNTIF(A:A,A476)-1</f>
        <v>4</v>
      </c>
      <c r="C476" s="2">
        <f>COUNTIF(A$1:A476,A476)-1</f>
        <v>4</v>
      </c>
      <c r="D476" s="2" t="str">
        <f>Argument!D476</f>
        <v>v</v>
      </c>
      <c r="E476" s="2" t="str">
        <f t="shared" si="14"/>
        <v/>
      </c>
      <c r="F476" s="2" t="str">
        <f>IF(C476=0,ISTEXT(FORMULA.CONVERT("="&amp;A476&amp;"("&amp;REPLACE(REPT(",#ref!",B476),1,1,"")&amp;")()",1)),"")</f>
        <v/>
      </c>
      <c r="G476" s="2">
        <f>TYPE(ADD.MENU(IF(1,1),IF(1,1),IF(1,1),{1}))</f>
        <v>64</v>
      </c>
      <c r="H476" s="2" t="str">
        <f t="shared" si="15"/>
        <v/>
      </c>
      <c r="I476" s="2">
        <f>TYPE(ADD.MENU(IF(1,1),IF(1,1),IF(1,1),IF(1,1)))</f>
        <v>4</v>
      </c>
      <c r="J476" s="2" t="str">
        <f>IF(C476=0,COUNTIFS(A:A,A476,D:D,"a"),"")</f>
        <v/>
      </c>
      <c r="K476" s="2" t="b">
        <f>INDEX(+ADD.MENU(#REF!,#REF!,#REF!,K476:L476),)</f>
        <v>0</v>
      </c>
      <c r="L476" s="1">
        <v>1</v>
      </c>
      <c r="M476" s="2" t="b">
        <f>INDEX(+ADD.MENU(#REF!,#REF!,#REF!,INDIRECT(M476:N476)),)</f>
        <v>0</v>
      </c>
      <c r="N476" s="1">
        <v>1</v>
      </c>
    </row>
    <row r="477" spans="1:14" x14ac:dyDescent="0.55000000000000004">
      <c r="A477" s="1" t="s">
        <v>1619</v>
      </c>
      <c r="B477" s="2">
        <f>COUNTIF(A:A,A477)-1</f>
        <v>5</v>
      </c>
      <c r="C477" s="2">
        <f>COUNTIF(A$1:A477,A477)-1</f>
        <v>0</v>
      </c>
      <c r="D477" s="2" t="str">
        <f>Argument!D477</f>
        <v/>
      </c>
      <c r="E477" s="2" t="str">
        <f t="shared" si="14"/>
        <v>v</v>
      </c>
      <c r="F477" s="2" t="b">
        <f>IF(C477=0,ISTEXT(FORMULA.CONVERT("="&amp;A477&amp;"("&amp;REPLACE(REPT(",#ref!",B477),1,1,"")&amp;")()",1)),"")</f>
        <v>0</v>
      </c>
      <c r="G477" s="2"/>
      <c r="H477" s="2" t="str">
        <f t="shared" si="15"/>
        <v/>
      </c>
      <c r="I477" s="2">
        <f>TYPE(ADD.COMMAND(IF(1,1),IF(1,1),IF(1,1),IF(1,1),IF(1,1)))</f>
        <v>4</v>
      </c>
      <c r="J477" s="2">
        <f>IF(C477=0,COUNTIFS(A:A,A477,D:D,"a"),"")</f>
        <v>0</v>
      </c>
      <c r="K477" s="2"/>
      <c r="M477" s="2"/>
    </row>
    <row r="478" spans="1:14" x14ac:dyDescent="0.55000000000000004">
      <c r="A478" s="1" t="s">
        <v>1619</v>
      </c>
      <c r="B478" s="2">
        <f>COUNTIF(A:A,A478)-1</f>
        <v>5</v>
      </c>
      <c r="C478" s="2">
        <f>COUNTIF(A$1:A478,A478)-1</f>
        <v>1</v>
      </c>
      <c r="D478" s="2" t="str">
        <f>Argument!D478</f>
        <v>v</v>
      </c>
      <c r="E478" s="2" t="str">
        <f t="shared" si="14"/>
        <v/>
      </c>
      <c r="F478" s="2" t="str">
        <f>IF(C478=0,ISTEXT(FORMULA.CONVERT("="&amp;A478&amp;"("&amp;REPLACE(REPT(",#ref!",B478),1,1,"")&amp;")()",1)),"")</f>
        <v/>
      </c>
      <c r="G478" s="2">
        <f>TYPE(ADD.COMMAND({1},IF(1,1),IF(1,1),IF(1,1),IF(1,1)))</f>
        <v>64</v>
      </c>
      <c r="H478" s="2" t="str">
        <f t="shared" si="15"/>
        <v/>
      </c>
      <c r="I478" s="2">
        <f>TYPE(ADD.COMMAND(IF(1,1),IF(1,1),IF(1,1),IF(1,1),IF(1,1)))</f>
        <v>4</v>
      </c>
      <c r="J478" s="2" t="str">
        <f>IF(C478=0,COUNTIFS(A:A,A478,D:D,"a"),"")</f>
        <v/>
      </c>
      <c r="K478" s="2" t="b">
        <f>INDEX(+ADD.COMMAND(K478:L478,#REF!,#REF!,#REF!,#REF!),)</f>
        <v>0</v>
      </c>
      <c r="L478" s="1">
        <v>1</v>
      </c>
      <c r="M478" s="2" t="b">
        <f>INDEX(+ADD.COMMAND(INDIRECT(M478:N478),#REF!,#REF!,#REF!,#REF!),)</f>
        <v>0</v>
      </c>
      <c r="N478" s="1">
        <v>1</v>
      </c>
    </row>
    <row r="479" spans="1:14" x14ac:dyDescent="0.55000000000000004">
      <c r="A479" s="1" t="s">
        <v>1619</v>
      </c>
      <c r="B479" s="2">
        <f>COUNTIF(A:A,A479)-1</f>
        <v>5</v>
      </c>
      <c r="C479" s="2">
        <f>COUNTIF(A$1:A479,A479)-1</f>
        <v>2</v>
      </c>
      <c r="D479" s="2" t="str">
        <f>Argument!D479</f>
        <v>vr</v>
      </c>
      <c r="E479" s="2" t="str">
        <f t="shared" si="14"/>
        <v/>
      </c>
      <c r="F479" s="2" t="str">
        <f>IF(C479=0,ISTEXT(FORMULA.CONVERT("="&amp;A479&amp;"("&amp;REPLACE(REPT(",#ref!",B479),1,1,"")&amp;")()",1)),"")</f>
        <v/>
      </c>
      <c r="G479" s="2">
        <f>TYPE(ADD.COMMAND(IF(1,1),{1},IF(1,1),IF(1,1),IF(1,1)))</f>
        <v>64</v>
      </c>
      <c r="H479" s="2" t="str">
        <f t="shared" si="15"/>
        <v/>
      </c>
      <c r="I479" s="2">
        <f>TYPE(ADD.COMMAND(IF(1,1),IF(1,1),IF(1,1),IF(1,1),IF(1,1)))</f>
        <v>4</v>
      </c>
      <c r="J479" s="2" t="str">
        <f>IF(C479=0,COUNTIFS(A:A,A479,D:D,"a"),"")</f>
        <v/>
      </c>
      <c r="K479" s="2" t="e">
        <f>INDEX(+ADD.COMMAND(#REF!,K479:L479,#REF!,#REF!,#REF!),)</f>
        <v>#VALUE!</v>
      </c>
      <c r="L479" s="1">
        <v>1</v>
      </c>
      <c r="M479" s="2" t="b">
        <f>INDEX(+ADD.COMMAND(#REF!,INDIRECT(M479:N479),#REF!,#REF!,#REF!),)</f>
        <v>0</v>
      </c>
      <c r="N479" s="1">
        <v>1</v>
      </c>
    </row>
    <row r="480" spans="1:14" x14ac:dyDescent="0.55000000000000004">
      <c r="A480" s="1" t="s">
        <v>1619</v>
      </c>
      <c r="B480" s="2">
        <f>COUNTIF(A:A,A480)-1</f>
        <v>5</v>
      </c>
      <c r="C480" s="2">
        <f>COUNTIF(A$1:A480,A480)-1</f>
        <v>3</v>
      </c>
      <c r="D480" s="2" t="str">
        <f>Argument!D480</f>
        <v>var</v>
      </c>
      <c r="E480" s="2" t="str">
        <f t="shared" si="14"/>
        <v/>
      </c>
      <c r="F480" s="2" t="str">
        <f>IF(C480=0,ISTEXT(FORMULA.CONVERT("="&amp;A480&amp;"("&amp;REPLACE(REPT(",#ref!",B480),1,1,"")&amp;")()",1)),"")</f>
        <v/>
      </c>
      <c r="G480" s="2">
        <f>TYPE(ADD.COMMAND(IF(1,1),IF(1,1),{1},IF(1,1),IF(1,1)))</f>
        <v>4</v>
      </c>
      <c r="H480" s="2" t="str">
        <f t="shared" si="15"/>
        <v/>
      </c>
      <c r="I480" s="2">
        <f>TYPE(ADD.COMMAND(IF(1,1),IF(1,1),IF(1,1),IF(1,1),IF(1,1)))</f>
        <v>4</v>
      </c>
      <c r="J480" s="2" t="str">
        <f>IF(C480=0,COUNTIFS(A:A,A480,D:D,"a"),"")</f>
        <v/>
      </c>
      <c r="K480" s="2" t="e">
        <f>INDEX(+ADD.COMMAND(#REF!,#REF!,K480:L480,#REF!,#REF!),)</f>
        <v>#VALUE!</v>
      </c>
      <c r="L480" s="1">
        <v>1</v>
      </c>
      <c r="M480" s="2" t="e">
        <f>INDEX(+ADD.COMMAND(#REF!,#REF!,INDIRECT(M480:N480),#REF!,#REF!),)</f>
        <v>#VALUE!</v>
      </c>
      <c r="N480" s="1">
        <v>1</v>
      </c>
    </row>
    <row r="481" spans="1:14" x14ac:dyDescent="0.55000000000000004">
      <c r="A481" s="1" t="s">
        <v>1619</v>
      </c>
      <c r="B481" s="2">
        <f>COUNTIF(A:A,A481)-1</f>
        <v>5</v>
      </c>
      <c r="C481" s="2">
        <f>COUNTIF(A$1:A481,A481)-1</f>
        <v>4</v>
      </c>
      <c r="D481" s="2" t="str">
        <f>Argument!D481</f>
        <v>vr</v>
      </c>
      <c r="E481" s="2" t="str">
        <f t="shared" si="14"/>
        <v/>
      </c>
      <c r="F481" s="2" t="str">
        <f>IF(C481=0,ISTEXT(FORMULA.CONVERT("="&amp;A481&amp;"("&amp;REPLACE(REPT(",#ref!",B481),1,1,"")&amp;")()",1)),"")</f>
        <v/>
      </c>
      <c r="G481" s="2">
        <f>TYPE(ADD.COMMAND(IF(1,1),IF(1,1),IF(1,1),{1},IF(1,1)))</f>
        <v>64</v>
      </c>
      <c r="H481" s="2" t="str">
        <f t="shared" si="15"/>
        <v/>
      </c>
      <c r="I481" s="2">
        <f>TYPE(ADD.COMMAND(IF(1,1),IF(1,1),IF(1,1),IF(1,1),IF(1,1)))</f>
        <v>4</v>
      </c>
      <c r="J481" s="2" t="str">
        <f>IF(C481=0,COUNTIFS(A:A,A481,D:D,"a"),"")</f>
        <v/>
      </c>
      <c r="K481" s="2" t="e">
        <f>INDEX(+ADD.COMMAND(#REF!,#REF!,#REF!,K481:L481,#REF!),)</f>
        <v>#VALUE!</v>
      </c>
      <c r="L481" s="1">
        <v>1</v>
      </c>
      <c r="M481" s="2" t="b">
        <f>INDEX(+ADD.COMMAND(#REF!,#REF!,#REF!,INDIRECT(M481:N481),#REF!),)</f>
        <v>0</v>
      </c>
      <c r="N481" s="1">
        <v>1</v>
      </c>
    </row>
    <row r="482" spans="1:14" x14ac:dyDescent="0.55000000000000004">
      <c r="A482" s="1" t="s">
        <v>1619</v>
      </c>
      <c r="B482" s="2">
        <f>COUNTIF(A:A,A482)-1</f>
        <v>5</v>
      </c>
      <c r="C482" s="2">
        <f>COUNTIF(A$1:A482,A482)-1</f>
        <v>5</v>
      </c>
      <c r="D482" s="2" t="str">
        <f>Argument!D482</f>
        <v>v</v>
      </c>
      <c r="E482" s="2" t="str">
        <f t="shared" si="14"/>
        <v/>
      </c>
      <c r="F482" s="2" t="str">
        <f>IF(C482=0,ISTEXT(FORMULA.CONVERT("="&amp;A482&amp;"("&amp;REPLACE(REPT(",#ref!",B482),1,1,"")&amp;")()",1)),"")</f>
        <v/>
      </c>
      <c r="G482" s="2">
        <f>TYPE(ADD.COMMAND(IF(1,1),IF(1,1),IF(1,1),IF(1,1),{1}))</f>
        <v>64</v>
      </c>
      <c r="H482" s="2" t="str">
        <f t="shared" si="15"/>
        <v/>
      </c>
      <c r="I482" s="2">
        <f>TYPE(ADD.COMMAND(IF(1,1),IF(1,1),IF(1,1),IF(1,1),IF(1,1)))</f>
        <v>4</v>
      </c>
      <c r="J482" s="2" t="str">
        <f>IF(C482=0,COUNTIFS(A:A,A482,D:D,"a"),"")</f>
        <v/>
      </c>
      <c r="K482" s="2" t="b">
        <f>INDEX(+ADD.COMMAND(#REF!,#REF!,#REF!,#REF!,K482:L482),)</f>
        <v>0</v>
      </c>
      <c r="L482" s="1">
        <v>1</v>
      </c>
      <c r="M482" s="2" t="b">
        <f>INDEX(+ADD.COMMAND(#REF!,#REF!,#REF!,#REF!,INDIRECT(M482:N482)),)</f>
        <v>0</v>
      </c>
      <c r="N482" s="1">
        <v>1</v>
      </c>
    </row>
    <row r="483" spans="1:14" x14ac:dyDescent="0.55000000000000004">
      <c r="A483" s="1" t="s">
        <v>1620</v>
      </c>
      <c r="B483" s="2">
        <f>COUNTIF(A:A,A483)-1</f>
        <v>5</v>
      </c>
      <c r="C483" s="2">
        <f>COUNTIF(A$1:A483,A483)-1</f>
        <v>0</v>
      </c>
      <c r="D483" s="2" t="str">
        <f>Argument!D483</f>
        <v/>
      </c>
      <c r="E483" s="2" t="str">
        <f t="shared" si="14"/>
        <v>v</v>
      </c>
      <c r="F483" s="2" t="b">
        <f>IF(C483=0,ISTEXT(FORMULA.CONVERT("="&amp;A483&amp;"("&amp;REPLACE(REPT(",#ref!",B483),1,1,"")&amp;")()",1)),"")</f>
        <v>0</v>
      </c>
      <c r="G483" s="2"/>
      <c r="H483" s="2" t="str">
        <f t="shared" si="15"/>
        <v/>
      </c>
      <c r="I483" s="2">
        <f>TYPE(ENABLE.COMMAND(IF(1,1),IF(1,1),IF(1,1),IF(1,1),IF(1,1)))</f>
        <v>4</v>
      </c>
      <c r="J483" s="2">
        <f>IF(C483=0,COUNTIFS(A:A,A483,D:D,"a"),"")</f>
        <v>0</v>
      </c>
      <c r="K483" s="2"/>
      <c r="M483" s="2"/>
    </row>
    <row r="484" spans="1:14" x14ac:dyDescent="0.55000000000000004">
      <c r="A484" s="1" t="s">
        <v>1620</v>
      </c>
      <c r="B484" s="2">
        <f>COUNTIF(A:A,A484)-1</f>
        <v>5</v>
      </c>
      <c r="C484" s="2">
        <f>COUNTIF(A$1:A484,A484)-1</f>
        <v>1</v>
      </c>
      <c r="D484" s="2" t="str">
        <f>Argument!D484</f>
        <v>v</v>
      </c>
      <c r="E484" s="2" t="str">
        <f t="shared" si="14"/>
        <v/>
      </c>
      <c r="F484" s="2" t="str">
        <f>IF(C484=0,ISTEXT(FORMULA.CONVERT("="&amp;A484&amp;"("&amp;REPLACE(REPT(",#ref!",B484),1,1,"")&amp;")()",1)),"")</f>
        <v/>
      </c>
      <c r="G484" s="2">
        <f>TYPE(ENABLE.COMMAND({1},IF(1,1),IF(1,1),IF(1,1),IF(1,1)))</f>
        <v>64</v>
      </c>
      <c r="H484" s="2" t="str">
        <f t="shared" si="15"/>
        <v/>
      </c>
      <c r="I484" s="2">
        <f>TYPE(ENABLE.COMMAND(IF(1,1),IF(1,1),IF(1,1),IF(1,1),IF(1,1)))</f>
        <v>4</v>
      </c>
      <c r="J484" s="2" t="str">
        <f>IF(C484=0,COUNTIFS(A:A,A484,D:D,"a"),"")</f>
        <v/>
      </c>
      <c r="K484" s="2" t="b">
        <f>INDEX(+ENABLE.COMMAND(K484:L484,#REF!,#REF!,#REF!,#REF!),)</f>
        <v>0</v>
      </c>
      <c r="L484" s="1">
        <v>1</v>
      </c>
      <c r="M484" s="2" t="b">
        <f>INDEX(+ENABLE.COMMAND(INDIRECT(M484:N484),#REF!,#REF!,#REF!,#REF!),)</f>
        <v>0</v>
      </c>
      <c r="N484" s="1">
        <v>1</v>
      </c>
    </row>
    <row r="485" spans="1:14" x14ac:dyDescent="0.55000000000000004">
      <c r="A485" s="1" t="s">
        <v>1620</v>
      </c>
      <c r="B485" s="2">
        <f>COUNTIF(A:A,A485)-1</f>
        <v>5</v>
      </c>
      <c r="C485" s="2">
        <f>COUNTIF(A$1:A485,A485)-1</f>
        <v>2</v>
      </c>
      <c r="D485" s="2" t="str">
        <f>Argument!D485</f>
        <v>v</v>
      </c>
      <c r="E485" s="2" t="str">
        <f t="shared" si="14"/>
        <v/>
      </c>
      <c r="F485" s="2" t="str">
        <f>IF(C485=0,ISTEXT(FORMULA.CONVERT("="&amp;A485&amp;"("&amp;REPLACE(REPT(",#ref!",B485),1,1,"")&amp;")()",1)),"")</f>
        <v/>
      </c>
      <c r="G485" s="2">
        <f>TYPE(ENABLE.COMMAND(IF(1,1),{1},IF(1,1),IF(1,1),IF(1,1)))</f>
        <v>64</v>
      </c>
      <c r="H485" s="2" t="str">
        <f t="shared" si="15"/>
        <v/>
      </c>
      <c r="I485" s="2">
        <f>TYPE(ENABLE.COMMAND(IF(1,1),IF(1,1),IF(1,1),IF(1,1),IF(1,1)))</f>
        <v>4</v>
      </c>
      <c r="J485" s="2" t="str">
        <f>IF(C485=0,COUNTIFS(A:A,A485,D:D,"a"),"")</f>
        <v/>
      </c>
      <c r="K485" s="2" t="b">
        <f>INDEX(+ENABLE.COMMAND(#REF!,K485:L485,#REF!,#REF!,#REF!),)</f>
        <v>0</v>
      </c>
      <c r="L485" s="1">
        <v>1</v>
      </c>
      <c r="M485" s="2" t="b">
        <f>INDEX(+ENABLE.COMMAND(#REF!,INDIRECT(M485:N485),#REF!,#REF!,#REF!),)</f>
        <v>0</v>
      </c>
      <c r="N485" s="1">
        <v>1</v>
      </c>
    </row>
    <row r="486" spans="1:14" x14ac:dyDescent="0.55000000000000004">
      <c r="A486" s="1" t="s">
        <v>1620</v>
      </c>
      <c r="B486" s="2">
        <f>COUNTIF(A:A,A486)-1</f>
        <v>5</v>
      </c>
      <c r="C486" s="2">
        <f>COUNTIF(A$1:A486,A486)-1</f>
        <v>3</v>
      </c>
      <c r="D486" s="2" t="str">
        <f>Argument!D486</f>
        <v>v</v>
      </c>
      <c r="E486" s="2" t="str">
        <f t="shared" si="14"/>
        <v/>
      </c>
      <c r="F486" s="2" t="str">
        <f>IF(C486=0,ISTEXT(FORMULA.CONVERT("="&amp;A486&amp;"("&amp;REPLACE(REPT(",#ref!",B486),1,1,"")&amp;")()",1)),"")</f>
        <v/>
      </c>
      <c r="G486" s="2">
        <f>TYPE(ENABLE.COMMAND(IF(1,1),IF(1,1),{1},IF(1,1),IF(1,1)))</f>
        <v>64</v>
      </c>
      <c r="H486" s="2" t="str">
        <f t="shared" si="15"/>
        <v/>
      </c>
      <c r="I486" s="2">
        <f>TYPE(ENABLE.COMMAND(IF(1,1),IF(1,1),IF(1,1),IF(1,1),IF(1,1)))</f>
        <v>4</v>
      </c>
      <c r="J486" s="2" t="str">
        <f>IF(C486=0,COUNTIFS(A:A,A486,D:D,"a"),"")</f>
        <v/>
      </c>
      <c r="K486" s="2" t="b">
        <f>INDEX(+ENABLE.COMMAND(#REF!,#REF!,K486:L486,#REF!,#REF!),)</f>
        <v>0</v>
      </c>
      <c r="L486" s="1">
        <v>1</v>
      </c>
      <c r="M486" s="2" t="b">
        <f>INDEX(+ENABLE.COMMAND(#REF!,#REF!,INDIRECT(M486:N486),#REF!,#REF!),)</f>
        <v>0</v>
      </c>
      <c r="N486" s="1">
        <v>1</v>
      </c>
    </row>
    <row r="487" spans="1:14" x14ac:dyDescent="0.55000000000000004">
      <c r="A487" s="1" t="s">
        <v>1620</v>
      </c>
      <c r="B487" s="2">
        <f>COUNTIF(A:A,A487)-1</f>
        <v>5</v>
      </c>
      <c r="C487" s="2">
        <f>COUNTIF(A$1:A487,A487)-1</f>
        <v>4</v>
      </c>
      <c r="D487" s="2" t="str">
        <f>Argument!D487</f>
        <v>v</v>
      </c>
      <c r="E487" s="2" t="str">
        <f t="shared" si="14"/>
        <v/>
      </c>
      <c r="F487" s="2" t="str">
        <f>IF(C487=0,ISTEXT(FORMULA.CONVERT("="&amp;A487&amp;"("&amp;REPLACE(REPT(",#ref!",B487),1,1,"")&amp;")()",1)),"")</f>
        <v/>
      </c>
      <c r="G487" s="2">
        <f>TYPE(ENABLE.COMMAND(IF(1,1),IF(1,1),IF(1,1),{1},IF(1,1)))</f>
        <v>64</v>
      </c>
      <c r="H487" s="2" t="str">
        <f t="shared" si="15"/>
        <v/>
      </c>
      <c r="I487" s="2">
        <f>TYPE(ENABLE.COMMAND(IF(1,1),IF(1,1),IF(1,1),IF(1,1),IF(1,1)))</f>
        <v>4</v>
      </c>
      <c r="J487" s="2" t="str">
        <f>IF(C487=0,COUNTIFS(A:A,A487,D:D,"a"),"")</f>
        <v/>
      </c>
      <c r="K487" s="2" t="b">
        <f>INDEX(+ENABLE.COMMAND(#REF!,#REF!,#REF!,K487:L487,#REF!),)</f>
        <v>0</v>
      </c>
      <c r="L487" s="1">
        <v>1</v>
      </c>
      <c r="M487" s="2" t="b">
        <f>INDEX(+ENABLE.COMMAND(#REF!,#REF!,#REF!,INDIRECT(M487:N487),#REF!),)</f>
        <v>0</v>
      </c>
      <c r="N487" s="1">
        <v>1</v>
      </c>
    </row>
    <row r="488" spans="1:14" x14ac:dyDescent="0.55000000000000004">
      <c r="A488" s="1" t="s">
        <v>1620</v>
      </c>
      <c r="B488" s="2">
        <f>COUNTIF(A:A,A488)-1</f>
        <v>5</v>
      </c>
      <c r="C488" s="2">
        <f>COUNTIF(A$1:A488,A488)-1</f>
        <v>5</v>
      </c>
      <c r="D488" s="2" t="str">
        <f>Argument!D488</f>
        <v>v</v>
      </c>
      <c r="E488" s="2" t="str">
        <f t="shared" si="14"/>
        <v/>
      </c>
      <c r="F488" s="2" t="str">
        <f>IF(C488=0,ISTEXT(FORMULA.CONVERT("="&amp;A488&amp;"("&amp;REPLACE(REPT(",#ref!",B488),1,1,"")&amp;")()",1)),"")</f>
        <v/>
      </c>
      <c r="G488" s="2">
        <f>TYPE(ENABLE.COMMAND(IF(1,1),IF(1,1),IF(1,1),IF(1,1),{1}))</f>
        <v>64</v>
      </c>
      <c r="H488" s="2" t="str">
        <f t="shared" si="15"/>
        <v/>
      </c>
      <c r="I488" s="2">
        <f>TYPE(ENABLE.COMMAND(IF(1,1),IF(1,1),IF(1,1),IF(1,1),IF(1,1)))</f>
        <v>4</v>
      </c>
      <c r="J488" s="2" t="str">
        <f>IF(C488=0,COUNTIFS(A:A,A488,D:D,"a"),"")</f>
        <v/>
      </c>
      <c r="K488" s="2" t="b">
        <f>INDEX(+ENABLE.COMMAND(#REF!,#REF!,#REF!,#REF!,K488:L488),)</f>
        <v>0</v>
      </c>
      <c r="L488" s="1">
        <v>1</v>
      </c>
      <c r="M488" s="2" t="b">
        <f>INDEX(+ENABLE.COMMAND(#REF!,#REF!,#REF!,#REF!,INDIRECT(M488:N488)),)</f>
        <v>0</v>
      </c>
      <c r="N488" s="1">
        <v>1</v>
      </c>
    </row>
    <row r="489" spans="1:14" x14ac:dyDescent="0.55000000000000004">
      <c r="A489" s="1" t="s">
        <v>1621</v>
      </c>
      <c r="B489" s="2">
        <f>COUNTIF(A:A,A489)-1</f>
        <v>5</v>
      </c>
      <c r="C489" s="2">
        <f>COUNTIF(A$1:A489,A489)-1</f>
        <v>0</v>
      </c>
      <c r="D489" s="2" t="str">
        <f>Argument!D489</f>
        <v/>
      </c>
      <c r="E489" s="2" t="str">
        <f t="shared" si="14"/>
        <v>v</v>
      </c>
      <c r="F489" s="2" t="b">
        <f>IF(C489=0,ISTEXT(FORMULA.CONVERT("="&amp;A489&amp;"("&amp;REPLACE(REPT(",#ref!",B489),1,1,"")&amp;")()",1)),"")</f>
        <v>0</v>
      </c>
      <c r="G489" s="2"/>
      <c r="H489" s="2" t="str">
        <f t="shared" si="15"/>
        <v/>
      </c>
      <c r="I489" s="2">
        <f>TYPE(CHECK.COMMAND(IF(1,1),IF(1,1),IF(1,1),IF(1,1),IF(1,1)))</f>
        <v>4</v>
      </c>
      <c r="J489" s="2">
        <f>IF(C489=0,COUNTIFS(A:A,A489,D:D,"a"),"")</f>
        <v>0</v>
      </c>
      <c r="K489" s="2"/>
      <c r="M489" s="2"/>
    </row>
    <row r="490" spans="1:14" x14ac:dyDescent="0.55000000000000004">
      <c r="A490" s="1" t="s">
        <v>1621</v>
      </c>
      <c r="B490" s="2">
        <f>COUNTIF(A:A,A490)-1</f>
        <v>5</v>
      </c>
      <c r="C490" s="2">
        <f>COUNTIF(A$1:A490,A490)-1</f>
        <v>1</v>
      </c>
      <c r="D490" s="2" t="str">
        <f>Argument!D490</f>
        <v>v</v>
      </c>
      <c r="E490" s="2" t="str">
        <f t="shared" si="14"/>
        <v/>
      </c>
      <c r="F490" s="2" t="str">
        <f>IF(C490=0,ISTEXT(FORMULA.CONVERT("="&amp;A490&amp;"("&amp;REPLACE(REPT(",#ref!",B490),1,1,"")&amp;")()",1)),"")</f>
        <v/>
      </c>
      <c r="G490" s="2">
        <f>TYPE(CHECK.COMMAND({1},IF(1,1),IF(1,1),IF(1,1),IF(1,1)))</f>
        <v>64</v>
      </c>
      <c r="H490" s="2" t="str">
        <f t="shared" si="15"/>
        <v/>
      </c>
      <c r="I490" s="2">
        <f>TYPE(CHECK.COMMAND(IF(1,1),IF(1,1),IF(1,1),IF(1,1),IF(1,1)))</f>
        <v>4</v>
      </c>
      <c r="J490" s="2" t="str">
        <f>IF(C490=0,COUNTIFS(A:A,A490,D:D,"a"),"")</f>
        <v/>
      </c>
      <c r="K490" s="2" t="b">
        <f>INDEX(+CHECK.COMMAND(K490:L490,#REF!,#REF!,#REF!,#REF!),)</f>
        <v>0</v>
      </c>
      <c r="L490" s="1">
        <v>1</v>
      </c>
      <c r="M490" s="2" t="b">
        <f>INDEX(+CHECK.COMMAND(INDIRECT(M490:N490),#REF!,#REF!,#REF!,#REF!),)</f>
        <v>0</v>
      </c>
      <c r="N490" s="1">
        <v>1</v>
      </c>
    </row>
    <row r="491" spans="1:14" x14ac:dyDescent="0.55000000000000004">
      <c r="A491" s="1" t="s">
        <v>1621</v>
      </c>
      <c r="B491" s="2">
        <f>COUNTIF(A:A,A491)-1</f>
        <v>5</v>
      </c>
      <c r="C491" s="2">
        <f>COUNTIF(A$1:A491,A491)-1</f>
        <v>2</v>
      </c>
      <c r="D491" s="2" t="str">
        <f>Argument!D491</f>
        <v>v</v>
      </c>
      <c r="E491" s="2" t="str">
        <f t="shared" si="14"/>
        <v/>
      </c>
      <c r="F491" s="2" t="str">
        <f>IF(C491=0,ISTEXT(FORMULA.CONVERT("="&amp;A491&amp;"("&amp;REPLACE(REPT(",#ref!",B491),1,1,"")&amp;")()",1)),"")</f>
        <v/>
      </c>
      <c r="G491" s="2">
        <f>TYPE(CHECK.COMMAND(IF(1,1),{1},IF(1,1),IF(1,1),IF(1,1)))</f>
        <v>64</v>
      </c>
      <c r="H491" s="2" t="str">
        <f t="shared" si="15"/>
        <v/>
      </c>
      <c r="I491" s="2">
        <f>TYPE(CHECK.COMMAND(IF(1,1),IF(1,1),IF(1,1),IF(1,1),IF(1,1)))</f>
        <v>4</v>
      </c>
      <c r="J491" s="2" t="str">
        <f>IF(C491=0,COUNTIFS(A:A,A491,D:D,"a"),"")</f>
        <v/>
      </c>
      <c r="K491" s="2" t="b">
        <f>INDEX(+CHECK.COMMAND(#REF!,K491:L491,#REF!,#REF!,#REF!),)</f>
        <v>0</v>
      </c>
      <c r="L491" s="1">
        <v>1</v>
      </c>
      <c r="M491" s="2" t="b">
        <f>INDEX(+CHECK.COMMAND(#REF!,INDIRECT(M491:N491),#REF!,#REF!,#REF!),)</f>
        <v>0</v>
      </c>
      <c r="N491" s="1">
        <v>1</v>
      </c>
    </row>
    <row r="492" spans="1:14" x14ac:dyDescent="0.55000000000000004">
      <c r="A492" s="1" t="s">
        <v>1621</v>
      </c>
      <c r="B492" s="2">
        <f>COUNTIF(A:A,A492)-1</f>
        <v>5</v>
      </c>
      <c r="C492" s="2">
        <f>COUNTIF(A$1:A492,A492)-1</f>
        <v>3</v>
      </c>
      <c r="D492" s="2" t="str">
        <f>Argument!D492</f>
        <v>v</v>
      </c>
      <c r="E492" s="2" t="str">
        <f t="shared" si="14"/>
        <v/>
      </c>
      <c r="F492" s="2" t="str">
        <f>IF(C492=0,ISTEXT(FORMULA.CONVERT("="&amp;A492&amp;"("&amp;REPLACE(REPT(",#ref!",B492),1,1,"")&amp;")()",1)),"")</f>
        <v/>
      </c>
      <c r="G492" s="2">
        <f>TYPE(CHECK.COMMAND(IF(1,1),IF(1,1),{1},IF(1,1),IF(1,1)))</f>
        <v>64</v>
      </c>
      <c r="H492" s="2" t="str">
        <f t="shared" si="15"/>
        <v/>
      </c>
      <c r="I492" s="2">
        <f>TYPE(CHECK.COMMAND(IF(1,1),IF(1,1),IF(1,1),IF(1,1),IF(1,1)))</f>
        <v>4</v>
      </c>
      <c r="J492" s="2" t="str">
        <f>IF(C492=0,COUNTIFS(A:A,A492,D:D,"a"),"")</f>
        <v/>
      </c>
      <c r="K492" s="2" t="b">
        <f>INDEX(+CHECK.COMMAND(#REF!,#REF!,K492:L492,#REF!,#REF!),)</f>
        <v>0</v>
      </c>
      <c r="L492" s="1">
        <v>1</v>
      </c>
      <c r="M492" s="2" t="b">
        <f>INDEX(+CHECK.COMMAND(#REF!,#REF!,INDIRECT(M492:N492),#REF!,#REF!),)</f>
        <v>0</v>
      </c>
      <c r="N492" s="1">
        <v>1</v>
      </c>
    </row>
    <row r="493" spans="1:14" x14ac:dyDescent="0.55000000000000004">
      <c r="A493" s="1" t="s">
        <v>1621</v>
      </c>
      <c r="B493" s="2">
        <f>COUNTIF(A:A,A493)-1</f>
        <v>5</v>
      </c>
      <c r="C493" s="2">
        <f>COUNTIF(A$1:A493,A493)-1</f>
        <v>4</v>
      </c>
      <c r="D493" s="2" t="str">
        <f>Argument!D493</f>
        <v>v</v>
      </c>
      <c r="E493" s="2" t="str">
        <f t="shared" si="14"/>
        <v/>
      </c>
      <c r="F493" s="2" t="str">
        <f>IF(C493=0,ISTEXT(FORMULA.CONVERT("="&amp;A493&amp;"("&amp;REPLACE(REPT(",#ref!",B493),1,1,"")&amp;")()",1)),"")</f>
        <v/>
      </c>
      <c r="G493" s="2">
        <f>TYPE(CHECK.COMMAND(IF(1,1),IF(1,1),IF(1,1),{1},IF(1,1)))</f>
        <v>64</v>
      </c>
      <c r="H493" s="2" t="str">
        <f t="shared" si="15"/>
        <v/>
      </c>
      <c r="I493" s="2">
        <f>TYPE(CHECK.COMMAND(IF(1,1),IF(1,1),IF(1,1),IF(1,1),IF(1,1)))</f>
        <v>4</v>
      </c>
      <c r="J493" s="2" t="str">
        <f>IF(C493=0,COUNTIFS(A:A,A493,D:D,"a"),"")</f>
        <v/>
      </c>
      <c r="K493" s="2" t="b">
        <f>INDEX(+CHECK.COMMAND(#REF!,#REF!,#REF!,K493:L493,#REF!),)</f>
        <v>0</v>
      </c>
      <c r="L493" s="1">
        <v>1</v>
      </c>
      <c r="M493" s="2" t="b">
        <f>INDEX(+CHECK.COMMAND(#REF!,#REF!,#REF!,INDIRECT(M493:N493),#REF!),)</f>
        <v>0</v>
      </c>
      <c r="N493" s="1">
        <v>1</v>
      </c>
    </row>
    <row r="494" spans="1:14" x14ac:dyDescent="0.55000000000000004">
      <c r="A494" s="1" t="s">
        <v>1621</v>
      </c>
      <c r="B494" s="2">
        <f>COUNTIF(A:A,A494)-1</f>
        <v>5</v>
      </c>
      <c r="C494" s="2">
        <f>COUNTIF(A$1:A494,A494)-1</f>
        <v>5</v>
      </c>
      <c r="D494" s="2" t="str">
        <f>Argument!D494</f>
        <v>v</v>
      </c>
      <c r="E494" s="2" t="str">
        <f t="shared" si="14"/>
        <v/>
      </c>
      <c r="F494" s="2" t="str">
        <f>IF(C494=0,ISTEXT(FORMULA.CONVERT("="&amp;A494&amp;"("&amp;REPLACE(REPT(",#ref!",B494),1,1,"")&amp;")()",1)),"")</f>
        <v/>
      </c>
      <c r="G494" s="2">
        <f>TYPE(CHECK.COMMAND(IF(1,1),IF(1,1),IF(1,1),IF(1,1),{1}))</f>
        <v>64</v>
      </c>
      <c r="H494" s="2" t="str">
        <f t="shared" si="15"/>
        <v/>
      </c>
      <c r="I494" s="2">
        <f>TYPE(CHECK.COMMAND(IF(1,1),IF(1,1),IF(1,1),IF(1,1),IF(1,1)))</f>
        <v>4</v>
      </c>
      <c r="J494" s="2" t="str">
        <f>IF(C494=0,COUNTIFS(A:A,A494,D:D,"a"),"")</f>
        <v/>
      </c>
      <c r="K494" s="2" t="b">
        <f>INDEX(+CHECK.COMMAND(#REF!,#REF!,#REF!,#REF!,K494:L494),)</f>
        <v>0</v>
      </c>
      <c r="L494" s="1">
        <v>1</v>
      </c>
      <c r="M494" s="2" t="b">
        <f>INDEX(+CHECK.COMMAND(#REF!,#REF!,#REF!,#REF!,INDIRECT(M494:N494)),)</f>
        <v>0</v>
      </c>
      <c r="N494" s="1">
        <v>1</v>
      </c>
    </row>
    <row r="495" spans="1:14" x14ac:dyDescent="0.55000000000000004">
      <c r="A495" s="1" t="s">
        <v>1622</v>
      </c>
      <c r="B495" s="2">
        <f>COUNTIF(A:A,A495)-1</f>
        <v>5</v>
      </c>
      <c r="C495" s="2">
        <f>COUNTIF(A$1:A495,A495)-1</f>
        <v>0</v>
      </c>
      <c r="D495" s="2" t="str">
        <f>Argument!D495</f>
        <v/>
      </c>
      <c r="E495" s="2" t="str">
        <f t="shared" si="14"/>
        <v>v</v>
      </c>
      <c r="F495" s="2" t="b">
        <f>IF(C495=0,ISTEXT(FORMULA.CONVERT("="&amp;A495&amp;"("&amp;REPLACE(REPT(",#ref!",B495),1,1,"")&amp;")()",1)),"")</f>
        <v>0</v>
      </c>
      <c r="G495" s="2"/>
      <c r="H495" s="2" t="str">
        <f t="shared" si="15"/>
        <v/>
      </c>
      <c r="I495" s="2">
        <f>TYPE(RENAME.COMMAND(IF(1,1),IF(1,1),IF(1,1),IF(1,1),IF(1,1)))</f>
        <v>4</v>
      </c>
      <c r="J495" s="2">
        <f>IF(C495=0,COUNTIFS(A:A,A495,D:D,"a"),"")</f>
        <v>0</v>
      </c>
      <c r="K495" s="2"/>
      <c r="M495" s="2"/>
    </row>
    <row r="496" spans="1:14" x14ac:dyDescent="0.55000000000000004">
      <c r="A496" s="1" t="s">
        <v>1622</v>
      </c>
      <c r="B496" s="2">
        <f>COUNTIF(A:A,A496)-1</f>
        <v>5</v>
      </c>
      <c r="C496" s="2">
        <f>COUNTIF(A$1:A496,A496)-1</f>
        <v>1</v>
      </c>
      <c r="D496" s="2" t="str">
        <f>Argument!D496</f>
        <v>v</v>
      </c>
      <c r="E496" s="2" t="str">
        <f t="shared" si="14"/>
        <v/>
      </c>
      <c r="F496" s="2" t="str">
        <f>IF(C496=0,ISTEXT(FORMULA.CONVERT("="&amp;A496&amp;"("&amp;REPLACE(REPT(",#ref!",B496),1,1,"")&amp;")()",1)),"")</f>
        <v/>
      </c>
      <c r="G496" s="2">
        <f>TYPE(RENAME.COMMAND({1},IF(1,1),IF(1,1),IF(1,1),IF(1,1)))</f>
        <v>64</v>
      </c>
      <c r="H496" s="2" t="str">
        <f t="shared" si="15"/>
        <v/>
      </c>
      <c r="I496" s="2">
        <f>TYPE(RENAME.COMMAND(IF(1,1),IF(1,1),IF(1,1),IF(1,1),IF(1,1)))</f>
        <v>4</v>
      </c>
      <c r="J496" s="2" t="str">
        <f>IF(C496=0,COUNTIFS(A:A,A496,D:D,"a"),"")</f>
        <v/>
      </c>
      <c r="K496" s="2" t="b">
        <f>INDEX(+RENAME.COMMAND(K496:L496,#REF!,#REF!,#REF!,#REF!),)</f>
        <v>0</v>
      </c>
      <c r="L496" s="1">
        <v>1</v>
      </c>
      <c r="M496" s="2" t="b">
        <f>INDEX(+RENAME.COMMAND(INDIRECT(M496:N496),#REF!,#REF!,#REF!,#REF!),)</f>
        <v>0</v>
      </c>
      <c r="N496" s="1">
        <v>1</v>
      </c>
    </row>
    <row r="497" spans="1:14" x14ac:dyDescent="0.55000000000000004">
      <c r="A497" s="1" t="s">
        <v>1622</v>
      </c>
      <c r="B497" s="2">
        <f>COUNTIF(A:A,A497)-1</f>
        <v>5</v>
      </c>
      <c r="C497" s="2">
        <f>COUNTIF(A$1:A497,A497)-1</f>
        <v>2</v>
      </c>
      <c r="D497" s="2" t="str">
        <f>Argument!D497</f>
        <v>v</v>
      </c>
      <c r="E497" s="2" t="str">
        <f t="shared" si="14"/>
        <v/>
      </c>
      <c r="F497" s="2" t="str">
        <f>IF(C497=0,ISTEXT(FORMULA.CONVERT("="&amp;A497&amp;"("&amp;REPLACE(REPT(",#ref!",B497),1,1,"")&amp;")()",1)),"")</f>
        <v/>
      </c>
      <c r="G497" s="2">
        <f>TYPE(RENAME.COMMAND(IF(1,1),{1},IF(1,1),IF(1,1),IF(1,1)))</f>
        <v>64</v>
      </c>
      <c r="H497" s="2" t="str">
        <f t="shared" si="15"/>
        <v/>
      </c>
      <c r="I497" s="2">
        <f>TYPE(RENAME.COMMAND(IF(1,1),IF(1,1),IF(1,1),IF(1,1),IF(1,1)))</f>
        <v>4</v>
      </c>
      <c r="J497" s="2" t="str">
        <f>IF(C497=0,COUNTIFS(A:A,A497,D:D,"a"),"")</f>
        <v/>
      </c>
      <c r="K497" s="2" t="b">
        <f>INDEX(+RENAME.COMMAND(#REF!,K497:L497,#REF!,#REF!,#REF!),)</f>
        <v>0</v>
      </c>
      <c r="L497" s="1">
        <v>1</v>
      </c>
      <c r="M497" s="2" t="b">
        <f>INDEX(+RENAME.COMMAND(#REF!,INDIRECT(M497:N497),#REF!,#REF!,#REF!),)</f>
        <v>0</v>
      </c>
      <c r="N497" s="1">
        <v>1</v>
      </c>
    </row>
    <row r="498" spans="1:14" x14ac:dyDescent="0.55000000000000004">
      <c r="A498" s="1" t="s">
        <v>1622</v>
      </c>
      <c r="B498" s="2">
        <f>COUNTIF(A:A,A498)-1</f>
        <v>5</v>
      </c>
      <c r="C498" s="2">
        <f>COUNTIF(A$1:A498,A498)-1</f>
        <v>3</v>
      </c>
      <c r="D498" s="2" t="str">
        <f>Argument!D498</f>
        <v>v</v>
      </c>
      <c r="E498" s="2" t="str">
        <f t="shared" si="14"/>
        <v/>
      </c>
      <c r="F498" s="2" t="str">
        <f>IF(C498=0,ISTEXT(FORMULA.CONVERT("="&amp;A498&amp;"("&amp;REPLACE(REPT(",#ref!",B498),1,1,"")&amp;")()",1)),"")</f>
        <v/>
      </c>
      <c r="G498" s="2">
        <f>TYPE(RENAME.COMMAND(IF(1,1),IF(1,1),{1},IF(1,1),IF(1,1)))</f>
        <v>64</v>
      </c>
      <c r="H498" s="2" t="str">
        <f t="shared" si="15"/>
        <v/>
      </c>
      <c r="I498" s="2">
        <f>TYPE(RENAME.COMMAND(IF(1,1),IF(1,1),IF(1,1),IF(1,1),IF(1,1)))</f>
        <v>4</v>
      </c>
      <c r="J498" s="2" t="str">
        <f>IF(C498=0,COUNTIFS(A:A,A498,D:D,"a"),"")</f>
        <v/>
      </c>
      <c r="K498" s="2" t="b">
        <f>INDEX(+RENAME.COMMAND(#REF!,#REF!,K498:L498,#REF!,#REF!),)</f>
        <v>0</v>
      </c>
      <c r="L498" s="1">
        <v>1</v>
      </c>
      <c r="M498" s="2" t="b">
        <f>INDEX(+RENAME.COMMAND(#REF!,#REF!,INDIRECT(M498:N498),#REF!,#REF!),)</f>
        <v>0</v>
      </c>
      <c r="N498" s="1">
        <v>1</v>
      </c>
    </row>
    <row r="499" spans="1:14" x14ac:dyDescent="0.55000000000000004">
      <c r="A499" s="1" t="s">
        <v>1622</v>
      </c>
      <c r="B499" s="2">
        <f>COUNTIF(A:A,A499)-1</f>
        <v>5</v>
      </c>
      <c r="C499" s="2">
        <f>COUNTIF(A$1:A499,A499)-1</f>
        <v>4</v>
      </c>
      <c r="D499" s="2" t="str">
        <f>Argument!D499</f>
        <v>v</v>
      </c>
      <c r="E499" s="2" t="str">
        <f t="shared" si="14"/>
        <v/>
      </c>
      <c r="F499" s="2" t="str">
        <f>IF(C499=0,ISTEXT(FORMULA.CONVERT("="&amp;A499&amp;"("&amp;REPLACE(REPT(",#ref!",B499),1,1,"")&amp;")()",1)),"")</f>
        <v/>
      </c>
      <c r="G499" s="2">
        <f>TYPE(RENAME.COMMAND(IF(1,1),IF(1,1),IF(1,1),{1},IF(1,1)))</f>
        <v>64</v>
      </c>
      <c r="H499" s="2" t="str">
        <f t="shared" si="15"/>
        <v/>
      </c>
      <c r="I499" s="2">
        <f>TYPE(RENAME.COMMAND(IF(1,1),IF(1,1),IF(1,1),IF(1,1),IF(1,1)))</f>
        <v>4</v>
      </c>
      <c r="J499" s="2" t="str">
        <f>IF(C499=0,COUNTIFS(A:A,A499,D:D,"a"),"")</f>
        <v/>
      </c>
      <c r="K499" s="2" t="b">
        <f>INDEX(+RENAME.COMMAND(#REF!,#REF!,#REF!,K499:L499,#REF!),)</f>
        <v>0</v>
      </c>
      <c r="L499" s="1">
        <v>1</v>
      </c>
      <c r="M499" s="2" t="b">
        <f>INDEX(+RENAME.COMMAND(#REF!,#REF!,#REF!,INDIRECT(M499:N499),#REF!),)</f>
        <v>0</v>
      </c>
      <c r="N499" s="1">
        <v>1</v>
      </c>
    </row>
    <row r="500" spans="1:14" x14ac:dyDescent="0.55000000000000004">
      <c r="A500" s="1" t="s">
        <v>1622</v>
      </c>
      <c r="B500" s="2">
        <f>COUNTIF(A:A,A500)-1</f>
        <v>5</v>
      </c>
      <c r="C500" s="2">
        <f>COUNTIF(A$1:A500,A500)-1</f>
        <v>5</v>
      </c>
      <c r="D500" s="2" t="str">
        <f>Argument!D500</f>
        <v>v</v>
      </c>
      <c r="E500" s="2" t="str">
        <f t="shared" si="14"/>
        <v/>
      </c>
      <c r="F500" s="2" t="str">
        <f>IF(C500=0,ISTEXT(FORMULA.CONVERT("="&amp;A500&amp;"("&amp;REPLACE(REPT(",#ref!",B500),1,1,"")&amp;")()",1)),"")</f>
        <v/>
      </c>
      <c r="G500" s="2">
        <f>TYPE(RENAME.COMMAND(IF(1,1),IF(1,1),IF(1,1),IF(1,1),{1}))</f>
        <v>64</v>
      </c>
      <c r="H500" s="2" t="str">
        <f t="shared" si="15"/>
        <v/>
      </c>
      <c r="I500" s="2">
        <f>TYPE(RENAME.COMMAND(IF(1,1),IF(1,1),IF(1,1),IF(1,1),IF(1,1)))</f>
        <v>4</v>
      </c>
      <c r="J500" s="2" t="str">
        <f>IF(C500=0,COUNTIFS(A:A,A500,D:D,"a"),"")</f>
        <v/>
      </c>
      <c r="K500" s="2" t="b">
        <f>INDEX(+RENAME.COMMAND(#REF!,#REF!,#REF!,#REF!,K500:L500),)</f>
        <v>0</v>
      </c>
      <c r="L500" s="1">
        <v>1</v>
      </c>
      <c r="M500" s="2" t="b">
        <f>INDEX(+RENAME.COMMAND(#REF!,#REF!,#REF!,#REF!,INDIRECT(M500:N500)),)</f>
        <v>0</v>
      </c>
      <c r="N500" s="1">
        <v>1</v>
      </c>
    </row>
    <row r="501" spans="1:14" x14ac:dyDescent="0.55000000000000004">
      <c r="A501" s="1" t="s">
        <v>1623</v>
      </c>
      <c r="B501" s="2">
        <f>COUNTIF(A:A,A501)-1</f>
        <v>1</v>
      </c>
      <c r="C501" s="2">
        <f>COUNTIF(A$1:A501,A501)-1</f>
        <v>0</v>
      </c>
      <c r="D501" s="2" t="str">
        <f>Argument!D501</f>
        <v/>
      </c>
      <c r="E501" s="2" t="str">
        <f t="shared" si="14"/>
        <v>v</v>
      </c>
      <c r="F501" s="2" t="b">
        <f>IF(C501=0,ISTEXT(FORMULA.CONVERT("="&amp;A501&amp;"("&amp;REPLACE(REPT(",#ref!",B501),1,1,"")&amp;")()",1)),"")</f>
        <v>0</v>
      </c>
      <c r="G501" s="2"/>
      <c r="H501" s="2" t="str">
        <f t="shared" si="15"/>
        <v/>
      </c>
      <c r="I501" s="2">
        <f>TYPE(SHOW.BAR(IF(1,1)))</f>
        <v>4</v>
      </c>
      <c r="J501" s="2">
        <f>IF(C501=0,COUNTIFS(A:A,A501,D:D,"a"),"")</f>
        <v>0</v>
      </c>
      <c r="K501" s="2"/>
      <c r="M501" s="2"/>
    </row>
    <row r="502" spans="1:14" x14ac:dyDescent="0.55000000000000004">
      <c r="A502" s="1" t="s">
        <v>1623</v>
      </c>
      <c r="B502" s="2">
        <f>COUNTIF(A:A,A502)-1</f>
        <v>1</v>
      </c>
      <c r="C502" s="2">
        <f>COUNTIF(A$1:A502,A502)-1</f>
        <v>1</v>
      </c>
      <c r="D502" s="2" t="str">
        <f>Argument!D502</f>
        <v>v</v>
      </c>
      <c r="E502" s="2" t="str">
        <f t="shared" si="14"/>
        <v/>
      </c>
      <c r="F502" s="2" t="str">
        <f>IF(C502=0,ISTEXT(FORMULA.CONVERT("="&amp;A502&amp;"("&amp;REPLACE(REPT(",#ref!",B502),1,1,"")&amp;")()",1)),"")</f>
        <v/>
      </c>
      <c r="G502" s="2">
        <f>TYPE(SHOW.BAR({1}))</f>
        <v>64</v>
      </c>
      <c r="H502" s="2" t="str">
        <f t="shared" si="15"/>
        <v/>
      </c>
      <c r="I502" s="2">
        <f>TYPE(SHOW.BAR(IF(1,1)))</f>
        <v>4</v>
      </c>
      <c r="J502" s="2" t="str">
        <f>IF(C502=0,COUNTIFS(A:A,A502,D:D,"a"),"")</f>
        <v/>
      </c>
      <c r="K502" s="2" t="b">
        <f>INDEX(+SHOW.BAR(K502:L502),)</f>
        <v>0</v>
      </c>
      <c r="L502" s="1">
        <v>1</v>
      </c>
      <c r="M502" s="2" t="b">
        <f>INDEX(+SHOW.BAR(INDIRECT(M502:N502)),)</f>
        <v>0</v>
      </c>
      <c r="N502" s="1">
        <v>1</v>
      </c>
    </row>
    <row r="503" spans="1:14" x14ac:dyDescent="0.55000000000000004">
      <c r="A503" s="1" t="s">
        <v>1624</v>
      </c>
      <c r="B503" s="2">
        <f>COUNTIF(A:A,A503)-1</f>
        <v>3</v>
      </c>
      <c r="C503" s="2">
        <f>COUNTIF(A$1:A503,A503)-1</f>
        <v>0</v>
      </c>
      <c r="D503" s="2" t="str">
        <f>Argument!D503</f>
        <v/>
      </c>
      <c r="E503" s="2" t="str">
        <f t="shared" si="14"/>
        <v>v</v>
      </c>
      <c r="F503" s="2" t="b">
        <f>IF(C503=0,ISTEXT(FORMULA.CONVERT("="&amp;A503&amp;"("&amp;REPLACE(REPT(",#ref!",B503),1,1,"")&amp;")()",1)),"")</f>
        <v>0</v>
      </c>
      <c r="G503" s="2"/>
      <c r="H503" s="2" t="str">
        <f t="shared" si="15"/>
        <v/>
      </c>
      <c r="I503" s="2">
        <f>TYPE(DELETE.MENU(IF(1,1),IF(1,1),IF(1,1)))</f>
        <v>4</v>
      </c>
      <c r="J503" s="2">
        <f>IF(C503=0,COUNTIFS(A:A,A503,D:D,"a"),"")</f>
        <v>0</v>
      </c>
      <c r="K503" s="2"/>
      <c r="M503" s="2"/>
    </row>
    <row r="504" spans="1:14" x14ac:dyDescent="0.55000000000000004">
      <c r="A504" s="1" t="s">
        <v>1624</v>
      </c>
      <c r="B504" s="2">
        <f>COUNTIF(A:A,A504)-1</f>
        <v>3</v>
      </c>
      <c r="C504" s="2">
        <f>COUNTIF(A$1:A504,A504)-1</f>
        <v>1</v>
      </c>
      <c r="D504" s="2" t="str">
        <f>Argument!D504</f>
        <v>v</v>
      </c>
      <c r="E504" s="2" t="str">
        <f t="shared" si="14"/>
        <v/>
      </c>
      <c r="F504" s="2" t="str">
        <f>IF(C504=0,ISTEXT(FORMULA.CONVERT("="&amp;A504&amp;"("&amp;REPLACE(REPT(",#ref!",B504),1,1,"")&amp;")()",1)),"")</f>
        <v/>
      </c>
      <c r="G504" s="2">
        <f>TYPE(DELETE.MENU({1},IF(1,1),IF(1,1)))</f>
        <v>64</v>
      </c>
      <c r="H504" s="2" t="str">
        <f t="shared" si="15"/>
        <v/>
      </c>
      <c r="I504" s="2">
        <f>TYPE(DELETE.MENU(IF(1,1),IF(1,1),IF(1,1)))</f>
        <v>4</v>
      </c>
      <c r="J504" s="2" t="str">
        <f>IF(C504=0,COUNTIFS(A:A,A504,D:D,"a"),"")</f>
        <v/>
      </c>
      <c r="K504" s="2" t="b">
        <f>INDEX(+DELETE.MENU(K504:L504,#REF!,#REF!),)</f>
        <v>0</v>
      </c>
      <c r="L504" s="1">
        <v>1</v>
      </c>
      <c r="M504" s="2" t="b">
        <f>INDEX(+DELETE.MENU(INDIRECT(M504:N504),#REF!,#REF!),)</f>
        <v>0</v>
      </c>
      <c r="N504" s="1">
        <v>1</v>
      </c>
    </row>
    <row r="505" spans="1:14" x14ac:dyDescent="0.55000000000000004">
      <c r="A505" s="1" t="s">
        <v>1624</v>
      </c>
      <c r="B505" s="2">
        <f>COUNTIF(A:A,A505)-1</f>
        <v>3</v>
      </c>
      <c r="C505" s="2">
        <f>COUNTIF(A$1:A505,A505)-1</f>
        <v>2</v>
      </c>
      <c r="D505" s="2" t="str">
        <f>Argument!D505</f>
        <v>v</v>
      </c>
      <c r="E505" s="2" t="str">
        <f t="shared" si="14"/>
        <v/>
      </c>
      <c r="F505" s="2" t="str">
        <f>IF(C505=0,ISTEXT(FORMULA.CONVERT("="&amp;A505&amp;"("&amp;REPLACE(REPT(",#ref!",B505),1,1,"")&amp;")()",1)),"")</f>
        <v/>
      </c>
      <c r="G505" s="2">
        <f>TYPE(DELETE.MENU(IF(1,1),{1},IF(1,1)))</f>
        <v>64</v>
      </c>
      <c r="H505" s="2" t="str">
        <f t="shared" si="15"/>
        <v/>
      </c>
      <c r="I505" s="2">
        <f>TYPE(DELETE.MENU(IF(1,1),IF(1,1),IF(1,1)))</f>
        <v>4</v>
      </c>
      <c r="J505" s="2" t="str">
        <f>IF(C505=0,COUNTIFS(A:A,A505,D:D,"a"),"")</f>
        <v/>
      </c>
      <c r="K505" s="2" t="b">
        <f>INDEX(+DELETE.MENU(#REF!,K505:L505,#REF!),)</f>
        <v>0</v>
      </c>
      <c r="L505" s="1">
        <v>1</v>
      </c>
      <c r="M505" s="2" t="b">
        <f>INDEX(+DELETE.MENU(#REF!,INDIRECT(M505:N505),#REF!),)</f>
        <v>0</v>
      </c>
      <c r="N505" s="1">
        <v>1</v>
      </c>
    </row>
    <row r="506" spans="1:14" x14ac:dyDescent="0.55000000000000004">
      <c r="A506" s="1" t="s">
        <v>1624</v>
      </c>
      <c r="B506" s="2">
        <f>COUNTIF(A:A,A506)-1</f>
        <v>3</v>
      </c>
      <c r="C506" s="2">
        <f>COUNTIF(A$1:A506,A506)-1</f>
        <v>3</v>
      </c>
      <c r="D506" s="2" t="str">
        <f>Argument!D506</f>
        <v>v</v>
      </c>
      <c r="E506" s="2" t="str">
        <f t="shared" si="14"/>
        <v/>
      </c>
      <c r="F506" s="2" t="str">
        <f>IF(C506=0,ISTEXT(FORMULA.CONVERT("="&amp;A506&amp;"("&amp;REPLACE(REPT(",#ref!",B506),1,1,"")&amp;")()",1)),"")</f>
        <v/>
      </c>
      <c r="G506" s="2">
        <f>TYPE(DELETE.MENU(IF(1,1),IF(1,1),{1}))</f>
        <v>64</v>
      </c>
      <c r="H506" s="2" t="str">
        <f t="shared" si="15"/>
        <v/>
      </c>
      <c r="I506" s="2">
        <f>TYPE(DELETE.MENU(IF(1,1),IF(1,1),IF(1,1)))</f>
        <v>4</v>
      </c>
      <c r="J506" s="2" t="str">
        <f>IF(C506=0,COUNTIFS(A:A,A506,D:D,"a"),"")</f>
        <v/>
      </c>
      <c r="K506" s="2" t="b">
        <f>INDEX(+DELETE.MENU(#REF!,#REF!,K506:L506),)</f>
        <v>0</v>
      </c>
      <c r="L506" s="1">
        <v>1</v>
      </c>
      <c r="M506" s="2" t="b">
        <f>INDEX(+DELETE.MENU(#REF!,#REF!,INDIRECT(M506:N506)),)</f>
        <v>0</v>
      </c>
      <c r="N506" s="1">
        <v>1</v>
      </c>
    </row>
    <row r="507" spans="1:14" x14ac:dyDescent="0.55000000000000004">
      <c r="A507" s="1" t="s">
        <v>1625</v>
      </c>
      <c r="B507" s="2">
        <f>COUNTIF(A:A,A507)-1</f>
        <v>4</v>
      </c>
      <c r="C507" s="2">
        <f>COUNTIF(A$1:A507,A507)-1</f>
        <v>0</v>
      </c>
      <c r="D507" s="2" t="str">
        <f>Argument!D507</f>
        <v/>
      </c>
      <c r="E507" s="2" t="str">
        <f t="shared" si="14"/>
        <v>v</v>
      </c>
      <c r="F507" s="2" t="b">
        <f>IF(C507=0,ISTEXT(FORMULA.CONVERT("="&amp;A507&amp;"("&amp;REPLACE(REPT(",#ref!",B507),1,1,"")&amp;")()",1)),"")</f>
        <v>0</v>
      </c>
      <c r="G507" s="2"/>
      <c r="H507" s="2" t="str">
        <f t="shared" si="15"/>
        <v/>
      </c>
      <c r="I507" s="2">
        <f>TYPE(DELETE.COMMAND(IF(1,1),IF(1,1),IF(1,1),IF(1,1)))</f>
        <v>4</v>
      </c>
      <c r="J507" s="2">
        <f>IF(C507=0,COUNTIFS(A:A,A507,D:D,"a"),"")</f>
        <v>0</v>
      </c>
      <c r="K507" s="2"/>
      <c r="M507" s="2"/>
    </row>
    <row r="508" spans="1:14" x14ac:dyDescent="0.55000000000000004">
      <c r="A508" s="1" t="s">
        <v>1625</v>
      </c>
      <c r="B508" s="2">
        <f>COUNTIF(A:A,A508)-1</f>
        <v>4</v>
      </c>
      <c r="C508" s="2">
        <f>COUNTIF(A$1:A508,A508)-1</f>
        <v>1</v>
      </c>
      <c r="D508" s="2" t="str">
        <f>Argument!D508</f>
        <v>v</v>
      </c>
      <c r="E508" s="2" t="str">
        <f t="shared" si="14"/>
        <v/>
      </c>
      <c r="F508" s="2" t="str">
        <f>IF(C508=0,ISTEXT(FORMULA.CONVERT("="&amp;A508&amp;"("&amp;REPLACE(REPT(",#ref!",B508),1,1,"")&amp;")()",1)),"")</f>
        <v/>
      </c>
      <c r="G508" s="2">
        <f>TYPE(DELETE.COMMAND({1},IF(1,1),IF(1,1),IF(1,1)))</f>
        <v>64</v>
      </c>
      <c r="H508" s="2" t="str">
        <f t="shared" si="15"/>
        <v/>
      </c>
      <c r="I508" s="2">
        <f>TYPE(DELETE.COMMAND(IF(1,1),IF(1,1),IF(1,1),IF(1,1)))</f>
        <v>4</v>
      </c>
      <c r="J508" s="2" t="str">
        <f>IF(C508=0,COUNTIFS(A:A,A508,D:D,"a"),"")</f>
        <v/>
      </c>
      <c r="K508" s="2" t="b">
        <f>INDEX(+DELETE.COMMAND(K508:L508,#REF!,#REF!,#REF!),)</f>
        <v>0</v>
      </c>
      <c r="L508" s="1">
        <v>1</v>
      </c>
      <c r="M508" s="2" t="b">
        <f>INDEX(+DELETE.COMMAND(INDIRECT(M508:N508),#REF!,#REF!,#REF!),)</f>
        <v>0</v>
      </c>
      <c r="N508" s="1">
        <v>1</v>
      </c>
    </row>
    <row r="509" spans="1:14" x14ac:dyDescent="0.55000000000000004">
      <c r="A509" s="1" t="s">
        <v>1625</v>
      </c>
      <c r="B509" s="2">
        <f>COUNTIF(A:A,A509)-1</f>
        <v>4</v>
      </c>
      <c r="C509" s="2">
        <f>COUNTIF(A$1:A509,A509)-1</f>
        <v>2</v>
      </c>
      <c r="D509" s="2" t="str">
        <f>Argument!D509</f>
        <v>v</v>
      </c>
      <c r="E509" s="2" t="str">
        <f t="shared" si="14"/>
        <v/>
      </c>
      <c r="F509" s="2" t="str">
        <f>IF(C509=0,ISTEXT(FORMULA.CONVERT("="&amp;A509&amp;"("&amp;REPLACE(REPT(",#ref!",B509),1,1,"")&amp;")()",1)),"")</f>
        <v/>
      </c>
      <c r="G509" s="2">
        <f>TYPE(DELETE.COMMAND(IF(1,1),{1},IF(1,1),IF(1,1)))</f>
        <v>64</v>
      </c>
      <c r="H509" s="2" t="str">
        <f t="shared" si="15"/>
        <v/>
      </c>
      <c r="I509" s="2">
        <f>TYPE(DELETE.COMMAND(IF(1,1),IF(1,1),IF(1,1),IF(1,1)))</f>
        <v>4</v>
      </c>
      <c r="J509" s="2" t="str">
        <f>IF(C509=0,COUNTIFS(A:A,A509,D:D,"a"),"")</f>
        <v/>
      </c>
      <c r="K509" s="2" t="b">
        <f>INDEX(+DELETE.COMMAND(#REF!,K509:L509,#REF!,#REF!),)</f>
        <v>0</v>
      </c>
      <c r="L509" s="1">
        <v>1</v>
      </c>
      <c r="M509" s="2" t="b">
        <f>INDEX(+DELETE.COMMAND(#REF!,INDIRECT(M509:N509),#REF!,#REF!),)</f>
        <v>0</v>
      </c>
      <c r="N509" s="1">
        <v>1</v>
      </c>
    </row>
    <row r="510" spans="1:14" x14ac:dyDescent="0.55000000000000004">
      <c r="A510" s="1" t="s">
        <v>1625</v>
      </c>
      <c r="B510" s="2">
        <f>COUNTIF(A:A,A510)-1</f>
        <v>4</v>
      </c>
      <c r="C510" s="2">
        <f>COUNTIF(A$1:A510,A510)-1</f>
        <v>3</v>
      </c>
      <c r="D510" s="2" t="str">
        <f>Argument!D510</f>
        <v>v</v>
      </c>
      <c r="E510" s="2" t="str">
        <f t="shared" si="14"/>
        <v/>
      </c>
      <c r="F510" s="2" t="str">
        <f>IF(C510=0,ISTEXT(FORMULA.CONVERT("="&amp;A510&amp;"("&amp;REPLACE(REPT(",#ref!",B510),1,1,"")&amp;")()",1)),"")</f>
        <v/>
      </c>
      <c r="G510" s="2">
        <f>TYPE(DELETE.COMMAND(IF(1,1),IF(1,1),{1},IF(1,1)))</f>
        <v>64</v>
      </c>
      <c r="H510" s="2" t="str">
        <f t="shared" si="15"/>
        <v/>
      </c>
      <c r="I510" s="2">
        <f>TYPE(DELETE.COMMAND(IF(1,1),IF(1,1),IF(1,1),IF(1,1)))</f>
        <v>4</v>
      </c>
      <c r="J510" s="2" t="str">
        <f>IF(C510=0,COUNTIFS(A:A,A510,D:D,"a"),"")</f>
        <v/>
      </c>
      <c r="K510" s="2" t="b">
        <f>INDEX(+DELETE.COMMAND(#REF!,#REF!,K510:L510,#REF!),)</f>
        <v>0</v>
      </c>
      <c r="L510" s="1">
        <v>1</v>
      </c>
      <c r="M510" s="2" t="b">
        <f>INDEX(+DELETE.COMMAND(#REF!,#REF!,INDIRECT(M510:N510),#REF!),)</f>
        <v>0</v>
      </c>
      <c r="N510" s="1">
        <v>1</v>
      </c>
    </row>
    <row r="511" spans="1:14" x14ac:dyDescent="0.55000000000000004">
      <c r="A511" s="1" t="s">
        <v>1625</v>
      </c>
      <c r="B511" s="2">
        <f>COUNTIF(A:A,A511)-1</f>
        <v>4</v>
      </c>
      <c r="C511" s="2">
        <f>COUNTIF(A$1:A511,A511)-1</f>
        <v>4</v>
      </c>
      <c r="D511" s="2" t="str">
        <f>Argument!D511</f>
        <v>v</v>
      </c>
      <c r="E511" s="2" t="str">
        <f t="shared" si="14"/>
        <v/>
      </c>
      <c r="F511" s="2" t="str">
        <f>IF(C511=0,ISTEXT(FORMULA.CONVERT("="&amp;A511&amp;"("&amp;REPLACE(REPT(",#ref!",B511),1,1,"")&amp;")()",1)),"")</f>
        <v/>
      </c>
      <c r="G511" s="2">
        <f>TYPE(DELETE.COMMAND(IF(1,1),IF(1,1),IF(1,1),{1}))</f>
        <v>64</v>
      </c>
      <c r="H511" s="2" t="str">
        <f t="shared" si="15"/>
        <v/>
      </c>
      <c r="I511" s="2">
        <f>TYPE(DELETE.COMMAND(IF(1,1),IF(1,1),IF(1,1),IF(1,1)))</f>
        <v>4</v>
      </c>
      <c r="J511" s="2" t="str">
        <f>IF(C511=0,COUNTIFS(A:A,A511,D:D,"a"),"")</f>
        <v/>
      </c>
      <c r="K511" s="2" t="b">
        <f>INDEX(+DELETE.COMMAND(#REF!,#REF!,#REF!,K511:L511),)</f>
        <v>0</v>
      </c>
      <c r="L511" s="1">
        <v>1</v>
      </c>
      <c r="M511" s="2" t="b">
        <f>INDEX(+DELETE.COMMAND(#REF!,#REF!,#REF!,INDIRECT(M511:N511)),)</f>
        <v>0</v>
      </c>
      <c r="N511" s="1">
        <v>1</v>
      </c>
    </row>
    <row r="512" spans="1:14" x14ac:dyDescent="0.55000000000000004">
      <c r="A512" s="1" t="s">
        <v>1626</v>
      </c>
      <c r="B512" s="2">
        <f>COUNTIF(A:A,A512)-1</f>
        <v>3</v>
      </c>
      <c r="C512" s="2">
        <f>COUNTIF(A$1:A512,A512)-1</f>
        <v>0</v>
      </c>
      <c r="D512" s="2" t="str">
        <f>Argument!D512</f>
        <v/>
      </c>
      <c r="E512" s="2" t="str">
        <f t="shared" si="14"/>
        <v>v</v>
      </c>
      <c r="F512" s="2" t="b">
        <f>IF(C512=0,ISTEXT(FORMULA.CONVERT("="&amp;A512&amp;"("&amp;REPLACE(REPT(",#ref!",B512),1,1,"")&amp;")()",1)),"")</f>
        <v>0</v>
      </c>
      <c r="G512" s="2"/>
      <c r="H512" s="2" t="str">
        <f t="shared" si="15"/>
        <v/>
      </c>
      <c r="I512" s="2">
        <f>TYPE(GET.CHART.ITEM(IF(1,1),IF(1,1),IF(1,1)))</f>
        <v>1</v>
      </c>
      <c r="J512" s="2">
        <f>IF(C512=0,COUNTIFS(A:A,A512,D:D,"a"),"")</f>
        <v>0</v>
      </c>
      <c r="K512" s="2"/>
      <c r="M512" s="2"/>
    </row>
    <row r="513" spans="1:14" x14ac:dyDescent="0.55000000000000004">
      <c r="A513" s="1" t="s">
        <v>1626</v>
      </c>
      <c r="B513" s="2">
        <f>COUNTIF(A:A,A513)-1</f>
        <v>3</v>
      </c>
      <c r="C513" s="2">
        <f>COUNTIF(A$1:A513,A513)-1</f>
        <v>1</v>
      </c>
      <c r="D513" s="2" t="str">
        <f>Argument!D513</f>
        <v>v</v>
      </c>
      <c r="E513" s="2" t="str">
        <f t="shared" si="14"/>
        <v/>
      </c>
      <c r="F513" s="2" t="str">
        <f>IF(C513=0,ISTEXT(FORMULA.CONVERT("="&amp;A513&amp;"("&amp;REPLACE(REPT(",#ref!",B513),1,1,"")&amp;")()",1)),"")</f>
        <v/>
      </c>
      <c r="G513" s="2">
        <f>TYPE(GET.CHART.ITEM({1},IF(1,1),IF(1,1)))</f>
        <v>64</v>
      </c>
      <c r="H513" s="2" t="str">
        <f t="shared" si="15"/>
        <v/>
      </c>
      <c r="I513" s="2">
        <f>TYPE(GET.CHART.ITEM(IF(1,1),IF(1,1),IF(1,1)))</f>
        <v>1</v>
      </c>
      <c r="J513" s="2" t="str">
        <f>IF(C513=0,COUNTIFS(A:A,A513,D:D,"a"),"")</f>
        <v/>
      </c>
      <c r="K513" s="2" t="e">
        <f>INDEX(+GET.CHART.ITEM(K513:L513,#REF!,#REF!),)</f>
        <v>#REF!</v>
      </c>
      <c r="L513" s="1">
        <v>1</v>
      </c>
      <c r="M513" s="2" t="e">
        <f>INDEX(+GET.CHART.ITEM(INDIRECT(M513:N513),#REF!,#REF!),)</f>
        <v>#REF!</v>
      </c>
      <c r="N513" s="1">
        <v>1</v>
      </c>
    </row>
    <row r="514" spans="1:14" x14ac:dyDescent="0.55000000000000004">
      <c r="A514" s="1" t="s">
        <v>1626</v>
      </c>
      <c r="B514" s="2">
        <f>COUNTIF(A:A,A514)-1</f>
        <v>3</v>
      </c>
      <c r="C514" s="2">
        <f>COUNTIF(A$1:A514,A514)-1</f>
        <v>2</v>
      </c>
      <c r="D514" s="2" t="str">
        <f>Argument!D514</f>
        <v>v</v>
      </c>
      <c r="E514" s="2" t="str">
        <f t="shared" ref="E514:E577" si="16">IF(C514=0,IF(SUMIFS(H:H,A:A,A514),IF(COUNTIFS(A:A,A514,G:G,64),,"v")&amp;IF(F514,"ar","a"),IF(F514,"r","v")),"")</f>
        <v/>
      </c>
      <c r="F514" s="2" t="str">
        <f>IF(C514=0,ISTEXT(FORMULA.CONVERT("="&amp;A514&amp;"("&amp;REPLACE(REPT(",#ref!",B514),1,1,"")&amp;")()",1)),"")</f>
        <v/>
      </c>
      <c r="G514" s="2">
        <f>TYPE(GET.CHART.ITEM(IF(1,1),{1},IF(1,1)))</f>
        <v>64</v>
      </c>
      <c r="H514" s="2" t="str">
        <f t="shared" ref="H514:H577" si="17">IF((I514=64)*(J514=B514)+(1-L514)*COUNTIF(D514,"*v*")+(1-N514)*COUNTIF(D514,"*r*"),1,"")</f>
        <v/>
      </c>
      <c r="I514" s="2">
        <f>TYPE(GET.CHART.ITEM(IF(1,1),IF(1,1),IF(1,1)))</f>
        <v>1</v>
      </c>
      <c r="J514" s="2" t="str">
        <f>IF(C514=0,COUNTIFS(A:A,A514,D:D,"a"),"")</f>
        <v/>
      </c>
      <c r="K514" s="2" t="e">
        <f>INDEX(+GET.CHART.ITEM(#REF!,K514:L514,#REF!),)</f>
        <v>#REF!</v>
      </c>
      <c r="L514" s="1">
        <v>1</v>
      </c>
      <c r="M514" s="2" t="e">
        <f>INDEX(+GET.CHART.ITEM(#REF!,INDIRECT(M514:N514),#REF!),)</f>
        <v>#REF!</v>
      </c>
      <c r="N514" s="1">
        <v>1</v>
      </c>
    </row>
    <row r="515" spans="1:14" x14ac:dyDescent="0.55000000000000004">
      <c r="A515" s="1" t="s">
        <v>1626</v>
      </c>
      <c r="B515" s="2">
        <f>COUNTIF(A:A,A515)-1</f>
        <v>3</v>
      </c>
      <c r="C515" s="2">
        <f>COUNTIF(A$1:A515,A515)-1</f>
        <v>3</v>
      </c>
      <c r="D515" s="2" t="str">
        <f>Argument!D515</f>
        <v>v</v>
      </c>
      <c r="E515" s="2" t="str">
        <f t="shared" si="16"/>
        <v/>
      </c>
      <c r="F515" s="2" t="str">
        <f>IF(C515=0,ISTEXT(FORMULA.CONVERT("="&amp;A515&amp;"("&amp;REPLACE(REPT(",#ref!",B515),1,1,"")&amp;")()",1)),"")</f>
        <v/>
      </c>
      <c r="G515" s="2">
        <f>TYPE(GET.CHART.ITEM(IF(1,1),IF(1,1),{1}))</f>
        <v>64</v>
      </c>
      <c r="H515" s="2" t="str">
        <f t="shared" si="17"/>
        <v/>
      </c>
      <c r="I515" s="2">
        <f>TYPE(GET.CHART.ITEM(IF(1,1),IF(1,1),IF(1,1)))</f>
        <v>1</v>
      </c>
      <c r="J515" s="2" t="str">
        <f>IF(C515=0,COUNTIFS(A:A,A515,D:D,"a"),"")</f>
        <v/>
      </c>
      <c r="K515" s="2" t="e">
        <f>INDEX(+GET.CHART.ITEM(#REF!,#REF!,K515:L515),)</f>
        <v>#REF!</v>
      </c>
      <c r="L515" s="1">
        <v>1</v>
      </c>
      <c r="M515" s="2" t="e">
        <f>INDEX(+GET.CHART.ITEM(#REF!,#REF!,INDIRECT(M515:N515)),)</f>
        <v>#REF!</v>
      </c>
      <c r="N515" s="1">
        <v>1</v>
      </c>
    </row>
    <row r="516" spans="1:14" x14ac:dyDescent="0.55000000000000004">
      <c r="A516" s="1" t="s">
        <v>1627</v>
      </c>
      <c r="B516" s="2">
        <f>COUNTIF(A:A,A516)-1</f>
        <v>1</v>
      </c>
      <c r="C516" s="2">
        <f>COUNTIF(A$1:A516,A516)-1</f>
        <v>0</v>
      </c>
      <c r="D516" s="2" t="str">
        <f>Argument!D516</f>
        <v/>
      </c>
      <c r="E516" s="2" t="str">
        <f t="shared" si="16"/>
        <v>va</v>
      </c>
      <c r="F516" s="2" t="b">
        <f>IF(C516=0,ISTEXT(FORMULA.CONVERT("="&amp;A516&amp;"("&amp;REPLACE(REPT(",#ref!",B516),1,1,"")&amp;")()",1)),"")</f>
        <v>0</v>
      </c>
      <c r="G516" s="2"/>
      <c r="H516" s="2" t="str">
        <f t="shared" si="17"/>
        <v/>
      </c>
      <c r="I516" s="2">
        <f>TYPE(DIALOG.BOX(IF(1,1)))</f>
        <v>16</v>
      </c>
      <c r="J516" s="2">
        <f>IF(C516=0,COUNTIFS(A:A,A516,D:D,"a"),"")</f>
        <v>0</v>
      </c>
      <c r="K516" s="2"/>
      <c r="M516" s="2"/>
    </row>
    <row r="517" spans="1:14" x14ac:dyDescent="0.55000000000000004">
      <c r="A517" s="1" t="s">
        <v>1627</v>
      </c>
      <c r="B517" s="2">
        <f>COUNTIF(A:A,A517)-1</f>
        <v>1</v>
      </c>
      <c r="C517" s="2">
        <f>COUNTIF(A$1:A517,A517)-1</f>
        <v>1</v>
      </c>
      <c r="D517" s="2" t="str">
        <f>Argument!D517</f>
        <v>var</v>
      </c>
      <c r="E517" s="2" t="str">
        <f t="shared" si="16"/>
        <v/>
      </c>
      <c r="F517" s="2" t="str">
        <f>IF(C517=0,ISTEXT(FORMULA.CONVERT("="&amp;A517&amp;"("&amp;REPLACE(REPT(",#ref!",B517),1,1,"")&amp;")()",1)),"")</f>
        <v/>
      </c>
      <c r="G517" s="2">
        <f>TYPE(DIALOG.BOX({1}))</f>
        <v>4</v>
      </c>
      <c r="H517" s="2">
        <f t="shared" si="17"/>
        <v>1</v>
      </c>
      <c r="I517" s="2">
        <f>TYPE(DIALOG.BOX(IF(1,1)))</f>
        <v>16</v>
      </c>
      <c r="J517" s="2" t="str">
        <f>IF(C517=0,COUNTIFS(A:A,A517,D:D,"a"),"")</f>
        <v/>
      </c>
      <c r="K517" s="2" t="e">
        <f>INDEX(+DIALOG.BOX(K517:L517),)</f>
        <v>#VALUE!</v>
      </c>
      <c r="L517" s="1">
        <v>1</v>
      </c>
      <c r="M517" s="2" t="e">
        <f>INDEX(+DIALOG.BOX(INDIRECT(M517:N517)),)</f>
        <v>#VALUE!</v>
      </c>
    </row>
    <row r="518" spans="1:14" x14ac:dyDescent="0.55000000000000004">
      <c r="A518" s="1" t="s">
        <v>1628</v>
      </c>
      <c r="B518" s="2">
        <f>COUNTIF(A:A,A518)-1</f>
        <v>1</v>
      </c>
      <c r="C518" s="2">
        <f>COUNTIF(A$1:A518,A518)-1</f>
        <v>0</v>
      </c>
      <c r="D518" s="2" t="str">
        <f>Argument!D518</f>
        <v/>
      </c>
      <c r="E518" s="2" t="str">
        <f t="shared" si="16"/>
        <v>v</v>
      </c>
      <c r="F518" s="2" t="b">
        <f>IF(C518=0,ISTEXT(FORMULA.CONVERT("="&amp;A518&amp;"("&amp;REPLACE(REPT(",#ref!",B518),1,1,"")&amp;")()",1)),"")</f>
        <v>0</v>
      </c>
      <c r="G518" s="2"/>
      <c r="H518" s="2" t="str">
        <f t="shared" si="17"/>
        <v/>
      </c>
      <c r="I518" s="2">
        <f>TYPE(CLEAN(IF(1,1)))</f>
        <v>2</v>
      </c>
      <c r="J518" s="2">
        <f>IF(C518=0,COUNTIFS(A:A,A518,D:D,"a"),"")</f>
        <v>0</v>
      </c>
      <c r="K518" s="2"/>
      <c r="M518" s="2"/>
    </row>
    <row r="519" spans="1:14" x14ac:dyDescent="0.55000000000000004">
      <c r="A519" s="1" t="s">
        <v>1628</v>
      </c>
      <c r="B519" s="2">
        <f>COUNTIF(A:A,A519)-1</f>
        <v>1</v>
      </c>
      <c r="C519" s="2">
        <f>COUNTIF(A$1:A519,A519)-1</f>
        <v>1</v>
      </c>
      <c r="D519" s="2" t="str">
        <f>Argument!D519</f>
        <v>v</v>
      </c>
      <c r="E519" s="2" t="str">
        <f t="shared" si="16"/>
        <v/>
      </c>
      <c r="F519" s="2" t="str">
        <f>IF(C519=0,ISTEXT(FORMULA.CONVERT("="&amp;A519&amp;"("&amp;REPLACE(REPT(",#ref!",B519),1,1,"")&amp;")()",1)),"")</f>
        <v/>
      </c>
      <c r="G519" s="2">
        <f>TYPE(CLEAN({1}))</f>
        <v>64</v>
      </c>
      <c r="H519" s="2" t="str">
        <f t="shared" si="17"/>
        <v/>
      </c>
      <c r="I519" s="2">
        <f>TYPE(CLEAN(IF(1,1)))</f>
        <v>2</v>
      </c>
      <c r="J519" s="2" t="str">
        <f>IF(C519=0,COUNTIFS(A:A,A519,D:D,"a"),"")</f>
        <v/>
      </c>
      <c r="K519" s="2" t="str">
        <f>INDEX(+CLEAN(K519:L519),)</f>
        <v>0</v>
      </c>
      <c r="L519" s="1">
        <v>1</v>
      </c>
      <c r="M519" s="2" t="e">
        <f>INDEX(+CLEAN(INDIRECT(M519:N519)),)</f>
        <v>#REF!</v>
      </c>
      <c r="N519" s="1">
        <v>1</v>
      </c>
    </row>
    <row r="520" spans="1:14" x14ac:dyDescent="0.55000000000000004">
      <c r="A520" s="1" t="s">
        <v>1629</v>
      </c>
      <c r="B520" s="2">
        <f>COUNTIF(A:A,A520)-1</f>
        <v>1</v>
      </c>
      <c r="C520" s="2">
        <f>COUNTIF(A$1:A520,A520)-1</f>
        <v>0</v>
      </c>
      <c r="D520" s="2" t="str">
        <f>Argument!D520</f>
        <v/>
      </c>
      <c r="E520" s="2" t="str">
        <f t="shared" si="16"/>
        <v>v</v>
      </c>
      <c r="F520" s="2" t="b">
        <f>IF(C520=0,ISTEXT(FORMULA.CONVERT("="&amp;A520&amp;"("&amp;REPLACE(REPT(",#ref!",B520),1,1,"")&amp;")()",1)),"")</f>
        <v>0</v>
      </c>
      <c r="G520" s="2"/>
      <c r="H520" s="2" t="str">
        <f t="shared" si="17"/>
        <v/>
      </c>
      <c r="I520" s="2">
        <f>TYPE(MDETERM(IF(1,1)))</f>
        <v>1</v>
      </c>
      <c r="J520" s="2">
        <f>IF(C520=0,COUNTIFS(A:A,A520,D:D,"a"),"")</f>
        <v>1</v>
      </c>
      <c r="K520" s="2"/>
      <c r="M520" s="2"/>
    </row>
    <row r="521" spans="1:14" x14ac:dyDescent="0.55000000000000004">
      <c r="A521" s="1" t="s">
        <v>1629</v>
      </c>
      <c r="B521" s="2">
        <f>COUNTIF(A:A,A521)-1</f>
        <v>1</v>
      </c>
      <c r="C521" s="2">
        <f>COUNTIF(A$1:A521,A521)-1</f>
        <v>1</v>
      </c>
      <c r="D521" s="2" t="str">
        <f>Argument!D521</f>
        <v>a</v>
      </c>
      <c r="E521" s="2" t="str">
        <f t="shared" si="16"/>
        <v/>
      </c>
      <c r="F521" s="2" t="str">
        <f>IF(C521=0,ISTEXT(FORMULA.CONVERT("="&amp;A521&amp;"("&amp;REPLACE(REPT(",#ref!",B521),1,1,"")&amp;")()",1)),"")</f>
        <v/>
      </c>
      <c r="G521" s="2">
        <f>TYPE(MDETERM({1}))</f>
        <v>1</v>
      </c>
      <c r="H521" s="2" t="str">
        <f t="shared" si="17"/>
        <v/>
      </c>
      <c r="I521" s="2">
        <f>TYPE(MDETERM(IF(1,1)))</f>
        <v>1</v>
      </c>
      <c r="J521" s="2" t="str">
        <f>IF(C521=0,COUNTIFS(A:A,A521,D:D,"a"),"")</f>
        <v/>
      </c>
      <c r="K521" s="2" t="e">
        <f>INDEX(+MDETERM(K521:L521),)</f>
        <v>#VALUE!</v>
      </c>
      <c r="L521" s="1">
        <v>1</v>
      </c>
      <c r="M521" s="2" t="e">
        <f>INDEX(+MDETERM(INDIRECT(M521:N521)),)</f>
        <v>#REF!</v>
      </c>
      <c r="N521" s="1">
        <v>1</v>
      </c>
    </row>
    <row r="522" spans="1:14" x14ac:dyDescent="0.55000000000000004">
      <c r="A522" s="1" t="s">
        <v>1630</v>
      </c>
      <c r="B522" s="2">
        <f>COUNTIF(A:A,A522)-1</f>
        <v>1</v>
      </c>
      <c r="C522" s="2">
        <f>COUNTIF(A$1:A522,A522)-1</f>
        <v>0</v>
      </c>
      <c r="D522" s="2" t="str">
        <f>Argument!D522</f>
        <v/>
      </c>
      <c r="E522" s="2" t="str">
        <f t="shared" si="16"/>
        <v>a</v>
      </c>
      <c r="F522" s="2" t="b">
        <f>IF(C522=0,ISTEXT(FORMULA.CONVERT("="&amp;A522&amp;"("&amp;REPLACE(REPT(",#ref!",B522),1,1,"")&amp;")()",1)),"")</f>
        <v>0</v>
      </c>
      <c r="G522" s="2"/>
      <c r="H522" s="2">
        <f t="shared" si="17"/>
        <v>1</v>
      </c>
      <c r="I522" s="2">
        <f>TYPE(MINVERSE(IF(1,1)))</f>
        <v>64</v>
      </c>
      <c r="J522" s="2">
        <f>IF(C522=0,COUNTIFS(A:A,A522,D:D,"a"),"")</f>
        <v>1</v>
      </c>
      <c r="K522" s="2"/>
      <c r="M522" s="2"/>
    </row>
    <row r="523" spans="1:14" x14ac:dyDescent="0.55000000000000004">
      <c r="A523" s="1" t="s">
        <v>1630</v>
      </c>
      <c r="B523" s="2">
        <f>COUNTIF(A:A,A523)-1</f>
        <v>1</v>
      </c>
      <c r="C523" s="2">
        <f>COUNTIF(A$1:A523,A523)-1</f>
        <v>1</v>
      </c>
      <c r="D523" s="2" t="str">
        <f>Argument!D523</f>
        <v>a</v>
      </c>
      <c r="E523" s="2" t="str">
        <f t="shared" si="16"/>
        <v/>
      </c>
      <c r="F523" s="2" t="str">
        <f>IF(C523=0,ISTEXT(FORMULA.CONVERT("="&amp;A523&amp;"("&amp;REPLACE(REPT(",#ref!",B523),1,1,"")&amp;")()",1)),"")</f>
        <v/>
      </c>
      <c r="G523" s="2">
        <f>TYPE(MINVERSE({1}))</f>
        <v>64</v>
      </c>
      <c r="H523" s="2" t="str">
        <f t="shared" si="17"/>
        <v/>
      </c>
      <c r="I523" s="2">
        <f>TYPE(MINVERSE(IF(1,1)))</f>
        <v>64</v>
      </c>
      <c r="J523" s="2" t="str">
        <f>IF(C523=0,COUNTIFS(A:A,A523,D:D,"a"),"")</f>
        <v/>
      </c>
      <c r="K523" s="2" t="e">
        <f>INDEX(+MINVERSE(K523:L523),)</f>
        <v>#VALUE!</v>
      </c>
      <c r="L523" s="1">
        <v>1</v>
      </c>
      <c r="M523" s="2" t="e">
        <f>INDEX(+MINVERSE(INDIRECT(M523:N523)),)</f>
        <v>#REF!</v>
      </c>
      <c r="N523" s="1">
        <v>1</v>
      </c>
    </row>
    <row r="524" spans="1:14" x14ac:dyDescent="0.55000000000000004">
      <c r="A524" s="1" t="s">
        <v>1631</v>
      </c>
      <c r="B524" s="2">
        <f>COUNTIF(A:A,A524)-1</f>
        <v>2</v>
      </c>
      <c r="C524" s="2">
        <f>COUNTIF(A$1:A524,A524)-1</f>
        <v>0</v>
      </c>
      <c r="D524" s="2" t="str">
        <f>Argument!D524</f>
        <v/>
      </c>
      <c r="E524" s="2" t="str">
        <f t="shared" si="16"/>
        <v>a</v>
      </c>
      <c r="F524" s="2" t="b">
        <f>IF(C524=0,ISTEXT(FORMULA.CONVERT("="&amp;A524&amp;"("&amp;REPLACE(REPT(",#ref!",B524),1,1,"")&amp;")()",1)),"")</f>
        <v>0</v>
      </c>
      <c r="G524" s="2"/>
      <c r="H524" s="2">
        <f t="shared" si="17"/>
        <v>1</v>
      </c>
      <c r="I524" s="2">
        <f>TYPE(MMULT(IF(1,1),IF(1,1)))</f>
        <v>64</v>
      </c>
      <c r="J524" s="2">
        <f>IF(C524=0,COUNTIFS(A:A,A524,D:D,"a"),"")</f>
        <v>2</v>
      </c>
      <c r="K524" s="2"/>
      <c r="M524" s="2"/>
    </row>
    <row r="525" spans="1:14" x14ac:dyDescent="0.55000000000000004">
      <c r="A525" s="1" t="s">
        <v>1631</v>
      </c>
      <c r="B525" s="2">
        <f>COUNTIF(A:A,A525)-1</f>
        <v>2</v>
      </c>
      <c r="C525" s="2">
        <f>COUNTIF(A$1:A525,A525)-1</f>
        <v>1</v>
      </c>
      <c r="D525" s="2" t="str">
        <f>Argument!D525</f>
        <v>a</v>
      </c>
      <c r="E525" s="2" t="str">
        <f t="shared" si="16"/>
        <v/>
      </c>
      <c r="F525" s="2" t="str">
        <f>IF(C525=0,ISTEXT(FORMULA.CONVERT("="&amp;A525&amp;"("&amp;REPLACE(REPT(",#ref!",B525),1,1,"")&amp;")()",1)),"")</f>
        <v/>
      </c>
      <c r="G525" s="2">
        <f>TYPE(MMULT({1},IF(1,1)))</f>
        <v>64</v>
      </c>
      <c r="H525" s="2" t="str">
        <f t="shared" si="17"/>
        <v/>
      </c>
      <c r="I525" s="2">
        <f>TYPE(MMULT(IF(1,1),IF(1,1)))</f>
        <v>64</v>
      </c>
      <c r="J525" s="2" t="str">
        <f>IF(C525=0,COUNTIFS(A:A,A525,D:D,"a"),"")</f>
        <v/>
      </c>
      <c r="K525" s="2" t="e">
        <f>INDEX(+MMULT(K525:L525,#REF!),)</f>
        <v>#REF!</v>
      </c>
      <c r="L525" s="1">
        <v>1</v>
      </c>
      <c r="M525" s="2" t="e">
        <f>INDEX(+MMULT(INDIRECT(M525:N525),#REF!),)</f>
        <v>#REF!</v>
      </c>
      <c r="N525" s="1">
        <v>1</v>
      </c>
    </row>
    <row r="526" spans="1:14" x14ac:dyDescent="0.55000000000000004">
      <c r="A526" s="1" t="s">
        <v>1631</v>
      </c>
      <c r="B526" s="2">
        <f>COUNTIF(A:A,A526)-1</f>
        <v>2</v>
      </c>
      <c r="C526" s="2">
        <f>COUNTIF(A$1:A526,A526)-1</f>
        <v>2</v>
      </c>
      <c r="D526" s="2" t="str">
        <f>Argument!D526</f>
        <v>a</v>
      </c>
      <c r="E526" s="2" t="str">
        <f t="shared" si="16"/>
        <v/>
      </c>
      <c r="F526" s="2" t="str">
        <f>IF(C526=0,ISTEXT(FORMULA.CONVERT("="&amp;A526&amp;"("&amp;REPLACE(REPT(",#ref!",B526),1,1,"")&amp;")()",1)),"")</f>
        <v/>
      </c>
      <c r="G526" s="2">
        <f>TYPE(MMULT(IF(1,1),{1}))</f>
        <v>64</v>
      </c>
      <c r="H526" s="2" t="str">
        <f t="shared" si="17"/>
        <v/>
      </c>
      <c r="I526" s="2">
        <f>TYPE(MMULT(IF(1,1),IF(1,1)))</f>
        <v>64</v>
      </c>
      <c r="J526" s="2" t="str">
        <f>IF(C526=0,COUNTIFS(A:A,A526,D:D,"a"),"")</f>
        <v/>
      </c>
      <c r="K526" s="2" t="e">
        <f>INDEX(+MMULT(#REF!,K526:L526),)</f>
        <v>#REF!</v>
      </c>
      <c r="L526" s="1">
        <v>1</v>
      </c>
      <c r="M526" s="2" t="e">
        <f>INDEX(+MMULT(#REF!,INDIRECT(M526:N526)),)</f>
        <v>#REF!</v>
      </c>
      <c r="N526" s="1">
        <v>1</v>
      </c>
    </row>
    <row r="527" spans="1:14" x14ac:dyDescent="0.55000000000000004">
      <c r="A527" s="1" t="s">
        <v>1632</v>
      </c>
      <c r="B527" s="2">
        <f>COUNTIF(A:A,A527)-1</f>
        <v>1</v>
      </c>
      <c r="C527" s="2">
        <f>COUNTIF(A$1:A527,A527)-1</f>
        <v>0</v>
      </c>
      <c r="D527" s="2" t="str">
        <f>Argument!D527</f>
        <v/>
      </c>
      <c r="E527" s="2" t="str">
        <f t="shared" si="16"/>
        <v>va</v>
      </c>
      <c r="F527" s="2" t="b">
        <f>IF(C527=0,ISTEXT(FORMULA.CONVERT("="&amp;A527&amp;"("&amp;REPLACE(REPT(",#ref!",B527),1,1,"")&amp;")()",1)),"")</f>
        <v>0</v>
      </c>
      <c r="G527" s="2"/>
      <c r="H527" s="2" t="str">
        <f t="shared" si="17"/>
        <v/>
      </c>
      <c r="I527" s="2">
        <f>TYPE(FILES(IF(1,1)))</f>
        <v>16</v>
      </c>
      <c r="J527" s="2">
        <f>IF(C527=0,COUNTIFS(A:A,A527,D:D,"a"),"")</f>
        <v>0</v>
      </c>
      <c r="K527" s="2"/>
      <c r="M527" s="2"/>
    </row>
    <row r="528" spans="1:14" x14ac:dyDescent="0.55000000000000004">
      <c r="A528" s="1" t="s">
        <v>1632</v>
      </c>
      <c r="B528" s="2">
        <f>COUNTIF(A:A,A528)-1</f>
        <v>1</v>
      </c>
      <c r="C528" s="2">
        <f>COUNTIF(A$1:A528,A528)-1</f>
        <v>1</v>
      </c>
      <c r="D528" s="2" t="str">
        <f>Argument!D528</f>
        <v>v</v>
      </c>
      <c r="E528" s="2" t="str">
        <f t="shared" si="16"/>
        <v/>
      </c>
      <c r="F528" s="2" t="str">
        <f>IF(C528=0,ISTEXT(FORMULA.CONVERT("="&amp;A528&amp;"("&amp;REPLACE(REPT(",#ref!",B528),1,1,"")&amp;")()",1)),"")</f>
        <v/>
      </c>
      <c r="G528" s="2">
        <f>TYPE(FILES({1}))</f>
        <v>16</v>
      </c>
      <c r="H528" s="2">
        <f t="shared" si="17"/>
        <v>1</v>
      </c>
      <c r="I528" s="2">
        <f>TYPE(FILES(IF(1,1)))</f>
        <v>16</v>
      </c>
      <c r="J528" s="2" t="str">
        <f>IF(C528=0,COUNTIFS(A:A,A528,D:D,"a"),"")</f>
        <v/>
      </c>
      <c r="K528" s="2" t="e">
        <f>INDEX(+FILES(K528:L528),)</f>
        <v>#N/A</v>
      </c>
      <c r="M528" s="2" t="e">
        <f>INDEX(+FILES(INDIRECT(M528:N528)),)</f>
        <v>#REF!</v>
      </c>
    </row>
    <row r="529" spans="1:14" x14ac:dyDescent="0.55000000000000004">
      <c r="A529" s="1" t="s">
        <v>1633</v>
      </c>
      <c r="B529" s="2">
        <f>COUNTIF(A:A,A529)-1</f>
        <v>6</v>
      </c>
      <c r="C529" s="2">
        <f>COUNTIF(A$1:A529,A529)-1</f>
        <v>0</v>
      </c>
      <c r="D529" s="2" t="str">
        <f>Argument!D529</f>
        <v/>
      </c>
      <c r="E529" s="2" t="str">
        <f t="shared" si="16"/>
        <v>v</v>
      </c>
      <c r="F529" s="2" t="b">
        <f>IF(C529=0,ISTEXT(FORMULA.CONVERT("="&amp;A529&amp;"("&amp;REPLACE(REPT(",#ref!",B529),1,1,"")&amp;")()",1)),"")</f>
        <v>0</v>
      </c>
      <c r="G529" s="2"/>
      <c r="H529" s="2" t="str">
        <f t="shared" si="17"/>
        <v/>
      </c>
      <c r="I529" s="2">
        <f>TYPE(IPMT(IF(1,1),IF(1,1),IF(1,1),IF(1,1),IF(1,1),IF(1,1)))</f>
        <v>1</v>
      </c>
      <c r="J529" s="2">
        <f>IF(C529=0,COUNTIFS(A:A,A529,D:D,"a"),"")</f>
        <v>0</v>
      </c>
      <c r="K529" s="2"/>
      <c r="M529" s="2"/>
    </row>
    <row r="530" spans="1:14" x14ac:dyDescent="0.55000000000000004">
      <c r="A530" s="1" t="s">
        <v>1633</v>
      </c>
      <c r="B530" s="2">
        <f>COUNTIF(A:A,A530)-1</f>
        <v>6</v>
      </c>
      <c r="C530" s="2">
        <f>COUNTIF(A$1:A530,A530)-1</f>
        <v>1</v>
      </c>
      <c r="D530" s="2" t="str">
        <f>Argument!D530</f>
        <v>v</v>
      </c>
      <c r="E530" s="2" t="str">
        <f t="shared" si="16"/>
        <v/>
      </c>
      <c r="F530" s="2" t="str">
        <f>IF(C530=0,ISTEXT(FORMULA.CONVERT("="&amp;A530&amp;"("&amp;REPLACE(REPT(",#ref!",B530),1,1,"")&amp;")()",1)),"")</f>
        <v/>
      </c>
      <c r="G530" s="2">
        <f>TYPE(IPMT({1},IF(1,1),IF(1,1),IF(1,1),IF(1,1),IF(1,1)))</f>
        <v>64</v>
      </c>
      <c r="H530" s="2" t="str">
        <f t="shared" si="17"/>
        <v/>
      </c>
      <c r="I530" s="2">
        <f>TYPE(IPMT(IF(1,1),IF(1,1),IF(1,1),IF(1,1),IF(1,1),IF(1,1)))</f>
        <v>1</v>
      </c>
      <c r="J530" s="2" t="str">
        <f>IF(C530=0,COUNTIFS(A:A,A530,D:D,"a"),"")</f>
        <v/>
      </c>
      <c r="K530" s="2" t="e">
        <f>INDEX(+IPMT(K530:L530,#REF!,#REF!,#REF!,#REF!,#REF!),)</f>
        <v>#REF!</v>
      </c>
      <c r="L530" s="1">
        <v>1</v>
      </c>
      <c r="M530" s="2" t="e">
        <f>INDEX(+IPMT(INDIRECT(M530:N530),#REF!,#REF!,#REF!,#REF!,#REF!),)</f>
        <v>#REF!</v>
      </c>
      <c r="N530" s="1">
        <v>1</v>
      </c>
    </row>
    <row r="531" spans="1:14" x14ac:dyDescent="0.55000000000000004">
      <c r="A531" s="1" t="s">
        <v>1633</v>
      </c>
      <c r="B531" s="2">
        <f>COUNTIF(A:A,A531)-1</f>
        <v>6</v>
      </c>
      <c r="C531" s="2">
        <f>COUNTIF(A$1:A531,A531)-1</f>
        <v>2</v>
      </c>
      <c r="D531" s="2" t="str">
        <f>Argument!D531</f>
        <v>v</v>
      </c>
      <c r="E531" s="2" t="str">
        <f t="shared" si="16"/>
        <v/>
      </c>
      <c r="F531" s="2" t="str">
        <f>IF(C531=0,ISTEXT(FORMULA.CONVERT("="&amp;A531&amp;"("&amp;REPLACE(REPT(",#ref!",B531),1,1,"")&amp;")()",1)),"")</f>
        <v/>
      </c>
      <c r="G531" s="2">
        <f>TYPE(IPMT(IF(1,1),{1},IF(1,1),IF(1,1),IF(1,1),IF(1,1)))</f>
        <v>64</v>
      </c>
      <c r="H531" s="2" t="str">
        <f t="shared" si="17"/>
        <v/>
      </c>
      <c r="I531" s="2">
        <f>TYPE(IPMT(IF(1,1),IF(1,1),IF(1,1),IF(1,1),IF(1,1),IF(1,1)))</f>
        <v>1</v>
      </c>
      <c r="J531" s="2" t="str">
        <f>IF(C531=0,COUNTIFS(A:A,A531,D:D,"a"),"")</f>
        <v/>
      </c>
      <c r="K531" s="2" t="e">
        <f>INDEX(+IPMT(#REF!,K531:L531,#REF!,#REF!,#REF!,#REF!),)</f>
        <v>#REF!</v>
      </c>
      <c r="L531" s="1">
        <v>1</v>
      </c>
      <c r="M531" s="2" t="e">
        <f>INDEX(+IPMT(#REF!,INDIRECT(M531:N531),#REF!,#REF!,#REF!,#REF!),)</f>
        <v>#REF!</v>
      </c>
      <c r="N531" s="1">
        <v>1</v>
      </c>
    </row>
    <row r="532" spans="1:14" x14ac:dyDescent="0.55000000000000004">
      <c r="A532" s="1" t="s">
        <v>1633</v>
      </c>
      <c r="B532" s="2">
        <f>COUNTIF(A:A,A532)-1</f>
        <v>6</v>
      </c>
      <c r="C532" s="2">
        <f>COUNTIF(A$1:A532,A532)-1</f>
        <v>3</v>
      </c>
      <c r="D532" s="2" t="str">
        <f>Argument!D532</f>
        <v>v</v>
      </c>
      <c r="E532" s="2" t="str">
        <f t="shared" si="16"/>
        <v/>
      </c>
      <c r="F532" s="2" t="str">
        <f>IF(C532=0,ISTEXT(FORMULA.CONVERT("="&amp;A532&amp;"("&amp;REPLACE(REPT(",#ref!",B532),1,1,"")&amp;")()",1)),"")</f>
        <v/>
      </c>
      <c r="G532" s="2">
        <f>TYPE(IPMT(IF(1,1),IF(1,1),{1},IF(1,1),IF(1,1),IF(1,1)))</f>
        <v>64</v>
      </c>
      <c r="H532" s="2" t="str">
        <f t="shared" si="17"/>
        <v/>
      </c>
      <c r="I532" s="2">
        <f>TYPE(IPMT(IF(1,1),IF(1,1),IF(1,1),IF(1,1),IF(1,1),IF(1,1)))</f>
        <v>1</v>
      </c>
      <c r="J532" s="2" t="str">
        <f>IF(C532=0,COUNTIFS(A:A,A532,D:D,"a"),"")</f>
        <v/>
      </c>
      <c r="K532" s="2" t="e">
        <f>INDEX(+IPMT(#REF!,#REF!,K532:L532,#REF!,#REF!,#REF!),)</f>
        <v>#REF!</v>
      </c>
      <c r="L532" s="1">
        <v>1</v>
      </c>
      <c r="M532" s="2" t="e">
        <f>INDEX(+IPMT(#REF!,#REF!,INDIRECT(M532:N532),#REF!,#REF!,#REF!),)</f>
        <v>#REF!</v>
      </c>
      <c r="N532" s="1">
        <v>1</v>
      </c>
    </row>
    <row r="533" spans="1:14" x14ac:dyDescent="0.55000000000000004">
      <c r="A533" s="1" t="s">
        <v>1633</v>
      </c>
      <c r="B533" s="2">
        <f>COUNTIF(A:A,A533)-1</f>
        <v>6</v>
      </c>
      <c r="C533" s="2">
        <f>COUNTIF(A$1:A533,A533)-1</f>
        <v>4</v>
      </c>
      <c r="D533" s="2" t="str">
        <f>Argument!D533</f>
        <v>v</v>
      </c>
      <c r="E533" s="2" t="str">
        <f t="shared" si="16"/>
        <v/>
      </c>
      <c r="F533" s="2" t="str">
        <f>IF(C533=0,ISTEXT(FORMULA.CONVERT("="&amp;A533&amp;"("&amp;REPLACE(REPT(",#ref!",B533),1,1,"")&amp;")()",1)),"")</f>
        <v/>
      </c>
      <c r="G533" s="2">
        <f>TYPE(IPMT(IF(1,1),IF(1,1),IF(1,1),{1},IF(1,1),IF(1,1)))</f>
        <v>64</v>
      </c>
      <c r="H533" s="2" t="str">
        <f t="shared" si="17"/>
        <v/>
      </c>
      <c r="I533" s="2">
        <f>TYPE(IPMT(IF(1,1),IF(1,1),IF(1,1),IF(1,1),IF(1,1),IF(1,1)))</f>
        <v>1</v>
      </c>
      <c r="J533" s="2" t="str">
        <f>IF(C533=0,COUNTIFS(A:A,A533,D:D,"a"),"")</f>
        <v/>
      </c>
      <c r="K533" s="2" t="e">
        <f>INDEX(+IPMT(#REF!,#REF!,#REF!,K533:L533,#REF!,#REF!),)</f>
        <v>#REF!</v>
      </c>
      <c r="L533" s="1">
        <v>1</v>
      </c>
      <c r="M533" s="2" t="e">
        <f>INDEX(+IPMT(#REF!,#REF!,#REF!,INDIRECT(M533:N533),#REF!,#REF!),)</f>
        <v>#REF!</v>
      </c>
      <c r="N533" s="1">
        <v>1</v>
      </c>
    </row>
    <row r="534" spans="1:14" x14ac:dyDescent="0.55000000000000004">
      <c r="A534" s="1" t="s">
        <v>1633</v>
      </c>
      <c r="B534" s="2">
        <f>COUNTIF(A:A,A534)-1</f>
        <v>6</v>
      </c>
      <c r="C534" s="2">
        <f>COUNTIF(A$1:A534,A534)-1</f>
        <v>5</v>
      </c>
      <c r="D534" s="2" t="str">
        <f>Argument!D534</f>
        <v>v</v>
      </c>
      <c r="E534" s="2" t="str">
        <f t="shared" si="16"/>
        <v/>
      </c>
      <c r="F534" s="2" t="str">
        <f>IF(C534=0,ISTEXT(FORMULA.CONVERT("="&amp;A534&amp;"("&amp;REPLACE(REPT(",#ref!",B534),1,1,"")&amp;")()",1)),"")</f>
        <v/>
      </c>
      <c r="G534" s="2">
        <f>TYPE(IPMT(IF(1,1),IF(1,1),IF(1,1),IF(1,1),{1},IF(1,1)))</f>
        <v>64</v>
      </c>
      <c r="H534" s="2" t="str">
        <f t="shared" si="17"/>
        <v/>
      </c>
      <c r="I534" s="2">
        <f>TYPE(IPMT(IF(1,1),IF(1,1),IF(1,1),IF(1,1),IF(1,1),IF(1,1)))</f>
        <v>1</v>
      </c>
      <c r="J534" s="2" t="str">
        <f>IF(C534=0,COUNTIFS(A:A,A534,D:D,"a"),"")</f>
        <v/>
      </c>
      <c r="K534" s="2" t="e">
        <f>INDEX(+IPMT(#REF!,#REF!,#REF!,#REF!,K534:L534,#REF!),)</f>
        <v>#REF!</v>
      </c>
      <c r="L534" s="1">
        <v>1</v>
      </c>
      <c r="M534" s="2" t="e">
        <f>INDEX(+IPMT(#REF!,#REF!,#REF!,#REF!,INDIRECT(M534:N534),#REF!),)</f>
        <v>#REF!</v>
      </c>
      <c r="N534" s="1">
        <v>1</v>
      </c>
    </row>
    <row r="535" spans="1:14" x14ac:dyDescent="0.55000000000000004">
      <c r="A535" s="1" t="s">
        <v>1633</v>
      </c>
      <c r="B535" s="2">
        <f>COUNTIF(A:A,A535)-1</f>
        <v>6</v>
      </c>
      <c r="C535" s="2">
        <f>COUNTIF(A$1:A535,A535)-1</f>
        <v>6</v>
      </c>
      <c r="D535" s="2" t="str">
        <f>Argument!D535</f>
        <v>v</v>
      </c>
      <c r="E535" s="2" t="str">
        <f t="shared" si="16"/>
        <v/>
      </c>
      <c r="F535" s="2" t="str">
        <f>IF(C535=0,ISTEXT(FORMULA.CONVERT("="&amp;A535&amp;"("&amp;REPLACE(REPT(",#ref!",B535),1,1,"")&amp;")()",1)),"")</f>
        <v/>
      </c>
      <c r="G535" s="2">
        <f>TYPE(IPMT(IF(1,1),IF(1,1),IF(1,1),IF(1,1),IF(1,1),{1}))</f>
        <v>64</v>
      </c>
      <c r="H535" s="2" t="str">
        <f t="shared" si="17"/>
        <v/>
      </c>
      <c r="I535" s="2">
        <f>TYPE(IPMT(IF(1,1),IF(1,1),IF(1,1),IF(1,1),IF(1,1),IF(1,1)))</f>
        <v>1</v>
      </c>
      <c r="J535" s="2" t="str">
        <f>IF(C535=0,COUNTIFS(A:A,A535,D:D,"a"),"")</f>
        <v/>
      </c>
      <c r="K535" s="2" t="e">
        <f>INDEX(+IPMT(#REF!,#REF!,#REF!,#REF!,#REF!,K535:L535),)</f>
        <v>#REF!</v>
      </c>
      <c r="L535" s="1">
        <v>1</v>
      </c>
      <c r="M535" s="2" t="e">
        <f>INDEX(+IPMT(#REF!,#REF!,#REF!,#REF!,#REF!,INDIRECT(M535:N535)),)</f>
        <v>#REF!</v>
      </c>
      <c r="N535" s="1">
        <v>1</v>
      </c>
    </row>
    <row r="536" spans="1:14" x14ac:dyDescent="0.55000000000000004">
      <c r="A536" s="1" t="s">
        <v>1634</v>
      </c>
      <c r="B536" s="2">
        <f>COUNTIF(A:A,A536)-1</f>
        <v>6</v>
      </c>
      <c r="C536" s="2">
        <f>COUNTIF(A$1:A536,A536)-1</f>
        <v>0</v>
      </c>
      <c r="D536" s="2" t="str">
        <f>Argument!D536</f>
        <v/>
      </c>
      <c r="E536" s="2" t="str">
        <f t="shared" si="16"/>
        <v>v</v>
      </c>
      <c r="F536" s="2" t="b">
        <f>IF(C536=0,ISTEXT(FORMULA.CONVERT("="&amp;A536&amp;"("&amp;REPLACE(REPT(",#ref!",B536),1,1,"")&amp;")()",1)),"")</f>
        <v>0</v>
      </c>
      <c r="G536" s="2"/>
      <c r="H536" s="2" t="str">
        <f t="shared" si="17"/>
        <v/>
      </c>
      <c r="I536" s="2">
        <f>TYPE(PPMT(IF(1,1),IF(1,1),IF(1,1),IF(1,1),IF(1,1),IF(1,1)))</f>
        <v>1</v>
      </c>
      <c r="J536" s="2">
        <f>IF(C536=0,COUNTIFS(A:A,A536,D:D,"a"),"")</f>
        <v>0</v>
      </c>
      <c r="K536" s="2"/>
      <c r="M536" s="2"/>
    </row>
    <row r="537" spans="1:14" x14ac:dyDescent="0.55000000000000004">
      <c r="A537" s="1" t="s">
        <v>1634</v>
      </c>
      <c r="B537" s="2">
        <f>COUNTIF(A:A,A537)-1</f>
        <v>6</v>
      </c>
      <c r="C537" s="2">
        <f>COUNTIF(A$1:A537,A537)-1</f>
        <v>1</v>
      </c>
      <c r="D537" s="2" t="str">
        <f>Argument!D537</f>
        <v>v</v>
      </c>
      <c r="E537" s="2" t="str">
        <f t="shared" si="16"/>
        <v/>
      </c>
      <c r="F537" s="2" t="str">
        <f>IF(C537=0,ISTEXT(FORMULA.CONVERT("="&amp;A537&amp;"("&amp;REPLACE(REPT(",#ref!",B537),1,1,"")&amp;")()",1)),"")</f>
        <v/>
      </c>
      <c r="G537" s="2">
        <f>TYPE(PPMT({1},IF(1,1),IF(1,1),IF(1,1),IF(1,1),IF(1,1)))</f>
        <v>64</v>
      </c>
      <c r="H537" s="2" t="str">
        <f t="shared" si="17"/>
        <v/>
      </c>
      <c r="I537" s="2">
        <f>TYPE(PPMT(IF(1,1),IF(1,1),IF(1,1),IF(1,1),IF(1,1),IF(1,1)))</f>
        <v>1</v>
      </c>
      <c r="J537" s="2" t="str">
        <f>IF(C537=0,COUNTIFS(A:A,A537,D:D,"a"),"")</f>
        <v/>
      </c>
      <c r="K537" s="2" t="e">
        <f>INDEX(+PPMT(K537:L537,#REF!,#REF!,#REF!,#REF!,#REF!),)</f>
        <v>#REF!</v>
      </c>
      <c r="L537" s="1">
        <v>1</v>
      </c>
      <c r="M537" s="2" t="e">
        <f>INDEX(+PPMT(INDIRECT(M537:N537),#REF!,#REF!,#REF!,#REF!,#REF!),)</f>
        <v>#REF!</v>
      </c>
      <c r="N537" s="1">
        <v>1</v>
      </c>
    </row>
    <row r="538" spans="1:14" x14ac:dyDescent="0.55000000000000004">
      <c r="A538" s="1" t="s">
        <v>1634</v>
      </c>
      <c r="B538" s="2">
        <f>COUNTIF(A:A,A538)-1</f>
        <v>6</v>
      </c>
      <c r="C538" s="2">
        <f>COUNTIF(A$1:A538,A538)-1</f>
        <v>2</v>
      </c>
      <c r="D538" s="2" t="str">
        <f>Argument!D538</f>
        <v>v</v>
      </c>
      <c r="E538" s="2" t="str">
        <f t="shared" si="16"/>
        <v/>
      </c>
      <c r="F538" s="2" t="str">
        <f>IF(C538=0,ISTEXT(FORMULA.CONVERT("="&amp;A538&amp;"("&amp;REPLACE(REPT(",#ref!",B538),1,1,"")&amp;")()",1)),"")</f>
        <v/>
      </c>
      <c r="G538" s="2">
        <f>TYPE(PPMT(IF(1,1),{1},IF(1,1),IF(1,1),IF(1,1),IF(1,1)))</f>
        <v>64</v>
      </c>
      <c r="H538" s="2" t="str">
        <f t="shared" si="17"/>
        <v/>
      </c>
      <c r="I538" s="2">
        <f>TYPE(PPMT(IF(1,1),IF(1,1),IF(1,1),IF(1,1),IF(1,1),IF(1,1)))</f>
        <v>1</v>
      </c>
      <c r="J538" s="2" t="str">
        <f>IF(C538=0,COUNTIFS(A:A,A538,D:D,"a"),"")</f>
        <v/>
      </c>
      <c r="K538" s="2" t="e">
        <f>INDEX(+PPMT(#REF!,K538:L538,#REF!,#REF!,#REF!,#REF!),)</f>
        <v>#REF!</v>
      </c>
      <c r="L538" s="1">
        <v>1</v>
      </c>
      <c r="M538" s="2" t="e">
        <f>INDEX(+PPMT(#REF!,INDIRECT(M538:N538),#REF!,#REF!,#REF!,#REF!),)</f>
        <v>#REF!</v>
      </c>
      <c r="N538" s="1">
        <v>1</v>
      </c>
    </row>
    <row r="539" spans="1:14" x14ac:dyDescent="0.55000000000000004">
      <c r="A539" s="1" t="s">
        <v>1634</v>
      </c>
      <c r="B539" s="2">
        <f>COUNTIF(A:A,A539)-1</f>
        <v>6</v>
      </c>
      <c r="C539" s="2">
        <f>COUNTIF(A$1:A539,A539)-1</f>
        <v>3</v>
      </c>
      <c r="D539" s="2" t="str">
        <f>Argument!D539</f>
        <v>v</v>
      </c>
      <c r="E539" s="2" t="str">
        <f t="shared" si="16"/>
        <v/>
      </c>
      <c r="F539" s="2" t="str">
        <f>IF(C539=0,ISTEXT(FORMULA.CONVERT("="&amp;A539&amp;"("&amp;REPLACE(REPT(",#ref!",B539),1,1,"")&amp;")()",1)),"")</f>
        <v/>
      </c>
      <c r="G539" s="2">
        <f>TYPE(PPMT(IF(1,1),IF(1,1),{1},IF(1,1),IF(1,1),IF(1,1)))</f>
        <v>64</v>
      </c>
      <c r="H539" s="2" t="str">
        <f t="shared" si="17"/>
        <v/>
      </c>
      <c r="I539" s="2">
        <f>TYPE(PPMT(IF(1,1),IF(1,1),IF(1,1),IF(1,1),IF(1,1),IF(1,1)))</f>
        <v>1</v>
      </c>
      <c r="J539" s="2" t="str">
        <f>IF(C539=0,COUNTIFS(A:A,A539,D:D,"a"),"")</f>
        <v/>
      </c>
      <c r="K539" s="2" t="e">
        <f>INDEX(+PPMT(#REF!,#REF!,K539:L539,#REF!,#REF!,#REF!),)</f>
        <v>#REF!</v>
      </c>
      <c r="L539" s="1">
        <v>1</v>
      </c>
      <c r="M539" s="2" t="e">
        <f>INDEX(+PPMT(#REF!,#REF!,INDIRECT(M539:N539),#REF!,#REF!,#REF!),)</f>
        <v>#REF!</v>
      </c>
      <c r="N539" s="1">
        <v>1</v>
      </c>
    </row>
    <row r="540" spans="1:14" x14ac:dyDescent="0.55000000000000004">
      <c r="A540" s="1" t="s">
        <v>1634</v>
      </c>
      <c r="B540" s="2">
        <f>COUNTIF(A:A,A540)-1</f>
        <v>6</v>
      </c>
      <c r="C540" s="2">
        <f>COUNTIF(A$1:A540,A540)-1</f>
        <v>4</v>
      </c>
      <c r="D540" s="2" t="str">
        <f>Argument!D540</f>
        <v>v</v>
      </c>
      <c r="E540" s="2" t="str">
        <f t="shared" si="16"/>
        <v/>
      </c>
      <c r="F540" s="2" t="str">
        <f>IF(C540=0,ISTEXT(FORMULA.CONVERT("="&amp;A540&amp;"("&amp;REPLACE(REPT(",#ref!",B540),1,1,"")&amp;")()",1)),"")</f>
        <v/>
      </c>
      <c r="G540" s="2">
        <f>TYPE(PPMT(IF(1,1),IF(1,1),IF(1,1),{1},IF(1,1),IF(1,1)))</f>
        <v>64</v>
      </c>
      <c r="H540" s="2" t="str">
        <f t="shared" si="17"/>
        <v/>
      </c>
      <c r="I540" s="2">
        <f>TYPE(PPMT(IF(1,1),IF(1,1),IF(1,1),IF(1,1),IF(1,1),IF(1,1)))</f>
        <v>1</v>
      </c>
      <c r="J540" s="2" t="str">
        <f>IF(C540=0,COUNTIFS(A:A,A540,D:D,"a"),"")</f>
        <v/>
      </c>
      <c r="K540" s="2" t="e">
        <f>INDEX(+PPMT(#REF!,#REF!,#REF!,K540:L540,#REF!,#REF!),)</f>
        <v>#REF!</v>
      </c>
      <c r="L540" s="1">
        <v>1</v>
      </c>
      <c r="M540" s="2" t="e">
        <f>INDEX(+PPMT(#REF!,#REF!,#REF!,INDIRECT(M540:N540),#REF!,#REF!),)</f>
        <v>#REF!</v>
      </c>
      <c r="N540" s="1">
        <v>1</v>
      </c>
    </row>
    <row r="541" spans="1:14" x14ac:dyDescent="0.55000000000000004">
      <c r="A541" s="1" t="s">
        <v>1634</v>
      </c>
      <c r="B541" s="2">
        <f>COUNTIF(A:A,A541)-1</f>
        <v>6</v>
      </c>
      <c r="C541" s="2">
        <f>COUNTIF(A$1:A541,A541)-1</f>
        <v>5</v>
      </c>
      <c r="D541" s="2" t="str">
        <f>Argument!D541</f>
        <v>v</v>
      </c>
      <c r="E541" s="2" t="str">
        <f t="shared" si="16"/>
        <v/>
      </c>
      <c r="F541" s="2" t="str">
        <f>IF(C541=0,ISTEXT(FORMULA.CONVERT("="&amp;A541&amp;"("&amp;REPLACE(REPT(",#ref!",B541),1,1,"")&amp;")()",1)),"")</f>
        <v/>
      </c>
      <c r="G541" s="2">
        <f>TYPE(PPMT(IF(1,1),IF(1,1),IF(1,1),IF(1,1),{1},IF(1,1)))</f>
        <v>64</v>
      </c>
      <c r="H541" s="2" t="str">
        <f t="shared" si="17"/>
        <v/>
      </c>
      <c r="I541" s="2">
        <f>TYPE(PPMT(IF(1,1),IF(1,1),IF(1,1),IF(1,1),IF(1,1),IF(1,1)))</f>
        <v>1</v>
      </c>
      <c r="J541" s="2" t="str">
        <f>IF(C541=0,COUNTIFS(A:A,A541,D:D,"a"),"")</f>
        <v/>
      </c>
      <c r="K541" s="2" t="e">
        <f>INDEX(+PPMT(#REF!,#REF!,#REF!,#REF!,K541:L541,#REF!),)</f>
        <v>#REF!</v>
      </c>
      <c r="L541" s="1">
        <v>1</v>
      </c>
      <c r="M541" s="2" t="e">
        <f>INDEX(+PPMT(#REF!,#REF!,#REF!,#REF!,INDIRECT(M541:N541),#REF!),)</f>
        <v>#REF!</v>
      </c>
      <c r="N541" s="1">
        <v>1</v>
      </c>
    </row>
    <row r="542" spans="1:14" x14ac:dyDescent="0.55000000000000004">
      <c r="A542" s="1" t="s">
        <v>1634</v>
      </c>
      <c r="B542" s="2">
        <f>COUNTIF(A:A,A542)-1</f>
        <v>6</v>
      </c>
      <c r="C542" s="2">
        <f>COUNTIF(A$1:A542,A542)-1</f>
        <v>6</v>
      </c>
      <c r="D542" s="2" t="str">
        <f>Argument!D542</f>
        <v>v</v>
      </c>
      <c r="E542" s="2" t="str">
        <f t="shared" si="16"/>
        <v/>
      </c>
      <c r="F542" s="2" t="str">
        <f>IF(C542=0,ISTEXT(FORMULA.CONVERT("="&amp;A542&amp;"("&amp;REPLACE(REPT(",#ref!",B542),1,1,"")&amp;")()",1)),"")</f>
        <v/>
      </c>
      <c r="G542" s="2">
        <f>TYPE(PPMT(IF(1,1),IF(1,1),IF(1,1),IF(1,1),IF(1,1),{1}))</f>
        <v>64</v>
      </c>
      <c r="H542" s="2" t="str">
        <f t="shared" si="17"/>
        <v/>
      </c>
      <c r="I542" s="2">
        <f>TYPE(PPMT(IF(1,1),IF(1,1),IF(1,1),IF(1,1),IF(1,1),IF(1,1)))</f>
        <v>1</v>
      </c>
      <c r="J542" s="2" t="str">
        <f>IF(C542=0,COUNTIFS(A:A,A542,D:D,"a"),"")</f>
        <v/>
      </c>
      <c r="K542" s="2" t="e">
        <f>INDEX(+PPMT(#REF!,#REF!,#REF!,#REF!,#REF!,K542:L542),)</f>
        <v>#REF!</v>
      </c>
      <c r="L542" s="1">
        <v>1</v>
      </c>
      <c r="M542" s="2" t="e">
        <f>INDEX(+PPMT(#REF!,#REF!,#REF!,#REF!,#REF!,INDIRECT(M542:N542)),)</f>
        <v>#REF!</v>
      </c>
      <c r="N542" s="1">
        <v>1</v>
      </c>
    </row>
    <row r="543" spans="1:14" x14ac:dyDescent="0.55000000000000004">
      <c r="A543" s="1" t="s">
        <v>1635</v>
      </c>
      <c r="B543" s="2">
        <f>COUNTIF(A:A,A543)-1</f>
        <v>3</v>
      </c>
      <c r="C543" s="2">
        <f>COUNTIF(A$1:A543,A543)-1</f>
        <v>0</v>
      </c>
      <c r="D543" s="2" t="str">
        <f>Argument!D543</f>
        <v/>
      </c>
      <c r="E543" s="2" t="str">
        <f t="shared" si="16"/>
        <v>v</v>
      </c>
      <c r="F543" s="2" t="b">
        <f>IF(C543=0,ISTEXT(FORMULA.CONVERT("="&amp;A543&amp;"("&amp;REPLACE(REPT(",#ref!",B543),1,1,"")&amp;")()",1)),"")</f>
        <v>0</v>
      </c>
      <c r="G543" s="2"/>
      <c r="H543" s="2" t="str">
        <f t="shared" si="17"/>
        <v/>
      </c>
      <c r="I543" s="2">
        <f>TYPE(COUNTA(IF(1,1),IF(1,1),IF(1,1)))</f>
        <v>1</v>
      </c>
      <c r="J543" s="2">
        <f>IF(C543=0,COUNTIFS(A:A,A543,D:D,"a"),"")</f>
        <v>0</v>
      </c>
      <c r="K543" s="2"/>
      <c r="M543" s="2"/>
    </row>
    <row r="544" spans="1:14" x14ac:dyDescent="0.55000000000000004">
      <c r="A544" s="1" t="s">
        <v>1635</v>
      </c>
      <c r="B544" s="2">
        <f>COUNTIF(A:A,A544)-1</f>
        <v>3</v>
      </c>
      <c r="C544" s="2">
        <f>COUNTIF(A$1:A544,A544)-1</f>
        <v>1</v>
      </c>
      <c r="D544" s="2" t="str">
        <f>Argument!D544</f>
        <v>var</v>
      </c>
      <c r="E544" s="2" t="str">
        <f t="shared" si="16"/>
        <v/>
      </c>
      <c r="F544" s="2" t="str">
        <f>IF(C544=0,ISTEXT(FORMULA.CONVERT("="&amp;A544&amp;"("&amp;REPLACE(REPT(",#ref!",B544),1,1,"")&amp;")()",1)),"")</f>
        <v/>
      </c>
      <c r="G544" s="2">
        <f>TYPE(COUNTA({1},IF(1,1),IF(1,1)))</f>
        <v>1</v>
      </c>
      <c r="H544" s="2" t="str">
        <f t="shared" si="17"/>
        <v/>
      </c>
      <c r="I544" s="2">
        <f>TYPE(COUNTA(IF(1,1),IF(1,1),IF(1,1)))</f>
        <v>1</v>
      </c>
      <c r="J544" s="2" t="str">
        <f>IF(C544=0,COUNTIFS(A:A,A544,D:D,"a"),"")</f>
        <v/>
      </c>
      <c r="K544" s="2">
        <f>INDEX(+COUNTA(K544:L544,#REF!,#REF!),)</f>
        <v>3</v>
      </c>
      <c r="L544" s="1">
        <v>1</v>
      </c>
      <c r="M544" s="2">
        <f>INDEX(+COUNTA(INDIRECT(M544:N544),#REF!,#REF!),)</f>
        <v>4</v>
      </c>
      <c r="N544" s="1">
        <v>1</v>
      </c>
    </row>
    <row r="545" spans="1:14" x14ac:dyDescent="0.55000000000000004">
      <c r="A545" s="1" t="s">
        <v>1635</v>
      </c>
      <c r="B545" s="2">
        <f>COUNTIF(A:A,A545)-1</f>
        <v>3</v>
      </c>
      <c r="C545" s="2">
        <f>COUNTIF(A$1:A545,A545)-1</f>
        <v>2</v>
      </c>
      <c r="D545" s="2" t="str">
        <f>Argument!D545</f>
        <v>var</v>
      </c>
      <c r="E545" s="2" t="str">
        <f t="shared" si="16"/>
        <v/>
      </c>
      <c r="F545" s="2" t="str">
        <f>IF(C545=0,ISTEXT(FORMULA.CONVERT("="&amp;A545&amp;"("&amp;REPLACE(REPT(",#ref!",B545),1,1,"")&amp;")()",1)),"")</f>
        <v/>
      </c>
      <c r="G545" s="2">
        <f>TYPE(COUNTA(IF(1,1),{1},IF(1,1)))</f>
        <v>1</v>
      </c>
      <c r="H545" s="2" t="str">
        <f t="shared" si="17"/>
        <v/>
      </c>
      <c r="I545" s="2">
        <f>TYPE(COUNTA(IF(1,1),IF(1,1),IF(1,1)))</f>
        <v>1</v>
      </c>
      <c r="J545" s="2" t="str">
        <f>IF(C545=0,COUNTIFS(A:A,A545,D:D,"a"),"")</f>
        <v/>
      </c>
      <c r="K545" s="2">
        <f>INDEX(+COUNTA(#REF!,K545:L545,#REF!),)</f>
        <v>3</v>
      </c>
      <c r="L545" s="1">
        <v>1</v>
      </c>
      <c r="M545" s="2">
        <f>INDEX(+COUNTA(#REF!,INDIRECT(M545:N545),#REF!),)</f>
        <v>4</v>
      </c>
      <c r="N545" s="1">
        <v>1</v>
      </c>
    </row>
    <row r="546" spans="1:14" x14ac:dyDescent="0.55000000000000004">
      <c r="A546" s="1" t="s">
        <v>1635</v>
      </c>
      <c r="B546" s="2">
        <f>COUNTIF(A:A,A546)-1</f>
        <v>3</v>
      </c>
      <c r="C546" s="2">
        <f>COUNTIF(A$1:A546,A546)-1</f>
        <v>3</v>
      </c>
      <c r="D546" s="2" t="str">
        <f>Argument!D546</f>
        <v>var</v>
      </c>
      <c r="E546" s="2" t="str">
        <f t="shared" si="16"/>
        <v/>
      </c>
      <c r="F546" s="2" t="str">
        <f>IF(C546=0,ISTEXT(FORMULA.CONVERT("="&amp;A546&amp;"("&amp;REPLACE(REPT(",#ref!",B546),1,1,"")&amp;")()",1)),"")</f>
        <v/>
      </c>
      <c r="G546" s="2">
        <f>TYPE(COUNTA(IF(1,1),IF(1,1),{1}))</f>
        <v>1</v>
      </c>
      <c r="H546" s="2" t="str">
        <f t="shared" si="17"/>
        <v/>
      </c>
      <c r="I546" s="2">
        <f>TYPE(COUNTA(IF(1,1),IF(1,1),IF(1,1)))</f>
        <v>1</v>
      </c>
      <c r="J546" s="2" t="str">
        <f>IF(C546=0,COUNTIFS(A:A,A546,D:D,"a"),"")</f>
        <v/>
      </c>
      <c r="K546" s="2">
        <f>INDEX(+COUNTA(#REF!,#REF!,K546:L546),)</f>
        <v>3</v>
      </c>
      <c r="L546" s="1">
        <v>1</v>
      </c>
      <c r="M546" s="2">
        <f>INDEX(+COUNTA(#REF!,#REF!,INDIRECT(M546:N546)),)</f>
        <v>4</v>
      </c>
      <c r="N546" s="1">
        <v>1</v>
      </c>
    </row>
    <row r="547" spans="1:14" x14ac:dyDescent="0.55000000000000004">
      <c r="A547" s="1" t="s">
        <v>1636</v>
      </c>
      <c r="B547" s="2">
        <f>COUNTIF(A:A,A547)-1</f>
        <v>2</v>
      </c>
      <c r="C547" s="2">
        <f>COUNTIF(A$1:A547,A547)-1</f>
        <v>0</v>
      </c>
      <c r="D547" s="2" t="str">
        <f>Argument!D547</f>
        <v/>
      </c>
      <c r="E547" s="2" t="str">
        <f t="shared" si="16"/>
        <v>v</v>
      </c>
      <c r="F547" s="2" t="b">
        <f>IF(C547=0,ISTEXT(FORMULA.CONVERT("="&amp;A547&amp;"("&amp;REPLACE(REPT(",#ref!",B547),1,1,"")&amp;")()",1)),"")</f>
        <v>0</v>
      </c>
      <c r="G547" s="2"/>
      <c r="H547" s="2" t="str">
        <f t="shared" si="17"/>
        <v/>
      </c>
      <c r="I547" s="2">
        <f>TYPE(CANCEL.KEY(IF(1,1),IF(1,1)))</f>
        <v>4</v>
      </c>
      <c r="J547" s="2">
        <f>IF(C547=0,COUNTIFS(A:A,A547,D:D,"a"),"")</f>
        <v>0</v>
      </c>
      <c r="K547" s="2"/>
      <c r="M547" s="2"/>
    </row>
    <row r="548" spans="1:14" x14ac:dyDescent="0.55000000000000004">
      <c r="A548" s="1" t="s">
        <v>1636</v>
      </c>
      <c r="B548" s="2">
        <f>COUNTIF(A:A,A548)-1</f>
        <v>2</v>
      </c>
      <c r="C548" s="2">
        <f>COUNTIF(A$1:A548,A548)-1</f>
        <v>1</v>
      </c>
      <c r="D548" s="2" t="str">
        <f>Argument!D548</f>
        <v>v</v>
      </c>
      <c r="E548" s="2" t="str">
        <f t="shared" si="16"/>
        <v/>
      </c>
      <c r="F548" s="2" t="str">
        <f>IF(C548=0,ISTEXT(FORMULA.CONVERT("="&amp;A548&amp;"("&amp;REPLACE(REPT(",#ref!",B548),1,1,"")&amp;")()",1)),"")</f>
        <v/>
      </c>
      <c r="G548" s="2">
        <f>TYPE(CANCEL.KEY({1},IF(1,1)))</f>
        <v>64</v>
      </c>
      <c r="H548" s="2" t="str">
        <f t="shared" si="17"/>
        <v/>
      </c>
      <c r="I548" s="2">
        <f>TYPE(CANCEL.KEY(IF(1,1),IF(1,1)))</f>
        <v>4</v>
      </c>
      <c r="J548" s="2" t="str">
        <f>IF(C548=0,COUNTIFS(A:A,A548,D:D,"a"),"")</f>
        <v/>
      </c>
      <c r="K548" s="2" t="b">
        <f>INDEX(+CANCEL.KEY(K548:L548,#REF!),)</f>
        <v>0</v>
      </c>
      <c r="L548" s="1">
        <v>1</v>
      </c>
      <c r="M548" s="2" t="b">
        <f>INDEX(+CANCEL.KEY(INDIRECT(M548:N548),#REF!),)</f>
        <v>0</v>
      </c>
      <c r="N548" s="1">
        <v>1</v>
      </c>
    </row>
    <row r="549" spans="1:14" x14ac:dyDescent="0.55000000000000004">
      <c r="A549" s="1" t="s">
        <v>1636</v>
      </c>
      <c r="B549" s="2">
        <f>COUNTIF(A:A,A549)-1</f>
        <v>2</v>
      </c>
      <c r="C549" s="2">
        <f>COUNTIF(A$1:A549,A549)-1</f>
        <v>2</v>
      </c>
      <c r="D549" s="2" t="str">
        <f>Argument!D549</f>
        <v>r</v>
      </c>
      <c r="E549" s="2" t="str">
        <f t="shared" si="16"/>
        <v/>
      </c>
      <c r="F549" s="2" t="str">
        <f>IF(C549=0,ISTEXT(FORMULA.CONVERT("="&amp;A549&amp;"("&amp;REPLACE(REPT(",#ref!",B549),1,1,"")&amp;")()",1)),"")</f>
        <v/>
      </c>
      <c r="G549" s="2"/>
      <c r="H549" s="2" t="str">
        <f t="shared" si="17"/>
        <v/>
      </c>
      <c r="I549" s="2">
        <f>TYPE(CANCEL.KEY(IF(1,1),IF(1,1)))</f>
        <v>4</v>
      </c>
      <c r="J549" s="2" t="str">
        <f>IF(C549=0,COUNTIFS(A:A,A549,D:D,"a"),"")</f>
        <v/>
      </c>
      <c r="K549" s="2" t="e">
        <f>INDEX(+CANCEL.KEY(#REF!,K549:L549),)</f>
        <v>#VALUE!</v>
      </c>
      <c r="L549" s="1">
        <v>1</v>
      </c>
      <c r="M549" s="2" t="b">
        <f>INDEX(+CANCEL.KEY(#REF!,INDIRECT(M549:N549)),)</f>
        <v>0</v>
      </c>
      <c r="N549" s="1">
        <v>1</v>
      </c>
    </row>
    <row r="550" spans="1:14" x14ac:dyDescent="0.55000000000000004">
      <c r="A550" s="1" t="s">
        <v>2047</v>
      </c>
      <c r="B550" s="2">
        <f>COUNTIF(A:A,A550)-1</f>
        <v>4</v>
      </c>
      <c r="C550" s="2">
        <f>COUNTIF(A$1:A550,A550)-1</f>
        <v>0</v>
      </c>
      <c r="D550" s="2" t="str">
        <f>Argument!D550</f>
        <v/>
      </c>
      <c r="E550" s="2" t="str">
        <f t="shared" si="16"/>
        <v>v</v>
      </c>
      <c r="F550" s="2" t="b">
        <f>IF(C550=0,ISTEXT(FORMULA.CONVERT("="&amp;A550&amp;"("&amp;REPLACE(REPT(",#ref!",B550),1,1,"")&amp;")()",1)),"")</f>
        <v>0</v>
      </c>
      <c r="G550" s="2"/>
      <c r="H550" s="2" t="str">
        <f t="shared" si="17"/>
        <v/>
      </c>
      <c r="I550" s="2">
        <f>TYPE(FOR(IF(1,1),IF(1,1),IF(1,1),IF(1,1)))</f>
        <v>4</v>
      </c>
      <c r="J550" s="2">
        <f>IF(C550=0,COUNTIFS(A:A,A550,D:D,"a"),"")</f>
        <v>0</v>
      </c>
      <c r="K550" s="2"/>
      <c r="M550" s="2"/>
    </row>
    <row r="551" spans="1:14" x14ac:dyDescent="0.55000000000000004">
      <c r="A551" s="1" t="s">
        <v>2047</v>
      </c>
      <c r="B551" s="2">
        <f>COUNTIF(A:A,A551)-1</f>
        <v>4</v>
      </c>
      <c r="C551" s="2">
        <f>COUNTIF(A$1:A551,A551)-1</f>
        <v>1</v>
      </c>
      <c r="D551" s="2" t="str">
        <f>Argument!D551</f>
        <v>v</v>
      </c>
      <c r="E551" s="2" t="str">
        <f t="shared" si="16"/>
        <v/>
      </c>
      <c r="F551" s="2" t="str">
        <f>IF(C551=0,ISTEXT(FORMULA.CONVERT("="&amp;A551&amp;"("&amp;REPLACE(REPT(",#ref!",B551),1,1,"")&amp;")()",1)),"")</f>
        <v/>
      </c>
      <c r="G551" s="2">
        <f>TYPE(FOR({1},IF(1,1),IF(1,1),IF(1,1)))</f>
        <v>64</v>
      </c>
      <c r="H551" s="2" t="str">
        <f t="shared" si="17"/>
        <v/>
      </c>
      <c r="I551" s="2">
        <f>TYPE(FOR(IF(1,1),IF(1,1),IF(1,1),IF(1,1)))</f>
        <v>4</v>
      </c>
      <c r="J551" s="2" t="str">
        <f>IF(C551=0,COUNTIFS(A:A,A551,D:D,"a"),"")</f>
        <v/>
      </c>
      <c r="K551" s="2" t="b">
        <f>INDEX(+FOR(K551:L551,#REF!,#REF!,#REF!),)</f>
        <v>0</v>
      </c>
      <c r="L551" s="1">
        <v>1</v>
      </c>
      <c r="M551" s="2" t="b">
        <f>INDEX(+FOR(INDIRECT(M551:N551),#REF!,#REF!,#REF!),)</f>
        <v>0</v>
      </c>
      <c r="N551" s="1">
        <v>1</v>
      </c>
    </row>
    <row r="552" spans="1:14" x14ac:dyDescent="0.55000000000000004">
      <c r="A552" s="1" t="s">
        <v>2047</v>
      </c>
      <c r="B552" s="2">
        <f>COUNTIF(A:A,A552)-1</f>
        <v>4</v>
      </c>
      <c r="C552" s="2">
        <f>COUNTIF(A$1:A552,A552)-1</f>
        <v>2</v>
      </c>
      <c r="D552" s="2" t="str">
        <f>Argument!D552</f>
        <v>v</v>
      </c>
      <c r="E552" s="2" t="str">
        <f t="shared" si="16"/>
        <v/>
      </c>
      <c r="F552" s="2" t="str">
        <f>IF(C552=0,ISTEXT(FORMULA.CONVERT("="&amp;A552&amp;"("&amp;REPLACE(REPT(",#ref!",B552),1,1,"")&amp;")()",1)),"")</f>
        <v/>
      </c>
      <c r="G552" s="2">
        <f>TYPE(FOR(IF(1,1),{1},IF(1,1),IF(1,1)))</f>
        <v>64</v>
      </c>
      <c r="H552" s="2" t="str">
        <f t="shared" si="17"/>
        <v/>
      </c>
      <c r="I552" s="2">
        <f>TYPE(FOR(IF(1,1),IF(1,1),IF(1,1),IF(1,1)))</f>
        <v>4</v>
      </c>
      <c r="J552" s="2" t="str">
        <f>IF(C552=0,COUNTIFS(A:A,A552,D:D,"a"),"")</f>
        <v/>
      </c>
      <c r="K552" s="2" t="b">
        <f>INDEX(+FOR(#REF!,K552:L552,#REF!,#REF!),)</f>
        <v>0</v>
      </c>
      <c r="L552" s="1">
        <v>1</v>
      </c>
      <c r="M552" s="2" t="b">
        <f>INDEX(+FOR(#REF!,INDIRECT(M552:N552),#REF!,#REF!),)</f>
        <v>0</v>
      </c>
      <c r="N552" s="1">
        <v>1</v>
      </c>
    </row>
    <row r="553" spans="1:14" x14ac:dyDescent="0.55000000000000004">
      <c r="A553" s="1" t="s">
        <v>2047</v>
      </c>
      <c r="B553" s="2">
        <f>COUNTIF(A:A,A553)-1</f>
        <v>4</v>
      </c>
      <c r="C553" s="2">
        <f>COUNTIF(A$1:A553,A553)-1</f>
        <v>3</v>
      </c>
      <c r="D553" s="2" t="str">
        <f>Argument!D553</f>
        <v>v</v>
      </c>
      <c r="E553" s="2" t="str">
        <f t="shared" si="16"/>
        <v/>
      </c>
      <c r="F553" s="2" t="str">
        <f>IF(C553=0,ISTEXT(FORMULA.CONVERT("="&amp;A553&amp;"("&amp;REPLACE(REPT(",#ref!",B553),1,1,"")&amp;")()",1)),"")</f>
        <v/>
      </c>
      <c r="G553" s="2">
        <f>TYPE(FOR(IF(1,1),IF(1,1),{1},IF(1,1)))</f>
        <v>64</v>
      </c>
      <c r="H553" s="2" t="str">
        <f t="shared" si="17"/>
        <v/>
      </c>
      <c r="I553" s="2">
        <f>TYPE(FOR(IF(1,1),IF(1,1),IF(1,1),IF(1,1)))</f>
        <v>4</v>
      </c>
      <c r="J553" s="2" t="str">
        <f>IF(C553=0,COUNTIFS(A:A,A553,D:D,"a"),"")</f>
        <v/>
      </c>
      <c r="K553" s="2" t="b">
        <f>INDEX(+FOR(#REF!,#REF!,K553:L553,#REF!),)</f>
        <v>0</v>
      </c>
      <c r="L553" s="1">
        <v>1</v>
      </c>
      <c r="M553" s="2" t="b">
        <f>INDEX(+FOR(#REF!,#REF!,INDIRECT(M553:N553),#REF!),)</f>
        <v>0</v>
      </c>
      <c r="N553" s="1">
        <v>1</v>
      </c>
    </row>
    <row r="554" spans="1:14" x14ac:dyDescent="0.55000000000000004">
      <c r="A554" s="1" t="s">
        <v>2047</v>
      </c>
      <c r="B554" s="2">
        <f>COUNTIF(A:A,A554)-1</f>
        <v>4</v>
      </c>
      <c r="C554" s="2">
        <f>COUNTIF(A$1:A554,A554)-1</f>
        <v>4</v>
      </c>
      <c r="D554" s="2" t="str">
        <f>Argument!D554</f>
        <v>v</v>
      </c>
      <c r="E554" s="2" t="str">
        <f t="shared" si="16"/>
        <v/>
      </c>
      <c r="F554" s="2" t="str">
        <f>IF(C554=0,ISTEXT(FORMULA.CONVERT("="&amp;A554&amp;"("&amp;REPLACE(REPT(",#ref!",B554),1,1,"")&amp;")()",1)),"")</f>
        <v/>
      </c>
      <c r="G554" s="2">
        <f>TYPE(FOR(IF(1,1),IF(1,1),IF(1,1),{1}))</f>
        <v>64</v>
      </c>
      <c r="H554" s="2" t="str">
        <f t="shared" si="17"/>
        <v/>
      </c>
      <c r="I554" s="2">
        <f>TYPE(FOR(IF(1,1),IF(1,1),IF(1,1),IF(1,1)))</f>
        <v>4</v>
      </c>
      <c r="J554" s="2" t="str">
        <f>IF(C554=0,COUNTIFS(A:A,A554,D:D,"a"),"")</f>
        <v/>
      </c>
      <c r="K554" s="2" t="b">
        <f>INDEX(+FOR(#REF!,#REF!,#REF!,K554:L554),)</f>
        <v>0</v>
      </c>
      <c r="L554" s="1">
        <v>1</v>
      </c>
      <c r="M554" s="2" t="b">
        <f>INDEX(+FOR(#REF!,#REF!,#REF!,INDIRECT(M554:N554)),)</f>
        <v>0</v>
      </c>
      <c r="N554" s="1">
        <v>1</v>
      </c>
    </row>
    <row r="555" spans="1:14" x14ac:dyDescent="0.55000000000000004">
      <c r="A555" s="1" t="s">
        <v>2048</v>
      </c>
      <c r="B555" s="2">
        <f>COUNTIF(A:A,A555)-1</f>
        <v>1</v>
      </c>
      <c r="C555" s="2">
        <f>COUNTIF(A$1:A555,A555)-1</f>
        <v>0</v>
      </c>
      <c r="D555" s="2" t="str">
        <f>Argument!D555</f>
        <v/>
      </c>
      <c r="E555" s="2" t="str">
        <f t="shared" si="16"/>
        <v>v</v>
      </c>
      <c r="F555" s="2" t="b">
        <f>IF(C555=0,ISTEXT(FORMULA.CONVERT("="&amp;A555&amp;"("&amp;REPLACE(REPT(",#ref!",B555),1,1,"")&amp;")()",1)),"")</f>
        <v>0</v>
      </c>
      <c r="G555" s="2"/>
      <c r="H555" s="2" t="str">
        <f t="shared" si="17"/>
        <v/>
      </c>
      <c r="I555" s="2">
        <f>TYPE(WHILE(IF(1,1)))</f>
        <v>4</v>
      </c>
      <c r="J555" s="2">
        <f>IF(C555=0,COUNTIFS(A:A,A555,D:D,"a"),"")</f>
        <v>0</v>
      </c>
      <c r="K555" s="2"/>
      <c r="M555" s="2"/>
    </row>
    <row r="556" spans="1:14" x14ac:dyDescent="0.55000000000000004">
      <c r="A556" s="1" t="s">
        <v>2048</v>
      </c>
      <c r="B556" s="2">
        <f>COUNTIF(A:A,A556)-1</f>
        <v>1</v>
      </c>
      <c r="C556" s="2">
        <f>COUNTIF(A$1:A556,A556)-1</f>
        <v>1</v>
      </c>
      <c r="D556" s="2" t="str">
        <f>Argument!D556</f>
        <v>v</v>
      </c>
      <c r="E556" s="2" t="str">
        <f t="shared" si="16"/>
        <v/>
      </c>
      <c r="F556" s="2" t="str">
        <f>IF(C556=0,ISTEXT(FORMULA.CONVERT("="&amp;A556&amp;"("&amp;REPLACE(REPT(",#ref!",B556),1,1,"")&amp;")()",1)),"")</f>
        <v/>
      </c>
      <c r="G556" s="2">
        <f>TYPE(WHILE({1}))</f>
        <v>64</v>
      </c>
      <c r="H556" s="2" t="str">
        <f t="shared" si="17"/>
        <v/>
      </c>
      <c r="I556" s="2">
        <f>TYPE(WHILE(IF(1,1)))</f>
        <v>4</v>
      </c>
      <c r="J556" s="2" t="str">
        <f>IF(C556=0,COUNTIFS(A:A,A556,D:D,"a"),"")</f>
        <v/>
      </c>
      <c r="K556" s="2" t="b">
        <f>INDEX(+WHILE(K556:L556),)</f>
        <v>0</v>
      </c>
      <c r="L556" s="1">
        <v>1</v>
      </c>
      <c r="M556" s="2" t="b">
        <f>INDEX(+WHILE(INDIRECT(M556:N556)),)</f>
        <v>0</v>
      </c>
      <c r="N556" s="1">
        <v>1</v>
      </c>
    </row>
    <row r="557" spans="1:14" x14ac:dyDescent="0.55000000000000004">
      <c r="A557" s="1" t="s">
        <v>2049</v>
      </c>
      <c r="B557" s="2">
        <f>COUNTIF(A:A,A557)-1</f>
        <v>0</v>
      </c>
      <c r="C557" s="2">
        <f>COUNTIF(A$1:A557,A557)-1</f>
        <v>0</v>
      </c>
      <c r="D557" s="2" t="str">
        <f>Argument!D557</f>
        <v/>
      </c>
      <c r="E557" s="2" t="str">
        <f t="shared" si="16"/>
        <v>v</v>
      </c>
      <c r="F557" s="2" t="b">
        <f>IF(C557=0,ISTEXT(FORMULA.CONVERT("="&amp;A557&amp;"("&amp;REPLACE(REPT(",#ref!",B557),1,1,"")&amp;")()",1)),"")</f>
        <v>0</v>
      </c>
      <c r="G557" s="2"/>
      <c r="H557" s="2" t="str">
        <f t="shared" si="17"/>
        <v/>
      </c>
      <c r="I557" s="2">
        <f>TYPE(BREAK())</f>
        <v>4</v>
      </c>
      <c r="J557" s="2">
        <f>IF(C557=0,COUNTIFS(A:A,A557,D:D,"a"),"")</f>
        <v>0</v>
      </c>
      <c r="K557" s="2"/>
      <c r="M557" s="2"/>
    </row>
    <row r="558" spans="1:14" x14ac:dyDescent="0.55000000000000004">
      <c r="A558" s="1" t="s">
        <v>2050</v>
      </c>
      <c r="B558" s="2">
        <f>COUNTIF(A:A,A558)-1</f>
        <v>0</v>
      </c>
      <c r="C558" s="2">
        <f>COUNTIF(A$1:A558,A558)-1</f>
        <v>0</v>
      </c>
      <c r="D558" s="2" t="str">
        <f>Argument!D558</f>
        <v/>
      </c>
      <c r="E558" s="2" t="str">
        <f t="shared" si="16"/>
        <v>v</v>
      </c>
      <c r="F558" s="2" t="b">
        <f>IF(C558=0,ISTEXT(FORMULA.CONVERT("="&amp;A558&amp;"("&amp;REPLACE(REPT(",#ref!",B558),1,1,"")&amp;")()",1)),"")</f>
        <v>0</v>
      </c>
      <c r="G558" s="2"/>
      <c r="H558" s="2" t="str">
        <f t="shared" si="17"/>
        <v/>
      </c>
      <c r="I558" s="2">
        <f>TYPE(NEXT())</f>
        <v>4</v>
      </c>
      <c r="J558" s="2">
        <f>IF(C558=0,COUNTIFS(A:A,A558,D:D,"a"),"")</f>
        <v>0</v>
      </c>
      <c r="K558" s="2"/>
      <c r="M558" s="2"/>
    </row>
    <row r="559" spans="1:14" x14ac:dyDescent="0.55000000000000004">
      <c r="A559" s="1" t="s">
        <v>1637</v>
      </c>
      <c r="B559" s="2">
        <f>COUNTIF(A:A,A559)-1</f>
        <v>2</v>
      </c>
      <c r="C559" s="2">
        <f>COUNTIF(A$1:A559,A559)-1</f>
        <v>0</v>
      </c>
      <c r="D559" s="2" t="str">
        <f>Argument!D559</f>
        <v/>
      </c>
      <c r="E559" s="2" t="str">
        <f t="shared" si="16"/>
        <v>v</v>
      </c>
      <c r="F559" s="2" t="b">
        <f>IF(C559=0,ISTEXT(FORMULA.CONVERT("="&amp;A559&amp;"("&amp;REPLACE(REPT(",#ref!",B559),1,1,"")&amp;")()",1)),"")</f>
        <v>0</v>
      </c>
      <c r="G559" s="2"/>
      <c r="H559" s="2" t="str">
        <f t="shared" si="17"/>
        <v/>
      </c>
      <c r="I559" s="2">
        <f>TYPE(INITIATE(IF(1,1),IF(1,1)))</f>
        <v>4</v>
      </c>
      <c r="J559" s="2">
        <f>IF(C559=0,COUNTIFS(A:A,A559,D:D,"a"),"")</f>
        <v>0</v>
      </c>
      <c r="K559" s="2"/>
      <c r="M559" s="2"/>
    </row>
    <row r="560" spans="1:14" x14ac:dyDescent="0.55000000000000004">
      <c r="A560" s="1" t="s">
        <v>1637</v>
      </c>
      <c r="B560" s="2">
        <f>COUNTIF(A:A,A560)-1</f>
        <v>2</v>
      </c>
      <c r="C560" s="2">
        <f>COUNTIF(A$1:A560,A560)-1</f>
        <v>1</v>
      </c>
      <c r="D560" s="2" t="str">
        <f>Argument!D560</f>
        <v>v</v>
      </c>
      <c r="E560" s="2" t="str">
        <f t="shared" si="16"/>
        <v/>
      </c>
      <c r="F560" s="2" t="str">
        <f>IF(C560=0,ISTEXT(FORMULA.CONVERT("="&amp;A560&amp;"("&amp;REPLACE(REPT(",#ref!",B560),1,1,"")&amp;")()",1)),"")</f>
        <v/>
      </c>
      <c r="G560" s="2">
        <f>TYPE(INITIATE({1},IF(1,1)))</f>
        <v>64</v>
      </c>
      <c r="H560" s="2" t="str">
        <f t="shared" si="17"/>
        <v/>
      </c>
      <c r="I560" s="2">
        <f>TYPE(INITIATE(IF(1,1),IF(1,1)))</f>
        <v>4</v>
      </c>
      <c r="J560" s="2" t="str">
        <f>IF(C560=0,COUNTIFS(A:A,A560,D:D,"a"),"")</f>
        <v/>
      </c>
      <c r="K560" s="2" t="e">
        <f>INDEX(+INITIATE(K560:L560,#REF!),)</f>
        <v>#REF!</v>
      </c>
      <c r="L560" s="1">
        <v>1</v>
      </c>
      <c r="M560" s="2" t="e">
        <f>INDEX(+INITIATE(INDIRECT(M560:N560),#REF!),)</f>
        <v>#REF!</v>
      </c>
      <c r="N560" s="1">
        <v>1</v>
      </c>
    </row>
    <row r="561" spans="1:14" x14ac:dyDescent="0.55000000000000004">
      <c r="A561" s="1" t="s">
        <v>1637</v>
      </c>
      <c r="B561" s="2">
        <f>COUNTIF(A:A,A561)-1</f>
        <v>2</v>
      </c>
      <c r="C561" s="2">
        <f>COUNTIF(A$1:A561,A561)-1</f>
        <v>2</v>
      </c>
      <c r="D561" s="2" t="str">
        <f>Argument!D561</f>
        <v>v</v>
      </c>
      <c r="E561" s="2" t="str">
        <f t="shared" si="16"/>
        <v/>
      </c>
      <c r="F561" s="2" t="str">
        <f>IF(C561=0,ISTEXT(FORMULA.CONVERT("="&amp;A561&amp;"("&amp;REPLACE(REPT(",#ref!",B561),1,1,"")&amp;")()",1)),"")</f>
        <v/>
      </c>
      <c r="G561" s="2">
        <f>TYPE(INITIATE(IF(1,1),{1}))</f>
        <v>64</v>
      </c>
      <c r="H561" s="2" t="str">
        <f t="shared" si="17"/>
        <v/>
      </c>
      <c r="I561" s="2">
        <f>TYPE(INITIATE(IF(1,1),IF(1,1)))</f>
        <v>4</v>
      </c>
      <c r="J561" s="2" t="str">
        <f>IF(C561=0,COUNTIFS(A:A,A561,D:D,"a"),"")</f>
        <v/>
      </c>
      <c r="K561" s="2" t="e">
        <f>INDEX(+INITIATE(#REF!,K561:L561),)</f>
        <v>#REF!</v>
      </c>
      <c r="L561" s="1">
        <v>1</v>
      </c>
      <c r="M561" s="2" t="e">
        <f>INDEX(+INITIATE(#REF!,INDIRECT(M561:N561)),)</f>
        <v>#REF!</v>
      </c>
      <c r="N561" s="1">
        <v>1</v>
      </c>
    </row>
    <row r="562" spans="1:14" x14ac:dyDescent="0.55000000000000004">
      <c r="A562" s="1" t="s">
        <v>1638</v>
      </c>
      <c r="B562" s="2">
        <f>COUNTIF(A:A,A562)-1</f>
        <v>2</v>
      </c>
      <c r="C562" s="2">
        <f>COUNTIF(A$1:A562,A562)-1</f>
        <v>0</v>
      </c>
      <c r="D562" s="2" t="str">
        <f>Argument!D562</f>
        <v/>
      </c>
      <c r="E562" s="2" t="str">
        <f t="shared" si="16"/>
        <v>va</v>
      </c>
      <c r="F562" s="2" t="b">
        <f>IF(C562=0,ISTEXT(FORMULA.CONVERT("="&amp;A562&amp;"("&amp;REPLACE(REPT(",#ref!",B562),1,1,"")&amp;")()",1)),"")</f>
        <v>0</v>
      </c>
      <c r="G562" s="2"/>
      <c r="H562" s="2" t="str">
        <f t="shared" si="17"/>
        <v/>
      </c>
      <c r="I562" s="2">
        <f>TYPE(REQUEST(IF(1,1),IF(1,1)))</f>
        <v>4</v>
      </c>
      <c r="J562" s="2">
        <f>IF(C562=0,COUNTIFS(A:A,A562,D:D,"a"),"")</f>
        <v>0</v>
      </c>
      <c r="K562" s="2"/>
      <c r="M562" s="2"/>
    </row>
    <row r="563" spans="1:14" x14ac:dyDescent="0.55000000000000004">
      <c r="A563" s="1" t="s">
        <v>1638</v>
      </c>
      <c r="B563" s="2">
        <f>COUNTIF(A:A,A563)-1</f>
        <v>2</v>
      </c>
      <c r="C563" s="2">
        <f>COUNTIF(A$1:A563,A563)-1</f>
        <v>1</v>
      </c>
      <c r="D563" s="2" t="str">
        <f>Argument!D563</f>
        <v>v</v>
      </c>
      <c r="E563" s="2" t="str">
        <f t="shared" si="16"/>
        <v/>
      </c>
      <c r="F563" s="2" t="str">
        <f>IF(C563=0,ISTEXT(FORMULA.CONVERT("="&amp;A563&amp;"("&amp;REPLACE(REPT(",#ref!",B563),1,1,"")&amp;")()",1)),"")</f>
        <v/>
      </c>
      <c r="G563" s="2">
        <f>TYPE(REQUEST({1},IF(1,1)))</f>
        <v>4</v>
      </c>
      <c r="H563" s="2">
        <f t="shared" si="17"/>
        <v>1</v>
      </c>
      <c r="I563" s="2">
        <f>TYPE(REQUEST(IF(1,1),IF(1,1)))</f>
        <v>4</v>
      </c>
      <c r="J563" s="2" t="str">
        <f>IF(C563=0,COUNTIFS(A:A,A563,D:D,"a"),"")</f>
        <v/>
      </c>
      <c r="K563" s="2" t="e">
        <f>INDEX(+REQUEST(K563:L563,#REF!),)</f>
        <v>#REF!</v>
      </c>
      <c r="M563" s="2" t="e">
        <f>INDEX(+REQUEST(INDIRECT(M563:N563),#REF!),)</f>
        <v>#REF!</v>
      </c>
    </row>
    <row r="564" spans="1:14" x14ac:dyDescent="0.55000000000000004">
      <c r="A564" s="1" t="s">
        <v>1638</v>
      </c>
      <c r="B564" s="2">
        <f>COUNTIF(A:A,A564)-1</f>
        <v>2</v>
      </c>
      <c r="C564" s="2">
        <f>COUNTIF(A$1:A564,A564)-1</f>
        <v>2</v>
      </c>
      <c r="D564" s="2" t="str">
        <f>Argument!D564</f>
        <v>v</v>
      </c>
      <c r="E564" s="2" t="str">
        <f t="shared" si="16"/>
        <v/>
      </c>
      <c r="F564" s="2" t="str">
        <f>IF(C564=0,ISTEXT(FORMULA.CONVERT("="&amp;A564&amp;"("&amp;REPLACE(REPT(",#ref!",B564),1,1,"")&amp;")()",1)),"")</f>
        <v/>
      </c>
      <c r="G564" s="2">
        <f>TYPE(REQUEST(IF(1,1),{1}))</f>
        <v>4</v>
      </c>
      <c r="H564" s="2">
        <f t="shared" si="17"/>
        <v>1</v>
      </c>
      <c r="I564" s="2">
        <f>TYPE(REQUEST(IF(1,1),IF(1,1)))</f>
        <v>4</v>
      </c>
      <c r="J564" s="2" t="str">
        <f>IF(C564=0,COUNTIFS(A:A,A564,D:D,"a"),"")</f>
        <v/>
      </c>
      <c r="K564" s="2" t="e">
        <f>INDEX(+REQUEST(#REF!,K564:L564),)</f>
        <v>#REF!</v>
      </c>
      <c r="M564" s="2" t="e">
        <f>INDEX(+REQUEST(#REF!,INDIRECT(M564:N564)),)</f>
        <v>#REF!</v>
      </c>
    </row>
    <row r="565" spans="1:14" x14ac:dyDescent="0.55000000000000004">
      <c r="A565" s="1" t="s">
        <v>1639</v>
      </c>
      <c r="B565" s="2">
        <f>COUNTIF(A:A,A565)-1</f>
        <v>3</v>
      </c>
      <c r="C565" s="2">
        <f>COUNTIF(A$1:A565,A565)-1</f>
        <v>0</v>
      </c>
      <c r="D565" s="2" t="str">
        <f>Argument!D565</f>
        <v/>
      </c>
      <c r="E565" s="2" t="str">
        <f t="shared" si="16"/>
        <v>v</v>
      </c>
      <c r="F565" s="2" t="b">
        <f>IF(C565=0,ISTEXT(FORMULA.CONVERT("="&amp;A565&amp;"("&amp;REPLACE(REPT(",#ref!",B565),1,1,"")&amp;")()",1)),"")</f>
        <v>0</v>
      </c>
      <c r="G565" s="2"/>
      <c r="H565" s="2" t="str">
        <f t="shared" si="17"/>
        <v/>
      </c>
      <c r="I565" s="2">
        <f>TYPE(POKE(IF(1,1),IF(1,1),IF(1,1)))</f>
        <v>4</v>
      </c>
      <c r="J565" s="2">
        <f>IF(C565=0,COUNTIFS(A:A,A565,D:D,"a"),"")</f>
        <v>0</v>
      </c>
      <c r="K565" s="2"/>
      <c r="M565" s="2"/>
    </row>
    <row r="566" spans="1:14" x14ac:dyDescent="0.55000000000000004">
      <c r="A566" s="1" t="s">
        <v>1639</v>
      </c>
      <c r="B566" s="2">
        <f>COUNTIF(A:A,A566)-1</f>
        <v>3</v>
      </c>
      <c r="C566" s="2">
        <f>COUNTIF(A$1:A566,A566)-1</f>
        <v>1</v>
      </c>
      <c r="D566" s="2" t="str">
        <f>Argument!D566</f>
        <v>v</v>
      </c>
      <c r="E566" s="2" t="str">
        <f t="shared" si="16"/>
        <v/>
      </c>
      <c r="F566" s="2" t="str">
        <f>IF(C566=0,ISTEXT(FORMULA.CONVERT("="&amp;A566&amp;"("&amp;REPLACE(REPT(",#ref!",B566),1,1,"")&amp;")()",1)),"")</f>
        <v/>
      </c>
      <c r="G566" s="2">
        <f>TYPE(POKE({1},IF(1,1),IF(1,1)))</f>
        <v>64</v>
      </c>
      <c r="H566" s="2" t="str">
        <f t="shared" si="17"/>
        <v/>
      </c>
      <c r="I566" s="2">
        <f>TYPE(POKE(IF(1,1),IF(1,1),IF(1,1)))</f>
        <v>4</v>
      </c>
      <c r="J566" s="2" t="str">
        <f>IF(C566=0,COUNTIFS(A:A,A566,D:D,"a"),"")</f>
        <v/>
      </c>
      <c r="K566" s="2" t="e">
        <f>INDEX(+POKE(K566:L566,#REF!,#REF!),)</f>
        <v>#REF!</v>
      </c>
      <c r="L566" s="1">
        <v>1</v>
      </c>
      <c r="M566" s="2" t="e">
        <f>INDEX(+POKE(INDIRECT(M566:N566),#REF!,#REF!),)</f>
        <v>#REF!</v>
      </c>
      <c r="N566" s="1">
        <v>1</v>
      </c>
    </row>
    <row r="567" spans="1:14" x14ac:dyDescent="0.55000000000000004">
      <c r="A567" s="1" t="s">
        <v>1639</v>
      </c>
      <c r="B567" s="2">
        <f>COUNTIF(A:A,A567)-1</f>
        <v>3</v>
      </c>
      <c r="C567" s="2">
        <f>COUNTIF(A$1:A567,A567)-1</f>
        <v>2</v>
      </c>
      <c r="D567" s="2" t="str">
        <f>Argument!D567</f>
        <v>vr</v>
      </c>
      <c r="E567" s="2" t="str">
        <f t="shared" si="16"/>
        <v/>
      </c>
      <c r="F567" s="2" t="str">
        <f>IF(C567=0,ISTEXT(FORMULA.CONVERT("="&amp;A567&amp;"("&amp;REPLACE(REPT(",#ref!",B567),1,1,"")&amp;")()",1)),"")</f>
        <v/>
      </c>
      <c r="G567" s="2">
        <f>TYPE(POKE(IF(1,1),{1},IF(1,1)))</f>
        <v>64</v>
      </c>
      <c r="H567" s="2" t="str">
        <f t="shared" si="17"/>
        <v/>
      </c>
      <c r="I567" s="2">
        <f>TYPE(POKE(IF(1,1),IF(1,1),IF(1,1)))</f>
        <v>4</v>
      </c>
      <c r="J567" s="2" t="str">
        <f>IF(C567=0,COUNTIFS(A:A,A567,D:D,"a"),"")</f>
        <v/>
      </c>
      <c r="K567" s="2" t="e">
        <f>INDEX(+POKE(#REF!,K567:L567,#REF!),)</f>
        <v>#REF!</v>
      </c>
      <c r="L567" s="1">
        <v>1</v>
      </c>
      <c r="M567" s="2" t="e">
        <f>INDEX(+POKE(#REF!,INDIRECT(M567:N567),#REF!),)</f>
        <v>#REF!</v>
      </c>
      <c r="N567" s="1">
        <v>1</v>
      </c>
    </row>
    <row r="568" spans="1:14" x14ac:dyDescent="0.55000000000000004">
      <c r="A568" s="1" t="s">
        <v>1639</v>
      </c>
      <c r="B568" s="2">
        <f>COUNTIF(A:A,A568)-1</f>
        <v>3</v>
      </c>
      <c r="C568" s="2">
        <f>COUNTIF(A$1:A568,A568)-1</f>
        <v>3</v>
      </c>
      <c r="D568" s="2" t="str">
        <f>Argument!D568</f>
        <v>vr</v>
      </c>
      <c r="E568" s="2" t="str">
        <f t="shared" si="16"/>
        <v/>
      </c>
      <c r="F568" s="2" t="str">
        <f>IF(C568=0,ISTEXT(FORMULA.CONVERT("="&amp;A568&amp;"("&amp;REPLACE(REPT(",#ref!",B568),1,1,"")&amp;")()",1)),"")</f>
        <v/>
      </c>
      <c r="G568" s="2">
        <f>TYPE(POKE(IF(1,1),IF(1,1),{1}))</f>
        <v>64</v>
      </c>
      <c r="H568" s="2" t="str">
        <f t="shared" si="17"/>
        <v/>
      </c>
      <c r="I568" s="2">
        <f>TYPE(POKE(IF(1,1),IF(1,1),IF(1,1)))</f>
        <v>4</v>
      </c>
      <c r="J568" s="2" t="str">
        <f>IF(C568=0,COUNTIFS(A:A,A568,D:D,"a"),"")</f>
        <v/>
      </c>
      <c r="K568" s="2" t="e">
        <f>INDEX(+POKE(#REF!,#REF!,K568:L568),)</f>
        <v>#REF!</v>
      </c>
      <c r="L568" s="1">
        <v>1</v>
      </c>
      <c r="M568" s="2" t="e">
        <f>INDEX(+POKE(#REF!,#REF!,INDIRECT(M568:N568)),)</f>
        <v>#REF!</v>
      </c>
      <c r="N568" s="1">
        <v>1</v>
      </c>
    </row>
    <row r="569" spans="1:14" x14ac:dyDescent="0.55000000000000004">
      <c r="A569" s="1" t="s">
        <v>1640</v>
      </c>
      <c r="B569" s="2">
        <f>COUNTIF(A:A,A569)-1</f>
        <v>2</v>
      </c>
      <c r="C569" s="2">
        <f>COUNTIF(A$1:A569,A569)-1</f>
        <v>0</v>
      </c>
      <c r="D569" s="2" t="str">
        <f>Argument!D569</f>
        <v/>
      </c>
      <c r="E569" s="2" t="str">
        <f t="shared" si="16"/>
        <v>v</v>
      </c>
      <c r="F569" s="2" t="b">
        <f>IF(C569=0,ISTEXT(FORMULA.CONVERT("="&amp;A569&amp;"("&amp;REPLACE(REPT(",#ref!",B569),1,1,"")&amp;")()",1)),"")</f>
        <v>0</v>
      </c>
      <c r="G569" s="2"/>
      <c r="H569" s="2" t="str">
        <f t="shared" si="17"/>
        <v/>
      </c>
      <c r="I569" s="2">
        <f>TYPE(EXECUTE(IF(1,1),IF(1,1)))</f>
        <v>4</v>
      </c>
      <c r="J569" s="2">
        <f>IF(C569=0,COUNTIFS(A:A,A569,D:D,"a"),"")</f>
        <v>0</v>
      </c>
      <c r="K569" s="2"/>
      <c r="M569" s="2"/>
    </row>
    <row r="570" spans="1:14" x14ac:dyDescent="0.55000000000000004">
      <c r="A570" s="1" t="s">
        <v>1640</v>
      </c>
      <c r="B570" s="2">
        <f>COUNTIF(A:A,A570)-1</f>
        <v>2</v>
      </c>
      <c r="C570" s="2">
        <f>COUNTIF(A$1:A570,A570)-1</f>
        <v>1</v>
      </c>
      <c r="D570" s="2" t="str">
        <f>Argument!D570</f>
        <v>v</v>
      </c>
      <c r="E570" s="2" t="str">
        <f t="shared" si="16"/>
        <v/>
      </c>
      <c r="F570" s="2" t="str">
        <f>IF(C570=0,ISTEXT(FORMULA.CONVERT("="&amp;A570&amp;"("&amp;REPLACE(REPT(",#ref!",B570),1,1,"")&amp;")()",1)),"")</f>
        <v/>
      </c>
      <c r="G570" s="2">
        <f>TYPE(EXECUTE({1},IF(1,1)))</f>
        <v>64</v>
      </c>
      <c r="H570" s="2" t="str">
        <f t="shared" si="17"/>
        <v/>
      </c>
      <c r="I570" s="2">
        <f>TYPE(EXECUTE(IF(1,1),IF(1,1)))</f>
        <v>4</v>
      </c>
      <c r="J570" s="2" t="str">
        <f>IF(C570=0,COUNTIFS(A:A,A570,D:D,"a"),"")</f>
        <v/>
      </c>
      <c r="K570" s="2" t="e">
        <f>INDEX(+EXECUTE(K570:L570,#REF!),)</f>
        <v>#REF!</v>
      </c>
      <c r="L570" s="1">
        <v>1</v>
      </c>
      <c r="M570" s="2" t="e">
        <f>INDEX(+EXECUTE(INDIRECT(M570:N570),#REF!),)</f>
        <v>#REF!</v>
      </c>
      <c r="N570" s="1">
        <v>1</v>
      </c>
    </row>
    <row r="571" spans="1:14" x14ac:dyDescent="0.55000000000000004">
      <c r="A571" s="1" t="s">
        <v>1640</v>
      </c>
      <c r="B571" s="2">
        <f>COUNTIF(A:A,A571)-1</f>
        <v>2</v>
      </c>
      <c r="C571" s="2">
        <f>COUNTIF(A$1:A571,A571)-1</f>
        <v>2</v>
      </c>
      <c r="D571" s="2" t="str">
        <f>Argument!D571</f>
        <v>v</v>
      </c>
      <c r="E571" s="2" t="str">
        <f t="shared" si="16"/>
        <v/>
      </c>
      <c r="F571" s="2" t="str">
        <f>IF(C571=0,ISTEXT(FORMULA.CONVERT("="&amp;A571&amp;"("&amp;REPLACE(REPT(",#ref!",B571),1,1,"")&amp;")()",1)),"")</f>
        <v/>
      </c>
      <c r="G571" s="2">
        <f>TYPE(EXECUTE(IF(1,1),{1}))</f>
        <v>64</v>
      </c>
      <c r="H571" s="2" t="str">
        <f t="shared" si="17"/>
        <v/>
      </c>
      <c r="I571" s="2">
        <f>TYPE(EXECUTE(IF(1,1),IF(1,1)))</f>
        <v>4</v>
      </c>
      <c r="J571" s="2" t="str">
        <f>IF(C571=0,COUNTIFS(A:A,A571,D:D,"a"),"")</f>
        <v/>
      </c>
      <c r="K571" s="2" t="e">
        <f>INDEX(+EXECUTE(#REF!,K571:L571),)</f>
        <v>#REF!</v>
      </c>
      <c r="L571" s="1">
        <v>1</v>
      </c>
      <c r="M571" s="2" t="e">
        <f>INDEX(+EXECUTE(#REF!,INDIRECT(M571:N571)),)</f>
        <v>#REF!</v>
      </c>
      <c r="N571" s="1">
        <v>1</v>
      </c>
    </row>
    <row r="572" spans="1:14" x14ac:dyDescent="0.55000000000000004">
      <c r="A572" s="1" t="s">
        <v>1641</v>
      </c>
      <c r="B572" s="2">
        <f>COUNTIF(A:A,A572)-1</f>
        <v>1</v>
      </c>
      <c r="C572" s="2">
        <f>COUNTIF(A$1:A572,A572)-1</f>
        <v>0</v>
      </c>
      <c r="D572" s="2" t="str">
        <f>Argument!D572</f>
        <v/>
      </c>
      <c r="E572" s="2" t="str">
        <f t="shared" si="16"/>
        <v>v</v>
      </c>
      <c r="F572" s="2" t="b">
        <f>IF(C572=0,ISTEXT(FORMULA.CONVERT("="&amp;A572&amp;"("&amp;REPLACE(REPT(",#ref!",B572),1,1,"")&amp;")()",1)),"")</f>
        <v>0</v>
      </c>
      <c r="G572" s="2"/>
      <c r="H572" s="2" t="str">
        <f t="shared" si="17"/>
        <v/>
      </c>
      <c r="I572" s="2">
        <f>TYPE(TERMINATE(IF(1,1)))</f>
        <v>4</v>
      </c>
      <c r="J572" s="2">
        <f>IF(C572=0,COUNTIFS(A:A,A572,D:D,"a"),"")</f>
        <v>0</v>
      </c>
      <c r="K572" s="2"/>
      <c r="M572" s="2"/>
    </row>
    <row r="573" spans="1:14" x14ac:dyDescent="0.55000000000000004">
      <c r="A573" s="1" t="s">
        <v>1641</v>
      </c>
      <c r="B573" s="2">
        <f>COUNTIF(A:A,A573)-1</f>
        <v>1</v>
      </c>
      <c r="C573" s="2">
        <f>COUNTIF(A$1:A573,A573)-1</f>
        <v>1</v>
      </c>
      <c r="D573" s="2" t="str">
        <f>Argument!D573</f>
        <v>v</v>
      </c>
      <c r="E573" s="2" t="str">
        <f t="shared" si="16"/>
        <v/>
      </c>
      <c r="F573" s="2" t="str">
        <f>IF(C573=0,ISTEXT(FORMULA.CONVERT("="&amp;A573&amp;"("&amp;REPLACE(REPT(",#ref!",B573),1,1,"")&amp;")()",1)),"")</f>
        <v/>
      </c>
      <c r="G573" s="2">
        <f>TYPE(TERMINATE({1}))</f>
        <v>64</v>
      </c>
      <c r="H573" s="2" t="str">
        <f t="shared" si="17"/>
        <v/>
      </c>
      <c r="I573" s="2">
        <f>TYPE(TERMINATE(IF(1,1)))</f>
        <v>4</v>
      </c>
      <c r="J573" s="2" t="str">
        <f>IF(C573=0,COUNTIFS(A:A,A573,D:D,"a"),"")</f>
        <v/>
      </c>
      <c r="K573" s="2" t="b">
        <f>INDEX(+TERMINATE(K573:L573),)</f>
        <v>0</v>
      </c>
      <c r="L573" s="1">
        <v>1</v>
      </c>
      <c r="M573" s="2" t="e">
        <f>INDEX(+TERMINATE(INDIRECT(M573:N573)),)</f>
        <v>#REF!</v>
      </c>
      <c r="N573" s="1">
        <v>1</v>
      </c>
    </row>
    <row r="574" spans="1:14" x14ac:dyDescent="0.55000000000000004">
      <c r="A574" s="1" t="s">
        <v>1642</v>
      </c>
      <c r="B574" s="2">
        <f>COUNTIF(A:A,A574)-1</f>
        <v>1</v>
      </c>
      <c r="C574" s="2">
        <f>COUNTIF(A$1:A574,A574)-1</f>
        <v>0</v>
      </c>
      <c r="D574" s="2" t="str">
        <f>Argument!D574</f>
        <v/>
      </c>
      <c r="E574" s="2" t="str">
        <f t="shared" si="16"/>
        <v>v</v>
      </c>
      <c r="F574" s="2" t="b">
        <f>IF(C574=0,ISTEXT(FORMULA.CONVERT("="&amp;A574&amp;"("&amp;REPLACE(REPT(",#ref!",B574),1,1,"")&amp;")()",1)),"")</f>
        <v>0</v>
      </c>
      <c r="G574" s="2"/>
      <c r="H574" s="2" t="str">
        <f t="shared" si="17"/>
        <v/>
      </c>
      <c r="I574" s="2">
        <f>TYPE(RESTART(IF(1,1)))</f>
        <v>4</v>
      </c>
      <c r="J574" s="2">
        <f>IF(C574=0,COUNTIFS(A:A,A574,D:D,"a"),"")</f>
        <v>0</v>
      </c>
      <c r="K574" s="2"/>
      <c r="M574" s="2"/>
    </row>
    <row r="575" spans="1:14" x14ac:dyDescent="0.55000000000000004">
      <c r="A575" s="1" t="s">
        <v>1642</v>
      </c>
      <c r="B575" s="2">
        <f>COUNTIF(A:A,A575)-1</f>
        <v>1</v>
      </c>
      <c r="C575" s="2">
        <f>COUNTIF(A$1:A575,A575)-1</f>
        <v>1</v>
      </c>
      <c r="D575" s="2" t="str">
        <f>Argument!D575</f>
        <v>v</v>
      </c>
      <c r="E575" s="2" t="str">
        <f t="shared" si="16"/>
        <v/>
      </c>
      <c r="F575" s="2" t="str">
        <f>IF(C575=0,ISTEXT(FORMULA.CONVERT("="&amp;A575&amp;"("&amp;REPLACE(REPT(",#ref!",B575),1,1,"")&amp;")()",1)),"")</f>
        <v/>
      </c>
      <c r="G575" s="2">
        <f>TYPE(RESTART({1}))</f>
        <v>64</v>
      </c>
      <c r="H575" s="2" t="str">
        <f t="shared" si="17"/>
        <v/>
      </c>
      <c r="I575" s="2">
        <f>TYPE(RESTART(IF(1,1)))</f>
        <v>4</v>
      </c>
      <c r="J575" s="2" t="str">
        <f>IF(C575=0,COUNTIFS(A:A,A575,D:D,"a"),"")</f>
        <v/>
      </c>
      <c r="K575" s="2" t="b">
        <f>INDEX(+RESTART(K575:L575),)</f>
        <v>0</v>
      </c>
      <c r="L575" s="1">
        <v>1</v>
      </c>
      <c r="M575" s="2" t="e">
        <f>INDEX(+RESTART(INDIRECT(M575:N575)),)</f>
        <v>#REF!</v>
      </c>
      <c r="N575" s="1">
        <v>1</v>
      </c>
    </row>
    <row r="576" spans="1:14" x14ac:dyDescent="0.55000000000000004">
      <c r="A576" s="1" t="s">
        <v>1643</v>
      </c>
      <c r="B576" s="2">
        <f>COUNTIF(A:A,A576)-1</f>
        <v>1</v>
      </c>
      <c r="C576" s="2">
        <f>COUNTIF(A$1:A576,A576)-1</f>
        <v>0</v>
      </c>
      <c r="D576" s="2" t="str">
        <f>Argument!D576</f>
        <v/>
      </c>
      <c r="E576" s="2" t="str">
        <f t="shared" si="16"/>
        <v>v</v>
      </c>
      <c r="F576" s="2" t="b">
        <f>IF(C576=0,ISTEXT(FORMULA.CONVERT("="&amp;A576&amp;"("&amp;REPLACE(REPT(",#ref!",B576),1,1,"")&amp;")()",1)),"")</f>
        <v>0</v>
      </c>
      <c r="G576" s="2"/>
      <c r="H576" s="2" t="str">
        <f t="shared" si="17"/>
        <v/>
      </c>
      <c r="I576" s="2">
        <f>TYPE(HELP(IF(1,1)))</f>
        <v>4</v>
      </c>
      <c r="J576" s="2">
        <f>IF(C576=0,COUNTIFS(A:A,A576,D:D,"a"),"")</f>
        <v>0</v>
      </c>
      <c r="K576" s="2"/>
      <c r="M576" s="2"/>
    </row>
    <row r="577" spans="1:14" x14ac:dyDescent="0.55000000000000004">
      <c r="A577" s="1" t="s">
        <v>1643</v>
      </c>
      <c r="B577" s="2">
        <f>COUNTIF(A:A,A577)-1</f>
        <v>1</v>
      </c>
      <c r="C577" s="2">
        <f>COUNTIF(A$1:A577,A577)-1</f>
        <v>1</v>
      </c>
      <c r="D577" s="2" t="str">
        <f>Argument!D577</f>
        <v>v</v>
      </c>
      <c r="E577" s="2" t="str">
        <f t="shared" si="16"/>
        <v/>
      </c>
      <c r="F577" s="2" t="str">
        <f>IF(C577=0,ISTEXT(FORMULA.CONVERT("="&amp;A577&amp;"("&amp;REPLACE(REPT(",#ref!",B577),1,1,"")&amp;")()",1)),"")</f>
        <v/>
      </c>
      <c r="G577" s="2">
        <f>TYPE(HELP({1}))</f>
        <v>64</v>
      </c>
      <c r="H577" s="2" t="str">
        <f t="shared" si="17"/>
        <v/>
      </c>
      <c r="I577" s="2">
        <f>TYPE(HELP(IF(1,1)))</f>
        <v>4</v>
      </c>
      <c r="J577" s="2" t="str">
        <f>IF(C577=0,COUNTIFS(A:A,A577,D:D,"a"),"")</f>
        <v/>
      </c>
      <c r="K577" s="2" t="b">
        <f>INDEX(+HELP(K577:L577),)</f>
        <v>0</v>
      </c>
      <c r="L577" s="1">
        <v>1</v>
      </c>
      <c r="M577" s="2" t="e">
        <f>INDEX(+HELP(INDIRECT(M577:N577)),)</f>
        <v>#REF!</v>
      </c>
      <c r="N577" s="1">
        <v>1</v>
      </c>
    </row>
    <row r="578" spans="1:14" x14ac:dyDescent="0.55000000000000004">
      <c r="A578" s="1" t="s">
        <v>1644</v>
      </c>
      <c r="B578" s="2">
        <f>COUNTIF(A:A,A578)-1</f>
        <v>4</v>
      </c>
      <c r="C578" s="2">
        <f>COUNTIF(A$1:A578,A578)-1</f>
        <v>0</v>
      </c>
      <c r="D578" s="2" t="str">
        <f>Argument!D578</f>
        <v/>
      </c>
      <c r="E578" s="2" t="str">
        <f t="shared" ref="E578:E641" si="18">IF(C578=0,IF(SUMIFS(H:H,A:A,A578),IF(COUNTIFS(A:A,A578,G:G,64),,"v")&amp;IF(F578,"ar","a"),IF(F578,"r","v")),"")</f>
        <v>v</v>
      </c>
      <c r="F578" s="2" t="b">
        <f>IF(C578=0,ISTEXT(FORMULA.CONVERT("="&amp;A578&amp;"("&amp;REPLACE(REPT(",#ref!",B578),1,1,"")&amp;")()",1)),"")</f>
        <v>0</v>
      </c>
      <c r="G578" s="2"/>
      <c r="H578" s="2" t="str">
        <f t="shared" ref="H578:H641" si="19">IF((I578=64)*(J578=B578)+(1-L578)*COUNTIF(D578,"*v*")+(1-N578)*COUNTIF(D578,"*r*"),1,"")</f>
        <v/>
      </c>
      <c r="I578" s="2">
        <f>TYPE(GET.BAR(IF(1,1),IF(1,1),IF(1,1),IF(1,1)))</f>
        <v>4</v>
      </c>
      <c r="J578" s="2">
        <f>IF(C578=0,COUNTIFS(A:A,A578,D:D,"a"),"")</f>
        <v>0</v>
      </c>
      <c r="K578" s="2"/>
      <c r="M578" s="2"/>
    </row>
    <row r="579" spans="1:14" x14ac:dyDescent="0.55000000000000004">
      <c r="A579" s="1" t="s">
        <v>1644</v>
      </c>
      <c r="B579" s="2">
        <f>COUNTIF(A:A,A579)-1</f>
        <v>4</v>
      </c>
      <c r="C579" s="2">
        <f>COUNTIF(A$1:A579,A579)-1</f>
        <v>1</v>
      </c>
      <c r="D579" s="2" t="str">
        <f>Argument!D579</f>
        <v>v</v>
      </c>
      <c r="E579" s="2" t="str">
        <f t="shared" si="18"/>
        <v/>
      </c>
      <c r="F579" s="2" t="str">
        <f>IF(C579=0,ISTEXT(FORMULA.CONVERT("="&amp;A579&amp;"("&amp;REPLACE(REPT(",#ref!",B579),1,1,"")&amp;")()",1)),"")</f>
        <v/>
      </c>
      <c r="G579" s="2">
        <f>TYPE(GET.BAR({1},IF(1,1),IF(1,1),IF(1,1)))</f>
        <v>64</v>
      </c>
      <c r="H579" s="2" t="str">
        <f t="shared" si="19"/>
        <v/>
      </c>
      <c r="I579" s="2">
        <f>TYPE(GET.BAR(IF(1,1),IF(1,1),IF(1,1),IF(1,1)))</f>
        <v>4</v>
      </c>
      <c r="J579" s="2" t="str">
        <f>IF(C579=0,COUNTIFS(A:A,A579,D:D,"a"),"")</f>
        <v/>
      </c>
      <c r="K579" s="2" t="b">
        <f>INDEX(+GET.BAR(K579:L579,#REF!,#REF!,#REF!),)</f>
        <v>0</v>
      </c>
      <c r="L579" s="1">
        <v>1</v>
      </c>
      <c r="M579" s="2" t="b">
        <f>INDEX(+GET.BAR(INDIRECT(M579:N579),#REF!,#REF!,#REF!),)</f>
        <v>0</v>
      </c>
      <c r="N579" s="1">
        <v>1</v>
      </c>
    </row>
    <row r="580" spans="1:14" x14ac:dyDescent="0.55000000000000004">
      <c r="A580" s="1" t="s">
        <v>1644</v>
      </c>
      <c r="B580" s="2">
        <f>COUNTIF(A:A,A580)-1</f>
        <v>4</v>
      </c>
      <c r="C580" s="2">
        <f>COUNTIF(A$1:A580,A580)-1</f>
        <v>2</v>
      </c>
      <c r="D580" s="2" t="str">
        <f>Argument!D580</f>
        <v>v</v>
      </c>
      <c r="E580" s="2" t="str">
        <f t="shared" si="18"/>
        <v/>
      </c>
      <c r="F580" s="2" t="str">
        <f>IF(C580=0,ISTEXT(FORMULA.CONVERT("="&amp;A580&amp;"("&amp;REPLACE(REPT(",#ref!",B580),1,1,"")&amp;")()",1)),"")</f>
        <v/>
      </c>
      <c r="G580" s="2">
        <f>TYPE(GET.BAR(IF(1,1),{1},IF(1,1),IF(1,1)))</f>
        <v>64</v>
      </c>
      <c r="H580" s="2" t="str">
        <f t="shared" si="19"/>
        <v/>
      </c>
      <c r="I580" s="2">
        <f>TYPE(GET.BAR(IF(1,1),IF(1,1),IF(1,1),IF(1,1)))</f>
        <v>4</v>
      </c>
      <c r="J580" s="2" t="str">
        <f>IF(C580=0,COUNTIFS(A:A,A580,D:D,"a"),"")</f>
        <v/>
      </c>
      <c r="K580" s="2" t="b">
        <f>INDEX(+GET.BAR(#REF!,K580:L580,#REF!,#REF!),)</f>
        <v>0</v>
      </c>
      <c r="L580" s="1">
        <v>1</v>
      </c>
      <c r="M580" s="2" t="b">
        <f>INDEX(+GET.BAR(#REF!,INDIRECT(M580:N580),#REF!,#REF!),)</f>
        <v>0</v>
      </c>
      <c r="N580" s="1">
        <v>1</v>
      </c>
    </row>
    <row r="581" spans="1:14" x14ac:dyDescent="0.55000000000000004">
      <c r="A581" s="1" t="s">
        <v>1644</v>
      </c>
      <c r="B581" s="2">
        <f>COUNTIF(A:A,A581)-1</f>
        <v>4</v>
      </c>
      <c r="C581" s="2">
        <f>COUNTIF(A$1:A581,A581)-1</f>
        <v>3</v>
      </c>
      <c r="D581" s="2" t="str">
        <f>Argument!D581</f>
        <v>v</v>
      </c>
      <c r="E581" s="2" t="str">
        <f t="shared" si="18"/>
        <v/>
      </c>
      <c r="F581" s="2" t="str">
        <f>IF(C581=0,ISTEXT(FORMULA.CONVERT("="&amp;A581&amp;"("&amp;REPLACE(REPT(",#ref!",B581),1,1,"")&amp;")()",1)),"")</f>
        <v/>
      </c>
      <c r="G581" s="2">
        <f>TYPE(GET.BAR(IF(1,1),IF(1,1),{1},IF(1,1)))</f>
        <v>64</v>
      </c>
      <c r="H581" s="2" t="str">
        <f t="shared" si="19"/>
        <v/>
      </c>
      <c r="I581" s="2">
        <f>TYPE(GET.BAR(IF(1,1),IF(1,1),IF(1,1),IF(1,1)))</f>
        <v>4</v>
      </c>
      <c r="J581" s="2" t="str">
        <f>IF(C581=0,COUNTIFS(A:A,A581,D:D,"a"),"")</f>
        <v/>
      </c>
      <c r="K581" s="2" t="b">
        <f>INDEX(+GET.BAR(#REF!,#REF!,K581:L581,#REF!),)</f>
        <v>0</v>
      </c>
      <c r="L581" s="1">
        <v>1</v>
      </c>
      <c r="M581" s="2" t="b">
        <f>INDEX(+GET.BAR(#REF!,#REF!,INDIRECT(M581:N581),#REF!),)</f>
        <v>0</v>
      </c>
      <c r="N581" s="1">
        <v>1</v>
      </c>
    </row>
    <row r="582" spans="1:14" x14ac:dyDescent="0.55000000000000004">
      <c r="A582" s="1" t="s">
        <v>1644</v>
      </c>
      <c r="B582" s="2">
        <f>COUNTIF(A:A,A582)-1</f>
        <v>4</v>
      </c>
      <c r="C582" s="2">
        <f>COUNTIF(A$1:A582,A582)-1</f>
        <v>4</v>
      </c>
      <c r="D582" s="2" t="str">
        <f>Argument!D582</f>
        <v>v</v>
      </c>
      <c r="E582" s="2" t="str">
        <f t="shared" si="18"/>
        <v/>
      </c>
      <c r="F582" s="2" t="str">
        <f>IF(C582=0,ISTEXT(FORMULA.CONVERT("="&amp;A582&amp;"("&amp;REPLACE(REPT(",#ref!",B582),1,1,"")&amp;")()",1)),"")</f>
        <v/>
      </c>
      <c r="G582" s="2">
        <f>TYPE(GET.BAR(IF(1,1),IF(1,1),IF(1,1),{1}))</f>
        <v>64</v>
      </c>
      <c r="H582" s="2" t="str">
        <f t="shared" si="19"/>
        <v/>
      </c>
      <c r="I582" s="2">
        <f>TYPE(GET.BAR(IF(1,1),IF(1,1),IF(1,1),IF(1,1)))</f>
        <v>4</v>
      </c>
      <c r="J582" s="2" t="str">
        <f>IF(C582=0,COUNTIFS(A:A,A582,D:D,"a"),"")</f>
        <v/>
      </c>
      <c r="K582" s="2" t="b">
        <f>INDEX(+GET.BAR(#REF!,#REF!,#REF!,K582:L582),)</f>
        <v>0</v>
      </c>
      <c r="L582" s="1">
        <v>1</v>
      </c>
      <c r="M582" s="2" t="b">
        <f>INDEX(+GET.BAR(#REF!,#REF!,#REF!,INDIRECT(M582:N582)),)</f>
        <v>0</v>
      </c>
      <c r="N582" s="1">
        <v>1</v>
      </c>
    </row>
    <row r="583" spans="1:14" x14ac:dyDescent="0.55000000000000004">
      <c r="A583" s="1" t="s">
        <v>1645</v>
      </c>
      <c r="B583" s="2">
        <f>COUNTIF(A:A,A583)-1</f>
        <v>3</v>
      </c>
      <c r="C583" s="2">
        <f>COUNTIF(A$1:A583,A583)-1</f>
        <v>0</v>
      </c>
      <c r="D583" s="2" t="str">
        <f>Argument!D583</f>
        <v/>
      </c>
      <c r="E583" s="2" t="str">
        <f t="shared" si="18"/>
        <v>v</v>
      </c>
      <c r="F583" s="2" t="b">
        <f>IF(C583=0,ISTEXT(FORMULA.CONVERT("="&amp;A583&amp;"("&amp;REPLACE(REPT(",#ref!",B583),1,1,"")&amp;")()",1)),"")</f>
        <v>0</v>
      </c>
      <c r="G583" s="2"/>
      <c r="H583" s="2" t="str">
        <f t="shared" si="19"/>
        <v/>
      </c>
      <c r="I583" s="2">
        <f>TYPE(PRODUCT(IF(1,1),IF(1,1),IF(1,1)))</f>
        <v>1</v>
      </c>
      <c r="J583" s="2">
        <f>IF(C583=0,COUNTIFS(A:A,A583,D:D,"a"),"")</f>
        <v>0</v>
      </c>
      <c r="K583" s="2"/>
      <c r="M583" s="2"/>
    </row>
    <row r="584" spans="1:14" x14ac:dyDescent="0.55000000000000004">
      <c r="A584" s="1" t="s">
        <v>1645</v>
      </c>
      <c r="B584" s="2">
        <f>COUNTIF(A:A,A584)-1</f>
        <v>3</v>
      </c>
      <c r="C584" s="2">
        <f>COUNTIF(A$1:A584,A584)-1</f>
        <v>1</v>
      </c>
      <c r="D584" s="2" t="str">
        <f>Argument!D584</f>
        <v>var</v>
      </c>
      <c r="E584" s="2" t="str">
        <f t="shared" si="18"/>
        <v/>
      </c>
      <c r="F584" s="2" t="str">
        <f>IF(C584=0,ISTEXT(FORMULA.CONVERT("="&amp;A584&amp;"("&amp;REPLACE(REPT(",#ref!",B584),1,1,"")&amp;")()",1)),"")</f>
        <v/>
      </c>
      <c r="G584" s="2">
        <f>TYPE(PRODUCT({1},IF(1,1),IF(1,1)))</f>
        <v>1</v>
      </c>
      <c r="H584" s="2" t="str">
        <f t="shared" si="19"/>
        <v/>
      </c>
      <c r="I584" s="2">
        <f>TYPE(PRODUCT(IF(1,1),IF(1,1),IF(1,1)))</f>
        <v>1</v>
      </c>
      <c r="J584" s="2" t="str">
        <f>IF(C584=0,COUNTIFS(A:A,A584,D:D,"a"),"")</f>
        <v/>
      </c>
      <c r="K584" s="2" t="e">
        <f>INDEX(+PRODUCT(K584:L584,#REF!,#REF!),)</f>
        <v>#REF!</v>
      </c>
      <c r="L584" s="1">
        <v>1</v>
      </c>
      <c r="M584" s="2" t="e">
        <f>INDEX(+PRODUCT(INDIRECT(M584:N584),#REF!,#REF!),)</f>
        <v>#REF!</v>
      </c>
      <c r="N584" s="1">
        <v>1</v>
      </c>
    </row>
    <row r="585" spans="1:14" x14ac:dyDescent="0.55000000000000004">
      <c r="A585" s="1" t="s">
        <v>1645</v>
      </c>
      <c r="B585" s="2">
        <f>COUNTIF(A:A,A585)-1</f>
        <v>3</v>
      </c>
      <c r="C585" s="2">
        <f>COUNTIF(A$1:A585,A585)-1</f>
        <v>2</v>
      </c>
      <c r="D585" s="2" t="str">
        <f>Argument!D585</f>
        <v>var</v>
      </c>
      <c r="E585" s="2" t="str">
        <f t="shared" si="18"/>
        <v/>
      </c>
      <c r="F585" s="2" t="str">
        <f>IF(C585=0,ISTEXT(FORMULA.CONVERT("="&amp;A585&amp;"("&amp;REPLACE(REPT(",#ref!",B585),1,1,"")&amp;")()",1)),"")</f>
        <v/>
      </c>
      <c r="G585" s="2">
        <f>TYPE(PRODUCT(IF(1,1),{1},IF(1,1)))</f>
        <v>1</v>
      </c>
      <c r="H585" s="2" t="str">
        <f t="shared" si="19"/>
        <v/>
      </c>
      <c r="I585" s="2">
        <f>TYPE(PRODUCT(IF(1,1),IF(1,1),IF(1,1)))</f>
        <v>1</v>
      </c>
      <c r="J585" s="2" t="str">
        <f>IF(C585=0,COUNTIFS(A:A,A585,D:D,"a"),"")</f>
        <v/>
      </c>
      <c r="K585" s="2" t="e">
        <f>INDEX(+PRODUCT(#REF!,K585:L585,#REF!),)</f>
        <v>#REF!</v>
      </c>
      <c r="L585" s="1">
        <v>1</v>
      </c>
      <c r="M585" s="2" t="e">
        <f>INDEX(+PRODUCT(#REF!,INDIRECT(M585:N585),#REF!),)</f>
        <v>#REF!</v>
      </c>
      <c r="N585" s="1">
        <v>1</v>
      </c>
    </row>
    <row r="586" spans="1:14" x14ac:dyDescent="0.55000000000000004">
      <c r="A586" s="1" t="s">
        <v>1645</v>
      </c>
      <c r="B586" s="2">
        <f>COUNTIF(A:A,A586)-1</f>
        <v>3</v>
      </c>
      <c r="C586" s="2">
        <f>COUNTIF(A$1:A586,A586)-1</f>
        <v>3</v>
      </c>
      <c r="D586" s="2" t="str">
        <f>Argument!D586</f>
        <v>var</v>
      </c>
      <c r="E586" s="2" t="str">
        <f t="shared" si="18"/>
        <v/>
      </c>
      <c r="F586" s="2" t="str">
        <f>IF(C586=0,ISTEXT(FORMULA.CONVERT("="&amp;A586&amp;"("&amp;REPLACE(REPT(",#ref!",B586),1,1,"")&amp;")()",1)),"")</f>
        <v/>
      </c>
      <c r="G586" s="2">
        <f>TYPE(PRODUCT(IF(1,1),IF(1,1),{1}))</f>
        <v>1</v>
      </c>
      <c r="H586" s="2" t="str">
        <f t="shared" si="19"/>
        <v/>
      </c>
      <c r="I586" s="2">
        <f>TYPE(PRODUCT(IF(1,1),IF(1,1),IF(1,1)))</f>
        <v>1</v>
      </c>
      <c r="J586" s="2" t="str">
        <f>IF(C586=0,COUNTIFS(A:A,A586,D:D,"a"),"")</f>
        <v/>
      </c>
      <c r="K586" s="2" t="e">
        <f>INDEX(+PRODUCT(#REF!,#REF!,K586:L586),)</f>
        <v>#REF!</v>
      </c>
      <c r="L586" s="1">
        <v>1</v>
      </c>
      <c r="M586" s="2" t="e">
        <f>INDEX(+PRODUCT(#REF!,#REF!,INDIRECT(M586:N586)),)</f>
        <v>#REF!</v>
      </c>
      <c r="N586" s="1">
        <v>1</v>
      </c>
    </row>
    <row r="587" spans="1:14" x14ac:dyDescent="0.55000000000000004">
      <c r="A587" s="1" t="s">
        <v>1646</v>
      </c>
      <c r="B587" s="2">
        <f>COUNTIF(A:A,A587)-1</f>
        <v>1</v>
      </c>
      <c r="C587" s="2">
        <f>COUNTIF(A$1:A587,A587)-1</f>
        <v>0</v>
      </c>
      <c r="D587" s="2" t="str">
        <f>Argument!D587</f>
        <v/>
      </c>
      <c r="E587" s="2" t="str">
        <f t="shared" si="18"/>
        <v>v</v>
      </c>
      <c r="F587" s="2" t="b">
        <f>IF(C587=0,ISTEXT(FORMULA.CONVERT("="&amp;A587&amp;"("&amp;REPLACE(REPT(",#ref!",B587),1,1,"")&amp;")()",1)),"")</f>
        <v>0</v>
      </c>
      <c r="G587" s="2"/>
      <c r="H587" s="2" t="str">
        <f t="shared" si="19"/>
        <v/>
      </c>
      <c r="I587" s="2">
        <f>TYPE(FACT(IF(1,1)))</f>
        <v>1</v>
      </c>
      <c r="J587" s="2">
        <f>IF(C587=0,COUNTIFS(A:A,A587,D:D,"a"),"")</f>
        <v>0</v>
      </c>
      <c r="K587" s="2"/>
      <c r="M587" s="2"/>
    </row>
    <row r="588" spans="1:14" x14ac:dyDescent="0.55000000000000004">
      <c r="A588" s="1" t="s">
        <v>1646</v>
      </c>
      <c r="B588" s="2">
        <f>COUNTIF(A:A,A588)-1</f>
        <v>1</v>
      </c>
      <c r="C588" s="2">
        <f>COUNTIF(A$1:A588,A588)-1</f>
        <v>1</v>
      </c>
      <c r="D588" s="2" t="str">
        <f>Argument!D588</f>
        <v>v</v>
      </c>
      <c r="E588" s="2" t="str">
        <f t="shared" si="18"/>
        <v/>
      </c>
      <c r="F588" s="2" t="str">
        <f>IF(C588=0,ISTEXT(FORMULA.CONVERT("="&amp;A588&amp;"("&amp;REPLACE(REPT(",#ref!",B588),1,1,"")&amp;")()",1)),"")</f>
        <v/>
      </c>
      <c r="G588" s="2">
        <f>TYPE(FACT({1}))</f>
        <v>64</v>
      </c>
      <c r="H588" s="2" t="str">
        <f t="shared" si="19"/>
        <v/>
      </c>
      <c r="I588" s="2">
        <f>TYPE(FACT(IF(1,1)))</f>
        <v>1</v>
      </c>
      <c r="J588" s="2" t="str">
        <f>IF(C588=0,COUNTIFS(A:A,A588,D:D,"a"),"")</f>
        <v/>
      </c>
      <c r="K588" s="2">
        <f>INDEX(+FACT(K588:L588),)</f>
        <v>1</v>
      </c>
      <c r="L588" s="1">
        <v>1</v>
      </c>
      <c r="M588" s="2" t="e">
        <f>INDEX(+FACT(INDIRECT(M588:N588)),)</f>
        <v>#REF!</v>
      </c>
      <c r="N588" s="1">
        <v>1</v>
      </c>
    </row>
    <row r="589" spans="1:14" x14ac:dyDescent="0.55000000000000004">
      <c r="A589" s="1" t="s">
        <v>1647</v>
      </c>
      <c r="B589" s="2">
        <f>COUNTIF(A:A,A589)-1</f>
        <v>2</v>
      </c>
      <c r="C589" s="2">
        <f>COUNTIF(A$1:A589,A589)-1</f>
        <v>0</v>
      </c>
      <c r="D589" s="2" t="str">
        <f>Argument!D589</f>
        <v/>
      </c>
      <c r="E589" s="2" t="str">
        <f t="shared" si="18"/>
        <v>va</v>
      </c>
      <c r="F589" s="2" t="b">
        <f>IF(C589=0,ISTEXT(FORMULA.CONVERT("="&amp;A589&amp;"("&amp;REPLACE(REPT(",#ref!",B589),1,1,"")&amp;")()",1)),"")</f>
        <v>0</v>
      </c>
      <c r="G589" s="2"/>
      <c r="H589" s="2" t="str">
        <f t="shared" si="19"/>
        <v/>
      </c>
      <c r="I589" s="2">
        <f>TYPE(GET.CELL(IF(1,1),IF(1,1)))</f>
        <v>16</v>
      </c>
      <c r="J589" s="2">
        <f>IF(C589=0,COUNTIFS(A:A,A589,D:D,"a"),"")</f>
        <v>0</v>
      </c>
      <c r="K589" s="2"/>
      <c r="M589" s="2"/>
    </row>
    <row r="590" spans="1:14" x14ac:dyDescent="0.55000000000000004">
      <c r="A590" s="1" t="s">
        <v>1647</v>
      </c>
      <c r="B590" s="2">
        <f>COUNTIF(A:A,A590)-1</f>
        <v>2</v>
      </c>
      <c r="C590" s="2">
        <f>COUNTIF(A$1:A590,A590)-1</f>
        <v>1</v>
      </c>
      <c r="D590" s="2" t="str">
        <f>Argument!D590</f>
        <v>v</v>
      </c>
      <c r="E590" s="2" t="str">
        <f t="shared" si="18"/>
        <v/>
      </c>
      <c r="F590" s="2" t="str">
        <f>IF(C590=0,ISTEXT(FORMULA.CONVERT("="&amp;A590&amp;"("&amp;REPLACE(REPT(",#ref!",B590),1,1,"")&amp;")()",1)),"")</f>
        <v/>
      </c>
      <c r="G590" s="2">
        <f>TYPE(GET.CELL({1},IF(1,1)))</f>
        <v>16</v>
      </c>
      <c r="H590" s="2">
        <f t="shared" si="19"/>
        <v>1</v>
      </c>
      <c r="I590" s="2">
        <f>TYPE(GET.CELL(IF(1,1),IF(1,1)))</f>
        <v>16</v>
      </c>
      <c r="J590" s="2" t="str">
        <f>IF(C590=0,COUNTIFS(A:A,A590,D:D,"a"),"")</f>
        <v/>
      </c>
      <c r="K590" s="2" t="e">
        <f>INDEX(+GET.CELL(K590:L590,#REF!),)</f>
        <v>#REF!</v>
      </c>
      <c r="M590" s="2" t="e">
        <f>INDEX(+GET.CELL(INDIRECT(M590:N590),#REF!),)</f>
        <v>#REF!</v>
      </c>
    </row>
    <row r="591" spans="1:14" x14ac:dyDescent="0.55000000000000004">
      <c r="A591" s="1" t="s">
        <v>1647</v>
      </c>
      <c r="B591" s="2">
        <f>COUNTIF(A:A,A591)-1</f>
        <v>2</v>
      </c>
      <c r="C591" s="2">
        <f>COUNTIF(A$1:A591,A591)-1</f>
        <v>2</v>
      </c>
      <c r="D591" s="2" t="str">
        <f>Argument!D591</f>
        <v>r</v>
      </c>
      <c r="E591" s="2" t="str">
        <f t="shared" si="18"/>
        <v/>
      </c>
      <c r="F591" s="2" t="str">
        <f>IF(C591=0,ISTEXT(FORMULA.CONVERT("="&amp;A591&amp;"("&amp;REPLACE(REPT(",#ref!",B591),1,1,"")&amp;")()",1)),"")</f>
        <v/>
      </c>
      <c r="G591" s="2"/>
      <c r="H591" s="2">
        <f t="shared" si="19"/>
        <v>1</v>
      </c>
      <c r="I591" s="2">
        <f>TYPE(GET.CELL(IF(1,1),IF(1,1)))</f>
        <v>16</v>
      </c>
      <c r="J591" s="2" t="str">
        <f>IF(C591=0,COUNTIFS(A:A,A591,D:D,"a"),"")</f>
        <v/>
      </c>
      <c r="K591" s="2" t="e">
        <f>INDEX(+GET.CELL(#REF!,K591:L591),)</f>
        <v>#REF!</v>
      </c>
      <c r="L591" s="1">
        <v>1</v>
      </c>
      <c r="M591" s="2" t="e">
        <f>INDEX(+GET.CELL(#REF!,INDIRECT(M591:N591)),)</f>
        <v>#REF!</v>
      </c>
    </row>
    <row r="592" spans="1:14" x14ac:dyDescent="0.55000000000000004">
      <c r="A592" s="1" t="s">
        <v>1648</v>
      </c>
      <c r="B592" s="2">
        <f>COUNTIF(A:A,A592)-1</f>
        <v>1</v>
      </c>
      <c r="C592" s="2">
        <f>COUNTIF(A$1:A592,A592)-1</f>
        <v>0</v>
      </c>
      <c r="D592" s="2" t="str">
        <f>Argument!D592</f>
        <v/>
      </c>
      <c r="E592" s="2" t="str">
        <f t="shared" si="18"/>
        <v>va</v>
      </c>
      <c r="F592" s="2" t="b">
        <f>IF(C592=0,ISTEXT(FORMULA.CONVERT("="&amp;A592&amp;"("&amp;REPLACE(REPT(",#ref!",B592),1,1,"")&amp;")()",1)),"")</f>
        <v>0</v>
      </c>
      <c r="G592" s="2"/>
      <c r="H592" s="2" t="str">
        <f t="shared" si="19"/>
        <v/>
      </c>
      <c r="I592" s="2">
        <f>TYPE(GET.WORKSPACE(IF(1,1)))</f>
        <v>2</v>
      </c>
      <c r="J592" s="2">
        <f>IF(C592=0,COUNTIFS(A:A,A592,D:D,"a"),"")</f>
        <v>0</v>
      </c>
      <c r="K592" s="2"/>
      <c r="M592" s="2"/>
    </row>
    <row r="593" spans="1:14" x14ac:dyDescent="0.55000000000000004">
      <c r="A593" s="1" t="s">
        <v>1648</v>
      </c>
      <c r="B593" s="2">
        <f>COUNTIF(A:A,A593)-1</f>
        <v>1</v>
      </c>
      <c r="C593" s="2">
        <f>COUNTIF(A$1:A593,A593)-1</f>
        <v>1</v>
      </c>
      <c r="D593" s="2" t="str">
        <f>Argument!D593</f>
        <v>v</v>
      </c>
      <c r="E593" s="2" t="str">
        <f t="shared" si="18"/>
        <v/>
      </c>
      <c r="F593" s="2" t="str">
        <f>IF(C593=0,ISTEXT(FORMULA.CONVERT("="&amp;A593&amp;"("&amp;REPLACE(REPT(",#ref!",B593),1,1,"")&amp;")()",1)),"")</f>
        <v/>
      </c>
      <c r="G593" s="2">
        <f>TYPE(GET.WORKSPACE({1}))</f>
        <v>2</v>
      </c>
      <c r="H593" s="2">
        <f t="shared" si="19"/>
        <v>1</v>
      </c>
      <c r="I593" s="2">
        <f>TYPE(GET.WORKSPACE(IF(1,1)))</f>
        <v>2</v>
      </c>
      <c r="J593" s="2" t="str">
        <f>IF(C593=0,COUNTIFS(A:A,A593,D:D,"a"),"")</f>
        <v/>
      </c>
      <c r="K593" s="2" t="e">
        <f>INDEX(+GET.WORKSPACE(K593:L593),)</f>
        <v>#VALUE!</v>
      </c>
      <c r="M593" s="2" t="e">
        <f>INDEX(+GET.WORKSPACE(INDIRECT(M593:N593)),)</f>
        <v>#REF!</v>
      </c>
    </row>
    <row r="594" spans="1:14" x14ac:dyDescent="0.55000000000000004">
      <c r="A594" s="1" t="s">
        <v>1649</v>
      </c>
      <c r="B594" s="2">
        <f>COUNTIF(A:A,A594)-1</f>
        <v>2</v>
      </c>
      <c r="C594" s="2">
        <f>COUNTIF(A$1:A594,A594)-1</f>
        <v>0</v>
      </c>
      <c r="D594" s="2" t="str">
        <f>Argument!D594</f>
        <v/>
      </c>
      <c r="E594" s="2" t="str">
        <f t="shared" si="18"/>
        <v>va</v>
      </c>
      <c r="F594" s="2" t="b">
        <f>IF(C594=0,ISTEXT(FORMULA.CONVERT("="&amp;A594&amp;"("&amp;REPLACE(REPT(",#ref!",B594),1,1,"")&amp;")()",1)),"")</f>
        <v>0</v>
      </c>
      <c r="G594" s="2"/>
      <c r="H594" s="2" t="str">
        <f t="shared" si="19"/>
        <v/>
      </c>
      <c r="I594" s="2">
        <f>TYPE(GET.WINDOW(IF(1,1),IF(1,1)))</f>
        <v>16</v>
      </c>
      <c r="J594" s="2">
        <f>IF(C594=0,COUNTIFS(A:A,A594,D:D,"a"),"")</f>
        <v>0</v>
      </c>
      <c r="K594" s="2"/>
      <c r="M594" s="2"/>
    </row>
    <row r="595" spans="1:14" x14ac:dyDescent="0.55000000000000004">
      <c r="A595" s="1" t="s">
        <v>1649</v>
      </c>
      <c r="B595" s="2">
        <f>COUNTIF(A:A,A595)-1</f>
        <v>2</v>
      </c>
      <c r="C595" s="2">
        <f>COUNTIF(A$1:A595,A595)-1</f>
        <v>1</v>
      </c>
      <c r="D595" s="2" t="str">
        <f>Argument!D595</f>
        <v>v</v>
      </c>
      <c r="E595" s="2" t="str">
        <f t="shared" si="18"/>
        <v/>
      </c>
      <c r="F595" s="2" t="str">
        <f>IF(C595=0,ISTEXT(FORMULA.CONVERT("="&amp;A595&amp;"("&amp;REPLACE(REPT(",#ref!",B595),1,1,"")&amp;")()",1)),"")</f>
        <v/>
      </c>
      <c r="G595" s="2">
        <f>TYPE(GET.WINDOW({1},IF(1,1)))</f>
        <v>16</v>
      </c>
      <c r="H595" s="2">
        <f t="shared" si="19"/>
        <v>1</v>
      </c>
      <c r="I595" s="2">
        <f>TYPE(GET.WINDOW(IF(1,1),IF(1,1)))</f>
        <v>16</v>
      </c>
      <c r="J595" s="2" t="str">
        <f>IF(C595=0,COUNTIFS(A:A,A595,D:D,"a"),"")</f>
        <v/>
      </c>
      <c r="K595" s="2" t="e">
        <f>INDEX(+GET.WINDOW(K595:L595,#REF!),)</f>
        <v>#REF!</v>
      </c>
      <c r="M595" s="2" t="e">
        <f>INDEX(+GET.WINDOW(INDIRECT(M595:N595),#REF!),)</f>
        <v>#REF!</v>
      </c>
    </row>
    <row r="596" spans="1:14" x14ac:dyDescent="0.55000000000000004">
      <c r="A596" s="1" t="s">
        <v>1649</v>
      </c>
      <c r="B596" s="2">
        <f>COUNTIF(A:A,A596)-1</f>
        <v>2</v>
      </c>
      <c r="C596" s="2">
        <f>COUNTIF(A$1:A596,A596)-1</f>
        <v>2</v>
      </c>
      <c r="D596" s="2" t="str">
        <f>Argument!D596</f>
        <v>v</v>
      </c>
      <c r="E596" s="2" t="str">
        <f t="shared" si="18"/>
        <v/>
      </c>
      <c r="F596" s="2" t="str">
        <f>IF(C596=0,ISTEXT(FORMULA.CONVERT("="&amp;A596&amp;"("&amp;REPLACE(REPT(",#ref!",B596),1,1,"")&amp;")()",1)),"")</f>
        <v/>
      </c>
      <c r="G596" s="2">
        <f>TYPE(GET.WINDOW(IF(1,1),{1}))</f>
        <v>16</v>
      </c>
      <c r="H596" s="2">
        <f t="shared" si="19"/>
        <v>1</v>
      </c>
      <c r="I596" s="2">
        <f>TYPE(GET.WINDOW(IF(1,1),IF(1,1)))</f>
        <v>16</v>
      </c>
      <c r="J596" s="2" t="str">
        <f>IF(C596=0,COUNTIFS(A:A,A596,D:D,"a"),"")</f>
        <v/>
      </c>
      <c r="K596" s="2" t="e">
        <f>INDEX(+GET.WINDOW(#REF!,K596:L596),)</f>
        <v>#REF!</v>
      </c>
      <c r="M596" s="2" t="e">
        <f>INDEX(+GET.WINDOW(#REF!,INDIRECT(M596:N596)),)</f>
        <v>#REF!</v>
      </c>
    </row>
    <row r="597" spans="1:14" x14ac:dyDescent="0.55000000000000004">
      <c r="A597" s="1" t="s">
        <v>1650</v>
      </c>
      <c r="B597" s="2">
        <f>COUNTIF(A:A,A597)-1</f>
        <v>2</v>
      </c>
      <c r="C597" s="2">
        <f>COUNTIF(A$1:A597,A597)-1</f>
        <v>0</v>
      </c>
      <c r="D597" s="2" t="str">
        <f>Argument!D597</f>
        <v/>
      </c>
      <c r="E597" s="2" t="str">
        <f t="shared" si="18"/>
        <v>var</v>
      </c>
      <c r="F597" s="2" t="b">
        <f>IF(C597=0,ISTEXT(FORMULA.CONVERT("="&amp;A597&amp;"("&amp;REPLACE(REPT(",#ref!",B597),1,1,"")&amp;")()",1)),"")</f>
        <v>1</v>
      </c>
      <c r="G597" s="2"/>
      <c r="H597" s="2" t="str">
        <f t="shared" si="19"/>
        <v/>
      </c>
      <c r="I597" s="2">
        <f>TYPE(GET.DOCUMENT(IF(1,1),IF(1,1)))</f>
        <v>16</v>
      </c>
      <c r="J597" s="2">
        <f>IF(C597=0,COUNTIFS(A:A,A597,D:D,"a"),"")</f>
        <v>0</v>
      </c>
      <c r="K597" s="2"/>
      <c r="M597" s="2"/>
    </row>
    <row r="598" spans="1:14" x14ac:dyDescent="0.55000000000000004">
      <c r="A598" s="1" t="s">
        <v>1650</v>
      </c>
      <c r="B598" s="2">
        <f>COUNTIF(A:A,A598)-1</f>
        <v>2</v>
      </c>
      <c r="C598" s="2">
        <f>COUNTIF(A$1:A598,A598)-1</f>
        <v>1</v>
      </c>
      <c r="D598" s="2" t="str">
        <f>Argument!D598</f>
        <v>v</v>
      </c>
      <c r="E598" s="2" t="str">
        <f t="shared" si="18"/>
        <v/>
      </c>
      <c r="F598" s="2" t="str">
        <f>IF(C598=0,ISTEXT(FORMULA.CONVERT("="&amp;A598&amp;"("&amp;REPLACE(REPT(",#ref!",B598),1,1,"")&amp;")()",1)),"")</f>
        <v/>
      </c>
      <c r="G598" s="2">
        <f>TYPE(GET.DOCUMENT({1},IF(1,1)))</f>
        <v>16</v>
      </c>
      <c r="H598" s="2">
        <f t="shared" si="19"/>
        <v>1</v>
      </c>
      <c r="I598" s="2">
        <f>TYPE(GET.DOCUMENT(IF(1,1),IF(1,1)))</f>
        <v>16</v>
      </c>
      <c r="J598" s="2" t="str">
        <f>IF(C598=0,COUNTIFS(A:A,A598,D:D,"a"),"")</f>
        <v/>
      </c>
      <c r="K598" s="2" t="e">
        <f>INDEX(+GET.DOCUMENT(K598:L598,#REF!),)</f>
        <v>#REF!</v>
      </c>
      <c r="M598" s="2" t="e">
        <f>INDEX(+GET.DOCUMENT(INDIRECT(M598:N598),#REF!),)</f>
        <v>#REF!</v>
      </c>
    </row>
    <row r="599" spans="1:14" x14ac:dyDescent="0.55000000000000004">
      <c r="A599" s="1" t="s">
        <v>1650</v>
      </c>
      <c r="B599" s="2">
        <f>COUNTIF(A:A,A599)-1</f>
        <v>2</v>
      </c>
      <c r="C599" s="2">
        <f>COUNTIF(A$1:A599,A599)-1</f>
        <v>2</v>
      </c>
      <c r="D599" s="2" t="str">
        <f>Argument!D599</f>
        <v>v</v>
      </c>
      <c r="E599" s="2" t="str">
        <f t="shared" si="18"/>
        <v/>
      </c>
      <c r="F599" s="2" t="str">
        <f>IF(C599=0,ISTEXT(FORMULA.CONVERT("="&amp;A599&amp;"("&amp;REPLACE(REPT(",#ref!",B599),1,1,"")&amp;")()",1)),"")</f>
        <v/>
      </c>
      <c r="G599" s="2">
        <f>TYPE(GET.DOCUMENT(IF(1,1),{1}))</f>
        <v>16</v>
      </c>
      <c r="H599" s="2">
        <f t="shared" si="19"/>
        <v>1</v>
      </c>
      <c r="I599" s="2">
        <f>TYPE(GET.DOCUMENT(IF(1,1),IF(1,1)))</f>
        <v>16</v>
      </c>
      <c r="J599" s="2" t="str">
        <f>IF(C599=0,COUNTIFS(A:A,A599,D:D,"a"),"")</f>
        <v/>
      </c>
      <c r="K599" s="2" t="e">
        <f>INDEX(+GET.DOCUMENT(#REF!,K599:L599),)</f>
        <v>#REF!</v>
      </c>
      <c r="M599" s="2" t="e">
        <f>INDEX(+GET.DOCUMENT(#REF!,INDIRECT(M599:N599)),)</f>
        <v>#REF!</v>
      </c>
    </row>
    <row r="600" spans="1:14" x14ac:dyDescent="0.55000000000000004">
      <c r="A600" s="1" t="s">
        <v>1651</v>
      </c>
      <c r="B600" s="2">
        <f>COUNTIF(A:A,A600)-1</f>
        <v>3</v>
      </c>
      <c r="C600" s="2">
        <f>COUNTIF(A$1:A600,A600)-1</f>
        <v>0</v>
      </c>
      <c r="D600" s="2" t="str">
        <f>Argument!D600</f>
        <v/>
      </c>
      <c r="E600" s="2" t="str">
        <f t="shared" si="18"/>
        <v>v</v>
      </c>
      <c r="F600" s="2" t="b">
        <f>IF(C600=0,ISTEXT(FORMULA.CONVERT("="&amp;A600&amp;"("&amp;REPLACE(REPT(",#ref!",B600),1,1,"")&amp;")()",1)),"")</f>
        <v>0</v>
      </c>
      <c r="G600" s="2"/>
      <c r="H600" s="2" t="str">
        <f t="shared" si="19"/>
        <v/>
      </c>
      <c r="I600" s="2">
        <f>TYPE(DPRODUCT(IF(1,1),IF(1,1),IF(1,1)))</f>
        <v>16</v>
      </c>
      <c r="J600" s="2">
        <f>IF(C600=0,COUNTIFS(A:A,A600,D:D,"a"),"")</f>
        <v>0</v>
      </c>
      <c r="K600" s="2"/>
      <c r="M600" s="2"/>
    </row>
    <row r="601" spans="1:14" x14ac:dyDescent="0.55000000000000004">
      <c r="A601" s="1" t="s">
        <v>1651</v>
      </c>
      <c r="B601" s="2">
        <f>COUNTIF(A:A,A601)-1</f>
        <v>3</v>
      </c>
      <c r="C601" s="2">
        <f>COUNTIF(A$1:A601,A601)-1</f>
        <v>1</v>
      </c>
      <c r="D601" s="2" t="str">
        <f>Argument!D601</f>
        <v>r</v>
      </c>
      <c r="E601" s="2" t="str">
        <f t="shared" si="18"/>
        <v/>
      </c>
      <c r="F601" s="2" t="str">
        <f>IF(C601=0,ISTEXT(FORMULA.CONVERT("="&amp;A601&amp;"("&amp;REPLACE(REPT(",#ref!",B601),1,1,"")&amp;")()",1)),"")</f>
        <v/>
      </c>
      <c r="G601" s="2"/>
      <c r="H601" s="2" t="str">
        <f t="shared" si="19"/>
        <v/>
      </c>
      <c r="I601" s="2">
        <f>TYPE(DPRODUCT(IF(1,1),IF(1,1),IF(1,1)))</f>
        <v>16</v>
      </c>
      <c r="J601" s="2" t="str">
        <f>IF(C601=0,COUNTIFS(A:A,A601,D:D,"a"),"")</f>
        <v/>
      </c>
      <c r="K601" s="2" t="e">
        <f>INDEX(+DPRODUCT(K601:L601,#REF!,#REF!),)</f>
        <v>#REF!</v>
      </c>
      <c r="L601" s="1">
        <v>1</v>
      </c>
      <c r="M601" s="2" t="e">
        <f>INDEX(+DPRODUCT(INDIRECT(M601:N601),#REF!,#REF!),)</f>
        <v>#REF!</v>
      </c>
      <c r="N601" s="1">
        <v>1</v>
      </c>
    </row>
    <row r="602" spans="1:14" x14ac:dyDescent="0.55000000000000004">
      <c r="A602" s="1" t="s">
        <v>1651</v>
      </c>
      <c r="B602" s="2">
        <f>COUNTIF(A:A,A602)-1</f>
        <v>3</v>
      </c>
      <c r="C602" s="2">
        <f>COUNTIF(A$1:A602,A602)-1</f>
        <v>2</v>
      </c>
      <c r="D602" s="2" t="str">
        <f>Argument!D602</f>
        <v>vr</v>
      </c>
      <c r="E602" s="2" t="str">
        <f t="shared" si="18"/>
        <v/>
      </c>
      <c r="F602" s="2" t="str">
        <f>IF(C602=0,ISTEXT(FORMULA.CONVERT("="&amp;A602&amp;"("&amp;REPLACE(REPT(",#ref!",B602),1,1,"")&amp;")()",1)),"")</f>
        <v/>
      </c>
      <c r="G602" s="2">
        <f>TYPE(DPRODUCT(IF(1,1),{1},IF(1,1)))</f>
        <v>64</v>
      </c>
      <c r="H602" s="2" t="str">
        <f t="shared" si="19"/>
        <v/>
      </c>
      <c r="I602" s="2">
        <f>TYPE(DPRODUCT(IF(1,1),IF(1,1),IF(1,1)))</f>
        <v>16</v>
      </c>
      <c r="J602" s="2" t="str">
        <f>IF(C602=0,COUNTIFS(A:A,A602,D:D,"a"),"")</f>
        <v/>
      </c>
      <c r="K602" s="2" t="e">
        <f>INDEX(+DPRODUCT(#REF!,K602:L602,#REF!),)</f>
        <v>#REF!</v>
      </c>
      <c r="L602" s="1">
        <v>1</v>
      </c>
      <c r="M602" s="2" t="e">
        <f>INDEX(+DPRODUCT(#REF!,INDIRECT(M602:N602),#REF!),)</f>
        <v>#REF!</v>
      </c>
      <c r="N602" s="1">
        <v>1</v>
      </c>
    </row>
    <row r="603" spans="1:14" x14ac:dyDescent="0.55000000000000004">
      <c r="A603" s="1" t="s">
        <v>1651</v>
      </c>
      <c r="B603" s="2">
        <f>COUNTIF(A:A,A603)-1</f>
        <v>3</v>
      </c>
      <c r="C603" s="2">
        <f>COUNTIF(A$1:A603,A603)-1</f>
        <v>3</v>
      </c>
      <c r="D603" s="2" t="str">
        <f>Argument!D603</f>
        <v>vr</v>
      </c>
      <c r="E603" s="2" t="str">
        <f t="shared" si="18"/>
        <v/>
      </c>
      <c r="F603" s="2" t="str">
        <f>IF(C603=0,ISTEXT(FORMULA.CONVERT("="&amp;A603&amp;"("&amp;REPLACE(REPT(",#ref!",B603),1,1,"")&amp;")()",1)),"")</f>
        <v/>
      </c>
      <c r="G603" s="2">
        <f>TYPE(DPRODUCT(IF(1,1),IF(1,1),{1}))</f>
        <v>64</v>
      </c>
      <c r="H603" s="2" t="str">
        <f t="shared" si="19"/>
        <v/>
      </c>
      <c r="I603" s="2">
        <f>TYPE(DPRODUCT(IF(1,1),IF(1,1),IF(1,1)))</f>
        <v>16</v>
      </c>
      <c r="J603" s="2" t="str">
        <f>IF(C603=0,COUNTIFS(A:A,A603,D:D,"a"),"")</f>
        <v/>
      </c>
      <c r="K603" s="2" t="e">
        <f>INDEX(+DPRODUCT(#REF!,#REF!,K603:L603),)</f>
        <v>#REF!</v>
      </c>
      <c r="L603" s="1">
        <v>1</v>
      </c>
      <c r="M603" s="2" t="e">
        <f>INDEX(+DPRODUCT(#REF!,#REF!,INDIRECT(M603:N603)),)</f>
        <v>#REF!</v>
      </c>
      <c r="N603" s="1">
        <v>1</v>
      </c>
    </row>
    <row r="604" spans="1:14" x14ac:dyDescent="0.55000000000000004">
      <c r="A604" s="1" t="s">
        <v>1652</v>
      </c>
      <c r="B604" s="2">
        <f>COUNTIF(A:A,A604)-1</f>
        <v>1</v>
      </c>
      <c r="C604" s="2">
        <f>COUNTIF(A$1:A604,A604)-1</f>
        <v>0</v>
      </c>
      <c r="D604" s="2" t="str">
        <f>Argument!D604</f>
        <v/>
      </c>
      <c r="E604" s="2" t="str">
        <f t="shared" si="18"/>
        <v>v</v>
      </c>
      <c r="F604" s="2" t="b">
        <f>IF(C604=0,ISTEXT(FORMULA.CONVERT("="&amp;A604&amp;"("&amp;REPLACE(REPT(",#ref!",B604),1,1,"")&amp;")()",1)),"")</f>
        <v>0</v>
      </c>
      <c r="G604" s="2"/>
      <c r="H604" s="2" t="str">
        <f t="shared" si="19"/>
        <v/>
      </c>
      <c r="I604" s="2">
        <f>TYPE(ISNONTEXT(IF(1,1)))</f>
        <v>4</v>
      </c>
      <c r="J604" s="2">
        <f>IF(C604=0,COUNTIFS(A:A,A604,D:D,"a"),"")</f>
        <v>0</v>
      </c>
      <c r="K604" s="2"/>
      <c r="M604" s="2"/>
    </row>
    <row r="605" spans="1:14" x14ac:dyDescent="0.55000000000000004">
      <c r="A605" s="1" t="s">
        <v>1652</v>
      </c>
      <c r="B605" s="2">
        <f>COUNTIF(A:A,A605)-1</f>
        <v>1</v>
      </c>
      <c r="C605" s="2">
        <f>COUNTIF(A$1:A605,A605)-1</f>
        <v>1</v>
      </c>
      <c r="D605" s="2" t="str">
        <f>Argument!D605</f>
        <v>v</v>
      </c>
      <c r="E605" s="2" t="str">
        <f t="shared" si="18"/>
        <v/>
      </c>
      <c r="F605" s="2" t="str">
        <f>IF(C605=0,ISTEXT(FORMULA.CONVERT("="&amp;A605&amp;"("&amp;REPLACE(REPT(",#ref!",B605),1,1,"")&amp;")()",1)),"")</f>
        <v/>
      </c>
      <c r="G605" s="2">
        <f>TYPE(ISNONTEXT({1}))</f>
        <v>64</v>
      </c>
      <c r="H605" s="2" t="str">
        <f t="shared" si="19"/>
        <v/>
      </c>
      <c r="I605" s="2">
        <f>TYPE(ISNONTEXT(IF(1,1)))</f>
        <v>4</v>
      </c>
      <c r="J605" s="2" t="str">
        <f>IF(C605=0,COUNTIFS(A:A,A605,D:D,"a"),"")</f>
        <v/>
      </c>
      <c r="K605" s="2" t="b">
        <f>INDEX(+ISNONTEXT(K605:L605),)</f>
        <v>1</v>
      </c>
      <c r="L605" s="1">
        <v>1</v>
      </c>
      <c r="M605" s="2" t="b">
        <f>INDEX(+ISNONTEXT(INDIRECT(M605:N605)),)</f>
        <v>1</v>
      </c>
      <c r="N605" s="1">
        <v>1</v>
      </c>
    </row>
    <row r="606" spans="1:14" x14ac:dyDescent="0.55000000000000004">
      <c r="A606" s="1" t="s">
        <v>1653</v>
      </c>
      <c r="B606" s="2">
        <f>COUNTIF(A:A,A606)-1</f>
        <v>3</v>
      </c>
      <c r="C606" s="2">
        <f>COUNTIF(A$1:A606,A606)-1</f>
        <v>0</v>
      </c>
      <c r="D606" s="2" t="str">
        <f>Argument!D606</f>
        <v/>
      </c>
      <c r="E606" s="2" t="str">
        <f t="shared" si="18"/>
        <v>v</v>
      </c>
      <c r="F606" s="2" t="b">
        <f>IF(C606=0,ISTEXT(FORMULA.CONVERT("="&amp;A606&amp;"("&amp;REPLACE(REPT(",#ref!",B606),1,1,"")&amp;")()",1)),"")</f>
        <v>0</v>
      </c>
      <c r="G606" s="2"/>
      <c r="H606" s="2" t="str">
        <f t="shared" si="19"/>
        <v/>
      </c>
      <c r="I606" s="2">
        <f>TYPE(GET.NOTE(IF(1,1),IF(1,1),IF(1,1)))</f>
        <v>4</v>
      </c>
      <c r="J606" s="2">
        <f>IF(C606=0,COUNTIFS(A:A,A606,D:D,"a"),"")</f>
        <v>0</v>
      </c>
      <c r="K606" s="2"/>
      <c r="M606" s="2"/>
    </row>
    <row r="607" spans="1:14" x14ac:dyDescent="0.55000000000000004">
      <c r="A607" s="1" t="s">
        <v>1653</v>
      </c>
      <c r="B607" s="2">
        <f>COUNTIF(A:A,A607)-1</f>
        <v>3</v>
      </c>
      <c r="C607" s="2">
        <f>COUNTIF(A$1:A607,A607)-1</f>
        <v>1</v>
      </c>
      <c r="D607" s="2" t="str">
        <f>Argument!D607</f>
        <v>vr</v>
      </c>
      <c r="E607" s="2" t="str">
        <f t="shared" si="18"/>
        <v/>
      </c>
      <c r="F607" s="2" t="str">
        <f>IF(C607=0,ISTEXT(FORMULA.CONVERT("="&amp;A607&amp;"("&amp;REPLACE(REPT(",#ref!",B607),1,1,"")&amp;")()",1)),"")</f>
        <v/>
      </c>
      <c r="G607" s="2">
        <f>TYPE(GET.NOTE({1},IF(1,1),IF(1,1)))</f>
        <v>64</v>
      </c>
      <c r="H607" s="2" t="str">
        <f t="shared" si="19"/>
        <v/>
      </c>
      <c r="I607" s="2">
        <f>TYPE(GET.NOTE(IF(1,1),IF(1,1),IF(1,1)))</f>
        <v>4</v>
      </c>
      <c r="J607" s="2" t="str">
        <f>IF(C607=0,COUNTIFS(A:A,A607,D:D,"a"),"")</f>
        <v/>
      </c>
      <c r="K607" s="2" t="e">
        <f>INDEX(+GET.NOTE(K607:L607,#REF!,#REF!),)</f>
        <v>#REF!</v>
      </c>
      <c r="L607" s="1">
        <v>1</v>
      </c>
      <c r="M607" s="2" t="e">
        <f>INDEX(+GET.NOTE(INDIRECT(M607:N607),#REF!,#REF!),)</f>
        <v>#REF!</v>
      </c>
      <c r="N607" s="1">
        <v>1</v>
      </c>
    </row>
    <row r="608" spans="1:14" x14ac:dyDescent="0.55000000000000004">
      <c r="A608" s="1" t="s">
        <v>1653</v>
      </c>
      <c r="B608" s="2">
        <f>COUNTIF(A:A,A608)-1</f>
        <v>3</v>
      </c>
      <c r="C608" s="2">
        <f>COUNTIF(A$1:A608,A608)-1</f>
        <v>2</v>
      </c>
      <c r="D608" s="2" t="str">
        <f>Argument!D608</f>
        <v>v</v>
      </c>
      <c r="E608" s="2" t="str">
        <f t="shared" si="18"/>
        <v/>
      </c>
      <c r="F608" s="2" t="str">
        <f>IF(C608=0,ISTEXT(FORMULA.CONVERT("="&amp;A608&amp;"("&amp;REPLACE(REPT(",#ref!",B608),1,1,"")&amp;")()",1)),"")</f>
        <v/>
      </c>
      <c r="G608" s="2">
        <f>TYPE(GET.NOTE(IF(1,1),{1},IF(1,1)))</f>
        <v>64</v>
      </c>
      <c r="H608" s="2" t="str">
        <f t="shared" si="19"/>
        <v/>
      </c>
      <c r="I608" s="2">
        <f>TYPE(GET.NOTE(IF(1,1),IF(1,1),IF(1,1)))</f>
        <v>4</v>
      </c>
      <c r="J608" s="2" t="str">
        <f>IF(C608=0,COUNTIFS(A:A,A608,D:D,"a"),"")</f>
        <v/>
      </c>
      <c r="K608" s="2" t="e">
        <f>INDEX(+GET.NOTE(#REF!,K608:L608,#REF!),)</f>
        <v>#REF!</v>
      </c>
      <c r="L608" s="1">
        <v>1</v>
      </c>
      <c r="M608" s="2" t="e">
        <f>INDEX(+GET.NOTE(#REF!,INDIRECT(M608:N608),#REF!),)</f>
        <v>#REF!</v>
      </c>
      <c r="N608" s="1">
        <v>1</v>
      </c>
    </row>
    <row r="609" spans="1:14" x14ac:dyDescent="0.55000000000000004">
      <c r="A609" s="1" t="s">
        <v>1653</v>
      </c>
      <c r="B609" s="2">
        <f>COUNTIF(A:A,A609)-1</f>
        <v>3</v>
      </c>
      <c r="C609" s="2">
        <f>COUNTIF(A$1:A609,A609)-1</f>
        <v>3</v>
      </c>
      <c r="D609" s="2" t="str">
        <f>Argument!D609</f>
        <v>v</v>
      </c>
      <c r="E609" s="2" t="str">
        <f t="shared" si="18"/>
        <v/>
      </c>
      <c r="F609" s="2" t="str">
        <f>IF(C609=0,ISTEXT(FORMULA.CONVERT("="&amp;A609&amp;"("&amp;REPLACE(REPT(",#ref!",B609),1,1,"")&amp;")()",1)),"")</f>
        <v/>
      </c>
      <c r="G609" s="2">
        <f>TYPE(GET.NOTE(IF(1,1),IF(1,1),{1}))</f>
        <v>64</v>
      </c>
      <c r="H609" s="2" t="str">
        <f t="shared" si="19"/>
        <v/>
      </c>
      <c r="I609" s="2">
        <f>TYPE(GET.NOTE(IF(1,1),IF(1,1),IF(1,1)))</f>
        <v>4</v>
      </c>
      <c r="J609" s="2" t="str">
        <f>IF(C609=0,COUNTIFS(A:A,A609,D:D,"a"),"")</f>
        <v/>
      </c>
      <c r="K609" s="2" t="e">
        <f>INDEX(+GET.NOTE(#REF!,#REF!,K609:L609),)</f>
        <v>#REF!</v>
      </c>
      <c r="L609" s="1">
        <v>1</v>
      </c>
      <c r="M609" s="2" t="e">
        <f>INDEX(+GET.NOTE(#REF!,#REF!,INDIRECT(M609:N609)),)</f>
        <v>#REF!</v>
      </c>
      <c r="N609" s="1">
        <v>1</v>
      </c>
    </row>
    <row r="610" spans="1:14" x14ac:dyDescent="0.55000000000000004">
      <c r="A610" s="1" t="s">
        <v>1654</v>
      </c>
      <c r="B610" s="2">
        <f>COUNTIF(A:A,A610)-1</f>
        <v>4</v>
      </c>
      <c r="C610" s="2">
        <f>COUNTIF(A$1:A610,A610)-1</f>
        <v>0</v>
      </c>
      <c r="D610" s="2" t="str">
        <f>Argument!D610</f>
        <v/>
      </c>
      <c r="E610" s="2" t="str">
        <f t="shared" si="18"/>
        <v>v</v>
      </c>
      <c r="F610" s="2" t="b">
        <f>IF(C610=0,ISTEXT(FORMULA.CONVERT("="&amp;A610&amp;"("&amp;REPLACE(REPT(",#ref!",B610),1,1,"")&amp;")()",1)),"")</f>
        <v>0</v>
      </c>
      <c r="G610" s="2"/>
      <c r="H610" s="2" t="str">
        <f t="shared" si="19"/>
        <v/>
      </c>
      <c r="I610" s="2">
        <f>TYPE(NOTE(IF(1,1),IF(1,1),IF(1,1),IF(1,1)))</f>
        <v>4</v>
      </c>
      <c r="J610" s="2">
        <f>IF(C610=0,COUNTIFS(A:A,A610,D:D,"a"),"")</f>
        <v>0</v>
      </c>
      <c r="K610" s="2"/>
      <c r="M610" s="2"/>
    </row>
    <row r="611" spans="1:14" x14ac:dyDescent="0.55000000000000004">
      <c r="A611" s="1" t="s">
        <v>1654</v>
      </c>
      <c r="B611" s="2">
        <f>COUNTIF(A:A,A611)-1</f>
        <v>4</v>
      </c>
      <c r="C611" s="2">
        <f>COUNTIF(A$1:A611,A611)-1</f>
        <v>1</v>
      </c>
      <c r="D611" s="2" t="str">
        <f>Argument!D611</f>
        <v>v</v>
      </c>
      <c r="E611" s="2" t="str">
        <f t="shared" si="18"/>
        <v/>
      </c>
      <c r="F611" s="2" t="str">
        <f>IF(C611=0,ISTEXT(FORMULA.CONVERT("="&amp;A611&amp;"("&amp;REPLACE(REPT(",#ref!",B611),1,1,"")&amp;")()",1)),"")</f>
        <v/>
      </c>
      <c r="G611" s="2">
        <f>TYPE(NOTE({1},IF(1,1),IF(1,1),IF(1,1)))</f>
        <v>64</v>
      </c>
      <c r="H611" s="2" t="str">
        <f t="shared" si="19"/>
        <v/>
      </c>
      <c r="I611" s="2">
        <f>TYPE(NOTE(IF(1,1),IF(1,1),IF(1,1),IF(1,1)))</f>
        <v>4</v>
      </c>
      <c r="J611" s="2" t="str">
        <f>IF(C611=0,COUNTIFS(A:A,A611,D:D,"a"),"")</f>
        <v/>
      </c>
      <c r="K611" s="2" t="e">
        <f>INDEX(+NOTE(K611:L611,#REF!,#REF!,#REF!),)</f>
        <v>#REF!</v>
      </c>
      <c r="L611" s="1">
        <v>1</v>
      </c>
      <c r="M611" s="2" t="e">
        <f>INDEX(+NOTE(INDIRECT(M611:N611),#REF!,#REF!,#REF!),)</f>
        <v>#REF!</v>
      </c>
      <c r="N611" s="1">
        <v>1</v>
      </c>
    </row>
    <row r="612" spans="1:14" x14ac:dyDescent="0.55000000000000004">
      <c r="A612" s="1" t="s">
        <v>1654</v>
      </c>
      <c r="B612" s="2">
        <f>COUNTIF(A:A,A612)-1</f>
        <v>4</v>
      </c>
      <c r="C612" s="2">
        <f>COUNTIF(A$1:A612,A612)-1</f>
        <v>2</v>
      </c>
      <c r="D612" s="2" t="str">
        <f>Argument!D612</f>
        <v>vr</v>
      </c>
      <c r="E612" s="2" t="str">
        <f t="shared" si="18"/>
        <v/>
      </c>
      <c r="F612" s="2" t="str">
        <f>IF(C612=0,ISTEXT(FORMULA.CONVERT("="&amp;A612&amp;"("&amp;REPLACE(REPT(",#ref!",B612),1,1,"")&amp;")()",1)),"")</f>
        <v/>
      </c>
      <c r="G612" s="2">
        <f>TYPE(NOTE(IF(1,1),{1},IF(1,1),IF(1,1)))</f>
        <v>64</v>
      </c>
      <c r="H612" s="2" t="str">
        <f t="shared" si="19"/>
        <v/>
      </c>
      <c r="I612" s="2">
        <f>TYPE(NOTE(IF(1,1),IF(1,1),IF(1,1),IF(1,1)))</f>
        <v>4</v>
      </c>
      <c r="J612" s="2" t="str">
        <f>IF(C612=0,COUNTIFS(A:A,A612,D:D,"a"),"")</f>
        <v/>
      </c>
      <c r="K612" s="2" t="e">
        <f>INDEX(+NOTE(#REF!,K612:L612,#REF!,#REF!),)</f>
        <v>#REF!</v>
      </c>
      <c r="L612" s="1">
        <v>1</v>
      </c>
      <c r="M612" s="2" t="e">
        <f>INDEX(+NOTE(#REF!,INDIRECT(M612:N612),#REF!,#REF!),)</f>
        <v>#REF!</v>
      </c>
      <c r="N612" s="1">
        <v>1</v>
      </c>
    </row>
    <row r="613" spans="1:14" x14ac:dyDescent="0.55000000000000004">
      <c r="A613" s="1" t="s">
        <v>1654</v>
      </c>
      <c r="B613" s="2">
        <f>COUNTIF(A:A,A613)-1</f>
        <v>4</v>
      </c>
      <c r="C613" s="2">
        <f>COUNTIF(A$1:A613,A613)-1</f>
        <v>3</v>
      </c>
      <c r="D613" s="2" t="str">
        <f>Argument!D613</f>
        <v>vr</v>
      </c>
      <c r="E613" s="2" t="str">
        <f t="shared" si="18"/>
        <v/>
      </c>
      <c r="F613" s="2" t="str">
        <f>IF(C613=0,ISTEXT(FORMULA.CONVERT("="&amp;A613&amp;"("&amp;REPLACE(REPT(",#ref!",B613),1,1,"")&amp;")()",1)),"")</f>
        <v/>
      </c>
      <c r="G613" s="2">
        <f>TYPE(NOTE(IF(1,1),IF(1,1),{1},IF(1,1)))</f>
        <v>64</v>
      </c>
      <c r="H613" s="2" t="str">
        <f t="shared" si="19"/>
        <v/>
      </c>
      <c r="I613" s="2">
        <f>TYPE(NOTE(IF(1,1),IF(1,1),IF(1,1),IF(1,1)))</f>
        <v>4</v>
      </c>
      <c r="J613" s="2" t="str">
        <f>IF(C613=0,COUNTIFS(A:A,A613,D:D,"a"),"")</f>
        <v/>
      </c>
      <c r="K613" s="2" t="e">
        <f>INDEX(+NOTE(#REF!,#REF!,K613:L613,#REF!),)</f>
        <v>#REF!</v>
      </c>
      <c r="L613" s="1">
        <v>1</v>
      </c>
      <c r="M613" s="2" t="e">
        <f>INDEX(+NOTE(#REF!,#REF!,INDIRECT(M613:N613),#REF!),)</f>
        <v>#REF!</v>
      </c>
      <c r="N613" s="1">
        <v>1</v>
      </c>
    </row>
    <row r="614" spans="1:14" x14ac:dyDescent="0.55000000000000004">
      <c r="A614" s="1" t="s">
        <v>1654</v>
      </c>
      <c r="B614" s="2">
        <f>COUNTIF(A:A,A614)-1</f>
        <v>4</v>
      </c>
      <c r="C614" s="2">
        <f>COUNTIF(A$1:A614,A614)-1</f>
        <v>4</v>
      </c>
      <c r="D614" s="2" t="str">
        <f>Argument!D614</f>
        <v>vr</v>
      </c>
      <c r="E614" s="2" t="str">
        <f t="shared" si="18"/>
        <v/>
      </c>
      <c r="F614" s="2" t="str">
        <f>IF(C614=0,ISTEXT(FORMULA.CONVERT("="&amp;A614&amp;"("&amp;REPLACE(REPT(",#ref!",B614),1,1,"")&amp;")()",1)),"")</f>
        <v/>
      </c>
      <c r="G614" s="2">
        <f>TYPE(NOTE(IF(1,1),IF(1,1),IF(1,1),{1}))</f>
        <v>64</v>
      </c>
      <c r="H614" s="2" t="str">
        <f t="shared" si="19"/>
        <v/>
      </c>
      <c r="I614" s="2">
        <f>TYPE(NOTE(IF(1,1),IF(1,1),IF(1,1),IF(1,1)))</f>
        <v>4</v>
      </c>
      <c r="J614" s="2" t="str">
        <f>IF(C614=0,COUNTIFS(A:A,A614,D:D,"a"),"")</f>
        <v/>
      </c>
      <c r="K614" s="2" t="e">
        <f>INDEX(+NOTE(#REF!,#REF!,#REF!,K614:L614),)</f>
        <v>#REF!</v>
      </c>
      <c r="L614" s="1">
        <v>1</v>
      </c>
      <c r="M614" s="2" t="e">
        <f>INDEX(+NOTE(#REF!,#REF!,#REF!,INDIRECT(M614:N614)),)</f>
        <v>#REF!</v>
      </c>
      <c r="N614" s="1">
        <v>1</v>
      </c>
    </row>
    <row r="615" spans="1:14" x14ac:dyDescent="0.55000000000000004">
      <c r="A615" s="1" t="s">
        <v>1655</v>
      </c>
      <c r="B615" s="2">
        <f>COUNTIF(A:A,A615)-1</f>
        <v>3</v>
      </c>
      <c r="C615" s="2">
        <f>COUNTIF(A$1:A615,A615)-1</f>
        <v>0</v>
      </c>
      <c r="D615" s="2" t="str">
        <f>Argument!D615</f>
        <v/>
      </c>
      <c r="E615" s="2" t="str">
        <f t="shared" si="18"/>
        <v>v</v>
      </c>
      <c r="F615" s="2" t="b">
        <f>IF(C615=0,ISTEXT(FORMULA.CONVERT("="&amp;A615&amp;"("&amp;REPLACE(REPT(",#ref!",B615),1,1,"")&amp;")()",1)),"")</f>
        <v>0</v>
      </c>
      <c r="G615" s="2"/>
      <c r="H615" s="2" t="str">
        <f t="shared" si="19"/>
        <v/>
      </c>
      <c r="I615" s="2">
        <f>TYPE(STDEVP(IF(1,1),IF(1,1),IF(1,1)))</f>
        <v>1</v>
      </c>
      <c r="J615" s="2">
        <f>IF(C615=0,COUNTIFS(A:A,A615,D:D,"a"),"")</f>
        <v>0</v>
      </c>
      <c r="K615" s="2"/>
      <c r="M615" s="2"/>
    </row>
    <row r="616" spans="1:14" x14ac:dyDescent="0.55000000000000004">
      <c r="A616" s="1" t="s">
        <v>1655</v>
      </c>
      <c r="B616" s="2">
        <f>COUNTIF(A:A,A616)-1</f>
        <v>3</v>
      </c>
      <c r="C616" s="2">
        <f>COUNTIF(A$1:A616,A616)-1</f>
        <v>1</v>
      </c>
      <c r="D616" s="2" t="str">
        <f>Argument!D616</f>
        <v>var</v>
      </c>
      <c r="E616" s="2" t="str">
        <f t="shared" si="18"/>
        <v/>
      </c>
      <c r="F616" s="2" t="str">
        <f>IF(C616=0,ISTEXT(FORMULA.CONVERT("="&amp;A616&amp;"("&amp;REPLACE(REPT(",#ref!",B616),1,1,"")&amp;")()",1)),"")</f>
        <v/>
      </c>
      <c r="G616" s="2">
        <f>TYPE(STDEVP({1},IF(1,1),IF(1,1)))</f>
        <v>1</v>
      </c>
      <c r="H616" s="2" t="str">
        <f t="shared" si="19"/>
        <v/>
      </c>
      <c r="I616" s="2">
        <f>TYPE(STDEVP(IF(1,1),IF(1,1),IF(1,1)))</f>
        <v>1</v>
      </c>
      <c r="J616" s="2" t="str">
        <f>IF(C616=0,COUNTIFS(A:A,A616,D:D,"a"),"")</f>
        <v/>
      </c>
      <c r="K616" s="2" t="e">
        <f>INDEX(+STDEVP(K616:L616,#REF!,#REF!),)</f>
        <v>#REF!</v>
      </c>
      <c r="L616" s="1">
        <v>1</v>
      </c>
      <c r="M616" s="2" t="e">
        <f>INDEX(+STDEVP(INDIRECT(M616:N616),#REF!,#REF!),)</f>
        <v>#REF!</v>
      </c>
      <c r="N616" s="1">
        <v>1</v>
      </c>
    </row>
    <row r="617" spans="1:14" x14ac:dyDescent="0.55000000000000004">
      <c r="A617" s="1" t="s">
        <v>1655</v>
      </c>
      <c r="B617" s="2">
        <f>COUNTIF(A:A,A617)-1</f>
        <v>3</v>
      </c>
      <c r="C617" s="2">
        <f>COUNTIF(A$1:A617,A617)-1</f>
        <v>2</v>
      </c>
      <c r="D617" s="2" t="str">
        <f>Argument!D617</f>
        <v>var</v>
      </c>
      <c r="E617" s="2" t="str">
        <f t="shared" si="18"/>
        <v/>
      </c>
      <c r="F617" s="2" t="str">
        <f>IF(C617=0,ISTEXT(FORMULA.CONVERT("="&amp;A617&amp;"("&amp;REPLACE(REPT(",#ref!",B617),1,1,"")&amp;")()",1)),"")</f>
        <v/>
      </c>
      <c r="G617" s="2">
        <f>TYPE(STDEVP(IF(1,1),{1},IF(1,1)))</f>
        <v>1</v>
      </c>
      <c r="H617" s="2" t="str">
        <f t="shared" si="19"/>
        <v/>
      </c>
      <c r="I617" s="2">
        <f>TYPE(STDEVP(IF(1,1),IF(1,1),IF(1,1)))</f>
        <v>1</v>
      </c>
      <c r="J617" s="2" t="str">
        <f>IF(C617=0,COUNTIFS(A:A,A617,D:D,"a"),"")</f>
        <v/>
      </c>
      <c r="K617" s="2" t="e">
        <f>INDEX(+STDEVP(#REF!,K617:L617,#REF!),)</f>
        <v>#REF!</v>
      </c>
      <c r="L617" s="1">
        <v>1</v>
      </c>
      <c r="M617" s="2" t="e">
        <f>INDEX(+STDEVP(#REF!,INDIRECT(M617:N617),#REF!),)</f>
        <v>#REF!</v>
      </c>
      <c r="N617" s="1">
        <v>1</v>
      </c>
    </row>
    <row r="618" spans="1:14" x14ac:dyDescent="0.55000000000000004">
      <c r="A618" s="1" t="s">
        <v>1655</v>
      </c>
      <c r="B618" s="2">
        <f>COUNTIF(A:A,A618)-1</f>
        <v>3</v>
      </c>
      <c r="C618" s="2">
        <f>COUNTIF(A$1:A618,A618)-1</f>
        <v>3</v>
      </c>
      <c r="D618" s="2" t="str">
        <f>Argument!D618</f>
        <v>var</v>
      </c>
      <c r="E618" s="2" t="str">
        <f t="shared" si="18"/>
        <v/>
      </c>
      <c r="F618" s="2" t="str">
        <f>IF(C618=0,ISTEXT(FORMULA.CONVERT("="&amp;A618&amp;"("&amp;REPLACE(REPT(",#ref!",B618),1,1,"")&amp;")()",1)),"")</f>
        <v/>
      </c>
      <c r="G618" s="2">
        <f>TYPE(STDEVP(IF(1,1),IF(1,1),{1}))</f>
        <v>1</v>
      </c>
      <c r="H618" s="2" t="str">
        <f t="shared" si="19"/>
        <v/>
      </c>
      <c r="I618" s="2">
        <f>TYPE(STDEVP(IF(1,1),IF(1,1),IF(1,1)))</f>
        <v>1</v>
      </c>
      <c r="J618" s="2" t="str">
        <f>IF(C618=0,COUNTIFS(A:A,A618,D:D,"a"),"")</f>
        <v/>
      </c>
      <c r="K618" s="2" t="e">
        <f>INDEX(+STDEVP(#REF!,#REF!,K618:L618),)</f>
        <v>#REF!</v>
      </c>
      <c r="L618" s="1">
        <v>1</v>
      </c>
      <c r="M618" s="2" t="e">
        <f>INDEX(+STDEVP(#REF!,#REF!,INDIRECT(M618:N618)),)</f>
        <v>#REF!</v>
      </c>
      <c r="N618" s="1">
        <v>1</v>
      </c>
    </row>
    <row r="619" spans="1:14" x14ac:dyDescent="0.55000000000000004">
      <c r="A619" s="1" t="s">
        <v>1656</v>
      </c>
      <c r="B619" s="2">
        <f>COUNTIF(A:A,A619)-1</f>
        <v>3</v>
      </c>
      <c r="C619" s="2">
        <f>COUNTIF(A$1:A619,A619)-1</f>
        <v>0</v>
      </c>
      <c r="D619" s="2" t="str">
        <f>Argument!D619</f>
        <v/>
      </c>
      <c r="E619" s="2" t="str">
        <f t="shared" si="18"/>
        <v>v</v>
      </c>
      <c r="F619" s="2" t="b">
        <f>IF(C619=0,ISTEXT(FORMULA.CONVERT("="&amp;A619&amp;"("&amp;REPLACE(REPT(",#ref!",B619),1,1,"")&amp;")()",1)),"")</f>
        <v>0</v>
      </c>
      <c r="G619" s="2"/>
      <c r="H619" s="2" t="str">
        <f t="shared" si="19"/>
        <v/>
      </c>
      <c r="I619" s="2">
        <f>TYPE(VARP(IF(1,1),IF(1,1),IF(1,1)))</f>
        <v>1</v>
      </c>
      <c r="J619" s="2">
        <f>IF(C619=0,COUNTIFS(A:A,A619,D:D,"a"),"")</f>
        <v>0</v>
      </c>
      <c r="K619" s="2"/>
      <c r="M619" s="2"/>
    </row>
    <row r="620" spans="1:14" x14ac:dyDescent="0.55000000000000004">
      <c r="A620" s="1" t="s">
        <v>1656</v>
      </c>
      <c r="B620" s="2">
        <f>COUNTIF(A:A,A620)-1</f>
        <v>3</v>
      </c>
      <c r="C620" s="2">
        <f>COUNTIF(A$1:A620,A620)-1</f>
        <v>1</v>
      </c>
      <c r="D620" s="2" t="str">
        <f>Argument!D620</f>
        <v>var</v>
      </c>
      <c r="E620" s="2" t="str">
        <f t="shared" si="18"/>
        <v/>
      </c>
      <c r="F620" s="2" t="str">
        <f>IF(C620=0,ISTEXT(FORMULA.CONVERT("="&amp;A620&amp;"("&amp;REPLACE(REPT(",#ref!",B620),1,1,"")&amp;")()",1)),"")</f>
        <v/>
      </c>
      <c r="G620" s="2">
        <f>TYPE(VARP({1},IF(1,1),IF(1,1)))</f>
        <v>1</v>
      </c>
      <c r="H620" s="2" t="str">
        <f t="shared" si="19"/>
        <v/>
      </c>
      <c r="I620" s="2">
        <f>TYPE(VARP(IF(1,1),IF(1,1),IF(1,1)))</f>
        <v>1</v>
      </c>
      <c r="J620" s="2" t="str">
        <f>IF(C620=0,COUNTIFS(A:A,A620,D:D,"a"),"")</f>
        <v/>
      </c>
      <c r="K620" s="2" t="e">
        <f>INDEX(+VARP(K620:L620,#REF!,#REF!),)</f>
        <v>#REF!</v>
      </c>
      <c r="L620" s="1">
        <v>1</v>
      </c>
      <c r="M620" s="2" t="e">
        <f>INDEX(+VARP(INDIRECT(M620:N620),#REF!,#REF!),)</f>
        <v>#REF!</v>
      </c>
      <c r="N620" s="1">
        <v>1</v>
      </c>
    </row>
    <row r="621" spans="1:14" x14ac:dyDescent="0.55000000000000004">
      <c r="A621" s="1" t="s">
        <v>1656</v>
      </c>
      <c r="B621" s="2">
        <f>COUNTIF(A:A,A621)-1</f>
        <v>3</v>
      </c>
      <c r="C621" s="2">
        <f>COUNTIF(A$1:A621,A621)-1</f>
        <v>2</v>
      </c>
      <c r="D621" s="2" t="str">
        <f>Argument!D621</f>
        <v>var</v>
      </c>
      <c r="E621" s="2" t="str">
        <f t="shared" si="18"/>
        <v/>
      </c>
      <c r="F621" s="2" t="str">
        <f>IF(C621=0,ISTEXT(FORMULA.CONVERT("="&amp;A621&amp;"("&amp;REPLACE(REPT(",#ref!",B621),1,1,"")&amp;")()",1)),"")</f>
        <v/>
      </c>
      <c r="G621" s="2">
        <f>TYPE(VARP(IF(1,1),{1},IF(1,1)))</f>
        <v>1</v>
      </c>
      <c r="H621" s="2" t="str">
        <f t="shared" si="19"/>
        <v/>
      </c>
      <c r="I621" s="2">
        <f>TYPE(VARP(IF(1,1),IF(1,1),IF(1,1)))</f>
        <v>1</v>
      </c>
      <c r="J621" s="2" t="str">
        <f>IF(C621=0,COUNTIFS(A:A,A621,D:D,"a"),"")</f>
        <v/>
      </c>
      <c r="K621" s="2" t="e">
        <f>INDEX(+VARP(#REF!,K621:L621,#REF!),)</f>
        <v>#REF!</v>
      </c>
      <c r="L621" s="1">
        <v>1</v>
      </c>
      <c r="M621" s="2" t="e">
        <f>INDEX(+VARP(#REF!,INDIRECT(M621:N621),#REF!),)</f>
        <v>#REF!</v>
      </c>
      <c r="N621" s="1">
        <v>1</v>
      </c>
    </row>
    <row r="622" spans="1:14" x14ac:dyDescent="0.55000000000000004">
      <c r="A622" s="1" t="s">
        <v>1656</v>
      </c>
      <c r="B622" s="2">
        <f>COUNTIF(A:A,A622)-1</f>
        <v>3</v>
      </c>
      <c r="C622" s="2">
        <f>COUNTIF(A$1:A622,A622)-1</f>
        <v>3</v>
      </c>
      <c r="D622" s="2" t="str">
        <f>Argument!D622</f>
        <v>var</v>
      </c>
      <c r="E622" s="2" t="str">
        <f t="shared" si="18"/>
        <v/>
      </c>
      <c r="F622" s="2" t="str">
        <f>IF(C622=0,ISTEXT(FORMULA.CONVERT("="&amp;A622&amp;"("&amp;REPLACE(REPT(",#ref!",B622),1,1,"")&amp;")()",1)),"")</f>
        <v/>
      </c>
      <c r="G622" s="2">
        <f>TYPE(VARP(IF(1,1),IF(1,1),{1}))</f>
        <v>1</v>
      </c>
      <c r="H622" s="2" t="str">
        <f t="shared" si="19"/>
        <v/>
      </c>
      <c r="I622" s="2">
        <f>TYPE(VARP(IF(1,1),IF(1,1),IF(1,1)))</f>
        <v>1</v>
      </c>
      <c r="J622" s="2" t="str">
        <f>IF(C622=0,COUNTIFS(A:A,A622,D:D,"a"),"")</f>
        <v/>
      </c>
      <c r="K622" s="2" t="e">
        <f>INDEX(+VARP(#REF!,#REF!,K622:L622),)</f>
        <v>#REF!</v>
      </c>
      <c r="L622" s="1">
        <v>1</v>
      </c>
      <c r="M622" s="2" t="e">
        <f>INDEX(+VARP(#REF!,#REF!,INDIRECT(M622:N622)),)</f>
        <v>#REF!</v>
      </c>
      <c r="N622" s="1">
        <v>1</v>
      </c>
    </row>
    <row r="623" spans="1:14" x14ac:dyDescent="0.55000000000000004">
      <c r="A623" s="1" t="s">
        <v>1657</v>
      </c>
      <c r="B623" s="2">
        <f>COUNTIF(A:A,A623)-1</f>
        <v>3</v>
      </c>
      <c r="C623" s="2">
        <f>COUNTIF(A$1:A623,A623)-1</f>
        <v>0</v>
      </c>
      <c r="D623" s="2" t="str">
        <f>Argument!D623</f>
        <v/>
      </c>
      <c r="E623" s="2" t="str">
        <f t="shared" si="18"/>
        <v>v</v>
      </c>
      <c r="F623" s="2" t="b">
        <f>IF(C623=0,ISTEXT(FORMULA.CONVERT("="&amp;A623&amp;"("&amp;REPLACE(REPT(",#ref!",B623),1,1,"")&amp;")()",1)),"")</f>
        <v>0</v>
      </c>
      <c r="G623" s="2"/>
      <c r="H623" s="2" t="str">
        <f t="shared" si="19"/>
        <v/>
      </c>
      <c r="I623" s="2">
        <f>TYPE(DSTDEVP(IF(1,1),IF(1,1),IF(1,1)))</f>
        <v>16</v>
      </c>
      <c r="J623" s="2">
        <f>IF(C623=0,COUNTIFS(A:A,A623,D:D,"a"),"")</f>
        <v>0</v>
      </c>
      <c r="K623" s="2"/>
      <c r="M623" s="2"/>
    </row>
    <row r="624" spans="1:14" x14ac:dyDescent="0.55000000000000004">
      <c r="A624" s="1" t="s">
        <v>1657</v>
      </c>
      <c r="B624" s="2">
        <f>COUNTIF(A:A,A624)-1</f>
        <v>3</v>
      </c>
      <c r="C624" s="2">
        <f>COUNTIF(A$1:A624,A624)-1</f>
        <v>1</v>
      </c>
      <c r="D624" s="2" t="str">
        <f>Argument!D624</f>
        <v>r</v>
      </c>
      <c r="E624" s="2" t="str">
        <f t="shared" si="18"/>
        <v/>
      </c>
      <c r="F624" s="2" t="str">
        <f>IF(C624=0,ISTEXT(FORMULA.CONVERT("="&amp;A624&amp;"("&amp;REPLACE(REPT(",#ref!",B624),1,1,"")&amp;")()",1)),"")</f>
        <v/>
      </c>
      <c r="G624" s="2"/>
      <c r="H624" s="2" t="str">
        <f t="shared" si="19"/>
        <v/>
      </c>
      <c r="I624" s="2">
        <f>TYPE(DSTDEVP(IF(1,1),IF(1,1),IF(1,1)))</f>
        <v>16</v>
      </c>
      <c r="J624" s="2" t="str">
        <f>IF(C624=0,COUNTIFS(A:A,A624,D:D,"a"),"")</f>
        <v/>
      </c>
      <c r="K624" s="2" t="e">
        <f>INDEX(+DSTDEVP(K624:L624,#REF!,#REF!),)</f>
        <v>#REF!</v>
      </c>
      <c r="L624" s="1">
        <v>1</v>
      </c>
      <c r="M624" s="2" t="e">
        <f>INDEX(+DSTDEVP(INDIRECT(M624:N624),#REF!,#REF!),)</f>
        <v>#REF!</v>
      </c>
      <c r="N624" s="1">
        <v>1</v>
      </c>
    </row>
    <row r="625" spans="1:14" x14ac:dyDescent="0.55000000000000004">
      <c r="A625" s="1" t="s">
        <v>1657</v>
      </c>
      <c r="B625" s="2">
        <f>COUNTIF(A:A,A625)-1</f>
        <v>3</v>
      </c>
      <c r="C625" s="2">
        <f>COUNTIF(A$1:A625,A625)-1</f>
        <v>2</v>
      </c>
      <c r="D625" s="2" t="str">
        <f>Argument!D625</f>
        <v>vr</v>
      </c>
      <c r="E625" s="2" t="str">
        <f t="shared" si="18"/>
        <v/>
      </c>
      <c r="F625" s="2" t="str">
        <f>IF(C625=0,ISTEXT(FORMULA.CONVERT("="&amp;A625&amp;"("&amp;REPLACE(REPT(",#ref!",B625),1,1,"")&amp;")()",1)),"")</f>
        <v/>
      </c>
      <c r="G625" s="2">
        <f>TYPE(DSTDEVP(IF(1,1),{1},IF(1,1)))</f>
        <v>64</v>
      </c>
      <c r="H625" s="2" t="str">
        <f t="shared" si="19"/>
        <v/>
      </c>
      <c r="I625" s="2">
        <f>TYPE(DSTDEVP(IF(1,1),IF(1,1),IF(1,1)))</f>
        <v>16</v>
      </c>
      <c r="J625" s="2" t="str">
        <f>IF(C625=0,COUNTIFS(A:A,A625,D:D,"a"),"")</f>
        <v/>
      </c>
      <c r="K625" s="2" t="e">
        <f>INDEX(+DSTDEVP(#REF!,K625:L625,#REF!),)</f>
        <v>#REF!</v>
      </c>
      <c r="L625" s="1">
        <v>1</v>
      </c>
      <c r="M625" s="2" t="e">
        <f>INDEX(+DSTDEVP(#REF!,INDIRECT(M625:N625),#REF!),)</f>
        <v>#REF!</v>
      </c>
      <c r="N625" s="1">
        <v>1</v>
      </c>
    </row>
    <row r="626" spans="1:14" x14ac:dyDescent="0.55000000000000004">
      <c r="A626" s="1" t="s">
        <v>1657</v>
      </c>
      <c r="B626" s="2">
        <f>COUNTIF(A:A,A626)-1</f>
        <v>3</v>
      </c>
      <c r="C626" s="2">
        <f>COUNTIF(A$1:A626,A626)-1</f>
        <v>3</v>
      </c>
      <c r="D626" s="2" t="str">
        <f>Argument!D626</f>
        <v>vr</v>
      </c>
      <c r="E626" s="2" t="str">
        <f t="shared" si="18"/>
        <v/>
      </c>
      <c r="F626" s="2" t="str">
        <f>IF(C626=0,ISTEXT(FORMULA.CONVERT("="&amp;A626&amp;"("&amp;REPLACE(REPT(",#ref!",B626),1,1,"")&amp;")()",1)),"")</f>
        <v/>
      </c>
      <c r="G626" s="2">
        <f>TYPE(DSTDEVP(IF(1,1),IF(1,1),{1}))</f>
        <v>64</v>
      </c>
      <c r="H626" s="2" t="str">
        <f t="shared" si="19"/>
        <v/>
      </c>
      <c r="I626" s="2">
        <f>TYPE(DSTDEVP(IF(1,1),IF(1,1),IF(1,1)))</f>
        <v>16</v>
      </c>
      <c r="J626" s="2" t="str">
        <f>IF(C626=0,COUNTIFS(A:A,A626,D:D,"a"),"")</f>
        <v/>
      </c>
      <c r="K626" s="2" t="e">
        <f>INDEX(+DSTDEVP(#REF!,#REF!,K626:L626),)</f>
        <v>#REF!</v>
      </c>
      <c r="L626" s="1">
        <v>1</v>
      </c>
      <c r="M626" s="2" t="e">
        <f>INDEX(+DSTDEVP(#REF!,#REF!,INDIRECT(M626:N626)),)</f>
        <v>#REF!</v>
      </c>
      <c r="N626" s="1">
        <v>1</v>
      </c>
    </row>
    <row r="627" spans="1:14" x14ac:dyDescent="0.55000000000000004">
      <c r="A627" s="1" t="s">
        <v>1658</v>
      </c>
      <c r="B627" s="2">
        <f>COUNTIF(A:A,A627)-1</f>
        <v>3</v>
      </c>
      <c r="C627" s="2">
        <f>COUNTIF(A$1:A627,A627)-1</f>
        <v>0</v>
      </c>
      <c r="D627" s="2" t="str">
        <f>Argument!D627</f>
        <v/>
      </c>
      <c r="E627" s="2" t="str">
        <f t="shared" si="18"/>
        <v>v</v>
      </c>
      <c r="F627" s="2" t="b">
        <f>IF(C627=0,ISTEXT(FORMULA.CONVERT("="&amp;A627&amp;"("&amp;REPLACE(REPT(",#ref!",B627),1,1,"")&amp;")()",1)),"")</f>
        <v>0</v>
      </c>
      <c r="G627" s="2"/>
      <c r="H627" s="2" t="str">
        <f t="shared" si="19"/>
        <v/>
      </c>
      <c r="I627" s="2">
        <f>TYPE(DVARP(IF(1,1),IF(1,1),IF(1,1)))</f>
        <v>16</v>
      </c>
      <c r="J627" s="2">
        <f>IF(C627=0,COUNTIFS(A:A,A627,D:D,"a"),"")</f>
        <v>0</v>
      </c>
      <c r="K627" s="2"/>
      <c r="M627" s="2"/>
    </row>
    <row r="628" spans="1:14" x14ac:dyDescent="0.55000000000000004">
      <c r="A628" s="1" t="s">
        <v>1658</v>
      </c>
      <c r="B628" s="2">
        <f>COUNTIF(A:A,A628)-1</f>
        <v>3</v>
      </c>
      <c r="C628" s="2">
        <f>COUNTIF(A$1:A628,A628)-1</f>
        <v>1</v>
      </c>
      <c r="D628" s="2" t="str">
        <f>Argument!D628</f>
        <v>r</v>
      </c>
      <c r="E628" s="2" t="str">
        <f t="shared" si="18"/>
        <v/>
      </c>
      <c r="F628" s="2" t="str">
        <f>IF(C628=0,ISTEXT(FORMULA.CONVERT("="&amp;A628&amp;"("&amp;REPLACE(REPT(",#ref!",B628),1,1,"")&amp;")()",1)),"")</f>
        <v/>
      </c>
      <c r="G628" s="2"/>
      <c r="H628" s="2" t="str">
        <f t="shared" si="19"/>
        <v/>
      </c>
      <c r="I628" s="2">
        <f>TYPE(DVARP(IF(1,1),IF(1,1),IF(1,1)))</f>
        <v>16</v>
      </c>
      <c r="J628" s="2" t="str">
        <f>IF(C628=0,COUNTIFS(A:A,A628,D:D,"a"),"")</f>
        <v/>
      </c>
      <c r="K628" s="2" t="e">
        <f>INDEX(+DVARP(K628:L628,#REF!,#REF!),)</f>
        <v>#REF!</v>
      </c>
      <c r="L628" s="1">
        <v>1</v>
      </c>
      <c r="M628" s="2" t="e">
        <f>INDEX(+DVARP(INDIRECT(M628:N628),#REF!,#REF!),)</f>
        <v>#REF!</v>
      </c>
      <c r="N628" s="1">
        <v>1</v>
      </c>
    </row>
    <row r="629" spans="1:14" x14ac:dyDescent="0.55000000000000004">
      <c r="A629" s="1" t="s">
        <v>1658</v>
      </c>
      <c r="B629" s="2">
        <f>COUNTIF(A:A,A629)-1</f>
        <v>3</v>
      </c>
      <c r="C629" s="2">
        <f>COUNTIF(A$1:A629,A629)-1</f>
        <v>2</v>
      </c>
      <c r="D629" s="2" t="str">
        <f>Argument!D629</f>
        <v>vr</v>
      </c>
      <c r="E629" s="2" t="str">
        <f t="shared" si="18"/>
        <v/>
      </c>
      <c r="F629" s="2" t="str">
        <f>IF(C629=0,ISTEXT(FORMULA.CONVERT("="&amp;A629&amp;"("&amp;REPLACE(REPT(",#ref!",B629),1,1,"")&amp;")()",1)),"")</f>
        <v/>
      </c>
      <c r="G629" s="2">
        <f>TYPE(DVARP(IF(1,1),{1},IF(1,1)))</f>
        <v>64</v>
      </c>
      <c r="H629" s="2" t="str">
        <f t="shared" si="19"/>
        <v/>
      </c>
      <c r="I629" s="2">
        <f>TYPE(DVARP(IF(1,1),IF(1,1),IF(1,1)))</f>
        <v>16</v>
      </c>
      <c r="J629" s="2" t="str">
        <f>IF(C629=0,COUNTIFS(A:A,A629,D:D,"a"),"")</f>
        <v/>
      </c>
      <c r="K629" s="2" t="e">
        <f>INDEX(+DVARP(#REF!,K629:L629,#REF!),)</f>
        <v>#REF!</v>
      </c>
      <c r="L629" s="1">
        <v>1</v>
      </c>
      <c r="M629" s="2" t="e">
        <f>INDEX(+DVARP(#REF!,INDIRECT(M629:N629),#REF!),)</f>
        <v>#REF!</v>
      </c>
      <c r="N629" s="1">
        <v>1</v>
      </c>
    </row>
    <row r="630" spans="1:14" x14ac:dyDescent="0.55000000000000004">
      <c r="A630" s="1" t="s">
        <v>1658</v>
      </c>
      <c r="B630" s="2">
        <f>COUNTIF(A:A,A630)-1</f>
        <v>3</v>
      </c>
      <c r="C630" s="2">
        <f>COUNTIF(A$1:A630,A630)-1</f>
        <v>3</v>
      </c>
      <c r="D630" s="2" t="str">
        <f>Argument!D630</f>
        <v>vr</v>
      </c>
      <c r="E630" s="2" t="str">
        <f t="shared" si="18"/>
        <v/>
      </c>
      <c r="F630" s="2" t="str">
        <f>IF(C630=0,ISTEXT(FORMULA.CONVERT("="&amp;A630&amp;"("&amp;REPLACE(REPT(",#ref!",B630),1,1,"")&amp;")()",1)),"")</f>
        <v/>
      </c>
      <c r="G630" s="2">
        <f>TYPE(DVARP(IF(1,1),IF(1,1),{1}))</f>
        <v>64</v>
      </c>
      <c r="H630" s="2" t="str">
        <f t="shared" si="19"/>
        <v/>
      </c>
      <c r="I630" s="2">
        <f>TYPE(DVARP(IF(1,1),IF(1,1),IF(1,1)))</f>
        <v>16</v>
      </c>
      <c r="J630" s="2" t="str">
        <f>IF(C630=0,COUNTIFS(A:A,A630,D:D,"a"),"")</f>
        <v/>
      </c>
      <c r="K630" s="2" t="e">
        <f>INDEX(+DVARP(#REF!,#REF!,K630:L630),)</f>
        <v>#REF!</v>
      </c>
      <c r="L630" s="1">
        <v>1</v>
      </c>
      <c r="M630" s="2" t="e">
        <f>INDEX(+DVARP(#REF!,#REF!,INDIRECT(M630:N630)),)</f>
        <v>#REF!</v>
      </c>
      <c r="N630" s="1">
        <v>1</v>
      </c>
    </row>
    <row r="631" spans="1:14" x14ac:dyDescent="0.55000000000000004">
      <c r="A631" s="1" t="s">
        <v>1659</v>
      </c>
      <c r="B631" s="2">
        <f>COUNTIF(A:A,A631)-1</f>
        <v>2</v>
      </c>
      <c r="C631" s="2">
        <f>COUNTIF(A$1:A631,A631)-1</f>
        <v>0</v>
      </c>
      <c r="D631" s="2" t="str">
        <f>Argument!D631</f>
        <v/>
      </c>
      <c r="E631" s="2" t="str">
        <f t="shared" si="18"/>
        <v>v</v>
      </c>
      <c r="F631" s="2" t="b">
        <f>IF(C631=0,ISTEXT(FORMULA.CONVERT("="&amp;A631&amp;"("&amp;REPLACE(REPT(",#ref!",B631),1,1,"")&amp;")()",1)),"")</f>
        <v>0</v>
      </c>
      <c r="G631" s="2"/>
      <c r="H631" s="2" t="str">
        <f t="shared" si="19"/>
        <v/>
      </c>
      <c r="I631" s="2">
        <f>TYPE(TRUNC(IF(1,1),IF(1,1)))</f>
        <v>1</v>
      </c>
      <c r="J631" s="2">
        <f>IF(C631=0,COUNTIFS(A:A,A631,D:D,"a"),"")</f>
        <v>0</v>
      </c>
      <c r="K631" s="2"/>
      <c r="M631" s="2"/>
    </row>
    <row r="632" spans="1:14" x14ac:dyDescent="0.55000000000000004">
      <c r="A632" s="1" t="s">
        <v>1659</v>
      </c>
      <c r="B632" s="2">
        <f>COUNTIF(A:A,A632)-1</f>
        <v>2</v>
      </c>
      <c r="C632" s="2">
        <f>COUNTIF(A$1:A632,A632)-1</f>
        <v>1</v>
      </c>
      <c r="D632" s="2" t="str">
        <f>Argument!D632</f>
        <v>v</v>
      </c>
      <c r="E632" s="2" t="str">
        <f t="shared" si="18"/>
        <v/>
      </c>
      <c r="F632" s="2" t="str">
        <f>IF(C632=0,ISTEXT(FORMULA.CONVERT("="&amp;A632&amp;"("&amp;REPLACE(REPT(",#ref!",B632),1,1,"")&amp;")()",1)),"")</f>
        <v/>
      </c>
      <c r="G632" s="2">
        <f>TYPE(TRUNC({1},IF(1,1)))</f>
        <v>64</v>
      </c>
      <c r="H632" s="2" t="str">
        <f t="shared" si="19"/>
        <v/>
      </c>
      <c r="I632" s="2">
        <f>TYPE(TRUNC(IF(1,1),IF(1,1)))</f>
        <v>1</v>
      </c>
      <c r="J632" s="2" t="str">
        <f>IF(C632=0,COUNTIFS(A:A,A632,D:D,"a"),"")</f>
        <v/>
      </c>
      <c r="K632" s="2" t="e">
        <f>INDEX(+TRUNC(K632:L632,#REF!),)</f>
        <v>#REF!</v>
      </c>
      <c r="L632" s="1">
        <v>1</v>
      </c>
      <c r="M632" s="2" t="e">
        <f>INDEX(+TRUNC(INDIRECT(M632:N632),#REF!),)</f>
        <v>#REF!</v>
      </c>
      <c r="N632" s="1">
        <v>1</v>
      </c>
    </row>
    <row r="633" spans="1:14" x14ac:dyDescent="0.55000000000000004">
      <c r="A633" s="1" t="s">
        <v>1659</v>
      </c>
      <c r="B633" s="2">
        <f>COUNTIF(A:A,A633)-1</f>
        <v>2</v>
      </c>
      <c r="C633" s="2">
        <f>COUNTIF(A$1:A633,A633)-1</f>
        <v>2</v>
      </c>
      <c r="D633" s="2" t="str">
        <f>Argument!D633</f>
        <v>v</v>
      </c>
      <c r="E633" s="2" t="str">
        <f t="shared" si="18"/>
        <v/>
      </c>
      <c r="F633" s="2" t="str">
        <f>IF(C633=0,ISTEXT(FORMULA.CONVERT("="&amp;A633&amp;"("&amp;REPLACE(REPT(",#ref!",B633),1,1,"")&amp;")()",1)),"")</f>
        <v/>
      </c>
      <c r="G633" s="2">
        <f>TYPE(TRUNC(IF(1,1),{1}))</f>
        <v>64</v>
      </c>
      <c r="H633" s="2" t="str">
        <f t="shared" si="19"/>
        <v/>
      </c>
      <c r="I633" s="2">
        <f>TYPE(TRUNC(IF(1,1),IF(1,1)))</f>
        <v>1</v>
      </c>
      <c r="J633" s="2" t="str">
        <f>IF(C633=0,COUNTIFS(A:A,A633,D:D,"a"),"")</f>
        <v/>
      </c>
      <c r="K633" s="2" t="e">
        <f>INDEX(+TRUNC(#REF!,K633:L633),)</f>
        <v>#REF!</v>
      </c>
      <c r="L633" s="1">
        <v>1</v>
      </c>
      <c r="M633" s="2" t="e">
        <f>INDEX(+TRUNC(#REF!,INDIRECT(M633:N633)),)</f>
        <v>#REF!</v>
      </c>
      <c r="N633" s="1">
        <v>1</v>
      </c>
    </row>
    <row r="634" spans="1:14" x14ac:dyDescent="0.55000000000000004">
      <c r="A634" s="1" t="s">
        <v>1660</v>
      </c>
      <c r="B634" s="2">
        <f>COUNTIF(A:A,A634)-1</f>
        <v>1</v>
      </c>
      <c r="C634" s="2">
        <f>COUNTIF(A$1:A634,A634)-1</f>
        <v>0</v>
      </c>
      <c r="D634" s="2" t="str">
        <f>Argument!D634</f>
        <v/>
      </c>
      <c r="E634" s="2" t="str">
        <f t="shared" si="18"/>
        <v>v</v>
      </c>
      <c r="F634" s="2" t="b">
        <f>IF(C634=0,ISTEXT(FORMULA.CONVERT("="&amp;A634&amp;"("&amp;REPLACE(REPT(",#ref!",B634),1,1,"")&amp;")()",1)),"")</f>
        <v>0</v>
      </c>
      <c r="G634" s="2"/>
      <c r="H634" s="2" t="str">
        <f t="shared" si="19"/>
        <v/>
      </c>
      <c r="I634" s="2">
        <f>TYPE(ISLOGICAL(IF(1,1)))</f>
        <v>4</v>
      </c>
      <c r="J634" s="2">
        <f>IF(C634=0,COUNTIFS(A:A,A634,D:D,"a"),"")</f>
        <v>0</v>
      </c>
      <c r="K634" s="2"/>
      <c r="M634" s="2"/>
    </row>
    <row r="635" spans="1:14" x14ac:dyDescent="0.55000000000000004">
      <c r="A635" s="1" t="s">
        <v>1660</v>
      </c>
      <c r="B635" s="2">
        <f>COUNTIF(A:A,A635)-1</f>
        <v>1</v>
      </c>
      <c r="C635" s="2">
        <f>COUNTIF(A$1:A635,A635)-1</f>
        <v>1</v>
      </c>
      <c r="D635" s="2" t="str">
        <f>Argument!D635</f>
        <v>v</v>
      </c>
      <c r="E635" s="2" t="str">
        <f t="shared" si="18"/>
        <v/>
      </c>
      <c r="F635" s="2" t="str">
        <f>IF(C635=0,ISTEXT(FORMULA.CONVERT("="&amp;A635&amp;"("&amp;REPLACE(REPT(",#ref!",B635),1,1,"")&amp;")()",1)),"")</f>
        <v/>
      </c>
      <c r="G635" s="2">
        <f>TYPE(ISLOGICAL({1}))</f>
        <v>64</v>
      </c>
      <c r="H635" s="2" t="str">
        <f t="shared" si="19"/>
        <v/>
      </c>
      <c r="I635" s="2">
        <f>TYPE(ISLOGICAL(IF(1,1)))</f>
        <v>4</v>
      </c>
      <c r="J635" s="2" t="str">
        <f>IF(C635=0,COUNTIFS(A:A,A635,D:D,"a"),"")</f>
        <v/>
      </c>
      <c r="K635" s="2" t="b">
        <f>INDEX(+ISLOGICAL(K635:L635),)</f>
        <v>0</v>
      </c>
      <c r="L635" s="1">
        <v>1</v>
      </c>
      <c r="M635" s="2" t="b">
        <f>INDEX(+ISLOGICAL(INDIRECT(M635:N635)),)</f>
        <v>0</v>
      </c>
      <c r="N635" s="1">
        <v>1</v>
      </c>
    </row>
    <row r="636" spans="1:14" x14ac:dyDescent="0.55000000000000004">
      <c r="A636" s="1" t="s">
        <v>1661</v>
      </c>
      <c r="B636" s="2">
        <f>COUNTIF(A:A,A636)-1</f>
        <v>3</v>
      </c>
      <c r="C636" s="2">
        <f>COUNTIF(A$1:A636,A636)-1</f>
        <v>0</v>
      </c>
      <c r="D636" s="2" t="str">
        <f>Argument!D636</f>
        <v/>
      </c>
      <c r="E636" s="2" t="str">
        <f t="shared" si="18"/>
        <v>v</v>
      </c>
      <c r="F636" s="2" t="b">
        <f>IF(C636=0,ISTEXT(FORMULA.CONVERT("="&amp;A636&amp;"("&amp;REPLACE(REPT(",#ref!",B636),1,1,"")&amp;")()",1)),"")</f>
        <v>0</v>
      </c>
      <c r="G636" s="2"/>
      <c r="H636" s="2" t="str">
        <f t="shared" si="19"/>
        <v/>
      </c>
      <c r="I636" s="2">
        <f>TYPE(DCOUNTA(IF(1,1),IF(1,1),IF(1,1)))</f>
        <v>16</v>
      </c>
      <c r="J636" s="2">
        <f>IF(C636=0,COUNTIFS(A:A,A636,D:D,"a"),"")</f>
        <v>0</v>
      </c>
      <c r="K636" s="2"/>
      <c r="M636" s="2"/>
    </row>
    <row r="637" spans="1:14" x14ac:dyDescent="0.55000000000000004">
      <c r="A637" s="1" t="s">
        <v>1661</v>
      </c>
      <c r="B637" s="2">
        <f>COUNTIF(A:A,A637)-1</f>
        <v>3</v>
      </c>
      <c r="C637" s="2">
        <f>COUNTIF(A$1:A637,A637)-1</f>
        <v>1</v>
      </c>
      <c r="D637" s="2" t="str">
        <f>Argument!D637</f>
        <v>r</v>
      </c>
      <c r="E637" s="2" t="str">
        <f t="shared" si="18"/>
        <v/>
      </c>
      <c r="F637" s="2" t="str">
        <f>IF(C637=0,ISTEXT(FORMULA.CONVERT("="&amp;A637&amp;"("&amp;REPLACE(REPT(",#ref!",B637),1,1,"")&amp;")()",1)),"")</f>
        <v/>
      </c>
      <c r="G637" s="2"/>
      <c r="H637" s="2" t="str">
        <f t="shared" si="19"/>
        <v/>
      </c>
      <c r="I637" s="2">
        <f>TYPE(DCOUNTA(IF(1,1),IF(1,1),IF(1,1)))</f>
        <v>16</v>
      </c>
      <c r="J637" s="2" t="str">
        <f>IF(C637=0,COUNTIFS(A:A,A637,D:D,"a"),"")</f>
        <v/>
      </c>
      <c r="K637" s="2" t="e">
        <f>INDEX(+DCOUNTA(K637:L637,#REF!,#REF!),)</f>
        <v>#REF!</v>
      </c>
      <c r="L637" s="1">
        <v>1</v>
      </c>
      <c r="M637" s="2" t="e">
        <f>INDEX(+DCOUNTA(INDIRECT(M637:N637),#REF!,#REF!),)</f>
        <v>#REF!</v>
      </c>
      <c r="N637" s="1">
        <v>1</v>
      </c>
    </row>
    <row r="638" spans="1:14" x14ac:dyDescent="0.55000000000000004">
      <c r="A638" s="1" t="s">
        <v>1661</v>
      </c>
      <c r="B638" s="2">
        <f>COUNTIF(A:A,A638)-1</f>
        <v>3</v>
      </c>
      <c r="C638" s="2">
        <f>COUNTIF(A$1:A638,A638)-1</f>
        <v>2</v>
      </c>
      <c r="D638" s="2" t="str">
        <f>Argument!D638</f>
        <v>vr</v>
      </c>
      <c r="E638" s="2" t="str">
        <f t="shared" si="18"/>
        <v/>
      </c>
      <c r="F638" s="2" t="str">
        <f>IF(C638=0,ISTEXT(FORMULA.CONVERT("="&amp;A638&amp;"("&amp;REPLACE(REPT(",#ref!",B638),1,1,"")&amp;")()",1)),"")</f>
        <v/>
      </c>
      <c r="G638" s="2">
        <f>TYPE(DCOUNTA(IF(1,1),{1},IF(1,1)))</f>
        <v>64</v>
      </c>
      <c r="H638" s="2" t="str">
        <f t="shared" si="19"/>
        <v/>
      </c>
      <c r="I638" s="2">
        <f>TYPE(DCOUNTA(IF(1,1),IF(1,1),IF(1,1)))</f>
        <v>16</v>
      </c>
      <c r="J638" s="2" t="str">
        <f>IF(C638=0,COUNTIFS(A:A,A638,D:D,"a"),"")</f>
        <v/>
      </c>
      <c r="K638" s="2" t="e">
        <f>INDEX(+DCOUNTA(#REF!,K638:L638,#REF!),)</f>
        <v>#REF!</v>
      </c>
      <c r="L638" s="1">
        <v>1</v>
      </c>
      <c r="M638" s="2" t="e">
        <f>INDEX(+DCOUNTA(#REF!,INDIRECT(M638:N638),#REF!),)</f>
        <v>#REF!</v>
      </c>
      <c r="N638" s="1">
        <v>1</v>
      </c>
    </row>
    <row r="639" spans="1:14" x14ac:dyDescent="0.55000000000000004">
      <c r="A639" s="1" t="s">
        <v>1661</v>
      </c>
      <c r="B639" s="2">
        <f>COUNTIF(A:A,A639)-1</f>
        <v>3</v>
      </c>
      <c r="C639" s="2">
        <f>COUNTIF(A$1:A639,A639)-1</f>
        <v>3</v>
      </c>
      <c r="D639" s="2" t="str">
        <f>Argument!D639</f>
        <v>vr</v>
      </c>
      <c r="E639" s="2" t="str">
        <f t="shared" si="18"/>
        <v/>
      </c>
      <c r="F639" s="2" t="str">
        <f>IF(C639=0,ISTEXT(FORMULA.CONVERT("="&amp;A639&amp;"("&amp;REPLACE(REPT(",#ref!",B639),1,1,"")&amp;")()",1)),"")</f>
        <v/>
      </c>
      <c r="G639" s="2">
        <f>TYPE(DCOUNTA(IF(1,1),IF(1,1),{1}))</f>
        <v>64</v>
      </c>
      <c r="H639" s="2" t="str">
        <f t="shared" si="19"/>
        <v/>
      </c>
      <c r="I639" s="2">
        <f>TYPE(DCOUNTA(IF(1,1),IF(1,1),IF(1,1)))</f>
        <v>16</v>
      </c>
      <c r="J639" s="2" t="str">
        <f>IF(C639=0,COUNTIFS(A:A,A639,D:D,"a"),"")</f>
        <v/>
      </c>
      <c r="K639" s="2" t="e">
        <f>INDEX(+DCOUNTA(#REF!,#REF!,K639:L639),)</f>
        <v>#REF!</v>
      </c>
      <c r="L639" s="1">
        <v>1</v>
      </c>
      <c r="M639" s="2" t="e">
        <f>INDEX(+DCOUNTA(#REF!,#REF!,INDIRECT(M639:N639)),)</f>
        <v>#REF!</v>
      </c>
      <c r="N639" s="1">
        <v>1</v>
      </c>
    </row>
    <row r="640" spans="1:14" x14ac:dyDescent="0.55000000000000004">
      <c r="A640" s="1" t="s">
        <v>1662</v>
      </c>
      <c r="B640" s="2">
        <f>COUNTIF(A:A,A640)-1</f>
        <v>1</v>
      </c>
      <c r="C640" s="2">
        <f>COUNTIF(A$1:A640,A640)-1</f>
        <v>0</v>
      </c>
      <c r="D640" s="2" t="str">
        <f>Argument!D640</f>
        <v/>
      </c>
      <c r="E640" s="2" t="str">
        <f t="shared" si="18"/>
        <v>v</v>
      </c>
      <c r="F640" s="2" t="b">
        <f>IF(C640=0,ISTEXT(FORMULA.CONVERT("="&amp;A640&amp;"("&amp;REPLACE(REPT(",#ref!",B640),1,1,"")&amp;")()",1)),"")</f>
        <v>0</v>
      </c>
      <c r="G640" s="2"/>
      <c r="H640" s="2" t="str">
        <f t="shared" si="19"/>
        <v/>
      </c>
      <c r="I640" s="2">
        <f>TYPE(DELETE.BAR(IF(1,1)))</f>
        <v>4</v>
      </c>
      <c r="J640" s="2">
        <f>IF(C640=0,COUNTIFS(A:A,A640,D:D,"a"),"")</f>
        <v>0</v>
      </c>
      <c r="K640" s="2"/>
      <c r="M640" s="2"/>
    </row>
    <row r="641" spans="1:14" x14ac:dyDescent="0.55000000000000004">
      <c r="A641" s="1" t="s">
        <v>1662</v>
      </c>
      <c r="B641" s="2">
        <f>COUNTIF(A:A,A641)-1</f>
        <v>1</v>
      </c>
      <c r="C641" s="2">
        <f>COUNTIF(A$1:A641,A641)-1</f>
        <v>1</v>
      </c>
      <c r="D641" s="2" t="str">
        <f>Argument!D641</f>
        <v>v</v>
      </c>
      <c r="E641" s="2" t="str">
        <f t="shared" si="18"/>
        <v/>
      </c>
      <c r="F641" s="2" t="str">
        <f>IF(C641=0,ISTEXT(FORMULA.CONVERT("="&amp;A641&amp;"("&amp;REPLACE(REPT(",#ref!",B641),1,1,"")&amp;")()",1)),"")</f>
        <v/>
      </c>
      <c r="G641" s="2">
        <f>TYPE(DELETE.BAR({1}))</f>
        <v>64</v>
      </c>
      <c r="H641" s="2" t="str">
        <f t="shared" si="19"/>
        <v/>
      </c>
      <c r="I641" s="2">
        <f>TYPE(DELETE.BAR(IF(1,1)))</f>
        <v>4</v>
      </c>
      <c r="J641" s="2" t="str">
        <f>IF(C641=0,COUNTIFS(A:A,A641,D:D,"a"),"")</f>
        <v/>
      </c>
      <c r="K641" s="2" t="b">
        <f>INDEX(+DELETE.BAR(K641:L641),)</f>
        <v>0</v>
      </c>
      <c r="L641" s="1">
        <v>1</v>
      </c>
      <c r="M641" s="2" t="b">
        <f>INDEX(+DELETE.BAR(INDIRECT(M641:N641)),)</f>
        <v>0</v>
      </c>
      <c r="N641" s="1">
        <v>1</v>
      </c>
    </row>
    <row r="642" spans="1:14" x14ac:dyDescent="0.55000000000000004">
      <c r="A642" s="1" t="s">
        <v>1663</v>
      </c>
      <c r="B642" s="2">
        <f>COUNTIF(A:A,A642)-1</f>
        <v>1</v>
      </c>
      <c r="C642" s="2">
        <f>COUNTIF(A$1:A642,A642)-1</f>
        <v>0</v>
      </c>
      <c r="D642" s="2" t="str">
        <f>Argument!D642</f>
        <v/>
      </c>
      <c r="E642" s="2" t="str">
        <f t="shared" ref="E642:E705" si="20">IF(C642=0,IF(SUMIFS(H:H,A:A,A642),IF(COUNTIFS(A:A,A642,G:G,64),,"v")&amp;IF(F642,"ar","a"),IF(F642,"r","v")),"")</f>
        <v>v</v>
      </c>
      <c r="F642" s="2" t="b">
        <f>IF(C642=0,ISTEXT(FORMULA.CONVERT("="&amp;A642&amp;"("&amp;REPLACE(REPT(",#ref!",B642),1,1,"")&amp;")()",1)),"")</f>
        <v>0</v>
      </c>
      <c r="G642" s="2"/>
      <c r="H642" s="2" t="str">
        <f t="shared" ref="H642:H705" si="21">IF((I642=64)*(J642=B642)+(1-L642)*COUNTIF(D642,"*v*")+(1-N642)*COUNTIF(D642,"*r*"),1,"")</f>
        <v/>
      </c>
      <c r="I642" s="2">
        <f>TYPE(UNREGISTER(IF(1,1)))</f>
        <v>4</v>
      </c>
      <c r="J642" s="2">
        <f>IF(C642=0,COUNTIFS(A:A,A642,D:D,"a"),"")</f>
        <v>0</v>
      </c>
      <c r="K642" s="2"/>
      <c r="M642" s="2"/>
    </row>
    <row r="643" spans="1:14" x14ac:dyDescent="0.55000000000000004">
      <c r="A643" s="1" t="s">
        <v>1663</v>
      </c>
      <c r="B643" s="2">
        <f>COUNTIF(A:A,A643)-1</f>
        <v>1</v>
      </c>
      <c r="C643" s="2">
        <f>COUNTIF(A$1:A643,A643)-1</f>
        <v>1</v>
      </c>
      <c r="D643" s="2" t="str">
        <f>Argument!D643</f>
        <v>v</v>
      </c>
      <c r="E643" s="2" t="str">
        <f t="shared" si="20"/>
        <v/>
      </c>
      <c r="F643" s="2" t="str">
        <f>IF(C643=0,ISTEXT(FORMULA.CONVERT("="&amp;A643&amp;"("&amp;REPLACE(REPT(",#ref!",B643),1,1,"")&amp;")()",1)),"")</f>
        <v/>
      </c>
      <c r="G643" s="2">
        <f>TYPE(UNREGISTER({1}))</f>
        <v>64</v>
      </c>
      <c r="H643" s="2" t="str">
        <f t="shared" si="21"/>
        <v/>
      </c>
      <c r="I643" s="2">
        <f>TYPE(UNREGISTER(IF(1,1)))</f>
        <v>4</v>
      </c>
      <c r="J643" s="2" t="str">
        <f>IF(C643=0,COUNTIFS(A:A,A643,D:D,"a"),"")</f>
        <v/>
      </c>
      <c r="K643" s="2" t="b">
        <f>INDEX(+UNREGISTER(K643:L643),)</f>
        <v>0</v>
      </c>
      <c r="L643" s="1">
        <v>1</v>
      </c>
      <c r="M643" s="2" t="e">
        <f>INDEX(+UNREGISTER(INDIRECT(M643:N643)),)</f>
        <v>#REF!</v>
      </c>
      <c r="N643" s="1">
        <v>1</v>
      </c>
    </row>
    <row r="644" spans="1:14" x14ac:dyDescent="0.55000000000000004">
      <c r="A644" s="1" t="s">
        <v>1664</v>
      </c>
      <c r="B644" s="2">
        <f>COUNTIF(A:A,A644)-1</f>
        <v>2</v>
      </c>
      <c r="C644" s="2">
        <f>COUNTIF(A$1:A644,A644)-1</f>
        <v>0</v>
      </c>
      <c r="D644" s="2" t="str">
        <f>Argument!D644</f>
        <v/>
      </c>
      <c r="E644" s="2" t="str">
        <f t="shared" si="20"/>
        <v>v</v>
      </c>
      <c r="F644" s="2" t="b">
        <f>IF(C644=0,ISTEXT(FORMULA.CONVERT("="&amp;A644&amp;"("&amp;REPLACE(REPT(",#ref!",B644),1,1,"")&amp;")()",1)),"")</f>
        <v>0</v>
      </c>
      <c r="G644" s="2"/>
      <c r="H644" s="2" t="str">
        <f t="shared" si="21"/>
        <v/>
      </c>
      <c r="I644" s="2">
        <f>TYPE(USDOLLAR(IF(1,1),IF(1,1)))</f>
        <v>2</v>
      </c>
      <c r="J644" s="2">
        <f>IF(C644=0,COUNTIFS(A:A,A644,D:D,"a"),"")</f>
        <v>0</v>
      </c>
      <c r="K644" s="2"/>
      <c r="M644" s="2"/>
    </row>
    <row r="645" spans="1:14" x14ac:dyDescent="0.55000000000000004">
      <c r="A645" s="1" t="s">
        <v>1664</v>
      </c>
      <c r="B645" s="2">
        <f>COUNTIF(A:A,A645)-1</f>
        <v>2</v>
      </c>
      <c r="C645" s="2">
        <f>COUNTIF(A$1:A645,A645)-1</f>
        <v>1</v>
      </c>
      <c r="D645" s="2" t="str">
        <f>Argument!D645</f>
        <v>v</v>
      </c>
      <c r="E645" s="2" t="str">
        <f t="shared" si="20"/>
        <v/>
      </c>
      <c r="F645" s="2" t="str">
        <f>IF(C645=0,ISTEXT(FORMULA.CONVERT("="&amp;A645&amp;"("&amp;REPLACE(REPT(",#ref!",B645),1,1,"")&amp;")()",1)),"")</f>
        <v/>
      </c>
      <c r="G645" s="2">
        <f>TYPE(USDOLLAR({1},IF(1,1)))</f>
        <v>64</v>
      </c>
      <c r="H645" s="2" t="str">
        <f t="shared" si="21"/>
        <v/>
      </c>
      <c r="I645" s="2">
        <f>TYPE(USDOLLAR(IF(1,1),IF(1,1)))</f>
        <v>2</v>
      </c>
      <c r="J645" s="2" t="str">
        <f>IF(C645=0,COUNTIFS(A:A,A645,D:D,"a"),"")</f>
        <v/>
      </c>
      <c r="K645" s="2" t="e">
        <f>INDEX(+USDOLLAR(K645:L645,#REF!),)</f>
        <v>#REF!</v>
      </c>
      <c r="L645" s="1">
        <v>1</v>
      </c>
      <c r="M645" s="2" t="e">
        <f>INDEX(+USDOLLAR(INDIRECT(M645:N645),#REF!),)</f>
        <v>#REF!</v>
      </c>
      <c r="N645" s="1">
        <v>1</v>
      </c>
    </row>
    <row r="646" spans="1:14" x14ac:dyDescent="0.55000000000000004">
      <c r="A646" s="1" t="s">
        <v>1664</v>
      </c>
      <c r="B646" s="2">
        <f>COUNTIF(A:A,A646)-1</f>
        <v>2</v>
      </c>
      <c r="C646" s="2">
        <f>COUNTIF(A$1:A646,A646)-1</f>
        <v>2</v>
      </c>
      <c r="D646" s="2" t="str">
        <f>Argument!D646</f>
        <v>v</v>
      </c>
      <c r="E646" s="2" t="str">
        <f t="shared" si="20"/>
        <v/>
      </c>
      <c r="F646" s="2" t="str">
        <f>IF(C646=0,ISTEXT(FORMULA.CONVERT("="&amp;A646&amp;"("&amp;REPLACE(REPT(",#ref!",B646),1,1,"")&amp;")()",1)),"")</f>
        <v/>
      </c>
      <c r="G646" s="2">
        <f>TYPE(USDOLLAR(IF(1,1),{1}))</f>
        <v>64</v>
      </c>
      <c r="H646" s="2" t="str">
        <f t="shared" si="21"/>
        <v/>
      </c>
      <c r="I646" s="2">
        <f>TYPE(USDOLLAR(IF(1,1),IF(1,1)))</f>
        <v>2</v>
      </c>
      <c r="J646" s="2" t="str">
        <f>IF(C646=0,COUNTIFS(A:A,A646,D:D,"a"),"")</f>
        <v/>
      </c>
      <c r="K646" s="2" t="e">
        <f>INDEX(+USDOLLAR(#REF!,K646:L646),)</f>
        <v>#REF!</v>
      </c>
      <c r="L646" s="1">
        <v>1</v>
      </c>
      <c r="M646" s="2" t="e">
        <f>INDEX(+USDOLLAR(#REF!,INDIRECT(M646:N646)),)</f>
        <v>#REF!</v>
      </c>
      <c r="N646" s="1">
        <v>1</v>
      </c>
    </row>
    <row r="647" spans="1:14" x14ac:dyDescent="0.55000000000000004">
      <c r="A647" s="1" t="s">
        <v>1665</v>
      </c>
      <c r="B647" s="2">
        <f>COUNTIF(A:A,A647)-1</f>
        <v>3</v>
      </c>
      <c r="C647" s="2">
        <f>COUNTIF(A$1:A647,A647)-1</f>
        <v>0</v>
      </c>
      <c r="D647" s="2" t="str">
        <f>Argument!D647</f>
        <v/>
      </c>
      <c r="E647" s="2" t="str">
        <f t="shared" si="20"/>
        <v>v</v>
      </c>
      <c r="F647" s="2" t="b">
        <f>IF(C647=0,ISTEXT(FORMULA.CONVERT("="&amp;A647&amp;"("&amp;REPLACE(REPT(",#ref!",B647),1,1,"")&amp;")()",1)),"")</f>
        <v>0</v>
      </c>
      <c r="G647" s="2"/>
      <c r="H647" s="2" t="str">
        <f t="shared" si="21"/>
        <v/>
      </c>
      <c r="I647" s="2">
        <f>TYPE(FINDB(IF(1,1),IF(1,1),IF(1,1)))</f>
        <v>1</v>
      </c>
      <c r="J647" s="2">
        <f>IF(C647=0,COUNTIFS(A:A,A647,D:D,"a"),"")</f>
        <v>0</v>
      </c>
      <c r="K647" s="2"/>
      <c r="M647" s="2"/>
    </row>
    <row r="648" spans="1:14" x14ac:dyDescent="0.55000000000000004">
      <c r="A648" s="1" t="s">
        <v>1665</v>
      </c>
      <c r="B648" s="2">
        <f>COUNTIF(A:A,A648)-1</f>
        <v>3</v>
      </c>
      <c r="C648" s="2">
        <f>COUNTIF(A$1:A648,A648)-1</f>
        <v>1</v>
      </c>
      <c r="D648" s="2" t="str">
        <f>Argument!D648</f>
        <v>v</v>
      </c>
      <c r="E648" s="2" t="str">
        <f t="shared" si="20"/>
        <v/>
      </c>
      <c r="F648" s="2" t="str">
        <f>IF(C648=0,ISTEXT(FORMULA.CONVERT("="&amp;A648&amp;"("&amp;REPLACE(REPT(",#ref!",B648),1,1,"")&amp;")()",1)),"")</f>
        <v/>
      </c>
      <c r="G648" s="2">
        <f>TYPE(FINDB({1},IF(1,1),IF(1,1)))</f>
        <v>64</v>
      </c>
      <c r="H648" s="2" t="str">
        <f t="shared" si="21"/>
        <v/>
      </c>
      <c r="I648" s="2">
        <f>TYPE(FINDB(IF(1,1),IF(1,1),IF(1,1)))</f>
        <v>1</v>
      </c>
      <c r="J648" s="2" t="str">
        <f>IF(C648=0,COUNTIFS(A:A,A648,D:D,"a"),"")</f>
        <v/>
      </c>
      <c r="K648" s="2" t="e">
        <f>INDEX(+FINDB(K648:L648,#REF!,#REF!),)</f>
        <v>#REF!</v>
      </c>
      <c r="L648" s="1">
        <v>1</v>
      </c>
      <c r="M648" s="2" t="e">
        <f>INDEX(+FINDB(INDIRECT(M648:N648),#REF!,#REF!),)</f>
        <v>#REF!</v>
      </c>
      <c r="N648" s="1">
        <v>1</v>
      </c>
    </row>
    <row r="649" spans="1:14" x14ac:dyDescent="0.55000000000000004">
      <c r="A649" s="1" t="s">
        <v>1665</v>
      </c>
      <c r="B649" s="2">
        <f>COUNTIF(A:A,A649)-1</f>
        <v>3</v>
      </c>
      <c r="C649" s="2">
        <f>COUNTIF(A$1:A649,A649)-1</f>
        <v>2</v>
      </c>
      <c r="D649" s="2" t="str">
        <f>Argument!D649</f>
        <v>v</v>
      </c>
      <c r="E649" s="2" t="str">
        <f t="shared" si="20"/>
        <v/>
      </c>
      <c r="F649" s="2" t="str">
        <f>IF(C649=0,ISTEXT(FORMULA.CONVERT("="&amp;A649&amp;"("&amp;REPLACE(REPT(",#ref!",B649),1,1,"")&amp;")()",1)),"")</f>
        <v/>
      </c>
      <c r="G649" s="2">
        <f>TYPE(FINDB(IF(1,1),{1},IF(1,1)))</f>
        <v>64</v>
      </c>
      <c r="H649" s="2" t="str">
        <f t="shared" si="21"/>
        <v/>
      </c>
      <c r="I649" s="2">
        <f>TYPE(FINDB(IF(1,1),IF(1,1),IF(1,1)))</f>
        <v>1</v>
      </c>
      <c r="J649" s="2" t="str">
        <f>IF(C649=0,COUNTIFS(A:A,A649,D:D,"a"),"")</f>
        <v/>
      </c>
      <c r="K649" s="2" t="e">
        <f>INDEX(+FINDB(#REF!,K649:L649,#REF!),)</f>
        <v>#REF!</v>
      </c>
      <c r="L649" s="1">
        <v>1</v>
      </c>
      <c r="M649" s="2" t="e">
        <f>INDEX(+FINDB(#REF!,INDIRECT(M649:N649),#REF!),)</f>
        <v>#REF!</v>
      </c>
      <c r="N649" s="1">
        <v>1</v>
      </c>
    </row>
    <row r="650" spans="1:14" x14ac:dyDescent="0.55000000000000004">
      <c r="A650" s="1" t="s">
        <v>1665</v>
      </c>
      <c r="B650" s="2">
        <f>COUNTIF(A:A,A650)-1</f>
        <v>3</v>
      </c>
      <c r="C650" s="2">
        <f>COUNTIF(A$1:A650,A650)-1</f>
        <v>3</v>
      </c>
      <c r="D650" s="2" t="str">
        <f>Argument!D650</f>
        <v>v</v>
      </c>
      <c r="E650" s="2" t="str">
        <f t="shared" si="20"/>
        <v/>
      </c>
      <c r="F650" s="2" t="str">
        <f>IF(C650=0,ISTEXT(FORMULA.CONVERT("="&amp;A650&amp;"("&amp;REPLACE(REPT(",#ref!",B650),1,1,"")&amp;")()",1)),"")</f>
        <v/>
      </c>
      <c r="G650" s="2">
        <f>TYPE(FINDB(IF(1,1),IF(1,1),{1}))</f>
        <v>64</v>
      </c>
      <c r="H650" s="2" t="str">
        <f t="shared" si="21"/>
        <v/>
      </c>
      <c r="I650" s="2">
        <f>TYPE(FINDB(IF(1,1),IF(1,1),IF(1,1)))</f>
        <v>1</v>
      </c>
      <c r="J650" s="2" t="str">
        <f>IF(C650=0,COUNTIFS(A:A,A650,D:D,"a"),"")</f>
        <v/>
      </c>
      <c r="K650" s="2" t="e">
        <f>INDEX(+FINDB(#REF!,#REF!,K650:L650),)</f>
        <v>#REF!</v>
      </c>
      <c r="L650" s="1">
        <v>1</v>
      </c>
      <c r="M650" s="2" t="e">
        <f>INDEX(+FINDB(#REF!,#REF!,INDIRECT(M650:N650)),)</f>
        <v>#REF!</v>
      </c>
      <c r="N650" s="1">
        <v>1</v>
      </c>
    </row>
    <row r="651" spans="1:14" x14ac:dyDescent="0.55000000000000004">
      <c r="A651" s="1" t="s">
        <v>1666</v>
      </c>
      <c r="B651" s="2">
        <f>COUNTIF(A:A,A651)-1</f>
        <v>3</v>
      </c>
      <c r="C651" s="2">
        <f>COUNTIF(A$1:A651,A651)-1</f>
        <v>0</v>
      </c>
      <c r="D651" s="2" t="str">
        <f>Argument!D651</f>
        <v/>
      </c>
      <c r="E651" s="2" t="str">
        <f t="shared" si="20"/>
        <v>v</v>
      </c>
      <c r="F651" s="2" t="b">
        <f>IF(C651=0,ISTEXT(FORMULA.CONVERT("="&amp;A651&amp;"("&amp;REPLACE(REPT(",#ref!",B651),1,1,"")&amp;")()",1)),"")</f>
        <v>0</v>
      </c>
      <c r="G651" s="2"/>
      <c r="H651" s="2" t="str">
        <f t="shared" si="21"/>
        <v/>
      </c>
      <c r="I651" s="2">
        <f>TYPE(SEARCHB(IF(1,1),IF(1,1),IF(1,1)))</f>
        <v>1</v>
      </c>
      <c r="J651" s="2">
        <f>IF(C651=0,COUNTIFS(A:A,A651,D:D,"a"),"")</f>
        <v>0</v>
      </c>
      <c r="K651" s="2"/>
      <c r="M651" s="2"/>
    </row>
    <row r="652" spans="1:14" x14ac:dyDescent="0.55000000000000004">
      <c r="A652" s="1" t="s">
        <v>1666</v>
      </c>
      <c r="B652" s="2">
        <f>COUNTIF(A:A,A652)-1</f>
        <v>3</v>
      </c>
      <c r="C652" s="2">
        <f>COUNTIF(A$1:A652,A652)-1</f>
        <v>1</v>
      </c>
      <c r="D652" s="2" t="str">
        <f>Argument!D652</f>
        <v>v</v>
      </c>
      <c r="E652" s="2" t="str">
        <f t="shared" si="20"/>
        <v/>
      </c>
      <c r="F652" s="2" t="str">
        <f>IF(C652=0,ISTEXT(FORMULA.CONVERT("="&amp;A652&amp;"("&amp;REPLACE(REPT(",#ref!",B652),1,1,"")&amp;")()",1)),"")</f>
        <v/>
      </c>
      <c r="G652" s="2">
        <f>TYPE(SEARCHB({1},IF(1,1),IF(1,1)))</f>
        <v>64</v>
      </c>
      <c r="H652" s="2" t="str">
        <f t="shared" si="21"/>
        <v/>
      </c>
      <c r="I652" s="2">
        <f>TYPE(SEARCHB(IF(1,1),IF(1,1),IF(1,1)))</f>
        <v>1</v>
      </c>
      <c r="J652" s="2" t="str">
        <f>IF(C652=0,COUNTIFS(A:A,A652,D:D,"a"),"")</f>
        <v/>
      </c>
      <c r="K652" s="2" t="e">
        <f>INDEX(+SEARCHB(K652:L652,#REF!,#REF!),)</f>
        <v>#REF!</v>
      </c>
      <c r="L652" s="1">
        <v>1</v>
      </c>
      <c r="M652" s="2" t="e">
        <f>INDEX(+SEARCHB(INDIRECT(M652:N652),#REF!,#REF!),)</f>
        <v>#REF!</v>
      </c>
      <c r="N652" s="1">
        <v>1</v>
      </c>
    </row>
    <row r="653" spans="1:14" x14ac:dyDescent="0.55000000000000004">
      <c r="A653" s="1" t="s">
        <v>1666</v>
      </c>
      <c r="B653" s="2">
        <f>COUNTIF(A:A,A653)-1</f>
        <v>3</v>
      </c>
      <c r="C653" s="2">
        <f>COUNTIF(A$1:A653,A653)-1</f>
        <v>2</v>
      </c>
      <c r="D653" s="2" t="str">
        <f>Argument!D653</f>
        <v>v</v>
      </c>
      <c r="E653" s="2" t="str">
        <f t="shared" si="20"/>
        <v/>
      </c>
      <c r="F653" s="2" t="str">
        <f>IF(C653=0,ISTEXT(FORMULA.CONVERT("="&amp;A653&amp;"("&amp;REPLACE(REPT(",#ref!",B653),1,1,"")&amp;")()",1)),"")</f>
        <v/>
      </c>
      <c r="G653" s="2">
        <f>TYPE(SEARCHB(IF(1,1),{1},IF(1,1)))</f>
        <v>64</v>
      </c>
      <c r="H653" s="2" t="str">
        <f t="shared" si="21"/>
        <v/>
      </c>
      <c r="I653" s="2">
        <f>TYPE(SEARCHB(IF(1,1),IF(1,1),IF(1,1)))</f>
        <v>1</v>
      </c>
      <c r="J653" s="2" t="str">
        <f>IF(C653=0,COUNTIFS(A:A,A653,D:D,"a"),"")</f>
        <v/>
      </c>
      <c r="K653" s="2" t="e">
        <f>INDEX(+SEARCHB(#REF!,K653:L653,#REF!),)</f>
        <v>#REF!</v>
      </c>
      <c r="L653" s="1">
        <v>1</v>
      </c>
      <c r="M653" s="2" t="e">
        <f>INDEX(+SEARCHB(#REF!,INDIRECT(M653:N653),#REF!),)</f>
        <v>#REF!</v>
      </c>
      <c r="N653" s="1">
        <v>1</v>
      </c>
    </row>
    <row r="654" spans="1:14" x14ac:dyDescent="0.55000000000000004">
      <c r="A654" s="1" t="s">
        <v>1666</v>
      </c>
      <c r="B654" s="2">
        <f>COUNTIF(A:A,A654)-1</f>
        <v>3</v>
      </c>
      <c r="C654" s="2">
        <f>COUNTIF(A$1:A654,A654)-1</f>
        <v>3</v>
      </c>
      <c r="D654" s="2" t="str">
        <f>Argument!D654</f>
        <v>v</v>
      </c>
      <c r="E654" s="2" t="str">
        <f t="shared" si="20"/>
        <v/>
      </c>
      <c r="F654" s="2" t="str">
        <f>IF(C654=0,ISTEXT(FORMULA.CONVERT("="&amp;A654&amp;"("&amp;REPLACE(REPT(",#ref!",B654),1,1,"")&amp;")()",1)),"")</f>
        <v/>
      </c>
      <c r="G654" s="2">
        <f>TYPE(SEARCHB(IF(1,1),IF(1,1),{1}))</f>
        <v>64</v>
      </c>
      <c r="H654" s="2" t="str">
        <f t="shared" si="21"/>
        <v/>
      </c>
      <c r="I654" s="2">
        <f>TYPE(SEARCHB(IF(1,1),IF(1,1),IF(1,1)))</f>
        <v>1</v>
      </c>
      <c r="J654" s="2" t="str">
        <f>IF(C654=0,COUNTIFS(A:A,A654,D:D,"a"),"")</f>
        <v/>
      </c>
      <c r="K654" s="2" t="e">
        <f>INDEX(+SEARCHB(#REF!,#REF!,K654:L654),)</f>
        <v>#REF!</v>
      </c>
      <c r="L654" s="1">
        <v>1</v>
      </c>
      <c r="M654" s="2" t="e">
        <f>INDEX(+SEARCHB(#REF!,#REF!,INDIRECT(M654:N654)),)</f>
        <v>#REF!</v>
      </c>
      <c r="N654" s="1">
        <v>1</v>
      </c>
    </row>
    <row r="655" spans="1:14" x14ac:dyDescent="0.55000000000000004">
      <c r="A655" s="1" t="s">
        <v>1667</v>
      </c>
      <c r="B655" s="2">
        <f>COUNTIF(A:A,A655)-1</f>
        <v>4</v>
      </c>
      <c r="C655" s="2">
        <f>COUNTIF(A$1:A655,A655)-1</f>
        <v>0</v>
      </c>
      <c r="D655" s="2" t="str">
        <f>Argument!D655</f>
        <v/>
      </c>
      <c r="E655" s="2" t="str">
        <f t="shared" si="20"/>
        <v>v</v>
      </c>
      <c r="F655" s="2" t="b">
        <f>IF(C655=0,ISTEXT(FORMULA.CONVERT("="&amp;A655&amp;"("&amp;REPLACE(REPT(",#ref!",B655),1,1,"")&amp;")()",1)),"")</f>
        <v>0</v>
      </c>
      <c r="G655" s="2"/>
      <c r="H655" s="2" t="str">
        <f t="shared" si="21"/>
        <v/>
      </c>
      <c r="I655" s="2">
        <f>TYPE(REPLACEB(IF(1,1),IF(1,1),IF(1,1),IF(1,1)))</f>
        <v>2</v>
      </c>
      <c r="J655" s="2">
        <f>IF(C655=0,COUNTIFS(A:A,A655,D:D,"a"),"")</f>
        <v>0</v>
      </c>
      <c r="K655" s="2"/>
      <c r="M655" s="2"/>
    </row>
    <row r="656" spans="1:14" x14ac:dyDescent="0.55000000000000004">
      <c r="A656" s="1" t="s">
        <v>1667</v>
      </c>
      <c r="B656" s="2">
        <f>COUNTIF(A:A,A656)-1</f>
        <v>4</v>
      </c>
      <c r="C656" s="2">
        <f>COUNTIF(A$1:A656,A656)-1</f>
        <v>1</v>
      </c>
      <c r="D656" s="2" t="str">
        <f>Argument!D656</f>
        <v>v</v>
      </c>
      <c r="E656" s="2" t="str">
        <f t="shared" si="20"/>
        <v/>
      </c>
      <c r="F656" s="2" t="str">
        <f>IF(C656=0,ISTEXT(FORMULA.CONVERT("="&amp;A656&amp;"("&amp;REPLACE(REPT(",#ref!",B656),1,1,"")&amp;")()",1)),"")</f>
        <v/>
      </c>
      <c r="G656" s="2">
        <f>TYPE(REPLACEB({1},IF(1,1),IF(1,1),IF(1,1)))</f>
        <v>64</v>
      </c>
      <c r="H656" s="2" t="str">
        <f t="shared" si="21"/>
        <v/>
      </c>
      <c r="I656" s="2">
        <f>TYPE(REPLACEB(IF(1,1),IF(1,1),IF(1,1),IF(1,1)))</f>
        <v>2</v>
      </c>
      <c r="J656" s="2" t="str">
        <f>IF(C656=0,COUNTIFS(A:A,A656,D:D,"a"),"")</f>
        <v/>
      </c>
      <c r="K656" s="2" t="e">
        <f>INDEX(+REPLACEB(K656:L656,#REF!,#REF!,#REF!),)</f>
        <v>#REF!</v>
      </c>
      <c r="L656" s="1">
        <v>1</v>
      </c>
      <c r="M656" s="2" t="e">
        <f>INDEX(+REPLACEB(INDIRECT(M656:N656),#REF!,#REF!,#REF!),)</f>
        <v>#REF!</v>
      </c>
      <c r="N656" s="1">
        <v>1</v>
      </c>
    </row>
    <row r="657" spans="1:14" x14ac:dyDescent="0.55000000000000004">
      <c r="A657" s="1" t="s">
        <v>1667</v>
      </c>
      <c r="B657" s="2">
        <f>COUNTIF(A:A,A657)-1</f>
        <v>4</v>
      </c>
      <c r="C657" s="2">
        <f>COUNTIF(A$1:A657,A657)-1</f>
        <v>2</v>
      </c>
      <c r="D657" s="2" t="str">
        <f>Argument!D657</f>
        <v>v</v>
      </c>
      <c r="E657" s="2" t="str">
        <f t="shared" si="20"/>
        <v/>
      </c>
      <c r="F657" s="2" t="str">
        <f>IF(C657=0,ISTEXT(FORMULA.CONVERT("="&amp;A657&amp;"("&amp;REPLACE(REPT(",#ref!",B657),1,1,"")&amp;")()",1)),"")</f>
        <v/>
      </c>
      <c r="G657" s="2">
        <f>TYPE(REPLACEB(IF(1,1),{1},IF(1,1),IF(1,1)))</f>
        <v>64</v>
      </c>
      <c r="H657" s="2" t="str">
        <f t="shared" si="21"/>
        <v/>
      </c>
      <c r="I657" s="2">
        <f>TYPE(REPLACEB(IF(1,1),IF(1,1),IF(1,1),IF(1,1)))</f>
        <v>2</v>
      </c>
      <c r="J657" s="2" t="str">
        <f>IF(C657=0,COUNTIFS(A:A,A657,D:D,"a"),"")</f>
        <v/>
      </c>
      <c r="K657" s="2" t="e">
        <f>INDEX(+REPLACEB(#REF!,K657:L657,#REF!,#REF!),)</f>
        <v>#REF!</v>
      </c>
      <c r="L657" s="1">
        <v>1</v>
      </c>
      <c r="M657" s="2" t="e">
        <f>INDEX(+REPLACEB(#REF!,INDIRECT(M657:N657),#REF!,#REF!),)</f>
        <v>#REF!</v>
      </c>
      <c r="N657" s="1">
        <v>1</v>
      </c>
    </row>
    <row r="658" spans="1:14" x14ac:dyDescent="0.55000000000000004">
      <c r="A658" s="1" t="s">
        <v>1667</v>
      </c>
      <c r="B658" s="2">
        <f>COUNTIF(A:A,A658)-1</f>
        <v>4</v>
      </c>
      <c r="C658" s="2">
        <f>COUNTIF(A$1:A658,A658)-1</f>
        <v>3</v>
      </c>
      <c r="D658" s="2" t="str">
        <f>Argument!D658</f>
        <v>v</v>
      </c>
      <c r="E658" s="2" t="str">
        <f t="shared" si="20"/>
        <v/>
      </c>
      <c r="F658" s="2" t="str">
        <f>IF(C658=0,ISTEXT(FORMULA.CONVERT("="&amp;A658&amp;"("&amp;REPLACE(REPT(",#ref!",B658),1,1,"")&amp;")()",1)),"")</f>
        <v/>
      </c>
      <c r="G658" s="2">
        <f>TYPE(REPLACEB(IF(1,1),IF(1,1),{1},IF(1,1)))</f>
        <v>64</v>
      </c>
      <c r="H658" s="2" t="str">
        <f t="shared" si="21"/>
        <v/>
      </c>
      <c r="I658" s="2">
        <f>TYPE(REPLACEB(IF(1,1),IF(1,1),IF(1,1),IF(1,1)))</f>
        <v>2</v>
      </c>
      <c r="J658" s="2" t="str">
        <f>IF(C658=0,COUNTIFS(A:A,A658,D:D,"a"),"")</f>
        <v/>
      </c>
      <c r="K658" s="2" t="e">
        <f>INDEX(+REPLACEB(#REF!,#REF!,K658:L658,#REF!),)</f>
        <v>#REF!</v>
      </c>
      <c r="L658" s="1">
        <v>1</v>
      </c>
      <c r="M658" s="2" t="e">
        <f>INDEX(+REPLACEB(#REF!,#REF!,INDIRECT(M658:N658),#REF!),)</f>
        <v>#REF!</v>
      </c>
      <c r="N658" s="1">
        <v>1</v>
      </c>
    </row>
    <row r="659" spans="1:14" x14ac:dyDescent="0.55000000000000004">
      <c r="A659" s="1" t="s">
        <v>1667</v>
      </c>
      <c r="B659" s="2">
        <f>COUNTIF(A:A,A659)-1</f>
        <v>4</v>
      </c>
      <c r="C659" s="2">
        <f>COUNTIF(A$1:A659,A659)-1</f>
        <v>4</v>
      </c>
      <c r="D659" s="2" t="str">
        <f>Argument!D659</f>
        <v>v</v>
      </c>
      <c r="E659" s="2" t="str">
        <f t="shared" si="20"/>
        <v/>
      </c>
      <c r="F659" s="2" t="str">
        <f>IF(C659=0,ISTEXT(FORMULA.CONVERT("="&amp;A659&amp;"("&amp;REPLACE(REPT(",#ref!",B659),1,1,"")&amp;")()",1)),"")</f>
        <v/>
      </c>
      <c r="G659" s="2">
        <f>TYPE(REPLACEB(IF(1,1),IF(1,1),IF(1,1),{1}))</f>
        <v>64</v>
      </c>
      <c r="H659" s="2" t="str">
        <f t="shared" si="21"/>
        <v/>
      </c>
      <c r="I659" s="2">
        <f>TYPE(REPLACEB(IF(1,1),IF(1,1),IF(1,1),IF(1,1)))</f>
        <v>2</v>
      </c>
      <c r="J659" s="2" t="str">
        <f>IF(C659=0,COUNTIFS(A:A,A659,D:D,"a"),"")</f>
        <v/>
      </c>
      <c r="K659" s="2" t="e">
        <f>INDEX(+REPLACEB(#REF!,#REF!,#REF!,K659:L659),)</f>
        <v>#REF!</v>
      </c>
      <c r="L659" s="1">
        <v>1</v>
      </c>
      <c r="M659" s="2" t="e">
        <f>INDEX(+REPLACEB(#REF!,#REF!,#REF!,INDIRECT(M659:N659)),)</f>
        <v>#REF!</v>
      </c>
      <c r="N659" s="1">
        <v>1</v>
      </c>
    </row>
    <row r="660" spans="1:14" x14ac:dyDescent="0.55000000000000004">
      <c r="A660" s="1" t="s">
        <v>1668</v>
      </c>
      <c r="B660" s="2">
        <f>COUNTIF(A:A,A660)-1</f>
        <v>2</v>
      </c>
      <c r="C660" s="2">
        <f>COUNTIF(A$1:A660,A660)-1</f>
        <v>0</v>
      </c>
      <c r="D660" s="2" t="str">
        <f>Argument!D660</f>
        <v/>
      </c>
      <c r="E660" s="2" t="str">
        <f t="shared" si="20"/>
        <v>v</v>
      </c>
      <c r="F660" s="2" t="b">
        <f>IF(C660=0,ISTEXT(FORMULA.CONVERT("="&amp;A660&amp;"("&amp;REPLACE(REPT(",#ref!",B660),1,1,"")&amp;")()",1)),"")</f>
        <v>0</v>
      </c>
      <c r="G660" s="2"/>
      <c r="H660" s="2" t="str">
        <f t="shared" si="21"/>
        <v/>
      </c>
      <c r="I660" s="2">
        <f>TYPE(LEFTB(IF(1,1),IF(1,1)))</f>
        <v>2</v>
      </c>
      <c r="J660" s="2">
        <f>IF(C660=0,COUNTIFS(A:A,A660,D:D,"a"),"")</f>
        <v>0</v>
      </c>
      <c r="K660" s="2"/>
      <c r="M660" s="2"/>
    </row>
    <row r="661" spans="1:14" x14ac:dyDescent="0.55000000000000004">
      <c r="A661" s="1" t="s">
        <v>1668</v>
      </c>
      <c r="B661" s="2">
        <f>COUNTIF(A:A,A661)-1</f>
        <v>2</v>
      </c>
      <c r="C661" s="2">
        <f>COUNTIF(A$1:A661,A661)-1</f>
        <v>1</v>
      </c>
      <c r="D661" s="2" t="str">
        <f>Argument!D661</f>
        <v>v</v>
      </c>
      <c r="E661" s="2" t="str">
        <f t="shared" si="20"/>
        <v/>
      </c>
      <c r="F661" s="2" t="str">
        <f>IF(C661=0,ISTEXT(FORMULA.CONVERT("="&amp;A661&amp;"("&amp;REPLACE(REPT(",#ref!",B661),1,1,"")&amp;")()",1)),"")</f>
        <v/>
      </c>
      <c r="G661" s="2">
        <f>TYPE(LEFTB({1},IF(1,1)))</f>
        <v>64</v>
      </c>
      <c r="H661" s="2" t="str">
        <f t="shared" si="21"/>
        <v/>
      </c>
      <c r="I661" s="2">
        <f>TYPE(LEFTB(IF(1,1),IF(1,1)))</f>
        <v>2</v>
      </c>
      <c r="J661" s="2" t="str">
        <f>IF(C661=0,COUNTIFS(A:A,A661,D:D,"a"),"")</f>
        <v/>
      </c>
      <c r="K661" s="2" t="e">
        <f>INDEX(+LEFTB(K661:L661,#REF!),)</f>
        <v>#REF!</v>
      </c>
      <c r="L661" s="1">
        <v>1</v>
      </c>
      <c r="M661" s="2" t="e">
        <f>INDEX(+LEFTB(INDIRECT(M661:N661),#REF!),)</f>
        <v>#REF!</v>
      </c>
      <c r="N661" s="1">
        <v>1</v>
      </c>
    </row>
    <row r="662" spans="1:14" x14ac:dyDescent="0.55000000000000004">
      <c r="A662" s="1" t="s">
        <v>1668</v>
      </c>
      <c r="B662" s="2">
        <f>COUNTIF(A:A,A662)-1</f>
        <v>2</v>
      </c>
      <c r="C662" s="2">
        <f>COUNTIF(A$1:A662,A662)-1</f>
        <v>2</v>
      </c>
      <c r="D662" s="2" t="str">
        <f>Argument!D662</f>
        <v>v</v>
      </c>
      <c r="E662" s="2" t="str">
        <f t="shared" si="20"/>
        <v/>
      </c>
      <c r="F662" s="2" t="str">
        <f>IF(C662=0,ISTEXT(FORMULA.CONVERT("="&amp;A662&amp;"("&amp;REPLACE(REPT(",#ref!",B662),1,1,"")&amp;")()",1)),"")</f>
        <v/>
      </c>
      <c r="G662" s="2">
        <f>TYPE(LEFTB(IF(1,1),{1}))</f>
        <v>64</v>
      </c>
      <c r="H662" s="2" t="str">
        <f t="shared" si="21"/>
        <v/>
      </c>
      <c r="I662" s="2">
        <f>TYPE(LEFTB(IF(1,1),IF(1,1)))</f>
        <v>2</v>
      </c>
      <c r="J662" s="2" t="str">
        <f>IF(C662=0,COUNTIFS(A:A,A662,D:D,"a"),"")</f>
        <v/>
      </c>
      <c r="K662" s="2" t="e">
        <f>INDEX(+LEFTB(#REF!,K662:L662),)</f>
        <v>#REF!</v>
      </c>
      <c r="L662" s="1">
        <v>1</v>
      </c>
      <c r="M662" s="2" t="e">
        <f>INDEX(+LEFTB(#REF!,INDIRECT(M662:N662)),)</f>
        <v>#REF!</v>
      </c>
      <c r="N662" s="1">
        <v>1</v>
      </c>
    </row>
    <row r="663" spans="1:14" x14ac:dyDescent="0.55000000000000004">
      <c r="A663" s="1" t="s">
        <v>1669</v>
      </c>
      <c r="B663" s="2">
        <f>COUNTIF(A:A,A663)-1</f>
        <v>2</v>
      </c>
      <c r="C663" s="2">
        <f>COUNTIF(A$1:A663,A663)-1</f>
        <v>0</v>
      </c>
      <c r="D663" s="2" t="str">
        <f>Argument!D663</f>
        <v/>
      </c>
      <c r="E663" s="2" t="str">
        <f t="shared" si="20"/>
        <v>v</v>
      </c>
      <c r="F663" s="2" t="b">
        <f>IF(C663=0,ISTEXT(FORMULA.CONVERT("="&amp;A663&amp;"("&amp;REPLACE(REPT(",#ref!",B663),1,1,"")&amp;")()",1)),"")</f>
        <v>0</v>
      </c>
      <c r="G663" s="2"/>
      <c r="H663" s="2" t="str">
        <f t="shared" si="21"/>
        <v/>
      </c>
      <c r="I663" s="2">
        <f>TYPE(RIGHTB(IF(1,1),IF(1,1)))</f>
        <v>2</v>
      </c>
      <c r="J663" s="2">
        <f>IF(C663=0,COUNTIFS(A:A,A663,D:D,"a"),"")</f>
        <v>0</v>
      </c>
      <c r="K663" s="2"/>
      <c r="M663" s="2"/>
    </row>
    <row r="664" spans="1:14" x14ac:dyDescent="0.55000000000000004">
      <c r="A664" s="1" t="s">
        <v>1669</v>
      </c>
      <c r="B664" s="2">
        <f>COUNTIF(A:A,A664)-1</f>
        <v>2</v>
      </c>
      <c r="C664" s="2">
        <f>COUNTIF(A$1:A664,A664)-1</f>
        <v>1</v>
      </c>
      <c r="D664" s="2" t="str">
        <f>Argument!D664</f>
        <v>v</v>
      </c>
      <c r="E664" s="2" t="str">
        <f t="shared" si="20"/>
        <v/>
      </c>
      <c r="F664" s="2" t="str">
        <f>IF(C664=0,ISTEXT(FORMULA.CONVERT("="&amp;A664&amp;"("&amp;REPLACE(REPT(",#ref!",B664),1,1,"")&amp;")()",1)),"")</f>
        <v/>
      </c>
      <c r="G664" s="2">
        <f>TYPE(RIGHTB({1},IF(1,1)))</f>
        <v>64</v>
      </c>
      <c r="H664" s="2" t="str">
        <f t="shared" si="21"/>
        <v/>
      </c>
      <c r="I664" s="2">
        <f>TYPE(RIGHTB(IF(1,1),IF(1,1)))</f>
        <v>2</v>
      </c>
      <c r="J664" s="2" t="str">
        <f>IF(C664=0,COUNTIFS(A:A,A664,D:D,"a"),"")</f>
        <v/>
      </c>
      <c r="K664" s="2" t="e">
        <f>INDEX(+RIGHTB(K664:L664,#REF!),)</f>
        <v>#REF!</v>
      </c>
      <c r="L664" s="1">
        <v>1</v>
      </c>
      <c r="M664" s="2" t="e">
        <f>INDEX(+RIGHTB(INDIRECT(M664:N664),#REF!),)</f>
        <v>#REF!</v>
      </c>
      <c r="N664" s="1">
        <v>1</v>
      </c>
    </row>
    <row r="665" spans="1:14" x14ac:dyDescent="0.55000000000000004">
      <c r="A665" s="1" t="s">
        <v>1669</v>
      </c>
      <c r="B665" s="2">
        <f>COUNTIF(A:A,A665)-1</f>
        <v>2</v>
      </c>
      <c r="C665" s="2">
        <f>COUNTIF(A$1:A665,A665)-1</f>
        <v>2</v>
      </c>
      <c r="D665" s="2" t="str">
        <f>Argument!D665</f>
        <v>v</v>
      </c>
      <c r="E665" s="2" t="str">
        <f t="shared" si="20"/>
        <v/>
      </c>
      <c r="F665" s="2" t="str">
        <f>IF(C665=0,ISTEXT(FORMULA.CONVERT("="&amp;A665&amp;"("&amp;REPLACE(REPT(",#ref!",B665),1,1,"")&amp;")()",1)),"")</f>
        <v/>
      </c>
      <c r="G665" s="2">
        <f>TYPE(RIGHTB(IF(1,1),{1}))</f>
        <v>64</v>
      </c>
      <c r="H665" s="2" t="str">
        <f t="shared" si="21"/>
        <v/>
      </c>
      <c r="I665" s="2">
        <f>TYPE(RIGHTB(IF(1,1),IF(1,1)))</f>
        <v>2</v>
      </c>
      <c r="J665" s="2" t="str">
        <f>IF(C665=0,COUNTIFS(A:A,A665,D:D,"a"),"")</f>
        <v/>
      </c>
      <c r="K665" s="2" t="e">
        <f>INDEX(+RIGHTB(#REF!,K665:L665),)</f>
        <v>#REF!</v>
      </c>
      <c r="L665" s="1">
        <v>1</v>
      </c>
      <c r="M665" s="2" t="e">
        <f>INDEX(+RIGHTB(#REF!,INDIRECT(M665:N665)),)</f>
        <v>#REF!</v>
      </c>
      <c r="N665" s="1">
        <v>1</v>
      </c>
    </row>
    <row r="666" spans="1:14" x14ac:dyDescent="0.55000000000000004">
      <c r="A666" s="1" t="s">
        <v>1670</v>
      </c>
      <c r="B666" s="2">
        <f>COUNTIF(A:A,A666)-1</f>
        <v>3</v>
      </c>
      <c r="C666" s="2">
        <f>COUNTIF(A$1:A666,A666)-1</f>
        <v>0</v>
      </c>
      <c r="D666" s="2" t="str">
        <f>Argument!D666</f>
        <v/>
      </c>
      <c r="E666" s="2" t="str">
        <f t="shared" si="20"/>
        <v>v</v>
      </c>
      <c r="F666" s="2" t="b">
        <f>IF(C666=0,ISTEXT(FORMULA.CONVERT("="&amp;A666&amp;"("&amp;REPLACE(REPT(",#ref!",B666),1,1,"")&amp;")()",1)),"")</f>
        <v>0</v>
      </c>
      <c r="G666" s="2"/>
      <c r="H666" s="2" t="str">
        <f t="shared" si="21"/>
        <v/>
      </c>
      <c r="I666" s="2">
        <f>TYPE(MIDB(IF(1,1),IF(1,1),IF(1,1)))</f>
        <v>2</v>
      </c>
      <c r="J666" s="2">
        <f>IF(C666=0,COUNTIFS(A:A,A666,D:D,"a"),"")</f>
        <v>0</v>
      </c>
      <c r="K666" s="2"/>
      <c r="M666" s="2"/>
    </row>
    <row r="667" spans="1:14" x14ac:dyDescent="0.55000000000000004">
      <c r="A667" s="1" t="s">
        <v>1670</v>
      </c>
      <c r="B667" s="2">
        <f>COUNTIF(A:A,A667)-1</f>
        <v>3</v>
      </c>
      <c r="C667" s="2">
        <f>COUNTIF(A$1:A667,A667)-1</f>
        <v>1</v>
      </c>
      <c r="D667" s="2" t="str">
        <f>Argument!D667</f>
        <v>v</v>
      </c>
      <c r="E667" s="2" t="str">
        <f t="shared" si="20"/>
        <v/>
      </c>
      <c r="F667" s="2" t="str">
        <f>IF(C667=0,ISTEXT(FORMULA.CONVERT("="&amp;A667&amp;"("&amp;REPLACE(REPT(",#ref!",B667),1,1,"")&amp;")()",1)),"")</f>
        <v/>
      </c>
      <c r="G667" s="2">
        <f>TYPE(MIDB({1},IF(1,1),IF(1,1)))</f>
        <v>64</v>
      </c>
      <c r="H667" s="2" t="str">
        <f t="shared" si="21"/>
        <v/>
      </c>
      <c r="I667" s="2">
        <f>TYPE(MIDB(IF(1,1),IF(1,1),IF(1,1)))</f>
        <v>2</v>
      </c>
      <c r="J667" s="2" t="str">
        <f>IF(C667=0,COUNTIFS(A:A,A667,D:D,"a"),"")</f>
        <v/>
      </c>
      <c r="K667" s="2" t="e">
        <f>INDEX(+MIDB(K667:L667,#REF!,#REF!),)</f>
        <v>#REF!</v>
      </c>
      <c r="L667" s="1">
        <v>1</v>
      </c>
      <c r="M667" s="2" t="e">
        <f>INDEX(+MIDB(INDIRECT(M667:N667),#REF!,#REF!),)</f>
        <v>#REF!</v>
      </c>
      <c r="N667" s="1">
        <v>1</v>
      </c>
    </row>
    <row r="668" spans="1:14" x14ac:dyDescent="0.55000000000000004">
      <c r="A668" s="1" t="s">
        <v>1670</v>
      </c>
      <c r="B668" s="2">
        <f>COUNTIF(A:A,A668)-1</f>
        <v>3</v>
      </c>
      <c r="C668" s="2">
        <f>COUNTIF(A$1:A668,A668)-1</f>
        <v>2</v>
      </c>
      <c r="D668" s="2" t="str">
        <f>Argument!D668</f>
        <v>v</v>
      </c>
      <c r="E668" s="2" t="str">
        <f t="shared" si="20"/>
        <v/>
      </c>
      <c r="F668" s="2" t="str">
        <f>IF(C668=0,ISTEXT(FORMULA.CONVERT("="&amp;A668&amp;"("&amp;REPLACE(REPT(",#ref!",B668),1,1,"")&amp;")()",1)),"")</f>
        <v/>
      </c>
      <c r="G668" s="2">
        <f>TYPE(MIDB(IF(1,1),{1},IF(1,1)))</f>
        <v>64</v>
      </c>
      <c r="H668" s="2" t="str">
        <f t="shared" si="21"/>
        <v/>
      </c>
      <c r="I668" s="2">
        <f>TYPE(MIDB(IF(1,1),IF(1,1),IF(1,1)))</f>
        <v>2</v>
      </c>
      <c r="J668" s="2" t="str">
        <f>IF(C668=0,COUNTIFS(A:A,A668,D:D,"a"),"")</f>
        <v/>
      </c>
      <c r="K668" s="2" t="e">
        <f>INDEX(+MIDB(#REF!,K668:L668,#REF!),)</f>
        <v>#REF!</v>
      </c>
      <c r="L668" s="1">
        <v>1</v>
      </c>
      <c r="M668" s="2" t="e">
        <f>INDEX(+MIDB(#REF!,INDIRECT(M668:N668),#REF!),)</f>
        <v>#REF!</v>
      </c>
      <c r="N668" s="1">
        <v>1</v>
      </c>
    </row>
    <row r="669" spans="1:14" x14ac:dyDescent="0.55000000000000004">
      <c r="A669" s="1" t="s">
        <v>1670</v>
      </c>
      <c r="B669" s="2">
        <f>COUNTIF(A:A,A669)-1</f>
        <v>3</v>
      </c>
      <c r="C669" s="2">
        <f>COUNTIF(A$1:A669,A669)-1</f>
        <v>3</v>
      </c>
      <c r="D669" s="2" t="str">
        <f>Argument!D669</f>
        <v>v</v>
      </c>
      <c r="E669" s="2" t="str">
        <f t="shared" si="20"/>
        <v/>
      </c>
      <c r="F669" s="2" t="str">
        <f>IF(C669=0,ISTEXT(FORMULA.CONVERT("="&amp;A669&amp;"("&amp;REPLACE(REPT(",#ref!",B669),1,1,"")&amp;")()",1)),"")</f>
        <v/>
      </c>
      <c r="G669" s="2">
        <f>TYPE(MIDB(IF(1,1),IF(1,1),{1}))</f>
        <v>64</v>
      </c>
      <c r="H669" s="2" t="str">
        <f t="shared" si="21"/>
        <v/>
      </c>
      <c r="I669" s="2">
        <f>TYPE(MIDB(IF(1,1),IF(1,1),IF(1,1)))</f>
        <v>2</v>
      </c>
      <c r="J669" s="2" t="str">
        <f>IF(C669=0,COUNTIFS(A:A,A669,D:D,"a"),"")</f>
        <v/>
      </c>
      <c r="K669" s="2" t="e">
        <f>INDEX(+MIDB(#REF!,#REF!,K669:L669),)</f>
        <v>#REF!</v>
      </c>
      <c r="L669" s="1">
        <v>1</v>
      </c>
      <c r="M669" s="2" t="e">
        <f>INDEX(+MIDB(#REF!,#REF!,INDIRECT(M669:N669)),)</f>
        <v>#REF!</v>
      </c>
      <c r="N669" s="1">
        <v>1</v>
      </c>
    </row>
    <row r="670" spans="1:14" x14ac:dyDescent="0.55000000000000004">
      <c r="A670" s="1" t="s">
        <v>1671</v>
      </c>
      <c r="B670" s="2">
        <f>COUNTIF(A:A,A670)-1</f>
        <v>1</v>
      </c>
      <c r="C670" s="2">
        <f>COUNTIF(A$1:A670,A670)-1</f>
        <v>0</v>
      </c>
      <c r="D670" s="2" t="str">
        <f>Argument!D670</f>
        <v/>
      </c>
      <c r="E670" s="2" t="str">
        <f t="shared" si="20"/>
        <v>v</v>
      </c>
      <c r="F670" s="2" t="b">
        <f>IF(C670=0,ISTEXT(FORMULA.CONVERT("="&amp;A670&amp;"("&amp;REPLACE(REPT(",#ref!",B670),1,1,"")&amp;")()",1)),"")</f>
        <v>0</v>
      </c>
      <c r="G670" s="2"/>
      <c r="H670" s="2" t="str">
        <f t="shared" si="21"/>
        <v/>
      </c>
      <c r="I670" s="2">
        <f>TYPE(LENB(IF(1,1)))</f>
        <v>1</v>
      </c>
      <c r="J670" s="2">
        <f>IF(C670=0,COUNTIFS(A:A,A670,D:D,"a"),"")</f>
        <v>0</v>
      </c>
      <c r="K670" s="2"/>
      <c r="M670" s="2"/>
    </row>
    <row r="671" spans="1:14" x14ac:dyDescent="0.55000000000000004">
      <c r="A671" s="1" t="s">
        <v>1671</v>
      </c>
      <c r="B671" s="2">
        <f>COUNTIF(A:A,A671)-1</f>
        <v>1</v>
      </c>
      <c r="C671" s="2">
        <f>COUNTIF(A$1:A671,A671)-1</f>
        <v>1</v>
      </c>
      <c r="D671" s="2" t="str">
        <f>Argument!D671</f>
        <v>v</v>
      </c>
      <c r="E671" s="2" t="str">
        <f t="shared" si="20"/>
        <v/>
      </c>
      <c r="F671" s="2" t="str">
        <f>IF(C671=0,ISTEXT(FORMULA.CONVERT("="&amp;A671&amp;"("&amp;REPLACE(REPT(",#ref!",B671),1,1,"")&amp;")()",1)),"")</f>
        <v/>
      </c>
      <c r="G671" s="2">
        <f>TYPE(LENB({1}))</f>
        <v>64</v>
      </c>
      <c r="H671" s="2" t="str">
        <f t="shared" si="21"/>
        <v/>
      </c>
      <c r="I671" s="2">
        <f>TYPE(LENB(IF(1,1)))</f>
        <v>1</v>
      </c>
      <c r="J671" s="2" t="str">
        <f>IF(C671=0,COUNTIFS(A:A,A671,D:D,"a"),"")</f>
        <v/>
      </c>
      <c r="K671" s="2">
        <f>INDEX(+LENB(K671:L671),)</f>
        <v>1</v>
      </c>
      <c r="L671" s="1">
        <v>1</v>
      </c>
      <c r="M671" s="2" t="e">
        <f>INDEX(+LENB(INDIRECT(M671:N671)),)</f>
        <v>#REF!</v>
      </c>
      <c r="N671" s="1">
        <v>1</v>
      </c>
    </row>
    <row r="672" spans="1:14" x14ac:dyDescent="0.55000000000000004">
      <c r="A672" s="1" t="s">
        <v>1672</v>
      </c>
      <c r="B672" s="2">
        <f>COUNTIF(A:A,A672)-1</f>
        <v>2</v>
      </c>
      <c r="C672" s="2">
        <f>COUNTIF(A$1:A672,A672)-1</f>
        <v>0</v>
      </c>
      <c r="D672" s="2" t="str">
        <f>Argument!D672</f>
        <v/>
      </c>
      <c r="E672" s="2" t="str">
        <f t="shared" si="20"/>
        <v>v</v>
      </c>
      <c r="F672" s="2" t="b">
        <f>IF(C672=0,ISTEXT(FORMULA.CONVERT("="&amp;A672&amp;"("&amp;REPLACE(REPT(",#ref!",B672),1,1,"")&amp;")()",1)),"")</f>
        <v>0</v>
      </c>
      <c r="G672" s="2"/>
      <c r="H672" s="2" t="str">
        <f t="shared" si="21"/>
        <v/>
      </c>
      <c r="I672" s="2">
        <f>TYPE(ROUNDUP(IF(1,1),IF(1,1)))</f>
        <v>1</v>
      </c>
      <c r="J672" s="2">
        <f>IF(C672=0,COUNTIFS(A:A,A672,D:D,"a"),"")</f>
        <v>0</v>
      </c>
      <c r="K672" s="2"/>
      <c r="M672" s="2"/>
    </row>
    <row r="673" spans="1:14" x14ac:dyDescent="0.55000000000000004">
      <c r="A673" s="1" t="s">
        <v>1672</v>
      </c>
      <c r="B673" s="2">
        <f>COUNTIF(A:A,A673)-1</f>
        <v>2</v>
      </c>
      <c r="C673" s="2">
        <f>COUNTIF(A$1:A673,A673)-1</f>
        <v>1</v>
      </c>
      <c r="D673" s="2" t="str">
        <f>Argument!D673</f>
        <v>v</v>
      </c>
      <c r="E673" s="2" t="str">
        <f t="shared" si="20"/>
        <v/>
      </c>
      <c r="F673" s="2" t="str">
        <f>IF(C673=0,ISTEXT(FORMULA.CONVERT("="&amp;A673&amp;"("&amp;REPLACE(REPT(",#ref!",B673),1,1,"")&amp;")()",1)),"")</f>
        <v/>
      </c>
      <c r="G673" s="2">
        <f>TYPE(ROUNDUP({1},IF(1,1)))</f>
        <v>64</v>
      </c>
      <c r="H673" s="2" t="str">
        <f t="shared" si="21"/>
        <v/>
      </c>
      <c r="I673" s="2">
        <f>TYPE(ROUNDUP(IF(1,1),IF(1,1)))</f>
        <v>1</v>
      </c>
      <c r="J673" s="2" t="str">
        <f>IF(C673=0,COUNTIFS(A:A,A673,D:D,"a"),"")</f>
        <v/>
      </c>
      <c r="K673" s="2" t="e">
        <f>INDEX(+ROUNDUP(K673:L673,#REF!),)</f>
        <v>#REF!</v>
      </c>
      <c r="L673" s="1">
        <v>1</v>
      </c>
      <c r="M673" s="2" t="e">
        <f>INDEX(+ROUNDUP(INDIRECT(M673:N673),#REF!),)</f>
        <v>#REF!</v>
      </c>
      <c r="N673" s="1">
        <v>1</v>
      </c>
    </row>
    <row r="674" spans="1:14" x14ac:dyDescent="0.55000000000000004">
      <c r="A674" s="1" t="s">
        <v>1672</v>
      </c>
      <c r="B674" s="2">
        <f>COUNTIF(A:A,A674)-1</f>
        <v>2</v>
      </c>
      <c r="C674" s="2">
        <f>COUNTIF(A$1:A674,A674)-1</f>
        <v>2</v>
      </c>
      <c r="D674" s="2" t="str">
        <f>Argument!D674</f>
        <v>v</v>
      </c>
      <c r="E674" s="2" t="str">
        <f t="shared" si="20"/>
        <v/>
      </c>
      <c r="F674" s="2" t="str">
        <f>IF(C674=0,ISTEXT(FORMULA.CONVERT("="&amp;A674&amp;"("&amp;REPLACE(REPT(",#ref!",B674),1,1,"")&amp;")()",1)),"")</f>
        <v/>
      </c>
      <c r="G674" s="2">
        <f>TYPE(ROUNDUP(IF(1,1),{1}))</f>
        <v>64</v>
      </c>
      <c r="H674" s="2" t="str">
        <f t="shared" si="21"/>
        <v/>
      </c>
      <c r="I674" s="2">
        <f>TYPE(ROUNDUP(IF(1,1),IF(1,1)))</f>
        <v>1</v>
      </c>
      <c r="J674" s="2" t="str">
        <f>IF(C674=0,COUNTIFS(A:A,A674,D:D,"a"),"")</f>
        <v/>
      </c>
      <c r="K674" s="2" t="e">
        <f>INDEX(+ROUNDUP(#REF!,K674:L674),)</f>
        <v>#REF!</v>
      </c>
      <c r="L674" s="1">
        <v>1</v>
      </c>
      <c r="M674" s="2" t="e">
        <f>INDEX(+ROUNDUP(#REF!,INDIRECT(M674:N674)),)</f>
        <v>#REF!</v>
      </c>
      <c r="N674" s="1">
        <v>1</v>
      </c>
    </row>
    <row r="675" spans="1:14" x14ac:dyDescent="0.55000000000000004">
      <c r="A675" s="1" t="s">
        <v>1673</v>
      </c>
      <c r="B675" s="2">
        <f>COUNTIF(A:A,A675)-1</f>
        <v>2</v>
      </c>
      <c r="C675" s="2">
        <f>COUNTIF(A$1:A675,A675)-1</f>
        <v>0</v>
      </c>
      <c r="D675" s="2" t="str">
        <f>Argument!D675</f>
        <v/>
      </c>
      <c r="E675" s="2" t="str">
        <f t="shared" si="20"/>
        <v>v</v>
      </c>
      <c r="F675" s="2" t="b">
        <f>IF(C675=0,ISTEXT(FORMULA.CONVERT("="&amp;A675&amp;"("&amp;REPLACE(REPT(",#ref!",B675),1,1,"")&amp;")()",1)),"")</f>
        <v>0</v>
      </c>
      <c r="G675" s="2"/>
      <c r="H675" s="2" t="str">
        <f t="shared" si="21"/>
        <v/>
      </c>
      <c r="I675" s="2">
        <f>TYPE(ROUNDDOWN(IF(1,1),IF(1,1)))</f>
        <v>1</v>
      </c>
      <c r="J675" s="2">
        <f>IF(C675=0,COUNTIFS(A:A,A675,D:D,"a"),"")</f>
        <v>0</v>
      </c>
      <c r="K675" s="2"/>
      <c r="M675" s="2"/>
    </row>
    <row r="676" spans="1:14" x14ac:dyDescent="0.55000000000000004">
      <c r="A676" s="1" t="s">
        <v>1673</v>
      </c>
      <c r="B676" s="2">
        <f>COUNTIF(A:A,A676)-1</f>
        <v>2</v>
      </c>
      <c r="C676" s="2">
        <f>COUNTIF(A$1:A676,A676)-1</f>
        <v>1</v>
      </c>
      <c r="D676" s="2" t="str">
        <f>Argument!D676</f>
        <v>v</v>
      </c>
      <c r="E676" s="2" t="str">
        <f t="shared" si="20"/>
        <v/>
      </c>
      <c r="F676" s="2" t="str">
        <f>IF(C676=0,ISTEXT(FORMULA.CONVERT("="&amp;A676&amp;"("&amp;REPLACE(REPT(",#ref!",B676),1,1,"")&amp;")()",1)),"")</f>
        <v/>
      </c>
      <c r="G676" s="2">
        <f>TYPE(ROUNDDOWN({1},IF(1,1)))</f>
        <v>64</v>
      </c>
      <c r="H676" s="2" t="str">
        <f t="shared" si="21"/>
        <v/>
      </c>
      <c r="I676" s="2">
        <f>TYPE(ROUNDDOWN(IF(1,1),IF(1,1)))</f>
        <v>1</v>
      </c>
      <c r="J676" s="2" t="str">
        <f>IF(C676=0,COUNTIFS(A:A,A676,D:D,"a"),"")</f>
        <v/>
      </c>
      <c r="K676" s="2" t="e">
        <f>INDEX(+ROUNDDOWN(K676:L676,#REF!),)</f>
        <v>#REF!</v>
      </c>
      <c r="L676" s="1">
        <v>1</v>
      </c>
      <c r="M676" s="2" t="e">
        <f>INDEX(+ROUNDDOWN(INDIRECT(M676:N676),#REF!),)</f>
        <v>#REF!</v>
      </c>
      <c r="N676" s="1">
        <v>1</v>
      </c>
    </row>
    <row r="677" spans="1:14" x14ac:dyDescent="0.55000000000000004">
      <c r="A677" s="1" t="s">
        <v>1673</v>
      </c>
      <c r="B677" s="2">
        <f>COUNTIF(A:A,A677)-1</f>
        <v>2</v>
      </c>
      <c r="C677" s="2">
        <f>COUNTIF(A$1:A677,A677)-1</f>
        <v>2</v>
      </c>
      <c r="D677" s="2" t="str">
        <f>Argument!D677</f>
        <v>v</v>
      </c>
      <c r="E677" s="2" t="str">
        <f t="shared" si="20"/>
        <v/>
      </c>
      <c r="F677" s="2" t="str">
        <f>IF(C677=0,ISTEXT(FORMULA.CONVERT("="&amp;A677&amp;"("&amp;REPLACE(REPT(",#ref!",B677),1,1,"")&amp;")()",1)),"")</f>
        <v/>
      </c>
      <c r="G677" s="2">
        <f>TYPE(ROUNDDOWN(IF(1,1),{1}))</f>
        <v>64</v>
      </c>
      <c r="H677" s="2" t="str">
        <f t="shared" si="21"/>
        <v/>
      </c>
      <c r="I677" s="2">
        <f>TYPE(ROUNDDOWN(IF(1,1),IF(1,1)))</f>
        <v>1</v>
      </c>
      <c r="J677" s="2" t="str">
        <f>IF(C677=0,COUNTIFS(A:A,A677,D:D,"a"),"")</f>
        <v/>
      </c>
      <c r="K677" s="2" t="e">
        <f>INDEX(+ROUNDDOWN(#REF!,K677:L677),)</f>
        <v>#REF!</v>
      </c>
      <c r="L677" s="1">
        <v>1</v>
      </c>
      <c r="M677" s="2" t="e">
        <f>INDEX(+ROUNDDOWN(#REF!,INDIRECT(M677:N677)),)</f>
        <v>#REF!</v>
      </c>
      <c r="N677" s="1">
        <v>1</v>
      </c>
    </row>
    <row r="678" spans="1:14" x14ac:dyDescent="0.55000000000000004">
      <c r="A678" s="1" t="s">
        <v>1674</v>
      </c>
      <c r="B678" s="2">
        <f>COUNTIF(A:A,A678)-1</f>
        <v>1</v>
      </c>
      <c r="C678" s="2">
        <f>COUNTIF(A$1:A678,A678)-1</f>
        <v>0</v>
      </c>
      <c r="D678" s="2" t="str">
        <f>Argument!D678</f>
        <v/>
      </c>
      <c r="E678" s="2" t="str">
        <f t="shared" si="20"/>
        <v>v</v>
      </c>
      <c r="F678" s="2" t="b">
        <f>IF(C678=0,ISTEXT(FORMULA.CONVERT("="&amp;A678&amp;"("&amp;REPLACE(REPT(",#ref!",B678),1,1,"")&amp;")()",1)),"")</f>
        <v>0</v>
      </c>
      <c r="G678" s="2"/>
      <c r="H678" s="2" t="str">
        <f t="shared" si="21"/>
        <v/>
      </c>
      <c r="I678" s="2">
        <f>TYPE(ASC(IF(1,1)))</f>
        <v>2</v>
      </c>
      <c r="J678" s="2">
        <f>IF(C678=0,COUNTIFS(A:A,A678,D:D,"a"),"")</f>
        <v>0</v>
      </c>
      <c r="K678" s="2"/>
      <c r="M678" s="2"/>
    </row>
    <row r="679" spans="1:14" x14ac:dyDescent="0.55000000000000004">
      <c r="A679" s="1" t="s">
        <v>1674</v>
      </c>
      <c r="B679" s="2">
        <f>COUNTIF(A:A,A679)-1</f>
        <v>1</v>
      </c>
      <c r="C679" s="2">
        <f>COUNTIF(A$1:A679,A679)-1</f>
        <v>1</v>
      </c>
      <c r="D679" s="2" t="str">
        <f>Argument!D679</f>
        <v>v</v>
      </c>
      <c r="E679" s="2" t="str">
        <f t="shared" si="20"/>
        <v/>
      </c>
      <c r="F679" s="2" t="str">
        <f>IF(C679=0,ISTEXT(FORMULA.CONVERT("="&amp;A679&amp;"("&amp;REPLACE(REPT(",#ref!",B679),1,1,"")&amp;")()",1)),"")</f>
        <v/>
      </c>
      <c r="G679" s="2">
        <f>TYPE(ASC({1}))</f>
        <v>64</v>
      </c>
      <c r="H679" s="2" t="str">
        <f t="shared" si="21"/>
        <v/>
      </c>
      <c r="I679" s="2">
        <f>TYPE(ASC(IF(1,1)))</f>
        <v>2</v>
      </c>
      <c r="J679" s="2" t="str">
        <f>IF(C679=0,COUNTIFS(A:A,A679,D:D,"a"),"")</f>
        <v/>
      </c>
      <c r="K679" s="2" t="str">
        <f>INDEX(+ASC(K679:L679),)</f>
        <v>0</v>
      </c>
      <c r="L679" s="1">
        <v>1</v>
      </c>
      <c r="M679" s="2" t="e">
        <f>INDEX(+ASC(INDIRECT(M679:N679)),)</f>
        <v>#REF!</v>
      </c>
      <c r="N679" s="1">
        <v>1</v>
      </c>
    </row>
    <row r="680" spans="1:14" x14ac:dyDescent="0.55000000000000004">
      <c r="A680" s="1" t="s">
        <v>1675</v>
      </c>
      <c r="B680" s="2">
        <f>COUNTIF(A:A,A680)-1</f>
        <v>1</v>
      </c>
      <c r="C680" s="2">
        <f>COUNTIF(A$1:A680,A680)-1</f>
        <v>0</v>
      </c>
      <c r="D680" s="2" t="str">
        <f>Argument!D680</f>
        <v/>
      </c>
      <c r="E680" s="2" t="str">
        <f t="shared" si="20"/>
        <v>v</v>
      </c>
      <c r="F680" s="2" t="b">
        <f>IF(C680=0,ISTEXT(FORMULA.CONVERT("="&amp;A680&amp;"("&amp;REPLACE(REPT(",#ref!",B680),1,1,"")&amp;")()",1)),"")</f>
        <v>0</v>
      </c>
      <c r="G680" s="2"/>
      <c r="H680" s="2" t="str">
        <f t="shared" si="21"/>
        <v/>
      </c>
      <c r="I680" s="2">
        <f>TYPE(DBCS(IF(1,1)))</f>
        <v>2</v>
      </c>
      <c r="J680" s="2">
        <f>IF(C680=0,COUNTIFS(A:A,A680,D:D,"a"),"")</f>
        <v>0</v>
      </c>
      <c r="K680" s="2"/>
      <c r="M680" s="2"/>
    </row>
    <row r="681" spans="1:14" x14ac:dyDescent="0.55000000000000004">
      <c r="A681" s="1" t="s">
        <v>1675</v>
      </c>
      <c r="B681" s="2">
        <f>COUNTIF(A:A,A681)-1</f>
        <v>1</v>
      </c>
      <c r="C681" s="2">
        <f>COUNTIF(A$1:A681,A681)-1</f>
        <v>1</v>
      </c>
      <c r="D681" s="2" t="str">
        <f>Argument!D681</f>
        <v>v</v>
      </c>
      <c r="E681" s="2" t="str">
        <f t="shared" si="20"/>
        <v/>
      </c>
      <c r="F681" s="2" t="str">
        <f>IF(C681=0,ISTEXT(FORMULA.CONVERT("="&amp;A681&amp;"("&amp;REPLACE(REPT(",#ref!",B681),1,1,"")&amp;")()",1)),"")</f>
        <v/>
      </c>
      <c r="G681" s="2">
        <f>TYPE(DBCS({1}))</f>
        <v>64</v>
      </c>
      <c r="H681" s="2" t="str">
        <f t="shared" si="21"/>
        <v/>
      </c>
      <c r="I681" s="2">
        <f>TYPE(DBCS(IF(1,1)))</f>
        <v>2</v>
      </c>
      <c r="J681" s="2" t="str">
        <f>IF(C681=0,COUNTIFS(A:A,A681,D:D,"a"),"")</f>
        <v/>
      </c>
      <c r="K681" s="2" t="str">
        <f>INDEX(+DBCS(K681:L681),)</f>
        <v>0</v>
      </c>
      <c r="L681" s="1">
        <v>1</v>
      </c>
      <c r="M681" s="2" t="e">
        <f>INDEX(+DBCS(INDIRECT(M681:N681)),)</f>
        <v>#REF!</v>
      </c>
      <c r="N681" s="1">
        <v>1</v>
      </c>
    </row>
    <row r="682" spans="1:14" x14ac:dyDescent="0.55000000000000004">
      <c r="A682" s="1" t="s">
        <v>1676</v>
      </c>
      <c r="B682" s="2">
        <f>COUNTIF(A:A,A682)-1</f>
        <v>3</v>
      </c>
      <c r="C682" s="2">
        <f>COUNTIF(A$1:A682,A682)-1</f>
        <v>0</v>
      </c>
      <c r="D682" s="2" t="str">
        <f>Argument!D682</f>
        <v/>
      </c>
      <c r="E682" s="2" t="str">
        <f t="shared" si="20"/>
        <v>v</v>
      </c>
      <c r="F682" s="2" t="b">
        <f>IF(C682=0,ISTEXT(FORMULA.CONVERT("="&amp;A682&amp;"("&amp;REPLACE(REPT(",#ref!",B682),1,1,"")&amp;")()",1)),"")</f>
        <v>0</v>
      </c>
      <c r="G682" s="2"/>
      <c r="H682" s="2" t="str">
        <f t="shared" si="21"/>
        <v/>
      </c>
      <c r="I682" s="2">
        <f>TYPE(RANK(IF(1,1),IF(1,1),IF(1,1)))</f>
        <v>16</v>
      </c>
      <c r="J682" s="2">
        <f>IF(C682=0,COUNTIFS(A:A,A682,D:D,"a"),"")</f>
        <v>0</v>
      </c>
      <c r="K682" s="2"/>
      <c r="M682" s="2"/>
    </row>
    <row r="683" spans="1:14" x14ac:dyDescent="0.55000000000000004">
      <c r="A683" s="1" t="s">
        <v>1676</v>
      </c>
      <c r="B683" s="2">
        <f>COUNTIF(A:A,A683)-1</f>
        <v>3</v>
      </c>
      <c r="C683" s="2">
        <f>COUNTIF(A$1:A683,A683)-1</f>
        <v>1</v>
      </c>
      <c r="D683" s="2" t="str">
        <f>Argument!D683</f>
        <v>v</v>
      </c>
      <c r="E683" s="2" t="str">
        <f t="shared" si="20"/>
        <v/>
      </c>
      <c r="F683" s="2" t="str">
        <f>IF(C683=0,ISTEXT(FORMULA.CONVERT("="&amp;A683&amp;"("&amp;REPLACE(REPT(",#ref!",B683),1,1,"")&amp;")()",1)),"")</f>
        <v/>
      </c>
      <c r="G683" s="2">
        <f>TYPE(RANK({1},IF(1,1),IF(1,1)))</f>
        <v>64</v>
      </c>
      <c r="H683" s="2" t="str">
        <f t="shared" si="21"/>
        <v/>
      </c>
      <c r="I683" s="2">
        <f>TYPE(RANK(IF(1,1),IF(1,1),IF(1,1)))</f>
        <v>16</v>
      </c>
      <c r="J683" s="2" t="str">
        <f>IF(C683=0,COUNTIFS(A:A,A683,D:D,"a"),"")</f>
        <v/>
      </c>
      <c r="K683" s="2" t="e">
        <f>INDEX(+RANK(K683:L683,#REF!,#REF!),)</f>
        <v>#REF!</v>
      </c>
      <c r="L683" s="1">
        <v>1</v>
      </c>
      <c r="M683" s="2" t="e">
        <f>INDEX(+RANK(INDIRECT(M683:N683),#REF!,#REF!),)</f>
        <v>#REF!</v>
      </c>
      <c r="N683" s="1">
        <v>1</v>
      </c>
    </row>
    <row r="684" spans="1:14" x14ac:dyDescent="0.55000000000000004">
      <c r="A684" s="1" t="s">
        <v>1676</v>
      </c>
      <c r="B684" s="2">
        <f>COUNTIF(A:A,A684)-1</f>
        <v>3</v>
      </c>
      <c r="C684" s="2">
        <f>COUNTIF(A$1:A684,A684)-1</f>
        <v>2</v>
      </c>
      <c r="D684" s="2" t="str">
        <f>Argument!D684</f>
        <v>r</v>
      </c>
      <c r="E684" s="2" t="str">
        <f t="shared" si="20"/>
        <v/>
      </c>
      <c r="F684" s="2" t="str">
        <f>IF(C684=0,ISTEXT(FORMULA.CONVERT("="&amp;A684&amp;"("&amp;REPLACE(REPT(",#ref!",B684),1,1,"")&amp;")()",1)),"")</f>
        <v/>
      </c>
      <c r="G684" s="2"/>
      <c r="H684" s="2" t="str">
        <f t="shared" si="21"/>
        <v/>
      </c>
      <c r="I684" s="2">
        <f>TYPE(RANK(IF(1,1),IF(1,1),IF(1,1)))</f>
        <v>16</v>
      </c>
      <c r="J684" s="2" t="str">
        <f>IF(C684=0,COUNTIFS(A:A,A684,D:D,"a"),"")</f>
        <v/>
      </c>
      <c r="K684" s="2" t="e">
        <f>INDEX(+RANK(#REF!,K684:L684,#REF!),)</f>
        <v>#REF!</v>
      </c>
      <c r="L684" s="1">
        <v>1</v>
      </c>
      <c r="M684" s="2" t="e">
        <f>INDEX(+RANK(#REF!,INDIRECT(M684:N684),#REF!),)</f>
        <v>#REF!</v>
      </c>
      <c r="N684" s="1">
        <v>1</v>
      </c>
    </row>
    <row r="685" spans="1:14" x14ac:dyDescent="0.55000000000000004">
      <c r="A685" s="1" t="s">
        <v>1676</v>
      </c>
      <c r="B685" s="2">
        <f>COUNTIF(A:A,A685)-1</f>
        <v>3</v>
      </c>
      <c r="C685" s="2">
        <f>COUNTIF(A$1:A685,A685)-1</f>
        <v>3</v>
      </c>
      <c r="D685" s="2" t="str">
        <f>Argument!D685</f>
        <v>v</v>
      </c>
      <c r="E685" s="2" t="str">
        <f t="shared" si="20"/>
        <v/>
      </c>
      <c r="F685" s="2" t="str">
        <f>IF(C685=0,ISTEXT(FORMULA.CONVERT("="&amp;A685&amp;"("&amp;REPLACE(REPT(",#ref!",B685),1,1,"")&amp;")()",1)),"")</f>
        <v/>
      </c>
      <c r="G685" s="2">
        <f>TYPE(RANK(IF(1,1),IF(1,1),{1}))</f>
        <v>64</v>
      </c>
      <c r="H685" s="2" t="str">
        <f t="shared" si="21"/>
        <v/>
      </c>
      <c r="I685" s="2">
        <f>TYPE(RANK(IF(1,1),IF(1,1),IF(1,1)))</f>
        <v>16</v>
      </c>
      <c r="J685" s="2" t="str">
        <f>IF(C685=0,COUNTIFS(A:A,A685,D:D,"a"),"")</f>
        <v/>
      </c>
      <c r="K685" s="2" t="e">
        <f>INDEX(+RANK(#REF!,#REF!,K685:L685),)</f>
        <v>#REF!</v>
      </c>
      <c r="L685" s="1">
        <v>1</v>
      </c>
      <c r="M685" s="2" t="e">
        <f>INDEX(+RANK(#REF!,#REF!,INDIRECT(M685:N685)),)</f>
        <v>#REF!</v>
      </c>
      <c r="N685" s="1">
        <v>1</v>
      </c>
    </row>
    <row r="686" spans="1:14" x14ac:dyDescent="0.55000000000000004">
      <c r="A686" s="1" t="s">
        <v>1677</v>
      </c>
      <c r="B686" s="2">
        <f>COUNTIF(A:A,A686)-1</f>
        <v>5</v>
      </c>
      <c r="C686" s="2">
        <f>COUNTIF(A$1:A686,A686)-1</f>
        <v>0</v>
      </c>
      <c r="D686" s="2" t="str">
        <f>Argument!D686</f>
        <v/>
      </c>
      <c r="E686" s="2" t="str">
        <f t="shared" si="20"/>
        <v>v</v>
      </c>
      <c r="F686" s="2" t="b">
        <f>IF(C686=0,ISTEXT(FORMULA.CONVERT("="&amp;A686&amp;"("&amp;REPLACE(REPT(",#ref!",B686),1,1,"")&amp;")()",1)),"")</f>
        <v>0</v>
      </c>
      <c r="G686" s="2"/>
      <c r="H686" s="2" t="str">
        <f t="shared" si="21"/>
        <v/>
      </c>
      <c r="I686" s="2">
        <f>TYPE(ADDRESS(IF(1,1),IF(1,1),IF(1,1),IF(1,1),IF(1,1)))</f>
        <v>2</v>
      </c>
      <c r="J686" s="2">
        <f>IF(C686=0,COUNTIFS(A:A,A686,D:D,"a"),"")</f>
        <v>0</v>
      </c>
      <c r="K686" s="2"/>
      <c r="M686" s="2"/>
    </row>
    <row r="687" spans="1:14" x14ac:dyDescent="0.55000000000000004">
      <c r="A687" s="1" t="s">
        <v>1677</v>
      </c>
      <c r="B687" s="2">
        <f>COUNTIF(A:A,A687)-1</f>
        <v>5</v>
      </c>
      <c r="C687" s="2">
        <f>COUNTIF(A$1:A687,A687)-1</f>
        <v>1</v>
      </c>
      <c r="D687" s="2" t="str">
        <f>Argument!D687</f>
        <v>v</v>
      </c>
      <c r="E687" s="2" t="str">
        <f t="shared" si="20"/>
        <v/>
      </c>
      <c r="F687" s="2" t="str">
        <f>IF(C687=0,ISTEXT(FORMULA.CONVERT("="&amp;A687&amp;"("&amp;REPLACE(REPT(",#ref!",B687),1,1,"")&amp;")()",1)),"")</f>
        <v/>
      </c>
      <c r="G687" s="2">
        <f>TYPE(ADDRESS({1},IF(1,1),IF(1,1),IF(1,1),IF(1,1)))</f>
        <v>64</v>
      </c>
      <c r="H687" s="2" t="str">
        <f t="shared" si="21"/>
        <v/>
      </c>
      <c r="I687" s="2">
        <f>TYPE(ADDRESS(IF(1,1),IF(1,1),IF(1,1),IF(1,1),IF(1,1)))</f>
        <v>2</v>
      </c>
      <c r="J687" s="2" t="str">
        <f>IF(C687=0,COUNTIFS(A:A,A687,D:D,"a"),"")</f>
        <v/>
      </c>
      <c r="K687" s="2" t="e">
        <f>INDEX(+ADDRESS(K687:L687,#REF!,#REF!,#REF!,#REF!),)</f>
        <v>#REF!</v>
      </c>
      <c r="L687" s="1">
        <v>1</v>
      </c>
      <c r="M687" s="2" t="e">
        <f>INDEX(+ADDRESS(INDIRECT(M687:N687),#REF!,#REF!,#REF!,#REF!),)</f>
        <v>#REF!</v>
      </c>
      <c r="N687" s="1">
        <v>1</v>
      </c>
    </row>
    <row r="688" spans="1:14" x14ac:dyDescent="0.55000000000000004">
      <c r="A688" s="1" t="s">
        <v>1677</v>
      </c>
      <c r="B688" s="2">
        <f>COUNTIF(A:A,A688)-1</f>
        <v>5</v>
      </c>
      <c r="C688" s="2">
        <f>COUNTIF(A$1:A688,A688)-1</f>
        <v>2</v>
      </c>
      <c r="D688" s="2" t="str">
        <f>Argument!D688</f>
        <v>v</v>
      </c>
      <c r="E688" s="2" t="str">
        <f t="shared" si="20"/>
        <v/>
      </c>
      <c r="F688" s="2" t="str">
        <f>IF(C688=0,ISTEXT(FORMULA.CONVERT("="&amp;A688&amp;"("&amp;REPLACE(REPT(",#ref!",B688),1,1,"")&amp;")()",1)),"")</f>
        <v/>
      </c>
      <c r="G688" s="2">
        <f>TYPE(ADDRESS(IF(1,1),{1},IF(1,1),IF(1,1),IF(1,1)))</f>
        <v>64</v>
      </c>
      <c r="H688" s="2" t="str">
        <f t="shared" si="21"/>
        <v/>
      </c>
      <c r="I688" s="2">
        <f>TYPE(ADDRESS(IF(1,1),IF(1,1),IF(1,1),IF(1,1),IF(1,1)))</f>
        <v>2</v>
      </c>
      <c r="J688" s="2" t="str">
        <f>IF(C688=0,COUNTIFS(A:A,A688,D:D,"a"),"")</f>
        <v/>
      </c>
      <c r="K688" s="2" t="e">
        <f>INDEX(+ADDRESS(#REF!,K688:L688,#REF!,#REF!,#REF!),)</f>
        <v>#REF!</v>
      </c>
      <c r="L688" s="1">
        <v>1</v>
      </c>
      <c r="M688" s="2" t="e">
        <f>INDEX(+ADDRESS(#REF!,INDIRECT(M688:N688),#REF!,#REF!,#REF!),)</f>
        <v>#REF!</v>
      </c>
      <c r="N688" s="1">
        <v>1</v>
      </c>
    </row>
    <row r="689" spans="1:14" x14ac:dyDescent="0.55000000000000004">
      <c r="A689" s="1" t="s">
        <v>1677</v>
      </c>
      <c r="B689" s="2">
        <f>COUNTIF(A:A,A689)-1</f>
        <v>5</v>
      </c>
      <c r="C689" s="2">
        <f>COUNTIF(A$1:A689,A689)-1</f>
        <v>3</v>
      </c>
      <c r="D689" s="2" t="str">
        <f>Argument!D689</f>
        <v>v</v>
      </c>
      <c r="E689" s="2" t="str">
        <f t="shared" si="20"/>
        <v/>
      </c>
      <c r="F689" s="2" t="str">
        <f>IF(C689=0,ISTEXT(FORMULA.CONVERT("="&amp;A689&amp;"("&amp;REPLACE(REPT(",#ref!",B689),1,1,"")&amp;")()",1)),"")</f>
        <v/>
      </c>
      <c r="G689" s="2">
        <f>TYPE(ADDRESS(IF(1,1),IF(1,1),{1},IF(1,1),IF(1,1)))</f>
        <v>64</v>
      </c>
      <c r="H689" s="2" t="str">
        <f t="shared" si="21"/>
        <v/>
      </c>
      <c r="I689" s="2">
        <f>TYPE(ADDRESS(IF(1,1),IF(1,1),IF(1,1),IF(1,1),IF(1,1)))</f>
        <v>2</v>
      </c>
      <c r="J689" s="2" t="str">
        <f>IF(C689=0,COUNTIFS(A:A,A689,D:D,"a"),"")</f>
        <v/>
      </c>
      <c r="K689" s="2" t="e">
        <f>INDEX(+ADDRESS(#REF!,#REF!,K689:L689,#REF!,#REF!),)</f>
        <v>#REF!</v>
      </c>
      <c r="L689" s="1">
        <v>1</v>
      </c>
      <c r="M689" s="2" t="e">
        <f>INDEX(+ADDRESS(#REF!,#REF!,INDIRECT(M689:N689),#REF!,#REF!),)</f>
        <v>#REF!</v>
      </c>
      <c r="N689" s="1">
        <v>1</v>
      </c>
    </row>
    <row r="690" spans="1:14" x14ac:dyDescent="0.55000000000000004">
      <c r="A690" s="1" t="s">
        <v>1677</v>
      </c>
      <c r="B690" s="2">
        <f>COUNTIF(A:A,A690)-1</f>
        <v>5</v>
      </c>
      <c r="C690" s="2">
        <f>COUNTIF(A$1:A690,A690)-1</f>
        <v>4</v>
      </c>
      <c r="D690" s="2" t="str">
        <f>Argument!D690</f>
        <v>v</v>
      </c>
      <c r="E690" s="2" t="str">
        <f t="shared" si="20"/>
        <v/>
      </c>
      <c r="F690" s="2" t="str">
        <f>IF(C690=0,ISTEXT(FORMULA.CONVERT("="&amp;A690&amp;"("&amp;REPLACE(REPT(",#ref!",B690),1,1,"")&amp;")()",1)),"")</f>
        <v/>
      </c>
      <c r="G690" s="2">
        <f>TYPE(ADDRESS(IF(1,1),IF(1,1),IF(1,1),{1},IF(1,1)))</f>
        <v>64</v>
      </c>
      <c r="H690" s="2" t="str">
        <f t="shared" si="21"/>
        <v/>
      </c>
      <c r="I690" s="2">
        <f>TYPE(ADDRESS(IF(1,1),IF(1,1),IF(1,1),IF(1,1),IF(1,1)))</f>
        <v>2</v>
      </c>
      <c r="J690" s="2" t="str">
        <f>IF(C690=0,COUNTIFS(A:A,A690,D:D,"a"),"")</f>
        <v/>
      </c>
      <c r="K690" s="2" t="e">
        <f>INDEX(+ADDRESS(#REF!,#REF!,#REF!,K690:L690,#REF!),)</f>
        <v>#REF!</v>
      </c>
      <c r="L690" s="1">
        <v>1</v>
      </c>
      <c r="M690" s="2" t="e">
        <f>INDEX(+ADDRESS(#REF!,#REF!,#REF!,INDIRECT(M690:N690),#REF!),)</f>
        <v>#REF!</v>
      </c>
      <c r="N690" s="1">
        <v>1</v>
      </c>
    </row>
    <row r="691" spans="1:14" x14ac:dyDescent="0.55000000000000004">
      <c r="A691" s="1" t="s">
        <v>1677</v>
      </c>
      <c r="B691" s="2">
        <f>COUNTIF(A:A,A691)-1</f>
        <v>5</v>
      </c>
      <c r="C691" s="2">
        <f>COUNTIF(A$1:A691,A691)-1</f>
        <v>5</v>
      </c>
      <c r="D691" s="2" t="str">
        <f>Argument!D691</f>
        <v>v</v>
      </c>
      <c r="E691" s="2" t="str">
        <f t="shared" si="20"/>
        <v/>
      </c>
      <c r="F691" s="2" t="str">
        <f>IF(C691=0,ISTEXT(FORMULA.CONVERT("="&amp;A691&amp;"("&amp;REPLACE(REPT(",#ref!",B691),1,1,"")&amp;")()",1)),"")</f>
        <v/>
      </c>
      <c r="G691" s="2">
        <f>TYPE(ADDRESS(IF(1,1),IF(1,1),IF(1,1),IF(1,1),{1}))</f>
        <v>64</v>
      </c>
      <c r="H691" s="2" t="str">
        <f t="shared" si="21"/>
        <v/>
      </c>
      <c r="I691" s="2">
        <f>TYPE(ADDRESS(IF(1,1),IF(1,1),IF(1,1),IF(1,1),IF(1,1)))</f>
        <v>2</v>
      </c>
      <c r="J691" s="2" t="str">
        <f>IF(C691=0,COUNTIFS(A:A,A691,D:D,"a"),"")</f>
        <v/>
      </c>
      <c r="K691" s="2" t="e">
        <f>INDEX(+ADDRESS(#REF!,#REF!,#REF!,#REF!,K691:L691),)</f>
        <v>#REF!</v>
      </c>
      <c r="L691" s="1">
        <v>1</v>
      </c>
      <c r="M691" s="2" t="e">
        <f>INDEX(+ADDRESS(#REF!,#REF!,#REF!,#REF!,INDIRECT(M691:N691)),)</f>
        <v>#REF!</v>
      </c>
      <c r="N691" s="1">
        <v>1</v>
      </c>
    </row>
    <row r="692" spans="1:14" x14ac:dyDescent="0.55000000000000004">
      <c r="A692" s="1" t="s">
        <v>1678</v>
      </c>
      <c r="B692" s="2">
        <f>COUNTIF(A:A,A692)-1</f>
        <v>3</v>
      </c>
      <c r="C692" s="2">
        <f>COUNTIF(A$1:A692,A692)-1</f>
        <v>0</v>
      </c>
      <c r="D692" s="2" t="str">
        <f>Argument!D692</f>
        <v/>
      </c>
      <c r="E692" s="2" t="str">
        <f t="shared" si="20"/>
        <v>v</v>
      </c>
      <c r="F692" s="2" t="b">
        <f>IF(C692=0,ISTEXT(FORMULA.CONVERT("="&amp;A692&amp;"("&amp;REPLACE(REPT(",#ref!",B692),1,1,"")&amp;")()",1)),"")</f>
        <v>0</v>
      </c>
      <c r="G692" s="2"/>
      <c r="H692" s="2" t="str">
        <f t="shared" si="21"/>
        <v/>
      </c>
      <c r="I692" s="2">
        <f>TYPE(DAYS360(IF(1,1),IF(1,1),IF(1,1)))</f>
        <v>1</v>
      </c>
      <c r="J692" s="2">
        <f>IF(C692=0,COUNTIFS(A:A,A692,D:D,"a"),"")</f>
        <v>0</v>
      </c>
      <c r="K692" s="2"/>
      <c r="M692" s="2"/>
    </row>
    <row r="693" spans="1:14" x14ac:dyDescent="0.55000000000000004">
      <c r="A693" s="1" t="s">
        <v>1678</v>
      </c>
      <c r="B693" s="2">
        <f>COUNTIF(A:A,A693)-1</f>
        <v>3</v>
      </c>
      <c r="C693" s="2">
        <f>COUNTIF(A$1:A693,A693)-1</f>
        <v>1</v>
      </c>
      <c r="D693" s="2" t="str">
        <f>Argument!D693</f>
        <v>v</v>
      </c>
      <c r="E693" s="2" t="str">
        <f t="shared" si="20"/>
        <v/>
      </c>
      <c r="F693" s="2" t="str">
        <f>IF(C693=0,ISTEXT(FORMULA.CONVERT("="&amp;A693&amp;"("&amp;REPLACE(REPT(",#ref!",B693),1,1,"")&amp;")()",1)),"")</f>
        <v/>
      </c>
      <c r="G693" s="2">
        <f>TYPE(DAYS360({1},IF(1,1),IF(1,1)))</f>
        <v>64</v>
      </c>
      <c r="H693" s="2" t="str">
        <f t="shared" si="21"/>
        <v/>
      </c>
      <c r="I693" s="2">
        <f>TYPE(DAYS360(IF(1,1),IF(1,1),IF(1,1)))</f>
        <v>1</v>
      </c>
      <c r="J693" s="2" t="str">
        <f>IF(C693=0,COUNTIFS(A:A,A693,D:D,"a"),"")</f>
        <v/>
      </c>
      <c r="K693" s="2" t="e">
        <f>INDEX(+DAYS360(K693:L693,#REF!,#REF!),)</f>
        <v>#REF!</v>
      </c>
      <c r="L693" s="1">
        <v>1</v>
      </c>
      <c r="M693" s="2" t="e">
        <f>INDEX(+DAYS360(INDIRECT(M693:N693),#REF!,#REF!),)</f>
        <v>#REF!</v>
      </c>
      <c r="N693" s="1">
        <v>1</v>
      </c>
    </row>
    <row r="694" spans="1:14" x14ac:dyDescent="0.55000000000000004">
      <c r="A694" s="1" t="s">
        <v>1678</v>
      </c>
      <c r="B694" s="2">
        <f>COUNTIF(A:A,A694)-1</f>
        <v>3</v>
      </c>
      <c r="C694" s="2">
        <f>COUNTIF(A$1:A694,A694)-1</f>
        <v>2</v>
      </c>
      <c r="D694" s="2" t="str">
        <f>Argument!D694</f>
        <v>v</v>
      </c>
      <c r="E694" s="2" t="str">
        <f t="shared" si="20"/>
        <v/>
      </c>
      <c r="F694" s="2" t="str">
        <f>IF(C694=0,ISTEXT(FORMULA.CONVERT("="&amp;A694&amp;"("&amp;REPLACE(REPT(",#ref!",B694),1,1,"")&amp;")()",1)),"")</f>
        <v/>
      </c>
      <c r="G694" s="2">
        <f>TYPE(DAYS360(IF(1,1),{1},IF(1,1)))</f>
        <v>64</v>
      </c>
      <c r="H694" s="2" t="str">
        <f t="shared" si="21"/>
        <v/>
      </c>
      <c r="I694" s="2">
        <f>TYPE(DAYS360(IF(1,1),IF(1,1),IF(1,1)))</f>
        <v>1</v>
      </c>
      <c r="J694" s="2" t="str">
        <f>IF(C694=0,COUNTIFS(A:A,A694,D:D,"a"),"")</f>
        <v/>
      </c>
      <c r="K694" s="2" t="e">
        <f>INDEX(+DAYS360(#REF!,K694:L694,#REF!),)</f>
        <v>#REF!</v>
      </c>
      <c r="L694" s="1">
        <v>1</v>
      </c>
      <c r="M694" s="2" t="e">
        <f>INDEX(+DAYS360(#REF!,INDIRECT(M694:N694),#REF!),)</f>
        <v>#REF!</v>
      </c>
      <c r="N694" s="1">
        <v>1</v>
      </c>
    </row>
    <row r="695" spans="1:14" x14ac:dyDescent="0.55000000000000004">
      <c r="A695" s="1" t="s">
        <v>1678</v>
      </c>
      <c r="B695" s="2">
        <f>COUNTIF(A:A,A695)-1</f>
        <v>3</v>
      </c>
      <c r="C695" s="2">
        <f>COUNTIF(A$1:A695,A695)-1</f>
        <v>3</v>
      </c>
      <c r="D695" s="2" t="str">
        <f>Argument!D695</f>
        <v>v</v>
      </c>
      <c r="E695" s="2" t="str">
        <f t="shared" si="20"/>
        <v/>
      </c>
      <c r="F695" s="2" t="str">
        <f>IF(C695=0,ISTEXT(FORMULA.CONVERT("="&amp;A695&amp;"("&amp;REPLACE(REPT(",#ref!",B695),1,1,"")&amp;")()",1)),"")</f>
        <v/>
      </c>
      <c r="G695" s="2">
        <f>TYPE(DAYS360(IF(1,1),IF(1,1),{1}))</f>
        <v>64</v>
      </c>
      <c r="H695" s="2" t="str">
        <f t="shared" si="21"/>
        <v/>
      </c>
      <c r="I695" s="2">
        <f>TYPE(DAYS360(IF(1,1),IF(1,1),IF(1,1)))</f>
        <v>1</v>
      </c>
      <c r="J695" s="2" t="str">
        <f>IF(C695=0,COUNTIFS(A:A,A695,D:D,"a"),"")</f>
        <v/>
      </c>
      <c r="K695" s="2" t="e">
        <f>INDEX(+DAYS360(#REF!,#REF!,K695:L695),)</f>
        <v>#REF!</v>
      </c>
      <c r="L695" s="1">
        <v>1</v>
      </c>
      <c r="M695" s="2" t="e">
        <f>INDEX(+DAYS360(#REF!,#REF!,INDIRECT(M695:N695)),)</f>
        <v>#REF!</v>
      </c>
      <c r="N695" s="1">
        <v>1</v>
      </c>
    </row>
    <row r="696" spans="1:14" x14ac:dyDescent="0.55000000000000004">
      <c r="A696" s="1" t="s">
        <v>1482</v>
      </c>
      <c r="B696" s="2">
        <f>COUNTIF(A:A,A696)-1</f>
        <v>0</v>
      </c>
      <c r="C696" s="2">
        <f>COUNTIF(A$1:A696,A696)-1</f>
        <v>0</v>
      </c>
      <c r="D696" s="2" t="str">
        <f>Argument!D696</f>
        <v/>
      </c>
      <c r="E696" s="2" t="str">
        <f t="shared" si="20"/>
        <v>v</v>
      </c>
      <c r="F696" s="2" t="b">
        <f>IF(C696=0,ISTEXT(FORMULA.CONVERT("="&amp;A696&amp;"("&amp;REPLACE(REPT(",#ref!",B696),1,1,"")&amp;")()",1)),"")</f>
        <v>0</v>
      </c>
      <c r="G696" s="2"/>
      <c r="H696" s="2" t="str">
        <f t="shared" si="21"/>
        <v/>
      </c>
      <c r="I696" s="2">
        <f>TYPE(TODAY())</f>
        <v>1</v>
      </c>
      <c r="J696" s="2">
        <f>IF(C696=0,COUNTIFS(A:A,A696,D:D,"a"),"")</f>
        <v>0</v>
      </c>
      <c r="K696" s="2"/>
      <c r="M696" s="2"/>
    </row>
    <row r="697" spans="1:14" x14ac:dyDescent="0.55000000000000004">
      <c r="A697" s="1" t="s">
        <v>1679</v>
      </c>
      <c r="B697" s="2">
        <f>COUNTIF(A:A,A697)-1</f>
        <v>7</v>
      </c>
      <c r="C697" s="2">
        <f>COUNTIF(A$1:A697,A697)-1</f>
        <v>0</v>
      </c>
      <c r="D697" s="2" t="str">
        <f>Argument!D697</f>
        <v/>
      </c>
      <c r="E697" s="2" t="str">
        <f t="shared" si="20"/>
        <v>v</v>
      </c>
      <c r="F697" s="2" t="b">
        <f>IF(C697=0,ISTEXT(FORMULA.CONVERT("="&amp;A697&amp;"("&amp;REPLACE(REPT(",#ref!",B697),1,1,"")&amp;")()",1)),"")</f>
        <v>0</v>
      </c>
      <c r="G697" s="2"/>
      <c r="H697" s="2" t="str">
        <f t="shared" si="21"/>
        <v/>
      </c>
      <c r="I697" s="2">
        <f>TYPE(VDB(IF(1,1),IF(1,1),IF(1,1),IF(1,1),IF(1,1),IF(1,1),IF(1,1)))</f>
        <v>1</v>
      </c>
      <c r="J697" s="2">
        <f>IF(C697=0,COUNTIFS(A:A,A697,D:D,"a"),"")</f>
        <v>0</v>
      </c>
      <c r="K697" s="2"/>
      <c r="M697" s="2"/>
    </row>
    <row r="698" spans="1:14" x14ac:dyDescent="0.55000000000000004">
      <c r="A698" s="1" t="s">
        <v>1679</v>
      </c>
      <c r="B698" s="2">
        <f>COUNTIF(A:A,A698)-1</f>
        <v>7</v>
      </c>
      <c r="C698" s="2">
        <f>COUNTIF(A$1:A698,A698)-1</f>
        <v>1</v>
      </c>
      <c r="D698" s="2" t="str">
        <f>Argument!D698</f>
        <v>v</v>
      </c>
      <c r="E698" s="2" t="str">
        <f t="shared" si="20"/>
        <v/>
      </c>
      <c r="F698" s="2" t="str">
        <f>IF(C698=0,ISTEXT(FORMULA.CONVERT("="&amp;A698&amp;"("&amp;REPLACE(REPT(",#ref!",B698),1,1,"")&amp;")()",1)),"")</f>
        <v/>
      </c>
      <c r="G698" s="2">
        <f>TYPE(VDB({1},IF(1,1),IF(1,1),IF(1,1),IF(1,1),IF(1,1),IF(1,1)))</f>
        <v>64</v>
      </c>
      <c r="H698" s="2" t="str">
        <f t="shared" si="21"/>
        <v/>
      </c>
      <c r="I698" s="2">
        <f>TYPE(VDB(IF(1,1),IF(1,1),IF(1,1),IF(1,1),IF(1,1),IF(1,1),IF(1,1)))</f>
        <v>1</v>
      </c>
      <c r="J698" s="2" t="str">
        <f>IF(C698=0,COUNTIFS(A:A,A698,D:D,"a"),"")</f>
        <v/>
      </c>
      <c r="K698" s="2" t="e">
        <f>INDEX(+VDB(K698:L698,#REF!,#REF!,#REF!,#REF!,#REF!,#REF!),)</f>
        <v>#REF!</v>
      </c>
      <c r="L698" s="1">
        <v>1</v>
      </c>
      <c r="M698" s="2" t="e">
        <f>INDEX(+VDB(INDIRECT(M698:N698),#REF!,#REF!,#REF!,#REF!,#REF!,#REF!),)</f>
        <v>#REF!</v>
      </c>
      <c r="N698" s="1">
        <v>1</v>
      </c>
    </row>
    <row r="699" spans="1:14" x14ac:dyDescent="0.55000000000000004">
      <c r="A699" s="1" t="s">
        <v>1679</v>
      </c>
      <c r="B699" s="2">
        <f>COUNTIF(A:A,A699)-1</f>
        <v>7</v>
      </c>
      <c r="C699" s="2">
        <f>COUNTIF(A$1:A699,A699)-1</f>
        <v>2</v>
      </c>
      <c r="D699" s="2" t="str">
        <f>Argument!D699</f>
        <v>v</v>
      </c>
      <c r="E699" s="2" t="str">
        <f t="shared" si="20"/>
        <v/>
      </c>
      <c r="F699" s="2" t="str">
        <f>IF(C699=0,ISTEXT(FORMULA.CONVERT("="&amp;A699&amp;"("&amp;REPLACE(REPT(",#ref!",B699),1,1,"")&amp;")()",1)),"")</f>
        <v/>
      </c>
      <c r="G699" s="2">
        <f>TYPE(VDB(IF(1,1),{1},IF(1,1),IF(1,1),IF(1,1),IF(1,1),IF(1,1)))</f>
        <v>64</v>
      </c>
      <c r="H699" s="2" t="str">
        <f t="shared" si="21"/>
        <v/>
      </c>
      <c r="I699" s="2">
        <f>TYPE(VDB(IF(1,1),IF(1,1),IF(1,1),IF(1,1),IF(1,1),IF(1,1),IF(1,1)))</f>
        <v>1</v>
      </c>
      <c r="J699" s="2" t="str">
        <f>IF(C699=0,COUNTIFS(A:A,A699,D:D,"a"),"")</f>
        <v/>
      </c>
      <c r="K699" s="2" t="e">
        <f>INDEX(+VDB(#REF!,K699:L699,#REF!,#REF!,#REF!,#REF!,#REF!),)</f>
        <v>#REF!</v>
      </c>
      <c r="L699" s="1">
        <v>1</v>
      </c>
      <c r="M699" s="2" t="e">
        <f>INDEX(+VDB(#REF!,INDIRECT(M699:N699),#REF!,#REF!,#REF!,#REF!,#REF!),)</f>
        <v>#REF!</v>
      </c>
      <c r="N699" s="1">
        <v>1</v>
      </c>
    </row>
    <row r="700" spans="1:14" x14ac:dyDescent="0.55000000000000004">
      <c r="A700" s="1" t="s">
        <v>1679</v>
      </c>
      <c r="B700" s="2">
        <f>COUNTIF(A:A,A700)-1</f>
        <v>7</v>
      </c>
      <c r="C700" s="2">
        <f>COUNTIF(A$1:A700,A700)-1</f>
        <v>3</v>
      </c>
      <c r="D700" s="2" t="str">
        <f>Argument!D700</f>
        <v>v</v>
      </c>
      <c r="E700" s="2" t="str">
        <f t="shared" si="20"/>
        <v/>
      </c>
      <c r="F700" s="2" t="str">
        <f>IF(C700=0,ISTEXT(FORMULA.CONVERT("="&amp;A700&amp;"("&amp;REPLACE(REPT(",#ref!",B700),1,1,"")&amp;")()",1)),"")</f>
        <v/>
      </c>
      <c r="G700" s="2">
        <f>TYPE(VDB(IF(1,1),IF(1,1),{1},IF(1,1),IF(1,1),IF(1,1),IF(1,1)))</f>
        <v>64</v>
      </c>
      <c r="H700" s="2" t="str">
        <f t="shared" si="21"/>
        <v/>
      </c>
      <c r="I700" s="2">
        <f>TYPE(VDB(IF(1,1),IF(1,1),IF(1,1),IF(1,1),IF(1,1),IF(1,1),IF(1,1)))</f>
        <v>1</v>
      </c>
      <c r="J700" s="2" t="str">
        <f>IF(C700=0,COUNTIFS(A:A,A700,D:D,"a"),"")</f>
        <v/>
      </c>
      <c r="K700" s="2" t="e">
        <f>INDEX(+VDB(#REF!,#REF!,K700:L700,#REF!,#REF!,#REF!,#REF!),)</f>
        <v>#REF!</v>
      </c>
      <c r="L700" s="1">
        <v>1</v>
      </c>
      <c r="M700" s="2" t="e">
        <f>INDEX(+VDB(#REF!,#REF!,INDIRECT(M700:N700),#REF!,#REF!,#REF!,#REF!),)</f>
        <v>#REF!</v>
      </c>
      <c r="N700" s="1">
        <v>1</v>
      </c>
    </row>
    <row r="701" spans="1:14" x14ac:dyDescent="0.55000000000000004">
      <c r="A701" s="1" t="s">
        <v>1679</v>
      </c>
      <c r="B701" s="2">
        <f>COUNTIF(A:A,A701)-1</f>
        <v>7</v>
      </c>
      <c r="C701" s="2">
        <f>COUNTIF(A$1:A701,A701)-1</f>
        <v>4</v>
      </c>
      <c r="D701" s="2" t="str">
        <f>Argument!D701</f>
        <v>v</v>
      </c>
      <c r="E701" s="2" t="str">
        <f t="shared" si="20"/>
        <v/>
      </c>
      <c r="F701" s="2" t="str">
        <f>IF(C701=0,ISTEXT(FORMULA.CONVERT("="&amp;A701&amp;"("&amp;REPLACE(REPT(",#ref!",B701),1,1,"")&amp;")()",1)),"")</f>
        <v/>
      </c>
      <c r="G701" s="2">
        <f>TYPE(VDB(IF(1,1),IF(1,1),IF(1,1),{1},IF(1,1),IF(1,1),IF(1,1)))</f>
        <v>64</v>
      </c>
      <c r="H701" s="2" t="str">
        <f t="shared" si="21"/>
        <v/>
      </c>
      <c r="I701" s="2">
        <f>TYPE(VDB(IF(1,1),IF(1,1),IF(1,1),IF(1,1),IF(1,1),IF(1,1),IF(1,1)))</f>
        <v>1</v>
      </c>
      <c r="J701" s="2" t="str">
        <f>IF(C701=0,COUNTIFS(A:A,A701,D:D,"a"),"")</f>
        <v/>
      </c>
      <c r="K701" s="2" t="e">
        <f>INDEX(+VDB(#REF!,#REF!,#REF!,K701:L701,#REF!,#REF!,#REF!),)</f>
        <v>#REF!</v>
      </c>
      <c r="L701" s="1">
        <v>1</v>
      </c>
      <c r="M701" s="2" t="e">
        <f>INDEX(+VDB(#REF!,#REF!,#REF!,INDIRECT(M701:N701),#REF!,#REF!,#REF!),)</f>
        <v>#REF!</v>
      </c>
      <c r="N701" s="1">
        <v>1</v>
      </c>
    </row>
    <row r="702" spans="1:14" x14ac:dyDescent="0.55000000000000004">
      <c r="A702" s="1" t="s">
        <v>1679</v>
      </c>
      <c r="B702" s="2">
        <f>COUNTIF(A:A,A702)-1</f>
        <v>7</v>
      </c>
      <c r="C702" s="2">
        <f>COUNTIF(A$1:A702,A702)-1</f>
        <v>5</v>
      </c>
      <c r="D702" s="2" t="str">
        <f>Argument!D702</f>
        <v>v</v>
      </c>
      <c r="E702" s="2" t="str">
        <f t="shared" si="20"/>
        <v/>
      </c>
      <c r="F702" s="2" t="str">
        <f>IF(C702=0,ISTEXT(FORMULA.CONVERT("="&amp;A702&amp;"("&amp;REPLACE(REPT(",#ref!",B702),1,1,"")&amp;")()",1)),"")</f>
        <v/>
      </c>
      <c r="G702" s="2">
        <f>TYPE(VDB(IF(1,1),IF(1,1),IF(1,1),IF(1,1),{1},IF(1,1),IF(1,1)))</f>
        <v>64</v>
      </c>
      <c r="H702" s="2" t="str">
        <f t="shared" si="21"/>
        <v/>
      </c>
      <c r="I702" s="2">
        <f>TYPE(VDB(IF(1,1),IF(1,1),IF(1,1),IF(1,1),IF(1,1),IF(1,1),IF(1,1)))</f>
        <v>1</v>
      </c>
      <c r="J702" s="2" t="str">
        <f>IF(C702=0,COUNTIFS(A:A,A702,D:D,"a"),"")</f>
        <v/>
      </c>
      <c r="K702" s="2" t="e">
        <f>INDEX(+VDB(#REF!,#REF!,#REF!,#REF!,K702:L702,#REF!,#REF!),)</f>
        <v>#REF!</v>
      </c>
      <c r="L702" s="1">
        <v>1</v>
      </c>
      <c r="M702" s="2" t="e">
        <f>INDEX(+VDB(#REF!,#REF!,#REF!,#REF!,INDIRECT(M702:N702),#REF!,#REF!),)</f>
        <v>#REF!</v>
      </c>
      <c r="N702" s="1">
        <v>1</v>
      </c>
    </row>
    <row r="703" spans="1:14" x14ac:dyDescent="0.55000000000000004">
      <c r="A703" s="1" t="s">
        <v>1679</v>
      </c>
      <c r="B703" s="2">
        <f>COUNTIF(A:A,A703)-1</f>
        <v>7</v>
      </c>
      <c r="C703" s="2">
        <f>COUNTIF(A$1:A703,A703)-1</f>
        <v>6</v>
      </c>
      <c r="D703" s="2" t="str">
        <f>Argument!D703</f>
        <v>v</v>
      </c>
      <c r="E703" s="2" t="str">
        <f t="shared" si="20"/>
        <v/>
      </c>
      <c r="F703" s="2" t="str">
        <f>IF(C703=0,ISTEXT(FORMULA.CONVERT("="&amp;A703&amp;"("&amp;REPLACE(REPT(",#ref!",B703),1,1,"")&amp;")()",1)),"")</f>
        <v/>
      </c>
      <c r="G703" s="2">
        <f>TYPE(VDB(IF(1,1),IF(1,1),IF(1,1),IF(1,1),IF(1,1),{1},IF(1,1)))</f>
        <v>64</v>
      </c>
      <c r="H703" s="2" t="str">
        <f t="shared" si="21"/>
        <v/>
      </c>
      <c r="I703" s="2">
        <f>TYPE(VDB(IF(1,1),IF(1,1),IF(1,1),IF(1,1),IF(1,1),IF(1,1),IF(1,1)))</f>
        <v>1</v>
      </c>
      <c r="J703" s="2" t="str">
        <f>IF(C703=0,COUNTIFS(A:A,A703,D:D,"a"),"")</f>
        <v/>
      </c>
      <c r="K703" s="2" t="e">
        <f>INDEX(+VDB(#REF!,#REF!,#REF!,#REF!,#REF!,K703:L703,#REF!),)</f>
        <v>#REF!</v>
      </c>
      <c r="L703" s="1">
        <v>1</v>
      </c>
      <c r="M703" s="2" t="e">
        <f>INDEX(+VDB(#REF!,#REF!,#REF!,#REF!,#REF!,INDIRECT(M703:N703),#REF!),)</f>
        <v>#REF!</v>
      </c>
      <c r="N703" s="1">
        <v>1</v>
      </c>
    </row>
    <row r="704" spans="1:14" x14ac:dyDescent="0.55000000000000004">
      <c r="A704" s="1" t="s">
        <v>1679</v>
      </c>
      <c r="B704" s="2">
        <f>COUNTIF(A:A,A704)-1</f>
        <v>7</v>
      </c>
      <c r="C704" s="2">
        <f>COUNTIF(A$1:A704,A704)-1</f>
        <v>7</v>
      </c>
      <c r="D704" s="2" t="str">
        <f>Argument!D704</f>
        <v>v</v>
      </c>
      <c r="E704" s="2" t="str">
        <f t="shared" si="20"/>
        <v/>
      </c>
      <c r="F704" s="2" t="str">
        <f>IF(C704=0,ISTEXT(FORMULA.CONVERT("="&amp;A704&amp;"("&amp;REPLACE(REPT(",#ref!",B704),1,1,"")&amp;")()",1)),"")</f>
        <v/>
      </c>
      <c r="G704" s="2">
        <f>TYPE(VDB(IF(1,1),IF(1,1),IF(1,1),IF(1,1),IF(1,1),IF(1,1),{1}))</f>
        <v>64</v>
      </c>
      <c r="H704" s="2" t="str">
        <f t="shared" si="21"/>
        <v/>
      </c>
      <c r="I704" s="2">
        <f>TYPE(VDB(IF(1,1),IF(1,1),IF(1,1),IF(1,1),IF(1,1),IF(1,1),IF(1,1)))</f>
        <v>1</v>
      </c>
      <c r="J704" s="2" t="str">
        <f>IF(C704=0,COUNTIFS(A:A,A704,D:D,"a"),"")</f>
        <v/>
      </c>
      <c r="K704" s="2" t="e">
        <f>INDEX(+VDB(#REF!,#REF!,#REF!,#REF!,#REF!,#REF!,K704:L704),)</f>
        <v>#REF!</v>
      </c>
      <c r="L704" s="1">
        <v>1</v>
      </c>
      <c r="M704" s="2" t="e">
        <f>INDEX(+VDB(#REF!,#REF!,#REF!,#REF!,#REF!,#REF!,INDIRECT(M704:N704)),)</f>
        <v>#REF!</v>
      </c>
      <c r="N704" s="1">
        <v>1</v>
      </c>
    </row>
    <row r="705" spans="1:14" x14ac:dyDescent="0.55000000000000004">
      <c r="A705" s="1" t="s">
        <v>2051</v>
      </c>
      <c r="B705" s="2">
        <f>COUNTIF(A:A,A705)-1</f>
        <v>0</v>
      </c>
      <c r="C705" s="2">
        <f>COUNTIF(A$1:A705,A705)-1</f>
        <v>0</v>
      </c>
      <c r="D705" s="2" t="str">
        <f>Argument!D705</f>
        <v/>
      </c>
      <c r="E705" s="2" t="str">
        <f t="shared" si="20"/>
        <v>v</v>
      </c>
      <c r="F705" s="2" t="b">
        <f>IF(C705=0,ISTEXT(FORMULA.CONVERT("="&amp;A705&amp;"("&amp;REPLACE(REPT(",#ref!",B705),1,1,"")&amp;")()",1)),"")</f>
        <v>0</v>
      </c>
      <c r="G705" s="2"/>
      <c r="H705" s="2" t="str">
        <f t="shared" si="21"/>
        <v/>
      </c>
      <c r="I705" s="2">
        <f>TYPE(ELSE())</f>
        <v>4</v>
      </c>
      <c r="J705" s="2">
        <f>IF(C705=0,COUNTIFS(A:A,A705,D:D,"a"),"")</f>
        <v>0</v>
      </c>
      <c r="K705" s="2"/>
      <c r="M705" s="2"/>
    </row>
    <row r="706" spans="1:14" x14ac:dyDescent="0.55000000000000004">
      <c r="A706" s="1" t="s">
        <v>2052</v>
      </c>
      <c r="B706" s="2">
        <f>COUNTIF(A:A,A706)-1</f>
        <v>1</v>
      </c>
      <c r="C706" s="2">
        <f>COUNTIF(A$1:A706,A706)-1</f>
        <v>0</v>
      </c>
      <c r="D706" s="2" t="str">
        <f>Argument!D706</f>
        <v/>
      </c>
      <c r="E706" s="2" t="str">
        <f t="shared" ref="E706:E769" si="22">IF(C706=0,IF(SUMIFS(H:H,A:A,A706),IF(COUNTIFS(A:A,A706,G:G,64),,"v")&amp;IF(F706,"ar","a"),IF(F706,"r","v")),"")</f>
        <v>v</v>
      </c>
      <c r="F706" s="2" t="b">
        <f>IF(C706=0,ISTEXT(FORMULA.CONVERT("="&amp;A706&amp;"("&amp;REPLACE(REPT(",#ref!",B706),1,1,"")&amp;")()",1)),"")</f>
        <v>0</v>
      </c>
      <c r="G706" s="2"/>
      <c r="H706" s="2" t="str">
        <f t="shared" ref="H706:H769" si="23">IF((I706=64)*(J706=B706)+(1-L706)*COUNTIF(D706,"*v*")+(1-N706)*COUNTIF(D706,"*r*"),1,"")</f>
        <v/>
      </c>
      <c r="I706" s="2">
        <f>TYPE(ELSE.IF(IF(1,1)))</f>
        <v>4</v>
      </c>
      <c r="J706" s="2">
        <f>IF(C706=0,COUNTIFS(A:A,A706,D:D,"a"),"")</f>
        <v>0</v>
      </c>
      <c r="K706" s="2"/>
      <c r="M706" s="2"/>
    </row>
    <row r="707" spans="1:14" x14ac:dyDescent="0.55000000000000004">
      <c r="A707" s="1" t="s">
        <v>2052</v>
      </c>
      <c r="B707" s="2">
        <f>COUNTIF(A:A,A707)-1</f>
        <v>1</v>
      </c>
      <c r="C707" s="2">
        <f>COUNTIF(A$1:A707,A707)-1</f>
        <v>1</v>
      </c>
      <c r="D707" s="2" t="str">
        <f>Argument!D707</f>
        <v>v</v>
      </c>
      <c r="E707" s="2" t="str">
        <f t="shared" si="22"/>
        <v/>
      </c>
      <c r="F707" s="2" t="str">
        <f>IF(C707=0,ISTEXT(FORMULA.CONVERT("="&amp;A707&amp;"("&amp;REPLACE(REPT(",#ref!",B707),1,1,"")&amp;")()",1)),"")</f>
        <v/>
      </c>
      <c r="G707" s="2">
        <f>TYPE(ELSE.IF({1}))</f>
        <v>64</v>
      </c>
      <c r="H707" s="2" t="str">
        <f t="shared" si="23"/>
        <v/>
      </c>
      <c r="I707" s="2">
        <f>TYPE(ELSE.IF(IF(1,1)))</f>
        <v>4</v>
      </c>
      <c r="J707" s="2" t="str">
        <f>IF(C707=0,COUNTIFS(A:A,A707,D:D,"a"),"")</f>
        <v/>
      </c>
      <c r="K707" s="2" t="b">
        <f>INDEX(+ELSE.IF(K707:L707),)</f>
        <v>0</v>
      </c>
      <c r="L707" s="1">
        <v>1</v>
      </c>
      <c r="M707" s="2" t="b">
        <f>INDEX(+ELSE.IF(INDIRECT(M707:N707)),)</f>
        <v>0</v>
      </c>
      <c r="N707" s="1">
        <v>1</v>
      </c>
    </row>
    <row r="708" spans="1:14" x14ac:dyDescent="0.55000000000000004">
      <c r="A708" s="1" t="s">
        <v>2053</v>
      </c>
      <c r="B708" s="2">
        <f>COUNTIF(A:A,A708)-1</f>
        <v>0</v>
      </c>
      <c r="C708" s="2">
        <f>COUNTIF(A$1:A708,A708)-1</f>
        <v>0</v>
      </c>
      <c r="D708" s="2" t="str">
        <f>Argument!D708</f>
        <v/>
      </c>
      <c r="E708" s="2" t="str">
        <f t="shared" si="22"/>
        <v>v</v>
      </c>
      <c r="F708" s="2" t="b">
        <f>IF(C708=0,ISTEXT(FORMULA.CONVERT("="&amp;A708&amp;"("&amp;REPLACE(REPT(",#ref!",B708),1,1,"")&amp;")()",1)),"")</f>
        <v>0</v>
      </c>
      <c r="G708" s="2"/>
      <c r="H708" s="2" t="str">
        <f t="shared" si="23"/>
        <v/>
      </c>
      <c r="I708" s="2">
        <f>TYPE(END.IF())</f>
        <v>4</v>
      </c>
      <c r="J708" s="2">
        <f>IF(C708=0,COUNTIFS(A:A,A708,D:D,"a"),"")</f>
        <v>0</v>
      </c>
      <c r="K708" s="2"/>
      <c r="M708" s="2"/>
    </row>
    <row r="709" spans="1:14" x14ac:dyDescent="0.55000000000000004">
      <c r="A709" s="1" t="s">
        <v>2054</v>
      </c>
      <c r="B709" s="2">
        <f>COUNTIF(A:A,A709)-1</f>
        <v>3</v>
      </c>
      <c r="C709" s="2">
        <f>COUNTIF(A$1:A709,A709)-1</f>
        <v>0</v>
      </c>
      <c r="D709" s="2" t="str">
        <f>Argument!D709</f>
        <v/>
      </c>
      <c r="E709" s="2" t="str">
        <f t="shared" si="22"/>
        <v>v</v>
      </c>
      <c r="F709" s="2" t="b">
        <f>IF(C709=0,ISTEXT(FORMULA.CONVERT("="&amp;A709&amp;"("&amp;REPLACE(REPT(",#ref!",B709),1,1,"")&amp;")()",1)),"")</f>
        <v>0</v>
      </c>
      <c r="G709" s="2"/>
      <c r="H709" s="2" t="str">
        <f t="shared" si="23"/>
        <v/>
      </c>
      <c r="I709" s="2">
        <f>TYPE(FOR.CELL(IF(1,1),IF(1,1),IF(1,1)))</f>
        <v>4</v>
      </c>
      <c r="J709" s="2">
        <f>IF(C709=0,COUNTIFS(A:A,A709,D:D,"a"),"")</f>
        <v>0</v>
      </c>
      <c r="K709" s="2"/>
      <c r="M709" s="2"/>
    </row>
    <row r="710" spans="1:14" x14ac:dyDescent="0.55000000000000004">
      <c r="A710" s="1" t="s">
        <v>2054</v>
      </c>
      <c r="B710" s="2">
        <f>COUNTIF(A:A,A710)-1</f>
        <v>3</v>
      </c>
      <c r="C710" s="2">
        <f>COUNTIF(A$1:A710,A710)-1</f>
        <v>1</v>
      </c>
      <c r="D710" s="2" t="str">
        <f>Argument!D710</f>
        <v>v</v>
      </c>
      <c r="E710" s="2" t="str">
        <f t="shared" si="22"/>
        <v/>
      </c>
      <c r="F710" s="2" t="str">
        <f>IF(C710=0,ISTEXT(FORMULA.CONVERT("="&amp;A710&amp;"("&amp;REPLACE(REPT(",#ref!",B710),1,1,"")&amp;")()",1)),"")</f>
        <v/>
      </c>
      <c r="G710" s="2">
        <f>TYPE(FOR.CELL({1},IF(1,1),IF(1,1)))</f>
        <v>64</v>
      </c>
      <c r="H710" s="2" t="str">
        <f t="shared" si="23"/>
        <v/>
      </c>
      <c r="I710" s="2">
        <f>TYPE(FOR.CELL(IF(1,1),IF(1,1),IF(1,1)))</f>
        <v>4</v>
      </c>
      <c r="J710" s="2" t="str">
        <f>IF(C710=0,COUNTIFS(A:A,A710,D:D,"a"),"")</f>
        <v/>
      </c>
      <c r="K710" s="2" t="b">
        <f>INDEX(+FOR.CELL(K710:L710,#REF!,#REF!),)</f>
        <v>0</v>
      </c>
      <c r="L710" s="1">
        <v>1</v>
      </c>
      <c r="M710" s="2" t="b">
        <f>INDEX(+FOR.CELL(INDIRECT(M710:N710),#REF!,#REF!),)</f>
        <v>0</v>
      </c>
      <c r="N710" s="1">
        <v>1</v>
      </c>
    </row>
    <row r="711" spans="1:14" x14ac:dyDescent="0.55000000000000004">
      <c r="A711" s="1" t="s">
        <v>2054</v>
      </c>
      <c r="B711" s="2">
        <f>COUNTIF(A:A,A711)-1</f>
        <v>3</v>
      </c>
      <c r="C711" s="2">
        <f>COUNTIF(A$1:A711,A711)-1</f>
        <v>2</v>
      </c>
      <c r="D711" s="2" t="str">
        <f>Argument!D711</f>
        <v>vr</v>
      </c>
      <c r="E711" s="2" t="str">
        <f t="shared" si="22"/>
        <v/>
      </c>
      <c r="F711" s="2" t="str">
        <f>IF(C711=0,ISTEXT(FORMULA.CONVERT("="&amp;A711&amp;"("&amp;REPLACE(REPT(",#ref!",B711),1,1,"")&amp;")()",1)),"")</f>
        <v/>
      </c>
      <c r="G711" s="2">
        <f>TYPE(FOR.CELL(IF(1,1),{1},IF(1,1)))</f>
        <v>64</v>
      </c>
      <c r="H711" s="2" t="str">
        <f t="shared" si="23"/>
        <v/>
      </c>
      <c r="I711" s="2">
        <f>TYPE(FOR.CELL(IF(1,1),IF(1,1),IF(1,1)))</f>
        <v>4</v>
      </c>
      <c r="J711" s="2" t="str">
        <f>IF(C711=0,COUNTIFS(A:A,A711,D:D,"a"),"")</f>
        <v/>
      </c>
      <c r="K711" s="2" t="e">
        <f>INDEX(+FOR.CELL(#REF!,K711:L711,#REF!),)</f>
        <v>#VALUE!</v>
      </c>
      <c r="L711" s="1">
        <v>1</v>
      </c>
      <c r="M711" s="2" t="b">
        <f>INDEX(+FOR.CELL(#REF!,INDIRECT(M711:N711),#REF!),)</f>
        <v>0</v>
      </c>
      <c r="N711" s="1">
        <v>1</v>
      </c>
    </row>
    <row r="712" spans="1:14" x14ac:dyDescent="0.55000000000000004">
      <c r="A712" s="1" t="s">
        <v>2054</v>
      </c>
      <c r="B712" s="2">
        <f>COUNTIF(A:A,A712)-1</f>
        <v>3</v>
      </c>
      <c r="C712" s="2">
        <f>COUNTIF(A$1:A712,A712)-1</f>
        <v>3</v>
      </c>
      <c r="D712" s="2" t="str">
        <f>Argument!D712</f>
        <v>vr</v>
      </c>
      <c r="E712" s="2" t="str">
        <f t="shared" si="22"/>
        <v/>
      </c>
      <c r="F712" s="2" t="str">
        <f>IF(C712=0,ISTEXT(FORMULA.CONVERT("="&amp;A712&amp;"("&amp;REPLACE(REPT(",#ref!",B712),1,1,"")&amp;")()",1)),"")</f>
        <v/>
      </c>
      <c r="G712" s="2">
        <f>TYPE(FOR.CELL(IF(1,1),IF(1,1),{1}))</f>
        <v>64</v>
      </c>
      <c r="H712" s="2" t="str">
        <f t="shared" si="23"/>
        <v/>
      </c>
      <c r="I712" s="2">
        <f>TYPE(FOR.CELL(IF(1,1),IF(1,1),IF(1,1)))</f>
        <v>4</v>
      </c>
      <c r="J712" s="2" t="str">
        <f>IF(C712=0,COUNTIFS(A:A,A712,D:D,"a"),"")</f>
        <v/>
      </c>
      <c r="K712" s="2" t="e">
        <f>INDEX(+FOR.CELL(#REF!,#REF!,K712:L712),)</f>
        <v>#VALUE!</v>
      </c>
      <c r="L712" s="1">
        <v>1</v>
      </c>
      <c r="M712" s="2" t="b">
        <f>INDEX(+FOR.CELL(#REF!,#REF!,INDIRECT(M712:N712)),)</f>
        <v>0</v>
      </c>
      <c r="N712" s="1">
        <v>1</v>
      </c>
    </row>
    <row r="713" spans="1:14" x14ac:dyDescent="0.55000000000000004">
      <c r="A713" s="1" t="s">
        <v>1680</v>
      </c>
      <c r="B713" s="2">
        <f>COUNTIF(A:A,A713)-1</f>
        <v>3</v>
      </c>
      <c r="C713" s="2">
        <f>COUNTIF(A$1:A713,A713)-1</f>
        <v>0</v>
      </c>
      <c r="D713" s="2" t="str">
        <f>Argument!D713</f>
        <v/>
      </c>
      <c r="E713" s="2" t="str">
        <f t="shared" si="22"/>
        <v>v</v>
      </c>
      <c r="F713" s="2" t="b">
        <f>IF(C713=0,ISTEXT(FORMULA.CONVERT("="&amp;A713&amp;"("&amp;REPLACE(REPT(",#ref!",B713),1,1,"")&amp;")()",1)),"")</f>
        <v>0</v>
      </c>
      <c r="G713" s="2"/>
      <c r="H713" s="2" t="str">
        <f t="shared" si="23"/>
        <v/>
      </c>
      <c r="I713" s="2">
        <f>TYPE(MEDIAN(IF(1,1),IF(1,1),IF(1,1)))</f>
        <v>1</v>
      </c>
      <c r="J713" s="2">
        <f>IF(C713=0,COUNTIFS(A:A,A713,D:D,"a"),"")</f>
        <v>0</v>
      </c>
      <c r="K713" s="2"/>
      <c r="M713" s="2"/>
    </row>
    <row r="714" spans="1:14" x14ac:dyDescent="0.55000000000000004">
      <c r="A714" s="1" t="s">
        <v>1680</v>
      </c>
      <c r="B714" s="2">
        <f>COUNTIF(A:A,A714)-1</f>
        <v>3</v>
      </c>
      <c r="C714" s="2">
        <f>COUNTIF(A$1:A714,A714)-1</f>
        <v>1</v>
      </c>
      <c r="D714" s="2" t="str">
        <f>Argument!D714</f>
        <v>var</v>
      </c>
      <c r="E714" s="2" t="str">
        <f t="shared" si="22"/>
        <v/>
      </c>
      <c r="F714" s="2" t="str">
        <f>IF(C714=0,ISTEXT(FORMULA.CONVERT("="&amp;A714&amp;"("&amp;REPLACE(REPT(",#ref!",B714),1,1,"")&amp;")()",1)),"")</f>
        <v/>
      </c>
      <c r="G714" s="2">
        <f>TYPE(MEDIAN({1},IF(1,1),IF(1,1)))</f>
        <v>1</v>
      </c>
      <c r="H714" s="2" t="str">
        <f t="shared" si="23"/>
        <v/>
      </c>
      <c r="I714" s="2">
        <f>TYPE(MEDIAN(IF(1,1),IF(1,1),IF(1,1)))</f>
        <v>1</v>
      </c>
      <c r="J714" s="2" t="str">
        <f>IF(C714=0,COUNTIFS(A:A,A714,D:D,"a"),"")</f>
        <v/>
      </c>
      <c r="K714" s="2" t="e">
        <f>INDEX(+MEDIAN(K714:L714,#REF!,#REF!),)</f>
        <v>#REF!</v>
      </c>
      <c r="L714" s="1">
        <v>1</v>
      </c>
      <c r="M714" s="2" t="e">
        <f>INDEX(+MEDIAN(INDIRECT(M714:N714),#REF!,#REF!),)</f>
        <v>#REF!</v>
      </c>
      <c r="N714" s="1">
        <v>1</v>
      </c>
    </row>
    <row r="715" spans="1:14" x14ac:dyDescent="0.55000000000000004">
      <c r="A715" s="1" t="s">
        <v>1680</v>
      </c>
      <c r="B715" s="2">
        <f>COUNTIF(A:A,A715)-1</f>
        <v>3</v>
      </c>
      <c r="C715" s="2">
        <f>COUNTIF(A$1:A715,A715)-1</f>
        <v>2</v>
      </c>
      <c r="D715" s="2" t="str">
        <f>Argument!D715</f>
        <v>var</v>
      </c>
      <c r="E715" s="2" t="str">
        <f t="shared" si="22"/>
        <v/>
      </c>
      <c r="F715" s="2" t="str">
        <f>IF(C715=0,ISTEXT(FORMULA.CONVERT("="&amp;A715&amp;"("&amp;REPLACE(REPT(",#ref!",B715),1,1,"")&amp;")()",1)),"")</f>
        <v/>
      </c>
      <c r="G715" s="2">
        <f>TYPE(MEDIAN(IF(1,1),{1},IF(1,1)))</f>
        <v>1</v>
      </c>
      <c r="H715" s="2" t="str">
        <f t="shared" si="23"/>
        <v/>
      </c>
      <c r="I715" s="2">
        <f>TYPE(MEDIAN(IF(1,1),IF(1,1),IF(1,1)))</f>
        <v>1</v>
      </c>
      <c r="J715" s="2" t="str">
        <f>IF(C715=0,COUNTIFS(A:A,A715,D:D,"a"),"")</f>
        <v/>
      </c>
      <c r="K715" s="2" t="e">
        <f>INDEX(+MEDIAN(#REF!,K715:L715,#REF!),)</f>
        <v>#REF!</v>
      </c>
      <c r="L715" s="1">
        <v>1</v>
      </c>
      <c r="M715" s="2" t="e">
        <f>INDEX(+MEDIAN(#REF!,INDIRECT(M715:N715),#REF!),)</f>
        <v>#REF!</v>
      </c>
      <c r="N715" s="1">
        <v>1</v>
      </c>
    </row>
    <row r="716" spans="1:14" x14ac:dyDescent="0.55000000000000004">
      <c r="A716" s="1" t="s">
        <v>1680</v>
      </c>
      <c r="B716" s="2">
        <f>COUNTIF(A:A,A716)-1</f>
        <v>3</v>
      </c>
      <c r="C716" s="2">
        <f>COUNTIF(A$1:A716,A716)-1</f>
        <v>3</v>
      </c>
      <c r="D716" s="2" t="str">
        <f>Argument!D716</f>
        <v>var</v>
      </c>
      <c r="E716" s="2" t="str">
        <f t="shared" si="22"/>
        <v/>
      </c>
      <c r="F716" s="2" t="str">
        <f>IF(C716=0,ISTEXT(FORMULA.CONVERT("="&amp;A716&amp;"("&amp;REPLACE(REPT(",#ref!",B716),1,1,"")&amp;")()",1)),"")</f>
        <v/>
      </c>
      <c r="G716" s="2">
        <f>TYPE(MEDIAN(IF(1,1),IF(1,1),{1}))</f>
        <v>1</v>
      </c>
      <c r="H716" s="2" t="str">
        <f t="shared" si="23"/>
        <v/>
      </c>
      <c r="I716" s="2">
        <f>TYPE(MEDIAN(IF(1,1),IF(1,1),IF(1,1)))</f>
        <v>1</v>
      </c>
      <c r="J716" s="2" t="str">
        <f>IF(C716=0,COUNTIFS(A:A,A716,D:D,"a"),"")</f>
        <v/>
      </c>
      <c r="K716" s="2" t="e">
        <f>INDEX(+MEDIAN(#REF!,#REF!,K716:L716),)</f>
        <v>#REF!</v>
      </c>
      <c r="L716" s="1">
        <v>1</v>
      </c>
      <c r="M716" s="2" t="e">
        <f>INDEX(+MEDIAN(#REF!,#REF!,INDIRECT(M716:N716)),)</f>
        <v>#REF!</v>
      </c>
      <c r="N716" s="1">
        <v>1</v>
      </c>
    </row>
    <row r="717" spans="1:14" x14ac:dyDescent="0.55000000000000004">
      <c r="A717" s="1" t="s">
        <v>1681</v>
      </c>
      <c r="B717" s="2">
        <f>COUNTIF(A:A,A717)-1</f>
        <v>4</v>
      </c>
      <c r="C717" s="2">
        <f>COUNTIF(A$1:A717,A717)-1</f>
        <v>0</v>
      </c>
      <c r="D717" s="2" t="str">
        <f>Argument!D717</f>
        <v/>
      </c>
      <c r="E717" s="2" t="str">
        <f t="shared" si="22"/>
        <v>v</v>
      </c>
      <c r="F717" s="2" t="b">
        <f>IF(C717=0,ISTEXT(FORMULA.CONVERT("="&amp;A717&amp;"("&amp;REPLACE(REPT(",#ref!",B717),1,1,"")&amp;")()",1)),"")</f>
        <v>0</v>
      </c>
      <c r="G717" s="2"/>
      <c r="H717" s="2" t="str">
        <f t="shared" si="23"/>
        <v/>
      </c>
      <c r="I717" s="2">
        <f>TYPE(SUMPRODUCT(IF(1,1),IF(1,1),IF(1,1),IF(1,1)))</f>
        <v>1</v>
      </c>
      <c r="J717" s="2">
        <f>IF(C717=0,COUNTIFS(A:A,A717,D:D,"a"),"")</f>
        <v>4</v>
      </c>
      <c r="K717" s="2"/>
      <c r="M717" s="2"/>
    </row>
    <row r="718" spans="1:14" x14ac:dyDescent="0.55000000000000004">
      <c r="A718" s="1" t="s">
        <v>1681</v>
      </c>
      <c r="B718" s="2">
        <f>COUNTIF(A:A,A718)-1</f>
        <v>4</v>
      </c>
      <c r="C718" s="2">
        <f>COUNTIF(A$1:A718,A718)-1</f>
        <v>1</v>
      </c>
      <c r="D718" s="2" t="str">
        <f>Argument!D718</f>
        <v>a</v>
      </c>
      <c r="E718" s="2" t="str">
        <f t="shared" si="22"/>
        <v/>
      </c>
      <c r="F718" s="2" t="str">
        <f>IF(C718=0,ISTEXT(FORMULA.CONVERT("="&amp;A718&amp;"("&amp;REPLACE(REPT(",#ref!",B718),1,1,"")&amp;")()",1)),"")</f>
        <v/>
      </c>
      <c r="G718" s="2">
        <f>TYPE(SUMPRODUCT({1},IF(1,1),IF(1,1),IF(1,1)))</f>
        <v>1</v>
      </c>
      <c r="H718" s="2" t="str">
        <f t="shared" si="23"/>
        <v/>
      </c>
      <c r="I718" s="2">
        <f>TYPE(SUMPRODUCT(IF(1,1),IF(1,1),IF(1,1),IF(1,1)))</f>
        <v>1</v>
      </c>
      <c r="J718" s="2" t="str">
        <f>IF(C718=0,COUNTIFS(A:A,A718,D:D,"a"),"")</f>
        <v/>
      </c>
      <c r="K718" s="2" t="e">
        <f>INDEX(+SUMPRODUCT(K718:L718,#REF!,#REF!,#REF!),)</f>
        <v>#REF!</v>
      </c>
      <c r="L718" s="1">
        <v>1</v>
      </c>
      <c r="M718" s="2" t="e">
        <f>INDEX(+SUMPRODUCT(INDIRECT(M718:N718),#REF!,#REF!,#REF!),)</f>
        <v>#REF!</v>
      </c>
      <c r="N718" s="1">
        <v>1</v>
      </c>
    </row>
    <row r="719" spans="1:14" x14ac:dyDescent="0.55000000000000004">
      <c r="A719" s="1" t="s">
        <v>1681</v>
      </c>
      <c r="B719" s="2">
        <f>COUNTIF(A:A,A719)-1</f>
        <v>4</v>
      </c>
      <c r="C719" s="2">
        <f>COUNTIF(A$1:A719,A719)-1</f>
        <v>2</v>
      </c>
      <c r="D719" s="2" t="str">
        <f>Argument!D719</f>
        <v>a</v>
      </c>
      <c r="E719" s="2" t="str">
        <f t="shared" si="22"/>
        <v/>
      </c>
      <c r="F719" s="2" t="str">
        <f>IF(C719=0,ISTEXT(FORMULA.CONVERT("="&amp;A719&amp;"("&amp;REPLACE(REPT(",#ref!",B719),1,1,"")&amp;")()",1)),"")</f>
        <v/>
      </c>
      <c r="G719" s="2">
        <f>TYPE(SUMPRODUCT(IF(1,1),{1},IF(1,1),IF(1,1)))</f>
        <v>1</v>
      </c>
      <c r="H719" s="2" t="str">
        <f t="shared" si="23"/>
        <v/>
      </c>
      <c r="I719" s="2">
        <f>TYPE(SUMPRODUCT(IF(1,1),IF(1,1),IF(1,1),IF(1,1)))</f>
        <v>1</v>
      </c>
      <c r="J719" s="2" t="str">
        <f>IF(C719=0,COUNTIFS(A:A,A719,D:D,"a"),"")</f>
        <v/>
      </c>
      <c r="K719" s="2" t="e">
        <f>INDEX(+SUMPRODUCT(#REF!,K719:L719,#REF!,#REF!),)</f>
        <v>#REF!</v>
      </c>
      <c r="L719" s="1">
        <v>1</v>
      </c>
      <c r="M719" s="2" t="e">
        <f>INDEX(+SUMPRODUCT(#REF!,INDIRECT(M719:N719),#REF!,#REF!),)</f>
        <v>#REF!</v>
      </c>
      <c r="N719" s="1">
        <v>1</v>
      </c>
    </row>
    <row r="720" spans="1:14" x14ac:dyDescent="0.55000000000000004">
      <c r="A720" s="1" t="s">
        <v>1681</v>
      </c>
      <c r="B720" s="2">
        <f>COUNTIF(A:A,A720)-1</f>
        <v>4</v>
      </c>
      <c r="C720" s="2">
        <f>COUNTIF(A$1:A720,A720)-1</f>
        <v>3</v>
      </c>
      <c r="D720" s="2" t="str">
        <f>Argument!D720</f>
        <v>a</v>
      </c>
      <c r="E720" s="2" t="str">
        <f t="shared" si="22"/>
        <v/>
      </c>
      <c r="F720" s="2" t="str">
        <f>IF(C720=0,ISTEXT(FORMULA.CONVERT("="&amp;A720&amp;"("&amp;REPLACE(REPT(",#ref!",B720),1,1,"")&amp;")()",1)),"")</f>
        <v/>
      </c>
      <c r="G720" s="2">
        <f>TYPE(SUMPRODUCT(IF(1,1),IF(1,1),{1},IF(1,1)))</f>
        <v>1</v>
      </c>
      <c r="H720" s="2" t="str">
        <f t="shared" si="23"/>
        <v/>
      </c>
      <c r="I720" s="2">
        <f>TYPE(SUMPRODUCT(IF(1,1),IF(1,1),IF(1,1),IF(1,1)))</f>
        <v>1</v>
      </c>
      <c r="J720" s="2" t="str">
        <f>IF(C720=0,COUNTIFS(A:A,A720,D:D,"a"),"")</f>
        <v/>
      </c>
      <c r="K720" s="2" t="e">
        <f>INDEX(+SUMPRODUCT(#REF!,#REF!,K720:L720,#REF!),)</f>
        <v>#REF!</v>
      </c>
      <c r="L720" s="1">
        <v>1</v>
      </c>
      <c r="M720" s="2" t="e">
        <f>INDEX(+SUMPRODUCT(#REF!,#REF!,INDIRECT(M720:N720),#REF!),)</f>
        <v>#REF!</v>
      </c>
      <c r="N720" s="1">
        <v>1</v>
      </c>
    </row>
    <row r="721" spans="1:14" x14ac:dyDescent="0.55000000000000004">
      <c r="A721" s="1" t="s">
        <v>1681</v>
      </c>
      <c r="B721" s="2">
        <f>COUNTIF(A:A,A721)-1</f>
        <v>4</v>
      </c>
      <c r="C721" s="2">
        <f>COUNTIF(A$1:A721,A721)-1</f>
        <v>4</v>
      </c>
      <c r="D721" s="2" t="str">
        <f>Argument!D721</f>
        <v>a</v>
      </c>
      <c r="E721" s="2" t="str">
        <f t="shared" si="22"/>
        <v/>
      </c>
      <c r="F721" s="2" t="str">
        <f>IF(C721=0,ISTEXT(FORMULA.CONVERT("="&amp;A721&amp;"("&amp;REPLACE(REPT(",#ref!",B721),1,1,"")&amp;")()",1)),"")</f>
        <v/>
      </c>
      <c r="G721" s="2">
        <f>TYPE(SUMPRODUCT(IF(1,1),IF(1,1),IF(1,1),{1}))</f>
        <v>1</v>
      </c>
      <c r="H721" s="2" t="str">
        <f t="shared" si="23"/>
        <v/>
      </c>
      <c r="I721" s="2">
        <f>TYPE(SUMPRODUCT(IF(1,1),IF(1,1),IF(1,1),IF(1,1)))</f>
        <v>1</v>
      </c>
      <c r="J721" s="2" t="str">
        <f>IF(C721=0,COUNTIFS(A:A,A721,D:D,"a"),"")</f>
        <v/>
      </c>
      <c r="K721" s="2" t="e">
        <f>INDEX(+SUMPRODUCT(#REF!,#REF!,#REF!,K721:L721),)</f>
        <v>#REF!</v>
      </c>
      <c r="L721" s="1">
        <v>1</v>
      </c>
      <c r="M721" s="2" t="e">
        <f>INDEX(+SUMPRODUCT(#REF!,#REF!,#REF!,INDIRECT(M721:N721)),)</f>
        <v>#REF!</v>
      </c>
      <c r="N721" s="1">
        <v>1</v>
      </c>
    </row>
    <row r="722" spans="1:14" x14ac:dyDescent="0.55000000000000004">
      <c r="A722" s="1" t="s">
        <v>1682</v>
      </c>
      <c r="B722" s="2">
        <f>COUNTIF(A:A,A722)-1</f>
        <v>1</v>
      </c>
      <c r="C722" s="2">
        <f>COUNTIF(A$1:A722,A722)-1</f>
        <v>0</v>
      </c>
      <c r="D722" s="2" t="str">
        <f>Argument!D722</f>
        <v/>
      </c>
      <c r="E722" s="2" t="str">
        <f t="shared" si="22"/>
        <v>v</v>
      </c>
      <c r="F722" s="2" t="b">
        <f>IF(C722=0,ISTEXT(FORMULA.CONVERT("="&amp;A722&amp;"("&amp;REPLACE(REPT(",#ref!",B722),1,1,"")&amp;")()",1)),"")</f>
        <v>0</v>
      </c>
      <c r="G722" s="2"/>
      <c r="H722" s="2" t="str">
        <f t="shared" si="23"/>
        <v/>
      </c>
      <c r="I722" s="2">
        <f>TYPE(SINH(IF(1,1)))</f>
        <v>1</v>
      </c>
      <c r="J722" s="2">
        <f>IF(C722=0,COUNTIFS(A:A,A722,D:D,"a"),"")</f>
        <v>0</v>
      </c>
      <c r="K722" s="2"/>
      <c r="M722" s="2"/>
    </row>
    <row r="723" spans="1:14" x14ac:dyDescent="0.55000000000000004">
      <c r="A723" s="1" t="s">
        <v>1682</v>
      </c>
      <c r="B723" s="2">
        <f>COUNTIF(A:A,A723)-1</f>
        <v>1</v>
      </c>
      <c r="C723" s="2">
        <f>COUNTIF(A$1:A723,A723)-1</f>
        <v>1</v>
      </c>
      <c r="D723" s="2" t="str">
        <f>Argument!D723</f>
        <v>v</v>
      </c>
      <c r="E723" s="2" t="str">
        <f t="shared" si="22"/>
        <v/>
      </c>
      <c r="F723" s="2" t="str">
        <f>IF(C723=0,ISTEXT(FORMULA.CONVERT("="&amp;A723&amp;"("&amp;REPLACE(REPT(",#ref!",B723),1,1,"")&amp;")()",1)),"")</f>
        <v/>
      </c>
      <c r="G723" s="2">
        <f>TYPE(SINH({1}))</f>
        <v>64</v>
      </c>
      <c r="H723" s="2" t="str">
        <f t="shared" si="23"/>
        <v/>
      </c>
      <c r="I723" s="2">
        <f>TYPE(SINH(IF(1,1)))</f>
        <v>1</v>
      </c>
      <c r="J723" s="2" t="str">
        <f>IF(C723=0,COUNTIFS(A:A,A723,D:D,"a"),"")</f>
        <v/>
      </c>
      <c r="K723" s="2">
        <f>INDEX(+SINH(K723:L723),)</f>
        <v>0</v>
      </c>
      <c r="L723" s="1">
        <v>1</v>
      </c>
      <c r="M723" s="2" t="e">
        <f>INDEX(+SINH(INDIRECT(M723:N723)),)</f>
        <v>#REF!</v>
      </c>
      <c r="N723" s="1">
        <v>1</v>
      </c>
    </row>
    <row r="724" spans="1:14" x14ac:dyDescent="0.55000000000000004">
      <c r="A724" s="1" t="s">
        <v>1683</v>
      </c>
      <c r="B724" s="2">
        <f>COUNTIF(A:A,A724)-1</f>
        <v>1</v>
      </c>
      <c r="C724" s="2">
        <f>COUNTIF(A$1:A724,A724)-1</f>
        <v>0</v>
      </c>
      <c r="D724" s="2" t="str">
        <f>Argument!D724</f>
        <v/>
      </c>
      <c r="E724" s="2" t="str">
        <f t="shared" si="22"/>
        <v>v</v>
      </c>
      <c r="F724" s="2" t="b">
        <f>IF(C724=0,ISTEXT(FORMULA.CONVERT("="&amp;A724&amp;"("&amp;REPLACE(REPT(",#ref!",B724),1,1,"")&amp;")()",1)),"")</f>
        <v>0</v>
      </c>
      <c r="G724" s="2"/>
      <c r="H724" s="2" t="str">
        <f t="shared" si="23"/>
        <v/>
      </c>
      <c r="I724" s="2">
        <f>TYPE(COSH(IF(1,1)))</f>
        <v>1</v>
      </c>
      <c r="J724" s="2">
        <f>IF(C724=0,COUNTIFS(A:A,A724,D:D,"a"),"")</f>
        <v>0</v>
      </c>
      <c r="K724" s="2"/>
      <c r="M724" s="2"/>
    </row>
    <row r="725" spans="1:14" x14ac:dyDescent="0.55000000000000004">
      <c r="A725" s="1" t="s">
        <v>1683</v>
      </c>
      <c r="B725" s="2">
        <f>COUNTIF(A:A,A725)-1</f>
        <v>1</v>
      </c>
      <c r="C725" s="2">
        <f>COUNTIF(A$1:A725,A725)-1</f>
        <v>1</v>
      </c>
      <c r="D725" s="2" t="str">
        <f>Argument!D725</f>
        <v>v</v>
      </c>
      <c r="E725" s="2" t="str">
        <f t="shared" si="22"/>
        <v/>
      </c>
      <c r="F725" s="2" t="str">
        <f>IF(C725=0,ISTEXT(FORMULA.CONVERT("="&amp;A725&amp;"("&amp;REPLACE(REPT(",#ref!",B725),1,1,"")&amp;")()",1)),"")</f>
        <v/>
      </c>
      <c r="G725" s="2">
        <f>TYPE(COSH({1}))</f>
        <v>64</v>
      </c>
      <c r="H725" s="2" t="str">
        <f t="shared" si="23"/>
        <v/>
      </c>
      <c r="I725" s="2">
        <f>TYPE(COSH(IF(1,1)))</f>
        <v>1</v>
      </c>
      <c r="J725" s="2" t="str">
        <f>IF(C725=0,COUNTIFS(A:A,A725,D:D,"a"),"")</f>
        <v/>
      </c>
      <c r="K725" s="2">
        <f>INDEX(+COSH(K725:L725),)</f>
        <v>1</v>
      </c>
      <c r="L725" s="1">
        <v>1</v>
      </c>
      <c r="M725" s="2" t="e">
        <f>INDEX(+COSH(INDIRECT(M725:N725)),)</f>
        <v>#REF!</v>
      </c>
      <c r="N725" s="1">
        <v>1</v>
      </c>
    </row>
    <row r="726" spans="1:14" x14ac:dyDescent="0.55000000000000004">
      <c r="A726" s="1" t="s">
        <v>1684</v>
      </c>
      <c r="B726" s="2">
        <f>COUNTIF(A:A,A726)-1</f>
        <v>1</v>
      </c>
      <c r="C726" s="2">
        <f>COUNTIF(A$1:A726,A726)-1</f>
        <v>0</v>
      </c>
      <c r="D726" s="2" t="str">
        <f>Argument!D726</f>
        <v/>
      </c>
      <c r="E726" s="2" t="str">
        <f t="shared" si="22"/>
        <v>v</v>
      </c>
      <c r="F726" s="2" t="b">
        <f>IF(C726=0,ISTEXT(FORMULA.CONVERT("="&amp;A726&amp;"("&amp;REPLACE(REPT(",#ref!",B726),1,1,"")&amp;")()",1)),"")</f>
        <v>0</v>
      </c>
      <c r="G726" s="2"/>
      <c r="H726" s="2" t="str">
        <f t="shared" si="23"/>
        <v/>
      </c>
      <c r="I726" s="2">
        <f>TYPE(TANH(IF(1,1)))</f>
        <v>1</v>
      </c>
      <c r="J726" s="2">
        <f>IF(C726=0,COUNTIFS(A:A,A726,D:D,"a"),"")</f>
        <v>0</v>
      </c>
      <c r="K726" s="2"/>
      <c r="M726" s="2"/>
    </row>
    <row r="727" spans="1:14" x14ac:dyDescent="0.55000000000000004">
      <c r="A727" s="1" t="s">
        <v>1684</v>
      </c>
      <c r="B727" s="2">
        <f>COUNTIF(A:A,A727)-1</f>
        <v>1</v>
      </c>
      <c r="C727" s="2">
        <f>COUNTIF(A$1:A727,A727)-1</f>
        <v>1</v>
      </c>
      <c r="D727" s="2" t="str">
        <f>Argument!D727</f>
        <v>v</v>
      </c>
      <c r="E727" s="2" t="str">
        <f t="shared" si="22"/>
        <v/>
      </c>
      <c r="F727" s="2" t="str">
        <f>IF(C727=0,ISTEXT(FORMULA.CONVERT("="&amp;A727&amp;"("&amp;REPLACE(REPT(",#ref!",B727),1,1,"")&amp;")()",1)),"")</f>
        <v/>
      </c>
      <c r="G727" s="2">
        <f>TYPE(TANH({1}))</f>
        <v>64</v>
      </c>
      <c r="H727" s="2" t="str">
        <f t="shared" si="23"/>
        <v/>
      </c>
      <c r="I727" s="2">
        <f>TYPE(TANH(IF(1,1)))</f>
        <v>1</v>
      </c>
      <c r="J727" s="2" t="str">
        <f>IF(C727=0,COUNTIFS(A:A,A727,D:D,"a"),"")</f>
        <v/>
      </c>
      <c r="K727" s="2">
        <f>INDEX(+TANH(K727:L727),)</f>
        <v>0</v>
      </c>
      <c r="L727" s="1">
        <v>1</v>
      </c>
      <c r="M727" s="2" t="e">
        <f>INDEX(+TANH(INDIRECT(M727:N727)),)</f>
        <v>#REF!</v>
      </c>
      <c r="N727" s="1">
        <v>1</v>
      </c>
    </row>
    <row r="728" spans="1:14" x14ac:dyDescent="0.55000000000000004">
      <c r="A728" s="1" t="s">
        <v>1685</v>
      </c>
      <c r="B728" s="2">
        <f>COUNTIF(A:A,A728)-1</f>
        <v>1</v>
      </c>
      <c r="C728" s="2">
        <f>COUNTIF(A$1:A728,A728)-1</f>
        <v>0</v>
      </c>
      <c r="D728" s="2" t="str">
        <f>Argument!D728</f>
        <v/>
      </c>
      <c r="E728" s="2" t="str">
        <f t="shared" si="22"/>
        <v>v</v>
      </c>
      <c r="F728" s="2" t="b">
        <f>IF(C728=0,ISTEXT(FORMULA.CONVERT("="&amp;A728&amp;"("&amp;REPLACE(REPT(",#ref!",B728),1,1,"")&amp;")()",1)),"")</f>
        <v>0</v>
      </c>
      <c r="G728" s="2"/>
      <c r="H728" s="2" t="str">
        <f t="shared" si="23"/>
        <v/>
      </c>
      <c r="I728" s="2">
        <f>TYPE(ASINH(IF(1,1)))</f>
        <v>1</v>
      </c>
      <c r="J728" s="2">
        <f>IF(C728=0,COUNTIFS(A:A,A728,D:D,"a"),"")</f>
        <v>0</v>
      </c>
      <c r="K728" s="2"/>
      <c r="M728" s="2"/>
    </row>
    <row r="729" spans="1:14" x14ac:dyDescent="0.55000000000000004">
      <c r="A729" s="1" t="s">
        <v>1685</v>
      </c>
      <c r="B729" s="2">
        <f>COUNTIF(A:A,A729)-1</f>
        <v>1</v>
      </c>
      <c r="C729" s="2">
        <f>COUNTIF(A$1:A729,A729)-1</f>
        <v>1</v>
      </c>
      <c r="D729" s="2" t="str">
        <f>Argument!D729</f>
        <v>v</v>
      </c>
      <c r="E729" s="2" t="str">
        <f t="shared" si="22"/>
        <v/>
      </c>
      <c r="F729" s="2" t="str">
        <f>IF(C729=0,ISTEXT(FORMULA.CONVERT("="&amp;A729&amp;"("&amp;REPLACE(REPT(",#ref!",B729),1,1,"")&amp;")()",1)),"")</f>
        <v/>
      </c>
      <c r="G729" s="2">
        <f>TYPE(ASINH({1}))</f>
        <v>64</v>
      </c>
      <c r="H729" s="2" t="str">
        <f t="shared" si="23"/>
        <v/>
      </c>
      <c r="I729" s="2">
        <f>TYPE(ASINH(IF(1,1)))</f>
        <v>1</v>
      </c>
      <c r="J729" s="2" t="str">
        <f>IF(C729=0,COUNTIFS(A:A,A729,D:D,"a"),"")</f>
        <v/>
      </c>
      <c r="K729" s="2">
        <f>INDEX(+ASINH(K729:L729),)</f>
        <v>0</v>
      </c>
      <c r="L729" s="1">
        <v>1</v>
      </c>
      <c r="M729" s="2" t="e">
        <f>INDEX(+ASINH(INDIRECT(M729:N729)),)</f>
        <v>#REF!</v>
      </c>
      <c r="N729" s="1">
        <v>1</v>
      </c>
    </row>
    <row r="730" spans="1:14" x14ac:dyDescent="0.55000000000000004">
      <c r="A730" s="1" t="s">
        <v>1686</v>
      </c>
      <c r="B730" s="2">
        <f>COUNTIF(A:A,A730)-1</f>
        <v>1</v>
      </c>
      <c r="C730" s="2">
        <f>COUNTIF(A$1:A730,A730)-1</f>
        <v>0</v>
      </c>
      <c r="D730" s="2" t="str">
        <f>Argument!D730</f>
        <v/>
      </c>
      <c r="E730" s="2" t="str">
        <f t="shared" si="22"/>
        <v>v</v>
      </c>
      <c r="F730" s="2" t="b">
        <f>IF(C730=0,ISTEXT(FORMULA.CONVERT("="&amp;A730&amp;"("&amp;REPLACE(REPT(",#ref!",B730),1,1,"")&amp;")()",1)),"")</f>
        <v>0</v>
      </c>
      <c r="G730" s="2"/>
      <c r="H730" s="2" t="str">
        <f t="shared" si="23"/>
        <v/>
      </c>
      <c r="I730" s="2">
        <f>TYPE(ACOSH(IF(1,1)))</f>
        <v>1</v>
      </c>
      <c r="J730" s="2">
        <f>IF(C730=0,COUNTIFS(A:A,A730,D:D,"a"),"")</f>
        <v>0</v>
      </c>
      <c r="K730" s="2"/>
      <c r="M730" s="2"/>
    </row>
    <row r="731" spans="1:14" x14ac:dyDescent="0.55000000000000004">
      <c r="A731" s="1" t="s">
        <v>1686</v>
      </c>
      <c r="B731" s="2">
        <f>COUNTIF(A:A,A731)-1</f>
        <v>1</v>
      </c>
      <c r="C731" s="2">
        <f>COUNTIF(A$1:A731,A731)-1</f>
        <v>1</v>
      </c>
      <c r="D731" s="2" t="str">
        <f>Argument!D731</f>
        <v>v</v>
      </c>
      <c r="E731" s="2" t="str">
        <f t="shared" si="22"/>
        <v/>
      </c>
      <c r="F731" s="2" t="str">
        <f>IF(C731=0,ISTEXT(FORMULA.CONVERT("="&amp;A731&amp;"("&amp;REPLACE(REPT(",#ref!",B731),1,1,"")&amp;")()",1)),"")</f>
        <v/>
      </c>
      <c r="G731" s="2">
        <f>TYPE(ACOSH({1}))</f>
        <v>64</v>
      </c>
      <c r="H731" s="2" t="str">
        <f t="shared" si="23"/>
        <v/>
      </c>
      <c r="I731" s="2">
        <f>TYPE(ACOSH(IF(1,1)))</f>
        <v>1</v>
      </c>
      <c r="J731" s="2" t="str">
        <f>IF(C731=0,COUNTIFS(A:A,A731,D:D,"a"),"")</f>
        <v/>
      </c>
      <c r="K731" s="2" t="e">
        <f>INDEX(+ACOSH(K731:L731),)</f>
        <v>#NUM!</v>
      </c>
      <c r="L731" s="1">
        <v>1</v>
      </c>
      <c r="M731" s="2" t="e">
        <f>INDEX(+ACOSH(INDIRECT(M731:N731)),)</f>
        <v>#REF!</v>
      </c>
      <c r="N731" s="1">
        <v>1</v>
      </c>
    </row>
    <row r="732" spans="1:14" x14ac:dyDescent="0.55000000000000004">
      <c r="A732" s="1" t="s">
        <v>1687</v>
      </c>
      <c r="B732" s="2">
        <f>COUNTIF(A:A,A732)-1</f>
        <v>1</v>
      </c>
      <c r="C732" s="2">
        <f>COUNTIF(A$1:A732,A732)-1</f>
        <v>0</v>
      </c>
      <c r="D732" s="2" t="str">
        <f>Argument!D732</f>
        <v/>
      </c>
      <c r="E732" s="2" t="str">
        <f t="shared" si="22"/>
        <v>v</v>
      </c>
      <c r="F732" s="2" t="b">
        <f>IF(C732=0,ISTEXT(FORMULA.CONVERT("="&amp;A732&amp;"("&amp;REPLACE(REPT(",#ref!",B732),1,1,"")&amp;")()",1)),"")</f>
        <v>0</v>
      </c>
      <c r="G732" s="2"/>
      <c r="H732" s="2" t="str">
        <f t="shared" si="23"/>
        <v/>
      </c>
      <c r="I732" s="2">
        <f>TYPE(ATANH(IF(1,1)))</f>
        <v>16</v>
      </c>
      <c r="J732" s="2">
        <f>IF(C732=0,COUNTIFS(A:A,A732,D:D,"a"),"")</f>
        <v>0</v>
      </c>
      <c r="K732" s="2"/>
      <c r="M732" s="2"/>
    </row>
    <row r="733" spans="1:14" x14ac:dyDescent="0.55000000000000004">
      <c r="A733" s="1" t="s">
        <v>1687</v>
      </c>
      <c r="B733" s="2">
        <f>COUNTIF(A:A,A733)-1</f>
        <v>1</v>
      </c>
      <c r="C733" s="2">
        <f>COUNTIF(A$1:A733,A733)-1</f>
        <v>1</v>
      </c>
      <c r="D733" s="2" t="str">
        <f>Argument!D733</f>
        <v>v</v>
      </c>
      <c r="E733" s="2" t="str">
        <f t="shared" si="22"/>
        <v/>
      </c>
      <c r="F733" s="2" t="str">
        <f>IF(C733=0,ISTEXT(FORMULA.CONVERT("="&amp;A733&amp;"("&amp;REPLACE(REPT(",#ref!",B733),1,1,"")&amp;")()",1)),"")</f>
        <v/>
      </c>
      <c r="G733" s="2">
        <f>TYPE(ATANH({1}))</f>
        <v>64</v>
      </c>
      <c r="H733" s="2" t="str">
        <f t="shared" si="23"/>
        <v/>
      </c>
      <c r="I733" s="2">
        <f>TYPE(ATANH(IF(1,1)))</f>
        <v>16</v>
      </c>
      <c r="J733" s="2" t="str">
        <f>IF(C733=0,COUNTIFS(A:A,A733,D:D,"a"),"")</f>
        <v/>
      </c>
      <c r="K733" s="2">
        <f>INDEX(+ATANH(K733:L733),)</f>
        <v>0</v>
      </c>
      <c r="L733" s="1">
        <v>1</v>
      </c>
      <c r="M733" s="2" t="e">
        <f>INDEX(+ATANH(INDIRECT(M733:N733)),)</f>
        <v>#REF!</v>
      </c>
      <c r="N733" s="1">
        <v>1</v>
      </c>
    </row>
    <row r="734" spans="1:14" x14ac:dyDescent="0.55000000000000004">
      <c r="A734" s="1" t="s">
        <v>1688</v>
      </c>
      <c r="B734" s="2">
        <f>COUNTIF(A:A,A734)-1</f>
        <v>3</v>
      </c>
      <c r="C734" s="2">
        <f>COUNTIF(A$1:A734,A734)-1</f>
        <v>0</v>
      </c>
      <c r="D734" s="2" t="str">
        <f>Argument!D734</f>
        <v/>
      </c>
      <c r="E734" s="2" t="str">
        <f t="shared" si="22"/>
        <v>v</v>
      </c>
      <c r="F734" s="2" t="b">
        <f>IF(C734=0,ISTEXT(FORMULA.CONVERT("="&amp;A734&amp;"("&amp;REPLACE(REPT(",#ref!",B734),1,1,"")&amp;")()",1)),"")</f>
        <v>0</v>
      </c>
      <c r="G734" s="2"/>
      <c r="H734" s="2" t="str">
        <f t="shared" si="23"/>
        <v/>
      </c>
      <c r="I734" s="2">
        <f>TYPE(DGET(IF(1,1),IF(1,1),IF(1,1)))</f>
        <v>16</v>
      </c>
      <c r="J734" s="2">
        <f>IF(C734=0,COUNTIFS(A:A,A734,D:D,"a"),"")</f>
        <v>0</v>
      </c>
      <c r="K734" s="2"/>
      <c r="M734" s="2"/>
    </row>
    <row r="735" spans="1:14" x14ac:dyDescent="0.55000000000000004">
      <c r="A735" s="1" t="s">
        <v>1688</v>
      </c>
      <c r="B735" s="2">
        <f>COUNTIF(A:A,A735)-1</f>
        <v>3</v>
      </c>
      <c r="C735" s="2">
        <f>COUNTIF(A$1:A735,A735)-1</f>
        <v>1</v>
      </c>
      <c r="D735" s="2" t="str">
        <f>Argument!D735</f>
        <v>r</v>
      </c>
      <c r="E735" s="2" t="str">
        <f t="shared" si="22"/>
        <v/>
      </c>
      <c r="F735" s="2" t="str">
        <f>IF(C735=0,ISTEXT(FORMULA.CONVERT("="&amp;A735&amp;"("&amp;REPLACE(REPT(",#ref!",B735),1,1,"")&amp;")()",1)),"")</f>
        <v/>
      </c>
      <c r="G735" s="2"/>
      <c r="H735" s="2" t="str">
        <f t="shared" si="23"/>
        <v/>
      </c>
      <c r="I735" s="2">
        <f>TYPE(DGET(IF(1,1),IF(1,1),IF(1,1)))</f>
        <v>16</v>
      </c>
      <c r="J735" s="2" t="str">
        <f>IF(C735=0,COUNTIFS(A:A,A735,D:D,"a"),"")</f>
        <v/>
      </c>
      <c r="K735" s="2" t="e">
        <f>INDEX(+DGET(K735:L735,#REF!,#REF!),)</f>
        <v>#REF!</v>
      </c>
      <c r="L735" s="1">
        <v>1</v>
      </c>
      <c r="M735" s="2" t="e">
        <f>INDEX(+DGET(INDIRECT(M735:N735),#REF!,#REF!),)</f>
        <v>#REF!</v>
      </c>
      <c r="N735" s="1">
        <v>1</v>
      </c>
    </row>
    <row r="736" spans="1:14" x14ac:dyDescent="0.55000000000000004">
      <c r="A736" s="1" t="s">
        <v>1688</v>
      </c>
      <c r="B736" s="2">
        <f>COUNTIF(A:A,A736)-1</f>
        <v>3</v>
      </c>
      <c r="C736" s="2">
        <f>COUNTIF(A$1:A736,A736)-1</f>
        <v>2</v>
      </c>
      <c r="D736" s="2" t="str">
        <f>Argument!D736</f>
        <v>vr</v>
      </c>
      <c r="E736" s="2" t="str">
        <f t="shared" si="22"/>
        <v/>
      </c>
      <c r="F736" s="2" t="str">
        <f>IF(C736=0,ISTEXT(FORMULA.CONVERT("="&amp;A736&amp;"("&amp;REPLACE(REPT(",#ref!",B736),1,1,"")&amp;")()",1)),"")</f>
        <v/>
      </c>
      <c r="G736" s="2">
        <f>TYPE(DGET(IF(1,1),{1},IF(1,1)))</f>
        <v>64</v>
      </c>
      <c r="H736" s="2" t="str">
        <f t="shared" si="23"/>
        <v/>
      </c>
      <c r="I736" s="2">
        <f>TYPE(DGET(IF(1,1),IF(1,1),IF(1,1)))</f>
        <v>16</v>
      </c>
      <c r="J736" s="2" t="str">
        <f>IF(C736=0,COUNTIFS(A:A,A736,D:D,"a"),"")</f>
        <v/>
      </c>
      <c r="K736" s="2" t="e">
        <f>INDEX(+DGET(#REF!,K736:L736,#REF!),)</f>
        <v>#REF!</v>
      </c>
      <c r="L736" s="1">
        <v>1</v>
      </c>
      <c r="M736" s="2" t="e">
        <f>INDEX(+DGET(#REF!,INDIRECT(M736:N736),#REF!),)</f>
        <v>#REF!</v>
      </c>
      <c r="N736" s="1">
        <v>1</v>
      </c>
    </row>
    <row r="737" spans="1:14" x14ac:dyDescent="0.55000000000000004">
      <c r="A737" s="1" t="s">
        <v>1688</v>
      </c>
      <c r="B737" s="2">
        <f>COUNTIF(A:A,A737)-1</f>
        <v>3</v>
      </c>
      <c r="C737" s="2">
        <f>COUNTIF(A$1:A737,A737)-1</f>
        <v>3</v>
      </c>
      <c r="D737" s="2" t="str">
        <f>Argument!D737</f>
        <v>vr</v>
      </c>
      <c r="E737" s="2" t="str">
        <f t="shared" si="22"/>
        <v/>
      </c>
      <c r="F737" s="2" t="str">
        <f>IF(C737=0,ISTEXT(FORMULA.CONVERT("="&amp;A737&amp;"("&amp;REPLACE(REPT(",#ref!",B737),1,1,"")&amp;")()",1)),"")</f>
        <v/>
      </c>
      <c r="G737" s="2">
        <f>TYPE(DGET(IF(1,1),IF(1,1),{1}))</f>
        <v>64</v>
      </c>
      <c r="H737" s="2" t="str">
        <f t="shared" si="23"/>
        <v/>
      </c>
      <c r="I737" s="2">
        <f>TYPE(DGET(IF(1,1),IF(1,1),IF(1,1)))</f>
        <v>16</v>
      </c>
      <c r="J737" s="2" t="str">
        <f>IF(C737=0,COUNTIFS(A:A,A737,D:D,"a"),"")</f>
        <v/>
      </c>
      <c r="K737" s="2" t="e">
        <f>INDEX(+DGET(#REF!,#REF!,K737:L737),)</f>
        <v>#REF!</v>
      </c>
      <c r="L737" s="1">
        <v>1</v>
      </c>
      <c r="M737" s="2" t="e">
        <f>INDEX(+DGET(#REF!,#REF!,INDIRECT(M737:N737)),)</f>
        <v>#REF!</v>
      </c>
      <c r="N737" s="1">
        <v>1</v>
      </c>
    </row>
    <row r="738" spans="1:14" x14ac:dyDescent="0.55000000000000004">
      <c r="A738" s="1" t="s">
        <v>1689</v>
      </c>
      <c r="B738" s="2">
        <f>COUNTIF(A:A,A738)-1</f>
        <v>10</v>
      </c>
      <c r="C738" s="2">
        <f>COUNTIF(A$1:A738,A738)-1</f>
        <v>0</v>
      </c>
      <c r="D738" s="2" t="str">
        <f>Argument!D738</f>
        <v/>
      </c>
      <c r="E738" s="2" t="str">
        <f t="shared" si="22"/>
        <v>v</v>
      </c>
      <c r="F738" s="2" t="b">
        <f>IF(C738=0,ISTEXT(FORMULA.CONVERT("="&amp;A738&amp;"("&amp;REPLACE(REPT(",#ref!",B738),1,1,"")&amp;")()",1)),"")</f>
        <v>0</v>
      </c>
      <c r="G738" s="2"/>
      <c r="H738" s="2" t="str">
        <f t="shared" si="23"/>
        <v/>
      </c>
      <c r="I738" s="2">
        <f>TYPE(CREATE.OBJECT(IF(1,1),IF(1,1),IF(1,1),IF(1,1),IF(1,1),IF(1,1),IF(1,1),IF(1,1),IF(1,1),IF(1,1)))</f>
        <v>4</v>
      </c>
      <c r="J738" s="2">
        <f>IF(C738=0,COUNTIFS(A:A,A738,D:D,"a"),"")</f>
        <v>0</v>
      </c>
      <c r="K738" s="2"/>
      <c r="M738" s="2"/>
    </row>
    <row r="739" spans="1:14" x14ac:dyDescent="0.55000000000000004">
      <c r="A739" s="1" t="s">
        <v>1689</v>
      </c>
      <c r="B739" s="2">
        <f>COUNTIF(A:A,A739)-1</f>
        <v>10</v>
      </c>
      <c r="C739" s="2">
        <f>COUNTIF(A$1:A739,A739)-1</f>
        <v>1</v>
      </c>
      <c r="D739" s="2" t="str">
        <f>Argument!D739</f>
        <v>v</v>
      </c>
      <c r="E739" s="2" t="str">
        <f t="shared" si="22"/>
        <v/>
      </c>
      <c r="F739" s="2" t="str">
        <f>IF(C739=0,ISTEXT(FORMULA.CONVERT("="&amp;A739&amp;"("&amp;REPLACE(REPT(",#ref!",B739),1,1,"")&amp;")()",1)),"")</f>
        <v/>
      </c>
      <c r="G739" s="2">
        <f>TYPE(CREATE.OBJECT({1},IF(1,1),IF(1,1),IF(1,1),IF(1,1),IF(1,1),IF(1,1),IF(1,1),IF(1,1),IF(1,1)))</f>
        <v>64</v>
      </c>
      <c r="H739" s="2" t="str">
        <f t="shared" si="23"/>
        <v/>
      </c>
      <c r="I739" s="2">
        <f>TYPE(CREATE.OBJECT(IF(1,1),IF(1,1),IF(1,1),IF(1,1),IF(1,1),IF(1,1),IF(1,1),IF(1,1),IF(1,1),IF(1,1)))</f>
        <v>4</v>
      </c>
      <c r="J739" s="2" t="str">
        <f>IF(C739=0,COUNTIFS(A:A,A739,D:D,"a"),"")</f>
        <v/>
      </c>
      <c r="K739" s="2" t="e">
        <f>INDEX(+CREATE.OBJECT(K739:L739,#REF!,#REF!,#REF!,#REF!,#REF!,#REF!,#REF!,#REF!,#REF!),)</f>
        <v>#REF!</v>
      </c>
      <c r="L739" s="1">
        <v>1</v>
      </c>
      <c r="M739" s="2" t="e">
        <f>INDEX(+CREATE.OBJECT(INDIRECT(M739:N739),#REF!,#REF!,#REF!,#REF!,#REF!,#REF!,#REF!,#REF!,#REF!),)</f>
        <v>#REF!</v>
      </c>
      <c r="N739" s="1">
        <v>1</v>
      </c>
    </row>
    <row r="740" spans="1:14" x14ac:dyDescent="0.55000000000000004">
      <c r="A740" s="1" t="s">
        <v>1689</v>
      </c>
      <c r="B740" s="2">
        <f>COUNTIF(A:A,A740)-1</f>
        <v>10</v>
      </c>
      <c r="C740" s="2">
        <f>COUNTIF(A$1:A740,A740)-1</f>
        <v>2</v>
      </c>
      <c r="D740" s="2" t="str">
        <f>Argument!D740</f>
        <v>vr</v>
      </c>
      <c r="E740" s="2" t="str">
        <f t="shared" si="22"/>
        <v/>
      </c>
      <c r="F740" s="2" t="str">
        <f>IF(C740=0,ISTEXT(FORMULA.CONVERT("="&amp;A740&amp;"("&amp;REPLACE(REPT(",#ref!",B740),1,1,"")&amp;")()",1)),"")</f>
        <v/>
      </c>
      <c r="G740" s="2">
        <f>TYPE(CREATE.OBJECT(IF(1,1),{1},IF(1,1),IF(1,1),IF(1,1),IF(1,1),IF(1,1),IF(1,1),IF(1,1),IF(1,1)))</f>
        <v>64</v>
      </c>
      <c r="H740" s="2" t="str">
        <f t="shared" si="23"/>
        <v/>
      </c>
      <c r="I740" s="2">
        <f>TYPE(CREATE.OBJECT(IF(1,1),IF(1,1),IF(1,1),IF(1,1),IF(1,1),IF(1,1),IF(1,1),IF(1,1),IF(1,1),IF(1,1)))</f>
        <v>4</v>
      </c>
      <c r="J740" s="2" t="str">
        <f>IF(C740=0,COUNTIFS(A:A,A740,D:D,"a"),"")</f>
        <v/>
      </c>
      <c r="K740" s="2" t="e">
        <f>INDEX(+CREATE.OBJECT(#REF!,K740:L740,#REF!,#REF!,#REF!,#REF!,#REF!,#REF!,#REF!,#REF!),)</f>
        <v>#REF!</v>
      </c>
      <c r="L740" s="1">
        <v>1</v>
      </c>
      <c r="M740" s="2" t="e">
        <f>INDEX(+CREATE.OBJECT(#REF!,INDIRECT(M740:N740),#REF!,#REF!,#REF!,#REF!,#REF!,#REF!,#REF!,#REF!),)</f>
        <v>#REF!</v>
      </c>
      <c r="N740" s="1">
        <v>1</v>
      </c>
    </row>
    <row r="741" spans="1:14" x14ac:dyDescent="0.55000000000000004">
      <c r="A741" s="1" t="s">
        <v>1689</v>
      </c>
      <c r="B741" s="2">
        <f>COUNTIF(A:A,A741)-1</f>
        <v>10</v>
      </c>
      <c r="C741" s="2">
        <f>COUNTIF(A$1:A741,A741)-1</f>
        <v>3</v>
      </c>
      <c r="D741" s="2" t="str">
        <f>Argument!D741</f>
        <v>vr</v>
      </c>
      <c r="E741" s="2" t="str">
        <f t="shared" si="22"/>
        <v/>
      </c>
      <c r="F741" s="2" t="str">
        <f>IF(C741=0,ISTEXT(FORMULA.CONVERT("="&amp;A741&amp;"("&amp;REPLACE(REPT(",#ref!",B741),1,1,"")&amp;")()",1)),"")</f>
        <v/>
      </c>
      <c r="G741" s="2">
        <f>TYPE(CREATE.OBJECT(IF(1,1),IF(1,1),{1},IF(1,1),IF(1,1),IF(1,1),IF(1,1),IF(1,1),IF(1,1),IF(1,1)))</f>
        <v>64</v>
      </c>
      <c r="H741" s="2" t="str">
        <f t="shared" si="23"/>
        <v/>
      </c>
      <c r="I741" s="2">
        <f>TYPE(CREATE.OBJECT(IF(1,1),IF(1,1),IF(1,1),IF(1,1),IF(1,1),IF(1,1),IF(1,1),IF(1,1),IF(1,1),IF(1,1)))</f>
        <v>4</v>
      </c>
      <c r="J741" s="2" t="str">
        <f>IF(C741=0,COUNTIFS(A:A,A741,D:D,"a"),"")</f>
        <v/>
      </c>
      <c r="K741" s="2" t="e">
        <f>INDEX(+CREATE.OBJECT(#REF!,#REF!,K741:L741,#REF!,#REF!,#REF!,#REF!,#REF!,#REF!,#REF!),)</f>
        <v>#REF!</v>
      </c>
      <c r="L741" s="1">
        <v>1</v>
      </c>
      <c r="M741" s="2" t="e">
        <f>INDEX(+CREATE.OBJECT(#REF!,#REF!,INDIRECT(M741:N741),#REF!,#REF!,#REF!,#REF!,#REF!,#REF!,#REF!),)</f>
        <v>#REF!</v>
      </c>
      <c r="N741" s="1">
        <v>1</v>
      </c>
    </row>
    <row r="742" spans="1:14" x14ac:dyDescent="0.55000000000000004">
      <c r="A742" s="1" t="s">
        <v>1689</v>
      </c>
      <c r="B742" s="2">
        <f>COUNTIF(A:A,A742)-1</f>
        <v>10</v>
      </c>
      <c r="C742" s="2">
        <f>COUNTIF(A$1:A742,A742)-1</f>
        <v>4</v>
      </c>
      <c r="D742" s="2" t="str">
        <f>Argument!D742</f>
        <v>vr</v>
      </c>
      <c r="E742" s="2" t="str">
        <f t="shared" si="22"/>
        <v/>
      </c>
      <c r="F742" s="2" t="str">
        <f>IF(C742=0,ISTEXT(FORMULA.CONVERT("="&amp;A742&amp;"("&amp;REPLACE(REPT(",#ref!",B742),1,1,"")&amp;")()",1)),"")</f>
        <v/>
      </c>
      <c r="G742" s="2">
        <f>TYPE(CREATE.OBJECT(IF(1,1),IF(1,1),IF(1,1),{1},IF(1,1),IF(1,1),IF(1,1),IF(1,1),IF(1,1),IF(1,1)))</f>
        <v>64</v>
      </c>
      <c r="H742" s="2" t="str">
        <f t="shared" si="23"/>
        <v/>
      </c>
      <c r="I742" s="2">
        <f>TYPE(CREATE.OBJECT(IF(1,1),IF(1,1),IF(1,1),IF(1,1),IF(1,1),IF(1,1),IF(1,1),IF(1,1),IF(1,1),IF(1,1)))</f>
        <v>4</v>
      </c>
      <c r="J742" s="2" t="str">
        <f>IF(C742=0,COUNTIFS(A:A,A742,D:D,"a"),"")</f>
        <v/>
      </c>
      <c r="K742" s="2" t="e">
        <f>INDEX(+CREATE.OBJECT(#REF!,#REF!,#REF!,K742:L742,#REF!,#REF!,#REF!,#REF!,#REF!,#REF!),)</f>
        <v>#REF!</v>
      </c>
      <c r="L742" s="1">
        <v>1</v>
      </c>
      <c r="M742" s="2" t="e">
        <f>INDEX(+CREATE.OBJECT(#REF!,#REF!,#REF!,INDIRECT(M742:N742),#REF!,#REF!,#REF!,#REF!,#REF!,#REF!),)</f>
        <v>#REF!</v>
      </c>
      <c r="N742" s="1">
        <v>1</v>
      </c>
    </row>
    <row r="743" spans="1:14" x14ac:dyDescent="0.55000000000000004">
      <c r="A743" s="1" t="s">
        <v>1689</v>
      </c>
      <c r="B743" s="2">
        <f>COUNTIF(A:A,A743)-1</f>
        <v>10</v>
      </c>
      <c r="C743" s="2">
        <f>COUNTIF(A$1:A743,A743)-1</f>
        <v>5</v>
      </c>
      <c r="D743" s="2" t="str">
        <f>Argument!D743</f>
        <v>vr</v>
      </c>
      <c r="E743" s="2" t="str">
        <f t="shared" si="22"/>
        <v/>
      </c>
      <c r="F743" s="2" t="str">
        <f>IF(C743=0,ISTEXT(FORMULA.CONVERT("="&amp;A743&amp;"("&amp;REPLACE(REPT(",#ref!",B743),1,1,"")&amp;")()",1)),"")</f>
        <v/>
      </c>
      <c r="G743" s="2">
        <f>TYPE(CREATE.OBJECT(IF(1,1),IF(1,1),IF(1,1),IF(1,1),{1},IF(1,1),IF(1,1),IF(1,1),IF(1,1),IF(1,1)))</f>
        <v>64</v>
      </c>
      <c r="H743" s="2" t="str">
        <f t="shared" si="23"/>
        <v/>
      </c>
      <c r="I743" s="2">
        <f>TYPE(CREATE.OBJECT(IF(1,1),IF(1,1),IF(1,1),IF(1,1),IF(1,1),IF(1,1),IF(1,1),IF(1,1),IF(1,1),IF(1,1)))</f>
        <v>4</v>
      </c>
      <c r="J743" s="2" t="str">
        <f>IF(C743=0,COUNTIFS(A:A,A743,D:D,"a"),"")</f>
        <v/>
      </c>
      <c r="K743" s="2" t="e">
        <f>INDEX(+CREATE.OBJECT(#REF!,#REF!,#REF!,#REF!,K743:L743,#REF!,#REF!,#REF!,#REF!,#REF!),)</f>
        <v>#REF!</v>
      </c>
      <c r="L743" s="1">
        <v>1</v>
      </c>
      <c r="M743" s="2" t="e">
        <f>INDEX(+CREATE.OBJECT(#REF!,#REF!,#REF!,#REF!,INDIRECT(M743:N743),#REF!,#REF!,#REF!,#REF!,#REF!),)</f>
        <v>#REF!</v>
      </c>
      <c r="N743" s="1">
        <v>1</v>
      </c>
    </row>
    <row r="744" spans="1:14" x14ac:dyDescent="0.55000000000000004">
      <c r="A744" s="1" t="s">
        <v>1689</v>
      </c>
      <c r="B744" s="2">
        <f>COUNTIF(A:A,A744)-1</f>
        <v>10</v>
      </c>
      <c r="C744" s="2">
        <f>COUNTIF(A$1:A744,A744)-1</f>
        <v>6</v>
      </c>
      <c r="D744" s="2" t="str">
        <f>Argument!D744</f>
        <v>vr</v>
      </c>
      <c r="E744" s="2" t="str">
        <f t="shared" si="22"/>
        <v/>
      </c>
      <c r="F744" s="2" t="str">
        <f>IF(C744=0,ISTEXT(FORMULA.CONVERT("="&amp;A744&amp;"("&amp;REPLACE(REPT(",#ref!",B744),1,1,"")&amp;")()",1)),"")</f>
        <v/>
      </c>
      <c r="G744" s="2">
        <f>TYPE(CREATE.OBJECT(IF(1,1),IF(1,1),IF(1,1),IF(1,1),IF(1,1),{1},IF(1,1),IF(1,1),IF(1,1),IF(1,1)))</f>
        <v>64</v>
      </c>
      <c r="H744" s="2" t="str">
        <f t="shared" si="23"/>
        <v/>
      </c>
      <c r="I744" s="2">
        <f>TYPE(CREATE.OBJECT(IF(1,1),IF(1,1),IF(1,1),IF(1,1),IF(1,1),IF(1,1),IF(1,1),IF(1,1),IF(1,1),IF(1,1)))</f>
        <v>4</v>
      </c>
      <c r="J744" s="2" t="str">
        <f>IF(C744=0,COUNTIFS(A:A,A744,D:D,"a"),"")</f>
        <v/>
      </c>
      <c r="K744" s="2" t="e">
        <f>INDEX(+CREATE.OBJECT(#REF!,#REF!,#REF!,#REF!,#REF!,K744:L744,#REF!,#REF!,#REF!,#REF!),)</f>
        <v>#REF!</v>
      </c>
      <c r="L744" s="1">
        <v>1</v>
      </c>
      <c r="M744" s="2" t="e">
        <f>INDEX(+CREATE.OBJECT(#REF!,#REF!,#REF!,#REF!,#REF!,INDIRECT(M744:N744),#REF!,#REF!,#REF!,#REF!),)</f>
        <v>#REF!</v>
      </c>
      <c r="N744" s="1">
        <v>1</v>
      </c>
    </row>
    <row r="745" spans="1:14" x14ac:dyDescent="0.55000000000000004">
      <c r="A745" s="1" t="s">
        <v>1689</v>
      </c>
      <c r="B745" s="2">
        <f>COUNTIF(A:A,A745)-1</f>
        <v>10</v>
      </c>
      <c r="C745" s="2">
        <f>COUNTIF(A$1:A745,A745)-1</f>
        <v>7</v>
      </c>
      <c r="D745" s="2" t="str">
        <f>Argument!D745</f>
        <v>vr</v>
      </c>
      <c r="E745" s="2" t="str">
        <f t="shared" si="22"/>
        <v/>
      </c>
      <c r="F745" s="2" t="str">
        <f>IF(C745=0,ISTEXT(FORMULA.CONVERT("="&amp;A745&amp;"("&amp;REPLACE(REPT(",#ref!",B745),1,1,"")&amp;")()",1)),"")</f>
        <v/>
      </c>
      <c r="G745" s="2">
        <f>TYPE(CREATE.OBJECT(IF(1,1),IF(1,1),IF(1,1),IF(1,1),IF(1,1),IF(1,1),{1},IF(1,1),IF(1,1),IF(1,1)))</f>
        <v>64</v>
      </c>
      <c r="H745" s="2" t="str">
        <f t="shared" si="23"/>
        <v/>
      </c>
      <c r="I745" s="2">
        <f>TYPE(CREATE.OBJECT(IF(1,1),IF(1,1),IF(1,1),IF(1,1),IF(1,1),IF(1,1),IF(1,1),IF(1,1),IF(1,1),IF(1,1)))</f>
        <v>4</v>
      </c>
      <c r="J745" s="2" t="str">
        <f>IF(C745=0,COUNTIFS(A:A,A745,D:D,"a"),"")</f>
        <v/>
      </c>
      <c r="K745" s="2" t="e">
        <f>INDEX(+CREATE.OBJECT(#REF!,#REF!,#REF!,#REF!,#REF!,#REF!,K745:L745,#REF!,#REF!,#REF!),)</f>
        <v>#REF!</v>
      </c>
      <c r="L745" s="1">
        <v>1</v>
      </c>
      <c r="M745" s="2" t="e">
        <f>INDEX(+CREATE.OBJECT(#REF!,#REF!,#REF!,#REF!,#REF!,#REF!,INDIRECT(M745:N745),#REF!,#REF!,#REF!),)</f>
        <v>#REF!</v>
      </c>
      <c r="N745" s="1">
        <v>1</v>
      </c>
    </row>
    <row r="746" spans="1:14" x14ac:dyDescent="0.55000000000000004">
      <c r="A746" s="1" t="s">
        <v>1689</v>
      </c>
      <c r="B746" s="2">
        <f>COUNTIF(A:A,A746)-1</f>
        <v>10</v>
      </c>
      <c r="C746" s="2">
        <f>COUNTIF(A$1:A746,A746)-1</f>
        <v>8</v>
      </c>
      <c r="D746" s="2" t="str">
        <f>Argument!D746</f>
        <v>var</v>
      </c>
      <c r="E746" s="2" t="str">
        <f t="shared" si="22"/>
        <v/>
      </c>
      <c r="F746" s="2" t="str">
        <f>IF(C746=0,ISTEXT(FORMULA.CONVERT("="&amp;A746&amp;"("&amp;REPLACE(REPT(",#ref!",B746),1,1,"")&amp;")()",1)),"")</f>
        <v/>
      </c>
      <c r="G746" s="2">
        <f>TYPE(CREATE.OBJECT(IF(1,1),IF(1,1),IF(1,1),IF(1,1),IF(1,1),IF(1,1),IF(1,1),{1},IF(1,1),IF(1,1)))</f>
        <v>4</v>
      </c>
      <c r="H746" s="2" t="str">
        <f t="shared" si="23"/>
        <v/>
      </c>
      <c r="I746" s="2">
        <f>TYPE(CREATE.OBJECT(IF(1,1),IF(1,1),IF(1,1),IF(1,1),IF(1,1),IF(1,1),IF(1,1),IF(1,1),IF(1,1),IF(1,1)))</f>
        <v>4</v>
      </c>
      <c r="J746" s="2" t="str">
        <f>IF(C746=0,COUNTIFS(A:A,A746,D:D,"a"),"")</f>
        <v/>
      </c>
      <c r="K746" s="2" t="e">
        <f>INDEX(+CREATE.OBJECT(#REF!,#REF!,#REF!,#REF!,#REF!,#REF!,#REF!,K746:L746,#REF!,#REF!),)</f>
        <v>#REF!</v>
      </c>
      <c r="L746" s="1">
        <v>1</v>
      </c>
      <c r="M746" s="2" t="e">
        <f>INDEX(+CREATE.OBJECT(#REF!,#REF!,#REF!,#REF!,#REF!,#REF!,#REF!,INDIRECT(M746:N746),#REF!,#REF!),)</f>
        <v>#REF!</v>
      </c>
      <c r="N746" s="1">
        <v>1</v>
      </c>
    </row>
    <row r="747" spans="1:14" x14ac:dyDescent="0.55000000000000004">
      <c r="A747" s="1" t="s">
        <v>1689</v>
      </c>
      <c r="B747" s="2">
        <f>COUNTIF(A:A,A747)-1</f>
        <v>10</v>
      </c>
      <c r="C747" s="2">
        <f>COUNTIF(A$1:A747,A747)-1</f>
        <v>9</v>
      </c>
      <c r="D747" s="2" t="str">
        <f>Argument!D747</f>
        <v>vr</v>
      </c>
      <c r="E747" s="2" t="str">
        <f t="shared" si="22"/>
        <v/>
      </c>
      <c r="F747" s="2" t="str">
        <f>IF(C747=0,ISTEXT(FORMULA.CONVERT("="&amp;A747&amp;"("&amp;REPLACE(REPT(",#ref!",B747),1,1,"")&amp;")()",1)),"")</f>
        <v/>
      </c>
      <c r="G747" s="2">
        <f>TYPE(CREATE.OBJECT(IF(1,1),IF(1,1),IF(1,1),IF(1,1),IF(1,1),IF(1,1),IF(1,1),IF(1,1),{1},IF(1,1)))</f>
        <v>64</v>
      </c>
      <c r="H747" s="2" t="str">
        <f t="shared" si="23"/>
        <v/>
      </c>
      <c r="I747" s="2">
        <f>TYPE(CREATE.OBJECT(IF(1,1),IF(1,1),IF(1,1),IF(1,1),IF(1,1),IF(1,1),IF(1,1),IF(1,1),IF(1,1),IF(1,1)))</f>
        <v>4</v>
      </c>
      <c r="J747" s="2" t="str">
        <f>IF(C747=0,COUNTIFS(A:A,A747,D:D,"a"),"")</f>
        <v/>
      </c>
      <c r="K747" s="2" t="e">
        <f>INDEX(+CREATE.OBJECT(#REF!,#REF!,#REF!,#REF!,#REF!,#REF!,#REF!,#REF!,K747:L747,#REF!),)</f>
        <v>#REF!</v>
      </c>
      <c r="L747" s="1">
        <v>1</v>
      </c>
      <c r="M747" s="2" t="e">
        <f>INDEX(+CREATE.OBJECT(#REF!,#REF!,#REF!,#REF!,#REF!,#REF!,#REF!,#REF!,INDIRECT(M747:N747),#REF!),)</f>
        <v>#REF!</v>
      </c>
      <c r="N747" s="1">
        <v>1</v>
      </c>
    </row>
    <row r="748" spans="1:14" x14ac:dyDescent="0.55000000000000004">
      <c r="A748" s="1" t="s">
        <v>1689</v>
      </c>
      <c r="B748" s="2">
        <f>COUNTIF(A:A,A748)-1</f>
        <v>10</v>
      </c>
      <c r="C748" s="2">
        <f>COUNTIF(A$1:A748,A748)-1</f>
        <v>10</v>
      </c>
      <c r="D748" s="2" t="str">
        <f>Argument!D748</f>
        <v>vr</v>
      </c>
      <c r="E748" s="2" t="str">
        <f t="shared" si="22"/>
        <v/>
      </c>
      <c r="F748" s="2" t="str">
        <f>IF(C748=0,ISTEXT(FORMULA.CONVERT("="&amp;A748&amp;"("&amp;REPLACE(REPT(",#ref!",B748),1,1,"")&amp;")()",1)),"")</f>
        <v/>
      </c>
      <c r="G748" s="2">
        <f>TYPE(CREATE.OBJECT(IF(1,1),IF(1,1),IF(1,1),IF(1,1),IF(1,1),IF(1,1),IF(1,1),IF(1,1),IF(1,1),{1}))</f>
        <v>64</v>
      </c>
      <c r="H748" s="2" t="str">
        <f t="shared" si="23"/>
        <v/>
      </c>
      <c r="I748" s="2">
        <f>TYPE(CREATE.OBJECT(IF(1,1),IF(1,1),IF(1,1),IF(1,1),IF(1,1),IF(1,1),IF(1,1),IF(1,1),IF(1,1),IF(1,1)))</f>
        <v>4</v>
      </c>
      <c r="J748" s="2" t="str">
        <f>IF(C748=0,COUNTIFS(A:A,A748,D:D,"a"),"")</f>
        <v/>
      </c>
      <c r="K748" s="2" t="e">
        <f>INDEX(+CREATE.OBJECT(#REF!,#REF!,#REF!,#REF!,#REF!,#REF!,#REF!,#REF!,#REF!,K748:L748),)</f>
        <v>#REF!</v>
      </c>
      <c r="L748" s="1">
        <v>1</v>
      </c>
      <c r="M748" s="2" t="e">
        <f>INDEX(+CREATE.OBJECT(#REF!,#REF!,#REF!,#REF!,#REF!,#REF!,#REF!,#REF!,#REF!,INDIRECT(M748:N748)),)</f>
        <v>#REF!</v>
      </c>
      <c r="N748" s="1">
        <v>1</v>
      </c>
    </row>
    <row r="749" spans="1:14" x14ac:dyDescent="0.55000000000000004">
      <c r="A749" s="1" t="s">
        <v>1690</v>
      </c>
      <c r="B749" s="2">
        <f>COUNTIF(A:A,A749)-1</f>
        <v>1</v>
      </c>
      <c r="C749" s="2">
        <f>COUNTIF(A$1:A749,A749)-1</f>
        <v>0</v>
      </c>
      <c r="D749" s="2" t="str">
        <f>Argument!D749</f>
        <v/>
      </c>
      <c r="E749" s="2" t="str">
        <f t="shared" si="22"/>
        <v>v</v>
      </c>
      <c r="F749" s="2" t="b">
        <f>IF(C749=0,ISTEXT(FORMULA.CONVERT("="&amp;A749&amp;"("&amp;REPLACE(REPT(",#ref!",B749),1,1,"")&amp;")()",1)),"")</f>
        <v>0</v>
      </c>
      <c r="G749" s="2"/>
      <c r="H749" s="2" t="str">
        <f t="shared" si="23"/>
        <v/>
      </c>
      <c r="I749" s="2">
        <f>TYPE(VOLATILE(IF(1,1)))</f>
        <v>4</v>
      </c>
      <c r="J749" s="2">
        <f>IF(C749=0,COUNTIFS(A:A,A749,D:D,"a"),"")</f>
        <v>0</v>
      </c>
      <c r="K749" s="2"/>
      <c r="M749" s="2"/>
    </row>
    <row r="750" spans="1:14" x14ac:dyDescent="0.55000000000000004">
      <c r="A750" s="1" t="s">
        <v>1690</v>
      </c>
      <c r="B750" s="2">
        <f>COUNTIF(A:A,A750)-1</f>
        <v>1</v>
      </c>
      <c r="C750" s="2">
        <f>COUNTIF(A$1:A750,A750)-1</f>
        <v>1</v>
      </c>
      <c r="D750" s="2" t="str">
        <f>Argument!D750</f>
        <v>v</v>
      </c>
      <c r="E750" s="2" t="str">
        <f t="shared" si="22"/>
        <v/>
      </c>
      <c r="F750" s="2" t="str">
        <f>IF(C750=0,ISTEXT(FORMULA.CONVERT("="&amp;A750&amp;"("&amp;REPLACE(REPT(",#ref!",B750),1,1,"")&amp;")()",1)),"")</f>
        <v/>
      </c>
      <c r="G750" s="2">
        <f>TYPE(VOLATILE({1}))</f>
        <v>64</v>
      </c>
      <c r="H750" s="2" t="str">
        <f t="shared" si="23"/>
        <v/>
      </c>
      <c r="I750" s="2">
        <f>TYPE(VOLATILE(IF(1,1)))</f>
        <v>4</v>
      </c>
      <c r="J750" s="2" t="str">
        <f>IF(C750=0,COUNTIFS(A:A,A750,D:D,"a"),"")</f>
        <v/>
      </c>
      <c r="K750" s="2" t="b">
        <f>INDEX(+VOLATILE(K750:L750),)</f>
        <v>0</v>
      </c>
      <c r="L750" s="1">
        <v>1</v>
      </c>
      <c r="M750" s="2" t="b">
        <f>INDEX(+VOLATILE(INDIRECT(M750:N750)),)</f>
        <v>0</v>
      </c>
      <c r="N750" s="1">
        <v>1</v>
      </c>
    </row>
    <row r="751" spans="1:14" x14ac:dyDescent="0.55000000000000004">
      <c r="A751" s="1" t="s">
        <v>1483</v>
      </c>
      <c r="B751" s="2">
        <f>COUNTIF(A:A,A751)-1</f>
        <v>0</v>
      </c>
      <c r="C751" s="2">
        <f>COUNTIF(A$1:A751,A751)-1</f>
        <v>0</v>
      </c>
      <c r="D751" s="2" t="str">
        <f>Argument!D751</f>
        <v/>
      </c>
      <c r="E751" s="2" t="str">
        <f t="shared" si="22"/>
        <v>r</v>
      </c>
      <c r="F751" s="2" t="b">
        <f>IF(C751=0,ISTEXT(FORMULA.CONVERT("="&amp;A751&amp;"("&amp;REPLACE(REPT(",#ref!",B751),1,1,"")&amp;")()",1)),"")</f>
        <v>1</v>
      </c>
      <c r="G751" s="2"/>
      <c r="H751" s="2" t="str">
        <f t="shared" si="23"/>
        <v/>
      </c>
      <c r="I751" s="2">
        <f>TYPE(LAST.ERROR())</f>
        <v>16</v>
      </c>
      <c r="J751" s="2">
        <f>IF(C751=0,COUNTIFS(A:A,A751,D:D,"a"),"")</f>
        <v>0</v>
      </c>
      <c r="K751" s="2"/>
      <c r="M751" s="2"/>
    </row>
    <row r="752" spans="1:14" x14ac:dyDescent="0.55000000000000004">
      <c r="A752" s="1" t="s">
        <v>1691</v>
      </c>
      <c r="B752" s="2">
        <f>COUNTIF(A:A,A752)-1</f>
        <v>2</v>
      </c>
      <c r="C752" s="2">
        <f>COUNTIF(A$1:A752,A752)-1</f>
        <v>0</v>
      </c>
      <c r="D752" s="2" t="str">
        <f>Argument!D752</f>
        <v/>
      </c>
      <c r="E752" s="2" t="str">
        <f t="shared" si="22"/>
        <v>v</v>
      </c>
      <c r="F752" s="2" t="b">
        <f>IF(C752=0,ISTEXT(FORMULA.CONVERT("="&amp;A752&amp;"("&amp;REPLACE(REPT(",#ref!",B752),1,1,"")&amp;")()",1)),"")</f>
        <v>0</v>
      </c>
      <c r="G752" s="2"/>
      <c r="H752" s="2" t="str">
        <f t="shared" si="23"/>
        <v/>
      </c>
      <c r="I752" s="2">
        <f>TYPE(CUSTOM.UNDO(IF(1,1),IF(1,1)))</f>
        <v>4</v>
      </c>
      <c r="J752" s="2">
        <f>IF(C752=0,COUNTIFS(A:A,A752,D:D,"a"),"")</f>
        <v>0</v>
      </c>
      <c r="K752" s="2"/>
      <c r="M752" s="2"/>
    </row>
    <row r="753" spans="1:14" x14ac:dyDescent="0.55000000000000004">
      <c r="A753" s="1" t="s">
        <v>1691</v>
      </c>
      <c r="B753" s="2">
        <f>COUNTIF(A:A,A753)-1</f>
        <v>2</v>
      </c>
      <c r="C753" s="2">
        <f>COUNTIF(A$1:A753,A753)-1</f>
        <v>1</v>
      </c>
      <c r="D753" s="2" t="str">
        <f>Argument!D753</f>
        <v>v</v>
      </c>
      <c r="E753" s="2" t="str">
        <f t="shared" si="22"/>
        <v/>
      </c>
      <c r="F753" s="2" t="str">
        <f>IF(C753=0,ISTEXT(FORMULA.CONVERT("="&amp;A753&amp;"("&amp;REPLACE(REPT(",#ref!",B753),1,1,"")&amp;")()",1)),"")</f>
        <v/>
      </c>
      <c r="G753" s="2">
        <f>TYPE(CUSTOM.UNDO({1},IF(1,1)))</f>
        <v>64</v>
      </c>
      <c r="H753" s="2" t="str">
        <f t="shared" si="23"/>
        <v/>
      </c>
      <c r="I753" s="2">
        <f>TYPE(CUSTOM.UNDO(IF(1,1),IF(1,1)))</f>
        <v>4</v>
      </c>
      <c r="J753" s="2" t="str">
        <f>IF(C753=0,COUNTIFS(A:A,A753,D:D,"a"),"")</f>
        <v/>
      </c>
      <c r="K753" s="2" t="b">
        <f>INDEX(+CUSTOM.UNDO(K753:L753,#REF!),)</f>
        <v>0</v>
      </c>
      <c r="L753" s="1">
        <v>1</v>
      </c>
      <c r="M753" s="2" t="b">
        <f>INDEX(+CUSTOM.UNDO(INDIRECT(M753:N753),#REF!),)</f>
        <v>0</v>
      </c>
      <c r="N753" s="1">
        <v>1</v>
      </c>
    </row>
    <row r="754" spans="1:14" x14ac:dyDescent="0.55000000000000004">
      <c r="A754" s="1" t="s">
        <v>1691</v>
      </c>
      <c r="B754" s="2">
        <f>COUNTIF(A:A,A754)-1</f>
        <v>2</v>
      </c>
      <c r="C754" s="2">
        <f>COUNTIF(A$1:A754,A754)-1</f>
        <v>2</v>
      </c>
      <c r="D754" s="2" t="str">
        <f>Argument!D754</f>
        <v>v</v>
      </c>
      <c r="E754" s="2" t="str">
        <f t="shared" si="22"/>
        <v/>
      </c>
      <c r="F754" s="2" t="str">
        <f>IF(C754=0,ISTEXT(FORMULA.CONVERT("="&amp;A754&amp;"("&amp;REPLACE(REPT(",#ref!",B754),1,1,"")&amp;")()",1)),"")</f>
        <v/>
      </c>
      <c r="G754" s="2">
        <f>TYPE(CUSTOM.UNDO(IF(1,1),{1}))</f>
        <v>64</v>
      </c>
      <c r="H754" s="2" t="str">
        <f t="shared" si="23"/>
        <v/>
      </c>
      <c r="I754" s="2">
        <f>TYPE(CUSTOM.UNDO(IF(1,1),IF(1,1)))</f>
        <v>4</v>
      </c>
      <c r="J754" s="2" t="str">
        <f>IF(C754=0,COUNTIFS(A:A,A754,D:D,"a"),"")</f>
        <v/>
      </c>
      <c r="K754" s="2" t="b">
        <f>INDEX(+CUSTOM.UNDO(#REF!,K754:L754),)</f>
        <v>0</v>
      </c>
      <c r="L754" s="1">
        <v>1</v>
      </c>
      <c r="M754" s="2" t="b">
        <f>INDEX(+CUSTOM.UNDO(#REF!,INDIRECT(M754:N754)),)</f>
        <v>0</v>
      </c>
      <c r="N754" s="1">
        <v>1</v>
      </c>
    </row>
    <row r="755" spans="1:14" x14ac:dyDescent="0.55000000000000004">
      <c r="A755" s="1" t="s">
        <v>1692</v>
      </c>
      <c r="B755" s="2">
        <f>COUNTIF(A:A,A755)-1</f>
        <v>3</v>
      </c>
      <c r="C755" s="2">
        <f>COUNTIF(A$1:A755,A755)-1</f>
        <v>0</v>
      </c>
      <c r="D755" s="2" t="str">
        <f>Argument!D755</f>
        <v/>
      </c>
      <c r="E755" s="2" t="str">
        <f t="shared" si="22"/>
        <v>v</v>
      </c>
      <c r="F755" s="2" t="b">
        <f>IF(C755=0,ISTEXT(FORMULA.CONVERT("="&amp;A755&amp;"("&amp;REPLACE(REPT(",#ref!",B755),1,1,"")&amp;")()",1)),"")</f>
        <v>0</v>
      </c>
      <c r="G755" s="2"/>
      <c r="H755" s="2" t="str">
        <f t="shared" si="23"/>
        <v/>
      </c>
      <c r="I755" s="2">
        <f>TYPE(CUSTOM.REPEAT(IF(1,1),IF(1,1),IF(1,1)))</f>
        <v>4</v>
      </c>
      <c r="J755" s="2">
        <f>IF(C755=0,COUNTIFS(A:A,A755,D:D,"a"),"")</f>
        <v>0</v>
      </c>
      <c r="K755" s="2"/>
      <c r="M755" s="2"/>
    </row>
    <row r="756" spans="1:14" x14ac:dyDescent="0.55000000000000004">
      <c r="A756" s="1" t="s">
        <v>1692</v>
      </c>
      <c r="B756" s="2">
        <f>COUNTIF(A:A,A756)-1</f>
        <v>3</v>
      </c>
      <c r="C756" s="2">
        <f>COUNTIF(A$1:A756,A756)-1</f>
        <v>1</v>
      </c>
      <c r="D756" s="2" t="str">
        <f>Argument!D756</f>
        <v>v</v>
      </c>
      <c r="E756" s="2" t="str">
        <f t="shared" si="22"/>
        <v/>
      </c>
      <c r="F756" s="2" t="str">
        <f>IF(C756=0,ISTEXT(FORMULA.CONVERT("="&amp;A756&amp;"("&amp;REPLACE(REPT(",#ref!",B756),1,1,"")&amp;")()",1)),"")</f>
        <v/>
      </c>
      <c r="G756" s="2">
        <f>TYPE(CUSTOM.REPEAT({1},IF(1,1),IF(1,1)))</f>
        <v>64</v>
      </c>
      <c r="H756" s="2" t="str">
        <f t="shared" si="23"/>
        <v/>
      </c>
      <c r="I756" s="2">
        <f>TYPE(CUSTOM.REPEAT(IF(1,1),IF(1,1),IF(1,1)))</f>
        <v>4</v>
      </c>
      <c r="J756" s="2" t="str">
        <f>IF(C756=0,COUNTIFS(A:A,A756,D:D,"a"),"")</f>
        <v/>
      </c>
      <c r="K756" s="2" t="b">
        <f>INDEX(+CUSTOM.REPEAT(K756:L756,#REF!,#REF!),)</f>
        <v>0</v>
      </c>
      <c r="L756" s="1">
        <v>1</v>
      </c>
      <c r="M756" s="2" t="b">
        <f>INDEX(+CUSTOM.REPEAT(INDIRECT(M756:N756),#REF!,#REF!),)</f>
        <v>0</v>
      </c>
      <c r="N756" s="1">
        <v>1</v>
      </c>
    </row>
    <row r="757" spans="1:14" x14ac:dyDescent="0.55000000000000004">
      <c r="A757" s="1" t="s">
        <v>1692</v>
      </c>
      <c r="B757" s="2">
        <f>COUNTIF(A:A,A757)-1</f>
        <v>3</v>
      </c>
      <c r="C757" s="2">
        <f>COUNTIF(A$1:A757,A757)-1</f>
        <v>2</v>
      </c>
      <c r="D757" s="2" t="str">
        <f>Argument!D757</f>
        <v>v</v>
      </c>
      <c r="E757" s="2" t="str">
        <f t="shared" si="22"/>
        <v/>
      </c>
      <c r="F757" s="2" t="str">
        <f>IF(C757=0,ISTEXT(FORMULA.CONVERT("="&amp;A757&amp;"("&amp;REPLACE(REPT(",#ref!",B757),1,1,"")&amp;")()",1)),"")</f>
        <v/>
      </c>
      <c r="G757" s="2">
        <f>TYPE(CUSTOM.REPEAT(IF(1,1),{1},IF(1,1)))</f>
        <v>64</v>
      </c>
      <c r="H757" s="2" t="str">
        <f t="shared" si="23"/>
        <v/>
      </c>
      <c r="I757" s="2">
        <f>TYPE(CUSTOM.REPEAT(IF(1,1),IF(1,1),IF(1,1)))</f>
        <v>4</v>
      </c>
      <c r="J757" s="2" t="str">
        <f>IF(C757=0,COUNTIFS(A:A,A757,D:D,"a"),"")</f>
        <v/>
      </c>
      <c r="K757" s="2" t="b">
        <f>INDEX(+CUSTOM.REPEAT(#REF!,K757:L757,#REF!),)</f>
        <v>0</v>
      </c>
      <c r="L757" s="1">
        <v>1</v>
      </c>
      <c r="M757" s="2" t="b">
        <f>INDEX(+CUSTOM.REPEAT(#REF!,INDIRECT(M757:N757),#REF!),)</f>
        <v>0</v>
      </c>
      <c r="N757" s="1">
        <v>1</v>
      </c>
    </row>
    <row r="758" spans="1:14" x14ac:dyDescent="0.55000000000000004">
      <c r="A758" s="1" t="s">
        <v>1692</v>
      </c>
      <c r="B758" s="2">
        <f>COUNTIF(A:A,A758)-1</f>
        <v>3</v>
      </c>
      <c r="C758" s="2">
        <f>COUNTIF(A$1:A758,A758)-1</f>
        <v>3</v>
      </c>
      <c r="D758" s="2" t="str">
        <f>Argument!D758</f>
        <v>v</v>
      </c>
      <c r="E758" s="2" t="str">
        <f t="shared" si="22"/>
        <v/>
      </c>
      <c r="F758" s="2" t="str">
        <f>IF(C758=0,ISTEXT(FORMULA.CONVERT("="&amp;A758&amp;"("&amp;REPLACE(REPT(",#ref!",B758),1,1,"")&amp;")()",1)),"")</f>
        <v/>
      </c>
      <c r="G758" s="2">
        <f>TYPE(CUSTOM.REPEAT(IF(1,1),IF(1,1),{1}))</f>
        <v>64</v>
      </c>
      <c r="H758" s="2" t="str">
        <f t="shared" si="23"/>
        <v/>
      </c>
      <c r="I758" s="2">
        <f>TYPE(CUSTOM.REPEAT(IF(1,1),IF(1,1),IF(1,1)))</f>
        <v>4</v>
      </c>
      <c r="J758" s="2" t="str">
        <f>IF(C758=0,COUNTIFS(A:A,A758,D:D,"a"),"")</f>
        <v/>
      </c>
      <c r="K758" s="2" t="b">
        <f>INDEX(+CUSTOM.REPEAT(#REF!,#REF!,K758:L758),)</f>
        <v>0</v>
      </c>
      <c r="L758" s="1">
        <v>1</v>
      </c>
      <c r="M758" s="2" t="b">
        <f>INDEX(+CUSTOM.REPEAT(#REF!,#REF!,INDIRECT(M758:N758)),)</f>
        <v>0</v>
      </c>
      <c r="N758" s="1">
        <v>1</v>
      </c>
    </row>
    <row r="759" spans="1:14" x14ac:dyDescent="0.55000000000000004">
      <c r="A759" s="1" t="s">
        <v>1693</v>
      </c>
      <c r="B759" s="2">
        <f>COUNTIF(A:A,A759)-1</f>
        <v>5</v>
      </c>
      <c r="C759" s="2">
        <f>COUNTIF(A$1:A759,A759)-1</f>
        <v>0</v>
      </c>
      <c r="D759" s="2" t="str">
        <f>Argument!D759</f>
        <v/>
      </c>
      <c r="E759" s="2" t="str">
        <f t="shared" si="22"/>
        <v>v</v>
      </c>
      <c r="F759" s="2" t="b">
        <f>IF(C759=0,ISTEXT(FORMULA.CONVERT("="&amp;A759&amp;"("&amp;REPLACE(REPT(",#ref!",B759),1,1,"")&amp;")()",1)),"")</f>
        <v>0</v>
      </c>
      <c r="G759" s="2"/>
      <c r="H759" s="2" t="str">
        <f t="shared" si="23"/>
        <v/>
      </c>
      <c r="I759" s="2">
        <f>TYPE(FORMULA.CONVERT(IF(1,1),IF(1,1),IF(1,1),IF(1,1),IF(1,1)))</f>
        <v>16</v>
      </c>
      <c r="J759" s="2">
        <f>IF(C759=0,COUNTIFS(A:A,A759,D:D,"a"),"")</f>
        <v>0</v>
      </c>
      <c r="K759" s="2"/>
      <c r="M759" s="2"/>
    </row>
    <row r="760" spans="1:14" x14ac:dyDescent="0.55000000000000004">
      <c r="A760" s="1" t="s">
        <v>1693</v>
      </c>
      <c r="B760" s="2">
        <f>COUNTIF(A:A,A760)-1</f>
        <v>5</v>
      </c>
      <c r="C760" s="2">
        <f>COUNTIF(A$1:A760,A760)-1</f>
        <v>1</v>
      </c>
      <c r="D760" s="2" t="str">
        <f>Argument!D760</f>
        <v>v</v>
      </c>
      <c r="E760" s="2" t="str">
        <f t="shared" si="22"/>
        <v/>
      </c>
      <c r="F760" s="2" t="str">
        <f>IF(C760=0,ISTEXT(FORMULA.CONVERT("="&amp;A760&amp;"("&amp;REPLACE(REPT(",#ref!",B760),1,1,"")&amp;")()",1)),"")</f>
        <v/>
      </c>
      <c r="G760" s="2">
        <f>TYPE(FORMULA.CONVERT({1},IF(1,1),IF(1,1),IF(1,1),IF(1,1)))</f>
        <v>64</v>
      </c>
      <c r="H760" s="2" t="str">
        <f t="shared" si="23"/>
        <v/>
      </c>
      <c r="I760" s="2">
        <f>TYPE(FORMULA.CONVERT(IF(1,1),IF(1,1),IF(1,1),IF(1,1),IF(1,1)))</f>
        <v>16</v>
      </c>
      <c r="J760" s="2" t="str">
        <f>IF(C760=0,COUNTIFS(A:A,A760,D:D,"a"),"")</f>
        <v/>
      </c>
      <c r="K760" s="2" t="e">
        <f>INDEX(+FORMULA.CONVERT(K760:L760,#REF!,#REF!,#REF!,#REF!),)</f>
        <v>#REF!</v>
      </c>
      <c r="L760" s="1">
        <v>1</v>
      </c>
      <c r="M760" s="2" t="e">
        <f>INDEX(+FORMULA.CONVERT(INDIRECT(M760:N760),#REF!,#REF!,#REF!,#REF!),)</f>
        <v>#REF!</v>
      </c>
      <c r="N760" s="1">
        <v>1</v>
      </c>
    </row>
    <row r="761" spans="1:14" x14ac:dyDescent="0.55000000000000004">
      <c r="A761" s="1" t="s">
        <v>1693</v>
      </c>
      <c r="B761" s="2">
        <f>COUNTIF(A:A,A761)-1</f>
        <v>5</v>
      </c>
      <c r="C761" s="2">
        <f>COUNTIF(A$1:A761,A761)-1</f>
        <v>2</v>
      </c>
      <c r="D761" s="2" t="str">
        <f>Argument!D761</f>
        <v>vr</v>
      </c>
      <c r="E761" s="2" t="str">
        <f t="shared" si="22"/>
        <v/>
      </c>
      <c r="F761" s="2" t="str">
        <f>IF(C761=0,ISTEXT(FORMULA.CONVERT("="&amp;A761&amp;"("&amp;REPLACE(REPT(",#ref!",B761),1,1,"")&amp;")()",1)),"")</f>
        <v/>
      </c>
      <c r="G761" s="2">
        <f>TYPE(FORMULA.CONVERT(IF(1,1),{1},IF(1,1),IF(1,1),IF(1,1)))</f>
        <v>64</v>
      </c>
      <c r="H761" s="2" t="str">
        <f t="shared" si="23"/>
        <v/>
      </c>
      <c r="I761" s="2">
        <f>TYPE(FORMULA.CONVERT(IF(1,1),IF(1,1),IF(1,1),IF(1,1),IF(1,1)))</f>
        <v>16</v>
      </c>
      <c r="J761" s="2" t="str">
        <f>IF(C761=0,COUNTIFS(A:A,A761,D:D,"a"),"")</f>
        <v/>
      </c>
      <c r="K761" s="2" t="e">
        <f>INDEX(+FORMULA.CONVERT(#REF!,K761:L761,#REF!,#REF!,#REF!),)</f>
        <v>#REF!</v>
      </c>
      <c r="L761" s="1">
        <v>1</v>
      </c>
      <c r="M761" s="2" t="e">
        <f>INDEX(+FORMULA.CONVERT(#REF!,INDIRECT(M761:N761),#REF!,#REF!,#REF!),)</f>
        <v>#REF!</v>
      </c>
      <c r="N761" s="1">
        <v>1</v>
      </c>
    </row>
    <row r="762" spans="1:14" x14ac:dyDescent="0.55000000000000004">
      <c r="A762" s="1" t="s">
        <v>1693</v>
      </c>
      <c r="B762" s="2">
        <f>COUNTIF(A:A,A762)-1</f>
        <v>5</v>
      </c>
      <c r="C762" s="2">
        <f>COUNTIF(A$1:A762,A762)-1</f>
        <v>3</v>
      </c>
      <c r="D762" s="2" t="str">
        <f>Argument!D762</f>
        <v>vr</v>
      </c>
      <c r="E762" s="2" t="str">
        <f t="shared" si="22"/>
        <v/>
      </c>
      <c r="F762" s="2" t="str">
        <f>IF(C762=0,ISTEXT(FORMULA.CONVERT("="&amp;A762&amp;"("&amp;REPLACE(REPT(",#ref!",B762),1,1,"")&amp;")()",1)),"")</f>
        <v/>
      </c>
      <c r="G762" s="2">
        <f>TYPE(FORMULA.CONVERT(IF(1,1),IF(1,1),{1},IF(1,1),IF(1,1)))</f>
        <v>64</v>
      </c>
      <c r="H762" s="2" t="str">
        <f t="shared" si="23"/>
        <v/>
      </c>
      <c r="I762" s="2">
        <f>TYPE(FORMULA.CONVERT(IF(1,1),IF(1,1),IF(1,1),IF(1,1),IF(1,1)))</f>
        <v>16</v>
      </c>
      <c r="J762" s="2" t="str">
        <f>IF(C762=0,COUNTIFS(A:A,A762,D:D,"a"),"")</f>
        <v/>
      </c>
      <c r="K762" s="2" t="e">
        <f>INDEX(+FORMULA.CONVERT(#REF!,#REF!,K762:L762,#REF!,#REF!),)</f>
        <v>#REF!</v>
      </c>
      <c r="L762" s="1">
        <v>1</v>
      </c>
      <c r="M762" s="2" t="e">
        <f>INDEX(+FORMULA.CONVERT(#REF!,#REF!,INDIRECT(M762:N762),#REF!,#REF!),)</f>
        <v>#REF!</v>
      </c>
      <c r="N762" s="1">
        <v>1</v>
      </c>
    </row>
    <row r="763" spans="1:14" x14ac:dyDescent="0.55000000000000004">
      <c r="A763" s="1" t="s">
        <v>1693</v>
      </c>
      <c r="B763" s="2">
        <f>COUNTIF(A:A,A763)-1</f>
        <v>5</v>
      </c>
      <c r="C763" s="2">
        <f>COUNTIF(A$1:A763,A763)-1</f>
        <v>4</v>
      </c>
      <c r="D763" s="2" t="str">
        <f>Argument!D763</f>
        <v>vr</v>
      </c>
      <c r="E763" s="2" t="str">
        <f t="shared" si="22"/>
        <v/>
      </c>
      <c r="F763" s="2" t="str">
        <f>IF(C763=0,ISTEXT(FORMULA.CONVERT("="&amp;A763&amp;"("&amp;REPLACE(REPT(",#ref!",B763),1,1,"")&amp;")()",1)),"")</f>
        <v/>
      </c>
      <c r="G763" s="2">
        <f>TYPE(FORMULA.CONVERT(IF(1,1),IF(1,1),IF(1,1),{1},IF(1,1)))</f>
        <v>64</v>
      </c>
      <c r="H763" s="2" t="str">
        <f t="shared" si="23"/>
        <v/>
      </c>
      <c r="I763" s="2">
        <f>TYPE(FORMULA.CONVERT(IF(1,1),IF(1,1),IF(1,1),IF(1,1),IF(1,1)))</f>
        <v>16</v>
      </c>
      <c r="J763" s="2" t="str">
        <f>IF(C763=0,COUNTIFS(A:A,A763,D:D,"a"),"")</f>
        <v/>
      </c>
      <c r="K763" s="2" t="e">
        <f>INDEX(+FORMULA.CONVERT(#REF!,#REF!,#REF!,K763:L763,#REF!),)</f>
        <v>#REF!</v>
      </c>
      <c r="L763" s="1">
        <v>1</v>
      </c>
      <c r="M763" s="2" t="e">
        <f>INDEX(+FORMULA.CONVERT(#REF!,#REF!,#REF!,INDIRECT(M763:N763),#REF!),)</f>
        <v>#REF!</v>
      </c>
      <c r="N763" s="1">
        <v>1</v>
      </c>
    </row>
    <row r="764" spans="1:14" x14ac:dyDescent="0.55000000000000004">
      <c r="A764" s="1" t="s">
        <v>1693</v>
      </c>
      <c r="B764" s="2">
        <f>COUNTIF(A:A,A764)-1</f>
        <v>5</v>
      </c>
      <c r="C764" s="2">
        <f>COUNTIF(A$1:A764,A764)-1</f>
        <v>5</v>
      </c>
      <c r="D764" s="2" t="str">
        <f>Argument!D764</f>
        <v>vr</v>
      </c>
      <c r="E764" s="2" t="str">
        <f t="shared" si="22"/>
        <v/>
      </c>
      <c r="F764" s="2" t="str">
        <f>IF(C764=0,ISTEXT(FORMULA.CONVERT("="&amp;A764&amp;"("&amp;REPLACE(REPT(",#ref!",B764),1,1,"")&amp;")()",1)),"")</f>
        <v/>
      </c>
      <c r="G764" s="2">
        <f>TYPE(FORMULA.CONVERT(IF(1,1),IF(1,1),IF(1,1),IF(1,1),{1}))</f>
        <v>64</v>
      </c>
      <c r="H764" s="2" t="str">
        <f t="shared" si="23"/>
        <v/>
      </c>
      <c r="I764" s="2">
        <f>TYPE(FORMULA.CONVERT(IF(1,1),IF(1,1),IF(1,1),IF(1,1),IF(1,1)))</f>
        <v>16</v>
      </c>
      <c r="J764" s="2" t="str">
        <f>IF(C764=0,COUNTIFS(A:A,A764,D:D,"a"),"")</f>
        <v/>
      </c>
      <c r="K764" s="2" t="e">
        <f>INDEX(+FORMULA.CONVERT(#REF!,#REF!,#REF!,#REF!,K764:L764),)</f>
        <v>#REF!</v>
      </c>
      <c r="L764" s="1">
        <v>1</v>
      </c>
      <c r="M764" s="2" t="e">
        <f>INDEX(+FORMULA.CONVERT(#REF!,#REF!,#REF!,#REF!,INDIRECT(M764:N764)),)</f>
        <v>#REF!</v>
      </c>
      <c r="N764" s="1">
        <v>1</v>
      </c>
    </row>
    <row r="765" spans="1:14" x14ac:dyDescent="0.55000000000000004">
      <c r="A765" s="1" t="s">
        <v>1694</v>
      </c>
      <c r="B765" s="2">
        <f>COUNTIF(A:A,A765)-1</f>
        <v>4</v>
      </c>
      <c r="C765" s="2">
        <f>COUNTIF(A$1:A765,A765)-1</f>
        <v>0</v>
      </c>
      <c r="D765" s="2" t="str">
        <f>Argument!D765</f>
        <v/>
      </c>
      <c r="E765" s="2" t="str">
        <f t="shared" si="22"/>
        <v>v</v>
      </c>
      <c r="F765" s="2" t="b">
        <f>IF(C765=0,ISTEXT(FORMULA.CONVERT("="&amp;A765&amp;"("&amp;REPLACE(REPT(",#ref!",B765),1,1,"")&amp;")()",1)),"")</f>
        <v>0</v>
      </c>
      <c r="G765" s="2"/>
      <c r="H765" s="2" t="str">
        <f t="shared" si="23"/>
        <v/>
      </c>
      <c r="I765" s="2">
        <f>TYPE(GET.LINK.INFO(IF(1,1),IF(1,1),IF(1,1),IF(1,1)))</f>
        <v>16</v>
      </c>
      <c r="J765" s="2">
        <f>IF(C765=0,COUNTIFS(A:A,A765,D:D,"a"),"")</f>
        <v>0</v>
      </c>
      <c r="K765" s="2"/>
      <c r="M765" s="2"/>
    </row>
    <row r="766" spans="1:14" x14ac:dyDescent="0.55000000000000004">
      <c r="A766" s="1" t="s">
        <v>1694</v>
      </c>
      <c r="B766" s="2">
        <f>COUNTIF(A:A,A766)-1</f>
        <v>4</v>
      </c>
      <c r="C766" s="2">
        <f>COUNTIF(A$1:A766,A766)-1</f>
        <v>1</v>
      </c>
      <c r="D766" s="2" t="str">
        <f>Argument!D766</f>
        <v>v</v>
      </c>
      <c r="E766" s="2" t="str">
        <f t="shared" si="22"/>
        <v/>
      </c>
      <c r="F766" s="2" t="str">
        <f>IF(C766=0,ISTEXT(FORMULA.CONVERT("="&amp;A766&amp;"("&amp;REPLACE(REPT(",#ref!",B766),1,1,"")&amp;")()",1)),"")</f>
        <v/>
      </c>
      <c r="G766" s="2">
        <f>TYPE(GET.LINK.INFO({1},IF(1,1),IF(1,1),IF(1,1)))</f>
        <v>64</v>
      </c>
      <c r="H766" s="2" t="str">
        <f t="shared" si="23"/>
        <v/>
      </c>
      <c r="I766" s="2">
        <f>TYPE(GET.LINK.INFO(IF(1,1),IF(1,1),IF(1,1),IF(1,1)))</f>
        <v>16</v>
      </c>
      <c r="J766" s="2" t="str">
        <f>IF(C766=0,COUNTIFS(A:A,A766,D:D,"a"),"")</f>
        <v/>
      </c>
      <c r="K766" s="2" t="e">
        <f>INDEX(+GET.LINK.INFO(K766:L766,#REF!,#REF!,#REF!),)</f>
        <v>#REF!</v>
      </c>
      <c r="L766" s="1">
        <v>1</v>
      </c>
      <c r="M766" s="2" t="e">
        <f>INDEX(+GET.LINK.INFO(INDIRECT(M766:N766),#REF!,#REF!,#REF!),)</f>
        <v>#REF!</v>
      </c>
      <c r="N766" s="1">
        <v>1</v>
      </c>
    </row>
    <row r="767" spans="1:14" x14ac:dyDescent="0.55000000000000004">
      <c r="A767" s="1" t="s">
        <v>1694</v>
      </c>
      <c r="B767" s="2">
        <f>COUNTIF(A:A,A767)-1</f>
        <v>4</v>
      </c>
      <c r="C767" s="2">
        <f>COUNTIF(A$1:A767,A767)-1</f>
        <v>2</v>
      </c>
      <c r="D767" s="2" t="str">
        <f>Argument!D767</f>
        <v>v</v>
      </c>
      <c r="E767" s="2" t="str">
        <f t="shared" si="22"/>
        <v/>
      </c>
      <c r="F767" s="2" t="str">
        <f>IF(C767=0,ISTEXT(FORMULA.CONVERT("="&amp;A767&amp;"("&amp;REPLACE(REPT(",#ref!",B767),1,1,"")&amp;")()",1)),"")</f>
        <v/>
      </c>
      <c r="G767" s="2">
        <f>TYPE(GET.LINK.INFO(IF(1,1),{1},IF(1,1),IF(1,1)))</f>
        <v>64</v>
      </c>
      <c r="H767" s="2" t="str">
        <f t="shared" si="23"/>
        <v/>
      </c>
      <c r="I767" s="2">
        <f>TYPE(GET.LINK.INFO(IF(1,1),IF(1,1),IF(1,1),IF(1,1)))</f>
        <v>16</v>
      </c>
      <c r="J767" s="2" t="str">
        <f>IF(C767=0,COUNTIFS(A:A,A767,D:D,"a"),"")</f>
        <v/>
      </c>
      <c r="K767" s="2" t="e">
        <f>INDEX(+GET.LINK.INFO(#REF!,K767:L767,#REF!,#REF!),)</f>
        <v>#REF!</v>
      </c>
      <c r="L767" s="1">
        <v>1</v>
      </c>
      <c r="M767" s="2" t="e">
        <f>INDEX(+GET.LINK.INFO(#REF!,INDIRECT(M767:N767),#REF!,#REF!),)</f>
        <v>#REF!</v>
      </c>
      <c r="N767" s="1">
        <v>1</v>
      </c>
    </row>
    <row r="768" spans="1:14" x14ac:dyDescent="0.55000000000000004">
      <c r="A768" s="1" t="s">
        <v>1694</v>
      </c>
      <c r="B768" s="2">
        <f>COUNTIF(A:A,A768)-1</f>
        <v>4</v>
      </c>
      <c r="C768" s="2">
        <f>COUNTIF(A$1:A768,A768)-1</f>
        <v>3</v>
      </c>
      <c r="D768" s="2" t="str">
        <f>Argument!D768</f>
        <v>v</v>
      </c>
      <c r="E768" s="2" t="str">
        <f t="shared" si="22"/>
        <v/>
      </c>
      <c r="F768" s="2" t="str">
        <f>IF(C768=0,ISTEXT(FORMULA.CONVERT("="&amp;A768&amp;"("&amp;REPLACE(REPT(",#ref!",B768),1,1,"")&amp;")()",1)),"")</f>
        <v/>
      </c>
      <c r="G768" s="2">
        <f>TYPE(GET.LINK.INFO(IF(1,1),IF(1,1),{1},IF(1,1)))</f>
        <v>64</v>
      </c>
      <c r="H768" s="2" t="str">
        <f t="shared" si="23"/>
        <v/>
      </c>
      <c r="I768" s="2">
        <f>TYPE(GET.LINK.INFO(IF(1,1),IF(1,1),IF(1,1),IF(1,1)))</f>
        <v>16</v>
      </c>
      <c r="J768" s="2" t="str">
        <f>IF(C768=0,COUNTIFS(A:A,A768,D:D,"a"),"")</f>
        <v/>
      </c>
      <c r="K768" s="2" t="e">
        <f>INDEX(+GET.LINK.INFO(#REF!,#REF!,K768:L768,#REF!),)</f>
        <v>#REF!</v>
      </c>
      <c r="L768" s="1">
        <v>1</v>
      </c>
      <c r="M768" s="2" t="e">
        <f>INDEX(+GET.LINK.INFO(#REF!,#REF!,INDIRECT(M768:N768),#REF!),)</f>
        <v>#REF!</v>
      </c>
      <c r="N768" s="1">
        <v>1</v>
      </c>
    </row>
    <row r="769" spans="1:14" x14ac:dyDescent="0.55000000000000004">
      <c r="A769" s="1" t="s">
        <v>1694</v>
      </c>
      <c r="B769" s="2">
        <f>COUNTIF(A:A,A769)-1</f>
        <v>4</v>
      </c>
      <c r="C769" s="2">
        <f>COUNTIF(A$1:A769,A769)-1</f>
        <v>4</v>
      </c>
      <c r="D769" s="2" t="str">
        <f>Argument!D769</f>
        <v>v</v>
      </c>
      <c r="E769" s="2" t="str">
        <f t="shared" si="22"/>
        <v/>
      </c>
      <c r="F769" s="2" t="str">
        <f>IF(C769=0,ISTEXT(FORMULA.CONVERT("="&amp;A769&amp;"("&amp;REPLACE(REPT(",#ref!",B769),1,1,"")&amp;")()",1)),"")</f>
        <v/>
      </c>
      <c r="G769" s="2">
        <f>TYPE(GET.LINK.INFO(IF(1,1),IF(1,1),IF(1,1),{1}))</f>
        <v>64</v>
      </c>
      <c r="H769" s="2" t="str">
        <f t="shared" si="23"/>
        <v/>
      </c>
      <c r="I769" s="2">
        <f>TYPE(GET.LINK.INFO(IF(1,1),IF(1,1),IF(1,1),IF(1,1)))</f>
        <v>16</v>
      </c>
      <c r="J769" s="2" t="str">
        <f>IF(C769=0,COUNTIFS(A:A,A769,D:D,"a"),"")</f>
        <v/>
      </c>
      <c r="K769" s="2" t="e">
        <f>INDEX(+GET.LINK.INFO(#REF!,#REF!,#REF!,K769:L769),)</f>
        <v>#REF!</v>
      </c>
      <c r="L769" s="1">
        <v>1</v>
      </c>
      <c r="M769" s="2" t="e">
        <f>INDEX(+GET.LINK.INFO(#REF!,#REF!,#REF!,INDIRECT(M769:N769)),)</f>
        <v>#REF!</v>
      </c>
      <c r="N769" s="1">
        <v>1</v>
      </c>
    </row>
    <row r="770" spans="1:14" x14ac:dyDescent="0.55000000000000004">
      <c r="A770" s="1" t="s">
        <v>1695</v>
      </c>
      <c r="B770" s="2">
        <f>COUNTIF(A:A,A770)-1</f>
        <v>4</v>
      </c>
      <c r="C770" s="2">
        <f>COUNTIF(A$1:A770,A770)-1</f>
        <v>0</v>
      </c>
      <c r="D770" s="2" t="str">
        <f>Argument!D770</f>
        <v/>
      </c>
      <c r="E770" s="2" t="str">
        <f t="shared" ref="E770:E833" si="24">IF(C770=0,IF(SUMIFS(H:H,A:A,A770),IF(COUNTIFS(A:A,A770,G:G,64),,"v")&amp;IF(F770,"ar","a"),IF(F770,"r","v")),"")</f>
        <v>v</v>
      </c>
      <c r="F770" s="2" t="b">
        <f>IF(C770=0,ISTEXT(FORMULA.CONVERT("="&amp;A770&amp;"("&amp;REPLACE(REPT(",#ref!",B770),1,1,"")&amp;")()",1)),"")</f>
        <v>0</v>
      </c>
      <c r="G770" s="2"/>
      <c r="H770" s="2" t="str">
        <f t="shared" ref="H770:H833" si="25">IF((I770=64)*(J770=B770)+(1-L770)*COUNTIF(D770,"*v*")+(1-N770)*COUNTIF(D770,"*r*"),1,"")</f>
        <v/>
      </c>
      <c r="I770" s="2">
        <f>TYPE(TEXT.BOX(IF(1,1),IF(1,1),IF(1,1),IF(1,1)))</f>
        <v>4</v>
      </c>
      <c r="J770" s="2">
        <f>IF(C770=0,COUNTIFS(A:A,A770,D:D,"a"),"")</f>
        <v>0</v>
      </c>
      <c r="K770" s="2"/>
      <c r="M770" s="2"/>
    </row>
    <row r="771" spans="1:14" x14ac:dyDescent="0.55000000000000004">
      <c r="A771" s="1" t="s">
        <v>1695</v>
      </c>
      <c r="B771" s="2">
        <f>COUNTIF(A:A,A771)-1</f>
        <v>4</v>
      </c>
      <c r="C771" s="2">
        <f>COUNTIF(A$1:A771,A771)-1</f>
        <v>1</v>
      </c>
      <c r="D771" s="2" t="str">
        <f>Argument!D771</f>
        <v>v</v>
      </c>
      <c r="E771" s="2" t="str">
        <f t="shared" si="24"/>
        <v/>
      </c>
      <c r="F771" s="2" t="str">
        <f>IF(C771=0,ISTEXT(FORMULA.CONVERT("="&amp;A771&amp;"("&amp;REPLACE(REPT(",#ref!",B771),1,1,"")&amp;")()",1)),"")</f>
        <v/>
      </c>
      <c r="G771" s="2">
        <f>TYPE(TEXT.BOX({1},IF(1,1),IF(1,1),IF(1,1)))</f>
        <v>64</v>
      </c>
      <c r="H771" s="2" t="str">
        <f t="shared" si="25"/>
        <v/>
      </c>
      <c r="I771" s="2">
        <f>TYPE(TEXT.BOX(IF(1,1),IF(1,1),IF(1,1),IF(1,1)))</f>
        <v>4</v>
      </c>
      <c r="J771" s="2" t="str">
        <f>IF(C771=0,COUNTIFS(A:A,A771,D:D,"a"),"")</f>
        <v/>
      </c>
      <c r="K771" s="2" t="e">
        <f>INDEX(+TEXT.BOX(K771:L771,#REF!,#REF!,#REF!),)</f>
        <v>#REF!</v>
      </c>
      <c r="L771" s="1">
        <v>1</v>
      </c>
      <c r="M771" s="2" t="e">
        <f>INDEX(+TEXT.BOX(INDIRECT(M771:N771),#REF!,#REF!,#REF!),)</f>
        <v>#REF!</v>
      </c>
      <c r="N771" s="1">
        <v>1</v>
      </c>
    </row>
    <row r="772" spans="1:14" x14ac:dyDescent="0.55000000000000004">
      <c r="A772" s="1" t="s">
        <v>1695</v>
      </c>
      <c r="B772" s="2">
        <f>COUNTIF(A:A,A772)-1</f>
        <v>4</v>
      </c>
      <c r="C772" s="2">
        <f>COUNTIF(A$1:A772,A772)-1</f>
        <v>2</v>
      </c>
      <c r="D772" s="2" t="str">
        <f>Argument!D772</f>
        <v>v</v>
      </c>
      <c r="E772" s="2" t="str">
        <f t="shared" si="24"/>
        <v/>
      </c>
      <c r="F772" s="2" t="str">
        <f>IF(C772=0,ISTEXT(FORMULA.CONVERT("="&amp;A772&amp;"("&amp;REPLACE(REPT(",#ref!",B772),1,1,"")&amp;")()",1)),"")</f>
        <v/>
      </c>
      <c r="G772" s="2">
        <f>TYPE(TEXT.BOX(IF(1,1),{1},IF(1,1),IF(1,1)))</f>
        <v>64</v>
      </c>
      <c r="H772" s="2" t="str">
        <f t="shared" si="25"/>
        <v/>
      </c>
      <c r="I772" s="2">
        <f>TYPE(TEXT.BOX(IF(1,1),IF(1,1),IF(1,1),IF(1,1)))</f>
        <v>4</v>
      </c>
      <c r="J772" s="2" t="str">
        <f>IF(C772=0,COUNTIFS(A:A,A772,D:D,"a"),"")</f>
        <v/>
      </c>
      <c r="K772" s="2" t="e">
        <f>INDEX(+TEXT.BOX(#REF!,K772:L772,#REF!,#REF!),)</f>
        <v>#REF!</v>
      </c>
      <c r="L772" s="1">
        <v>1</v>
      </c>
      <c r="M772" s="2" t="e">
        <f>INDEX(+TEXT.BOX(#REF!,INDIRECT(M772:N772),#REF!,#REF!),)</f>
        <v>#REF!</v>
      </c>
      <c r="N772" s="1">
        <v>1</v>
      </c>
    </row>
    <row r="773" spans="1:14" x14ac:dyDescent="0.55000000000000004">
      <c r="A773" s="1" t="s">
        <v>1695</v>
      </c>
      <c r="B773" s="2">
        <f>COUNTIF(A:A,A773)-1</f>
        <v>4</v>
      </c>
      <c r="C773" s="2">
        <f>COUNTIF(A$1:A773,A773)-1</f>
        <v>3</v>
      </c>
      <c r="D773" s="2" t="str">
        <f>Argument!D773</f>
        <v>v</v>
      </c>
      <c r="E773" s="2" t="str">
        <f t="shared" si="24"/>
        <v/>
      </c>
      <c r="F773" s="2" t="str">
        <f>IF(C773=0,ISTEXT(FORMULA.CONVERT("="&amp;A773&amp;"("&amp;REPLACE(REPT(",#ref!",B773),1,1,"")&amp;")()",1)),"")</f>
        <v/>
      </c>
      <c r="G773" s="2">
        <f>TYPE(TEXT.BOX(IF(1,1),IF(1,1),{1},IF(1,1)))</f>
        <v>64</v>
      </c>
      <c r="H773" s="2" t="str">
        <f t="shared" si="25"/>
        <v/>
      </c>
      <c r="I773" s="2">
        <f>TYPE(TEXT.BOX(IF(1,1),IF(1,1),IF(1,1),IF(1,1)))</f>
        <v>4</v>
      </c>
      <c r="J773" s="2" t="str">
        <f>IF(C773=0,COUNTIFS(A:A,A773,D:D,"a"),"")</f>
        <v/>
      </c>
      <c r="K773" s="2" t="e">
        <f>INDEX(+TEXT.BOX(#REF!,#REF!,K773:L773,#REF!),)</f>
        <v>#REF!</v>
      </c>
      <c r="L773" s="1">
        <v>1</v>
      </c>
      <c r="M773" s="2" t="e">
        <f>INDEX(+TEXT.BOX(#REF!,#REF!,INDIRECT(M773:N773),#REF!),)</f>
        <v>#REF!</v>
      </c>
      <c r="N773" s="1">
        <v>1</v>
      </c>
    </row>
    <row r="774" spans="1:14" x14ac:dyDescent="0.55000000000000004">
      <c r="A774" s="1" t="s">
        <v>1695</v>
      </c>
      <c r="B774" s="2">
        <f>COUNTIF(A:A,A774)-1</f>
        <v>4</v>
      </c>
      <c r="C774" s="2">
        <f>COUNTIF(A$1:A774,A774)-1</f>
        <v>4</v>
      </c>
      <c r="D774" s="2" t="str">
        <f>Argument!D774</f>
        <v>v</v>
      </c>
      <c r="E774" s="2" t="str">
        <f t="shared" si="24"/>
        <v/>
      </c>
      <c r="F774" s="2" t="str">
        <f>IF(C774=0,ISTEXT(FORMULA.CONVERT("="&amp;A774&amp;"("&amp;REPLACE(REPT(",#ref!",B774),1,1,"")&amp;")()",1)),"")</f>
        <v/>
      </c>
      <c r="G774" s="2">
        <f>TYPE(TEXT.BOX(IF(1,1),IF(1,1),IF(1,1),{1}))</f>
        <v>64</v>
      </c>
      <c r="H774" s="2" t="str">
        <f t="shared" si="25"/>
        <v/>
      </c>
      <c r="I774" s="2">
        <f>TYPE(TEXT.BOX(IF(1,1),IF(1,1),IF(1,1),IF(1,1)))</f>
        <v>4</v>
      </c>
      <c r="J774" s="2" t="str">
        <f>IF(C774=0,COUNTIFS(A:A,A774,D:D,"a"),"")</f>
        <v/>
      </c>
      <c r="K774" s="2" t="e">
        <f>INDEX(+TEXT.BOX(#REF!,#REF!,#REF!,K774:L774),)</f>
        <v>#REF!</v>
      </c>
      <c r="L774" s="1">
        <v>1</v>
      </c>
      <c r="M774" s="2" t="e">
        <f>INDEX(+TEXT.BOX(#REF!,#REF!,#REF!,INDIRECT(M774:N774)),)</f>
        <v>#REF!</v>
      </c>
      <c r="N774" s="1">
        <v>1</v>
      </c>
    </row>
    <row r="775" spans="1:14" x14ac:dyDescent="0.55000000000000004">
      <c r="A775" s="1" t="s">
        <v>1696</v>
      </c>
      <c r="B775" s="2">
        <f>COUNTIF(A:A,A775)-1</f>
        <v>1</v>
      </c>
      <c r="C775" s="2">
        <f>COUNTIF(A$1:A775,A775)-1</f>
        <v>0</v>
      </c>
      <c r="D775" s="2" t="str">
        <f>Argument!D775</f>
        <v/>
      </c>
      <c r="E775" s="2" t="str">
        <f t="shared" si="24"/>
        <v>v</v>
      </c>
      <c r="F775" s="2" t="b">
        <f>IF(C775=0,ISTEXT(FORMULA.CONVERT("="&amp;A775&amp;"("&amp;REPLACE(REPT(",#ref!",B775),1,1,"")&amp;")()",1)),"")</f>
        <v>0</v>
      </c>
      <c r="G775" s="2"/>
      <c r="H775" s="2" t="str">
        <f t="shared" si="25"/>
        <v/>
      </c>
      <c r="I775" s="2">
        <f>TYPE(INFO(IF(1,1)))</f>
        <v>16</v>
      </c>
      <c r="J775" s="2">
        <f>IF(C775=0,COUNTIFS(A:A,A775,D:D,"a"),"")</f>
        <v>0</v>
      </c>
      <c r="K775" s="2"/>
      <c r="M775" s="2"/>
    </row>
    <row r="776" spans="1:14" x14ac:dyDescent="0.55000000000000004">
      <c r="A776" s="1" t="s">
        <v>1696</v>
      </c>
      <c r="B776" s="2">
        <f>COUNTIF(A:A,A776)-1</f>
        <v>1</v>
      </c>
      <c r="C776" s="2">
        <f>COUNTIF(A$1:A776,A776)-1</f>
        <v>1</v>
      </c>
      <c r="D776" s="2" t="str">
        <f>Argument!D776</f>
        <v>v</v>
      </c>
      <c r="E776" s="2" t="str">
        <f t="shared" si="24"/>
        <v/>
      </c>
      <c r="F776" s="2" t="str">
        <f>IF(C776=0,ISTEXT(FORMULA.CONVERT("="&amp;A776&amp;"("&amp;REPLACE(REPT(",#ref!",B776),1,1,"")&amp;")()",1)),"")</f>
        <v/>
      </c>
      <c r="G776" s="2">
        <f>TYPE(INFO({1}))</f>
        <v>64</v>
      </c>
      <c r="H776" s="2" t="str">
        <f t="shared" si="25"/>
        <v/>
      </c>
      <c r="I776" s="2">
        <f>TYPE(INFO(IF(1,1)))</f>
        <v>16</v>
      </c>
      <c r="J776" s="2" t="str">
        <f>IF(C776=0,COUNTIFS(A:A,A776,D:D,"a"),"")</f>
        <v/>
      </c>
      <c r="K776" s="2" t="e">
        <f>INDEX(+INFO(K776:L776),)</f>
        <v>#VALUE!</v>
      </c>
      <c r="L776" s="1">
        <v>1</v>
      </c>
      <c r="M776" s="2" t="e">
        <f>INDEX(+INFO(INDIRECT(M776:N776)),)</f>
        <v>#REF!</v>
      </c>
      <c r="N776" s="1">
        <v>1</v>
      </c>
    </row>
    <row r="777" spans="1:14" x14ac:dyDescent="0.55000000000000004">
      <c r="A777" s="1" t="s">
        <v>1484</v>
      </c>
      <c r="B777" s="2">
        <f>COUNTIF(A:A,A777)-1</f>
        <v>0</v>
      </c>
      <c r="C777" s="2">
        <f>COUNTIF(A$1:A777,A777)-1</f>
        <v>0</v>
      </c>
      <c r="D777" s="2" t="str">
        <f>Argument!D777</f>
        <v/>
      </c>
      <c r="E777" s="2" t="str">
        <f t="shared" si="24"/>
        <v>v</v>
      </c>
      <c r="F777" s="2" t="b">
        <f>IF(C777=0,ISTEXT(FORMULA.CONVERT("="&amp;A777&amp;"("&amp;REPLACE(REPT(",#ref!",B777),1,1,"")&amp;")()",1)),"")</f>
        <v>0</v>
      </c>
      <c r="G777" s="2"/>
      <c r="H777" s="2" t="str">
        <f t="shared" si="25"/>
        <v/>
      </c>
      <c r="I777" s="2">
        <f>TYPE(GROUP())</f>
        <v>4</v>
      </c>
      <c r="J777" s="2">
        <f>IF(C777=0,COUNTIFS(A:A,A777,D:D,"a"),"")</f>
        <v>0</v>
      </c>
      <c r="K777" s="2"/>
      <c r="M777" s="2"/>
    </row>
    <row r="778" spans="1:14" x14ac:dyDescent="0.55000000000000004">
      <c r="A778" s="1" t="s">
        <v>1697</v>
      </c>
      <c r="B778" s="2">
        <f>COUNTIF(A:A,A778)-1</f>
        <v>5</v>
      </c>
      <c r="C778" s="2">
        <f>COUNTIF(A$1:A778,A778)-1</f>
        <v>0</v>
      </c>
      <c r="D778" s="2" t="str">
        <f>Argument!D778</f>
        <v/>
      </c>
      <c r="E778" s="2" t="str">
        <f t="shared" si="24"/>
        <v>va</v>
      </c>
      <c r="F778" s="2" t="b">
        <f>IF(C778=0,ISTEXT(FORMULA.CONVERT("="&amp;A778&amp;"("&amp;REPLACE(REPT(",#ref!",B778),1,1,"")&amp;")()",1)),"")</f>
        <v>0</v>
      </c>
      <c r="G778" s="2"/>
      <c r="H778" s="2" t="str">
        <f t="shared" si="25"/>
        <v/>
      </c>
      <c r="I778" s="2">
        <f>TYPE(GET.OBJECT(IF(1,1),IF(1,1),IF(1,1),IF(1,1),IF(1,1)))</f>
        <v>16</v>
      </c>
      <c r="J778" s="2">
        <f>IF(C778=0,COUNTIFS(A:A,A778,D:D,"a"),"")</f>
        <v>0</v>
      </c>
      <c r="K778" s="2"/>
      <c r="M778" s="2"/>
    </row>
    <row r="779" spans="1:14" x14ac:dyDescent="0.55000000000000004">
      <c r="A779" s="1" t="s">
        <v>1697</v>
      </c>
      <c r="B779" s="2">
        <f>COUNTIF(A:A,A779)-1</f>
        <v>5</v>
      </c>
      <c r="C779" s="2">
        <f>COUNTIF(A$1:A779,A779)-1</f>
        <v>1</v>
      </c>
      <c r="D779" s="2" t="str">
        <f>Argument!D779</f>
        <v>v</v>
      </c>
      <c r="E779" s="2" t="str">
        <f t="shared" si="24"/>
        <v/>
      </c>
      <c r="F779" s="2" t="str">
        <f>IF(C779=0,ISTEXT(FORMULA.CONVERT("="&amp;A779&amp;"("&amp;REPLACE(REPT(",#ref!",B779),1,1,"")&amp;")()",1)),"")</f>
        <v/>
      </c>
      <c r="G779" s="2">
        <f>TYPE(GET.OBJECT({1},IF(1,1),IF(1,1),IF(1,1),IF(1,1)))</f>
        <v>16</v>
      </c>
      <c r="H779" s="2">
        <f t="shared" si="25"/>
        <v>1</v>
      </c>
      <c r="I779" s="2">
        <f>TYPE(GET.OBJECT(IF(1,1),IF(1,1),IF(1,1),IF(1,1),IF(1,1)))</f>
        <v>16</v>
      </c>
      <c r="J779" s="2" t="str">
        <f>IF(C779=0,COUNTIFS(A:A,A779,D:D,"a"),"")</f>
        <v/>
      </c>
      <c r="K779" s="2" t="e">
        <f>INDEX(+GET.OBJECT(K779:L779,#REF!,#REF!,#REF!,#REF!),)</f>
        <v>#REF!</v>
      </c>
      <c r="M779" s="2" t="e">
        <f>INDEX(+GET.OBJECT(INDIRECT(M779:N779),#REF!,#REF!,#REF!,#REF!),)</f>
        <v>#REF!</v>
      </c>
    </row>
    <row r="780" spans="1:14" x14ac:dyDescent="0.55000000000000004">
      <c r="A780" s="1" t="s">
        <v>1697</v>
      </c>
      <c r="B780" s="2">
        <f>COUNTIF(A:A,A780)-1</f>
        <v>5</v>
      </c>
      <c r="C780" s="2">
        <f>COUNTIF(A$1:A780,A780)-1</f>
        <v>2</v>
      </c>
      <c r="D780" s="2" t="str">
        <f>Argument!D780</f>
        <v>v</v>
      </c>
      <c r="E780" s="2" t="str">
        <f t="shared" si="24"/>
        <v/>
      </c>
      <c r="F780" s="2" t="str">
        <f>IF(C780=0,ISTEXT(FORMULA.CONVERT("="&amp;A780&amp;"("&amp;REPLACE(REPT(",#ref!",B780),1,1,"")&amp;")()",1)),"")</f>
        <v/>
      </c>
      <c r="G780" s="2">
        <f>TYPE(GET.OBJECT(IF(1,1),{1},IF(1,1),IF(1,1),IF(1,1)))</f>
        <v>16</v>
      </c>
      <c r="H780" s="2">
        <f t="shared" si="25"/>
        <v>1</v>
      </c>
      <c r="I780" s="2">
        <f>TYPE(GET.OBJECT(IF(1,1),IF(1,1),IF(1,1),IF(1,1),IF(1,1)))</f>
        <v>16</v>
      </c>
      <c r="J780" s="2" t="str">
        <f>IF(C780=0,COUNTIFS(A:A,A780,D:D,"a"),"")</f>
        <v/>
      </c>
      <c r="K780" s="2" t="e">
        <f>INDEX(+GET.OBJECT(#REF!,K780:L780,#REF!,#REF!,#REF!),)</f>
        <v>#REF!</v>
      </c>
      <c r="M780" s="2" t="e">
        <f>INDEX(+GET.OBJECT(#REF!,INDIRECT(M780:N780),#REF!,#REF!,#REF!),)</f>
        <v>#REF!</v>
      </c>
    </row>
    <row r="781" spans="1:14" x14ac:dyDescent="0.55000000000000004">
      <c r="A781" s="1" t="s">
        <v>1697</v>
      </c>
      <c r="B781" s="2">
        <f>COUNTIF(A:A,A781)-1</f>
        <v>5</v>
      </c>
      <c r="C781" s="2">
        <f>COUNTIF(A$1:A781,A781)-1</f>
        <v>3</v>
      </c>
      <c r="D781" s="2" t="str">
        <f>Argument!D781</f>
        <v>v</v>
      </c>
      <c r="E781" s="2" t="str">
        <f t="shared" si="24"/>
        <v/>
      </c>
      <c r="F781" s="2" t="str">
        <f>IF(C781=0,ISTEXT(FORMULA.CONVERT("="&amp;A781&amp;"("&amp;REPLACE(REPT(",#ref!",B781),1,1,"")&amp;")()",1)),"")</f>
        <v/>
      </c>
      <c r="G781" s="2">
        <f>TYPE(GET.OBJECT(IF(1,1),IF(1,1),{1},IF(1,1),IF(1,1)))</f>
        <v>16</v>
      </c>
      <c r="H781" s="2">
        <f t="shared" si="25"/>
        <v>1</v>
      </c>
      <c r="I781" s="2">
        <f>TYPE(GET.OBJECT(IF(1,1),IF(1,1),IF(1,1),IF(1,1),IF(1,1)))</f>
        <v>16</v>
      </c>
      <c r="J781" s="2" t="str">
        <f>IF(C781=0,COUNTIFS(A:A,A781,D:D,"a"),"")</f>
        <v/>
      </c>
      <c r="K781" s="2" t="e">
        <f>INDEX(+GET.OBJECT(#REF!,#REF!,K781:L781,#REF!,#REF!),)</f>
        <v>#REF!</v>
      </c>
      <c r="M781" s="2" t="e">
        <f>INDEX(+GET.OBJECT(#REF!,#REF!,INDIRECT(M781:N781),#REF!,#REF!),)</f>
        <v>#REF!</v>
      </c>
    </row>
    <row r="782" spans="1:14" x14ac:dyDescent="0.55000000000000004">
      <c r="A782" s="1" t="s">
        <v>1697</v>
      </c>
      <c r="B782" s="2">
        <f>COUNTIF(A:A,A782)-1</f>
        <v>5</v>
      </c>
      <c r="C782" s="2">
        <f>COUNTIF(A$1:A782,A782)-1</f>
        <v>4</v>
      </c>
      <c r="D782" s="2" t="str">
        <f>Argument!D782</f>
        <v>v</v>
      </c>
      <c r="E782" s="2" t="str">
        <f t="shared" si="24"/>
        <v/>
      </c>
      <c r="F782" s="2" t="str">
        <f>IF(C782=0,ISTEXT(FORMULA.CONVERT("="&amp;A782&amp;"("&amp;REPLACE(REPT(",#ref!",B782),1,1,"")&amp;")()",1)),"")</f>
        <v/>
      </c>
      <c r="G782" s="2">
        <f>TYPE(GET.OBJECT(IF(1,1),IF(1,1),IF(1,1),{1},IF(1,1)))</f>
        <v>16</v>
      </c>
      <c r="H782" s="2">
        <f t="shared" si="25"/>
        <v>1</v>
      </c>
      <c r="I782" s="2">
        <f>TYPE(GET.OBJECT(IF(1,1),IF(1,1),IF(1,1),IF(1,1),IF(1,1)))</f>
        <v>16</v>
      </c>
      <c r="J782" s="2" t="str">
        <f>IF(C782=0,COUNTIFS(A:A,A782,D:D,"a"),"")</f>
        <v/>
      </c>
      <c r="K782" s="2" t="e">
        <f>INDEX(+GET.OBJECT(#REF!,#REF!,#REF!,K782:L782,#REF!),)</f>
        <v>#REF!</v>
      </c>
      <c r="M782" s="2" t="e">
        <f>INDEX(+GET.OBJECT(#REF!,#REF!,#REF!,INDIRECT(M782:N782),#REF!),)</f>
        <v>#REF!</v>
      </c>
    </row>
    <row r="783" spans="1:14" x14ac:dyDescent="0.55000000000000004">
      <c r="A783" s="1" t="s">
        <v>1697</v>
      </c>
      <c r="B783" s="2">
        <f>COUNTIF(A:A,A783)-1</f>
        <v>5</v>
      </c>
      <c r="C783" s="2">
        <f>COUNTIF(A$1:A783,A783)-1</f>
        <v>5</v>
      </c>
      <c r="D783" s="2" t="str">
        <f>Argument!D783</f>
        <v>v</v>
      </c>
      <c r="E783" s="2" t="str">
        <f t="shared" si="24"/>
        <v/>
      </c>
      <c r="F783" s="2" t="str">
        <f>IF(C783=0,ISTEXT(FORMULA.CONVERT("="&amp;A783&amp;"("&amp;REPLACE(REPT(",#ref!",B783),1,1,"")&amp;")()",1)),"")</f>
        <v/>
      </c>
      <c r="G783" s="2">
        <f>TYPE(GET.OBJECT(IF(1,1),IF(1,1),IF(1,1),IF(1,1),{1}))</f>
        <v>16</v>
      </c>
      <c r="H783" s="2">
        <f t="shared" si="25"/>
        <v>1</v>
      </c>
      <c r="I783" s="2">
        <f>TYPE(GET.OBJECT(IF(1,1),IF(1,1),IF(1,1),IF(1,1),IF(1,1)))</f>
        <v>16</v>
      </c>
      <c r="J783" s="2" t="str">
        <f>IF(C783=0,COUNTIFS(A:A,A783,D:D,"a"),"")</f>
        <v/>
      </c>
      <c r="K783" s="2" t="e">
        <f>INDEX(+GET.OBJECT(#REF!,#REF!,#REF!,#REF!,K783:L783),)</f>
        <v>#REF!</v>
      </c>
      <c r="M783" s="2" t="e">
        <f>INDEX(+GET.OBJECT(#REF!,#REF!,#REF!,#REF!,INDIRECT(M783:N783)),)</f>
        <v>#REF!</v>
      </c>
    </row>
    <row r="784" spans="1:14" x14ac:dyDescent="0.55000000000000004">
      <c r="A784" s="1" t="s">
        <v>1698</v>
      </c>
      <c r="B784" s="2">
        <f>COUNTIF(A:A,A784)-1</f>
        <v>5</v>
      </c>
      <c r="C784" s="2">
        <f>COUNTIF(A$1:A784,A784)-1</f>
        <v>0</v>
      </c>
      <c r="D784" s="2" t="str">
        <f>Argument!D784</f>
        <v/>
      </c>
      <c r="E784" s="2" t="str">
        <f t="shared" si="24"/>
        <v>v</v>
      </c>
      <c r="F784" s="2" t="b">
        <f>IF(C784=0,ISTEXT(FORMULA.CONVERT("="&amp;A784&amp;"("&amp;REPLACE(REPT(",#ref!",B784),1,1,"")&amp;")()",1)),"")</f>
        <v>0</v>
      </c>
      <c r="G784" s="2"/>
      <c r="H784" s="2" t="str">
        <f t="shared" si="25"/>
        <v/>
      </c>
      <c r="I784" s="2">
        <f>TYPE(DB(IF(1,1),IF(1,1),IF(1,1),IF(1,1),IF(1,1)))</f>
        <v>1</v>
      </c>
      <c r="J784" s="2">
        <f>IF(C784=0,COUNTIFS(A:A,A784,D:D,"a"),"")</f>
        <v>0</v>
      </c>
      <c r="K784" s="2"/>
      <c r="M784" s="2"/>
    </row>
    <row r="785" spans="1:14" x14ac:dyDescent="0.55000000000000004">
      <c r="A785" s="1" t="s">
        <v>1698</v>
      </c>
      <c r="B785" s="2">
        <f>COUNTIF(A:A,A785)-1</f>
        <v>5</v>
      </c>
      <c r="C785" s="2">
        <f>COUNTIF(A$1:A785,A785)-1</f>
        <v>1</v>
      </c>
      <c r="D785" s="2" t="str">
        <f>Argument!D785</f>
        <v>v</v>
      </c>
      <c r="E785" s="2" t="str">
        <f t="shared" si="24"/>
        <v/>
      </c>
      <c r="F785" s="2" t="str">
        <f>IF(C785=0,ISTEXT(FORMULA.CONVERT("="&amp;A785&amp;"("&amp;REPLACE(REPT(",#ref!",B785),1,1,"")&amp;")()",1)),"")</f>
        <v/>
      </c>
      <c r="G785" s="2">
        <f>TYPE(DB({1},IF(1,1),IF(1,1),IF(1,1),IF(1,1)))</f>
        <v>64</v>
      </c>
      <c r="H785" s="2" t="str">
        <f t="shared" si="25"/>
        <v/>
      </c>
      <c r="I785" s="2">
        <f>TYPE(DB(IF(1,1),IF(1,1),IF(1,1),IF(1,1),IF(1,1)))</f>
        <v>1</v>
      </c>
      <c r="J785" s="2" t="str">
        <f>IF(C785=0,COUNTIFS(A:A,A785,D:D,"a"),"")</f>
        <v/>
      </c>
      <c r="K785" s="2" t="e">
        <f>INDEX(+DB(K785:L785,#REF!,#REF!,#REF!,#REF!),)</f>
        <v>#REF!</v>
      </c>
      <c r="L785" s="1">
        <v>1</v>
      </c>
      <c r="M785" s="2" t="e">
        <f>INDEX(+DB(INDIRECT(M785:N785),#REF!,#REF!,#REF!,#REF!),)</f>
        <v>#REF!</v>
      </c>
      <c r="N785" s="1">
        <v>1</v>
      </c>
    </row>
    <row r="786" spans="1:14" x14ac:dyDescent="0.55000000000000004">
      <c r="A786" s="1" t="s">
        <v>1698</v>
      </c>
      <c r="B786" s="2">
        <f>COUNTIF(A:A,A786)-1</f>
        <v>5</v>
      </c>
      <c r="C786" s="2">
        <f>COUNTIF(A$1:A786,A786)-1</f>
        <v>2</v>
      </c>
      <c r="D786" s="2" t="str">
        <f>Argument!D786</f>
        <v>v</v>
      </c>
      <c r="E786" s="2" t="str">
        <f t="shared" si="24"/>
        <v/>
      </c>
      <c r="F786" s="2" t="str">
        <f>IF(C786=0,ISTEXT(FORMULA.CONVERT("="&amp;A786&amp;"("&amp;REPLACE(REPT(",#ref!",B786),1,1,"")&amp;")()",1)),"")</f>
        <v/>
      </c>
      <c r="G786" s="2">
        <f>TYPE(DB(IF(1,1),{1},IF(1,1),IF(1,1),IF(1,1)))</f>
        <v>64</v>
      </c>
      <c r="H786" s="2" t="str">
        <f t="shared" si="25"/>
        <v/>
      </c>
      <c r="I786" s="2">
        <f>TYPE(DB(IF(1,1),IF(1,1),IF(1,1),IF(1,1),IF(1,1)))</f>
        <v>1</v>
      </c>
      <c r="J786" s="2" t="str">
        <f>IF(C786=0,COUNTIFS(A:A,A786,D:D,"a"),"")</f>
        <v/>
      </c>
      <c r="K786" s="2" t="e">
        <f>INDEX(+DB(#REF!,K786:L786,#REF!,#REF!,#REF!),)</f>
        <v>#REF!</v>
      </c>
      <c r="L786" s="1">
        <v>1</v>
      </c>
      <c r="M786" s="2" t="e">
        <f>INDEX(+DB(#REF!,INDIRECT(M786:N786),#REF!,#REF!,#REF!),)</f>
        <v>#REF!</v>
      </c>
      <c r="N786" s="1">
        <v>1</v>
      </c>
    </row>
    <row r="787" spans="1:14" x14ac:dyDescent="0.55000000000000004">
      <c r="A787" s="1" t="s">
        <v>1698</v>
      </c>
      <c r="B787" s="2">
        <f>COUNTIF(A:A,A787)-1</f>
        <v>5</v>
      </c>
      <c r="C787" s="2">
        <f>COUNTIF(A$1:A787,A787)-1</f>
        <v>3</v>
      </c>
      <c r="D787" s="2" t="str">
        <f>Argument!D787</f>
        <v>v</v>
      </c>
      <c r="E787" s="2" t="str">
        <f t="shared" si="24"/>
        <v/>
      </c>
      <c r="F787" s="2" t="str">
        <f>IF(C787=0,ISTEXT(FORMULA.CONVERT("="&amp;A787&amp;"("&amp;REPLACE(REPT(",#ref!",B787),1,1,"")&amp;")()",1)),"")</f>
        <v/>
      </c>
      <c r="G787" s="2">
        <f>TYPE(DB(IF(1,1),IF(1,1),{1},IF(1,1),IF(1,1)))</f>
        <v>64</v>
      </c>
      <c r="H787" s="2" t="str">
        <f t="shared" si="25"/>
        <v/>
      </c>
      <c r="I787" s="2">
        <f>TYPE(DB(IF(1,1),IF(1,1),IF(1,1),IF(1,1),IF(1,1)))</f>
        <v>1</v>
      </c>
      <c r="J787" s="2" t="str">
        <f>IF(C787=0,COUNTIFS(A:A,A787,D:D,"a"),"")</f>
        <v/>
      </c>
      <c r="K787" s="2" t="e">
        <f>INDEX(+DB(#REF!,#REF!,K787:L787,#REF!,#REF!),)</f>
        <v>#REF!</v>
      </c>
      <c r="L787" s="1">
        <v>1</v>
      </c>
      <c r="M787" s="2" t="e">
        <f>INDEX(+DB(#REF!,#REF!,INDIRECT(M787:N787),#REF!,#REF!),)</f>
        <v>#REF!</v>
      </c>
      <c r="N787" s="1">
        <v>1</v>
      </c>
    </row>
    <row r="788" spans="1:14" x14ac:dyDescent="0.55000000000000004">
      <c r="A788" s="1" t="s">
        <v>1698</v>
      </c>
      <c r="B788" s="2">
        <f>COUNTIF(A:A,A788)-1</f>
        <v>5</v>
      </c>
      <c r="C788" s="2">
        <f>COUNTIF(A$1:A788,A788)-1</f>
        <v>4</v>
      </c>
      <c r="D788" s="2" t="str">
        <f>Argument!D788</f>
        <v>v</v>
      </c>
      <c r="E788" s="2" t="str">
        <f t="shared" si="24"/>
        <v/>
      </c>
      <c r="F788" s="2" t="str">
        <f>IF(C788=0,ISTEXT(FORMULA.CONVERT("="&amp;A788&amp;"("&amp;REPLACE(REPT(",#ref!",B788),1,1,"")&amp;")()",1)),"")</f>
        <v/>
      </c>
      <c r="G788" s="2">
        <f>TYPE(DB(IF(1,1),IF(1,1),IF(1,1),{1},IF(1,1)))</f>
        <v>64</v>
      </c>
      <c r="H788" s="2" t="str">
        <f t="shared" si="25"/>
        <v/>
      </c>
      <c r="I788" s="2">
        <f>TYPE(DB(IF(1,1),IF(1,1),IF(1,1),IF(1,1),IF(1,1)))</f>
        <v>1</v>
      </c>
      <c r="J788" s="2" t="str">
        <f>IF(C788=0,COUNTIFS(A:A,A788,D:D,"a"),"")</f>
        <v/>
      </c>
      <c r="K788" s="2" t="e">
        <f>INDEX(+DB(#REF!,#REF!,#REF!,K788:L788,#REF!),)</f>
        <v>#REF!</v>
      </c>
      <c r="L788" s="1">
        <v>1</v>
      </c>
      <c r="M788" s="2" t="e">
        <f>INDEX(+DB(#REF!,#REF!,#REF!,INDIRECT(M788:N788),#REF!),)</f>
        <v>#REF!</v>
      </c>
      <c r="N788" s="1">
        <v>1</v>
      </c>
    </row>
    <row r="789" spans="1:14" x14ac:dyDescent="0.55000000000000004">
      <c r="A789" s="1" t="s">
        <v>1698</v>
      </c>
      <c r="B789" s="2">
        <f>COUNTIF(A:A,A789)-1</f>
        <v>5</v>
      </c>
      <c r="C789" s="2">
        <f>COUNTIF(A$1:A789,A789)-1</f>
        <v>5</v>
      </c>
      <c r="D789" s="2" t="str">
        <f>Argument!D789</f>
        <v>v</v>
      </c>
      <c r="E789" s="2" t="str">
        <f t="shared" si="24"/>
        <v/>
      </c>
      <c r="F789" s="2" t="str">
        <f>IF(C789=0,ISTEXT(FORMULA.CONVERT("="&amp;A789&amp;"("&amp;REPLACE(REPT(",#ref!",B789),1,1,"")&amp;")()",1)),"")</f>
        <v/>
      </c>
      <c r="G789" s="2">
        <f>TYPE(DB(IF(1,1),IF(1,1),IF(1,1),IF(1,1),{1}))</f>
        <v>64</v>
      </c>
      <c r="H789" s="2" t="str">
        <f t="shared" si="25"/>
        <v/>
      </c>
      <c r="I789" s="2">
        <f>TYPE(DB(IF(1,1),IF(1,1),IF(1,1),IF(1,1),IF(1,1)))</f>
        <v>1</v>
      </c>
      <c r="J789" s="2" t="str">
        <f>IF(C789=0,COUNTIFS(A:A,A789,D:D,"a"),"")</f>
        <v/>
      </c>
      <c r="K789" s="2" t="e">
        <f>INDEX(+DB(#REF!,#REF!,#REF!,#REF!,K789:L789),)</f>
        <v>#REF!</v>
      </c>
      <c r="L789" s="1">
        <v>1</v>
      </c>
      <c r="M789" s="2" t="e">
        <f>INDEX(+DB(#REF!,#REF!,#REF!,#REF!,INDIRECT(M789:N789)),)</f>
        <v>#REF!</v>
      </c>
      <c r="N789" s="1">
        <v>1</v>
      </c>
    </row>
    <row r="790" spans="1:14" x14ac:dyDescent="0.55000000000000004">
      <c r="A790" s="1" t="s">
        <v>1699</v>
      </c>
      <c r="B790" s="2">
        <f>COUNTIF(A:A,A790)-1</f>
        <v>1</v>
      </c>
      <c r="C790" s="2">
        <f>COUNTIF(A$1:A790,A790)-1</f>
        <v>0</v>
      </c>
      <c r="D790" s="2" t="str">
        <f>Argument!D790</f>
        <v/>
      </c>
      <c r="E790" s="2" t="str">
        <f t="shared" si="24"/>
        <v>v</v>
      </c>
      <c r="F790" s="2" t="b">
        <f>IF(C790=0,ISTEXT(FORMULA.CONVERT("="&amp;A790&amp;"("&amp;REPLACE(REPT(",#ref!",B790),1,1,"")&amp;")()",1)),"")</f>
        <v>0</v>
      </c>
      <c r="G790" s="2"/>
      <c r="H790" s="2" t="str">
        <f t="shared" si="25"/>
        <v/>
      </c>
      <c r="I790" s="2">
        <f>TYPE(PAUSE(IF(1,1)))</f>
        <v>4</v>
      </c>
      <c r="J790" s="2">
        <f>IF(C790=0,COUNTIFS(A:A,A790,D:D,"a"),"")</f>
        <v>0</v>
      </c>
      <c r="K790" s="2"/>
      <c r="M790" s="2"/>
    </row>
    <row r="791" spans="1:14" x14ac:dyDescent="0.55000000000000004">
      <c r="A791" s="1" t="s">
        <v>1699</v>
      </c>
      <c r="B791" s="2">
        <f>COUNTIF(A:A,A791)-1</f>
        <v>1</v>
      </c>
      <c r="C791" s="2">
        <f>COUNTIF(A$1:A791,A791)-1</f>
        <v>1</v>
      </c>
      <c r="D791" s="2" t="str">
        <f>Argument!D791</f>
        <v>v</v>
      </c>
      <c r="E791" s="2" t="str">
        <f t="shared" si="24"/>
        <v/>
      </c>
      <c r="F791" s="2" t="str">
        <f>IF(C791=0,ISTEXT(FORMULA.CONVERT("="&amp;A791&amp;"("&amp;REPLACE(REPT(",#ref!",B791),1,1,"")&amp;")()",1)),"")</f>
        <v/>
      </c>
      <c r="G791" s="2">
        <f>TYPE(PAUSE({1}))</f>
        <v>64</v>
      </c>
      <c r="H791" s="2" t="str">
        <f t="shared" si="25"/>
        <v/>
      </c>
      <c r="I791" s="2">
        <f>TYPE(PAUSE(IF(1,1)))</f>
        <v>4</v>
      </c>
      <c r="J791" s="2" t="str">
        <f>IF(C791=0,COUNTIFS(A:A,A791,D:D,"a"),"")</f>
        <v/>
      </c>
      <c r="K791" s="2" t="b">
        <f>INDEX(+PAUSE(K791:L791),)</f>
        <v>0</v>
      </c>
      <c r="L791" s="1">
        <v>1</v>
      </c>
      <c r="M791" s="2" t="b">
        <f>INDEX(+PAUSE(INDIRECT(M791:N791)),)</f>
        <v>0</v>
      </c>
      <c r="N791" s="1">
        <v>1</v>
      </c>
    </row>
    <row r="792" spans="1:14" x14ac:dyDescent="0.55000000000000004">
      <c r="A792" s="1" t="s">
        <v>1700</v>
      </c>
      <c r="B792" s="2">
        <f>COUNTIF(A:A,A792)-1</f>
        <v>1</v>
      </c>
      <c r="C792" s="2">
        <f>COUNTIF(A$1:A792,A792)-1</f>
        <v>0</v>
      </c>
      <c r="D792" s="2" t="str">
        <f>Argument!D792</f>
        <v/>
      </c>
      <c r="E792" s="2" t="str">
        <f t="shared" si="24"/>
        <v>v</v>
      </c>
      <c r="F792" s="2" t="b">
        <f>IF(C792=0,ISTEXT(FORMULA.CONVERT("="&amp;A792&amp;"("&amp;REPLACE(REPT(",#ref!",B792),1,1,"")&amp;")()",1)),"")</f>
        <v>0</v>
      </c>
      <c r="G792" s="2"/>
      <c r="H792" s="2" t="str">
        <f t="shared" si="25"/>
        <v/>
      </c>
      <c r="I792" s="2">
        <f>TYPE(RESUME(IF(1,1)))</f>
        <v>4</v>
      </c>
      <c r="J792" s="2">
        <f>IF(C792=0,COUNTIFS(A:A,A792,D:D,"a"),"")</f>
        <v>0</v>
      </c>
      <c r="K792" s="2"/>
      <c r="M792" s="2"/>
    </row>
    <row r="793" spans="1:14" x14ac:dyDescent="0.55000000000000004">
      <c r="A793" s="1" t="s">
        <v>1700</v>
      </c>
      <c r="B793" s="2">
        <f>COUNTIF(A:A,A793)-1</f>
        <v>1</v>
      </c>
      <c r="C793" s="2">
        <f>COUNTIF(A$1:A793,A793)-1</f>
        <v>1</v>
      </c>
      <c r="D793" s="2" t="str">
        <f>Argument!D793</f>
        <v>v</v>
      </c>
      <c r="E793" s="2" t="str">
        <f t="shared" si="24"/>
        <v/>
      </c>
      <c r="F793" s="2" t="str">
        <f>IF(C793=0,ISTEXT(FORMULA.CONVERT("="&amp;A793&amp;"("&amp;REPLACE(REPT(",#ref!",B793),1,1,"")&amp;")()",1)),"")</f>
        <v/>
      </c>
      <c r="G793" s="2">
        <f>TYPE(RESUME({1}))</f>
        <v>64</v>
      </c>
      <c r="H793" s="2" t="str">
        <f t="shared" si="25"/>
        <v/>
      </c>
      <c r="I793" s="2">
        <f>TYPE(RESUME(IF(1,1)))</f>
        <v>4</v>
      </c>
      <c r="J793" s="2" t="str">
        <f>IF(C793=0,COUNTIFS(A:A,A793,D:D,"a"),"")</f>
        <v/>
      </c>
      <c r="K793" s="2" t="b">
        <f>INDEX(+RESUME(K793:L793),)</f>
        <v>0</v>
      </c>
      <c r="L793" s="1">
        <v>1</v>
      </c>
      <c r="M793" s="2" t="b">
        <f>INDEX(+RESUME(INDIRECT(M793:N793)),)</f>
        <v>0</v>
      </c>
      <c r="N793" s="1">
        <v>1</v>
      </c>
    </row>
    <row r="794" spans="1:14" x14ac:dyDescent="0.55000000000000004">
      <c r="A794" s="1" t="s">
        <v>1701</v>
      </c>
      <c r="B794" s="2">
        <f>COUNTIF(A:A,A794)-1</f>
        <v>2</v>
      </c>
      <c r="C794" s="2">
        <f>COUNTIF(A$1:A794,A794)-1</f>
        <v>0</v>
      </c>
      <c r="D794" s="2" t="str">
        <f>Argument!D794</f>
        <v/>
      </c>
      <c r="E794" s="2" t="str">
        <f t="shared" si="24"/>
        <v>a</v>
      </c>
      <c r="F794" s="2" t="b">
        <f>IF(C794=0,ISTEXT(FORMULA.CONVERT("="&amp;A794&amp;"("&amp;REPLACE(REPT(",#ref!",B794),1,1,"")&amp;")()",1)),"")</f>
        <v>0</v>
      </c>
      <c r="G794" s="2"/>
      <c r="H794" s="2" t="str">
        <f t="shared" si="25"/>
        <v/>
      </c>
      <c r="I794" s="2">
        <f>TYPE(FREQUENCY(IF(1,1),IF(1,1)))</f>
        <v>64</v>
      </c>
      <c r="J794" s="2">
        <f>IF(C794=0,COUNTIFS(A:A,A794,D:D,"a"),"")</f>
        <v>0</v>
      </c>
      <c r="K794" s="2"/>
      <c r="M794" s="2"/>
    </row>
    <row r="795" spans="1:14" x14ac:dyDescent="0.55000000000000004">
      <c r="A795" s="1" t="s">
        <v>1701</v>
      </c>
      <c r="B795" s="2">
        <f>COUNTIF(A:A,A795)-1</f>
        <v>2</v>
      </c>
      <c r="C795" s="2">
        <f>COUNTIF(A$1:A795,A795)-1</f>
        <v>1</v>
      </c>
      <c r="D795" s="2" t="str">
        <f>Argument!D795</f>
        <v>ar</v>
      </c>
      <c r="E795" s="2" t="str">
        <f t="shared" si="24"/>
        <v/>
      </c>
      <c r="F795" s="2" t="str">
        <f>IF(C795=0,ISTEXT(FORMULA.CONVERT("="&amp;A795&amp;"("&amp;REPLACE(REPT(",#ref!",B795),1,1,"")&amp;")()",1)),"")</f>
        <v/>
      </c>
      <c r="G795" s="2">
        <f>TYPE(FREQUENCY({1},IF(1,1)))</f>
        <v>64</v>
      </c>
      <c r="H795" s="2">
        <f t="shared" si="25"/>
        <v>1</v>
      </c>
      <c r="I795" s="2">
        <f>TYPE(FREQUENCY(IF(1,1),IF(1,1)))</f>
        <v>64</v>
      </c>
      <c r="J795" s="2" t="str">
        <f>IF(C795=0,COUNTIFS(A:A,A795,D:D,"a"),"")</f>
        <v/>
      </c>
      <c r="K795" s="2" t="e">
        <f>INDEX(+FREQUENCY(K795:L795,#REF!),)</f>
        <v>#REF!</v>
      </c>
      <c r="L795" s="1">
        <v>1</v>
      </c>
      <c r="M795" s="2" t="e">
        <f>INDEX(+FREQUENCY(INDIRECT(M795:N795),#REF!),)</f>
        <v>#REF!</v>
      </c>
    </row>
    <row r="796" spans="1:14" x14ac:dyDescent="0.55000000000000004">
      <c r="A796" s="1" t="s">
        <v>1701</v>
      </c>
      <c r="B796" s="2">
        <f>COUNTIF(A:A,A796)-1</f>
        <v>2</v>
      </c>
      <c r="C796" s="2">
        <f>COUNTIF(A$1:A796,A796)-1</f>
        <v>2</v>
      </c>
      <c r="D796" s="2" t="str">
        <f>Argument!D796</f>
        <v>ar</v>
      </c>
      <c r="E796" s="2" t="str">
        <f t="shared" si="24"/>
        <v/>
      </c>
      <c r="F796" s="2" t="str">
        <f>IF(C796=0,ISTEXT(FORMULA.CONVERT("="&amp;A796&amp;"("&amp;REPLACE(REPT(",#ref!",B796),1,1,"")&amp;")()",1)),"")</f>
        <v/>
      </c>
      <c r="G796" s="2">
        <f>TYPE(FREQUENCY(IF(1,1),{1}))</f>
        <v>64</v>
      </c>
      <c r="H796" s="2">
        <f t="shared" si="25"/>
        <v>1</v>
      </c>
      <c r="I796" s="2">
        <f>TYPE(FREQUENCY(IF(1,1),IF(1,1)))</f>
        <v>64</v>
      </c>
      <c r="J796" s="2" t="str">
        <f>IF(C796=0,COUNTIFS(A:A,A796,D:D,"a"),"")</f>
        <v/>
      </c>
      <c r="K796" s="2" t="e">
        <f>INDEX(+FREQUENCY(#REF!,K796:L796),)</f>
        <v>#REF!</v>
      </c>
      <c r="L796" s="1">
        <v>1</v>
      </c>
      <c r="M796" s="2" t="e">
        <f>INDEX(+FREQUENCY(#REF!,INDIRECT(M796:N796)),)</f>
        <v>#REF!</v>
      </c>
    </row>
    <row r="797" spans="1:14" x14ac:dyDescent="0.55000000000000004">
      <c r="A797" s="1" t="s">
        <v>1702</v>
      </c>
      <c r="B797" s="2">
        <f>COUNTIF(A:A,A797)-1</f>
        <v>2</v>
      </c>
      <c r="C797" s="2">
        <f>COUNTIF(A$1:A797,A797)-1</f>
        <v>0</v>
      </c>
      <c r="D797" s="2" t="str">
        <f>Argument!D797</f>
        <v/>
      </c>
      <c r="E797" s="2" t="str">
        <f t="shared" si="24"/>
        <v>v</v>
      </c>
      <c r="F797" s="2" t="b">
        <f>IF(C797=0,ISTEXT(FORMULA.CONVERT("="&amp;A797&amp;"("&amp;REPLACE(REPT(",#ref!",B797),1,1,"")&amp;")()",1)),"")</f>
        <v>0</v>
      </c>
      <c r="G797" s="2"/>
      <c r="H797" s="2" t="str">
        <f t="shared" si="25"/>
        <v/>
      </c>
      <c r="I797" s="2">
        <f>TYPE(ADD.TOOLBAR(IF(1,1),IF(1,1)))</f>
        <v>4</v>
      </c>
      <c r="J797" s="2">
        <f>IF(C797=0,COUNTIFS(A:A,A797,D:D,"a"),"")</f>
        <v>1</v>
      </c>
      <c r="K797" s="2"/>
      <c r="M797" s="2"/>
    </row>
    <row r="798" spans="1:14" x14ac:dyDescent="0.55000000000000004">
      <c r="A798" s="1" t="s">
        <v>1702</v>
      </c>
      <c r="B798" s="2">
        <f>COUNTIF(A:A,A798)-1</f>
        <v>2</v>
      </c>
      <c r="C798" s="2">
        <f>COUNTIF(A$1:A798,A798)-1</f>
        <v>1</v>
      </c>
      <c r="D798" s="2" t="str">
        <f>Argument!D798</f>
        <v>v</v>
      </c>
      <c r="E798" s="2" t="str">
        <f t="shared" si="24"/>
        <v/>
      </c>
      <c r="F798" s="2" t="str">
        <f>IF(C798=0,ISTEXT(FORMULA.CONVERT("="&amp;A798&amp;"("&amp;REPLACE(REPT(",#ref!",B798),1,1,"")&amp;")()",1)),"")</f>
        <v/>
      </c>
      <c r="G798" s="2">
        <f>TYPE(ADD.TOOLBAR({1},IF(1,1)))</f>
        <v>64</v>
      </c>
      <c r="H798" s="2" t="str">
        <f t="shared" si="25"/>
        <v/>
      </c>
      <c r="I798" s="2">
        <f>TYPE(ADD.TOOLBAR(IF(1,1),IF(1,1)))</f>
        <v>4</v>
      </c>
      <c r="J798" s="2" t="str">
        <f>IF(C798=0,COUNTIFS(A:A,A798,D:D,"a"),"")</f>
        <v/>
      </c>
      <c r="K798" s="2" t="e">
        <f>INDEX(+ADD.TOOLBAR(K798:L798,#REF!),)</f>
        <v>#REF!</v>
      </c>
      <c r="L798" s="1">
        <v>1</v>
      </c>
      <c r="M798" s="2" t="e">
        <f>INDEX(+ADD.TOOLBAR(INDIRECT(M798:N798),#REF!),)</f>
        <v>#REF!</v>
      </c>
      <c r="N798" s="1">
        <v>1</v>
      </c>
    </row>
    <row r="799" spans="1:14" x14ac:dyDescent="0.55000000000000004">
      <c r="A799" s="1" t="s">
        <v>1702</v>
      </c>
      <c r="B799" s="2">
        <f>COUNTIF(A:A,A799)-1</f>
        <v>2</v>
      </c>
      <c r="C799" s="2">
        <f>COUNTIF(A$1:A799,A799)-1</f>
        <v>2</v>
      </c>
      <c r="D799" s="2" t="str">
        <f>Argument!D799</f>
        <v>a</v>
      </c>
      <c r="E799" s="2" t="str">
        <f t="shared" si="24"/>
        <v/>
      </c>
      <c r="F799" s="2" t="str">
        <f>IF(C799=0,ISTEXT(FORMULA.CONVERT("="&amp;A799&amp;"("&amp;REPLACE(REPT(",#ref!",B799),1,1,"")&amp;")()",1)),"")</f>
        <v/>
      </c>
      <c r="G799" s="2">
        <f>TYPE(ADD.TOOLBAR(IF(1,1),{1}))</f>
        <v>4</v>
      </c>
      <c r="H799" s="2" t="str">
        <f t="shared" si="25"/>
        <v/>
      </c>
      <c r="I799" s="2">
        <f>TYPE(ADD.TOOLBAR(IF(1,1),IF(1,1)))</f>
        <v>4</v>
      </c>
      <c r="J799" s="2" t="str">
        <f>IF(C799=0,COUNTIFS(A:A,A799,D:D,"a"),"")</f>
        <v/>
      </c>
      <c r="K799" s="2" t="e">
        <f>INDEX(+ADD.TOOLBAR(#REF!,K799:L799),)</f>
        <v>#REF!</v>
      </c>
      <c r="L799" s="1">
        <v>1</v>
      </c>
      <c r="M799" s="2" t="e">
        <f>INDEX(+ADD.TOOLBAR(#REF!,INDIRECT(M799:N799)),)</f>
        <v>#REF!</v>
      </c>
      <c r="N799" s="1">
        <v>1</v>
      </c>
    </row>
    <row r="800" spans="1:14" x14ac:dyDescent="0.55000000000000004">
      <c r="A800" s="1" t="s">
        <v>1703</v>
      </c>
      <c r="B800" s="2">
        <f>COUNTIF(A:A,A800)-1</f>
        <v>1</v>
      </c>
      <c r="C800" s="2">
        <f>COUNTIF(A$1:A800,A800)-1</f>
        <v>0</v>
      </c>
      <c r="D800" s="2" t="str">
        <f>Argument!D800</f>
        <v/>
      </c>
      <c r="E800" s="2" t="str">
        <f t="shared" si="24"/>
        <v>v</v>
      </c>
      <c r="F800" s="2" t="b">
        <f>IF(C800=0,ISTEXT(FORMULA.CONVERT("="&amp;A800&amp;"("&amp;REPLACE(REPT(",#ref!",B800),1,1,"")&amp;")()",1)),"")</f>
        <v>0</v>
      </c>
      <c r="G800" s="2"/>
      <c r="H800" s="2" t="str">
        <f t="shared" si="25"/>
        <v/>
      </c>
      <c r="I800" s="2">
        <f>TYPE(DELETE.TOOLBAR(IF(1,1)))</f>
        <v>4</v>
      </c>
      <c r="J800" s="2">
        <f>IF(C800=0,COUNTIFS(A:A,A800,D:D,"a"),"")</f>
        <v>0</v>
      </c>
      <c r="K800" s="2"/>
      <c r="M800" s="2"/>
    </row>
    <row r="801" spans="1:14" x14ac:dyDescent="0.55000000000000004">
      <c r="A801" s="1" t="s">
        <v>1703</v>
      </c>
      <c r="B801" s="2">
        <f>COUNTIF(A:A,A801)-1</f>
        <v>1</v>
      </c>
      <c r="C801" s="2">
        <f>COUNTIF(A$1:A801,A801)-1</f>
        <v>1</v>
      </c>
      <c r="D801" s="2" t="str">
        <f>Argument!D801</f>
        <v>v</v>
      </c>
      <c r="E801" s="2" t="str">
        <f t="shared" si="24"/>
        <v/>
      </c>
      <c r="F801" s="2" t="str">
        <f>IF(C801=0,ISTEXT(FORMULA.CONVERT("="&amp;A801&amp;"("&amp;REPLACE(REPT(",#ref!",B801),1,1,"")&amp;")()",1)),"")</f>
        <v/>
      </c>
      <c r="G801" s="2">
        <f>TYPE(DELETE.TOOLBAR({1}))</f>
        <v>64</v>
      </c>
      <c r="H801" s="2" t="str">
        <f t="shared" si="25"/>
        <v/>
      </c>
      <c r="I801" s="2">
        <f>TYPE(DELETE.TOOLBAR(IF(1,1)))</f>
        <v>4</v>
      </c>
      <c r="J801" s="2" t="str">
        <f>IF(C801=0,COUNTIFS(A:A,A801,D:D,"a"),"")</f>
        <v/>
      </c>
      <c r="K801" s="2" t="b">
        <f>INDEX(+DELETE.TOOLBAR(K801:L801),)</f>
        <v>0</v>
      </c>
      <c r="L801" s="1">
        <v>1</v>
      </c>
      <c r="M801" s="2" t="e">
        <f>INDEX(+DELETE.TOOLBAR(INDIRECT(M801:N801)),)</f>
        <v>#REF!</v>
      </c>
      <c r="N801" s="1">
        <v>1</v>
      </c>
    </row>
    <row r="802" spans="1:14" x14ac:dyDescent="0.55000000000000004">
      <c r="A802" s="1" t="s">
        <v>1704</v>
      </c>
      <c r="B802" s="2">
        <f>COUNTIF(A:A,A802)-1</f>
        <v>1</v>
      </c>
      <c r="C802" s="2">
        <f>COUNTIF(A$1:A802,A802)-1</f>
        <v>0</v>
      </c>
      <c r="D802" s="2" t="str">
        <f>Argument!D802</f>
        <v/>
      </c>
      <c r="E802" s="2" t="str">
        <f t="shared" si="24"/>
        <v>v</v>
      </c>
      <c r="F802" s="2" t="b">
        <f>IF(C802=0,ISTEXT(FORMULA.CONVERT("="&amp;A802&amp;"("&amp;REPLACE(REPT(",#ref!",B802),1,1,"")&amp;")()",1)),"")</f>
        <v>0</v>
      </c>
      <c r="G802" s="2"/>
      <c r="H802" s="2" t="str">
        <f t="shared" si="25"/>
        <v/>
      </c>
      <c r="I802" s="2">
        <f>TYPE(RESET.TOOLBAR(IF(1,1)))</f>
        <v>4</v>
      </c>
      <c r="J802" s="2">
        <f>IF(C802=0,COUNTIFS(A:A,A802,D:D,"a"),"")</f>
        <v>0</v>
      </c>
      <c r="K802" s="2"/>
      <c r="M802" s="2"/>
    </row>
    <row r="803" spans="1:14" x14ac:dyDescent="0.55000000000000004">
      <c r="A803" s="1" t="s">
        <v>1704</v>
      </c>
      <c r="B803" s="2">
        <f>COUNTIF(A:A,A803)-1</f>
        <v>1</v>
      </c>
      <c r="C803" s="2">
        <f>COUNTIF(A$1:A803,A803)-1</f>
        <v>1</v>
      </c>
      <c r="D803" s="2" t="str">
        <f>Argument!D803</f>
        <v>v</v>
      </c>
      <c r="E803" s="2" t="str">
        <f t="shared" si="24"/>
        <v/>
      </c>
      <c r="F803" s="2" t="str">
        <f>IF(C803=0,ISTEXT(FORMULA.CONVERT("="&amp;A803&amp;"("&amp;REPLACE(REPT(",#ref!",B803),1,1,"")&amp;")()",1)),"")</f>
        <v/>
      </c>
      <c r="G803" s="2">
        <f>TYPE(RESET.TOOLBAR({1}))</f>
        <v>64</v>
      </c>
      <c r="H803" s="2" t="str">
        <f t="shared" si="25"/>
        <v/>
      </c>
      <c r="I803" s="2">
        <f>TYPE(RESET.TOOLBAR(IF(1,1)))</f>
        <v>4</v>
      </c>
      <c r="J803" s="2" t="str">
        <f>IF(C803=0,COUNTIFS(A:A,A803,D:D,"a"),"")</f>
        <v/>
      </c>
      <c r="K803" s="2" t="b">
        <f>INDEX(+RESET.TOOLBAR(K803:L803),)</f>
        <v>0</v>
      </c>
      <c r="L803" s="1">
        <v>1</v>
      </c>
      <c r="M803" s="2" t="e">
        <f>INDEX(+RESET.TOOLBAR(INDIRECT(M803:N803)),)</f>
        <v>#REF!</v>
      </c>
      <c r="N803" s="1">
        <v>1</v>
      </c>
    </row>
    <row r="804" spans="1:14" x14ac:dyDescent="0.55000000000000004">
      <c r="A804" s="1" t="s">
        <v>1705</v>
      </c>
      <c r="B804" s="2">
        <f>COUNTIF(A:A,A804)-1</f>
        <v>1</v>
      </c>
      <c r="C804" s="2">
        <f>COUNTIF(A$1:A804,A804)-1</f>
        <v>0</v>
      </c>
      <c r="D804" s="2" t="str">
        <f>Argument!D804</f>
        <v/>
      </c>
      <c r="E804" s="2" t="str">
        <f t="shared" si="24"/>
        <v>var</v>
      </c>
      <c r="F804" s="2" t="b">
        <f>IF(C804=0,ISTEXT(FORMULA.CONVERT("="&amp;A804&amp;"("&amp;REPLACE(REPT(",#ref!",B804),1,1,"")&amp;")()",1)),"")</f>
        <v>1</v>
      </c>
      <c r="G804" s="2"/>
      <c r="H804" s="2" t="str">
        <f t="shared" si="25"/>
        <v/>
      </c>
      <c r="I804" s="2">
        <f>TYPE(EVALUATE(IF(1,1)))</f>
        <v>1</v>
      </c>
      <c r="J804" s="2">
        <f>IF(C804=0,COUNTIFS(A:A,A804,D:D,"a"),"")</f>
        <v>0</v>
      </c>
      <c r="K804" s="2"/>
      <c r="M804" s="2"/>
    </row>
    <row r="805" spans="1:14" x14ac:dyDescent="0.55000000000000004">
      <c r="A805" s="1" t="s">
        <v>1705</v>
      </c>
      <c r="B805" s="2">
        <f>COUNTIF(A:A,A805)-1</f>
        <v>1</v>
      </c>
      <c r="C805" s="2">
        <f>COUNTIF(A$1:A805,A805)-1</f>
        <v>1</v>
      </c>
      <c r="D805" s="2" t="str">
        <f>Argument!D805</f>
        <v>v</v>
      </c>
      <c r="E805" s="2" t="str">
        <f t="shared" si="24"/>
        <v/>
      </c>
      <c r="F805" s="2" t="str">
        <f>IF(C805=0,ISTEXT(FORMULA.CONVERT("="&amp;A805&amp;"("&amp;REPLACE(REPT(",#ref!",B805),1,1,"")&amp;")()",1)),"")</f>
        <v/>
      </c>
      <c r="G805" s="2">
        <f>TYPE(EVALUATE({1}))</f>
        <v>1</v>
      </c>
      <c r="H805" s="2">
        <f t="shared" si="25"/>
        <v>1</v>
      </c>
      <c r="I805" s="2">
        <f>TYPE(EVALUATE(IF(1,1)))</f>
        <v>1</v>
      </c>
      <c r="J805" s="2" t="str">
        <f>IF(C805=0,COUNTIFS(A:A,A805,D:D,"a"),"")</f>
        <v/>
      </c>
      <c r="K805" s="2">
        <f>INDEX(+EVALUATE(K805:L805),)</f>
        <v>0</v>
      </c>
      <c r="M805" s="2" t="e">
        <f>INDEX(+EVALUATE(INDIRECT(M805:N805)),)</f>
        <v>#REF!</v>
      </c>
    </row>
    <row r="806" spans="1:14" x14ac:dyDescent="0.55000000000000004">
      <c r="A806" s="1" t="s">
        <v>1706</v>
      </c>
      <c r="B806" s="2">
        <f>COUNTIF(A:A,A806)-1</f>
        <v>2</v>
      </c>
      <c r="C806" s="2">
        <f>COUNTIF(A$1:A806,A806)-1</f>
        <v>0</v>
      </c>
      <c r="D806" s="2" t="str">
        <f>Argument!D806</f>
        <v/>
      </c>
      <c r="E806" s="2" t="str">
        <f t="shared" si="24"/>
        <v>va</v>
      </c>
      <c r="F806" s="2" t="b">
        <f>IF(C806=0,ISTEXT(FORMULA.CONVERT("="&amp;A806&amp;"("&amp;REPLACE(REPT(",#ref!",B806),1,1,"")&amp;")()",1)),"")</f>
        <v>0</v>
      </c>
      <c r="G806" s="2"/>
      <c r="H806" s="2" t="str">
        <f t="shared" si="25"/>
        <v/>
      </c>
      <c r="I806" s="2">
        <f>TYPE(GET.TOOLBAR(IF(1,1),IF(1,1)))</f>
        <v>1</v>
      </c>
      <c r="J806" s="2">
        <f>IF(C806=0,COUNTIFS(A:A,A806,D:D,"a"),"")</f>
        <v>0</v>
      </c>
      <c r="K806" s="2"/>
      <c r="M806" s="2"/>
    </row>
    <row r="807" spans="1:14" x14ac:dyDescent="0.55000000000000004">
      <c r="A807" s="1" t="s">
        <v>1706</v>
      </c>
      <c r="B807" s="2">
        <f>COUNTIF(A:A,A807)-1</f>
        <v>2</v>
      </c>
      <c r="C807" s="2">
        <f>COUNTIF(A$1:A807,A807)-1</f>
        <v>1</v>
      </c>
      <c r="D807" s="2" t="str">
        <f>Argument!D807</f>
        <v>v</v>
      </c>
      <c r="E807" s="2" t="str">
        <f t="shared" si="24"/>
        <v/>
      </c>
      <c r="F807" s="2" t="str">
        <f>IF(C807=0,ISTEXT(FORMULA.CONVERT("="&amp;A807&amp;"("&amp;REPLACE(REPT(",#ref!",B807),1,1,"")&amp;")()",1)),"")</f>
        <v/>
      </c>
      <c r="G807" s="2">
        <f>TYPE(GET.TOOLBAR({1},IF(1,1)))</f>
        <v>1</v>
      </c>
      <c r="H807" s="2">
        <f t="shared" si="25"/>
        <v>1</v>
      </c>
      <c r="I807" s="2">
        <f>TYPE(GET.TOOLBAR(IF(1,1),IF(1,1)))</f>
        <v>1</v>
      </c>
      <c r="J807" s="2" t="str">
        <f>IF(C807=0,COUNTIFS(A:A,A807,D:D,"a"),"")</f>
        <v/>
      </c>
      <c r="K807" s="2" t="e">
        <f>INDEX(+GET.TOOLBAR(K807:L807,#REF!),)</f>
        <v>#REF!</v>
      </c>
      <c r="M807" s="2" t="e">
        <f>INDEX(+GET.TOOLBAR(INDIRECT(M807:N807),#REF!),)</f>
        <v>#REF!</v>
      </c>
    </row>
    <row r="808" spans="1:14" x14ac:dyDescent="0.55000000000000004">
      <c r="A808" s="1" t="s">
        <v>1706</v>
      </c>
      <c r="B808" s="2">
        <f>COUNTIF(A:A,A808)-1</f>
        <v>2</v>
      </c>
      <c r="C808" s="2">
        <f>COUNTIF(A$1:A808,A808)-1</f>
        <v>2</v>
      </c>
      <c r="D808" s="2" t="str">
        <f>Argument!D808</f>
        <v>v</v>
      </c>
      <c r="E808" s="2" t="str">
        <f t="shared" si="24"/>
        <v/>
      </c>
      <c r="F808" s="2" t="str">
        <f>IF(C808=0,ISTEXT(FORMULA.CONVERT("="&amp;A808&amp;"("&amp;REPLACE(REPT(",#ref!",B808),1,1,"")&amp;")()",1)),"")</f>
        <v/>
      </c>
      <c r="G808" s="2">
        <f>TYPE(GET.TOOLBAR(IF(1,1),{1}))</f>
        <v>1</v>
      </c>
      <c r="H808" s="2">
        <f t="shared" si="25"/>
        <v>1</v>
      </c>
      <c r="I808" s="2">
        <f>TYPE(GET.TOOLBAR(IF(1,1),IF(1,1)))</f>
        <v>1</v>
      </c>
      <c r="J808" s="2" t="str">
        <f>IF(C808=0,COUNTIFS(A:A,A808,D:D,"a"),"")</f>
        <v/>
      </c>
      <c r="K808" s="2" t="e">
        <f>INDEX(+GET.TOOLBAR(#REF!,K808:L808),)</f>
        <v>#REF!</v>
      </c>
      <c r="M808" s="2" t="e">
        <f>INDEX(+GET.TOOLBAR(#REF!,INDIRECT(M808:N808)),)</f>
        <v>#REF!</v>
      </c>
    </row>
    <row r="809" spans="1:14" x14ac:dyDescent="0.55000000000000004">
      <c r="A809" s="1" t="s">
        <v>1707</v>
      </c>
      <c r="B809" s="2">
        <f>COUNTIF(A:A,A809)-1</f>
        <v>3</v>
      </c>
      <c r="C809" s="2">
        <f>COUNTIF(A$1:A809,A809)-1</f>
        <v>0</v>
      </c>
      <c r="D809" s="2" t="str">
        <f>Argument!D809</f>
        <v/>
      </c>
      <c r="E809" s="2" t="str">
        <f t="shared" si="24"/>
        <v>va</v>
      </c>
      <c r="F809" s="2" t="b">
        <f>IF(C809=0,ISTEXT(FORMULA.CONVERT("="&amp;A809&amp;"("&amp;REPLACE(REPT(",#ref!",B809),1,1,"")&amp;")()",1)),"")</f>
        <v>0</v>
      </c>
      <c r="G809" s="2"/>
      <c r="H809" s="2" t="str">
        <f t="shared" si="25"/>
        <v/>
      </c>
      <c r="I809" s="2">
        <f>TYPE(GET.TOOL(IF(1,1),IF(1,1),IF(1,1)))</f>
        <v>1</v>
      </c>
      <c r="J809" s="2">
        <f>IF(C809=0,COUNTIFS(A:A,A809,D:D,"a"),"")</f>
        <v>0</v>
      </c>
      <c r="K809" s="2"/>
      <c r="M809" s="2"/>
    </row>
    <row r="810" spans="1:14" x14ac:dyDescent="0.55000000000000004">
      <c r="A810" s="1" t="s">
        <v>1707</v>
      </c>
      <c r="B810" s="2">
        <f>COUNTIF(A:A,A810)-1</f>
        <v>3</v>
      </c>
      <c r="C810" s="2">
        <f>COUNTIF(A$1:A810,A810)-1</f>
        <v>1</v>
      </c>
      <c r="D810" s="2" t="str">
        <f>Argument!D810</f>
        <v>v</v>
      </c>
      <c r="E810" s="2" t="str">
        <f t="shared" si="24"/>
        <v/>
      </c>
      <c r="F810" s="2" t="str">
        <f>IF(C810=0,ISTEXT(FORMULA.CONVERT("="&amp;A810&amp;"("&amp;REPLACE(REPT(",#ref!",B810),1,1,"")&amp;")()",1)),"")</f>
        <v/>
      </c>
      <c r="G810" s="2">
        <f>TYPE(GET.TOOL({1},IF(1,1),IF(1,1)))</f>
        <v>1</v>
      </c>
      <c r="H810" s="2">
        <f t="shared" si="25"/>
        <v>1</v>
      </c>
      <c r="I810" s="2">
        <f>TYPE(GET.TOOL(IF(1,1),IF(1,1),IF(1,1)))</f>
        <v>1</v>
      </c>
      <c r="J810" s="2" t="str">
        <f>IF(C810=0,COUNTIFS(A:A,A810,D:D,"a"),"")</f>
        <v/>
      </c>
      <c r="K810" s="2" t="e">
        <f>INDEX(+GET.TOOL(K810:L810,#REF!,#REF!),)</f>
        <v>#REF!</v>
      </c>
      <c r="M810" s="2" t="e">
        <f>INDEX(+GET.TOOL(INDIRECT(M810:N810),#REF!,#REF!),)</f>
        <v>#REF!</v>
      </c>
    </row>
    <row r="811" spans="1:14" x14ac:dyDescent="0.55000000000000004">
      <c r="A811" s="1" t="s">
        <v>1707</v>
      </c>
      <c r="B811" s="2">
        <f>COUNTIF(A:A,A811)-1</f>
        <v>3</v>
      </c>
      <c r="C811" s="2">
        <f>COUNTIF(A$1:A811,A811)-1</f>
        <v>2</v>
      </c>
      <c r="D811" s="2" t="str">
        <f>Argument!D811</f>
        <v>v</v>
      </c>
      <c r="E811" s="2" t="str">
        <f t="shared" si="24"/>
        <v/>
      </c>
      <c r="F811" s="2" t="str">
        <f>IF(C811=0,ISTEXT(FORMULA.CONVERT("="&amp;A811&amp;"("&amp;REPLACE(REPT(",#ref!",B811),1,1,"")&amp;")()",1)),"")</f>
        <v/>
      </c>
      <c r="G811" s="2">
        <f>TYPE(GET.TOOL(IF(1,1),{1},IF(1,1)))</f>
        <v>1</v>
      </c>
      <c r="H811" s="2">
        <f t="shared" si="25"/>
        <v>1</v>
      </c>
      <c r="I811" s="2">
        <f>TYPE(GET.TOOL(IF(1,1),IF(1,1),IF(1,1)))</f>
        <v>1</v>
      </c>
      <c r="J811" s="2" t="str">
        <f>IF(C811=0,COUNTIFS(A:A,A811,D:D,"a"),"")</f>
        <v/>
      </c>
      <c r="K811" s="2" t="e">
        <f>INDEX(+GET.TOOL(#REF!,K811:L811,#REF!),)</f>
        <v>#REF!</v>
      </c>
      <c r="M811" s="2" t="e">
        <f>INDEX(+GET.TOOL(#REF!,INDIRECT(M811:N811),#REF!),)</f>
        <v>#REF!</v>
      </c>
    </row>
    <row r="812" spans="1:14" x14ac:dyDescent="0.55000000000000004">
      <c r="A812" s="1" t="s">
        <v>1707</v>
      </c>
      <c r="B812" s="2">
        <f>COUNTIF(A:A,A812)-1</f>
        <v>3</v>
      </c>
      <c r="C812" s="2">
        <f>COUNTIF(A$1:A812,A812)-1</f>
        <v>3</v>
      </c>
      <c r="D812" s="2" t="str">
        <f>Argument!D812</f>
        <v>v</v>
      </c>
      <c r="E812" s="2" t="str">
        <f t="shared" si="24"/>
        <v/>
      </c>
      <c r="F812" s="2" t="str">
        <f>IF(C812=0,ISTEXT(FORMULA.CONVERT("="&amp;A812&amp;"("&amp;REPLACE(REPT(",#ref!",B812),1,1,"")&amp;")()",1)),"")</f>
        <v/>
      </c>
      <c r="G812" s="2">
        <f>TYPE(GET.TOOL(IF(1,1),IF(1,1),{1}))</f>
        <v>1</v>
      </c>
      <c r="H812" s="2">
        <f t="shared" si="25"/>
        <v>1</v>
      </c>
      <c r="I812" s="2">
        <f>TYPE(GET.TOOL(IF(1,1),IF(1,1),IF(1,1)))</f>
        <v>1</v>
      </c>
      <c r="J812" s="2" t="str">
        <f>IF(C812=0,COUNTIFS(A:A,A812,D:D,"a"),"")</f>
        <v/>
      </c>
      <c r="K812" s="2" t="e">
        <f>INDEX(+GET.TOOL(#REF!,#REF!,K812:L812),)</f>
        <v>#REF!</v>
      </c>
      <c r="M812" s="2" t="e">
        <f>INDEX(+GET.TOOL(#REF!,#REF!,INDIRECT(M812:N812)),)</f>
        <v>#REF!</v>
      </c>
    </row>
    <row r="813" spans="1:14" x14ac:dyDescent="0.55000000000000004">
      <c r="A813" s="1" t="s">
        <v>1708</v>
      </c>
      <c r="B813" s="2">
        <f>COUNTIF(A:A,A813)-1</f>
        <v>3</v>
      </c>
      <c r="C813" s="2">
        <f>COUNTIF(A$1:A813,A813)-1</f>
        <v>0</v>
      </c>
      <c r="D813" s="2" t="str">
        <f>Argument!D813</f>
        <v/>
      </c>
      <c r="E813" s="2" t="str">
        <f t="shared" si="24"/>
        <v>v</v>
      </c>
      <c r="F813" s="2" t="b">
        <f>IF(C813=0,ISTEXT(FORMULA.CONVERT("="&amp;A813&amp;"("&amp;REPLACE(REPT(",#ref!",B813),1,1,"")&amp;")()",1)),"")</f>
        <v>0</v>
      </c>
      <c r="G813" s="2"/>
      <c r="H813" s="2" t="str">
        <f t="shared" si="25"/>
        <v/>
      </c>
      <c r="I813" s="2">
        <f>TYPE(SPELLING.CHECK(IF(1,1),IF(1,1),IF(1,1)))</f>
        <v>4</v>
      </c>
      <c r="J813" s="2">
        <f>IF(C813=0,COUNTIFS(A:A,A813,D:D,"a"),"")</f>
        <v>0</v>
      </c>
      <c r="K813" s="2"/>
      <c r="M813" s="2"/>
    </row>
    <row r="814" spans="1:14" x14ac:dyDescent="0.55000000000000004">
      <c r="A814" s="1" t="s">
        <v>1708</v>
      </c>
      <c r="B814" s="2">
        <f>COUNTIF(A:A,A814)-1</f>
        <v>3</v>
      </c>
      <c r="C814" s="2">
        <f>COUNTIF(A$1:A814,A814)-1</f>
        <v>1</v>
      </c>
      <c r="D814" s="2" t="str">
        <f>Argument!D814</f>
        <v>v</v>
      </c>
      <c r="E814" s="2" t="str">
        <f t="shared" si="24"/>
        <v/>
      </c>
      <c r="F814" s="2" t="str">
        <f>IF(C814=0,ISTEXT(FORMULA.CONVERT("="&amp;A814&amp;"("&amp;REPLACE(REPT(",#ref!",B814),1,1,"")&amp;")()",1)),"")</f>
        <v/>
      </c>
      <c r="G814" s="2">
        <f>TYPE(SPELLING.CHECK({1},IF(1,1),IF(1,1)))</f>
        <v>64</v>
      </c>
      <c r="H814" s="2" t="str">
        <f t="shared" si="25"/>
        <v/>
      </c>
      <c r="I814" s="2">
        <f>TYPE(SPELLING.CHECK(IF(1,1),IF(1,1),IF(1,1)))</f>
        <v>4</v>
      </c>
      <c r="J814" s="2" t="str">
        <f>IF(C814=0,COUNTIFS(A:A,A814,D:D,"a"),"")</f>
        <v/>
      </c>
      <c r="K814" s="2" t="e">
        <f>INDEX(+SPELLING.CHECK(K814:L814,#REF!,#REF!),)</f>
        <v>#REF!</v>
      </c>
      <c r="L814" s="1">
        <v>1</v>
      </c>
      <c r="M814" s="2" t="e">
        <f>INDEX(+SPELLING.CHECK(INDIRECT(M814:N814),#REF!,#REF!),)</f>
        <v>#REF!</v>
      </c>
      <c r="N814" s="1">
        <v>1</v>
      </c>
    </row>
    <row r="815" spans="1:14" x14ac:dyDescent="0.55000000000000004">
      <c r="A815" s="1" t="s">
        <v>1708</v>
      </c>
      <c r="B815" s="2">
        <f>COUNTIF(A:A,A815)-1</f>
        <v>3</v>
      </c>
      <c r="C815" s="2">
        <f>COUNTIF(A$1:A815,A815)-1</f>
        <v>2</v>
      </c>
      <c r="D815" s="2" t="str">
        <f>Argument!D815</f>
        <v>v</v>
      </c>
      <c r="E815" s="2" t="str">
        <f t="shared" si="24"/>
        <v/>
      </c>
      <c r="F815" s="2" t="str">
        <f>IF(C815=0,ISTEXT(FORMULA.CONVERT("="&amp;A815&amp;"("&amp;REPLACE(REPT(",#ref!",B815),1,1,"")&amp;")()",1)),"")</f>
        <v/>
      </c>
      <c r="G815" s="2">
        <f>TYPE(SPELLING.CHECK(IF(1,1),{1},IF(1,1)))</f>
        <v>64</v>
      </c>
      <c r="H815" s="2" t="str">
        <f t="shared" si="25"/>
        <v/>
      </c>
      <c r="I815" s="2">
        <f>TYPE(SPELLING.CHECK(IF(1,1),IF(1,1),IF(1,1)))</f>
        <v>4</v>
      </c>
      <c r="J815" s="2" t="str">
        <f>IF(C815=0,COUNTIFS(A:A,A815,D:D,"a"),"")</f>
        <v/>
      </c>
      <c r="K815" s="2" t="e">
        <f>INDEX(+SPELLING.CHECK(#REF!,K815:L815,#REF!),)</f>
        <v>#REF!</v>
      </c>
      <c r="L815" s="1">
        <v>1</v>
      </c>
      <c r="M815" s="2" t="e">
        <f>INDEX(+SPELLING.CHECK(#REF!,INDIRECT(M815:N815),#REF!),)</f>
        <v>#REF!</v>
      </c>
      <c r="N815" s="1">
        <v>1</v>
      </c>
    </row>
    <row r="816" spans="1:14" x14ac:dyDescent="0.55000000000000004">
      <c r="A816" s="1" t="s">
        <v>1708</v>
      </c>
      <c r="B816" s="2">
        <f>COUNTIF(A:A,A816)-1</f>
        <v>3</v>
      </c>
      <c r="C816" s="2">
        <f>COUNTIF(A$1:A816,A816)-1</f>
        <v>3</v>
      </c>
      <c r="D816" s="2" t="str">
        <f>Argument!D816</f>
        <v>v</v>
      </c>
      <c r="E816" s="2" t="str">
        <f t="shared" si="24"/>
        <v/>
      </c>
      <c r="F816" s="2" t="str">
        <f>IF(C816=0,ISTEXT(FORMULA.CONVERT("="&amp;A816&amp;"("&amp;REPLACE(REPT(",#ref!",B816),1,1,"")&amp;")()",1)),"")</f>
        <v/>
      </c>
      <c r="G816" s="2">
        <f>TYPE(SPELLING.CHECK(IF(1,1),IF(1,1),{1}))</f>
        <v>64</v>
      </c>
      <c r="H816" s="2" t="str">
        <f t="shared" si="25"/>
        <v/>
      </c>
      <c r="I816" s="2">
        <f>TYPE(SPELLING.CHECK(IF(1,1),IF(1,1),IF(1,1)))</f>
        <v>4</v>
      </c>
      <c r="J816" s="2" t="str">
        <f>IF(C816=0,COUNTIFS(A:A,A816,D:D,"a"),"")</f>
        <v/>
      </c>
      <c r="K816" s="2" t="e">
        <f>INDEX(+SPELLING.CHECK(#REF!,#REF!,K816:L816),)</f>
        <v>#REF!</v>
      </c>
      <c r="L816" s="1">
        <v>1</v>
      </c>
      <c r="M816" s="2" t="e">
        <f>INDEX(+SPELLING.CHECK(#REF!,#REF!,INDIRECT(M816:N816)),)</f>
        <v>#REF!</v>
      </c>
      <c r="N816" s="1">
        <v>1</v>
      </c>
    </row>
    <row r="817" spans="1:14" x14ac:dyDescent="0.55000000000000004">
      <c r="A817" s="1" t="s">
        <v>1709</v>
      </c>
      <c r="B817" s="2">
        <f>COUNTIF(A:A,A817)-1</f>
        <v>1</v>
      </c>
      <c r="C817" s="2">
        <f>COUNTIF(A$1:A817,A817)-1</f>
        <v>0</v>
      </c>
      <c r="D817" s="2" t="str">
        <f>Argument!D817</f>
        <v/>
      </c>
      <c r="E817" s="2" t="str">
        <f t="shared" si="24"/>
        <v>v</v>
      </c>
      <c r="F817" s="2" t="b">
        <f>IF(C817=0,ISTEXT(FORMULA.CONVERT("="&amp;A817&amp;"("&amp;REPLACE(REPT(",#ref!",B817),1,1,"")&amp;")()",1)),"")</f>
        <v>0</v>
      </c>
      <c r="G817" s="2"/>
      <c r="H817" s="2" t="str">
        <f t="shared" si="25"/>
        <v/>
      </c>
      <c r="I817" s="2">
        <f>TYPE(ERROR.TYPE(IF(1,1)))</f>
        <v>16</v>
      </c>
      <c r="J817" s="2">
        <f>IF(C817=0,COUNTIFS(A:A,A817,D:D,"a"),"")</f>
        <v>0</v>
      </c>
      <c r="K817" s="2"/>
      <c r="M817" s="2"/>
    </row>
    <row r="818" spans="1:14" x14ac:dyDescent="0.55000000000000004">
      <c r="A818" s="1" t="s">
        <v>1709</v>
      </c>
      <c r="B818" s="2">
        <f>COUNTIF(A:A,A818)-1</f>
        <v>1</v>
      </c>
      <c r="C818" s="2">
        <f>COUNTIF(A$1:A818,A818)-1</f>
        <v>1</v>
      </c>
      <c r="D818" s="2" t="str">
        <f>Argument!D818</f>
        <v>v</v>
      </c>
      <c r="E818" s="2" t="str">
        <f t="shared" si="24"/>
        <v/>
      </c>
      <c r="F818" s="2" t="str">
        <f>IF(C818=0,ISTEXT(FORMULA.CONVERT("="&amp;A818&amp;"("&amp;REPLACE(REPT(",#ref!",B818),1,1,"")&amp;")()",1)),"")</f>
        <v/>
      </c>
      <c r="G818" s="2">
        <f>TYPE(ERROR.TYPE({1}))</f>
        <v>64</v>
      </c>
      <c r="H818" s="2" t="str">
        <f t="shared" si="25"/>
        <v/>
      </c>
      <c r="I818" s="2">
        <f>TYPE(ERROR.TYPE(IF(1,1)))</f>
        <v>16</v>
      </c>
      <c r="J818" s="2" t="str">
        <f>IF(C818=0,COUNTIFS(A:A,A818,D:D,"a"),"")</f>
        <v/>
      </c>
      <c r="K818" s="2" t="e">
        <f>INDEX(+ERROR.TYPE(K818:L818),)</f>
        <v>#N/A</v>
      </c>
      <c r="L818" s="1">
        <v>1</v>
      </c>
      <c r="M818" s="2">
        <f>INDEX(+ERROR.TYPE(INDIRECT(M818:N818)),)</f>
        <v>4</v>
      </c>
      <c r="N818" s="1">
        <v>1</v>
      </c>
    </row>
    <row r="819" spans="1:14" x14ac:dyDescent="0.55000000000000004">
      <c r="A819" s="1" t="s">
        <v>1710</v>
      </c>
      <c r="B819" s="2">
        <f>COUNTIF(A:A,A819)-1</f>
        <v>1</v>
      </c>
      <c r="C819" s="2">
        <f>COUNTIF(A$1:A819,A819)-1</f>
        <v>0</v>
      </c>
      <c r="D819" s="2" t="str">
        <f>Argument!D819</f>
        <v/>
      </c>
      <c r="E819" s="2" t="str">
        <f t="shared" si="24"/>
        <v>v</v>
      </c>
      <c r="F819" s="2" t="b">
        <f>IF(C819=0,ISTEXT(FORMULA.CONVERT("="&amp;A819&amp;"("&amp;REPLACE(REPT(",#ref!",B819),1,1,"")&amp;")()",1)),"")</f>
        <v>0</v>
      </c>
      <c r="G819" s="2"/>
      <c r="H819" s="2" t="str">
        <f t="shared" si="25"/>
        <v/>
      </c>
      <c r="I819" s="2">
        <f>TYPE(APP.TITLE(IF(1,1)))</f>
        <v>4</v>
      </c>
      <c r="J819" s="2">
        <f>IF(C819=0,COUNTIFS(A:A,A819,D:D,"a"),"")</f>
        <v>0</v>
      </c>
      <c r="K819" s="2"/>
      <c r="M819" s="2"/>
    </row>
    <row r="820" spans="1:14" x14ac:dyDescent="0.55000000000000004">
      <c r="A820" s="1" t="s">
        <v>1710</v>
      </c>
      <c r="B820" s="2">
        <f>COUNTIF(A:A,A820)-1</f>
        <v>1</v>
      </c>
      <c r="C820" s="2">
        <f>COUNTIF(A$1:A820,A820)-1</f>
        <v>1</v>
      </c>
      <c r="D820" s="2" t="str">
        <f>Argument!D820</f>
        <v>v</v>
      </c>
      <c r="E820" s="2" t="str">
        <f t="shared" si="24"/>
        <v/>
      </c>
      <c r="F820" s="2" t="str">
        <f>IF(C820=0,ISTEXT(FORMULA.CONVERT("="&amp;A820&amp;"("&amp;REPLACE(REPT(",#ref!",B820),1,1,"")&amp;")()",1)),"")</f>
        <v/>
      </c>
      <c r="G820" s="2">
        <f>TYPE(APP.TITLE({1}))</f>
        <v>64</v>
      </c>
      <c r="H820" s="2" t="str">
        <f t="shared" si="25"/>
        <v/>
      </c>
      <c r="I820" s="2">
        <f>TYPE(APP.TITLE(IF(1,1)))</f>
        <v>4</v>
      </c>
      <c r="J820" s="2" t="str">
        <f>IF(C820=0,COUNTIFS(A:A,A820,D:D,"a"),"")</f>
        <v/>
      </c>
      <c r="K820" s="2" t="b">
        <f>INDEX(+APP.TITLE(K820:L820),)</f>
        <v>0</v>
      </c>
      <c r="L820" s="1">
        <v>1</v>
      </c>
      <c r="M820" s="2" t="b">
        <f>INDEX(+APP.TITLE(INDIRECT(M820:N820)),)</f>
        <v>0</v>
      </c>
      <c r="N820" s="1">
        <v>1</v>
      </c>
    </row>
    <row r="821" spans="1:14" x14ac:dyDescent="0.55000000000000004">
      <c r="A821" s="1" t="s">
        <v>1711</v>
      </c>
      <c r="B821" s="2">
        <f>COUNTIF(A:A,A821)-1</f>
        <v>1</v>
      </c>
      <c r="C821" s="2">
        <f>COUNTIF(A$1:A821,A821)-1</f>
        <v>0</v>
      </c>
      <c r="D821" s="2" t="str">
        <f>Argument!D821</f>
        <v/>
      </c>
      <c r="E821" s="2" t="str">
        <f t="shared" si="24"/>
        <v>v</v>
      </c>
      <c r="F821" s="2" t="b">
        <f>IF(C821=0,ISTEXT(FORMULA.CONVERT("="&amp;A821&amp;"("&amp;REPLACE(REPT(",#ref!",B821),1,1,"")&amp;")()",1)),"")</f>
        <v>0</v>
      </c>
      <c r="G821" s="2"/>
      <c r="H821" s="2" t="str">
        <f t="shared" si="25"/>
        <v/>
      </c>
      <c r="I821" s="2">
        <f>TYPE(WINDOW.TITLE(IF(1,1)))</f>
        <v>4</v>
      </c>
      <c r="J821" s="2">
        <f>IF(C821=0,COUNTIFS(A:A,A821,D:D,"a"),"")</f>
        <v>0</v>
      </c>
      <c r="K821" s="2"/>
      <c r="M821" s="2"/>
    </row>
    <row r="822" spans="1:14" x14ac:dyDescent="0.55000000000000004">
      <c r="A822" s="1" t="s">
        <v>1711</v>
      </c>
      <c r="B822" s="2">
        <f>COUNTIF(A:A,A822)-1</f>
        <v>1</v>
      </c>
      <c r="C822" s="2">
        <f>COUNTIF(A$1:A822,A822)-1</f>
        <v>1</v>
      </c>
      <c r="D822" s="2" t="str">
        <f>Argument!D822</f>
        <v>v</v>
      </c>
      <c r="E822" s="2" t="str">
        <f t="shared" si="24"/>
        <v/>
      </c>
      <c r="F822" s="2" t="str">
        <f>IF(C822=0,ISTEXT(FORMULA.CONVERT("="&amp;A822&amp;"("&amp;REPLACE(REPT(",#ref!",B822),1,1,"")&amp;")()",1)),"")</f>
        <v/>
      </c>
      <c r="G822" s="2">
        <f>TYPE(WINDOW.TITLE({1}))</f>
        <v>64</v>
      </c>
      <c r="H822" s="2" t="str">
        <f t="shared" si="25"/>
        <v/>
      </c>
      <c r="I822" s="2">
        <f>TYPE(WINDOW.TITLE(IF(1,1)))</f>
        <v>4</v>
      </c>
      <c r="J822" s="2" t="str">
        <f>IF(C822=0,COUNTIFS(A:A,A822,D:D,"a"),"")</f>
        <v/>
      </c>
      <c r="K822" s="2" t="b">
        <f>INDEX(+WINDOW.TITLE(K822:L822),)</f>
        <v>0</v>
      </c>
      <c r="L822" s="1">
        <v>1</v>
      </c>
      <c r="M822" s="2" t="b">
        <f>INDEX(+WINDOW.TITLE(INDIRECT(M822:N822)),)</f>
        <v>0</v>
      </c>
      <c r="N822" s="1">
        <v>1</v>
      </c>
    </row>
    <row r="823" spans="1:14" x14ac:dyDescent="0.55000000000000004">
      <c r="A823" s="1" t="s">
        <v>1712</v>
      </c>
      <c r="B823" s="2">
        <f>COUNTIF(A:A,A823)-1</f>
        <v>2</v>
      </c>
      <c r="C823" s="2">
        <f>COUNTIF(A$1:A823,A823)-1</f>
        <v>0</v>
      </c>
      <c r="D823" s="2" t="str">
        <f>Argument!D823</f>
        <v/>
      </c>
      <c r="E823" s="2" t="str">
        <f t="shared" si="24"/>
        <v>v</v>
      </c>
      <c r="F823" s="2" t="b">
        <f>IF(C823=0,ISTEXT(FORMULA.CONVERT("="&amp;A823&amp;"("&amp;REPLACE(REPT(",#ref!",B823),1,1,"")&amp;")()",1)),"")</f>
        <v>0</v>
      </c>
      <c r="G823" s="2"/>
      <c r="H823" s="2" t="str">
        <f t="shared" si="25"/>
        <v/>
      </c>
      <c r="I823" s="2">
        <f>TYPE(SAVE.TOOLBAR(IF(1,1),IF(1,1)))</f>
        <v>16</v>
      </c>
      <c r="J823" s="2">
        <f>IF(C823=0,COUNTIFS(A:A,A823,D:D,"a"),"")</f>
        <v>0</v>
      </c>
      <c r="K823" s="2"/>
      <c r="M823" s="2"/>
    </row>
    <row r="824" spans="1:14" x14ac:dyDescent="0.55000000000000004">
      <c r="A824" s="1" t="s">
        <v>1712</v>
      </c>
      <c r="B824" s="2">
        <f>COUNTIF(A:A,A824)-1</f>
        <v>2</v>
      </c>
      <c r="C824" s="2">
        <f>COUNTIF(A$1:A824,A824)-1</f>
        <v>1</v>
      </c>
      <c r="D824" s="2" t="str">
        <f>Argument!D824</f>
        <v>va</v>
      </c>
      <c r="E824" s="2" t="str">
        <f t="shared" si="24"/>
        <v/>
      </c>
      <c r="F824" s="2" t="str">
        <f>IF(C824=0,ISTEXT(FORMULA.CONVERT("="&amp;A824&amp;"("&amp;REPLACE(REPT(",#ref!",B824),1,1,"")&amp;")()",1)),"")</f>
        <v/>
      </c>
      <c r="G824" s="2">
        <f>TYPE(SAVE.TOOLBAR({1},IF(1,1)))</f>
        <v>16</v>
      </c>
      <c r="H824" s="2" t="str">
        <f t="shared" si="25"/>
        <v/>
      </c>
      <c r="I824" s="2">
        <f>TYPE(SAVE.TOOLBAR(IF(1,1),IF(1,1)))</f>
        <v>16</v>
      </c>
      <c r="J824" s="2" t="str">
        <f>IF(C824=0,COUNTIFS(A:A,A824,D:D,"a"),"")</f>
        <v/>
      </c>
      <c r="K824" s="2" t="e">
        <f>INDEX(+SAVE.TOOLBAR(K824:L824,#REF!),)</f>
        <v>#REF!</v>
      </c>
      <c r="L824" s="1">
        <v>1</v>
      </c>
      <c r="M824" s="2" t="e">
        <f>INDEX(+SAVE.TOOLBAR(INDIRECT(M824:N824),#REF!),)</f>
        <v>#REF!</v>
      </c>
    </row>
    <row r="825" spans="1:14" x14ac:dyDescent="0.55000000000000004">
      <c r="A825" s="1" t="s">
        <v>1712</v>
      </c>
      <c r="B825" s="2">
        <f>COUNTIF(A:A,A825)-1</f>
        <v>2</v>
      </c>
      <c r="C825" s="2">
        <f>COUNTIF(A$1:A825,A825)-1</f>
        <v>2</v>
      </c>
      <c r="D825" s="2" t="str">
        <f>Argument!D825</f>
        <v>v</v>
      </c>
      <c r="E825" s="2" t="str">
        <f t="shared" si="24"/>
        <v/>
      </c>
      <c r="F825" s="2" t="str">
        <f>IF(C825=0,ISTEXT(FORMULA.CONVERT("="&amp;A825&amp;"("&amp;REPLACE(REPT(",#ref!",B825),1,1,"")&amp;")()",1)),"")</f>
        <v/>
      </c>
      <c r="G825" s="2">
        <f>TYPE(SAVE.TOOLBAR(IF(1,1),{1}))</f>
        <v>64</v>
      </c>
      <c r="H825" s="2" t="str">
        <f t="shared" si="25"/>
        <v/>
      </c>
      <c r="I825" s="2">
        <f>TYPE(SAVE.TOOLBAR(IF(1,1),IF(1,1)))</f>
        <v>16</v>
      </c>
      <c r="J825" s="2" t="str">
        <f>IF(C825=0,COUNTIFS(A:A,A825,D:D,"a"),"")</f>
        <v/>
      </c>
      <c r="K825" s="2" t="e">
        <f>INDEX(+SAVE.TOOLBAR(#REF!,K825:L825),)</f>
        <v>#REF!</v>
      </c>
      <c r="L825" s="1">
        <v>1</v>
      </c>
      <c r="M825" s="2" t="e">
        <f>INDEX(+SAVE.TOOLBAR(#REF!,INDIRECT(M825:N825)),)</f>
        <v>#REF!</v>
      </c>
      <c r="N825" s="1">
        <v>1</v>
      </c>
    </row>
    <row r="826" spans="1:14" x14ac:dyDescent="0.55000000000000004">
      <c r="A826" s="1" t="s">
        <v>1713</v>
      </c>
      <c r="B826" s="2">
        <f>COUNTIF(A:A,A826)-1</f>
        <v>3</v>
      </c>
      <c r="C826" s="2">
        <f>COUNTIF(A$1:A826,A826)-1</f>
        <v>0</v>
      </c>
      <c r="D826" s="2" t="str">
        <f>Argument!D826</f>
        <v/>
      </c>
      <c r="E826" s="2" t="str">
        <f t="shared" si="24"/>
        <v>v</v>
      </c>
      <c r="F826" s="2" t="b">
        <f>IF(C826=0,ISTEXT(FORMULA.CONVERT("="&amp;A826&amp;"("&amp;REPLACE(REPT(",#ref!",B826),1,1,"")&amp;")()",1)),"")</f>
        <v>0</v>
      </c>
      <c r="G826" s="2"/>
      <c r="H826" s="2" t="str">
        <f t="shared" si="25"/>
        <v/>
      </c>
      <c r="I826" s="2">
        <f>TYPE(ENABLE.TOOL(IF(1,1),IF(1,1),IF(1,1)))</f>
        <v>4</v>
      </c>
      <c r="J826" s="2">
        <f>IF(C826=0,COUNTIFS(A:A,A826,D:D,"a"),"")</f>
        <v>0</v>
      </c>
      <c r="K826" s="2"/>
      <c r="M826" s="2"/>
    </row>
    <row r="827" spans="1:14" x14ac:dyDescent="0.55000000000000004">
      <c r="A827" s="1" t="s">
        <v>1713</v>
      </c>
      <c r="B827" s="2">
        <f>COUNTIF(A:A,A827)-1</f>
        <v>3</v>
      </c>
      <c r="C827" s="2">
        <f>COUNTIF(A$1:A827,A827)-1</f>
        <v>1</v>
      </c>
      <c r="D827" s="2" t="str">
        <f>Argument!D827</f>
        <v>v</v>
      </c>
      <c r="E827" s="2" t="str">
        <f t="shared" si="24"/>
        <v/>
      </c>
      <c r="F827" s="2" t="str">
        <f>IF(C827=0,ISTEXT(FORMULA.CONVERT("="&amp;A827&amp;"("&amp;REPLACE(REPT(",#ref!",B827),1,1,"")&amp;")()",1)),"")</f>
        <v/>
      </c>
      <c r="G827" s="2">
        <f>TYPE(ENABLE.TOOL({1},IF(1,1),IF(1,1)))</f>
        <v>64</v>
      </c>
      <c r="H827" s="2" t="str">
        <f t="shared" si="25"/>
        <v/>
      </c>
      <c r="I827" s="2">
        <f>TYPE(ENABLE.TOOL(IF(1,1),IF(1,1),IF(1,1)))</f>
        <v>4</v>
      </c>
      <c r="J827" s="2" t="str">
        <f>IF(C827=0,COUNTIFS(A:A,A827,D:D,"a"),"")</f>
        <v/>
      </c>
      <c r="K827" s="2" t="b">
        <f>INDEX(+ENABLE.TOOL(K827:L827,#REF!,#REF!),)</f>
        <v>0</v>
      </c>
      <c r="L827" s="1">
        <v>1</v>
      </c>
      <c r="M827" s="2" t="b">
        <f>INDEX(+ENABLE.TOOL(INDIRECT(M827:N827),#REF!,#REF!),)</f>
        <v>0</v>
      </c>
      <c r="N827" s="1">
        <v>1</v>
      </c>
    </row>
    <row r="828" spans="1:14" x14ac:dyDescent="0.55000000000000004">
      <c r="A828" s="1" t="s">
        <v>1713</v>
      </c>
      <c r="B828" s="2">
        <f>COUNTIF(A:A,A828)-1</f>
        <v>3</v>
      </c>
      <c r="C828" s="2">
        <f>COUNTIF(A$1:A828,A828)-1</f>
        <v>2</v>
      </c>
      <c r="D828" s="2" t="str">
        <f>Argument!D828</f>
        <v>v</v>
      </c>
      <c r="E828" s="2" t="str">
        <f t="shared" si="24"/>
        <v/>
      </c>
      <c r="F828" s="2" t="str">
        <f>IF(C828=0,ISTEXT(FORMULA.CONVERT("="&amp;A828&amp;"("&amp;REPLACE(REPT(",#ref!",B828),1,1,"")&amp;")()",1)),"")</f>
        <v/>
      </c>
      <c r="G828" s="2">
        <f>TYPE(ENABLE.TOOL(IF(1,1),{1},IF(1,1)))</f>
        <v>64</v>
      </c>
      <c r="H828" s="2" t="str">
        <f t="shared" si="25"/>
        <v/>
      </c>
      <c r="I828" s="2">
        <f>TYPE(ENABLE.TOOL(IF(1,1),IF(1,1),IF(1,1)))</f>
        <v>4</v>
      </c>
      <c r="J828" s="2" t="str">
        <f>IF(C828=0,COUNTIFS(A:A,A828,D:D,"a"),"")</f>
        <v/>
      </c>
      <c r="K828" s="2" t="b">
        <f>INDEX(+ENABLE.TOOL(#REF!,K828:L828,#REF!),)</f>
        <v>0</v>
      </c>
      <c r="L828" s="1">
        <v>1</v>
      </c>
      <c r="M828" s="2" t="b">
        <f>INDEX(+ENABLE.TOOL(#REF!,INDIRECT(M828:N828),#REF!),)</f>
        <v>0</v>
      </c>
      <c r="N828" s="1">
        <v>1</v>
      </c>
    </row>
    <row r="829" spans="1:14" x14ac:dyDescent="0.55000000000000004">
      <c r="A829" s="1" t="s">
        <v>1713</v>
      </c>
      <c r="B829" s="2">
        <f>COUNTIF(A:A,A829)-1</f>
        <v>3</v>
      </c>
      <c r="C829" s="2">
        <f>COUNTIF(A$1:A829,A829)-1</f>
        <v>3</v>
      </c>
      <c r="D829" s="2" t="str">
        <f>Argument!D829</f>
        <v>v</v>
      </c>
      <c r="E829" s="2" t="str">
        <f t="shared" si="24"/>
        <v/>
      </c>
      <c r="F829" s="2" t="str">
        <f>IF(C829=0,ISTEXT(FORMULA.CONVERT("="&amp;A829&amp;"("&amp;REPLACE(REPT(",#ref!",B829),1,1,"")&amp;")()",1)),"")</f>
        <v/>
      </c>
      <c r="G829" s="2">
        <f>TYPE(ENABLE.TOOL(IF(1,1),IF(1,1),{1}))</f>
        <v>64</v>
      </c>
      <c r="H829" s="2" t="str">
        <f t="shared" si="25"/>
        <v/>
      </c>
      <c r="I829" s="2">
        <f>TYPE(ENABLE.TOOL(IF(1,1),IF(1,1),IF(1,1)))</f>
        <v>4</v>
      </c>
      <c r="J829" s="2" t="str">
        <f>IF(C829=0,COUNTIFS(A:A,A829,D:D,"a"),"")</f>
        <v/>
      </c>
      <c r="K829" s="2" t="b">
        <f>INDEX(+ENABLE.TOOL(#REF!,#REF!,K829:L829),)</f>
        <v>0</v>
      </c>
      <c r="L829" s="1">
        <v>1</v>
      </c>
      <c r="M829" s="2" t="b">
        <f>INDEX(+ENABLE.TOOL(#REF!,#REF!,INDIRECT(M829:N829)),)</f>
        <v>0</v>
      </c>
      <c r="N829" s="1">
        <v>1</v>
      </c>
    </row>
    <row r="830" spans="1:14" x14ac:dyDescent="0.55000000000000004">
      <c r="A830" s="1" t="s">
        <v>1714</v>
      </c>
      <c r="B830" s="2">
        <f>COUNTIF(A:A,A830)-1</f>
        <v>3</v>
      </c>
      <c r="C830" s="2">
        <f>COUNTIF(A$1:A830,A830)-1</f>
        <v>0</v>
      </c>
      <c r="D830" s="2" t="str">
        <f>Argument!D830</f>
        <v/>
      </c>
      <c r="E830" s="2" t="str">
        <f t="shared" si="24"/>
        <v>v</v>
      </c>
      <c r="F830" s="2" t="b">
        <f>IF(C830=0,ISTEXT(FORMULA.CONVERT("="&amp;A830&amp;"("&amp;REPLACE(REPT(",#ref!",B830),1,1,"")&amp;")()",1)),"")</f>
        <v>0</v>
      </c>
      <c r="G830" s="2"/>
      <c r="H830" s="2" t="str">
        <f t="shared" si="25"/>
        <v/>
      </c>
      <c r="I830" s="2">
        <f>TYPE(PRESS.TOOL(IF(1,1),IF(1,1),IF(1,1)))</f>
        <v>4</v>
      </c>
      <c r="J830" s="2">
        <f>IF(C830=0,COUNTIFS(A:A,A830,D:D,"a"),"")</f>
        <v>0</v>
      </c>
      <c r="K830" s="2"/>
      <c r="M830" s="2"/>
    </row>
    <row r="831" spans="1:14" x14ac:dyDescent="0.55000000000000004">
      <c r="A831" s="1" t="s">
        <v>1714</v>
      </c>
      <c r="B831" s="2">
        <f>COUNTIF(A:A,A831)-1</f>
        <v>3</v>
      </c>
      <c r="C831" s="2">
        <f>COUNTIF(A$1:A831,A831)-1</f>
        <v>1</v>
      </c>
      <c r="D831" s="2" t="str">
        <f>Argument!D831</f>
        <v>v</v>
      </c>
      <c r="E831" s="2" t="str">
        <f t="shared" si="24"/>
        <v/>
      </c>
      <c r="F831" s="2" t="str">
        <f>IF(C831=0,ISTEXT(FORMULA.CONVERT("="&amp;A831&amp;"("&amp;REPLACE(REPT(",#ref!",B831),1,1,"")&amp;")()",1)),"")</f>
        <v/>
      </c>
      <c r="G831" s="2">
        <f>TYPE(PRESS.TOOL({1},IF(1,1),IF(1,1)))</f>
        <v>64</v>
      </c>
      <c r="H831" s="2" t="str">
        <f t="shared" si="25"/>
        <v/>
      </c>
      <c r="I831" s="2">
        <f>TYPE(PRESS.TOOL(IF(1,1),IF(1,1),IF(1,1)))</f>
        <v>4</v>
      </c>
      <c r="J831" s="2" t="str">
        <f>IF(C831=0,COUNTIFS(A:A,A831,D:D,"a"),"")</f>
        <v/>
      </c>
      <c r="K831" s="2" t="b">
        <f>INDEX(+PRESS.TOOL(K831:L831,#REF!,#REF!),)</f>
        <v>0</v>
      </c>
      <c r="L831" s="1">
        <v>1</v>
      </c>
      <c r="M831" s="2" t="b">
        <f>INDEX(+PRESS.TOOL(INDIRECT(M831:N831),#REF!,#REF!),)</f>
        <v>0</v>
      </c>
      <c r="N831" s="1">
        <v>1</v>
      </c>
    </row>
    <row r="832" spans="1:14" x14ac:dyDescent="0.55000000000000004">
      <c r="A832" s="1" t="s">
        <v>1714</v>
      </c>
      <c r="B832" s="2">
        <f>COUNTIF(A:A,A832)-1</f>
        <v>3</v>
      </c>
      <c r="C832" s="2">
        <f>COUNTIF(A$1:A832,A832)-1</f>
        <v>2</v>
      </c>
      <c r="D832" s="2" t="str">
        <f>Argument!D832</f>
        <v>v</v>
      </c>
      <c r="E832" s="2" t="str">
        <f t="shared" si="24"/>
        <v/>
      </c>
      <c r="F832" s="2" t="str">
        <f>IF(C832=0,ISTEXT(FORMULA.CONVERT("="&amp;A832&amp;"("&amp;REPLACE(REPT(",#ref!",B832),1,1,"")&amp;")()",1)),"")</f>
        <v/>
      </c>
      <c r="G832" s="2">
        <f>TYPE(PRESS.TOOL(IF(1,1),{1},IF(1,1)))</f>
        <v>64</v>
      </c>
      <c r="H832" s="2" t="str">
        <f t="shared" si="25"/>
        <v/>
      </c>
      <c r="I832" s="2">
        <f>TYPE(PRESS.TOOL(IF(1,1),IF(1,1),IF(1,1)))</f>
        <v>4</v>
      </c>
      <c r="J832" s="2" t="str">
        <f>IF(C832=0,COUNTIFS(A:A,A832,D:D,"a"),"")</f>
        <v/>
      </c>
      <c r="K832" s="2" t="b">
        <f>INDEX(+PRESS.TOOL(#REF!,K832:L832,#REF!),)</f>
        <v>0</v>
      </c>
      <c r="L832" s="1">
        <v>1</v>
      </c>
      <c r="M832" s="2" t="b">
        <f>INDEX(+PRESS.TOOL(#REF!,INDIRECT(M832:N832),#REF!),)</f>
        <v>0</v>
      </c>
      <c r="N832" s="1">
        <v>1</v>
      </c>
    </row>
    <row r="833" spans="1:14" x14ac:dyDescent="0.55000000000000004">
      <c r="A833" s="1" t="s">
        <v>1714</v>
      </c>
      <c r="B833" s="2">
        <f>COUNTIF(A:A,A833)-1</f>
        <v>3</v>
      </c>
      <c r="C833" s="2">
        <f>COUNTIF(A$1:A833,A833)-1</f>
        <v>3</v>
      </c>
      <c r="D833" s="2" t="str">
        <f>Argument!D833</f>
        <v>v</v>
      </c>
      <c r="E833" s="2" t="str">
        <f t="shared" si="24"/>
        <v/>
      </c>
      <c r="F833" s="2" t="str">
        <f>IF(C833=0,ISTEXT(FORMULA.CONVERT("="&amp;A833&amp;"("&amp;REPLACE(REPT(",#ref!",B833),1,1,"")&amp;")()",1)),"")</f>
        <v/>
      </c>
      <c r="G833" s="2">
        <f>TYPE(PRESS.TOOL(IF(1,1),IF(1,1),{1}))</f>
        <v>64</v>
      </c>
      <c r="H833" s="2" t="str">
        <f t="shared" si="25"/>
        <v/>
      </c>
      <c r="I833" s="2">
        <f>TYPE(PRESS.TOOL(IF(1,1),IF(1,1),IF(1,1)))</f>
        <v>4</v>
      </c>
      <c r="J833" s="2" t="str">
        <f>IF(C833=0,COUNTIFS(A:A,A833,D:D,"a"),"")</f>
        <v/>
      </c>
      <c r="K833" s="2" t="b">
        <f>INDEX(+PRESS.TOOL(#REF!,#REF!,K833:L833),)</f>
        <v>0</v>
      </c>
      <c r="L833" s="1">
        <v>1</v>
      </c>
      <c r="M833" s="2" t="b">
        <f>INDEX(+PRESS.TOOL(#REF!,#REF!,INDIRECT(M833:N833)),)</f>
        <v>0</v>
      </c>
      <c r="N833" s="1">
        <v>1</v>
      </c>
    </row>
    <row r="834" spans="1:14" x14ac:dyDescent="0.55000000000000004">
      <c r="A834" s="1" t="s">
        <v>1715</v>
      </c>
      <c r="B834" s="2">
        <f>COUNTIF(A:A,A834)-1</f>
        <v>3</v>
      </c>
      <c r="C834" s="2">
        <f>COUNTIF(A$1:A834,A834)-1</f>
        <v>0</v>
      </c>
      <c r="D834" s="2" t="str">
        <f>Argument!D834</f>
        <v/>
      </c>
      <c r="E834" s="2" t="str">
        <f t="shared" ref="E834:E897" si="26">IF(C834=0,IF(SUMIFS(H:H,A:A,A834),IF(COUNTIFS(A:A,A834,G:G,64),,"v")&amp;IF(F834,"ar","a"),IF(F834,"r","v")),"")</f>
        <v>v</v>
      </c>
      <c r="F834" s="2" t="b">
        <f>IF(C834=0,ISTEXT(FORMULA.CONVERT("="&amp;A834&amp;"("&amp;REPLACE(REPT(",#ref!",B834),1,1,"")&amp;")()",1)),"")</f>
        <v>0</v>
      </c>
      <c r="G834" s="2"/>
      <c r="H834" s="2" t="str">
        <f t="shared" ref="H834:H897" si="27">IF((I834=64)*(J834=B834)+(1-L834)*COUNTIF(D834,"*v*")+(1-N834)*COUNTIF(D834,"*r*"),1,"")</f>
        <v/>
      </c>
      <c r="I834" s="2">
        <f>TYPE(REGISTER.ID(IF(1,1),IF(1,1),IF(1,1)))</f>
        <v>4</v>
      </c>
      <c r="J834" s="2">
        <f>IF(C834=0,COUNTIFS(A:A,A834,D:D,"a"),"")</f>
        <v>0</v>
      </c>
      <c r="K834" s="2"/>
      <c r="M834" s="2"/>
    </row>
    <row r="835" spans="1:14" x14ac:dyDescent="0.55000000000000004">
      <c r="A835" s="1" t="s">
        <v>1715</v>
      </c>
      <c r="B835" s="2">
        <f>COUNTIF(A:A,A835)-1</f>
        <v>3</v>
      </c>
      <c r="C835" s="2">
        <f>COUNTIF(A$1:A835,A835)-1</f>
        <v>1</v>
      </c>
      <c r="D835" s="2" t="str">
        <f>Argument!D835</f>
        <v>v</v>
      </c>
      <c r="E835" s="2" t="str">
        <f t="shared" si="26"/>
        <v/>
      </c>
      <c r="F835" s="2" t="str">
        <f>IF(C835=0,ISTEXT(FORMULA.CONVERT("="&amp;A835&amp;"("&amp;REPLACE(REPT(",#ref!",B835),1,1,"")&amp;")()",1)),"")</f>
        <v/>
      </c>
      <c r="G835" s="2">
        <f>TYPE(REGISTER.ID({1},IF(1,1),IF(1,1)))</f>
        <v>64</v>
      </c>
      <c r="H835" s="2" t="str">
        <f t="shared" si="27"/>
        <v/>
      </c>
      <c r="I835" s="2">
        <f>TYPE(REGISTER.ID(IF(1,1),IF(1,1),IF(1,1)))</f>
        <v>4</v>
      </c>
      <c r="J835" s="2" t="str">
        <f>IF(C835=0,COUNTIFS(A:A,A835,D:D,"a"),"")</f>
        <v/>
      </c>
      <c r="K835" s="2" t="e">
        <f>INDEX(+REGISTER.ID(K835:L835,#REF!,#REF!),)</f>
        <v>#REF!</v>
      </c>
      <c r="L835" s="1">
        <v>1</v>
      </c>
      <c r="M835" s="2" t="e">
        <f>INDEX(+REGISTER.ID(INDIRECT(M835:N835),#REF!,#REF!),)</f>
        <v>#REF!</v>
      </c>
      <c r="N835" s="1">
        <v>1</v>
      </c>
    </row>
    <row r="836" spans="1:14" x14ac:dyDescent="0.55000000000000004">
      <c r="A836" s="1" t="s">
        <v>1715</v>
      </c>
      <c r="B836" s="2">
        <f>COUNTIF(A:A,A836)-1</f>
        <v>3</v>
      </c>
      <c r="C836" s="2">
        <f>COUNTIF(A$1:A836,A836)-1</f>
        <v>2</v>
      </c>
      <c r="D836" s="2" t="str">
        <f>Argument!D836</f>
        <v>v</v>
      </c>
      <c r="E836" s="2" t="str">
        <f t="shared" si="26"/>
        <v/>
      </c>
      <c r="F836" s="2" t="str">
        <f>IF(C836=0,ISTEXT(FORMULA.CONVERT("="&amp;A836&amp;"("&amp;REPLACE(REPT(",#ref!",B836),1,1,"")&amp;")()",1)),"")</f>
        <v/>
      </c>
      <c r="G836" s="2">
        <f>TYPE(REGISTER.ID(IF(1,1),{1},IF(1,1)))</f>
        <v>64</v>
      </c>
      <c r="H836" s="2" t="str">
        <f t="shared" si="27"/>
        <v/>
      </c>
      <c r="I836" s="2">
        <f>TYPE(REGISTER.ID(IF(1,1),IF(1,1),IF(1,1)))</f>
        <v>4</v>
      </c>
      <c r="J836" s="2" t="str">
        <f>IF(C836=0,COUNTIFS(A:A,A836,D:D,"a"),"")</f>
        <v/>
      </c>
      <c r="K836" s="2" t="e">
        <f>INDEX(+REGISTER.ID(#REF!,K836:L836,#REF!),)</f>
        <v>#REF!</v>
      </c>
      <c r="L836" s="1">
        <v>1</v>
      </c>
      <c r="M836" s="2" t="e">
        <f>INDEX(+REGISTER.ID(#REF!,INDIRECT(M836:N836),#REF!),)</f>
        <v>#REF!</v>
      </c>
      <c r="N836" s="1">
        <v>1</v>
      </c>
    </row>
    <row r="837" spans="1:14" x14ac:dyDescent="0.55000000000000004">
      <c r="A837" s="1" t="s">
        <v>1715</v>
      </c>
      <c r="B837" s="2">
        <f>COUNTIF(A:A,A837)-1</f>
        <v>3</v>
      </c>
      <c r="C837" s="2">
        <f>COUNTIF(A$1:A837,A837)-1</f>
        <v>3</v>
      </c>
      <c r="D837" s="2" t="str">
        <f>Argument!D837</f>
        <v>v</v>
      </c>
      <c r="E837" s="2" t="str">
        <f t="shared" si="26"/>
        <v/>
      </c>
      <c r="F837" s="2" t="str">
        <f>IF(C837=0,ISTEXT(FORMULA.CONVERT("="&amp;A837&amp;"("&amp;REPLACE(REPT(",#ref!",B837),1,1,"")&amp;")()",1)),"")</f>
        <v/>
      </c>
      <c r="G837" s="2">
        <f>TYPE(REGISTER.ID(IF(1,1),IF(1,1),{1}))</f>
        <v>64</v>
      </c>
      <c r="H837" s="2" t="str">
        <f t="shared" si="27"/>
        <v/>
      </c>
      <c r="I837" s="2">
        <f>TYPE(REGISTER.ID(IF(1,1),IF(1,1),IF(1,1)))</f>
        <v>4</v>
      </c>
      <c r="J837" s="2" t="str">
        <f>IF(C837=0,COUNTIFS(A:A,A837,D:D,"a"),"")</f>
        <v/>
      </c>
      <c r="K837" s="2" t="e">
        <f>INDEX(+REGISTER.ID(#REF!,#REF!,K837:L837),)</f>
        <v>#REF!</v>
      </c>
      <c r="L837" s="1">
        <v>1</v>
      </c>
      <c r="M837" s="2" t="e">
        <f>INDEX(+REGISTER.ID(#REF!,#REF!,INDIRECT(M837:N837)),)</f>
        <v>#REF!</v>
      </c>
      <c r="N837" s="1">
        <v>1</v>
      </c>
    </row>
    <row r="838" spans="1:14" x14ac:dyDescent="0.55000000000000004">
      <c r="A838" s="1" t="s">
        <v>1716</v>
      </c>
      <c r="B838" s="2">
        <f>COUNTIF(A:A,A838)-1</f>
        <v>2</v>
      </c>
      <c r="C838" s="2">
        <f>COUNTIF(A$1:A838,A838)-1</f>
        <v>0</v>
      </c>
      <c r="D838" s="2" t="str">
        <f>Argument!D838</f>
        <v/>
      </c>
      <c r="E838" s="2" t="str">
        <f t="shared" si="26"/>
        <v>va</v>
      </c>
      <c r="F838" s="2" t="b">
        <f>IF(C838=0,ISTEXT(FORMULA.CONVERT("="&amp;A838&amp;"("&amp;REPLACE(REPT(",#ref!",B838),1,1,"")&amp;")()",1)),"")</f>
        <v>0</v>
      </c>
      <c r="G838" s="2"/>
      <c r="H838" s="2" t="str">
        <f t="shared" si="27"/>
        <v/>
      </c>
      <c r="I838" s="2">
        <f>TYPE(GET.WORKBOOK(IF(1,1),IF(1,1)))</f>
        <v>16</v>
      </c>
      <c r="J838" s="2">
        <f>IF(C838=0,COUNTIFS(A:A,A838,D:D,"a"),"")</f>
        <v>0</v>
      </c>
      <c r="K838" s="2"/>
      <c r="M838" s="2"/>
    </row>
    <row r="839" spans="1:14" x14ac:dyDescent="0.55000000000000004">
      <c r="A839" s="1" t="s">
        <v>1716</v>
      </c>
      <c r="B839" s="2">
        <f>COUNTIF(A:A,A839)-1</f>
        <v>2</v>
      </c>
      <c r="C839" s="2">
        <f>COUNTIF(A$1:A839,A839)-1</f>
        <v>1</v>
      </c>
      <c r="D839" s="2" t="str">
        <f>Argument!D839</f>
        <v>v</v>
      </c>
      <c r="E839" s="2" t="str">
        <f t="shared" si="26"/>
        <v/>
      </c>
      <c r="F839" s="2" t="str">
        <f>IF(C839=0,ISTEXT(FORMULA.CONVERT("="&amp;A839&amp;"("&amp;REPLACE(REPT(",#ref!",B839),1,1,"")&amp;")()",1)),"")</f>
        <v/>
      </c>
      <c r="G839" s="2">
        <f>TYPE(GET.WORKBOOK({1},IF(1,1)))</f>
        <v>16</v>
      </c>
      <c r="H839" s="2">
        <f t="shared" si="27"/>
        <v>1</v>
      </c>
      <c r="I839" s="2">
        <f>TYPE(GET.WORKBOOK(IF(1,1),IF(1,1)))</f>
        <v>16</v>
      </c>
      <c r="J839" s="2" t="str">
        <f>IF(C839=0,COUNTIFS(A:A,A839,D:D,"a"),"")</f>
        <v/>
      </c>
      <c r="K839" s="2" t="e">
        <f>INDEX(+GET.WORKBOOK(K839:L839,#REF!),)</f>
        <v>#REF!</v>
      </c>
      <c r="M839" s="2" t="e">
        <f>INDEX(+GET.WORKBOOK(INDIRECT(M839:N839),#REF!),)</f>
        <v>#REF!</v>
      </c>
    </row>
    <row r="840" spans="1:14" x14ac:dyDescent="0.55000000000000004">
      <c r="A840" s="1" t="s">
        <v>1716</v>
      </c>
      <c r="B840" s="2">
        <f>COUNTIF(A:A,A840)-1</f>
        <v>2</v>
      </c>
      <c r="C840" s="2">
        <f>COUNTIF(A$1:A840,A840)-1</f>
        <v>2</v>
      </c>
      <c r="D840" s="2" t="str">
        <f>Argument!D840</f>
        <v>v</v>
      </c>
      <c r="E840" s="2" t="str">
        <f t="shared" si="26"/>
        <v/>
      </c>
      <c r="F840" s="2" t="str">
        <f>IF(C840=0,ISTEXT(FORMULA.CONVERT("="&amp;A840&amp;"("&amp;REPLACE(REPT(",#ref!",B840),1,1,"")&amp;")()",1)),"")</f>
        <v/>
      </c>
      <c r="G840" s="2">
        <f>TYPE(GET.WORKBOOK(IF(1,1),{1}))</f>
        <v>16</v>
      </c>
      <c r="H840" s="2">
        <f t="shared" si="27"/>
        <v>1</v>
      </c>
      <c r="I840" s="2">
        <f>TYPE(GET.WORKBOOK(IF(1,1),IF(1,1)))</f>
        <v>16</v>
      </c>
      <c r="J840" s="2" t="str">
        <f>IF(C840=0,COUNTIFS(A:A,A840,D:D,"a"),"")</f>
        <v/>
      </c>
      <c r="K840" s="2" t="e">
        <f>INDEX(+GET.WORKBOOK(#REF!,K840:L840),)</f>
        <v>#REF!</v>
      </c>
      <c r="M840" s="2" t="e">
        <f>INDEX(+GET.WORKBOOK(#REF!,INDIRECT(M840:N840)),)</f>
        <v>#REF!</v>
      </c>
    </row>
    <row r="841" spans="1:14" x14ac:dyDescent="0.55000000000000004">
      <c r="A841" s="1" t="s">
        <v>1717</v>
      </c>
      <c r="B841" s="2">
        <f>COUNTIF(A:A,A841)-1</f>
        <v>3</v>
      </c>
      <c r="C841" s="2">
        <f>COUNTIF(A$1:A841,A841)-1</f>
        <v>0</v>
      </c>
      <c r="D841" s="2" t="str">
        <f>Argument!D841</f>
        <v/>
      </c>
      <c r="E841" s="2" t="str">
        <f t="shared" si="26"/>
        <v>v</v>
      </c>
      <c r="F841" s="2" t="b">
        <f>IF(C841=0,ISTEXT(FORMULA.CONVERT("="&amp;A841&amp;"("&amp;REPLACE(REPT(",#ref!",B841),1,1,"")&amp;")()",1)),"")</f>
        <v>0</v>
      </c>
      <c r="G841" s="2"/>
      <c r="H841" s="2" t="str">
        <f t="shared" si="27"/>
        <v/>
      </c>
      <c r="I841" s="2">
        <f>TYPE(AVEDEV(IF(1,1),IF(1,1),IF(1,1)))</f>
        <v>1</v>
      </c>
      <c r="J841" s="2">
        <f>IF(C841=0,COUNTIFS(A:A,A841,D:D,"a"),"")</f>
        <v>0</v>
      </c>
      <c r="K841" s="2"/>
      <c r="M841" s="2"/>
    </row>
    <row r="842" spans="1:14" x14ac:dyDescent="0.55000000000000004">
      <c r="A842" s="1" t="s">
        <v>1717</v>
      </c>
      <c r="B842" s="2">
        <f>COUNTIF(A:A,A842)-1</f>
        <v>3</v>
      </c>
      <c r="C842" s="2">
        <f>COUNTIF(A$1:A842,A842)-1</f>
        <v>1</v>
      </c>
      <c r="D842" s="2" t="str">
        <f>Argument!D842</f>
        <v>var</v>
      </c>
      <c r="E842" s="2" t="str">
        <f t="shared" si="26"/>
        <v/>
      </c>
      <c r="F842" s="2" t="str">
        <f>IF(C842=0,ISTEXT(FORMULA.CONVERT("="&amp;A842&amp;"("&amp;REPLACE(REPT(",#ref!",B842),1,1,"")&amp;")()",1)),"")</f>
        <v/>
      </c>
      <c r="G842" s="2">
        <f>TYPE(AVEDEV({1},IF(1,1),IF(1,1)))</f>
        <v>1</v>
      </c>
      <c r="H842" s="2" t="str">
        <f t="shared" si="27"/>
        <v/>
      </c>
      <c r="I842" s="2">
        <f>TYPE(AVEDEV(IF(1,1),IF(1,1),IF(1,1)))</f>
        <v>1</v>
      </c>
      <c r="J842" s="2" t="str">
        <f>IF(C842=0,COUNTIFS(A:A,A842,D:D,"a"),"")</f>
        <v/>
      </c>
      <c r="K842" s="2" t="e">
        <f>INDEX(+AVEDEV(K842:L842,#REF!,#REF!),)</f>
        <v>#REF!</v>
      </c>
      <c r="L842" s="1">
        <v>1</v>
      </c>
      <c r="M842" s="2" t="e">
        <f>INDEX(+AVEDEV(INDIRECT(M842:N842),#REF!,#REF!),)</f>
        <v>#REF!</v>
      </c>
      <c r="N842" s="1">
        <v>1</v>
      </c>
    </row>
    <row r="843" spans="1:14" x14ac:dyDescent="0.55000000000000004">
      <c r="A843" s="1" t="s">
        <v>1717</v>
      </c>
      <c r="B843" s="2">
        <f>COUNTIF(A:A,A843)-1</f>
        <v>3</v>
      </c>
      <c r="C843" s="2">
        <f>COUNTIF(A$1:A843,A843)-1</f>
        <v>2</v>
      </c>
      <c r="D843" s="2" t="str">
        <f>Argument!D843</f>
        <v>var</v>
      </c>
      <c r="E843" s="2" t="str">
        <f t="shared" si="26"/>
        <v/>
      </c>
      <c r="F843" s="2" t="str">
        <f>IF(C843=0,ISTEXT(FORMULA.CONVERT("="&amp;A843&amp;"("&amp;REPLACE(REPT(",#ref!",B843),1,1,"")&amp;")()",1)),"")</f>
        <v/>
      </c>
      <c r="G843" s="2">
        <f>TYPE(AVEDEV(IF(1,1),{1},IF(1,1)))</f>
        <v>1</v>
      </c>
      <c r="H843" s="2" t="str">
        <f t="shared" si="27"/>
        <v/>
      </c>
      <c r="I843" s="2">
        <f>TYPE(AVEDEV(IF(1,1),IF(1,1),IF(1,1)))</f>
        <v>1</v>
      </c>
      <c r="J843" s="2" t="str">
        <f>IF(C843=0,COUNTIFS(A:A,A843,D:D,"a"),"")</f>
        <v/>
      </c>
      <c r="K843" s="2" t="e">
        <f>INDEX(+AVEDEV(#REF!,K843:L843,#REF!),)</f>
        <v>#REF!</v>
      </c>
      <c r="L843" s="1">
        <v>1</v>
      </c>
      <c r="M843" s="2" t="e">
        <f>INDEX(+AVEDEV(#REF!,INDIRECT(M843:N843),#REF!),)</f>
        <v>#REF!</v>
      </c>
      <c r="N843" s="1">
        <v>1</v>
      </c>
    </row>
    <row r="844" spans="1:14" x14ac:dyDescent="0.55000000000000004">
      <c r="A844" s="1" t="s">
        <v>1717</v>
      </c>
      <c r="B844" s="2">
        <f>COUNTIF(A:A,A844)-1</f>
        <v>3</v>
      </c>
      <c r="C844" s="2">
        <f>COUNTIF(A$1:A844,A844)-1</f>
        <v>3</v>
      </c>
      <c r="D844" s="2" t="str">
        <f>Argument!D844</f>
        <v>var</v>
      </c>
      <c r="E844" s="2" t="str">
        <f t="shared" si="26"/>
        <v/>
      </c>
      <c r="F844" s="2" t="str">
        <f>IF(C844=0,ISTEXT(FORMULA.CONVERT("="&amp;A844&amp;"("&amp;REPLACE(REPT(",#ref!",B844),1,1,"")&amp;")()",1)),"")</f>
        <v/>
      </c>
      <c r="G844" s="2">
        <f>TYPE(AVEDEV(IF(1,1),IF(1,1),{1}))</f>
        <v>1</v>
      </c>
      <c r="H844" s="2" t="str">
        <f t="shared" si="27"/>
        <v/>
      </c>
      <c r="I844" s="2">
        <f>TYPE(AVEDEV(IF(1,1),IF(1,1),IF(1,1)))</f>
        <v>1</v>
      </c>
      <c r="J844" s="2" t="str">
        <f>IF(C844=0,COUNTIFS(A:A,A844,D:D,"a"),"")</f>
        <v/>
      </c>
      <c r="K844" s="2" t="e">
        <f>INDEX(+AVEDEV(#REF!,#REF!,K844:L844),)</f>
        <v>#REF!</v>
      </c>
      <c r="L844" s="1">
        <v>1</v>
      </c>
      <c r="M844" s="2" t="e">
        <f>INDEX(+AVEDEV(#REF!,#REF!,INDIRECT(M844:N844)),)</f>
        <v>#REF!</v>
      </c>
      <c r="N844" s="1">
        <v>1</v>
      </c>
    </row>
    <row r="845" spans="1:14" x14ac:dyDescent="0.55000000000000004">
      <c r="A845" s="1" t="s">
        <v>1718</v>
      </c>
      <c r="B845" s="2">
        <f>COUNTIF(A:A,A845)-1</f>
        <v>5</v>
      </c>
      <c r="C845" s="2">
        <f>COUNTIF(A$1:A845,A845)-1</f>
        <v>0</v>
      </c>
      <c r="D845" s="2" t="str">
        <f>Argument!D845</f>
        <v/>
      </c>
      <c r="E845" s="2" t="str">
        <f t="shared" si="26"/>
        <v>v</v>
      </c>
      <c r="F845" s="2" t="b">
        <f>IF(C845=0,ISTEXT(FORMULA.CONVERT("="&amp;A845&amp;"("&amp;REPLACE(REPT(",#ref!",B845),1,1,"")&amp;")()",1)),"")</f>
        <v>0</v>
      </c>
      <c r="G845" s="2"/>
      <c r="H845" s="2" t="str">
        <f t="shared" si="27"/>
        <v/>
      </c>
      <c r="I845" s="2">
        <f>TYPE(BETADIST(IF(1,1),IF(1,1),IF(1,1),IF(1,1),IF(1,1)))</f>
        <v>16</v>
      </c>
      <c r="J845" s="2">
        <f>IF(C845=0,COUNTIFS(A:A,A845,D:D,"a"),"")</f>
        <v>0</v>
      </c>
      <c r="K845" s="2"/>
      <c r="M845" s="2"/>
    </row>
    <row r="846" spans="1:14" x14ac:dyDescent="0.55000000000000004">
      <c r="A846" s="1" t="s">
        <v>1718</v>
      </c>
      <c r="B846" s="2">
        <f>COUNTIF(A:A,A846)-1</f>
        <v>5</v>
      </c>
      <c r="C846" s="2">
        <f>COUNTIF(A$1:A846,A846)-1</f>
        <v>1</v>
      </c>
      <c r="D846" s="2" t="str">
        <f>Argument!D846</f>
        <v>v</v>
      </c>
      <c r="E846" s="2" t="str">
        <f t="shared" si="26"/>
        <v/>
      </c>
      <c r="F846" s="2" t="str">
        <f>IF(C846=0,ISTEXT(FORMULA.CONVERT("="&amp;A846&amp;"("&amp;REPLACE(REPT(",#ref!",B846),1,1,"")&amp;")()",1)),"")</f>
        <v/>
      </c>
      <c r="G846" s="2">
        <f>TYPE(BETADIST({1},IF(1,1),IF(1,1),IF(1,1),IF(1,1)))</f>
        <v>64</v>
      </c>
      <c r="H846" s="2" t="str">
        <f t="shared" si="27"/>
        <v/>
      </c>
      <c r="I846" s="2">
        <f>TYPE(BETADIST(IF(1,1),IF(1,1),IF(1,1),IF(1,1),IF(1,1)))</f>
        <v>16</v>
      </c>
      <c r="J846" s="2" t="str">
        <f>IF(C846=0,COUNTIFS(A:A,A846,D:D,"a"),"")</f>
        <v/>
      </c>
      <c r="K846" s="2" t="e">
        <f>INDEX(+BETADIST(K846:L846,#REF!,#REF!,#REF!,#REF!),)</f>
        <v>#REF!</v>
      </c>
      <c r="L846" s="1">
        <v>1</v>
      </c>
      <c r="M846" s="2" t="e">
        <f>INDEX(+BETADIST(INDIRECT(M846:N846),#REF!,#REF!,#REF!,#REF!),)</f>
        <v>#REF!</v>
      </c>
      <c r="N846" s="1">
        <v>1</v>
      </c>
    </row>
    <row r="847" spans="1:14" x14ac:dyDescent="0.55000000000000004">
      <c r="A847" s="1" t="s">
        <v>1718</v>
      </c>
      <c r="B847" s="2">
        <f>COUNTIF(A:A,A847)-1</f>
        <v>5</v>
      </c>
      <c r="C847" s="2">
        <f>COUNTIF(A$1:A847,A847)-1</f>
        <v>2</v>
      </c>
      <c r="D847" s="2" t="str">
        <f>Argument!D847</f>
        <v>v</v>
      </c>
      <c r="E847" s="2" t="str">
        <f t="shared" si="26"/>
        <v/>
      </c>
      <c r="F847" s="2" t="str">
        <f>IF(C847=0,ISTEXT(FORMULA.CONVERT("="&amp;A847&amp;"("&amp;REPLACE(REPT(",#ref!",B847),1,1,"")&amp;")()",1)),"")</f>
        <v/>
      </c>
      <c r="G847" s="2">
        <f>TYPE(BETADIST(IF(1,1),{1},IF(1,1),IF(1,1),IF(1,1)))</f>
        <v>64</v>
      </c>
      <c r="H847" s="2" t="str">
        <f t="shared" si="27"/>
        <v/>
      </c>
      <c r="I847" s="2">
        <f>TYPE(BETADIST(IF(1,1),IF(1,1),IF(1,1),IF(1,1),IF(1,1)))</f>
        <v>16</v>
      </c>
      <c r="J847" s="2" t="str">
        <f>IF(C847=0,COUNTIFS(A:A,A847,D:D,"a"),"")</f>
        <v/>
      </c>
      <c r="K847" s="2" t="e">
        <f>INDEX(+BETADIST(#REF!,K847:L847,#REF!,#REF!,#REF!),)</f>
        <v>#REF!</v>
      </c>
      <c r="L847" s="1">
        <v>1</v>
      </c>
      <c r="M847" s="2" t="e">
        <f>INDEX(+BETADIST(#REF!,INDIRECT(M847:N847),#REF!,#REF!,#REF!),)</f>
        <v>#REF!</v>
      </c>
      <c r="N847" s="1">
        <v>1</v>
      </c>
    </row>
    <row r="848" spans="1:14" x14ac:dyDescent="0.55000000000000004">
      <c r="A848" s="1" t="s">
        <v>1718</v>
      </c>
      <c r="B848" s="2">
        <f>COUNTIF(A:A,A848)-1</f>
        <v>5</v>
      </c>
      <c r="C848" s="2">
        <f>COUNTIF(A$1:A848,A848)-1</f>
        <v>3</v>
      </c>
      <c r="D848" s="2" t="str">
        <f>Argument!D848</f>
        <v>v</v>
      </c>
      <c r="E848" s="2" t="str">
        <f t="shared" si="26"/>
        <v/>
      </c>
      <c r="F848" s="2" t="str">
        <f>IF(C848=0,ISTEXT(FORMULA.CONVERT("="&amp;A848&amp;"("&amp;REPLACE(REPT(",#ref!",B848),1,1,"")&amp;")()",1)),"")</f>
        <v/>
      </c>
      <c r="G848" s="2">
        <f>TYPE(BETADIST(IF(1,1),IF(1,1),{1},IF(1,1),IF(1,1)))</f>
        <v>64</v>
      </c>
      <c r="H848" s="2" t="str">
        <f t="shared" si="27"/>
        <v/>
      </c>
      <c r="I848" s="2">
        <f>TYPE(BETADIST(IF(1,1),IF(1,1),IF(1,1),IF(1,1),IF(1,1)))</f>
        <v>16</v>
      </c>
      <c r="J848" s="2" t="str">
        <f>IF(C848=0,COUNTIFS(A:A,A848,D:D,"a"),"")</f>
        <v/>
      </c>
      <c r="K848" s="2" t="e">
        <f>INDEX(+BETADIST(#REF!,#REF!,K848:L848,#REF!,#REF!),)</f>
        <v>#REF!</v>
      </c>
      <c r="L848" s="1">
        <v>1</v>
      </c>
      <c r="M848" s="2" t="e">
        <f>INDEX(+BETADIST(#REF!,#REF!,INDIRECT(M848:N848),#REF!,#REF!),)</f>
        <v>#REF!</v>
      </c>
      <c r="N848" s="1">
        <v>1</v>
      </c>
    </row>
    <row r="849" spans="1:14" x14ac:dyDescent="0.55000000000000004">
      <c r="A849" s="1" t="s">
        <v>1718</v>
      </c>
      <c r="B849" s="2">
        <f>COUNTIF(A:A,A849)-1</f>
        <v>5</v>
      </c>
      <c r="C849" s="2">
        <f>COUNTIF(A$1:A849,A849)-1</f>
        <v>4</v>
      </c>
      <c r="D849" s="2" t="str">
        <f>Argument!D849</f>
        <v>v</v>
      </c>
      <c r="E849" s="2" t="str">
        <f t="shared" si="26"/>
        <v/>
      </c>
      <c r="F849" s="2" t="str">
        <f>IF(C849=0,ISTEXT(FORMULA.CONVERT("="&amp;A849&amp;"("&amp;REPLACE(REPT(",#ref!",B849),1,1,"")&amp;")()",1)),"")</f>
        <v/>
      </c>
      <c r="G849" s="2">
        <f>TYPE(BETADIST(IF(1,1),IF(1,1),IF(1,1),{1},IF(1,1)))</f>
        <v>64</v>
      </c>
      <c r="H849" s="2" t="str">
        <f t="shared" si="27"/>
        <v/>
      </c>
      <c r="I849" s="2">
        <f>TYPE(BETADIST(IF(1,1),IF(1,1),IF(1,1),IF(1,1),IF(1,1)))</f>
        <v>16</v>
      </c>
      <c r="J849" s="2" t="str">
        <f>IF(C849=0,COUNTIFS(A:A,A849,D:D,"a"),"")</f>
        <v/>
      </c>
      <c r="K849" s="2" t="e">
        <f>INDEX(+BETADIST(#REF!,#REF!,#REF!,K849:L849,#REF!),)</f>
        <v>#REF!</v>
      </c>
      <c r="L849" s="1">
        <v>1</v>
      </c>
      <c r="M849" s="2" t="e">
        <f>INDEX(+BETADIST(#REF!,#REF!,#REF!,INDIRECT(M849:N849),#REF!),)</f>
        <v>#REF!</v>
      </c>
      <c r="N849" s="1">
        <v>1</v>
      </c>
    </row>
    <row r="850" spans="1:14" x14ac:dyDescent="0.55000000000000004">
      <c r="A850" s="1" t="s">
        <v>1718</v>
      </c>
      <c r="B850" s="2">
        <f>COUNTIF(A:A,A850)-1</f>
        <v>5</v>
      </c>
      <c r="C850" s="2">
        <f>COUNTIF(A$1:A850,A850)-1</f>
        <v>5</v>
      </c>
      <c r="D850" s="2" t="str">
        <f>Argument!D850</f>
        <v>v</v>
      </c>
      <c r="E850" s="2" t="str">
        <f t="shared" si="26"/>
        <v/>
      </c>
      <c r="F850" s="2" t="str">
        <f>IF(C850=0,ISTEXT(FORMULA.CONVERT("="&amp;A850&amp;"("&amp;REPLACE(REPT(",#ref!",B850),1,1,"")&amp;")()",1)),"")</f>
        <v/>
      </c>
      <c r="G850" s="2">
        <f>TYPE(BETADIST(IF(1,1),IF(1,1),IF(1,1),IF(1,1),{1}))</f>
        <v>64</v>
      </c>
      <c r="H850" s="2" t="str">
        <f t="shared" si="27"/>
        <v/>
      </c>
      <c r="I850" s="2">
        <f>TYPE(BETADIST(IF(1,1),IF(1,1),IF(1,1),IF(1,1),IF(1,1)))</f>
        <v>16</v>
      </c>
      <c r="J850" s="2" t="str">
        <f>IF(C850=0,COUNTIFS(A:A,A850,D:D,"a"),"")</f>
        <v/>
      </c>
      <c r="K850" s="2" t="e">
        <f>INDEX(+BETADIST(#REF!,#REF!,#REF!,#REF!,K850:L850),)</f>
        <v>#REF!</v>
      </c>
      <c r="L850" s="1">
        <v>1</v>
      </c>
      <c r="M850" s="2" t="e">
        <f>INDEX(+BETADIST(#REF!,#REF!,#REF!,#REF!,INDIRECT(M850:N850)),)</f>
        <v>#REF!</v>
      </c>
      <c r="N850" s="1">
        <v>1</v>
      </c>
    </row>
    <row r="851" spans="1:14" x14ac:dyDescent="0.55000000000000004">
      <c r="A851" s="1" t="s">
        <v>1719</v>
      </c>
      <c r="B851" s="2">
        <f>COUNTIF(A:A,A851)-1</f>
        <v>1</v>
      </c>
      <c r="C851" s="2">
        <f>COUNTIF(A$1:A851,A851)-1</f>
        <v>0</v>
      </c>
      <c r="D851" s="2" t="str">
        <f>Argument!D851</f>
        <v/>
      </c>
      <c r="E851" s="2" t="str">
        <f t="shared" si="26"/>
        <v>v</v>
      </c>
      <c r="F851" s="2" t="b">
        <f>IF(C851=0,ISTEXT(FORMULA.CONVERT("="&amp;A851&amp;"("&amp;REPLACE(REPT(",#ref!",B851),1,1,"")&amp;")()",1)),"")</f>
        <v>0</v>
      </c>
      <c r="G851" s="2"/>
      <c r="H851" s="2" t="str">
        <f t="shared" si="27"/>
        <v/>
      </c>
      <c r="I851" s="2">
        <f>TYPE(GAMMALN(IF(1,1)))</f>
        <v>1</v>
      </c>
      <c r="J851" s="2">
        <f>IF(C851=0,COUNTIFS(A:A,A851,D:D,"a"),"")</f>
        <v>0</v>
      </c>
      <c r="K851" s="2"/>
      <c r="M851" s="2"/>
    </row>
    <row r="852" spans="1:14" x14ac:dyDescent="0.55000000000000004">
      <c r="A852" s="1" t="s">
        <v>1719</v>
      </c>
      <c r="B852" s="2">
        <f>COUNTIF(A:A,A852)-1</f>
        <v>1</v>
      </c>
      <c r="C852" s="2">
        <f>COUNTIF(A$1:A852,A852)-1</f>
        <v>1</v>
      </c>
      <c r="D852" s="2" t="str">
        <f>Argument!D852</f>
        <v>v</v>
      </c>
      <c r="E852" s="2" t="str">
        <f t="shared" si="26"/>
        <v/>
      </c>
      <c r="F852" s="2" t="str">
        <f>IF(C852=0,ISTEXT(FORMULA.CONVERT("="&amp;A852&amp;"("&amp;REPLACE(REPT(",#ref!",B852),1,1,"")&amp;")()",1)),"")</f>
        <v/>
      </c>
      <c r="G852" s="2">
        <f>TYPE(GAMMALN({1}))</f>
        <v>64</v>
      </c>
      <c r="H852" s="2" t="str">
        <f t="shared" si="27"/>
        <v/>
      </c>
      <c r="I852" s="2">
        <f>TYPE(GAMMALN(IF(1,1)))</f>
        <v>1</v>
      </c>
      <c r="J852" s="2" t="str">
        <f>IF(C852=0,COUNTIFS(A:A,A852,D:D,"a"),"")</f>
        <v/>
      </c>
      <c r="K852" s="2" t="e">
        <f>INDEX(+GAMMALN(K852:L852),)</f>
        <v>#NUM!</v>
      </c>
      <c r="L852" s="1">
        <v>1</v>
      </c>
      <c r="M852" s="2" t="e">
        <f>INDEX(+GAMMALN(INDIRECT(M852:N852)),)</f>
        <v>#REF!</v>
      </c>
      <c r="N852" s="1">
        <v>1</v>
      </c>
    </row>
    <row r="853" spans="1:14" x14ac:dyDescent="0.55000000000000004">
      <c r="A853" s="1" t="s">
        <v>1720</v>
      </c>
      <c r="B853" s="2">
        <f>COUNTIF(A:A,A853)-1</f>
        <v>5</v>
      </c>
      <c r="C853" s="2">
        <f>COUNTIF(A$1:A853,A853)-1</f>
        <v>0</v>
      </c>
      <c r="D853" s="2" t="str">
        <f>Argument!D853</f>
        <v/>
      </c>
      <c r="E853" s="2" t="str">
        <f t="shared" si="26"/>
        <v>v</v>
      </c>
      <c r="F853" s="2" t="b">
        <f>IF(C853=0,ISTEXT(FORMULA.CONVERT("="&amp;A853&amp;"("&amp;REPLACE(REPT(",#ref!",B853),1,1,"")&amp;")()",1)),"")</f>
        <v>0</v>
      </c>
      <c r="G853" s="2"/>
      <c r="H853" s="2" t="str">
        <f t="shared" si="27"/>
        <v/>
      </c>
      <c r="I853" s="2">
        <f>TYPE(BETAINV(IF(1,1),IF(1,1),IF(1,1),IF(1,1),IF(1,1)))</f>
        <v>16</v>
      </c>
      <c r="J853" s="2">
        <f>IF(C853=0,COUNTIFS(A:A,A853,D:D,"a"),"")</f>
        <v>0</v>
      </c>
      <c r="K853" s="2"/>
      <c r="M853" s="2"/>
    </row>
    <row r="854" spans="1:14" x14ac:dyDescent="0.55000000000000004">
      <c r="A854" s="1" t="s">
        <v>1720</v>
      </c>
      <c r="B854" s="2">
        <f>COUNTIF(A:A,A854)-1</f>
        <v>5</v>
      </c>
      <c r="C854" s="2">
        <f>COUNTIF(A$1:A854,A854)-1</f>
        <v>1</v>
      </c>
      <c r="D854" s="2" t="str">
        <f>Argument!D854</f>
        <v>v</v>
      </c>
      <c r="E854" s="2" t="str">
        <f t="shared" si="26"/>
        <v/>
      </c>
      <c r="F854" s="2" t="str">
        <f>IF(C854=0,ISTEXT(FORMULA.CONVERT("="&amp;A854&amp;"("&amp;REPLACE(REPT(",#ref!",B854),1,1,"")&amp;")()",1)),"")</f>
        <v/>
      </c>
      <c r="G854" s="2">
        <f>TYPE(BETAINV({1},IF(1,1),IF(1,1),IF(1,1),IF(1,1)))</f>
        <v>64</v>
      </c>
      <c r="H854" s="2" t="str">
        <f t="shared" si="27"/>
        <v/>
      </c>
      <c r="I854" s="2">
        <f>TYPE(BETAINV(IF(1,1),IF(1,1),IF(1,1),IF(1,1),IF(1,1)))</f>
        <v>16</v>
      </c>
      <c r="J854" s="2" t="str">
        <f>IF(C854=0,COUNTIFS(A:A,A854,D:D,"a"),"")</f>
        <v/>
      </c>
      <c r="K854" s="2" t="e">
        <f>INDEX(+BETAINV(K854:L854,#REF!,#REF!,#REF!,#REF!),)</f>
        <v>#REF!</v>
      </c>
      <c r="L854" s="1">
        <v>1</v>
      </c>
      <c r="M854" s="2" t="e">
        <f>INDEX(+BETAINV(INDIRECT(M854:N854),#REF!,#REF!,#REF!,#REF!),)</f>
        <v>#REF!</v>
      </c>
      <c r="N854" s="1">
        <v>1</v>
      </c>
    </row>
    <row r="855" spans="1:14" x14ac:dyDescent="0.55000000000000004">
      <c r="A855" s="1" t="s">
        <v>1720</v>
      </c>
      <c r="B855" s="2">
        <f>COUNTIF(A:A,A855)-1</f>
        <v>5</v>
      </c>
      <c r="C855" s="2">
        <f>COUNTIF(A$1:A855,A855)-1</f>
        <v>2</v>
      </c>
      <c r="D855" s="2" t="str">
        <f>Argument!D855</f>
        <v>v</v>
      </c>
      <c r="E855" s="2" t="str">
        <f t="shared" si="26"/>
        <v/>
      </c>
      <c r="F855" s="2" t="str">
        <f>IF(C855=0,ISTEXT(FORMULA.CONVERT("="&amp;A855&amp;"("&amp;REPLACE(REPT(",#ref!",B855),1,1,"")&amp;")()",1)),"")</f>
        <v/>
      </c>
      <c r="G855" s="2">
        <f>TYPE(BETAINV(IF(1,1),{1},IF(1,1),IF(1,1),IF(1,1)))</f>
        <v>64</v>
      </c>
      <c r="H855" s="2" t="str">
        <f t="shared" si="27"/>
        <v/>
      </c>
      <c r="I855" s="2">
        <f>TYPE(BETAINV(IF(1,1),IF(1,1),IF(1,1),IF(1,1),IF(1,1)))</f>
        <v>16</v>
      </c>
      <c r="J855" s="2" t="str">
        <f>IF(C855=0,COUNTIFS(A:A,A855,D:D,"a"),"")</f>
        <v/>
      </c>
      <c r="K855" s="2" t="e">
        <f>INDEX(+BETAINV(#REF!,K855:L855,#REF!,#REF!,#REF!),)</f>
        <v>#REF!</v>
      </c>
      <c r="L855" s="1">
        <v>1</v>
      </c>
      <c r="M855" s="2" t="e">
        <f>INDEX(+BETAINV(#REF!,INDIRECT(M855:N855),#REF!,#REF!,#REF!),)</f>
        <v>#REF!</v>
      </c>
      <c r="N855" s="1">
        <v>1</v>
      </c>
    </row>
    <row r="856" spans="1:14" x14ac:dyDescent="0.55000000000000004">
      <c r="A856" s="1" t="s">
        <v>1720</v>
      </c>
      <c r="B856" s="2">
        <f>COUNTIF(A:A,A856)-1</f>
        <v>5</v>
      </c>
      <c r="C856" s="2">
        <f>COUNTIF(A$1:A856,A856)-1</f>
        <v>3</v>
      </c>
      <c r="D856" s="2" t="str">
        <f>Argument!D856</f>
        <v>v</v>
      </c>
      <c r="E856" s="2" t="str">
        <f t="shared" si="26"/>
        <v/>
      </c>
      <c r="F856" s="2" t="str">
        <f>IF(C856=0,ISTEXT(FORMULA.CONVERT("="&amp;A856&amp;"("&amp;REPLACE(REPT(",#ref!",B856),1,1,"")&amp;")()",1)),"")</f>
        <v/>
      </c>
      <c r="G856" s="2">
        <f>TYPE(BETAINV(IF(1,1),IF(1,1),{1},IF(1,1),IF(1,1)))</f>
        <v>64</v>
      </c>
      <c r="H856" s="2" t="str">
        <f t="shared" si="27"/>
        <v/>
      </c>
      <c r="I856" s="2">
        <f>TYPE(BETAINV(IF(1,1),IF(1,1),IF(1,1),IF(1,1),IF(1,1)))</f>
        <v>16</v>
      </c>
      <c r="J856" s="2" t="str">
        <f>IF(C856=0,COUNTIFS(A:A,A856,D:D,"a"),"")</f>
        <v/>
      </c>
      <c r="K856" s="2" t="e">
        <f>INDEX(+BETAINV(#REF!,#REF!,K856:L856,#REF!,#REF!),)</f>
        <v>#REF!</v>
      </c>
      <c r="L856" s="1">
        <v>1</v>
      </c>
      <c r="M856" s="2" t="e">
        <f>INDEX(+BETAINV(#REF!,#REF!,INDIRECT(M856:N856),#REF!,#REF!),)</f>
        <v>#REF!</v>
      </c>
      <c r="N856" s="1">
        <v>1</v>
      </c>
    </row>
    <row r="857" spans="1:14" x14ac:dyDescent="0.55000000000000004">
      <c r="A857" s="1" t="s">
        <v>1720</v>
      </c>
      <c r="B857" s="2">
        <f>COUNTIF(A:A,A857)-1</f>
        <v>5</v>
      </c>
      <c r="C857" s="2">
        <f>COUNTIF(A$1:A857,A857)-1</f>
        <v>4</v>
      </c>
      <c r="D857" s="2" t="str">
        <f>Argument!D857</f>
        <v>v</v>
      </c>
      <c r="E857" s="2" t="str">
        <f t="shared" si="26"/>
        <v/>
      </c>
      <c r="F857" s="2" t="str">
        <f>IF(C857=0,ISTEXT(FORMULA.CONVERT("="&amp;A857&amp;"("&amp;REPLACE(REPT(",#ref!",B857),1,1,"")&amp;")()",1)),"")</f>
        <v/>
      </c>
      <c r="G857" s="2">
        <f>TYPE(BETAINV(IF(1,1),IF(1,1),IF(1,1),{1},IF(1,1)))</f>
        <v>64</v>
      </c>
      <c r="H857" s="2" t="str">
        <f t="shared" si="27"/>
        <v/>
      </c>
      <c r="I857" s="2">
        <f>TYPE(BETAINV(IF(1,1),IF(1,1),IF(1,1),IF(1,1),IF(1,1)))</f>
        <v>16</v>
      </c>
      <c r="J857" s="2" t="str">
        <f>IF(C857=0,COUNTIFS(A:A,A857,D:D,"a"),"")</f>
        <v/>
      </c>
      <c r="K857" s="2" t="e">
        <f>INDEX(+BETAINV(#REF!,#REF!,#REF!,K857:L857,#REF!),)</f>
        <v>#REF!</v>
      </c>
      <c r="L857" s="1">
        <v>1</v>
      </c>
      <c r="M857" s="2" t="e">
        <f>INDEX(+BETAINV(#REF!,#REF!,#REF!,INDIRECT(M857:N857),#REF!),)</f>
        <v>#REF!</v>
      </c>
      <c r="N857" s="1">
        <v>1</v>
      </c>
    </row>
    <row r="858" spans="1:14" x14ac:dyDescent="0.55000000000000004">
      <c r="A858" s="1" t="s">
        <v>1720</v>
      </c>
      <c r="B858" s="2">
        <f>COUNTIF(A:A,A858)-1</f>
        <v>5</v>
      </c>
      <c r="C858" s="2">
        <f>COUNTIF(A$1:A858,A858)-1</f>
        <v>5</v>
      </c>
      <c r="D858" s="2" t="str">
        <f>Argument!D858</f>
        <v>v</v>
      </c>
      <c r="E858" s="2" t="str">
        <f t="shared" si="26"/>
        <v/>
      </c>
      <c r="F858" s="2" t="str">
        <f>IF(C858=0,ISTEXT(FORMULA.CONVERT("="&amp;A858&amp;"("&amp;REPLACE(REPT(",#ref!",B858),1,1,"")&amp;")()",1)),"")</f>
        <v/>
      </c>
      <c r="G858" s="2">
        <f>TYPE(BETAINV(IF(1,1),IF(1,1),IF(1,1),IF(1,1),{1}))</f>
        <v>64</v>
      </c>
      <c r="H858" s="2" t="str">
        <f t="shared" si="27"/>
        <v/>
      </c>
      <c r="I858" s="2">
        <f>TYPE(BETAINV(IF(1,1),IF(1,1),IF(1,1),IF(1,1),IF(1,1)))</f>
        <v>16</v>
      </c>
      <c r="J858" s="2" t="str">
        <f>IF(C858=0,COUNTIFS(A:A,A858,D:D,"a"),"")</f>
        <v/>
      </c>
      <c r="K858" s="2" t="e">
        <f>INDEX(+BETAINV(#REF!,#REF!,#REF!,#REF!,K858:L858),)</f>
        <v>#REF!</v>
      </c>
      <c r="L858" s="1">
        <v>1</v>
      </c>
      <c r="M858" s="2" t="e">
        <f>INDEX(+BETAINV(#REF!,#REF!,#REF!,#REF!,INDIRECT(M858:N858)),)</f>
        <v>#REF!</v>
      </c>
      <c r="N858" s="1">
        <v>1</v>
      </c>
    </row>
    <row r="859" spans="1:14" x14ac:dyDescent="0.55000000000000004">
      <c r="A859" s="1" t="s">
        <v>1721</v>
      </c>
      <c r="B859" s="2">
        <f>COUNTIF(A:A,A859)-1</f>
        <v>4</v>
      </c>
      <c r="C859" s="2">
        <f>COUNTIF(A$1:A859,A859)-1</f>
        <v>0</v>
      </c>
      <c r="D859" s="2" t="str">
        <f>Argument!D859</f>
        <v/>
      </c>
      <c r="E859" s="2" t="str">
        <f t="shared" si="26"/>
        <v>v</v>
      </c>
      <c r="F859" s="2" t="b">
        <f>IF(C859=0,ISTEXT(FORMULA.CONVERT("="&amp;A859&amp;"("&amp;REPLACE(REPT(",#ref!",B859),1,1,"")&amp;")()",1)),"")</f>
        <v>0</v>
      </c>
      <c r="G859" s="2"/>
      <c r="H859" s="2" t="str">
        <f t="shared" si="27"/>
        <v/>
      </c>
      <c r="I859" s="2">
        <f>TYPE(BINOMDIST(IF(1,1),IF(1,1),IF(1,1),IF(1,1)))</f>
        <v>1</v>
      </c>
      <c r="J859" s="2">
        <f>IF(C859=0,COUNTIFS(A:A,A859,D:D,"a"),"")</f>
        <v>0</v>
      </c>
      <c r="K859" s="2"/>
      <c r="M859" s="2"/>
    </row>
    <row r="860" spans="1:14" x14ac:dyDescent="0.55000000000000004">
      <c r="A860" s="1" t="s">
        <v>1721</v>
      </c>
      <c r="B860" s="2">
        <f>COUNTIF(A:A,A860)-1</f>
        <v>4</v>
      </c>
      <c r="C860" s="2">
        <f>COUNTIF(A$1:A860,A860)-1</f>
        <v>1</v>
      </c>
      <c r="D860" s="2" t="str">
        <f>Argument!D860</f>
        <v>v</v>
      </c>
      <c r="E860" s="2" t="str">
        <f t="shared" si="26"/>
        <v/>
      </c>
      <c r="F860" s="2" t="str">
        <f>IF(C860=0,ISTEXT(FORMULA.CONVERT("="&amp;A860&amp;"("&amp;REPLACE(REPT(",#ref!",B860),1,1,"")&amp;")()",1)),"")</f>
        <v/>
      </c>
      <c r="G860" s="2">
        <f>TYPE(BINOMDIST({1},IF(1,1),IF(1,1),IF(1,1)))</f>
        <v>64</v>
      </c>
      <c r="H860" s="2" t="str">
        <f t="shared" si="27"/>
        <v/>
      </c>
      <c r="I860" s="2">
        <f>TYPE(BINOMDIST(IF(1,1),IF(1,1),IF(1,1),IF(1,1)))</f>
        <v>1</v>
      </c>
      <c r="J860" s="2" t="str">
        <f>IF(C860=0,COUNTIFS(A:A,A860,D:D,"a"),"")</f>
        <v/>
      </c>
      <c r="K860" s="2" t="e">
        <f>INDEX(+BINOMDIST(K860:L860,#REF!,#REF!,#REF!),)</f>
        <v>#REF!</v>
      </c>
      <c r="L860" s="1">
        <v>1</v>
      </c>
      <c r="M860" s="2" t="e">
        <f>INDEX(+BINOMDIST(INDIRECT(M860:N860),#REF!,#REF!,#REF!),)</f>
        <v>#REF!</v>
      </c>
      <c r="N860" s="1">
        <v>1</v>
      </c>
    </row>
    <row r="861" spans="1:14" x14ac:dyDescent="0.55000000000000004">
      <c r="A861" s="1" t="s">
        <v>1721</v>
      </c>
      <c r="B861" s="2">
        <f>COUNTIF(A:A,A861)-1</f>
        <v>4</v>
      </c>
      <c r="C861" s="2">
        <f>COUNTIF(A$1:A861,A861)-1</f>
        <v>2</v>
      </c>
      <c r="D861" s="2" t="str">
        <f>Argument!D861</f>
        <v>v</v>
      </c>
      <c r="E861" s="2" t="str">
        <f t="shared" si="26"/>
        <v/>
      </c>
      <c r="F861" s="2" t="str">
        <f>IF(C861=0,ISTEXT(FORMULA.CONVERT("="&amp;A861&amp;"("&amp;REPLACE(REPT(",#ref!",B861),1,1,"")&amp;")()",1)),"")</f>
        <v/>
      </c>
      <c r="G861" s="2">
        <f>TYPE(BINOMDIST(IF(1,1),{1},IF(1,1),IF(1,1)))</f>
        <v>64</v>
      </c>
      <c r="H861" s="2" t="str">
        <f t="shared" si="27"/>
        <v/>
      </c>
      <c r="I861" s="2">
        <f>TYPE(BINOMDIST(IF(1,1),IF(1,1),IF(1,1),IF(1,1)))</f>
        <v>1</v>
      </c>
      <c r="J861" s="2" t="str">
        <f>IF(C861=0,COUNTIFS(A:A,A861,D:D,"a"),"")</f>
        <v/>
      </c>
      <c r="K861" s="2" t="e">
        <f>INDEX(+BINOMDIST(#REF!,K861:L861,#REF!,#REF!),)</f>
        <v>#REF!</v>
      </c>
      <c r="L861" s="1">
        <v>1</v>
      </c>
      <c r="M861" s="2" t="e">
        <f>INDEX(+BINOMDIST(#REF!,INDIRECT(M861:N861),#REF!,#REF!),)</f>
        <v>#REF!</v>
      </c>
      <c r="N861" s="1">
        <v>1</v>
      </c>
    </row>
    <row r="862" spans="1:14" x14ac:dyDescent="0.55000000000000004">
      <c r="A862" s="1" t="s">
        <v>1721</v>
      </c>
      <c r="B862" s="2">
        <f>COUNTIF(A:A,A862)-1</f>
        <v>4</v>
      </c>
      <c r="C862" s="2">
        <f>COUNTIF(A$1:A862,A862)-1</f>
        <v>3</v>
      </c>
      <c r="D862" s="2" t="str">
        <f>Argument!D862</f>
        <v>v</v>
      </c>
      <c r="E862" s="2" t="str">
        <f t="shared" si="26"/>
        <v/>
      </c>
      <c r="F862" s="2" t="str">
        <f>IF(C862=0,ISTEXT(FORMULA.CONVERT("="&amp;A862&amp;"("&amp;REPLACE(REPT(",#ref!",B862),1,1,"")&amp;")()",1)),"")</f>
        <v/>
      </c>
      <c r="G862" s="2">
        <f>TYPE(BINOMDIST(IF(1,1),IF(1,1),{1},IF(1,1)))</f>
        <v>64</v>
      </c>
      <c r="H862" s="2" t="str">
        <f t="shared" si="27"/>
        <v/>
      </c>
      <c r="I862" s="2">
        <f>TYPE(BINOMDIST(IF(1,1),IF(1,1),IF(1,1),IF(1,1)))</f>
        <v>1</v>
      </c>
      <c r="J862" s="2" t="str">
        <f>IF(C862=0,COUNTIFS(A:A,A862,D:D,"a"),"")</f>
        <v/>
      </c>
      <c r="K862" s="2" t="e">
        <f>INDEX(+BINOMDIST(#REF!,#REF!,K862:L862,#REF!),)</f>
        <v>#REF!</v>
      </c>
      <c r="L862" s="1">
        <v>1</v>
      </c>
      <c r="M862" s="2" t="e">
        <f>INDEX(+BINOMDIST(#REF!,#REF!,INDIRECT(M862:N862),#REF!),)</f>
        <v>#REF!</v>
      </c>
      <c r="N862" s="1">
        <v>1</v>
      </c>
    </row>
    <row r="863" spans="1:14" x14ac:dyDescent="0.55000000000000004">
      <c r="A863" s="1" t="s">
        <v>1721</v>
      </c>
      <c r="B863" s="2">
        <f>COUNTIF(A:A,A863)-1</f>
        <v>4</v>
      </c>
      <c r="C863" s="2">
        <f>COUNTIF(A$1:A863,A863)-1</f>
        <v>4</v>
      </c>
      <c r="D863" s="2" t="str">
        <f>Argument!D863</f>
        <v>v</v>
      </c>
      <c r="E863" s="2" t="str">
        <f t="shared" si="26"/>
        <v/>
      </c>
      <c r="F863" s="2" t="str">
        <f>IF(C863=0,ISTEXT(FORMULA.CONVERT("="&amp;A863&amp;"("&amp;REPLACE(REPT(",#ref!",B863),1,1,"")&amp;")()",1)),"")</f>
        <v/>
      </c>
      <c r="G863" s="2">
        <f>TYPE(BINOMDIST(IF(1,1),IF(1,1),IF(1,1),{1}))</f>
        <v>64</v>
      </c>
      <c r="H863" s="2" t="str">
        <f t="shared" si="27"/>
        <v/>
      </c>
      <c r="I863" s="2">
        <f>TYPE(BINOMDIST(IF(1,1),IF(1,1),IF(1,1),IF(1,1)))</f>
        <v>1</v>
      </c>
      <c r="J863" s="2" t="str">
        <f>IF(C863=0,COUNTIFS(A:A,A863,D:D,"a"),"")</f>
        <v/>
      </c>
      <c r="K863" s="2" t="e">
        <f>INDEX(+BINOMDIST(#REF!,#REF!,#REF!,K863:L863),)</f>
        <v>#REF!</v>
      </c>
      <c r="L863" s="1">
        <v>1</v>
      </c>
      <c r="M863" s="2" t="e">
        <f>INDEX(+BINOMDIST(#REF!,#REF!,#REF!,INDIRECT(M863:N863)),)</f>
        <v>#REF!</v>
      </c>
      <c r="N863" s="1">
        <v>1</v>
      </c>
    </row>
    <row r="864" spans="1:14" x14ac:dyDescent="0.55000000000000004">
      <c r="A864" s="1" t="s">
        <v>1722</v>
      </c>
      <c r="B864" s="2">
        <f>COUNTIF(A:A,A864)-1</f>
        <v>2</v>
      </c>
      <c r="C864" s="2">
        <f>COUNTIF(A$1:A864,A864)-1</f>
        <v>0</v>
      </c>
      <c r="D864" s="2" t="str">
        <f>Argument!D864</f>
        <v/>
      </c>
      <c r="E864" s="2" t="str">
        <f t="shared" si="26"/>
        <v>v</v>
      </c>
      <c r="F864" s="2" t="b">
        <f>IF(C864=0,ISTEXT(FORMULA.CONVERT("="&amp;A864&amp;"("&amp;REPLACE(REPT(",#ref!",B864),1,1,"")&amp;")()",1)),"")</f>
        <v>0</v>
      </c>
      <c r="G864" s="2"/>
      <c r="H864" s="2" t="str">
        <f t="shared" si="27"/>
        <v/>
      </c>
      <c r="I864" s="2">
        <f>TYPE(CHIDIST(IF(1,1),IF(1,1)))</f>
        <v>1</v>
      </c>
      <c r="J864" s="2">
        <f>IF(C864=0,COUNTIFS(A:A,A864,D:D,"a"),"")</f>
        <v>0</v>
      </c>
      <c r="K864" s="2"/>
      <c r="M864" s="2"/>
    </row>
    <row r="865" spans="1:14" x14ac:dyDescent="0.55000000000000004">
      <c r="A865" s="1" t="s">
        <v>1722</v>
      </c>
      <c r="B865" s="2">
        <f>COUNTIF(A:A,A865)-1</f>
        <v>2</v>
      </c>
      <c r="C865" s="2">
        <f>COUNTIF(A$1:A865,A865)-1</f>
        <v>1</v>
      </c>
      <c r="D865" s="2" t="str">
        <f>Argument!D865</f>
        <v>v</v>
      </c>
      <c r="E865" s="2" t="str">
        <f t="shared" si="26"/>
        <v/>
      </c>
      <c r="F865" s="2" t="str">
        <f>IF(C865=0,ISTEXT(FORMULA.CONVERT("="&amp;A865&amp;"("&amp;REPLACE(REPT(",#ref!",B865),1,1,"")&amp;")()",1)),"")</f>
        <v/>
      </c>
      <c r="G865" s="2">
        <f>TYPE(CHIDIST({1},IF(1,1)))</f>
        <v>64</v>
      </c>
      <c r="H865" s="2" t="str">
        <f t="shared" si="27"/>
        <v/>
      </c>
      <c r="I865" s="2">
        <f>TYPE(CHIDIST(IF(1,1),IF(1,1)))</f>
        <v>1</v>
      </c>
      <c r="J865" s="2" t="str">
        <f>IF(C865=0,COUNTIFS(A:A,A865,D:D,"a"),"")</f>
        <v/>
      </c>
      <c r="K865" s="2" t="e">
        <f>INDEX(+CHIDIST(K865:L865,#REF!),)</f>
        <v>#REF!</v>
      </c>
      <c r="L865" s="1">
        <v>1</v>
      </c>
      <c r="M865" s="2" t="e">
        <f>INDEX(+CHIDIST(INDIRECT(M865:N865),#REF!),)</f>
        <v>#REF!</v>
      </c>
      <c r="N865" s="1">
        <v>1</v>
      </c>
    </row>
    <row r="866" spans="1:14" x14ac:dyDescent="0.55000000000000004">
      <c r="A866" s="1" t="s">
        <v>1722</v>
      </c>
      <c r="B866" s="2">
        <f>COUNTIF(A:A,A866)-1</f>
        <v>2</v>
      </c>
      <c r="C866" s="2">
        <f>COUNTIF(A$1:A866,A866)-1</f>
        <v>2</v>
      </c>
      <c r="D866" s="2" t="str">
        <f>Argument!D866</f>
        <v>v</v>
      </c>
      <c r="E866" s="2" t="str">
        <f t="shared" si="26"/>
        <v/>
      </c>
      <c r="F866" s="2" t="str">
        <f>IF(C866=0,ISTEXT(FORMULA.CONVERT("="&amp;A866&amp;"("&amp;REPLACE(REPT(",#ref!",B866),1,1,"")&amp;")()",1)),"")</f>
        <v/>
      </c>
      <c r="G866" s="2">
        <f>TYPE(CHIDIST(IF(1,1),{1}))</f>
        <v>64</v>
      </c>
      <c r="H866" s="2" t="str">
        <f t="shared" si="27"/>
        <v/>
      </c>
      <c r="I866" s="2">
        <f>TYPE(CHIDIST(IF(1,1),IF(1,1)))</f>
        <v>1</v>
      </c>
      <c r="J866" s="2" t="str">
        <f>IF(C866=0,COUNTIFS(A:A,A866,D:D,"a"),"")</f>
        <v/>
      </c>
      <c r="K866" s="2" t="e">
        <f>INDEX(+CHIDIST(#REF!,K866:L866),)</f>
        <v>#REF!</v>
      </c>
      <c r="L866" s="1">
        <v>1</v>
      </c>
      <c r="M866" s="2" t="e">
        <f>INDEX(+CHIDIST(#REF!,INDIRECT(M866:N866)),)</f>
        <v>#REF!</v>
      </c>
      <c r="N866" s="1">
        <v>1</v>
      </c>
    </row>
    <row r="867" spans="1:14" x14ac:dyDescent="0.55000000000000004">
      <c r="A867" s="1" t="s">
        <v>1723</v>
      </c>
      <c r="B867" s="2">
        <f>COUNTIF(A:A,A867)-1</f>
        <v>2</v>
      </c>
      <c r="C867" s="2">
        <f>COUNTIF(A$1:A867,A867)-1</f>
        <v>0</v>
      </c>
      <c r="D867" s="2" t="str">
        <f>Argument!D867</f>
        <v/>
      </c>
      <c r="E867" s="2" t="str">
        <f t="shared" si="26"/>
        <v>v</v>
      </c>
      <c r="F867" s="2" t="b">
        <f>IF(C867=0,ISTEXT(FORMULA.CONVERT("="&amp;A867&amp;"("&amp;REPLACE(REPT(",#ref!",B867),1,1,"")&amp;")()",1)),"")</f>
        <v>0</v>
      </c>
      <c r="G867" s="2"/>
      <c r="H867" s="2" t="str">
        <f t="shared" si="27"/>
        <v/>
      </c>
      <c r="I867" s="2">
        <f>TYPE(CHIINV(IF(1,1),IF(1,1)))</f>
        <v>1</v>
      </c>
      <c r="J867" s="2">
        <f>IF(C867=0,COUNTIFS(A:A,A867,D:D,"a"),"")</f>
        <v>0</v>
      </c>
      <c r="K867" s="2"/>
      <c r="M867" s="2"/>
    </row>
    <row r="868" spans="1:14" x14ac:dyDescent="0.55000000000000004">
      <c r="A868" s="1" t="s">
        <v>1723</v>
      </c>
      <c r="B868" s="2">
        <f>COUNTIF(A:A,A868)-1</f>
        <v>2</v>
      </c>
      <c r="C868" s="2">
        <f>COUNTIF(A$1:A868,A868)-1</f>
        <v>1</v>
      </c>
      <c r="D868" s="2" t="str">
        <f>Argument!D868</f>
        <v>v</v>
      </c>
      <c r="E868" s="2" t="str">
        <f t="shared" si="26"/>
        <v/>
      </c>
      <c r="F868" s="2" t="str">
        <f>IF(C868=0,ISTEXT(FORMULA.CONVERT("="&amp;A868&amp;"("&amp;REPLACE(REPT(",#ref!",B868),1,1,"")&amp;")()",1)),"")</f>
        <v/>
      </c>
      <c r="G868" s="2">
        <f>TYPE(CHIINV({1},IF(1,1)))</f>
        <v>64</v>
      </c>
      <c r="H868" s="2" t="str">
        <f t="shared" si="27"/>
        <v/>
      </c>
      <c r="I868" s="2">
        <f>TYPE(CHIINV(IF(1,1),IF(1,1)))</f>
        <v>1</v>
      </c>
      <c r="J868" s="2" t="str">
        <f>IF(C868=0,COUNTIFS(A:A,A868,D:D,"a"),"")</f>
        <v/>
      </c>
      <c r="K868" s="2" t="e">
        <f>INDEX(+CHIINV(K868:L868,#REF!),)</f>
        <v>#REF!</v>
      </c>
      <c r="L868" s="1">
        <v>1</v>
      </c>
      <c r="M868" s="2" t="e">
        <f>INDEX(+CHIINV(INDIRECT(M868:N868),#REF!),)</f>
        <v>#REF!</v>
      </c>
      <c r="N868" s="1">
        <v>1</v>
      </c>
    </row>
    <row r="869" spans="1:14" x14ac:dyDescent="0.55000000000000004">
      <c r="A869" s="1" t="s">
        <v>1723</v>
      </c>
      <c r="B869" s="2">
        <f>COUNTIF(A:A,A869)-1</f>
        <v>2</v>
      </c>
      <c r="C869" s="2">
        <f>COUNTIF(A$1:A869,A869)-1</f>
        <v>2</v>
      </c>
      <c r="D869" s="2" t="str">
        <f>Argument!D869</f>
        <v>v</v>
      </c>
      <c r="E869" s="2" t="str">
        <f t="shared" si="26"/>
        <v/>
      </c>
      <c r="F869" s="2" t="str">
        <f>IF(C869=0,ISTEXT(FORMULA.CONVERT("="&amp;A869&amp;"("&amp;REPLACE(REPT(",#ref!",B869),1,1,"")&amp;")()",1)),"")</f>
        <v/>
      </c>
      <c r="G869" s="2">
        <f>TYPE(CHIINV(IF(1,1),{1}))</f>
        <v>64</v>
      </c>
      <c r="H869" s="2" t="str">
        <f t="shared" si="27"/>
        <v/>
      </c>
      <c r="I869" s="2">
        <f>TYPE(CHIINV(IF(1,1),IF(1,1)))</f>
        <v>1</v>
      </c>
      <c r="J869" s="2" t="str">
        <f>IF(C869=0,COUNTIFS(A:A,A869,D:D,"a"),"")</f>
        <v/>
      </c>
      <c r="K869" s="2" t="e">
        <f>INDEX(+CHIINV(#REF!,K869:L869),)</f>
        <v>#REF!</v>
      </c>
      <c r="L869" s="1">
        <v>1</v>
      </c>
      <c r="M869" s="2" t="e">
        <f>INDEX(+CHIINV(#REF!,INDIRECT(M869:N869)),)</f>
        <v>#REF!</v>
      </c>
      <c r="N869" s="1">
        <v>1</v>
      </c>
    </row>
    <row r="870" spans="1:14" x14ac:dyDescent="0.55000000000000004">
      <c r="A870" s="1" t="s">
        <v>1724</v>
      </c>
      <c r="B870" s="2">
        <f>COUNTIF(A:A,A870)-1</f>
        <v>2</v>
      </c>
      <c r="C870" s="2">
        <f>COUNTIF(A$1:A870,A870)-1</f>
        <v>0</v>
      </c>
      <c r="D870" s="2" t="str">
        <f>Argument!D870</f>
        <v/>
      </c>
      <c r="E870" s="2" t="str">
        <f t="shared" si="26"/>
        <v>v</v>
      </c>
      <c r="F870" s="2" t="b">
        <f>IF(C870=0,ISTEXT(FORMULA.CONVERT("="&amp;A870&amp;"("&amp;REPLACE(REPT(",#ref!",B870),1,1,"")&amp;")()",1)),"")</f>
        <v>0</v>
      </c>
      <c r="G870" s="2"/>
      <c r="H870" s="2" t="str">
        <f t="shared" si="27"/>
        <v/>
      </c>
      <c r="I870" s="2">
        <f>TYPE(COMBIN(IF(1,1),IF(1,1)))</f>
        <v>1</v>
      </c>
      <c r="J870" s="2">
        <f>IF(C870=0,COUNTIFS(A:A,A870,D:D,"a"),"")</f>
        <v>0</v>
      </c>
      <c r="K870" s="2"/>
      <c r="M870" s="2"/>
    </row>
    <row r="871" spans="1:14" x14ac:dyDescent="0.55000000000000004">
      <c r="A871" s="1" t="s">
        <v>1724</v>
      </c>
      <c r="B871" s="2">
        <f>COUNTIF(A:A,A871)-1</f>
        <v>2</v>
      </c>
      <c r="C871" s="2">
        <f>COUNTIF(A$1:A871,A871)-1</f>
        <v>1</v>
      </c>
      <c r="D871" s="2" t="str">
        <f>Argument!D871</f>
        <v>v</v>
      </c>
      <c r="E871" s="2" t="str">
        <f t="shared" si="26"/>
        <v/>
      </c>
      <c r="F871" s="2" t="str">
        <f>IF(C871=0,ISTEXT(FORMULA.CONVERT("="&amp;A871&amp;"("&amp;REPLACE(REPT(",#ref!",B871),1,1,"")&amp;")()",1)),"")</f>
        <v/>
      </c>
      <c r="G871" s="2">
        <f>TYPE(COMBIN({1},IF(1,1)))</f>
        <v>64</v>
      </c>
      <c r="H871" s="2" t="str">
        <f t="shared" si="27"/>
        <v/>
      </c>
      <c r="I871" s="2">
        <f>TYPE(COMBIN(IF(1,1),IF(1,1)))</f>
        <v>1</v>
      </c>
      <c r="J871" s="2" t="str">
        <f>IF(C871=0,COUNTIFS(A:A,A871,D:D,"a"),"")</f>
        <v/>
      </c>
      <c r="K871" s="2" t="e">
        <f>INDEX(+COMBIN(K871:L871,#REF!),)</f>
        <v>#REF!</v>
      </c>
      <c r="L871" s="1">
        <v>1</v>
      </c>
      <c r="M871" s="2" t="e">
        <f>INDEX(+COMBIN(INDIRECT(M871:N871),#REF!),)</f>
        <v>#REF!</v>
      </c>
      <c r="N871" s="1">
        <v>1</v>
      </c>
    </row>
    <row r="872" spans="1:14" x14ac:dyDescent="0.55000000000000004">
      <c r="A872" s="1" t="s">
        <v>1724</v>
      </c>
      <c r="B872" s="2">
        <f>COUNTIF(A:A,A872)-1</f>
        <v>2</v>
      </c>
      <c r="C872" s="2">
        <f>COUNTIF(A$1:A872,A872)-1</f>
        <v>2</v>
      </c>
      <c r="D872" s="2" t="str">
        <f>Argument!D872</f>
        <v>v</v>
      </c>
      <c r="E872" s="2" t="str">
        <f t="shared" si="26"/>
        <v/>
      </c>
      <c r="F872" s="2" t="str">
        <f>IF(C872=0,ISTEXT(FORMULA.CONVERT("="&amp;A872&amp;"("&amp;REPLACE(REPT(",#ref!",B872),1,1,"")&amp;")()",1)),"")</f>
        <v/>
      </c>
      <c r="G872" s="2">
        <f>TYPE(COMBIN(IF(1,1),{1}))</f>
        <v>64</v>
      </c>
      <c r="H872" s="2" t="str">
        <f t="shared" si="27"/>
        <v/>
      </c>
      <c r="I872" s="2">
        <f>TYPE(COMBIN(IF(1,1),IF(1,1)))</f>
        <v>1</v>
      </c>
      <c r="J872" s="2" t="str">
        <f>IF(C872=0,COUNTIFS(A:A,A872,D:D,"a"),"")</f>
        <v/>
      </c>
      <c r="K872" s="2" t="e">
        <f>INDEX(+COMBIN(#REF!,K872:L872),)</f>
        <v>#REF!</v>
      </c>
      <c r="L872" s="1">
        <v>1</v>
      </c>
      <c r="M872" s="2" t="e">
        <f>INDEX(+COMBIN(#REF!,INDIRECT(M872:N872)),)</f>
        <v>#REF!</v>
      </c>
      <c r="N872" s="1">
        <v>1</v>
      </c>
    </row>
    <row r="873" spans="1:14" x14ac:dyDescent="0.55000000000000004">
      <c r="A873" s="1" t="s">
        <v>1725</v>
      </c>
      <c r="B873" s="2">
        <f>COUNTIF(A:A,A873)-1</f>
        <v>3</v>
      </c>
      <c r="C873" s="2">
        <f>COUNTIF(A$1:A873,A873)-1</f>
        <v>0</v>
      </c>
      <c r="D873" s="2" t="str">
        <f>Argument!D873</f>
        <v/>
      </c>
      <c r="E873" s="2" t="str">
        <f t="shared" si="26"/>
        <v>v</v>
      </c>
      <c r="F873" s="2" t="b">
        <f>IF(C873=0,ISTEXT(FORMULA.CONVERT("="&amp;A873&amp;"("&amp;REPLACE(REPT(",#ref!",B873),1,1,"")&amp;")()",1)),"")</f>
        <v>0</v>
      </c>
      <c r="G873" s="2"/>
      <c r="H873" s="2" t="str">
        <f t="shared" si="27"/>
        <v/>
      </c>
      <c r="I873" s="2">
        <f>TYPE(CONFIDENCE(IF(1,1),IF(1,1),IF(1,1)))</f>
        <v>16</v>
      </c>
      <c r="J873" s="2">
        <f>IF(C873=0,COUNTIFS(A:A,A873,D:D,"a"),"")</f>
        <v>0</v>
      </c>
      <c r="K873" s="2"/>
      <c r="M873" s="2"/>
    </row>
    <row r="874" spans="1:14" x14ac:dyDescent="0.55000000000000004">
      <c r="A874" s="1" t="s">
        <v>1725</v>
      </c>
      <c r="B874" s="2">
        <f>COUNTIF(A:A,A874)-1</f>
        <v>3</v>
      </c>
      <c r="C874" s="2">
        <f>COUNTIF(A$1:A874,A874)-1</f>
        <v>1</v>
      </c>
      <c r="D874" s="2" t="str">
        <f>Argument!D874</f>
        <v>v</v>
      </c>
      <c r="E874" s="2" t="str">
        <f t="shared" si="26"/>
        <v/>
      </c>
      <c r="F874" s="2" t="str">
        <f>IF(C874=0,ISTEXT(FORMULA.CONVERT("="&amp;A874&amp;"("&amp;REPLACE(REPT(",#ref!",B874),1,1,"")&amp;")()",1)),"")</f>
        <v/>
      </c>
      <c r="G874" s="2">
        <f>TYPE(CONFIDENCE({1},IF(1,1),IF(1,1)))</f>
        <v>64</v>
      </c>
      <c r="H874" s="2" t="str">
        <f t="shared" si="27"/>
        <v/>
      </c>
      <c r="I874" s="2">
        <f>TYPE(CONFIDENCE(IF(1,1),IF(1,1),IF(1,1)))</f>
        <v>16</v>
      </c>
      <c r="J874" s="2" t="str">
        <f>IF(C874=0,COUNTIFS(A:A,A874,D:D,"a"),"")</f>
        <v/>
      </c>
      <c r="K874" s="2" t="e">
        <f>INDEX(+CONFIDENCE(K874:L874,#REF!,#REF!),)</f>
        <v>#REF!</v>
      </c>
      <c r="L874" s="1">
        <v>1</v>
      </c>
      <c r="M874" s="2" t="e">
        <f>INDEX(+CONFIDENCE(INDIRECT(M874:N874),#REF!,#REF!),)</f>
        <v>#REF!</v>
      </c>
      <c r="N874" s="1">
        <v>1</v>
      </c>
    </row>
    <row r="875" spans="1:14" x14ac:dyDescent="0.55000000000000004">
      <c r="A875" s="1" t="s">
        <v>1725</v>
      </c>
      <c r="B875" s="2">
        <f>COUNTIF(A:A,A875)-1</f>
        <v>3</v>
      </c>
      <c r="C875" s="2">
        <f>COUNTIF(A$1:A875,A875)-1</f>
        <v>2</v>
      </c>
      <c r="D875" s="2" t="str">
        <f>Argument!D875</f>
        <v>v</v>
      </c>
      <c r="E875" s="2" t="str">
        <f t="shared" si="26"/>
        <v/>
      </c>
      <c r="F875" s="2" t="str">
        <f>IF(C875=0,ISTEXT(FORMULA.CONVERT("="&amp;A875&amp;"("&amp;REPLACE(REPT(",#ref!",B875),1,1,"")&amp;")()",1)),"")</f>
        <v/>
      </c>
      <c r="G875" s="2">
        <f>TYPE(CONFIDENCE(IF(1,1),{1},IF(1,1)))</f>
        <v>64</v>
      </c>
      <c r="H875" s="2" t="str">
        <f t="shared" si="27"/>
        <v/>
      </c>
      <c r="I875" s="2">
        <f>TYPE(CONFIDENCE(IF(1,1),IF(1,1),IF(1,1)))</f>
        <v>16</v>
      </c>
      <c r="J875" s="2" t="str">
        <f>IF(C875=0,COUNTIFS(A:A,A875,D:D,"a"),"")</f>
        <v/>
      </c>
      <c r="K875" s="2" t="e">
        <f>INDEX(+CONFIDENCE(#REF!,K875:L875,#REF!),)</f>
        <v>#REF!</v>
      </c>
      <c r="L875" s="1">
        <v>1</v>
      </c>
      <c r="M875" s="2" t="e">
        <f>INDEX(+CONFIDENCE(#REF!,INDIRECT(M875:N875),#REF!),)</f>
        <v>#REF!</v>
      </c>
      <c r="N875" s="1">
        <v>1</v>
      </c>
    </row>
    <row r="876" spans="1:14" x14ac:dyDescent="0.55000000000000004">
      <c r="A876" s="1" t="s">
        <v>1725</v>
      </c>
      <c r="B876" s="2">
        <f>COUNTIF(A:A,A876)-1</f>
        <v>3</v>
      </c>
      <c r="C876" s="2">
        <f>COUNTIF(A$1:A876,A876)-1</f>
        <v>3</v>
      </c>
      <c r="D876" s="2" t="str">
        <f>Argument!D876</f>
        <v>v</v>
      </c>
      <c r="E876" s="2" t="str">
        <f t="shared" si="26"/>
        <v/>
      </c>
      <c r="F876" s="2" t="str">
        <f>IF(C876=0,ISTEXT(FORMULA.CONVERT("="&amp;A876&amp;"("&amp;REPLACE(REPT(",#ref!",B876),1,1,"")&amp;")()",1)),"")</f>
        <v/>
      </c>
      <c r="G876" s="2">
        <f>TYPE(CONFIDENCE(IF(1,1),IF(1,1),{1}))</f>
        <v>64</v>
      </c>
      <c r="H876" s="2" t="str">
        <f t="shared" si="27"/>
        <v/>
      </c>
      <c r="I876" s="2">
        <f>TYPE(CONFIDENCE(IF(1,1),IF(1,1),IF(1,1)))</f>
        <v>16</v>
      </c>
      <c r="J876" s="2" t="str">
        <f>IF(C876=0,COUNTIFS(A:A,A876,D:D,"a"),"")</f>
        <v/>
      </c>
      <c r="K876" s="2" t="e">
        <f>INDEX(+CONFIDENCE(#REF!,#REF!,K876:L876),)</f>
        <v>#REF!</v>
      </c>
      <c r="L876" s="1">
        <v>1</v>
      </c>
      <c r="M876" s="2" t="e">
        <f>INDEX(+CONFIDENCE(#REF!,#REF!,INDIRECT(M876:N876)),)</f>
        <v>#REF!</v>
      </c>
      <c r="N876" s="1">
        <v>1</v>
      </c>
    </row>
    <row r="877" spans="1:14" x14ac:dyDescent="0.55000000000000004">
      <c r="A877" s="1" t="s">
        <v>1726</v>
      </c>
      <c r="B877" s="2">
        <f>COUNTIF(A:A,A877)-1</f>
        <v>3</v>
      </c>
      <c r="C877" s="2">
        <f>COUNTIF(A$1:A877,A877)-1</f>
        <v>0</v>
      </c>
      <c r="D877" s="2" t="str">
        <f>Argument!D877</f>
        <v/>
      </c>
      <c r="E877" s="2" t="str">
        <f t="shared" si="26"/>
        <v>v</v>
      </c>
      <c r="F877" s="2" t="b">
        <f>IF(C877=0,ISTEXT(FORMULA.CONVERT("="&amp;A877&amp;"("&amp;REPLACE(REPT(",#ref!",B877),1,1,"")&amp;")()",1)),"")</f>
        <v>0</v>
      </c>
      <c r="G877" s="2"/>
      <c r="H877" s="2" t="str">
        <f t="shared" si="27"/>
        <v/>
      </c>
      <c r="I877" s="2">
        <f>TYPE(CRITBINOM(IF(1,1),IF(1,1),IF(1,1)))</f>
        <v>16</v>
      </c>
      <c r="J877" s="2">
        <f>IF(C877=0,COUNTIFS(A:A,A877,D:D,"a"),"")</f>
        <v>0</v>
      </c>
      <c r="K877" s="2"/>
      <c r="M877" s="2"/>
    </row>
    <row r="878" spans="1:14" x14ac:dyDescent="0.55000000000000004">
      <c r="A878" s="1" t="s">
        <v>1726</v>
      </c>
      <c r="B878" s="2">
        <f>COUNTIF(A:A,A878)-1</f>
        <v>3</v>
      </c>
      <c r="C878" s="2">
        <f>COUNTIF(A$1:A878,A878)-1</f>
        <v>1</v>
      </c>
      <c r="D878" s="2" t="str">
        <f>Argument!D878</f>
        <v>v</v>
      </c>
      <c r="E878" s="2" t="str">
        <f t="shared" si="26"/>
        <v/>
      </c>
      <c r="F878" s="2" t="str">
        <f>IF(C878=0,ISTEXT(FORMULA.CONVERT("="&amp;A878&amp;"("&amp;REPLACE(REPT(",#ref!",B878),1,1,"")&amp;")()",1)),"")</f>
        <v/>
      </c>
      <c r="G878" s="2">
        <f>TYPE(CRITBINOM({1},IF(1,1),IF(1,1)))</f>
        <v>64</v>
      </c>
      <c r="H878" s="2" t="str">
        <f t="shared" si="27"/>
        <v/>
      </c>
      <c r="I878" s="2">
        <f>TYPE(CRITBINOM(IF(1,1),IF(1,1),IF(1,1)))</f>
        <v>16</v>
      </c>
      <c r="J878" s="2" t="str">
        <f>IF(C878=0,COUNTIFS(A:A,A878,D:D,"a"),"")</f>
        <v/>
      </c>
      <c r="K878" s="2" t="e">
        <f>INDEX(+CRITBINOM(K878:L878,#REF!,#REF!),)</f>
        <v>#REF!</v>
      </c>
      <c r="L878" s="1">
        <v>1</v>
      </c>
      <c r="M878" s="2" t="e">
        <f>INDEX(+CRITBINOM(INDIRECT(M878:N878),#REF!,#REF!),)</f>
        <v>#REF!</v>
      </c>
      <c r="N878" s="1">
        <v>1</v>
      </c>
    </row>
    <row r="879" spans="1:14" x14ac:dyDescent="0.55000000000000004">
      <c r="A879" s="1" t="s">
        <v>1726</v>
      </c>
      <c r="B879" s="2">
        <f>COUNTIF(A:A,A879)-1</f>
        <v>3</v>
      </c>
      <c r="C879" s="2">
        <f>COUNTIF(A$1:A879,A879)-1</f>
        <v>2</v>
      </c>
      <c r="D879" s="2" t="str">
        <f>Argument!D879</f>
        <v>v</v>
      </c>
      <c r="E879" s="2" t="str">
        <f t="shared" si="26"/>
        <v/>
      </c>
      <c r="F879" s="2" t="str">
        <f>IF(C879=0,ISTEXT(FORMULA.CONVERT("="&amp;A879&amp;"("&amp;REPLACE(REPT(",#ref!",B879),1,1,"")&amp;")()",1)),"")</f>
        <v/>
      </c>
      <c r="G879" s="2">
        <f>TYPE(CRITBINOM(IF(1,1),{1},IF(1,1)))</f>
        <v>64</v>
      </c>
      <c r="H879" s="2" t="str">
        <f t="shared" si="27"/>
        <v/>
      </c>
      <c r="I879" s="2">
        <f>TYPE(CRITBINOM(IF(1,1),IF(1,1),IF(1,1)))</f>
        <v>16</v>
      </c>
      <c r="J879" s="2" t="str">
        <f>IF(C879=0,COUNTIFS(A:A,A879,D:D,"a"),"")</f>
        <v/>
      </c>
      <c r="K879" s="2" t="e">
        <f>INDEX(+CRITBINOM(#REF!,K879:L879,#REF!),)</f>
        <v>#REF!</v>
      </c>
      <c r="L879" s="1">
        <v>1</v>
      </c>
      <c r="M879" s="2" t="e">
        <f>INDEX(+CRITBINOM(#REF!,INDIRECT(M879:N879),#REF!),)</f>
        <v>#REF!</v>
      </c>
      <c r="N879" s="1">
        <v>1</v>
      </c>
    </row>
    <row r="880" spans="1:14" x14ac:dyDescent="0.55000000000000004">
      <c r="A880" s="1" t="s">
        <v>1726</v>
      </c>
      <c r="B880" s="2">
        <f>COUNTIF(A:A,A880)-1</f>
        <v>3</v>
      </c>
      <c r="C880" s="2">
        <f>COUNTIF(A$1:A880,A880)-1</f>
        <v>3</v>
      </c>
      <c r="D880" s="2" t="str">
        <f>Argument!D880</f>
        <v>v</v>
      </c>
      <c r="E880" s="2" t="str">
        <f t="shared" si="26"/>
        <v/>
      </c>
      <c r="F880" s="2" t="str">
        <f>IF(C880=0,ISTEXT(FORMULA.CONVERT("="&amp;A880&amp;"("&amp;REPLACE(REPT(",#ref!",B880),1,1,"")&amp;")()",1)),"")</f>
        <v/>
      </c>
      <c r="G880" s="2">
        <f>TYPE(CRITBINOM(IF(1,1),IF(1,1),{1}))</f>
        <v>64</v>
      </c>
      <c r="H880" s="2" t="str">
        <f t="shared" si="27"/>
        <v/>
      </c>
      <c r="I880" s="2">
        <f>TYPE(CRITBINOM(IF(1,1),IF(1,1),IF(1,1)))</f>
        <v>16</v>
      </c>
      <c r="J880" s="2" t="str">
        <f>IF(C880=0,COUNTIFS(A:A,A880,D:D,"a"),"")</f>
        <v/>
      </c>
      <c r="K880" s="2" t="e">
        <f>INDEX(+CRITBINOM(#REF!,#REF!,K880:L880),)</f>
        <v>#REF!</v>
      </c>
      <c r="L880" s="1">
        <v>1</v>
      </c>
      <c r="M880" s="2" t="e">
        <f>INDEX(+CRITBINOM(#REF!,#REF!,INDIRECT(M880:N880)),)</f>
        <v>#REF!</v>
      </c>
      <c r="N880" s="1">
        <v>1</v>
      </c>
    </row>
    <row r="881" spans="1:14" x14ac:dyDescent="0.55000000000000004">
      <c r="A881" s="1" t="s">
        <v>1727</v>
      </c>
      <c r="B881" s="2">
        <f>COUNTIF(A:A,A881)-1</f>
        <v>1</v>
      </c>
      <c r="C881" s="2">
        <f>COUNTIF(A$1:A881,A881)-1</f>
        <v>0</v>
      </c>
      <c r="D881" s="2" t="str">
        <f>Argument!D881</f>
        <v/>
      </c>
      <c r="E881" s="2" t="str">
        <f t="shared" si="26"/>
        <v>v</v>
      </c>
      <c r="F881" s="2" t="b">
        <f>IF(C881=0,ISTEXT(FORMULA.CONVERT("="&amp;A881&amp;"("&amp;REPLACE(REPT(",#ref!",B881),1,1,"")&amp;")()",1)),"")</f>
        <v>0</v>
      </c>
      <c r="G881" s="2"/>
      <c r="H881" s="2" t="str">
        <f t="shared" si="27"/>
        <v/>
      </c>
      <c r="I881" s="2">
        <f>TYPE(EVEN(IF(1,1)))</f>
        <v>1</v>
      </c>
      <c r="J881" s="2">
        <f>IF(C881=0,COUNTIFS(A:A,A881,D:D,"a"),"")</f>
        <v>0</v>
      </c>
      <c r="K881" s="2"/>
      <c r="M881" s="2"/>
    </row>
    <row r="882" spans="1:14" x14ac:dyDescent="0.55000000000000004">
      <c r="A882" s="1" t="s">
        <v>1727</v>
      </c>
      <c r="B882" s="2">
        <f>COUNTIF(A:A,A882)-1</f>
        <v>1</v>
      </c>
      <c r="C882" s="2">
        <f>COUNTIF(A$1:A882,A882)-1</f>
        <v>1</v>
      </c>
      <c r="D882" s="2" t="str">
        <f>Argument!D882</f>
        <v>v</v>
      </c>
      <c r="E882" s="2" t="str">
        <f t="shared" si="26"/>
        <v/>
      </c>
      <c r="F882" s="2" t="str">
        <f>IF(C882=0,ISTEXT(FORMULA.CONVERT("="&amp;A882&amp;"("&amp;REPLACE(REPT(",#ref!",B882),1,1,"")&amp;")()",1)),"")</f>
        <v/>
      </c>
      <c r="G882" s="2">
        <f>TYPE(EVEN({1}))</f>
        <v>64</v>
      </c>
      <c r="H882" s="2" t="str">
        <f t="shared" si="27"/>
        <v/>
      </c>
      <c r="I882" s="2">
        <f>TYPE(EVEN(IF(1,1)))</f>
        <v>1</v>
      </c>
      <c r="J882" s="2" t="str">
        <f>IF(C882=0,COUNTIFS(A:A,A882,D:D,"a"),"")</f>
        <v/>
      </c>
      <c r="K882" s="2">
        <f>INDEX(+EVEN(K882:L882),)</f>
        <v>0</v>
      </c>
      <c r="L882" s="1">
        <v>1</v>
      </c>
      <c r="M882" s="2" t="e">
        <f>INDEX(+EVEN(INDIRECT(M882:N882)),)</f>
        <v>#REF!</v>
      </c>
      <c r="N882" s="1">
        <v>1</v>
      </c>
    </row>
    <row r="883" spans="1:14" x14ac:dyDescent="0.55000000000000004">
      <c r="A883" s="1" t="s">
        <v>1728</v>
      </c>
      <c r="B883" s="2">
        <f>COUNTIF(A:A,A883)-1</f>
        <v>3</v>
      </c>
      <c r="C883" s="2">
        <f>COUNTIF(A$1:A883,A883)-1</f>
        <v>0</v>
      </c>
      <c r="D883" s="2" t="str">
        <f>Argument!D883</f>
        <v/>
      </c>
      <c r="E883" s="2" t="str">
        <f t="shared" si="26"/>
        <v>v</v>
      </c>
      <c r="F883" s="2" t="b">
        <f>IF(C883=0,ISTEXT(FORMULA.CONVERT("="&amp;A883&amp;"("&amp;REPLACE(REPT(",#ref!",B883),1,1,"")&amp;")()",1)),"")</f>
        <v>0</v>
      </c>
      <c r="G883" s="2"/>
      <c r="H883" s="2" t="str">
        <f t="shared" si="27"/>
        <v/>
      </c>
      <c r="I883" s="2">
        <f>TYPE(EXPONDIST(IF(1,1),IF(1,1),IF(1,1)))</f>
        <v>1</v>
      </c>
      <c r="J883" s="2">
        <f>IF(C883=0,COUNTIFS(A:A,A883,D:D,"a"),"")</f>
        <v>0</v>
      </c>
      <c r="K883" s="2"/>
      <c r="M883" s="2"/>
    </row>
    <row r="884" spans="1:14" x14ac:dyDescent="0.55000000000000004">
      <c r="A884" s="1" t="s">
        <v>1728</v>
      </c>
      <c r="B884" s="2">
        <f>COUNTIF(A:A,A884)-1</f>
        <v>3</v>
      </c>
      <c r="C884" s="2">
        <f>COUNTIF(A$1:A884,A884)-1</f>
        <v>1</v>
      </c>
      <c r="D884" s="2" t="str">
        <f>Argument!D884</f>
        <v>v</v>
      </c>
      <c r="E884" s="2" t="str">
        <f t="shared" si="26"/>
        <v/>
      </c>
      <c r="F884" s="2" t="str">
        <f>IF(C884=0,ISTEXT(FORMULA.CONVERT("="&amp;A884&amp;"("&amp;REPLACE(REPT(",#ref!",B884),1,1,"")&amp;")()",1)),"")</f>
        <v/>
      </c>
      <c r="G884" s="2">
        <f>TYPE(EXPONDIST({1},IF(1,1),IF(1,1)))</f>
        <v>64</v>
      </c>
      <c r="H884" s="2" t="str">
        <f t="shared" si="27"/>
        <v/>
      </c>
      <c r="I884" s="2">
        <f>TYPE(EXPONDIST(IF(1,1),IF(1,1),IF(1,1)))</f>
        <v>1</v>
      </c>
      <c r="J884" s="2" t="str">
        <f>IF(C884=0,COUNTIFS(A:A,A884,D:D,"a"),"")</f>
        <v/>
      </c>
      <c r="K884" s="2" t="e">
        <f>INDEX(+EXPONDIST(K884:L884,#REF!,#REF!),)</f>
        <v>#REF!</v>
      </c>
      <c r="L884" s="1">
        <v>1</v>
      </c>
      <c r="M884" s="2" t="e">
        <f>INDEX(+EXPONDIST(INDIRECT(M884:N884),#REF!,#REF!),)</f>
        <v>#REF!</v>
      </c>
      <c r="N884" s="1">
        <v>1</v>
      </c>
    </row>
    <row r="885" spans="1:14" x14ac:dyDescent="0.55000000000000004">
      <c r="A885" s="1" t="s">
        <v>1728</v>
      </c>
      <c r="B885" s="2">
        <f>COUNTIF(A:A,A885)-1</f>
        <v>3</v>
      </c>
      <c r="C885" s="2">
        <f>COUNTIF(A$1:A885,A885)-1</f>
        <v>2</v>
      </c>
      <c r="D885" s="2" t="str">
        <f>Argument!D885</f>
        <v>v</v>
      </c>
      <c r="E885" s="2" t="str">
        <f t="shared" si="26"/>
        <v/>
      </c>
      <c r="F885" s="2" t="str">
        <f>IF(C885=0,ISTEXT(FORMULA.CONVERT("="&amp;A885&amp;"("&amp;REPLACE(REPT(",#ref!",B885),1,1,"")&amp;")()",1)),"")</f>
        <v/>
      </c>
      <c r="G885" s="2">
        <f>TYPE(EXPONDIST(IF(1,1),{1},IF(1,1)))</f>
        <v>64</v>
      </c>
      <c r="H885" s="2" t="str">
        <f t="shared" si="27"/>
        <v/>
      </c>
      <c r="I885" s="2">
        <f>TYPE(EXPONDIST(IF(1,1),IF(1,1),IF(1,1)))</f>
        <v>1</v>
      </c>
      <c r="J885" s="2" t="str">
        <f>IF(C885=0,COUNTIFS(A:A,A885,D:D,"a"),"")</f>
        <v/>
      </c>
      <c r="K885" s="2" t="e">
        <f>INDEX(+EXPONDIST(#REF!,K885:L885,#REF!),)</f>
        <v>#REF!</v>
      </c>
      <c r="L885" s="1">
        <v>1</v>
      </c>
      <c r="M885" s="2" t="e">
        <f>INDEX(+EXPONDIST(#REF!,INDIRECT(M885:N885),#REF!),)</f>
        <v>#REF!</v>
      </c>
      <c r="N885" s="1">
        <v>1</v>
      </c>
    </row>
    <row r="886" spans="1:14" x14ac:dyDescent="0.55000000000000004">
      <c r="A886" s="1" t="s">
        <v>1728</v>
      </c>
      <c r="B886" s="2">
        <f>COUNTIF(A:A,A886)-1</f>
        <v>3</v>
      </c>
      <c r="C886" s="2">
        <f>COUNTIF(A$1:A886,A886)-1</f>
        <v>3</v>
      </c>
      <c r="D886" s="2" t="str">
        <f>Argument!D886</f>
        <v>v</v>
      </c>
      <c r="E886" s="2" t="str">
        <f t="shared" si="26"/>
        <v/>
      </c>
      <c r="F886" s="2" t="str">
        <f>IF(C886=0,ISTEXT(FORMULA.CONVERT("="&amp;A886&amp;"("&amp;REPLACE(REPT(",#ref!",B886),1,1,"")&amp;")()",1)),"")</f>
        <v/>
      </c>
      <c r="G886" s="2">
        <f>TYPE(EXPONDIST(IF(1,1),IF(1,1),{1}))</f>
        <v>64</v>
      </c>
      <c r="H886" s="2" t="str">
        <f t="shared" si="27"/>
        <v/>
      </c>
      <c r="I886" s="2">
        <f>TYPE(EXPONDIST(IF(1,1),IF(1,1),IF(1,1)))</f>
        <v>1</v>
      </c>
      <c r="J886" s="2" t="str">
        <f>IF(C886=0,COUNTIFS(A:A,A886,D:D,"a"),"")</f>
        <v/>
      </c>
      <c r="K886" s="2" t="e">
        <f>INDEX(+EXPONDIST(#REF!,#REF!,K886:L886),)</f>
        <v>#REF!</v>
      </c>
      <c r="L886" s="1">
        <v>1</v>
      </c>
      <c r="M886" s="2" t="e">
        <f>INDEX(+EXPONDIST(#REF!,#REF!,INDIRECT(M886:N886)),)</f>
        <v>#REF!</v>
      </c>
      <c r="N886" s="1">
        <v>1</v>
      </c>
    </row>
    <row r="887" spans="1:14" x14ac:dyDescent="0.55000000000000004">
      <c r="A887" s="1" t="s">
        <v>1729</v>
      </c>
      <c r="B887" s="2">
        <f>COUNTIF(A:A,A887)-1</f>
        <v>3</v>
      </c>
      <c r="C887" s="2">
        <f>COUNTIF(A$1:A887,A887)-1</f>
        <v>0</v>
      </c>
      <c r="D887" s="2" t="str">
        <f>Argument!D887</f>
        <v/>
      </c>
      <c r="E887" s="2" t="str">
        <f t="shared" si="26"/>
        <v>v</v>
      </c>
      <c r="F887" s="2" t="b">
        <f>IF(C887=0,ISTEXT(FORMULA.CONVERT("="&amp;A887&amp;"("&amp;REPLACE(REPT(",#ref!",B887),1,1,"")&amp;")()",1)),"")</f>
        <v>0</v>
      </c>
      <c r="G887" s="2"/>
      <c r="H887" s="2" t="str">
        <f t="shared" si="27"/>
        <v/>
      </c>
      <c r="I887" s="2">
        <f>TYPE(FDIST(IF(1,1),IF(1,1),IF(1,1)))</f>
        <v>1</v>
      </c>
      <c r="J887" s="2">
        <f>IF(C887=0,COUNTIFS(A:A,A887,D:D,"a"),"")</f>
        <v>0</v>
      </c>
      <c r="K887" s="2"/>
      <c r="M887" s="2"/>
    </row>
    <row r="888" spans="1:14" x14ac:dyDescent="0.55000000000000004">
      <c r="A888" s="1" t="s">
        <v>1729</v>
      </c>
      <c r="B888" s="2">
        <f>COUNTIF(A:A,A888)-1</f>
        <v>3</v>
      </c>
      <c r="C888" s="2">
        <f>COUNTIF(A$1:A888,A888)-1</f>
        <v>1</v>
      </c>
      <c r="D888" s="2" t="str">
        <f>Argument!D888</f>
        <v>v</v>
      </c>
      <c r="E888" s="2" t="str">
        <f t="shared" si="26"/>
        <v/>
      </c>
      <c r="F888" s="2" t="str">
        <f>IF(C888=0,ISTEXT(FORMULA.CONVERT("="&amp;A888&amp;"("&amp;REPLACE(REPT(",#ref!",B888),1,1,"")&amp;")()",1)),"")</f>
        <v/>
      </c>
      <c r="G888" s="2">
        <f>TYPE(FDIST({1},IF(1,1),IF(1,1)))</f>
        <v>64</v>
      </c>
      <c r="H888" s="2" t="str">
        <f t="shared" si="27"/>
        <v/>
      </c>
      <c r="I888" s="2">
        <f>TYPE(FDIST(IF(1,1),IF(1,1),IF(1,1)))</f>
        <v>1</v>
      </c>
      <c r="J888" s="2" t="str">
        <f>IF(C888=0,COUNTIFS(A:A,A888,D:D,"a"),"")</f>
        <v/>
      </c>
      <c r="K888" s="2" t="e">
        <f>INDEX(+FDIST(K888:L888,#REF!,#REF!),)</f>
        <v>#REF!</v>
      </c>
      <c r="L888" s="1">
        <v>1</v>
      </c>
      <c r="M888" s="2" t="e">
        <f>INDEX(+FDIST(INDIRECT(M888:N888),#REF!,#REF!),)</f>
        <v>#REF!</v>
      </c>
      <c r="N888" s="1">
        <v>1</v>
      </c>
    </row>
    <row r="889" spans="1:14" x14ac:dyDescent="0.55000000000000004">
      <c r="A889" s="1" t="s">
        <v>1729</v>
      </c>
      <c r="B889" s="2">
        <f>COUNTIF(A:A,A889)-1</f>
        <v>3</v>
      </c>
      <c r="C889" s="2">
        <f>COUNTIF(A$1:A889,A889)-1</f>
        <v>2</v>
      </c>
      <c r="D889" s="2" t="str">
        <f>Argument!D889</f>
        <v>v</v>
      </c>
      <c r="E889" s="2" t="str">
        <f t="shared" si="26"/>
        <v/>
      </c>
      <c r="F889" s="2" t="str">
        <f>IF(C889=0,ISTEXT(FORMULA.CONVERT("="&amp;A889&amp;"("&amp;REPLACE(REPT(",#ref!",B889),1,1,"")&amp;")()",1)),"")</f>
        <v/>
      </c>
      <c r="G889" s="2">
        <f>TYPE(FDIST(IF(1,1),{1},IF(1,1)))</f>
        <v>64</v>
      </c>
      <c r="H889" s="2" t="str">
        <f t="shared" si="27"/>
        <v/>
      </c>
      <c r="I889" s="2">
        <f>TYPE(FDIST(IF(1,1),IF(1,1),IF(1,1)))</f>
        <v>1</v>
      </c>
      <c r="J889" s="2" t="str">
        <f>IF(C889=0,COUNTIFS(A:A,A889,D:D,"a"),"")</f>
        <v/>
      </c>
      <c r="K889" s="2" t="e">
        <f>INDEX(+FDIST(#REF!,K889:L889,#REF!),)</f>
        <v>#REF!</v>
      </c>
      <c r="L889" s="1">
        <v>1</v>
      </c>
      <c r="M889" s="2" t="e">
        <f>INDEX(+FDIST(#REF!,INDIRECT(M889:N889),#REF!),)</f>
        <v>#REF!</v>
      </c>
      <c r="N889" s="1">
        <v>1</v>
      </c>
    </row>
    <row r="890" spans="1:14" x14ac:dyDescent="0.55000000000000004">
      <c r="A890" s="1" t="s">
        <v>1729</v>
      </c>
      <c r="B890" s="2">
        <f>COUNTIF(A:A,A890)-1</f>
        <v>3</v>
      </c>
      <c r="C890" s="2">
        <f>COUNTIF(A$1:A890,A890)-1</f>
        <v>3</v>
      </c>
      <c r="D890" s="2" t="str">
        <f>Argument!D890</f>
        <v>v</v>
      </c>
      <c r="E890" s="2" t="str">
        <f t="shared" si="26"/>
        <v/>
      </c>
      <c r="F890" s="2" t="str">
        <f>IF(C890=0,ISTEXT(FORMULA.CONVERT("="&amp;A890&amp;"("&amp;REPLACE(REPT(",#ref!",B890),1,1,"")&amp;")()",1)),"")</f>
        <v/>
      </c>
      <c r="G890" s="2">
        <f>TYPE(FDIST(IF(1,1),IF(1,1),{1}))</f>
        <v>64</v>
      </c>
      <c r="H890" s="2" t="str">
        <f t="shared" si="27"/>
        <v/>
      </c>
      <c r="I890" s="2">
        <f>TYPE(FDIST(IF(1,1),IF(1,1),IF(1,1)))</f>
        <v>1</v>
      </c>
      <c r="J890" s="2" t="str">
        <f>IF(C890=0,COUNTIFS(A:A,A890,D:D,"a"),"")</f>
        <v/>
      </c>
      <c r="K890" s="2" t="e">
        <f>INDEX(+FDIST(#REF!,#REF!,K890:L890),)</f>
        <v>#REF!</v>
      </c>
      <c r="L890" s="1">
        <v>1</v>
      </c>
      <c r="M890" s="2" t="e">
        <f>INDEX(+FDIST(#REF!,#REF!,INDIRECT(M890:N890)),)</f>
        <v>#REF!</v>
      </c>
      <c r="N890" s="1">
        <v>1</v>
      </c>
    </row>
    <row r="891" spans="1:14" x14ac:dyDescent="0.55000000000000004">
      <c r="A891" s="1" t="s">
        <v>1730</v>
      </c>
      <c r="B891" s="2">
        <f>COUNTIF(A:A,A891)-1</f>
        <v>3</v>
      </c>
      <c r="C891" s="2">
        <f>COUNTIF(A$1:A891,A891)-1</f>
        <v>0</v>
      </c>
      <c r="D891" s="2" t="str">
        <f>Argument!D891</f>
        <v/>
      </c>
      <c r="E891" s="2" t="str">
        <f t="shared" si="26"/>
        <v>v</v>
      </c>
      <c r="F891" s="2" t="b">
        <f>IF(C891=0,ISTEXT(FORMULA.CONVERT("="&amp;A891&amp;"("&amp;REPLACE(REPT(",#ref!",B891),1,1,"")&amp;")()",1)),"")</f>
        <v>0</v>
      </c>
      <c r="G891" s="2"/>
      <c r="H891" s="2" t="str">
        <f t="shared" si="27"/>
        <v/>
      </c>
      <c r="I891" s="2">
        <f>TYPE(FINV(IF(1,1),IF(1,1),IF(1,1)))</f>
        <v>1</v>
      </c>
      <c r="J891" s="2">
        <f>IF(C891=0,COUNTIFS(A:A,A891,D:D,"a"),"")</f>
        <v>0</v>
      </c>
      <c r="K891" s="2"/>
      <c r="M891" s="2"/>
    </row>
    <row r="892" spans="1:14" x14ac:dyDescent="0.55000000000000004">
      <c r="A892" s="1" t="s">
        <v>1730</v>
      </c>
      <c r="B892" s="2">
        <f>COUNTIF(A:A,A892)-1</f>
        <v>3</v>
      </c>
      <c r="C892" s="2">
        <f>COUNTIF(A$1:A892,A892)-1</f>
        <v>1</v>
      </c>
      <c r="D892" s="2" t="str">
        <f>Argument!D892</f>
        <v>v</v>
      </c>
      <c r="E892" s="2" t="str">
        <f t="shared" si="26"/>
        <v/>
      </c>
      <c r="F892" s="2" t="str">
        <f>IF(C892=0,ISTEXT(FORMULA.CONVERT("="&amp;A892&amp;"("&amp;REPLACE(REPT(",#ref!",B892),1,1,"")&amp;")()",1)),"")</f>
        <v/>
      </c>
      <c r="G892" s="2">
        <f>TYPE(FINV({1},IF(1,1),IF(1,1)))</f>
        <v>64</v>
      </c>
      <c r="H892" s="2" t="str">
        <f t="shared" si="27"/>
        <v/>
      </c>
      <c r="I892" s="2">
        <f>TYPE(FINV(IF(1,1),IF(1,1),IF(1,1)))</f>
        <v>1</v>
      </c>
      <c r="J892" s="2" t="str">
        <f>IF(C892=0,COUNTIFS(A:A,A892,D:D,"a"),"")</f>
        <v/>
      </c>
      <c r="K892" s="2" t="e">
        <f>INDEX(+FINV(K892:L892,#REF!,#REF!),)</f>
        <v>#REF!</v>
      </c>
      <c r="L892" s="1">
        <v>1</v>
      </c>
      <c r="M892" s="2" t="e">
        <f>INDEX(+FINV(INDIRECT(M892:N892),#REF!,#REF!),)</f>
        <v>#REF!</v>
      </c>
      <c r="N892" s="1">
        <v>1</v>
      </c>
    </row>
    <row r="893" spans="1:14" x14ac:dyDescent="0.55000000000000004">
      <c r="A893" s="1" t="s">
        <v>1730</v>
      </c>
      <c r="B893" s="2">
        <f>COUNTIF(A:A,A893)-1</f>
        <v>3</v>
      </c>
      <c r="C893" s="2">
        <f>COUNTIF(A$1:A893,A893)-1</f>
        <v>2</v>
      </c>
      <c r="D893" s="2" t="str">
        <f>Argument!D893</f>
        <v>v</v>
      </c>
      <c r="E893" s="2" t="str">
        <f t="shared" si="26"/>
        <v/>
      </c>
      <c r="F893" s="2" t="str">
        <f>IF(C893=0,ISTEXT(FORMULA.CONVERT("="&amp;A893&amp;"("&amp;REPLACE(REPT(",#ref!",B893),1,1,"")&amp;")()",1)),"")</f>
        <v/>
      </c>
      <c r="G893" s="2">
        <f>TYPE(FINV(IF(1,1),{1},IF(1,1)))</f>
        <v>64</v>
      </c>
      <c r="H893" s="2" t="str">
        <f t="shared" si="27"/>
        <v/>
      </c>
      <c r="I893" s="2">
        <f>TYPE(FINV(IF(1,1),IF(1,1),IF(1,1)))</f>
        <v>1</v>
      </c>
      <c r="J893" s="2" t="str">
        <f>IF(C893=0,COUNTIFS(A:A,A893,D:D,"a"),"")</f>
        <v/>
      </c>
      <c r="K893" s="2" t="e">
        <f>INDEX(+FINV(#REF!,K893:L893,#REF!),)</f>
        <v>#REF!</v>
      </c>
      <c r="L893" s="1">
        <v>1</v>
      </c>
      <c r="M893" s="2" t="e">
        <f>INDEX(+FINV(#REF!,INDIRECT(M893:N893),#REF!),)</f>
        <v>#REF!</v>
      </c>
      <c r="N893" s="1">
        <v>1</v>
      </c>
    </row>
    <row r="894" spans="1:14" x14ac:dyDescent="0.55000000000000004">
      <c r="A894" s="1" t="s">
        <v>1730</v>
      </c>
      <c r="B894" s="2">
        <f>COUNTIF(A:A,A894)-1</f>
        <v>3</v>
      </c>
      <c r="C894" s="2">
        <f>COUNTIF(A$1:A894,A894)-1</f>
        <v>3</v>
      </c>
      <c r="D894" s="2" t="str">
        <f>Argument!D894</f>
        <v>v</v>
      </c>
      <c r="E894" s="2" t="str">
        <f t="shared" si="26"/>
        <v/>
      </c>
      <c r="F894" s="2" t="str">
        <f>IF(C894=0,ISTEXT(FORMULA.CONVERT("="&amp;A894&amp;"("&amp;REPLACE(REPT(",#ref!",B894),1,1,"")&amp;")()",1)),"")</f>
        <v/>
      </c>
      <c r="G894" s="2">
        <f>TYPE(FINV(IF(1,1),IF(1,1),{1}))</f>
        <v>64</v>
      </c>
      <c r="H894" s="2" t="str">
        <f t="shared" si="27"/>
        <v/>
      </c>
      <c r="I894" s="2">
        <f>TYPE(FINV(IF(1,1),IF(1,1),IF(1,1)))</f>
        <v>1</v>
      </c>
      <c r="J894" s="2" t="str">
        <f>IF(C894=0,COUNTIFS(A:A,A894,D:D,"a"),"")</f>
        <v/>
      </c>
      <c r="K894" s="2" t="e">
        <f>INDEX(+FINV(#REF!,#REF!,K894:L894),)</f>
        <v>#REF!</v>
      </c>
      <c r="L894" s="1">
        <v>1</v>
      </c>
      <c r="M894" s="2" t="e">
        <f>INDEX(+FINV(#REF!,#REF!,INDIRECT(M894:N894)),)</f>
        <v>#REF!</v>
      </c>
      <c r="N894" s="1">
        <v>1</v>
      </c>
    </row>
    <row r="895" spans="1:14" x14ac:dyDescent="0.55000000000000004">
      <c r="A895" s="1" t="s">
        <v>1731</v>
      </c>
      <c r="B895" s="2">
        <f>COUNTIF(A:A,A895)-1</f>
        <v>1</v>
      </c>
      <c r="C895" s="2">
        <f>COUNTIF(A$1:A895,A895)-1</f>
        <v>0</v>
      </c>
      <c r="D895" s="2" t="str">
        <f>Argument!D895</f>
        <v/>
      </c>
      <c r="E895" s="2" t="str">
        <f t="shared" si="26"/>
        <v>v</v>
      </c>
      <c r="F895" s="2" t="b">
        <f>IF(C895=0,ISTEXT(FORMULA.CONVERT("="&amp;A895&amp;"("&amp;REPLACE(REPT(",#ref!",B895),1,1,"")&amp;")()",1)),"")</f>
        <v>0</v>
      </c>
      <c r="G895" s="2"/>
      <c r="H895" s="2" t="str">
        <f t="shared" si="27"/>
        <v/>
      </c>
      <c r="I895" s="2">
        <f>TYPE(FISHER(IF(1,1)))</f>
        <v>16</v>
      </c>
      <c r="J895" s="2">
        <f>IF(C895=0,COUNTIFS(A:A,A895,D:D,"a"),"")</f>
        <v>0</v>
      </c>
      <c r="K895" s="2"/>
      <c r="M895" s="2"/>
    </row>
    <row r="896" spans="1:14" x14ac:dyDescent="0.55000000000000004">
      <c r="A896" s="1" t="s">
        <v>1731</v>
      </c>
      <c r="B896" s="2">
        <f>COUNTIF(A:A,A896)-1</f>
        <v>1</v>
      </c>
      <c r="C896" s="2">
        <f>COUNTIF(A$1:A896,A896)-1</f>
        <v>1</v>
      </c>
      <c r="D896" s="2" t="str">
        <f>Argument!D896</f>
        <v>v</v>
      </c>
      <c r="E896" s="2" t="str">
        <f t="shared" si="26"/>
        <v/>
      </c>
      <c r="F896" s="2" t="str">
        <f>IF(C896=0,ISTEXT(FORMULA.CONVERT("="&amp;A896&amp;"("&amp;REPLACE(REPT(",#ref!",B896),1,1,"")&amp;")()",1)),"")</f>
        <v/>
      </c>
      <c r="G896" s="2">
        <f>TYPE(FISHER({1}))</f>
        <v>64</v>
      </c>
      <c r="H896" s="2" t="str">
        <f t="shared" si="27"/>
        <v/>
      </c>
      <c r="I896" s="2">
        <f>TYPE(FISHER(IF(1,1)))</f>
        <v>16</v>
      </c>
      <c r="J896" s="2" t="str">
        <f>IF(C896=0,COUNTIFS(A:A,A896,D:D,"a"),"")</f>
        <v/>
      </c>
      <c r="K896" s="2">
        <f>INDEX(+FISHER(K896:L896),)</f>
        <v>0</v>
      </c>
      <c r="L896" s="1">
        <v>1</v>
      </c>
      <c r="M896" s="2" t="e">
        <f>INDEX(+FISHER(INDIRECT(M896:N896)),)</f>
        <v>#REF!</v>
      </c>
      <c r="N896" s="1">
        <v>1</v>
      </c>
    </row>
    <row r="897" spans="1:14" x14ac:dyDescent="0.55000000000000004">
      <c r="A897" s="1" t="s">
        <v>1732</v>
      </c>
      <c r="B897" s="2">
        <f>COUNTIF(A:A,A897)-1</f>
        <v>1</v>
      </c>
      <c r="C897" s="2">
        <f>COUNTIF(A$1:A897,A897)-1</f>
        <v>0</v>
      </c>
      <c r="D897" s="2" t="str">
        <f>Argument!D897</f>
        <v/>
      </c>
      <c r="E897" s="2" t="str">
        <f t="shared" si="26"/>
        <v>v</v>
      </c>
      <c r="F897" s="2" t="b">
        <f>IF(C897=0,ISTEXT(FORMULA.CONVERT("="&amp;A897&amp;"("&amp;REPLACE(REPT(",#ref!",B897),1,1,"")&amp;")()",1)),"")</f>
        <v>0</v>
      </c>
      <c r="G897" s="2"/>
      <c r="H897" s="2" t="str">
        <f t="shared" si="27"/>
        <v/>
      </c>
      <c r="I897" s="2">
        <f>TYPE(FISHERINV(IF(1,1)))</f>
        <v>1</v>
      </c>
      <c r="J897" s="2">
        <f>IF(C897=0,COUNTIFS(A:A,A897,D:D,"a"),"")</f>
        <v>0</v>
      </c>
      <c r="K897" s="2"/>
      <c r="M897" s="2"/>
    </row>
    <row r="898" spans="1:14" x14ac:dyDescent="0.55000000000000004">
      <c r="A898" s="1" t="s">
        <v>1732</v>
      </c>
      <c r="B898" s="2">
        <f>COUNTIF(A:A,A898)-1</f>
        <v>1</v>
      </c>
      <c r="C898" s="2">
        <f>COUNTIF(A$1:A898,A898)-1</f>
        <v>1</v>
      </c>
      <c r="D898" s="2" t="str">
        <f>Argument!D898</f>
        <v>v</v>
      </c>
      <c r="E898" s="2" t="str">
        <f t="shared" ref="E898:E961" si="28">IF(C898=0,IF(SUMIFS(H:H,A:A,A898),IF(COUNTIFS(A:A,A898,G:G,64),,"v")&amp;IF(F898,"ar","a"),IF(F898,"r","v")),"")</f>
        <v/>
      </c>
      <c r="F898" s="2" t="str">
        <f>IF(C898=0,ISTEXT(FORMULA.CONVERT("="&amp;A898&amp;"("&amp;REPLACE(REPT(",#ref!",B898),1,1,"")&amp;")()",1)),"")</f>
        <v/>
      </c>
      <c r="G898" s="2">
        <f>TYPE(FISHERINV({1}))</f>
        <v>64</v>
      </c>
      <c r="H898" s="2" t="str">
        <f t="shared" ref="H898:H961" si="29">IF((I898=64)*(J898=B898)+(1-L898)*COUNTIF(D898,"*v*")+(1-N898)*COUNTIF(D898,"*r*"),1,"")</f>
        <v/>
      </c>
      <c r="I898" s="2">
        <f>TYPE(FISHERINV(IF(1,1)))</f>
        <v>1</v>
      </c>
      <c r="J898" s="2" t="str">
        <f>IF(C898=0,COUNTIFS(A:A,A898,D:D,"a"),"")</f>
        <v/>
      </c>
      <c r="K898" s="2">
        <f>INDEX(+FISHERINV(K898:L898),)</f>
        <v>0</v>
      </c>
      <c r="L898" s="1">
        <v>1</v>
      </c>
      <c r="M898" s="2" t="e">
        <f>INDEX(+FISHERINV(INDIRECT(M898:N898)),)</f>
        <v>#REF!</v>
      </c>
      <c r="N898" s="1">
        <v>1</v>
      </c>
    </row>
    <row r="899" spans="1:14" x14ac:dyDescent="0.55000000000000004">
      <c r="A899" s="1" t="s">
        <v>1733</v>
      </c>
      <c r="B899" s="2">
        <f>COUNTIF(A:A,A899)-1</f>
        <v>2</v>
      </c>
      <c r="C899" s="2">
        <f>COUNTIF(A$1:A899,A899)-1</f>
        <v>0</v>
      </c>
      <c r="D899" s="2" t="str">
        <f>Argument!D899</f>
        <v/>
      </c>
      <c r="E899" s="2" t="str">
        <f t="shared" si="28"/>
        <v>v</v>
      </c>
      <c r="F899" s="2" t="b">
        <f>IF(C899=0,ISTEXT(FORMULA.CONVERT("="&amp;A899&amp;"("&amp;REPLACE(REPT(",#ref!",B899),1,1,"")&amp;")()",1)),"")</f>
        <v>0</v>
      </c>
      <c r="G899" s="2"/>
      <c r="H899" s="2" t="str">
        <f t="shared" si="29"/>
        <v/>
      </c>
      <c r="I899" s="2">
        <f>TYPE(FLOOR(IF(1,1),IF(1,1)))</f>
        <v>1</v>
      </c>
      <c r="J899" s="2">
        <f>IF(C899=0,COUNTIFS(A:A,A899,D:D,"a"),"")</f>
        <v>0</v>
      </c>
      <c r="K899" s="2"/>
      <c r="M899" s="2"/>
    </row>
    <row r="900" spans="1:14" x14ac:dyDescent="0.55000000000000004">
      <c r="A900" s="1" t="s">
        <v>1733</v>
      </c>
      <c r="B900" s="2">
        <f>COUNTIF(A:A,A900)-1</f>
        <v>2</v>
      </c>
      <c r="C900" s="2">
        <f>COUNTIF(A$1:A900,A900)-1</f>
        <v>1</v>
      </c>
      <c r="D900" s="2" t="str">
        <f>Argument!D900</f>
        <v>v</v>
      </c>
      <c r="E900" s="2" t="str">
        <f t="shared" si="28"/>
        <v/>
      </c>
      <c r="F900" s="2" t="str">
        <f>IF(C900=0,ISTEXT(FORMULA.CONVERT("="&amp;A900&amp;"("&amp;REPLACE(REPT(",#ref!",B900),1,1,"")&amp;")()",1)),"")</f>
        <v/>
      </c>
      <c r="G900" s="2">
        <f>TYPE(FLOOR({1},IF(1,1)))</f>
        <v>64</v>
      </c>
      <c r="H900" s="2" t="str">
        <f t="shared" si="29"/>
        <v/>
      </c>
      <c r="I900" s="2">
        <f>TYPE(FLOOR(IF(1,1),IF(1,1)))</f>
        <v>1</v>
      </c>
      <c r="J900" s="2" t="str">
        <f>IF(C900=0,COUNTIFS(A:A,A900,D:D,"a"),"")</f>
        <v/>
      </c>
      <c r="K900" s="2" t="e">
        <f>INDEX(+FLOOR(K900:L900,#REF!),)</f>
        <v>#REF!</v>
      </c>
      <c r="L900" s="1">
        <v>1</v>
      </c>
      <c r="M900" s="2" t="e">
        <f>INDEX(+FLOOR(INDIRECT(M900:N900),#REF!),)</f>
        <v>#REF!</v>
      </c>
      <c r="N900" s="1">
        <v>1</v>
      </c>
    </row>
    <row r="901" spans="1:14" x14ac:dyDescent="0.55000000000000004">
      <c r="A901" s="1" t="s">
        <v>1733</v>
      </c>
      <c r="B901" s="2">
        <f>COUNTIF(A:A,A901)-1</f>
        <v>2</v>
      </c>
      <c r="C901" s="2">
        <f>COUNTIF(A$1:A901,A901)-1</f>
        <v>2</v>
      </c>
      <c r="D901" s="2" t="str">
        <f>Argument!D901</f>
        <v>v</v>
      </c>
      <c r="E901" s="2" t="str">
        <f t="shared" si="28"/>
        <v/>
      </c>
      <c r="F901" s="2" t="str">
        <f>IF(C901=0,ISTEXT(FORMULA.CONVERT("="&amp;A901&amp;"("&amp;REPLACE(REPT(",#ref!",B901),1,1,"")&amp;")()",1)),"")</f>
        <v/>
      </c>
      <c r="G901" s="2">
        <f>TYPE(FLOOR(IF(1,1),{1}))</f>
        <v>64</v>
      </c>
      <c r="H901" s="2" t="str">
        <f t="shared" si="29"/>
        <v/>
      </c>
      <c r="I901" s="2">
        <f>TYPE(FLOOR(IF(1,1),IF(1,1)))</f>
        <v>1</v>
      </c>
      <c r="J901" s="2" t="str">
        <f>IF(C901=0,COUNTIFS(A:A,A901,D:D,"a"),"")</f>
        <v/>
      </c>
      <c r="K901" s="2" t="e">
        <f>INDEX(+FLOOR(#REF!,K901:L901),)</f>
        <v>#REF!</v>
      </c>
      <c r="L901" s="1">
        <v>1</v>
      </c>
      <c r="M901" s="2" t="e">
        <f>INDEX(+FLOOR(#REF!,INDIRECT(M901:N901)),)</f>
        <v>#REF!</v>
      </c>
      <c r="N901" s="1">
        <v>1</v>
      </c>
    </row>
    <row r="902" spans="1:14" x14ac:dyDescent="0.55000000000000004">
      <c r="A902" s="1" t="s">
        <v>1734</v>
      </c>
      <c r="B902" s="2">
        <f>COUNTIF(A:A,A902)-1</f>
        <v>4</v>
      </c>
      <c r="C902" s="2">
        <f>COUNTIF(A$1:A902,A902)-1</f>
        <v>0</v>
      </c>
      <c r="D902" s="2" t="str">
        <f>Argument!D902</f>
        <v/>
      </c>
      <c r="E902" s="2" t="str">
        <f t="shared" si="28"/>
        <v>v</v>
      </c>
      <c r="F902" s="2" t="b">
        <f>IF(C902=0,ISTEXT(FORMULA.CONVERT("="&amp;A902&amp;"("&amp;REPLACE(REPT(",#ref!",B902),1,1,"")&amp;")()",1)),"")</f>
        <v>0</v>
      </c>
      <c r="G902" s="2"/>
      <c r="H902" s="2" t="str">
        <f t="shared" si="29"/>
        <v/>
      </c>
      <c r="I902" s="2">
        <f>TYPE(GAMMADIST(IF(1,1),IF(1,1),IF(1,1),IF(1,1)))</f>
        <v>1</v>
      </c>
      <c r="J902" s="2">
        <f>IF(C902=0,COUNTIFS(A:A,A902,D:D,"a"),"")</f>
        <v>0</v>
      </c>
      <c r="K902" s="2"/>
      <c r="M902" s="2"/>
    </row>
    <row r="903" spans="1:14" x14ac:dyDescent="0.55000000000000004">
      <c r="A903" s="1" t="s">
        <v>1734</v>
      </c>
      <c r="B903" s="2">
        <f>COUNTIF(A:A,A903)-1</f>
        <v>4</v>
      </c>
      <c r="C903" s="2">
        <f>COUNTIF(A$1:A903,A903)-1</f>
        <v>1</v>
      </c>
      <c r="D903" s="2" t="str">
        <f>Argument!D903</f>
        <v>v</v>
      </c>
      <c r="E903" s="2" t="str">
        <f t="shared" si="28"/>
        <v/>
      </c>
      <c r="F903" s="2" t="str">
        <f>IF(C903=0,ISTEXT(FORMULA.CONVERT("="&amp;A903&amp;"("&amp;REPLACE(REPT(",#ref!",B903),1,1,"")&amp;")()",1)),"")</f>
        <v/>
      </c>
      <c r="G903" s="2">
        <f>TYPE(GAMMADIST({1},IF(1,1),IF(1,1),IF(1,1)))</f>
        <v>64</v>
      </c>
      <c r="H903" s="2" t="str">
        <f t="shared" si="29"/>
        <v/>
      </c>
      <c r="I903" s="2">
        <f>TYPE(GAMMADIST(IF(1,1),IF(1,1),IF(1,1),IF(1,1)))</f>
        <v>1</v>
      </c>
      <c r="J903" s="2" t="str">
        <f>IF(C903=0,COUNTIFS(A:A,A903,D:D,"a"),"")</f>
        <v/>
      </c>
      <c r="K903" s="2" t="e">
        <f>INDEX(+GAMMADIST(K903:L903,#REF!,#REF!,#REF!),)</f>
        <v>#REF!</v>
      </c>
      <c r="L903" s="1">
        <v>1</v>
      </c>
      <c r="M903" s="2" t="e">
        <f>INDEX(+GAMMADIST(INDIRECT(M903:N903),#REF!,#REF!,#REF!),)</f>
        <v>#REF!</v>
      </c>
      <c r="N903" s="1">
        <v>1</v>
      </c>
    </row>
    <row r="904" spans="1:14" x14ac:dyDescent="0.55000000000000004">
      <c r="A904" s="1" t="s">
        <v>1734</v>
      </c>
      <c r="B904" s="2">
        <f>COUNTIF(A:A,A904)-1</f>
        <v>4</v>
      </c>
      <c r="C904" s="2">
        <f>COUNTIF(A$1:A904,A904)-1</f>
        <v>2</v>
      </c>
      <c r="D904" s="2" t="str">
        <f>Argument!D904</f>
        <v>v</v>
      </c>
      <c r="E904" s="2" t="str">
        <f t="shared" si="28"/>
        <v/>
      </c>
      <c r="F904" s="2" t="str">
        <f>IF(C904=0,ISTEXT(FORMULA.CONVERT("="&amp;A904&amp;"("&amp;REPLACE(REPT(",#ref!",B904),1,1,"")&amp;")()",1)),"")</f>
        <v/>
      </c>
      <c r="G904" s="2">
        <f>TYPE(GAMMADIST(IF(1,1),{1},IF(1,1),IF(1,1)))</f>
        <v>64</v>
      </c>
      <c r="H904" s="2" t="str">
        <f t="shared" si="29"/>
        <v/>
      </c>
      <c r="I904" s="2">
        <f>TYPE(GAMMADIST(IF(1,1),IF(1,1),IF(1,1),IF(1,1)))</f>
        <v>1</v>
      </c>
      <c r="J904" s="2" t="str">
        <f>IF(C904=0,COUNTIFS(A:A,A904,D:D,"a"),"")</f>
        <v/>
      </c>
      <c r="K904" s="2" t="e">
        <f>INDEX(+GAMMADIST(#REF!,K904:L904,#REF!,#REF!),)</f>
        <v>#REF!</v>
      </c>
      <c r="L904" s="1">
        <v>1</v>
      </c>
      <c r="M904" s="2" t="e">
        <f>INDEX(+GAMMADIST(#REF!,INDIRECT(M904:N904),#REF!,#REF!),)</f>
        <v>#REF!</v>
      </c>
      <c r="N904" s="1">
        <v>1</v>
      </c>
    </row>
    <row r="905" spans="1:14" x14ac:dyDescent="0.55000000000000004">
      <c r="A905" s="1" t="s">
        <v>1734</v>
      </c>
      <c r="B905" s="2">
        <f>COUNTIF(A:A,A905)-1</f>
        <v>4</v>
      </c>
      <c r="C905" s="2">
        <f>COUNTIF(A$1:A905,A905)-1</f>
        <v>3</v>
      </c>
      <c r="D905" s="2" t="str">
        <f>Argument!D905</f>
        <v>v</v>
      </c>
      <c r="E905" s="2" t="str">
        <f t="shared" si="28"/>
        <v/>
      </c>
      <c r="F905" s="2" t="str">
        <f>IF(C905=0,ISTEXT(FORMULA.CONVERT("="&amp;A905&amp;"("&amp;REPLACE(REPT(",#ref!",B905),1,1,"")&amp;")()",1)),"")</f>
        <v/>
      </c>
      <c r="G905" s="2">
        <f>TYPE(GAMMADIST(IF(1,1),IF(1,1),{1},IF(1,1)))</f>
        <v>64</v>
      </c>
      <c r="H905" s="2" t="str">
        <f t="shared" si="29"/>
        <v/>
      </c>
      <c r="I905" s="2">
        <f>TYPE(GAMMADIST(IF(1,1),IF(1,1),IF(1,1),IF(1,1)))</f>
        <v>1</v>
      </c>
      <c r="J905" s="2" t="str">
        <f>IF(C905=0,COUNTIFS(A:A,A905,D:D,"a"),"")</f>
        <v/>
      </c>
      <c r="K905" s="2" t="e">
        <f>INDEX(+GAMMADIST(#REF!,#REF!,K905:L905,#REF!),)</f>
        <v>#REF!</v>
      </c>
      <c r="L905" s="1">
        <v>1</v>
      </c>
      <c r="M905" s="2" t="e">
        <f>INDEX(+GAMMADIST(#REF!,#REF!,INDIRECT(M905:N905),#REF!),)</f>
        <v>#REF!</v>
      </c>
      <c r="N905" s="1">
        <v>1</v>
      </c>
    </row>
    <row r="906" spans="1:14" x14ac:dyDescent="0.55000000000000004">
      <c r="A906" s="1" t="s">
        <v>1734</v>
      </c>
      <c r="B906" s="2">
        <f>COUNTIF(A:A,A906)-1</f>
        <v>4</v>
      </c>
      <c r="C906" s="2">
        <f>COUNTIF(A$1:A906,A906)-1</f>
        <v>4</v>
      </c>
      <c r="D906" s="2" t="str">
        <f>Argument!D906</f>
        <v>v</v>
      </c>
      <c r="E906" s="2" t="str">
        <f t="shared" si="28"/>
        <v/>
      </c>
      <c r="F906" s="2" t="str">
        <f>IF(C906=0,ISTEXT(FORMULA.CONVERT("="&amp;A906&amp;"("&amp;REPLACE(REPT(",#ref!",B906),1,1,"")&amp;")()",1)),"")</f>
        <v/>
      </c>
      <c r="G906" s="2">
        <f>TYPE(GAMMADIST(IF(1,1),IF(1,1),IF(1,1),{1}))</f>
        <v>64</v>
      </c>
      <c r="H906" s="2" t="str">
        <f t="shared" si="29"/>
        <v/>
      </c>
      <c r="I906" s="2">
        <f>TYPE(GAMMADIST(IF(1,1),IF(1,1),IF(1,1),IF(1,1)))</f>
        <v>1</v>
      </c>
      <c r="J906" s="2" t="str">
        <f>IF(C906=0,COUNTIFS(A:A,A906,D:D,"a"),"")</f>
        <v/>
      </c>
      <c r="K906" s="2" t="e">
        <f>INDEX(+GAMMADIST(#REF!,#REF!,#REF!,K906:L906),)</f>
        <v>#REF!</v>
      </c>
      <c r="L906" s="1">
        <v>1</v>
      </c>
      <c r="M906" s="2" t="e">
        <f>INDEX(+GAMMADIST(#REF!,#REF!,#REF!,INDIRECT(M906:N906)),)</f>
        <v>#REF!</v>
      </c>
      <c r="N906" s="1">
        <v>1</v>
      </c>
    </row>
    <row r="907" spans="1:14" x14ac:dyDescent="0.55000000000000004">
      <c r="A907" s="1" t="s">
        <v>1735</v>
      </c>
      <c r="B907" s="2">
        <f>COUNTIF(A:A,A907)-1</f>
        <v>3</v>
      </c>
      <c r="C907" s="2">
        <f>COUNTIF(A$1:A907,A907)-1</f>
        <v>0</v>
      </c>
      <c r="D907" s="2" t="str">
        <f>Argument!D907</f>
        <v/>
      </c>
      <c r="E907" s="2" t="str">
        <f t="shared" si="28"/>
        <v>v</v>
      </c>
      <c r="F907" s="2" t="b">
        <f>IF(C907=0,ISTEXT(FORMULA.CONVERT("="&amp;A907&amp;"("&amp;REPLACE(REPT(",#ref!",B907),1,1,"")&amp;")()",1)),"")</f>
        <v>0</v>
      </c>
      <c r="G907" s="2"/>
      <c r="H907" s="2" t="str">
        <f t="shared" si="29"/>
        <v/>
      </c>
      <c r="I907" s="2">
        <f>TYPE(GAMMAINV(IF(1,1),IF(1,1),IF(1,1)))</f>
        <v>16</v>
      </c>
      <c r="J907" s="2">
        <f>IF(C907=0,COUNTIFS(A:A,A907,D:D,"a"),"")</f>
        <v>0</v>
      </c>
      <c r="K907" s="2"/>
      <c r="M907" s="2"/>
    </row>
    <row r="908" spans="1:14" x14ac:dyDescent="0.55000000000000004">
      <c r="A908" s="1" t="s">
        <v>1735</v>
      </c>
      <c r="B908" s="2">
        <f>COUNTIF(A:A,A908)-1</f>
        <v>3</v>
      </c>
      <c r="C908" s="2">
        <f>COUNTIF(A$1:A908,A908)-1</f>
        <v>1</v>
      </c>
      <c r="D908" s="2" t="str">
        <f>Argument!D908</f>
        <v>v</v>
      </c>
      <c r="E908" s="2" t="str">
        <f t="shared" si="28"/>
        <v/>
      </c>
      <c r="F908" s="2" t="str">
        <f>IF(C908=0,ISTEXT(FORMULA.CONVERT("="&amp;A908&amp;"("&amp;REPLACE(REPT(",#ref!",B908),1,1,"")&amp;")()",1)),"")</f>
        <v/>
      </c>
      <c r="G908" s="2">
        <f>TYPE(GAMMAINV({1},IF(1,1),IF(1,1)))</f>
        <v>64</v>
      </c>
      <c r="H908" s="2" t="str">
        <f t="shared" si="29"/>
        <v/>
      </c>
      <c r="I908" s="2">
        <f>TYPE(GAMMAINV(IF(1,1),IF(1,1),IF(1,1)))</f>
        <v>16</v>
      </c>
      <c r="J908" s="2" t="str">
        <f>IF(C908=0,COUNTIFS(A:A,A908,D:D,"a"),"")</f>
        <v/>
      </c>
      <c r="K908" s="2" t="e">
        <f>INDEX(+GAMMAINV(K908:L908,#REF!,#REF!),)</f>
        <v>#REF!</v>
      </c>
      <c r="L908" s="1">
        <v>1</v>
      </c>
      <c r="M908" s="2" t="e">
        <f>INDEX(+GAMMAINV(INDIRECT(M908:N908),#REF!,#REF!),)</f>
        <v>#REF!</v>
      </c>
      <c r="N908" s="1">
        <v>1</v>
      </c>
    </row>
    <row r="909" spans="1:14" x14ac:dyDescent="0.55000000000000004">
      <c r="A909" s="1" t="s">
        <v>1735</v>
      </c>
      <c r="B909" s="2">
        <f>COUNTIF(A:A,A909)-1</f>
        <v>3</v>
      </c>
      <c r="C909" s="2">
        <f>COUNTIF(A$1:A909,A909)-1</f>
        <v>2</v>
      </c>
      <c r="D909" s="2" t="str">
        <f>Argument!D909</f>
        <v>v</v>
      </c>
      <c r="E909" s="2" t="str">
        <f t="shared" si="28"/>
        <v/>
      </c>
      <c r="F909" s="2" t="str">
        <f>IF(C909=0,ISTEXT(FORMULA.CONVERT("="&amp;A909&amp;"("&amp;REPLACE(REPT(",#ref!",B909),1,1,"")&amp;")()",1)),"")</f>
        <v/>
      </c>
      <c r="G909" s="2">
        <f>TYPE(GAMMAINV(IF(1,1),{1},IF(1,1)))</f>
        <v>64</v>
      </c>
      <c r="H909" s="2" t="str">
        <f t="shared" si="29"/>
        <v/>
      </c>
      <c r="I909" s="2">
        <f>TYPE(GAMMAINV(IF(1,1),IF(1,1),IF(1,1)))</f>
        <v>16</v>
      </c>
      <c r="J909" s="2" t="str">
        <f>IF(C909=0,COUNTIFS(A:A,A909,D:D,"a"),"")</f>
        <v/>
      </c>
      <c r="K909" s="2" t="e">
        <f>INDEX(+GAMMAINV(#REF!,K909:L909,#REF!),)</f>
        <v>#REF!</v>
      </c>
      <c r="L909" s="1">
        <v>1</v>
      </c>
      <c r="M909" s="2" t="e">
        <f>INDEX(+GAMMAINV(#REF!,INDIRECT(M909:N909),#REF!),)</f>
        <v>#REF!</v>
      </c>
      <c r="N909" s="1">
        <v>1</v>
      </c>
    </row>
    <row r="910" spans="1:14" x14ac:dyDescent="0.55000000000000004">
      <c r="A910" s="1" t="s">
        <v>1735</v>
      </c>
      <c r="B910" s="2">
        <f>COUNTIF(A:A,A910)-1</f>
        <v>3</v>
      </c>
      <c r="C910" s="2">
        <f>COUNTIF(A$1:A910,A910)-1</f>
        <v>3</v>
      </c>
      <c r="D910" s="2" t="str">
        <f>Argument!D910</f>
        <v>v</v>
      </c>
      <c r="E910" s="2" t="str">
        <f t="shared" si="28"/>
        <v/>
      </c>
      <c r="F910" s="2" t="str">
        <f>IF(C910=0,ISTEXT(FORMULA.CONVERT("="&amp;A910&amp;"("&amp;REPLACE(REPT(",#ref!",B910),1,1,"")&amp;")()",1)),"")</f>
        <v/>
      </c>
      <c r="G910" s="2">
        <f>TYPE(GAMMAINV(IF(1,1),IF(1,1),{1}))</f>
        <v>64</v>
      </c>
      <c r="H910" s="2" t="str">
        <f t="shared" si="29"/>
        <v/>
      </c>
      <c r="I910" s="2">
        <f>TYPE(GAMMAINV(IF(1,1),IF(1,1),IF(1,1)))</f>
        <v>16</v>
      </c>
      <c r="J910" s="2" t="str">
        <f>IF(C910=0,COUNTIFS(A:A,A910,D:D,"a"),"")</f>
        <v/>
      </c>
      <c r="K910" s="2" t="e">
        <f>INDEX(+GAMMAINV(#REF!,#REF!,K910:L910),)</f>
        <v>#REF!</v>
      </c>
      <c r="L910" s="1">
        <v>1</v>
      </c>
      <c r="M910" s="2" t="e">
        <f>INDEX(+GAMMAINV(#REF!,#REF!,INDIRECT(M910:N910)),)</f>
        <v>#REF!</v>
      </c>
      <c r="N910" s="1">
        <v>1</v>
      </c>
    </row>
    <row r="911" spans="1:14" x14ac:dyDescent="0.55000000000000004">
      <c r="A911" s="1" t="s">
        <v>1736</v>
      </c>
      <c r="B911" s="2">
        <f>COUNTIF(A:A,A911)-1</f>
        <v>2</v>
      </c>
      <c r="C911" s="2">
        <f>COUNTIF(A$1:A911,A911)-1</f>
        <v>0</v>
      </c>
      <c r="D911" s="2" t="str">
        <f>Argument!D911</f>
        <v/>
      </c>
      <c r="E911" s="2" t="str">
        <f t="shared" si="28"/>
        <v>v</v>
      </c>
      <c r="F911" s="2" t="b">
        <f>IF(C911=0,ISTEXT(FORMULA.CONVERT("="&amp;A911&amp;"("&amp;REPLACE(REPT(",#ref!",B911),1,1,"")&amp;")()",1)),"")</f>
        <v>0</v>
      </c>
      <c r="G911" s="2"/>
      <c r="H911" s="2" t="str">
        <f t="shared" si="29"/>
        <v/>
      </c>
      <c r="I911" s="2">
        <f>TYPE(CEILING(IF(1,1),IF(1,1)))</f>
        <v>1</v>
      </c>
      <c r="J911" s="2">
        <f>IF(C911=0,COUNTIFS(A:A,A911,D:D,"a"),"")</f>
        <v>0</v>
      </c>
      <c r="K911" s="2"/>
      <c r="M911" s="2"/>
    </row>
    <row r="912" spans="1:14" x14ac:dyDescent="0.55000000000000004">
      <c r="A912" s="1" t="s">
        <v>1736</v>
      </c>
      <c r="B912" s="2">
        <f>COUNTIF(A:A,A912)-1</f>
        <v>2</v>
      </c>
      <c r="C912" s="2">
        <f>COUNTIF(A$1:A912,A912)-1</f>
        <v>1</v>
      </c>
      <c r="D912" s="2" t="str">
        <f>Argument!D912</f>
        <v>v</v>
      </c>
      <c r="E912" s="2" t="str">
        <f t="shared" si="28"/>
        <v/>
      </c>
      <c r="F912" s="2" t="str">
        <f>IF(C912=0,ISTEXT(FORMULA.CONVERT("="&amp;A912&amp;"("&amp;REPLACE(REPT(",#ref!",B912),1,1,"")&amp;")()",1)),"")</f>
        <v/>
      </c>
      <c r="G912" s="2">
        <f>TYPE(CEILING({1},IF(1,1)))</f>
        <v>64</v>
      </c>
      <c r="H912" s="2" t="str">
        <f t="shared" si="29"/>
        <v/>
      </c>
      <c r="I912" s="2">
        <f>TYPE(CEILING(IF(1,1),IF(1,1)))</f>
        <v>1</v>
      </c>
      <c r="J912" s="2" t="str">
        <f>IF(C912=0,COUNTIFS(A:A,A912,D:D,"a"),"")</f>
        <v/>
      </c>
      <c r="K912" s="2" t="e">
        <f>INDEX(+CEILING(K912:L912,#REF!),)</f>
        <v>#REF!</v>
      </c>
      <c r="L912" s="1">
        <v>1</v>
      </c>
      <c r="M912" s="2" t="e">
        <f>INDEX(+CEILING(INDIRECT(M912:N912),#REF!),)</f>
        <v>#REF!</v>
      </c>
      <c r="N912" s="1">
        <v>1</v>
      </c>
    </row>
    <row r="913" spans="1:14" x14ac:dyDescent="0.55000000000000004">
      <c r="A913" s="1" t="s">
        <v>1736</v>
      </c>
      <c r="B913" s="2">
        <f>COUNTIF(A:A,A913)-1</f>
        <v>2</v>
      </c>
      <c r="C913" s="2">
        <f>COUNTIF(A$1:A913,A913)-1</f>
        <v>2</v>
      </c>
      <c r="D913" s="2" t="str">
        <f>Argument!D913</f>
        <v>v</v>
      </c>
      <c r="E913" s="2" t="str">
        <f t="shared" si="28"/>
        <v/>
      </c>
      <c r="F913" s="2" t="str">
        <f>IF(C913=0,ISTEXT(FORMULA.CONVERT("="&amp;A913&amp;"("&amp;REPLACE(REPT(",#ref!",B913),1,1,"")&amp;")()",1)),"")</f>
        <v/>
      </c>
      <c r="G913" s="2">
        <f>TYPE(CEILING(IF(1,1),{1}))</f>
        <v>64</v>
      </c>
      <c r="H913" s="2" t="str">
        <f t="shared" si="29"/>
        <v/>
      </c>
      <c r="I913" s="2">
        <f>TYPE(CEILING(IF(1,1),IF(1,1)))</f>
        <v>1</v>
      </c>
      <c r="J913" s="2" t="str">
        <f>IF(C913=0,COUNTIFS(A:A,A913,D:D,"a"),"")</f>
        <v/>
      </c>
      <c r="K913" s="2" t="e">
        <f>INDEX(+CEILING(#REF!,K913:L913),)</f>
        <v>#REF!</v>
      </c>
      <c r="L913" s="1">
        <v>1</v>
      </c>
      <c r="M913" s="2" t="e">
        <f>INDEX(+CEILING(#REF!,INDIRECT(M913:N913)),)</f>
        <v>#REF!</v>
      </c>
      <c r="N913" s="1">
        <v>1</v>
      </c>
    </row>
    <row r="914" spans="1:14" x14ac:dyDescent="0.55000000000000004">
      <c r="A914" s="1" t="s">
        <v>1737</v>
      </c>
      <c r="B914" s="2">
        <f>COUNTIF(A:A,A914)-1</f>
        <v>4</v>
      </c>
      <c r="C914" s="2">
        <f>COUNTIF(A$1:A914,A914)-1</f>
        <v>0</v>
      </c>
      <c r="D914" s="2" t="str">
        <f>Argument!D914</f>
        <v/>
      </c>
      <c r="E914" s="2" t="str">
        <f t="shared" si="28"/>
        <v>v</v>
      </c>
      <c r="F914" s="2" t="b">
        <f>IF(C914=0,ISTEXT(FORMULA.CONVERT("="&amp;A914&amp;"("&amp;REPLACE(REPT(",#ref!",B914),1,1,"")&amp;")()",1)),"")</f>
        <v>0</v>
      </c>
      <c r="G914" s="2"/>
      <c r="H914" s="2" t="str">
        <f t="shared" si="29"/>
        <v/>
      </c>
      <c r="I914" s="2">
        <f>TYPE(HYPGEOMDIST(IF(1,1),IF(1,1),IF(1,1),IF(1,1)))</f>
        <v>1</v>
      </c>
      <c r="J914" s="2">
        <f>IF(C914=0,COUNTIFS(A:A,A914,D:D,"a"),"")</f>
        <v>0</v>
      </c>
      <c r="K914" s="2"/>
      <c r="M914" s="2"/>
    </row>
    <row r="915" spans="1:14" x14ac:dyDescent="0.55000000000000004">
      <c r="A915" s="1" t="s">
        <v>1737</v>
      </c>
      <c r="B915" s="2">
        <f>COUNTIF(A:A,A915)-1</f>
        <v>4</v>
      </c>
      <c r="C915" s="2">
        <f>COUNTIF(A$1:A915,A915)-1</f>
        <v>1</v>
      </c>
      <c r="D915" s="2" t="str">
        <f>Argument!D915</f>
        <v>v</v>
      </c>
      <c r="E915" s="2" t="str">
        <f t="shared" si="28"/>
        <v/>
      </c>
      <c r="F915" s="2" t="str">
        <f>IF(C915=0,ISTEXT(FORMULA.CONVERT("="&amp;A915&amp;"("&amp;REPLACE(REPT(",#ref!",B915),1,1,"")&amp;")()",1)),"")</f>
        <v/>
      </c>
      <c r="G915" s="2">
        <f>TYPE(HYPGEOMDIST({1},IF(1,1),IF(1,1),IF(1,1)))</f>
        <v>64</v>
      </c>
      <c r="H915" s="2" t="str">
        <f t="shared" si="29"/>
        <v/>
      </c>
      <c r="I915" s="2">
        <f>TYPE(HYPGEOMDIST(IF(1,1),IF(1,1),IF(1,1),IF(1,1)))</f>
        <v>1</v>
      </c>
      <c r="J915" s="2" t="str">
        <f>IF(C915=0,COUNTIFS(A:A,A915,D:D,"a"),"")</f>
        <v/>
      </c>
      <c r="K915" s="2" t="e">
        <f>INDEX(+HYPGEOMDIST(K915:L915,#REF!,#REF!,#REF!),)</f>
        <v>#REF!</v>
      </c>
      <c r="L915" s="1">
        <v>1</v>
      </c>
      <c r="M915" s="2" t="e">
        <f>INDEX(+HYPGEOMDIST(INDIRECT(M915:N915),#REF!,#REF!,#REF!),)</f>
        <v>#REF!</v>
      </c>
      <c r="N915" s="1">
        <v>1</v>
      </c>
    </row>
    <row r="916" spans="1:14" x14ac:dyDescent="0.55000000000000004">
      <c r="A916" s="1" t="s">
        <v>1737</v>
      </c>
      <c r="B916" s="2">
        <f>COUNTIF(A:A,A916)-1</f>
        <v>4</v>
      </c>
      <c r="C916" s="2">
        <f>COUNTIF(A$1:A916,A916)-1</f>
        <v>2</v>
      </c>
      <c r="D916" s="2" t="str">
        <f>Argument!D916</f>
        <v>v</v>
      </c>
      <c r="E916" s="2" t="str">
        <f t="shared" si="28"/>
        <v/>
      </c>
      <c r="F916" s="2" t="str">
        <f>IF(C916=0,ISTEXT(FORMULA.CONVERT("="&amp;A916&amp;"("&amp;REPLACE(REPT(",#ref!",B916),1,1,"")&amp;")()",1)),"")</f>
        <v/>
      </c>
      <c r="G916" s="2">
        <f>TYPE(HYPGEOMDIST(IF(1,1),{1},IF(1,1),IF(1,1)))</f>
        <v>64</v>
      </c>
      <c r="H916" s="2" t="str">
        <f t="shared" si="29"/>
        <v/>
      </c>
      <c r="I916" s="2">
        <f>TYPE(HYPGEOMDIST(IF(1,1),IF(1,1),IF(1,1),IF(1,1)))</f>
        <v>1</v>
      </c>
      <c r="J916" s="2" t="str">
        <f>IF(C916=0,COUNTIFS(A:A,A916,D:D,"a"),"")</f>
        <v/>
      </c>
      <c r="K916" s="2" t="e">
        <f>INDEX(+HYPGEOMDIST(#REF!,K916:L916,#REF!,#REF!),)</f>
        <v>#REF!</v>
      </c>
      <c r="L916" s="1">
        <v>1</v>
      </c>
      <c r="M916" s="2" t="e">
        <f>INDEX(+HYPGEOMDIST(#REF!,INDIRECT(M916:N916),#REF!,#REF!),)</f>
        <v>#REF!</v>
      </c>
      <c r="N916" s="1">
        <v>1</v>
      </c>
    </row>
    <row r="917" spans="1:14" x14ac:dyDescent="0.55000000000000004">
      <c r="A917" s="1" t="s">
        <v>1737</v>
      </c>
      <c r="B917" s="2">
        <f>COUNTIF(A:A,A917)-1</f>
        <v>4</v>
      </c>
      <c r="C917" s="2">
        <f>COUNTIF(A$1:A917,A917)-1</f>
        <v>3</v>
      </c>
      <c r="D917" s="2" t="str">
        <f>Argument!D917</f>
        <v>v</v>
      </c>
      <c r="E917" s="2" t="str">
        <f t="shared" si="28"/>
        <v/>
      </c>
      <c r="F917" s="2" t="str">
        <f>IF(C917=0,ISTEXT(FORMULA.CONVERT("="&amp;A917&amp;"("&amp;REPLACE(REPT(",#ref!",B917),1,1,"")&amp;")()",1)),"")</f>
        <v/>
      </c>
      <c r="G917" s="2">
        <f>TYPE(HYPGEOMDIST(IF(1,1),IF(1,1),{1},IF(1,1)))</f>
        <v>64</v>
      </c>
      <c r="H917" s="2" t="str">
        <f t="shared" si="29"/>
        <v/>
      </c>
      <c r="I917" s="2">
        <f>TYPE(HYPGEOMDIST(IF(1,1),IF(1,1),IF(1,1),IF(1,1)))</f>
        <v>1</v>
      </c>
      <c r="J917" s="2" t="str">
        <f>IF(C917=0,COUNTIFS(A:A,A917,D:D,"a"),"")</f>
        <v/>
      </c>
      <c r="K917" s="2" t="e">
        <f>INDEX(+HYPGEOMDIST(#REF!,#REF!,K917:L917,#REF!),)</f>
        <v>#REF!</v>
      </c>
      <c r="L917" s="1">
        <v>1</v>
      </c>
      <c r="M917" s="2" t="e">
        <f>INDEX(+HYPGEOMDIST(#REF!,#REF!,INDIRECT(M917:N917),#REF!),)</f>
        <v>#REF!</v>
      </c>
      <c r="N917" s="1">
        <v>1</v>
      </c>
    </row>
    <row r="918" spans="1:14" x14ac:dyDescent="0.55000000000000004">
      <c r="A918" s="1" t="s">
        <v>1737</v>
      </c>
      <c r="B918" s="2">
        <f>COUNTIF(A:A,A918)-1</f>
        <v>4</v>
      </c>
      <c r="C918" s="2">
        <f>COUNTIF(A$1:A918,A918)-1</f>
        <v>4</v>
      </c>
      <c r="D918" s="2" t="str">
        <f>Argument!D918</f>
        <v>v</v>
      </c>
      <c r="E918" s="2" t="str">
        <f t="shared" si="28"/>
        <v/>
      </c>
      <c r="F918" s="2" t="str">
        <f>IF(C918=0,ISTEXT(FORMULA.CONVERT("="&amp;A918&amp;"("&amp;REPLACE(REPT(",#ref!",B918),1,1,"")&amp;")()",1)),"")</f>
        <v/>
      </c>
      <c r="G918" s="2">
        <f>TYPE(HYPGEOMDIST(IF(1,1),IF(1,1),IF(1,1),{1}))</f>
        <v>64</v>
      </c>
      <c r="H918" s="2" t="str">
        <f t="shared" si="29"/>
        <v/>
      </c>
      <c r="I918" s="2">
        <f>TYPE(HYPGEOMDIST(IF(1,1),IF(1,1),IF(1,1),IF(1,1)))</f>
        <v>1</v>
      </c>
      <c r="J918" s="2" t="str">
        <f>IF(C918=0,COUNTIFS(A:A,A918,D:D,"a"),"")</f>
        <v/>
      </c>
      <c r="K918" s="2" t="e">
        <f>INDEX(+HYPGEOMDIST(#REF!,#REF!,#REF!,K918:L918),)</f>
        <v>#REF!</v>
      </c>
      <c r="L918" s="1">
        <v>1</v>
      </c>
      <c r="M918" s="2" t="e">
        <f>INDEX(+HYPGEOMDIST(#REF!,#REF!,#REF!,INDIRECT(M918:N918)),)</f>
        <v>#REF!</v>
      </c>
      <c r="N918" s="1">
        <v>1</v>
      </c>
    </row>
    <row r="919" spans="1:14" x14ac:dyDescent="0.55000000000000004">
      <c r="A919" s="1" t="s">
        <v>1738</v>
      </c>
      <c r="B919" s="2">
        <f>COUNTIF(A:A,A919)-1</f>
        <v>3</v>
      </c>
      <c r="C919" s="2">
        <f>COUNTIF(A$1:A919,A919)-1</f>
        <v>0</v>
      </c>
      <c r="D919" s="2" t="str">
        <f>Argument!D919</f>
        <v/>
      </c>
      <c r="E919" s="2" t="str">
        <f t="shared" si="28"/>
        <v>v</v>
      </c>
      <c r="F919" s="2" t="b">
        <f>IF(C919=0,ISTEXT(FORMULA.CONVERT("="&amp;A919&amp;"("&amp;REPLACE(REPT(",#ref!",B919),1,1,"")&amp;")()",1)),"")</f>
        <v>0</v>
      </c>
      <c r="G919" s="2"/>
      <c r="H919" s="2" t="str">
        <f t="shared" si="29"/>
        <v/>
      </c>
      <c r="I919" s="2">
        <f>TYPE(LOGNORMDIST(IF(1,1),IF(1,1),IF(1,1)))</f>
        <v>1</v>
      </c>
      <c r="J919" s="2">
        <f>IF(C919=0,COUNTIFS(A:A,A919,D:D,"a"),"")</f>
        <v>0</v>
      </c>
      <c r="K919" s="2"/>
      <c r="M919" s="2"/>
    </row>
    <row r="920" spans="1:14" x14ac:dyDescent="0.55000000000000004">
      <c r="A920" s="1" t="s">
        <v>1738</v>
      </c>
      <c r="B920" s="2">
        <f>COUNTIF(A:A,A920)-1</f>
        <v>3</v>
      </c>
      <c r="C920" s="2">
        <f>COUNTIF(A$1:A920,A920)-1</f>
        <v>1</v>
      </c>
      <c r="D920" s="2" t="str">
        <f>Argument!D920</f>
        <v>v</v>
      </c>
      <c r="E920" s="2" t="str">
        <f t="shared" si="28"/>
        <v/>
      </c>
      <c r="F920" s="2" t="str">
        <f>IF(C920=0,ISTEXT(FORMULA.CONVERT("="&amp;A920&amp;"("&amp;REPLACE(REPT(",#ref!",B920),1,1,"")&amp;")()",1)),"")</f>
        <v/>
      </c>
      <c r="G920" s="2">
        <f>TYPE(LOGNORMDIST({1},IF(1,1),IF(1,1)))</f>
        <v>64</v>
      </c>
      <c r="H920" s="2" t="str">
        <f t="shared" si="29"/>
        <v/>
      </c>
      <c r="I920" s="2">
        <f>TYPE(LOGNORMDIST(IF(1,1),IF(1,1),IF(1,1)))</f>
        <v>1</v>
      </c>
      <c r="J920" s="2" t="str">
        <f>IF(C920=0,COUNTIFS(A:A,A920,D:D,"a"),"")</f>
        <v/>
      </c>
      <c r="K920" s="2" t="e">
        <f>INDEX(+LOGNORMDIST(K920:L920,#REF!,#REF!),)</f>
        <v>#REF!</v>
      </c>
      <c r="L920" s="1">
        <v>1</v>
      </c>
      <c r="M920" s="2" t="e">
        <f>INDEX(+LOGNORMDIST(INDIRECT(M920:N920),#REF!,#REF!),)</f>
        <v>#REF!</v>
      </c>
      <c r="N920" s="1">
        <v>1</v>
      </c>
    </row>
    <row r="921" spans="1:14" x14ac:dyDescent="0.55000000000000004">
      <c r="A921" s="1" t="s">
        <v>1738</v>
      </c>
      <c r="B921" s="2">
        <f>COUNTIF(A:A,A921)-1</f>
        <v>3</v>
      </c>
      <c r="C921" s="2">
        <f>COUNTIF(A$1:A921,A921)-1</f>
        <v>2</v>
      </c>
      <c r="D921" s="2" t="str">
        <f>Argument!D921</f>
        <v>v</v>
      </c>
      <c r="E921" s="2" t="str">
        <f t="shared" si="28"/>
        <v/>
      </c>
      <c r="F921" s="2" t="str">
        <f>IF(C921=0,ISTEXT(FORMULA.CONVERT("="&amp;A921&amp;"("&amp;REPLACE(REPT(",#ref!",B921),1,1,"")&amp;")()",1)),"")</f>
        <v/>
      </c>
      <c r="G921" s="2">
        <f>TYPE(LOGNORMDIST(IF(1,1),{1},IF(1,1)))</f>
        <v>64</v>
      </c>
      <c r="H921" s="2" t="str">
        <f t="shared" si="29"/>
        <v/>
      </c>
      <c r="I921" s="2">
        <f>TYPE(LOGNORMDIST(IF(1,1),IF(1,1),IF(1,1)))</f>
        <v>1</v>
      </c>
      <c r="J921" s="2" t="str">
        <f>IF(C921=0,COUNTIFS(A:A,A921,D:D,"a"),"")</f>
        <v/>
      </c>
      <c r="K921" s="2" t="e">
        <f>INDEX(+LOGNORMDIST(#REF!,K921:L921,#REF!),)</f>
        <v>#REF!</v>
      </c>
      <c r="L921" s="1">
        <v>1</v>
      </c>
      <c r="M921" s="2" t="e">
        <f>INDEX(+LOGNORMDIST(#REF!,INDIRECT(M921:N921),#REF!),)</f>
        <v>#REF!</v>
      </c>
      <c r="N921" s="1">
        <v>1</v>
      </c>
    </row>
    <row r="922" spans="1:14" x14ac:dyDescent="0.55000000000000004">
      <c r="A922" s="1" t="s">
        <v>1738</v>
      </c>
      <c r="B922" s="2">
        <f>COUNTIF(A:A,A922)-1</f>
        <v>3</v>
      </c>
      <c r="C922" s="2">
        <f>COUNTIF(A$1:A922,A922)-1</f>
        <v>3</v>
      </c>
      <c r="D922" s="2" t="str">
        <f>Argument!D922</f>
        <v>v</v>
      </c>
      <c r="E922" s="2" t="str">
        <f t="shared" si="28"/>
        <v/>
      </c>
      <c r="F922" s="2" t="str">
        <f>IF(C922=0,ISTEXT(FORMULA.CONVERT("="&amp;A922&amp;"("&amp;REPLACE(REPT(",#ref!",B922),1,1,"")&amp;")()",1)),"")</f>
        <v/>
      </c>
      <c r="G922" s="2">
        <f>TYPE(LOGNORMDIST(IF(1,1),IF(1,1),{1}))</f>
        <v>64</v>
      </c>
      <c r="H922" s="2" t="str">
        <f t="shared" si="29"/>
        <v/>
      </c>
      <c r="I922" s="2">
        <f>TYPE(LOGNORMDIST(IF(1,1),IF(1,1),IF(1,1)))</f>
        <v>1</v>
      </c>
      <c r="J922" s="2" t="str">
        <f>IF(C922=0,COUNTIFS(A:A,A922,D:D,"a"),"")</f>
        <v/>
      </c>
      <c r="K922" s="2" t="e">
        <f>INDEX(+LOGNORMDIST(#REF!,#REF!,K922:L922),)</f>
        <v>#REF!</v>
      </c>
      <c r="L922" s="1">
        <v>1</v>
      </c>
      <c r="M922" s="2" t="e">
        <f>INDEX(+LOGNORMDIST(#REF!,#REF!,INDIRECT(M922:N922)),)</f>
        <v>#REF!</v>
      </c>
      <c r="N922" s="1">
        <v>1</v>
      </c>
    </row>
    <row r="923" spans="1:14" x14ac:dyDescent="0.55000000000000004">
      <c r="A923" s="1" t="s">
        <v>1739</v>
      </c>
      <c r="B923" s="2">
        <f>COUNTIF(A:A,A923)-1</f>
        <v>3</v>
      </c>
      <c r="C923" s="2">
        <f>COUNTIF(A$1:A923,A923)-1</f>
        <v>0</v>
      </c>
      <c r="D923" s="2" t="str">
        <f>Argument!D923</f>
        <v/>
      </c>
      <c r="E923" s="2" t="str">
        <f t="shared" si="28"/>
        <v>v</v>
      </c>
      <c r="F923" s="2" t="b">
        <f>IF(C923=0,ISTEXT(FORMULA.CONVERT("="&amp;A923&amp;"("&amp;REPLACE(REPT(",#ref!",B923),1,1,"")&amp;")()",1)),"")</f>
        <v>0</v>
      </c>
      <c r="G923" s="2"/>
      <c r="H923" s="2" t="str">
        <f t="shared" si="29"/>
        <v/>
      </c>
      <c r="I923" s="2">
        <f>TYPE(LOGINV(IF(1,1),IF(1,1),IF(1,1)))</f>
        <v>16</v>
      </c>
      <c r="J923" s="2">
        <f>IF(C923=0,COUNTIFS(A:A,A923,D:D,"a"),"")</f>
        <v>0</v>
      </c>
      <c r="K923" s="2"/>
      <c r="M923" s="2"/>
    </row>
    <row r="924" spans="1:14" x14ac:dyDescent="0.55000000000000004">
      <c r="A924" s="1" t="s">
        <v>1739</v>
      </c>
      <c r="B924" s="2">
        <f>COUNTIF(A:A,A924)-1</f>
        <v>3</v>
      </c>
      <c r="C924" s="2">
        <f>COUNTIF(A$1:A924,A924)-1</f>
        <v>1</v>
      </c>
      <c r="D924" s="2" t="str">
        <f>Argument!D924</f>
        <v>v</v>
      </c>
      <c r="E924" s="2" t="str">
        <f t="shared" si="28"/>
        <v/>
      </c>
      <c r="F924" s="2" t="str">
        <f>IF(C924=0,ISTEXT(FORMULA.CONVERT("="&amp;A924&amp;"("&amp;REPLACE(REPT(",#ref!",B924),1,1,"")&amp;")()",1)),"")</f>
        <v/>
      </c>
      <c r="G924" s="2">
        <f>TYPE(LOGINV({1},IF(1,1),IF(1,1)))</f>
        <v>64</v>
      </c>
      <c r="H924" s="2" t="str">
        <f t="shared" si="29"/>
        <v/>
      </c>
      <c r="I924" s="2">
        <f>TYPE(LOGINV(IF(1,1),IF(1,1),IF(1,1)))</f>
        <v>16</v>
      </c>
      <c r="J924" s="2" t="str">
        <f>IF(C924=0,COUNTIFS(A:A,A924,D:D,"a"),"")</f>
        <v/>
      </c>
      <c r="K924" s="2" t="e">
        <f>INDEX(+LOGINV(K924:L924,#REF!,#REF!),)</f>
        <v>#REF!</v>
      </c>
      <c r="L924" s="1">
        <v>1</v>
      </c>
      <c r="M924" s="2" t="e">
        <f>INDEX(+LOGINV(INDIRECT(M924:N924),#REF!,#REF!),)</f>
        <v>#REF!</v>
      </c>
      <c r="N924" s="1">
        <v>1</v>
      </c>
    </row>
    <row r="925" spans="1:14" x14ac:dyDescent="0.55000000000000004">
      <c r="A925" s="1" t="s">
        <v>1739</v>
      </c>
      <c r="B925" s="2">
        <f>COUNTIF(A:A,A925)-1</f>
        <v>3</v>
      </c>
      <c r="C925" s="2">
        <f>COUNTIF(A$1:A925,A925)-1</f>
        <v>2</v>
      </c>
      <c r="D925" s="2" t="str">
        <f>Argument!D925</f>
        <v>v</v>
      </c>
      <c r="E925" s="2" t="str">
        <f t="shared" si="28"/>
        <v/>
      </c>
      <c r="F925" s="2" t="str">
        <f>IF(C925=0,ISTEXT(FORMULA.CONVERT("="&amp;A925&amp;"("&amp;REPLACE(REPT(",#ref!",B925),1,1,"")&amp;")()",1)),"")</f>
        <v/>
      </c>
      <c r="G925" s="2">
        <f>TYPE(LOGINV(IF(1,1),{1},IF(1,1)))</f>
        <v>64</v>
      </c>
      <c r="H925" s="2" t="str">
        <f t="shared" si="29"/>
        <v/>
      </c>
      <c r="I925" s="2">
        <f>TYPE(LOGINV(IF(1,1),IF(1,1),IF(1,1)))</f>
        <v>16</v>
      </c>
      <c r="J925" s="2" t="str">
        <f>IF(C925=0,COUNTIFS(A:A,A925,D:D,"a"),"")</f>
        <v/>
      </c>
      <c r="K925" s="2" t="e">
        <f>INDEX(+LOGINV(#REF!,K925:L925,#REF!),)</f>
        <v>#REF!</v>
      </c>
      <c r="L925" s="1">
        <v>1</v>
      </c>
      <c r="M925" s="2" t="e">
        <f>INDEX(+LOGINV(#REF!,INDIRECT(M925:N925),#REF!),)</f>
        <v>#REF!</v>
      </c>
      <c r="N925" s="1">
        <v>1</v>
      </c>
    </row>
    <row r="926" spans="1:14" x14ac:dyDescent="0.55000000000000004">
      <c r="A926" s="1" t="s">
        <v>1739</v>
      </c>
      <c r="B926" s="2">
        <f>COUNTIF(A:A,A926)-1</f>
        <v>3</v>
      </c>
      <c r="C926" s="2">
        <f>COUNTIF(A$1:A926,A926)-1</f>
        <v>3</v>
      </c>
      <c r="D926" s="2" t="str">
        <f>Argument!D926</f>
        <v>v</v>
      </c>
      <c r="E926" s="2" t="str">
        <f t="shared" si="28"/>
        <v/>
      </c>
      <c r="F926" s="2" t="str">
        <f>IF(C926=0,ISTEXT(FORMULA.CONVERT("="&amp;A926&amp;"("&amp;REPLACE(REPT(",#ref!",B926),1,1,"")&amp;")()",1)),"")</f>
        <v/>
      </c>
      <c r="G926" s="2">
        <f>TYPE(LOGINV(IF(1,1),IF(1,1),{1}))</f>
        <v>64</v>
      </c>
      <c r="H926" s="2" t="str">
        <f t="shared" si="29"/>
        <v/>
      </c>
      <c r="I926" s="2">
        <f>TYPE(LOGINV(IF(1,1),IF(1,1),IF(1,1)))</f>
        <v>16</v>
      </c>
      <c r="J926" s="2" t="str">
        <f>IF(C926=0,COUNTIFS(A:A,A926,D:D,"a"),"")</f>
        <v/>
      </c>
      <c r="K926" s="2" t="e">
        <f>INDEX(+LOGINV(#REF!,#REF!,K926:L926),)</f>
        <v>#REF!</v>
      </c>
      <c r="L926" s="1">
        <v>1</v>
      </c>
      <c r="M926" s="2" t="e">
        <f>INDEX(+LOGINV(#REF!,#REF!,INDIRECT(M926:N926)),)</f>
        <v>#REF!</v>
      </c>
      <c r="N926" s="1">
        <v>1</v>
      </c>
    </row>
    <row r="927" spans="1:14" x14ac:dyDescent="0.55000000000000004">
      <c r="A927" s="1" t="s">
        <v>1740</v>
      </c>
      <c r="B927" s="2">
        <f>COUNTIF(A:A,A927)-1</f>
        <v>3</v>
      </c>
      <c r="C927" s="2">
        <f>COUNTIF(A$1:A927,A927)-1</f>
        <v>0</v>
      </c>
      <c r="D927" s="2" t="str">
        <f>Argument!D927</f>
        <v/>
      </c>
      <c r="E927" s="2" t="str">
        <f t="shared" si="28"/>
        <v>v</v>
      </c>
      <c r="F927" s="2" t="b">
        <f>IF(C927=0,ISTEXT(FORMULA.CONVERT("="&amp;A927&amp;"("&amp;REPLACE(REPT(",#ref!",B927),1,1,"")&amp;")()",1)),"")</f>
        <v>0</v>
      </c>
      <c r="G927" s="2"/>
      <c r="H927" s="2" t="str">
        <f t="shared" si="29"/>
        <v/>
      </c>
      <c r="I927" s="2">
        <f>TYPE(NEGBINOMDIST(IF(1,1),IF(1,1),IF(1,1)))</f>
        <v>16</v>
      </c>
      <c r="J927" s="2">
        <f>IF(C927=0,COUNTIFS(A:A,A927,D:D,"a"),"")</f>
        <v>0</v>
      </c>
      <c r="K927" s="2"/>
      <c r="M927" s="2"/>
    </row>
    <row r="928" spans="1:14" x14ac:dyDescent="0.55000000000000004">
      <c r="A928" s="1" t="s">
        <v>1740</v>
      </c>
      <c r="B928" s="2">
        <f>COUNTIF(A:A,A928)-1</f>
        <v>3</v>
      </c>
      <c r="C928" s="2">
        <f>COUNTIF(A$1:A928,A928)-1</f>
        <v>1</v>
      </c>
      <c r="D928" s="2" t="str">
        <f>Argument!D928</f>
        <v>v</v>
      </c>
      <c r="E928" s="2" t="str">
        <f t="shared" si="28"/>
        <v/>
      </c>
      <c r="F928" s="2" t="str">
        <f>IF(C928=0,ISTEXT(FORMULA.CONVERT("="&amp;A928&amp;"("&amp;REPLACE(REPT(",#ref!",B928),1,1,"")&amp;")()",1)),"")</f>
        <v/>
      </c>
      <c r="G928" s="2">
        <f>TYPE(NEGBINOMDIST({1},IF(1,1),IF(1,1)))</f>
        <v>64</v>
      </c>
      <c r="H928" s="2" t="str">
        <f t="shared" si="29"/>
        <v/>
      </c>
      <c r="I928" s="2">
        <f>TYPE(NEGBINOMDIST(IF(1,1),IF(1,1),IF(1,1)))</f>
        <v>16</v>
      </c>
      <c r="J928" s="2" t="str">
        <f>IF(C928=0,COUNTIFS(A:A,A928,D:D,"a"),"")</f>
        <v/>
      </c>
      <c r="K928" s="2" t="e">
        <f>INDEX(+NEGBINOMDIST(K928:L928,#REF!,#REF!),)</f>
        <v>#REF!</v>
      </c>
      <c r="L928" s="1">
        <v>1</v>
      </c>
      <c r="M928" s="2" t="e">
        <f>INDEX(+NEGBINOMDIST(INDIRECT(M928:N928),#REF!,#REF!),)</f>
        <v>#REF!</v>
      </c>
      <c r="N928" s="1">
        <v>1</v>
      </c>
    </row>
    <row r="929" spans="1:14" x14ac:dyDescent="0.55000000000000004">
      <c r="A929" s="1" t="s">
        <v>1740</v>
      </c>
      <c r="B929" s="2">
        <f>COUNTIF(A:A,A929)-1</f>
        <v>3</v>
      </c>
      <c r="C929" s="2">
        <f>COUNTIF(A$1:A929,A929)-1</f>
        <v>2</v>
      </c>
      <c r="D929" s="2" t="str">
        <f>Argument!D929</f>
        <v>v</v>
      </c>
      <c r="E929" s="2" t="str">
        <f t="shared" si="28"/>
        <v/>
      </c>
      <c r="F929" s="2" t="str">
        <f>IF(C929=0,ISTEXT(FORMULA.CONVERT("="&amp;A929&amp;"("&amp;REPLACE(REPT(",#ref!",B929),1,1,"")&amp;")()",1)),"")</f>
        <v/>
      </c>
      <c r="G929" s="2">
        <f>TYPE(NEGBINOMDIST(IF(1,1),{1},IF(1,1)))</f>
        <v>64</v>
      </c>
      <c r="H929" s="2" t="str">
        <f t="shared" si="29"/>
        <v/>
      </c>
      <c r="I929" s="2">
        <f>TYPE(NEGBINOMDIST(IF(1,1),IF(1,1),IF(1,1)))</f>
        <v>16</v>
      </c>
      <c r="J929" s="2" t="str">
        <f>IF(C929=0,COUNTIFS(A:A,A929,D:D,"a"),"")</f>
        <v/>
      </c>
      <c r="K929" s="2" t="e">
        <f>INDEX(+NEGBINOMDIST(#REF!,K929:L929,#REF!),)</f>
        <v>#REF!</v>
      </c>
      <c r="L929" s="1">
        <v>1</v>
      </c>
      <c r="M929" s="2" t="e">
        <f>INDEX(+NEGBINOMDIST(#REF!,INDIRECT(M929:N929),#REF!),)</f>
        <v>#REF!</v>
      </c>
      <c r="N929" s="1">
        <v>1</v>
      </c>
    </row>
    <row r="930" spans="1:14" x14ac:dyDescent="0.55000000000000004">
      <c r="A930" s="1" t="s">
        <v>1740</v>
      </c>
      <c r="B930" s="2">
        <f>COUNTIF(A:A,A930)-1</f>
        <v>3</v>
      </c>
      <c r="C930" s="2">
        <f>COUNTIF(A$1:A930,A930)-1</f>
        <v>3</v>
      </c>
      <c r="D930" s="2" t="str">
        <f>Argument!D930</f>
        <v>v</v>
      </c>
      <c r="E930" s="2" t="str">
        <f t="shared" si="28"/>
        <v/>
      </c>
      <c r="F930" s="2" t="str">
        <f>IF(C930=0,ISTEXT(FORMULA.CONVERT("="&amp;A930&amp;"("&amp;REPLACE(REPT(",#ref!",B930),1,1,"")&amp;")()",1)),"")</f>
        <v/>
      </c>
      <c r="G930" s="2">
        <f>TYPE(NEGBINOMDIST(IF(1,1),IF(1,1),{1}))</f>
        <v>64</v>
      </c>
      <c r="H930" s="2" t="str">
        <f t="shared" si="29"/>
        <v/>
      </c>
      <c r="I930" s="2">
        <f>TYPE(NEGBINOMDIST(IF(1,1),IF(1,1),IF(1,1)))</f>
        <v>16</v>
      </c>
      <c r="J930" s="2" t="str">
        <f>IF(C930=0,COUNTIFS(A:A,A930,D:D,"a"),"")</f>
        <v/>
      </c>
      <c r="K930" s="2" t="e">
        <f>INDEX(+NEGBINOMDIST(#REF!,#REF!,K930:L930),)</f>
        <v>#REF!</v>
      </c>
      <c r="L930" s="1">
        <v>1</v>
      </c>
      <c r="M930" s="2" t="e">
        <f>INDEX(+NEGBINOMDIST(#REF!,#REF!,INDIRECT(M930:N930)),)</f>
        <v>#REF!</v>
      </c>
      <c r="N930" s="1">
        <v>1</v>
      </c>
    </row>
    <row r="931" spans="1:14" x14ac:dyDescent="0.55000000000000004">
      <c r="A931" s="1" t="s">
        <v>1741</v>
      </c>
      <c r="B931" s="2">
        <f>COUNTIF(A:A,A931)-1</f>
        <v>4</v>
      </c>
      <c r="C931" s="2">
        <f>COUNTIF(A$1:A931,A931)-1</f>
        <v>0</v>
      </c>
      <c r="D931" s="2" t="str">
        <f>Argument!D931</f>
        <v/>
      </c>
      <c r="E931" s="2" t="str">
        <f t="shared" si="28"/>
        <v>v</v>
      </c>
      <c r="F931" s="2" t="b">
        <f>IF(C931=0,ISTEXT(FORMULA.CONVERT("="&amp;A931&amp;"("&amp;REPLACE(REPT(",#ref!",B931),1,1,"")&amp;")()",1)),"")</f>
        <v>0</v>
      </c>
      <c r="G931" s="2"/>
      <c r="H931" s="2" t="str">
        <f t="shared" si="29"/>
        <v/>
      </c>
      <c r="I931" s="2">
        <f>TYPE(NORMDIST(IF(1,1),IF(1,1),IF(1,1),IF(1,1)))</f>
        <v>1</v>
      </c>
      <c r="J931" s="2">
        <f>IF(C931=0,COUNTIFS(A:A,A931,D:D,"a"),"")</f>
        <v>0</v>
      </c>
      <c r="K931" s="2"/>
      <c r="M931" s="2"/>
    </row>
    <row r="932" spans="1:14" x14ac:dyDescent="0.55000000000000004">
      <c r="A932" s="1" t="s">
        <v>1741</v>
      </c>
      <c r="B932" s="2">
        <f>COUNTIF(A:A,A932)-1</f>
        <v>4</v>
      </c>
      <c r="C932" s="2">
        <f>COUNTIF(A$1:A932,A932)-1</f>
        <v>1</v>
      </c>
      <c r="D932" s="2" t="str">
        <f>Argument!D932</f>
        <v>v</v>
      </c>
      <c r="E932" s="2" t="str">
        <f t="shared" si="28"/>
        <v/>
      </c>
      <c r="F932" s="2" t="str">
        <f>IF(C932=0,ISTEXT(FORMULA.CONVERT("="&amp;A932&amp;"("&amp;REPLACE(REPT(",#ref!",B932),1,1,"")&amp;")()",1)),"")</f>
        <v/>
      </c>
      <c r="G932" s="2">
        <f>TYPE(NORMDIST({1},IF(1,1),IF(1,1),IF(1,1)))</f>
        <v>64</v>
      </c>
      <c r="H932" s="2" t="str">
        <f t="shared" si="29"/>
        <v/>
      </c>
      <c r="I932" s="2">
        <f>TYPE(NORMDIST(IF(1,1),IF(1,1),IF(1,1),IF(1,1)))</f>
        <v>1</v>
      </c>
      <c r="J932" s="2" t="str">
        <f>IF(C932=0,COUNTIFS(A:A,A932,D:D,"a"),"")</f>
        <v/>
      </c>
      <c r="K932" s="2" t="e">
        <f>INDEX(+NORMDIST(K932:L932,#REF!,#REF!,#REF!),)</f>
        <v>#REF!</v>
      </c>
      <c r="L932" s="1">
        <v>1</v>
      </c>
      <c r="M932" s="2" t="e">
        <f>INDEX(+NORMDIST(INDIRECT(M932:N932),#REF!,#REF!,#REF!),)</f>
        <v>#REF!</v>
      </c>
      <c r="N932" s="1">
        <v>1</v>
      </c>
    </row>
    <row r="933" spans="1:14" x14ac:dyDescent="0.55000000000000004">
      <c r="A933" s="1" t="s">
        <v>1741</v>
      </c>
      <c r="B933" s="2">
        <f>COUNTIF(A:A,A933)-1</f>
        <v>4</v>
      </c>
      <c r="C933" s="2">
        <f>COUNTIF(A$1:A933,A933)-1</f>
        <v>2</v>
      </c>
      <c r="D933" s="2" t="str">
        <f>Argument!D933</f>
        <v>v</v>
      </c>
      <c r="E933" s="2" t="str">
        <f t="shared" si="28"/>
        <v/>
      </c>
      <c r="F933" s="2" t="str">
        <f>IF(C933=0,ISTEXT(FORMULA.CONVERT("="&amp;A933&amp;"("&amp;REPLACE(REPT(",#ref!",B933),1,1,"")&amp;")()",1)),"")</f>
        <v/>
      </c>
      <c r="G933" s="2">
        <f>TYPE(NORMDIST(IF(1,1),{1},IF(1,1),IF(1,1)))</f>
        <v>64</v>
      </c>
      <c r="H933" s="2" t="str">
        <f t="shared" si="29"/>
        <v/>
      </c>
      <c r="I933" s="2">
        <f>TYPE(NORMDIST(IF(1,1),IF(1,1),IF(1,1),IF(1,1)))</f>
        <v>1</v>
      </c>
      <c r="J933" s="2" t="str">
        <f>IF(C933=0,COUNTIFS(A:A,A933,D:D,"a"),"")</f>
        <v/>
      </c>
      <c r="K933" s="2" t="e">
        <f>INDEX(+NORMDIST(#REF!,K933:L933,#REF!,#REF!),)</f>
        <v>#REF!</v>
      </c>
      <c r="L933" s="1">
        <v>1</v>
      </c>
      <c r="M933" s="2" t="e">
        <f>INDEX(+NORMDIST(#REF!,INDIRECT(M933:N933),#REF!,#REF!),)</f>
        <v>#REF!</v>
      </c>
      <c r="N933" s="1">
        <v>1</v>
      </c>
    </row>
    <row r="934" spans="1:14" x14ac:dyDescent="0.55000000000000004">
      <c r="A934" s="1" t="s">
        <v>1741</v>
      </c>
      <c r="B934" s="2">
        <f>COUNTIF(A:A,A934)-1</f>
        <v>4</v>
      </c>
      <c r="C934" s="2">
        <f>COUNTIF(A$1:A934,A934)-1</f>
        <v>3</v>
      </c>
      <c r="D934" s="2" t="str">
        <f>Argument!D934</f>
        <v>v</v>
      </c>
      <c r="E934" s="2" t="str">
        <f t="shared" si="28"/>
        <v/>
      </c>
      <c r="F934" s="2" t="str">
        <f>IF(C934=0,ISTEXT(FORMULA.CONVERT("="&amp;A934&amp;"("&amp;REPLACE(REPT(",#ref!",B934),1,1,"")&amp;")()",1)),"")</f>
        <v/>
      </c>
      <c r="G934" s="2">
        <f>TYPE(NORMDIST(IF(1,1),IF(1,1),{1},IF(1,1)))</f>
        <v>64</v>
      </c>
      <c r="H934" s="2" t="str">
        <f t="shared" si="29"/>
        <v/>
      </c>
      <c r="I934" s="2">
        <f>TYPE(NORMDIST(IF(1,1),IF(1,1),IF(1,1),IF(1,1)))</f>
        <v>1</v>
      </c>
      <c r="J934" s="2" t="str">
        <f>IF(C934=0,COUNTIFS(A:A,A934,D:D,"a"),"")</f>
        <v/>
      </c>
      <c r="K934" s="2" t="e">
        <f>INDEX(+NORMDIST(#REF!,#REF!,K934:L934,#REF!),)</f>
        <v>#REF!</v>
      </c>
      <c r="L934" s="1">
        <v>1</v>
      </c>
      <c r="M934" s="2" t="e">
        <f>INDEX(+NORMDIST(#REF!,#REF!,INDIRECT(M934:N934),#REF!),)</f>
        <v>#REF!</v>
      </c>
      <c r="N934" s="1">
        <v>1</v>
      </c>
    </row>
    <row r="935" spans="1:14" x14ac:dyDescent="0.55000000000000004">
      <c r="A935" s="1" t="s">
        <v>1741</v>
      </c>
      <c r="B935" s="2">
        <f>COUNTIF(A:A,A935)-1</f>
        <v>4</v>
      </c>
      <c r="C935" s="2">
        <f>COUNTIF(A$1:A935,A935)-1</f>
        <v>4</v>
      </c>
      <c r="D935" s="2" t="str">
        <f>Argument!D935</f>
        <v>v</v>
      </c>
      <c r="E935" s="2" t="str">
        <f t="shared" si="28"/>
        <v/>
      </c>
      <c r="F935" s="2" t="str">
        <f>IF(C935=0,ISTEXT(FORMULA.CONVERT("="&amp;A935&amp;"("&amp;REPLACE(REPT(",#ref!",B935),1,1,"")&amp;")()",1)),"")</f>
        <v/>
      </c>
      <c r="G935" s="2">
        <f>TYPE(NORMDIST(IF(1,1),IF(1,1),IF(1,1),{1}))</f>
        <v>64</v>
      </c>
      <c r="H935" s="2" t="str">
        <f t="shared" si="29"/>
        <v/>
      </c>
      <c r="I935" s="2">
        <f>TYPE(NORMDIST(IF(1,1),IF(1,1),IF(1,1),IF(1,1)))</f>
        <v>1</v>
      </c>
      <c r="J935" s="2" t="str">
        <f>IF(C935=0,COUNTIFS(A:A,A935,D:D,"a"),"")</f>
        <v/>
      </c>
      <c r="K935" s="2" t="e">
        <f>INDEX(+NORMDIST(#REF!,#REF!,#REF!,K935:L935),)</f>
        <v>#REF!</v>
      </c>
      <c r="L935" s="1">
        <v>1</v>
      </c>
      <c r="M935" s="2" t="e">
        <f>INDEX(+NORMDIST(#REF!,#REF!,#REF!,INDIRECT(M935:N935)),)</f>
        <v>#REF!</v>
      </c>
      <c r="N935" s="1">
        <v>1</v>
      </c>
    </row>
    <row r="936" spans="1:14" x14ac:dyDescent="0.55000000000000004">
      <c r="A936" s="1" t="s">
        <v>1742</v>
      </c>
      <c r="B936" s="2">
        <f>COUNTIF(A:A,A936)-1</f>
        <v>1</v>
      </c>
      <c r="C936" s="2">
        <f>COUNTIF(A$1:A936,A936)-1</f>
        <v>0</v>
      </c>
      <c r="D936" s="2" t="str">
        <f>Argument!D936</f>
        <v/>
      </c>
      <c r="E936" s="2" t="str">
        <f t="shared" si="28"/>
        <v>v</v>
      </c>
      <c r="F936" s="2" t="b">
        <f>IF(C936=0,ISTEXT(FORMULA.CONVERT("="&amp;A936&amp;"("&amp;REPLACE(REPT(",#ref!",B936),1,1,"")&amp;")()",1)),"")</f>
        <v>0</v>
      </c>
      <c r="G936" s="2"/>
      <c r="H936" s="2" t="str">
        <f t="shared" si="29"/>
        <v/>
      </c>
      <c r="I936" s="2">
        <f>TYPE(NORMSDIST(IF(1,1)))</f>
        <v>1</v>
      </c>
      <c r="J936" s="2">
        <f>IF(C936=0,COUNTIFS(A:A,A936,D:D,"a"),"")</f>
        <v>0</v>
      </c>
      <c r="K936" s="2"/>
      <c r="M936" s="2"/>
    </row>
    <row r="937" spans="1:14" x14ac:dyDescent="0.55000000000000004">
      <c r="A937" s="1" t="s">
        <v>1742</v>
      </c>
      <c r="B937" s="2">
        <f>COUNTIF(A:A,A937)-1</f>
        <v>1</v>
      </c>
      <c r="C937" s="2">
        <f>COUNTIF(A$1:A937,A937)-1</f>
        <v>1</v>
      </c>
      <c r="D937" s="2" t="str">
        <f>Argument!D937</f>
        <v>v</v>
      </c>
      <c r="E937" s="2" t="str">
        <f t="shared" si="28"/>
        <v/>
      </c>
      <c r="F937" s="2" t="str">
        <f>IF(C937=0,ISTEXT(FORMULA.CONVERT("="&amp;A937&amp;"("&amp;REPLACE(REPT(",#ref!",B937),1,1,"")&amp;")()",1)),"")</f>
        <v/>
      </c>
      <c r="G937" s="2">
        <f>TYPE(NORMSDIST({1}))</f>
        <v>64</v>
      </c>
      <c r="H937" s="2" t="str">
        <f t="shared" si="29"/>
        <v/>
      </c>
      <c r="I937" s="2">
        <f>TYPE(NORMSDIST(IF(1,1)))</f>
        <v>1</v>
      </c>
      <c r="J937" s="2" t="str">
        <f>IF(C937=0,COUNTIFS(A:A,A937,D:D,"a"),"")</f>
        <v/>
      </c>
      <c r="K937" s="2">
        <f>INDEX(+NORMSDIST(K937:L937),)</f>
        <v>0.5</v>
      </c>
      <c r="L937" s="1">
        <v>1</v>
      </c>
      <c r="M937" s="2" t="e">
        <f>INDEX(+NORMSDIST(INDIRECT(M937:N937)),)</f>
        <v>#REF!</v>
      </c>
      <c r="N937" s="1">
        <v>1</v>
      </c>
    </row>
    <row r="938" spans="1:14" x14ac:dyDescent="0.55000000000000004">
      <c r="A938" s="1" t="s">
        <v>1743</v>
      </c>
      <c r="B938" s="2">
        <f>COUNTIF(A:A,A938)-1</f>
        <v>3</v>
      </c>
      <c r="C938" s="2">
        <f>COUNTIF(A$1:A938,A938)-1</f>
        <v>0</v>
      </c>
      <c r="D938" s="2" t="str">
        <f>Argument!D938</f>
        <v/>
      </c>
      <c r="E938" s="2" t="str">
        <f t="shared" si="28"/>
        <v>v</v>
      </c>
      <c r="F938" s="2" t="b">
        <f>IF(C938=0,ISTEXT(FORMULA.CONVERT("="&amp;A938&amp;"("&amp;REPLACE(REPT(",#ref!",B938),1,1,"")&amp;")()",1)),"")</f>
        <v>0</v>
      </c>
      <c r="G938" s="2"/>
      <c r="H938" s="2" t="str">
        <f t="shared" si="29"/>
        <v/>
      </c>
      <c r="I938" s="2">
        <f>TYPE(NORMINV(IF(1,1),IF(1,1),IF(1,1)))</f>
        <v>16</v>
      </c>
      <c r="J938" s="2">
        <f>IF(C938=0,COUNTIFS(A:A,A938,D:D,"a"),"")</f>
        <v>0</v>
      </c>
      <c r="K938" s="2"/>
      <c r="M938" s="2"/>
    </row>
    <row r="939" spans="1:14" x14ac:dyDescent="0.55000000000000004">
      <c r="A939" s="1" t="s">
        <v>1743</v>
      </c>
      <c r="B939" s="2">
        <f>COUNTIF(A:A,A939)-1</f>
        <v>3</v>
      </c>
      <c r="C939" s="2">
        <f>COUNTIF(A$1:A939,A939)-1</f>
        <v>1</v>
      </c>
      <c r="D939" s="2" t="str">
        <f>Argument!D939</f>
        <v>v</v>
      </c>
      <c r="E939" s="2" t="str">
        <f t="shared" si="28"/>
        <v/>
      </c>
      <c r="F939" s="2" t="str">
        <f>IF(C939=0,ISTEXT(FORMULA.CONVERT("="&amp;A939&amp;"("&amp;REPLACE(REPT(",#ref!",B939),1,1,"")&amp;")()",1)),"")</f>
        <v/>
      </c>
      <c r="G939" s="2">
        <f>TYPE(NORMINV({1},IF(1,1),IF(1,1)))</f>
        <v>64</v>
      </c>
      <c r="H939" s="2" t="str">
        <f t="shared" si="29"/>
        <v/>
      </c>
      <c r="I939" s="2">
        <f>TYPE(NORMINV(IF(1,1),IF(1,1),IF(1,1)))</f>
        <v>16</v>
      </c>
      <c r="J939" s="2" t="str">
        <f>IF(C939=0,COUNTIFS(A:A,A939,D:D,"a"),"")</f>
        <v/>
      </c>
      <c r="K939" s="2" t="e">
        <f>INDEX(+NORMINV(K939:L939,#REF!,#REF!),)</f>
        <v>#REF!</v>
      </c>
      <c r="L939" s="1">
        <v>1</v>
      </c>
      <c r="M939" s="2" t="e">
        <f>INDEX(+NORMINV(INDIRECT(M939:N939),#REF!,#REF!),)</f>
        <v>#REF!</v>
      </c>
      <c r="N939" s="1">
        <v>1</v>
      </c>
    </row>
    <row r="940" spans="1:14" x14ac:dyDescent="0.55000000000000004">
      <c r="A940" s="1" t="s">
        <v>1743</v>
      </c>
      <c r="B940" s="2">
        <f>COUNTIF(A:A,A940)-1</f>
        <v>3</v>
      </c>
      <c r="C940" s="2">
        <f>COUNTIF(A$1:A940,A940)-1</f>
        <v>2</v>
      </c>
      <c r="D940" s="2" t="str">
        <f>Argument!D940</f>
        <v>v</v>
      </c>
      <c r="E940" s="2" t="str">
        <f t="shared" si="28"/>
        <v/>
      </c>
      <c r="F940" s="2" t="str">
        <f>IF(C940=0,ISTEXT(FORMULA.CONVERT("="&amp;A940&amp;"("&amp;REPLACE(REPT(",#ref!",B940),1,1,"")&amp;")()",1)),"")</f>
        <v/>
      </c>
      <c r="G940" s="2">
        <f>TYPE(NORMINV(IF(1,1),{1},IF(1,1)))</f>
        <v>64</v>
      </c>
      <c r="H940" s="2" t="str">
        <f t="shared" si="29"/>
        <v/>
      </c>
      <c r="I940" s="2">
        <f>TYPE(NORMINV(IF(1,1),IF(1,1),IF(1,1)))</f>
        <v>16</v>
      </c>
      <c r="J940" s="2" t="str">
        <f>IF(C940=0,COUNTIFS(A:A,A940,D:D,"a"),"")</f>
        <v/>
      </c>
      <c r="K940" s="2" t="e">
        <f>INDEX(+NORMINV(#REF!,K940:L940,#REF!),)</f>
        <v>#REF!</v>
      </c>
      <c r="L940" s="1">
        <v>1</v>
      </c>
      <c r="M940" s="2" t="e">
        <f>INDEX(+NORMINV(#REF!,INDIRECT(M940:N940),#REF!),)</f>
        <v>#REF!</v>
      </c>
      <c r="N940" s="1">
        <v>1</v>
      </c>
    </row>
    <row r="941" spans="1:14" x14ac:dyDescent="0.55000000000000004">
      <c r="A941" s="1" t="s">
        <v>1743</v>
      </c>
      <c r="B941" s="2">
        <f>COUNTIF(A:A,A941)-1</f>
        <v>3</v>
      </c>
      <c r="C941" s="2">
        <f>COUNTIF(A$1:A941,A941)-1</f>
        <v>3</v>
      </c>
      <c r="D941" s="2" t="str">
        <f>Argument!D941</f>
        <v>v</v>
      </c>
      <c r="E941" s="2" t="str">
        <f t="shared" si="28"/>
        <v/>
      </c>
      <c r="F941" s="2" t="str">
        <f>IF(C941=0,ISTEXT(FORMULA.CONVERT("="&amp;A941&amp;"("&amp;REPLACE(REPT(",#ref!",B941),1,1,"")&amp;")()",1)),"")</f>
        <v/>
      </c>
      <c r="G941" s="2">
        <f>TYPE(NORMINV(IF(1,1),IF(1,1),{1}))</f>
        <v>64</v>
      </c>
      <c r="H941" s="2" t="str">
        <f t="shared" si="29"/>
        <v/>
      </c>
      <c r="I941" s="2">
        <f>TYPE(NORMINV(IF(1,1),IF(1,1),IF(1,1)))</f>
        <v>16</v>
      </c>
      <c r="J941" s="2" t="str">
        <f>IF(C941=0,COUNTIFS(A:A,A941,D:D,"a"),"")</f>
        <v/>
      </c>
      <c r="K941" s="2" t="e">
        <f>INDEX(+NORMINV(#REF!,#REF!,K941:L941),)</f>
        <v>#REF!</v>
      </c>
      <c r="L941" s="1">
        <v>1</v>
      </c>
      <c r="M941" s="2" t="e">
        <f>INDEX(+NORMINV(#REF!,#REF!,INDIRECT(M941:N941)),)</f>
        <v>#REF!</v>
      </c>
      <c r="N941" s="1">
        <v>1</v>
      </c>
    </row>
    <row r="942" spans="1:14" x14ac:dyDescent="0.55000000000000004">
      <c r="A942" s="1" t="s">
        <v>1744</v>
      </c>
      <c r="B942" s="2">
        <f>COUNTIF(A:A,A942)-1</f>
        <v>1</v>
      </c>
      <c r="C942" s="2">
        <f>COUNTIF(A$1:A942,A942)-1</f>
        <v>0</v>
      </c>
      <c r="D942" s="2" t="str">
        <f>Argument!D942</f>
        <v/>
      </c>
      <c r="E942" s="2" t="str">
        <f t="shared" si="28"/>
        <v>v</v>
      </c>
      <c r="F942" s="2" t="b">
        <f>IF(C942=0,ISTEXT(FORMULA.CONVERT("="&amp;A942&amp;"("&amp;REPLACE(REPT(",#ref!",B942),1,1,"")&amp;")()",1)),"")</f>
        <v>0</v>
      </c>
      <c r="G942" s="2"/>
      <c r="H942" s="2" t="str">
        <f t="shared" si="29"/>
        <v/>
      </c>
      <c r="I942" s="2">
        <f>TYPE(NORMSINV(IF(1,1)))</f>
        <v>16</v>
      </c>
      <c r="J942" s="2">
        <f>IF(C942=0,COUNTIFS(A:A,A942,D:D,"a"),"")</f>
        <v>0</v>
      </c>
      <c r="K942" s="2"/>
      <c r="M942" s="2"/>
    </row>
    <row r="943" spans="1:14" x14ac:dyDescent="0.55000000000000004">
      <c r="A943" s="1" t="s">
        <v>1744</v>
      </c>
      <c r="B943" s="2">
        <f>COUNTIF(A:A,A943)-1</f>
        <v>1</v>
      </c>
      <c r="C943" s="2">
        <f>COUNTIF(A$1:A943,A943)-1</f>
        <v>1</v>
      </c>
      <c r="D943" s="2" t="str">
        <f>Argument!D943</f>
        <v>v</v>
      </c>
      <c r="E943" s="2" t="str">
        <f t="shared" si="28"/>
        <v/>
      </c>
      <c r="F943" s="2" t="str">
        <f>IF(C943=0,ISTEXT(FORMULA.CONVERT("="&amp;A943&amp;"("&amp;REPLACE(REPT(",#ref!",B943),1,1,"")&amp;")()",1)),"")</f>
        <v/>
      </c>
      <c r="G943" s="2">
        <f>TYPE(NORMSINV({1}))</f>
        <v>64</v>
      </c>
      <c r="H943" s="2" t="str">
        <f t="shared" si="29"/>
        <v/>
      </c>
      <c r="I943" s="2">
        <f>TYPE(NORMSINV(IF(1,1)))</f>
        <v>16</v>
      </c>
      <c r="J943" s="2" t="str">
        <f>IF(C943=0,COUNTIFS(A:A,A943,D:D,"a"),"")</f>
        <v/>
      </c>
      <c r="K943" s="2" t="e">
        <f>INDEX(+NORMSINV(K943:L943),)</f>
        <v>#NUM!</v>
      </c>
      <c r="L943" s="1">
        <v>1</v>
      </c>
      <c r="M943" s="2" t="e">
        <f>INDEX(+NORMSINV(INDIRECT(M943:N943)),)</f>
        <v>#REF!</v>
      </c>
      <c r="N943" s="1">
        <v>1</v>
      </c>
    </row>
    <row r="944" spans="1:14" x14ac:dyDescent="0.55000000000000004">
      <c r="A944" s="1" t="s">
        <v>1745</v>
      </c>
      <c r="B944" s="2">
        <f>COUNTIF(A:A,A944)-1</f>
        <v>3</v>
      </c>
      <c r="C944" s="2">
        <f>COUNTIF(A$1:A944,A944)-1</f>
        <v>0</v>
      </c>
      <c r="D944" s="2" t="str">
        <f>Argument!D944</f>
        <v/>
      </c>
      <c r="E944" s="2" t="str">
        <f t="shared" si="28"/>
        <v>v</v>
      </c>
      <c r="F944" s="2" t="b">
        <f>IF(C944=0,ISTEXT(FORMULA.CONVERT("="&amp;A944&amp;"("&amp;REPLACE(REPT(",#ref!",B944),1,1,"")&amp;")()",1)),"")</f>
        <v>0</v>
      </c>
      <c r="G944" s="2"/>
      <c r="H944" s="2" t="str">
        <f t="shared" si="29"/>
        <v/>
      </c>
      <c r="I944" s="2">
        <f>TYPE(STANDARDIZE(IF(1,1),IF(1,1),IF(1,1)))</f>
        <v>1</v>
      </c>
      <c r="J944" s="2">
        <f>IF(C944=0,COUNTIFS(A:A,A944,D:D,"a"),"")</f>
        <v>0</v>
      </c>
      <c r="K944" s="2"/>
      <c r="M944" s="2"/>
    </row>
    <row r="945" spans="1:14" x14ac:dyDescent="0.55000000000000004">
      <c r="A945" s="1" t="s">
        <v>1745</v>
      </c>
      <c r="B945" s="2">
        <f>COUNTIF(A:A,A945)-1</f>
        <v>3</v>
      </c>
      <c r="C945" s="2">
        <f>COUNTIF(A$1:A945,A945)-1</f>
        <v>1</v>
      </c>
      <c r="D945" s="2" t="str">
        <f>Argument!D945</f>
        <v>v</v>
      </c>
      <c r="E945" s="2" t="str">
        <f t="shared" si="28"/>
        <v/>
      </c>
      <c r="F945" s="2" t="str">
        <f>IF(C945=0,ISTEXT(FORMULA.CONVERT("="&amp;A945&amp;"("&amp;REPLACE(REPT(",#ref!",B945),1,1,"")&amp;")()",1)),"")</f>
        <v/>
      </c>
      <c r="G945" s="2">
        <f>TYPE(STANDARDIZE({1},IF(1,1),IF(1,1)))</f>
        <v>64</v>
      </c>
      <c r="H945" s="2" t="str">
        <f t="shared" si="29"/>
        <v/>
      </c>
      <c r="I945" s="2">
        <f>TYPE(STANDARDIZE(IF(1,1),IF(1,1),IF(1,1)))</f>
        <v>1</v>
      </c>
      <c r="J945" s="2" t="str">
        <f>IF(C945=0,COUNTIFS(A:A,A945,D:D,"a"),"")</f>
        <v/>
      </c>
      <c r="K945" s="2" t="e">
        <f>INDEX(+STANDARDIZE(K945:L945,#REF!,#REF!),)</f>
        <v>#REF!</v>
      </c>
      <c r="L945" s="1">
        <v>1</v>
      </c>
      <c r="M945" s="2" t="e">
        <f>INDEX(+STANDARDIZE(INDIRECT(M945:N945),#REF!,#REF!),)</f>
        <v>#REF!</v>
      </c>
      <c r="N945" s="1">
        <v>1</v>
      </c>
    </row>
    <row r="946" spans="1:14" x14ac:dyDescent="0.55000000000000004">
      <c r="A946" s="1" t="s">
        <v>1745</v>
      </c>
      <c r="B946" s="2">
        <f>COUNTIF(A:A,A946)-1</f>
        <v>3</v>
      </c>
      <c r="C946" s="2">
        <f>COUNTIF(A$1:A946,A946)-1</f>
        <v>2</v>
      </c>
      <c r="D946" s="2" t="str">
        <f>Argument!D946</f>
        <v>v</v>
      </c>
      <c r="E946" s="2" t="str">
        <f t="shared" si="28"/>
        <v/>
      </c>
      <c r="F946" s="2" t="str">
        <f>IF(C946=0,ISTEXT(FORMULA.CONVERT("="&amp;A946&amp;"("&amp;REPLACE(REPT(",#ref!",B946),1,1,"")&amp;")()",1)),"")</f>
        <v/>
      </c>
      <c r="G946" s="2">
        <f>TYPE(STANDARDIZE(IF(1,1),{1},IF(1,1)))</f>
        <v>64</v>
      </c>
      <c r="H946" s="2" t="str">
        <f t="shared" si="29"/>
        <v/>
      </c>
      <c r="I946" s="2">
        <f>TYPE(STANDARDIZE(IF(1,1),IF(1,1),IF(1,1)))</f>
        <v>1</v>
      </c>
      <c r="J946" s="2" t="str">
        <f>IF(C946=0,COUNTIFS(A:A,A946,D:D,"a"),"")</f>
        <v/>
      </c>
      <c r="K946" s="2" t="e">
        <f>INDEX(+STANDARDIZE(#REF!,K946:L946,#REF!),)</f>
        <v>#REF!</v>
      </c>
      <c r="L946" s="1">
        <v>1</v>
      </c>
      <c r="M946" s="2" t="e">
        <f>INDEX(+STANDARDIZE(#REF!,INDIRECT(M946:N946),#REF!),)</f>
        <v>#REF!</v>
      </c>
      <c r="N946" s="1">
        <v>1</v>
      </c>
    </row>
    <row r="947" spans="1:14" x14ac:dyDescent="0.55000000000000004">
      <c r="A947" s="1" t="s">
        <v>1745</v>
      </c>
      <c r="B947" s="2">
        <f>COUNTIF(A:A,A947)-1</f>
        <v>3</v>
      </c>
      <c r="C947" s="2">
        <f>COUNTIF(A$1:A947,A947)-1</f>
        <v>3</v>
      </c>
      <c r="D947" s="2" t="str">
        <f>Argument!D947</f>
        <v>v</v>
      </c>
      <c r="E947" s="2" t="str">
        <f t="shared" si="28"/>
        <v/>
      </c>
      <c r="F947" s="2" t="str">
        <f>IF(C947=0,ISTEXT(FORMULA.CONVERT("="&amp;A947&amp;"("&amp;REPLACE(REPT(",#ref!",B947),1,1,"")&amp;")()",1)),"")</f>
        <v/>
      </c>
      <c r="G947" s="2">
        <f>TYPE(STANDARDIZE(IF(1,1),IF(1,1),{1}))</f>
        <v>64</v>
      </c>
      <c r="H947" s="2" t="str">
        <f t="shared" si="29"/>
        <v/>
      </c>
      <c r="I947" s="2">
        <f>TYPE(STANDARDIZE(IF(1,1),IF(1,1),IF(1,1)))</f>
        <v>1</v>
      </c>
      <c r="J947" s="2" t="str">
        <f>IF(C947=0,COUNTIFS(A:A,A947,D:D,"a"),"")</f>
        <v/>
      </c>
      <c r="K947" s="2" t="e">
        <f>INDEX(+STANDARDIZE(#REF!,#REF!,K947:L947),)</f>
        <v>#REF!</v>
      </c>
      <c r="L947" s="1">
        <v>1</v>
      </c>
      <c r="M947" s="2" t="e">
        <f>INDEX(+STANDARDIZE(#REF!,#REF!,INDIRECT(M947:N947)),)</f>
        <v>#REF!</v>
      </c>
      <c r="N947" s="1">
        <v>1</v>
      </c>
    </row>
    <row r="948" spans="1:14" x14ac:dyDescent="0.55000000000000004">
      <c r="A948" s="1" t="s">
        <v>1746</v>
      </c>
      <c r="B948" s="2">
        <f>COUNTIF(A:A,A948)-1</f>
        <v>1</v>
      </c>
      <c r="C948" s="2">
        <f>COUNTIF(A$1:A948,A948)-1</f>
        <v>0</v>
      </c>
      <c r="D948" s="2" t="str">
        <f>Argument!D948</f>
        <v/>
      </c>
      <c r="E948" s="2" t="str">
        <f t="shared" si="28"/>
        <v>v</v>
      </c>
      <c r="F948" s="2" t="b">
        <f>IF(C948=0,ISTEXT(FORMULA.CONVERT("="&amp;A948&amp;"("&amp;REPLACE(REPT(",#ref!",B948),1,1,"")&amp;")()",1)),"")</f>
        <v>0</v>
      </c>
      <c r="G948" s="2"/>
      <c r="H948" s="2" t="str">
        <f t="shared" si="29"/>
        <v/>
      </c>
      <c r="I948" s="2">
        <f>TYPE(ODD(IF(1,1)))</f>
        <v>1</v>
      </c>
      <c r="J948" s="2">
        <f>IF(C948=0,COUNTIFS(A:A,A948,D:D,"a"),"")</f>
        <v>0</v>
      </c>
      <c r="K948" s="2"/>
      <c r="M948" s="2"/>
    </row>
    <row r="949" spans="1:14" x14ac:dyDescent="0.55000000000000004">
      <c r="A949" s="1" t="s">
        <v>1746</v>
      </c>
      <c r="B949" s="2">
        <f>COUNTIF(A:A,A949)-1</f>
        <v>1</v>
      </c>
      <c r="C949" s="2">
        <f>COUNTIF(A$1:A949,A949)-1</f>
        <v>1</v>
      </c>
      <c r="D949" s="2" t="str">
        <f>Argument!D949</f>
        <v>v</v>
      </c>
      <c r="E949" s="2" t="str">
        <f t="shared" si="28"/>
        <v/>
      </c>
      <c r="F949" s="2" t="str">
        <f>IF(C949=0,ISTEXT(FORMULA.CONVERT("="&amp;A949&amp;"("&amp;REPLACE(REPT(",#ref!",B949),1,1,"")&amp;")()",1)),"")</f>
        <v/>
      </c>
      <c r="G949" s="2">
        <f>TYPE(ODD({1}))</f>
        <v>64</v>
      </c>
      <c r="H949" s="2" t="str">
        <f t="shared" si="29"/>
        <v/>
      </c>
      <c r="I949" s="2">
        <f>TYPE(ODD(IF(1,1)))</f>
        <v>1</v>
      </c>
      <c r="J949" s="2" t="str">
        <f>IF(C949=0,COUNTIFS(A:A,A949,D:D,"a"),"")</f>
        <v/>
      </c>
      <c r="K949" s="2">
        <f>INDEX(+ODD(K949:L949),)</f>
        <v>1</v>
      </c>
      <c r="L949" s="1">
        <v>1</v>
      </c>
      <c r="M949" s="2" t="e">
        <f>INDEX(+ODD(INDIRECT(M949:N949)),)</f>
        <v>#REF!</v>
      </c>
      <c r="N949" s="1">
        <v>1</v>
      </c>
    </row>
    <row r="950" spans="1:14" x14ac:dyDescent="0.55000000000000004">
      <c r="A950" s="1" t="s">
        <v>1747</v>
      </c>
      <c r="B950" s="2">
        <f>COUNTIF(A:A,A950)-1</f>
        <v>2</v>
      </c>
      <c r="C950" s="2">
        <f>COUNTIF(A$1:A950,A950)-1</f>
        <v>0</v>
      </c>
      <c r="D950" s="2" t="str">
        <f>Argument!D950</f>
        <v/>
      </c>
      <c r="E950" s="2" t="str">
        <f t="shared" si="28"/>
        <v>v</v>
      </c>
      <c r="F950" s="2" t="b">
        <f>IF(C950=0,ISTEXT(FORMULA.CONVERT("="&amp;A950&amp;"("&amp;REPLACE(REPT(",#ref!",B950),1,1,"")&amp;")()",1)),"")</f>
        <v>0</v>
      </c>
      <c r="G950" s="2"/>
      <c r="H950" s="2" t="str">
        <f t="shared" si="29"/>
        <v/>
      </c>
      <c r="I950" s="2">
        <f>TYPE(PERMUT(IF(1,1),IF(1,1)))</f>
        <v>1</v>
      </c>
      <c r="J950" s="2">
        <f>IF(C950=0,COUNTIFS(A:A,A950,D:D,"a"),"")</f>
        <v>0</v>
      </c>
      <c r="K950" s="2"/>
      <c r="M950" s="2"/>
    </row>
    <row r="951" spans="1:14" x14ac:dyDescent="0.55000000000000004">
      <c r="A951" s="1" t="s">
        <v>1747</v>
      </c>
      <c r="B951" s="2">
        <f>COUNTIF(A:A,A951)-1</f>
        <v>2</v>
      </c>
      <c r="C951" s="2">
        <f>COUNTIF(A$1:A951,A951)-1</f>
        <v>1</v>
      </c>
      <c r="D951" s="2" t="str">
        <f>Argument!D951</f>
        <v>v</v>
      </c>
      <c r="E951" s="2" t="str">
        <f t="shared" si="28"/>
        <v/>
      </c>
      <c r="F951" s="2" t="str">
        <f>IF(C951=0,ISTEXT(FORMULA.CONVERT("="&amp;A951&amp;"("&amp;REPLACE(REPT(",#ref!",B951),1,1,"")&amp;")()",1)),"")</f>
        <v/>
      </c>
      <c r="G951" s="2">
        <f>TYPE(PERMUT({1},IF(1,1)))</f>
        <v>64</v>
      </c>
      <c r="H951" s="2" t="str">
        <f t="shared" si="29"/>
        <v/>
      </c>
      <c r="I951" s="2">
        <f>TYPE(PERMUT(IF(1,1),IF(1,1)))</f>
        <v>1</v>
      </c>
      <c r="J951" s="2" t="str">
        <f>IF(C951=0,COUNTIFS(A:A,A951,D:D,"a"),"")</f>
        <v/>
      </c>
      <c r="K951" s="2" t="e">
        <f>INDEX(+PERMUT(K951:L951,#REF!),)</f>
        <v>#REF!</v>
      </c>
      <c r="L951" s="1">
        <v>1</v>
      </c>
      <c r="M951" s="2" t="e">
        <f>INDEX(+PERMUT(INDIRECT(M951:N951),#REF!),)</f>
        <v>#REF!</v>
      </c>
      <c r="N951" s="1">
        <v>1</v>
      </c>
    </row>
    <row r="952" spans="1:14" x14ac:dyDescent="0.55000000000000004">
      <c r="A952" s="1" t="s">
        <v>1747</v>
      </c>
      <c r="B952" s="2">
        <f>COUNTIF(A:A,A952)-1</f>
        <v>2</v>
      </c>
      <c r="C952" s="2">
        <f>COUNTIF(A$1:A952,A952)-1</f>
        <v>2</v>
      </c>
      <c r="D952" s="2" t="str">
        <f>Argument!D952</f>
        <v>v</v>
      </c>
      <c r="E952" s="2" t="str">
        <f t="shared" si="28"/>
        <v/>
      </c>
      <c r="F952" s="2" t="str">
        <f>IF(C952=0,ISTEXT(FORMULA.CONVERT("="&amp;A952&amp;"("&amp;REPLACE(REPT(",#ref!",B952),1,1,"")&amp;")()",1)),"")</f>
        <v/>
      </c>
      <c r="G952" s="2">
        <f>TYPE(PERMUT(IF(1,1),{1}))</f>
        <v>64</v>
      </c>
      <c r="H952" s="2" t="str">
        <f t="shared" si="29"/>
        <v/>
      </c>
      <c r="I952" s="2">
        <f>TYPE(PERMUT(IF(1,1),IF(1,1)))</f>
        <v>1</v>
      </c>
      <c r="J952" s="2" t="str">
        <f>IF(C952=0,COUNTIFS(A:A,A952,D:D,"a"),"")</f>
        <v/>
      </c>
      <c r="K952" s="2" t="e">
        <f>INDEX(+PERMUT(#REF!,K952:L952),)</f>
        <v>#REF!</v>
      </c>
      <c r="L952" s="1">
        <v>1</v>
      </c>
      <c r="M952" s="2" t="e">
        <f>INDEX(+PERMUT(#REF!,INDIRECT(M952:N952)),)</f>
        <v>#REF!</v>
      </c>
      <c r="N952" s="1">
        <v>1</v>
      </c>
    </row>
    <row r="953" spans="1:14" x14ac:dyDescent="0.55000000000000004">
      <c r="A953" s="1" t="s">
        <v>1748</v>
      </c>
      <c r="B953" s="2">
        <f>COUNTIF(A:A,A953)-1</f>
        <v>3</v>
      </c>
      <c r="C953" s="2">
        <f>COUNTIF(A$1:A953,A953)-1</f>
        <v>0</v>
      </c>
      <c r="D953" s="2" t="str">
        <f>Argument!D953</f>
        <v/>
      </c>
      <c r="E953" s="2" t="str">
        <f t="shared" si="28"/>
        <v>v</v>
      </c>
      <c r="F953" s="2" t="b">
        <f>IF(C953=0,ISTEXT(FORMULA.CONVERT("="&amp;A953&amp;"("&amp;REPLACE(REPT(",#ref!",B953),1,1,"")&amp;")()",1)),"")</f>
        <v>0</v>
      </c>
      <c r="G953" s="2"/>
      <c r="H953" s="2" t="str">
        <f t="shared" si="29"/>
        <v/>
      </c>
      <c r="I953" s="2">
        <f>TYPE(POISSON(IF(1,1),IF(1,1),IF(1,1)))</f>
        <v>1</v>
      </c>
      <c r="J953" s="2">
        <f>IF(C953=0,COUNTIFS(A:A,A953,D:D,"a"),"")</f>
        <v>0</v>
      </c>
      <c r="K953" s="2"/>
      <c r="M953" s="2"/>
    </row>
    <row r="954" spans="1:14" x14ac:dyDescent="0.55000000000000004">
      <c r="A954" s="1" t="s">
        <v>1748</v>
      </c>
      <c r="B954" s="2">
        <f>COUNTIF(A:A,A954)-1</f>
        <v>3</v>
      </c>
      <c r="C954" s="2">
        <f>COUNTIF(A$1:A954,A954)-1</f>
        <v>1</v>
      </c>
      <c r="D954" s="2" t="str">
        <f>Argument!D954</f>
        <v>v</v>
      </c>
      <c r="E954" s="2" t="str">
        <f t="shared" si="28"/>
        <v/>
      </c>
      <c r="F954" s="2" t="str">
        <f>IF(C954=0,ISTEXT(FORMULA.CONVERT("="&amp;A954&amp;"("&amp;REPLACE(REPT(",#ref!",B954),1,1,"")&amp;")()",1)),"")</f>
        <v/>
      </c>
      <c r="G954" s="2">
        <f>TYPE(POISSON({1},IF(1,1),IF(1,1)))</f>
        <v>64</v>
      </c>
      <c r="H954" s="2" t="str">
        <f t="shared" si="29"/>
        <v/>
      </c>
      <c r="I954" s="2">
        <f>TYPE(POISSON(IF(1,1),IF(1,1),IF(1,1)))</f>
        <v>1</v>
      </c>
      <c r="J954" s="2" t="str">
        <f>IF(C954=0,COUNTIFS(A:A,A954,D:D,"a"),"")</f>
        <v/>
      </c>
      <c r="K954" s="2" t="e">
        <f>INDEX(+POISSON(K954:L954,#REF!,#REF!),)</f>
        <v>#REF!</v>
      </c>
      <c r="L954" s="1">
        <v>1</v>
      </c>
      <c r="M954" s="2" t="e">
        <f>INDEX(+POISSON(INDIRECT(M954:N954),#REF!,#REF!),)</f>
        <v>#REF!</v>
      </c>
      <c r="N954" s="1">
        <v>1</v>
      </c>
    </row>
    <row r="955" spans="1:14" x14ac:dyDescent="0.55000000000000004">
      <c r="A955" s="1" t="s">
        <v>1748</v>
      </c>
      <c r="B955" s="2">
        <f>COUNTIF(A:A,A955)-1</f>
        <v>3</v>
      </c>
      <c r="C955" s="2">
        <f>COUNTIF(A$1:A955,A955)-1</f>
        <v>2</v>
      </c>
      <c r="D955" s="2" t="str">
        <f>Argument!D955</f>
        <v>v</v>
      </c>
      <c r="E955" s="2" t="str">
        <f t="shared" si="28"/>
        <v/>
      </c>
      <c r="F955" s="2" t="str">
        <f>IF(C955=0,ISTEXT(FORMULA.CONVERT("="&amp;A955&amp;"("&amp;REPLACE(REPT(",#ref!",B955),1,1,"")&amp;")()",1)),"")</f>
        <v/>
      </c>
      <c r="G955" s="2">
        <f>TYPE(POISSON(IF(1,1),{1},IF(1,1)))</f>
        <v>64</v>
      </c>
      <c r="H955" s="2" t="str">
        <f t="shared" si="29"/>
        <v/>
      </c>
      <c r="I955" s="2">
        <f>TYPE(POISSON(IF(1,1),IF(1,1),IF(1,1)))</f>
        <v>1</v>
      </c>
      <c r="J955" s="2" t="str">
        <f>IF(C955=0,COUNTIFS(A:A,A955,D:D,"a"),"")</f>
        <v/>
      </c>
      <c r="K955" s="2" t="e">
        <f>INDEX(+POISSON(#REF!,K955:L955,#REF!),)</f>
        <v>#REF!</v>
      </c>
      <c r="L955" s="1">
        <v>1</v>
      </c>
      <c r="M955" s="2" t="e">
        <f>INDEX(+POISSON(#REF!,INDIRECT(M955:N955),#REF!),)</f>
        <v>#REF!</v>
      </c>
      <c r="N955" s="1">
        <v>1</v>
      </c>
    </row>
    <row r="956" spans="1:14" x14ac:dyDescent="0.55000000000000004">
      <c r="A956" s="1" t="s">
        <v>1748</v>
      </c>
      <c r="B956" s="2">
        <f>COUNTIF(A:A,A956)-1</f>
        <v>3</v>
      </c>
      <c r="C956" s="2">
        <f>COUNTIF(A$1:A956,A956)-1</f>
        <v>3</v>
      </c>
      <c r="D956" s="2" t="str">
        <f>Argument!D956</f>
        <v>v</v>
      </c>
      <c r="E956" s="2" t="str">
        <f t="shared" si="28"/>
        <v/>
      </c>
      <c r="F956" s="2" t="str">
        <f>IF(C956=0,ISTEXT(FORMULA.CONVERT("="&amp;A956&amp;"("&amp;REPLACE(REPT(",#ref!",B956),1,1,"")&amp;")()",1)),"")</f>
        <v/>
      </c>
      <c r="G956" s="2">
        <f>TYPE(POISSON(IF(1,1),IF(1,1),{1}))</f>
        <v>64</v>
      </c>
      <c r="H956" s="2" t="str">
        <f t="shared" si="29"/>
        <v/>
      </c>
      <c r="I956" s="2">
        <f>TYPE(POISSON(IF(1,1),IF(1,1),IF(1,1)))</f>
        <v>1</v>
      </c>
      <c r="J956" s="2" t="str">
        <f>IF(C956=0,COUNTIFS(A:A,A956,D:D,"a"),"")</f>
        <v/>
      </c>
      <c r="K956" s="2" t="e">
        <f>INDEX(+POISSON(#REF!,#REF!,K956:L956),)</f>
        <v>#REF!</v>
      </c>
      <c r="L956" s="1">
        <v>1</v>
      </c>
      <c r="M956" s="2" t="e">
        <f>INDEX(+POISSON(#REF!,#REF!,INDIRECT(M956:N956)),)</f>
        <v>#REF!</v>
      </c>
      <c r="N956" s="1">
        <v>1</v>
      </c>
    </row>
    <row r="957" spans="1:14" x14ac:dyDescent="0.55000000000000004">
      <c r="A957" s="1" t="s">
        <v>1749</v>
      </c>
      <c r="B957" s="2">
        <f>COUNTIF(A:A,A957)-1</f>
        <v>3</v>
      </c>
      <c r="C957" s="2">
        <f>COUNTIF(A$1:A957,A957)-1</f>
        <v>0</v>
      </c>
      <c r="D957" s="2" t="str">
        <f>Argument!D957</f>
        <v/>
      </c>
      <c r="E957" s="2" t="str">
        <f t="shared" si="28"/>
        <v>v</v>
      </c>
      <c r="F957" s="2" t="b">
        <f>IF(C957=0,ISTEXT(FORMULA.CONVERT("="&amp;A957&amp;"("&amp;REPLACE(REPT(",#ref!",B957),1,1,"")&amp;")()",1)),"")</f>
        <v>0</v>
      </c>
      <c r="G957" s="2"/>
      <c r="H957" s="2" t="str">
        <f t="shared" si="29"/>
        <v/>
      </c>
      <c r="I957" s="2">
        <f>TYPE(TDIST(IF(1,1),IF(1,1),IF(1,1)))</f>
        <v>1</v>
      </c>
      <c r="J957" s="2">
        <f>IF(C957=0,COUNTIFS(A:A,A957,D:D,"a"),"")</f>
        <v>0</v>
      </c>
      <c r="K957" s="2"/>
      <c r="M957" s="2"/>
    </row>
    <row r="958" spans="1:14" x14ac:dyDescent="0.55000000000000004">
      <c r="A958" s="1" t="s">
        <v>1749</v>
      </c>
      <c r="B958" s="2">
        <f>COUNTIF(A:A,A958)-1</f>
        <v>3</v>
      </c>
      <c r="C958" s="2">
        <f>COUNTIF(A$1:A958,A958)-1</f>
        <v>1</v>
      </c>
      <c r="D958" s="2" t="str">
        <f>Argument!D958</f>
        <v>v</v>
      </c>
      <c r="E958" s="2" t="str">
        <f t="shared" si="28"/>
        <v/>
      </c>
      <c r="F958" s="2" t="str">
        <f>IF(C958=0,ISTEXT(FORMULA.CONVERT("="&amp;A958&amp;"("&amp;REPLACE(REPT(",#ref!",B958),1,1,"")&amp;")()",1)),"")</f>
        <v/>
      </c>
      <c r="G958" s="2">
        <f>TYPE(TDIST({1},IF(1,1),IF(1,1)))</f>
        <v>64</v>
      </c>
      <c r="H958" s="2" t="str">
        <f t="shared" si="29"/>
        <v/>
      </c>
      <c r="I958" s="2">
        <f>TYPE(TDIST(IF(1,1),IF(1,1),IF(1,1)))</f>
        <v>1</v>
      </c>
      <c r="J958" s="2" t="str">
        <f>IF(C958=0,COUNTIFS(A:A,A958,D:D,"a"),"")</f>
        <v/>
      </c>
      <c r="K958" s="2" t="e">
        <f>INDEX(+TDIST(K958:L958,#REF!,#REF!),)</f>
        <v>#REF!</v>
      </c>
      <c r="L958" s="1">
        <v>1</v>
      </c>
      <c r="M958" s="2" t="e">
        <f>INDEX(+TDIST(INDIRECT(M958:N958),#REF!,#REF!),)</f>
        <v>#REF!</v>
      </c>
      <c r="N958" s="1">
        <v>1</v>
      </c>
    </row>
    <row r="959" spans="1:14" x14ac:dyDescent="0.55000000000000004">
      <c r="A959" s="1" t="s">
        <v>1749</v>
      </c>
      <c r="B959" s="2">
        <f>COUNTIF(A:A,A959)-1</f>
        <v>3</v>
      </c>
      <c r="C959" s="2">
        <f>COUNTIF(A$1:A959,A959)-1</f>
        <v>2</v>
      </c>
      <c r="D959" s="2" t="str">
        <f>Argument!D959</f>
        <v>v</v>
      </c>
      <c r="E959" s="2" t="str">
        <f t="shared" si="28"/>
        <v/>
      </c>
      <c r="F959" s="2" t="str">
        <f>IF(C959=0,ISTEXT(FORMULA.CONVERT("="&amp;A959&amp;"("&amp;REPLACE(REPT(",#ref!",B959),1,1,"")&amp;")()",1)),"")</f>
        <v/>
      </c>
      <c r="G959" s="2">
        <f>TYPE(TDIST(IF(1,1),{1},IF(1,1)))</f>
        <v>64</v>
      </c>
      <c r="H959" s="2" t="str">
        <f t="shared" si="29"/>
        <v/>
      </c>
      <c r="I959" s="2">
        <f>TYPE(TDIST(IF(1,1),IF(1,1),IF(1,1)))</f>
        <v>1</v>
      </c>
      <c r="J959" s="2" t="str">
        <f>IF(C959=0,COUNTIFS(A:A,A959,D:D,"a"),"")</f>
        <v/>
      </c>
      <c r="K959" s="2" t="e">
        <f>INDEX(+TDIST(#REF!,K959:L959,#REF!),)</f>
        <v>#REF!</v>
      </c>
      <c r="L959" s="1">
        <v>1</v>
      </c>
      <c r="M959" s="2" t="e">
        <f>INDEX(+TDIST(#REF!,INDIRECT(M959:N959),#REF!),)</f>
        <v>#REF!</v>
      </c>
      <c r="N959" s="1">
        <v>1</v>
      </c>
    </row>
    <row r="960" spans="1:14" x14ac:dyDescent="0.55000000000000004">
      <c r="A960" s="1" t="s">
        <v>1749</v>
      </c>
      <c r="B960" s="2">
        <f>COUNTIF(A:A,A960)-1</f>
        <v>3</v>
      </c>
      <c r="C960" s="2">
        <f>COUNTIF(A$1:A960,A960)-1</f>
        <v>3</v>
      </c>
      <c r="D960" s="2" t="str">
        <f>Argument!D960</f>
        <v>v</v>
      </c>
      <c r="E960" s="2" t="str">
        <f t="shared" si="28"/>
        <v/>
      </c>
      <c r="F960" s="2" t="str">
        <f>IF(C960=0,ISTEXT(FORMULA.CONVERT("="&amp;A960&amp;"("&amp;REPLACE(REPT(",#ref!",B960),1,1,"")&amp;")()",1)),"")</f>
        <v/>
      </c>
      <c r="G960" s="2">
        <f>TYPE(TDIST(IF(1,1),IF(1,1),{1}))</f>
        <v>64</v>
      </c>
      <c r="H960" s="2" t="str">
        <f t="shared" si="29"/>
        <v/>
      </c>
      <c r="I960" s="2">
        <f>TYPE(TDIST(IF(1,1),IF(1,1),IF(1,1)))</f>
        <v>1</v>
      </c>
      <c r="J960" s="2" t="str">
        <f>IF(C960=0,COUNTIFS(A:A,A960,D:D,"a"),"")</f>
        <v/>
      </c>
      <c r="K960" s="2" t="e">
        <f>INDEX(+TDIST(#REF!,#REF!,K960:L960),)</f>
        <v>#REF!</v>
      </c>
      <c r="L960" s="1">
        <v>1</v>
      </c>
      <c r="M960" s="2" t="e">
        <f>INDEX(+TDIST(#REF!,#REF!,INDIRECT(M960:N960)),)</f>
        <v>#REF!</v>
      </c>
      <c r="N960" s="1">
        <v>1</v>
      </c>
    </row>
    <row r="961" spans="1:14" x14ac:dyDescent="0.55000000000000004">
      <c r="A961" s="1" t="s">
        <v>1750</v>
      </c>
      <c r="B961" s="2">
        <f>COUNTIF(A:A,A961)-1</f>
        <v>4</v>
      </c>
      <c r="C961" s="2">
        <f>COUNTIF(A$1:A961,A961)-1</f>
        <v>0</v>
      </c>
      <c r="D961" s="2" t="str">
        <f>Argument!D961</f>
        <v/>
      </c>
      <c r="E961" s="2" t="str">
        <f t="shared" si="28"/>
        <v>v</v>
      </c>
      <c r="F961" s="2" t="b">
        <f>IF(C961=0,ISTEXT(FORMULA.CONVERT("="&amp;A961&amp;"("&amp;REPLACE(REPT(",#ref!",B961),1,1,"")&amp;")()",1)),"")</f>
        <v>0</v>
      </c>
      <c r="G961" s="2"/>
      <c r="H961" s="2" t="str">
        <f t="shared" si="29"/>
        <v/>
      </c>
      <c r="I961" s="2">
        <f>TYPE(WEIBULL(IF(1,1),IF(1,1),IF(1,1),IF(1,1)))</f>
        <v>1</v>
      </c>
      <c r="J961" s="2">
        <f>IF(C961=0,COUNTIFS(A:A,A961,D:D,"a"),"")</f>
        <v>0</v>
      </c>
      <c r="K961" s="2"/>
      <c r="M961" s="2"/>
    </row>
    <row r="962" spans="1:14" x14ac:dyDescent="0.55000000000000004">
      <c r="A962" s="1" t="s">
        <v>1750</v>
      </c>
      <c r="B962" s="2">
        <f>COUNTIF(A:A,A962)-1</f>
        <v>4</v>
      </c>
      <c r="C962" s="2">
        <f>COUNTIF(A$1:A962,A962)-1</f>
        <v>1</v>
      </c>
      <c r="D962" s="2" t="str">
        <f>Argument!D962</f>
        <v>v</v>
      </c>
      <c r="E962" s="2" t="str">
        <f t="shared" ref="E962:E1025" si="30">IF(C962=0,IF(SUMIFS(H:H,A:A,A962),IF(COUNTIFS(A:A,A962,G:G,64),,"v")&amp;IF(F962,"ar","a"),IF(F962,"r","v")),"")</f>
        <v/>
      </c>
      <c r="F962" s="2" t="str">
        <f>IF(C962=0,ISTEXT(FORMULA.CONVERT("="&amp;A962&amp;"("&amp;REPLACE(REPT(",#ref!",B962),1,1,"")&amp;")()",1)),"")</f>
        <v/>
      </c>
      <c r="G962" s="2">
        <f>TYPE(WEIBULL({1},IF(1,1),IF(1,1),IF(1,1)))</f>
        <v>64</v>
      </c>
      <c r="H962" s="2" t="str">
        <f t="shared" ref="H962:H1025" si="31">IF((I962=64)*(J962=B962)+(1-L962)*COUNTIF(D962,"*v*")+(1-N962)*COUNTIF(D962,"*r*"),1,"")</f>
        <v/>
      </c>
      <c r="I962" s="2">
        <f>TYPE(WEIBULL(IF(1,1),IF(1,1),IF(1,1),IF(1,1)))</f>
        <v>1</v>
      </c>
      <c r="J962" s="2" t="str">
        <f>IF(C962=0,COUNTIFS(A:A,A962,D:D,"a"),"")</f>
        <v/>
      </c>
      <c r="K962" s="2" t="e">
        <f>INDEX(+WEIBULL(K962:L962,#REF!,#REF!,#REF!),)</f>
        <v>#REF!</v>
      </c>
      <c r="L962" s="1">
        <v>1</v>
      </c>
      <c r="M962" s="2" t="e">
        <f>INDEX(+WEIBULL(INDIRECT(M962:N962),#REF!,#REF!,#REF!),)</f>
        <v>#REF!</v>
      </c>
      <c r="N962" s="1">
        <v>1</v>
      </c>
    </row>
    <row r="963" spans="1:14" x14ac:dyDescent="0.55000000000000004">
      <c r="A963" s="1" t="s">
        <v>1750</v>
      </c>
      <c r="B963" s="2">
        <f>COUNTIF(A:A,A963)-1</f>
        <v>4</v>
      </c>
      <c r="C963" s="2">
        <f>COUNTIF(A$1:A963,A963)-1</f>
        <v>2</v>
      </c>
      <c r="D963" s="2" t="str">
        <f>Argument!D963</f>
        <v>v</v>
      </c>
      <c r="E963" s="2" t="str">
        <f t="shared" si="30"/>
        <v/>
      </c>
      <c r="F963" s="2" t="str">
        <f>IF(C963=0,ISTEXT(FORMULA.CONVERT("="&amp;A963&amp;"("&amp;REPLACE(REPT(",#ref!",B963),1,1,"")&amp;")()",1)),"")</f>
        <v/>
      </c>
      <c r="G963" s="2">
        <f>TYPE(WEIBULL(IF(1,1),{1},IF(1,1),IF(1,1)))</f>
        <v>64</v>
      </c>
      <c r="H963" s="2" t="str">
        <f t="shared" si="31"/>
        <v/>
      </c>
      <c r="I963" s="2">
        <f>TYPE(WEIBULL(IF(1,1),IF(1,1),IF(1,1),IF(1,1)))</f>
        <v>1</v>
      </c>
      <c r="J963" s="2" t="str">
        <f>IF(C963=0,COUNTIFS(A:A,A963,D:D,"a"),"")</f>
        <v/>
      </c>
      <c r="K963" s="2" t="e">
        <f>INDEX(+WEIBULL(#REF!,K963:L963,#REF!,#REF!),)</f>
        <v>#REF!</v>
      </c>
      <c r="L963" s="1">
        <v>1</v>
      </c>
      <c r="M963" s="2" t="e">
        <f>INDEX(+WEIBULL(#REF!,INDIRECT(M963:N963),#REF!,#REF!),)</f>
        <v>#REF!</v>
      </c>
      <c r="N963" s="1">
        <v>1</v>
      </c>
    </row>
    <row r="964" spans="1:14" x14ac:dyDescent="0.55000000000000004">
      <c r="A964" s="1" t="s">
        <v>1750</v>
      </c>
      <c r="B964" s="2">
        <f>COUNTIF(A:A,A964)-1</f>
        <v>4</v>
      </c>
      <c r="C964" s="2">
        <f>COUNTIF(A$1:A964,A964)-1</f>
        <v>3</v>
      </c>
      <c r="D964" s="2" t="str">
        <f>Argument!D964</f>
        <v>v</v>
      </c>
      <c r="E964" s="2" t="str">
        <f t="shared" si="30"/>
        <v/>
      </c>
      <c r="F964" s="2" t="str">
        <f>IF(C964=0,ISTEXT(FORMULA.CONVERT("="&amp;A964&amp;"("&amp;REPLACE(REPT(",#ref!",B964),1,1,"")&amp;")()",1)),"")</f>
        <v/>
      </c>
      <c r="G964" s="2">
        <f>TYPE(WEIBULL(IF(1,1),IF(1,1),{1},IF(1,1)))</f>
        <v>64</v>
      </c>
      <c r="H964" s="2" t="str">
        <f t="shared" si="31"/>
        <v/>
      </c>
      <c r="I964" s="2">
        <f>TYPE(WEIBULL(IF(1,1),IF(1,1),IF(1,1),IF(1,1)))</f>
        <v>1</v>
      </c>
      <c r="J964" s="2" t="str">
        <f>IF(C964=0,COUNTIFS(A:A,A964,D:D,"a"),"")</f>
        <v/>
      </c>
      <c r="K964" s="2" t="e">
        <f>INDEX(+WEIBULL(#REF!,#REF!,K964:L964,#REF!),)</f>
        <v>#REF!</v>
      </c>
      <c r="L964" s="1">
        <v>1</v>
      </c>
      <c r="M964" s="2" t="e">
        <f>INDEX(+WEIBULL(#REF!,#REF!,INDIRECT(M964:N964),#REF!),)</f>
        <v>#REF!</v>
      </c>
      <c r="N964" s="1">
        <v>1</v>
      </c>
    </row>
    <row r="965" spans="1:14" x14ac:dyDescent="0.55000000000000004">
      <c r="A965" s="1" t="s">
        <v>1750</v>
      </c>
      <c r="B965" s="2">
        <f>COUNTIF(A:A,A965)-1</f>
        <v>4</v>
      </c>
      <c r="C965" s="2">
        <f>COUNTIF(A$1:A965,A965)-1</f>
        <v>4</v>
      </c>
      <c r="D965" s="2" t="str">
        <f>Argument!D965</f>
        <v>v</v>
      </c>
      <c r="E965" s="2" t="str">
        <f t="shared" si="30"/>
        <v/>
      </c>
      <c r="F965" s="2" t="str">
        <f>IF(C965=0,ISTEXT(FORMULA.CONVERT("="&amp;A965&amp;"("&amp;REPLACE(REPT(",#ref!",B965),1,1,"")&amp;")()",1)),"")</f>
        <v/>
      </c>
      <c r="G965" s="2">
        <f>TYPE(WEIBULL(IF(1,1),IF(1,1),IF(1,1),{1}))</f>
        <v>64</v>
      </c>
      <c r="H965" s="2" t="str">
        <f t="shared" si="31"/>
        <v/>
      </c>
      <c r="I965" s="2">
        <f>TYPE(WEIBULL(IF(1,1),IF(1,1),IF(1,1),IF(1,1)))</f>
        <v>1</v>
      </c>
      <c r="J965" s="2" t="str">
        <f>IF(C965=0,COUNTIFS(A:A,A965,D:D,"a"),"")</f>
        <v/>
      </c>
      <c r="K965" s="2" t="e">
        <f>INDEX(+WEIBULL(#REF!,#REF!,#REF!,K965:L965),)</f>
        <v>#REF!</v>
      </c>
      <c r="L965" s="1">
        <v>1</v>
      </c>
      <c r="M965" s="2" t="e">
        <f>INDEX(+WEIBULL(#REF!,#REF!,#REF!,INDIRECT(M965:N965)),)</f>
        <v>#REF!</v>
      </c>
      <c r="N965" s="1">
        <v>1</v>
      </c>
    </row>
    <row r="966" spans="1:14" x14ac:dyDescent="0.55000000000000004">
      <c r="A966" s="1" t="s">
        <v>1751</v>
      </c>
      <c r="B966" s="2">
        <f>COUNTIF(A:A,A966)-1</f>
        <v>2</v>
      </c>
      <c r="C966" s="2">
        <f>COUNTIF(A$1:A966,A966)-1</f>
        <v>0</v>
      </c>
      <c r="D966" s="2" t="str">
        <f>Argument!D966</f>
        <v/>
      </c>
      <c r="E966" s="2" t="str">
        <f t="shared" si="30"/>
        <v>v</v>
      </c>
      <c r="F966" s="2" t="b">
        <f>IF(C966=0,ISTEXT(FORMULA.CONVERT("="&amp;A966&amp;"("&amp;REPLACE(REPT(",#ref!",B966),1,1,"")&amp;")()",1)),"")</f>
        <v>0</v>
      </c>
      <c r="G966" s="2"/>
      <c r="H966" s="2" t="str">
        <f t="shared" si="31"/>
        <v/>
      </c>
      <c r="I966" s="2">
        <f>TYPE(SUMXMY2(IF(1,1),IF(1,1)))</f>
        <v>1</v>
      </c>
      <c r="J966" s="2">
        <f>IF(C966=0,COUNTIFS(A:A,A966,D:D,"a"),"")</f>
        <v>2</v>
      </c>
      <c r="K966" s="2"/>
      <c r="M966" s="2"/>
    </row>
    <row r="967" spans="1:14" x14ac:dyDescent="0.55000000000000004">
      <c r="A967" s="1" t="s">
        <v>1751</v>
      </c>
      <c r="B967" s="2">
        <f>COUNTIF(A:A,A967)-1</f>
        <v>2</v>
      </c>
      <c r="C967" s="2">
        <f>COUNTIF(A$1:A967,A967)-1</f>
        <v>1</v>
      </c>
      <c r="D967" s="2" t="str">
        <f>Argument!D967</f>
        <v>a</v>
      </c>
      <c r="E967" s="2" t="str">
        <f t="shared" si="30"/>
        <v/>
      </c>
      <c r="F967" s="2" t="str">
        <f>IF(C967=0,ISTEXT(FORMULA.CONVERT("="&amp;A967&amp;"("&amp;REPLACE(REPT(",#ref!",B967),1,1,"")&amp;")()",1)),"")</f>
        <v/>
      </c>
      <c r="G967" s="2">
        <f>TYPE(SUMXMY2({1},IF(1,1)))</f>
        <v>1</v>
      </c>
      <c r="H967" s="2" t="str">
        <f t="shared" si="31"/>
        <v/>
      </c>
      <c r="I967" s="2">
        <f>TYPE(SUMXMY2(IF(1,1),IF(1,1)))</f>
        <v>1</v>
      </c>
      <c r="J967" s="2" t="str">
        <f>IF(C967=0,COUNTIFS(A:A,A967,D:D,"a"),"")</f>
        <v/>
      </c>
      <c r="K967" s="2" t="e">
        <f>INDEX(+SUMXMY2(K967:L967,#REF!),)</f>
        <v>#REF!</v>
      </c>
      <c r="L967" s="1">
        <v>1</v>
      </c>
      <c r="M967" s="2" t="e">
        <f>INDEX(+SUMXMY2(INDIRECT(M967:N967),#REF!),)</f>
        <v>#REF!</v>
      </c>
      <c r="N967" s="1">
        <v>1</v>
      </c>
    </row>
    <row r="968" spans="1:14" x14ac:dyDescent="0.55000000000000004">
      <c r="A968" s="1" t="s">
        <v>1751</v>
      </c>
      <c r="B968" s="2">
        <f>COUNTIF(A:A,A968)-1</f>
        <v>2</v>
      </c>
      <c r="C968" s="2">
        <f>COUNTIF(A$1:A968,A968)-1</f>
        <v>2</v>
      </c>
      <c r="D968" s="2" t="str">
        <f>Argument!D968</f>
        <v>a</v>
      </c>
      <c r="E968" s="2" t="str">
        <f t="shared" si="30"/>
        <v/>
      </c>
      <c r="F968" s="2" t="str">
        <f>IF(C968=0,ISTEXT(FORMULA.CONVERT("="&amp;A968&amp;"("&amp;REPLACE(REPT(",#ref!",B968),1,1,"")&amp;")()",1)),"")</f>
        <v/>
      </c>
      <c r="G968" s="2">
        <f>TYPE(SUMXMY2(IF(1,1),{1}))</f>
        <v>1</v>
      </c>
      <c r="H968" s="2" t="str">
        <f t="shared" si="31"/>
        <v/>
      </c>
      <c r="I968" s="2">
        <f>TYPE(SUMXMY2(IF(1,1),IF(1,1)))</f>
        <v>1</v>
      </c>
      <c r="J968" s="2" t="str">
        <f>IF(C968=0,COUNTIFS(A:A,A968,D:D,"a"),"")</f>
        <v/>
      </c>
      <c r="K968" s="2" t="e">
        <f>INDEX(+SUMXMY2(#REF!,K968:L968),)</f>
        <v>#REF!</v>
      </c>
      <c r="L968" s="1">
        <v>1</v>
      </c>
      <c r="M968" s="2" t="e">
        <f>INDEX(+SUMXMY2(#REF!,INDIRECT(M968:N968)),)</f>
        <v>#REF!</v>
      </c>
      <c r="N968" s="1">
        <v>1</v>
      </c>
    </row>
    <row r="969" spans="1:14" x14ac:dyDescent="0.55000000000000004">
      <c r="A969" s="1" t="s">
        <v>2055</v>
      </c>
      <c r="B969" s="2">
        <f>COUNTIF(A:A,A969)-1</f>
        <v>2</v>
      </c>
      <c r="C969" s="2">
        <f>COUNTIF(A$1:A969,A969)-1</f>
        <v>0</v>
      </c>
      <c r="D969" s="2" t="str">
        <f>Argument!D969</f>
        <v/>
      </c>
      <c r="E969" s="2" t="str">
        <f t="shared" si="30"/>
        <v>v</v>
      </c>
      <c r="F969" s="2" t="b">
        <f>IF(C969=0,ISTEXT(FORMULA.CONVERT("="&amp;A969&amp;"("&amp;REPLACE(REPT(",#ref!",B969),1,1,"")&amp;")()",1)),"")</f>
        <v>0</v>
      </c>
      <c r="G969" s="2"/>
      <c r="H969" s="2" t="str">
        <f t="shared" si="31"/>
        <v/>
      </c>
      <c r="I969" s="2">
        <f>TYPE(SUMX2MY2(IF(1,1),IF(1,1)))</f>
        <v>1</v>
      </c>
      <c r="J969" s="2">
        <f>IF(C969=0,COUNTIFS(A:A,A969,D:D,"a"),"")</f>
        <v>2</v>
      </c>
      <c r="K969" s="2"/>
      <c r="M969" s="2"/>
    </row>
    <row r="970" spans="1:14" x14ac:dyDescent="0.55000000000000004">
      <c r="A970" s="1" t="s">
        <v>2055</v>
      </c>
      <c r="B970" s="2">
        <f>COUNTIF(A:A,A970)-1</f>
        <v>2</v>
      </c>
      <c r="C970" s="2">
        <f>COUNTIF(A$1:A970,A970)-1</f>
        <v>1</v>
      </c>
      <c r="D970" s="2" t="str">
        <f>Argument!D970</f>
        <v>a</v>
      </c>
      <c r="E970" s="2" t="str">
        <f t="shared" si="30"/>
        <v/>
      </c>
      <c r="F970" s="2" t="str">
        <f>IF(C970=0,ISTEXT(FORMULA.CONVERT("="&amp;A970&amp;"("&amp;REPLACE(REPT(",#ref!",B970),1,1,"")&amp;")()",1)),"")</f>
        <v/>
      </c>
      <c r="G970" s="2">
        <f>TYPE(SUMX2MY2({1},IF(1,1)))</f>
        <v>1</v>
      </c>
      <c r="H970" s="2" t="str">
        <f t="shared" si="31"/>
        <v/>
      </c>
      <c r="I970" s="2">
        <f>TYPE(SUMX2MY2(IF(1,1),IF(1,1)))</f>
        <v>1</v>
      </c>
      <c r="J970" s="2" t="str">
        <f>IF(C970=0,COUNTIFS(A:A,A970,D:D,"a"),"")</f>
        <v/>
      </c>
      <c r="K970" s="2" t="e">
        <f>INDEX(+SUMX2MY2(K970:L970,#REF!),)</f>
        <v>#REF!</v>
      </c>
      <c r="L970" s="1">
        <v>1</v>
      </c>
      <c r="M970" s="2" t="e">
        <f>INDEX(+SUMX2MY2(INDIRECT(M970:N970),#REF!),)</f>
        <v>#REF!</v>
      </c>
      <c r="N970" s="1">
        <v>1</v>
      </c>
    </row>
    <row r="971" spans="1:14" x14ac:dyDescent="0.55000000000000004">
      <c r="A971" s="1" t="s">
        <v>2055</v>
      </c>
      <c r="B971" s="2">
        <f>COUNTIF(A:A,A971)-1</f>
        <v>2</v>
      </c>
      <c r="C971" s="2">
        <f>COUNTIF(A$1:A971,A971)-1</f>
        <v>2</v>
      </c>
      <c r="D971" s="2" t="str">
        <f>Argument!D971</f>
        <v>a</v>
      </c>
      <c r="E971" s="2" t="str">
        <f t="shared" si="30"/>
        <v/>
      </c>
      <c r="F971" s="2" t="str">
        <f>IF(C971=0,ISTEXT(FORMULA.CONVERT("="&amp;A971&amp;"("&amp;REPLACE(REPT(",#ref!",B971),1,1,"")&amp;")()",1)),"")</f>
        <v/>
      </c>
      <c r="G971" s="2">
        <f>TYPE(SUMX2MY2(IF(1,1),{1}))</f>
        <v>1</v>
      </c>
      <c r="H971" s="2" t="str">
        <f t="shared" si="31"/>
        <v/>
      </c>
      <c r="I971" s="2">
        <f>TYPE(SUMX2MY2(IF(1,1),IF(1,1)))</f>
        <v>1</v>
      </c>
      <c r="J971" s="2" t="str">
        <f>IF(C971=0,COUNTIFS(A:A,A971,D:D,"a"),"")</f>
        <v/>
      </c>
      <c r="K971" s="2" t="e">
        <f>INDEX(+SUMX2MY2(#REF!,K971:L971),)</f>
        <v>#REF!</v>
      </c>
      <c r="L971" s="1">
        <v>1</v>
      </c>
      <c r="M971" s="2" t="e">
        <f>INDEX(+SUMX2MY2(#REF!,INDIRECT(M971:N971)),)</f>
        <v>#REF!</v>
      </c>
      <c r="N971" s="1">
        <v>1</v>
      </c>
    </row>
    <row r="972" spans="1:14" x14ac:dyDescent="0.55000000000000004">
      <c r="A972" s="1" t="s">
        <v>2056</v>
      </c>
      <c r="B972" s="2">
        <f>COUNTIF(A:A,A972)-1</f>
        <v>2</v>
      </c>
      <c r="C972" s="2">
        <f>COUNTIF(A$1:A972,A972)-1</f>
        <v>0</v>
      </c>
      <c r="D972" s="2" t="str">
        <f>Argument!D972</f>
        <v/>
      </c>
      <c r="E972" s="2" t="str">
        <f t="shared" si="30"/>
        <v>v</v>
      </c>
      <c r="F972" s="2" t="b">
        <f>IF(C972=0,ISTEXT(FORMULA.CONVERT("="&amp;A972&amp;"("&amp;REPLACE(REPT(",#ref!",B972),1,1,"")&amp;")()",1)),"")</f>
        <v>0</v>
      </c>
      <c r="G972" s="2"/>
      <c r="H972" s="2" t="str">
        <f t="shared" si="31"/>
        <v/>
      </c>
      <c r="I972" s="2">
        <f>TYPE(SUMX2PY2(IF(1,1),IF(1,1)))</f>
        <v>1</v>
      </c>
      <c r="J972" s="2">
        <f>IF(C972=0,COUNTIFS(A:A,A972,D:D,"a"),"")</f>
        <v>2</v>
      </c>
      <c r="K972" s="2"/>
      <c r="M972" s="2"/>
    </row>
    <row r="973" spans="1:14" x14ac:dyDescent="0.55000000000000004">
      <c r="A973" s="1" t="s">
        <v>2056</v>
      </c>
      <c r="B973" s="2">
        <f>COUNTIF(A:A,A973)-1</f>
        <v>2</v>
      </c>
      <c r="C973" s="2">
        <f>COUNTIF(A$1:A973,A973)-1</f>
        <v>1</v>
      </c>
      <c r="D973" s="2" t="str">
        <f>Argument!D973</f>
        <v>a</v>
      </c>
      <c r="E973" s="2" t="str">
        <f t="shared" si="30"/>
        <v/>
      </c>
      <c r="F973" s="2" t="str">
        <f>IF(C973=0,ISTEXT(FORMULA.CONVERT("="&amp;A973&amp;"("&amp;REPLACE(REPT(",#ref!",B973),1,1,"")&amp;")()",1)),"")</f>
        <v/>
      </c>
      <c r="G973" s="2">
        <f>TYPE(SUMX2PY2({1},IF(1,1)))</f>
        <v>1</v>
      </c>
      <c r="H973" s="2" t="str">
        <f t="shared" si="31"/>
        <v/>
      </c>
      <c r="I973" s="2">
        <f>TYPE(SUMX2PY2(IF(1,1),IF(1,1)))</f>
        <v>1</v>
      </c>
      <c r="J973" s="2" t="str">
        <f>IF(C973=0,COUNTIFS(A:A,A973,D:D,"a"),"")</f>
        <v/>
      </c>
      <c r="K973" s="2" t="e">
        <f>INDEX(+SUMX2PY2(K973:L973,#REF!),)</f>
        <v>#REF!</v>
      </c>
      <c r="L973" s="1">
        <v>1</v>
      </c>
      <c r="M973" s="2" t="e">
        <f>INDEX(+SUMX2PY2(INDIRECT(M973:N973),#REF!),)</f>
        <v>#REF!</v>
      </c>
      <c r="N973" s="1">
        <v>1</v>
      </c>
    </row>
    <row r="974" spans="1:14" x14ac:dyDescent="0.55000000000000004">
      <c r="A974" s="1" t="s">
        <v>2056</v>
      </c>
      <c r="B974" s="2">
        <f>COUNTIF(A:A,A974)-1</f>
        <v>2</v>
      </c>
      <c r="C974" s="2">
        <f>COUNTIF(A$1:A974,A974)-1</f>
        <v>2</v>
      </c>
      <c r="D974" s="2" t="str">
        <f>Argument!D974</f>
        <v>a</v>
      </c>
      <c r="E974" s="2" t="str">
        <f t="shared" si="30"/>
        <v/>
      </c>
      <c r="F974" s="2" t="str">
        <f>IF(C974=0,ISTEXT(FORMULA.CONVERT("="&amp;A974&amp;"("&amp;REPLACE(REPT(",#ref!",B974),1,1,"")&amp;")()",1)),"")</f>
        <v/>
      </c>
      <c r="G974" s="2">
        <f>TYPE(SUMX2PY2(IF(1,1),{1}))</f>
        <v>1</v>
      </c>
      <c r="H974" s="2" t="str">
        <f t="shared" si="31"/>
        <v/>
      </c>
      <c r="I974" s="2">
        <f>TYPE(SUMX2PY2(IF(1,1),IF(1,1)))</f>
        <v>1</v>
      </c>
      <c r="J974" s="2" t="str">
        <f>IF(C974=0,COUNTIFS(A:A,A974,D:D,"a"),"")</f>
        <v/>
      </c>
      <c r="K974" s="2" t="e">
        <f>INDEX(+SUMX2PY2(#REF!,K974:L974),)</f>
        <v>#REF!</v>
      </c>
      <c r="L974" s="1">
        <v>1</v>
      </c>
      <c r="M974" s="2" t="e">
        <f>INDEX(+SUMX2PY2(#REF!,INDIRECT(M974:N974)),)</f>
        <v>#REF!</v>
      </c>
      <c r="N974" s="1">
        <v>1</v>
      </c>
    </row>
    <row r="975" spans="1:14" x14ac:dyDescent="0.55000000000000004">
      <c r="A975" s="1" t="s">
        <v>1752</v>
      </c>
      <c r="B975" s="2">
        <f>COUNTIF(A:A,A975)-1</f>
        <v>2</v>
      </c>
      <c r="C975" s="2">
        <f>COUNTIF(A$1:A975,A975)-1</f>
        <v>0</v>
      </c>
      <c r="D975" s="2" t="str">
        <f>Argument!D975</f>
        <v/>
      </c>
      <c r="E975" s="2" t="str">
        <f t="shared" si="30"/>
        <v>v</v>
      </c>
      <c r="F975" s="2" t="b">
        <f>IF(C975=0,ISTEXT(FORMULA.CONVERT("="&amp;A975&amp;"("&amp;REPLACE(REPT(",#ref!",B975),1,1,"")&amp;")()",1)),"")</f>
        <v>0</v>
      </c>
      <c r="G975" s="2"/>
      <c r="H975" s="2" t="str">
        <f t="shared" si="31"/>
        <v/>
      </c>
      <c r="I975" s="2">
        <f>TYPE(CHITEST(IF(1,1),IF(1,1)))</f>
        <v>16</v>
      </c>
      <c r="J975" s="2">
        <f>IF(C975=0,COUNTIFS(A:A,A975,D:D,"a"),"")</f>
        <v>2</v>
      </c>
      <c r="K975" s="2"/>
      <c r="M975" s="2"/>
    </row>
    <row r="976" spans="1:14" x14ac:dyDescent="0.55000000000000004">
      <c r="A976" s="1" t="s">
        <v>1752</v>
      </c>
      <c r="B976" s="2">
        <f>COUNTIF(A:A,A976)-1</f>
        <v>2</v>
      </c>
      <c r="C976" s="2">
        <f>COUNTIF(A$1:A976,A976)-1</f>
        <v>1</v>
      </c>
      <c r="D976" s="2" t="str">
        <f>Argument!D976</f>
        <v>a</v>
      </c>
      <c r="E976" s="2" t="str">
        <f t="shared" si="30"/>
        <v/>
      </c>
      <c r="F976" s="2" t="str">
        <f>IF(C976=0,ISTEXT(FORMULA.CONVERT("="&amp;A976&amp;"("&amp;REPLACE(REPT(",#ref!",B976),1,1,"")&amp;")()",1)),"")</f>
        <v/>
      </c>
      <c r="G976" s="2">
        <f>TYPE(CHITEST({1},IF(1,1)))</f>
        <v>16</v>
      </c>
      <c r="H976" s="2" t="str">
        <f t="shared" si="31"/>
        <v/>
      </c>
      <c r="I976" s="2">
        <f>TYPE(CHITEST(IF(1,1),IF(1,1)))</f>
        <v>16</v>
      </c>
      <c r="J976" s="2" t="str">
        <f>IF(C976=0,COUNTIFS(A:A,A976,D:D,"a"),"")</f>
        <v/>
      </c>
      <c r="K976" s="2" t="e">
        <f>INDEX(+CHITEST(K976:L976,#REF!),)</f>
        <v>#REF!</v>
      </c>
      <c r="L976" s="1">
        <v>1</v>
      </c>
      <c r="M976" s="2" t="e">
        <f>INDEX(+CHITEST(INDIRECT(M976:N976),#REF!),)</f>
        <v>#REF!</v>
      </c>
      <c r="N976" s="1">
        <v>1</v>
      </c>
    </row>
    <row r="977" spans="1:14" x14ac:dyDescent="0.55000000000000004">
      <c r="A977" s="1" t="s">
        <v>1752</v>
      </c>
      <c r="B977" s="2">
        <f>COUNTIF(A:A,A977)-1</f>
        <v>2</v>
      </c>
      <c r="C977" s="2">
        <f>COUNTIF(A$1:A977,A977)-1</f>
        <v>2</v>
      </c>
      <c r="D977" s="2" t="str">
        <f>Argument!D977</f>
        <v>a</v>
      </c>
      <c r="E977" s="2" t="str">
        <f t="shared" si="30"/>
        <v/>
      </c>
      <c r="F977" s="2" t="str">
        <f>IF(C977=0,ISTEXT(FORMULA.CONVERT("="&amp;A977&amp;"("&amp;REPLACE(REPT(",#ref!",B977),1,1,"")&amp;")()",1)),"")</f>
        <v/>
      </c>
      <c r="G977" s="2">
        <f>TYPE(CHITEST(IF(1,1),{1}))</f>
        <v>16</v>
      </c>
      <c r="H977" s="2" t="str">
        <f t="shared" si="31"/>
        <v/>
      </c>
      <c r="I977" s="2">
        <f>TYPE(CHITEST(IF(1,1),IF(1,1)))</f>
        <v>16</v>
      </c>
      <c r="J977" s="2" t="str">
        <f>IF(C977=0,COUNTIFS(A:A,A977,D:D,"a"),"")</f>
        <v/>
      </c>
      <c r="K977" s="2" t="e">
        <f>INDEX(+CHITEST(#REF!,K977:L977),)</f>
        <v>#REF!</v>
      </c>
      <c r="L977" s="1">
        <v>1</v>
      </c>
      <c r="M977" s="2" t="e">
        <f>INDEX(+CHITEST(#REF!,INDIRECT(M977:N977)),)</f>
        <v>#REF!</v>
      </c>
      <c r="N977" s="1">
        <v>1</v>
      </c>
    </row>
    <row r="978" spans="1:14" x14ac:dyDescent="0.55000000000000004">
      <c r="A978" s="1" t="s">
        <v>1753</v>
      </c>
      <c r="B978" s="2">
        <f>COUNTIF(A:A,A978)-1</f>
        <v>2</v>
      </c>
      <c r="C978" s="2">
        <f>COUNTIF(A$1:A978,A978)-1</f>
        <v>0</v>
      </c>
      <c r="D978" s="2" t="str">
        <f>Argument!D978</f>
        <v/>
      </c>
      <c r="E978" s="2" t="str">
        <f t="shared" si="30"/>
        <v>v</v>
      </c>
      <c r="F978" s="2" t="b">
        <f>IF(C978=0,ISTEXT(FORMULA.CONVERT("="&amp;A978&amp;"("&amp;REPLACE(REPT(",#ref!",B978),1,1,"")&amp;")()",1)),"")</f>
        <v>0</v>
      </c>
      <c r="G978" s="2"/>
      <c r="H978" s="2" t="str">
        <f t="shared" si="31"/>
        <v/>
      </c>
      <c r="I978" s="2">
        <f>TYPE(CORREL(IF(1,1),IF(1,1)))</f>
        <v>16</v>
      </c>
      <c r="J978" s="2">
        <f>IF(C978=0,COUNTIFS(A:A,A978,D:D,"a"),"")</f>
        <v>2</v>
      </c>
      <c r="K978" s="2"/>
      <c r="M978" s="2"/>
    </row>
    <row r="979" spans="1:14" x14ac:dyDescent="0.55000000000000004">
      <c r="A979" s="1" t="s">
        <v>1753</v>
      </c>
      <c r="B979" s="2">
        <f>COUNTIF(A:A,A979)-1</f>
        <v>2</v>
      </c>
      <c r="C979" s="2">
        <f>COUNTIF(A$1:A979,A979)-1</f>
        <v>1</v>
      </c>
      <c r="D979" s="2" t="str">
        <f>Argument!D979</f>
        <v>a</v>
      </c>
      <c r="E979" s="2" t="str">
        <f t="shared" si="30"/>
        <v/>
      </c>
      <c r="F979" s="2" t="str">
        <f>IF(C979=0,ISTEXT(FORMULA.CONVERT("="&amp;A979&amp;"("&amp;REPLACE(REPT(",#ref!",B979),1,1,"")&amp;")()",1)),"")</f>
        <v/>
      </c>
      <c r="G979" s="2">
        <f>TYPE(CORREL({1},IF(1,1)))</f>
        <v>16</v>
      </c>
      <c r="H979" s="2" t="str">
        <f t="shared" si="31"/>
        <v/>
      </c>
      <c r="I979" s="2">
        <f>TYPE(CORREL(IF(1,1),IF(1,1)))</f>
        <v>16</v>
      </c>
      <c r="J979" s="2" t="str">
        <f>IF(C979=0,COUNTIFS(A:A,A979,D:D,"a"),"")</f>
        <v/>
      </c>
      <c r="K979" s="2" t="e">
        <f>INDEX(+CORREL(K979:L979,#REF!),)</f>
        <v>#REF!</v>
      </c>
      <c r="L979" s="1">
        <v>1</v>
      </c>
      <c r="M979" s="2" t="e">
        <f>INDEX(+CORREL(INDIRECT(M979:N979),#REF!),)</f>
        <v>#REF!</v>
      </c>
      <c r="N979" s="1">
        <v>1</v>
      </c>
    </row>
    <row r="980" spans="1:14" x14ac:dyDescent="0.55000000000000004">
      <c r="A980" s="1" t="s">
        <v>1753</v>
      </c>
      <c r="B980" s="2">
        <f>COUNTIF(A:A,A980)-1</f>
        <v>2</v>
      </c>
      <c r="C980" s="2">
        <f>COUNTIF(A$1:A980,A980)-1</f>
        <v>2</v>
      </c>
      <c r="D980" s="2" t="str">
        <f>Argument!D980</f>
        <v>a</v>
      </c>
      <c r="E980" s="2" t="str">
        <f t="shared" si="30"/>
        <v/>
      </c>
      <c r="F980" s="2" t="str">
        <f>IF(C980=0,ISTEXT(FORMULA.CONVERT("="&amp;A980&amp;"("&amp;REPLACE(REPT(",#ref!",B980),1,1,"")&amp;")()",1)),"")</f>
        <v/>
      </c>
      <c r="G980" s="2">
        <f>TYPE(CORREL(IF(1,1),{1}))</f>
        <v>16</v>
      </c>
      <c r="H980" s="2" t="str">
        <f t="shared" si="31"/>
        <v/>
      </c>
      <c r="I980" s="2">
        <f>TYPE(CORREL(IF(1,1),IF(1,1)))</f>
        <v>16</v>
      </c>
      <c r="J980" s="2" t="str">
        <f>IF(C980=0,COUNTIFS(A:A,A980,D:D,"a"),"")</f>
        <v/>
      </c>
      <c r="K980" s="2" t="e">
        <f>INDEX(+CORREL(#REF!,K980:L980),)</f>
        <v>#REF!</v>
      </c>
      <c r="L980" s="1">
        <v>1</v>
      </c>
      <c r="M980" s="2" t="e">
        <f>INDEX(+CORREL(#REF!,INDIRECT(M980:N980)),)</f>
        <v>#REF!</v>
      </c>
      <c r="N980" s="1">
        <v>1</v>
      </c>
    </row>
    <row r="981" spans="1:14" x14ac:dyDescent="0.55000000000000004">
      <c r="A981" s="1" t="s">
        <v>1754</v>
      </c>
      <c r="B981" s="2">
        <f>COUNTIF(A:A,A981)-1</f>
        <v>2</v>
      </c>
      <c r="C981" s="2">
        <f>COUNTIF(A$1:A981,A981)-1</f>
        <v>0</v>
      </c>
      <c r="D981" s="2" t="str">
        <f>Argument!D981</f>
        <v/>
      </c>
      <c r="E981" s="2" t="str">
        <f t="shared" si="30"/>
        <v>v</v>
      </c>
      <c r="F981" s="2" t="b">
        <f>IF(C981=0,ISTEXT(FORMULA.CONVERT("="&amp;A981&amp;"("&amp;REPLACE(REPT(",#ref!",B981),1,1,"")&amp;")()",1)),"")</f>
        <v>0</v>
      </c>
      <c r="G981" s="2"/>
      <c r="H981" s="2" t="str">
        <f t="shared" si="31"/>
        <v/>
      </c>
      <c r="I981" s="2">
        <f>TYPE(COVAR(IF(1,1),IF(1,1)))</f>
        <v>1</v>
      </c>
      <c r="J981" s="2">
        <f>IF(C981=0,COUNTIFS(A:A,A981,D:D,"a"),"")</f>
        <v>2</v>
      </c>
      <c r="K981" s="2"/>
      <c r="M981" s="2"/>
    </row>
    <row r="982" spans="1:14" x14ac:dyDescent="0.55000000000000004">
      <c r="A982" s="1" t="s">
        <v>1754</v>
      </c>
      <c r="B982" s="2">
        <f>COUNTIF(A:A,A982)-1</f>
        <v>2</v>
      </c>
      <c r="C982" s="2">
        <f>COUNTIF(A$1:A982,A982)-1</f>
        <v>1</v>
      </c>
      <c r="D982" s="2" t="str">
        <f>Argument!D982</f>
        <v>a</v>
      </c>
      <c r="E982" s="2" t="str">
        <f t="shared" si="30"/>
        <v/>
      </c>
      <c r="F982" s="2" t="str">
        <f>IF(C982=0,ISTEXT(FORMULA.CONVERT("="&amp;A982&amp;"("&amp;REPLACE(REPT(",#ref!",B982),1,1,"")&amp;")()",1)),"")</f>
        <v/>
      </c>
      <c r="G982" s="2">
        <f>TYPE(COVAR({1},IF(1,1)))</f>
        <v>1</v>
      </c>
      <c r="H982" s="2" t="str">
        <f t="shared" si="31"/>
        <v/>
      </c>
      <c r="I982" s="2">
        <f>TYPE(COVAR(IF(1,1),IF(1,1)))</f>
        <v>1</v>
      </c>
      <c r="J982" s="2" t="str">
        <f>IF(C982=0,COUNTIFS(A:A,A982,D:D,"a"),"")</f>
        <v/>
      </c>
      <c r="K982" s="2" t="e">
        <f>INDEX(+COVAR(K982:L982,#REF!),)</f>
        <v>#REF!</v>
      </c>
      <c r="L982" s="1">
        <v>1</v>
      </c>
      <c r="M982" s="2" t="e">
        <f>INDEX(+COVAR(INDIRECT(M982:N982),#REF!),)</f>
        <v>#REF!</v>
      </c>
      <c r="N982" s="1">
        <v>1</v>
      </c>
    </row>
    <row r="983" spans="1:14" x14ac:dyDescent="0.55000000000000004">
      <c r="A983" s="1" t="s">
        <v>1754</v>
      </c>
      <c r="B983" s="2">
        <f>COUNTIF(A:A,A983)-1</f>
        <v>2</v>
      </c>
      <c r="C983" s="2">
        <f>COUNTIF(A$1:A983,A983)-1</f>
        <v>2</v>
      </c>
      <c r="D983" s="2" t="str">
        <f>Argument!D983</f>
        <v>a</v>
      </c>
      <c r="E983" s="2" t="str">
        <f t="shared" si="30"/>
        <v/>
      </c>
      <c r="F983" s="2" t="str">
        <f>IF(C983=0,ISTEXT(FORMULA.CONVERT("="&amp;A983&amp;"("&amp;REPLACE(REPT(",#ref!",B983),1,1,"")&amp;")()",1)),"")</f>
        <v/>
      </c>
      <c r="G983" s="2">
        <f>TYPE(COVAR(IF(1,1),{1}))</f>
        <v>1</v>
      </c>
      <c r="H983" s="2" t="str">
        <f t="shared" si="31"/>
        <v/>
      </c>
      <c r="I983" s="2">
        <f>TYPE(COVAR(IF(1,1),IF(1,1)))</f>
        <v>1</v>
      </c>
      <c r="J983" s="2" t="str">
        <f>IF(C983=0,COUNTIFS(A:A,A983,D:D,"a"),"")</f>
        <v/>
      </c>
      <c r="K983" s="2" t="e">
        <f>INDEX(+COVAR(#REF!,K983:L983),)</f>
        <v>#REF!</v>
      </c>
      <c r="L983" s="1">
        <v>1</v>
      </c>
      <c r="M983" s="2" t="e">
        <f>INDEX(+COVAR(#REF!,INDIRECT(M983:N983)),)</f>
        <v>#REF!</v>
      </c>
      <c r="N983" s="1">
        <v>1</v>
      </c>
    </row>
    <row r="984" spans="1:14" x14ac:dyDescent="0.55000000000000004">
      <c r="A984" s="1" t="s">
        <v>1755</v>
      </c>
      <c r="B984" s="2">
        <f>COUNTIF(A:A,A984)-1</f>
        <v>3</v>
      </c>
      <c r="C984" s="2">
        <f>COUNTIF(A$1:A984,A984)-1</f>
        <v>0</v>
      </c>
      <c r="D984" s="2" t="str">
        <f>Argument!D984</f>
        <v/>
      </c>
      <c r="E984" s="2" t="str">
        <f t="shared" si="30"/>
        <v>v</v>
      </c>
      <c r="F984" s="2" t="b">
        <f>IF(C984=0,ISTEXT(FORMULA.CONVERT("="&amp;A984&amp;"("&amp;REPLACE(REPT(",#ref!",B984),1,1,"")&amp;")()",1)),"")</f>
        <v>0</v>
      </c>
      <c r="G984" s="2"/>
      <c r="H984" s="2" t="str">
        <f t="shared" si="31"/>
        <v/>
      </c>
      <c r="I984" s="2">
        <f>TYPE(FORECAST(IF(1,1),IF(1,1),IF(1,1)))</f>
        <v>16</v>
      </c>
      <c r="J984" s="2">
        <f>IF(C984=0,COUNTIFS(A:A,A984,D:D,"a"),"")</f>
        <v>2</v>
      </c>
      <c r="K984" s="2"/>
      <c r="M984" s="2"/>
    </row>
    <row r="985" spans="1:14" x14ac:dyDescent="0.55000000000000004">
      <c r="A985" s="1" t="s">
        <v>1755</v>
      </c>
      <c r="B985" s="2">
        <f>COUNTIF(A:A,A985)-1</f>
        <v>3</v>
      </c>
      <c r="C985" s="2">
        <f>COUNTIF(A$1:A985,A985)-1</f>
        <v>1</v>
      </c>
      <c r="D985" s="2" t="str">
        <f>Argument!D985</f>
        <v>v</v>
      </c>
      <c r="E985" s="2" t="str">
        <f t="shared" si="30"/>
        <v/>
      </c>
      <c r="F985" s="2" t="str">
        <f>IF(C985=0,ISTEXT(FORMULA.CONVERT("="&amp;A985&amp;"("&amp;REPLACE(REPT(",#ref!",B985),1,1,"")&amp;")()",1)),"")</f>
        <v/>
      </c>
      <c r="G985" s="2">
        <f>TYPE(FORECAST({1},IF(1,1),IF(1,1)))</f>
        <v>64</v>
      </c>
      <c r="H985" s="2" t="str">
        <f t="shared" si="31"/>
        <v/>
      </c>
      <c r="I985" s="2">
        <f>TYPE(FORECAST(IF(1,1),IF(1,1),IF(1,1)))</f>
        <v>16</v>
      </c>
      <c r="J985" s="2" t="str">
        <f>IF(C985=0,COUNTIFS(A:A,A985,D:D,"a"),"")</f>
        <v/>
      </c>
      <c r="K985" s="2" t="e">
        <f>INDEX(+FORECAST(K985:L985,#REF!,#REF!),)</f>
        <v>#REF!</v>
      </c>
      <c r="L985" s="1">
        <v>1</v>
      </c>
      <c r="M985" s="2" t="e">
        <f>INDEX(+FORECAST(INDIRECT(M985:N985),#REF!,#REF!),)</f>
        <v>#REF!</v>
      </c>
      <c r="N985" s="1">
        <v>1</v>
      </c>
    </row>
    <row r="986" spans="1:14" x14ac:dyDescent="0.55000000000000004">
      <c r="A986" s="1" t="s">
        <v>1755</v>
      </c>
      <c r="B986" s="2">
        <f>COUNTIF(A:A,A986)-1</f>
        <v>3</v>
      </c>
      <c r="C986" s="2">
        <f>COUNTIF(A$1:A986,A986)-1</f>
        <v>2</v>
      </c>
      <c r="D986" s="2" t="str">
        <f>Argument!D986</f>
        <v>a</v>
      </c>
      <c r="E986" s="2" t="str">
        <f t="shared" si="30"/>
        <v/>
      </c>
      <c r="F986" s="2" t="str">
        <f>IF(C986=0,ISTEXT(FORMULA.CONVERT("="&amp;A986&amp;"("&amp;REPLACE(REPT(",#ref!",B986),1,1,"")&amp;")()",1)),"")</f>
        <v/>
      </c>
      <c r="G986" s="2">
        <f>TYPE(FORECAST(IF(1,1),{1},IF(1,1)))</f>
        <v>16</v>
      </c>
      <c r="H986" s="2" t="str">
        <f t="shared" si="31"/>
        <v/>
      </c>
      <c r="I986" s="2">
        <f>TYPE(FORECAST(IF(1,1),IF(1,1),IF(1,1)))</f>
        <v>16</v>
      </c>
      <c r="J986" s="2" t="str">
        <f>IF(C986=0,COUNTIFS(A:A,A986,D:D,"a"),"")</f>
        <v/>
      </c>
      <c r="K986" s="2" t="e">
        <f>INDEX(+FORECAST(#REF!,K986:L986,#REF!),)</f>
        <v>#REF!</v>
      </c>
      <c r="L986" s="1">
        <v>1</v>
      </c>
      <c r="M986" s="2" t="e">
        <f>INDEX(+FORECAST(#REF!,INDIRECT(M986:N986),#REF!),)</f>
        <v>#REF!</v>
      </c>
      <c r="N986" s="1">
        <v>1</v>
      </c>
    </row>
    <row r="987" spans="1:14" x14ac:dyDescent="0.55000000000000004">
      <c r="A987" s="1" t="s">
        <v>1755</v>
      </c>
      <c r="B987" s="2">
        <f>COUNTIF(A:A,A987)-1</f>
        <v>3</v>
      </c>
      <c r="C987" s="2">
        <f>COUNTIF(A$1:A987,A987)-1</f>
        <v>3</v>
      </c>
      <c r="D987" s="2" t="str">
        <f>Argument!D987</f>
        <v>a</v>
      </c>
      <c r="E987" s="2" t="str">
        <f t="shared" si="30"/>
        <v/>
      </c>
      <c r="F987" s="2" t="str">
        <f>IF(C987=0,ISTEXT(FORMULA.CONVERT("="&amp;A987&amp;"("&amp;REPLACE(REPT(",#ref!",B987),1,1,"")&amp;")()",1)),"")</f>
        <v/>
      </c>
      <c r="G987" s="2">
        <f>TYPE(FORECAST(IF(1,1),IF(1,1),{1}))</f>
        <v>16</v>
      </c>
      <c r="H987" s="2" t="str">
        <f t="shared" si="31"/>
        <v/>
      </c>
      <c r="I987" s="2">
        <f>TYPE(FORECAST(IF(1,1),IF(1,1),IF(1,1)))</f>
        <v>16</v>
      </c>
      <c r="J987" s="2" t="str">
        <f>IF(C987=0,COUNTIFS(A:A,A987,D:D,"a"),"")</f>
        <v/>
      </c>
      <c r="K987" s="2" t="e">
        <f>INDEX(+FORECAST(#REF!,#REF!,K987:L987),)</f>
        <v>#REF!</v>
      </c>
      <c r="L987" s="1">
        <v>1</v>
      </c>
      <c r="M987" s="2" t="e">
        <f>INDEX(+FORECAST(#REF!,#REF!,INDIRECT(M987:N987)),)</f>
        <v>#REF!</v>
      </c>
      <c r="N987" s="1">
        <v>1</v>
      </c>
    </row>
    <row r="988" spans="1:14" x14ac:dyDescent="0.55000000000000004">
      <c r="A988" s="1" t="s">
        <v>1756</v>
      </c>
      <c r="B988" s="2">
        <f>COUNTIF(A:A,A988)-1</f>
        <v>2</v>
      </c>
      <c r="C988" s="2">
        <f>COUNTIF(A$1:A988,A988)-1</f>
        <v>0</v>
      </c>
      <c r="D988" s="2" t="str">
        <f>Argument!D988</f>
        <v/>
      </c>
      <c r="E988" s="2" t="str">
        <f t="shared" si="30"/>
        <v>v</v>
      </c>
      <c r="F988" s="2" t="b">
        <f>IF(C988=0,ISTEXT(FORMULA.CONVERT("="&amp;A988&amp;"("&amp;REPLACE(REPT(",#ref!",B988),1,1,"")&amp;")()",1)),"")</f>
        <v>0</v>
      </c>
      <c r="G988" s="2"/>
      <c r="H988" s="2" t="str">
        <f t="shared" si="31"/>
        <v/>
      </c>
      <c r="I988" s="2">
        <f>TYPE(FTEST(IF(1,1),IF(1,1)))</f>
        <v>16</v>
      </c>
      <c r="J988" s="2">
        <f>IF(C988=0,COUNTIFS(A:A,A988,D:D,"a"),"")</f>
        <v>2</v>
      </c>
      <c r="K988" s="2"/>
      <c r="M988" s="2"/>
    </row>
    <row r="989" spans="1:14" x14ac:dyDescent="0.55000000000000004">
      <c r="A989" s="1" t="s">
        <v>1756</v>
      </c>
      <c r="B989" s="2">
        <f>COUNTIF(A:A,A989)-1</f>
        <v>2</v>
      </c>
      <c r="C989" s="2">
        <f>COUNTIF(A$1:A989,A989)-1</f>
        <v>1</v>
      </c>
      <c r="D989" s="2" t="str">
        <f>Argument!D989</f>
        <v>a</v>
      </c>
      <c r="E989" s="2" t="str">
        <f t="shared" si="30"/>
        <v/>
      </c>
      <c r="F989" s="2" t="str">
        <f>IF(C989=0,ISTEXT(FORMULA.CONVERT("="&amp;A989&amp;"("&amp;REPLACE(REPT(",#ref!",B989),1,1,"")&amp;")()",1)),"")</f>
        <v/>
      </c>
      <c r="G989" s="2">
        <f>TYPE(FTEST({1},IF(1,1)))</f>
        <v>16</v>
      </c>
      <c r="H989" s="2" t="str">
        <f t="shared" si="31"/>
        <v/>
      </c>
      <c r="I989" s="2">
        <f>TYPE(FTEST(IF(1,1),IF(1,1)))</f>
        <v>16</v>
      </c>
      <c r="J989" s="2" t="str">
        <f>IF(C989=0,COUNTIFS(A:A,A989,D:D,"a"),"")</f>
        <v/>
      </c>
      <c r="K989" s="2" t="e">
        <f>INDEX(+FTEST(K989:L989,#REF!),)</f>
        <v>#REF!</v>
      </c>
      <c r="L989" s="1">
        <v>1</v>
      </c>
      <c r="M989" s="2" t="e">
        <f>INDEX(+FTEST(INDIRECT(M989:N989),#REF!),)</f>
        <v>#REF!</v>
      </c>
      <c r="N989" s="1">
        <v>1</v>
      </c>
    </row>
    <row r="990" spans="1:14" x14ac:dyDescent="0.55000000000000004">
      <c r="A990" s="1" t="s">
        <v>1756</v>
      </c>
      <c r="B990" s="2">
        <f>COUNTIF(A:A,A990)-1</f>
        <v>2</v>
      </c>
      <c r="C990" s="2">
        <f>COUNTIF(A$1:A990,A990)-1</f>
        <v>2</v>
      </c>
      <c r="D990" s="2" t="str">
        <f>Argument!D990</f>
        <v>a</v>
      </c>
      <c r="E990" s="2" t="str">
        <f t="shared" si="30"/>
        <v/>
      </c>
      <c r="F990" s="2" t="str">
        <f>IF(C990=0,ISTEXT(FORMULA.CONVERT("="&amp;A990&amp;"("&amp;REPLACE(REPT(",#ref!",B990),1,1,"")&amp;")()",1)),"")</f>
        <v/>
      </c>
      <c r="G990" s="2">
        <f>TYPE(FTEST(IF(1,1),{1}))</f>
        <v>16</v>
      </c>
      <c r="H990" s="2" t="str">
        <f t="shared" si="31"/>
        <v/>
      </c>
      <c r="I990" s="2">
        <f>TYPE(FTEST(IF(1,1),IF(1,1)))</f>
        <v>16</v>
      </c>
      <c r="J990" s="2" t="str">
        <f>IF(C990=0,COUNTIFS(A:A,A990,D:D,"a"),"")</f>
        <v/>
      </c>
      <c r="K990" s="2" t="e">
        <f>INDEX(+FTEST(#REF!,K990:L990),)</f>
        <v>#REF!</v>
      </c>
      <c r="L990" s="1">
        <v>1</v>
      </c>
      <c r="M990" s="2" t="e">
        <f>INDEX(+FTEST(#REF!,INDIRECT(M990:N990)),)</f>
        <v>#REF!</v>
      </c>
      <c r="N990" s="1">
        <v>1</v>
      </c>
    </row>
    <row r="991" spans="1:14" x14ac:dyDescent="0.55000000000000004">
      <c r="A991" s="1" t="s">
        <v>1757</v>
      </c>
      <c r="B991" s="2">
        <f>COUNTIF(A:A,A991)-1</f>
        <v>2</v>
      </c>
      <c r="C991" s="2">
        <f>COUNTIF(A$1:A991,A991)-1</f>
        <v>0</v>
      </c>
      <c r="D991" s="2" t="str">
        <f>Argument!D991</f>
        <v/>
      </c>
      <c r="E991" s="2" t="str">
        <f t="shared" si="30"/>
        <v>v</v>
      </c>
      <c r="F991" s="2" t="b">
        <f>IF(C991=0,ISTEXT(FORMULA.CONVERT("="&amp;A991&amp;"("&amp;REPLACE(REPT(",#ref!",B991),1,1,"")&amp;")()",1)),"")</f>
        <v>0</v>
      </c>
      <c r="G991" s="2"/>
      <c r="H991" s="2" t="str">
        <f t="shared" si="31"/>
        <v/>
      </c>
      <c r="I991" s="2">
        <f>TYPE(INTERCEPT(IF(1,1),IF(1,1)))</f>
        <v>16</v>
      </c>
      <c r="J991" s="2">
        <f>IF(C991=0,COUNTIFS(A:A,A991,D:D,"a"),"")</f>
        <v>2</v>
      </c>
      <c r="K991" s="2"/>
      <c r="M991" s="2"/>
    </row>
    <row r="992" spans="1:14" x14ac:dyDescent="0.55000000000000004">
      <c r="A992" s="1" t="s">
        <v>1757</v>
      </c>
      <c r="B992" s="2">
        <f>COUNTIF(A:A,A992)-1</f>
        <v>2</v>
      </c>
      <c r="C992" s="2">
        <f>COUNTIF(A$1:A992,A992)-1</f>
        <v>1</v>
      </c>
      <c r="D992" s="2" t="str">
        <f>Argument!D992</f>
        <v>a</v>
      </c>
      <c r="E992" s="2" t="str">
        <f t="shared" si="30"/>
        <v/>
      </c>
      <c r="F992" s="2" t="str">
        <f>IF(C992=0,ISTEXT(FORMULA.CONVERT("="&amp;A992&amp;"("&amp;REPLACE(REPT(",#ref!",B992),1,1,"")&amp;")()",1)),"")</f>
        <v/>
      </c>
      <c r="G992" s="2">
        <f>TYPE(INTERCEPT({1},IF(1,1)))</f>
        <v>16</v>
      </c>
      <c r="H992" s="2" t="str">
        <f t="shared" si="31"/>
        <v/>
      </c>
      <c r="I992" s="2">
        <f>TYPE(INTERCEPT(IF(1,1),IF(1,1)))</f>
        <v>16</v>
      </c>
      <c r="J992" s="2" t="str">
        <f>IF(C992=0,COUNTIFS(A:A,A992,D:D,"a"),"")</f>
        <v/>
      </c>
      <c r="K992" s="2" t="e">
        <f>INDEX(+INTERCEPT(K992:L992,#REF!),)</f>
        <v>#REF!</v>
      </c>
      <c r="L992" s="1">
        <v>1</v>
      </c>
      <c r="M992" s="2" t="e">
        <f>INDEX(+INTERCEPT(INDIRECT(M992:N992),#REF!),)</f>
        <v>#REF!</v>
      </c>
      <c r="N992" s="1">
        <v>1</v>
      </c>
    </row>
    <row r="993" spans="1:14" x14ac:dyDescent="0.55000000000000004">
      <c r="A993" s="1" t="s">
        <v>1757</v>
      </c>
      <c r="B993" s="2">
        <f>COUNTIF(A:A,A993)-1</f>
        <v>2</v>
      </c>
      <c r="C993" s="2">
        <f>COUNTIF(A$1:A993,A993)-1</f>
        <v>2</v>
      </c>
      <c r="D993" s="2" t="str">
        <f>Argument!D993</f>
        <v>a</v>
      </c>
      <c r="E993" s="2" t="str">
        <f t="shared" si="30"/>
        <v/>
      </c>
      <c r="F993" s="2" t="str">
        <f>IF(C993=0,ISTEXT(FORMULA.CONVERT("="&amp;A993&amp;"("&amp;REPLACE(REPT(",#ref!",B993),1,1,"")&amp;")()",1)),"")</f>
        <v/>
      </c>
      <c r="G993" s="2">
        <f>TYPE(INTERCEPT(IF(1,1),{1}))</f>
        <v>16</v>
      </c>
      <c r="H993" s="2" t="str">
        <f t="shared" si="31"/>
        <v/>
      </c>
      <c r="I993" s="2">
        <f>TYPE(INTERCEPT(IF(1,1),IF(1,1)))</f>
        <v>16</v>
      </c>
      <c r="J993" s="2" t="str">
        <f>IF(C993=0,COUNTIFS(A:A,A993,D:D,"a"),"")</f>
        <v/>
      </c>
      <c r="K993" s="2" t="e">
        <f>INDEX(+INTERCEPT(#REF!,K993:L993),)</f>
        <v>#REF!</v>
      </c>
      <c r="L993" s="1">
        <v>1</v>
      </c>
      <c r="M993" s="2" t="e">
        <f>INDEX(+INTERCEPT(#REF!,INDIRECT(M993:N993)),)</f>
        <v>#REF!</v>
      </c>
      <c r="N993" s="1">
        <v>1</v>
      </c>
    </row>
    <row r="994" spans="1:14" x14ac:dyDescent="0.55000000000000004">
      <c r="A994" s="1" t="s">
        <v>1758</v>
      </c>
      <c r="B994" s="2">
        <f>COUNTIF(A:A,A994)-1</f>
        <v>2</v>
      </c>
      <c r="C994" s="2">
        <f>COUNTIF(A$1:A994,A994)-1</f>
        <v>0</v>
      </c>
      <c r="D994" s="2" t="str">
        <f>Argument!D994</f>
        <v/>
      </c>
      <c r="E994" s="2" t="str">
        <f t="shared" si="30"/>
        <v>v</v>
      </c>
      <c r="F994" s="2" t="b">
        <f>IF(C994=0,ISTEXT(FORMULA.CONVERT("="&amp;A994&amp;"("&amp;REPLACE(REPT(",#ref!",B994),1,1,"")&amp;")()",1)),"")</f>
        <v>0</v>
      </c>
      <c r="G994" s="2"/>
      <c r="H994" s="2" t="str">
        <f t="shared" si="31"/>
        <v/>
      </c>
      <c r="I994" s="2">
        <f>TYPE(PEARSON(IF(1,1),IF(1,1)))</f>
        <v>16</v>
      </c>
      <c r="J994" s="2">
        <f>IF(C994=0,COUNTIFS(A:A,A994,D:D,"a"),"")</f>
        <v>2</v>
      </c>
      <c r="K994" s="2"/>
      <c r="M994" s="2"/>
    </row>
    <row r="995" spans="1:14" x14ac:dyDescent="0.55000000000000004">
      <c r="A995" s="1" t="s">
        <v>1758</v>
      </c>
      <c r="B995" s="2">
        <f>COUNTIF(A:A,A995)-1</f>
        <v>2</v>
      </c>
      <c r="C995" s="2">
        <f>COUNTIF(A$1:A995,A995)-1</f>
        <v>1</v>
      </c>
      <c r="D995" s="2" t="str">
        <f>Argument!D995</f>
        <v>a</v>
      </c>
      <c r="E995" s="2" t="str">
        <f t="shared" si="30"/>
        <v/>
      </c>
      <c r="F995" s="2" t="str">
        <f>IF(C995=0,ISTEXT(FORMULA.CONVERT("="&amp;A995&amp;"("&amp;REPLACE(REPT(",#ref!",B995),1,1,"")&amp;")()",1)),"")</f>
        <v/>
      </c>
      <c r="G995" s="2">
        <f>TYPE(PEARSON({1},IF(1,1)))</f>
        <v>16</v>
      </c>
      <c r="H995" s="2" t="str">
        <f t="shared" si="31"/>
        <v/>
      </c>
      <c r="I995" s="2">
        <f>TYPE(PEARSON(IF(1,1),IF(1,1)))</f>
        <v>16</v>
      </c>
      <c r="J995" s="2" t="str">
        <f>IF(C995=0,COUNTIFS(A:A,A995,D:D,"a"),"")</f>
        <v/>
      </c>
      <c r="K995" s="2" t="e">
        <f>INDEX(+PEARSON(K995:L995,#REF!),)</f>
        <v>#REF!</v>
      </c>
      <c r="L995" s="1">
        <v>1</v>
      </c>
      <c r="M995" s="2" t="e">
        <f>INDEX(+PEARSON(INDIRECT(M995:N995),#REF!),)</f>
        <v>#REF!</v>
      </c>
      <c r="N995" s="1">
        <v>1</v>
      </c>
    </row>
    <row r="996" spans="1:14" x14ac:dyDescent="0.55000000000000004">
      <c r="A996" s="1" t="s">
        <v>1758</v>
      </c>
      <c r="B996" s="2">
        <f>COUNTIF(A:A,A996)-1</f>
        <v>2</v>
      </c>
      <c r="C996" s="2">
        <f>COUNTIF(A$1:A996,A996)-1</f>
        <v>2</v>
      </c>
      <c r="D996" s="2" t="str">
        <f>Argument!D996</f>
        <v>a</v>
      </c>
      <c r="E996" s="2" t="str">
        <f t="shared" si="30"/>
        <v/>
      </c>
      <c r="F996" s="2" t="str">
        <f>IF(C996=0,ISTEXT(FORMULA.CONVERT("="&amp;A996&amp;"("&amp;REPLACE(REPT(",#ref!",B996),1,1,"")&amp;")()",1)),"")</f>
        <v/>
      </c>
      <c r="G996" s="2">
        <f>TYPE(PEARSON(IF(1,1),{1}))</f>
        <v>16</v>
      </c>
      <c r="H996" s="2" t="str">
        <f t="shared" si="31"/>
        <v/>
      </c>
      <c r="I996" s="2">
        <f>TYPE(PEARSON(IF(1,1),IF(1,1)))</f>
        <v>16</v>
      </c>
      <c r="J996" s="2" t="str">
        <f>IF(C996=0,COUNTIFS(A:A,A996,D:D,"a"),"")</f>
        <v/>
      </c>
      <c r="K996" s="2" t="e">
        <f>INDEX(+PEARSON(#REF!,K996:L996),)</f>
        <v>#REF!</v>
      </c>
      <c r="L996" s="1">
        <v>1</v>
      </c>
      <c r="M996" s="2" t="e">
        <f>INDEX(+PEARSON(#REF!,INDIRECT(M996:N996)),)</f>
        <v>#REF!</v>
      </c>
      <c r="N996" s="1">
        <v>1</v>
      </c>
    </row>
    <row r="997" spans="1:14" x14ac:dyDescent="0.55000000000000004">
      <c r="A997" s="1" t="s">
        <v>1759</v>
      </c>
      <c r="B997" s="2">
        <f>COUNTIF(A:A,A997)-1</f>
        <v>2</v>
      </c>
      <c r="C997" s="2">
        <f>COUNTIF(A$1:A997,A997)-1</f>
        <v>0</v>
      </c>
      <c r="D997" s="2" t="str">
        <f>Argument!D997</f>
        <v/>
      </c>
      <c r="E997" s="2" t="str">
        <f t="shared" si="30"/>
        <v>v</v>
      </c>
      <c r="F997" s="2" t="b">
        <f>IF(C997=0,ISTEXT(FORMULA.CONVERT("="&amp;A997&amp;"("&amp;REPLACE(REPT(",#ref!",B997),1,1,"")&amp;")()",1)),"")</f>
        <v>0</v>
      </c>
      <c r="G997" s="2"/>
      <c r="H997" s="2" t="str">
        <f t="shared" si="31"/>
        <v/>
      </c>
      <c r="I997" s="2">
        <f>TYPE(RSQ(IF(1,1),IF(1,1)))</f>
        <v>16</v>
      </c>
      <c r="J997" s="2">
        <f>IF(C997=0,COUNTIFS(A:A,A997,D:D,"a"),"")</f>
        <v>2</v>
      </c>
      <c r="K997" s="2"/>
      <c r="M997" s="2"/>
    </row>
    <row r="998" spans="1:14" x14ac:dyDescent="0.55000000000000004">
      <c r="A998" s="1" t="s">
        <v>1759</v>
      </c>
      <c r="B998" s="2">
        <f>COUNTIF(A:A,A998)-1</f>
        <v>2</v>
      </c>
      <c r="C998" s="2">
        <f>COUNTIF(A$1:A998,A998)-1</f>
        <v>1</v>
      </c>
      <c r="D998" s="2" t="str">
        <f>Argument!D998</f>
        <v>a</v>
      </c>
      <c r="E998" s="2" t="str">
        <f t="shared" si="30"/>
        <v/>
      </c>
      <c r="F998" s="2" t="str">
        <f>IF(C998=0,ISTEXT(FORMULA.CONVERT("="&amp;A998&amp;"("&amp;REPLACE(REPT(",#ref!",B998),1,1,"")&amp;")()",1)),"")</f>
        <v/>
      </c>
      <c r="G998" s="2">
        <f>TYPE(RSQ({1},IF(1,1)))</f>
        <v>16</v>
      </c>
      <c r="H998" s="2" t="str">
        <f t="shared" si="31"/>
        <v/>
      </c>
      <c r="I998" s="2">
        <f>TYPE(RSQ(IF(1,1),IF(1,1)))</f>
        <v>16</v>
      </c>
      <c r="J998" s="2" t="str">
        <f>IF(C998=0,COUNTIFS(A:A,A998,D:D,"a"),"")</f>
        <v/>
      </c>
      <c r="K998" s="2" t="e">
        <f>INDEX(+RSQ(K998:L998,#REF!),)</f>
        <v>#REF!</v>
      </c>
      <c r="L998" s="1">
        <v>1</v>
      </c>
      <c r="M998" s="2" t="e">
        <f>INDEX(+RSQ(INDIRECT(M998:N998),#REF!),)</f>
        <v>#REF!</v>
      </c>
      <c r="N998" s="1">
        <v>1</v>
      </c>
    </row>
    <row r="999" spans="1:14" x14ac:dyDescent="0.55000000000000004">
      <c r="A999" s="1" t="s">
        <v>1759</v>
      </c>
      <c r="B999" s="2">
        <f>COUNTIF(A:A,A999)-1</f>
        <v>2</v>
      </c>
      <c r="C999" s="2">
        <f>COUNTIF(A$1:A999,A999)-1</f>
        <v>2</v>
      </c>
      <c r="D999" s="2" t="str">
        <f>Argument!D999</f>
        <v>a</v>
      </c>
      <c r="E999" s="2" t="str">
        <f t="shared" si="30"/>
        <v/>
      </c>
      <c r="F999" s="2" t="str">
        <f>IF(C999=0,ISTEXT(FORMULA.CONVERT("="&amp;A999&amp;"("&amp;REPLACE(REPT(",#ref!",B999),1,1,"")&amp;")()",1)),"")</f>
        <v/>
      </c>
      <c r="G999" s="2">
        <f>TYPE(RSQ(IF(1,1),{1}))</f>
        <v>16</v>
      </c>
      <c r="H999" s="2" t="str">
        <f t="shared" si="31"/>
        <v/>
      </c>
      <c r="I999" s="2">
        <f>TYPE(RSQ(IF(1,1),IF(1,1)))</f>
        <v>16</v>
      </c>
      <c r="J999" s="2" t="str">
        <f>IF(C999=0,COUNTIFS(A:A,A999,D:D,"a"),"")</f>
        <v/>
      </c>
      <c r="K999" s="2" t="e">
        <f>INDEX(+RSQ(#REF!,K999:L999),)</f>
        <v>#REF!</v>
      </c>
      <c r="L999" s="1">
        <v>1</v>
      </c>
      <c r="M999" s="2" t="e">
        <f>INDEX(+RSQ(#REF!,INDIRECT(M999:N999)),)</f>
        <v>#REF!</v>
      </c>
      <c r="N999" s="1">
        <v>1</v>
      </c>
    </row>
    <row r="1000" spans="1:14" x14ac:dyDescent="0.55000000000000004">
      <c r="A1000" s="1" t="s">
        <v>1760</v>
      </c>
      <c r="B1000" s="2">
        <f>COUNTIF(A:A,A1000)-1</f>
        <v>2</v>
      </c>
      <c r="C1000" s="2">
        <f>COUNTIF(A$1:A1000,A1000)-1</f>
        <v>0</v>
      </c>
      <c r="D1000" s="2" t="str">
        <f>Argument!D1000</f>
        <v/>
      </c>
      <c r="E1000" s="2" t="str">
        <f t="shared" si="30"/>
        <v>v</v>
      </c>
      <c r="F1000" s="2" t="b">
        <f>IF(C1000=0,ISTEXT(FORMULA.CONVERT("="&amp;A1000&amp;"("&amp;REPLACE(REPT(",#ref!",B1000),1,1,"")&amp;")()",1)),"")</f>
        <v>0</v>
      </c>
      <c r="G1000" s="2"/>
      <c r="H1000" s="2" t="str">
        <f t="shared" si="31"/>
        <v/>
      </c>
      <c r="I1000" s="2">
        <f>TYPE(STEYX(IF(1,1),IF(1,1)))</f>
        <v>16</v>
      </c>
      <c r="J1000" s="2">
        <f>IF(C1000=0,COUNTIFS(A:A,A1000,D:D,"a"),"")</f>
        <v>2</v>
      </c>
      <c r="K1000" s="2"/>
      <c r="M1000" s="2"/>
    </row>
    <row r="1001" spans="1:14" x14ac:dyDescent="0.55000000000000004">
      <c r="A1001" s="1" t="s">
        <v>1760</v>
      </c>
      <c r="B1001" s="2">
        <f>COUNTIF(A:A,A1001)-1</f>
        <v>2</v>
      </c>
      <c r="C1001" s="2">
        <f>COUNTIF(A$1:A1001,A1001)-1</f>
        <v>1</v>
      </c>
      <c r="D1001" s="2" t="str">
        <f>Argument!D1001</f>
        <v>a</v>
      </c>
      <c r="E1001" s="2" t="str">
        <f t="shared" si="30"/>
        <v/>
      </c>
      <c r="F1001" s="2" t="str">
        <f>IF(C1001=0,ISTEXT(FORMULA.CONVERT("="&amp;A1001&amp;"("&amp;REPLACE(REPT(",#ref!",B1001),1,1,"")&amp;")()",1)),"")</f>
        <v/>
      </c>
      <c r="G1001" s="2">
        <f>TYPE(STEYX({1},IF(1,1)))</f>
        <v>16</v>
      </c>
      <c r="H1001" s="2" t="str">
        <f t="shared" si="31"/>
        <v/>
      </c>
      <c r="I1001" s="2">
        <f>TYPE(STEYX(IF(1,1),IF(1,1)))</f>
        <v>16</v>
      </c>
      <c r="J1001" s="2" t="str">
        <f>IF(C1001=0,COUNTIFS(A:A,A1001,D:D,"a"),"")</f>
        <v/>
      </c>
      <c r="K1001" s="2" t="e">
        <f>INDEX(+STEYX(K1001:L1001,#REF!),)</f>
        <v>#REF!</v>
      </c>
      <c r="L1001" s="1">
        <v>1</v>
      </c>
      <c r="M1001" s="2" t="e">
        <f>INDEX(+STEYX(INDIRECT(M1001:N1001),#REF!),)</f>
        <v>#REF!</v>
      </c>
      <c r="N1001" s="1">
        <v>1</v>
      </c>
    </row>
    <row r="1002" spans="1:14" x14ac:dyDescent="0.55000000000000004">
      <c r="A1002" s="1" t="s">
        <v>1760</v>
      </c>
      <c r="B1002" s="2">
        <f>COUNTIF(A:A,A1002)-1</f>
        <v>2</v>
      </c>
      <c r="C1002" s="2">
        <f>COUNTIF(A$1:A1002,A1002)-1</f>
        <v>2</v>
      </c>
      <c r="D1002" s="2" t="str">
        <f>Argument!D1002</f>
        <v>a</v>
      </c>
      <c r="E1002" s="2" t="str">
        <f t="shared" si="30"/>
        <v/>
      </c>
      <c r="F1002" s="2" t="str">
        <f>IF(C1002=0,ISTEXT(FORMULA.CONVERT("="&amp;A1002&amp;"("&amp;REPLACE(REPT(",#ref!",B1002),1,1,"")&amp;")()",1)),"")</f>
        <v/>
      </c>
      <c r="G1002" s="2">
        <f>TYPE(STEYX(IF(1,1),{1}))</f>
        <v>16</v>
      </c>
      <c r="H1002" s="2" t="str">
        <f t="shared" si="31"/>
        <v/>
      </c>
      <c r="I1002" s="2">
        <f>TYPE(STEYX(IF(1,1),IF(1,1)))</f>
        <v>16</v>
      </c>
      <c r="J1002" s="2" t="str">
        <f>IF(C1002=0,COUNTIFS(A:A,A1002,D:D,"a"),"")</f>
        <v/>
      </c>
      <c r="K1002" s="2" t="e">
        <f>INDEX(+STEYX(#REF!,K1002:L1002),)</f>
        <v>#REF!</v>
      </c>
      <c r="L1002" s="1">
        <v>1</v>
      </c>
      <c r="M1002" s="2" t="e">
        <f>INDEX(+STEYX(#REF!,INDIRECT(M1002:N1002)),)</f>
        <v>#REF!</v>
      </c>
      <c r="N1002" s="1">
        <v>1</v>
      </c>
    </row>
    <row r="1003" spans="1:14" x14ac:dyDescent="0.55000000000000004">
      <c r="A1003" s="1" t="s">
        <v>1761</v>
      </c>
      <c r="B1003" s="2">
        <f>COUNTIF(A:A,A1003)-1</f>
        <v>2</v>
      </c>
      <c r="C1003" s="2">
        <f>COUNTIF(A$1:A1003,A1003)-1</f>
        <v>0</v>
      </c>
      <c r="D1003" s="2" t="str">
        <f>Argument!D1003</f>
        <v/>
      </c>
      <c r="E1003" s="2" t="str">
        <f t="shared" si="30"/>
        <v>v</v>
      </c>
      <c r="F1003" s="2" t="b">
        <f>IF(C1003=0,ISTEXT(FORMULA.CONVERT("="&amp;A1003&amp;"("&amp;REPLACE(REPT(",#ref!",B1003),1,1,"")&amp;")()",1)),"")</f>
        <v>0</v>
      </c>
      <c r="G1003" s="2"/>
      <c r="H1003" s="2" t="str">
        <f t="shared" si="31"/>
        <v/>
      </c>
      <c r="I1003" s="2">
        <f>TYPE(SLOPE(IF(1,1),IF(1,1)))</f>
        <v>16</v>
      </c>
      <c r="J1003" s="2">
        <f>IF(C1003=0,COUNTIFS(A:A,A1003,D:D,"a"),"")</f>
        <v>2</v>
      </c>
      <c r="K1003" s="2"/>
      <c r="M1003" s="2"/>
    </row>
    <row r="1004" spans="1:14" x14ac:dyDescent="0.55000000000000004">
      <c r="A1004" s="1" t="s">
        <v>1761</v>
      </c>
      <c r="B1004" s="2">
        <f>COUNTIF(A:A,A1004)-1</f>
        <v>2</v>
      </c>
      <c r="C1004" s="2">
        <f>COUNTIF(A$1:A1004,A1004)-1</f>
        <v>1</v>
      </c>
      <c r="D1004" s="2" t="str">
        <f>Argument!D1004</f>
        <v>a</v>
      </c>
      <c r="E1004" s="2" t="str">
        <f t="shared" si="30"/>
        <v/>
      </c>
      <c r="F1004" s="2" t="str">
        <f>IF(C1004=0,ISTEXT(FORMULA.CONVERT("="&amp;A1004&amp;"("&amp;REPLACE(REPT(",#ref!",B1004),1,1,"")&amp;")()",1)),"")</f>
        <v/>
      </c>
      <c r="G1004" s="2">
        <f>TYPE(SLOPE({1},IF(1,1)))</f>
        <v>16</v>
      </c>
      <c r="H1004" s="2" t="str">
        <f t="shared" si="31"/>
        <v/>
      </c>
      <c r="I1004" s="2">
        <f>TYPE(SLOPE(IF(1,1),IF(1,1)))</f>
        <v>16</v>
      </c>
      <c r="J1004" s="2" t="str">
        <f>IF(C1004=0,COUNTIFS(A:A,A1004,D:D,"a"),"")</f>
        <v/>
      </c>
      <c r="K1004" s="2" t="e">
        <f>INDEX(+SLOPE(K1004:L1004,#REF!),)</f>
        <v>#REF!</v>
      </c>
      <c r="L1004" s="1">
        <v>1</v>
      </c>
      <c r="M1004" s="2" t="e">
        <f>INDEX(+SLOPE(INDIRECT(M1004:N1004),#REF!),)</f>
        <v>#REF!</v>
      </c>
      <c r="N1004" s="1">
        <v>1</v>
      </c>
    </row>
    <row r="1005" spans="1:14" x14ac:dyDescent="0.55000000000000004">
      <c r="A1005" s="1" t="s">
        <v>1761</v>
      </c>
      <c r="B1005" s="2">
        <f>COUNTIF(A:A,A1005)-1</f>
        <v>2</v>
      </c>
      <c r="C1005" s="2">
        <f>COUNTIF(A$1:A1005,A1005)-1</f>
        <v>2</v>
      </c>
      <c r="D1005" s="2" t="str">
        <f>Argument!D1005</f>
        <v>a</v>
      </c>
      <c r="E1005" s="2" t="str">
        <f t="shared" si="30"/>
        <v/>
      </c>
      <c r="F1005" s="2" t="str">
        <f>IF(C1005=0,ISTEXT(FORMULA.CONVERT("="&amp;A1005&amp;"("&amp;REPLACE(REPT(",#ref!",B1005),1,1,"")&amp;")()",1)),"")</f>
        <v/>
      </c>
      <c r="G1005" s="2">
        <f>TYPE(SLOPE(IF(1,1),{1}))</f>
        <v>16</v>
      </c>
      <c r="H1005" s="2" t="str">
        <f t="shared" si="31"/>
        <v/>
      </c>
      <c r="I1005" s="2">
        <f>TYPE(SLOPE(IF(1,1),IF(1,1)))</f>
        <v>16</v>
      </c>
      <c r="J1005" s="2" t="str">
        <f>IF(C1005=0,COUNTIFS(A:A,A1005,D:D,"a"),"")</f>
        <v/>
      </c>
      <c r="K1005" s="2" t="e">
        <f>INDEX(+SLOPE(#REF!,K1005:L1005),)</f>
        <v>#REF!</v>
      </c>
      <c r="L1005" s="1">
        <v>1</v>
      </c>
      <c r="M1005" s="2" t="e">
        <f>INDEX(+SLOPE(#REF!,INDIRECT(M1005:N1005)),)</f>
        <v>#REF!</v>
      </c>
      <c r="N1005" s="1">
        <v>1</v>
      </c>
    </row>
    <row r="1006" spans="1:14" x14ac:dyDescent="0.55000000000000004">
      <c r="A1006" s="1" t="s">
        <v>1762</v>
      </c>
      <c r="B1006" s="2">
        <f>COUNTIF(A:A,A1006)-1</f>
        <v>4</v>
      </c>
      <c r="C1006" s="2">
        <f>COUNTIF(A$1:A1006,A1006)-1</f>
        <v>0</v>
      </c>
      <c r="D1006" s="2" t="str">
        <f>Argument!D1006</f>
        <v/>
      </c>
      <c r="E1006" s="2" t="str">
        <f t="shared" si="30"/>
        <v>v</v>
      </c>
      <c r="F1006" s="2" t="b">
        <f>IF(C1006=0,ISTEXT(FORMULA.CONVERT("="&amp;A1006&amp;"("&amp;REPLACE(REPT(",#ref!",B1006),1,1,"")&amp;")()",1)),"")</f>
        <v>0</v>
      </c>
      <c r="G1006" s="2"/>
      <c r="H1006" s="2" t="str">
        <f t="shared" si="31"/>
        <v/>
      </c>
      <c r="I1006" s="2">
        <f>TYPE(TTEST(IF(1,1),IF(1,1),IF(1,1),IF(1,1)))</f>
        <v>16</v>
      </c>
      <c r="J1006" s="2">
        <f>IF(C1006=0,COUNTIFS(A:A,A1006,D:D,"a"),"")</f>
        <v>2</v>
      </c>
      <c r="K1006" s="2"/>
      <c r="M1006" s="2"/>
    </row>
    <row r="1007" spans="1:14" x14ac:dyDescent="0.55000000000000004">
      <c r="A1007" s="1" t="s">
        <v>1762</v>
      </c>
      <c r="B1007" s="2">
        <f>COUNTIF(A:A,A1007)-1</f>
        <v>4</v>
      </c>
      <c r="C1007" s="2">
        <f>COUNTIF(A$1:A1007,A1007)-1</f>
        <v>1</v>
      </c>
      <c r="D1007" s="2" t="str">
        <f>Argument!D1007</f>
        <v>a</v>
      </c>
      <c r="E1007" s="2" t="str">
        <f t="shared" si="30"/>
        <v/>
      </c>
      <c r="F1007" s="2" t="str">
        <f>IF(C1007=0,ISTEXT(FORMULA.CONVERT("="&amp;A1007&amp;"("&amp;REPLACE(REPT(",#ref!",B1007),1,1,"")&amp;")()",1)),"")</f>
        <v/>
      </c>
      <c r="G1007" s="2">
        <f>TYPE(TTEST({1},IF(1,1),IF(1,1),IF(1,1)))</f>
        <v>16</v>
      </c>
      <c r="H1007" s="2" t="str">
        <f t="shared" si="31"/>
        <v/>
      </c>
      <c r="I1007" s="2">
        <f>TYPE(TTEST(IF(1,1),IF(1,1),IF(1,1),IF(1,1)))</f>
        <v>16</v>
      </c>
      <c r="J1007" s="2" t="str">
        <f>IF(C1007=0,COUNTIFS(A:A,A1007,D:D,"a"),"")</f>
        <v/>
      </c>
      <c r="K1007" s="2" t="e">
        <f>INDEX(+TTEST(K1007:L1007,#REF!,#REF!,#REF!),)</f>
        <v>#REF!</v>
      </c>
      <c r="L1007" s="1">
        <v>1</v>
      </c>
      <c r="M1007" s="2" t="e">
        <f>INDEX(+TTEST(INDIRECT(M1007:N1007),#REF!,#REF!,#REF!),)</f>
        <v>#REF!</v>
      </c>
      <c r="N1007" s="1">
        <v>1</v>
      </c>
    </row>
    <row r="1008" spans="1:14" x14ac:dyDescent="0.55000000000000004">
      <c r="A1008" s="1" t="s">
        <v>1762</v>
      </c>
      <c r="B1008" s="2">
        <f>COUNTIF(A:A,A1008)-1</f>
        <v>4</v>
      </c>
      <c r="C1008" s="2">
        <f>COUNTIF(A$1:A1008,A1008)-1</f>
        <v>2</v>
      </c>
      <c r="D1008" s="2" t="str">
        <f>Argument!D1008</f>
        <v>a</v>
      </c>
      <c r="E1008" s="2" t="str">
        <f t="shared" si="30"/>
        <v/>
      </c>
      <c r="F1008" s="2" t="str">
        <f>IF(C1008=0,ISTEXT(FORMULA.CONVERT("="&amp;A1008&amp;"("&amp;REPLACE(REPT(",#ref!",B1008),1,1,"")&amp;")()",1)),"")</f>
        <v/>
      </c>
      <c r="G1008" s="2">
        <f>TYPE(TTEST(IF(1,1),{1},IF(1,1),IF(1,1)))</f>
        <v>16</v>
      </c>
      <c r="H1008" s="2" t="str">
        <f t="shared" si="31"/>
        <v/>
      </c>
      <c r="I1008" s="2">
        <f>TYPE(TTEST(IF(1,1),IF(1,1),IF(1,1),IF(1,1)))</f>
        <v>16</v>
      </c>
      <c r="J1008" s="2" t="str">
        <f>IF(C1008=0,COUNTIFS(A:A,A1008,D:D,"a"),"")</f>
        <v/>
      </c>
      <c r="K1008" s="2" t="e">
        <f>INDEX(+TTEST(#REF!,K1008:L1008,#REF!,#REF!),)</f>
        <v>#REF!</v>
      </c>
      <c r="L1008" s="1">
        <v>1</v>
      </c>
      <c r="M1008" s="2" t="e">
        <f>INDEX(+TTEST(#REF!,INDIRECT(M1008:N1008),#REF!,#REF!),)</f>
        <v>#REF!</v>
      </c>
      <c r="N1008" s="1">
        <v>1</v>
      </c>
    </row>
    <row r="1009" spans="1:14" x14ac:dyDescent="0.55000000000000004">
      <c r="A1009" s="1" t="s">
        <v>1762</v>
      </c>
      <c r="B1009" s="2">
        <f>COUNTIF(A:A,A1009)-1</f>
        <v>4</v>
      </c>
      <c r="C1009" s="2">
        <f>COUNTIF(A$1:A1009,A1009)-1</f>
        <v>3</v>
      </c>
      <c r="D1009" s="2" t="str">
        <f>Argument!D1009</f>
        <v>v</v>
      </c>
      <c r="E1009" s="2" t="str">
        <f t="shared" si="30"/>
        <v/>
      </c>
      <c r="F1009" s="2" t="str">
        <f>IF(C1009=0,ISTEXT(FORMULA.CONVERT("="&amp;A1009&amp;"("&amp;REPLACE(REPT(",#ref!",B1009),1,1,"")&amp;")()",1)),"")</f>
        <v/>
      </c>
      <c r="G1009" s="2">
        <f>TYPE(TTEST(IF(1,1),IF(1,1),{1},IF(1,1)))</f>
        <v>64</v>
      </c>
      <c r="H1009" s="2" t="str">
        <f t="shared" si="31"/>
        <v/>
      </c>
      <c r="I1009" s="2">
        <f>TYPE(TTEST(IF(1,1),IF(1,1),IF(1,1),IF(1,1)))</f>
        <v>16</v>
      </c>
      <c r="J1009" s="2" t="str">
        <f>IF(C1009=0,COUNTIFS(A:A,A1009,D:D,"a"),"")</f>
        <v/>
      </c>
      <c r="K1009" s="2" t="e">
        <f>INDEX(+TTEST(#REF!,#REF!,K1009:L1009,#REF!),)</f>
        <v>#REF!</v>
      </c>
      <c r="L1009" s="1">
        <v>1</v>
      </c>
      <c r="M1009" s="2" t="e">
        <f>INDEX(+TTEST(#REF!,#REF!,INDIRECT(M1009:N1009),#REF!),)</f>
        <v>#REF!</v>
      </c>
      <c r="N1009" s="1">
        <v>1</v>
      </c>
    </row>
    <row r="1010" spans="1:14" x14ac:dyDescent="0.55000000000000004">
      <c r="A1010" s="1" t="s">
        <v>1762</v>
      </c>
      <c r="B1010" s="2">
        <f>COUNTIF(A:A,A1010)-1</f>
        <v>4</v>
      </c>
      <c r="C1010" s="2">
        <f>COUNTIF(A$1:A1010,A1010)-1</f>
        <v>4</v>
      </c>
      <c r="D1010" s="2" t="str">
        <f>Argument!D1010</f>
        <v>v</v>
      </c>
      <c r="E1010" s="2" t="str">
        <f t="shared" si="30"/>
        <v/>
      </c>
      <c r="F1010" s="2" t="str">
        <f>IF(C1010=0,ISTEXT(FORMULA.CONVERT("="&amp;A1010&amp;"("&amp;REPLACE(REPT(",#ref!",B1010),1,1,"")&amp;")()",1)),"")</f>
        <v/>
      </c>
      <c r="G1010" s="2">
        <f>TYPE(TTEST(IF(1,1),IF(1,1),IF(1,1),{1}))</f>
        <v>64</v>
      </c>
      <c r="H1010" s="2" t="str">
        <f t="shared" si="31"/>
        <v/>
      </c>
      <c r="I1010" s="2">
        <f>TYPE(TTEST(IF(1,1),IF(1,1),IF(1,1),IF(1,1)))</f>
        <v>16</v>
      </c>
      <c r="J1010" s="2" t="str">
        <f>IF(C1010=0,COUNTIFS(A:A,A1010,D:D,"a"),"")</f>
        <v/>
      </c>
      <c r="K1010" s="2" t="e">
        <f>INDEX(+TTEST(#REF!,#REF!,#REF!,K1010:L1010),)</f>
        <v>#REF!</v>
      </c>
      <c r="L1010" s="1">
        <v>1</v>
      </c>
      <c r="M1010" s="2" t="e">
        <f>INDEX(+TTEST(#REF!,#REF!,#REF!,INDIRECT(M1010:N1010)),)</f>
        <v>#REF!</v>
      </c>
      <c r="N1010" s="1">
        <v>1</v>
      </c>
    </row>
    <row r="1011" spans="1:14" x14ac:dyDescent="0.55000000000000004">
      <c r="A1011" s="1" t="s">
        <v>1763</v>
      </c>
      <c r="B1011" s="2">
        <f>COUNTIF(A:A,A1011)-1</f>
        <v>4</v>
      </c>
      <c r="C1011" s="2">
        <f>COUNTIF(A$1:A1011,A1011)-1</f>
        <v>0</v>
      </c>
      <c r="D1011" s="2" t="str">
        <f>Argument!D1011</f>
        <v/>
      </c>
      <c r="E1011" s="2" t="str">
        <f t="shared" si="30"/>
        <v>v</v>
      </c>
      <c r="F1011" s="2" t="b">
        <f>IF(C1011=0,ISTEXT(FORMULA.CONVERT("="&amp;A1011&amp;"("&amp;REPLACE(REPT(",#ref!",B1011),1,1,"")&amp;")()",1)),"")</f>
        <v>0</v>
      </c>
      <c r="G1011" s="2"/>
      <c r="H1011" s="2" t="str">
        <f t="shared" si="31"/>
        <v/>
      </c>
      <c r="I1011" s="2">
        <f>TYPE(PROB(IF(1,1),IF(1,1),IF(1,1),IF(1,1)))</f>
        <v>1</v>
      </c>
      <c r="J1011" s="2">
        <f>IF(C1011=0,COUNTIFS(A:A,A1011,D:D,"a"),"")</f>
        <v>2</v>
      </c>
      <c r="K1011" s="2"/>
      <c r="M1011" s="2"/>
    </row>
    <row r="1012" spans="1:14" x14ac:dyDescent="0.55000000000000004">
      <c r="A1012" s="1" t="s">
        <v>1763</v>
      </c>
      <c r="B1012" s="2">
        <f>COUNTIF(A:A,A1012)-1</f>
        <v>4</v>
      </c>
      <c r="C1012" s="2">
        <f>COUNTIF(A$1:A1012,A1012)-1</f>
        <v>1</v>
      </c>
      <c r="D1012" s="2" t="str">
        <f>Argument!D1012</f>
        <v>a</v>
      </c>
      <c r="E1012" s="2" t="str">
        <f t="shared" si="30"/>
        <v/>
      </c>
      <c r="F1012" s="2" t="str">
        <f>IF(C1012=0,ISTEXT(FORMULA.CONVERT("="&amp;A1012&amp;"("&amp;REPLACE(REPT(",#ref!",B1012),1,1,"")&amp;")()",1)),"")</f>
        <v/>
      </c>
      <c r="G1012" s="2">
        <f>TYPE(PROB({1},IF(1,1),IF(1,1),IF(1,1)))</f>
        <v>1</v>
      </c>
      <c r="H1012" s="2" t="str">
        <f t="shared" si="31"/>
        <v/>
      </c>
      <c r="I1012" s="2">
        <f>TYPE(PROB(IF(1,1),IF(1,1),IF(1,1),IF(1,1)))</f>
        <v>1</v>
      </c>
      <c r="J1012" s="2" t="str">
        <f>IF(C1012=0,COUNTIFS(A:A,A1012,D:D,"a"),"")</f>
        <v/>
      </c>
      <c r="K1012" s="2" t="e">
        <f>INDEX(+PROB(K1012:L1012,#REF!,#REF!,#REF!),)</f>
        <v>#REF!</v>
      </c>
      <c r="L1012" s="1">
        <v>1</v>
      </c>
      <c r="M1012" s="2" t="e">
        <f>INDEX(+PROB(INDIRECT(M1012:N1012),#REF!,#REF!,#REF!),)</f>
        <v>#REF!</v>
      </c>
      <c r="N1012" s="1">
        <v>1</v>
      </c>
    </row>
    <row r="1013" spans="1:14" x14ac:dyDescent="0.55000000000000004">
      <c r="A1013" s="1" t="s">
        <v>1763</v>
      </c>
      <c r="B1013" s="2">
        <f>COUNTIF(A:A,A1013)-1</f>
        <v>4</v>
      </c>
      <c r="C1013" s="2">
        <f>COUNTIF(A$1:A1013,A1013)-1</f>
        <v>2</v>
      </c>
      <c r="D1013" s="2" t="str">
        <f>Argument!D1013</f>
        <v>a</v>
      </c>
      <c r="E1013" s="2" t="str">
        <f t="shared" si="30"/>
        <v/>
      </c>
      <c r="F1013" s="2" t="str">
        <f>IF(C1013=0,ISTEXT(FORMULA.CONVERT("="&amp;A1013&amp;"("&amp;REPLACE(REPT(",#ref!",B1013),1,1,"")&amp;")()",1)),"")</f>
        <v/>
      </c>
      <c r="G1013" s="2">
        <f>TYPE(PROB(IF(1,1),{1},IF(1,1),IF(1,1)))</f>
        <v>1</v>
      </c>
      <c r="H1013" s="2" t="str">
        <f t="shared" si="31"/>
        <v/>
      </c>
      <c r="I1013" s="2">
        <f>TYPE(PROB(IF(1,1),IF(1,1),IF(1,1),IF(1,1)))</f>
        <v>1</v>
      </c>
      <c r="J1013" s="2" t="str">
        <f>IF(C1013=0,COUNTIFS(A:A,A1013,D:D,"a"),"")</f>
        <v/>
      </c>
      <c r="K1013" s="2" t="e">
        <f>INDEX(+PROB(#REF!,K1013:L1013,#REF!,#REF!),)</f>
        <v>#REF!</v>
      </c>
      <c r="L1013" s="1">
        <v>1</v>
      </c>
      <c r="M1013" s="2" t="e">
        <f>INDEX(+PROB(#REF!,INDIRECT(M1013:N1013),#REF!,#REF!),)</f>
        <v>#REF!</v>
      </c>
      <c r="N1013" s="1">
        <v>1</v>
      </c>
    </row>
    <row r="1014" spans="1:14" x14ac:dyDescent="0.55000000000000004">
      <c r="A1014" s="1" t="s">
        <v>1763</v>
      </c>
      <c r="B1014" s="2">
        <f>COUNTIF(A:A,A1014)-1</f>
        <v>4</v>
      </c>
      <c r="C1014" s="2">
        <f>COUNTIF(A$1:A1014,A1014)-1</f>
        <v>3</v>
      </c>
      <c r="D1014" s="2" t="str">
        <f>Argument!D1014</f>
        <v>v</v>
      </c>
      <c r="E1014" s="2" t="str">
        <f t="shared" si="30"/>
        <v/>
      </c>
      <c r="F1014" s="2" t="str">
        <f>IF(C1014=0,ISTEXT(FORMULA.CONVERT("="&amp;A1014&amp;"("&amp;REPLACE(REPT(",#ref!",B1014),1,1,"")&amp;")()",1)),"")</f>
        <v/>
      </c>
      <c r="G1014" s="2">
        <f>TYPE(PROB(IF(1,1),IF(1,1),{1},IF(1,1)))</f>
        <v>64</v>
      </c>
      <c r="H1014" s="2" t="str">
        <f t="shared" si="31"/>
        <v/>
      </c>
      <c r="I1014" s="2">
        <f>TYPE(PROB(IF(1,1),IF(1,1),IF(1,1),IF(1,1)))</f>
        <v>1</v>
      </c>
      <c r="J1014" s="2" t="str">
        <f>IF(C1014=0,COUNTIFS(A:A,A1014,D:D,"a"),"")</f>
        <v/>
      </c>
      <c r="K1014" s="2" t="e">
        <f>INDEX(+PROB(#REF!,#REF!,K1014:L1014,#REF!),)</f>
        <v>#REF!</v>
      </c>
      <c r="L1014" s="1">
        <v>1</v>
      </c>
      <c r="M1014" s="2" t="e">
        <f>INDEX(+PROB(#REF!,#REF!,INDIRECT(M1014:N1014),#REF!),)</f>
        <v>#REF!</v>
      </c>
      <c r="N1014" s="1">
        <v>1</v>
      </c>
    </row>
    <row r="1015" spans="1:14" x14ac:dyDescent="0.55000000000000004">
      <c r="A1015" s="1" t="s">
        <v>1763</v>
      </c>
      <c r="B1015" s="2">
        <f>COUNTIF(A:A,A1015)-1</f>
        <v>4</v>
      </c>
      <c r="C1015" s="2">
        <f>COUNTIF(A$1:A1015,A1015)-1</f>
        <v>4</v>
      </c>
      <c r="D1015" s="2" t="str">
        <f>Argument!D1015</f>
        <v>v</v>
      </c>
      <c r="E1015" s="2" t="str">
        <f t="shared" si="30"/>
        <v/>
      </c>
      <c r="F1015" s="2" t="str">
        <f>IF(C1015=0,ISTEXT(FORMULA.CONVERT("="&amp;A1015&amp;"("&amp;REPLACE(REPT(",#ref!",B1015),1,1,"")&amp;")()",1)),"")</f>
        <v/>
      </c>
      <c r="G1015" s="2">
        <f>TYPE(PROB(IF(1,1),IF(1,1),IF(1,1),{1}))</f>
        <v>64</v>
      </c>
      <c r="H1015" s="2" t="str">
        <f t="shared" si="31"/>
        <v/>
      </c>
      <c r="I1015" s="2">
        <f>TYPE(PROB(IF(1,1),IF(1,1),IF(1,1),IF(1,1)))</f>
        <v>1</v>
      </c>
      <c r="J1015" s="2" t="str">
        <f>IF(C1015=0,COUNTIFS(A:A,A1015,D:D,"a"),"")</f>
        <v/>
      </c>
      <c r="K1015" s="2" t="e">
        <f>INDEX(+PROB(#REF!,#REF!,#REF!,K1015:L1015),)</f>
        <v>#REF!</v>
      </c>
      <c r="L1015" s="1">
        <v>1</v>
      </c>
      <c r="M1015" s="2" t="e">
        <f>INDEX(+PROB(#REF!,#REF!,#REF!,INDIRECT(M1015:N1015)),)</f>
        <v>#REF!</v>
      </c>
      <c r="N1015" s="1">
        <v>1</v>
      </c>
    </row>
    <row r="1016" spans="1:14" x14ac:dyDescent="0.55000000000000004">
      <c r="A1016" s="1" t="s">
        <v>1764</v>
      </c>
      <c r="B1016" s="2">
        <f>COUNTIF(A:A,A1016)-1</f>
        <v>3</v>
      </c>
      <c r="C1016" s="2">
        <f>COUNTIF(A$1:A1016,A1016)-1</f>
        <v>0</v>
      </c>
      <c r="D1016" s="2" t="str">
        <f>Argument!D1016</f>
        <v/>
      </c>
      <c r="E1016" s="2" t="str">
        <f t="shared" si="30"/>
        <v>v</v>
      </c>
      <c r="F1016" s="2" t="b">
        <f>IF(C1016=0,ISTEXT(FORMULA.CONVERT("="&amp;A1016&amp;"("&amp;REPLACE(REPT(",#ref!",B1016),1,1,"")&amp;")()",1)),"")</f>
        <v>0</v>
      </c>
      <c r="G1016" s="2"/>
      <c r="H1016" s="2" t="str">
        <f t="shared" si="31"/>
        <v/>
      </c>
      <c r="I1016" s="2">
        <f>TYPE(DEVSQ(IF(1,1),IF(1,1),IF(1,1)))</f>
        <v>1</v>
      </c>
      <c r="J1016" s="2">
        <f>IF(C1016=0,COUNTIFS(A:A,A1016,D:D,"a"),"")</f>
        <v>0</v>
      </c>
      <c r="K1016" s="2"/>
      <c r="M1016" s="2"/>
    </row>
    <row r="1017" spans="1:14" x14ac:dyDescent="0.55000000000000004">
      <c r="A1017" s="1" t="s">
        <v>1764</v>
      </c>
      <c r="B1017" s="2">
        <f>COUNTIF(A:A,A1017)-1</f>
        <v>3</v>
      </c>
      <c r="C1017" s="2">
        <f>COUNTIF(A$1:A1017,A1017)-1</f>
        <v>1</v>
      </c>
      <c r="D1017" s="2" t="str">
        <f>Argument!D1017</f>
        <v>var</v>
      </c>
      <c r="E1017" s="2" t="str">
        <f t="shared" si="30"/>
        <v/>
      </c>
      <c r="F1017" s="2" t="str">
        <f>IF(C1017=0,ISTEXT(FORMULA.CONVERT("="&amp;A1017&amp;"("&amp;REPLACE(REPT(",#ref!",B1017),1,1,"")&amp;")()",1)),"")</f>
        <v/>
      </c>
      <c r="G1017" s="2">
        <f>TYPE(DEVSQ({1},IF(1,1),IF(1,1)))</f>
        <v>1</v>
      </c>
      <c r="H1017" s="2" t="str">
        <f t="shared" si="31"/>
        <v/>
      </c>
      <c r="I1017" s="2">
        <f>TYPE(DEVSQ(IF(1,1),IF(1,1),IF(1,1)))</f>
        <v>1</v>
      </c>
      <c r="J1017" s="2" t="str">
        <f>IF(C1017=0,COUNTIFS(A:A,A1017,D:D,"a"),"")</f>
        <v/>
      </c>
      <c r="K1017" s="2" t="e">
        <f>INDEX(+DEVSQ(K1017:L1017,#REF!,#REF!),)</f>
        <v>#REF!</v>
      </c>
      <c r="L1017" s="1">
        <v>1</v>
      </c>
      <c r="M1017" s="2" t="e">
        <f>INDEX(+DEVSQ(INDIRECT(M1017:N1017),#REF!,#REF!),)</f>
        <v>#REF!</v>
      </c>
      <c r="N1017" s="1">
        <v>1</v>
      </c>
    </row>
    <row r="1018" spans="1:14" x14ac:dyDescent="0.55000000000000004">
      <c r="A1018" s="1" t="s">
        <v>1764</v>
      </c>
      <c r="B1018" s="2">
        <f>COUNTIF(A:A,A1018)-1</f>
        <v>3</v>
      </c>
      <c r="C1018" s="2">
        <f>COUNTIF(A$1:A1018,A1018)-1</f>
        <v>2</v>
      </c>
      <c r="D1018" s="2" t="str">
        <f>Argument!D1018</f>
        <v>var</v>
      </c>
      <c r="E1018" s="2" t="str">
        <f t="shared" si="30"/>
        <v/>
      </c>
      <c r="F1018" s="2" t="str">
        <f>IF(C1018=0,ISTEXT(FORMULA.CONVERT("="&amp;A1018&amp;"("&amp;REPLACE(REPT(",#ref!",B1018),1,1,"")&amp;")()",1)),"")</f>
        <v/>
      </c>
      <c r="G1018" s="2">
        <f>TYPE(DEVSQ(IF(1,1),{1},IF(1,1)))</f>
        <v>1</v>
      </c>
      <c r="H1018" s="2" t="str">
        <f t="shared" si="31"/>
        <v/>
      </c>
      <c r="I1018" s="2">
        <f>TYPE(DEVSQ(IF(1,1),IF(1,1),IF(1,1)))</f>
        <v>1</v>
      </c>
      <c r="J1018" s="2" t="str">
        <f>IF(C1018=0,COUNTIFS(A:A,A1018,D:D,"a"),"")</f>
        <v/>
      </c>
      <c r="K1018" s="2" t="e">
        <f>INDEX(+DEVSQ(#REF!,K1018:L1018,#REF!),)</f>
        <v>#REF!</v>
      </c>
      <c r="L1018" s="1">
        <v>1</v>
      </c>
      <c r="M1018" s="2" t="e">
        <f>INDEX(+DEVSQ(#REF!,INDIRECT(M1018:N1018),#REF!),)</f>
        <v>#REF!</v>
      </c>
      <c r="N1018" s="1">
        <v>1</v>
      </c>
    </row>
    <row r="1019" spans="1:14" x14ac:dyDescent="0.55000000000000004">
      <c r="A1019" s="1" t="s">
        <v>1764</v>
      </c>
      <c r="B1019" s="2">
        <f>COUNTIF(A:A,A1019)-1</f>
        <v>3</v>
      </c>
      <c r="C1019" s="2">
        <f>COUNTIF(A$1:A1019,A1019)-1</f>
        <v>3</v>
      </c>
      <c r="D1019" s="2" t="str">
        <f>Argument!D1019</f>
        <v>var</v>
      </c>
      <c r="E1019" s="2" t="str">
        <f t="shared" si="30"/>
        <v/>
      </c>
      <c r="F1019" s="2" t="str">
        <f>IF(C1019=0,ISTEXT(FORMULA.CONVERT("="&amp;A1019&amp;"("&amp;REPLACE(REPT(",#ref!",B1019),1,1,"")&amp;")()",1)),"")</f>
        <v/>
      </c>
      <c r="G1019" s="2">
        <f>TYPE(DEVSQ(IF(1,1),IF(1,1),{1}))</f>
        <v>1</v>
      </c>
      <c r="H1019" s="2" t="str">
        <f t="shared" si="31"/>
        <v/>
      </c>
      <c r="I1019" s="2">
        <f>TYPE(DEVSQ(IF(1,1),IF(1,1),IF(1,1)))</f>
        <v>1</v>
      </c>
      <c r="J1019" s="2" t="str">
        <f>IF(C1019=0,COUNTIFS(A:A,A1019,D:D,"a"),"")</f>
        <v/>
      </c>
      <c r="K1019" s="2" t="e">
        <f>INDEX(+DEVSQ(#REF!,#REF!,K1019:L1019),)</f>
        <v>#REF!</v>
      </c>
      <c r="L1019" s="1">
        <v>1</v>
      </c>
      <c r="M1019" s="2" t="e">
        <f>INDEX(+DEVSQ(#REF!,#REF!,INDIRECT(M1019:N1019)),)</f>
        <v>#REF!</v>
      </c>
      <c r="N1019" s="1">
        <v>1</v>
      </c>
    </row>
    <row r="1020" spans="1:14" x14ac:dyDescent="0.55000000000000004">
      <c r="A1020" s="1" t="s">
        <v>1765</v>
      </c>
      <c r="B1020" s="2">
        <f>COUNTIF(A:A,A1020)-1</f>
        <v>3</v>
      </c>
      <c r="C1020" s="2">
        <f>COUNTIF(A$1:A1020,A1020)-1</f>
        <v>0</v>
      </c>
      <c r="D1020" s="2" t="str">
        <f>Argument!D1020</f>
        <v/>
      </c>
      <c r="E1020" s="2" t="str">
        <f t="shared" si="30"/>
        <v>v</v>
      </c>
      <c r="F1020" s="2" t="b">
        <f>IF(C1020=0,ISTEXT(FORMULA.CONVERT("="&amp;A1020&amp;"("&amp;REPLACE(REPT(",#ref!",B1020),1,1,"")&amp;")()",1)),"")</f>
        <v>0</v>
      </c>
      <c r="G1020" s="2"/>
      <c r="H1020" s="2" t="str">
        <f t="shared" si="31"/>
        <v/>
      </c>
      <c r="I1020" s="2">
        <f>TYPE(GEOMEAN(IF(1,1),IF(1,1),IF(1,1)))</f>
        <v>1</v>
      </c>
      <c r="J1020" s="2">
        <f>IF(C1020=0,COUNTIFS(A:A,A1020,D:D,"a"),"")</f>
        <v>0</v>
      </c>
      <c r="K1020" s="2"/>
      <c r="M1020" s="2"/>
    </row>
    <row r="1021" spans="1:14" x14ac:dyDescent="0.55000000000000004">
      <c r="A1021" s="1" t="s">
        <v>1765</v>
      </c>
      <c r="B1021" s="2">
        <f>COUNTIF(A:A,A1021)-1</f>
        <v>3</v>
      </c>
      <c r="C1021" s="2">
        <f>COUNTIF(A$1:A1021,A1021)-1</f>
        <v>1</v>
      </c>
      <c r="D1021" s="2" t="str">
        <f>Argument!D1021</f>
        <v>var</v>
      </c>
      <c r="E1021" s="2" t="str">
        <f t="shared" si="30"/>
        <v/>
      </c>
      <c r="F1021" s="2" t="str">
        <f>IF(C1021=0,ISTEXT(FORMULA.CONVERT("="&amp;A1021&amp;"("&amp;REPLACE(REPT(",#ref!",B1021),1,1,"")&amp;")()",1)),"")</f>
        <v/>
      </c>
      <c r="G1021" s="2">
        <f>TYPE(GEOMEAN({1},IF(1,1),IF(1,1)))</f>
        <v>1</v>
      </c>
      <c r="H1021" s="2" t="str">
        <f t="shared" si="31"/>
        <v/>
      </c>
      <c r="I1021" s="2">
        <f>TYPE(GEOMEAN(IF(1,1),IF(1,1),IF(1,1)))</f>
        <v>1</v>
      </c>
      <c r="J1021" s="2" t="str">
        <f>IF(C1021=0,COUNTIFS(A:A,A1021,D:D,"a"),"")</f>
        <v/>
      </c>
      <c r="K1021" s="2" t="e">
        <f>INDEX(+GEOMEAN(K1021:L1021,#REF!,#REF!),)</f>
        <v>#REF!</v>
      </c>
      <c r="L1021" s="1">
        <v>1</v>
      </c>
      <c r="M1021" s="2" t="e">
        <f>INDEX(+GEOMEAN(INDIRECT(M1021:N1021),#REF!,#REF!),)</f>
        <v>#REF!</v>
      </c>
      <c r="N1021" s="1">
        <v>1</v>
      </c>
    </row>
    <row r="1022" spans="1:14" x14ac:dyDescent="0.55000000000000004">
      <c r="A1022" s="1" t="s">
        <v>1765</v>
      </c>
      <c r="B1022" s="2">
        <f>COUNTIF(A:A,A1022)-1</f>
        <v>3</v>
      </c>
      <c r="C1022" s="2">
        <f>COUNTIF(A$1:A1022,A1022)-1</f>
        <v>2</v>
      </c>
      <c r="D1022" s="2" t="str">
        <f>Argument!D1022</f>
        <v>var</v>
      </c>
      <c r="E1022" s="2" t="str">
        <f t="shared" si="30"/>
        <v/>
      </c>
      <c r="F1022" s="2" t="str">
        <f>IF(C1022=0,ISTEXT(FORMULA.CONVERT("="&amp;A1022&amp;"("&amp;REPLACE(REPT(",#ref!",B1022),1,1,"")&amp;")()",1)),"")</f>
        <v/>
      </c>
      <c r="G1022" s="2">
        <f>TYPE(GEOMEAN(IF(1,1),{1},IF(1,1)))</f>
        <v>1</v>
      </c>
      <c r="H1022" s="2" t="str">
        <f t="shared" si="31"/>
        <v/>
      </c>
      <c r="I1022" s="2">
        <f>TYPE(GEOMEAN(IF(1,1),IF(1,1),IF(1,1)))</f>
        <v>1</v>
      </c>
      <c r="J1022" s="2" t="str">
        <f>IF(C1022=0,COUNTIFS(A:A,A1022,D:D,"a"),"")</f>
        <v/>
      </c>
      <c r="K1022" s="2" t="e">
        <f>INDEX(+GEOMEAN(#REF!,K1022:L1022,#REF!),)</f>
        <v>#REF!</v>
      </c>
      <c r="L1022" s="1">
        <v>1</v>
      </c>
      <c r="M1022" s="2" t="e">
        <f>INDEX(+GEOMEAN(#REF!,INDIRECT(M1022:N1022),#REF!),)</f>
        <v>#REF!</v>
      </c>
      <c r="N1022" s="1">
        <v>1</v>
      </c>
    </row>
    <row r="1023" spans="1:14" x14ac:dyDescent="0.55000000000000004">
      <c r="A1023" s="1" t="s">
        <v>1765</v>
      </c>
      <c r="B1023" s="2">
        <f>COUNTIF(A:A,A1023)-1</f>
        <v>3</v>
      </c>
      <c r="C1023" s="2">
        <f>COUNTIF(A$1:A1023,A1023)-1</f>
        <v>3</v>
      </c>
      <c r="D1023" s="2" t="str">
        <f>Argument!D1023</f>
        <v>var</v>
      </c>
      <c r="E1023" s="2" t="str">
        <f t="shared" si="30"/>
        <v/>
      </c>
      <c r="F1023" s="2" t="str">
        <f>IF(C1023=0,ISTEXT(FORMULA.CONVERT("="&amp;A1023&amp;"("&amp;REPLACE(REPT(",#ref!",B1023),1,1,"")&amp;")()",1)),"")</f>
        <v/>
      </c>
      <c r="G1023" s="2">
        <f>TYPE(GEOMEAN(IF(1,1),IF(1,1),{1}))</f>
        <v>1</v>
      </c>
      <c r="H1023" s="2" t="str">
        <f t="shared" si="31"/>
        <v/>
      </c>
      <c r="I1023" s="2">
        <f>TYPE(GEOMEAN(IF(1,1),IF(1,1),IF(1,1)))</f>
        <v>1</v>
      </c>
      <c r="J1023" s="2" t="str">
        <f>IF(C1023=0,COUNTIFS(A:A,A1023,D:D,"a"),"")</f>
        <v/>
      </c>
      <c r="K1023" s="2" t="e">
        <f>INDEX(+GEOMEAN(#REF!,#REF!,K1023:L1023),)</f>
        <v>#REF!</v>
      </c>
      <c r="L1023" s="1">
        <v>1</v>
      </c>
      <c r="M1023" s="2" t="e">
        <f>INDEX(+GEOMEAN(#REF!,#REF!,INDIRECT(M1023:N1023)),)</f>
        <v>#REF!</v>
      </c>
      <c r="N1023" s="1">
        <v>1</v>
      </c>
    </row>
    <row r="1024" spans="1:14" x14ac:dyDescent="0.55000000000000004">
      <c r="A1024" s="1" t="s">
        <v>1766</v>
      </c>
      <c r="B1024" s="2">
        <f>COUNTIF(A:A,A1024)-1</f>
        <v>3</v>
      </c>
      <c r="C1024" s="2">
        <f>COUNTIF(A$1:A1024,A1024)-1</f>
        <v>0</v>
      </c>
      <c r="D1024" s="2" t="str">
        <f>Argument!D1024</f>
        <v/>
      </c>
      <c r="E1024" s="2" t="str">
        <f t="shared" si="30"/>
        <v>v</v>
      </c>
      <c r="F1024" s="2" t="b">
        <f>IF(C1024=0,ISTEXT(FORMULA.CONVERT("="&amp;A1024&amp;"("&amp;REPLACE(REPT(",#ref!",B1024),1,1,"")&amp;")()",1)),"")</f>
        <v>0</v>
      </c>
      <c r="G1024" s="2"/>
      <c r="H1024" s="2" t="str">
        <f t="shared" si="31"/>
        <v/>
      </c>
      <c r="I1024" s="2">
        <f>TYPE(HARMEAN(IF(1,1),IF(1,1),IF(1,1)))</f>
        <v>1</v>
      </c>
      <c r="J1024" s="2">
        <f>IF(C1024=0,COUNTIFS(A:A,A1024,D:D,"a"),"")</f>
        <v>0</v>
      </c>
      <c r="K1024" s="2"/>
      <c r="M1024" s="2"/>
    </row>
    <row r="1025" spans="1:14" x14ac:dyDescent="0.55000000000000004">
      <c r="A1025" s="1" t="s">
        <v>1766</v>
      </c>
      <c r="B1025" s="2">
        <f>COUNTIF(A:A,A1025)-1</f>
        <v>3</v>
      </c>
      <c r="C1025" s="2">
        <f>COUNTIF(A$1:A1025,A1025)-1</f>
        <v>1</v>
      </c>
      <c r="D1025" s="2" t="str">
        <f>Argument!D1025</f>
        <v>var</v>
      </c>
      <c r="E1025" s="2" t="str">
        <f t="shared" si="30"/>
        <v/>
      </c>
      <c r="F1025" s="2" t="str">
        <f>IF(C1025=0,ISTEXT(FORMULA.CONVERT("="&amp;A1025&amp;"("&amp;REPLACE(REPT(",#ref!",B1025),1,1,"")&amp;")()",1)),"")</f>
        <v/>
      </c>
      <c r="G1025" s="2">
        <f>TYPE(HARMEAN({1},IF(1,1),IF(1,1)))</f>
        <v>1</v>
      </c>
      <c r="H1025" s="2" t="str">
        <f t="shared" si="31"/>
        <v/>
      </c>
      <c r="I1025" s="2">
        <f>TYPE(HARMEAN(IF(1,1),IF(1,1),IF(1,1)))</f>
        <v>1</v>
      </c>
      <c r="J1025" s="2" t="str">
        <f>IF(C1025=0,COUNTIFS(A:A,A1025,D:D,"a"),"")</f>
        <v/>
      </c>
      <c r="K1025" s="2" t="e">
        <f>INDEX(+HARMEAN(K1025:L1025,#REF!,#REF!),)</f>
        <v>#REF!</v>
      </c>
      <c r="L1025" s="1">
        <v>1</v>
      </c>
      <c r="M1025" s="2" t="e">
        <f>INDEX(+HARMEAN(INDIRECT(M1025:N1025),#REF!,#REF!),)</f>
        <v>#REF!</v>
      </c>
      <c r="N1025" s="1">
        <v>1</v>
      </c>
    </row>
    <row r="1026" spans="1:14" x14ac:dyDescent="0.55000000000000004">
      <c r="A1026" s="1" t="s">
        <v>1766</v>
      </c>
      <c r="B1026" s="2">
        <f>COUNTIF(A:A,A1026)-1</f>
        <v>3</v>
      </c>
      <c r="C1026" s="2">
        <f>COUNTIF(A$1:A1026,A1026)-1</f>
        <v>2</v>
      </c>
      <c r="D1026" s="2" t="str">
        <f>Argument!D1026</f>
        <v>var</v>
      </c>
      <c r="E1026" s="2" t="str">
        <f t="shared" ref="E1026:E1089" si="32">IF(C1026=0,IF(SUMIFS(H:H,A:A,A1026),IF(COUNTIFS(A:A,A1026,G:G,64),,"v")&amp;IF(F1026,"ar","a"),IF(F1026,"r","v")),"")</f>
        <v/>
      </c>
      <c r="F1026" s="2" t="str">
        <f>IF(C1026=0,ISTEXT(FORMULA.CONVERT("="&amp;A1026&amp;"("&amp;REPLACE(REPT(",#ref!",B1026),1,1,"")&amp;")()",1)),"")</f>
        <v/>
      </c>
      <c r="G1026" s="2">
        <f>TYPE(HARMEAN(IF(1,1),{1},IF(1,1)))</f>
        <v>1</v>
      </c>
      <c r="H1026" s="2" t="str">
        <f t="shared" ref="H1026:H1089" si="33">IF((I1026=64)*(J1026=B1026)+(1-L1026)*COUNTIF(D1026,"*v*")+(1-N1026)*COUNTIF(D1026,"*r*"),1,"")</f>
        <v/>
      </c>
      <c r="I1026" s="2">
        <f>TYPE(HARMEAN(IF(1,1),IF(1,1),IF(1,1)))</f>
        <v>1</v>
      </c>
      <c r="J1026" s="2" t="str">
        <f>IF(C1026=0,COUNTIFS(A:A,A1026,D:D,"a"),"")</f>
        <v/>
      </c>
      <c r="K1026" s="2" t="e">
        <f>INDEX(+HARMEAN(#REF!,K1026:L1026,#REF!),)</f>
        <v>#REF!</v>
      </c>
      <c r="L1026" s="1">
        <v>1</v>
      </c>
      <c r="M1026" s="2" t="e">
        <f>INDEX(+HARMEAN(#REF!,INDIRECT(M1026:N1026),#REF!),)</f>
        <v>#REF!</v>
      </c>
      <c r="N1026" s="1">
        <v>1</v>
      </c>
    </row>
    <row r="1027" spans="1:14" x14ac:dyDescent="0.55000000000000004">
      <c r="A1027" s="1" t="s">
        <v>1766</v>
      </c>
      <c r="B1027" s="2">
        <f>COUNTIF(A:A,A1027)-1</f>
        <v>3</v>
      </c>
      <c r="C1027" s="2">
        <f>COUNTIF(A$1:A1027,A1027)-1</f>
        <v>3</v>
      </c>
      <c r="D1027" s="2" t="str">
        <f>Argument!D1027</f>
        <v>var</v>
      </c>
      <c r="E1027" s="2" t="str">
        <f t="shared" si="32"/>
        <v/>
      </c>
      <c r="F1027" s="2" t="str">
        <f>IF(C1027=0,ISTEXT(FORMULA.CONVERT("="&amp;A1027&amp;"("&amp;REPLACE(REPT(",#ref!",B1027),1,1,"")&amp;")()",1)),"")</f>
        <v/>
      </c>
      <c r="G1027" s="2">
        <f>TYPE(HARMEAN(IF(1,1),IF(1,1),{1}))</f>
        <v>1</v>
      </c>
      <c r="H1027" s="2" t="str">
        <f t="shared" si="33"/>
        <v/>
      </c>
      <c r="I1027" s="2">
        <f>TYPE(HARMEAN(IF(1,1),IF(1,1),IF(1,1)))</f>
        <v>1</v>
      </c>
      <c r="J1027" s="2" t="str">
        <f>IF(C1027=0,COUNTIFS(A:A,A1027,D:D,"a"),"")</f>
        <v/>
      </c>
      <c r="K1027" s="2" t="e">
        <f>INDEX(+HARMEAN(#REF!,#REF!,K1027:L1027),)</f>
        <v>#REF!</v>
      </c>
      <c r="L1027" s="1">
        <v>1</v>
      </c>
      <c r="M1027" s="2" t="e">
        <f>INDEX(+HARMEAN(#REF!,#REF!,INDIRECT(M1027:N1027)),)</f>
        <v>#REF!</v>
      </c>
      <c r="N1027" s="1">
        <v>1</v>
      </c>
    </row>
    <row r="1028" spans="1:14" x14ac:dyDescent="0.55000000000000004">
      <c r="A1028" s="1" t="s">
        <v>1767</v>
      </c>
      <c r="B1028" s="2">
        <f>COUNTIF(A:A,A1028)-1</f>
        <v>3</v>
      </c>
      <c r="C1028" s="2">
        <f>COUNTIF(A$1:A1028,A1028)-1</f>
        <v>0</v>
      </c>
      <c r="D1028" s="2" t="str">
        <f>Argument!D1028</f>
        <v/>
      </c>
      <c r="E1028" s="2" t="str">
        <f t="shared" si="32"/>
        <v>v</v>
      </c>
      <c r="F1028" s="2" t="b">
        <f>IF(C1028=0,ISTEXT(FORMULA.CONVERT("="&amp;A1028&amp;"("&amp;REPLACE(REPT(",#ref!",B1028),1,1,"")&amp;")()",1)),"")</f>
        <v>0</v>
      </c>
      <c r="G1028" s="2"/>
      <c r="H1028" s="2" t="str">
        <f t="shared" si="33"/>
        <v/>
      </c>
      <c r="I1028" s="2">
        <f>TYPE(SUMSQ(IF(1,1),IF(1,1),IF(1,1)))</f>
        <v>1</v>
      </c>
      <c r="J1028" s="2">
        <f>IF(C1028=0,COUNTIFS(A:A,A1028,D:D,"a"),"")</f>
        <v>0</v>
      </c>
      <c r="K1028" s="2"/>
      <c r="M1028" s="2"/>
    </row>
    <row r="1029" spans="1:14" x14ac:dyDescent="0.55000000000000004">
      <c r="A1029" s="1" t="s">
        <v>1767</v>
      </c>
      <c r="B1029" s="2">
        <f>COUNTIF(A:A,A1029)-1</f>
        <v>3</v>
      </c>
      <c r="C1029" s="2">
        <f>COUNTIF(A$1:A1029,A1029)-1</f>
        <v>1</v>
      </c>
      <c r="D1029" s="2" t="str">
        <f>Argument!D1029</f>
        <v>var</v>
      </c>
      <c r="E1029" s="2" t="str">
        <f t="shared" si="32"/>
        <v/>
      </c>
      <c r="F1029" s="2" t="str">
        <f>IF(C1029=0,ISTEXT(FORMULA.CONVERT("="&amp;A1029&amp;"("&amp;REPLACE(REPT(",#ref!",B1029),1,1,"")&amp;")()",1)),"")</f>
        <v/>
      </c>
      <c r="G1029" s="2">
        <f>TYPE(SUMSQ({1},IF(1,1),IF(1,1)))</f>
        <v>1</v>
      </c>
      <c r="H1029" s="2" t="str">
        <f t="shared" si="33"/>
        <v/>
      </c>
      <c r="I1029" s="2">
        <f>TYPE(SUMSQ(IF(1,1),IF(1,1),IF(1,1)))</f>
        <v>1</v>
      </c>
      <c r="J1029" s="2" t="str">
        <f>IF(C1029=0,COUNTIFS(A:A,A1029,D:D,"a"),"")</f>
        <v/>
      </c>
      <c r="K1029" s="2" t="e">
        <f>INDEX(+SUMSQ(K1029:L1029,#REF!,#REF!),)</f>
        <v>#REF!</v>
      </c>
      <c r="L1029" s="1">
        <v>1</v>
      </c>
      <c r="M1029" s="2" t="e">
        <f>INDEX(+SUMSQ(INDIRECT(M1029:N1029),#REF!,#REF!),)</f>
        <v>#REF!</v>
      </c>
      <c r="N1029" s="1">
        <v>1</v>
      </c>
    </row>
    <row r="1030" spans="1:14" x14ac:dyDescent="0.55000000000000004">
      <c r="A1030" s="1" t="s">
        <v>1767</v>
      </c>
      <c r="B1030" s="2">
        <f>COUNTIF(A:A,A1030)-1</f>
        <v>3</v>
      </c>
      <c r="C1030" s="2">
        <f>COUNTIF(A$1:A1030,A1030)-1</f>
        <v>2</v>
      </c>
      <c r="D1030" s="2" t="str">
        <f>Argument!D1030</f>
        <v>var</v>
      </c>
      <c r="E1030" s="2" t="str">
        <f t="shared" si="32"/>
        <v/>
      </c>
      <c r="F1030" s="2" t="str">
        <f>IF(C1030=0,ISTEXT(FORMULA.CONVERT("="&amp;A1030&amp;"("&amp;REPLACE(REPT(",#ref!",B1030),1,1,"")&amp;")()",1)),"")</f>
        <v/>
      </c>
      <c r="G1030" s="2">
        <f>TYPE(SUMSQ(IF(1,1),{1},IF(1,1)))</f>
        <v>1</v>
      </c>
      <c r="H1030" s="2" t="str">
        <f t="shared" si="33"/>
        <v/>
      </c>
      <c r="I1030" s="2">
        <f>TYPE(SUMSQ(IF(1,1),IF(1,1),IF(1,1)))</f>
        <v>1</v>
      </c>
      <c r="J1030" s="2" t="str">
        <f>IF(C1030=0,COUNTIFS(A:A,A1030,D:D,"a"),"")</f>
        <v/>
      </c>
      <c r="K1030" s="2" t="e">
        <f>INDEX(+SUMSQ(#REF!,K1030:L1030,#REF!),)</f>
        <v>#REF!</v>
      </c>
      <c r="L1030" s="1">
        <v>1</v>
      </c>
      <c r="M1030" s="2" t="e">
        <f>INDEX(+SUMSQ(#REF!,INDIRECT(M1030:N1030),#REF!),)</f>
        <v>#REF!</v>
      </c>
      <c r="N1030" s="1">
        <v>1</v>
      </c>
    </row>
    <row r="1031" spans="1:14" x14ac:dyDescent="0.55000000000000004">
      <c r="A1031" s="1" t="s">
        <v>1767</v>
      </c>
      <c r="B1031" s="2">
        <f>COUNTIF(A:A,A1031)-1</f>
        <v>3</v>
      </c>
      <c r="C1031" s="2">
        <f>COUNTIF(A$1:A1031,A1031)-1</f>
        <v>3</v>
      </c>
      <c r="D1031" s="2" t="str">
        <f>Argument!D1031</f>
        <v>var</v>
      </c>
      <c r="E1031" s="2" t="str">
        <f t="shared" si="32"/>
        <v/>
      </c>
      <c r="F1031" s="2" t="str">
        <f>IF(C1031=0,ISTEXT(FORMULA.CONVERT("="&amp;A1031&amp;"("&amp;REPLACE(REPT(",#ref!",B1031),1,1,"")&amp;")()",1)),"")</f>
        <v/>
      </c>
      <c r="G1031" s="2">
        <f>TYPE(SUMSQ(IF(1,1),IF(1,1),{1}))</f>
        <v>1</v>
      </c>
      <c r="H1031" s="2" t="str">
        <f t="shared" si="33"/>
        <v/>
      </c>
      <c r="I1031" s="2">
        <f>TYPE(SUMSQ(IF(1,1),IF(1,1),IF(1,1)))</f>
        <v>1</v>
      </c>
      <c r="J1031" s="2" t="str">
        <f>IF(C1031=0,COUNTIFS(A:A,A1031,D:D,"a"),"")</f>
        <v/>
      </c>
      <c r="K1031" s="2" t="e">
        <f>INDEX(+SUMSQ(#REF!,#REF!,K1031:L1031),)</f>
        <v>#REF!</v>
      </c>
      <c r="L1031" s="1">
        <v>1</v>
      </c>
      <c r="M1031" s="2" t="e">
        <f>INDEX(+SUMSQ(#REF!,#REF!,INDIRECT(M1031:N1031)),)</f>
        <v>#REF!</v>
      </c>
      <c r="N1031" s="1">
        <v>1</v>
      </c>
    </row>
    <row r="1032" spans="1:14" x14ac:dyDescent="0.55000000000000004">
      <c r="A1032" s="1" t="s">
        <v>1768</v>
      </c>
      <c r="B1032" s="2">
        <f>COUNTIF(A:A,A1032)-1</f>
        <v>3</v>
      </c>
      <c r="C1032" s="2">
        <f>COUNTIF(A$1:A1032,A1032)-1</f>
        <v>0</v>
      </c>
      <c r="D1032" s="2" t="str">
        <f>Argument!D1032</f>
        <v/>
      </c>
      <c r="E1032" s="2" t="str">
        <f t="shared" si="32"/>
        <v>v</v>
      </c>
      <c r="F1032" s="2" t="b">
        <f>IF(C1032=0,ISTEXT(FORMULA.CONVERT("="&amp;A1032&amp;"("&amp;REPLACE(REPT(",#ref!",B1032),1,1,"")&amp;")()",1)),"")</f>
        <v>0</v>
      </c>
      <c r="G1032" s="2"/>
      <c r="H1032" s="2" t="str">
        <f t="shared" si="33"/>
        <v/>
      </c>
      <c r="I1032" s="2">
        <f>TYPE(KURT(IF(1,1),IF(1,1),IF(1,1)))</f>
        <v>16</v>
      </c>
      <c r="J1032" s="2">
        <f>IF(C1032=0,COUNTIFS(A:A,A1032,D:D,"a"),"")</f>
        <v>0</v>
      </c>
      <c r="K1032" s="2"/>
      <c r="M1032" s="2"/>
    </row>
    <row r="1033" spans="1:14" x14ac:dyDescent="0.55000000000000004">
      <c r="A1033" s="1" t="s">
        <v>1768</v>
      </c>
      <c r="B1033" s="2">
        <f>COUNTIF(A:A,A1033)-1</f>
        <v>3</v>
      </c>
      <c r="C1033" s="2">
        <f>COUNTIF(A$1:A1033,A1033)-1</f>
        <v>1</v>
      </c>
      <c r="D1033" s="2" t="str">
        <f>Argument!D1033</f>
        <v>var</v>
      </c>
      <c r="E1033" s="2" t="str">
        <f t="shared" si="32"/>
        <v/>
      </c>
      <c r="F1033" s="2" t="str">
        <f>IF(C1033=0,ISTEXT(FORMULA.CONVERT("="&amp;A1033&amp;"("&amp;REPLACE(REPT(",#ref!",B1033),1,1,"")&amp;")()",1)),"")</f>
        <v/>
      </c>
      <c r="G1033" s="2">
        <f>TYPE(KURT({1},IF(1,1),IF(1,1)))</f>
        <v>16</v>
      </c>
      <c r="H1033" s="2" t="str">
        <f t="shared" si="33"/>
        <v/>
      </c>
      <c r="I1033" s="2">
        <f>TYPE(KURT(IF(1,1),IF(1,1),IF(1,1)))</f>
        <v>16</v>
      </c>
      <c r="J1033" s="2" t="str">
        <f>IF(C1033=0,COUNTIFS(A:A,A1033,D:D,"a"),"")</f>
        <v/>
      </c>
      <c r="K1033" s="2" t="e">
        <f>INDEX(+KURT(K1033:L1033,#REF!,#REF!),)</f>
        <v>#REF!</v>
      </c>
      <c r="L1033" s="1">
        <v>1</v>
      </c>
      <c r="M1033" s="2" t="e">
        <f>INDEX(+KURT(INDIRECT(M1033:N1033),#REF!,#REF!),)</f>
        <v>#REF!</v>
      </c>
      <c r="N1033" s="1">
        <v>1</v>
      </c>
    </row>
    <row r="1034" spans="1:14" x14ac:dyDescent="0.55000000000000004">
      <c r="A1034" s="1" t="s">
        <v>1768</v>
      </c>
      <c r="B1034" s="2">
        <f>COUNTIF(A:A,A1034)-1</f>
        <v>3</v>
      </c>
      <c r="C1034" s="2">
        <f>COUNTIF(A$1:A1034,A1034)-1</f>
        <v>2</v>
      </c>
      <c r="D1034" s="2" t="str">
        <f>Argument!D1034</f>
        <v>var</v>
      </c>
      <c r="E1034" s="2" t="str">
        <f t="shared" si="32"/>
        <v/>
      </c>
      <c r="F1034" s="2" t="str">
        <f>IF(C1034=0,ISTEXT(FORMULA.CONVERT("="&amp;A1034&amp;"("&amp;REPLACE(REPT(",#ref!",B1034),1,1,"")&amp;")()",1)),"")</f>
        <v/>
      </c>
      <c r="G1034" s="2">
        <f>TYPE(KURT(IF(1,1),{1},IF(1,1)))</f>
        <v>16</v>
      </c>
      <c r="H1034" s="2" t="str">
        <f t="shared" si="33"/>
        <v/>
      </c>
      <c r="I1034" s="2">
        <f>TYPE(KURT(IF(1,1),IF(1,1),IF(1,1)))</f>
        <v>16</v>
      </c>
      <c r="J1034" s="2" t="str">
        <f>IF(C1034=0,COUNTIFS(A:A,A1034,D:D,"a"),"")</f>
        <v/>
      </c>
      <c r="K1034" s="2" t="e">
        <f>INDEX(+KURT(#REF!,K1034:L1034,#REF!),)</f>
        <v>#REF!</v>
      </c>
      <c r="L1034" s="1">
        <v>1</v>
      </c>
      <c r="M1034" s="2" t="e">
        <f>INDEX(+KURT(#REF!,INDIRECT(M1034:N1034),#REF!),)</f>
        <v>#REF!</v>
      </c>
      <c r="N1034" s="1">
        <v>1</v>
      </c>
    </row>
    <row r="1035" spans="1:14" x14ac:dyDescent="0.55000000000000004">
      <c r="A1035" s="1" t="s">
        <v>1768</v>
      </c>
      <c r="B1035" s="2">
        <f>COUNTIF(A:A,A1035)-1</f>
        <v>3</v>
      </c>
      <c r="C1035" s="2">
        <f>COUNTIF(A$1:A1035,A1035)-1</f>
        <v>3</v>
      </c>
      <c r="D1035" s="2" t="str">
        <f>Argument!D1035</f>
        <v>var</v>
      </c>
      <c r="E1035" s="2" t="str">
        <f t="shared" si="32"/>
        <v/>
      </c>
      <c r="F1035" s="2" t="str">
        <f>IF(C1035=0,ISTEXT(FORMULA.CONVERT("="&amp;A1035&amp;"("&amp;REPLACE(REPT(",#ref!",B1035),1,1,"")&amp;")()",1)),"")</f>
        <v/>
      </c>
      <c r="G1035" s="2">
        <f>TYPE(KURT(IF(1,1),IF(1,1),{1}))</f>
        <v>16</v>
      </c>
      <c r="H1035" s="2" t="str">
        <f t="shared" si="33"/>
        <v/>
      </c>
      <c r="I1035" s="2">
        <f>TYPE(KURT(IF(1,1),IF(1,1),IF(1,1)))</f>
        <v>16</v>
      </c>
      <c r="J1035" s="2" t="str">
        <f>IF(C1035=0,COUNTIFS(A:A,A1035,D:D,"a"),"")</f>
        <v/>
      </c>
      <c r="K1035" s="2" t="e">
        <f>INDEX(+KURT(#REF!,#REF!,K1035:L1035),)</f>
        <v>#REF!</v>
      </c>
      <c r="L1035" s="1">
        <v>1</v>
      </c>
      <c r="M1035" s="2" t="e">
        <f>INDEX(+KURT(#REF!,#REF!,INDIRECT(M1035:N1035)),)</f>
        <v>#REF!</v>
      </c>
      <c r="N1035" s="1">
        <v>1</v>
      </c>
    </row>
    <row r="1036" spans="1:14" x14ac:dyDescent="0.55000000000000004">
      <c r="A1036" s="1" t="s">
        <v>1769</v>
      </c>
      <c r="B1036" s="2">
        <f>COUNTIF(A:A,A1036)-1</f>
        <v>3</v>
      </c>
      <c r="C1036" s="2">
        <f>COUNTIF(A$1:A1036,A1036)-1</f>
        <v>0</v>
      </c>
      <c r="D1036" s="2" t="str">
        <f>Argument!D1036</f>
        <v/>
      </c>
      <c r="E1036" s="2" t="str">
        <f t="shared" si="32"/>
        <v>v</v>
      </c>
      <c r="F1036" s="2" t="b">
        <f>IF(C1036=0,ISTEXT(FORMULA.CONVERT("="&amp;A1036&amp;"("&amp;REPLACE(REPT(",#ref!",B1036),1,1,"")&amp;")()",1)),"")</f>
        <v>0</v>
      </c>
      <c r="G1036" s="2"/>
      <c r="H1036" s="2" t="str">
        <f t="shared" si="33"/>
        <v/>
      </c>
      <c r="I1036" s="2">
        <f>TYPE(SKEW(IF(1,1),IF(1,1),IF(1,1)))</f>
        <v>16</v>
      </c>
      <c r="J1036" s="2">
        <f>IF(C1036=0,COUNTIFS(A:A,A1036,D:D,"a"),"")</f>
        <v>0</v>
      </c>
      <c r="K1036" s="2"/>
      <c r="M1036" s="2"/>
    </row>
    <row r="1037" spans="1:14" x14ac:dyDescent="0.55000000000000004">
      <c r="A1037" s="1" t="s">
        <v>1769</v>
      </c>
      <c r="B1037" s="2">
        <f>COUNTIF(A:A,A1037)-1</f>
        <v>3</v>
      </c>
      <c r="C1037" s="2">
        <f>COUNTIF(A$1:A1037,A1037)-1</f>
        <v>1</v>
      </c>
      <c r="D1037" s="2" t="str">
        <f>Argument!D1037</f>
        <v>var</v>
      </c>
      <c r="E1037" s="2" t="str">
        <f t="shared" si="32"/>
        <v/>
      </c>
      <c r="F1037" s="2" t="str">
        <f>IF(C1037=0,ISTEXT(FORMULA.CONVERT("="&amp;A1037&amp;"("&amp;REPLACE(REPT(",#ref!",B1037),1,1,"")&amp;")()",1)),"")</f>
        <v/>
      </c>
      <c r="G1037" s="2">
        <f>TYPE(SKEW({1},IF(1,1),IF(1,1)))</f>
        <v>16</v>
      </c>
      <c r="H1037" s="2" t="str">
        <f t="shared" si="33"/>
        <v/>
      </c>
      <c r="I1037" s="2">
        <f>TYPE(SKEW(IF(1,1),IF(1,1),IF(1,1)))</f>
        <v>16</v>
      </c>
      <c r="J1037" s="2" t="str">
        <f>IF(C1037=0,COUNTIFS(A:A,A1037,D:D,"a"),"")</f>
        <v/>
      </c>
      <c r="K1037" s="2" t="e">
        <f>INDEX(+SKEW(K1037:L1037,#REF!,#REF!),)</f>
        <v>#REF!</v>
      </c>
      <c r="L1037" s="1">
        <v>1</v>
      </c>
      <c r="M1037" s="2" t="e">
        <f>INDEX(+SKEW(INDIRECT(M1037:N1037),#REF!,#REF!),)</f>
        <v>#REF!</v>
      </c>
      <c r="N1037" s="1">
        <v>1</v>
      </c>
    </row>
    <row r="1038" spans="1:14" x14ac:dyDescent="0.55000000000000004">
      <c r="A1038" s="1" t="s">
        <v>1769</v>
      </c>
      <c r="B1038" s="2">
        <f>COUNTIF(A:A,A1038)-1</f>
        <v>3</v>
      </c>
      <c r="C1038" s="2">
        <f>COUNTIF(A$1:A1038,A1038)-1</f>
        <v>2</v>
      </c>
      <c r="D1038" s="2" t="str">
        <f>Argument!D1038</f>
        <v>var</v>
      </c>
      <c r="E1038" s="2" t="str">
        <f t="shared" si="32"/>
        <v/>
      </c>
      <c r="F1038" s="2" t="str">
        <f>IF(C1038=0,ISTEXT(FORMULA.CONVERT("="&amp;A1038&amp;"("&amp;REPLACE(REPT(",#ref!",B1038),1,1,"")&amp;")()",1)),"")</f>
        <v/>
      </c>
      <c r="G1038" s="2">
        <f>TYPE(SKEW(IF(1,1),{1},IF(1,1)))</f>
        <v>16</v>
      </c>
      <c r="H1038" s="2" t="str">
        <f t="shared" si="33"/>
        <v/>
      </c>
      <c r="I1038" s="2">
        <f>TYPE(SKEW(IF(1,1),IF(1,1),IF(1,1)))</f>
        <v>16</v>
      </c>
      <c r="J1038" s="2" t="str">
        <f>IF(C1038=0,COUNTIFS(A:A,A1038,D:D,"a"),"")</f>
        <v/>
      </c>
      <c r="K1038" s="2" t="e">
        <f>INDEX(+SKEW(#REF!,K1038:L1038,#REF!),)</f>
        <v>#REF!</v>
      </c>
      <c r="L1038" s="1">
        <v>1</v>
      </c>
      <c r="M1038" s="2" t="e">
        <f>INDEX(+SKEW(#REF!,INDIRECT(M1038:N1038),#REF!),)</f>
        <v>#REF!</v>
      </c>
      <c r="N1038" s="1">
        <v>1</v>
      </c>
    </row>
    <row r="1039" spans="1:14" x14ac:dyDescent="0.55000000000000004">
      <c r="A1039" s="1" t="s">
        <v>1769</v>
      </c>
      <c r="B1039" s="2">
        <f>COUNTIF(A:A,A1039)-1</f>
        <v>3</v>
      </c>
      <c r="C1039" s="2">
        <f>COUNTIF(A$1:A1039,A1039)-1</f>
        <v>3</v>
      </c>
      <c r="D1039" s="2" t="str">
        <f>Argument!D1039</f>
        <v>var</v>
      </c>
      <c r="E1039" s="2" t="str">
        <f t="shared" si="32"/>
        <v/>
      </c>
      <c r="F1039" s="2" t="str">
        <f>IF(C1039=0,ISTEXT(FORMULA.CONVERT("="&amp;A1039&amp;"("&amp;REPLACE(REPT(",#ref!",B1039),1,1,"")&amp;")()",1)),"")</f>
        <v/>
      </c>
      <c r="G1039" s="2">
        <f>TYPE(SKEW(IF(1,1),IF(1,1),{1}))</f>
        <v>16</v>
      </c>
      <c r="H1039" s="2" t="str">
        <f t="shared" si="33"/>
        <v/>
      </c>
      <c r="I1039" s="2">
        <f>TYPE(SKEW(IF(1,1),IF(1,1),IF(1,1)))</f>
        <v>16</v>
      </c>
      <c r="J1039" s="2" t="str">
        <f>IF(C1039=0,COUNTIFS(A:A,A1039,D:D,"a"),"")</f>
        <v/>
      </c>
      <c r="K1039" s="2" t="e">
        <f>INDEX(+SKEW(#REF!,#REF!,K1039:L1039),)</f>
        <v>#REF!</v>
      </c>
      <c r="L1039" s="1">
        <v>1</v>
      </c>
      <c r="M1039" s="2" t="e">
        <f>INDEX(+SKEW(#REF!,#REF!,INDIRECT(M1039:N1039)),)</f>
        <v>#REF!</v>
      </c>
      <c r="N1039" s="1">
        <v>1</v>
      </c>
    </row>
    <row r="1040" spans="1:14" x14ac:dyDescent="0.55000000000000004">
      <c r="A1040" s="1" t="s">
        <v>1770</v>
      </c>
      <c r="B1040" s="2">
        <f>COUNTIF(A:A,A1040)-1</f>
        <v>3</v>
      </c>
      <c r="C1040" s="2">
        <f>COUNTIF(A$1:A1040,A1040)-1</f>
        <v>0</v>
      </c>
      <c r="D1040" s="2" t="str">
        <f>Argument!D1040</f>
        <v/>
      </c>
      <c r="E1040" s="2" t="str">
        <f t="shared" si="32"/>
        <v>v</v>
      </c>
      <c r="F1040" s="2" t="b">
        <f>IF(C1040=0,ISTEXT(FORMULA.CONVERT("="&amp;A1040&amp;"("&amp;REPLACE(REPT(",#ref!",B1040),1,1,"")&amp;")()",1)),"")</f>
        <v>0</v>
      </c>
      <c r="G1040" s="2"/>
      <c r="H1040" s="2" t="str">
        <f t="shared" si="33"/>
        <v/>
      </c>
      <c r="I1040" s="2">
        <f>TYPE(ZTEST(IF(1,1),IF(1,1),IF(1,1)))</f>
        <v>16</v>
      </c>
      <c r="J1040" s="2">
        <f>IF(C1040=0,COUNTIFS(A:A,A1040,D:D,"a"),"")</f>
        <v>0</v>
      </c>
      <c r="K1040" s="2"/>
      <c r="M1040" s="2"/>
    </row>
    <row r="1041" spans="1:14" x14ac:dyDescent="0.55000000000000004">
      <c r="A1041" s="1" t="s">
        <v>1770</v>
      </c>
      <c r="B1041" s="2">
        <f>COUNTIF(A:A,A1041)-1</f>
        <v>3</v>
      </c>
      <c r="C1041" s="2">
        <f>COUNTIF(A$1:A1041,A1041)-1</f>
        <v>1</v>
      </c>
      <c r="D1041" s="2" t="str">
        <f>Argument!D1041</f>
        <v>var</v>
      </c>
      <c r="E1041" s="2" t="str">
        <f t="shared" si="32"/>
        <v/>
      </c>
      <c r="F1041" s="2" t="str">
        <f>IF(C1041=0,ISTEXT(FORMULA.CONVERT("="&amp;A1041&amp;"("&amp;REPLACE(REPT(",#ref!",B1041),1,1,"")&amp;")()",1)),"")</f>
        <v/>
      </c>
      <c r="G1041" s="2">
        <f>TYPE(ZTEST({1},IF(1,1),IF(1,1)))</f>
        <v>16</v>
      </c>
      <c r="H1041" s="2" t="str">
        <f t="shared" si="33"/>
        <v/>
      </c>
      <c r="I1041" s="2">
        <f>TYPE(ZTEST(IF(1,1),IF(1,1),IF(1,1)))</f>
        <v>16</v>
      </c>
      <c r="J1041" s="2" t="str">
        <f>IF(C1041=0,COUNTIFS(A:A,A1041,D:D,"a"),"")</f>
        <v/>
      </c>
      <c r="K1041" s="2" t="e">
        <f>INDEX(+ZTEST(K1041:L1041,#REF!,#REF!),)</f>
        <v>#REF!</v>
      </c>
      <c r="L1041" s="1">
        <v>1</v>
      </c>
      <c r="M1041" s="2" t="e">
        <f>INDEX(+ZTEST(INDIRECT(M1041:N1041),#REF!,#REF!),)</f>
        <v>#REF!</v>
      </c>
      <c r="N1041" s="1">
        <v>1</v>
      </c>
    </row>
    <row r="1042" spans="1:14" x14ac:dyDescent="0.55000000000000004">
      <c r="A1042" s="1" t="s">
        <v>1770</v>
      </c>
      <c r="B1042" s="2">
        <f>COUNTIF(A:A,A1042)-1</f>
        <v>3</v>
      </c>
      <c r="C1042" s="2">
        <f>COUNTIF(A$1:A1042,A1042)-1</f>
        <v>2</v>
      </c>
      <c r="D1042" s="2" t="str">
        <f>Argument!D1042</f>
        <v>v</v>
      </c>
      <c r="E1042" s="2" t="str">
        <f t="shared" si="32"/>
        <v/>
      </c>
      <c r="F1042" s="2" t="str">
        <f>IF(C1042=0,ISTEXT(FORMULA.CONVERT("="&amp;A1042&amp;"("&amp;REPLACE(REPT(",#ref!",B1042),1,1,"")&amp;")()",1)),"")</f>
        <v/>
      </c>
      <c r="G1042" s="2">
        <f>TYPE(ZTEST(IF(1,1),{1},IF(1,1)))</f>
        <v>64</v>
      </c>
      <c r="H1042" s="2" t="str">
        <f t="shared" si="33"/>
        <v/>
      </c>
      <c r="I1042" s="2">
        <f>TYPE(ZTEST(IF(1,1),IF(1,1),IF(1,1)))</f>
        <v>16</v>
      </c>
      <c r="J1042" s="2" t="str">
        <f>IF(C1042=0,COUNTIFS(A:A,A1042,D:D,"a"),"")</f>
        <v/>
      </c>
      <c r="K1042" s="2" t="e">
        <f>INDEX(+ZTEST(#REF!,K1042:L1042,#REF!),)</f>
        <v>#REF!</v>
      </c>
      <c r="L1042" s="1">
        <v>1</v>
      </c>
      <c r="M1042" s="2" t="e">
        <f>INDEX(+ZTEST(#REF!,INDIRECT(M1042:N1042),#REF!),)</f>
        <v>#REF!</v>
      </c>
      <c r="N1042" s="1">
        <v>1</v>
      </c>
    </row>
    <row r="1043" spans="1:14" x14ac:dyDescent="0.55000000000000004">
      <c r="A1043" s="1" t="s">
        <v>1770</v>
      </c>
      <c r="B1043" s="2">
        <f>COUNTIF(A:A,A1043)-1</f>
        <v>3</v>
      </c>
      <c r="C1043" s="2">
        <f>COUNTIF(A$1:A1043,A1043)-1</f>
        <v>3</v>
      </c>
      <c r="D1043" s="2" t="str">
        <f>Argument!D1043</f>
        <v>v</v>
      </c>
      <c r="E1043" s="2" t="str">
        <f t="shared" si="32"/>
        <v/>
      </c>
      <c r="F1043" s="2" t="str">
        <f>IF(C1043=0,ISTEXT(FORMULA.CONVERT("="&amp;A1043&amp;"("&amp;REPLACE(REPT(",#ref!",B1043),1,1,"")&amp;")()",1)),"")</f>
        <v/>
      </c>
      <c r="G1043" s="2">
        <f>TYPE(ZTEST(IF(1,1),IF(1,1),{1}))</f>
        <v>64</v>
      </c>
      <c r="H1043" s="2" t="str">
        <f t="shared" si="33"/>
        <v/>
      </c>
      <c r="I1043" s="2">
        <f>TYPE(ZTEST(IF(1,1),IF(1,1),IF(1,1)))</f>
        <v>16</v>
      </c>
      <c r="J1043" s="2" t="str">
        <f>IF(C1043=0,COUNTIFS(A:A,A1043,D:D,"a"),"")</f>
        <v/>
      </c>
      <c r="K1043" s="2" t="e">
        <f>INDEX(+ZTEST(#REF!,#REF!,K1043:L1043),)</f>
        <v>#REF!</v>
      </c>
      <c r="L1043" s="1">
        <v>1</v>
      </c>
      <c r="M1043" s="2" t="e">
        <f>INDEX(+ZTEST(#REF!,#REF!,INDIRECT(M1043:N1043)),)</f>
        <v>#REF!</v>
      </c>
      <c r="N1043" s="1">
        <v>1</v>
      </c>
    </row>
    <row r="1044" spans="1:14" x14ac:dyDescent="0.55000000000000004">
      <c r="A1044" s="1" t="s">
        <v>1771</v>
      </c>
      <c r="B1044" s="2">
        <f>COUNTIF(A:A,A1044)-1</f>
        <v>2</v>
      </c>
      <c r="C1044" s="2">
        <f>COUNTIF(A$1:A1044,A1044)-1</f>
        <v>0</v>
      </c>
      <c r="D1044" s="2" t="str">
        <f>Argument!D1044</f>
        <v/>
      </c>
      <c r="E1044" s="2" t="str">
        <f t="shared" si="32"/>
        <v>v</v>
      </c>
      <c r="F1044" s="2" t="b">
        <f>IF(C1044=0,ISTEXT(FORMULA.CONVERT("="&amp;A1044&amp;"("&amp;REPLACE(REPT(",#ref!",B1044),1,1,"")&amp;")()",1)),"")</f>
        <v>0</v>
      </c>
      <c r="G1044" s="2"/>
      <c r="H1044" s="2" t="str">
        <f t="shared" si="33"/>
        <v/>
      </c>
      <c r="I1044" s="2">
        <f>TYPE(LARGE(IF(1,1),IF(1,1)))</f>
        <v>1</v>
      </c>
      <c r="J1044" s="2">
        <f>IF(C1044=0,COUNTIFS(A:A,A1044,D:D,"a"),"")</f>
        <v>0</v>
      </c>
      <c r="K1044" s="2"/>
      <c r="M1044" s="2"/>
    </row>
    <row r="1045" spans="1:14" x14ac:dyDescent="0.55000000000000004">
      <c r="A1045" s="1" t="s">
        <v>1771</v>
      </c>
      <c r="B1045" s="2">
        <f>COUNTIF(A:A,A1045)-1</f>
        <v>2</v>
      </c>
      <c r="C1045" s="2">
        <f>COUNTIF(A$1:A1045,A1045)-1</f>
        <v>1</v>
      </c>
      <c r="D1045" s="2" t="str">
        <f>Argument!D1045</f>
        <v>var</v>
      </c>
      <c r="E1045" s="2" t="str">
        <f t="shared" si="32"/>
        <v/>
      </c>
      <c r="F1045" s="2" t="str">
        <f>IF(C1045=0,ISTEXT(FORMULA.CONVERT("="&amp;A1045&amp;"("&amp;REPLACE(REPT(",#ref!",B1045),1,1,"")&amp;")()",1)),"")</f>
        <v/>
      </c>
      <c r="G1045" s="2">
        <f>TYPE(LARGE({1},IF(1,1)))</f>
        <v>1</v>
      </c>
      <c r="H1045" s="2" t="str">
        <f t="shared" si="33"/>
        <v/>
      </c>
      <c r="I1045" s="2">
        <f>TYPE(LARGE(IF(1,1),IF(1,1)))</f>
        <v>1</v>
      </c>
      <c r="J1045" s="2" t="str">
        <f>IF(C1045=0,COUNTIFS(A:A,A1045,D:D,"a"),"")</f>
        <v/>
      </c>
      <c r="K1045" s="2" t="e">
        <f>INDEX(+LARGE(K1045:L1045,#REF!),)</f>
        <v>#REF!</v>
      </c>
      <c r="L1045" s="1">
        <v>1</v>
      </c>
      <c r="M1045" s="2" t="e">
        <f>INDEX(+LARGE(INDIRECT(M1045:N1045),#REF!),)</f>
        <v>#REF!</v>
      </c>
      <c r="N1045" s="1">
        <v>1</v>
      </c>
    </row>
    <row r="1046" spans="1:14" x14ac:dyDescent="0.55000000000000004">
      <c r="A1046" s="1" t="s">
        <v>1771</v>
      </c>
      <c r="B1046" s="2">
        <f>COUNTIF(A:A,A1046)-1</f>
        <v>2</v>
      </c>
      <c r="C1046" s="2">
        <f>COUNTIF(A$1:A1046,A1046)-1</f>
        <v>2</v>
      </c>
      <c r="D1046" s="2" t="str">
        <f>Argument!D1046</f>
        <v>v</v>
      </c>
      <c r="E1046" s="2" t="str">
        <f t="shared" si="32"/>
        <v/>
      </c>
      <c r="F1046" s="2" t="str">
        <f>IF(C1046=0,ISTEXT(FORMULA.CONVERT("="&amp;A1046&amp;"("&amp;REPLACE(REPT(",#ref!",B1046),1,1,"")&amp;")()",1)),"")</f>
        <v/>
      </c>
      <c r="G1046" s="2">
        <f>TYPE(LARGE(IF(1,1),{1}))</f>
        <v>64</v>
      </c>
      <c r="H1046" s="2" t="str">
        <f t="shared" si="33"/>
        <v/>
      </c>
      <c r="I1046" s="2">
        <f>TYPE(LARGE(IF(1,1),IF(1,1)))</f>
        <v>1</v>
      </c>
      <c r="J1046" s="2" t="str">
        <f>IF(C1046=0,COUNTIFS(A:A,A1046,D:D,"a"),"")</f>
        <v/>
      </c>
      <c r="K1046" s="2" t="e">
        <f>INDEX(+LARGE(#REF!,K1046:L1046),)</f>
        <v>#REF!</v>
      </c>
      <c r="L1046" s="1">
        <v>1</v>
      </c>
      <c r="M1046" s="2" t="e">
        <f>INDEX(+LARGE(#REF!,INDIRECT(M1046:N1046)),)</f>
        <v>#REF!</v>
      </c>
      <c r="N1046" s="1">
        <v>1</v>
      </c>
    </row>
    <row r="1047" spans="1:14" x14ac:dyDescent="0.55000000000000004">
      <c r="A1047" s="1" t="s">
        <v>1772</v>
      </c>
      <c r="B1047" s="2">
        <f>COUNTIF(A:A,A1047)-1</f>
        <v>2</v>
      </c>
      <c r="C1047" s="2">
        <f>COUNTIF(A$1:A1047,A1047)-1</f>
        <v>0</v>
      </c>
      <c r="D1047" s="2" t="str">
        <f>Argument!D1047</f>
        <v/>
      </c>
      <c r="E1047" s="2" t="str">
        <f t="shared" si="32"/>
        <v>v</v>
      </c>
      <c r="F1047" s="2" t="b">
        <f>IF(C1047=0,ISTEXT(FORMULA.CONVERT("="&amp;A1047&amp;"("&amp;REPLACE(REPT(",#ref!",B1047),1,1,"")&amp;")()",1)),"")</f>
        <v>0</v>
      </c>
      <c r="G1047" s="2"/>
      <c r="H1047" s="2" t="str">
        <f t="shared" si="33"/>
        <v/>
      </c>
      <c r="I1047" s="2">
        <f>TYPE(SMALL(IF(1,1),IF(1,1)))</f>
        <v>1</v>
      </c>
      <c r="J1047" s="2">
        <f>IF(C1047=0,COUNTIFS(A:A,A1047,D:D,"a"),"")</f>
        <v>0</v>
      </c>
      <c r="K1047" s="2"/>
      <c r="M1047" s="2"/>
    </row>
    <row r="1048" spans="1:14" x14ac:dyDescent="0.55000000000000004">
      <c r="A1048" s="1" t="s">
        <v>1772</v>
      </c>
      <c r="B1048" s="2">
        <f>COUNTIF(A:A,A1048)-1</f>
        <v>2</v>
      </c>
      <c r="C1048" s="2">
        <f>COUNTIF(A$1:A1048,A1048)-1</f>
        <v>1</v>
      </c>
      <c r="D1048" s="2" t="str">
        <f>Argument!D1048</f>
        <v>var</v>
      </c>
      <c r="E1048" s="2" t="str">
        <f t="shared" si="32"/>
        <v/>
      </c>
      <c r="F1048" s="2" t="str">
        <f>IF(C1048=0,ISTEXT(FORMULA.CONVERT("="&amp;A1048&amp;"("&amp;REPLACE(REPT(",#ref!",B1048),1,1,"")&amp;")()",1)),"")</f>
        <v/>
      </c>
      <c r="G1048" s="2">
        <f>TYPE(SMALL({1},IF(1,1)))</f>
        <v>1</v>
      </c>
      <c r="H1048" s="2" t="str">
        <f t="shared" si="33"/>
        <v/>
      </c>
      <c r="I1048" s="2">
        <f>TYPE(SMALL(IF(1,1),IF(1,1)))</f>
        <v>1</v>
      </c>
      <c r="J1048" s="2" t="str">
        <f>IF(C1048=0,COUNTIFS(A:A,A1048,D:D,"a"),"")</f>
        <v/>
      </c>
      <c r="K1048" s="2" t="e">
        <f>INDEX(+SMALL(K1048:L1048,#REF!),)</f>
        <v>#REF!</v>
      </c>
      <c r="L1048" s="1">
        <v>1</v>
      </c>
      <c r="M1048" s="2" t="e">
        <f>INDEX(+SMALL(INDIRECT(M1048:N1048),#REF!),)</f>
        <v>#REF!</v>
      </c>
      <c r="N1048" s="1">
        <v>1</v>
      </c>
    </row>
    <row r="1049" spans="1:14" x14ac:dyDescent="0.55000000000000004">
      <c r="A1049" s="1" t="s">
        <v>1772</v>
      </c>
      <c r="B1049" s="2">
        <f>COUNTIF(A:A,A1049)-1</f>
        <v>2</v>
      </c>
      <c r="C1049" s="2">
        <f>COUNTIF(A$1:A1049,A1049)-1</f>
        <v>2</v>
      </c>
      <c r="D1049" s="2" t="str">
        <f>Argument!D1049</f>
        <v>v</v>
      </c>
      <c r="E1049" s="2" t="str">
        <f t="shared" si="32"/>
        <v/>
      </c>
      <c r="F1049" s="2" t="str">
        <f>IF(C1049=0,ISTEXT(FORMULA.CONVERT("="&amp;A1049&amp;"("&amp;REPLACE(REPT(",#ref!",B1049),1,1,"")&amp;")()",1)),"")</f>
        <v/>
      </c>
      <c r="G1049" s="2">
        <f>TYPE(SMALL(IF(1,1),{1}))</f>
        <v>64</v>
      </c>
      <c r="H1049" s="2" t="str">
        <f t="shared" si="33"/>
        <v/>
      </c>
      <c r="I1049" s="2">
        <f>TYPE(SMALL(IF(1,1),IF(1,1)))</f>
        <v>1</v>
      </c>
      <c r="J1049" s="2" t="str">
        <f>IF(C1049=0,COUNTIFS(A:A,A1049,D:D,"a"),"")</f>
        <v/>
      </c>
      <c r="K1049" s="2" t="e">
        <f>INDEX(+SMALL(#REF!,K1049:L1049),)</f>
        <v>#REF!</v>
      </c>
      <c r="L1049" s="1">
        <v>1</v>
      </c>
      <c r="M1049" s="2" t="e">
        <f>INDEX(+SMALL(#REF!,INDIRECT(M1049:N1049)),)</f>
        <v>#REF!</v>
      </c>
      <c r="N1049" s="1">
        <v>1</v>
      </c>
    </row>
    <row r="1050" spans="1:14" x14ac:dyDescent="0.55000000000000004">
      <c r="A1050" s="1" t="s">
        <v>1773</v>
      </c>
      <c r="B1050" s="2">
        <f>COUNTIF(A:A,A1050)-1</f>
        <v>2</v>
      </c>
      <c r="C1050" s="2">
        <f>COUNTIF(A$1:A1050,A1050)-1</f>
        <v>0</v>
      </c>
      <c r="D1050" s="2" t="str">
        <f>Argument!D1050</f>
        <v/>
      </c>
      <c r="E1050" s="2" t="str">
        <f t="shared" si="32"/>
        <v>v</v>
      </c>
      <c r="F1050" s="2" t="b">
        <f>IF(C1050=0,ISTEXT(FORMULA.CONVERT("="&amp;A1050&amp;"("&amp;REPLACE(REPT(",#ref!",B1050),1,1,"")&amp;")()",1)),"")</f>
        <v>0</v>
      </c>
      <c r="G1050" s="2"/>
      <c r="H1050" s="2" t="str">
        <f t="shared" si="33"/>
        <v/>
      </c>
      <c r="I1050" s="2">
        <f>TYPE(QUARTILE(IF(1,1),IF(1,1)))</f>
        <v>1</v>
      </c>
      <c r="J1050" s="2">
        <f>IF(C1050=0,COUNTIFS(A:A,A1050,D:D,"a"),"")</f>
        <v>0</v>
      </c>
      <c r="K1050" s="2"/>
      <c r="M1050" s="2"/>
    </row>
    <row r="1051" spans="1:14" x14ac:dyDescent="0.55000000000000004">
      <c r="A1051" s="1" t="s">
        <v>1773</v>
      </c>
      <c r="B1051" s="2">
        <f>COUNTIF(A:A,A1051)-1</f>
        <v>2</v>
      </c>
      <c r="C1051" s="2">
        <f>COUNTIF(A$1:A1051,A1051)-1</f>
        <v>1</v>
      </c>
      <c r="D1051" s="2" t="str">
        <f>Argument!D1051</f>
        <v>var</v>
      </c>
      <c r="E1051" s="2" t="str">
        <f t="shared" si="32"/>
        <v/>
      </c>
      <c r="F1051" s="2" t="str">
        <f>IF(C1051=0,ISTEXT(FORMULA.CONVERT("="&amp;A1051&amp;"("&amp;REPLACE(REPT(",#ref!",B1051),1,1,"")&amp;")()",1)),"")</f>
        <v/>
      </c>
      <c r="G1051" s="2">
        <f>TYPE(QUARTILE({1},IF(1,1)))</f>
        <v>1</v>
      </c>
      <c r="H1051" s="2" t="str">
        <f t="shared" si="33"/>
        <v/>
      </c>
      <c r="I1051" s="2">
        <f>TYPE(QUARTILE(IF(1,1),IF(1,1)))</f>
        <v>1</v>
      </c>
      <c r="J1051" s="2" t="str">
        <f>IF(C1051=0,COUNTIFS(A:A,A1051,D:D,"a"),"")</f>
        <v/>
      </c>
      <c r="K1051" s="2" t="e">
        <f>INDEX(+QUARTILE(K1051:L1051,#REF!),)</f>
        <v>#REF!</v>
      </c>
      <c r="L1051" s="1">
        <v>1</v>
      </c>
      <c r="M1051" s="2" t="e">
        <f>INDEX(+QUARTILE(INDIRECT(M1051:N1051),#REF!),)</f>
        <v>#REF!</v>
      </c>
      <c r="N1051" s="1">
        <v>1</v>
      </c>
    </row>
    <row r="1052" spans="1:14" x14ac:dyDescent="0.55000000000000004">
      <c r="A1052" s="1" t="s">
        <v>1773</v>
      </c>
      <c r="B1052" s="2">
        <f>COUNTIF(A:A,A1052)-1</f>
        <v>2</v>
      </c>
      <c r="C1052" s="2">
        <f>COUNTIF(A$1:A1052,A1052)-1</f>
        <v>2</v>
      </c>
      <c r="D1052" s="2" t="str">
        <f>Argument!D1052</f>
        <v>v</v>
      </c>
      <c r="E1052" s="2" t="str">
        <f t="shared" si="32"/>
        <v/>
      </c>
      <c r="F1052" s="2" t="str">
        <f>IF(C1052=0,ISTEXT(FORMULA.CONVERT("="&amp;A1052&amp;"("&amp;REPLACE(REPT(",#ref!",B1052),1,1,"")&amp;")()",1)),"")</f>
        <v/>
      </c>
      <c r="G1052" s="2">
        <f>TYPE(QUARTILE(IF(1,1),{1}))</f>
        <v>64</v>
      </c>
      <c r="H1052" s="2" t="str">
        <f t="shared" si="33"/>
        <v/>
      </c>
      <c r="I1052" s="2">
        <f>TYPE(QUARTILE(IF(1,1),IF(1,1)))</f>
        <v>1</v>
      </c>
      <c r="J1052" s="2" t="str">
        <f>IF(C1052=0,COUNTIFS(A:A,A1052,D:D,"a"),"")</f>
        <v/>
      </c>
      <c r="K1052" s="2" t="e">
        <f>INDEX(+QUARTILE(#REF!,K1052:L1052),)</f>
        <v>#REF!</v>
      </c>
      <c r="L1052" s="1">
        <v>1</v>
      </c>
      <c r="M1052" s="2" t="e">
        <f>INDEX(+QUARTILE(#REF!,INDIRECT(M1052:N1052)),)</f>
        <v>#REF!</v>
      </c>
      <c r="N1052" s="1">
        <v>1</v>
      </c>
    </row>
    <row r="1053" spans="1:14" x14ac:dyDescent="0.55000000000000004">
      <c r="A1053" s="1" t="s">
        <v>1774</v>
      </c>
      <c r="B1053" s="2">
        <f>COUNTIF(A:A,A1053)-1</f>
        <v>2</v>
      </c>
      <c r="C1053" s="2">
        <f>COUNTIF(A$1:A1053,A1053)-1</f>
        <v>0</v>
      </c>
      <c r="D1053" s="2" t="str">
        <f>Argument!D1053</f>
        <v/>
      </c>
      <c r="E1053" s="2" t="str">
        <f t="shared" si="32"/>
        <v>v</v>
      </c>
      <c r="F1053" s="2" t="b">
        <f>IF(C1053=0,ISTEXT(FORMULA.CONVERT("="&amp;A1053&amp;"("&amp;REPLACE(REPT(",#ref!",B1053),1,1,"")&amp;")()",1)),"")</f>
        <v>0</v>
      </c>
      <c r="G1053" s="2"/>
      <c r="H1053" s="2" t="str">
        <f t="shared" si="33"/>
        <v/>
      </c>
      <c r="I1053" s="2">
        <f>TYPE(PERCENTILE(IF(1,1),IF(1,1)))</f>
        <v>1</v>
      </c>
      <c r="J1053" s="2">
        <f>IF(C1053=0,COUNTIFS(A:A,A1053,D:D,"a"),"")</f>
        <v>0</v>
      </c>
      <c r="K1053" s="2"/>
      <c r="M1053" s="2"/>
    </row>
    <row r="1054" spans="1:14" x14ac:dyDescent="0.55000000000000004">
      <c r="A1054" s="1" t="s">
        <v>1774</v>
      </c>
      <c r="B1054" s="2">
        <f>COUNTIF(A:A,A1054)-1</f>
        <v>2</v>
      </c>
      <c r="C1054" s="2">
        <f>COUNTIF(A$1:A1054,A1054)-1</f>
        <v>1</v>
      </c>
      <c r="D1054" s="2" t="str">
        <f>Argument!D1054</f>
        <v>var</v>
      </c>
      <c r="E1054" s="2" t="str">
        <f t="shared" si="32"/>
        <v/>
      </c>
      <c r="F1054" s="2" t="str">
        <f>IF(C1054=0,ISTEXT(FORMULA.CONVERT("="&amp;A1054&amp;"("&amp;REPLACE(REPT(",#ref!",B1054),1,1,"")&amp;")()",1)),"")</f>
        <v/>
      </c>
      <c r="G1054" s="2">
        <f>TYPE(PERCENTILE({1},IF(1,1)))</f>
        <v>1</v>
      </c>
      <c r="H1054" s="2" t="str">
        <f t="shared" si="33"/>
        <v/>
      </c>
      <c r="I1054" s="2">
        <f>TYPE(PERCENTILE(IF(1,1),IF(1,1)))</f>
        <v>1</v>
      </c>
      <c r="J1054" s="2" t="str">
        <f>IF(C1054=0,COUNTIFS(A:A,A1054,D:D,"a"),"")</f>
        <v/>
      </c>
      <c r="K1054" s="2" t="e">
        <f>INDEX(+PERCENTILE(K1054:L1054,#REF!),)</f>
        <v>#REF!</v>
      </c>
      <c r="L1054" s="1">
        <v>1</v>
      </c>
      <c r="M1054" s="2" t="e">
        <f>INDEX(+PERCENTILE(INDIRECT(M1054:N1054),#REF!),)</f>
        <v>#REF!</v>
      </c>
      <c r="N1054" s="1">
        <v>1</v>
      </c>
    </row>
    <row r="1055" spans="1:14" x14ac:dyDescent="0.55000000000000004">
      <c r="A1055" s="1" t="s">
        <v>1774</v>
      </c>
      <c r="B1055" s="2">
        <f>COUNTIF(A:A,A1055)-1</f>
        <v>2</v>
      </c>
      <c r="C1055" s="2">
        <f>COUNTIF(A$1:A1055,A1055)-1</f>
        <v>2</v>
      </c>
      <c r="D1055" s="2" t="str">
        <f>Argument!D1055</f>
        <v>v</v>
      </c>
      <c r="E1055" s="2" t="str">
        <f t="shared" si="32"/>
        <v/>
      </c>
      <c r="F1055" s="2" t="str">
        <f>IF(C1055=0,ISTEXT(FORMULA.CONVERT("="&amp;A1055&amp;"("&amp;REPLACE(REPT(",#ref!",B1055),1,1,"")&amp;")()",1)),"")</f>
        <v/>
      </c>
      <c r="G1055" s="2">
        <f>TYPE(PERCENTILE(IF(1,1),{1}))</f>
        <v>64</v>
      </c>
      <c r="H1055" s="2" t="str">
        <f t="shared" si="33"/>
        <v/>
      </c>
      <c r="I1055" s="2">
        <f>TYPE(PERCENTILE(IF(1,1),IF(1,1)))</f>
        <v>1</v>
      </c>
      <c r="J1055" s="2" t="str">
        <f>IF(C1055=0,COUNTIFS(A:A,A1055,D:D,"a"),"")</f>
        <v/>
      </c>
      <c r="K1055" s="2" t="e">
        <f>INDEX(+PERCENTILE(#REF!,K1055:L1055),)</f>
        <v>#REF!</v>
      </c>
      <c r="L1055" s="1">
        <v>1</v>
      </c>
      <c r="M1055" s="2" t="e">
        <f>INDEX(+PERCENTILE(#REF!,INDIRECT(M1055:N1055)),)</f>
        <v>#REF!</v>
      </c>
      <c r="N1055" s="1">
        <v>1</v>
      </c>
    </row>
    <row r="1056" spans="1:14" x14ac:dyDescent="0.55000000000000004">
      <c r="A1056" s="1" t="s">
        <v>1775</v>
      </c>
      <c r="B1056" s="2">
        <f>COUNTIF(A:A,A1056)-1</f>
        <v>3</v>
      </c>
      <c r="C1056" s="2">
        <f>COUNTIF(A$1:A1056,A1056)-1</f>
        <v>0</v>
      </c>
      <c r="D1056" s="2" t="str">
        <f>Argument!D1056</f>
        <v/>
      </c>
      <c r="E1056" s="2" t="str">
        <f t="shared" si="32"/>
        <v>v</v>
      </c>
      <c r="F1056" s="2" t="b">
        <f>IF(C1056=0,ISTEXT(FORMULA.CONVERT("="&amp;A1056&amp;"("&amp;REPLACE(REPT(",#ref!",B1056),1,1,"")&amp;")()",1)),"")</f>
        <v>0</v>
      </c>
      <c r="G1056" s="2"/>
      <c r="H1056" s="2" t="str">
        <f t="shared" si="33"/>
        <v/>
      </c>
      <c r="I1056" s="2">
        <f>TYPE(PERCENTRANK(IF(1,1),IF(1,1),IF(1,1)))</f>
        <v>1</v>
      </c>
      <c r="J1056" s="2">
        <f>IF(C1056=0,COUNTIFS(A:A,A1056,D:D,"a"),"")</f>
        <v>0</v>
      </c>
      <c r="K1056" s="2"/>
      <c r="M1056" s="2"/>
    </row>
    <row r="1057" spans="1:14" x14ac:dyDescent="0.55000000000000004">
      <c r="A1057" s="1" t="s">
        <v>1775</v>
      </c>
      <c r="B1057" s="2">
        <f>COUNTIF(A:A,A1057)-1</f>
        <v>3</v>
      </c>
      <c r="C1057" s="2">
        <f>COUNTIF(A$1:A1057,A1057)-1</f>
        <v>1</v>
      </c>
      <c r="D1057" s="2" t="str">
        <f>Argument!D1057</f>
        <v>var</v>
      </c>
      <c r="E1057" s="2" t="str">
        <f t="shared" si="32"/>
        <v/>
      </c>
      <c r="F1057" s="2" t="str">
        <f>IF(C1057=0,ISTEXT(FORMULA.CONVERT("="&amp;A1057&amp;"("&amp;REPLACE(REPT(",#ref!",B1057),1,1,"")&amp;")()",1)),"")</f>
        <v/>
      </c>
      <c r="G1057" s="2">
        <f>TYPE(PERCENTRANK({1},IF(1,1),IF(1,1)))</f>
        <v>1</v>
      </c>
      <c r="H1057" s="2" t="str">
        <f t="shared" si="33"/>
        <v/>
      </c>
      <c r="I1057" s="2">
        <f>TYPE(PERCENTRANK(IF(1,1),IF(1,1),IF(1,1)))</f>
        <v>1</v>
      </c>
      <c r="J1057" s="2" t="str">
        <f>IF(C1057=0,COUNTIFS(A:A,A1057,D:D,"a"),"")</f>
        <v/>
      </c>
      <c r="K1057" s="2" t="e">
        <f>INDEX(+PERCENTRANK(K1057:L1057,#REF!,#REF!),)</f>
        <v>#REF!</v>
      </c>
      <c r="L1057" s="1">
        <v>1</v>
      </c>
      <c r="M1057" s="2" t="e">
        <f>INDEX(+PERCENTRANK(INDIRECT(M1057:N1057),#REF!,#REF!),)</f>
        <v>#REF!</v>
      </c>
      <c r="N1057" s="1">
        <v>1</v>
      </c>
    </row>
    <row r="1058" spans="1:14" x14ac:dyDescent="0.55000000000000004">
      <c r="A1058" s="1" t="s">
        <v>1775</v>
      </c>
      <c r="B1058" s="2">
        <f>COUNTIF(A:A,A1058)-1</f>
        <v>3</v>
      </c>
      <c r="C1058" s="2">
        <f>COUNTIF(A$1:A1058,A1058)-1</f>
        <v>2</v>
      </c>
      <c r="D1058" s="2" t="str">
        <f>Argument!D1058</f>
        <v>v</v>
      </c>
      <c r="E1058" s="2" t="str">
        <f t="shared" si="32"/>
        <v/>
      </c>
      <c r="F1058" s="2" t="str">
        <f>IF(C1058=0,ISTEXT(FORMULA.CONVERT("="&amp;A1058&amp;"("&amp;REPLACE(REPT(",#ref!",B1058),1,1,"")&amp;")()",1)),"")</f>
        <v/>
      </c>
      <c r="G1058" s="2">
        <f>TYPE(PERCENTRANK(IF(1,1),{1},IF(1,1)))</f>
        <v>64</v>
      </c>
      <c r="H1058" s="2" t="str">
        <f t="shared" si="33"/>
        <v/>
      </c>
      <c r="I1058" s="2">
        <f>TYPE(PERCENTRANK(IF(1,1),IF(1,1),IF(1,1)))</f>
        <v>1</v>
      </c>
      <c r="J1058" s="2" t="str">
        <f>IF(C1058=0,COUNTIFS(A:A,A1058,D:D,"a"),"")</f>
        <v/>
      </c>
      <c r="K1058" s="2" t="e">
        <f>INDEX(+PERCENTRANK(#REF!,K1058:L1058,#REF!),)</f>
        <v>#REF!</v>
      </c>
      <c r="L1058" s="1">
        <v>1</v>
      </c>
      <c r="M1058" s="2" t="e">
        <f>INDEX(+PERCENTRANK(#REF!,INDIRECT(M1058:N1058),#REF!),)</f>
        <v>#REF!</v>
      </c>
      <c r="N1058" s="1">
        <v>1</v>
      </c>
    </row>
    <row r="1059" spans="1:14" x14ac:dyDescent="0.55000000000000004">
      <c r="A1059" s="1" t="s">
        <v>1775</v>
      </c>
      <c r="B1059" s="2">
        <f>COUNTIF(A:A,A1059)-1</f>
        <v>3</v>
      </c>
      <c r="C1059" s="2">
        <f>COUNTIF(A$1:A1059,A1059)-1</f>
        <v>3</v>
      </c>
      <c r="D1059" s="2" t="str">
        <f>Argument!D1059</f>
        <v>v</v>
      </c>
      <c r="E1059" s="2" t="str">
        <f t="shared" si="32"/>
        <v/>
      </c>
      <c r="F1059" s="2" t="str">
        <f>IF(C1059=0,ISTEXT(FORMULA.CONVERT("="&amp;A1059&amp;"("&amp;REPLACE(REPT(",#ref!",B1059),1,1,"")&amp;")()",1)),"")</f>
        <v/>
      </c>
      <c r="G1059" s="2">
        <f>TYPE(PERCENTRANK(IF(1,1),IF(1,1),{1}))</f>
        <v>64</v>
      </c>
      <c r="H1059" s="2" t="str">
        <f t="shared" si="33"/>
        <v/>
      </c>
      <c r="I1059" s="2">
        <f>TYPE(PERCENTRANK(IF(1,1),IF(1,1),IF(1,1)))</f>
        <v>1</v>
      </c>
      <c r="J1059" s="2" t="str">
        <f>IF(C1059=0,COUNTIFS(A:A,A1059,D:D,"a"),"")</f>
        <v/>
      </c>
      <c r="K1059" s="2" t="e">
        <f>INDEX(+PERCENTRANK(#REF!,#REF!,K1059:L1059),)</f>
        <v>#REF!</v>
      </c>
      <c r="L1059" s="1">
        <v>1</v>
      </c>
      <c r="M1059" s="2" t="e">
        <f>INDEX(+PERCENTRANK(#REF!,#REF!,INDIRECT(M1059:N1059)),)</f>
        <v>#REF!</v>
      </c>
      <c r="N1059" s="1">
        <v>1</v>
      </c>
    </row>
    <row r="1060" spans="1:14" x14ac:dyDescent="0.55000000000000004">
      <c r="A1060" s="1" t="s">
        <v>1776</v>
      </c>
      <c r="B1060" s="2">
        <f>COUNTIF(A:A,A1060)-1</f>
        <v>3</v>
      </c>
      <c r="C1060" s="2">
        <f>COUNTIF(A$1:A1060,A1060)-1</f>
        <v>0</v>
      </c>
      <c r="D1060" s="2" t="str">
        <f>Argument!D1060</f>
        <v/>
      </c>
      <c r="E1060" s="2" t="str">
        <f t="shared" si="32"/>
        <v>v</v>
      </c>
      <c r="F1060" s="2" t="b">
        <f>IF(C1060=0,ISTEXT(FORMULA.CONVERT("="&amp;A1060&amp;"("&amp;REPLACE(REPT(",#ref!",B1060),1,1,"")&amp;")()",1)),"")</f>
        <v>0</v>
      </c>
      <c r="G1060" s="2"/>
      <c r="H1060" s="2" t="str">
        <f t="shared" si="33"/>
        <v/>
      </c>
      <c r="I1060" s="2">
        <f>TYPE(MODE(IF(1,1),IF(1,1),IF(1,1)))</f>
        <v>1</v>
      </c>
      <c r="J1060" s="2">
        <f>IF(C1060=0,COUNTIFS(A:A,A1060,D:D,"a"),"")</f>
        <v>3</v>
      </c>
      <c r="K1060" s="2"/>
      <c r="M1060" s="2"/>
    </row>
    <row r="1061" spans="1:14" x14ac:dyDescent="0.55000000000000004">
      <c r="A1061" s="1" t="s">
        <v>1776</v>
      </c>
      <c r="B1061" s="2">
        <f>COUNTIF(A:A,A1061)-1</f>
        <v>3</v>
      </c>
      <c r="C1061" s="2">
        <f>COUNTIF(A$1:A1061,A1061)-1</f>
        <v>1</v>
      </c>
      <c r="D1061" s="2" t="str">
        <f>Argument!D1061</f>
        <v>a</v>
      </c>
      <c r="E1061" s="2" t="str">
        <f t="shared" si="32"/>
        <v/>
      </c>
      <c r="F1061" s="2" t="str">
        <f>IF(C1061=0,ISTEXT(FORMULA.CONVERT("="&amp;A1061&amp;"("&amp;REPLACE(REPT(",#ref!",B1061),1,1,"")&amp;")()",1)),"")</f>
        <v/>
      </c>
      <c r="G1061" s="2">
        <f>TYPE(MODE({1},IF(1,1),IF(1,1)))</f>
        <v>1</v>
      </c>
      <c r="H1061" s="2" t="str">
        <f t="shared" si="33"/>
        <v/>
      </c>
      <c r="I1061" s="2">
        <f>TYPE(MODE(IF(1,1),IF(1,1),IF(1,1)))</f>
        <v>1</v>
      </c>
      <c r="J1061" s="2" t="str">
        <f>IF(C1061=0,COUNTIFS(A:A,A1061,D:D,"a"),"")</f>
        <v/>
      </c>
      <c r="K1061" s="2" t="e">
        <f>INDEX(+MODE(K1061:L1061,#REF!,#REF!),)</f>
        <v>#REF!</v>
      </c>
      <c r="L1061" s="1">
        <v>1</v>
      </c>
      <c r="M1061" s="2" t="e">
        <f>INDEX(+MODE(INDIRECT(M1061:N1061),#REF!,#REF!),)</f>
        <v>#REF!</v>
      </c>
      <c r="N1061" s="1">
        <v>1</v>
      </c>
    </row>
    <row r="1062" spans="1:14" x14ac:dyDescent="0.55000000000000004">
      <c r="A1062" s="1" t="s">
        <v>1776</v>
      </c>
      <c r="B1062" s="2">
        <f>COUNTIF(A:A,A1062)-1</f>
        <v>3</v>
      </c>
      <c r="C1062" s="2">
        <f>COUNTIF(A$1:A1062,A1062)-1</f>
        <v>2</v>
      </c>
      <c r="D1062" s="2" t="str">
        <f>Argument!D1062</f>
        <v>a</v>
      </c>
      <c r="E1062" s="2" t="str">
        <f t="shared" si="32"/>
        <v/>
      </c>
      <c r="F1062" s="2" t="str">
        <f>IF(C1062=0,ISTEXT(FORMULA.CONVERT("="&amp;A1062&amp;"("&amp;REPLACE(REPT(",#ref!",B1062),1,1,"")&amp;")()",1)),"")</f>
        <v/>
      </c>
      <c r="G1062" s="2">
        <f>TYPE(MODE(IF(1,1),{1},IF(1,1)))</f>
        <v>1</v>
      </c>
      <c r="H1062" s="2" t="str">
        <f t="shared" si="33"/>
        <v/>
      </c>
      <c r="I1062" s="2">
        <f>TYPE(MODE(IF(1,1),IF(1,1),IF(1,1)))</f>
        <v>1</v>
      </c>
      <c r="J1062" s="2" t="str">
        <f>IF(C1062=0,COUNTIFS(A:A,A1062,D:D,"a"),"")</f>
        <v/>
      </c>
      <c r="K1062" s="2" t="e">
        <f>INDEX(+MODE(#REF!,K1062:L1062,#REF!),)</f>
        <v>#REF!</v>
      </c>
      <c r="L1062" s="1">
        <v>1</v>
      </c>
      <c r="M1062" s="2" t="e">
        <f>INDEX(+MODE(#REF!,INDIRECT(M1062:N1062),#REF!),)</f>
        <v>#REF!</v>
      </c>
      <c r="N1062" s="1">
        <v>1</v>
      </c>
    </row>
    <row r="1063" spans="1:14" x14ac:dyDescent="0.55000000000000004">
      <c r="A1063" s="1" t="s">
        <v>1776</v>
      </c>
      <c r="B1063" s="2">
        <f>COUNTIF(A:A,A1063)-1</f>
        <v>3</v>
      </c>
      <c r="C1063" s="2">
        <f>COUNTIF(A$1:A1063,A1063)-1</f>
        <v>3</v>
      </c>
      <c r="D1063" s="2" t="str">
        <f>Argument!D1063</f>
        <v>a</v>
      </c>
      <c r="E1063" s="2" t="str">
        <f t="shared" si="32"/>
        <v/>
      </c>
      <c r="F1063" s="2" t="str">
        <f>IF(C1063=0,ISTEXT(FORMULA.CONVERT("="&amp;A1063&amp;"("&amp;REPLACE(REPT(",#ref!",B1063),1,1,"")&amp;")()",1)),"")</f>
        <v/>
      </c>
      <c r="G1063" s="2">
        <f>TYPE(MODE(IF(1,1),IF(1,1),{1}))</f>
        <v>1</v>
      </c>
      <c r="H1063" s="2" t="str">
        <f t="shared" si="33"/>
        <v/>
      </c>
      <c r="I1063" s="2">
        <f>TYPE(MODE(IF(1,1),IF(1,1),IF(1,1)))</f>
        <v>1</v>
      </c>
      <c r="J1063" s="2" t="str">
        <f>IF(C1063=0,COUNTIFS(A:A,A1063,D:D,"a"),"")</f>
        <v/>
      </c>
      <c r="K1063" s="2" t="e">
        <f>INDEX(+MODE(#REF!,#REF!,K1063:L1063),)</f>
        <v>#REF!</v>
      </c>
      <c r="L1063" s="1">
        <v>1</v>
      </c>
      <c r="M1063" s="2" t="e">
        <f>INDEX(+MODE(#REF!,#REF!,INDIRECT(M1063:N1063)),)</f>
        <v>#REF!</v>
      </c>
      <c r="N1063" s="1">
        <v>1</v>
      </c>
    </row>
    <row r="1064" spans="1:14" x14ac:dyDescent="0.55000000000000004">
      <c r="A1064" s="1" t="s">
        <v>1777</v>
      </c>
      <c r="B1064" s="2">
        <f>COUNTIF(A:A,A1064)-1</f>
        <v>2</v>
      </c>
      <c r="C1064" s="2">
        <f>COUNTIF(A$1:A1064,A1064)-1</f>
        <v>0</v>
      </c>
      <c r="D1064" s="2" t="str">
        <f>Argument!D1064</f>
        <v/>
      </c>
      <c r="E1064" s="2" t="str">
        <f t="shared" si="32"/>
        <v>v</v>
      </c>
      <c r="F1064" s="2" t="b">
        <f>IF(C1064=0,ISTEXT(FORMULA.CONVERT("="&amp;A1064&amp;"("&amp;REPLACE(REPT(",#ref!",B1064),1,1,"")&amp;")()",1)),"")</f>
        <v>0</v>
      </c>
      <c r="G1064" s="2"/>
      <c r="H1064" s="2" t="str">
        <f t="shared" si="33"/>
        <v/>
      </c>
      <c r="I1064" s="2">
        <f>TYPE(TRIMMEAN(IF(1,1),IF(1,1)))</f>
        <v>16</v>
      </c>
      <c r="J1064" s="2">
        <f>IF(C1064=0,COUNTIFS(A:A,A1064,D:D,"a"),"")</f>
        <v>0</v>
      </c>
      <c r="K1064" s="2"/>
      <c r="M1064" s="2"/>
    </row>
    <row r="1065" spans="1:14" x14ac:dyDescent="0.55000000000000004">
      <c r="A1065" s="1" t="s">
        <v>1777</v>
      </c>
      <c r="B1065" s="2">
        <f>COUNTIF(A:A,A1065)-1</f>
        <v>2</v>
      </c>
      <c r="C1065" s="2">
        <f>COUNTIF(A$1:A1065,A1065)-1</f>
        <v>1</v>
      </c>
      <c r="D1065" s="2" t="str">
        <f>Argument!D1065</f>
        <v>var</v>
      </c>
      <c r="E1065" s="2" t="str">
        <f t="shared" si="32"/>
        <v/>
      </c>
      <c r="F1065" s="2" t="str">
        <f>IF(C1065=0,ISTEXT(FORMULA.CONVERT("="&amp;A1065&amp;"("&amp;REPLACE(REPT(",#ref!",B1065),1,1,"")&amp;")()",1)),"")</f>
        <v/>
      </c>
      <c r="G1065" s="2">
        <f>TYPE(TRIMMEAN({1},IF(1,1)))</f>
        <v>16</v>
      </c>
      <c r="H1065" s="2" t="str">
        <f t="shared" si="33"/>
        <v/>
      </c>
      <c r="I1065" s="2">
        <f>TYPE(TRIMMEAN(IF(1,1),IF(1,1)))</f>
        <v>16</v>
      </c>
      <c r="J1065" s="2" t="str">
        <f>IF(C1065=0,COUNTIFS(A:A,A1065,D:D,"a"),"")</f>
        <v/>
      </c>
      <c r="K1065" s="2" t="e">
        <f>INDEX(+TRIMMEAN(K1065:L1065,#REF!),)</f>
        <v>#REF!</v>
      </c>
      <c r="L1065" s="1">
        <v>1</v>
      </c>
      <c r="M1065" s="2" t="e">
        <f>INDEX(+TRIMMEAN(INDIRECT(M1065:N1065),#REF!),)</f>
        <v>#REF!</v>
      </c>
      <c r="N1065" s="1">
        <v>1</v>
      </c>
    </row>
    <row r="1066" spans="1:14" x14ac:dyDescent="0.55000000000000004">
      <c r="A1066" s="1" t="s">
        <v>1777</v>
      </c>
      <c r="B1066" s="2">
        <f>COUNTIF(A:A,A1066)-1</f>
        <v>2</v>
      </c>
      <c r="C1066" s="2">
        <f>COUNTIF(A$1:A1066,A1066)-1</f>
        <v>2</v>
      </c>
      <c r="D1066" s="2" t="str">
        <f>Argument!D1066</f>
        <v>v</v>
      </c>
      <c r="E1066" s="2" t="str">
        <f t="shared" si="32"/>
        <v/>
      </c>
      <c r="F1066" s="2" t="str">
        <f>IF(C1066=0,ISTEXT(FORMULA.CONVERT("="&amp;A1066&amp;"("&amp;REPLACE(REPT(",#ref!",B1066),1,1,"")&amp;")()",1)),"")</f>
        <v/>
      </c>
      <c r="G1066" s="2">
        <f>TYPE(TRIMMEAN(IF(1,1),{1}))</f>
        <v>64</v>
      </c>
      <c r="H1066" s="2" t="str">
        <f t="shared" si="33"/>
        <v/>
      </c>
      <c r="I1066" s="2">
        <f>TYPE(TRIMMEAN(IF(1,1),IF(1,1)))</f>
        <v>16</v>
      </c>
      <c r="J1066" s="2" t="str">
        <f>IF(C1066=0,COUNTIFS(A:A,A1066,D:D,"a"),"")</f>
        <v/>
      </c>
      <c r="K1066" s="2" t="e">
        <f>INDEX(+TRIMMEAN(#REF!,K1066:L1066),)</f>
        <v>#REF!</v>
      </c>
      <c r="L1066" s="1">
        <v>1</v>
      </c>
      <c r="M1066" s="2" t="e">
        <f>INDEX(+TRIMMEAN(#REF!,INDIRECT(M1066:N1066)),)</f>
        <v>#REF!</v>
      </c>
      <c r="N1066" s="1">
        <v>1</v>
      </c>
    </row>
    <row r="1067" spans="1:14" x14ac:dyDescent="0.55000000000000004">
      <c r="A1067" s="1" t="s">
        <v>1778</v>
      </c>
      <c r="B1067" s="2">
        <f>COUNTIF(A:A,A1067)-1</f>
        <v>2</v>
      </c>
      <c r="C1067" s="2">
        <f>COUNTIF(A$1:A1067,A1067)-1</f>
        <v>0</v>
      </c>
      <c r="D1067" s="2" t="str">
        <f>Argument!D1067</f>
        <v/>
      </c>
      <c r="E1067" s="2" t="str">
        <f t="shared" si="32"/>
        <v>v</v>
      </c>
      <c r="F1067" s="2" t="b">
        <f>IF(C1067=0,ISTEXT(FORMULA.CONVERT("="&amp;A1067&amp;"("&amp;REPLACE(REPT(",#ref!",B1067),1,1,"")&amp;")()",1)),"")</f>
        <v>0</v>
      </c>
      <c r="G1067" s="2"/>
      <c r="H1067" s="2" t="str">
        <f t="shared" si="33"/>
        <v/>
      </c>
      <c r="I1067" s="2">
        <f>TYPE(TINV(IF(1,1),IF(1,1)))</f>
        <v>1</v>
      </c>
      <c r="J1067" s="2">
        <f>IF(C1067=0,COUNTIFS(A:A,A1067,D:D,"a"),"")</f>
        <v>0</v>
      </c>
      <c r="K1067" s="2"/>
      <c r="M1067" s="2"/>
    </row>
    <row r="1068" spans="1:14" x14ac:dyDescent="0.55000000000000004">
      <c r="A1068" s="1" t="s">
        <v>1778</v>
      </c>
      <c r="B1068" s="2">
        <f>COUNTIF(A:A,A1068)-1</f>
        <v>2</v>
      </c>
      <c r="C1068" s="2">
        <f>COUNTIF(A$1:A1068,A1068)-1</f>
        <v>1</v>
      </c>
      <c r="D1068" s="2" t="str">
        <f>Argument!D1068</f>
        <v>v</v>
      </c>
      <c r="E1068" s="2" t="str">
        <f t="shared" si="32"/>
        <v/>
      </c>
      <c r="F1068" s="2" t="str">
        <f>IF(C1068=0,ISTEXT(FORMULA.CONVERT("="&amp;A1068&amp;"("&amp;REPLACE(REPT(",#ref!",B1068),1,1,"")&amp;")()",1)),"")</f>
        <v/>
      </c>
      <c r="G1068" s="2">
        <f>TYPE(TINV({1},IF(1,1)))</f>
        <v>64</v>
      </c>
      <c r="H1068" s="2" t="str">
        <f t="shared" si="33"/>
        <v/>
      </c>
      <c r="I1068" s="2">
        <f>TYPE(TINV(IF(1,1),IF(1,1)))</f>
        <v>1</v>
      </c>
      <c r="J1068" s="2" t="str">
        <f>IF(C1068=0,COUNTIFS(A:A,A1068,D:D,"a"),"")</f>
        <v/>
      </c>
      <c r="K1068" s="2" t="e">
        <f>INDEX(+TINV(K1068:L1068,#REF!),)</f>
        <v>#REF!</v>
      </c>
      <c r="L1068" s="1">
        <v>1</v>
      </c>
      <c r="M1068" s="2" t="e">
        <f>INDEX(+TINV(INDIRECT(M1068:N1068),#REF!),)</f>
        <v>#REF!</v>
      </c>
      <c r="N1068" s="1">
        <v>1</v>
      </c>
    </row>
    <row r="1069" spans="1:14" x14ac:dyDescent="0.55000000000000004">
      <c r="A1069" s="1" t="s">
        <v>1778</v>
      </c>
      <c r="B1069" s="2">
        <f>COUNTIF(A:A,A1069)-1</f>
        <v>2</v>
      </c>
      <c r="C1069" s="2">
        <f>COUNTIF(A$1:A1069,A1069)-1</f>
        <v>2</v>
      </c>
      <c r="D1069" s="2" t="str">
        <f>Argument!D1069</f>
        <v>v</v>
      </c>
      <c r="E1069" s="2" t="str">
        <f t="shared" si="32"/>
        <v/>
      </c>
      <c r="F1069" s="2" t="str">
        <f>IF(C1069=0,ISTEXT(FORMULA.CONVERT("="&amp;A1069&amp;"("&amp;REPLACE(REPT(",#ref!",B1069),1,1,"")&amp;")()",1)),"")</f>
        <v/>
      </c>
      <c r="G1069" s="2">
        <f>TYPE(TINV(IF(1,1),{1}))</f>
        <v>64</v>
      </c>
      <c r="H1069" s="2" t="str">
        <f t="shared" si="33"/>
        <v/>
      </c>
      <c r="I1069" s="2">
        <f>TYPE(TINV(IF(1,1),IF(1,1)))</f>
        <v>1</v>
      </c>
      <c r="J1069" s="2" t="str">
        <f>IF(C1069=0,COUNTIFS(A:A,A1069,D:D,"a"),"")</f>
        <v/>
      </c>
      <c r="K1069" s="2" t="e">
        <f>INDEX(+TINV(#REF!,K1069:L1069),)</f>
        <v>#REF!</v>
      </c>
      <c r="L1069" s="1">
        <v>1</v>
      </c>
      <c r="M1069" s="2" t="e">
        <f>INDEX(+TINV(#REF!,INDIRECT(M1069:N1069)),)</f>
        <v>#REF!</v>
      </c>
      <c r="N1069" s="1">
        <v>1</v>
      </c>
    </row>
    <row r="1070" spans="1:14" x14ac:dyDescent="0.55000000000000004">
      <c r="A1070" s="1" t="s">
        <v>1779</v>
      </c>
      <c r="B1070" s="2">
        <f>COUNTIF(A:A,A1070)-1</f>
        <v>4</v>
      </c>
      <c r="C1070" s="2">
        <f>COUNTIF(A$1:A1070,A1070)-1</f>
        <v>0</v>
      </c>
      <c r="D1070" s="2" t="str">
        <f>Argument!D1070</f>
        <v/>
      </c>
      <c r="E1070" s="2" t="str">
        <f t="shared" si="32"/>
        <v>v</v>
      </c>
      <c r="F1070" s="2" t="b">
        <f>IF(C1070=0,ISTEXT(FORMULA.CONVERT("="&amp;A1070&amp;"("&amp;REPLACE(REPT(",#ref!",B1070),1,1,"")&amp;")()",1)),"")</f>
        <v>0</v>
      </c>
      <c r="G1070" s="2"/>
      <c r="H1070" s="2" t="str">
        <f t="shared" si="33"/>
        <v/>
      </c>
      <c r="I1070" s="2">
        <f>TYPE(MOVIE.COMMAND(IF(1,1),IF(1,1),IF(1,1),IF(1,1)))</f>
        <v>16</v>
      </c>
      <c r="J1070" s="2">
        <f>IF(C1070=0,COUNTIFS(A:A,A1070,D:D,"a"),"")</f>
        <v>0</v>
      </c>
      <c r="K1070" s="2"/>
      <c r="M1070" s="2"/>
    </row>
    <row r="1071" spans="1:14" x14ac:dyDescent="0.55000000000000004">
      <c r="A1071" s="1" t="s">
        <v>1779</v>
      </c>
      <c r="B1071" s="2">
        <f>COUNTIF(A:A,A1071)-1</f>
        <v>4</v>
      </c>
      <c r="C1071" s="2">
        <f>COUNTIF(A$1:A1071,A1071)-1</f>
        <v>1</v>
      </c>
      <c r="D1071" s="2" t="str">
        <f>Argument!D1071</f>
        <v>v</v>
      </c>
      <c r="E1071" s="2" t="str">
        <f t="shared" si="32"/>
        <v/>
      </c>
      <c r="F1071" s="2" t="str">
        <f>IF(C1071=0,ISTEXT(FORMULA.CONVERT("="&amp;A1071&amp;"("&amp;REPLACE(REPT(",#ref!",B1071),1,1,"")&amp;")()",1)),"")</f>
        <v/>
      </c>
      <c r="G1071" s="2">
        <f>TYPE(MOVIE.COMMAND({1},IF(1,1),IF(1,1),IF(1,1)))</f>
        <v>64</v>
      </c>
      <c r="H1071" s="2" t="str">
        <f t="shared" si="33"/>
        <v/>
      </c>
      <c r="I1071" s="2">
        <f>TYPE(MOVIE.COMMAND(IF(1,1),IF(1,1),IF(1,1),IF(1,1)))</f>
        <v>16</v>
      </c>
      <c r="J1071" s="2" t="str">
        <f>IF(C1071=0,COUNTIFS(A:A,A1071,D:D,"a"),"")</f>
        <v/>
      </c>
      <c r="K1071" s="2" t="e">
        <f>INDEX(+MOVIE.COMMAND(K1071:L1071,#REF!,#REF!,#REF!),)</f>
        <v>#REF!</v>
      </c>
      <c r="L1071" s="1">
        <v>1</v>
      </c>
      <c r="M1071" s="2" t="e">
        <f>INDEX(+MOVIE.COMMAND(INDIRECT(M1071:N1071),#REF!,#REF!,#REF!),)</f>
        <v>#REF!</v>
      </c>
      <c r="N1071" s="1">
        <v>1</v>
      </c>
    </row>
    <row r="1072" spans="1:14" x14ac:dyDescent="0.55000000000000004">
      <c r="A1072" s="1" t="s">
        <v>1779</v>
      </c>
      <c r="B1072" s="2">
        <f>COUNTIF(A:A,A1072)-1</f>
        <v>4</v>
      </c>
      <c r="C1072" s="2">
        <f>COUNTIF(A$1:A1072,A1072)-1</f>
        <v>2</v>
      </c>
      <c r="D1072" s="2" t="str">
        <f>Argument!D1072</f>
        <v>v</v>
      </c>
      <c r="E1072" s="2" t="str">
        <f t="shared" si="32"/>
        <v/>
      </c>
      <c r="F1072" s="2" t="str">
        <f>IF(C1072=0,ISTEXT(FORMULA.CONVERT("="&amp;A1072&amp;"("&amp;REPLACE(REPT(",#ref!",B1072),1,1,"")&amp;")()",1)),"")</f>
        <v/>
      </c>
      <c r="G1072" s="2">
        <f>TYPE(MOVIE.COMMAND(IF(1,1),{1},IF(1,1),IF(1,1)))</f>
        <v>64</v>
      </c>
      <c r="H1072" s="2" t="str">
        <f t="shared" si="33"/>
        <v/>
      </c>
      <c r="I1072" s="2">
        <f>TYPE(MOVIE.COMMAND(IF(1,1),IF(1,1),IF(1,1),IF(1,1)))</f>
        <v>16</v>
      </c>
      <c r="J1072" s="2" t="str">
        <f>IF(C1072=0,COUNTIFS(A:A,A1072,D:D,"a"),"")</f>
        <v/>
      </c>
      <c r="K1072" s="2" t="e">
        <f>INDEX(+MOVIE.COMMAND(#REF!,K1072:L1072,#REF!,#REF!),)</f>
        <v>#REF!</v>
      </c>
      <c r="L1072" s="1">
        <v>1</v>
      </c>
      <c r="M1072" s="2" t="e">
        <f>INDEX(+MOVIE.COMMAND(#REF!,INDIRECT(M1072:N1072),#REF!,#REF!),)</f>
        <v>#REF!</v>
      </c>
      <c r="N1072" s="1">
        <v>1</v>
      </c>
    </row>
    <row r="1073" spans="1:14" x14ac:dyDescent="0.55000000000000004">
      <c r="A1073" s="1" t="s">
        <v>1779</v>
      </c>
      <c r="B1073" s="2">
        <f>COUNTIF(A:A,A1073)-1</f>
        <v>4</v>
      </c>
      <c r="C1073" s="2">
        <f>COUNTIF(A$1:A1073,A1073)-1</f>
        <v>3</v>
      </c>
      <c r="D1073" s="2" t="str">
        <f>Argument!D1073</f>
        <v>v</v>
      </c>
      <c r="E1073" s="2" t="str">
        <f t="shared" si="32"/>
        <v/>
      </c>
      <c r="F1073" s="2" t="str">
        <f>IF(C1073=0,ISTEXT(FORMULA.CONVERT("="&amp;A1073&amp;"("&amp;REPLACE(REPT(",#ref!",B1073),1,1,"")&amp;")()",1)),"")</f>
        <v/>
      </c>
      <c r="G1073" s="2">
        <f>TYPE(MOVIE.COMMAND(IF(1,1),IF(1,1),{1},IF(1,1)))</f>
        <v>64</v>
      </c>
      <c r="H1073" s="2" t="str">
        <f t="shared" si="33"/>
        <v/>
      </c>
      <c r="I1073" s="2">
        <f>TYPE(MOVIE.COMMAND(IF(1,1),IF(1,1),IF(1,1),IF(1,1)))</f>
        <v>16</v>
      </c>
      <c r="J1073" s="2" t="str">
        <f>IF(C1073=0,COUNTIFS(A:A,A1073,D:D,"a"),"")</f>
        <v/>
      </c>
      <c r="K1073" s="2" t="e">
        <f>INDEX(+MOVIE.COMMAND(#REF!,#REF!,K1073:L1073,#REF!),)</f>
        <v>#REF!</v>
      </c>
      <c r="L1073" s="1">
        <v>1</v>
      </c>
      <c r="M1073" s="2" t="e">
        <f>INDEX(+MOVIE.COMMAND(#REF!,#REF!,INDIRECT(M1073:N1073),#REF!),)</f>
        <v>#REF!</v>
      </c>
      <c r="N1073" s="1">
        <v>1</v>
      </c>
    </row>
    <row r="1074" spans="1:14" x14ac:dyDescent="0.55000000000000004">
      <c r="A1074" s="1" t="s">
        <v>1779</v>
      </c>
      <c r="B1074" s="2">
        <f>COUNTIF(A:A,A1074)-1</f>
        <v>4</v>
      </c>
      <c r="C1074" s="2">
        <f>COUNTIF(A$1:A1074,A1074)-1</f>
        <v>4</v>
      </c>
      <c r="D1074" s="2" t="str">
        <f>Argument!D1074</f>
        <v>v</v>
      </c>
      <c r="E1074" s="2" t="str">
        <f t="shared" si="32"/>
        <v/>
      </c>
      <c r="F1074" s="2" t="str">
        <f>IF(C1074=0,ISTEXT(FORMULA.CONVERT("="&amp;A1074&amp;"("&amp;REPLACE(REPT(",#ref!",B1074),1,1,"")&amp;")()",1)),"")</f>
        <v/>
      </c>
      <c r="G1074" s="2">
        <f>TYPE(MOVIE.COMMAND(IF(1,1),IF(1,1),IF(1,1),{1}))</f>
        <v>64</v>
      </c>
      <c r="H1074" s="2" t="str">
        <f t="shared" si="33"/>
        <v/>
      </c>
      <c r="I1074" s="2">
        <f>TYPE(MOVIE.COMMAND(IF(1,1),IF(1,1),IF(1,1),IF(1,1)))</f>
        <v>16</v>
      </c>
      <c r="J1074" s="2" t="str">
        <f>IF(C1074=0,COUNTIFS(A:A,A1074,D:D,"a"),"")</f>
        <v/>
      </c>
      <c r="K1074" s="2" t="e">
        <f>INDEX(+MOVIE.COMMAND(#REF!,#REF!,#REF!,K1074:L1074),)</f>
        <v>#REF!</v>
      </c>
      <c r="L1074" s="1">
        <v>1</v>
      </c>
      <c r="M1074" s="2" t="e">
        <f>INDEX(+MOVIE.COMMAND(#REF!,#REF!,#REF!,INDIRECT(M1074:N1074)),)</f>
        <v>#REF!</v>
      </c>
      <c r="N1074" s="1">
        <v>1</v>
      </c>
    </row>
    <row r="1075" spans="1:14" x14ac:dyDescent="0.55000000000000004">
      <c r="A1075" s="1" t="s">
        <v>1780</v>
      </c>
      <c r="B1075" s="2">
        <f>COUNTIF(A:A,A1075)-1</f>
        <v>3</v>
      </c>
      <c r="C1075" s="2">
        <f>COUNTIF(A$1:A1075,A1075)-1</f>
        <v>0</v>
      </c>
      <c r="D1075" s="2" t="str">
        <f>Argument!D1075</f>
        <v/>
      </c>
      <c r="E1075" s="2" t="str">
        <f t="shared" si="32"/>
        <v>v</v>
      </c>
      <c r="F1075" s="2" t="b">
        <f>IF(C1075=0,ISTEXT(FORMULA.CONVERT("="&amp;A1075&amp;"("&amp;REPLACE(REPT(",#ref!",B1075),1,1,"")&amp;")()",1)),"")</f>
        <v>0</v>
      </c>
      <c r="G1075" s="2"/>
      <c r="H1075" s="2" t="str">
        <f t="shared" si="33"/>
        <v/>
      </c>
      <c r="I1075" s="2">
        <f>TYPE(GET.MOVIE(IF(1,1),IF(1,1),IF(1,1)))</f>
        <v>16</v>
      </c>
      <c r="J1075" s="2">
        <f>IF(C1075=0,COUNTIFS(A:A,A1075,D:D,"a"),"")</f>
        <v>0</v>
      </c>
      <c r="K1075" s="2"/>
      <c r="M1075" s="2"/>
    </row>
    <row r="1076" spans="1:14" x14ac:dyDescent="0.55000000000000004">
      <c r="A1076" s="1" t="s">
        <v>1780</v>
      </c>
      <c r="B1076" s="2">
        <f>COUNTIF(A:A,A1076)-1</f>
        <v>3</v>
      </c>
      <c r="C1076" s="2">
        <f>COUNTIF(A$1:A1076,A1076)-1</f>
        <v>1</v>
      </c>
      <c r="D1076" s="2" t="str">
        <f>Argument!D1076</f>
        <v>v</v>
      </c>
      <c r="E1076" s="2" t="str">
        <f t="shared" si="32"/>
        <v/>
      </c>
      <c r="F1076" s="2" t="str">
        <f>IF(C1076=0,ISTEXT(FORMULA.CONVERT("="&amp;A1076&amp;"("&amp;REPLACE(REPT(",#ref!",B1076),1,1,"")&amp;")()",1)),"")</f>
        <v/>
      </c>
      <c r="G1076" s="2">
        <f>TYPE(GET.MOVIE({1},IF(1,1),IF(1,1)))</f>
        <v>64</v>
      </c>
      <c r="H1076" s="2" t="str">
        <f t="shared" si="33"/>
        <v/>
      </c>
      <c r="I1076" s="2">
        <f>TYPE(GET.MOVIE(IF(1,1),IF(1,1),IF(1,1)))</f>
        <v>16</v>
      </c>
      <c r="J1076" s="2" t="str">
        <f>IF(C1076=0,COUNTIFS(A:A,A1076,D:D,"a"),"")</f>
        <v/>
      </c>
      <c r="K1076" s="2" t="e">
        <f>INDEX(+GET.MOVIE(K1076:L1076,#REF!,#REF!),)</f>
        <v>#REF!</v>
      </c>
      <c r="L1076" s="1">
        <v>1</v>
      </c>
      <c r="M1076" s="2" t="e">
        <f>INDEX(+GET.MOVIE(INDIRECT(M1076:N1076),#REF!,#REF!),)</f>
        <v>#REF!</v>
      </c>
      <c r="N1076" s="1">
        <v>1</v>
      </c>
    </row>
    <row r="1077" spans="1:14" x14ac:dyDescent="0.55000000000000004">
      <c r="A1077" s="1" t="s">
        <v>1780</v>
      </c>
      <c r="B1077" s="2">
        <f>COUNTIF(A:A,A1077)-1</f>
        <v>3</v>
      </c>
      <c r="C1077" s="2">
        <f>COUNTIF(A$1:A1077,A1077)-1</f>
        <v>2</v>
      </c>
      <c r="D1077" s="2" t="str">
        <f>Argument!D1077</f>
        <v>v</v>
      </c>
      <c r="E1077" s="2" t="str">
        <f t="shared" si="32"/>
        <v/>
      </c>
      <c r="F1077" s="2" t="str">
        <f>IF(C1077=0,ISTEXT(FORMULA.CONVERT("="&amp;A1077&amp;"("&amp;REPLACE(REPT(",#ref!",B1077),1,1,"")&amp;")()",1)),"")</f>
        <v/>
      </c>
      <c r="G1077" s="2">
        <f>TYPE(GET.MOVIE(IF(1,1),{1},IF(1,1)))</f>
        <v>64</v>
      </c>
      <c r="H1077" s="2" t="str">
        <f t="shared" si="33"/>
        <v/>
      </c>
      <c r="I1077" s="2">
        <f>TYPE(GET.MOVIE(IF(1,1),IF(1,1),IF(1,1)))</f>
        <v>16</v>
      </c>
      <c r="J1077" s="2" t="str">
        <f>IF(C1077=0,COUNTIFS(A:A,A1077,D:D,"a"),"")</f>
        <v/>
      </c>
      <c r="K1077" s="2" t="e">
        <f>INDEX(+GET.MOVIE(#REF!,K1077:L1077,#REF!),)</f>
        <v>#REF!</v>
      </c>
      <c r="L1077" s="1">
        <v>1</v>
      </c>
      <c r="M1077" s="2" t="e">
        <f>INDEX(+GET.MOVIE(#REF!,INDIRECT(M1077:N1077),#REF!),)</f>
        <v>#REF!</v>
      </c>
      <c r="N1077" s="1">
        <v>1</v>
      </c>
    </row>
    <row r="1078" spans="1:14" x14ac:dyDescent="0.55000000000000004">
      <c r="A1078" s="1" t="s">
        <v>1780</v>
      </c>
      <c r="B1078" s="2">
        <f>COUNTIF(A:A,A1078)-1</f>
        <v>3</v>
      </c>
      <c r="C1078" s="2">
        <f>COUNTIF(A$1:A1078,A1078)-1</f>
        <v>3</v>
      </c>
      <c r="D1078" s="2" t="str">
        <f>Argument!D1078</f>
        <v>v</v>
      </c>
      <c r="E1078" s="2" t="str">
        <f t="shared" si="32"/>
        <v/>
      </c>
      <c r="F1078" s="2" t="str">
        <f>IF(C1078=0,ISTEXT(FORMULA.CONVERT("="&amp;A1078&amp;"("&amp;REPLACE(REPT(",#ref!",B1078),1,1,"")&amp;")()",1)),"")</f>
        <v/>
      </c>
      <c r="G1078" s="2">
        <f>TYPE(GET.MOVIE(IF(1,1),IF(1,1),{1}))</f>
        <v>64</v>
      </c>
      <c r="H1078" s="2" t="str">
        <f t="shared" si="33"/>
        <v/>
      </c>
      <c r="I1078" s="2">
        <f>TYPE(GET.MOVIE(IF(1,1),IF(1,1),IF(1,1)))</f>
        <v>16</v>
      </c>
      <c r="J1078" s="2" t="str">
        <f>IF(C1078=0,COUNTIFS(A:A,A1078,D:D,"a"),"")</f>
        <v/>
      </c>
      <c r="K1078" s="2" t="e">
        <f>INDEX(+GET.MOVIE(#REF!,#REF!,K1078:L1078),)</f>
        <v>#REF!</v>
      </c>
      <c r="L1078" s="1">
        <v>1</v>
      </c>
      <c r="M1078" s="2" t="e">
        <f>INDEX(+GET.MOVIE(#REF!,#REF!,INDIRECT(M1078:N1078)),)</f>
        <v>#REF!</v>
      </c>
      <c r="N1078" s="1">
        <v>1</v>
      </c>
    </row>
    <row r="1079" spans="1:14" x14ac:dyDescent="0.55000000000000004">
      <c r="A1079" s="1" t="s">
        <v>1781</v>
      </c>
      <c r="B1079" s="2">
        <f>COUNTIF(A:A,A1079)-1</f>
        <v>3</v>
      </c>
      <c r="C1079" s="2">
        <f>COUNTIF(A$1:A1079,A1079)-1</f>
        <v>0</v>
      </c>
      <c r="D1079" s="2" t="str">
        <f>Argument!D1079</f>
        <v/>
      </c>
      <c r="E1079" s="2" t="str">
        <f t="shared" si="32"/>
        <v>v</v>
      </c>
      <c r="F1079" s="2" t="b">
        <f>IF(C1079=0,ISTEXT(FORMULA.CONVERT("="&amp;A1079&amp;"("&amp;REPLACE(REPT(",#ref!",B1079),1,1,"")&amp;")()",1)),"")</f>
        <v>0</v>
      </c>
      <c r="G1079" s="2"/>
      <c r="H1079" s="2" t="str">
        <f t="shared" si="33"/>
        <v/>
      </c>
      <c r="I1079" s="2">
        <f>TYPE(CONCATENATE(IF(1,1),IF(1,1),IF(1,1)))</f>
        <v>2</v>
      </c>
      <c r="J1079" s="2">
        <f>IF(C1079=0,COUNTIFS(A:A,A1079,D:D,"a"),"")</f>
        <v>0</v>
      </c>
      <c r="K1079" s="2"/>
      <c r="M1079" s="2"/>
    </row>
    <row r="1080" spans="1:14" x14ac:dyDescent="0.55000000000000004">
      <c r="A1080" s="1" t="s">
        <v>1781</v>
      </c>
      <c r="B1080" s="2">
        <f>COUNTIF(A:A,A1080)-1</f>
        <v>3</v>
      </c>
      <c r="C1080" s="2">
        <f>COUNTIF(A$1:A1080,A1080)-1</f>
        <v>1</v>
      </c>
      <c r="D1080" s="2" t="str">
        <f>Argument!D1080</f>
        <v>v</v>
      </c>
      <c r="E1080" s="2" t="str">
        <f t="shared" si="32"/>
        <v/>
      </c>
      <c r="F1080" s="2" t="str">
        <f>IF(C1080=0,ISTEXT(FORMULA.CONVERT("="&amp;A1080&amp;"("&amp;REPLACE(REPT(",#ref!",B1080),1,1,"")&amp;")()",1)),"")</f>
        <v/>
      </c>
      <c r="G1080" s="2">
        <f>TYPE(CONCATENATE({1},IF(1,1),IF(1,1)))</f>
        <v>64</v>
      </c>
      <c r="H1080" s="2" t="str">
        <f t="shared" si="33"/>
        <v/>
      </c>
      <c r="I1080" s="2">
        <f>TYPE(CONCATENATE(IF(1,1),IF(1,1),IF(1,1)))</f>
        <v>2</v>
      </c>
      <c r="J1080" s="2" t="str">
        <f>IF(C1080=0,COUNTIFS(A:A,A1080,D:D,"a"),"")</f>
        <v/>
      </c>
      <c r="K1080" s="2" t="e">
        <f>INDEX(+CONCATENATE(K1080:L1080,#REF!,#REF!),)</f>
        <v>#REF!</v>
      </c>
      <c r="L1080" s="1">
        <v>1</v>
      </c>
      <c r="M1080" s="2" t="e">
        <f>INDEX(+CONCATENATE(INDIRECT(M1080:N1080),#REF!,#REF!),)</f>
        <v>#REF!</v>
      </c>
      <c r="N1080" s="1">
        <v>1</v>
      </c>
    </row>
    <row r="1081" spans="1:14" x14ac:dyDescent="0.55000000000000004">
      <c r="A1081" s="1" t="s">
        <v>1781</v>
      </c>
      <c r="B1081" s="2">
        <f>COUNTIF(A:A,A1081)-1</f>
        <v>3</v>
      </c>
      <c r="C1081" s="2">
        <f>COUNTIF(A$1:A1081,A1081)-1</f>
        <v>2</v>
      </c>
      <c r="D1081" s="2" t="str">
        <f>Argument!D1081</f>
        <v>v</v>
      </c>
      <c r="E1081" s="2" t="str">
        <f t="shared" si="32"/>
        <v/>
      </c>
      <c r="F1081" s="2" t="str">
        <f>IF(C1081=0,ISTEXT(FORMULA.CONVERT("="&amp;A1081&amp;"("&amp;REPLACE(REPT(",#ref!",B1081),1,1,"")&amp;")()",1)),"")</f>
        <v/>
      </c>
      <c r="G1081" s="2">
        <f>TYPE(CONCATENATE(IF(1,1),{1},IF(1,1)))</f>
        <v>64</v>
      </c>
      <c r="H1081" s="2" t="str">
        <f t="shared" si="33"/>
        <v/>
      </c>
      <c r="I1081" s="2">
        <f>TYPE(CONCATENATE(IF(1,1),IF(1,1),IF(1,1)))</f>
        <v>2</v>
      </c>
      <c r="J1081" s="2" t="str">
        <f>IF(C1081=0,COUNTIFS(A:A,A1081,D:D,"a"),"")</f>
        <v/>
      </c>
      <c r="K1081" s="2" t="e">
        <f>INDEX(+CONCATENATE(#REF!,K1081:L1081,#REF!),)</f>
        <v>#REF!</v>
      </c>
      <c r="L1081" s="1">
        <v>1</v>
      </c>
      <c r="M1081" s="2" t="e">
        <f>INDEX(+CONCATENATE(#REF!,INDIRECT(M1081:N1081),#REF!),)</f>
        <v>#REF!</v>
      </c>
      <c r="N1081" s="1">
        <v>1</v>
      </c>
    </row>
    <row r="1082" spans="1:14" x14ac:dyDescent="0.55000000000000004">
      <c r="A1082" s="1" t="s">
        <v>1781</v>
      </c>
      <c r="B1082" s="2">
        <f>COUNTIF(A:A,A1082)-1</f>
        <v>3</v>
      </c>
      <c r="C1082" s="2">
        <f>COUNTIF(A$1:A1082,A1082)-1</f>
        <v>3</v>
      </c>
      <c r="D1082" s="2" t="str">
        <f>Argument!D1082</f>
        <v>v</v>
      </c>
      <c r="E1082" s="2" t="str">
        <f t="shared" si="32"/>
        <v/>
      </c>
      <c r="F1082" s="2" t="str">
        <f>IF(C1082=0,ISTEXT(FORMULA.CONVERT("="&amp;A1082&amp;"("&amp;REPLACE(REPT(",#ref!",B1082),1,1,"")&amp;")()",1)),"")</f>
        <v/>
      </c>
      <c r="G1082" s="2">
        <f>TYPE(CONCATENATE(IF(1,1),IF(1,1),{1}))</f>
        <v>64</v>
      </c>
      <c r="H1082" s="2" t="str">
        <f t="shared" si="33"/>
        <v/>
      </c>
      <c r="I1082" s="2">
        <f>TYPE(CONCATENATE(IF(1,1),IF(1,1),IF(1,1)))</f>
        <v>2</v>
      </c>
      <c r="J1082" s="2" t="str">
        <f>IF(C1082=0,COUNTIFS(A:A,A1082,D:D,"a"),"")</f>
        <v/>
      </c>
      <c r="K1082" s="2" t="e">
        <f>INDEX(+CONCATENATE(#REF!,#REF!,K1082:L1082),)</f>
        <v>#REF!</v>
      </c>
      <c r="L1082" s="1">
        <v>1</v>
      </c>
      <c r="M1082" s="2" t="e">
        <f>INDEX(+CONCATENATE(#REF!,#REF!,INDIRECT(M1082:N1082)),)</f>
        <v>#REF!</v>
      </c>
      <c r="N1082" s="1">
        <v>1</v>
      </c>
    </row>
    <row r="1083" spans="1:14" x14ac:dyDescent="0.55000000000000004">
      <c r="A1083" s="1" t="s">
        <v>1782</v>
      </c>
      <c r="B1083" s="2">
        <f>COUNTIF(A:A,A1083)-1</f>
        <v>2</v>
      </c>
      <c r="C1083" s="2">
        <f>COUNTIF(A$1:A1083,A1083)-1</f>
        <v>0</v>
      </c>
      <c r="D1083" s="2" t="str">
        <f>Argument!D1083</f>
        <v/>
      </c>
      <c r="E1083" s="2" t="str">
        <f t="shared" si="32"/>
        <v>v</v>
      </c>
      <c r="F1083" s="2" t="b">
        <f>IF(C1083=0,ISTEXT(FORMULA.CONVERT("="&amp;A1083&amp;"("&amp;REPLACE(REPT(",#ref!",B1083),1,1,"")&amp;")()",1)),"")</f>
        <v>0</v>
      </c>
      <c r="G1083" s="2"/>
      <c r="H1083" s="2" t="str">
        <f t="shared" si="33"/>
        <v/>
      </c>
      <c r="I1083" s="2">
        <f>TYPE(POWER(IF(1,1),IF(1,1)))</f>
        <v>1</v>
      </c>
      <c r="J1083" s="2">
        <f>IF(C1083=0,COUNTIFS(A:A,A1083,D:D,"a"),"")</f>
        <v>0</v>
      </c>
      <c r="K1083" s="2"/>
      <c r="M1083" s="2"/>
    </row>
    <row r="1084" spans="1:14" x14ac:dyDescent="0.55000000000000004">
      <c r="A1084" s="1" t="s">
        <v>1782</v>
      </c>
      <c r="B1084" s="2">
        <f>COUNTIF(A:A,A1084)-1</f>
        <v>2</v>
      </c>
      <c r="C1084" s="2">
        <f>COUNTIF(A$1:A1084,A1084)-1</f>
        <v>1</v>
      </c>
      <c r="D1084" s="2" t="str">
        <f>Argument!D1084</f>
        <v>v</v>
      </c>
      <c r="E1084" s="2" t="str">
        <f t="shared" si="32"/>
        <v/>
      </c>
      <c r="F1084" s="2" t="str">
        <f>IF(C1084=0,ISTEXT(FORMULA.CONVERT("="&amp;A1084&amp;"("&amp;REPLACE(REPT(",#ref!",B1084),1,1,"")&amp;")()",1)),"")</f>
        <v/>
      </c>
      <c r="G1084" s="2">
        <f>TYPE(POWER({1},IF(1,1)))</f>
        <v>64</v>
      </c>
      <c r="H1084" s="2" t="str">
        <f t="shared" si="33"/>
        <v/>
      </c>
      <c r="I1084" s="2">
        <f>TYPE(POWER(IF(1,1),IF(1,1)))</f>
        <v>1</v>
      </c>
      <c r="J1084" s="2" t="str">
        <f>IF(C1084=0,COUNTIFS(A:A,A1084,D:D,"a"),"")</f>
        <v/>
      </c>
      <c r="K1084" s="2" t="e">
        <f>INDEX(+POWER(K1084:L1084,#REF!),)</f>
        <v>#REF!</v>
      </c>
      <c r="L1084" s="1">
        <v>1</v>
      </c>
      <c r="M1084" s="2" t="e">
        <f>INDEX(+POWER(INDIRECT(M1084:N1084),#REF!),)</f>
        <v>#REF!</v>
      </c>
      <c r="N1084" s="1">
        <v>1</v>
      </c>
    </row>
    <row r="1085" spans="1:14" x14ac:dyDescent="0.55000000000000004">
      <c r="A1085" s="1" t="s">
        <v>1782</v>
      </c>
      <c r="B1085" s="2">
        <f>COUNTIF(A:A,A1085)-1</f>
        <v>2</v>
      </c>
      <c r="C1085" s="2">
        <f>COUNTIF(A$1:A1085,A1085)-1</f>
        <v>2</v>
      </c>
      <c r="D1085" s="2" t="str">
        <f>Argument!D1085</f>
        <v>v</v>
      </c>
      <c r="E1085" s="2" t="str">
        <f t="shared" si="32"/>
        <v/>
      </c>
      <c r="F1085" s="2" t="str">
        <f>IF(C1085=0,ISTEXT(FORMULA.CONVERT("="&amp;A1085&amp;"("&amp;REPLACE(REPT(",#ref!",B1085),1,1,"")&amp;")()",1)),"")</f>
        <v/>
      </c>
      <c r="G1085" s="2">
        <f>TYPE(POWER(IF(1,1),{1}))</f>
        <v>64</v>
      </c>
      <c r="H1085" s="2" t="str">
        <f t="shared" si="33"/>
        <v/>
      </c>
      <c r="I1085" s="2">
        <f>TYPE(POWER(IF(1,1),IF(1,1)))</f>
        <v>1</v>
      </c>
      <c r="J1085" s="2" t="str">
        <f>IF(C1085=0,COUNTIFS(A:A,A1085,D:D,"a"),"")</f>
        <v/>
      </c>
      <c r="K1085" s="2" t="e">
        <f>INDEX(+POWER(#REF!,K1085:L1085),)</f>
        <v>#REF!</v>
      </c>
      <c r="L1085" s="1">
        <v>1</v>
      </c>
      <c r="M1085" s="2" t="e">
        <f>INDEX(+POWER(#REF!,INDIRECT(M1085:N1085)),)</f>
        <v>#REF!</v>
      </c>
      <c r="N1085" s="1">
        <v>1</v>
      </c>
    </row>
    <row r="1086" spans="1:14" x14ac:dyDescent="0.55000000000000004">
      <c r="A1086" s="1" t="s">
        <v>1783</v>
      </c>
      <c r="B1086" s="2">
        <f>COUNTIF(A:A,A1086)-1</f>
        <v>9</v>
      </c>
      <c r="C1086" s="2">
        <f>COUNTIF(A$1:A1086,A1086)-1</f>
        <v>0</v>
      </c>
      <c r="D1086" s="2" t="str">
        <f>Argument!D1086</f>
        <v/>
      </c>
      <c r="E1086" s="2" t="str">
        <f t="shared" si="32"/>
        <v>v</v>
      </c>
      <c r="F1086" s="2" t="b">
        <f>IF(C1086=0,ISTEXT(FORMULA.CONVERT("="&amp;A1086&amp;"("&amp;REPLACE(REPT(",#ref!",B1086),1,1,"")&amp;")()",1)),"")</f>
        <v>0</v>
      </c>
      <c r="G1086" s="2"/>
      <c r="H1086" s="2" t="str">
        <f t="shared" si="33"/>
        <v/>
      </c>
      <c r="I1086" s="2">
        <f>TYPE(PIVOT.ADD.DATA(IF(1,1),IF(1,1),IF(1,1),IF(1,1),IF(1,1),IF(1,1),IF(1,1),IF(1,1),IF(1,1)))</f>
        <v>16</v>
      </c>
      <c r="J1086" s="2">
        <f>IF(C1086=0,COUNTIFS(A:A,A1086,D:D,"a"),"")</f>
        <v>0</v>
      </c>
      <c r="K1086" s="2"/>
      <c r="M1086" s="2"/>
    </row>
    <row r="1087" spans="1:14" x14ac:dyDescent="0.55000000000000004">
      <c r="A1087" s="1" t="s">
        <v>1783</v>
      </c>
      <c r="B1087" s="2">
        <f>COUNTIF(A:A,A1087)-1</f>
        <v>9</v>
      </c>
      <c r="C1087" s="2">
        <f>COUNTIF(A$1:A1087,A1087)-1</f>
        <v>1</v>
      </c>
      <c r="D1087" s="2" t="str">
        <f>Argument!D1087</f>
        <v>v</v>
      </c>
      <c r="E1087" s="2" t="str">
        <f t="shared" si="32"/>
        <v/>
      </c>
      <c r="F1087" s="2" t="str">
        <f>IF(C1087=0,ISTEXT(FORMULA.CONVERT("="&amp;A1087&amp;"("&amp;REPLACE(REPT(",#ref!",B1087),1,1,"")&amp;")()",1)),"")</f>
        <v/>
      </c>
      <c r="G1087" s="2">
        <f>TYPE(PIVOT.ADD.DATA({1},IF(1,1),IF(1,1),IF(1,1),IF(1,1),IF(1,1),IF(1,1),IF(1,1),IF(1,1)))</f>
        <v>64</v>
      </c>
      <c r="H1087" s="2" t="str">
        <f t="shared" si="33"/>
        <v/>
      </c>
      <c r="I1087" s="2">
        <f>TYPE(PIVOT.ADD.DATA(IF(1,1),IF(1,1),IF(1,1),IF(1,1),IF(1,1),IF(1,1),IF(1,1),IF(1,1),IF(1,1)))</f>
        <v>16</v>
      </c>
      <c r="J1087" s="2" t="str">
        <f>IF(C1087=0,COUNTIFS(A:A,A1087,D:D,"a"),"")</f>
        <v/>
      </c>
      <c r="K1087" s="2" t="e">
        <f>INDEX(+PIVOT.ADD.DATA(K1087:L1087,#REF!,#REF!,#REF!,#REF!,#REF!,#REF!,#REF!,#REF!),)</f>
        <v>#REF!</v>
      </c>
      <c r="L1087" s="1">
        <v>1</v>
      </c>
      <c r="M1087" s="2" t="e">
        <f>INDEX(+PIVOT.ADD.DATA(INDIRECT(M1087:N1087),#REF!,#REF!,#REF!,#REF!,#REF!,#REF!,#REF!,#REF!),)</f>
        <v>#REF!</v>
      </c>
      <c r="N1087" s="1">
        <v>1</v>
      </c>
    </row>
    <row r="1088" spans="1:14" x14ac:dyDescent="0.55000000000000004">
      <c r="A1088" s="1" t="s">
        <v>1783</v>
      </c>
      <c r="B1088" s="2">
        <f>COUNTIF(A:A,A1088)-1</f>
        <v>9</v>
      </c>
      <c r="C1088" s="2">
        <f>COUNTIF(A$1:A1088,A1088)-1</f>
        <v>2</v>
      </c>
      <c r="D1088" s="2" t="str">
        <f>Argument!D1088</f>
        <v>v</v>
      </c>
      <c r="E1088" s="2" t="str">
        <f t="shared" si="32"/>
        <v/>
      </c>
      <c r="F1088" s="2" t="str">
        <f>IF(C1088=0,ISTEXT(FORMULA.CONVERT("="&amp;A1088&amp;"("&amp;REPLACE(REPT(",#ref!",B1088),1,1,"")&amp;")()",1)),"")</f>
        <v/>
      </c>
      <c r="G1088" s="2">
        <f>TYPE(PIVOT.ADD.DATA(IF(1,1),{1},IF(1,1),IF(1,1),IF(1,1),IF(1,1),IF(1,1),IF(1,1),IF(1,1)))</f>
        <v>64</v>
      </c>
      <c r="H1088" s="2" t="str">
        <f t="shared" si="33"/>
        <v/>
      </c>
      <c r="I1088" s="2">
        <f>TYPE(PIVOT.ADD.DATA(IF(1,1),IF(1,1),IF(1,1),IF(1,1),IF(1,1),IF(1,1),IF(1,1),IF(1,1),IF(1,1)))</f>
        <v>16</v>
      </c>
      <c r="J1088" s="2" t="str">
        <f>IF(C1088=0,COUNTIFS(A:A,A1088,D:D,"a"),"")</f>
        <v/>
      </c>
      <c r="K1088" s="2" t="e">
        <f>INDEX(+PIVOT.ADD.DATA(#REF!,K1088:L1088,#REF!,#REF!,#REF!,#REF!,#REF!,#REF!,#REF!),)</f>
        <v>#REF!</v>
      </c>
      <c r="L1088" s="1">
        <v>1</v>
      </c>
      <c r="M1088" s="2" t="e">
        <f>INDEX(+PIVOT.ADD.DATA(#REF!,INDIRECT(M1088:N1088),#REF!,#REF!,#REF!,#REF!,#REF!,#REF!,#REF!),)</f>
        <v>#REF!</v>
      </c>
      <c r="N1088" s="1">
        <v>1</v>
      </c>
    </row>
    <row r="1089" spans="1:14" x14ac:dyDescent="0.55000000000000004">
      <c r="A1089" s="1" t="s">
        <v>1783</v>
      </c>
      <c r="B1089" s="2">
        <f>COUNTIF(A:A,A1089)-1</f>
        <v>9</v>
      </c>
      <c r="C1089" s="2">
        <f>COUNTIF(A$1:A1089,A1089)-1</f>
        <v>3</v>
      </c>
      <c r="D1089" s="2" t="str">
        <f>Argument!D1089</f>
        <v>v</v>
      </c>
      <c r="E1089" s="2" t="str">
        <f t="shared" si="32"/>
        <v/>
      </c>
      <c r="F1089" s="2" t="str">
        <f>IF(C1089=0,ISTEXT(FORMULA.CONVERT("="&amp;A1089&amp;"("&amp;REPLACE(REPT(",#ref!",B1089),1,1,"")&amp;")()",1)),"")</f>
        <v/>
      </c>
      <c r="G1089" s="2">
        <f>TYPE(PIVOT.ADD.DATA(IF(1,1),IF(1,1),{1},IF(1,1),IF(1,1),IF(1,1),IF(1,1),IF(1,1),IF(1,1)))</f>
        <v>64</v>
      </c>
      <c r="H1089" s="2" t="str">
        <f t="shared" si="33"/>
        <v/>
      </c>
      <c r="I1089" s="2">
        <f>TYPE(PIVOT.ADD.DATA(IF(1,1),IF(1,1),IF(1,1),IF(1,1),IF(1,1),IF(1,1),IF(1,1),IF(1,1),IF(1,1)))</f>
        <v>16</v>
      </c>
      <c r="J1089" s="2" t="str">
        <f>IF(C1089=0,COUNTIFS(A:A,A1089,D:D,"a"),"")</f>
        <v/>
      </c>
      <c r="K1089" s="2" t="e">
        <f>INDEX(+PIVOT.ADD.DATA(#REF!,#REF!,K1089:L1089,#REF!,#REF!,#REF!,#REF!,#REF!,#REF!),)</f>
        <v>#REF!</v>
      </c>
      <c r="L1089" s="1">
        <v>1</v>
      </c>
      <c r="M1089" s="2" t="e">
        <f>INDEX(+PIVOT.ADD.DATA(#REF!,#REF!,INDIRECT(M1089:N1089),#REF!,#REF!,#REF!,#REF!,#REF!,#REF!),)</f>
        <v>#REF!</v>
      </c>
      <c r="N1089" s="1">
        <v>1</v>
      </c>
    </row>
    <row r="1090" spans="1:14" x14ac:dyDescent="0.55000000000000004">
      <c r="A1090" s="1" t="s">
        <v>1783</v>
      </c>
      <c r="B1090" s="2">
        <f>COUNTIF(A:A,A1090)-1</f>
        <v>9</v>
      </c>
      <c r="C1090" s="2">
        <f>COUNTIF(A$1:A1090,A1090)-1</f>
        <v>4</v>
      </c>
      <c r="D1090" s="2" t="str">
        <f>Argument!D1090</f>
        <v>v</v>
      </c>
      <c r="E1090" s="2" t="str">
        <f t="shared" ref="E1090:E1153" si="34">IF(C1090=0,IF(SUMIFS(H:H,A:A,A1090),IF(COUNTIFS(A:A,A1090,G:G,64),,"v")&amp;IF(F1090,"ar","a"),IF(F1090,"r","v")),"")</f>
        <v/>
      </c>
      <c r="F1090" s="2" t="str">
        <f>IF(C1090=0,ISTEXT(FORMULA.CONVERT("="&amp;A1090&amp;"("&amp;REPLACE(REPT(",#ref!",B1090),1,1,"")&amp;")()",1)),"")</f>
        <v/>
      </c>
      <c r="G1090" s="2">
        <f>TYPE(PIVOT.ADD.DATA(IF(1,1),IF(1,1),IF(1,1),{1},IF(1,1),IF(1,1),IF(1,1),IF(1,1),IF(1,1)))</f>
        <v>64</v>
      </c>
      <c r="H1090" s="2" t="str">
        <f t="shared" ref="H1090:H1153" si="35">IF((I1090=64)*(J1090=B1090)+(1-L1090)*COUNTIF(D1090,"*v*")+(1-N1090)*COUNTIF(D1090,"*r*"),1,"")</f>
        <v/>
      </c>
      <c r="I1090" s="2">
        <f>TYPE(PIVOT.ADD.DATA(IF(1,1),IF(1,1),IF(1,1),IF(1,1),IF(1,1),IF(1,1),IF(1,1),IF(1,1),IF(1,1)))</f>
        <v>16</v>
      </c>
      <c r="J1090" s="2" t="str">
        <f>IF(C1090=0,COUNTIFS(A:A,A1090,D:D,"a"),"")</f>
        <v/>
      </c>
      <c r="K1090" s="2" t="e">
        <f>INDEX(+PIVOT.ADD.DATA(#REF!,#REF!,#REF!,K1090:L1090,#REF!,#REF!,#REF!,#REF!,#REF!),)</f>
        <v>#REF!</v>
      </c>
      <c r="L1090" s="1">
        <v>1</v>
      </c>
      <c r="M1090" s="2" t="e">
        <f>INDEX(+PIVOT.ADD.DATA(#REF!,#REF!,#REF!,INDIRECT(M1090:N1090),#REF!,#REF!,#REF!,#REF!,#REF!),)</f>
        <v>#REF!</v>
      </c>
      <c r="N1090" s="1">
        <v>1</v>
      </c>
    </row>
    <row r="1091" spans="1:14" x14ac:dyDescent="0.55000000000000004">
      <c r="A1091" s="1" t="s">
        <v>1783</v>
      </c>
      <c r="B1091" s="2">
        <f>COUNTIF(A:A,A1091)-1</f>
        <v>9</v>
      </c>
      <c r="C1091" s="2">
        <f>COUNTIF(A$1:A1091,A1091)-1</f>
        <v>5</v>
      </c>
      <c r="D1091" s="2" t="str">
        <f>Argument!D1091</f>
        <v>v</v>
      </c>
      <c r="E1091" s="2" t="str">
        <f t="shared" si="34"/>
        <v/>
      </c>
      <c r="F1091" s="2" t="str">
        <f>IF(C1091=0,ISTEXT(FORMULA.CONVERT("="&amp;A1091&amp;"("&amp;REPLACE(REPT(",#ref!",B1091),1,1,"")&amp;")()",1)),"")</f>
        <v/>
      </c>
      <c r="G1091" s="2">
        <f>TYPE(PIVOT.ADD.DATA(IF(1,1),IF(1,1),IF(1,1),IF(1,1),{1},IF(1,1),IF(1,1),IF(1,1),IF(1,1)))</f>
        <v>64</v>
      </c>
      <c r="H1091" s="2" t="str">
        <f t="shared" si="35"/>
        <v/>
      </c>
      <c r="I1091" s="2">
        <f>TYPE(PIVOT.ADD.DATA(IF(1,1),IF(1,1),IF(1,1),IF(1,1),IF(1,1),IF(1,1),IF(1,1),IF(1,1),IF(1,1)))</f>
        <v>16</v>
      </c>
      <c r="J1091" s="2" t="str">
        <f>IF(C1091=0,COUNTIFS(A:A,A1091,D:D,"a"),"")</f>
        <v/>
      </c>
      <c r="K1091" s="2" t="e">
        <f>INDEX(+PIVOT.ADD.DATA(#REF!,#REF!,#REF!,#REF!,K1091:L1091,#REF!,#REF!,#REF!,#REF!),)</f>
        <v>#REF!</v>
      </c>
      <c r="L1091" s="1">
        <v>1</v>
      </c>
      <c r="M1091" s="2" t="e">
        <f>INDEX(+PIVOT.ADD.DATA(#REF!,#REF!,#REF!,#REF!,INDIRECT(M1091:N1091),#REF!,#REF!,#REF!,#REF!),)</f>
        <v>#REF!</v>
      </c>
      <c r="N1091" s="1">
        <v>1</v>
      </c>
    </row>
    <row r="1092" spans="1:14" x14ac:dyDescent="0.55000000000000004">
      <c r="A1092" s="1" t="s">
        <v>1783</v>
      </c>
      <c r="B1092" s="2">
        <f>COUNTIF(A:A,A1092)-1</f>
        <v>9</v>
      </c>
      <c r="C1092" s="2">
        <f>COUNTIF(A$1:A1092,A1092)-1</f>
        <v>6</v>
      </c>
      <c r="D1092" s="2" t="str">
        <f>Argument!D1092</f>
        <v>v</v>
      </c>
      <c r="E1092" s="2" t="str">
        <f t="shared" si="34"/>
        <v/>
      </c>
      <c r="F1092" s="2" t="str">
        <f>IF(C1092=0,ISTEXT(FORMULA.CONVERT("="&amp;A1092&amp;"("&amp;REPLACE(REPT(",#ref!",B1092),1,1,"")&amp;")()",1)),"")</f>
        <v/>
      </c>
      <c r="G1092" s="2">
        <f>TYPE(PIVOT.ADD.DATA(IF(1,1),IF(1,1),IF(1,1),IF(1,1),IF(1,1),{1},IF(1,1),IF(1,1),IF(1,1)))</f>
        <v>64</v>
      </c>
      <c r="H1092" s="2" t="str">
        <f t="shared" si="35"/>
        <v/>
      </c>
      <c r="I1092" s="2">
        <f>TYPE(PIVOT.ADD.DATA(IF(1,1),IF(1,1),IF(1,1),IF(1,1),IF(1,1),IF(1,1),IF(1,1),IF(1,1),IF(1,1)))</f>
        <v>16</v>
      </c>
      <c r="J1092" s="2" t="str">
        <f>IF(C1092=0,COUNTIFS(A:A,A1092,D:D,"a"),"")</f>
        <v/>
      </c>
      <c r="K1092" s="2" t="e">
        <f>INDEX(+PIVOT.ADD.DATA(#REF!,#REF!,#REF!,#REF!,#REF!,K1092:L1092,#REF!,#REF!,#REF!),)</f>
        <v>#REF!</v>
      </c>
      <c r="L1092" s="1">
        <v>1</v>
      </c>
      <c r="M1092" s="2" t="e">
        <f>INDEX(+PIVOT.ADD.DATA(#REF!,#REF!,#REF!,#REF!,#REF!,INDIRECT(M1092:N1092),#REF!,#REF!,#REF!),)</f>
        <v>#REF!</v>
      </c>
      <c r="N1092" s="1">
        <v>1</v>
      </c>
    </row>
    <row r="1093" spans="1:14" x14ac:dyDescent="0.55000000000000004">
      <c r="A1093" s="1" t="s">
        <v>1783</v>
      </c>
      <c r="B1093" s="2">
        <f>COUNTIF(A:A,A1093)-1</f>
        <v>9</v>
      </c>
      <c r="C1093" s="2">
        <f>COUNTIF(A$1:A1093,A1093)-1</f>
        <v>7</v>
      </c>
      <c r="D1093" s="2" t="str">
        <f>Argument!D1093</f>
        <v>v</v>
      </c>
      <c r="E1093" s="2" t="str">
        <f t="shared" si="34"/>
        <v/>
      </c>
      <c r="F1093" s="2" t="str">
        <f>IF(C1093=0,ISTEXT(FORMULA.CONVERT("="&amp;A1093&amp;"("&amp;REPLACE(REPT(",#ref!",B1093),1,1,"")&amp;")()",1)),"")</f>
        <v/>
      </c>
      <c r="G1093" s="2">
        <f>TYPE(PIVOT.ADD.DATA(IF(1,1),IF(1,1),IF(1,1),IF(1,1),IF(1,1),IF(1,1),{1},IF(1,1),IF(1,1)))</f>
        <v>64</v>
      </c>
      <c r="H1093" s="2" t="str">
        <f t="shared" si="35"/>
        <v/>
      </c>
      <c r="I1093" s="2">
        <f>TYPE(PIVOT.ADD.DATA(IF(1,1),IF(1,1),IF(1,1),IF(1,1),IF(1,1),IF(1,1),IF(1,1),IF(1,1),IF(1,1)))</f>
        <v>16</v>
      </c>
      <c r="J1093" s="2" t="str">
        <f>IF(C1093=0,COUNTIFS(A:A,A1093,D:D,"a"),"")</f>
        <v/>
      </c>
      <c r="K1093" s="2" t="e">
        <f>INDEX(+PIVOT.ADD.DATA(#REF!,#REF!,#REF!,#REF!,#REF!,#REF!,K1093:L1093,#REF!,#REF!),)</f>
        <v>#REF!</v>
      </c>
      <c r="L1093" s="1">
        <v>1</v>
      </c>
      <c r="M1093" s="2" t="e">
        <f>INDEX(+PIVOT.ADD.DATA(#REF!,#REF!,#REF!,#REF!,#REF!,#REF!,INDIRECT(M1093:N1093),#REF!,#REF!),)</f>
        <v>#REF!</v>
      </c>
      <c r="N1093" s="1">
        <v>1</v>
      </c>
    </row>
    <row r="1094" spans="1:14" x14ac:dyDescent="0.55000000000000004">
      <c r="A1094" s="1" t="s">
        <v>1783</v>
      </c>
      <c r="B1094" s="2">
        <f>COUNTIF(A:A,A1094)-1</f>
        <v>9</v>
      </c>
      <c r="C1094" s="2">
        <f>COUNTIF(A$1:A1094,A1094)-1</f>
        <v>8</v>
      </c>
      <c r="D1094" s="2" t="str">
        <f>Argument!D1094</f>
        <v>v</v>
      </c>
      <c r="E1094" s="2" t="str">
        <f t="shared" si="34"/>
        <v/>
      </c>
      <c r="F1094" s="2" t="str">
        <f>IF(C1094=0,ISTEXT(FORMULA.CONVERT("="&amp;A1094&amp;"("&amp;REPLACE(REPT(",#ref!",B1094),1,1,"")&amp;")()",1)),"")</f>
        <v/>
      </c>
      <c r="G1094" s="2">
        <f>TYPE(PIVOT.ADD.DATA(IF(1,1),IF(1,1),IF(1,1),IF(1,1),IF(1,1),IF(1,1),IF(1,1),{1},IF(1,1)))</f>
        <v>64</v>
      </c>
      <c r="H1094" s="2" t="str">
        <f t="shared" si="35"/>
        <v/>
      </c>
      <c r="I1094" s="2">
        <f>TYPE(PIVOT.ADD.DATA(IF(1,1),IF(1,1),IF(1,1),IF(1,1),IF(1,1),IF(1,1),IF(1,1),IF(1,1),IF(1,1)))</f>
        <v>16</v>
      </c>
      <c r="J1094" s="2" t="str">
        <f>IF(C1094=0,COUNTIFS(A:A,A1094,D:D,"a"),"")</f>
        <v/>
      </c>
      <c r="K1094" s="2" t="e">
        <f>INDEX(+PIVOT.ADD.DATA(#REF!,#REF!,#REF!,#REF!,#REF!,#REF!,#REF!,K1094:L1094,#REF!),)</f>
        <v>#REF!</v>
      </c>
      <c r="L1094" s="1">
        <v>1</v>
      </c>
      <c r="M1094" s="2" t="e">
        <f>INDEX(+PIVOT.ADD.DATA(#REF!,#REF!,#REF!,#REF!,#REF!,#REF!,#REF!,INDIRECT(M1094:N1094),#REF!),)</f>
        <v>#REF!</v>
      </c>
      <c r="N1094" s="1">
        <v>1</v>
      </c>
    </row>
    <row r="1095" spans="1:14" x14ac:dyDescent="0.55000000000000004">
      <c r="A1095" s="1" t="s">
        <v>1783</v>
      </c>
      <c r="B1095" s="2">
        <f>COUNTIF(A:A,A1095)-1</f>
        <v>9</v>
      </c>
      <c r="C1095" s="2">
        <f>COUNTIF(A$1:A1095,A1095)-1</f>
        <v>9</v>
      </c>
      <c r="D1095" s="2" t="str">
        <f>Argument!D1095</f>
        <v>v</v>
      </c>
      <c r="E1095" s="2" t="str">
        <f t="shared" si="34"/>
        <v/>
      </c>
      <c r="F1095" s="2" t="str">
        <f>IF(C1095=0,ISTEXT(FORMULA.CONVERT("="&amp;A1095&amp;"("&amp;REPLACE(REPT(",#ref!",B1095),1,1,"")&amp;")()",1)),"")</f>
        <v/>
      </c>
      <c r="G1095" s="2">
        <f>TYPE(PIVOT.ADD.DATA(IF(1,1),IF(1,1),IF(1,1),IF(1,1),IF(1,1),IF(1,1),IF(1,1),IF(1,1),{1}))</f>
        <v>64</v>
      </c>
      <c r="H1095" s="2" t="str">
        <f t="shared" si="35"/>
        <v/>
      </c>
      <c r="I1095" s="2">
        <f>TYPE(PIVOT.ADD.DATA(IF(1,1),IF(1,1),IF(1,1),IF(1,1),IF(1,1),IF(1,1),IF(1,1),IF(1,1),IF(1,1)))</f>
        <v>16</v>
      </c>
      <c r="J1095" s="2" t="str">
        <f>IF(C1095=0,COUNTIFS(A:A,A1095,D:D,"a"),"")</f>
        <v/>
      </c>
      <c r="K1095" s="2" t="e">
        <f>INDEX(+PIVOT.ADD.DATA(#REF!,#REF!,#REF!,#REF!,#REF!,#REF!,#REF!,#REF!,K1095:L1095),)</f>
        <v>#REF!</v>
      </c>
      <c r="L1095" s="1">
        <v>1</v>
      </c>
      <c r="M1095" s="2" t="e">
        <f>INDEX(+PIVOT.ADD.DATA(#REF!,#REF!,#REF!,#REF!,#REF!,#REF!,#REF!,#REF!,INDIRECT(M1095:N1095)),)</f>
        <v>#REF!</v>
      </c>
      <c r="N1095" s="1">
        <v>1</v>
      </c>
    </row>
    <row r="1096" spans="1:14" x14ac:dyDescent="0.55000000000000004">
      <c r="A1096" s="1" t="s">
        <v>1784</v>
      </c>
      <c r="B1096" s="2">
        <f>COUNTIF(A:A,A1096)-1</f>
        <v>2</v>
      </c>
      <c r="C1096" s="2">
        <f>COUNTIF(A$1:A1096,A1096)-1</f>
        <v>0</v>
      </c>
      <c r="D1096" s="2" t="str">
        <f>Argument!D1096</f>
        <v/>
      </c>
      <c r="E1096" s="2" t="str">
        <f t="shared" si="34"/>
        <v>va</v>
      </c>
      <c r="F1096" s="2" t="b">
        <f>IF(C1096=0,ISTEXT(FORMULA.CONVERT("="&amp;A1096&amp;"("&amp;REPLACE(REPT(",#ref!",B1096),1,1,"")&amp;")()",1)),"")</f>
        <v>0</v>
      </c>
      <c r="G1096" s="2"/>
      <c r="H1096" s="2" t="str">
        <f t="shared" si="35"/>
        <v/>
      </c>
      <c r="I1096" s="2">
        <f>TYPE(GET.PIVOT.TABLE(IF(1,1),IF(1,1)))</f>
        <v>16</v>
      </c>
      <c r="J1096" s="2">
        <f>IF(C1096=0,COUNTIFS(A:A,A1096,D:D,"a"),"")</f>
        <v>0</v>
      </c>
      <c r="K1096" s="2"/>
      <c r="M1096" s="2"/>
    </row>
    <row r="1097" spans="1:14" x14ac:dyDescent="0.55000000000000004">
      <c r="A1097" s="1" t="s">
        <v>1784</v>
      </c>
      <c r="B1097" s="2">
        <f>COUNTIF(A:A,A1097)-1</f>
        <v>2</v>
      </c>
      <c r="C1097" s="2">
        <f>COUNTIF(A$1:A1097,A1097)-1</f>
        <v>1</v>
      </c>
      <c r="D1097" s="2" t="str">
        <f>Argument!D1097</f>
        <v>v</v>
      </c>
      <c r="E1097" s="2" t="str">
        <f t="shared" si="34"/>
        <v/>
      </c>
      <c r="F1097" s="2" t="str">
        <f>IF(C1097=0,ISTEXT(FORMULA.CONVERT("="&amp;A1097&amp;"("&amp;REPLACE(REPT(",#ref!",B1097),1,1,"")&amp;")()",1)),"")</f>
        <v/>
      </c>
      <c r="G1097" s="2">
        <f>TYPE(GET.PIVOT.TABLE({1},IF(1,1)))</f>
        <v>16</v>
      </c>
      <c r="H1097" s="2">
        <f t="shared" si="35"/>
        <v>1</v>
      </c>
      <c r="I1097" s="2">
        <f>TYPE(GET.PIVOT.TABLE(IF(1,1),IF(1,1)))</f>
        <v>16</v>
      </c>
      <c r="J1097" s="2" t="str">
        <f>IF(C1097=0,COUNTIFS(A:A,A1097,D:D,"a"),"")</f>
        <v/>
      </c>
      <c r="K1097" s="2" t="e">
        <f>INDEX(+GET.PIVOT.TABLE(K1097:L1097,#REF!),)</f>
        <v>#REF!</v>
      </c>
      <c r="M1097" s="2" t="e">
        <f>INDEX(+GET.PIVOT.TABLE(INDIRECT(M1097:N1097),#REF!),)</f>
        <v>#REF!</v>
      </c>
    </row>
    <row r="1098" spans="1:14" x14ac:dyDescent="0.55000000000000004">
      <c r="A1098" s="1" t="s">
        <v>1784</v>
      </c>
      <c r="B1098" s="2">
        <f>COUNTIF(A:A,A1098)-1</f>
        <v>2</v>
      </c>
      <c r="C1098" s="2">
        <f>COUNTIF(A$1:A1098,A1098)-1</f>
        <v>2</v>
      </c>
      <c r="D1098" s="2" t="str">
        <f>Argument!D1098</f>
        <v>v</v>
      </c>
      <c r="E1098" s="2" t="str">
        <f t="shared" si="34"/>
        <v/>
      </c>
      <c r="F1098" s="2" t="str">
        <f>IF(C1098=0,ISTEXT(FORMULA.CONVERT("="&amp;A1098&amp;"("&amp;REPLACE(REPT(",#ref!",B1098),1,1,"")&amp;")()",1)),"")</f>
        <v/>
      </c>
      <c r="G1098" s="2">
        <f>TYPE(GET.PIVOT.TABLE(IF(1,1),{1}))</f>
        <v>16</v>
      </c>
      <c r="H1098" s="2">
        <f t="shared" si="35"/>
        <v>1</v>
      </c>
      <c r="I1098" s="2">
        <f>TYPE(GET.PIVOT.TABLE(IF(1,1),IF(1,1)))</f>
        <v>16</v>
      </c>
      <c r="J1098" s="2" t="str">
        <f>IF(C1098=0,COUNTIFS(A:A,A1098,D:D,"a"),"")</f>
        <v/>
      </c>
      <c r="K1098" s="2" t="e">
        <f>INDEX(+GET.PIVOT.TABLE(#REF!,K1098:L1098),)</f>
        <v>#REF!</v>
      </c>
      <c r="M1098" s="2" t="e">
        <f>INDEX(+GET.PIVOT.TABLE(#REF!,INDIRECT(M1098:N1098)),)</f>
        <v>#REF!</v>
      </c>
    </row>
    <row r="1099" spans="1:14" x14ac:dyDescent="0.55000000000000004">
      <c r="A1099" s="1" t="s">
        <v>1785</v>
      </c>
      <c r="B1099" s="2">
        <f>COUNTIF(A:A,A1099)-1</f>
        <v>3</v>
      </c>
      <c r="C1099" s="2">
        <f>COUNTIF(A$1:A1099,A1099)-1</f>
        <v>0</v>
      </c>
      <c r="D1099" s="2" t="str">
        <f>Argument!D1099</f>
        <v/>
      </c>
      <c r="E1099" s="2" t="str">
        <f t="shared" si="34"/>
        <v>va</v>
      </c>
      <c r="F1099" s="2" t="b">
        <f>IF(C1099=0,ISTEXT(FORMULA.CONVERT("="&amp;A1099&amp;"("&amp;REPLACE(REPT(",#ref!",B1099),1,1,"")&amp;")()",1)),"")</f>
        <v>0</v>
      </c>
      <c r="G1099" s="2"/>
      <c r="H1099" s="2" t="str">
        <f t="shared" si="35"/>
        <v/>
      </c>
      <c r="I1099" s="2">
        <f>TYPE(GET.PIVOT.FIELD(IF(1,1),IF(1,1),IF(1,1)))</f>
        <v>16</v>
      </c>
      <c r="J1099" s="2">
        <f>IF(C1099=0,COUNTIFS(A:A,A1099,D:D,"a"),"")</f>
        <v>0</v>
      </c>
      <c r="K1099" s="2"/>
      <c r="M1099" s="2"/>
    </row>
    <row r="1100" spans="1:14" x14ac:dyDescent="0.55000000000000004">
      <c r="A1100" s="1" t="s">
        <v>1785</v>
      </c>
      <c r="B1100" s="2">
        <f>COUNTIF(A:A,A1100)-1</f>
        <v>3</v>
      </c>
      <c r="C1100" s="2">
        <f>COUNTIF(A$1:A1100,A1100)-1</f>
        <v>1</v>
      </c>
      <c r="D1100" s="2" t="str">
        <f>Argument!D1100</f>
        <v>v</v>
      </c>
      <c r="E1100" s="2" t="str">
        <f t="shared" si="34"/>
        <v/>
      </c>
      <c r="F1100" s="2" t="str">
        <f>IF(C1100=0,ISTEXT(FORMULA.CONVERT("="&amp;A1100&amp;"("&amp;REPLACE(REPT(",#ref!",B1100),1,1,"")&amp;")()",1)),"")</f>
        <v/>
      </c>
      <c r="G1100" s="2">
        <f>TYPE(GET.PIVOT.FIELD({1},IF(1,1),IF(1,1)))</f>
        <v>16</v>
      </c>
      <c r="H1100" s="2">
        <f t="shared" si="35"/>
        <v>1</v>
      </c>
      <c r="I1100" s="2">
        <f>TYPE(GET.PIVOT.FIELD(IF(1,1),IF(1,1),IF(1,1)))</f>
        <v>16</v>
      </c>
      <c r="J1100" s="2" t="str">
        <f>IF(C1100=0,COUNTIFS(A:A,A1100,D:D,"a"),"")</f>
        <v/>
      </c>
      <c r="K1100" s="2" t="e">
        <f>INDEX(+GET.PIVOT.FIELD(K1100:L1100,#REF!,#REF!),)</f>
        <v>#REF!</v>
      </c>
      <c r="M1100" s="2" t="e">
        <f>INDEX(+GET.PIVOT.FIELD(INDIRECT(M1100:N1100),#REF!,#REF!),)</f>
        <v>#REF!</v>
      </c>
    </row>
    <row r="1101" spans="1:14" x14ac:dyDescent="0.55000000000000004">
      <c r="A1101" s="1" t="s">
        <v>1785</v>
      </c>
      <c r="B1101" s="2">
        <f>COUNTIF(A:A,A1101)-1</f>
        <v>3</v>
      </c>
      <c r="C1101" s="2">
        <f>COUNTIF(A$1:A1101,A1101)-1</f>
        <v>2</v>
      </c>
      <c r="D1101" s="2" t="str">
        <f>Argument!D1101</f>
        <v>v</v>
      </c>
      <c r="E1101" s="2" t="str">
        <f t="shared" si="34"/>
        <v/>
      </c>
      <c r="F1101" s="2" t="str">
        <f>IF(C1101=0,ISTEXT(FORMULA.CONVERT("="&amp;A1101&amp;"("&amp;REPLACE(REPT(",#ref!",B1101),1,1,"")&amp;")()",1)),"")</f>
        <v/>
      </c>
      <c r="G1101" s="2">
        <f>TYPE(GET.PIVOT.FIELD(IF(1,1),{1},IF(1,1)))</f>
        <v>16</v>
      </c>
      <c r="H1101" s="2">
        <f t="shared" si="35"/>
        <v>1</v>
      </c>
      <c r="I1101" s="2">
        <f>TYPE(GET.PIVOT.FIELD(IF(1,1),IF(1,1),IF(1,1)))</f>
        <v>16</v>
      </c>
      <c r="J1101" s="2" t="str">
        <f>IF(C1101=0,COUNTIFS(A:A,A1101,D:D,"a"),"")</f>
        <v/>
      </c>
      <c r="K1101" s="2" t="e">
        <f>INDEX(+GET.PIVOT.FIELD(#REF!,K1101:L1101,#REF!),)</f>
        <v>#REF!</v>
      </c>
      <c r="M1101" s="2" t="e">
        <f>INDEX(+GET.PIVOT.FIELD(#REF!,INDIRECT(M1101:N1101),#REF!),)</f>
        <v>#REF!</v>
      </c>
    </row>
    <row r="1102" spans="1:14" x14ac:dyDescent="0.55000000000000004">
      <c r="A1102" s="1" t="s">
        <v>1785</v>
      </c>
      <c r="B1102" s="2">
        <f>COUNTIF(A:A,A1102)-1</f>
        <v>3</v>
      </c>
      <c r="C1102" s="2">
        <f>COUNTIF(A$1:A1102,A1102)-1</f>
        <v>3</v>
      </c>
      <c r="D1102" s="2" t="str">
        <f>Argument!D1102</f>
        <v>v</v>
      </c>
      <c r="E1102" s="2" t="str">
        <f t="shared" si="34"/>
        <v/>
      </c>
      <c r="F1102" s="2" t="str">
        <f>IF(C1102=0,ISTEXT(FORMULA.CONVERT("="&amp;A1102&amp;"("&amp;REPLACE(REPT(",#ref!",B1102),1,1,"")&amp;")()",1)),"")</f>
        <v/>
      </c>
      <c r="G1102" s="2">
        <f>TYPE(GET.PIVOT.FIELD(IF(1,1),IF(1,1),{1}))</f>
        <v>16</v>
      </c>
      <c r="H1102" s="2">
        <f t="shared" si="35"/>
        <v>1</v>
      </c>
      <c r="I1102" s="2">
        <f>TYPE(GET.PIVOT.FIELD(IF(1,1),IF(1,1),IF(1,1)))</f>
        <v>16</v>
      </c>
      <c r="J1102" s="2" t="str">
        <f>IF(C1102=0,COUNTIFS(A:A,A1102,D:D,"a"),"")</f>
        <v/>
      </c>
      <c r="K1102" s="2" t="e">
        <f>INDEX(+GET.PIVOT.FIELD(#REF!,#REF!,K1102:L1102),)</f>
        <v>#REF!</v>
      </c>
      <c r="M1102" s="2" t="e">
        <f>INDEX(+GET.PIVOT.FIELD(#REF!,#REF!,INDIRECT(M1102:N1102)),)</f>
        <v>#REF!</v>
      </c>
    </row>
    <row r="1103" spans="1:14" x14ac:dyDescent="0.55000000000000004">
      <c r="A1103" s="1" t="s">
        <v>1786</v>
      </c>
      <c r="B1103" s="2">
        <f>COUNTIF(A:A,A1103)-1</f>
        <v>4</v>
      </c>
      <c r="C1103" s="2">
        <f>COUNTIF(A$1:A1103,A1103)-1</f>
        <v>0</v>
      </c>
      <c r="D1103" s="2" t="str">
        <f>Argument!D1103</f>
        <v/>
      </c>
      <c r="E1103" s="2" t="str">
        <f t="shared" si="34"/>
        <v>v</v>
      </c>
      <c r="F1103" s="2" t="b">
        <f>IF(C1103=0,ISTEXT(FORMULA.CONVERT("="&amp;A1103&amp;"("&amp;REPLACE(REPT(",#ref!",B1103),1,1,"")&amp;")()",1)),"")</f>
        <v>0</v>
      </c>
      <c r="G1103" s="2"/>
      <c r="H1103" s="2" t="str">
        <f t="shared" si="35"/>
        <v/>
      </c>
      <c r="I1103" s="2">
        <f>TYPE(GET.PIVOT.ITEM(IF(1,1),IF(1,1),IF(1,1),IF(1,1)))</f>
        <v>16</v>
      </c>
      <c r="J1103" s="2">
        <f>IF(C1103=0,COUNTIFS(A:A,A1103,D:D,"a"),"")</f>
        <v>0</v>
      </c>
      <c r="K1103" s="2"/>
      <c r="M1103" s="2"/>
    </row>
    <row r="1104" spans="1:14" x14ac:dyDescent="0.55000000000000004">
      <c r="A1104" s="1" t="s">
        <v>1786</v>
      </c>
      <c r="B1104" s="2">
        <f>COUNTIF(A:A,A1104)-1</f>
        <v>4</v>
      </c>
      <c r="C1104" s="2">
        <f>COUNTIF(A$1:A1104,A1104)-1</f>
        <v>1</v>
      </c>
      <c r="D1104" s="2" t="str">
        <f>Argument!D1104</f>
        <v>v</v>
      </c>
      <c r="E1104" s="2" t="str">
        <f t="shared" si="34"/>
        <v/>
      </c>
      <c r="F1104" s="2" t="str">
        <f>IF(C1104=0,ISTEXT(FORMULA.CONVERT("="&amp;A1104&amp;"("&amp;REPLACE(REPT(",#ref!",B1104),1,1,"")&amp;")()",1)),"")</f>
        <v/>
      </c>
      <c r="G1104" s="2">
        <f>TYPE(GET.PIVOT.ITEM({1},IF(1,1),IF(1,1),IF(1,1)))</f>
        <v>64</v>
      </c>
      <c r="H1104" s="2" t="str">
        <f t="shared" si="35"/>
        <v/>
      </c>
      <c r="I1104" s="2">
        <f>TYPE(GET.PIVOT.ITEM(IF(1,1),IF(1,1),IF(1,1),IF(1,1)))</f>
        <v>16</v>
      </c>
      <c r="J1104" s="2" t="str">
        <f>IF(C1104=0,COUNTIFS(A:A,A1104,D:D,"a"),"")</f>
        <v/>
      </c>
      <c r="K1104" s="2" t="e">
        <f>INDEX(+GET.PIVOT.ITEM(K1104:L1104,#REF!,#REF!,#REF!),)</f>
        <v>#REF!</v>
      </c>
      <c r="L1104" s="1">
        <v>1</v>
      </c>
      <c r="M1104" s="2" t="e">
        <f>INDEX(+GET.PIVOT.ITEM(INDIRECT(M1104:N1104),#REF!,#REF!,#REF!),)</f>
        <v>#REF!</v>
      </c>
      <c r="N1104" s="1">
        <v>1</v>
      </c>
    </row>
    <row r="1105" spans="1:14" x14ac:dyDescent="0.55000000000000004">
      <c r="A1105" s="1" t="s">
        <v>1786</v>
      </c>
      <c r="B1105" s="2">
        <f>COUNTIF(A:A,A1105)-1</f>
        <v>4</v>
      </c>
      <c r="C1105" s="2">
        <f>COUNTIF(A$1:A1105,A1105)-1</f>
        <v>2</v>
      </c>
      <c r="D1105" s="2" t="str">
        <f>Argument!D1105</f>
        <v>v</v>
      </c>
      <c r="E1105" s="2" t="str">
        <f t="shared" si="34"/>
        <v/>
      </c>
      <c r="F1105" s="2" t="str">
        <f>IF(C1105=0,ISTEXT(FORMULA.CONVERT("="&amp;A1105&amp;"("&amp;REPLACE(REPT(",#ref!",B1105),1,1,"")&amp;")()",1)),"")</f>
        <v/>
      </c>
      <c r="G1105" s="2">
        <f>TYPE(GET.PIVOT.ITEM(IF(1,1),{1},IF(1,1),IF(1,1)))</f>
        <v>64</v>
      </c>
      <c r="H1105" s="2" t="str">
        <f t="shared" si="35"/>
        <v/>
      </c>
      <c r="I1105" s="2">
        <f>TYPE(GET.PIVOT.ITEM(IF(1,1),IF(1,1),IF(1,1),IF(1,1)))</f>
        <v>16</v>
      </c>
      <c r="J1105" s="2" t="str">
        <f>IF(C1105=0,COUNTIFS(A:A,A1105,D:D,"a"),"")</f>
        <v/>
      </c>
      <c r="K1105" s="2" t="e">
        <f>INDEX(+GET.PIVOT.ITEM(#REF!,K1105:L1105,#REF!,#REF!),)</f>
        <v>#REF!</v>
      </c>
      <c r="L1105" s="1">
        <v>1</v>
      </c>
      <c r="M1105" s="2" t="e">
        <f>INDEX(+GET.PIVOT.ITEM(#REF!,INDIRECT(M1105:N1105),#REF!,#REF!),)</f>
        <v>#REF!</v>
      </c>
      <c r="N1105" s="1">
        <v>1</v>
      </c>
    </row>
    <row r="1106" spans="1:14" x14ac:dyDescent="0.55000000000000004">
      <c r="A1106" s="1" t="s">
        <v>1786</v>
      </c>
      <c r="B1106" s="2">
        <f>COUNTIF(A:A,A1106)-1</f>
        <v>4</v>
      </c>
      <c r="C1106" s="2">
        <f>COUNTIF(A$1:A1106,A1106)-1</f>
        <v>3</v>
      </c>
      <c r="D1106" s="2" t="str">
        <f>Argument!D1106</f>
        <v>v</v>
      </c>
      <c r="E1106" s="2" t="str">
        <f t="shared" si="34"/>
        <v/>
      </c>
      <c r="F1106" s="2" t="str">
        <f>IF(C1106=0,ISTEXT(FORMULA.CONVERT("="&amp;A1106&amp;"("&amp;REPLACE(REPT(",#ref!",B1106),1,1,"")&amp;")()",1)),"")</f>
        <v/>
      </c>
      <c r="G1106" s="2">
        <f>TYPE(GET.PIVOT.ITEM(IF(1,1),IF(1,1),{1},IF(1,1)))</f>
        <v>64</v>
      </c>
      <c r="H1106" s="2" t="str">
        <f t="shared" si="35"/>
        <v/>
      </c>
      <c r="I1106" s="2">
        <f>TYPE(GET.PIVOT.ITEM(IF(1,1),IF(1,1),IF(1,1),IF(1,1)))</f>
        <v>16</v>
      </c>
      <c r="J1106" s="2" t="str">
        <f>IF(C1106=0,COUNTIFS(A:A,A1106,D:D,"a"),"")</f>
        <v/>
      </c>
      <c r="K1106" s="2" t="e">
        <f>INDEX(+GET.PIVOT.ITEM(#REF!,#REF!,K1106:L1106,#REF!),)</f>
        <v>#REF!</v>
      </c>
      <c r="L1106" s="1">
        <v>1</v>
      </c>
      <c r="M1106" s="2" t="e">
        <f>INDEX(+GET.PIVOT.ITEM(#REF!,#REF!,INDIRECT(M1106:N1106),#REF!),)</f>
        <v>#REF!</v>
      </c>
      <c r="N1106" s="1">
        <v>1</v>
      </c>
    </row>
    <row r="1107" spans="1:14" x14ac:dyDescent="0.55000000000000004">
      <c r="A1107" s="1" t="s">
        <v>1786</v>
      </c>
      <c r="B1107" s="2">
        <f>COUNTIF(A:A,A1107)-1</f>
        <v>4</v>
      </c>
      <c r="C1107" s="2">
        <f>COUNTIF(A$1:A1107,A1107)-1</f>
        <v>4</v>
      </c>
      <c r="D1107" s="2" t="str">
        <f>Argument!D1107</f>
        <v>v</v>
      </c>
      <c r="E1107" s="2" t="str">
        <f t="shared" si="34"/>
        <v/>
      </c>
      <c r="F1107" s="2" t="str">
        <f>IF(C1107=0,ISTEXT(FORMULA.CONVERT("="&amp;A1107&amp;"("&amp;REPLACE(REPT(",#ref!",B1107),1,1,"")&amp;")()",1)),"")</f>
        <v/>
      </c>
      <c r="G1107" s="2">
        <f>TYPE(GET.PIVOT.ITEM(IF(1,1),IF(1,1),IF(1,1),{1}))</f>
        <v>64</v>
      </c>
      <c r="H1107" s="2" t="str">
        <f t="shared" si="35"/>
        <v/>
      </c>
      <c r="I1107" s="2">
        <f>TYPE(GET.PIVOT.ITEM(IF(1,1),IF(1,1),IF(1,1),IF(1,1)))</f>
        <v>16</v>
      </c>
      <c r="J1107" s="2" t="str">
        <f>IF(C1107=0,COUNTIFS(A:A,A1107,D:D,"a"),"")</f>
        <v/>
      </c>
      <c r="K1107" s="2" t="e">
        <f>INDEX(+GET.PIVOT.ITEM(#REF!,#REF!,#REF!,K1107:L1107),)</f>
        <v>#REF!</v>
      </c>
      <c r="L1107" s="1">
        <v>1</v>
      </c>
      <c r="M1107" s="2" t="e">
        <f>INDEX(+GET.PIVOT.ITEM(#REF!,#REF!,#REF!,INDIRECT(M1107:N1107)),)</f>
        <v>#REF!</v>
      </c>
      <c r="N1107" s="1">
        <v>1</v>
      </c>
    </row>
    <row r="1108" spans="1:14" x14ac:dyDescent="0.55000000000000004">
      <c r="A1108" s="1" t="s">
        <v>1787</v>
      </c>
      <c r="B1108" s="2">
        <f>COUNTIF(A:A,A1108)-1</f>
        <v>1</v>
      </c>
      <c r="C1108" s="2">
        <f>COUNTIF(A$1:A1108,A1108)-1</f>
        <v>0</v>
      </c>
      <c r="D1108" s="2" t="str">
        <f>Argument!D1108</f>
        <v/>
      </c>
      <c r="E1108" s="2" t="str">
        <f t="shared" si="34"/>
        <v>v</v>
      </c>
      <c r="F1108" s="2" t="b">
        <f>IF(C1108=0,ISTEXT(FORMULA.CONVERT("="&amp;A1108&amp;"("&amp;REPLACE(REPT(",#ref!",B1108),1,1,"")&amp;")()",1)),"")</f>
        <v>0</v>
      </c>
      <c r="G1108" s="2"/>
      <c r="H1108" s="2" t="str">
        <f t="shared" si="35"/>
        <v/>
      </c>
      <c r="I1108" s="2">
        <f>TYPE(RADIANS(IF(1,1)))</f>
        <v>1</v>
      </c>
      <c r="J1108" s="2">
        <f>IF(C1108=0,COUNTIFS(A:A,A1108,D:D,"a"),"")</f>
        <v>0</v>
      </c>
      <c r="K1108" s="2"/>
      <c r="M1108" s="2"/>
    </row>
    <row r="1109" spans="1:14" x14ac:dyDescent="0.55000000000000004">
      <c r="A1109" s="1" t="s">
        <v>1787</v>
      </c>
      <c r="B1109" s="2">
        <f>COUNTIF(A:A,A1109)-1</f>
        <v>1</v>
      </c>
      <c r="C1109" s="2">
        <f>COUNTIF(A$1:A1109,A1109)-1</f>
        <v>1</v>
      </c>
      <c r="D1109" s="2" t="str">
        <f>Argument!D1109</f>
        <v>v</v>
      </c>
      <c r="E1109" s="2" t="str">
        <f t="shared" si="34"/>
        <v/>
      </c>
      <c r="F1109" s="2" t="str">
        <f>IF(C1109=0,ISTEXT(FORMULA.CONVERT("="&amp;A1109&amp;"("&amp;REPLACE(REPT(",#ref!",B1109),1,1,"")&amp;")()",1)),"")</f>
        <v/>
      </c>
      <c r="G1109" s="2">
        <f>TYPE(RADIANS({1}))</f>
        <v>64</v>
      </c>
      <c r="H1109" s="2" t="str">
        <f t="shared" si="35"/>
        <v/>
      </c>
      <c r="I1109" s="2">
        <f>TYPE(RADIANS(IF(1,1)))</f>
        <v>1</v>
      </c>
      <c r="J1109" s="2" t="str">
        <f>IF(C1109=0,COUNTIFS(A:A,A1109,D:D,"a"),"")</f>
        <v/>
      </c>
      <c r="K1109" s="2">
        <f>INDEX(+RADIANS(K1109:L1109),)</f>
        <v>0</v>
      </c>
      <c r="L1109" s="1">
        <v>1</v>
      </c>
      <c r="M1109" s="2" t="e">
        <f>INDEX(+RADIANS(INDIRECT(M1109:N1109)),)</f>
        <v>#REF!</v>
      </c>
      <c r="N1109" s="1">
        <v>1</v>
      </c>
    </row>
    <row r="1110" spans="1:14" x14ac:dyDescent="0.55000000000000004">
      <c r="A1110" s="1" t="s">
        <v>1788</v>
      </c>
      <c r="B1110" s="2">
        <f>COUNTIF(A:A,A1110)-1</f>
        <v>1</v>
      </c>
      <c r="C1110" s="2">
        <f>COUNTIF(A$1:A1110,A1110)-1</f>
        <v>0</v>
      </c>
      <c r="D1110" s="2" t="str">
        <f>Argument!D1110</f>
        <v/>
      </c>
      <c r="E1110" s="2" t="str">
        <f t="shared" si="34"/>
        <v>v</v>
      </c>
      <c r="F1110" s="2" t="b">
        <f>IF(C1110=0,ISTEXT(FORMULA.CONVERT("="&amp;A1110&amp;"("&amp;REPLACE(REPT(",#ref!",B1110),1,1,"")&amp;")()",1)),"")</f>
        <v>0</v>
      </c>
      <c r="G1110" s="2"/>
      <c r="H1110" s="2" t="str">
        <f t="shared" si="35"/>
        <v/>
      </c>
      <c r="I1110" s="2">
        <f>TYPE(DEGREES(IF(1,1)))</f>
        <v>1</v>
      </c>
      <c r="J1110" s="2">
        <f>IF(C1110=0,COUNTIFS(A:A,A1110,D:D,"a"),"")</f>
        <v>0</v>
      </c>
      <c r="K1110" s="2"/>
      <c r="M1110" s="2"/>
    </row>
    <row r="1111" spans="1:14" x14ac:dyDescent="0.55000000000000004">
      <c r="A1111" s="1" t="s">
        <v>1788</v>
      </c>
      <c r="B1111" s="2">
        <f>COUNTIF(A:A,A1111)-1</f>
        <v>1</v>
      </c>
      <c r="C1111" s="2">
        <f>COUNTIF(A$1:A1111,A1111)-1</f>
        <v>1</v>
      </c>
      <c r="D1111" s="2" t="str">
        <f>Argument!D1111</f>
        <v>v</v>
      </c>
      <c r="E1111" s="2" t="str">
        <f t="shared" si="34"/>
        <v/>
      </c>
      <c r="F1111" s="2" t="str">
        <f>IF(C1111=0,ISTEXT(FORMULA.CONVERT("="&amp;A1111&amp;"("&amp;REPLACE(REPT(",#ref!",B1111),1,1,"")&amp;")()",1)),"")</f>
        <v/>
      </c>
      <c r="G1111" s="2">
        <f>TYPE(DEGREES({1}))</f>
        <v>64</v>
      </c>
      <c r="H1111" s="2" t="str">
        <f t="shared" si="35"/>
        <v/>
      </c>
      <c r="I1111" s="2">
        <f>TYPE(DEGREES(IF(1,1)))</f>
        <v>1</v>
      </c>
      <c r="J1111" s="2" t="str">
        <f>IF(C1111=0,COUNTIFS(A:A,A1111,D:D,"a"),"")</f>
        <v/>
      </c>
      <c r="K1111" s="2">
        <f>INDEX(+DEGREES(K1111:L1111),)</f>
        <v>0</v>
      </c>
      <c r="L1111" s="1">
        <v>1</v>
      </c>
      <c r="M1111" s="2" t="e">
        <f>INDEX(+DEGREES(INDIRECT(M1111:N1111)),)</f>
        <v>#REF!</v>
      </c>
      <c r="N1111" s="1">
        <v>1</v>
      </c>
    </row>
    <row r="1112" spans="1:14" x14ac:dyDescent="0.55000000000000004">
      <c r="A1112" s="1" t="s">
        <v>1789</v>
      </c>
      <c r="B1112" s="2">
        <f>COUNTIF(A:A,A1112)-1</f>
        <v>3</v>
      </c>
      <c r="C1112" s="2">
        <f>COUNTIF(A$1:A1112,A1112)-1</f>
        <v>0</v>
      </c>
      <c r="D1112" s="2" t="str">
        <f>Argument!D1112</f>
        <v/>
      </c>
      <c r="E1112" s="2" t="str">
        <f t="shared" si="34"/>
        <v>v</v>
      </c>
      <c r="F1112" s="2" t="b">
        <f>IF(C1112=0,ISTEXT(FORMULA.CONVERT("="&amp;A1112&amp;"("&amp;REPLACE(REPT(",#ref!",B1112),1,1,"")&amp;")()",1)),"")</f>
        <v>0</v>
      </c>
      <c r="G1112" s="2"/>
      <c r="H1112" s="2" t="str">
        <f t="shared" si="35"/>
        <v/>
      </c>
      <c r="I1112" s="2">
        <f>TYPE(SUBTOTAL(IF(1,1),IF(1,1),IF(1,1)))</f>
        <v>16</v>
      </c>
      <c r="J1112" s="2">
        <f>IF(C1112=0,COUNTIFS(A:A,A1112,D:D,"a"),"")</f>
        <v>0</v>
      </c>
      <c r="K1112" s="2"/>
      <c r="M1112" s="2"/>
    </row>
    <row r="1113" spans="1:14" x14ac:dyDescent="0.55000000000000004">
      <c r="A1113" s="1" t="s">
        <v>1789</v>
      </c>
      <c r="B1113" s="2">
        <f>COUNTIF(A:A,A1113)-1</f>
        <v>3</v>
      </c>
      <c r="C1113" s="2">
        <f>COUNTIF(A$1:A1113,A1113)-1</f>
        <v>1</v>
      </c>
      <c r="D1113" s="2" t="str">
        <f>Argument!D1113</f>
        <v>v</v>
      </c>
      <c r="E1113" s="2" t="str">
        <f t="shared" si="34"/>
        <v/>
      </c>
      <c r="F1113" s="2" t="str">
        <f>IF(C1113=0,ISTEXT(FORMULA.CONVERT("="&amp;A1113&amp;"("&amp;REPLACE(REPT(",#ref!",B1113),1,1,"")&amp;")()",1)),"")</f>
        <v/>
      </c>
      <c r="G1113" s="2">
        <f>TYPE(SUBTOTAL({1},IF(1,1),IF(1,1)))</f>
        <v>64</v>
      </c>
      <c r="H1113" s="2" t="str">
        <f t="shared" si="35"/>
        <v/>
      </c>
      <c r="I1113" s="2">
        <f>TYPE(SUBTOTAL(IF(1,1),IF(1,1),IF(1,1)))</f>
        <v>16</v>
      </c>
      <c r="J1113" s="2" t="str">
        <f>IF(C1113=0,COUNTIFS(A:A,A1113,D:D,"a"),"")</f>
        <v/>
      </c>
      <c r="K1113" s="2" t="e">
        <f>INDEX(+SUBTOTAL(K1113:L1113,#REF!,#REF!),)</f>
        <v>#REF!</v>
      </c>
      <c r="L1113" s="1">
        <v>1</v>
      </c>
      <c r="M1113" s="2" t="e">
        <f>INDEX(+SUBTOTAL(INDIRECT(M1113:N1113),#REF!,#REF!),)</f>
        <v>#REF!</v>
      </c>
      <c r="N1113" s="1">
        <v>1</v>
      </c>
    </row>
    <row r="1114" spans="1:14" x14ac:dyDescent="0.55000000000000004">
      <c r="A1114" s="1" t="s">
        <v>1789</v>
      </c>
      <c r="B1114" s="2">
        <f>COUNTIF(A:A,A1114)-1</f>
        <v>3</v>
      </c>
      <c r="C1114" s="2">
        <f>COUNTIF(A$1:A1114,A1114)-1</f>
        <v>2</v>
      </c>
      <c r="D1114" s="2" t="str">
        <f>Argument!D1114</f>
        <v>r</v>
      </c>
      <c r="E1114" s="2" t="str">
        <f t="shared" si="34"/>
        <v/>
      </c>
      <c r="F1114" s="2" t="str">
        <f>IF(C1114=0,ISTEXT(FORMULA.CONVERT("="&amp;A1114&amp;"("&amp;REPLACE(REPT(",#ref!",B1114),1,1,"")&amp;")()",1)),"")</f>
        <v/>
      </c>
      <c r="G1114" s="2"/>
      <c r="H1114" s="2" t="str">
        <f t="shared" si="35"/>
        <v/>
      </c>
      <c r="I1114" s="2">
        <f>TYPE(SUBTOTAL(IF(1,1),IF(1,1),IF(1,1)))</f>
        <v>16</v>
      </c>
      <c r="J1114" s="2" t="str">
        <f>IF(C1114=0,COUNTIFS(A:A,A1114,D:D,"a"),"")</f>
        <v/>
      </c>
      <c r="K1114" s="2" t="e">
        <f>INDEX(+SUBTOTAL(#REF!,K1114:L1114,#REF!),)</f>
        <v>#REF!</v>
      </c>
      <c r="L1114" s="1">
        <v>1</v>
      </c>
      <c r="M1114" s="2" t="e">
        <f>INDEX(+SUBTOTAL(#REF!,INDIRECT(M1114:N1114),#REF!),)</f>
        <v>#REF!</v>
      </c>
      <c r="N1114" s="1">
        <v>1</v>
      </c>
    </row>
    <row r="1115" spans="1:14" x14ac:dyDescent="0.55000000000000004">
      <c r="A1115" s="1" t="s">
        <v>1789</v>
      </c>
      <c r="B1115" s="2">
        <f>COUNTIF(A:A,A1115)-1</f>
        <v>3</v>
      </c>
      <c r="C1115" s="2">
        <f>COUNTIF(A$1:A1115,A1115)-1</f>
        <v>3</v>
      </c>
      <c r="D1115" s="2" t="str">
        <f>Argument!D1115</f>
        <v>r</v>
      </c>
      <c r="E1115" s="2" t="str">
        <f t="shared" si="34"/>
        <v/>
      </c>
      <c r="F1115" s="2" t="str">
        <f>IF(C1115=0,ISTEXT(FORMULA.CONVERT("="&amp;A1115&amp;"("&amp;REPLACE(REPT(",#ref!",B1115),1,1,"")&amp;")()",1)),"")</f>
        <v/>
      </c>
      <c r="G1115" s="2"/>
      <c r="H1115" s="2" t="str">
        <f t="shared" si="35"/>
        <v/>
      </c>
      <c r="I1115" s="2">
        <f>TYPE(SUBTOTAL(IF(1,1),IF(1,1),IF(1,1)))</f>
        <v>16</v>
      </c>
      <c r="J1115" s="2" t="str">
        <f>IF(C1115=0,COUNTIFS(A:A,A1115,D:D,"a"),"")</f>
        <v/>
      </c>
      <c r="K1115" s="2" t="e">
        <f>INDEX(+SUBTOTAL(#REF!,#REF!,K1115:L1115),)</f>
        <v>#REF!</v>
      </c>
      <c r="L1115" s="1">
        <v>1</v>
      </c>
      <c r="M1115" s="2" t="e">
        <f>INDEX(+SUBTOTAL(#REF!,#REF!,INDIRECT(M1115:N1115)),)</f>
        <v>#REF!</v>
      </c>
      <c r="N1115" s="1">
        <v>1</v>
      </c>
    </row>
    <row r="1116" spans="1:14" x14ac:dyDescent="0.55000000000000004">
      <c r="A1116" s="1" t="s">
        <v>1790</v>
      </c>
      <c r="B1116" s="2">
        <f>COUNTIF(A:A,A1116)-1</f>
        <v>3</v>
      </c>
      <c r="C1116" s="2">
        <f>COUNTIF(A$1:A1116,A1116)-1</f>
        <v>0</v>
      </c>
      <c r="D1116" s="2" t="str">
        <f>Argument!D1116</f>
        <v/>
      </c>
      <c r="E1116" s="2" t="str">
        <f t="shared" si="34"/>
        <v>v</v>
      </c>
      <c r="F1116" s="2" t="b">
        <f>IF(C1116=0,ISTEXT(FORMULA.CONVERT("="&amp;A1116&amp;"("&amp;REPLACE(REPT(",#ref!",B1116),1,1,"")&amp;")()",1)),"")</f>
        <v>0</v>
      </c>
      <c r="G1116" s="2"/>
      <c r="H1116" s="2" t="str">
        <f t="shared" si="35"/>
        <v/>
      </c>
      <c r="I1116" s="2">
        <f>TYPE(SUMIF(IF(1,1),IF(1,1),IF(1,1)))</f>
        <v>16</v>
      </c>
      <c r="J1116" s="2">
        <f>IF(C1116=0,COUNTIFS(A:A,A1116,D:D,"a"),"")</f>
        <v>0</v>
      </c>
      <c r="K1116" s="2"/>
      <c r="M1116" s="2"/>
    </row>
    <row r="1117" spans="1:14" x14ac:dyDescent="0.55000000000000004">
      <c r="A1117" s="1" t="s">
        <v>1790</v>
      </c>
      <c r="B1117" s="2">
        <f>COUNTIF(A:A,A1117)-1</f>
        <v>3</v>
      </c>
      <c r="C1117" s="2">
        <f>COUNTIF(A$1:A1117,A1117)-1</f>
        <v>1</v>
      </c>
      <c r="D1117" s="2" t="str">
        <f>Argument!D1117</f>
        <v>r</v>
      </c>
      <c r="E1117" s="2" t="str">
        <f t="shared" si="34"/>
        <v/>
      </c>
      <c r="F1117" s="2" t="str">
        <f>IF(C1117=0,ISTEXT(FORMULA.CONVERT("="&amp;A1117&amp;"("&amp;REPLACE(REPT(",#ref!",B1117),1,1,"")&amp;")()",1)),"")</f>
        <v/>
      </c>
      <c r="G1117" s="2"/>
      <c r="H1117" s="2" t="str">
        <f t="shared" si="35"/>
        <v/>
      </c>
      <c r="I1117" s="2">
        <f>TYPE(SUMIF(IF(1,1),IF(1,1),IF(1,1)))</f>
        <v>16</v>
      </c>
      <c r="J1117" s="2" t="str">
        <f>IF(C1117=0,COUNTIFS(A:A,A1117,D:D,"a"),"")</f>
        <v/>
      </c>
      <c r="K1117" s="2" t="e">
        <f>INDEX(+SUMIF(K1117:L1117,#REF!,#REF!),)</f>
        <v>#REF!</v>
      </c>
      <c r="L1117" s="1">
        <v>1</v>
      </c>
      <c r="M1117" s="2" t="e">
        <f>INDEX(+SUMIF(INDIRECT(M1117:N1117),#REF!,#REF!),)</f>
        <v>#REF!</v>
      </c>
      <c r="N1117" s="1">
        <v>1</v>
      </c>
    </row>
    <row r="1118" spans="1:14" x14ac:dyDescent="0.55000000000000004">
      <c r="A1118" s="1" t="s">
        <v>1790</v>
      </c>
      <c r="B1118" s="2">
        <f>COUNTIF(A:A,A1118)-1</f>
        <v>3</v>
      </c>
      <c r="C1118" s="2">
        <f>COUNTIF(A$1:A1118,A1118)-1</f>
        <v>2</v>
      </c>
      <c r="D1118" s="2" t="str">
        <f>Argument!D1118</f>
        <v>v</v>
      </c>
      <c r="E1118" s="2" t="str">
        <f t="shared" si="34"/>
        <v/>
      </c>
      <c r="F1118" s="2" t="str">
        <f>IF(C1118=0,ISTEXT(FORMULA.CONVERT("="&amp;A1118&amp;"("&amp;REPLACE(REPT(",#ref!",B1118),1,1,"")&amp;")()",1)),"")</f>
        <v/>
      </c>
      <c r="G1118" s="2">
        <f>TYPE(SUMIF(IF(1,1),{1},IF(1,1)))</f>
        <v>64</v>
      </c>
      <c r="H1118" s="2" t="str">
        <f t="shared" si="35"/>
        <v/>
      </c>
      <c r="I1118" s="2">
        <f>TYPE(SUMIF(IF(1,1),IF(1,1),IF(1,1)))</f>
        <v>16</v>
      </c>
      <c r="J1118" s="2" t="str">
        <f>IF(C1118=0,COUNTIFS(A:A,A1118,D:D,"a"),"")</f>
        <v/>
      </c>
      <c r="K1118" s="2" t="e">
        <f>INDEX(+SUMIF(#REF!,K1118:L1118,#REF!),)</f>
        <v>#REF!</v>
      </c>
      <c r="L1118" s="1">
        <v>1</v>
      </c>
      <c r="M1118" s="2" t="e">
        <f>INDEX(+SUMIF(#REF!,INDIRECT(M1118:N1118),#REF!),)</f>
        <v>#REF!</v>
      </c>
      <c r="N1118" s="1">
        <v>1</v>
      </c>
    </row>
    <row r="1119" spans="1:14" x14ac:dyDescent="0.55000000000000004">
      <c r="A1119" s="1" t="s">
        <v>1790</v>
      </c>
      <c r="B1119" s="2">
        <f>COUNTIF(A:A,A1119)-1</f>
        <v>3</v>
      </c>
      <c r="C1119" s="2">
        <f>COUNTIF(A$1:A1119,A1119)-1</f>
        <v>3</v>
      </c>
      <c r="D1119" s="2" t="str">
        <f>Argument!D1119</f>
        <v>r</v>
      </c>
      <c r="E1119" s="2" t="str">
        <f t="shared" si="34"/>
        <v/>
      </c>
      <c r="F1119" s="2" t="str">
        <f>IF(C1119=0,ISTEXT(FORMULA.CONVERT("="&amp;A1119&amp;"("&amp;REPLACE(REPT(",#ref!",B1119),1,1,"")&amp;")()",1)),"")</f>
        <v/>
      </c>
      <c r="G1119" s="2"/>
      <c r="H1119" s="2" t="str">
        <f t="shared" si="35"/>
        <v/>
      </c>
      <c r="I1119" s="2">
        <f>TYPE(SUMIF(IF(1,1),IF(1,1),IF(1,1)))</f>
        <v>16</v>
      </c>
      <c r="J1119" s="2" t="str">
        <f>IF(C1119=0,COUNTIFS(A:A,A1119,D:D,"a"),"")</f>
        <v/>
      </c>
      <c r="K1119" s="2" t="e">
        <f>INDEX(+SUMIF(#REF!,#REF!,K1119:L1119),)</f>
        <v>#REF!</v>
      </c>
      <c r="L1119" s="1">
        <v>1</v>
      </c>
      <c r="M1119" s="2" t="e">
        <f>INDEX(+SUMIF(#REF!,#REF!,INDIRECT(M1119:N1119)),)</f>
        <v>#REF!</v>
      </c>
      <c r="N1119" s="1">
        <v>1</v>
      </c>
    </row>
    <row r="1120" spans="1:14" x14ac:dyDescent="0.55000000000000004">
      <c r="A1120" s="1" t="s">
        <v>1791</v>
      </c>
      <c r="B1120" s="2">
        <f>COUNTIF(A:A,A1120)-1</f>
        <v>2</v>
      </c>
      <c r="C1120" s="2">
        <f>COUNTIF(A$1:A1120,A1120)-1</f>
        <v>0</v>
      </c>
      <c r="D1120" s="2" t="str">
        <f>Argument!D1120</f>
        <v/>
      </c>
      <c r="E1120" s="2" t="str">
        <f t="shared" si="34"/>
        <v>v</v>
      </c>
      <c r="F1120" s="2" t="b">
        <f>IF(C1120=0,ISTEXT(FORMULA.CONVERT("="&amp;A1120&amp;"("&amp;REPLACE(REPT(",#ref!",B1120),1,1,"")&amp;")()",1)),"")</f>
        <v>0</v>
      </c>
      <c r="G1120" s="2"/>
      <c r="H1120" s="2" t="str">
        <f t="shared" si="35"/>
        <v/>
      </c>
      <c r="I1120" s="2">
        <f>TYPE(COUNTIF(IF(1,1),IF(1,1)))</f>
        <v>16</v>
      </c>
      <c r="J1120" s="2">
        <f>IF(C1120=0,COUNTIFS(A:A,A1120,D:D,"a"),"")</f>
        <v>0</v>
      </c>
      <c r="K1120" s="2"/>
      <c r="M1120" s="2"/>
    </row>
    <row r="1121" spans="1:14" x14ac:dyDescent="0.55000000000000004">
      <c r="A1121" s="1" t="s">
        <v>1791</v>
      </c>
      <c r="B1121" s="2">
        <f>COUNTIF(A:A,A1121)-1</f>
        <v>2</v>
      </c>
      <c r="C1121" s="2">
        <f>COUNTIF(A$1:A1121,A1121)-1</f>
        <v>1</v>
      </c>
      <c r="D1121" s="2" t="str">
        <f>Argument!D1121</f>
        <v>r</v>
      </c>
      <c r="E1121" s="2" t="str">
        <f t="shared" si="34"/>
        <v/>
      </c>
      <c r="F1121" s="2" t="str">
        <f>IF(C1121=0,ISTEXT(FORMULA.CONVERT("="&amp;A1121&amp;"("&amp;REPLACE(REPT(",#ref!",B1121),1,1,"")&amp;")()",1)),"")</f>
        <v/>
      </c>
      <c r="G1121" s="2"/>
      <c r="H1121" s="2" t="str">
        <f t="shared" si="35"/>
        <v/>
      </c>
      <c r="I1121" s="2">
        <f>TYPE(COUNTIF(IF(1,1),IF(1,1)))</f>
        <v>16</v>
      </c>
      <c r="J1121" s="2" t="str">
        <f>IF(C1121=0,COUNTIFS(A:A,A1121,D:D,"a"),"")</f>
        <v/>
      </c>
      <c r="K1121" s="2">
        <f>INDEX(+COUNTIF(K1121:L1121,#REF!),)</f>
        <v>0</v>
      </c>
      <c r="L1121" s="1">
        <v>1</v>
      </c>
      <c r="M1121" s="2" t="e">
        <f>INDEX(+COUNTIF(INDIRECT(M1121:N1121),#REF!),)</f>
        <v>#REF!</v>
      </c>
      <c r="N1121" s="1">
        <v>1</v>
      </c>
    </row>
    <row r="1122" spans="1:14" x14ac:dyDescent="0.55000000000000004">
      <c r="A1122" s="1" t="s">
        <v>1791</v>
      </c>
      <c r="B1122" s="2">
        <f>COUNTIF(A:A,A1122)-1</f>
        <v>2</v>
      </c>
      <c r="C1122" s="2">
        <f>COUNTIF(A$1:A1122,A1122)-1</f>
        <v>2</v>
      </c>
      <c r="D1122" s="2" t="str">
        <f>Argument!D1122</f>
        <v>v</v>
      </c>
      <c r="E1122" s="2" t="str">
        <f t="shared" si="34"/>
        <v/>
      </c>
      <c r="F1122" s="2" t="str">
        <f>IF(C1122=0,ISTEXT(FORMULA.CONVERT("="&amp;A1122&amp;"("&amp;REPLACE(REPT(",#ref!",B1122),1,1,"")&amp;")()",1)),"")</f>
        <v/>
      </c>
      <c r="G1122" s="2">
        <f>TYPE(COUNTIF(IF(1,1),{1}))</f>
        <v>64</v>
      </c>
      <c r="H1122" s="2" t="str">
        <f t="shared" si="35"/>
        <v/>
      </c>
      <c r="I1122" s="2">
        <f>TYPE(COUNTIF(IF(1,1),IF(1,1)))</f>
        <v>16</v>
      </c>
      <c r="J1122" s="2" t="str">
        <f>IF(C1122=0,COUNTIFS(A:A,A1122,D:D,"a"),"")</f>
        <v/>
      </c>
      <c r="K1122" s="2" t="e">
        <f>INDEX(+COUNTIF(#REF!,K1122:L1122),)</f>
        <v>#REF!</v>
      </c>
      <c r="L1122" s="1">
        <v>1</v>
      </c>
      <c r="M1122" s="2" t="e">
        <f>INDEX(+COUNTIF(#REF!,INDIRECT(M1122:N1122)),)</f>
        <v>#REF!</v>
      </c>
      <c r="N1122" s="1">
        <v>1</v>
      </c>
    </row>
    <row r="1123" spans="1:14" x14ac:dyDescent="0.55000000000000004">
      <c r="A1123" s="1" t="s">
        <v>1792</v>
      </c>
      <c r="B1123" s="2">
        <f>COUNTIF(A:A,A1123)-1</f>
        <v>1</v>
      </c>
      <c r="C1123" s="2">
        <f>COUNTIF(A$1:A1123,A1123)-1</f>
        <v>0</v>
      </c>
      <c r="D1123" s="2" t="str">
        <f>Argument!D1123</f>
        <v/>
      </c>
      <c r="E1123" s="2" t="str">
        <f t="shared" si="34"/>
        <v>v</v>
      </c>
      <c r="F1123" s="2" t="b">
        <f>IF(C1123=0,ISTEXT(FORMULA.CONVERT("="&amp;A1123&amp;"("&amp;REPLACE(REPT(",#ref!",B1123),1,1,"")&amp;")()",1)),"")</f>
        <v>0</v>
      </c>
      <c r="G1123" s="2"/>
      <c r="H1123" s="2" t="str">
        <f t="shared" si="35"/>
        <v/>
      </c>
      <c r="I1123" s="2">
        <f>TYPE(COUNTBLANK(IF(1,1)))</f>
        <v>16</v>
      </c>
      <c r="J1123" s="2">
        <f>IF(C1123=0,COUNTIFS(A:A,A1123,D:D,"a"),"")</f>
        <v>0</v>
      </c>
      <c r="K1123" s="2"/>
      <c r="M1123" s="2"/>
    </row>
    <row r="1124" spans="1:14" x14ac:dyDescent="0.55000000000000004">
      <c r="A1124" s="1" t="s">
        <v>1792</v>
      </c>
      <c r="B1124" s="2">
        <f>COUNTIF(A:A,A1124)-1</f>
        <v>1</v>
      </c>
      <c r="C1124" s="2">
        <f>COUNTIF(A$1:A1124,A1124)-1</f>
        <v>1</v>
      </c>
      <c r="D1124" s="2" t="str">
        <f>Argument!D1124</f>
        <v>r</v>
      </c>
      <c r="E1124" s="2" t="str">
        <f t="shared" si="34"/>
        <v/>
      </c>
      <c r="F1124" s="2" t="str">
        <f>IF(C1124=0,ISTEXT(FORMULA.CONVERT("="&amp;A1124&amp;"("&amp;REPLACE(REPT(",#ref!",B1124),1,1,"")&amp;")()",1)),"")</f>
        <v/>
      </c>
      <c r="G1124" s="2"/>
      <c r="H1124" s="2" t="str">
        <f t="shared" si="35"/>
        <v/>
      </c>
      <c r="I1124" s="2">
        <f>TYPE(COUNTBLANK(IF(1,1)))</f>
        <v>16</v>
      </c>
      <c r="J1124" s="2" t="str">
        <f>IF(C1124=0,COUNTIFS(A:A,A1124,D:D,"a"),"")</f>
        <v/>
      </c>
      <c r="K1124" s="2">
        <f>INDEX(+COUNTBLANK(K1124:L1124),)</f>
        <v>1</v>
      </c>
      <c r="L1124" s="1">
        <v>1</v>
      </c>
      <c r="M1124" s="2" t="e">
        <f>INDEX(+COUNTBLANK(INDIRECT(M1124:N1124)),)</f>
        <v>#REF!</v>
      </c>
      <c r="N1124" s="1">
        <v>1</v>
      </c>
    </row>
    <row r="1125" spans="1:14" x14ac:dyDescent="0.55000000000000004">
      <c r="A1125" s="1" t="s">
        <v>1793</v>
      </c>
      <c r="B1125" s="2">
        <f>COUNTIF(A:A,A1125)-1</f>
        <v>2</v>
      </c>
      <c r="C1125" s="2">
        <f>COUNTIF(A$1:A1125,A1125)-1</f>
        <v>0</v>
      </c>
      <c r="D1125" s="2" t="str">
        <f>Argument!D1125</f>
        <v/>
      </c>
      <c r="E1125" s="2" t="str">
        <f t="shared" si="34"/>
        <v>r</v>
      </c>
      <c r="F1125" s="2" t="b">
        <f>IF(C1125=0,ISTEXT(FORMULA.CONVERT("="&amp;A1125&amp;"("&amp;REPLACE(REPT(",#ref!",B1125),1,1,"")&amp;")()",1)),"")</f>
        <v>1</v>
      </c>
      <c r="G1125" s="2"/>
      <c r="H1125" s="2" t="str">
        <f t="shared" si="35"/>
        <v/>
      </c>
      <c r="I1125" s="2">
        <f>TYPE(SCENARIO.GET(IF(1,1),IF(1,1)))</f>
        <v>16</v>
      </c>
      <c r="J1125" s="2">
        <f>IF(C1125=0,COUNTIFS(A:A,A1125,D:D,"a"),"")</f>
        <v>0</v>
      </c>
      <c r="K1125" s="2"/>
      <c r="M1125" s="2"/>
    </row>
    <row r="1126" spans="1:14" x14ac:dyDescent="0.55000000000000004">
      <c r="A1126" s="1" t="s">
        <v>1793</v>
      </c>
      <c r="B1126" s="2">
        <f>COUNTIF(A:A,A1126)-1</f>
        <v>2</v>
      </c>
      <c r="C1126" s="2">
        <f>COUNTIF(A$1:A1126,A1126)-1</f>
        <v>1</v>
      </c>
      <c r="D1126" s="2" t="str">
        <f>Argument!D1126</f>
        <v>v</v>
      </c>
      <c r="E1126" s="2" t="str">
        <f t="shared" si="34"/>
        <v/>
      </c>
      <c r="F1126" s="2" t="str">
        <f>IF(C1126=0,ISTEXT(FORMULA.CONVERT("="&amp;A1126&amp;"("&amp;REPLACE(REPT(",#ref!",B1126),1,1,"")&amp;")()",1)),"")</f>
        <v/>
      </c>
      <c r="G1126" s="2">
        <f>TYPE(SCENARIO.GET({1},IF(1,1)))</f>
        <v>64</v>
      </c>
      <c r="H1126" s="2" t="str">
        <f t="shared" si="35"/>
        <v/>
      </c>
      <c r="I1126" s="2">
        <f>TYPE(SCENARIO.GET(IF(1,1),IF(1,1)))</f>
        <v>16</v>
      </c>
      <c r="J1126" s="2" t="str">
        <f>IF(C1126=0,COUNTIFS(A:A,A1126,D:D,"a"),"")</f>
        <v/>
      </c>
      <c r="K1126" s="2" t="e">
        <f>INDEX(+SCENARIO.GET(K1126:L1126,#REF!),)</f>
        <v>#REF!</v>
      </c>
      <c r="L1126" s="1">
        <v>1</v>
      </c>
      <c r="M1126" s="2" t="e">
        <f>INDEX(+SCENARIO.GET(INDIRECT(M1126:N1126),#REF!),)</f>
        <v>#REF!</v>
      </c>
      <c r="N1126" s="1">
        <v>1</v>
      </c>
    </row>
    <row r="1127" spans="1:14" x14ac:dyDescent="0.55000000000000004">
      <c r="A1127" s="1" t="s">
        <v>1793</v>
      </c>
      <c r="B1127" s="2">
        <f>COUNTIF(A:A,A1127)-1</f>
        <v>2</v>
      </c>
      <c r="C1127" s="2">
        <f>COUNTIF(A$1:A1127,A1127)-1</f>
        <v>2</v>
      </c>
      <c r="D1127" s="2" t="str">
        <f>Argument!D1127</f>
        <v>v</v>
      </c>
      <c r="E1127" s="2" t="str">
        <f t="shared" si="34"/>
        <v/>
      </c>
      <c r="F1127" s="2" t="str">
        <f>IF(C1127=0,ISTEXT(FORMULA.CONVERT("="&amp;A1127&amp;"("&amp;REPLACE(REPT(",#ref!",B1127),1,1,"")&amp;")()",1)),"")</f>
        <v/>
      </c>
      <c r="G1127" s="2">
        <f>TYPE(SCENARIO.GET(IF(1,1),{1}))</f>
        <v>64</v>
      </c>
      <c r="H1127" s="2" t="str">
        <f t="shared" si="35"/>
        <v/>
      </c>
      <c r="I1127" s="2">
        <f>TYPE(SCENARIO.GET(IF(1,1),IF(1,1)))</f>
        <v>16</v>
      </c>
      <c r="J1127" s="2" t="str">
        <f>IF(C1127=0,COUNTIFS(A:A,A1127,D:D,"a"),"")</f>
        <v/>
      </c>
      <c r="K1127" s="2" t="e">
        <f>INDEX(+SCENARIO.GET(#REF!,K1127:L1127),)</f>
        <v>#REF!</v>
      </c>
      <c r="L1127" s="1">
        <v>1</v>
      </c>
      <c r="M1127" s="2" t="e">
        <f>INDEX(+SCENARIO.GET(#REF!,INDIRECT(M1127:N1127)),)</f>
        <v>#REF!</v>
      </c>
      <c r="N1127" s="1">
        <v>1</v>
      </c>
    </row>
    <row r="1128" spans="1:14" x14ac:dyDescent="0.55000000000000004">
      <c r="A1128" s="1" t="s">
        <v>1794</v>
      </c>
      <c r="B1128" s="2">
        <f>COUNTIF(A:A,A1128)-1</f>
        <v>1</v>
      </c>
      <c r="C1128" s="2">
        <f>COUNTIF(A$1:A1128,A1128)-1</f>
        <v>0</v>
      </c>
      <c r="D1128" s="2" t="str">
        <f>Argument!D1128</f>
        <v/>
      </c>
      <c r="E1128" s="2" t="str">
        <f t="shared" si="34"/>
        <v>va</v>
      </c>
      <c r="F1128" s="2" t="b">
        <f>IF(C1128=0,ISTEXT(FORMULA.CONVERT("="&amp;A1128&amp;"("&amp;REPLACE(REPT(",#ref!",B1128),1,1,"")&amp;")()",1)),"")</f>
        <v>0</v>
      </c>
      <c r="G1128" s="2"/>
      <c r="H1128" s="2" t="str">
        <f t="shared" si="35"/>
        <v/>
      </c>
      <c r="I1128" s="2">
        <f>TYPE(OPTIONS.LISTS.GET(IF(1,1)))</f>
        <v>2</v>
      </c>
      <c r="J1128" s="2">
        <f>IF(C1128=0,COUNTIFS(A:A,A1128,D:D,"a"),"")</f>
        <v>0</v>
      </c>
      <c r="K1128" s="2"/>
      <c r="M1128" s="2"/>
    </row>
    <row r="1129" spans="1:14" x14ac:dyDescent="0.55000000000000004">
      <c r="A1129" s="1" t="s">
        <v>1794</v>
      </c>
      <c r="B1129" s="2">
        <f>COUNTIF(A:A,A1129)-1</f>
        <v>1</v>
      </c>
      <c r="C1129" s="2">
        <f>COUNTIF(A$1:A1129,A1129)-1</f>
        <v>1</v>
      </c>
      <c r="D1129" s="2" t="str">
        <f>Argument!D1129</f>
        <v>va</v>
      </c>
      <c r="E1129" s="2" t="str">
        <f t="shared" si="34"/>
        <v/>
      </c>
      <c r="F1129" s="2" t="str">
        <f>IF(C1129=0,ISTEXT(FORMULA.CONVERT("="&amp;A1129&amp;"("&amp;REPLACE(REPT(",#ref!",B1129),1,1,"")&amp;")()",1)),"")</f>
        <v/>
      </c>
      <c r="G1129" s="2">
        <f>TYPE(OPTIONS.LISTS.GET({1}))</f>
        <v>4</v>
      </c>
      <c r="H1129" s="2">
        <f t="shared" si="35"/>
        <v>1</v>
      </c>
      <c r="I1129" s="2">
        <f>TYPE(OPTIONS.LISTS.GET(IF(1,1)))</f>
        <v>2</v>
      </c>
      <c r="J1129" s="2" t="str">
        <f>IF(C1129=0,COUNTIFS(A:A,A1129,D:D,"a"),"")</f>
        <v/>
      </c>
      <c r="K1129" s="2" t="e">
        <f>INDEX(+OPTIONS.LISTS.GET(K1129:L1129),)</f>
        <v>#VALUE!</v>
      </c>
      <c r="M1129" s="2" t="e">
        <f>INDEX(+OPTIONS.LISTS.GET(INDIRECT(M1129:N1129)),)</f>
        <v>#REF!</v>
      </c>
    </row>
    <row r="1130" spans="1:14" x14ac:dyDescent="0.55000000000000004">
      <c r="A1130" s="1" t="s">
        <v>1795</v>
      </c>
      <c r="B1130" s="2">
        <f>COUNTIF(A:A,A1130)-1</f>
        <v>4</v>
      </c>
      <c r="C1130" s="2">
        <f>COUNTIF(A$1:A1130,A1130)-1</f>
        <v>0</v>
      </c>
      <c r="D1130" s="2" t="str">
        <f>Argument!D1130</f>
        <v/>
      </c>
      <c r="E1130" s="2" t="str">
        <f t="shared" si="34"/>
        <v>v</v>
      </c>
      <c r="F1130" s="2" t="b">
        <f>IF(C1130=0,ISTEXT(FORMULA.CONVERT("="&amp;A1130&amp;"("&amp;REPLACE(REPT(",#ref!",B1130),1,1,"")&amp;")()",1)),"")</f>
        <v>0</v>
      </c>
      <c r="G1130" s="2"/>
      <c r="H1130" s="2" t="str">
        <f t="shared" si="35"/>
        <v/>
      </c>
      <c r="I1130" s="2">
        <f>TYPE(ISPMT(IF(1,1),IF(1,1),IF(1,1),IF(1,1)))</f>
        <v>1</v>
      </c>
      <c r="J1130" s="2">
        <f>IF(C1130=0,COUNTIFS(A:A,A1130,D:D,"a"),"")</f>
        <v>0</v>
      </c>
      <c r="K1130" s="2"/>
      <c r="M1130" s="2"/>
    </row>
    <row r="1131" spans="1:14" x14ac:dyDescent="0.55000000000000004">
      <c r="A1131" s="1" t="s">
        <v>1795</v>
      </c>
      <c r="B1131" s="2">
        <f>COUNTIF(A:A,A1131)-1</f>
        <v>4</v>
      </c>
      <c r="C1131" s="2">
        <f>COUNTIF(A$1:A1131,A1131)-1</f>
        <v>1</v>
      </c>
      <c r="D1131" s="2" t="str">
        <f>Argument!D1131</f>
        <v>v</v>
      </c>
      <c r="E1131" s="2" t="str">
        <f t="shared" si="34"/>
        <v/>
      </c>
      <c r="F1131" s="2" t="str">
        <f>IF(C1131=0,ISTEXT(FORMULA.CONVERT("="&amp;A1131&amp;"("&amp;REPLACE(REPT(",#ref!",B1131),1,1,"")&amp;")()",1)),"")</f>
        <v/>
      </c>
      <c r="G1131" s="2">
        <f>TYPE(ISPMT({1},IF(1,1),IF(1,1),IF(1,1)))</f>
        <v>64</v>
      </c>
      <c r="H1131" s="2" t="str">
        <f t="shared" si="35"/>
        <v/>
      </c>
      <c r="I1131" s="2">
        <f>TYPE(ISPMT(IF(1,1),IF(1,1),IF(1,1),IF(1,1)))</f>
        <v>1</v>
      </c>
      <c r="J1131" s="2" t="str">
        <f>IF(C1131=0,COUNTIFS(A:A,A1131,D:D,"a"),"")</f>
        <v/>
      </c>
      <c r="K1131" s="2" t="e">
        <f>INDEX(+ISPMT(K1131:L1131,#REF!,#REF!,#REF!),)</f>
        <v>#REF!</v>
      </c>
      <c r="L1131" s="1">
        <v>1</v>
      </c>
      <c r="M1131" s="2" t="e">
        <f>INDEX(+ISPMT(INDIRECT(M1131:N1131),#REF!,#REF!,#REF!),)</f>
        <v>#REF!</v>
      </c>
      <c r="N1131" s="1">
        <v>1</v>
      </c>
    </row>
    <row r="1132" spans="1:14" x14ac:dyDescent="0.55000000000000004">
      <c r="A1132" s="1" t="s">
        <v>1795</v>
      </c>
      <c r="B1132" s="2">
        <f>COUNTIF(A:A,A1132)-1</f>
        <v>4</v>
      </c>
      <c r="C1132" s="2">
        <f>COUNTIF(A$1:A1132,A1132)-1</f>
        <v>2</v>
      </c>
      <c r="D1132" s="2" t="str">
        <f>Argument!D1132</f>
        <v>v</v>
      </c>
      <c r="E1132" s="2" t="str">
        <f t="shared" si="34"/>
        <v/>
      </c>
      <c r="F1132" s="2" t="str">
        <f>IF(C1132=0,ISTEXT(FORMULA.CONVERT("="&amp;A1132&amp;"("&amp;REPLACE(REPT(",#ref!",B1132),1,1,"")&amp;")()",1)),"")</f>
        <v/>
      </c>
      <c r="G1132" s="2">
        <f>TYPE(ISPMT(IF(1,1),{1},IF(1,1),IF(1,1)))</f>
        <v>64</v>
      </c>
      <c r="H1132" s="2" t="str">
        <f t="shared" si="35"/>
        <v/>
      </c>
      <c r="I1132" s="2">
        <f>TYPE(ISPMT(IF(1,1),IF(1,1),IF(1,1),IF(1,1)))</f>
        <v>1</v>
      </c>
      <c r="J1132" s="2" t="str">
        <f>IF(C1132=0,COUNTIFS(A:A,A1132,D:D,"a"),"")</f>
        <v/>
      </c>
      <c r="K1132" s="2" t="e">
        <f>INDEX(+ISPMT(#REF!,K1132:L1132,#REF!,#REF!),)</f>
        <v>#REF!</v>
      </c>
      <c r="L1132" s="1">
        <v>1</v>
      </c>
      <c r="M1132" s="2" t="e">
        <f>INDEX(+ISPMT(#REF!,INDIRECT(M1132:N1132),#REF!,#REF!),)</f>
        <v>#REF!</v>
      </c>
      <c r="N1132" s="1">
        <v>1</v>
      </c>
    </row>
    <row r="1133" spans="1:14" x14ac:dyDescent="0.55000000000000004">
      <c r="A1133" s="1" t="s">
        <v>1795</v>
      </c>
      <c r="B1133" s="2">
        <f>COUNTIF(A:A,A1133)-1</f>
        <v>4</v>
      </c>
      <c r="C1133" s="2">
        <f>COUNTIF(A$1:A1133,A1133)-1</f>
        <v>3</v>
      </c>
      <c r="D1133" s="2" t="str">
        <f>Argument!D1133</f>
        <v>v</v>
      </c>
      <c r="E1133" s="2" t="str">
        <f t="shared" si="34"/>
        <v/>
      </c>
      <c r="F1133" s="2" t="str">
        <f>IF(C1133=0,ISTEXT(FORMULA.CONVERT("="&amp;A1133&amp;"("&amp;REPLACE(REPT(",#ref!",B1133),1,1,"")&amp;")()",1)),"")</f>
        <v/>
      </c>
      <c r="G1133" s="2">
        <f>TYPE(ISPMT(IF(1,1),IF(1,1),{1},IF(1,1)))</f>
        <v>64</v>
      </c>
      <c r="H1133" s="2" t="str">
        <f t="shared" si="35"/>
        <v/>
      </c>
      <c r="I1133" s="2">
        <f>TYPE(ISPMT(IF(1,1),IF(1,1),IF(1,1),IF(1,1)))</f>
        <v>1</v>
      </c>
      <c r="J1133" s="2" t="str">
        <f>IF(C1133=0,COUNTIFS(A:A,A1133,D:D,"a"),"")</f>
        <v/>
      </c>
      <c r="K1133" s="2" t="e">
        <f>INDEX(+ISPMT(#REF!,#REF!,K1133:L1133,#REF!),)</f>
        <v>#REF!</v>
      </c>
      <c r="L1133" s="1">
        <v>1</v>
      </c>
      <c r="M1133" s="2" t="e">
        <f>INDEX(+ISPMT(#REF!,#REF!,INDIRECT(M1133:N1133),#REF!),)</f>
        <v>#REF!</v>
      </c>
      <c r="N1133" s="1">
        <v>1</v>
      </c>
    </row>
    <row r="1134" spans="1:14" x14ac:dyDescent="0.55000000000000004">
      <c r="A1134" s="1" t="s">
        <v>1795</v>
      </c>
      <c r="B1134" s="2">
        <f>COUNTIF(A:A,A1134)-1</f>
        <v>4</v>
      </c>
      <c r="C1134" s="2">
        <f>COUNTIF(A$1:A1134,A1134)-1</f>
        <v>4</v>
      </c>
      <c r="D1134" s="2" t="str">
        <f>Argument!D1134</f>
        <v>v</v>
      </c>
      <c r="E1134" s="2" t="str">
        <f t="shared" si="34"/>
        <v/>
      </c>
      <c r="F1134" s="2" t="str">
        <f>IF(C1134=0,ISTEXT(FORMULA.CONVERT("="&amp;A1134&amp;"("&amp;REPLACE(REPT(",#ref!",B1134),1,1,"")&amp;")()",1)),"")</f>
        <v/>
      </c>
      <c r="G1134" s="2">
        <f>TYPE(ISPMT(IF(1,1),IF(1,1),IF(1,1),{1}))</f>
        <v>64</v>
      </c>
      <c r="H1134" s="2" t="str">
        <f t="shared" si="35"/>
        <v/>
      </c>
      <c r="I1134" s="2">
        <f>TYPE(ISPMT(IF(1,1),IF(1,1),IF(1,1),IF(1,1)))</f>
        <v>1</v>
      </c>
      <c r="J1134" s="2" t="str">
        <f>IF(C1134=0,COUNTIFS(A:A,A1134,D:D,"a"),"")</f>
        <v/>
      </c>
      <c r="K1134" s="2" t="e">
        <f>INDEX(+ISPMT(#REF!,#REF!,#REF!,K1134:L1134),)</f>
        <v>#REF!</v>
      </c>
      <c r="L1134" s="1">
        <v>1</v>
      </c>
      <c r="M1134" s="2" t="e">
        <f>INDEX(+ISPMT(#REF!,#REF!,#REF!,INDIRECT(M1134:N1134)),)</f>
        <v>#REF!</v>
      </c>
      <c r="N1134" s="1">
        <v>1</v>
      </c>
    </row>
    <row r="1135" spans="1:14" x14ac:dyDescent="0.55000000000000004">
      <c r="A1135" s="1" t="s">
        <v>2057</v>
      </c>
      <c r="B1135" s="2">
        <f>COUNTIF(A:A,A1135)-1</f>
        <v>3</v>
      </c>
      <c r="C1135" s="2">
        <f>COUNTIF(A$1:A1135,A1135)-1</f>
        <v>0</v>
      </c>
      <c r="D1135" s="2" t="str">
        <f>Argument!D1135</f>
        <v/>
      </c>
      <c r="E1135" s="2" t="str">
        <f t="shared" si="34"/>
        <v>v</v>
      </c>
      <c r="F1135" s="2" t="b">
        <f>IF(C1135=0,ISTEXT(FORMULA.CONVERT("="&amp;A1135&amp;"("&amp;REPLACE(REPT(",#ref!",B1135),1,1,"")&amp;")()",1)),"")</f>
        <v>0</v>
      </c>
      <c r="G1135" s="2"/>
      <c r="H1135" s="2" t="str">
        <f t="shared" si="35"/>
        <v/>
      </c>
      <c r="I1135" s="2">
        <f>TYPE(DATEDIF(IF(1,1),IF(1,1),IF(1,1)))</f>
        <v>16</v>
      </c>
      <c r="J1135" s="2">
        <f>IF(C1135=0,COUNTIFS(A:A,A1135,D:D,"a"),"")</f>
        <v>0</v>
      </c>
      <c r="K1135" s="2"/>
      <c r="M1135" s="2"/>
    </row>
    <row r="1136" spans="1:14" x14ac:dyDescent="0.55000000000000004">
      <c r="A1136" s="1" t="s">
        <v>2057</v>
      </c>
      <c r="B1136" s="2">
        <f>COUNTIF(A:A,A1136)-1</f>
        <v>3</v>
      </c>
      <c r="C1136" s="2">
        <f>COUNTIF(A$1:A1136,A1136)-1</f>
        <v>1</v>
      </c>
      <c r="D1136" s="2" t="str">
        <f>Argument!D1136</f>
        <v>v</v>
      </c>
      <c r="E1136" s="2" t="str">
        <f t="shared" si="34"/>
        <v/>
      </c>
      <c r="F1136" s="2" t="str">
        <f>IF(C1136=0,ISTEXT(FORMULA.CONVERT("="&amp;A1136&amp;"("&amp;REPLACE(REPT(",#ref!",B1136),1,1,"")&amp;")()",1)),"")</f>
        <v/>
      </c>
      <c r="G1136" s="2">
        <f>TYPE(DATEDIF({1},IF(1,1),IF(1,1)))</f>
        <v>64</v>
      </c>
      <c r="H1136" s="2" t="str">
        <f t="shared" si="35"/>
        <v/>
      </c>
      <c r="I1136" s="2">
        <f>TYPE(DATEDIF(IF(1,1),IF(1,1),IF(1,1)))</f>
        <v>16</v>
      </c>
      <c r="J1136" s="2" t="str">
        <f>IF(C1136=0,COUNTIFS(A:A,A1136,D:D,"a"),"")</f>
        <v/>
      </c>
      <c r="K1136" s="2" t="e">
        <f>INDEX(+DATEDIF(K1136:L1136,#REF!,#REF!),)</f>
        <v>#REF!</v>
      </c>
      <c r="L1136" s="1">
        <v>1</v>
      </c>
      <c r="M1136" s="2" t="e">
        <f>INDEX(+DATEDIF(INDIRECT(M1136:N1136),#REF!,#REF!),)</f>
        <v>#REF!</v>
      </c>
      <c r="N1136" s="1">
        <v>1</v>
      </c>
    </row>
    <row r="1137" spans="1:14" x14ac:dyDescent="0.55000000000000004">
      <c r="A1137" s="1" t="s">
        <v>2057</v>
      </c>
      <c r="B1137" s="2">
        <f>COUNTIF(A:A,A1137)-1</f>
        <v>3</v>
      </c>
      <c r="C1137" s="2">
        <f>COUNTIF(A$1:A1137,A1137)-1</f>
        <v>2</v>
      </c>
      <c r="D1137" s="2" t="str">
        <f>Argument!D1137</f>
        <v>v</v>
      </c>
      <c r="E1137" s="2" t="str">
        <f t="shared" si="34"/>
        <v/>
      </c>
      <c r="F1137" s="2" t="str">
        <f>IF(C1137=0,ISTEXT(FORMULA.CONVERT("="&amp;A1137&amp;"("&amp;REPLACE(REPT(",#ref!",B1137),1,1,"")&amp;")()",1)),"")</f>
        <v/>
      </c>
      <c r="G1137" s="2">
        <f>TYPE(DATEDIF(IF(1,1),{1},IF(1,1)))</f>
        <v>64</v>
      </c>
      <c r="H1137" s="2" t="str">
        <f t="shared" si="35"/>
        <v/>
      </c>
      <c r="I1137" s="2">
        <f>TYPE(DATEDIF(IF(1,1),IF(1,1),IF(1,1)))</f>
        <v>16</v>
      </c>
      <c r="J1137" s="2" t="str">
        <f>IF(C1137=0,COUNTIFS(A:A,A1137,D:D,"a"),"")</f>
        <v/>
      </c>
      <c r="K1137" s="2" t="e">
        <f>INDEX(+DATEDIF(#REF!,K1137:L1137,#REF!),)</f>
        <v>#REF!</v>
      </c>
      <c r="L1137" s="1">
        <v>1</v>
      </c>
      <c r="M1137" s="2" t="e">
        <f>INDEX(+DATEDIF(#REF!,INDIRECT(M1137:N1137),#REF!),)</f>
        <v>#REF!</v>
      </c>
      <c r="N1137" s="1">
        <v>1</v>
      </c>
    </row>
    <row r="1138" spans="1:14" x14ac:dyDescent="0.55000000000000004">
      <c r="A1138" s="1" t="s">
        <v>2057</v>
      </c>
      <c r="B1138" s="2">
        <f>COUNTIF(A:A,A1138)-1</f>
        <v>3</v>
      </c>
      <c r="C1138" s="2">
        <f>COUNTIF(A$1:A1138,A1138)-1</f>
        <v>3</v>
      </c>
      <c r="D1138" s="2" t="str">
        <f>Argument!D1138</f>
        <v>v</v>
      </c>
      <c r="E1138" s="2" t="str">
        <f t="shared" si="34"/>
        <v/>
      </c>
      <c r="F1138" s="2" t="str">
        <f>IF(C1138=0,ISTEXT(FORMULA.CONVERT("="&amp;A1138&amp;"("&amp;REPLACE(REPT(",#ref!",B1138),1,1,"")&amp;")()",1)),"")</f>
        <v/>
      </c>
      <c r="G1138" s="2">
        <f>TYPE(DATEDIF(IF(1,1),IF(1,1),{1}))</f>
        <v>64</v>
      </c>
      <c r="H1138" s="2" t="str">
        <f t="shared" si="35"/>
        <v/>
      </c>
      <c r="I1138" s="2">
        <f>TYPE(DATEDIF(IF(1,1),IF(1,1),IF(1,1)))</f>
        <v>16</v>
      </c>
      <c r="J1138" s="2" t="str">
        <f>IF(C1138=0,COUNTIFS(A:A,A1138,D:D,"a"),"")</f>
        <v/>
      </c>
      <c r="K1138" s="2" t="e">
        <f>INDEX(+DATEDIF(#REF!,#REF!,K1138:L1138),)</f>
        <v>#REF!</v>
      </c>
      <c r="L1138" s="1">
        <v>1</v>
      </c>
      <c r="M1138" s="2" t="e">
        <f>INDEX(+DATEDIF(#REF!,#REF!,INDIRECT(M1138:N1138)),)</f>
        <v>#REF!</v>
      </c>
      <c r="N1138" s="1">
        <v>1</v>
      </c>
    </row>
    <row r="1139" spans="1:14" x14ac:dyDescent="0.55000000000000004">
      <c r="A1139" s="1" t="s">
        <v>2058</v>
      </c>
      <c r="B1139" s="2">
        <f>COUNTIF(A:A,A1139)-1</f>
        <v>1</v>
      </c>
      <c r="C1139" s="2">
        <f>COUNTIF(A$1:A1139,A1139)-1</f>
        <v>0</v>
      </c>
      <c r="D1139" s="2" t="str">
        <f>Argument!D1139</f>
        <v/>
      </c>
      <c r="E1139" s="2" t="str">
        <f t="shared" si="34"/>
        <v>v</v>
      </c>
      <c r="F1139" s="2" t="b">
        <f>IF(C1139=0,ISTEXT(FORMULA.CONVERT("="&amp;A1139&amp;"("&amp;REPLACE(REPT(",#ref!",B1139),1,1,"")&amp;")()",1)),"")</f>
        <v>0</v>
      </c>
      <c r="G1139" s="2"/>
      <c r="H1139" s="2" t="str">
        <f t="shared" si="35"/>
        <v/>
      </c>
      <c r="I1139" s="2">
        <f>TYPE(DATESTRING(IF(1,1)))</f>
        <v>16</v>
      </c>
      <c r="J1139" s="2">
        <f>IF(C1139=0,COUNTIFS(A:A,A1139,D:D,"a"),"")</f>
        <v>0</v>
      </c>
      <c r="K1139" s="2"/>
      <c r="M1139" s="2"/>
    </row>
    <row r="1140" spans="1:14" x14ac:dyDescent="0.55000000000000004">
      <c r="A1140" s="1" t="s">
        <v>2058</v>
      </c>
      <c r="B1140" s="2">
        <f>COUNTIF(A:A,A1140)-1</f>
        <v>1</v>
      </c>
      <c r="C1140" s="2">
        <f>COUNTIF(A$1:A1140,A1140)-1</f>
        <v>1</v>
      </c>
      <c r="D1140" s="2" t="str">
        <f>Argument!D1140</f>
        <v>v</v>
      </c>
      <c r="E1140" s="2" t="str">
        <f t="shared" si="34"/>
        <v/>
      </c>
      <c r="F1140" s="2" t="str">
        <f>IF(C1140=0,ISTEXT(FORMULA.CONVERT("="&amp;A1140&amp;"("&amp;REPLACE(REPT(",#ref!",B1140),1,1,"")&amp;")()",1)),"")</f>
        <v/>
      </c>
      <c r="G1140" s="2">
        <f>TYPE(DATESTRING({1}))</f>
        <v>64</v>
      </c>
      <c r="H1140" s="2" t="str">
        <f t="shared" si="35"/>
        <v/>
      </c>
      <c r="I1140" s="2">
        <f>TYPE(DATESTRING(IF(1,1)))</f>
        <v>16</v>
      </c>
      <c r="J1140" s="2" t="str">
        <f>IF(C1140=0,COUNTIFS(A:A,A1140,D:D,"a"),"")</f>
        <v/>
      </c>
      <c r="K1140" s="2" t="e">
        <f>INDEX(+DATESTRING(K1140:L1140),)</f>
        <v>#N/A</v>
      </c>
      <c r="L1140" s="1">
        <v>1</v>
      </c>
      <c r="M1140" s="2" t="e">
        <f>INDEX(+DATESTRING(INDIRECT(M1140:N1140)),)</f>
        <v>#REF!</v>
      </c>
      <c r="N1140" s="1">
        <v>1</v>
      </c>
    </row>
    <row r="1141" spans="1:14" x14ac:dyDescent="0.55000000000000004">
      <c r="A1141" s="1" t="s">
        <v>2059</v>
      </c>
      <c r="B1141" s="2">
        <f>COUNTIF(A:A,A1141)-1</f>
        <v>2</v>
      </c>
      <c r="C1141" s="2">
        <f>COUNTIF(A$1:A1141,A1141)-1</f>
        <v>0</v>
      </c>
      <c r="D1141" s="2" t="str">
        <f>Argument!D1141</f>
        <v/>
      </c>
      <c r="E1141" s="2" t="str">
        <f t="shared" si="34"/>
        <v>v</v>
      </c>
      <c r="F1141" s="2" t="b">
        <f>IF(C1141=0,ISTEXT(FORMULA.CONVERT("="&amp;A1141&amp;"("&amp;REPLACE(REPT(",#ref!",B1141),1,1,"")&amp;")()",1)),"")</f>
        <v>0</v>
      </c>
      <c r="G1141" s="2"/>
      <c r="H1141" s="2" t="str">
        <f t="shared" si="35"/>
        <v/>
      </c>
      <c r="I1141" s="2">
        <f>TYPE(NUMBERSTRING(IF(1,1),IF(1,1)))</f>
        <v>16</v>
      </c>
      <c r="J1141" s="2">
        <f>IF(C1141=0,COUNTIFS(A:A,A1141,D:D,"a"),"")</f>
        <v>0</v>
      </c>
      <c r="K1141" s="2"/>
      <c r="M1141" s="2"/>
    </row>
    <row r="1142" spans="1:14" x14ac:dyDescent="0.55000000000000004">
      <c r="A1142" s="1" t="s">
        <v>2059</v>
      </c>
      <c r="B1142" s="2">
        <f>COUNTIF(A:A,A1142)-1</f>
        <v>2</v>
      </c>
      <c r="C1142" s="2">
        <f>COUNTIF(A$1:A1142,A1142)-1</f>
        <v>1</v>
      </c>
      <c r="D1142" s="2" t="str">
        <f>Argument!D1142</f>
        <v>v</v>
      </c>
      <c r="E1142" s="2" t="str">
        <f t="shared" si="34"/>
        <v/>
      </c>
      <c r="F1142" s="2" t="str">
        <f>IF(C1142=0,ISTEXT(FORMULA.CONVERT("="&amp;A1142&amp;"("&amp;REPLACE(REPT(",#ref!",B1142),1,1,"")&amp;")()",1)),"")</f>
        <v/>
      </c>
      <c r="G1142" s="2">
        <f>TYPE(NUMBERSTRING({1},IF(1,1)))</f>
        <v>64</v>
      </c>
      <c r="H1142" s="2" t="str">
        <f t="shared" si="35"/>
        <v/>
      </c>
      <c r="I1142" s="2">
        <f>TYPE(NUMBERSTRING(IF(1,1),IF(1,1)))</f>
        <v>16</v>
      </c>
      <c r="J1142" s="2" t="str">
        <f>IF(C1142=0,COUNTIFS(A:A,A1142,D:D,"a"),"")</f>
        <v/>
      </c>
      <c r="K1142" s="2" t="e">
        <f>INDEX(+NUMBERSTRING(K1142:L1142,#REF!),)</f>
        <v>#REF!</v>
      </c>
      <c r="L1142" s="1">
        <v>1</v>
      </c>
      <c r="M1142" s="2" t="e">
        <f>INDEX(+NUMBERSTRING(INDIRECT(M1142:N1142),#REF!),)</f>
        <v>#REF!</v>
      </c>
      <c r="N1142" s="1">
        <v>1</v>
      </c>
    </row>
    <row r="1143" spans="1:14" x14ac:dyDescent="0.55000000000000004">
      <c r="A1143" s="1" t="s">
        <v>2059</v>
      </c>
      <c r="B1143" s="2">
        <f>COUNTIF(A:A,A1143)-1</f>
        <v>2</v>
      </c>
      <c r="C1143" s="2">
        <f>COUNTIF(A$1:A1143,A1143)-1</f>
        <v>2</v>
      </c>
      <c r="D1143" s="2" t="str">
        <f>Argument!D1143</f>
        <v>v</v>
      </c>
      <c r="E1143" s="2" t="str">
        <f t="shared" si="34"/>
        <v/>
      </c>
      <c r="F1143" s="2" t="str">
        <f>IF(C1143=0,ISTEXT(FORMULA.CONVERT("="&amp;A1143&amp;"("&amp;REPLACE(REPT(",#ref!",B1143),1,1,"")&amp;")()",1)),"")</f>
        <v/>
      </c>
      <c r="G1143" s="2">
        <f>TYPE(NUMBERSTRING(IF(1,1),{1}))</f>
        <v>64</v>
      </c>
      <c r="H1143" s="2" t="str">
        <f t="shared" si="35"/>
        <v/>
      </c>
      <c r="I1143" s="2">
        <f>TYPE(NUMBERSTRING(IF(1,1),IF(1,1)))</f>
        <v>16</v>
      </c>
      <c r="J1143" s="2" t="str">
        <f>IF(C1143=0,COUNTIFS(A:A,A1143,D:D,"a"),"")</f>
        <v/>
      </c>
      <c r="K1143" s="2" t="e">
        <f>INDEX(+NUMBERSTRING(#REF!,K1143:L1143),)</f>
        <v>#REF!</v>
      </c>
      <c r="L1143" s="1">
        <v>1</v>
      </c>
      <c r="M1143" s="2" t="e">
        <f>INDEX(+NUMBERSTRING(#REF!,INDIRECT(M1143:N1143)),)</f>
        <v>#REF!</v>
      </c>
      <c r="N1143" s="1">
        <v>1</v>
      </c>
    </row>
    <row r="1144" spans="1:14" x14ac:dyDescent="0.55000000000000004">
      <c r="A1144" s="1" t="s">
        <v>1796</v>
      </c>
      <c r="B1144" s="2">
        <f>COUNTIF(A:A,A1144)-1</f>
        <v>2</v>
      </c>
      <c r="C1144" s="2">
        <f>COUNTIF(A$1:A1144,A1144)-1</f>
        <v>0</v>
      </c>
      <c r="D1144" s="2" t="str">
        <f>Argument!D1144</f>
        <v/>
      </c>
      <c r="E1144" s="2" t="str">
        <f t="shared" si="34"/>
        <v>v</v>
      </c>
      <c r="F1144" s="2" t="b">
        <f>IF(C1144=0,ISTEXT(FORMULA.CONVERT("="&amp;A1144&amp;"("&amp;REPLACE(REPT(",#ref!",B1144),1,1,"")&amp;")()",1)),"")</f>
        <v>0</v>
      </c>
      <c r="G1144" s="2"/>
      <c r="H1144" s="2" t="str">
        <f t="shared" si="35"/>
        <v/>
      </c>
      <c r="I1144" s="2">
        <f>TYPE(ROMAN(IF(1,1),IF(1,1)))</f>
        <v>2</v>
      </c>
      <c r="J1144" s="2">
        <f>IF(C1144=0,COUNTIFS(A:A,A1144,D:D,"a"),"")</f>
        <v>0</v>
      </c>
      <c r="K1144" s="2"/>
      <c r="M1144" s="2"/>
    </row>
    <row r="1145" spans="1:14" x14ac:dyDescent="0.55000000000000004">
      <c r="A1145" s="1" t="s">
        <v>1796</v>
      </c>
      <c r="B1145" s="2">
        <f>COUNTIF(A:A,A1145)-1</f>
        <v>2</v>
      </c>
      <c r="C1145" s="2">
        <f>COUNTIF(A$1:A1145,A1145)-1</f>
        <v>1</v>
      </c>
      <c r="D1145" s="2" t="str">
        <f>Argument!D1145</f>
        <v>v</v>
      </c>
      <c r="E1145" s="2" t="str">
        <f t="shared" si="34"/>
        <v/>
      </c>
      <c r="F1145" s="2" t="str">
        <f>IF(C1145=0,ISTEXT(FORMULA.CONVERT("="&amp;A1145&amp;"("&amp;REPLACE(REPT(",#ref!",B1145),1,1,"")&amp;")()",1)),"")</f>
        <v/>
      </c>
      <c r="G1145" s="2">
        <f>TYPE(ROMAN({1},IF(1,1)))</f>
        <v>64</v>
      </c>
      <c r="H1145" s="2" t="str">
        <f t="shared" si="35"/>
        <v/>
      </c>
      <c r="I1145" s="2">
        <f>TYPE(ROMAN(IF(1,1),IF(1,1)))</f>
        <v>2</v>
      </c>
      <c r="J1145" s="2" t="str">
        <f>IF(C1145=0,COUNTIFS(A:A,A1145,D:D,"a"),"")</f>
        <v/>
      </c>
      <c r="K1145" s="2" t="e">
        <f>INDEX(+ROMAN(K1145:L1145,#REF!),)</f>
        <v>#REF!</v>
      </c>
      <c r="L1145" s="1">
        <v>1</v>
      </c>
      <c r="M1145" s="2" t="e">
        <f>INDEX(+ROMAN(INDIRECT(M1145:N1145),#REF!),)</f>
        <v>#REF!</v>
      </c>
      <c r="N1145" s="1">
        <v>1</v>
      </c>
    </row>
    <row r="1146" spans="1:14" x14ac:dyDescent="0.55000000000000004">
      <c r="A1146" s="1" t="s">
        <v>1796</v>
      </c>
      <c r="B1146" s="2">
        <f>COUNTIF(A:A,A1146)-1</f>
        <v>2</v>
      </c>
      <c r="C1146" s="2">
        <f>COUNTIF(A$1:A1146,A1146)-1</f>
        <v>2</v>
      </c>
      <c r="D1146" s="2" t="str">
        <f>Argument!D1146</f>
        <v>v</v>
      </c>
      <c r="E1146" s="2" t="str">
        <f t="shared" si="34"/>
        <v/>
      </c>
      <c r="F1146" s="2" t="str">
        <f>IF(C1146=0,ISTEXT(FORMULA.CONVERT("="&amp;A1146&amp;"("&amp;REPLACE(REPT(",#ref!",B1146),1,1,"")&amp;")()",1)),"")</f>
        <v/>
      </c>
      <c r="G1146" s="2">
        <f>TYPE(ROMAN(IF(1,1),{1}))</f>
        <v>64</v>
      </c>
      <c r="H1146" s="2" t="str">
        <f t="shared" si="35"/>
        <v/>
      </c>
      <c r="I1146" s="2">
        <f>TYPE(ROMAN(IF(1,1),IF(1,1)))</f>
        <v>2</v>
      </c>
      <c r="J1146" s="2" t="str">
        <f>IF(C1146=0,COUNTIFS(A:A,A1146,D:D,"a"),"")</f>
        <v/>
      </c>
      <c r="K1146" s="2" t="e">
        <f>INDEX(+ROMAN(#REF!,K1146:L1146),)</f>
        <v>#REF!</v>
      </c>
      <c r="L1146" s="1">
        <v>1</v>
      </c>
      <c r="M1146" s="2" t="e">
        <f>INDEX(+ROMAN(#REF!,INDIRECT(M1146:N1146)),)</f>
        <v>#REF!</v>
      </c>
      <c r="N1146" s="1">
        <v>1</v>
      </c>
    </row>
    <row r="1147" spans="1:14" x14ac:dyDescent="0.55000000000000004">
      <c r="A1147" s="1" t="s">
        <v>1797</v>
      </c>
      <c r="B1147" s="2">
        <f>COUNTIF(A:A,A1147)-1</f>
        <v>4</v>
      </c>
      <c r="C1147" s="2">
        <f>COUNTIF(A$1:A1147,A1147)-1</f>
        <v>0</v>
      </c>
      <c r="D1147" s="2" t="str">
        <f>Argument!D1147</f>
        <v/>
      </c>
      <c r="E1147" s="2" t="str">
        <f t="shared" si="34"/>
        <v>v</v>
      </c>
      <c r="F1147" s="2" t="b">
        <f>IF(C1147=0,ISTEXT(FORMULA.CONVERT("="&amp;A1147&amp;"("&amp;REPLACE(REPT(",#ref!",B1147),1,1,"")&amp;")()",1)),"")</f>
        <v>0</v>
      </c>
      <c r="G1147" s="2"/>
      <c r="H1147" s="2" t="str">
        <f t="shared" si="35"/>
        <v/>
      </c>
      <c r="I1147" s="2">
        <f>TYPE(OPEN.DIALOG(IF(1,1),IF(1,1),IF(1,1),IF(1,1)))</f>
        <v>4</v>
      </c>
      <c r="J1147" s="2">
        <f>IF(C1147=0,COUNTIFS(A:A,A1147,D:D,"a"),"")</f>
        <v>0</v>
      </c>
      <c r="K1147" s="2"/>
      <c r="M1147" s="2"/>
    </row>
    <row r="1148" spans="1:14" x14ac:dyDescent="0.55000000000000004">
      <c r="A1148" s="1" t="s">
        <v>1797</v>
      </c>
      <c r="B1148" s="2">
        <f>COUNTIF(A:A,A1148)-1</f>
        <v>4</v>
      </c>
      <c r="C1148" s="2">
        <f>COUNTIF(A$1:A1148,A1148)-1</f>
        <v>1</v>
      </c>
      <c r="D1148" s="2" t="str">
        <f>Argument!D1148</f>
        <v>v</v>
      </c>
      <c r="E1148" s="2" t="str">
        <f t="shared" si="34"/>
        <v/>
      </c>
      <c r="F1148" s="2" t="str">
        <f>IF(C1148=0,ISTEXT(FORMULA.CONVERT("="&amp;A1148&amp;"("&amp;REPLACE(REPT(",#ref!",B1148),1,1,"")&amp;")()",1)),"")</f>
        <v/>
      </c>
      <c r="G1148" s="2">
        <f>TYPE(OPEN.DIALOG({1},IF(1,1),IF(1,1),IF(1,1)))</f>
        <v>64</v>
      </c>
      <c r="H1148" s="2" t="str">
        <f t="shared" si="35"/>
        <v/>
      </c>
      <c r="I1148" s="2">
        <f>TYPE(OPEN.DIALOG(IF(1,1),IF(1,1),IF(1,1),IF(1,1)))</f>
        <v>4</v>
      </c>
      <c r="J1148" s="2" t="str">
        <f>IF(C1148=0,COUNTIFS(A:A,A1148,D:D,"a"),"")</f>
        <v/>
      </c>
      <c r="K1148" s="2" t="e">
        <f>INDEX(+OPEN.DIALOG(K1148:L1148,#REF!,#REF!,#REF!),)</f>
        <v>#REF!</v>
      </c>
      <c r="L1148" s="1">
        <v>1</v>
      </c>
      <c r="M1148" s="2" t="e">
        <f>INDEX(+OPEN.DIALOG(INDIRECT(M1148:N1148),#REF!,#REF!,#REF!),)</f>
        <v>#REF!</v>
      </c>
      <c r="N1148" s="1">
        <v>1</v>
      </c>
    </row>
    <row r="1149" spans="1:14" x14ac:dyDescent="0.55000000000000004">
      <c r="A1149" s="1" t="s">
        <v>1797</v>
      </c>
      <c r="B1149" s="2">
        <f>COUNTIF(A:A,A1149)-1</f>
        <v>4</v>
      </c>
      <c r="C1149" s="2">
        <f>COUNTIF(A$1:A1149,A1149)-1</f>
        <v>2</v>
      </c>
      <c r="D1149" s="2" t="str">
        <f>Argument!D1149</f>
        <v>v</v>
      </c>
      <c r="E1149" s="2" t="str">
        <f t="shared" si="34"/>
        <v/>
      </c>
      <c r="F1149" s="2" t="str">
        <f>IF(C1149=0,ISTEXT(FORMULA.CONVERT("="&amp;A1149&amp;"("&amp;REPLACE(REPT(",#ref!",B1149),1,1,"")&amp;")()",1)),"")</f>
        <v/>
      </c>
      <c r="G1149" s="2">
        <f>TYPE(OPEN.DIALOG(IF(1,1),{1},IF(1,1),IF(1,1)))</f>
        <v>64</v>
      </c>
      <c r="H1149" s="2" t="str">
        <f t="shared" si="35"/>
        <v/>
      </c>
      <c r="I1149" s="2">
        <f>TYPE(OPEN.DIALOG(IF(1,1),IF(1,1),IF(1,1),IF(1,1)))</f>
        <v>4</v>
      </c>
      <c r="J1149" s="2" t="str">
        <f>IF(C1149=0,COUNTIFS(A:A,A1149,D:D,"a"),"")</f>
        <v/>
      </c>
      <c r="K1149" s="2" t="e">
        <f>INDEX(+OPEN.DIALOG(#REF!,K1149:L1149,#REF!,#REF!),)</f>
        <v>#REF!</v>
      </c>
      <c r="L1149" s="1">
        <v>1</v>
      </c>
      <c r="M1149" s="2" t="e">
        <f>INDEX(+OPEN.DIALOG(#REF!,INDIRECT(M1149:N1149),#REF!,#REF!),)</f>
        <v>#REF!</v>
      </c>
      <c r="N1149" s="1">
        <v>1</v>
      </c>
    </row>
    <row r="1150" spans="1:14" x14ac:dyDescent="0.55000000000000004">
      <c r="A1150" s="1" t="s">
        <v>1797</v>
      </c>
      <c r="B1150" s="2">
        <f>COUNTIF(A:A,A1150)-1</f>
        <v>4</v>
      </c>
      <c r="C1150" s="2">
        <f>COUNTIF(A$1:A1150,A1150)-1</f>
        <v>3</v>
      </c>
      <c r="D1150" s="2" t="str">
        <f>Argument!D1150</f>
        <v>v</v>
      </c>
      <c r="E1150" s="2" t="str">
        <f t="shared" si="34"/>
        <v/>
      </c>
      <c r="F1150" s="2" t="str">
        <f>IF(C1150=0,ISTEXT(FORMULA.CONVERT("="&amp;A1150&amp;"("&amp;REPLACE(REPT(",#ref!",B1150),1,1,"")&amp;")()",1)),"")</f>
        <v/>
      </c>
      <c r="G1150" s="2">
        <f>TYPE(OPEN.DIALOG(IF(1,1),IF(1,1),{1},IF(1,1)))</f>
        <v>64</v>
      </c>
      <c r="H1150" s="2" t="str">
        <f t="shared" si="35"/>
        <v/>
      </c>
      <c r="I1150" s="2">
        <f>TYPE(OPEN.DIALOG(IF(1,1),IF(1,1),IF(1,1),IF(1,1)))</f>
        <v>4</v>
      </c>
      <c r="J1150" s="2" t="str">
        <f>IF(C1150=0,COUNTIFS(A:A,A1150,D:D,"a"),"")</f>
        <v/>
      </c>
      <c r="K1150" s="2" t="e">
        <f>INDEX(+OPEN.DIALOG(#REF!,#REF!,K1150:L1150,#REF!),)</f>
        <v>#REF!</v>
      </c>
      <c r="L1150" s="1">
        <v>1</v>
      </c>
      <c r="M1150" s="2" t="e">
        <f>INDEX(+OPEN.DIALOG(#REF!,#REF!,INDIRECT(M1150:N1150),#REF!),)</f>
        <v>#REF!</v>
      </c>
      <c r="N1150" s="1">
        <v>1</v>
      </c>
    </row>
    <row r="1151" spans="1:14" x14ac:dyDescent="0.55000000000000004">
      <c r="A1151" s="1" t="s">
        <v>1797</v>
      </c>
      <c r="B1151" s="2">
        <f>COUNTIF(A:A,A1151)-1</f>
        <v>4</v>
      </c>
      <c r="C1151" s="2">
        <f>COUNTIF(A$1:A1151,A1151)-1</f>
        <v>4</v>
      </c>
      <c r="D1151" s="2" t="str">
        <f>Argument!D1151</f>
        <v>v</v>
      </c>
      <c r="E1151" s="2" t="str">
        <f t="shared" si="34"/>
        <v/>
      </c>
      <c r="F1151" s="2" t="str">
        <f>IF(C1151=0,ISTEXT(FORMULA.CONVERT("="&amp;A1151&amp;"("&amp;REPLACE(REPT(",#ref!",B1151),1,1,"")&amp;")()",1)),"")</f>
        <v/>
      </c>
      <c r="G1151" s="2">
        <f>TYPE(OPEN.DIALOG(IF(1,1),IF(1,1),IF(1,1),{1}))</f>
        <v>64</v>
      </c>
      <c r="H1151" s="2" t="str">
        <f t="shared" si="35"/>
        <v/>
      </c>
      <c r="I1151" s="2">
        <f>TYPE(OPEN.DIALOG(IF(1,1),IF(1,1),IF(1,1),IF(1,1)))</f>
        <v>4</v>
      </c>
      <c r="J1151" s="2" t="str">
        <f>IF(C1151=0,COUNTIFS(A:A,A1151,D:D,"a"),"")</f>
        <v/>
      </c>
      <c r="K1151" s="2" t="e">
        <f>INDEX(+OPEN.DIALOG(#REF!,#REF!,#REF!,K1151:L1151),)</f>
        <v>#REF!</v>
      </c>
      <c r="L1151" s="1">
        <v>1</v>
      </c>
      <c r="M1151" s="2" t="e">
        <f>INDEX(+OPEN.DIALOG(#REF!,#REF!,#REF!,INDIRECT(M1151:N1151)),)</f>
        <v>#REF!</v>
      </c>
      <c r="N1151" s="1">
        <v>1</v>
      </c>
    </row>
    <row r="1152" spans="1:14" x14ac:dyDescent="0.55000000000000004">
      <c r="A1152" s="1" t="s">
        <v>1798</v>
      </c>
      <c r="B1152" s="2">
        <f>COUNTIF(A:A,A1152)-1</f>
        <v>5</v>
      </c>
      <c r="C1152" s="2">
        <f>COUNTIF(A$1:A1152,A1152)-1</f>
        <v>0</v>
      </c>
      <c r="D1152" s="2" t="str">
        <f>Argument!D1152</f>
        <v/>
      </c>
      <c r="E1152" s="2" t="str">
        <f t="shared" si="34"/>
        <v>v</v>
      </c>
      <c r="F1152" s="2" t="b">
        <f>IF(C1152=0,ISTEXT(FORMULA.CONVERT("="&amp;A1152&amp;"("&amp;REPLACE(REPT(",#ref!",B1152),1,1,"")&amp;")()",1)),"")</f>
        <v>0</v>
      </c>
      <c r="G1152" s="2"/>
      <c r="H1152" s="2" t="str">
        <f t="shared" si="35"/>
        <v/>
      </c>
      <c r="I1152" s="2">
        <f>TYPE(SAVE.DIALOG(IF(1,1),IF(1,1),IF(1,1),IF(1,1),IF(1,1)))</f>
        <v>4</v>
      </c>
      <c r="J1152" s="2">
        <f>IF(C1152=0,COUNTIFS(A:A,A1152,D:D,"a"),"")</f>
        <v>0</v>
      </c>
      <c r="K1152" s="2"/>
      <c r="M1152" s="2"/>
    </row>
    <row r="1153" spans="1:14" x14ac:dyDescent="0.55000000000000004">
      <c r="A1153" s="1" t="s">
        <v>1798</v>
      </c>
      <c r="B1153" s="2">
        <f>COUNTIF(A:A,A1153)-1</f>
        <v>5</v>
      </c>
      <c r="C1153" s="2">
        <f>COUNTIF(A$1:A1153,A1153)-1</f>
        <v>1</v>
      </c>
      <c r="D1153" s="2" t="str">
        <f>Argument!D1153</f>
        <v>v</v>
      </c>
      <c r="E1153" s="2" t="str">
        <f t="shared" si="34"/>
        <v/>
      </c>
      <c r="F1153" s="2" t="str">
        <f>IF(C1153=0,ISTEXT(FORMULA.CONVERT("="&amp;A1153&amp;"("&amp;REPLACE(REPT(",#ref!",B1153),1,1,"")&amp;")()",1)),"")</f>
        <v/>
      </c>
      <c r="G1153" s="2">
        <f>TYPE(SAVE.DIALOG({1},IF(1,1),IF(1,1),IF(1,1),IF(1,1)))</f>
        <v>64</v>
      </c>
      <c r="H1153" s="2" t="str">
        <f t="shared" si="35"/>
        <v/>
      </c>
      <c r="I1153" s="2">
        <f>TYPE(SAVE.DIALOG(IF(1,1),IF(1,1),IF(1,1),IF(1,1),IF(1,1)))</f>
        <v>4</v>
      </c>
      <c r="J1153" s="2" t="str">
        <f>IF(C1153=0,COUNTIFS(A:A,A1153,D:D,"a"),"")</f>
        <v/>
      </c>
      <c r="K1153" s="2" t="e">
        <f>INDEX(+SAVE.DIALOG(K1153:L1153,#REF!,#REF!,#REF!,#REF!),)</f>
        <v>#REF!</v>
      </c>
      <c r="L1153" s="1">
        <v>1</v>
      </c>
      <c r="M1153" s="2" t="e">
        <f>INDEX(+SAVE.DIALOG(INDIRECT(M1153:N1153),#REF!,#REF!,#REF!,#REF!),)</f>
        <v>#REF!</v>
      </c>
      <c r="N1153" s="1">
        <v>1</v>
      </c>
    </row>
    <row r="1154" spans="1:14" x14ac:dyDescent="0.55000000000000004">
      <c r="A1154" s="1" t="s">
        <v>1798</v>
      </c>
      <c r="B1154" s="2">
        <f>COUNTIF(A:A,A1154)-1</f>
        <v>5</v>
      </c>
      <c r="C1154" s="2">
        <f>COUNTIF(A$1:A1154,A1154)-1</f>
        <v>2</v>
      </c>
      <c r="D1154" s="2" t="str">
        <f>Argument!D1154</f>
        <v>v</v>
      </c>
      <c r="E1154" s="2" t="str">
        <f t="shared" ref="E1154:E1217" si="36">IF(C1154=0,IF(SUMIFS(H:H,A:A,A1154),IF(COUNTIFS(A:A,A1154,G:G,64),,"v")&amp;IF(F1154,"ar","a"),IF(F1154,"r","v")),"")</f>
        <v/>
      </c>
      <c r="F1154" s="2" t="str">
        <f>IF(C1154=0,ISTEXT(FORMULA.CONVERT("="&amp;A1154&amp;"("&amp;REPLACE(REPT(",#ref!",B1154),1,1,"")&amp;")()",1)),"")</f>
        <v/>
      </c>
      <c r="G1154" s="2">
        <f>TYPE(SAVE.DIALOG(IF(1,1),{1},IF(1,1),IF(1,1),IF(1,1)))</f>
        <v>64</v>
      </c>
      <c r="H1154" s="2" t="str">
        <f t="shared" ref="H1154:H1217" si="37">IF((I1154=64)*(J1154=B1154)+(1-L1154)*COUNTIF(D1154,"*v*")+(1-N1154)*COUNTIF(D1154,"*r*"),1,"")</f>
        <v/>
      </c>
      <c r="I1154" s="2">
        <f>TYPE(SAVE.DIALOG(IF(1,1),IF(1,1),IF(1,1),IF(1,1),IF(1,1)))</f>
        <v>4</v>
      </c>
      <c r="J1154" s="2" t="str">
        <f>IF(C1154=0,COUNTIFS(A:A,A1154,D:D,"a"),"")</f>
        <v/>
      </c>
      <c r="K1154" s="2" t="e">
        <f>INDEX(+SAVE.DIALOG(#REF!,K1154:L1154,#REF!,#REF!,#REF!),)</f>
        <v>#REF!</v>
      </c>
      <c r="L1154" s="1">
        <v>1</v>
      </c>
      <c r="M1154" s="2" t="e">
        <f>INDEX(+SAVE.DIALOG(#REF!,INDIRECT(M1154:N1154),#REF!,#REF!,#REF!),)</f>
        <v>#REF!</v>
      </c>
      <c r="N1154" s="1">
        <v>1</v>
      </c>
    </row>
    <row r="1155" spans="1:14" x14ac:dyDescent="0.55000000000000004">
      <c r="A1155" s="1" t="s">
        <v>1798</v>
      </c>
      <c r="B1155" s="2">
        <f>COUNTIF(A:A,A1155)-1</f>
        <v>5</v>
      </c>
      <c r="C1155" s="2">
        <f>COUNTIF(A$1:A1155,A1155)-1</f>
        <v>3</v>
      </c>
      <c r="D1155" s="2" t="str">
        <f>Argument!D1155</f>
        <v>v</v>
      </c>
      <c r="E1155" s="2" t="str">
        <f t="shared" si="36"/>
        <v/>
      </c>
      <c r="F1155" s="2" t="str">
        <f>IF(C1155=0,ISTEXT(FORMULA.CONVERT("="&amp;A1155&amp;"("&amp;REPLACE(REPT(",#ref!",B1155),1,1,"")&amp;")()",1)),"")</f>
        <v/>
      </c>
      <c r="G1155" s="2">
        <f>TYPE(SAVE.DIALOG(IF(1,1),IF(1,1),{1},IF(1,1),IF(1,1)))</f>
        <v>64</v>
      </c>
      <c r="H1155" s="2" t="str">
        <f t="shared" si="37"/>
        <v/>
      </c>
      <c r="I1155" s="2">
        <f>TYPE(SAVE.DIALOG(IF(1,1),IF(1,1),IF(1,1),IF(1,1),IF(1,1)))</f>
        <v>4</v>
      </c>
      <c r="J1155" s="2" t="str">
        <f>IF(C1155=0,COUNTIFS(A:A,A1155,D:D,"a"),"")</f>
        <v/>
      </c>
      <c r="K1155" s="2" t="e">
        <f>INDEX(+SAVE.DIALOG(#REF!,#REF!,K1155:L1155,#REF!,#REF!),)</f>
        <v>#REF!</v>
      </c>
      <c r="L1155" s="1">
        <v>1</v>
      </c>
      <c r="M1155" s="2" t="e">
        <f>INDEX(+SAVE.DIALOG(#REF!,#REF!,INDIRECT(M1155:N1155),#REF!,#REF!),)</f>
        <v>#REF!</v>
      </c>
      <c r="N1155" s="1">
        <v>1</v>
      </c>
    </row>
    <row r="1156" spans="1:14" x14ac:dyDescent="0.55000000000000004">
      <c r="A1156" s="1" t="s">
        <v>1798</v>
      </c>
      <c r="B1156" s="2">
        <f>COUNTIF(A:A,A1156)-1</f>
        <v>5</v>
      </c>
      <c r="C1156" s="2">
        <f>COUNTIF(A$1:A1156,A1156)-1</f>
        <v>4</v>
      </c>
      <c r="D1156" s="2" t="str">
        <f>Argument!D1156</f>
        <v>v</v>
      </c>
      <c r="E1156" s="2" t="str">
        <f t="shared" si="36"/>
        <v/>
      </c>
      <c r="F1156" s="2" t="str">
        <f>IF(C1156=0,ISTEXT(FORMULA.CONVERT("="&amp;A1156&amp;"("&amp;REPLACE(REPT(",#ref!",B1156),1,1,"")&amp;")()",1)),"")</f>
        <v/>
      </c>
      <c r="G1156" s="2">
        <f>TYPE(SAVE.DIALOG(IF(1,1),IF(1,1),IF(1,1),{1},IF(1,1)))</f>
        <v>64</v>
      </c>
      <c r="H1156" s="2" t="str">
        <f t="shared" si="37"/>
        <v/>
      </c>
      <c r="I1156" s="2">
        <f>TYPE(SAVE.DIALOG(IF(1,1),IF(1,1),IF(1,1),IF(1,1),IF(1,1)))</f>
        <v>4</v>
      </c>
      <c r="J1156" s="2" t="str">
        <f>IF(C1156=0,COUNTIFS(A:A,A1156,D:D,"a"),"")</f>
        <v/>
      </c>
      <c r="K1156" s="2" t="e">
        <f>INDEX(+SAVE.DIALOG(#REF!,#REF!,#REF!,K1156:L1156,#REF!),)</f>
        <v>#REF!</v>
      </c>
      <c r="L1156" s="1">
        <v>1</v>
      </c>
      <c r="M1156" s="2" t="e">
        <f>INDEX(+SAVE.DIALOG(#REF!,#REF!,#REF!,INDIRECT(M1156:N1156),#REF!),)</f>
        <v>#REF!</v>
      </c>
      <c r="N1156" s="1">
        <v>1</v>
      </c>
    </row>
    <row r="1157" spans="1:14" x14ac:dyDescent="0.55000000000000004">
      <c r="A1157" s="1" t="s">
        <v>1798</v>
      </c>
      <c r="B1157" s="2">
        <f>COUNTIF(A:A,A1157)-1</f>
        <v>5</v>
      </c>
      <c r="C1157" s="2">
        <f>COUNTIF(A$1:A1157,A1157)-1</f>
        <v>5</v>
      </c>
      <c r="D1157" s="2" t="str">
        <f>Argument!D1157</f>
        <v>v</v>
      </c>
      <c r="E1157" s="2" t="str">
        <f t="shared" si="36"/>
        <v/>
      </c>
      <c r="F1157" s="2" t="str">
        <f>IF(C1157=0,ISTEXT(FORMULA.CONVERT("="&amp;A1157&amp;"("&amp;REPLACE(REPT(",#ref!",B1157),1,1,"")&amp;")()",1)),"")</f>
        <v/>
      </c>
      <c r="G1157" s="2">
        <f>TYPE(SAVE.DIALOG(IF(1,1),IF(1,1),IF(1,1),IF(1,1),{1}))</f>
        <v>64</v>
      </c>
      <c r="H1157" s="2" t="str">
        <f t="shared" si="37"/>
        <v/>
      </c>
      <c r="I1157" s="2">
        <f>TYPE(SAVE.DIALOG(IF(1,1),IF(1,1),IF(1,1),IF(1,1),IF(1,1)))</f>
        <v>4</v>
      </c>
      <c r="J1157" s="2" t="str">
        <f>IF(C1157=0,COUNTIFS(A:A,A1157,D:D,"a"),"")</f>
        <v/>
      </c>
      <c r="K1157" s="2" t="e">
        <f>INDEX(+SAVE.DIALOG(#REF!,#REF!,#REF!,#REF!,K1157:L1157),)</f>
        <v>#REF!</v>
      </c>
      <c r="L1157" s="1">
        <v>1</v>
      </c>
      <c r="M1157" s="2" t="e">
        <f>INDEX(+SAVE.DIALOG(#REF!,#REF!,#REF!,#REF!,INDIRECT(M1157:N1157)),)</f>
        <v>#REF!</v>
      </c>
      <c r="N1157" s="1">
        <v>1</v>
      </c>
    </row>
    <row r="1158" spans="1:14" x14ac:dyDescent="0.55000000000000004">
      <c r="A1158" s="1" t="s">
        <v>1799</v>
      </c>
      <c r="B1158" s="2">
        <f>COUNTIF(A:A,A1158)-1</f>
        <v>2</v>
      </c>
      <c r="C1158" s="2">
        <f>COUNTIF(A$1:A1158,A1158)-1</f>
        <v>0</v>
      </c>
      <c r="D1158" s="2" t="str">
        <f>Argument!D1158</f>
        <v/>
      </c>
      <c r="E1158" s="2" t="str">
        <f t="shared" si="36"/>
        <v>r</v>
      </c>
      <c r="F1158" s="2" t="b">
        <f>IF(C1158=0,ISTEXT(FORMULA.CONVERT("="&amp;A1158&amp;"("&amp;REPLACE(REPT(",#ref!",B1158),1,1,"")&amp;")()",1)),"")</f>
        <v>1</v>
      </c>
      <c r="G1158" s="2"/>
      <c r="H1158" s="2" t="str">
        <f t="shared" si="37"/>
        <v/>
      </c>
      <c r="I1158" s="2">
        <f>TYPE(VIEW.GET(IF(1,1),IF(1,1)))</f>
        <v>4</v>
      </c>
      <c r="J1158" s="2">
        <f>IF(C1158=0,COUNTIFS(A:A,A1158,D:D,"a"),"")</f>
        <v>0</v>
      </c>
      <c r="K1158" s="2"/>
      <c r="M1158" s="2"/>
    </row>
    <row r="1159" spans="1:14" x14ac:dyDescent="0.55000000000000004">
      <c r="A1159" s="1" t="s">
        <v>1799</v>
      </c>
      <c r="B1159" s="2">
        <f>COUNTIF(A:A,A1159)-1</f>
        <v>2</v>
      </c>
      <c r="C1159" s="2">
        <f>COUNTIF(A$1:A1159,A1159)-1</f>
        <v>1</v>
      </c>
      <c r="D1159" s="2" t="str">
        <f>Argument!D1159</f>
        <v>v</v>
      </c>
      <c r="E1159" s="2" t="str">
        <f t="shared" si="36"/>
        <v/>
      </c>
      <c r="F1159" s="2" t="str">
        <f>IF(C1159=0,ISTEXT(FORMULA.CONVERT("="&amp;A1159&amp;"("&amp;REPLACE(REPT(",#ref!",B1159),1,1,"")&amp;")()",1)),"")</f>
        <v/>
      </c>
      <c r="G1159" s="2">
        <f>TYPE(VIEW.GET({1},IF(1,1)))</f>
        <v>64</v>
      </c>
      <c r="H1159" s="2" t="str">
        <f t="shared" si="37"/>
        <v/>
      </c>
      <c r="I1159" s="2">
        <f>TYPE(VIEW.GET(IF(1,1),IF(1,1)))</f>
        <v>4</v>
      </c>
      <c r="J1159" s="2" t="str">
        <f>IF(C1159=0,COUNTIFS(A:A,A1159,D:D,"a"),"")</f>
        <v/>
      </c>
      <c r="K1159" s="2" t="e">
        <f>INDEX(+VIEW.GET(K1159:L1159,#REF!),)</f>
        <v>#REF!</v>
      </c>
      <c r="L1159" s="1">
        <v>1</v>
      </c>
      <c r="M1159" s="2" t="e">
        <f>INDEX(+VIEW.GET(INDIRECT(M1159:N1159),#REF!),)</f>
        <v>#REF!</v>
      </c>
      <c r="N1159" s="1">
        <v>1</v>
      </c>
    </row>
    <row r="1160" spans="1:14" x14ac:dyDescent="0.55000000000000004">
      <c r="A1160" s="1" t="s">
        <v>1799</v>
      </c>
      <c r="B1160" s="2">
        <f>COUNTIF(A:A,A1160)-1</f>
        <v>2</v>
      </c>
      <c r="C1160" s="2">
        <f>COUNTIF(A$1:A1160,A1160)-1</f>
        <v>2</v>
      </c>
      <c r="D1160" s="2" t="str">
        <f>Argument!D1160</f>
        <v>v</v>
      </c>
      <c r="E1160" s="2" t="str">
        <f t="shared" si="36"/>
        <v/>
      </c>
      <c r="F1160" s="2" t="str">
        <f>IF(C1160=0,ISTEXT(FORMULA.CONVERT("="&amp;A1160&amp;"("&amp;REPLACE(REPT(",#ref!",B1160),1,1,"")&amp;")()",1)),"")</f>
        <v/>
      </c>
      <c r="G1160" s="2">
        <f>TYPE(VIEW.GET(IF(1,1),{1}))</f>
        <v>64</v>
      </c>
      <c r="H1160" s="2" t="str">
        <f t="shared" si="37"/>
        <v/>
      </c>
      <c r="I1160" s="2">
        <f>TYPE(VIEW.GET(IF(1,1),IF(1,1)))</f>
        <v>4</v>
      </c>
      <c r="J1160" s="2" t="str">
        <f>IF(C1160=0,COUNTIFS(A:A,A1160,D:D,"a"),"")</f>
        <v/>
      </c>
      <c r="K1160" s="2" t="e">
        <f>INDEX(+VIEW.GET(#REF!,K1160:L1160),)</f>
        <v>#REF!</v>
      </c>
      <c r="L1160" s="1">
        <v>1</v>
      </c>
      <c r="M1160" s="2" t="e">
        <f>INDEX(+VIEW.GET(#REF!,INDIRECT(M1160:N1160)),)</f>
        <v>#REF!</v>
      </c>
      <c r="N1160" s="1">
        <v>1</v>
      </c>
    </row>
    <row r="1161" spans="1:14" x14ac:dyDescent="0.55000000000000004">
      <c r="A1161" s="1" t="s">
        <v>1800</v>
      </c>
      <c r="B1161" s="2">
        <f>COUNTIF(A:A,A1161)-1</f>
        <v>6</v>
      </c>
      <c r="C1161" s="2">
        <f>COUNTIF(A$1:A1161,A1161)-1</f>
        <v>0</v>
      </c>
      <c r="D1161" s="2" t="str">
        <f>Argument!D1161</f>
        <v/>
      </c>
      <c r="E1161" s="2" t="str">
        <f t="shared" si="36"/>
        <v>v</v>
      </c>
      <c r="F1161" s="2" t="b">
        <f>IF(C1161=0,ISTEXT(FORMULA.CONVERT("="&amp;A1161&amp;"("&amp;REPLACE(REPT(",#ref!",B1161),1,1,"")&amp;")()",1)),"")</f>
        <v>0</v>
      </c>
      <c r="G1161" s="2"/>
      <c r="H1161" s="2" t="str">
        <f t="shared" si="37"/>
        <v/>
      </c>
      <c r="I1161" s="2">
        <f>TYPE(GETPIVOTDATA(IF(1,1),IF(1,1),IF(1,1),IF(1,1),IF(1,1),IF(1,1)))</f>
        <v>16</v>
      </c>
      <c r="J1161" s="2">
        <f>IF(C1161=0,COUNTIFS(A:A,A1161,D:D,"a"),"")</f>
        <v>6</v>
      </c>
      <c r="K1161" s="2"/>
      <c r="M1161" s="2"/>
    </row>
    <row r="1162" spans="1:14" x14ac:dyDescent="0.55000000000000004">
      <c r="A1162" s="1" t="s">
        <v>1800</v>
      </c>
      <c r="B1162" s="2">
        <f>COUNTIF(A:A,A1162)-1</f>
        <v>6</v>
      </c>
      <c r="C1162" s="2">
        <f>COUNTIF(A$1:A1162,A1162)-1</f>
        <v>1</v>
      </c>
      <c r="D1162" s="2" t="str">
        <f>Argument!D1162</f>
        <v>vr</v>
      </c>
      <c r="E1162" s="2" t="str">
        <f t="shared" si="36"/>
        <v/>
      </c>
      <c r="F1162" s="2" t="str">
        <f>IF(C1162=0,ISTEXT(FORMULA.CONVERT("="&amp;A1162&amp;"("&amp;REPLACE(REPT(",#ref!",B1162),1,1,"")&amp;")()",1)),"")</f>
        <v/>
      </c>
      <c r="G1162" s="2">
        <f>TYPE(GETPIVOTDATA({1},IF(1,1),IF(1,1),IF(1,1),IF(1,1),IF(1,1)))</f>
        <v>64</v>
      </c>
      <c r="H1162" s="2" t="str">
        <f t="shared" si="37"/>
        <v/>
      </c>
      <c r="I1162" s="2">
        <f>TYPE(GETPIVOTDATA(IF(1,1),IF(1,1),IF(1,1),IF(1,1),IF(1,1),IF(1,1)))</f>
        <v>16</v>
      </c>
      <c r="J1162" s="2" t="str">
        <f>IF(C1162=0,COUNTIFS(A:A,A1162,D:D,"a"),"")</f>
        <v/>
      </c>
      <c r="K1162" s="2" t="e">
        <f>INDEX(+GETPIVOTDATA(K1162:L1162,#REF!,#REF!,#REF!,#REF!,#REF!),)</f>
        <v>#REF!</v>
      </c>
      <c r="L1162" s="1">
        <v>1</v>
      </c>
      <c r="M1162" s="2" t="e">
        <f>INDEX(+GETPIVOTDATA(INDIRECT(M1162:N1162),#REF!,#REF!,#REF!,#REF!,#REF!),)</f>
        <v>#REF!</v>
      </c>
      <c r="N1162" s="1">
        <v>1</v>
      </c>
    </row>
    <row r="1163" spans="1:14" x14ac:dyDescent="0.55000000000000004">
      <c r="A1163" s="1" t="s">
        <v>1800</v>
      </c>
      <c r="B1163" s="2">
        <f>COUNTIF(A:A,A1163)-1</f>
        <v>6</v>
      </c>
      <c r="C1163" s="2">
        <f>COUNTIF(A$1:A1163,A1163)-1</f>
        <v>2</v>
      </c>
      <c r="D1163" s="2" t="str">
        <f>Argument!D1163</f>
        <v>vr</v>
      </c>
      <c r="E1163" s="2" t="str">
        <f t="shared" si="36"/>
        <v/>
      </c>
      <c r="F1163" s="2" t="str">
        <f>IF(C1163=0,ISTEXT(FORMULA.CONVERT("="&amp;A1163&amp;"("&amp;REPLACE(REPT(",#ref!",B1163),1,1,"")&amp;")()",1)),"")</f>
        <v/>
      </c>
      <c r="G1163" s="2">
        <f>TYPE(GETPIVOTDATA(IF(1,1),{1},IF(1,1),IF(1,1),IF(1,1),IF(1,1)))</f>
        <v>64</v>
      </c>
      <c r="H1163" s="2" t="str">
        <f t="shared" si="37"/>
        <v/>
      </c>
      <c r="I1163" s="2">
        <f>TYPE(GETPIVOTDATA(IF(1,1),IF(1,1),IF(1,1),IF(1,1),IF(1,1),IF(1,1)))</f>
        <v>16</v>
      </c>
      <c r="J1163" s="2" t="str">
        <f>IF(C1163=0,COUNTIFS(A:A,A1163,D:D,"a"),"")</f>
        <v/>
      </c>
      <c r="K1163" s="2" t="e">
        <f>INDEX(+GETPIVOTDATA(#REF!,K1163:L1163,#REF!,#REF!,#REF!,#REF!),)</f>
        <v>#REF!</v>
      </c>
      <c r="L1163" s="1">
        <v>1</v>
      </c>
      <c r="M1163" s="2" t="e">
        <f>INDEX(+GETPIVOTDATA(#REF!,INDIRECT(M1163:N1163),#REF!,#REF!,#REF!,#REF!),)</f>
        <v>#REF!</v>
      </c>
      <c r="N1163" s="1">
        <v>1</v>
      </c>
    </row>
    <row r="1164" spans="1:14" x14ac:dyDescent="0.55000000000000004">
      <c r="A1164" s="1" t="s">
        <v>1800</v>
      </c>
      <c r="B1164" s="2">
        <f>COUNTIF(A:A,A1164)-1</f>
        <v>6</v>
      </c>
      <c r="C1164" s="2">
        <f>COUNTIF(A$1:A1164,A1164)-1</f>
        <v>3</v>
      </c>
      <c r="D1164" s="2" t="str">
        <f>Argument!D1164</f>
        <v>v</v>
      </c>
      <c r="E1164" s="2" t="str">
        <f t="shared" si="36"/>
        <v/>
      </c>
      <c r="F1164" s="2" t="str">
        <f>IF(C1164=0,ISTEXT(FORMULA.CONVERT("="&amp;A1164&amp;"("&amp;REPLACE(REPT(",#ref!",B1164),1,1,"")&amp;")()",1)),"")</f>
        <v/>
      </c>
      <c r="G1164" s="2">
        <f>TYPE(GETPIVOTDATA(IF(1,1),IF(1,1),{1},IF(1,1),IF(1,1),IF(1,1)))</f>
        <v>64</v>
      </c>
      <c r="H1164" s="2" t="str">
        <f t="shared" si="37"/>
        <v/>
      </c>
      <c r="I1164" s="2">
        <f>TYPE(GETPIVOTDATA(IF(1,1),IF(1,1),IF(1,1),IF(1,1),IF(1,1),IF(1,1)))</f>
        <v>16</v>
      </c>
      <c r="J1164" s="2" t="str">
        <f>IF(C1164=0,COUNTIFS(A:A,A1164,D:D,"a"),"")</f>
        <v/>
      </c>
      <c r="K1164" s="2" t="e">
        <f>INDEX(+GETPIVOTDATA(#REF!,#REF!,K1164:L1164,#REF!,#REF!,#REF!),)</f>
        <v>#REF!</v>
      </c>
      <c r="L1164" s="1">
        <v>1</v>
      </c>
      <c r="M1164" s="2" t="e">
        <f>INDEX(+GETPIVOTDATA(#REF!,#REF!,INDIRECT(M1164:N1164),#REF!,#REF!,#REF!),)</f>
        <v>#REF!</v>
      </c>
      <c r="N1164" s="1">
        <v>1</v>
      </c>
    </row>
    <row r="1165" spans="1:14" x14ac:dyDescent="0.55000000000000004">
      <c r="A1165" s="1" t="s">
        <v>1800</v>
      </c>
      <c r="B1165" s="2">
        <f>COUNTIF(A:A,A1165)-1</f>
        <v>6</v>
      </c>
      <c r="C1165" s="2">
        <f>COUNTIF(A$1:A1165,A1165)-1</f>
        <v>4</v>
      </c>
      <c r="D1165" s="2" t="str">
        <f>Argument!D1165</f>
        <v>v</v>
      </c>
      <c r="E1165" s="2" t="str">
        <f t="shared" si="36"/>
        <v/>
      </c>
      <c r="F1165" s="2" t="str">
        <f>IF(C1165=0,ISTEXT(FORMULA.CONVERT("="&amp;A1165&amp;"("&amp;REPLACE(REPT(",#ref!",B1165),1,1,"")&amp;")()",1)),"")</f>
        <v/>
      </c>
      <c r="G1165" s="2">
        <f>TYPE(GETPIVOTDATA(IF(1,1),IF(1,1),IF(1,1),{1},IF(1,1),IF(1,1)))</f>
        <v>64</v>
      </c>
      <c r="H1165" s="2" t="str">
        <f t="shared" si="37"/>
        <v/>
      </c>
      <c r="I1165" s="2">
        <f>TYPE(GETPIVOTDATA(IF(1,1),IF(1,1),IF(1,1),IF(1,1),IF(1,1),IF(1,1)))</f>
        <v>16</v>
      </c>
      <c r="J1165" s="2" t="str">
        <f>IF(C1165=0,COUNTIFS(A:A,A1165,D:D,"a"),"")</f>
        <v/>
      </c>
      <c r="K1165" s="2" t="e">
        <f>INDEX(+GETPIVOTDATA(#REF!,#REF!,#REF!,K1165:L1165,#REF!,#REF!),)</f>
        <v>#REF!</v>
      </c>
      <c r="L1165" s="1">
        <v>1</v>
      </c>
      <c r="M1165" s="2" t="e">
        <f>INDEX(+GETPIVOTDATA(#REF!,#REF!,#REF!,INDIRECT(M1165:N1165),#REF!,#REF!),)</f>
        <v>#REF!</v>
      </c>
      <c r="N1165" s="1">
        <v>1</v>
      </c>
    </row>
    <row r="1166" spans="1:14" x14ac:dyDescent="0.55000000000000004">
      <c r="A1166" s="1" t="s">
        <v>1800</v>
      </c>
      <c r="B1166" s="2">
        <f>COUNTIF(A:A,A1166)-1</f>
        <v>6</v>
      </c>
      <c r="C1166" s="2">
        <f>COUNTIF(A$1:A1166,A1166)-1</f>
        <v>5</v>
      </c>
      <c r="D1166" s="2" t="str">
        <f>Argument!D1166</f>
        <v>v</v>
      </c>
      <c r="E1166" s="2" t="str">
        <f t="shared" si="36"/>
        <v/>
      </c>
      <c r="F1166" s="2" t="str">
        <f>IF(C1166=0,ISTEXT(FORMULA.CONVERT("="&amp;A1166&amp;"("&amp;REPLACE(REPT(",#ref!",B1166),1,1,"")&amp;")()",1)),"")</f>
        <v/>
      </c>
      <c r="G1166" s="2">
        <f>TYPE(GETPIVOTDATA(IF(1,1),IF(1,1),IF(1,1),IF(1,1),{1},IF(1,1)))</f>
        <v>64</v>
      </c>
      <c r="H1166" s="2" t="str">
        <f t="shared" si="37"/>
        <v/>
      </c>
      <c r="I1166" s="2">
        <f>TYPE(GETPIVOTDATA(IF(1,1),IF(1,1),IF(1,1),IF(1,1),IF(1,1),IF(1,1)))</f>
        <v>16</v>
      </c>
      <c r="J1166" s="2" t="str">
        <f>IF(C1166=0,COUNTIFS(A:A,A1166,D:D,"a"),"")</f>
        <v/>
      </c>
      <c r="K1166" s="2" t="e">
        <f>INDEX(+GETPIVOTDATA(#REF!,#REF!,#REF!,#REF!,K1166:L1166,#REF!),)</f>
        <v>#REF!</v>
      </c>
      <c r="L1166" s="1">
        <v>1</v>
      </c>
      <c r="M1166" s="2" t="e">
        <f>INDEX(+GETPIVOTDATA(#REF!,#REF!,#REF!,#REF!,INDIRECT(M1166:N1166),#REF!),)</f>
        <v>#REF!</v>
      </c>
      <c r="N1166" s="1">
        <v>1</v>
      </c>
    </row>
    <row r="1167" spans="1:14" s="1" customFormat="1" x14ac:dyDescent="0.55000000000000004">
      <c r="A1167" s="1" t="s">
        <v>1800</v>
      </c>
      <c r="B1167" s="2">
        <f>COUNTIF(A:A,A1167)-1</f>
        <v>6</v>
      </c>
      <c r="C1167" s="2">
        <f>COUNTIF(A$1:A1167,A1167)-1</f>
        <v>6</v>
      </c>
      <c r="D1167" s="2" t="str">
        <f>Argument!D1167</f>
        <v>v</v>
      </c>
      <c r="E1167" s="2" t="str">
        <f t="shared" si="36"/>
        <v/>
      </c>
      <c r="F1167" s="2" t="str">
        <f>IF(C1167=0,ISTEXT(FORMULA.CONVERT("="&amp;A1167&amp;"("&amp;REPLACE(REPT(",#ref!",B1167),1,1,"")&amp;")()",1)),"")</f>
        <v/>
      </c>
      <c r="G1167" s="2">
        <f>TYPE(GETPIVOTDATA(IF(1,1),IF(1,1),IF(1,1),IF(1,1),IF(1,1),{1}))</f>
        <v>64</v>
      </c>
      <c r="H1167" s="2" t="str">
        <f t="shared" si="37"/>
        <v/>
      </c>
      <c r="I1167" s="2">
        <f>TYPE(GETPIVOTDATA(IF(1,1),IF(1,1),IF(1,1),IF(1,1),IF(1,1),IF(1,1)))</f>
        <v>16</v>
      </c>
      <c r="J1167" s="2" t="str">
        <f>IF(C1167=0,COUNTIFS(A:A,A1167,D:D,"a"),"")</f>
        <v/>
      </c>
      <c r="K1167" s="2" t="e">
        <f>INDEX(+GETPIVOTDATA(#REF!,#REF!,#REF!,#REF!,#REF!,K1167:L1167),)</f>
        <v>#REF!</v>
      </c>
      <c r="L1167" s="1">
        <v>1</v>
      </c>
      <c r="M1167" s="2" t="e">
        <f>INDEX(+GETPIVOTDATA(#REF!,#REF!,#REF!,#REF!,#REF!,INDIRECT(M1167:N1167)),)</f>
        <v>#REF!</v>
      </c>
      <c r="N1167" s="1">
        <v>1</v>
      </c>
    </row>
    <row r="1168" spans="1:14" x14ac:dyDescent="0.55000000000000004">
      <c r="A1168" s="1" t="s">
        <v>1801</v>
      </c>
      <c r="B1168" s="2">
        <f>COUNTIF(A:A,A1168)-1</f>
        <v>2</v>
      </c>
      <c r="C1168" s="2">
        <f>COUNTIF(A$1:A1168,A1168)-1</f>
        <v>0</v>
      </c>
      <c r="D1168" s="2" t="str">
        <f>Argument!D1168</f>
        <v/>
      </c>
      <c r="E1168" s="2" t="str">
        <f t="shared" si="36"/>
        <v>va</v>
      </c>
      <c r="F1168" s="2" t="b">
        <f>IF(C1168=0,ISTEXT(FORMULA.CONVERT("="&amp;A1168&amp;"("&amp;REPLACE(REPT(",#ref!",B1168),1,1,"")&amp;")()",1)),"")</f>
        <v>0</v>
      </c>
      <c r="G1168" s="2"/>
      <c r="H1168" s="2" t="str">
        <f t="shared" si="37"/>
        <v/>
      </c>
      <c r="I1168" s="2">
        <f>TYPE(HYPERLINK(IF(1,1),IF(1,1)))</f>
        <v>1</v>
      </c>
      <c r="J1168" s="2">
        <f>IF(C1168=0,COUNTIFS(A:A,A1168,D:D,"a"),"")</f>
        <v>0</v>
      </c>
      <c r="K1168" s="2"/>
      <c r="M1168" s="2"/>
    </row>
    <row r="1169" spans="1:14" x14ac:dyDescent="0.55000000000000004">
      <c r="A1169" s="1" t="s">
        <v>1801</v>
      </c>
      <c r="B1169" s="2">
        <f>COUNTIF(A:A,A1169)-1</f>
        <v>2</v>
      </c>
      <c r="C1169" s="2">
        <f>COUNTIF(A$1:A1169,A1169)-1</f>
        <v>1</v>
      </c>
      <c r="D1169" s="2" t="str">
        <f>Argument!D1169</f>
        <v>v</v>
      </c>
      <c r="E1169" s="2" t="str">
        <f t="shared" si="36"/>
        <v/>
      </c>
      <c r="F1169" s="2" t="str">
        <f>IF(C1169=0,ISTEXT(FORMULA.CONVERT("="&amp;A1169&amp;"("&amp;REPLACE(REPT(",#ref!",B1169),1,1,"")&amp;")()",1)),"")</f>
        <v/>
      </c>
      <c r="G1169" s="2">
        <f>TYPE(HYPERLINK({1},IF(1,1)))</f>
        <v>1</v>
      </c>
      <c r="H1169" s="2">
        <f t="shared" si="37"/>
        <v>1</v>
      </c>
      <c r="I1169" s="2">
        <f>TYPE(HYPERLINK(IF(1,1),IF(1,1)))</f>
        <v>1</v>
      </c>
      <c r="J1169" s="2" t="str">
        <f>IF(C1169=0,COUNTIFS(A:A,A1169,D:D,"a"),"")</f>
        <v/>
      </c>
      <c r="K1169" s="2" t="e">
        <f>INDEX(+HYPERLINK(K1169:L1169,#REF!),)</f>
        <v>#REF!</v>
      </c>
      <c r="M1169" s="2" t="e">
        <f>INDEX(+HYPERLINK(INDIRECT(M1169:N1169),#REF!),)</f>
        <v>#REF!</v>
      </c>
    </row>
    <row r="1170" spans="1:14" x14ac:dyDescent="0.55000000000000004">
      <c r="A1170" s="1" t="s">
        <v>1801</v>
      </c>
      <c r="B1170" s="2">
        <f>COUNTIF(A:A,A1170)-1</f>
        <v>2</v>
      </c>
      <c r="C1170" s="2">
        <f>COUNTIF(A$1:A1170,A1170)-1</f>
        <v>2</v>
      </c>
      <c r="D1170" s="2" t="str">
        <f>Argument!D1170</f>
        <v>va</v>
      </c>
      <c r="E1170" s="2" t="str">
        <f t="shared" si="36"/>
        <v/>
      </c>
      <c r="F1170" s="2" t="str">
        <f>IF(C1170=0,ISTEXT(FORMULA.CONVERT("="&amp;A1170&amp;"("&amp;REPLACE(REPT(",#ref!",B1170),1,1,"")&amp;")()",1)),"")</f>
        <v/>
      </c>
      <c r="G1170" s="2">
        <f>TYPE(HYPERLINK(IF(1,1),{1}))</f>
        <v>1</v>
      </c>
      <c r="H1170" s="2">
        <f t="shared" si="37"/>
        <v>1</v>
      </c>
      <c r="I1170" s="2">
        <f>TYPE(HYPERLINK(IF(1,1),IF(1,1)))</f>
        <v>1</v>
      </c>
      <c r="J1170" s="2" t="str">
        <f>IF(C1170=0,COUNTIFS(A:A,A1170,D:D,"a"),"")</f>
        <v/>
      </c>
      <c r="K1170" s="2" t="e">
        <f>INDEX(+HYPERLINK(#REF!,K1170:L1170),)</f>
        <v>#REF!</v>
      </c>
      <c r="M1170" s="2" t="e">
        <f>INDEX(+HYPERLINK(#REF!,INDIRECT(M1170:N1170)),)</f>
        <v>#REF!</v>
      </c>
    </row>
    <row r="1171" spans="1:14" x14ac:dyDescent="0.55000000000000004">
      <c r="A1171" s="1" t="s">
        <v>1802</v>
      </c>
      <c r="B1171" s="2">
        <f>COUNTIF(A:A,A1171)-1</f>
        <v>1</v>
      </c>
      <c r="C1171" s="2">
        <f>COUNTIF(A$1:A1171,A1171)-1</f>
        <v>0</v>
      </c>
      <c r="D1171" s="2" t="str">
        <f>Argument!D1171</f>
        <v/>
      </c>
      <c r="E1171" s="2" t="str">
        <f t="shared" si="36"/>
        <v>v</v>
      </c>
      <c r="F1171" s="2" t="b">
        <f>IF(C1171=0,ISTEXT(FORMULA.CONVERT("="&amp;A1171&amp;"("&amp;REPLACE(REPT(",#ref!",B1171),1,1,"")&amp;")()",1)),"")</f>
        <v>0</v>
      </c>
      <c r="G1171" s="2"/>
      <c r="H1171" s="2" t="str">
        <f t="shared" si="37"/>
        <v/>
      </c>
      <c r="I1171" s="2">
        <f>TYPE(PHONETIC(IF(1,1)))</f>
        <v>16</v>
      </c>
      <c r="J1171" s="2">
        <f>IF(C1171=0,COUNTIFS(A:A,A1171,D:D,"a"),"")</f>
        <v>0</v>
      </c>
      <c r="K1171" s="2"/>
      <c r="M1171" s="2"/>
    </row>
    <row r="1172" spans="1:14" x14ac:dyDescent="0.55000000000000004">
      <c r="A1172" s="1" t="s">
        <v>1802</v>
      </c>
      <c r="B1172" s="2">
        <f>COUNTIF(A:A,A1172)-1</f>
        <v>1</v>
      </c>
      <c r="C1172" s="2">
        <f>COUNTIF(A$1:A1172,A1172)-1</f>
        <v>1</v>
      </c>
      <c r="D1172" s="2" t="str">
        <f>Argument!D1172</f>
        <v>r</v>
      </c>
      <c r="E1172" s="2" t="str">
        <f t="shared" si="36"/>
        <v/>
      </c>
      <c r="F1172" s="2" t="str">
        <f>IF(C1172=0,ISTEXT(FORMULA.CONVERT("="&amp;A1172&amp;"("&amp;REPLACE(REPT(",#ref!",B1172),1,1,"")&amp;")()",1)),"")</f>
        <v/>
      </c>
      <c r="G1172" s="2"/>
      <c r="H1172" s="2" t="str">
        <f t="shared" si="37"/>
        <v/>
      </c>
      <c r="I1172" s="2">
        <f>TYPE(PHONETIC(IF(1,1)))</f>
        <v>16</v>
      </c>
      <c r="J1172" s="2" t="str">
        <f>IF(C1172=0,COUNTIFS(A:A,A1172,D:D,"a"),"")</f>
        <v/>
      </c>
      <c r="K1172" s="2" t="e">
        <f>INDEX(+PHONETIC(K1172:L1172),)</f>
        <v>#N/A</v>
      </c>
      <c r="L1172" s="1">
        <v>1</v>
      </c>
      <c r="M1172" s="2" t="e">
        <f>INDEX(+PHONETIC(INDIRECT(M1172:N1172)),)</f>
        <v>#REF!</v>
      </c>
      <c r="N1172" s="1">
        <v>1</v>
      </c>
    </row>
    <row r="1173" spans="1:14" x14ac:dyDescent="0.55000000000000004">
      <c r="A1173" s="1" t="s">
        <v>1803</v>
      </c>
      <c r="B1173" s="2">
        <f>COUNTIF(A:A,A1173)-1</f>
        <v>3</v>
      </c>
      <c r="C1173" s="2">
        <f>COUNTIF(A$1:A1173,A1173)-1</f>
        <v>0</v>
      </c>
      <c r="D1173" s="2" t="str">
        <f>Argument!D1173</f>
        <v/>
      </c>
      <c r="E1173" s="2" t="str">
        <f t="shared" si="36"/>
        <v>v</v>
      </c>
      <c r="F1173" s="2" t="b">
        <f>IF(C1173=0,ISTEXT(FORMULA.CONVERT("="&amp;A1173&amp;"("&amp;REPLACE(REPT(",#ref!",B1173),1,1,"")&amp;")()",1)),"")</f>
        <v>0</v>
      </c>
      <c r="G1173" s="2"/>
      <c r="H1173" s="2" t="str">
        <f t="shared" si="37"/>
        <v/>
      </c>
      <c r="I1173" s="2">
        <f>TYPE(AVERAGEA(IF(1,1),IF(1,1),IF(1,1)))</f>
        <v>1</v>
      </c>
      <c r="J1173" s="2">
        <f>IF(C1173=0,COUNTIFS(A:A,A1173,D:D,"a"),"")</f>
        <v>0</v>
      </c>
      <c r="K1173" s="2"/>
      <c r="M1173" s="2"/>
    </row>
    <row r="1174" spans="1:14" x14ac:dyDescent="0.55000000000000004">
      <c r="A1174" s="1" t="s">
        <v>1803</v>
      </c>
      <c r="B1174" s="2">
        <f>COUNTIF(A:A,A1174)-1</f>
        <v>3</v>
      </c>
      <c r="C1174" s="2">
        <f>COUNTIF(A$1:A1174,A1174)-1</f>
        <v>1</v>
      </c>
      <c r="D1174" s="2" t="str">
        <f>Argument!D1174</f>
        <v>var</v>
      </c>
      <c r="E1174" s="2" t="str">
        <f t="shared" si="36"/>
        <v/>
      </c>
      <c r="F1174" s="2" t="str">
        <f>IF(C1174=0,ISTEXT(FORMULA.CONVERT("="&amp;A1174&amp;"("&amp;REPLACE(REPT(",#ref!",B1174),1,1,"")&amp;")()",1)),"")</f>
        <v/>
      </c>
      <c r="G1174" s="2">
        <f>TYPE(AVERAGEA({1},IF(1,1),IF(1,1)))</f>
        <v>1</v>
      </c>
      <c r="H1174" s="2" t="str">
        <f t="shared" si="37"/>
        <v/>
      </c>
      <c r="I1174" s="2">
        <f>TYPE(AVERAGEA(IF(1,1),IF(1,1),IF(1,1)))</f>
        <v>1</v>
      </c>
      <c r="J1174" s="2" t="str">
        <f>IF(C1174=0,COUNTIFS(A:A,A1174,D:D,"a"),"")</f>
        <v/>
      </c>
      <c r="K1174" s="2" t="e">
        <f>INDEX(+AVERAGEA(K1174:L1174,#REF!,#REF!),)</f>
        <v>#REF!</v>
      </c>
      <c r="L1174" s="1">
        <v>1</v>
      </c>
      <c r="M1174" s="2" t="e">
        <f>INDEX(+AVERAGEA(INDIRECT(M1174:N1174),#REF!,#REF!),)</f>
        <v>#REF!</v>
      </c>
      <c r="N1174" s="1">
        <v>1</v>
      </c>
    </row>
    <row r="1175" spans="1:14" x14ac:dyDescent="0.55000000000000004">
      <c r="A1175" s="1" t="s">
        <v>1803</v>
      </c>
      <c r="B1175" s="2">
        <f>COUNTIF(A:A,A1175)-1</f>
        <v>3</v>
      </c>
      <c r="C1175" s="2">
        <f>COUNTIF(A$1:A1175,A1175)-1</f>
        <v>2</v>
      </c>
      <c r="D1175" s="2" t="str">
        <f>Argument!D1175</f>
        <v>var</v>
      </c>
      <c r="E1175" s="2" t="str">
        <f t="shared" si="36"/>
        <v/>
      </c>
      <c r="F1175" s="2" t="str">
        <f>IF(C1175=0,ISTEXT(FORMULA.CONVERT("="&amp;A1175&amp;"("&amp;REPLACE(REPT(",#ref!",B1175),1,1,"")&amp;")()",1)),"")</f>
        <v/>
      </c>
      <c r="G1175" s="2">
        <f>TYPE(AVERAGEA(IF(1,1),{1},IF(1,1)))</f>
        <v>1</v>
      </c>
      <c r="H1175" s="2" t="str">
        <f t="shared" si="37"/>
        <v/>
      </c>
      <c r="I1175" s="2">
        <f>TYPE(AVERAGEA(IF(1,1),IF(1,1),IF(1,1)))</f>
        <v>1</v>
      </c>
      <c r="J1175" s="2" t="str">
        <f>IF(C1175=0,COUNTIFS(A:A,A1175,D:D,"a"),"")</f>
        <v/>
      </c>
      <c r="K1175" s="2" t="e">
        <f>INDEX(+AVERAGEA(#REF!,K1175:L1175,#REF!),)</f>
        <v>#REF!</v>
      </c>
      <c r="L1175" s="1">
        <v>1</v>
      </c>
      <c r="M1175" s="2" t="e">
        <f>INDEX(+AVERAGEA(#REF!,INDIRECT(M1175:N1175),#REF!),)</f>
        <v>#REF!</v>
      </c>
      <c r="N1175" s="1">
        <v>1</v>
      </c>
    </row>
    <row r="1176" spans="1:14" x14ac:dyDescent="0.55000000000000004">
      <c r="A1176" s="1" t="s">
        <v>1803</v>
      </c>
      <c r="B1176" s="2">
        <f>COUNTIF(A:A,A1176)-1</f>
        <v>3</v>
      </c>
      <c r="C1176" s="2">
        <f>COUNTIF(A$1:A1176,A1176)-1</f>
        <v>3</v>
      </c>
      <c r="D1176" s="2" t="str">
        <f>Argument!D1176</f>
        <v>var</v>
      </c>
      <c r="E1176" s="2" t="str">
        <f t="shared" si="36"/>
        <v/>
      </c>
      <c r="F1176" s="2" t="str">
        <f>IF(C1176=0,ISTEXT(FORMULA.CONVERT("="&amp;A1176&amp;"("&amp;REPLACE(REPT(",#ref!",B1176),1,1,"")&amp;")()",1)),"")</f>
        <v/>
      </c>
      <c r="G1176" s="2">
        <f>TYPE(AVERAGEA(IF(1,1),IF(1,1),{1}))</f>
        <v>1</v>
      </c>
      <c r="H1176" s="2" t="str">
        <f t="shared" si="37"/>
        <v/>
      </c>
      <c r="I1176" s="2">
        <f>TYPE(AVERAGEA(IF(1,1),IF(1,1),IF(1,1)))</f>
        <v>1</v>
      </c>
      <c r="J1176" s="2" t="str">
        <f>IF(C1176=0,COUNTIFS(A:A,A1176,D:D,"a"),"")</f>
        <v/>
      </c>
      <c r="K1176" s="2" t="e">
        <f>INDEX(+AVERAGEA(#REF!,#REF!,K1176:L1176),)</f>
        <v>#REF!</v>
      </c>
      <c r="L1176" s="1">
        <v>1</v>
      </c>
      <c r="M1176" s="2" t="e">
        <f>INDEX(+AVERAGEA(#REF!,#REF!,INDIRECT(M1176:N1176)),)</f>
        <v>#REF!</v>
      </c>
      <c r="N1176" s="1">
        <v>1</v>
      </c>
    </row>
    <row r="1177" spans="1:14" x14ac:dyDescent="0.55000000000000004">
      <c r="A1177" s="1" t="s">
        <v>1804</v>
      </c>
      <c r="B1177" s="2">
        <f>COUNTIF(A:A,A1177)-1</f>
        <v>3</v>
      </c>
      <c r="C1177" s="2">
        <f>COUNTIF(A$1:A1177,A1177)-1</f>
        <v>0</v>
      </c>
      <c r="D1177" s="2" t="str">
        <f>Argument!D1177</f>
        <v/>
      </c>
      <c r="E1177" s="2" t="str">
        <f t="shared" si="36"/>
        <v>v</v>
      </c>
      <c r="F1177" s="2" t="b">
        <f>IF(C1177=0,ISTEXT(FORMULA.CONVERT("="&amp;A1177&amp;"("&amp;REPLACE(REPT(",#ref!",B1177),1,1,"")&amp;")()",1)),"")</f>
        <v>0</v>
      </c>
      <c r="G1177" s="2"/>
      <c r="H1177" s="2" t="str">
        <f t="shared" si="37"/>
        <v/>
      </c>
      <c r="I1177" s="2">
        <f>TYPE(MAXA(IF(1,1),IF(1,1),IF(1,1)))</f>
        <v>1</v>
      </c>
      <c r="J1177" s="2">
        <f>IF(C1177=0,COUNTIFS(A:A,A1177,D:D,"a"),"")</f>
        <v>0</v>
      </c>
      <c r="K1177" s="2"/>
      <c r="M1177" s="2"/>
    </row>
    <row r="1178" spans="1:14" x14ac:dyDescent="0.55000000000000004">
      <c r="A1178" s="1" t="s">
        <v>1804</v>
      </c>
      <c r="B1178" s="2">
        <f>COUNTIF(A:A,A1178)-1</f>
        <v>3</v>
      </c>
      <c r="C1178" s="2">
        <f>COUNTIF(A$1:A1178,A1178)-1</f>
        <v>1</v>
      </c>
      <c r="D1178" s="2" t="str">
        <f>Argument!D1178</f>
        <v>var</v>
      </c>
      <c r="E1178" s="2" t="str">
        <f t="shared" si="36"/>
        <v/>
      </c>
      <c r="F1178" s="2" t="str">
        <f>IF(C1178=0,ISTEXT(FORMULA.CONVERT("="&amp;A1178&amp;"("&amp;REPLACE(REPT(",#ref!",B1178),1,1,"")&amp;")()",1)),"")</f>
        <v/>
      </c>
      <c r="G1178" s="2">
        <f>TYPE(MAXA({1},IF(1,1),IF(1,1)))</f>
        <v>1</v>
      </c>
      <c r="H1178" s="2" t="str">
        <f t="shared" si="37"/>
        <v/>
      </c>
      <c r="I1178" s="2">
        <f>TYPE(MAXA(IF(1,1),IF(1,1),IF(1,1)))</f>
        <v>1</v>
      </c>
      <c r="J1178" s="2" t="str">
        <f>IF(C1178=0,COUNTIFS(A:A,A1178,D:D,"a"),"")</f>
        <v/>
      </c>
      <c r="K1178" s="2" t="e">
        <f>INDEX(+MAXA(K1178:L1178,#REF!,#REF!),)</f>
        <v>#REF!</v>
      </c>
      <c r="L1178" s="1">
        <v>1</v>
      </c>
      <c r="M1178" s="2" t="e">
        <f>INDEX(+MAXA(INDIRECT(M1178:N1178),#REF!,#REF!),)</f>
        <v>#REF!</v>
      </c>
      <c r="N1178" s="1">
        <v>1</v>
      </c>
    </row>
    <row r="1179" spans="1:14" x14ac:dyDescent="0.55000000000000004">
      <c r="A1179" s="1" t="s">
        <v>1804</v>
      </c>
      <c r="B1179" s="2">
        <f>COUNTIF(A:A,A1179)-1</f>
        <v>3</v>
      </c>
      <c r="C1179" s="2">
        <f>COUNTIF(A$1:A1179,A1179)-1</f>
        <v>2</v>
      </c>
      <c r="D1179" s="2" t="str">
        <f>Argument!D1179</f>
        <v>var</v>
      </c>
      <c r="E1179" s="2" t="str">
        <f t="shared" si="36"/>
        <v/>
      </c>
      <c r="F1179" s="2" t="str">
        <f>IF(C1179=0,ISTEXT(FORMULA.CONVERT("="&amp;A1179&amp;"("&amp;REPLACE(REPT(",#ref!",B1179),1,1,"")&amp;")()",1)),"")</f>
        <v/>
      </c>
      <c r="G1179" s="2">
        <f>TYPE(MAXA(IF(1,1),{1},IF(1,1)))</f>
        <v>1</v>
      </c>
      <c r="H1179" s="2" t="str">
        <f t="shared" si="37"/>
        <v/>
      </c>
      <c r="I1179" s="2">
        <f>TYPE(MAXA(IF(1,1),IF(1,1),IF(1,1)))</f>
        <v>1</v>
      </c>
      <c r="J1179" s="2" t="str">
        <f>IF(C1179=0,COUNTIFS(A:A,A1179,D:D,"a"),"")</f>
        <v/>
      </c>
      <c r="K1179" s="2" t="e">
        <f>INDEX(+MAXA(#REF!,K1179:L1179,#REF!),)</f>
        <v>#REF!</v>
      </c>
      <c r="L1179" s="1">
        <v>1</v>
      </c>
      <c r="M1179" s="2" t="e">
        <f>INDEX(+MAXA(#REF!,INDIRECT(M1179:N1179),#REF!),)</f>
        <v>#REF!</v>
      </c>
      <c r="N1179" s="1">
        <v>1</v>
      </c>
    </row>
    <row r="1180" spans="1:14" x14ac:dyDescent="0.55000000000000004">
      <c r="A1180" s="1" t="s">
        <v>1804</v>
      </c>
      <c r="B1180" s="2">
        <f>COUNTIF(A:A,A1180)-1</f>
        <v>3</v>
      </c>
      <c r="C1180" s="2">
        <f>COUNTIF(A$1:A1180,A1180)-1</f>
        <v>3</v>
      </c>
      <c r="D1180" s="2" t="str">
        <f>Argument!D1180</f>
        <v>var</v>
      </c>
      <c r="E1180" s="2" t="str">
        <f t="shared" si="36"/>
        <v/>
      </c>
      <c r="F1180" s="2" t="str">
        <f>IF(C1180=0,ISTEXT(FORMULA.CONVERT("="&amp;A1180&amp;"("&amp;REPLACE(REPT(",#ref!",B1180),1,1,"")&amp;")()",1)),"")</f>
        <v/>
      </c>
      <c r="G1180" s="2">
        <f>TYPE(MAXA(IF(1,1),IF(1,1),{1}))</f>
        <v>1</v>
      </c>
      <c r="H1180" s="2" t="str">
        <f t="shared" si="37"/>
        <v/>
      </c>
      <c r="I1180" s="2">
        <f>TYPE(MAXA(IF(1,1),IF(1,1),IF(1,1)))</f>
        <v>1</v>
      </c>
      <c r="J1180" s="2" t="str">
        <f>IF(C1180=0,COUNTIFS(A:A,A1180,D:D,"a"),"")</f>
        <v/>
      </c>
      <c r="K1180" s="2" t="e">
        <f>INDEX(+MAXA(#REF!,#REF!,K1180:L1180),)</f>
        <v>#REF!</v>
      </c>
      <c r="L1180" s="1">
        <v>1</v>
      </c>
      <c r="M1180" s="2" t="e">
        <f>INDEX(+MAXA(#REF!,#REF!,INDIRECT(M1180:N1180)),)</f>
        <v>#REF!</v>
      </c>
      <c r="N1180" s="1">
        <v>1</v>
      </c>
    </row>
    <row r="1181" spans="1:14" x14ac:dyDescent="0.55000000000000004">
      <c r="A1181" s="1" t="s">
        <v>1805</v>
      </c>
      <c r="B1181" s="2">
        <f>COUNTIF(A:A,A1181)-1</f>
        <v>3</v>
      </c>
      <c r="C1181" s="2">
        <f>COUNTIF(A$1:A1181,A1181)-1</f>
        <v>0</v>
      </c>
      <c r="D1181" s="2" t="str">
        <f>Argument!D1181</f>
        <v/>
      </c>
      <c r="E1181" s="2" t="str">
        <f t="shared" si="36"/>
        <v>v</v>
      </c>
      <c r="F1181" s="2" t="b">
        <f>IF(C1181=0,ISTEXT(FORMULA.CONVERT("="&amp;A1181&amp;"("&amp;REPLACE(REPT(",#ref!",B1181),1,1,"")&amp;")()",1)),"")</f>
        <v>0</v>
      </c>
      <c r="G1181" s="2"/>
      <c r="H1181" s="2" t="str">
        <f t="shared" si="37"/>
        <v/>
      </c>
      <c r="I1181" s="2">
        <f>TYPE(MINA(IF(1,1),IF(1,1),IF(1,1)))</f>
        <v>1</v>
      </c>
      <c r="J1181" s="2">
        <f>IF(C1181=0,COUNTIFS(A:A,A1181,D:D,"a"),"")</f>
        <v>0</v>
      </c>
      <c r="K1181" s="2"/>
      <c r="M1181" s="2"/>
    </row>
    <row r="1182" spans="1:14" x14ac:dyDescent="0.55000000000000004">
      <c r="A1182" s="1" t="s">
        <v>1805</v>
      </c>
      <c r="B1182" s="2">
        <f>COUNTIF(A:A,A1182)-1</f>
        <v>3</v>
      </c>
      <c r="C1182" s="2">
        <f>COUNTIF(A$1:A1182,A1182)-1</f>
        <v>1</v>
      </c>
      <c r="D1182" s="2" t="str">
        <f>Argument!D1182</f>
        <v>var</v>
      </c>
      <c r="E1182" s="2" t="str">
        <f t="shared" si="36"/>
        <v/>
      </c>
      <c r="F1182" s="2" t="str">
        <f>IF(C1182=0,ISTEXT(FORMULA.CONVERT("="&amp;A1182&amp;"("&amp;REPLACE(REPT(",#ref!",B1182),1,1,"")&amp;")()",1)),"")</f>
        <v/>
      </c>
      <c r="G1182" s="2">
        <f>TYPE(MINA({1},IF(1,1),IF(1,1)))</f>
        <v>1</v>
      </c>
      <c r="H1182" s="2" t="str">
        <f t="shared" si="37"/>
        <v/>
      </c>
      <c r="I1182" s="2">
        <f>TYPE(MINA(IF(1,1),IF(1,1),IF(1,1)))</f>
        <v>1</v>
      </c>
      <c r="J1182" s="2" t="str">
        <f>IF(C1182=0,COUNTIFS(A:A,A1182,D:D,"a"),"")</f>
        <v/>
      </c>
      <c r="K1182" s="2" t="e">
        <f>INDEX(+MINA(K1182:L1182,#REF!,#REF!),)</f>
        <v>#REF!</v>
      </c>
      <c r="L1182" s="1">
        <v>1</v>
      </c>
      <c r="M1182" s="2" t="e">
        <f>INDEX(+MINA(INDIRECT(M1182:N1182),#REF!,#REF!),)</f>
        <v>#REF!</v>
      </c>
      <c r="N1182" s="1">
        <v>1</v>
      </c>
    </row>
    <row r="1183" spans="1:14" x14ac:dyDescent="0.55000000000000004">
      <c r="A1183" s="1" t="s">
        <v>1805</v>
      </c>
      <c r="B1183" s="2">
        <f>COUNTIF(A:A,A1183)-1</f>
        <v>3</v>
      </c>
      <c r="C1183" s="2">
        <f>COUNTIF(A$1:A1183,A1183)-1</f>
        <v>2</v>
      </c>
      <c r="D1183" s="2" t="str">
        <f>Argument!D1183</f>
        <v>var</v>
      </c>
      <c r="E1183" s="2" t="str">
        <f t="shared" si="36"/>
        <v/>
      </c>
      <c r="F1183" s="2" t="str">
        <f>IF(C1183=0,ISTEXT(FORMULA.CONVERT("="&amp;A1183&amp;"("&amp;REPLACE(REPT(",#ref!",B1183),1,1,"")&amp;")()",1)),"")</f>
        <v/>
      </c>
      <c r="G1183" s="2">
        <f>TYPE(MINA(IF(1,1),{1},IF(1,1)))</f>
        <v>1</v>
      </c>
      <c r="H1183" s="2" t="str">
        <f t="shared" si="37"/>
        <v/>
      </c>
      <c r="I1183" s="2">
        <f>TYPE(MINA(IF(1,1),IF(1,1),IF(1,1)))</f>
        <v>1</v>
      </c>
      <c r="J1183" s="2" t="str">
        <f>IF(C1183=0,COUNTIFS(A:A,A1183,D:D,"a"),"")</f>
        <v/>
      </c>
      <c r="K1183" s="2" t="e">
        <f>INDEX(+MINA(#REF!,K1183:L1183,#REF!),)</f>
        <v>#REF!</v>
      </c>
      <c r="L1183" s="1">
        <v>1</v>
      </c>
      <c r="M1183" s="2" t="e">
        <f>INDEX(+MINA(#REF!,INDIRECT(M1183:N1183),#REF!),)</f>
        <v>#REF!</v>
      </c>
      <c r="N1183" s="1">
        <v>1</v>
      </c>
    </row>
    <row r="1184" spans="1:14" x14ac:dyDescent="0.55000000000000004">
      <c r="A1184" s="1" t="s">
        <v>1805</v>
      </c>
      <c r="B1184" s="2">
        <f>COUNTIF(A:A,A1184)-1</f>
        <v>3</v>
      </c>
      <c r="C1184" s="2">
        <f>COUNTIF(A$1:A1184,A1184)-1</f>
        <v>3</v>
      </c>
      <c r="D1184" s="2" t="str">
        <f>Argument!D1184</f>
        <v>var</v>
      </c>
      <c r="E1184" s="2" t="str">
        <f t="shared" si="36"/>
        <v/>
      </c>
      <c r="F1184" s="2" t="str">
        <f>IF(C1184=0,ISTEXT(FORMULA.CONVERT("="&amp;A1184&amp;"("&amp;REPLACE(REPT(",#ref!",B1184),1,1,"")&amp;")()",1)),"")</f>
        <v/>
      </c>
      <c r="G1184" s="2">
        <f>TYPE(MINA(IF(1,1),IF(1,1),{1}))</f>
        <v>1</v>
      </c>
      <c r="H1184" s="2" t="str">
        <f t="shared" si="37"/>
        <v/>
      </c>
      <c r="I1184" s="2">
        <f>TYPE(MINA(IF(1,1),IF(1,1),IF(1,1)))</f>
        <v>1</v>
      </c>
      <c r="J1184" s="2" t="str">
        <f>IF(C1184=0,COUNTIFS(A:A,A1184,D:D,"a"),"")</f>
        <v/>
      </c>
      <c r="K1184" s="2" t="e">
        <f>INDEX(+MINA(#REF!,#REF!,K1184:L1184),)</f>
        <v>#REF!</v>
      </c>
      <c r="L1184" s="1">
        <v>1</v>
      </c>
      <c r="M1184" s="2" t="e">
        <f>INDEX(+MINA(#REF!,#REF!,INDIRECT(M1184:N1184)),)</f>
        <v>#REF!</v>
      </c>
      <c r="N1184" s="1">
        <v>1</v>
      </c>
    </row>
    <row r="1185" spans="1:14" x14ac:dyDescent="0.55000000000000004">
      <c r="A1185" s="1" t="s">
        <v>1806</v>
      </c>
      <c r="B1185" s="2">
        <f>COUNTIF(A:A,A1185)-1</f>
        <v>3</v>
      </c>
      <c r="C1185" s="2">
        <f>COUNTIF(A$1:A1185,A1185)-1</f>
        <v>0</v>
      </c>
      <c r="D1185" s="2" t="str">
        <f>Argument!D1185</f>
        <v/>
      </c>
      <c r="E1185" s="2" t="str">
        <f t="shared" si="36"/>
        <v>v</v>
      </c>
      <c r="F1185" s="2" t="b">
        <f>IF(C1185=0,ISTEXT(FORMULA.CONVERT("="&amp;A1185&amp;"("&amp;REPLACE(REPT(",#ref!",B1185),1,1,"")&amp;")()",1)),"")</f>
        <v>0</v>
      </c>
      <c r="G1185" s="2"/>
      <c r="H1185" s="2" t="str">
        <f t="shared" si="37"/>
        <v/>
      </c>
      <c r="I1185" s="2">
        <f>TYPE(STDEVPA(IF(1,1),IF(1,1),IF(1,1)))</f>
        <v>1</v>
      </c>
      <c r="J1185" s="2">
        <f>IF(C1185=0,COUNTIFS(A:A,A1185,D:D,"a"),"")</f>
        <v>0</v>
      </c>
      <c r="K1185" s="2"/>
      <c r="M1185" s="2"/>
    </row>
    <row r="1186" spans="1:14" x14ac:dyDescent="0.55000000000000004">
      <c r="A1186" s="1" t="s">
        <v>1806</v>
      </c>
      <c r="B1186" s="2">
        <f>COUNTIF(A:A,A1186)-1</f>
        <v>3</v>
      </c>
      <c r="C1186" s="2">
        <f>COUNTIF(A$1:A1186,A1186)-1</f>
        <v>1</v>
      </c>
      <c r="D1186" s="2" t="str">
        <f>Argument!D1186</f>
        <v>var</v>
      </c>
      <c r="E1186" s="2" t="str">
        <f t="shared" si="36"/>
        <v/>
      </c>
      <c r="F1186" s="2" t="str">
        <f>IF(C1186=0,ISTEXT(FORMULA.CONVERT("="&amp;A1186&amp;"("&amp;REPLACE(REPT(",#ref!",B1186),1,1,"")&amp;")()",1)),"")</f>
        <v/>
      </c>
      <c r="G1186" s="2">
        <f>TYPE(STDEVPA({1},IF(1,1),IF(1,1)))</f>
        <v>1</v>
      </c>
      <c r="H1186" s="2" t="str">
        <f t="shared" si="37"/>
        <v/>
      </c>
      <c r="I1186" s="2">
        <f>TYPE(STDEVPA(IF(1,1),IF(1,1),IF(1,1)))</f>
        <v>1</v>
      </c>
      <c r="J1186" s="2" t="str">
        <f>IF(C1186=0,COUNTIFS(A:A,A1186,D:D,"a"),"")</f>
        <v/>
      </c>
      <c r="K1186" s="2" t="e">
        <f>INDEX(+STDEVPA(K1186:L1186,#REF!,#REF!),)</f>
        <v>#REF!</v>
      </c>
      <c r="L1186" s="1">
        <v>1</v>
      </c>
      <c r="M1186" s="2" t="e">
        <f>INDEX(+STDEVPA(INDIRECT(M1186:N1186),#REF!,#REF!),)</f>
        <v>#REF!</v>
      </c>
      <c r="N1186" s="1">
        <v>1</v>
      </c>
    </row>
    <row r="1187" spans="1:14" x14ac:dyDescent="0.55000000000000004">
      <c r="A1187" s="1" t="s">
        <v>1806</v>
      </c>
      <c r="B1187" s="2">
        <f>COUNTIF(A:A,A1187)-1</f>
        <v>3</v>
      </c>
      <c r="C1187" s="2">
        <f>COUNTIF(A$1:A1187,A1187)-1</f>
        <v>2</v>
      </c>
      <c r="D1187" s="2" t="str">
        <f>Argument!D1187</f>
        <v>var</v>
      </c>
      <c r="E1187" s="2" t="str">
        <f t="shared" si="36"/>
        <v/>
      </c>
      <c r="F1187" s="2" t="str">
        <f>IF(C1187=0,ISTEXT(FORMULA.CONVERT("="&amp;A1187&amp;"("&amp;REPLACE(REPT(",#ref!",B1187),1,1,"")&amp;")()",1)),"")</f>
        <v/>
      </c>
      <c r="G1187" s="2">
        <f>TYPE(STDEVPA(IF(1,1),{1},IF(1,1)))</f>
        <v>1</v>
      </c>
      <c r="H1187" s="2" t="str">
        <f t="shared" si="37"/>
        <v/>
      </c>
      <c r="I1187" s="2">
        <f>TYPE(STDEVPA(IF(1,1),IF(1,1),IF(1,1)))</f>
        <v>1</v>
      </c>
      <c r="J1187" s="2" t="str">
        <f>IF(C1187=0,COUNTIFS(A:A,A1187,D:D,"a"),"")</f>
        <v/>
      </c>
      <c r="K1187" s="2" t="e">
        <f>INDEX(+STDEVPA(#REF!,K1187:L1187,#REF!),)</f>
        <v>#REF!</v>
      </c>
      <c r="L1187" s="1">
        <v>1</v>
      </c>
      <c r="M1187" s="2" t="e">
        <f>INDEX(+STDEVPA(#REF!,INDIRECT(M1187:N1187),#REF!),)</f>
        <v>#REF!</v>
      </c>
      <c r="N1187" s="1">
        <v>1</v>
      </c>
    </row>
    <row r="1188" spans="1:14" x14ac:dyDescent="0.55000000000000004">
      <c r="A1188" s="1" t="s">
        <v>1806</v>
      </c>
      <c r="B1188" s="2">
        <f>COUNTIF(A:A,A1188)-1</f>
        <v>3</v>
      </c>
      <c r="C1188" s="2">
        <f>COUNTIF(A$1:A1188,A1188)-1</f>
        <v>3</v>
      </c>
      <c r="D1188" s="2" t="str">
        <f>Argument!D1188</f>
        <v>var</v>
      </c>
      <c r="E1188" s="2" t="str">
        <f t="shared" si="36"/>
        <v/>
      </c>
      <c r="F1188" s="2" t="str">
        <f>IF(C1188=0,ISTEXT(FORMULA.CONVERT("="&amp;A1188&amp;"("&amp;REPLACE(REPT(",#ref!",B1188),1,1,"")&amp;")()",1)),"")</f>
        <v/>
      </c>
      <c r="G1188" s="2">
        <f>TYPE(STDEVPA(IF(1,1),IF(1,1),{1}))</f>
        <v>1</v>
      </c>
      <c r="H1188" s="2" t="str">
        <f t="shared" si="37"/>
        <v/>
      </c>
      <c r="I1188" s="2">
        <f>TYPE(STDEVPA(IF(1,1),IF(1,1),IF(1,1)))</f>
        <v>1</v>
      </c>
      <c r="J1188" s="2" t="str">
        <f>IF(C1188=0,COUNTIFS(A:A,A1188,D:D,"a"),"")</f>
        <v/>
      </c>
      <c r="K1188" s="2" t="e">
        <f>INDEX(+STDEVPA(#REF!,#REF!,K1188:L1188),)</f>
        <v>#REF!</v>
      </c>
      <c r="L1188" s="1">
        <v>1</v>
      </c>
      <c r="M1188" s="2" t="e">
        <f>INDEX(+STDEVPA(#REF!,#REF!,INDIRECT(M1188:N1188)),)</f>
        <v>#REF!</v>
      </c>
      <c r="N1188" s="1">
        <v>1</v>
      </c>
    </row>
    <row r="1189" spans="1:14" x14ac:dyDescent="0.55000000000000004">
      <c r="A1189" s="1" t="s">
        <v>1807</v>
      </c>
      <c r="B1189" s="2">
        <f>COUNTIF(A:A,A1189)-1</f>
        <v>3</v>
      </c>
      <c r="C1189" s="2">
        <f>COUNTIF(A$1:A1189,A1189)-1</f>
        <v>0</v>
      </c>
      <c r="D1189" s="2" t="str">
        <f>Argument!D1189</f>
        <v/>
      </c>
      <c r="E1189" s="2" t="str">
        <f t="shared" si="36"/>
        <v>v</v>
      </c>
      <c r="F1189" s="2" t="b">
        <f>IF(C1189=0,ISTEXT(FORMULA.CONVERT("="&amp;A1189&amp;"("&amp;REPLACE(REPT(",#ref!",B1189),1,1,"")&amp;")()",1)),"")</f>
        <v>0</v>
      </c>
      <c r="G1189" s="2"/>
      <c r="H1189" s="2" t="str">
        <f t="shared" si="37"/>
        <v/>
      </c>
      <c r="I1189" s="2">
        <f>TYPE(VARPA(IF(1,1),IF(1,1),IF(1,1)))</f>
        <v>1</v>
      </c>
      <c r="J1189" s="2">
        <f>IF(C1189=0,COUNTIFS(A:A,A1189,D:D,"a"),"")</f>
        <v>0</v>
      </c>
      <c r="K1189" s="2"/>
      <c r="M1189" s="2"/>
    </row>
    <row r="1190" spans="1:14" x14ac:dyDescent="0.55000000000000004">
      <c r="A1190" s="1" t="s">
        <v>1807</v>
      </c>
      <c r="B1190" s="2">
        <f>COUNTIF(A:A,A1190)-1</f>
        <v>3</v>
      </c>
      <c r="C1190" s="2">
        <f>COUNTIF(A$1:A1190,A1190)-1</f>
        <v>1</v>
      </c>
      <c r="D1190" s="2" t="str">
        <f>Argument!D1190</f>
        <v>var</v>
      </c>
      <c r="E1190" s="2" t="str">
        <f t="shared" si="36"/>
        <v/>
      </c>
      <c r="F1190" s="2" t="str">
        <f>IF(C1190=0,ISTEXT(FORMULA.CONVERT("="&amp;A1190&amp;"("&amp;REPLACE(REPT(",#ref!",B1190),1,1,"")&amp;")()",1)),"")</f>
        <v/>
      </c>
      <c r="G1190" s="2">
        <f>TYPE(VARPA({1},IF(1,1),IF(1,1)))</f>
        <v>1</v>
      </c>
      <c r="H1190" s="2" t="str">
        <f t="shared" si="37"/>
        <v/>
      </c>
      <c r="I1190" s="2">
        <f>TYPE(VARPA(IF(1,1),IF(1,1),IF(1,1)))</f>
        <v>1</v>
      </c>
      <c r="J1190" s="2" t="str">
        <f>IF(C1190=0,COUNTIFS(A:A,A1190,D:D,"a"),"")</f>
        <v/>
      </c>
      <c r="K1190" s="2" t="e">
        <f>INDEX(+VARPA(K1190:L1190,#REF!,#REF!),)</f>
        <v>#REF!</v>
      </c>
      <c r="L1190" s="1">
        <v>1</v>
      </c>
      <c r="M1190" s="2" t="e">
        <f>INDEX(+VARPA(INDIRECT(M1190:N1190),#REF!,#REF!),)</f>
        <v>#REF!</v>
      </c>
      <c r="N1190" s="1">
        <v>1</v>
      </c>
    </row>
    <row r="1191" spans="1:14" x14ac:dyDescent="0.55000000000000004">
      <c r="A1191" s="1" t="s">
        <v>1807</v>
      </c>
      <c r="B1191" s="2">
        <f>COUNTIF(A:A,A1191)-1</f>
        <v>3</v>
      </c>
      <c r="C1191" s="2">
        <f>COUNTIF(A$1:A1191,A1191)-1</f>
        <v>2</v>
      </c>
      <c r="D1191" s="2" t="str">
        <f>Argument!D1191</f>
        <v>var</v>
      </c>
      <c r="E1191" s="2" t="str">
        <f t="shared" si="36"/>
        <v/>
      </c>
      <c r="F1191" s="2" t="str">
        <f>IF(C1191=0,ISTEXT(FORMULA.CONVERT("="&amp;A1191&amp;"("&amp;REPLACE(REPT(",#ref!",B1191),1,1,"")&amp;")()",1)),"")</f>
        <v/>
      </c>
      <c r="G1191" s="2">
        <f>TYPE(VARPA(IF(1,1),{1},IF(1,1)))</f>
        <v>1</v>
      </c>
      <c r="H1191" s="2" t="str">
        <f t="shared" si="37"/>
        <v/>
      </c>
      <c r="I1191" s="2">
        <f>TYPE(VARPA(IF(1,1),IF(1,1),IF(1,1)))</f>
        <v>1</v>
      </c>
      <c r="J1191" s="2" t="str">
        <f>IF(C1191=0,COUNTIFS(A:A,A1191,D:D,"a"),"")</f>
        <v/>
      </c>
      <c r="K1191" s="2" t="e">
        <f>INDEX(+VARPA(#REF!,K1191:L1191,#REF!),)</f>
        <v>#REF!</v>
      </c>
      <c r="L1191" s="1">
        <v>1</v>
      </c>
      <c r="M1191" s="2" t="e">
        <f>INDEX(+VARPA(#REF!,INDIRECT(M1191:N1191),#REF!),)</f>
        <v>#REF!</v>
      </c>
      <c r="N1191" s="1">
        <v>1</v>
      </c>
    </row>
    <row r="1192" spans="1:14" x14ac:dyDescent="0.55000000000000004">
      <c r="A1192" s="1" t="s">
        <v>1807</v>
      </c>
      <c r="B1192" s="2">
        <f>COUNTIF(A:A,A1192)-1</f>
        <v>3</v>
      </c>
      <c r="C1192" s="2">
        <f>COUNTIF(A$1:A1192,A1192)-1</f>
        <v>3</v>
      </c>
      <c r="D1192" s="2" t="str">
        <f>Argument!D1192</f>
        <v>var</v>
      </c>
      <c r="E1192" s="2" t="str">
        <f t="shared" si="36"/>
        <v/>
      </c>
      <c r="F1192" s="2" t="str">
        <f>IF(C1192=0,ISTEXT(FORMULA.CONVERT("="&amp;A1192&amp;"("&amp;REPLACE(REPT(",#ref!",B1192),1,1,"")&amp;")()",1)),"")</f>
        <v/>
      </c>
      <c r="G1192" s="2">
        <f>TYPE(VARPA(IF(1,1),IF(1,1),{1}))</f>
        <v>1</v>
      </c>
      <c r="H1192" s="2" t="str">
        <f t="shared" si="37"/>
        <v/>
      </c>
      <c r="I1192" s="2">
        <f>TYPE(VARPA(IF(1,1),IF(1,1),IF(1,1)))</f>
        <v>1</v>
      </c>
      <c r="J1192" s="2" t="str">
        <f>IF(C1192=0,COUNTIFS(A:A,A1192,D:D,"a"),"")</f>
        <v/>
      </c>
      <c r="K1192" s="2" t="e">
        <f>INDEX(+VARPA(#REF!,#REF!,K1192:L1192),)</f>
        <v>#REF!</v>
      </c>
      <c r="L1192" s="1">
        <v>1</v>
      </c>
      <c r="M1192" s="2" t="e">
        <f>INDEX(+VARPA(#REF!,#REF!,INDIRECT(M1192:N1192)),)</f>
        <v>#REF!</v>
      </c>
      <c r="N1192" s="1">
        <v>1</v>
      </c>
    </row>
    <row r="1193" spans="1:14" x14ac:dyDescent="0.55000000000000004">
      <c r="A1193" s="1" t="s">
        <v>1808</v>
      </c>
      <c r="B1193" s="2">
        <f>COUNTIF(A:A,A1193)-1</f>
        <v>3</v>
      </c>
      <c r="C1193" s="2">
        <f>COUNTIF(A$1:A1193,A1193)-1</f>
        <v>0</v>
      </c>
      <c r="D1193" s="2" t="str">
        <f>Argument!D1193</f>
        <v/>
      </c>
      <c r="E1193" s="2" t="str">
        <f t="shared" si="36"/>
        <v>v</v>
      </c>
      <c r="F1193" s="2" t="b">
        <f>IF(C1193=0,ISTEXT(FORMULA.CONVERT("="&amp;A1193&amp;"("&amp;REPLACE(REPT(",#ref!",B1193),1,1,"")&amp;")()",1)),"")</f>
        <v>0</v>
      </c>
      <c r="G1193" s="2"/>
      <c r="H1193" s="2" t="str">
        <f t="shared" si="37"/>
        <v/>
      </c>
      <c r="I1193" s="2">
        <f>TYPE(STDEVA(IF(1,1),IF(1,1),IF(1,1)))</f>
        <v>1</v>
      </c>
      <c r="J1193" s="2">
        <f>IF(C1193=0,COUNTIFS(A:A,A1193,D:D,"a"),"")</f>
        <v>0</v>
      </c>
      <c r="K1193" s="2"/>
      <c r="M1193" s="2"/>
    </row>
    <row r="1194" spans="1:14" x14ac:dyDescent="0.55000000000000004">
      <c r="A1194" s="1" t="s">
        <v>1808</v>
      </c>
      <c r="B1194" s="2">
        <f>COUNTIF(A:A,A1194)-1</f>
        <v>3</v>
      </c>
      <c r="C1194" s="2">
        <f>COUNTIF(A$1:A1194,A1194)-1</f>
        <v>1</v>
      </c>
      <c r="D1194" s="2" t="str">
        <f>Argument!D1194</f>
        <v>var</v>
      </c>
      <c r="E1194" s="2" t="str">
        <f t="shared" si="36"/>
        <v/>
      </c>
      <c r="F1194" s="2" t="str">
        <f>IF(C1194=0,ISTEXT(FORMULA.CONVERT("="&amp;A1194&amp;"("&amp;REPLACE(REPT(",#ref!",B1194),1,1,"")&amp;")()",1)),"")</f>
        <v/>
      </c>
      <c r="G1194" s="2">
        <f>TYPE(STDEVA({1},IF(1,1),IF(1,1)))</f>
        <v>1</v>
      </c>
      <c r="H1194" s="2" t="str">
        <f t="shared" si="37"/>
        <v/>
      </c>
      <c r="I1194" s="2">
        <f>TYPE(STDEVA(IF(1,1),IF(1,1),IF(1,1)))</f>
        <v>1</v>
      </c>
      <c r="J1194" s="2" t="str">
        <f>IF(C1194=0,COUNTIFS(A:A,A1194,D:D,"a"),"")</f>
        <v/>
      </c>
      <c r="K1194" s="2" t="e">
        <f>INDEX(+STDEVA(K1194:L1194,#REF!,#REF!),)</f>
        <v>#REF!</v>
      </c>
      <c r="L1194" s="1">
        <v>1</v>
      </c>
      <c r="M1194" s="2" t="e">
        <f>INDEX(+STDEVA(INDIRECT(M1194:N1194),#REF!,#REF!),)</f>
        <v>#REF!</v>
      </c>
      <c r="N1194" s="1">
        <v>1</v>
      </c>
    </row>
    <row r="1195" spans="1:14" x14ac:dyDescent="0.55000000000000004">
      <c r="A1195" s="1" t="s">
        <v>1808</v>
      </c>
      <c r="B1195" s="2">
        <f>COUNTIF(A:A,A1195)-1</f>
        <v>3</v>
      </c>
      <c r="C1195" s="2">
        <f>COUNTIF(A$1:A1195,A1195)-1</f>
        <v>2</v>
      </c>
      <c r="D1195" s="2" t="str">
        <f>Argument!D1195</f>
        <v>var</v>
      </c>
      <c r="E1195" s="2" t="str">
        <f t="shared" si="36"/>
        <v/>
      </c>
      <c r="F1195" s="2" t="str">
        <f>IF(C1195=0,ISTEXT(FORMULA.CONVERT("="&amp;A1195&amp;"("&amp;REPLACE(REPT(",#ref!",B1195),1,1,"")&amp;")()",1)),"")</f>
        <v/>
      </c>
      <c r="G1195" s="2">
        <f>TYPE(STDEVA(IF(1,1),{1},IF(1,1)))</f>
        <v>1</v>
      </c>
      <c r="H1195" s="2" t="str">
        <f t="shared" si="37"/>
        <v/>
      </c>
      <c r="I1195" s="2">
        <f>TYPE(STDEVA(IF(1,1),IF(1,1),IF(1,1)))</f>
        <v>1</v>
      </c>
      <c r="J1195" s="2" t="str">
        <f>IF(C1195=0,COUNTIFS(A:A,A1195,D:D,"a"),"")</f>
        <v/>
      </c>
      <c r="K1195" s="2" t="e">
        <f>INDEX(+STDEVA(#REF!,K1195:L1195,#REF!),)</f>
        <v>#REF!</v>
      </c>
      <c r="L1195" s="1">
        <v>1</v>
      </c>
      <c r="M1195" s="2" t="e">
        <f>INDEX(+STDEVA(#REF!,INDIRECT(M1195:N1195),#REF!),)</f>
        <v>#REF!</v>
      </c>
      <c r="N1195" s="1">
        <v>1</v>
      </c>
    </row>
    <row r="1196" spans="1:14" x14ac:dyDescent="0.55000000000000004">
      <c r="A1196" s="1" t="s">
        <v>1808</v>
      </c>
      <c r="B1196" s="2">
        <f>COUNTIF(A:A,A1196)-1</f>
        <v>3</v>
      </c>
      <c r="C1196" s="2">
        <f>COUNTIF(A$1:A1196,A1196)-1</f>
        <v>3</v>
      </c>
      <c r="D1196" s="2" t="str">
        <f>Argument!D1196</f>
        <v>var</v>
      </c>
      <c r="E1196" s="2" t="str">
        <f t="shared" si="36"/>
        <v/>
      </c>
      <c r="F1196" s="2" t="str">
        <f>IF(C1196=0,ISTEXT(FORMULA.CONVERT("="&amp;A1196&amp;"("&amp;REPLACE(REPT(",#ref!",B1196),1,1,"")&amp;")()",1)),"")</f>
        <v/>
      </c>
      <c r="G1196" s="2">
        <f>TYPE(STDEVA(IF(1,1),IF(1,1),{1}))</f>
        <v>1</v>
      </c>
      <c r="H1196" s="2" t="str">
        <f t="shared" si="37"/>
        <v/>
      </c>
      <c r="I1196" s="2">
        <f>TYPE(STDEVA(IF(1,1),IF(1,1),IF(1,1)))</f>
        <v>1</v>
      </c>
      <c r="J1196" s="2" t="str">
        <f>IF(C1196=0,COUNTIFS(A:A,A1196,D:D,"a"),"")</f>
        <v/>
      </c>
      <c r="K1196" s="2" t="e">
        <f>INDEX(+STDEVA(#REF!,#REF!,K1196:L1196),)</f>
        <v>#REF!</v>
      </c>
      <c r="L1196" s="1">
        <v>1</v>
      </c>
      <c r="M1196" s="2" t="e">
        <f>INDEX(+STDEVA(#REF!,#REF!,INDIRECT(M1196:N1196)),)</f>
        <v>#REF!</v>
      </c>
      <c r="N1196" s="1">
        <v>1</v>
      </c>
    </row>
    <row r="1197" spans="1:14" x14ac:dyDescent="0.55000000000000004">
      <c r="A1197" s="1" t="s">
        <v>1809</v>
      </c>
      <c r="B1197" s="2">
        <f>COUNTIF(A:A,A1197)-1</f>
        <v>3</v>
      </c>
      <c r="C1197" s="2">
        <f>COUNTIF(A$1:A1197,A1197)-1</f>
        <v>0</v>
      </c>
      <c r="D1197" s="2" t="str">
        <f>Argument!D1197</f>
        <v/>
      </c>
      <c r="E1197" s="2" t="str">
        <f t="shared" si="36"/>
        <v>v</v>
      </c>
      <c r="F1197" s="2" t="b">
        <f>IF(C1197=0,ISTEXT(FORMULA.CONVERT("="&amp;A1197&amp;"("&amp;REPLACE(REPT(",#ref!",B1197),1,1,"")&amp;")()",1)),"")</f>
        <v>0</v>
      </c>
      <c r="G1197" s="2"/>
      <c r="H1197" s="2" t="str">
        <f t="shared" si="37"/>
        <v/>
      </c>
      <c r="I1197" s="2">
        <f>TYPE(VARA(IF(1,1),IF(1,1),IF(1,1)))</f>
        <v>1</v>
      </c>
      <c r="J1197" s="2">
        <f>IF(C1197=0,COUNTIFS(A:A,A1197,D:D,"a"),"")</f>
        <v>0</v>
      </c>
      <c r="K1197" s="2"/>
      <c r="M1197" s="2"/>
    </row>
    <row r="1198" spans="1:14" x14ac:dyDescent="0.55000000000000004">
      <c r="A1198" s="1" t="s">
        <v>1809</v>
      </c>
      <c r="B1198" s="2">
        <f>COUNTIF(A:A,A1198)-1</f>
        <v>3</v>
      </c>
      <c r="C1198" s="2">
        <f>COUNTIF(A$1:A1198,A1198)-1</f>
        <v>1</v>
      </c>
      <c r="D1198" s="2" t="str">
        <f>Argument!D1198</f>
        <v>var</v>
      </c>
      <c r="E1198" s="2" t="str">
        <f t="shared" si="36"/>
        <v/>
      </c>
      <c r="F1198" s="2" t="str">
        <f>IF(C1198=0,ISTEXT(FORMULA.CONVERT("="&amp;A1198&amp;"("&amp;REPLACE(REPT(",#ref!",B1198),1,1,"")&amp;")()",1)),"")</f>
        <v/>
      </c>
      <c r="G1198" s="2">
        <f>TYPE(VARA({1},IF(1,1),IF(1,1)))</f>
        <v>1</v>
      </c>
      <c r="H1198" s="2" t="str">
        <f t="shared" si="37"/>
        <v/>
      </c>
      <c r="I1198" s="2">
        <f>TYPE(VARA(IF(1,1),IF(1,1),IF(1,1)))</f>
        <v>1</v>
      </c>
      <c r="J1198" s="2" t="str">
        <f>IF(C1198=0,COUNTIFS(A:A,A1198,D:D,"a"),"")</f>
        <v/>
      </c>
      <c r="K1198" s="2" t="e">
        <f>INDEX(+VARA(K1198:L1198,#REF!,#REF!),)</f>
        <v>#REF!</v>
      </c>
      <c r="L1198" s="1">
        <v>1</v>
      </c>
      <c r="M1198" s="2" t="e">
        <f>INDEX(+VARA(INDIRECT(M1198:N1198),#REF!,#REF!),)</f>
        <v>#REF!</v>
      </c>
      <c r="N1198" s="1">
        <v>1</v>
      </c>
    </row>
    <row r="1199" spans="1:14" x14ac:dyDescent="0.55000000000000004">
      <c r="A1199" s="1" t="s">
        <v>1809</v>
      </c>
      <c r="B1199" s="2">
        <f>COUNTIF(A:A,A1199)-1</f>
        <v>3</v>
      </c>
      <c r="C1199" s="2">
        <f>COUNTIF(A$1:A1199,A1199)-1</f>
        <v>2</v>
      </c>
      <c r="D1199" s="2" t="str">
        <f>Argument!D1199</f>
        <v>var</v>
      </c>
      <c r="E1199" s="2" t="str">
        <f t="shared" si="36"/>
        <v/>
      </c>
      <c r="F1199" s="2" t="str">
        <f>IF(C1199=0,ISTEXT(FORMULA.CONVERT("="&amp;A1199&amp;"("&amp;REPLACE(REPT(",#ref!",B1199),1,1,"")&amp;")()",1)),"")</f>
        <v/>
      </c>
      <c r="G1199" s="2">
        <f>TYPE(VARA(IF(1,1),{1},IF(1,1)))</f>
        <v>1</v>
      </c>
      <c r="H1199" s="2" t="str">
        <f t="shared" si="37"/>
        <v/>
      </c>
      <c r="I1199" s="2">
        <f>TYPE(VARA(IF(1,1),IF(1,1),IF(1,1)))</f>
        <v>1</v>
      </c>
      <c r="J1199" s="2" t="str">
        <f>IF(C1199=0,COUNTIFS(A:A,A1199,D:D,"a"),"")</f>
        <v/>
      </c>
      <c r="K1199" s="2" t="e">
        <f>INDEX(+VARA(#REF!,K1199:L1199,#REF!),)</f>
        <v>#REF!</v>
      </c>
      <c r="L1199" s="1">
        <v>1</v>
      </c>
      <c r="M1199" s="2" t="e">
        <f>INDEX(+VARA(#REF!,INDIRECT(M1199:N1199),#REF!),)</f>
        <v>#REF!</v>
      </c>
      <c r="N1199" s="1">
        <v>1</v>
      </c>
    </row>
    <row r="1200" spans="1:14" x14ac:dyDescent="0.55000000000000004">
      <c r="A1200" s="1" t="s">
        <v>1809</v>
      </c>
      <c r="B1200" s="2">
        <f>COUNTIF(A:A,A1200)-1</f>
        <v>3</v>
      </c>
      <c r="C1200" s="2">
        <f>COUNTIF(A$1:A1200,A1200)-1</f>
        <v>3</v>
      </c>
      <c r="D1200" s="2" t="str">
        <f>Argument!D1200</f>
        <v>var</v>
      </c>
      <c r="E1200" s="2" t="str">
        <f t="shared" si="36"/>
        <v/>
      </c>
      <c r="F1200" s="2" t="str">
        <f>IF(C1200=0,ISTEXT(FORMULA.CONVERT("="&amp;A1200&amp;"("&amp;REPLACE(REPT(",#ref!",B1200),1,1,"")&amp;")()",1)),"")</f>
        <v/>
      </c>
      <c r="G1200" s="2">
        <f>TYPE(VARA(IF(1,1),IF(1,1),{1}))</f>
        <v>1</v>
      </c>
      <c r="H1200" s="2" t="str">
        <f t="shared" si="37"/>
        <v/>
      </c>
      <c r="I1200" s="2">
        <f>TYPE(VARA(IF(1,1),IF(1,1),IF(1,1)))</f>
        <v>1</v>
      </c>
      <c r="J1200" s="2" t="str">
        <f>IF(C1200=0,COUNTIFS(A:A,A1200,D:D,"a"),"")</f>
        <v/>
      </c>
      <c r="K1200" s="2" t="e">
        <f>INDEX(+VARA(#REF!,#REF!,K1200:L1200),)</f>
        <v>#REF!</v>
      </c>
      <c r="L1200" s="1">
        <v>1</v>
      </c>
      <c r="M1200" s="2" t="e">
        <f>INDEX(+VARA(#REF!,#REF!,INDIRECT(M1200:N1200)),)</f>
        <v>#REF!</v>
      </c>
      <c r="N1200" s="1">
        <v>1</v>
      </c>
    </row>
    <row r="1201" spans="1:14" x14ac:dyDescent="0.55000000000000004">
      <c r="A1201" s="1" t="s">
        <v>1810</v>
      </c>
      <c r="B1201" s="2">
        <f>COUNTIF(A:A,A1201)-1</f>
        <v>1</v>
      </c>
      <c r="C1201" s="2">
        <f>COUNTIF(A$1:A1201,A1201)-1</f>
        <v>0</v>
      </c>
      <c r="D1201" s="2" t="str">
        <f>Argument!D1201</f>
        <v/>
      </c>
      <c r="E1201" s="2" t="str">
        <f t="shared" si="36"/>
        <v>v</v>
      </c>
      <c r="F1201" s="2" t="b">
        <f>IF(C1201=0,ISTEXT(FORMULA.CONVERT("="&amp;A1201&amp;"("&amp;REPLACE(REPT(",#ref!",B1201),1,1,"")&amp;")()",1)),"")</f>
        <v>0</v>
      </c>
      <c r="G1201" s="2"/>
      <c r="H1201" s="2" t="str">
        <f t="shared" si="37"/>
        <v/>
      </c>
      <c r="I1201" s="2">
        <f>TYPE(BAHTTEXT(IF(1,1)))</f>
        <v>2</v>
      </c>
      <c r="J1201" s="2">
        <f>IF(C1201=0,COUNTIFS(A:A,A1201,D:D,"a"),"")</f>
        <v>0</v>
      </c>
      <c r="K1201" s="2"/>
      <c r="M1201" s="2"/>
    </row>
    <row r="1202" spans="1:14" x14ac:dyDescent="0.55000000000000004">
      <c r="A1202" s="1" t="s">
        <v>1810</v>
      </c>
      <c r="B1202" s="2">
        <f>COUNTIF(A:A,A1202)-1</f>
        <v>1</v>
      </c>
      <c r="C1202" s="2">
        <f>COUNTIF(A$1:A1202,A1202)-1</f>
        <v>1</v>
      </c>
      <c r="D1202" s="2" t="str">
        <f>Argument!D1202</f>
        <v>v</v>
      </c>
      <c r="E1202" s="2" t="str">
        <f t="shared" si="36"/>
        <v/>
      </c>
      <c r="F1202" s="2" t="str">
        <f>IF(C1202=0,ISTEXT(FORMULA.CONVERT("="&amp;A1202&amp;"("&amp;REPLACE(REPT(",#ref!",B1202),1,1,"")&amp;")()",1)),"")</f>
        <v/>
      </c>
      <c r="G1202" s="2">
        <f>TYPE(BAHTTEXT({1}))</f>
        <v>64</v>
      </c>
      <c r="H1202" s="2" t="str">
        <f t="shared" si="37"/>
        <v/>
      </c>
      <c r="I1202" s="2">
        <f>TYPE(BAHTTEXT(IF(1,1)))</f>
        <v>2</v>
      </c>
      <c r="J1202" s="2" t="str">
        <f>IF(C1202=0,COUNTIFS(A:A,A1202,D:D,"a"),"")</f>
        <v/>
      </c>
      <c r="K1202" s="2" t="str">
        <f>INDEX(+BAHTTEXT(K1202:L1202),)</f>
        <v>ศูนย์บาทถ้วน</v>
      </c>
      <c r="L1202" s="1">
        <v>1</v>
      </c>
      <c r="M1202" s="2" t="e">
        <f>INDEX(+BAHTTEXT(INDIRECT(M1202:N1202)),)</f>
        <v>#REF!</v>
      </c>
      <c r="N1202" s="1">
        <v>1</v>
      </c>
    </row>
    <row r="1203" spans="1:14" x14ac:dyDescent="0.55000000000000004">
      <c r="A1203" s="1" t="s">
        <v>1811</v>
      </c>
      <c r="B1203" s="2">
        <f>COUNTIF(A:A,A1203)-1</f>
        <v>1</v>
      </c>
      <c r="C1203" s="2">
        <f>COUNTIF(A$1:A1203,A1203)-1</f>
        <v>0</v>
      </c>
      <c r="D1203" s="2" t="str">
        <f>Argument!D1203</f>
        <v/>
      </c>
      <c r="E1203" s="2" t="str">
        <f t="shared" si="36"/>
        <v>v</v>
      </c>
      <c r="F1203" s="2" t="b">
        <f>IF(C1203=0,ISTEXT(FORMULA.CONVERT("="&amp;A1203&amp;"("&amp;REPLACE(REPT(",#ref!",B1203),1,1,"")&amp;")()",1)),"")</f>
        <v>0</v>
      </c>
      <c r="G1203" s="2"/>
      <c r="H1203" s="2" t="str">
        <f t="shared" si="37"/>
        <v/>
      </c>
      <c r="I1203" s="2">
        <f>TYPE(THAIDAYOFWEEK(IF(1,1)))</f>
        <v>16</v>
      </c>
      <c r="J1203" s="2">
        <f>IF(C1203=0,COUNTIFS(A:A,A1203,D:D,"a"),"")</f>
        <v>0</v>
      </c>
      <c r="K1203" s="2"/>
      <c r="M1203" s="2"/>
    </row>
    <row r="1204" spans="1:14" x14ac:dyDescent="0.55000000000000004">
      <c r="A1204" s="1" t="s">
        <v>1811</v>
      </c>
      <c r="B1204" s="2">
        <f>COUNTIF(A:A,A1204)-1</f>
        <v>1</v>
      </c>
      <c r="C1204" s="2">
        <f>COUNTIF(A$1:A1204,A1204)-1</f>
        <v>1</v>
      </c>
      <c r="D1204" s="2" t="str">
        <f>Argument!D1204</f>
        <v>v</v>
      </c>
      <c r="E1204" s="2" t="str">
        <f t="shared" si="36"/>
        <v/>
      </c>
      <c r="F1204" s="2" t="str">
        <f>IF(C1204=0,ISTEXT(FORMULA.CONVERT("="&amp;A1204&amp;"("&amp;REPLACE(REPT(",#ref!",B1204),1,1,"")&amp;")()",1)),"")</f>
        <v/>
      </c>
      <c r="G1204" s="2">
        <f>TYPE(THAIDAYOFWEEK({1}))</f>
        <v>64</v>
      </c>
      <c r="H1204" s="2" t="str">
        <f t="shared" si="37"/>
        <v/>
      </c>
      <c r="I1204" s="2">
        <f>TYPE(THAIDAYOFWEEK(IF(1,1)))</f>
        <v>16</v>
      </c>
      <c r="J1204" s="2" t="str">
        <f>IF(C1204=0,COUNTIFS(A:A,A1204,D:D,"a"),"")</f>
        <v/>
      </c>
      <c r="K1204" s="2" t="e">
        <f>INDEX(+THAIDAYOFWEEK(K1204:L1204),)</f>
        <v>#VALUE!</v>
      </c>
      <c r="L1204" s="1">
        <v>1</v>
      </c>
      <c r="M1204" s="2" t="e">
        <f>INDEX(+THAIDAYOFWEEK(INDIRECT(M1204:N1204)),)</f>
        <v>#REF!</v>
      </c>
      <c r="N1204" s="1">
        <v>1</v>
      </c>
    </row>
    <row r="1205" spans="1:14" x14ac:dyDescent="0.55000000000000004">
      <c r="A1205" s="1" t="s">
        <v>1812</v>
      </c>
      <c r="B1205" s="2">
        <f>COUNTIF(A:A,A1205)-1</f>
        <v>1</v>
      </c>
      <c r="C1205" s="2">
        <f>COUNTIF(A$1:A1205,A1205)-1</f>
        <v>0</v>
      </c>
      <c r="D1205" s="2" t="str">
        <f>Argument!D1205</f>
        <v/>
      </c>
      <c r="E1205" s="2" t="str">
        <f t="shared" si="36"/>
        <v>v</v>
      </c>
      <c r="F1205" s="2" t="b">
        <f>IF(C1205=0,ISTEXT(FORMULA.CONVERT("="&amp;A1205&amp;"("&amp;REPLACE(REPT(",#ref!",B1205),1,1,"")&amp;")()",1)),"")</f>
        <v>0</v>
      </c>
      <c r="G1205" s="2"/>
      <c r="H1205" s="2" t="str">
        <f t="shared" si="37"/>
        <v/>
      </c>
      <c r="I1205" s="2">
        <f>TYPE(THAIDIGIT(IF(1,1)))</f>
        <v>16</v>
      </c>
      <c r="J1205" s="2">
        <f>IF(C1205=0,COUNTIFS(A:A,A1205,D:D,"a"),"")</f>
        <v>0</v>
      </c>
      <c r="K1205" s="2"/>
      <c r="M1205" s="2"/>
    </row>
    <row r="1206" spans="1:14" x14ac:dyDescent="0.55000000000000004">
      <c r="A1206" s="1" t="s">
        <v>1812</v>
      </c>
      <c r="B1206" s="2">
        <f>COUNTIF(A:A,A1206)-1</f>
        <v>1</v>
      </c>
      <c r="C1206" s="2">
        <f>COUNTIF(A$1:A1206,A1206)-1</f>
        <v>1</v>
      </c>
      <c r="D1206" s="2" t="str">
        <f>Argument!D1206</f>
        <v>v</v>
      </c>
      <c r="E1206" s="2" t="str">
        <f t="shared" si="36"/>
        <v/>
      </c>
      <c r="F1206" s="2" t="str">
        <f>IF(C1206=0,ISTEXT(FORMULA.CONVERT("="&amp;A1206&amp;"("&amp;REPLACE(REPT(",#ref!",B1206),1,1,"")&amp;")()",1)),"")</f>
        <v/>
      </c>
      <c r="G1206" s="2">
        <f>TYPE(THAIDIGIT({1}))</f>
        <v>64</v>
      </c>
      <c r="H1206" s="2" t="str">
        <f t="shared" si="37"/>
        <v/>
      </c>
      <c r="I1206" s="2">
        <f>TYPE(THAIDIGIT(IF(1,1)))</f>
        <v>16</v>
      </c>
      <c r="J1206" s="2" t="str">
        <f>IF(C1206=0,COUNTIFS(A:A,A1206,D:D,"a"),"")</f>
        <v/>
      </c>
      <c r="K1206" s="2" t="e">
        <f>INDEX(+THAIDIGIT(K1206:L1206),)</f>
        <v>#VALUE!</v>
      </c>
      <c r="L1206" s="1">
        <v>1</v>
      </c>
      <c r="M1206" s="2" t="e">
        <f>INDEX(+THAIDIGIT(INDIRECT(M1206:N1206)),)</f>
        <v>#REF!</v>
      </c>
      <c r="N1206" s="1">
        <v>1</v>
      </c>
    </row>
    <row r="1207" spans="1:14" x14ac:dyDescent="0.55000000000000004">
      <c r="A1207" s="1" t="s">
        <v>1813</v>
      </c>
      <c r="B1207" s="2">
        <f>COUNTIF(A:A,A1207)-1</f>
        <v>1</v>
      </c>
      <c r="C1207" s="2">
        <f>COUNTIF(A$1:A1207,A1207)-1</f>
        <v>0</v>
      </c>
      <c r="D1207" s="2" t="str">
        <f>Argument!D1207</f>
        <v/>
      </c>
      <c r="E1207" s="2" t="str">
        <f t="shared" si="36"/>
        <v>v</v>
      </c>
      <c r="F1207" s="2" t="b">
        <f>IF(C1207=0,ISTEXT(FORMULA.CONVERT("="&amp;A1207&amp;"("&amp;REPLACE(REPT(",#ref!",B1207),1,1,"")&amp;")()",1)),"")</f>
        <v>0</v>
      </c>
      <c r="G1207" s="2"/>
      <c r="H1207" s="2" t="str">
        <f t="shared" si="37"/>
        <v/>
      </c>
      <c r="I1207" s="2">
        <f>TYPE(THAIMONTHOFYEAR(IF(1,1)))</f>
        <v>16</v>
      </c>
      <c r="J1207" s="2">
        <f>IF(C1207=0,COUNTIFS(A:A,A1207,D:D,"a"),"")</f>
        <v>0</v>
      </c>
      <c r="K1207" s="2"/>
      <c r="M1207" s="2"/>
    </row>
    <row r="1208" spans="1:14" x14ac:dyDescent="0.55000000000000004">
      <c r="A1208" s="1" t="s">
        <v>1813</v>
      </c>
      <c r="B1208" s="2">
        <f>COUNTIF(A:A,A1208)-1</f>
        <v>1</v>
      </c>
      <c r="C1208" s="2">
        <f>COUNTIF(A$1:A1208,A1208)-1</f>
        <v>1</v>
      </c>
      <c r="D1208" s="2" t="str">
        <f>Argument!D1208</f>
        <v>v</v>
      </c>
      <c r="E1208" s="2" t="str">
        <f t="shared" si="36"/>
        <v/>
      </c>
      <c r="F1208" s="2" t="str">
        <f>IF(C1208=0,ISTEXT(FORMULA.CONVERT("="&amp;A1208&amp;"("&amp;REPLACE(REPT(",#ref!",B1208),1,1,"")&amp;")()",1)),"")</f>
        <v/>
      </c>
      <c r="G1208" s="2">
        <f>TYPE(THAIMONTHOFYEAR({1}))</f>
        <v>64</v>
      </c>
      <c r="H1208" s="2" t="str">
        <f t="shared" si="37"/>
        <v/>
      </c>
      <c r="I1208" s="2">
        <f>TYPE(THAIMONTHOFYEAR(IF(1,1)))</f>
        <v>16</v>
      </c>
      <c r="J1208" s="2" t="str">
        <f>IF(C1208=0,COUNTIFS(A:A,A1208,D:D,"a"),"")</f>
        <v/>
      </c>
      <c r="K1208" s="2" t="e">
        <f>INDEX(+THAIMONTHOFYEAR(K1208:L1208),)</f>
        <v>#VALUE!</v>
      </c>
      <c r="L1208" s="1">
        <v>1</v>
      </c>
      <c r="M1208" s="2" t="e">
        <f>INDEX(+THAIMONTHOFYEAR(INDIRECT(M1208:N1208)),)</f>
        <v>#REF!</v>
      </c>
      <c r="N1208" s="1">
        <v>1</v>
      </c>
    </row>
    <row r="1209" spans="1:14" x14ac:dyDescent="0.55000000000000004">
      <c r="A1209" s="1" t="s">
        <v>1814</v>
      </c>
      <c r="B1209" s="2">
        <f>COUNTIF(A:A,A1209)-1</f>
        <v>1</v>
      </c>
      <c r="C1209" s="2">
        <f>COUNTIF(A$1:A1209,A1209)-1</f>
        <v>0</v>
      </c>
      <c r="D1209" s="2" t="str">
        <f>Argument!D1209</f>
        <v/>
      </c>
      <c r="E1209" s="2" t="str">
        <f t="shared" si="36"/>
        <v>v</v>
      </c>
      <c r="F1209" s="2" t="b">
        <f>IF(C1209=0,ISTEXT(FORMULA.CONVERT("="&amp;A1209&amp;"("&amp;REPLACE(REPT(",#ref!",B1209),1,1,"")&amp;")()",1)),"")</f>
        <v>0</v>
      </c>
      <c r="G1209" s="2"/>
      <c r="H1209" s="2" t="str">
        <f t="shared" si="37"/>
        <v/>
      </c>
      <c r="I1209" s="2">
        <f>TYPE(THAINUMSOUND(IF(1,1)))</f>
        <v>16</v>
      </c>
      <c r="J1209" s="2">
        <f>IF(C1209=0,COUNTIFS(A:A,A1209,D:D,"a"),"")</f>
        <v>0</v>
      </c>
      <c r="K1209" s="2"/>
      <c r="M1209" s="2"/>
    </row>
    <row r="1210" spans="1:14" x14ac:dyDescent="0.55000000000000004">
      <c r="A1210" s="1" t="s">
        <v>1814</v>
      </c>
      <c r="B1210" s="2">
        <f>COUNTIF(A:A,A1210)-1</f>
        <v>1</v>
      </c>
      <c r="C1210" s="2">
        <f>COUNTIF(A$1:A1210,A1210)-1</f>
        <v>1</v>
      </c>
      <c r="D1210" s="2" t="str">
        <f>Argument!D1210</f>
        <v>v</v>
      </c>
      <c r="E1210" s="2" t="str">
        <f t="shared" si="36"/>
        <v/>
      </c>
      <c r="F1210" s="2" t="str">
        <f>IF(C1210=0,ISTEXT(FORMULA.CONVERT("="&amp;A1210&amp;"("&amp;REPLACE(REPT(",#ref!",B1210),1,1,"")&amp;")()",1)),"")</f>
        <v/>
      </c>
      <c r="G1210" s="2">
        <f>TYPE(THAINUMSOUND({1}))</f>
        <v>64</v>
      </c>
      <c r="H1210" s="2" t="str">
        <f t="shared" si="37"/>
        <v/>
      </c>
      <c r="I1210" s="2">
        <f>TYPE(THAINUMSOUND(IF(1,1)))</f>
        <v>16</v>
      </c>
      <c r="J1210" s="2" t="str">
        <f>IF(C1210=0,COUNTIFS(A:A,A1210,D:D,"a"),"")</f>
        <v/>
      </c>
      <c r="K1210" s="2" t="e">
        <f>INDEX(+THAINUMSOUND(K1210:L1210),)</f>
        <v>#VALUE!</v>
      </c>
      <c r="L1210" s="1">
        <v>1</v>
      </c>
      <c r="M1210" s="2" t="e">
        <f>INDEX(+THAINUMSOUND(INDIRECT(M1210:N1210)),)</f>
        <v>#REF!</v>
      </c>
      <c r="N1210" s="1">
        <v>1</v>
      </c>
    </row>
    <row r="1211" spans="1:14" x14ac:dyDescent="0.55000000000000004">
      <c r="A1211" s="1" t="s">
        <v>1815</v>
      </c>
      <c r="B1211" s="2">
        <f>COUNTIF(A:A,A1211)-1</f>
        <v>1</v>
      </c>
      <c r="C1211" s="2">
        <f>COUNTIF(A$1:A1211,A1211)-1</f>
        <v>0</v>
      </c>
      <c r="D1211" s="2" t="str">
        <f>Argument!D1211</f>
        <v/>
      </c>
      <c r="E1211" s="2" t="str">
        <f t="shared" si="36"/>
        <v>v</v>
      </c>
      <c r="F1211" s="2" t="b">
        <f>IF(C1211=0,ISTEXT(FORMULA.CONVERT("="&amp;A1211&amp;"("&amp;REPLACE(REPT(",#ref!",B1211),1,1,"")&amp;")()",1)),"")</f>
        <v>0</v>
      </c>
      <c r="G1211" s="2"/>
      <c r="H1211" s="2" t="str">
        <f t="shared" si="37"/>
        <v/>
      </c>
      <c r="I1211" s="2">
        <f>TYPE(THAINUMSTRING(IF(1,1)))</f>
        <v>16</v>
      </c>
      <c r="J1211" s="2">
        <f>IF(C1211=0,COUNTIFS(A:A,A1211,D:D,"a"),"")</f>
        <v>0</v>
      </c>
      <c r="K1211" s="2"/>
      <c r="M1211" s="2"/>
    </row>
    <row r="1212" spans="1:14" x14ac:dyDescent="0.55000000000000004">
      <c r="A1212" s="1" t="s">
        <v>1815</v>
      </c>
      <c r="B1212" s="2">
        <f>COUNTIF(A:A,A1212)-1</f>
        <v>1</v>
      </c>
      <c r="C1212" s="2">
        <f>COUNTIF(A$1:A1212,A1212)-1</f>
        <v>1</v>
      </c>
      <c r="D1212" s="2" t="str">
        <f>Argument!D1212</f>
        <v>v</v>
      </c>
      <c r="E1212" s="2" t="str">
        <f t="shared" si="36"/>
        <v/>
      </c>
      <c r="F1212" s="2" t="str">
        <f>IF(C1212=0,ISTEXT(FORMULA.CONVERT("="&amp;A1212&amp;"("&amp;REPLACE(REPT(",#ref!",B1212),1,1,"")&amp;")()",1)),"")</f>
        <v/>
      </c>
      <c r="G1212" s="2">
        <f>TYPE(THAINUMSTRING({1}))</f>
        <v>64</v>
      </c>
      <c r="H1212" s="2" t="str">
        <f t="shared" si="37"/>
        <v/>
      </c>
      <c r="I1212" s="2">
        <f>TYPE(THAINUMSTRING(IF(1,1)))</f>
        <v>16</v>
      </c>
      <c r="J1212" s="2" t="str">
        <f>IF(C1212=0,COUNTIFS(A:A,A1212,D:D,"a"),"")</f>
        <v/>
      </c>
      <c r="K1212" s="2" t="e">
        <f>INDEX(+THAINUMSTRING(K1212:L1212),)</f>
        <v>#VALUE!</v>
      </c>
      <c r="L1212" s="1">
        <v>1</v>
      </c>
      <c r="M1212" s="2" t="e">
        <f>INDEX(+THAINUMSTRING(INDIRECT(M1212:N1212)),)</f>
        <v>#REF!</v>
      </c>
      <c r="N1212" s="1">
        <v>1</v>
      </c>
    </row>
    <row r="1213" spans="1:14" x14ac:dyDescent="0.55000000000000004">
      <c r="A1213" s="1" t="s">
        <v>1816</v>
      </c>
      <c r="B1213" s="2">
        <f>COUNTIF(A:A,A1213)-1</f>
        <v>1</v>
      </c>
      <c r="C1213" s="2">
        <f>COUNTIF(A$1:A1213,A1213)-1</f>
        <v>0</v>
      </c>
      <c r="D1213" s="2" t="str">
        <f>Argument!D1213</f>
        <v/>
      </c>
      <c r="E1213" s="2" t="str">
        <f t="shared" si="36"/>
        <v>v</v>
      </c>
      <c r="F1213" s="2" t="b">
        <f>IF(C1213=0,ISTEXT(FORMULA.CONVERT("="&amp;A1213&amp;"("&amp;REPLACE(REPT(",#ref!",B1213),1,1,"")&amp;")()",1)),"")</f>
        <v>0</v>
      </c>
      <c r="G1213" s="2"/>
      <c r="H1213" s="2" t="str">
        <f t="shared" si="37"/>
        <v/>
      </c>
      <c r="I1213" s="2">
        <f>TYPE(THAISTRINGLENGTH(IF(1,1)))</f>
        <v>16</v>
      </c>
      <c r="J1213" s="2">
        <f>IF(C1213=0,COUNTIFS(A:A,A1213,D:D,"a"),"")</f>
        <v>0</v>
      </c>
      <c r="K1213" s="2"/>
      <c r="M1213" s="2"/>
    </row>
    <row r="1214" spans="1:14" x14ac:dyDescent="0.55000000000000004">
      <c r="A1214" s="1" t="s">
        <v>1816</v>
      </c>
      <c r="B1214" s="2">
        <f>COUNTIF(A:A,A1214)-1</f>
        <v>1</v>
      </c>
      <c r="C1214" s="2">
        <f>COUNTIF(A$1:A1214,A1214)-1</f>
        <v>1</v>
      </c>
      <c r="D1214" s="2" t="str">
        <f>Argument!D1214</f>
        <v>v</v>
      </c>
      <c r="E1214" s="2" t="str">
        <f t="shared" si="36"/>
        <v/>
      </c>
      <c r="F1214" s="2" t="str">
        <f>IF(C1214=0,ISTEXT(FORMULA.CONVERT("="&amp;A1214&amp;"("&amp;REPLACE(REPT(",#ref!",B1214),1,1,"")&amp;")()",1)),"")</f>
        <v/>
      </c>
      <c r="G1214" s="2">
        <f>TYPE(THAISTRINGLENGTH({1}))</f>
        <v>64</v>
      </c>
      <c r="H1214" s="2" t="str">
        <f t="shared" si="37"/>
        <v/>
      </c>
      <c r="I1214" s="2">
        <f>TYPE(THAISTRINGLENGTH(IF(1,1)))</f>
        <v>16</v>
      </c>
      <c r="J1214" s="2" t="str">
        <f>IF(C1214=0,COUNTIFS(A:A,A1214,D:D,"a"),"")</f>
        <v/>
      </c>
      <c r="K1214" s="2" t="e">
        <f>INDEX(+THAISTRINGLENGTH(K1214:L1214),)</f>
        <v>#VALUE!</v>
      </c>
      <c r="L1214" s="1">
        <v>1</v>
      </c>
      <c r="M1214" s="2" t="e">
        <f>INDEX(+THAISTRINGLENGTH(INDIRECT(M1214:N1214)),)</f>
        <v>#REF!</v>
      </c>
      <c r="N1214" s="1">
        <v>1</v>
      </c>
    </row>
    <row r="1215" spans="1:14" x14ac:dyDescent="0.55000000000000004">
      <c r="A1215" s="1" t="s">
        <v>1817</v>
      </c>
      <c r="B1215" s="2">
        <f>COUNTIF(A:A,A1215)-1</f>
        <v>1</v>
      </c>
      <c r="C1215" s="2">
        <f>COUNTIF(A$1:A1215,A1215)-1</f>
        <v>0</v>
      </c>
      <c r="D1215" s="2" t="str">
        <f>Argument!D1215</f>
        <v/>
      </c>
      <c r="E1215" s="2" t="str">
        <f t="shared" si="36"/>
        <v>v</v>
      </c>
      <c r="F1215" s="2" t="b">
        <f>IF(C1215=0,ISTEXT(FORMULA.CONVERT("="&amp;A1215&amp;"("&amp;REPLACE(REPT(",#ref!",B1215),1,1,"")&amp;")()",1)),"")</f>
        <v>0</v>
      </c>
      <c r="G1215" s="2"/>
      <c r="H1215" s="2" t="str">
        <f t="shared" si="37"/>
        <v/>
      </c>
      <c r="I1215" s="2">
        <f>TYPE(ISTHAIDIGIT(IF(1,1)))</f>
        <v>16</v>
      </c>
      <c r="J1215" s="2">
        <f>IF(C1215=0,COUNTIFS(A:A,A1215,D:D,"a"),"")</f>
        <v>0</v>
      </c>
      <c r="K1215" s="2"/>
      <c r="M1215" s="2"/>
    </row>
    <row r="1216" spans="1:14" x14ac:dyDescent="0.55000000000000004">
      <c r="A1216" s="1" t="s">
        <v>1817</v>
      </c>
      <c r="B1216" s="2">
        <f>COUNTIF(A:A,A1216)-1</f>
        <v>1</v>
      </c>
      <c r="C1216" s="2">
        <f>COUNTIF(A$1:A1216,A1216)-1</f>
        <v>1</v>
      </c>
      <c r="D1216" s="2" t="str">
        <f>Argument!D1216</f>
        <v>v</v>
      </c>
      <c r="E1216" s="2" t="str">
        <f t="shared" si="36"/>
        <v/>
      </c>
      <c r="F1216" s="2" t="str">
        <f>IF(C1216=0,ISTEXT(FORMULA.CONVERT("="&amp;A1216&amp;"("&amp;REPLACE(REPT(",#ref!",B1216),1,1,"")&amp;")()",1)),"")</f>
        <v/>
      </c>
      <c r="G1216" s="2">
        <f>TYPE(ISTHAIDIGIT({1}))</f>
        <v>64</v>
      </c>
      <c r="H1216" s="2" t="str">
        <f t="shared" si="37"/>
        <v/>
      </c>
      <c r="I1216" s="2">
        <f>TYPE(ISTHAIDIGIT(IF(1,1)))</f>
        <v>16</v>
      </c>
      <c r="J1216" s="2" t="str">
        <f>IF(C1216=0,COUNTIFS(A:A,A1216,D:D,"a"),"")</f>
        <v/>
      </c>
      <c r="K1216" s="2" t="e">
        <f>INDEX(+ISTHAIDIGIT(K1216:L1216),)</f>
        <v>#VALUE!</v>
      </c>
      <c r="L1216" s="1">
        <v>1</v>
      </c>
      <c r="M1216" s="2" t="e">
        <f>INDEX(+ISTHAIDIGIT(INDIRECT(M1216:N1216)),)</f>
        <v>#REF!</v>
      </c>
      <c r="N1216" s="1">
        <v>1</v>
      </c>
    </row>
    <row r="1217" spans="1:14" x14ac:dyDescent="0.55000000000000004">
      <c r="A1217" s="1" t="s">
        <v>1818</v>
      </c>
      <c r="B1217" s="2">
        <f>COUNTIF(A:A,A1217)-1</f>
        <v>1</v>
      </c>
      <c r="C1217" s="2">
        <f>COUNTIF(A$1:A1217,A1217)-1</f>
        <v>0</v>
      </c>
      <c r="D1217" s="2" t="str">
        <f>Argument!D1217</f>
        <v/>
      </c>
      <c r="E1217" s="2" t="str">
        <f t="shared" si="36"/>
        <v>v</v>
      </c>
      <c r="F1217" s="2" t="b">
        <f>IF(C1217=0,ISTEXT(FORMULA.CONVERT("="&amp;A1217&amp;"("&amp;REPLACE(REPT(",#ref!",B1217),1,1,"")&amp;")()",1)),"")</f>
        <v>0</v>
      </c>
      <c r="G1217" s="2"/>
      <c r="H1217" s="2" t="str">
        <f t="shared" si="37"/>
        <v/>
      </c>
      <c r="I1217" s="2">
        <f>TYPE(ROUNDBAHTDOWN(IF(1,1)))</f>
        <v>16</v>
      </c>
      <c r="J1217" s="2">
        <f>IF(C1217=0,COUNTIFS(A:A,A1217,D:D,"a"),"")</f>
        <v>0</v>
      </c>
      <c r="K1217" s="2"/>
      <c r="M1217" s="2"/>
    </row>
    <row r="1218" spans="1:14" x14ac:dyDescent="0.55000000000000004">
      <c r="A1218" s="1" t="s">
        <v>1818</v>
      </c>
      <c r="B1218" s="2">
        <f>COUNTIF(A:A,A1218)-1</f>
        <v>1</v>
      </c>
      <c r="C1218" s="2">
        <f>COUNTIF(A$1:A1218,A1218)-1</f>
        <v>1</v>
      </c>
      <c r="D1218" s="2" t="str">
        <f>Argument!D1218</f>
        <v>v</v>
      </c>
      <c r="E1218" s="2" t="str">
        <f t="shared" ref="E1218:E1281" si="38">IF(C1218=0,IF(SUMIFS(H:H,A:A,A1218),IF(COUNTIFS(A:A,A1218,G:G,64),,"v")&amp;IF(F1218,"ar","a"),IF(F1218,"r","v")),"")</f>
        <v/>
      </c>
      <c r="F1218" s="2" t="str">
        <f>IF(C1218=0,ISTEXT(FORMULA.CONVERT("="&amp;A1218&amp;"("&amp;REPLACE(REPT(",#ref!",B1218),1,1,"")&amp;")()",1)),"")</f>
        <v/>
      </c>
      <c r="G1218" s="2">
        <f>TYPE(ROUNDBAHTDOWN({1}))</f>
        <v>64</v>
      </c>
      <c r="H1218" s="2" t="str">
        <f t="shared" ref="H1218:H1281" si="39">IF((I1218=64)*(J1218=B1218)+(1-L1218)*COUNTIF(D1218,"*v*")+(1-N1218)*COUNTIF(D1218,"*r*"),1,"")</f>
        <v/>
      </c>
      <c r="I1218" s="2">
        <f>TYPE(ROUNDBAHTDOWN(IF(1,1)))</f>
        <v>16</v>
      </c>
      <c r="J1218" s="2" t="str">
        <f>IF(C1218=0,COUNTIFS(A:A,A1218,D:D,"a"),"")</f>
        <v/>
      </c>
      <c r="K1218" s="2" t="e">
        <f>INDEX(+ROUNDBAHTDOWN(K1218:L1218),)</f>
        <v>#VALUE!</v>
      </c>
      <c r="L1218" s="1">
        <v>1</v>
      </c>
      <c r="M1218" s="2" t="e">
        <f>INDEX(+ROUNDBAHTDOWN(INDIRECT(M1218:N1218)),)</f>
        <v>#REF!</v>
      </c>
      <c r="N1218" s="1">
        <v>1</v>
      </c>
    </row>
    <row r="1219" spans="1:14" x14ac:dyDescent="0.55000000000000004">
      <c r="A1219" s="1" t="s">
        <v>1819</v>
      </c>
      <c r="B1219" s="2">
        <f>COUNTIF(A:A,A1219)-1</f>
        <v>1</v>
      </c>
      <c r="C1219" s="2">
        <f>COUNTIF(A$1:A1219,A1219)-1</f>
        <v>0</v>
      </c>
      <c r="D1219" s="2" t="str">
        <f>Argument!D1219</f>
        <v/>
      </c>
      <c r="E1219" s="2" t="str">
        <f t="shared" si="38"/>
        <v>v</v>
      </c>
      <c r="F1219" s="2" t="b">
        <f>IF(C1219=0,ISTEXT(FORMULA.CONVERT("="&amp;A1219&amp;"("&amp;REPLACE(REPT(",#ref!",B1219),1,1,"")&amp;")()",1)),"")</f>
        <v>0</v>
      </c>
      <c r="G1219" s="2"/>
      <c r="H1219" s="2" t="str">
        <f t="shared" si="39"/>
        <v/>
      </c>
      <c r="I1219" s="2">
        <f>TYPE(ROUNDBAHTUP(IF(1,1)))</f>
        <v>16</v>
      </c>
      <c r="J1219" s="2">
        <f>IF(C1219=0,COUNTIFS(A:A,A1219,D:D,"a"),"")</f>
        <v>0</v>
      </c>
      <c r="K1219" s="2"/>
      <c r="M1219" s="2"/>
    </row>
    <row r="1220" spans="1:14" x14ac:dyDescent="0.55000000000000004">
      <c r="A1220" s="1" t="s">
        <v>1819</v>
      </c>
      <c r="B1220" s="2">
        <f>COUNTIF(A:A,A1220)-1</f>
        <v>1</v>
      </c>
      <c r="C1220" s="2">
        <f>COUNTIF(A$1:A1220,A1220)-1</f>
        <v>1</v>
      </c>
      <c r="D1220" s="2" t="str">
        <f>Argument!D1220</f>
        <v>v</v>
      </c>
      <c r="E1220" s="2" t="str">
        <f t="shared" si="38"/>
        <v/>
      </c>
      <c r="F1220" s="2" t="str">
        <f>IF(C1220=0,ISTEXT(FORMULA.CONVERT("="&amp;A1220&amp;"("&amp;REPLACE(REPT(",#ref!",B1220),1,1,"")&amp;")()",1)),"")</f>
        <v/>
      </c>
      <c r="G1220" s="2">
        <f>TYPE(ROUNDBAHTUP({1}))</f>
        <v>64</v>
      </c>
      <c r="H1220" s="2" t="str">
        <f t="shared" si="39"/>
        <v/>
      </c>
      <c r="I1220" s="2">
        <f>TYPE(ROUNDBAHTUP(IF(1,1)))</f>
        <v>16</v>
      </c>
      <c r="J1220" s="2" t="str">
        <f>IF(C1220=0,COUNTIFS(A:A,A1220,D:D,"a"),"")</f>
        <v/>
      </c>
      <c r="K1220" s="2" t="e">
        <f>INDEX(+ROUNDBAHTUP(K1220:L1220),)</f>
        <v>#VALUE!</v>
      </c>
      <c r="L1220" s="1">
        <v>1</v>
      </c>
      <c r="M1220" s="2" t="e">
        <f>INDEX(+ROUNDBAHTUP(INDIRECT(M1220:N1220)),)</f>
        <v>#REF!</v>
      </c>
      <c r="N1220" s="1">
        <v>1</v>
      </c>
    </row>
    <row r="1221" spans="1:14" x14ac:dyDescent="0.55000000000000004">
      <c r="A1221" s="1" t="s">
        <v>1820</v>
      </c>
      <c r="B1221" s="2">
        <f>COUNTIF(A:A,A1221)-1</f>
        <v>1</v>
      </c>
      <c r="C1221" s="2">
        <f>COUNTIF(A$1:A1221,A1221)-1</f>
        <v>0</v>
      </c>
      <c r="D1221" s="2" t="str">
        <f>Argument!D1221</f>
        <v/>
      </c>
      <c r="E1221" s="2" t="str">
        <f t="shared" si="38"/>
        <v>v</v>
      </c>
      <c r="F1221" s="2" t="b">
        <f>IF(C1221=0,ISTEXT(FORMULA.CONVERT("="&amp;A1221&amp;"("&amp;REPLACE(REPT(",#ref!",B1221),1,1,"")&amp;")()",1)),"")</f>
        <v>0</v>
      </c>
      <c r="G1221" s="2"/>
      <c r="H1221" s="2" t="str">
        <f t="shared" si="39"/>
        <v/>
      </c>
      <c r="I1221" s="2">
        <f>TYPE(THAIYEAR(IF(1,1)))</f>
        <v>16</v>
      </c>
      <c r="J1221" s="2">
        <f>IF(C1221=0,COUNTIFS(A:A,A1221,D:D,"a"),"")</f>
        <v>0</v>
      </c>
      <c r="K1221" s="2"/>
      <c r="M1221" s="2"/>
    </row>
    <row r="1222" spans="1:14" x14ac:dyDescent="0.55000000000000004">
      <c r="A1222" s="1" t="s">
        <v>1820</v>
      </c>
      <c r="B1222" s="2">
        <f>COUNTIF(A:A,A1222)-1</f>
        <v>1</v>
      </c>
      <c r="C1222" s="2">
        <f>COUNTIF(A$1:A1222,A1222)-1</f>
        <v>1</v>
      </c>
      <c r="D1222" s="2" t="str">
        <f>Argument!D1222</f>
        <v>v</v>
      </c>
      <c r="E1222" s="2" t="str">
        <f t="shared" si="38"/>
        <v/>
      </c>
      <c r="F1222" s="2" t="str">
        <f>IF(C1222=0,ISTEXT(FORMULA.CONVERT("="&amp;A1222&amp;"("&amp;REPLACE(REPT(",#ref!",B1222),1,1,"")&amp;")()",1)),"")</f>
        <v/>
      </c>
      <c r="G1222" s="2">
        <f>TYPE(THAIYEAR({1}))</f>
        <v>64</v>
      </c>
      <c r="H1222" s="2" t="str">
        <f t="shared" si="39"/>
        <v/>
      </c>
      <c r="I1222" s="2">
        <f>TYPE(THAIYEAR(IF(1,1)))</f>
        <v>16</v>
      </c>
      <c r="J1222" s="2" t="str">
        <f>IF(C1222=0,COUNTIFS(A:A,A1222,D:D,"a"),"")</f>
        <v/>
      </c>
      <c r="K1222" s="2" t="e">
        <f>INDEX(+THAIYEAR(K1222:L1222),)</f>
        <v>#VALUE!</v>
      </c>
      <c r="L1222" s="1">
        <v>1</v>
      </c>
      <c r="M1222" s="2" t="e">
        <f>INDEX(+THAIYEAR(INDIRECT(M1222:N1222)),)</f>
        <v>#REF!</v>
      </c>
      <c r="N1222" s="1">
        <v>1</v>
      </c>
    </row>
    <row r="1223" spans="1:14" x14ac:dyDescent="0.55000000000000004">
      <c r="A1223" s="1" t="s">
        <v>1821</v>
      </c>
      <c r="B1223" s="2">
        <f>COUNTIF(A:A,A1223)-1</f>
        <v>5</v>
      </c>
      <c r="C1223" s="2">
        <f>COUNTIF(A$1:A1223,A1223)-1</f>
        <v>0</v>
      </c>
      <c r="D1223" s="2" t="str">
        <f>Argument!D1223</f>
        <v/>
      </c>
      <c r="E1223" s="2" t="str">
        <f t="shared" si="38"/>
        <v>v</v>
      </c>
      <c r="F1223" s="2" t="b">
        <f>IF(C1223=0,ISTEXT(FORMULA.CONVERT("="&amp;A1223&amp;"("&amp;REPLACE(REPT(",#ref!",B1223),1,1,"")&amp;")()",1)),"")</f>
        <v>0</v>
      </c>
      <c r="G1223" s="2"/>
      <c r="H1223" s="2" t="str">
        <f t="shared" si="39"/>
        <v/>
      </c>
      <c r="I1223" s="2">
        <f>TYPE(RTD(IF(1,1),IF(1,1),IF(1,1),IF(1,1),IF(1,1)))</f>
        <v>16</v>
      </c>
      <c r="J1223" s="2">
        <f>IF(C1223=0,COUNTIFS(A:A,A1223,D:D,"a"),"")</f>
        <v>0</v>
      </c>
      <c r="K1223" s="2"/>
      <c r="M1223" s="2"/>
    </row>
    <row r="1224" spans="1:14" x14ac:dyDescent="0.55000000000000004">
      <c r="A1224" s="1" t="s">
        <v>1821</v>
      </c>
      <c r="B1224" s="2">
        <f>COUNTIF(A:A,A1224)-1</f>
        <v>5</v>
      </c>
      <c r="C1224" s="2">
        <f>COUNTIF(A$1:A1224,A1224)-1</f>
        <v>1</v>
      </c>
      <c r="D1224" s="2" t="str">
        <f>Argument!D1224</f>
        <v>v</v>
      </c>
      <c r="E1224" s="2" t="str">
        <f t="shared" si="38"/>
        <v/>
      </c>
      <c r="F1224" s="2" t="str">
        <f>IF(C1224=0,ISTEXT(FORMULA.CONVERT("="&amp;A1224&amp;"("&amp;REPLACE(REPT(",#ref!",B1224),1,1,"")&amp;")()",1)),"")</f>
        <v/>
      </c>
      <c r="G1224" s="2">
        <f>TYPE(RTD({1},IF(1,1),IF(1,1),IF(1,1),IF(1,1)))</f>
        <v>64</v>
      </c>
      <c r="H1224" s="2" t="str">
        <f t="shared" si="39"/>
        <v/>
      </c>
      <c r="I1224" s="2">
        <f>TYPE(RTD(IF(1,1),IF(1,1),IF(1,1),IF(1,1),IF(1,1)))</f>
        <v>16</v>
      </c>
      <c r="J1224" s="2" t="str">
        <f>IF(C1224=0,COUNTIFS(A:A,A1224,D:D,"a"),"")</f>
        <v/>
      </c>
      <c r="K1224" s="2" t="e">
        <f>INDEX(+RTD(K1224:L1224,#REF!,#REF!,#REF!,#REF!),)</f>
        <v>#REF!</v>
      </c>
      <c r="L1224" s="1">
        <v>1</v>
      </c>
      <c r="M1224" s="2" t="e">
        <f>INDEX(+RTD(INDIRECT(M1224:N1224),#REF!,#REF!,#REF!,#REF!),)</f>
        <v>#REF!</v>
      </c>
      <c r="N1224" s="1">
        <v>1</v>
      </c>
    </row>
    <row r="1225" spans="1:14" x14ac:dyDescent="0.55000000000000004">
      <c r="A1225" s="1" t="s">
        <v>1821</v>
      </c>
      <c r="B1225" s="2">
        <f>COUNTIF(A:A,A1225)-1</f>
        <v>5</v>
      </c>
      <c r="C1225" s="2">
        <f>COUNTIF(A$1:A1225,A1225)-1</f>
        <v>2</v>
      </c>
      <c r="D1225" s="2" t="str">
        <f>Argument!D1225</f>
        <v>v</v>
      </c>
      <c r="E1225" s="2" t="str">
        <f t="shared" si="38"/>
        <v/>
      </c>
      <c r="F1225" s="2" t="str">
        <f>IF(C1225=0,ISTEXT(FORMULA.CONVERT("="&amp;A1225&amp;"("&amp;REPLACE(REPT(",#ref!",B1225),1,1,"")&amp;")()",1)),"")</f>
        <v/>
      </c>
      <c r="G1225" s="2">
        <f>TYPE(RTD(IF(1,1),{1},IF(1,1),IF(1,1),IF(1,1)))</f>
        <v>64</v>
      </c>
      <c r="H1225" s="2" t="str">
        <f t="shared" si="39"/>
        <v/>
      </c>
      <c r="I1225" s="2">
        <f>TYPE(RTD(IF(1,1),IF(1,1),IF(1,1),IF(1,1),IF(1,1)))</f>
        <v>16</v>
      </c>
      <c r="J1225" s="2" t="str">
        <f>IF(C1225=0,COUNTIFS(A:A,A1225,D:D,"a"),"")</f>
        <v/>
      </c>
      <c r="K1225" s="2" t="e">
        <f>INDEX(+RTD(#REF!,K1225:L1225,#REF!,#REF!,#REF!),)</f>
        <v>#REF!</v>
      </c>
      <c r="L1225" s="1">
        <v>1</v>
      </c>
      <c r="M1225" s="2" t="e">
        <f>INDEX(+RTD(#REF!,INDIRECT(M1225:N1225),#REF!,#REF!,#REF!),)</f>
        <v>#REF!</v>
      </c>
      <c r="N1225" s="1">
        <v>1</v>
      </c>
    </row>
    <row r="1226" spans="1:14" x14ac:dyDescent="0.55000000000000004">
      <c r="A1226" s="1" t="s">
        <v>1821</v>
      </c>
      <c r="B1226" s="2">
        <f>COUNTIF(A:A,A1226)-1</f>
        <v>5</v>
      </c>
      <c r="C1226" s="2">
        <f>COUNTIF(A$1:A1226,A1226)-1</f>
        <v>3</v>
      </c>
      <c r="D1226" s="2" t="str">
        <f>Argument!D1226</f>
        <v>v</v>
      </c>
      <c r="E1226" s="2" t="str">
        <f t="shared" si="38"/>
        <v/>
      </c>
      <c r="F1226" s="2" t="str">
        <f>IF(C1226=0,ISTEXT(FORMULA.CONVERT("="&amp;A1226&amp;"("&amp;REPLACE(REPT(",#ref!",B1226),1,1,"")&amp;")()",1)),"")</f>
        <v/>
      </c>
      <c r="G1226" s="2">
        <f>TYPE(RTD(IF(1,1),IF(1,1),{1},IF(1,1),IF(1,1)))</f>
        <v>64</v>
      </c>
      <c r="H1226" s="2" t="str">
        <f t="shared" si="39"/>
        <v/>
      </c>
      <c r="I1226" s="2">
        <f>TYPE(RTD(IF(1,1),IF(1,1),IF(1,1),IF(1,1),IF(1,1)))</f>
        <v>16</v>
      </c>
      <c r="J1226" s="2" t="str">
        <f>IF(C1226=0,COUNTIFS(A:A,A1226,D:D,"a"),"")</f>
        <v/>
      </c>
      <c r="K1226" s="2" t="e">
        <f>INDEX(+RTD(#REF!,#REF!,K1226:L1226,#REF!,#REF!),)</f>
        <v>#REF!</v>
      </c>
      <c r="L1226" s="1">
        <v>1</v>
      </c>
      <c r="M1226" s="2" t="e">
        <f>INDEX(+RTD(#REF!,#REF!,INDIRECT(M1226:N1226),#REF!,#REF!),)</f>
        <v>#REF!</v>
      </c>
      <c r="N1226" s="1">
        <v>1</v>
      </c>
    </row>
    <row r="1227" spans="1:14" x14ac:dyDescent="0.55000000000000004">
      <c r="A1227" s="1" t="s">
        <v>1821</v>
      </c>
      <c r="B1227" s="2">
        <f>COUNTIF(A:A,A1227)-1</f>
        <v>5</v>
      </c>
      <c r="C1227" s="2">
        <f>COUNTIF(A$1:A1227,A1227)-1</f>
        <v>4</v>
      </c>
      <c r="D1227" s="2" t="str">
        <f>Argument!D1227</f>
        <v>v</v>
      </c>
      <c r="E1227" s="2" t="str">
        <f t="shared" si="38"/>
        <v/>
      </c>
      <c r="F1227" s="2" t="str">
        <f>IF(C1227=0,ISTEXT(FORMULA.CONVERT("="&amp;A1227&amp;"("&amp;REPLACE(REPT(",#ref!",B1227),1,1,"")&amp;")()",1)),"")</f>
        <v/>
      </c>
      <c r="G1227" s="2">
        <f>TYPE(RTD(IF(1,1),IF(1,1),IF(1,1),{1},IF(1,1)))</f>
        <v>64</v>
      </c>
      <c r="H1227" s="2" t="str">
        <f t="shared" si="39"/>
        <v/>
      </c>
      <c r="I1227" s="2">
        <f>TYPE(RTD(IF(1,1),IF(1,1),IF(1,1),IF(1,1),IF(1,1)))</f>
        <v>16</v>
      </c>
      <c r="J1227" s="2" t="str">
        <f>IF(C1227=0,COUNTIFS(A:A,A1227,D:D,"a"),"")</f>
        <v/>
      </c>
      <c r="K1227" s="2" t="e">
        <f>INDEX(+RTD(#REF!,#REF!,#REF!,K1227:L1227,#REF!),)</f>
        <v>#REF!</v>
      </c>
      <c r="L1227" s="1">
        <v>1</v>
      </c>
      <c r="M1227" s="2" t="e">
        <f>INDEX(+RTD(#REF!,#REF!,#REF!,INDIRECT(M1227:N1227),#REF!),)</f>
        <v>#REF!</v>
      </c>
      <c r="N1227" s="1">
        <v>1</v>
      </c>
    </row>
    <row r="1228" spans="1:14" x14ac:dyDescent="0.55000000000000004">
      <c r="A1228" s="1" t="s">
        <v>1821</v>
      </c>
      <c r="B1228" s="2">
        <f>COUNTIF(A:A,A1228)-1</f>
        <v>5</v>
      </c>
      <c r="C1228" s="2">
        <f>COUNTIF(A$1:A1228,A1228)-1</f>
        <v>5</v>
      </c>
      <c r="D1228" s="2" t="str">
        <f>Argument!D1228</f>
        <v>v</v>
      </c>
      <c r="E1228" s="2" t="str">
        <f t="shared" si="38"/>
        <v/>
      </c>
      <c r="F1228" s="2" t="str">
        <f>IF(C1228=0,ISTEXT(FORMULA.CONVERT("="&amp;A1228&amp;"("&amp;REPLACE(REPT(",#ref!",B1228),1,1,"")&amp;")()",1)),"")</f>
        <v/>
      </c>
      <c r="G1228" s="2">
        <f>TYPE(RTD(IF(1,1),IF(1,1),IF(1,1),IF(1,1),{1}))</f>
        <v>64</v>
      </c>
      <c r="H1228" s="2" t="str">
        <f t="shared" si="39"/>
        <v/>
      </c>
      <c r="I1228" s="2">
        <f>TYPE(RTD(IF(1,1),IF(1,1),IF(1,1),IF(1,1),IF(1,1)))</f>
        <v>16</v>
      </c>
      <c r="J1228" s="2" t="str">
        <f>IF(C1228=0,COUNTIFS(A:A,A1228,D:D,"a"),"")</f>
        <v/>
      </c>
      <c r="K1228" s="2" t="e">
        <f>INDEX(+RTD(#REF!,#REF!,#REF!,#REF!,K1228:L1228),)</f>
        <v>#REF!</v>
      </c>
      <c r="L1228" s="1">
        <v>1</v>
      </c>
      <c r="M1228" s="2" t="e">
        <f>INDEX(+RTD(#REF!,#REF!,#REF!,#REF!,INDIRECT(M1228:N1228)),)</f>
        <v>#REF!</v>
      </c>
      <c r="N1228" s="1">
        <v>1</v>
      </c>
    </row>
    <row r="1229" spans="1:14" x14ac:dyDescent="0.55000000000000004">
      <c r="A1229" s="1" t="s">
        <v>1822</v>
      </c>
      <c r="B1229" s="2">
        <f>COUNTIF(A:A,A1229)-1</f>
        <v>3</v>
      </c>
      <c r="C1229" s="2">
        <f>COUNTIF(A$1:A1229,A1229)-1</f>
        <v>0</v>
      </c>
      <c r="D1229" s="2" t="str">
        <f>Argument!D1229</f>
        <v/>
      </c>
      <c r="E1229" s="2" t="str">
        <f t="shared" si="38"/>
        <v>v</v>
      </c>
      <c r="F1229" s="2" t="b">
        <f>IF(C1229=0,ISTEXT(FORMULA.CONVERT("="&amp;A1229&amp;"("&amp;REPLACE(REPT(",#ref!",B1229),1,1,"")&amp;")()",1)),"")</f>
        <v>0</v>
      </c>
      <c r="G1229" s="2"/>
      <c r="H1229" s="2" t="str">
        <f t="shared" si="39"/>
        <v/>
      </c>
      <c r="I1229" s="2">
        <f>TYPE(CUBEVALUE(IF(1,1),IF(1,1),IF(1,1)))</f>
        <v>16</v>
      </c>
      <c r="J1229" s="2">
        <f>IF(C1229=0,COUNTIFS(A:A,A1229,D:D,"a"),"")</f>
        <v>0</v>
      </c>
      <c r="K1229" s="2"/>
      <c r="M1229" s="2"/>
    </row>
    <row r="1230" spans="1:14" x14ac:dyDescent="0.55000000000000004">
      <c r="A1230" s="1" t="s">
        <v>1822</v>
      </c>
      <c r="B1230" s="2">
        <f>COUNTIF(A:A,A1230)-1</f>
        <v>3</v>
      </c>
      <c r="C1230" s="2">
        <f>COUNTIF(A$1:A1230,A1230)-1</f>
        <v>1</v>
      </c>
      <c r="D1230" s="2" t="str">
        <f>Argument!D1230</f>
        <v>v</v>
      </c>
      <c r="E1230" s="2" t="str">
        <f t="shared" si="38"/>
        <v/>
      </c>
      <c r="F1230" s="2" t="str">
        <f>IF(C1230=0,ISTEXT(FORMULA.CONVERT("="&amp;A1230&amp;"("&amp;REPLACE(REPT(",#ref!",B1230),1,1,"")&amp;")()",1)),"")</f>
        <v/>
      </c>
      <c r="G1230" s="2">
        <f>TYPE(CUBEVALUE({1},IF(1,1),IF(1,1)))</f>
        <v>64</v>
      </c>
      <c r="H1230" s="2" t="str">
        <f t="shared" si="39"/>
        <v/>
      </c>
      <c r="I1230" s="2">
        <f>TYPE(CUBEVALUE(IF(1,1),IF(1,1),IF(1,1)))</f>
        <v>16</v>
      </c>
      <c r="J1230" s="2" t="str">
        <f>IF(C1230=0,COUNTIFS(A:A,A1230,D:D,"a"),"")</f>
        <v/>
      </c>
      <c r="K1230" s="2" t="e">
        <f>INDEX(+CUBEVALUE(K1230:L1230,#REF!,#REF!),)</f>
        <v>#REF!</v>
      </c>
      <c r="L1230" s="1">
        <v>1</v>
      </c>
      <c r="M1230" s="2" t="e">
        <f>INDEX(+CUBEVALUE(INDIRECT(M1230:N1230),#REF!,#REF!),)</f>
        <v>#REF!</v>
      </c>
      <c r="N1230" s="1">
        <v>1</v>
      </c>
    </row>
    <row r="1231" spans="1:14" x14ac:dyDescent="0.55000000000000004">
      <c r="A1231" s="1" t="s">
        <v>1822</v>
      </c>
      <c r="B1231" s="2">
        <f>COUNTIF(A:A,A1231)-1</f>
        <v>3</v>
      </c>
      <c r="C1231" s="2">
        <f>COUNTIF(A$1:A1231,A1231)-1</f>
        <v>2</v>
      </c>
      <c r="D1231" s="2" t="str">
        <f>Argument!D1231</f>
        <v>var</v>
      </c>
      <c r="E1231" s="2" t="str">
        <f t="shared" si="38"/>
        <v/>
      </c>
      <c r="F1231" s="2" t="str">
        <f>IF(C1231=0,ISTEXT(FORMULA.CONVERT("="&amp;A1231&amp;"("&amp;REPLACE(REPT(",#ref!",B1231),1,1,"")&amp;")()",1)),"")</f>
        <v/>
      </c>
      <c r="G1231" s="2">
        <f>TYPE(CUBEVALUE(IF(1,1),{1},IF(1,1)))</f>
        <v>16</v>
      </c>
      <c r="H1231" s="2" t="str">
        <f t="shared" si="39"/>
        <v/>
      </c>
      <c r="I1231" s="2">
        <f>TYPE(CUBEVALUE(IF(1,1),IF(1,1),IF(1,1)))</f>
        <v>16</v>
      </c>
      <c r="J1231" s="2" t="str">
        <f>IF(C1231=0,COUNTIFS(A:A,A1231,D:D,"a"),"")</f>
        <v/>
      </c>
      <c r="K1231" s="2" t="e">
        <f>INDEX(+CUBEVALUE(#REF!,K1231:L1231,#REF!),)</f>
        <v>#REF!</v>
      </c>
      <c r="L1231" s="1">
        <v>1</v>
      </c>
      <c r="M1231" s="2" t="e">
        <f>INDEX(+CUBEVALUE(#REF!,INDIRECT(M1231:N1231),#REF!),)</f>
        <v>#REF!</v>
      </c>
      <c r="N1231" s="1">
        <v>1</v>
      </c>
    </row>
    <row r="1232" spans="1:14" x14ac:dyDescent="0.55000000000000004">
      <c r="A1232" s="1" t="s">
        <v>1822</v>
      </c>
      <c r="B1232" s="2">
        <f>COUNTIF(A:A,A1232)-1</f>
        <v>3</v>
      </c>
      <c r="C1232" s="2">
        <f>COUNTIF(A$1:A1232,A1232)-1</f>
        <v>3</v>
      </c>
      <c r="D1232" s="2" t="str">
        <f>Argument!D1232</f>
        <v>var</v>
      </c>
      <c r="E1232" s="2" t="str">
        <f t="shared" si="38"/>
        <v/>
      </c>
      <c r="F1232" s="2" t="str">
        <f>IF(C1232=0,ISTEXT(FORMULA.CONVERT("="&amp;A1232&amp;"("&amp;REPLACE(REPT(",#ref!",B1232),1,1,"")&amp;")()",1)),"")</f>
        <v/>
      </c>
      <c r="G1232" s="2">
        <f>TYPE(CUBEVALUE(IF(1,1),IF(1,1),{1}))</f>
        <v>16</v>
      </c>
      <c r="H1232" s="2" t="str">
        <f t="shared" si="39"/>
        <v/>
      </c>
      <c r="I1232" s="2">
        <f>TYPE(CUBEVALUE(IF(1,1),IF(1,1),IF(1,1)))</f>
        <v>16</v>
      </c>
      <c r="J1232" s="2" t="str">
        <f>IF(C1232=0,COUNTIFS(A:A,A1232,D:D,"a"),"")</f>
        <v/>
      </c>
      <c r="K1232" s="2" t="e">
        <f>INDEX(+CUBEVALUE(#REF!,#REF!,K1232:L1232),)</f>
        <v>#REF!</v>
      </c>
      <c r="L1232" s="1">
        <v>1</v>
      </c>
      <c r="M1232" s="2" t="e">
        <f>INDEX(+CUBEVALUE(#REF!,#REF!,INDIRECT(M1232:N1232)),)</f>
        <v>#REF!</v>
      </c>
      <c r="N1232" s="1">
        <v>1</v>
      </c>
    </row>
    <row r="1233" spans="1:14" x14ac:dyDescent="0.55000000000000004">
      <c r="A1233" s="1" t="s">
        <v>1823</v>
      </c>
      <c r="B1233" s="2">
        <f>COUNTIF(A:A,A1233)-1</f>
        <v>3</v>
      </c>
      <c r="C1233" s="2">
        <f>COUNTIF(A$1:A1233,A1233)-1</f>
        <v>0</v>
      </c>
      <c r="D1233" s="2" t="str">
        <f>Argument!D1233</f>
        <v/>
      </c>
      <c r="E1233" s="2" t="str">
        <f t="shared" si="38"/>
        <v>v</v>
      </c>
      <c r="F1233" s="2" t="b">
        <f>IF(C1233=0,ISTEXT(FORMULA.CONVERT("="&amp;A1233&amp;"("&amp;REPLACE(REPT(",#ref!",B1233),1,1,"")&amp;")()",1)),"")</f>
        <v>0</v>
      </c>
      <c r="G1233" s="2"/>
      <c r="H1233" s="2" t="str">
        <f t="shared" si="39"/>
        <v/>
      </c>
      <c r="I1233" s="2">
        <f>TYPE(CUBEMEMBER(IF(1,1),IF(1,1),IF(1,1)))</f>
        <v>16</v>
      </c>
      <c r="J1233" s="2">
        <f>IF(C1233=0,COUNTIFS(A:A,A1233,D:D,"a"),"")</f>
        <v>0</v>
      </c>
      <c r="K1233" s="2"/>
      <c r="M1233" s="2"/>
    </row>
    <row r="1234" spans="1:14" x14ac:dyDescent="0.55000000000000004">
      <c r="A1234" s="1" t="s">
        <v>1823</v>
      </c>
      <c r="B1234" s="2">
        <f>COUNTIF(A:A,A1234)-1</f>
        <v>3</v>
      </c>
      <c r="C1234" s="2">
        <f>COUNTIF(A$1:A1234,A1234)-1</f>
        <v>1</v>
      </c>
      <c r="D1234" s="2" t="str">
        <f>Argument!D1234</f>
        <v>v</v>
      </c>
      <c r="E1234" s="2" t="str">
        <f t="shared" si="38"/>
        <v/>
      </c>
      <c r="F1234" s="2" t="str">
        <f>IF(C1234=0,ISTEXT(FORMULA.CONVERT("="&amp;A1234&amp;"("&amp;REPLACE(REPT(",#ref!",B1234),1,1,"")&amp;")()",1)),"")</f>
        <v/>
      </c>
      <c r="G1234" s="2">
        <f>TYPE(CUBEMEMBER({1},IF(1,1),IF(1,1)))</f>
        <v>64</v>
      </c>
      <c r="H1234" s="2" t="str">
        <f t="shared" si="39"/>
        <v/>
      </c>
      <c r="I1234" s="2">
        <f>TYPE(CUBEMEMBER(IF(1,1),IF(1,1),IF(1,1)))</f>
        <v>16</v>
      </c>
      <c r="J1234" s="2" t="str">
        <f>IF(C1234=0,COUNTIFS(A:A,A1234,D:D,"a"),"")</f>
        <v/>
      </c>
      <c r="K1234" s="2" t="e">
        <f>INDEX(+CUBEMEMBER(K1234:L1234,#REF!,#REF!),)</f>
        <v>#REF!</v>
      </c>
      <c r="L1234" s="1">
        <v>1</v>
      </c>
      <c r="M1234" s="2" t="e">
        <f>INDEX(+CUBEMEMBER(INDIRECT(M1234:N1234),#REF!,#REF!),)</f>
        <v>#REF!</v>
      </c>
      <c r="N1234" s="1">
        <v>1</v>
      </c>
    </row>
    <row r="1235" spans="1:14" x14ac:dyDescent="0.55000000000000004">
      <c r="A1235" s="1" t="s">
        <v>1823</v>
      </c>
      <c r="B1235" s="2">
        <f>COUNTIF(A:A,A1235)-1</f>
        <v>3</v>
      </c>
      <c r="C1235" s="2">
        <f>COUNTIF(A$1:A1235,A1235)-1</f>
        <v>2</v>
      </c>
      <c r="D1235" s="2" t="str">
        <f>Argument!D1235</f>
        <v>var</v>
      </c>
      <c r="E1235" s="2" t="str">
        <f t="shared" si="38"/>
        <v/>
      </c>
      <c r="F1235" s="2" t="str">
        <f>IF(C1235=0,ISTEXT(FORMULA.CONVERT("="&amp;A1235&amp;"("&amp;REPLACE(REPT(",#ref!",B1235),1,1,"")&amp;")()",1)),"")</f>
        <v/>
      </c>
      <c r="G1235" s="2">
        <f>TYPE(CUBEMEMBER(IF(1,1),{1},IF(1,1)))</f>
        <v>16</v>
      </c>
      <c r="H1235" s="2" t="str">
        <f t="shared" si="39"/>
        <v/>
      </c>
      <c r="I1235" s="2">
        <f>TYPE(CUBEMEMBER(IF(1,1),IF(1,1),IF(1,1)))</f>
        <v>16</v>
      </c>
      <c r="J1235" s="2" t="str">
        <f>IF(C1235=0,COUNTIFS(A:A,A1235,D:D,"a"),"")</f>
        <v/>
      </c>
      <c r="K1235" s="2" t="e">
        <f>INDEX(+CUBEMEMBER(#REF!,K1235:L1235,#REF!),)</f>
        <v>#REF!</v>
      </c>
      <c r="L1235" s="1">
        <v>1</v>
      </c>
      <c r="M1235" s="2" t="e">
        <f>INDEX(+CUBEMEMBER(#REF!,INDIRECT(M1235:N1235),#REF!),)</f>
        <v>#REF!</v>
      </c>
      <c r="N1235" s="1">
        <v>1</v>
      </c>
    </row>
    <row r="1236" spans="1:14" x14ac:dyDescent="0.55000000000000004">
      <c r="A1236" s="1" t="s">
        <v>1823</v>
      </c>
      <c r="B1236" s="2">
        <f>COUNTIF(A:A,A1236)-1</f>
        <v>3</v>
      </c>
      <c r="C1236" s="2">
        <f>COUNTIF(A$1:A1236,A1236)-1</f>
        <v>3</v>
      </c>
      <c r="D1236" s="2" t="str">
        <f>Argument!D1236</f>
        <v>v</v>
      </c>
      <c r="E1236" s="2" t="str">
        <f t="shared" si="38"/>
        <v/>
      </c>
      <c r="F1236" s="2" t="str">
        <f>IF(C1236=0,ISTEXT(FORMULA.CONVERT("="&amp;A1236&amp;"("&amp;REPLACE(REPT(",#ref!",B1236),1,1,"")&amp;")()",1)),"")</f>
        <v/>
      </c>
      <c r="G1236" s="2">
        <f>TYPE(CUBEMEMBER(IF(1,1),IF(1,1),{1}))</f>
        <v>64</v>
      </c>
      <c r="H1236" s="2" t="str">
        <f t="shared" si="39"/>
        <v/>
      </c>
      <c r="I1236" s="2">
        <f>TYPE(CUBEMEMBER(IF(1,1),IF(1,1),IF(1,1)))</f>
        <v>16</v>
      </c>
      <c r="J1236" s="2" t="str">
        <f>IF(C1236=0,COUNTIFS(A:A,A1236,D:D,"a"),"")</f>
        <v/>
      </c>
      <c r="K1236" s="2" t="e">
        <f>INDEX(+CUBEMEMBER(#REF!,#REF!,K1236:L1236),)</f>
        <v>#REF!</v>
      </c>
      <c r="L1236" s="1">
        <v>1</v>
      </c>
      <c r="M1236" s="2" t="e">
        <f>INDEX(+CUBEMEMBER(#REF!,#REF!,INDIRECT(M1236:N1236)),)</f>
        <v>#REF!</v>
      </c>
      <c r="N1236" s="1">
        <v>1</v>
      </c>
    </row>
    <row r="1237" spans="1:14" x14ac:dyDescent="0.55000000000000004">
      <c r="A1237" s="1" t="s">
        <v>1824</v>
      </c>
      <c r="B1237" s="2">
        <f>COUNTIF(A:A,A1237)-1</f>
        <v>3</v>
      </c>
      <c r="C1237" s="2">
        <f>COUNTIF(A$1:A1237,A1237)-1</f>
        <v>0</v>
      </c>
      <c r="D1237" s="2" t="str">
        <f>Argument!D1237</f>
        <v/>
      </c>
      <c r="E1237" s="2" t="str">
        <f t="shared" si="38"/>
        <v>v</v>
      </c>
      <c r="F1237" s="2" t="b">
        <f>IF(C1237=0,ISTEXT(FORMULA.CONVERT("="&amp;A1237&amp;"("&amp;REPLACE(REPT(",#ref!",B1237),1,1,"")&amp;")()",1)),"")</f>
        <v>0</v>
      </c>
      <c r="G1237" s="2"/>
      <c r="H1237" s="2" t="str">
        <f t="shared" si="39"/>
        <v/>
      </c>
      <c r="I1237" s="2">
        <f>TYPE(CUBEMEMBERPROPERTY(IF(1,1),IF(1,1),IF(1,1)))</f>
        <v>16</v>
      </c>
      <c r="J1237" s="2">
        <f>IF(C1237=0,COUNTIFS(A:A,A1237,D:D,"a"),"")</f>
        <v>0</v>
      </c>
      <c r="K1237" s="2"/>
      <c r="M1237" s="2"/>
    </row>
    <row r="1238" spans="1:14" x14ac:dyDescent="0.55000000000000004">
      <c r="A1238" s="1" t="s">
        <v>1824</v>
      </c>
      <c r="B1238" s="2">
        <f>COUNTIF(A:A,A1238)-1</f>
        <v>3</v>
      </c>
      <c r="C1238" s="2">
        <f>COUNTIF(A$1:A1238,A1238)-1</f>
        <v>1</v>
      </c>
      <c r="D1238" s="2" t="str">
        <f>Argument!D1238</f>
        <v>v</v>
      </c>
      <c r="E1238" s="2" t="str">
        <f t="shared" si="38"/>
        <v/>
      </c>
      <c r="F1238" s="2" t="str">
        <f>IF(C1238=0,ISTEXT(FORMULA.CONVERT("="&amp;A1238&amp;"("&amp;REPLACE(REPT(",#ref!",B1238),1,1,"")&amp;")()",1)),"")</f>
        <v/>
      </c>
      <c r="G1238" s="2">
        <f>TYPE(CUBEMEMBERPROPERTY({1},IF(1,1),IF(1,1)))</f>
        <v>64</v>
      </c>
      <c r="H1238" s="2" t="str">
        <f t="shared" si="39"/>
        <v/>
      </c>
      <c r="I1238" s="2">
        <f>TYPE(CUBEMEMBERPROPERTY(IF(1,1),IF(1,1),IF(1,1)))</f>
        <v>16</v>
      </c>
      <c r="J1238" s="2" t="str">
        <f>IF(C1238=0,COUNTIFS(A:A,A1238,D:D,"a"),"")</f>
        <v/>
      </c>
      <c r="K1238" s="2" t="e">
        <f>INDEX(+CUBEMEMBERPROPERTY(K1238:L1238,#REF!,#REF!),)</f>
        <v>#REF!</v>
      </c>
      <c r="L1238" s="1">
        <v>1</v>
      </c>
      <c r="M1238" s="2" t="e">
        <f>INDEX(+CUBEMEMBERPROPERTY(INDIRECT(M1238:N1238),#REF!,#REF!),)</f>
        <v>#REF!</v>
      </c>
      <c r="N1238" s="1">
        <v>1</v>
      </c>
    </row>
    <row r="1239" spans="1:14" x14ac:dyDescent="0.55000000000000004">
      <c r="A1239" s="1" t="s">
        <v>1824</v>
      </c>
      <c r="B1239" s="2">
        <f>COUNTIF(A:A,A1239)-1</f>
        <v>3</v>
      </c>
      <c r="C1239" s="2">
        <f>COUNTIF(A$1:A1239,A1239)-1</f>
        <v>2</v>
      </c>
      <c r="D1239" s="2" t="str">
        <f>Argument!D1239</f>
        <v>v</v>
      </c>
      <c r="E1239" s="2" t="str">
        <f t="shared" si="38"/>
        <v/>
      </c>
      <c r="F1239" s="2" t="str">
        <f>IF(C1239=0,ISTEXT(FORMULA.CONVERT("="&amp;A1239&amp;"("&amp;REPLACE(REPT(",#ref!",B1239),1,1,"")&amp;")()",1)),"")</f>
        <v/>
      </c>
      <c r="G1239" s="2">
        <f>TYPE(CUBEMEMBERPROPERTY(IF(1,1),{1},IF(1,1)))</f>
        <v>64</v>
      </c>
      <c r="H1239" s="2" t="str">
        <f t="shared" si="39"/>
        <v/>
      </c>
      <c r="I1239" s="2">
        <f>TYPE(CUBEMEMBERPROPERTY(IF(1,1),IF(1,1),IF(1,1)))</f>
        <v>16</v>
      </c>
      <c r="J1239" s="2" t="str">
        <f>IF(C1239=0,COUNTIFS(A:A,A1239,D:D,"a"),"")</f>
        <v/>
      </c>
      <c r="K1239" s="2" t="e">
        <f>INDEX(+CUBEMEMBERPROPERTY(#REF!,K1239:L1239,#REF!),)</f>
        <v>#REF!</v>
      </c>
      <c r="L1239" s="1">
        <v>1</v>
      </c>
      <c r="M1239" s="2" t="e">
        <f>INDEX(+CUBEMEMBERPROPERTY(#REF!,INDIRECT(M1239:N1239),#REF!),)</f>
        <v>#REF!</v>
      </c>
      <c r="N1239" s="1">
        <v>1</v>
      </c>
    </row>
    <row r="1240" spans="1:14" x14ac:dyDescent="0.55000000000000004">
      <c r="A1240" s="1" t="s">
        <v>1824</v>
      </c>
      <c r="B1240" s="2">
        <f>COUNTIF(A:A,A1240)-1</f>
        <v>3</v>
      </c>
      <c r="C1240" s="2">
        <f>COUNTIF(A$1:A1240,A1240)-1</f>
        <v>3</v>
      </c>
      <c r="D1240" s="2" t="str">
        <f>Argument!D1240</f>
        <v>v</v>
      </c>
      <c r="E1240" s="2" t="str">
        <f t="shared" si="38"/>
        <v/>
      </c>
      <c r="F1240" s="2" t="str">
        <f>IF(C1240=0,ISTEXT(FORMULA.CONVERT("="&amp;A1240&amp;"("&amp;REPLACE(REPT(",#ref!",B1240),1,1,"")&amp;")()",1)),"")</f>
        <v/>
      </c>
      <c r="G1240" s="2">
        <f>TYPE(CUBEMEMBERPROPERTY(IF(1,1),IF(1,1),{1}))</f>
        <v>64</v>
      </c>
      <c r="H1240" s="2" t="str">
        <f t="shared" si="39"/>
        <v/>
      </c>
      <c r="I1240" s="2">
        <f>TYPE(CUBEMEMBERPROPERTY(IF(1,1),IF(1,1),IF(1,1)))</f>
        <v>16</v>
      </c>
      <c r="J1240" s="2" t="str">
        <f>IF(C1240=0,COUNTIFS(A:A,A1240,D:D,"a"),"")</f>
        <v/>
      </c>
      <c r="K1240" s="2" t="e">
        <f>INDEX(+CUBEMEMBERPROPERTY(#REF!,#REF!,K1240:L1240),)</f>
        <v>#REF!</v>
      </c>
      <c r="L1240" s="1">
        <v>1</v>
      </c>
      <c r="M1240" s="2" t="e">
        <f>INDEX(+CUBEMEMBERPROPERTY(#REF!,#REF!,INDIRECT(M1240:N1240)),)</f>
        <v>#REF!</v>
      </c>
      <c r="N1240" s="1">
        <v>1</v>
      </c>
    </row>
    <row r="1241" spans="1:14" x14ac:dyDescent="0.55000000000000004">
      <c r="A1241" s="1" t="s">
        <v>1825</v>
      </c>
      <c r="B1241" s="2">
        <f>COUNTIF(A:A,A1241)-1</f>
        <v>4</v>
      </c>
      <c r="C1241" s="2">
        <f>COUNTIF(A$1:A1241,A1241)-1</f>
        <v>0</v>
      </c>
      <c r="D1241" s="2" t="str">
        <f>Argument!D1241</f>
        <v/>
      </c>
      <c r="E1241" s="2" t="str">
        <f t="shared" si="38"/>
        <v>v</v>
      </c>
      <c r="F1241" s="2" t="b">
        <f>IF(C1241=0,ISTEXT(FORMULA.CONVERT("="&amp;A1241&amp;"("&amp;REPLACE(REPT(",#ref!",B1241),1,1,"")&amp;")()",1)),"")</f>
        <v>0</v>
      </c>
      <c r="G1241" s="2"/>
      <c r="H1241" s="2" t="str">
        <f t="shared" si="39"/>
        <v/>
      </c>
      <c r="I1241" s="2">
        <f>TYPE(CUBERANKEDMEMBER(IF(1,1),IF(1,1),IF(1,1),IF(1,1)))</f>
        <v>16</v>
      </c>
      <c r="J1241" s="2">
        <f>IF(C1241=0,COUNTIFS(A:A,A1241,D:D,"a"),"")</f>
        <v>0</v>
      </c>
      <c r="K1241" s="2"/>
      <c r="M1241" s="2"/>
    </row>
    <row r="1242" spans="1:14" x14ac:dyDescent="0.55000000000000004">
      <c r="A1242" s="1" t="s">
        <v>1825</v>
      </c>
      <c r="B1242" s="2">
        <f>COUNTIF(A:A,A1242)-1</f>
        <v>4</v>
      </c>
      <c r="C1242" s="2">
        <f>COUNTIF(A$1:A1242,A1242)-1</f>
        <v>1</v>
      </c>
      <c r="D1242" s="2" t="str">
        <f>Argument!D1242</f>
        <v>v</v>
      </c>
      <c r="E1242" s="2" t="str">
        <f t="shared" si="38"/>
        <v/>
      </c>
      <c r="F1242" s="2" t="str">
        <f>IF(C1242=0,ISTEXT(FORMULA.CONVERT("="&amp;A1242&amp;"("&amp;REPLACE(REPT(",#ref!",B1242),1,1,"")&amp;")()",1)),"")</f>
        <v/>
      </c>
      <c r="G1242" s="2">
        <f>TYPE(CUBERANKEDMEMBER({1},IF(1,1),IF(1,1),IF(1,1)))</f>
        <v>64</v>
      </c>
      <c r="H1242" s="2" t="str">
        <f t="shared" si="39"/>
        <v/>
      </c>
      <c r="I1242" s="2">
        <f>TYPE(CUBERANKEDMEMBER(IF(1,1),IF(1,1),IF(1,1),IF(1,1)))</f>
        <v>16</v>
      </c>
      <c r="J1242" s="2" t="str">
        <f>IF(C1242=0,COUNTIFS(A:A,A1242,D:D,"a"),"")</f>
        <v/>
      </c>
      <c r="K1242" s="2" t="e">
        <f>INDEX(+CUBERANKEDMEMBER(K1242:L1242,#REF!,#REF!,#REF!),)</f>
        <v>#REF!</v>
      </c>
      <c r="L1242" s="1">
        <v>1</v>
      </c>
      <c r="M1242" s="2" t="e">
        <f>INDEX(+CUBERANKEDMEMBER(INDIRECT(M1242:N1242),#REF!,#REF!,#REF!),)</f>
        <v>#REF!</v>
      </c>
      <c r="N1242" s="1">
        <v>1</v>
      </c>
    </row>
    <row r="1243" spans="1:14" x14ac:dyDescent="0.55000000000000004">
      <c r="A1243" s="1" t="s">
        <v>1825</v>
      </c>
      <c r="B1243" s="2">
        <f>COUNTIF(A:A,A1243)-1</f>
        <v>4</v>
      </c>
      <c r="C1243" s="2">
        <f>COUNTIF(A$1:A1243,A1243)-1</f>
        <v>2</v>
      </c>
      <c r="D1243" s="2" t="str">
        <f>Argument!D1243</f>
        <v>v</v>
      </c>
      <c r="E1243" s="2" t="str">
        <f t="shared" si="38"/>
        <v/>
      </c>
      <c r="F1243" s="2" t="str">
        <f>IF(C1243=0,ISTEXT(FORMULA.CONVERT("="&amp;A1243&amp;"("&amp;REPLACE(REPT(",#ref!",B1243),1,1,"")&amp;")()",1)),"")</f>
        <v/>
      </c>
      <c r="G1243" s="2">
        <f>TYPE(CUBERANKEDMEMBER(IF(1,1),{1},IF(1,1),IF(1,1)))</f>
        <v>64</v>
      </c>
      <c r="H1243" s="2" t="str">
        <f t="shared" si="39"/>
        <v/>
      </c>
      <c r="I1243" s="2">
        <f>TYPE(CUBERANKEDMEMBER(IF(1,1),IF(1,1),IF(1,1),IF(1,1)))</f>
        <v>16</v>
      </c>
      <c r="J1243" s="2" t="str">
        <f>IF(C1243=0,COUNTIFS(A:A,A1243,D:D,"a"),"")</f>
        <v/>
      </c>
      <c r="K1243" s="2" t="e">
        <f>INDEX(+CUBERANKEDMEMBER(#REF!,K1243:L1243,#REF!,#REF!),)</f>
        <v>#REF!</v>
      </c>
      <c r="L1243" s="1">
        <v>1</v>
      </c>
      <c r="M1243" s="2" t="e">
        <f>INDEX(+CUBERANKEDMEMBER(#REF!,INDIRECT(M1243:N1243),#REF!,#REF!),)</f>
        <v>#REF!</v>
      </c>
      <c r="N1243" s="1">
        <v>1</v>
      </c>
    </row>
    <row r="1244" spans="1:14" x14ac:dyDescent="0.55000000000000004">
      <c r="A1244" s="1" t="s">
        <v>1825</v>
      </c>
      <c r="B1244" s="2">
        <f>COUNTIF(A:A,A1244)-1</f>
        <v>4</v>
      </c>
      <c r="C1244" s="2">
        <f>COUNTIF(A$1:A1244,A1244)-1</f>
        <v>3</v>
      </c>
      <c r="D1244" s="2" t="str">
        <f>Argument!D1244</f>
        <v>v</v>
      </c>
      <c r="E1244" s="2" t="str">
        <f t="shared" si="38"/>
        <v/>
      </c>
      <c r="F1244" s="2" t="str">
        <f>IF(C1244=0,ISTEXT(FORMULA.CONVERT("="&amp;A1244&amp;"("&amp;REPLACE(REPT(",#ref!",B1244),1,1,"")&amp;")()",1)),"")</f>
        <v/>
      </c>
      <c r="G1244" s="2">
        <f>TYPE(CUBERANKEDMEMBER(IF(1,1),IF(1,1),{1},IF(1,1)))</f>
        <v>64</v>
      </c>
      <c r="H1244" s="2" t="str">
        <f t="shared" si="39"/>
        <v/>
      </c>
      <c r="I1244" s="2">
        <f>TYPE(CUBERANKEDMEMBER(IF(1,1),IF(1,1),IF(1,1),IF(1,1)))</f>
        <v>16</v>
      </c>
      <c r="J1244" s="2" t="str">
        <f>IF(C1244=0,COUNTIFS(A:A,A1244,D:D,"a"),"")</f>
        <v/>
      </c>
      <c r="K1244" s="2" t="e">
        <f>INDEX(+CUBERANKEDMEMBER(#REF!,#REF!,K1244:L1244,#REF!),)</f>
        <v>#REF!</v>
      </c>
      <c r="L1244" s="1">
        <v>1</v>
      </c>
      <c r="M1244" s="2" t="e">
        <f>INDEX(+CUBERANKEDMEMBER(#REF!,#REF!,INDIRECT(M1244:N1244),#REF!),)</f>
        <v>#REF!</v>
      </c>
      <c r="N1244" s="1">
        <v>1</v>
      </c>
    </row>
    <row r="1245" spans="1:14" x14ac:dyDescent="0.55000000000000004">
      <c r="A1245" s="1" t="s">
        <v>1825</v>
      </c>
      <c r="B1245" s="2">
        <f>COUNTIF(A:A,A1245)-1</f>
        <v>4</v>
      </c>
      <c r="C1245" s="2">
        <f>COUNTIF(A$1:A1245,A1245)-1</f>
        <v>4</v>
      </c>
      <c r="D1245" s="2" t="str">
        <f>Argument!D1245</f>
        <v>v</v>
      </c>
      <c r="E1245" s="2" t="str">
        <f t="shared" si="38"/>
        <v/>
      </c>
      <c r="F1245" s="2" t="str">
        <f>IF(C1245=0,ISTEXT(FORMULA.CONVERT("="&amp;A1245&amp;"("&amp;REPLACE(REPT(",#ref!",B1245),1,1,"")&amp;")()",1)),"")</f>
        <v/>
      </c>
      <c r="G1245" s="2">
        <f>TYPE(CUBERANKEDMEMBER(IF(1,1),IF(1,1),IF(1,1),{1}))</f>
        <v>64</v>
      </c>
      <c r="H1245" s="2" t="str">
        <f t="shared" si="39"/>
        <v/>
      </c>
      <c r="I1245" s="2">
        <f>TYPE(CUBERANKEDMEMBER(IF(1,1),IF(1,1),IF(1,1),IF(1,1)))</f>
        <v>16</v>
      </c>
      <c r="J1245" s="2" t="str">
        <f>IF(C1245=0,COUNTIFS(A:A,A1245,D:D,"a"),"")</f>
        <v/>
      </c>
      <c r="K1245" s="2" t="e">
        <f>INDEX(+CUBERANKEDMEMBER(#REF!,#REF!,#REF!,K1245:L1245),)</f>
        <v>#REF!</v>
      </c>
      <c r="L1245" s="1">
        <v>1</v>
      </c>
      <c r="M1245" s="2" t="e">
        <f>INDEX(+CUBERANKEDMEMBER(#REF!,#REF!,#REF!,INDIRECT(M1245:N1245)),)</f>
        <v>#REF!</v>
      </c>
      <c r="N1245" s="1">
        <v>1</v>
      </c>
    </row>
    <row r="1246" spans="1:14" x14ac:dyDescent="0.55000000000000004">
      <c r="A1246" s="1" t="s">
        <v>2060</v>
      </c>
      <c r="B1246" s="2">
        <f>COUNTIF(A:A,A1246)-1</f>
        <v>2</v>
      </c>
      <c r="C1246" s="2">
        <f>COUNTIF(A$1:A1246,A1246)-1</f>
        <v>0</v>
      </c>
      <c r="D1246" s="2" t="str">
        <f>Argument!D1246</f>
        <v/>
      </c>
      <c r="E1246" s="2" t="str">
        <f t="shared" si="38"/>
        <v>v</v>
      </c>
      <c r="F1246" s="2" t="b">
        <f>IF(C1246=0,ISTEXT(FORMULA.CONVERT("="&amp;A1246&amp;"("&amp;REPLACE(REPT(",#ref!",B1246),1,1,"")&amp;")()",1)),"")</f>
        <v>0</v>
      </c>
      <c r="G1246" s="2"/>
      <c r="H1246" s="2" t="str">
        <f t="shared" si="39"/>
        <v/>
      </c>
      <c r="I1246" s="2">
        <f>TYPE(HEX2BIN(IF(1,1),IF(1,1)))</f>
        <v>2</v>
      </c>
      <c r="J1246" s="2">
        <f>IF(C1246=0,COUNTIFS(A:A,A1246,D:D,"a"),"")</f>
        <v>0</v>
      </c>
      <c r="K1246" s="2"/>
      <c r="M1246" s="2"/>
    </row>
    <row r="1247" spans="1:14" x14ac:dyDescent="0.55000000000000004">
      <c r="A1247" s="1" t="s">
        <v>2060</v>
      </c>
      <c r="B1247" s="2">
        <f>COUNTIF(A:A,A1247)-1</f>
        <v>2</v>
      </c>
      <c r="C1247" s="2">
        <f>COUNTIF(A$1:A1247,A1247)-1</f>
        <v>1</v>
      </c>
      <c r="D1247" s="2" t="str">
        <f>Argument!D1247</f>
        <v>vr</v>
      </c>
      <c r="E1247" s="2" t="str">
        <f t="shared" si="38"/>
        <v/>
      </c>
      <c r="F1247" s="2" t="str">
        <f>IF(C1247=0,ISTEXT(FORMULA.CONVERT("="&amp;A1247&amp;"("&amp;REPLACE(REPT(",#ref!",B1247),1,1,"")&amp;")()",1)),"")</f>
        <v/>
      </c>
      <c r="G1247" s="2">
        <f>TYPE(HEX2BIN({1},IF(1,1)))</f>
        <v>64</v>
      </c>
      <c r="H1247" s="2" t="str">
        <f t="shared" si="39"/>
        <v/>
      </c>
      <c r="I1247" s="2">
        <f>TYPE(HEX2BIN(IF(1,1),IF(1,1)))</f>
        <v>2</v>
      </c>
      <c r="J1247" s="2" t="str">
        <f>IF(C1247=0,COUNTIFS(A:A,A1247,D:D,"a"),"")</f>
        <v/>
      </c>
      <c r="K1247" s="2" t="e">
        <f>INDEX(+HEX2BIN(K1247:L1247,#REF!),)</f>
        <v>#REF!</v>
      </c>
      <c r="L1247" s="1">
        <v>1</v>
      </c>
      <c r="M1247" s="2" t="e">
        <f>INDEX(+HEX2BIN(INDIRECT(M1247:N1247),#REF!),)</f>
        <v>#REF!</v>
      </c>
      <c r="N1247" s="1">
        <v>1</v>
      </c>
    </row>
    <row r="1248" spans="1:14" x14ac:dyDescent="0.55000000000000004">
      <c r="A1248" s="1" t="s">
        <v>2060</v>
      </c>
      <c r="B1248" s="2">
        <f>COUNTIF(A:A,A1248)-1</f>
        <v>2</v>
      </c>
      <c r="C1248" s="2">
        <f>COUNTIF(A$1:A1248,A1248)-1</f>
        <v>2</v>
      </c>
      <c r="D1248" s="2" t="str">
        <f>Argument!D1248</f>
        <v>vr</v>
      </c>
      <c r="E1248" s="2" t="str">
        <f t="shared" si="38"/>
        <v/>
      </c>
      <c r="F1248" s="2" t="str">
        <f>IF(C1248=0,ISTEXT(FORMULA.CONVERT("="&amp;A1248&amp;"("&amp;REPLACE(REPT(",#ref!",B1248),1,1,"")&amp;")()",1)),"")</f>
        <v/>
      </c>
      <c r="G1248" s="2">
        <f>TYPE(HEX2BIN(IF(1,1),{1}))</f>
        <v>64</v>
      </c>
      <c r="H1248" s="2" t="str">
        <f t="shared" si="39"/>
        <v/>
      </c>
      <c r="I1248" s="2">
        <f>TYPE(HEX2BIN(IF(1,1),IF(1,1)))</f>
        <v>2</v>
      </c>
      <c r="J1248" s="2" t="str">
        <f>IF(C1248=0,COUNTIFS(A:A,A1248,D:D,"a"),"")</f>
        <v/>
      </c>
      <c r="K1248" s="2" t="e">
        <f>INDEX(+HEX2BIN(#REF!,K1248:L1248),)</f>
        <v>#VALUE!</v>
      </c>
      <c r="L1248" s="1">
        <v>1</v>
      </c>
      <c r="M1248" s="2" t="e">
        <f>INDEX(+HEX2BIN(#REF!,INDIRECT(M1248:N1248)),)</f>
        <v>#REF!</v>
      </c>
      <c r="N1248" s="1">
        <v>1</v>
      </c>
    </row>
    <row r="1249" spans="1:14" x14ac:dyDescent="0.55000000000000004">
      <c r="A1249" s="1" t="s">
        <v>2061</v>
      </c>
      <c r="B1249" s="2">
        <f>COUNTIF(A:A,A1249)-1</f>
        <v>1</v>
      </c>
      <c r="C1249" s="2">
        <f>COUNTIF(A$1:A1249,A1249)-1</f>
        <v>0</v>
      </c>
      <c r="D1249" s="2" t="str">
        <f>Argument!D1249</f>
        <v/>
      </c>
      <c r="E1249" s="2" t="str">
        <f t="shared" si="38"/>
        <v>v</v>
      </c>
      <c r="F1249" s="2" t="b">
        <f>IF(C1249=0,ISTEXT(FORMULA.CONVERT("="&amp;A1249&amp;"("&amp;REPLACE(REPT(",#ref!",B1249),1,1,"")&amp;")()",1)),"")</f>
        <v>0</v>
      </c>
      <c r="G1249" s="2"/>
      <c r="H1249" s="2" t="str">
        <f t="shared" si="39"/>
        <v/>
      </c>
      <c r="I1249" s="2">
        <f>TYPE(HEX2DEC(IF(1,1)))</f>
        <v>1</v>
      </c>
      <c r="J1249" s="2">
        <f>IF(C1249=0,COUNTIFS(A:A,A1249,D:D,"a"),"")</f>
        <v>0</v>
      </c>
      <c r="K1249" s="2"/>
      <c r="M1249" s="2"/>
    </row>
    <row r="1250" spans="1:14" x14ac:dyDescent="0.55000000000000004">
      <c r="A1250" s="1" t="s">
        <v>2061</v>
      </c>
      <c r="B1250" s="2">
        <f>COUNTIF(A:A,A1250)-1</f>
        <v>1</v>
      </c>
      <c r="C1250" s="2">
        <f>COUNTIF(A$1:A1250,A1250)-1</f>
        <v>1</v>
      </c>
      <c r="D1250" s="2" t="str">
        <f>Argument!D1250</f>
        <v>vr</v>
      </c>
      <c r="E1250" s="2" t="str">
        <f t="shared" si="38"/>
        <v/>
      </c>
      <c r="F1250" s="2" t="str">
        <f>IF(C1250=0,ISTEXT(FORMULA.CONVERT("="&amp;A1250&amp;"("&amp;REPLACE(REPT(",#ref!",B1250),1,1,"")&amp;")()",1)),"")</f>
        <v/>
      </c>
      <c r="G1250" s="2">
        <f>TYPE(HEX2DEC({1}))</f>
        <v>64</v>
      </c>
      <c r="H1250" s="2" t="str">
        <f t="shared" si="39"/>
        <v/>
      </c>
      <c r="I1250" s="2">
        <f>TYPE(HEX2DEC(IF(1,1)))</f>
        <v>1</v>
      </c>
      <c r="J1250" s="2" t="str">
        <f>IF(C1250=0,COUNTIFS(A:A,A1250,D:D,"a"),"")</f>
        <v/>
      </c>
      <c r="K1250" s="2" t="e">
        <f>INDEX(+HEX2DEC(K1250:L1250),)</f>
        <v>#VALUE!</v>
      </c>
      <c r="L1250" s="1">
        <v>1</v>
      </c>
      <c r="M1250" s="2" t="e">
        <f>INDEX(+HEX2DEC(INDIRECT(M1250:N1250)),)</f>
        <v>#REF!</v>
      </c>
      <c r="N1250" s="1">
        <v>1</v>
      </c>
    </row>
    <row r="1251" spans="1:14" x14ac:dyDescent="0.55000000000000004">
      <c r="A1251" s="1" t="s">
        <v>2062</v>
      </c>
      <c r="B1251" s="2">
        <f>COUNTIF(A:A,A1251)-1</f>
        <v>2</v>
      </c>
      <c r="C1251" s="2">
        <f>COUNTIF(A$1:A1251,A1251)-1</f>
        <v>0</v>
      </c>
      <c r="D1251" s="2" t="str">
        <f>Argument!D1251</f>
        <v/>
      </c>
      <c r="E1251" s="2" t="str">
        <f t="shared" si="38"/>
        <v>v</v>
      </c>
      <c r="F1251" s="2" t="b">
        <f>IF(C1251=0,ISTEXT(FORMULA.CONVERT("="&amp;A1251&amp;"("&amp;REPLACE(REPT(",#ref!",B1251),1,1,"")&amp;")()",1)),"")</f>
        <v>0</v>
      </c>
      <c r="G1251" s="2"/>
      <c r="H1251" s="2" t="str">
        <f t="shared" si="39"/>
        <v/>
      </c>
      <c r="I1251" s="2">
        <f>TYPE(HEX2OCT(IF(1,1),IF(1,1)))</f>
        <v>2</v>
      </c>
      <c r="J1251" s="2">
        <f>IF(C1251=0,COUNTIFS(A:A,A1251,D:D,"a"),"")</f>
        <v>0</v>
      </c>
      <c r="K1251" s="2"/>
      <c r="M1251" s="2"/>
    </row>
    <row r="1252" spans="1:14" x14ac:dyDescent="0.55000000000000004">
      <c r="A1252" s="1" t="s">
        <v>2062</v>
      </c>
      <c r="B1252" s="2">
        <f>COUNTIF(A:A,A1252)-1</f>
        <v>2</v>
      </c>
      <c r="C1252" s="2">
        <f>COUNTIF(A$1:A1252,A1252)-1</f>
        <v>1</v>
      </c>
      <c r="D1252" s="2" t="str">
        <f>Argument!D1252</f>
        <v>vr</v>
      </c>
      <c r="E1252" s="2" t="str">
        <f t="shared" si="38"/>
        <v/>
      </c>
      <c r="F1252" s="2" t="str">
        <f>IF(C1252=0,ISTEXT(FORMULA.CONVERT("="&amp;A1252&amp;"("&amp;REPLACE(REPT(",#ref!",B1252),1,1,"")&amp;")()",1)),"")</f>
        <v/>
      </c>
      <c r="G1252" s="2">
        <f>TYPE(HEX2OCT({1},IF(1,1)))</f>
        <v>64</v>
      </c>
      <c r="H1252" s="2" t="str">
        <f t="shared" si="39"/>
        <v/>
      </c>
      <c r="I1252" s="2">
        <f>TYPE(HEX2OCT(IF(1,1),IF(1,1)))</f>
        <v>2</v>
      </c>
      <c r="J1252" s="2" t="str">
        <f>IF(C1252=0,COUNTIFS(A:A,A1252,D:D,"a"),"")</f>
        <v/>
      </c>
      <c r="K1252" s="2" t="e">
        <f>INDEX(+HEX2OCT(K1252:L1252,#REF!),)</f>
        <v>#REF!</v>
      </c>
      <c r="L1252" s="1">
        <v>1</v>
      </c>
      <c r="M1252" s="2" t="e">
        <f>INDEX(+HEX2OCT(INDIRECT(M1252:N1252),#REF!),)</f>
        <v>#REF!</v>
      </c>
      <c r="N1252" s="1">
        <v>1</v>
      </c>
    </row>
    <row r="1253" spans="1:14" x14ac:dyDescent="0.55000000000000004">
      <c r="A1253" s="1" t="s">
        <v>2062</v>
      </c>
      <c r="B1253" s="2">
        <f>COUNTIF(A:A,A1253)-1</f>
        <v>2</v>
      </c>
      <c r="C1253" s="2">
        <f>COUNTIF(A$1:A1253,A1253)-1</f>
        <v>2</v>
      </c>
      <c r="D1253" s="2" t="str">
        <f>Argument!D1253</f>
        <v>vr</v>
      </c>
      <c r="E1253" s="2" t="str">
        <f t="shared" si="38"/>
        <v/>
      </c>
      <c r="F1253" s="2" t="str">
        <f>IF(C1253=0,ISTEXT(FORMULA.CONVERT("="&amp;A1253&amp;"("&amp;REPLACE(REPT(",#ref!",B1253),1,1,"")&amp;")()",1)),"")</f>
        <v/>
      </c>
      <c r="G1253" s="2">
        <f>TYPE(HEX2OCT(IF(1,1),{1}))</f>
        <v>64</v>
      </c>
      <c r="H1253" s="2" t="str">
        <f t="shared" si="39"/>
        <v/>
      </c>
      <c r="I1253" s="2">
        <f>TYPE(HEX2OCT(IF(1,1),IF(1,1)))</f>
        <v>2</v>
      </c>
      <c r="J1253" s="2" t="str">
        <f>IF(C1253=0,COUNTIFS(A:A,A1253,D:D,"a"),"")</f>
        <v/>
      </c>
      <c r="K1253" s="2" t="e">
        <f>INDEX(+HEX2OCT(#REF!,K1253:L1253),)</f>
        <v>#VALUE!</v>
      </c>
      <c r="L1253" s="1">
        <v>1</v>
      </c>
      <c r="M1253" s="2" t="e">
        <f>INDEX(+HEX2OCT(#REF!,INDIRECT(M1253:N1253)),)</f>
        <v>#REF!</v>
      </c>
      <c r="N1253" s="1">
        <v>1</v>
      </c>
    </row>
    <row r="1254" spans="1:14" x14ac:dyDescent="0.55000000000000004">
      <c r="A1254" s="1" t="s">
        <v>2063</v>
      </c>
      <c r="B1254" s="2">
        <f>COUNTIF(A:A,A1254)-1</f>
        <v>2</v>
      </c>
      <c r="C1254" s="2">
        <f>COUNTIF(A$1:A1254,A1254)-1</f>
        <v>0</v>
      </c>
      <c r="D1254" s="2" t="str">
        <f>Argument!D1254</f>
        <v/>
      </c>
      <c r="E1254" s="2" t="str">
        <f t="shared" si="38"/>
        <v>v</v>
      </c>
      <c r="F1254" s="2" t="b">
        <f>IF(C1254=0,ISTEXT(FORMULA.CONVERT("="&amp;A1254&amp;"("&amp;REPLACE(REPT(",#ref!",B1254),1,1,"")&amp;")()",1)),"")</f>
        <v>0</v>
      </c>
      <c r="G1254" s="2"/>
      <c r="H1254" s="2" t="str">
        <f t="shared" si="39"/>
        <v/>
      </c>
      <c r="I1254" s="2">
        <f>TYPE(DEC2BIN(IF(1,1),IF(1,1)))</f>
        <v>2</v>
      </c>
      <c r="J1254" s="2">
        <f>IF(C1254=0,COUNTIFS(A:A,A1254,D:D,"a"),"")</f>
        <v>0</v>
      </c>
      <c r="K1254" s="2"/>
      <c r="M1254" s="2"/>
    </row>
    <row r="1255" spans="1:14" x14ac:dyDescent="0.55000000000000004">
      <c r="A1255" s="1" t="s">
        <v>2063</v>
      </c>
      <c r="B1255" s="2">
        <f>COUNTIF(A:A,A1255)-1</f>
        <v>2</v>
      </c>
      <c r="C1255" s="2">
        <f>COUNTIF(A$1:A1255,A1255)-1</f>
        <v>1</v>
      </c>
      <c r="D1255" s="2" t="str">
        <f>Argument!D1255</f>
        <v>vr</v>
      </c>
      <c r="E1255" s="2" t="str">
        <f t="shared" si="38"/>
        <v/>
      </c>
      <c r="F1255" s="2" t="str">
        <f>IF(C1255=0,ISTEXT(FORMULA.CONVERT("="&amp;A1255&amp;"("&amp;REPLACE(REPT(",#ref!",B1255),1,1,"")&amp;")()",1)),"")</f>
        <v/>
      </c>
      <c r="G1255" s="2">
        <f>TYPE(DEC2BIN({1},IF(1,1)))</f>
        <v>64</v>
      </c>
      <c r="H1255" s="2" t="str">
        <f t="shared" si="39"/>
        <v/>
      </c>
      <c r="I1255" s="2">
        <f>TYPE(DEC2BIN(IF(1,1),IF(1,1)))</f>
        <v>2</v>
      </c>
      <c r="J1255" s="2" t="str">
        <f>IF(C1255=0,COUNTIFS(A:A,A1255,D:D,"a"),"")</f>
        <v/>
      </c>
      <c r="K1255" s="2" t="e">
        <f>INDEX(+DEC2BIN(K1255:L1255,#REF!),)</f>
        <v>#REF!</v>
      </c>
      <c r="L1255" s="1">
        <v>1</v>
      </c>
      <c r="M1255" s="2" t="e">
        <f>INDEX(+DEC2BIN(INDIRECT(M1255:N1255),#REF!),)</f>
        <v>#REF!</v>
      </c>
      <c r="N1255" s="1">
        <v>1</v>
      </c>
    </row>
    <row r="1256" spans="1:14" x14ac:dyDescent="0.55000000000000004">
      <c r="A1256" s="1" t="s">
        <v>2063</v>
      </c>
      <c r="B1256" s="2">
        <f>COUNTIF(A:A,A1256)-1</f>
        <v>2</v>
      </c>
      <c r="C1256" s="2">
        <f>COUNTIF(A$1:A1256,A1256)-1</f>
        <v>2</v>
      </c>
      <c r="D1256" s="2" t="str">
        <f>Argument!D1256</f>
        <v>vr</v>
      </c>
      <c r="E1256" s="2" t="str">
        <f t="shared" si="38"/>
        <v/>
      </c>
      <c r="F1256" s="2" t="str">
        <f>IF(C1256=0,ISTEXT(FORMULA.CONVERT("="&amp;A1256&amp;"("&amp;REPLACE(REPT(",#ref!",B1256),1,1,"")&amp;")()",1)),"")</f>
        <v/>
      </c>
      <c r="G1256" s="2">
        <f>TYPE(DEC2BIN(IF(1,1),{1}))</f>
        <v>64</v>
      </c>
      <c r="H1256" s="2" t="str">
        <f t="shared" si="39"/>
        <v/>
      </c>
      <c r="I1256" s="2">
        <f>TYPE(DEC2BIN(IF(1,1),IF(1,1)))</f>
        <v>2</v>
      </c>
      <c r="J1256" s="2" t="str">
        <f>IF(C1256=0,COUNTIFS(A:A,A1256,D:D,"a"),"")</f>
        <v/>
      </c>
      <c r="K1256" s="2" t="e">
        <f>INDEX(+DEC2BIN(#REF!,K1256:L1256),)</f>
        <v>#VALUE!</v>
      </c>
      <c r="L1256" s="1">
        <v>1</v>
      </c>
      <c r="M1256" s="2" t="e">
        <f>INDEX(+DEC2BIN(#REF!,INDIRECT(M1256:N1256)),)</f>
        <v>#REF!</v>
      </c>
      <c r="N1256" s="1">
        <v>1</v>
      </c>
    </row>
    <row r="1257" spans="1:14" x14ac:dyDescent="0.55000000000000004">
      <c r="A1257" s="1" t="s">
        <v>2064</v>
      </c>
      <c r="B1257" s="2">
        <f>COUNTIF(A:A,A1257)-1</f>
        <v>2</v>
      </c>
      <c r="C1257" s="2">
        <f>COUNTIF(A$1:A1257,A1257)-1</f>
        <v>0</v>
      </c>
      <c r="D1257" s="2" t="str">
        <f>Argument!D1257</f>
        <v/>
      </c>
      <c r="E1257" s="2" t="str">
        <f t="shared" si="38"/>
        <v>v</v>
      </c>
      <c r="F1257" s="2" t="b">
        <f>IF(C1257=0,ISTEXT(FORMULA.CONVERT("="&amp;A1257&amp;"("&amp;REPLACE(REPT(",#ref!",B1257),1,1,"")&amp;")()",1)),"")</f>
        <v>0</v>
      </c>
      <c r="G1257" s="2"/>
      <c r="H1257" s="2" t="str">
        <f t="shared" si="39"/>
        <v/>
      </c>
      <c r="I1257" s="2">
        <f>TYPE(DEC2HEX(IF(1,1),IF(1,1)))</f>
        <v>2</v>
      </c>
      <c r="J1257" s="2">
        <f>IF(C1257=0,COUNTIFS(A:A,A1257,D:D,"a"),"")</f>
        <v>0</v>
      </c>
      <c r="K1257" s="2"/>
      <c r="M1257" s="2"/>
    </row>
    <row r="1258" spans="1:14" x14ac:dyDescent="0.55000000000000004">
      <c r="A1258" s="1" t="s">
        <v>2064</v>
      </c>
      <c r="B1258" s="2">
        <f>COUNTIF(A:A,A1258)-1</f>
        <v>2</v>
      </c>
      <c r="C1258" s="2">
        <f>COUNTIF(A$1:A1258,A1258)-1</f>
        <v>1</v>
      </c>
      <c r="D1258" s="2" t="str">
        <f>Argument!D1258</f>
        <v>vr</v>
      </c>
      <c r="E1258" s="2" t="str">
        <f t="shared" si="38"/>
        <v/>
      </c>
      <c r="F1258" s="2" t="str">
        <f>IF(C1258=0,ISTEXT(FORMULA.CONVERT("="&amp;A1258&amp;"("&amp;REPLACE(REPT(",#ref!",B1258),1,1,"")&amp;")()",1)),"")</f>
        <v/>
      </c>
      <c r="G1258" s="2">
        <f>TYPE(DEC2HEX({1},IF(1,1)))</f>
        <v>64</v>
      </c>
      <c r="H1258" s="2" t="str">
        <f t="shared" si="39"/>
        <v/>
      </c>
      <c r="I1258" s="2">
        <f>TYPE(DEC2HEX(IF(1,1),IF(1,1)))</f>
        <v>2</v>
      </c>
      <c r="J1258" s="2" t="str">
        <f>IF(C1258=0,COUNTIFS(A:A,A1258,D:D,"a"),"")</f>
        <v/>
      </c>
      <c r="K1258" s="2" t="e">
        <f>INDEX(+DEC2HEX(K1258:L1258,#REF!),)</f>
        <v>#REF!</v>
      </c>
      <c r="L1258" s="1">
        <v>1</v>
      </c>
      <c r="M1258" s="2" t="e">
        <f>INDEX(+DEC2HEX(INDIRECT(M1258:N1258),#REF!),)</f>
        <v>#REF!</v>
      </c>
      <c r="N1258" s="1">
        <v>1</v>
      </c>
    </row>
    <row r="1259" spans="1:14" x14ac:dyDescent="0.55000000000000004">
      <c r="A1259" s="1" t="s">
        <v>2064</v>
      </c>
      <c r="B1259" s="2">
        <f>COUNTIF(A:A,A1259)-1</f>
        <v>2</v>
      </c>
      <c r="C1259" s="2">
        <f>COUNTIF(A$1:A1259,A1259)-1</f>
        <v>2</v>
      </c>
      <c r="D1259" s="2" t="str">
        <f>Argument!D1259</f>
        <v>vr</v>
      </c>
      <c r="E1259" s="2" t="str">
        <f t="shared" si="38"/>
        <v/>
      </c>
      <c r="F1259" s="2" t="str">
        <f>IF(C1259=0,ISTEXT(FORMULA.CONVERT("="&amp;A1259&amp;"("&amp;REPLACE(REPT(",#ref!",B1259),1,1,"")&amp;")()",1)),"")</f>
        <v/>
      </c>
      <c r="G1259" s="2">
        <f>TYPE(DEC2HEX(IF(1,1),{1}))</f>
        <v>64</v>
      </c>
      <c r="H1259" s="2" t="str">
        <f t="shared" si="39"/>
        <v/>
      </c>
      <c r="I1259" s="2">
        <f>TYPE(DEC2HEX(IF(1,1),IF(1,1)))</f>
        <v>2</v>
      </c>
      <c r="J1259" s="2" t="str">
        <f>IF(C1259=0,COUNTIFS(A:A,A1259,D:D,"a"),"")</f>
        <v/>
      </c>
      <c r="K1259" s="2" t="e">
        <f>INDEX(+DEC2HEX(#REF!,K1259:L1259),)</f>
        <v>#VALUE!</v>
      </c>
      <c r="L1259" s="1">
        <v>1</v>
      </c>
      <c r="M1259" s="2" t="e">
        <f>INDEX(+DEC2HEX(#REF!,INDIRECT(M1259:N1259)),)</f>
        <v>#REF!</v>
      </c>
      <c r="N1259" s="1">
        <v>1</v>
      </c>
    </row>
    <row r="1260" spans="1:14" x14ac:dyDescent="0.55000000000000004">
      <c r="A1260" s="1" t="s">
        <v>2065</v>
      </c>
      <c r="B1260" s="2">
        <f>COUNTIF(A:A,A1260)-1</f>
        <v>2</v>
      </c>
      <c r="C1260" s="2">
        <f>COUNTIF(A$1:A1260,A1260)-1</f>
        <v>0</v>
      </c>
      <c r="D1260" s="2" t="str">
        <f>Argument!D1260</f>
        <v/>
      </c>
      <c r="E1260" s="2" t="str">
        <f t="shared" si="38"/>
        <v>v</v>
      </c>
      <c r="F1260" s="2" t="b">
        <f>IF(C1260=0,ISTEXT(FORMULA.CONVERT("="&amp;A1260&amp;"("&amp;REPLACE(REPT(",#ref!",B1260),1,1,"")&amp;")()",1)),"")</f>
        <v>0</v>
      </c>
      <c r="G1260" s="2"/>
      <c r="H1260" s="2" t="str">
        <f t="shared" si="39"/>
        <v/>
      </c>
      <c r="I1260" s="2">
        <f>TYPE(DEC2OCT(IF(1,1),IF(1,1)))</f>
        <v>2</v>
      </c>
      <c r="J1260" s="2">
        <f>IF(C1260=0,COUNTIFS(A:A,A1260,D:D,"a"),"")</f>
        <v>0</v>
      </c>
      <c r="K1260" s="2"/>
      <c r="M1260" s="2"/>
    </row>
    <row r="1261" spans="1:14" x14ac:dyDescent="0.55000000000000004">
      <c r="A1261" s="1" t="s">
        <v>2065</v>
      </c>
      <c r="B1261" s="2">
        <f>COUNTIF(A:A,A1261)-1</f>
        <v>2</v>
      </c>
      <c r="C1261" s="2">
        <f>COUNTIF(A$1:A1261,A1261)-1</f>
        <v>1</v>
      </c>
      <c r="D1261" s="2" t="str">
        <f>Argument!D1261</f>
        <v>vr</v>
      </c>
      <c r="E1261" s="2" t="str">
        <f t="shared" si="38"/>
        <v/>
      </c>
      <c r="F1261" s="2" t="str">
        <f>IF(C1261=0,ISTEXT(FORMULA.CONVERT("="&amp;A1261&amp;"("&amp;REPLACE(REPT(",#ref!",B1261),1,1,"")&amp;")()",1)),"")</f>
        <v/>
      </c>
      <c r="G1261" s="2">
        <f>TYPE(DEC2OCT({1},IF(1,1)))</f>
        <v>64</v>
      </c>
      <c r="H1261" s="2" t="str">
        <f t="shared" si="39"/>
        <v/>
      </c>
      <c r="I1261" s="2">
        <f>TYPE(DEC2OCT(IF(1,1),IF(1,1)))</f>
        <v>2</v>
      </c>
      <c r="J1261" s="2" t="str">
        <f>IF(C1261=0,COUNTIFS(A:A,A1261,D:D,"a"),"")</f>
        <v/>
      </c>
      <c r="K1261" s="2" t="e">
        <f>INDEX(+DEC2OCT(K1261:L1261,#REF!),)</f>
        <v>#REF!</v>
      </c>
      <c r="L1261" s="1">
        <v>1</v>
      </c>
      <c r="M1261" s="2" t="e">
        <f>INDEX(+DEC2OCT(INDIRECT(M1261:N1261),#REF!),)</f>
        <v>#REF!</v>
      </c>
      <c r="N1261" s="1">
        <v>1</v>
      </c>
    </row>
    <row r="1262" spans="1:14" x14ac:dyDescent="0.55000000000000004">
      <c r="A1262" s="1" t="s">
        <v>2065</v>
      </c>
      <c r="B1262" s="2">
        <f>COUNTIF(A:A,A1262)-1</f>
        <v>2</v>
      </c>
      <c r="C1262" s="2">
        <f>COUNTIF(A$1:A1262,A1262)-1</f>
        <v>2</v>
      </c>
      <c r="D1262" s="2" t="str">
        <f>Argument!D1262</f>
        <v>vr</v>
      </c>
      <c r="E1262" s="2" t="str">
        <f t="shared" si="38"/>
        <v/>
      </c>
      <c r="F1262" s="2" t="str">
        <f>IF(C1262=0,ISTEXT(FORMULA.CONVERT("="&amp;A1262&amp;"("&amp;REPLACE(REPT(",#ref!",B1262),1,1,"")&amp;")()",1)),"")</f>
        <v/>
      </c>
      <c r="G1262" s="2">
        <f>TYPE(DEC2OCT(IF(1,1),{1}))</f>
        <v>64</v>
      </c>
      <c r="H1262" s="2" t="str">
        <f t="shared" si="39"/>
        <v/>
      </c>
      <c r="I1262" s="2">
        <f>TYPE(DEC2OCT(IF(1,1),IF(1,1)))</f>
        <v>2</v>
      </c>
      <c r="J1262" s="2" t="str">
        <f>IF(C1262=0,COUNTIFS(A:A,A1262,D:D,"a"),"")</f>
        <v/>
      </c>
      <c r="K1262" s="2" t="e">
        <f>INDEX(+DEC2OCT(#REF!,K1262:L1262),)</f>
        <v>#VALUE!</v>
      </c>
      <c r="L1262" s="1">
        <v>1</v>
      </c>
      <c r="M1262" s="2" t="e">
        <f>INDEX(+DEC2OCT(#REF!,INDIRECT(M1262:N1262)),)</f>
        <v>#REF!</v>
      </c>
      <c r="N1262" s="1">
        <v>1</v>
      </c>
    </row>
    <row r="1263" spans="1:14" x14ac:dyDescent="0.55000000000000004">
      <c r="A1263" s="1" t="s">
        <v>2066</v>
      </c>
      <c r="B1263" s="2">
        <f>COUNTIF(A:A,A1263)-1</f>
        <v>2</v>
      </c>
      <c r="C1263" s="2">
        <f>COUNTIF(A$1:A1263,A1263)-1</f>
        <v>0</v>
      </c>
      <c r="D1263" s="2" t="str">
        <f>Argument!D1263</f>
        <v/>
      </c>
      <c r="E1263" s="2" t="str">
        <f t="shared" si="38"/>
        <v>v</v>
      </c>
      <c r="F1263" s="2" t="b">
        <f>IF(C1263=0,ISTEXT(FORMULA.CONVERT("="&amp;A1263&amp;"("&amp;REPLACE(REPT(",#ref!",B1263),1,1,"")&amp;")()",1)),"")</f>
        <v>0</v>
      </c>
      <c r="G1263" s="2"/>
      <c r="H1263" s="2" t="str">
        <f t="shared" si="39"/>
        <v/>
      </c>
      <c r="I1263" s="2">
        <f>TYPE(OCT2BIN(IF(1,1),IF(1,1)))</f>
        <v>2</v>
      </c>
      <c r="J1263" s="2">
        <f>IF(C1263=0,COUNTIFS(A:A,A1263,D:D,"a"),"")</f>
        <v>0</v>
      </c>
      <c r="K1263" s="2"/>
      <c r="M1263" s="2"/>
    </row>
    <row r="1264" spans="1:14" x14ac:dyDescent="0.55000000000000004">
      <c r="A1264" s="1" t="s">
        <v>2066</v>
      </c>
      <c r="B1264" s="2">
        <f>COUNTIF(A:A,A1264)-1</f>
        <v>2</v>
      </c>
      <c r="C1264" s="2">
        <f>COUNTIF(A$1:A1264,A1264)-1</f>
        <v>1</v>
      </c>
      <c r="D1264" s="2" t="str">
        <f>Argument!D1264</f>
        <v>vr</v>
      </c>
      <c r="E1264" s="2" t="str">
        <f t="shared" si="38"/>
        <v/>
      </c>
      <c r="F1264" s="2" t="str">
        <f>IF(C1264=0,ISTEXT(FORMULA.CONVERT("="&amp;A1264&amp;"("&amp;REPLACE(REPT(",#ref!",B1264),1,1,"")&amp;")()",1)),"")</f>
        <v/>
      </c>
      <c r="G1264" s="2">
        <f>TYPE(OCT2BIN({1},IF(1,1)))</f>
        <v>64</v>
      </c>
      <c r="H1264" s="2" t="str">
        <f t="shared" si="39"/>
        <v/>
      </c>
      <c r="I1264" s="2">
        <f>TYPE(OCT2BIN(IF(1,1),IF(1,1)))</f>
        <v>2</v>
      </c>
      <c r="J1264" s="2" t="str">
        <f>IF(C1264=0,COUNTIFS(A:A,A1264,D:D,"a"),"")</f>
        <v/>
      </c>
      <c r="K1264" s="2" t="e">
        <f>INDEX(+OCT2BIN(K1264:L1264,#REF!),)</f>
        <v>#REF!</v>
      </c>
      <c r="L1264" s="1">
        <v>1</v>
      </c>
      <c r="M1264" s="2" t="e">
        <f>INDEX(+OCT2BIN(INDIRECT(M1264:N1264),#REF!),)</f>
        <v>#REF!</v>
      </c>
      <c r="N1264" s="1">
        <v>1</v>
      </c>
    </row>
    <row r="1265" spans="1:14" x14ac:dyDescent="0.55000000000000004">
      <c r="A1265" s="1" t="s">
        <v>2066</v>
      </c>
      <c r="B1265" s="2">
        <f>COUNTIF(A:A,A1265)-1</f>
        <v>2</v>
      </c>
      <c r="C1265" s="2">
        <f>COUNTIF(A$1:A1265,A1265)-1</f>
        <v>2</v>
      </c>
      <c r="D1265" s="2" t="str">
        <f>Argument!D1265</f>
        <v>vr</v>
      </c>
      <c r="E1265" s="2" t="str">
        <f t="shared" si="38"/>
        <v/>
      </c>
      <c r="F1265" s="2" t="str">
        <f>IF(C1265=0,ISTEXT(FORMULA.CONVERT("="&amp;A1265&amp;"("&amp;REPLACE(REPT(",#ref!",B1265),1,1,"")&amp;")()",1)),"")</f>
        <v/>
      </c>
      <c r="G1265" s="2">
        <f>TYPE(OCT2BIN(IF(1,1),{1}))</f>
        <v>64</v>
      </c>
      <c r="H1265" s="2" t="str">
        <f t="shared" si="39"/>
        <v/>
      </c>
      <c r="I1265" s="2">
        <f>TYPE(OCT2BIN(IF(1,1),IF(1,1)))</f>
        <v>2</v>
      </c>
      <c r="J1265" s="2" t="str">
        <f>IF(C1265=0,COUNTIFS(A:A,A1265,D:D,"a"),"")</f>
        <v/>
      </c>
      <c r="K1265" s="2" t="e">
        <f>INDEX(+OCT2BIN(#REF!,K1265:L1265),)</f>
        <v>#VALUE!</v>
      </c>
      <c r="L1265" s="1">
        <v>1</v>
      </c>
      <c r="M1265" s="2" t="e">
        <f>INDEX(+OCT2BIN(#REF!,INDIRECT(M1265:N1265)),)</f>
        <v>#REF!</v>
      </c>
      <c r="N1265" s="1">
        <v>1</v>
      </c>
    </row>
    <row r="1266" spans="1:14" x14ac:dyDescent="0.55000000000000004">
      <c r="A1266" s="1" t="s">
        <v>2067</v>
      </c>
      <c r="B1266" s="2">
        <f>COUNTIF(A:A,A1266)-1</f>
        <v>2</v>
      </c>
      <c r="C1266" s="2">
        <f>COUNTIF(A$1:A1266,A1266)-1</f>
        <v>0</v>
      </c>
      <c r="D1266" s="2" t="str">
        <f>Argument!D1266</f>
        <v/>
      </c>
      <c r="E1266" s="2" t="str">
        <f t="shared" si="38"/>
        <v>v</v>
      </c>
      <c r="F1266" s="2" t="b">
        <f>IF(C1266=0,ISTEXT(FORMULA.CONVERT("="&amp;A1266&amp;"("&amp;REPLACE(REPT(",#ref!",B1266),1,1,"")&amp;")()",1)),"")</f>
        <v>0</v>
      </c>
      <c r="G1266" s="2"/>
      <c r="H1266" s="2" t="str">
        <f t="shared" si="39"/>
        <v/>
      </c>
      <c r="I1266" s="2">
        <f>TYPE(OCT2HEX(IF(1,1),IF(1,1)))</f>
        <v>2</v>
      </c>
      <c r="J1266" s="2">
        <f>IF(C1266=0,COUNTIFS(A:A,A1266,D:D,"a"),"")</f>
        <v>0</v>
      </c>
      <c r="K1266" s="2"/>
      <c r="M1266" s="2"/>
    </row>
    <row r="1267" spans="1:14" x14ac:dyDescent="0.55000000000000004">
      <c r="A1267" s="1" t="s">
        <v>2067</v>
      </c>
      <c r="B1267" s="2">
        <f>COUNTIF(A:A,A1267)-1</f>
        <v>2</v>
      </c>
      <c r="C1267" s="2">
        <f>COUNTIF(A$1:A1267,A1267)-1</f>
        <v>1</v>
      </c>
      <c r="D1267" s="2" t="str">
        <f>Argument!D1267</f>
        <v>vr</v>
      </c>
      <c r="E1267" s="2" t="str">
        <f t="shared" si="38"/>
        <v/>
      </c>
      <c r="F1267" s="2" t="str">
        <f>IF(C1267=0,ISTEXT(FORMULA.CONVERT("="&amp;A1267&amp;"("&amp;REPLACE(REPT(",#ref!",B1267),1,1,"")&amp;")()",1)),"")</f>
        <v/>
      </c>
      <c r="G1267" s="2">
        <f>TYPE(OCT2HEX({1},IF(1,1)))</f>
        <v>64</v>
      </c>
      <c r="H1267" s="2" t="str">
        <f t="shared" si="39"/>
        <v/>
      </c>
      <c r="I1267" s="2">
        <f>TYPE(OCT2HEX(IF(1,1),IF(1,1)))</f>
        <v>2</v>
      </c>
      <c r="J1267" s="2" t="str">
        <f>IF(C1267=0,COUNTIFS(A:A,A1267,D:D,"a"),"")</f>
        <v/>
      </c>
      <c r="K1267" s="2" t="e">
        <f>INDEX(+OCT2HEX(K1267:L1267,#REF!),)</f>
        <v>#REF!</v>
      </c>
      <c r="L1267" s="1">
        <v>1</v>
      </c>
      <c r="M1267" s="2" t="e">
        <f>INDEX(+OCT2HEX(INDIRECT(M1267:N1267),#REF!),)</f>
        <v>#REF!</v>
      </c>
      <c r="N1267" s="1">
        <v>1</v>
      </c>
    </row>
    <row r="1268" spans="1:14" x14ac:dyDescent="0.55000000000000004">
      <c r="A1268" s="1" t="s">
        <v>2067</v>
      </c>
      <c r="B1268" s="2">
        <f>COUNTIF(A:A,A1268)-1</f>
        <v>2</v>
      </c>
      <c r="C1268" s="2">
        <f>COUNTIF(A$1:A1268,A1268)-1</f>
        <v>2</v>
      </c>
      <c r="D1268" s="2" t="str">
        <f>Argument!D1268</f>
        <v>vr</v>
      </c>
      <c r="E1268" s="2" t="str">
        <f t="shared" si="38"/>
        <v/>
      </c>
      <c r="F1268" s="2" t="str">
        <f>IF(C1268=0,ISTEXT(FORMULA.CONVERT("="&amp;A1268&amp;"("&amp;REPLACE(REPT(",#ref!",B1268),1,1,"")&amp;")()",1)),"")</f>
        <v/>
      </c>
      <c r="G1268" s="2">
        <f>TYPE(OCT2HEX(IF(1,1),{1}))</f>
        <v>64</v>
      </c>
      <c r="H1268" s="2" t="str">
        <f t="shared" si="39"/>
        <v/>
      </c>
      <c r="I1268" s="2">
        <f>TYPE(OCT2HEX(IF(1,1),IF(1,1)))</f>
        <v>2</v>
      </c>
      <c r="J1268" s="2" t="str">
        <f>IF(C1268=0,COUNTIFS(A:A,A1268,D:D,"a"),"")</f>
        <v/>
      </c>
      <c r="K1268" s="2" t="e">
        <f>INDEX(+OCT2HEX(#REF!,K1268:L1268),)</f>
        <v>#VALUE!</v>
      </c>
      <c r="L1268" s="1">
        <v>1</v>
      </c>
      <c r="M1268" s="2" t="e">
        <f>INDEX(+OCT2HEX(#REF!,INDIRECT(M1268:N1268)),)</f>
        <v>#REF!</v>
      </c>
      <c r="N1268" s="1">
        <v>1</v>
      </c>
    </row>
    <row r="1269" spans="1:14" x14ac:dyDescent="0.55000000000000004">
      <c r="A1269" s="1" t="s">
        <v>2068</v>
      </c>
      <c r="B1269" s="2">
        <f>COUNTIF(A:A,A1269)-1</f>
        <v>1</v>
      </c>
      <c r="C1269" s="2">
        <f>COUNTIF(A$1:A1269,A1269)-1</f>
        <v>0</v>
      </c>
      <c r="D1269" s="2" t="str">
        <f>Argument!D1269</f>
        <v/>
      </c>
      <c r="E1269" s="2" t="str">
        <f t="shared" si="38"/>
        <v>v</v>
      </c>
      <c r="F1269" s="2" t="b">
        <f>IF(C1269=0,ISTEXT(FORMULA.CONVERT("="&amp;A1269&amp;"("&amp;REPLACE(REPT(",#ref!",B1269),1,1,"")&amp;")()",1)),"")</f>
        <v>0</v>
      </c>
      <c r="G1269" s="2"/>
      <c r="H1269" s="2" t="str">
        <f t="shared" si="39"/>
        <v/>
      </c>
      <c r="I1269" s="2">
        <f>TYPE(OCT2DEC(IF(1,1)))</f>
        <v>1</v>
      </c>
      <c r="J1269" s="2">
        <f>IF(C1269=0,COUNTIFS(A:A,A1269,D:D,"a"),"")</f>
        <v>0</v>
      </c>
      <c r="K1269" s="2"/>
      <c r="M1269" s="2"/>
    </row>
    <row r="1270" spans="1:14" x14ac:dyDescent="0.55000000000000004">
      <c r="A1270" s="1" t="s">
        <v>2068</v>
      </c>
      <c r="B1270" s="2">
        <f>COUNTIF(A:A,A1270)-1</f>
        <v>1</v>
      </c>
      <c r="C1270" s="2">
        <f>COUNTIF(A$1:A1270,A1270)-1</f>
        <v>1</v>
      </c>
      <c r="D1270" s="2" t="str">
        <f>Argument!D1270</f>
        <v>vr</v>
      </c>
      <c r="E1270" s="2" t="str">
        <f t="shared" si="38"/>
        <v/>
      </c>
      <c r="F1270" s="2" t="str">
        <f>IF(C1270=0,ISTEXT(FORMULA.CONVERT("="&amp;A1270&amp;"("&amp;REPLACE(REPT(",#ref!",B1270),1,1,"")&amp;")()",1)),"")</f>
        <v/>
      </c>
      <c r="G1270" s="2">
        <f>TYPE(OCT2DEC({1}))</f>
        <v>64</v>
      </c>
      <c r="H1270" s="2" t="str">
        <f t="shared" si="39"/>
        <v/>
      </c>
      <c r="I1270" s="2">
        <f>TYPE(OCT2DEC(IF(1,1)))</f>
        <v>1</v>
      </c>
      <c r="J1270" s="2" t="str">
        <f>IF(C1270=0,COUNTIFS(A:A,A1270,D:D,"a"),"")</f>
        <v/>
      </c>
      <c r="K1270" s="2" t="e">
        <f>INDEX(+OCT2DEC(K1270:L1270),)</f>
        <v>#VALUE!</v>
      </c>
      <c r="L1270" s="1">
        <v>1</v>
      </c>
      <c r="M1270" s="2" t="e">
        <f>INDEX(+OCT2DEC(INDIRECT(M1270:N1270)),)</f>
        <v>#REF!</v>
      </c>
      <c r="N1270" s="1">
        <v>1</v>
      </c>
    </row>
    <row r="1271" spans="1:14" x14ac:dyDescent="0.55000000000000004">
      <c r="A1271" s="1" t="s">
        <v>2069</v>
      </c>
      <c r="B1271" s="2">
        <f>COUNTIF(A:A,A1271)-1</f>
        <v>1</v>
      </c>
      <c r="C1271" s="2">
        <f>COUNTIF(A$1:A1271,A1271)-1</f>
        <v>0</v>
      </c>
      <c r="D1271" s="2" t="str">
        <f>Argument!D1271</f>
        <v/>
      </c>
      <c r="E1271" s="2" t="str">
        <f t="shared" si="38"/>
        <v>v</v>
      </c>
      <c r="F1271" s="2" t="b">
        <f>IF(C1271=0,ISTEXT(FORMULA.CONVERT("="&amp;A1271&amp;"("&amp;REPLACE(REPT(",#ref!",B1271),1,1,"")&amp;")()",1)),"")</f>
        <v>0</v>
      </c>
      <c r="G1271" s="2"/>
      <c r="H1271" s="2" t="str">
        <f t="shared" si="39"/>
        <v/>
      </c>
      <c r="I1271" s="2">
        <f>TYPE(BIN2DEC(IF(1,1)))</f>
        <v>1</v>
      </c>
      <c r="J1271" s="2">
        <f>IF(C1271=0,COUNTIFS(A:A,A1271,D:D,"a"),"")</f>
        <v>0</v>
      </c>
      <c r="K1271" s="2"/>
      <c r="M1271" s="2"/>
    </row>
    <row r="1272" spans="1:14" x14ac:dyDescent="0.55000000000000004">
      <c r="A1272" s="1" t="s">
        <v>2069</v>
      </c>
      <c r="B1272" s="2">
        <f>COUNTIF(A:A,A1272)-1</f>
        <v>1</v>
      </c>
      <c r="C1272" s="2">
        <f>COUNTIF(A$1:A1272,A1272)-1</f>
        <v>1</v>
      </c>
      <c r="D1272" s="2" t="str">
        <f>Argument!D1272</f>
        <v>vr</v>
      </c>
      <c r="E1272" s="2" t="str">
        <f t="shared" si="38"/>
        <v/>
      </c>
      <c r="F1272" s="2" t="str">
        <f>IF(C1272=0,ISTEXT(FORMULA.CONVERT("="&amp;A1272&amp;"("&amp;REPLACE(REPT(",#ref!",B1272),1,1,"")&amp;")()",1)),"")</f>
        <v/>
      </c>
      <c r="G1272" s="2">
        <f>TYPE(BIN2DEC({1}))</f>
        <v>64</v>
      </c>
      <c r="H1272" s="2" t="str">
        <f t="shared" si="39"/>
        <v/>
      </c>
      <c r="I1272" s="2">
        <f>TYPE(BIN2DEC(IF(1,1)))</f>
        <v>1</v>
      </c>
      <c r="J1272" s="2" t="str">
        <f>IF(C1272=0,COUNTIFS(A:A,A1272,D:D,"a"),"")</f>
        <v/>
      </c>
      <c r="K1272" s="2" t="e">
        <f>INDEX(+BIN2DEC(K1272:L1272),)</f>
        <v>#VALUE!</v>
      </c>
      <c r="L1272" s="1">
        <v>1</v>
      </c>
      <c r="M1272" s="2" t="e">
        <f>INDEX(+BIN2DEC(INDIRECT(M1272:N1272)),)</f>
        <v>#REF!</v>
      </c>
      <c r="N1272" s="1">
        <v>1</v>
      </c>
    </row>
    <row r="1273" spans="1:14" x14ac:dyDescent="0.55000000000000004">
      <c r="A1273" s="1" t="s">
        <v>2070</v>
      </c>
      <c r="B1273" s="2">
        <f>COUNTIF(A:A,A1273)-1</f>
        <v>2</v>
      </c>
      <c r="C1273" s="2">
        <f>COUNTIF(A$1:A1273,A1273)-1</f>
        <v>0</v>
      </c>
      <c r="D1273" s="2" t="str">
        <f>Argument!D1273</f>
        <v/>
      </c>
      <c r="E1273" s="2" t="str">
        <f t="shared" si="38"/>
        <v>v</v>
      </c>
      <c r="F1273" s="2" t="b">
        <f>IF(C1273=0,ISTEXT(FORMULA.CONVERT("="&amp;A1273&amp;"("&amp;REPLACE(REPT(",#ref!",B1273),1,1,"")&amp;")()",1)),"")</f>
        <v>0</v>
      </c>
      <c r="G1273" s="2"/>
      <c r="H1273" s="2" t="str">
        <f t="shared" si="39"/>
        <v/>
      </c>
      <c r="I1273" s="2">
        <f>TYPE(BIN2OCT(IF(1,1),IF(1,1)))</f>
        <v>2</v>
      </c>
      <c r="J1273" s="2">
        <f>IF(C1273=0,COUNTIFS(A:A,A1273,D:D,"a"),"")</f>
        <v>0</v>
      </c>
      <c r="K1273" s="2"/>
      <c r="M1273" s="2"/>
    </row>
    <row r="1274" spans="1:14" x14ac:dyDescent="0.55000000000000004">
      <c r="A1274" s="1" t="s">
        <v>2070</v>
      </c>
      <c r="B1274" s="2">
        <f>COUNTIF(A:A,A1274)-1</f>
        <v>2</v>
      </c>
      <c r="C1274" s="2">
        <f>COUNTIF(A$1:A1274,A1274)-1</f>
        <v>1</v>
      </c>
      <c r="D1274" s="2" t="str">
        <f>Argument!D1274</f>
        <v>vr</v>
      </c>
      <c r="E1274" s="2" t="str">
        <f t="shared" si="38"/>
        <v/>
      </c>
      <c r="F1274" s="2" t="str">
        <f>IF(C1274=0,ISTEXT(FORMULA.CONVERT("="&amp;A1274&amp;"("&amp;REPLACE(REPT(",#ref!",B1274),1,1,"")&amp;")()",1)),"")</f>
        <v/>
      </c>
      <c r="G1274" s="2">
        <f>TYPE(BIN2OCT({1},IF(1,1)))</f>
        <v>64</v>
      </c>
      <c r="H1274" s="2" t="str">
        <f t="shared" si="39"/>
        <v/>
      </c>
      <c r="I1274" s="2">
        <f>TYPE(BIN2OCT(IF(1,1),IF(1,1)))</f>
        <v>2</v>
      </c>
      <c r="J1274" s="2" t="str">
        <f>IF(C1274=0,COUNTIFS(A:A,A1274,D:D,"a"),"")</f>
        <v/>
      </c>
      <c r="K1274" s="2" t="e">
        <f>INDEX(+BIN2OCT(K1274:L1274,#REF!),)</f>
        <v>#REF!</v>
      </c>
      <c r="L1274" s="1">
        <v>1</v>
      </c>
      <c r="M1274" s="2" t="e">
        <f>INDEX(+BIN2OCT(INDIRECT(M1274:N1274),#REF!),)</f>
        <v>#REF!</v>
      </c>
      <c r="N1274" s="1">
        <v>1</v>
      </c>
    </row>
    <row r="1275" spans="1:14" x14ac:dyDescent="0.55000000000000004">
      <c r="A1275" s="1" t="s">
        <v>2070</v>
      </c>
      <c r="B1275" s="2">
        <f>COUNTIF(A:A,A1275)-1</f>
        <v>2</v>
      </c>
      <c r="C1275" s="2">
        <f>COUNTIF(A$1:A1275,A1275)-1</f>
        <v>2</v>
      </c>
      <c r="D1275" s="2" t="str">
        <f>Argument!D1275</f>
        <v>vr</v>
      </c>
      <c r="E1275" s="2" t="str">
        <f t="shared" si="38"/>
        <v/>
      </c>
      <c r="F1275" s="2" t="str">
        <f>IF(C1275=0,ISTEXT(FORMULA.CONVERT("="&amp;A1275&amp;"("&amp;REPLACE(REPT(",#ref!",B1275),1,1,"")&amp;")()",1)),"")</f>
        <v/>
      </c>
      <c r="G1275" s="2">
        <f>TYPE(BIN2OCT(IF(1,1),{1}))</f>
        <v>64</v>
      </c>
      <c r="H1275" s="2" t="str">
        <f t="shared" si="39"/>
        <v/>
      </c>
      <c r="I1275" s="2">
        <f>TYPE(BIN2OCT(IF(1,1),IF(1,1)))</f>
        <v>2</v>
      </c>
      <c r="J1275" s="2" t="str">
        <f>IF(C1275=0,COUNTIFS(A:A,A1275,D:D,"a"),"")</f>
        <v/>
      </c>
      <c r="K1275" s="2" t="e">
        <f>INDEX(+BIN2OCT(#REF!,K1275:L1275),)</f>
        <v>#VALUE!</v>
      </c>
      <c r="L1275" s="1">
        <v>1</v>
      </c>
      <c r="M1275" s="2" t="e">
        <f>INDEX(+BIN2OCT(#REF!,INDIRECT(M1275:N1275)),)</f>
        <v>#REF!</v>
      </c>
      <c r="N1275" s="1">
        <v>1</v>
      </c>
    </row>
    <row r="1276" spans="1:14" x14ac:dyDescent="0.55000000000000004">
      <c r="A1276" s="1" t="s">
        <v>2071</v>
      </c>
      <c r="B1276" s="2">
        <f>COUNTIF(A:A,A1276)-1</f>
        <v>2</v>
      </c>
      <c r="C1276" s="2">
        <f>COUNTIF(A$1:A1276,A1276)-1</f>
        <v>0</v>
      </c>
      <c r="D1276" s="2" t="str">
        <f>Argument!D1276</f>
        <v/>
      </c>
      <c r="E1276" s="2" t="str">
        <f t="shared" si="38"/>
        <v>v</v>
      </c>
      <c r="F1276" s="2" t="b">
        <f>IF(C1276=0,ISTEXT(FORMULA.CONVERT("="&amp;A1276&amp;"("&amp;REPLACE(REPT(",#ref!",B1276),1,1,"")&amp;")()",1)),"")</f>
        <v>0</v>
      </c>
      <c r="G1276" s="2"/>
      <c r="H1276" s="2" t="str">
        <f t="shared" si="39"/>
        <v/>
      </c>
      <c r="I1276" s="2">
        <f>TYPE(BIN2HEX(IF(1,1),IF(1,1)))</f>
        <v>2</v>
      </c>
      <c r="J1276" s="2">
        <f>IF(C1276=0,COUNTIFS(A:A,A1276,D:D,"a"),"")</f>
        <v>0</v>
      </c>
      <c r="K1276" s="2"/>
      <c r="M1276" s="2"/>
    </row>
    <row r="1277" spans="1:14" x14ac:dyDescent="0.55000000000000004">
      <c r="A1277" s="1" t="s">
        <v>2071</v>
      </c>
      <c r="B1277" s="2">
        <f>COUNTIF(A:A,A1277)-1</f>
        <v>2</v>
      </c>
      <c r="C1277" s="2">
        <f>COUNTIF(A$1:A1277,A1277)-1</f>
        <v>1</v>
      </c>
      <c r="D1277" s="2" t="str">
        <f>Argument!D1277</f>
        <v>vr</v>
      </c>
      <c r="E1277" s="2" t="str">
        <f t="shared" si="38"/>
        <v/>
      </c>
      <c r="F1277" s="2" t="str">
        <f>IF(C1277=0,ISTEXT(FORMULA.CONVERT("="&amp;A1277&amp;"("&amp;REPLACE(REPT(",#ref!",B1277),1,1,"")&amp;")()",1)),"")</f>
        <v/>
      </c>
      <c r="G1277" s="2">
        <f>TYPE(BIN2HEX({1},IF(1,1)))</f>
        <v>64</v>
      </c>
      <c r="H1277" s="2" t="str">
        <f t="shared" si="39"/>
        <v/>
      </c>
      <c r="I1277" s="2">
        <f>TYPE(BIN2HEX(IF(1,1),IF(1,1)))</f>
        <v>2</v>
      </c>
      <c r="J1277" s="2" t="str">
        <f>IF(C1277=0,COUNTIFS(A:A,A1277,D:D,"a"),"")</f>
        <v/>
      </c>
      <c r="K1277" s="2" t="e">
        <f>INDEX(+BIN2HEX(K1277:L1277,#REF!),)</f>
        <v>#REF!</v>
      </c>
      <c r="L1277" s="1">
        <v>1</v>
      </c>
      <c r="M1277" s="2" t="e">
        <f>INDEX(+BIN2HEX(INDIRECT(M1277:N1277),#REF!),)</f>
        <v>#REF!</v>
      </c>
      <c r="N1277" s="1">
        <v>1</v>
      </c>
    </row>
    <row r="1278" spans="1:14" x14ac:dyDescent="0.55000000000000004">
      <c r="A1278" s="1" t="s">
        <v>2071</v>
      </c>
      <c r="B1278" s="2">
        <f>COUNTIF(A:A,A1278)-1</f>
        <v>2</v>
      </c>
      <c r="C1278" s="2">
        <f>COUNTIF(A$1:A1278,A1278)-1</f>
        <v>2</v>
      </c>
      <c r="D1278" s="2" t="str">
        <f>Argument!D1278</f>
        <v>vr</v>
      </c>
      <c r="E1278" s="2" t="str">
        <f t="shared" si="38"/>
        <v/>
      </c>
      <c r="F1278" s="2" t="str">
        <f>IF(C1278=0,ISTEXT(FORMULA.CONVERT("="&amp;A1278&amp;"("&amp;REPLACE(REPT(",#ref!",B1278),1,1,"")&amp;")()",1)),"")</f>
        <v/>
      </c>
      <c r="G1278" s="2">
        <f>TYPE(BIN2HEX(IF(1,1),{1}))</f>
        <v>64</v>
      </c>
      <c r="H1278" s="2" t="str">
        <f t="shared" si="39"/>
        <v/>
      </c>
      <c r="I1278" s="2">
        <f>TYPE(BIN2HEX(IF(1,1),IF(1,1)))</f>
        <v>2</v>
      </c>
      <c r="J1278" s="2" t="str">
        <f>IF(C1278=0,COUNTIFS(A:A,A1278,D:D,"a"),"")</f>
        <v/>
      </c>
      <c r="K1278" s="2" t="e">
        <f>INDEX(+BIN2HEX(#REF!,K1278:L1278),)</f>
        <v>#VALUE!</v>
      </c>
      <c r="L1278" s="1">
        <v>1</v>
      </c>
      <c r="M1278" s="2" t="e">
        <f>INDEX(+BIN2HEX(#REF!,INDIRECT(M1278:N1278)),)</f>
        <v>#REF!</v>
      </c>
      <c r="N1278" s="1">
        <v>1</v>
      </c>
    </row>
    <row r="1279" spans="1:14" x14ac:dyDescent="0.55000000000000004">
      <c r="A1279" s="1" t="s">
        <v>1826</v>
      </c>
      <c r="B1279" s="2">
        <f>COUNTIF(A:A,A1279)-1</f>
        <v>2</v>
      </c>
      <c r="C1279" s="2">
        <f>COUNTIF(A$1:A1279,A1279)-1</f>
        <v>0</v>
      </c>
      <c r="D1279" s="2" t="str">
        <f>Argument!D1279</f>
        <v/>
      </c>
      <c r="E1279" s="2" t="str">
        <f t="shared" si="38"/>
        <v>v</v>
      </c>
      <c r="F1279" s="2" t="b">
        <f>IF(C1279=0,ISTEXT(FORMULA.CONVERT("="&amp;A1279&amp;"("&amp;REPLACE(REPT(",#ref!",B1279),1,1,"")&amp;")()",1)),"")</f>
        <v>0</v>
      </c>
      <c r="G1279" s="2"/>
      <c r="H1279" s="2" t="str">
        <f t="shared" si="39"/>
        <v/>
      </c>
      <c r="I1279" s="2">
        <f>TYPE(IMSUB(IF(1,1),IF(1,1)))</f>
        <v>2</v>
      </c>
      <c r="J1279" s="2">
        <f>IF(C1279=0,COUNTIFS(A:A,A1279,D:D,"a"),"")</f>
        <v>0</v>
      </c>
      <c r="K1279" s="2"/>
      <c r="M1279" s="2"/>
    </row>
    <row r="1280" spans="1:14" x14ac:dyDescent="0.55000000000000004">
      <c r="A1280" s="1" t="s">
        <v>1826</v>
      </c>
      <c r="B1280" s="2">
        <f>COUNTIF(A:A,A1280)-1</f>
        <v>2</v>
      </c>
      <c r="C1280" s="2">
        <f>COUNTIF(A$1:A1280,A1280)-1</f>
        <v>1</v>
      </c>
      <c r="D1280" s="2" t="str">
        <f>Argument!D1280</f>
        <v>vr</v>
      </c>
      <c r="E1280" s="2" t="str">
        <f t="shared" si="38"/>
        <v/>
      </c>
      <c r="F1280" s="2" t="str">
        <f>IF(C1280=0,ISTEXT(FORMULA.CONVERT("="&amp;A1280&amp;"("&amp;REPLACE(REPT(",#ref!",B1280),1,1,"")&amp;")()",1)),"")</f>
        <v/>
      </c>
      <c r="G1280" s="2">
        <f>TYPE(IMSUB({1},IF(1,1)))</f>
        <v>64</v>
      </c>
      <c r="H1280" s="2" t="str">
        <f t="shared" si="39"/>
        <v/>
      </c>
      <c r="I1280" s="2">
        <f>TYPE(IMSUB(IF(1,1),IF(1,1)))</f>
        <v>2</v>
      </c>
      <c r="J1280" s="2" t="str">
        <f>IF(C1280=0,COUNTIFS(A:A,A1280,D:D,"a"),"")</f>
        <v/>
      </c>
      <c r="K1280" s="2" t="e">
        <f>INDEX(+IMSUB(K1280:L1280,#REF!),)</f>
        <v>#VALUE!</v>
      </c>
      <c r="L1280" s="1">
        <v>1</v>
      </c>
      <c r="M1280" s="2" t="e">
        <f>INDEX(+IMSUB(INDIRECT(M1280:N1280),#REF!),)</f>
        <v>#REF!</v>
      </c>
      <c r="N1280" s="1">
        <v>1</v>
      </c>
    </row>
    <row r="1281" spans="1:14" x14ac:dyDescent="0.55000000000000004">
      <c r="A1281" s="1" t="s">
        <v>1826</v>
      </c>
      <c r="B1281" s="2">
        <f>COUNTIF(A:A,A1281)-1</f>
        <v>2</v>
      </c>
      <c r="C1281" s="2">
        <f>COUNTIF(A$1:A1281,A1281)-1</f>
        <v>2</v>
      </c>
      <c r="D1281" s="2" t="str">
        <f>Argument!D1281</f>
        <v>vr</v>
      </c>
      <c r="E1281" s="2" t="str">
        <f t="shared" si="38"/>
        <v/>
      </c>
      <c r="F1281" s="2" t="str">
        <f>IF(C1281=0,ISTEXT(FORMULA.CONVERT("="&amp;A1281&amp;"("&amp;REPLACE(REPT(",#ref!",B1281),1,1,"")&amp;")()",1)),"")</f>
        <v/>
      </c>
      <c r="G1281" s="2">
        <f>TYPE(IMSUB(IF(1,1),{1}))</f>
        <v>64</v>
      </c>
      <c r="H1281" s="2" t="str">
        <f t="shared" si="39"/>
        <v/>
      </c>
      <c r="I1281" s="2">
        <f>TYPE(IMSUB(IF(1,1),IF(1,1)))</f>
        <v>2</v>
      </c>
      <c r="J1281" s="2" t="str">
        <f>IF(C1281=0,COUNTIFS(A:A,A1281,D:D,"a"),"")</f>
        <v/>
      </c>
      <c r="K1281" s="2" t="e">
        <f>INDEX(+IMSUB(#REF!,K1281:L1281),)</f>
        <v>#REF!</v>
      </c>
      <c r="L1281" s="1">
        <v>1</v>
      </c>
      <c r="M1281" s="2" t="e">
        <f>INDEX(+IMSUB(#REF!,INDIRECT(M1281:N1281)),)</f>
        <v>#REF!</v>
      </c>
      <c r="N1281" s="1">
        <v>1</v>
      </c>
    </row>
    <row r="1282" spans="1:14" x14ac:dyDescent="0.55000000000000004">
      <c r="A1282" s="1" t="s">
        <v>1827</v>
      </c>
      <c r="B1282" s="2">
        <f>COUNTIF(A:A,A1282)-1</f>
        <v>2</v>
      </c>
      <c r="C1282" s="2">
        <f>COUNTIF(A$1:A1282,A1282)-1</f>
        <v>0</v>
      </c>
      <c r="D1282" s="2" t="str">
        <f>Argument!D1282</f>
        <v/>
      </c>
      <c r="E1282" s="2" t="str">
        <f t="shared" ref="E1282:E1345" si="40">IF(C1282=0,IF(SUMIFS(H:H,A:A,A1282),IF(COUNTIFS(A:A,A1282,G:G,64),,"v")&amp;IF(F1282,"ar","a"),IF(F1282,"r","v")),"")</f>
        <v>v</v>
      </c>
      <c r="F1282" s="2" t="b">
        <f>IF(C1282=0,ISTEXT(FORMULA.CONVERT("="&amp;A1282&amp;"("&amp;REPLACE(REPT(",#ref!",B1282),1,1,"")&amp;")()",1)),"")</f>
        <v>0</v>
      </c>
      <c r="G1282" s="2"/>
      <c r="H1282" s="2" t="str">
        <f t="shared" ref="H1282:H1345" si="41">IF((I1282=64)*(J1282=B1282)+(1-L1282)*COUNTIF(D1282,"*v*")+(1-N1282)*COUNTIF(D1282,"*r*"),1,"")</f>
        <v/>
      </c>
      <c r="I1282" s="2">
        <f>TYPE(IMDIV(IF(1,1),IF(1,1)))</f>
        <v>2</v>
      </c>
      <c r="J1282" s="2">
        <f>IF(C1282=0,COUNTIFS(A:A,A1282,D:D,"a"),"")</f>
        <v>0</v>
      </c>
      <c r="K1282" s="2"/>
      <c r="M1282" s="2"/>
    </row>
    <row r="1283" spans="1:14" x14ac:dyDescent="0.55000000000000004">
      <c r="A1283" s="1" t="s">
        <v>1827</v>
      </c>
      <c r="B1283" s="2">
        <f>COUNTIF(A:A,A1283)-1</f>
        <v>2</v>
      </c>
      <c r="C1283" s="2">
        <f>COUNTIF(A$1:A1283,A1283)-1</f>
        <v>1</v>
      </c>
      <c r="D1283" s="2" t="str">
        <f>Argument!D1283</f>
        <v>vr</v>
      </c>
      <c r="E1283" s="2" t="str">
        <f t="shared" si="40"/>
        <v/>
      </c>
      <c r="F1283" s="2" t="str">
        <f>IF(C1283=0,ISTEXT(FORMULA.CONVERT("="&amp;A1283&amp;"("&amp;REPLACE(REPT(",#ref!",B1283),1,1,"")&amp;")()",1)),"")</f>
        <v/>
      </c>
      <c r="G1283" s="2">
        <f>TYPE(IMDIV({1},IF(1,1)))</f>
        <v>64</v>
      </c>
      <c r="H1283" s="2" t="str">
        <f t="shared" si="41"/>
        <v/>
      </c>
      <c r="I1283" s="2">
        <f>TYPE(IMDIV(IF(1,1),IF(1,1)))</f>
        <v>2</v>
      </c>
      <c r="J1283" s="2" t="str">
        <f>IF(C1283=0,COUNTIFS(A:A,A1283,D:D,"a"),"")</f>
        <v/>
      </c>
      <c r="K1283" s="2" t="e">
        <f>INDEX(+IMDIV(K1283:L1283,#REF!),)</f>
        <v>#VALUE!</v>
      </c>
      <c r="L1283" s="1">
        <v>1</v>
      </c>
      <c r="M1283" s="2" t="e">
        <f>INDEX(+IMDIV(INDIRECT(M1283:N1283),#REF!),)</f>
        <v>#REF!</v>
      </c>
      <c r="N1283" s="1">
        <v>1</v>
      </c>
    </row>
    <row r="1284" spans="1:14" x14ac:dyDescent="0.55000000000000004">
      <c r="A1284" s="1" t="s">
        <v>1827</v>
      </c>
      <c r="B1284" s="2">
        <f>COUNTIF(A:A,A1284)-1</f>
        <v>2</v>
      </c>
      <c r="C1284" s="2">
        <f>COUNTIF(A$1:A1284,A1284)-1</f>
        <v>2</v>
      </c>
      <c r="D1284" s="2" t="str">
        <f>Argument!D1284</f>
        <v>vr</v>
      </c>
      <c r="E1284" s="2" t="str">
        <f t="shared" si="40"/>
        <v/>
      </c>
      <c r="F1284" s="2" t="str">
        <f>IF(C1284=0,ISTEXT(FORMULA.CONVERT("="&amp;A1284&amp;"("&amp;REPLACE(REPT(",#ref!",B1284),1,1,"")&amp;")()",1)),"")</f>
        <v/>
      </c>
      <c r="G1284" s="2">
        <f>TYPE(IMDIV(IF(1,1),{1}))</f>
        <v>64</v>
      </c>
      <c r="H1284" s="2" t="str">
        <f t="shared" si="41"/>
        <v/>
      </c>
      <c r="I1284" s="2">
        <f>TYPE(IMDIV(IF(1,1),IF(1,1)))</f>
        <v>2</v>
      </c>
      <c r="J1284" s="2" t="str">
        <f>IF(C1284=0,COUNTIFS(A:A,A1284,D:D,"a"),"")</f>
        <v/>
      </c>
      <c r="K1284" s="2" t="e">
        <f>INDEX(+IMDIV(#REF!,K1284:L1284),)</f>
        <v>#REF!</v>
      </c>
      <c r="L1284" s="1">
        <v>1</v>
      </c>
      <c r="M1284" s="2" t="e">
        <f>INDEX(+IMDIV(#REF!,INDIRECT(M1284:N1284)),)</f>
        <v>#REF!</v>
      </c>
      <c r="N1284" s="1">
        <v>1</v>
      </c>
    </row>
    <row r="1285" spans="1:14" x14ac:dyDescent="0.55000000000000004">
      <c r="A1285" s="1" t="s">
        <v>1828</v>
      </c>
      <c r="B1285" s="2">
        <f>COUNTIF(A:A,A1285)-1</f>
        <v>2</v>
      </c>
      <c r="C1285" s="2">
        <f>COUNTIF(A$1:A1285,A1285)-1</f>
        <v>0</v>
      </c>
      <c r="D1285" s="2" t="str">
        <f>Argument!D1285</f>
        <v/>
      </c>
      <c r="E1285" s="2" t="str">
        <f t="shared" si="40"/>
        <v>v</v>
      </c>
      <c r="F1285" s="2" t="b">
        <f>IF(C1285=0,ISTEXT(FORMULA.CONVERT("="&amp;A1285&amp;"("&amp;REPLACE(REPT(",#ref!",B1285),1,1,"")&amp;")()",1)),"")</f>
        <v>0</v>
      </c>
      <c r="G1285" s="2"/>
      <c r="H1285" s="2" t="str">
        <f t="shared" si="41"/>
        <v/>
      </c>
      <c r="I1285" s="2">
        <f>TYPE(IMPOWER(IF(1,1),IF(1,1)))</f>
        <v>2</v>
      </c>
      <c r="J1285" s="2">
        <f>IF(C1285=0,COUNTIFS(A:A,A1285,D:D,"a"),"")</f>
        <v>0</v>
      </c>
      <c r="K1285" s="2"/>
      <c r="M1285" s="2"/>
    </row>
    <row r="1286" spans="1:14" x14ac:dyDescent="0.55000000000000004">
      <c r="A1286" s="1" t="s">
        <v>1828</v>
      </c>
      <c r="B1286" s="2">
        <f>COUNTIF(A:A,A1286)-1</f>
        <v>2</v>
      </c>
      <c r="C1286" s="2">
        <f>COUNTIF(A$1:A1286,A1286)-1</f>
        <v>1</v>
      </c>
      <c r="D1286" s="2" t="str">
        <f>Argument!D1286</f>
        <v>vr</v>
      </c>
      <c r="E1286" s="2" t="str">
        <f t="shared" si="40"/>
        <v/>
      </c>
      <c r="F1286" s="2" t="str">
        <f>IF(C1286=0,ISTEXT(FORMULA.CONVERT("="&amp;A1286&amp;"("&amp;REPLACE(REPT(",#ref!",B1286),1,1,"")&amp;")()",1)),"")</f>
        <v/>
      </c>
      <c r="G1286" s="2">
        <f>TYPE(IMPOWER({1},IF(1,1)))</f>
        <v>64</v>
      </c>
      <c r="H1286" s="2" t="str">
        <f t="shared" si="41"/>
        <v/>
      </c>
      <c r="I1286" s="2">
        <f>TYPE(IMPOWER(IF(1,1),IF(1,1)))</f>
        <v>2</v>
      </c>
      <c r="J1286" s="2" t="str">
        <f>IF(C1286=0,COUNTIFS(A:A,A1286,D:D,"a"),"")</f>
        <v/>
      </c>
      <c r="K1286" s="2" t="e">
        <f>INDEX(+IMPOWER(K1286:L1286,#REF!),)</f>
        <v>#VALUE!</v>
      </c>
      <c r="L1286" s="1">
        <v>1</v>
      </c>
      <c r="M1286" s="2" t="e">
        <f>INDEX(+IMPOWER(INDIRECT(M1286:N1286),#REF!),)</f>
        <v>#REF!</v>
      </c>
      <c r="N1286" s="1">
        <v>1</v>
      </c>
    </row>
    <row r="1287" spans="1:14" x14ac:dyDescent="0.55000000000000004">
      <c r="A1287" s="1" t="s">
        <v>1828</v>
      </c>
      <c r="B1287" s="2">
        <f>COUNTIF(A:A,A1287)-1</f>
        <v>2</v>
      </c>
      <c r="C1287" s="2">
        <f>COUNTIF(A$1:A1287,A1287)-1</f>
        <v>2</v>
      </c>
      <c r="D1287" s="2" t="str">
        <f>Argument!D1287</f>
        <v>vr</v>
      </c>
      <c r="E1287" s="2" t="str">
        <f t="shared" si="40"/>
        <v/>
      </c>
      <c r="F1287" s="2" t="str">
        <f>IF(C1287=0,ISTEXT(FORMULA.CONVERT("="&amp;A1287&amp;"("&amp;REPLACE(REPT(",#ref!",B1287),1,1,"")&amp;")()",1)),"")</f>
        <v/>
      </c>
      <c r="G1287" s="2">
        <f>TYPE(IMPOWER(IF(1,1),{1}))</f>
        <v>64</v>
      </c>
      <c r="H1287" s="2" t="str">
        <f t="shared" si="41"/>
        <v/>
      </c>
      <c r="I1287" s="2">
        <f>TYPE(IMPOWER(IF(1,1),IF(1,1)))</f>
        <v>2</v>
      </c>
      <c r="J1287" s="2" t="str">
        <f>IF(C1287=0,COUNTIFS(A:A,A1287,D:D,"a"),"")</f>
        <v/>
      </c>
      <c r="K1287" s="2" t="e">
        <f>INDEX(+IMPOWER(#REF!,K1287:L1287),)</f>
        <v>#REF!</v>
      </c>
      <c r="L1287" s="1">
        <v>1</v>
      </c>
      <c r="M1287" s="2" t="e">
        <f>INDEX(+IMPOWER(#REF!,INDIRECT(M1287:N1287)),)</f>
        <v>#REF!</v>
      </c>
      <c r="N1287" s="1">
        <v>1</v>
      </c>
    </row>
    <row r="1288" spans="1:14" x14ac:dyDescent="0.55000000000000004">
      <c r="A1288" s="1" t="s">
        <v>1829</v>
      </c>
      <c r="B1288" s="2">
        <f>COUNTIF(A:A,A1288)-1</f>
        <v>1</v>
      </c>
      <c r="C1288" s="2">
        <f>COUNTIF(A$1:A1288,A1288)-1</f>
        <v>0</v>
      </c>
      <c r="D1288" s="2" t="str">
        <f>Argument!D1288</f>
        <v/>
      </c>
      <c r="E1288" s="2" t="str">
        <f t="shared" si="40"/>
        <v>v</v>
      </c>
      <c r="F1288" s="2" t="b">
        <f>IF(C1288=0,ISTEXT(FORMULA.CONVERT("="&amp;A1288&amp;"("&amp;REPLACE(REPT(",#ref!",B1288),1,1,"")&amp;")()",1)),"")</f>
        <v>0</v>
      </c>
      <c r="G1288" s="2"/>
      <c r="H1288" s="2" t="str">
        <f t="shared" si="41"/>
        <v/>
      </c>
      <c r="I1288" s="2">
        <f>TYPE(IMABS(IF(1,1)))</f>
        <v>1</v>
      </c>
      <c r="J1288" s="2">
        <f>IF(C1288=0,COUNTIFS(A:A,A1288,D:D,"a"),"")</f>
        <v>0</v>
      </c>
      <c r="K1288" s="2"/>
      <c r="M1288" s="2"/>
    </row>
    <row r="1289" spans="1:14" x14ac:dyDescent="0.55000000000000004">
      <c r="A1289" s="1" t="s">
        <v>1829</v>
      </c>
      <c r="B1289" s="2">
        <f>COUNTIF(A:A,A1289)-1</f>
        <v>1</v>
      </c>
      <c r="C1289" s="2">
        <f>COUNTIF(A$1:A1289,A1289)-1</f>
        <v>1</v>
      </c>
      <c r="D1289" s="2" t="str">
        <f>Argument!D1289</f>
        <v>vr</v>
      </c>
      <c r="E1289" s="2" t="str">
        <f t="shared" si="40"/>
        <v/>
      </c>
      <c r="F1289" s="2" t="str">
        <f>IF(C1289=0,ISTEXT(FORMULA.CONVERT("="&amp;A1289&amp;"("&amp;REPLACE(REPT(",#ref!",B1289),1,1,"")&amp;")()",1)),"")</f>
        <v/>
      </c>
      <c r="G1289" s="2">
        <f>TYPE(IMABS({1}))</f>
        <v>64</v>
      </c>
      <c r="H1289" s="2" t="str">
        <f t="shared" si="41"/>
        <v/>
      </c>
      <c r="I1289" s="2">
        <f>TYPE(IMABS(IF(1,1)))</f>
        <v>1</v>
      </c>
      <c r="J1289" s="2" t="str">
        <f>IF(C1289=0,COUNTIFS(A:A,A1289,D:D,"a"),"")</f>
        <v/>
      </c>
      <c r="K1289" s="2" t="e">
        <f>INDEX(+IMABS(K1289:L1289),)</f>
        <v>#VALUE!</v>
      </c>
      <c r="L1289" s="1">
        <v>1</v>
      </c>
      <c r="M1289" s="2" t="e">
        <f>INDEX(+IMABS(INDIRECT(M1289:N1289)),)</f>
        <v>#REF!</v>
      </c>
      <c r="N1289" s="1">
        <v>1</v>
      </c>
    </row>
    <row r="1290" spans="1:14" x14ac:dyDescent="0.55000000000000004">
      <c r="A1290" s="1" t="s">
        <v>1830</v>
      </c>
      <c r="B1290" s="2">
        <f>COUNTIF(A:A,A1290)-1</f>
        <v>1</v>
      </c>
      <c r="C1290" s="2">
        <f>COUNTIF(A$1:A1290,A1290)-1</f>
        <v>0</v>
      </c>
      <c r="D1290" s="2" t="str">
        <f>Argument!D1290</f>
        <v/>
      </c>
      <c r="E1290" s="2" t="str">
        <f t="shared" si="40"/>
        <v>v</v>
      </c>
      <c r="F1290" s="2" t="b">
        <f>IF(C1290=0,ISTEXT(FORMULA.CONVERT("="&amp;A1290&amp;"("&amp;REPLACE(REPT(",#ref!",B1290),1,1,"")&amp;")()",1)),"")</f>
        <v>0</v>
      </c>
      <c r="G1290" s="2"/>
      <c r="H1290" s="2" t="str">
        <f t="shared" si="41"/>
        <v/>
      </c>
      <c r="I1290" s="2">
        <f>TYPE(IMSQRT(IF(1,1)))</f>
        <v>2</v>
      </c>
      <c r="J1290" s="2">
        <f>IF(C1290=0,COUNTIFS(A:A,A1290,D:D,"a"),"")</f>
        <v>0</v>
      </c>
      <c r="K1290" s="2"/>
      <c r="M1290" s="2"/>
    </row>
    <row r="1291" spans="1:14" x14ac:dyDescent="0.55000000000000004">
      <c r="A1291" s="1" t="s">
        <v>1830</v>
      </c>
      <c r="B1291" s="2">
        <f>COUNTIF(A:A,A1291)-1</f>
        <v>1</v>
      </c>
      <c r="C1291" s="2">
        <f>COUNTIF(A$1:A1291,A1291)-1</f>
        <v>1</v>
      </c>
      <c r="D1291" s="2" t="str">
        <f>Argument!D1291</f>
        <v>vr</v>
      </c>
      <c r="E1291" s="2" t="str">
        <f t="shared" si="40"/>
        <v/>
      </c>
      <c r="F1291" s="2" t="str">
        <f>IF(C1291=0,ISTEXT(FORMULA.CONVERT("="&amp;A1291&amp;"("&amp;REPLACE(REPT(",#ref!",B1291),1,1,"")&amp;")()",1)),"")</f>
        <v/>
      </c>
      <c r="G1291" s="2">
        <f>TYPE(IMSQRT({1}))</f>
        <v>64</v>
      </c>
      <c r="H1291" s="2" t="str">
        <f t="shared" si="41"/>
        <v/>
      </c>
      <c r="I1291" s="2">
        <f>TYPE(IMSQRT(IF(1,1)))</f>
        <v>2</v>
      </c>
      <c r="J1291" s="2" t="str">
        <f>IF(C1291=0,COUNTIFS(A:A,A1291,D:D,"a"),"")</f>
        <v/>
      </c>
      <c r="K1291" s="2" t="e">
        <f>INDEX(+IMSQRT(K1291:L1291),)</f>
        <v>#VALUE!</v>
      </c>
      <c r="L1291" s="1">
        <v>1</v>
      </c>
      <c r="M1291" s="2" t="e">
        <f>INDEX(+IMSQRT(INDIRECT(M1291:N1291)),)</f>
        <v>#REF!</v>
      </c>
      <c r="N1291" s="1">
        <v>1</v>
      </c>
    </row>
    <row r="1292" spans="1:14" x14ac:dyDescent="0.55000000000000004">
      <c r="A1292" s="1" t="s">
        <v>1831</v>
      </c>
      <c r="B1292" s="2">
        <f>COUNTIF(A:A,A1292)-1</f>
        <v>1</v>
      </c>
      <c r="C1292" s="2">
        <f>COUNTIF(A$1:A1292,A1292)-1</f>
        <v>0</v>
      </c>
      <c r="D1292" s="2" t="str">
        <f>Argument!D1292</f>
        <v/>
      </c>
      <c r="E1292" s="2" t="str">
        <f t="shared" si="40"/>
        <v>v</v>
      </c>
      <c r="F1292" s="2" t="b">
        <f>IF(C1292=0,ISTEXT(FORMULA.CONVERT("="&amp;A1292&amp;"("&amp;REPLACE(REPT(",#ref!",B1292),1,1,"")&amp;")()",1)),"")</f>
        <v>0</v>
      </c>
      <c r="G1292" s="2"/>
      <c r="H1292" s="2" t="str">
        <f t="shared" si="41"/>
        <v/>
      </c>
      <c r="I1292" s="2">
        <f>TYPE(IMLN(IF(1,1)))</f>
        <v>2</v>
      </c>
      <c r="J1292" s="2">
        <f>IF(C1292=0,COUNTIFS(A:A,A1292,D:D,"a"),"")</f>
        <v>0</v>
      </c>
      <c r="K1292" s="2"/>
      <c r="M1292" s="2"/>
    </row>
    <row r="1293" spans="1:14" x14ac:dyDescent="0.55000000000000004">
      <c r="A1293" s="1" t="s">
        <v>1831</v>
      </c>
      <c r="B1293" s="2">
        <f>COUNTIF(A:A,A1293)-1</f>
        <v>1</v>
      </c>
      <c r="C1293" s="2">
        <f>COUNTIF(A$1:A1293,A1293)-1</f>
        <v>1</v>
      </c>
      <c r="D1293" s="2" t="str">
        <f>Argument!D1293</f>
        <v>vr</v>
      </c>
      <c r="E1293" s="2" t="str">
        <f t="shared" si="40"/>
        <v/>
      </c>
      <c r="F1293" s="2" t="str">
        <f>IF(C1293=0,ISTEXT(FORMULA.CONVERT("="&amp;A1293&amp;"("&amp;REPLACE(REPT(",#ref!",B1293),1,1,"")&amp;")()",1)),"")</f>
        <v/>
      </c>
      <c r="G1293" s="2">
        <f>TYPE(IMLN({1}))</f>
        <v>64</v>
      </c>
      <c r="H1293" s="2" t="str">
        <f t="shared" si="41"/>
        <v/>
      </c>
      <c r="I1293" s="2">
        <f>TYPE(IMLN(IF(1,1)))</f>
        <v>2</v>
      </c>
      <c r="J1293" s="2" t="str">
        <f>IF(C1293=0,COUNTIFS(A:A,A1293,D:D,"a"),"")</f>
        <v/>
      </c>
      <c r="K1293" s="2" t="e">
        <f>INDEX(+IMLN(K1293:L1293),)</f>
        <v>#VALUE!</v>
      </c>
      <c r="L1293" s="1">
        <v>1</v>
      </c>
      <c r="M1293" s="2" t="e">
        <f>INDEX(+IMLN(INDIRECT(M1293:N1293)),)</f>
        <v>#REF!</v>
      </c>
      <c r="N1293" s="1">
        <v>1</v>
      </c>
    </row>
    <row r="1294" spans="1:14" x14ac:dyDescent="0.55000000000000004">
      <c r="A1294" s="1" t="s">
        <v>1832</v>
      </c>
      <c r="B1294" s="2">
        <f>COUNTIF(A:A,A1294)-1</f>
        <v>1</v>
      </c>
      <c r="C1294" s="2">
        <f>COUNTIF(A$1:A1294,A1294)-1</f>
        <v>0</v>
      </c>
      <c r="D1294" s="2" t="str">
        <f>Argument!D1294</f>
        <v/>
      </c>
      <c r="E1294" s="2" t="str">
        <f t="shared" si="40"/>
        <v>v</v>
      </c>
      <c r="F1294" s="2" t="b">
        <f>IF(C1294=0,ISTEXT(FORMULA.CONVERT("="&amp;A1294&amp;"("&amp;REPLACE(REPT(",#ref!",B1294),1,1,"")&amp;")()",1)),"")</f>
        <v>0</v>
      </c>
      <c r="G1294" s="2"/>
      <c r="H1294" s="2" t="str">
        <f t="shared" si="41"/>
        <v/>
      </c>
      <c r="I1294" s="2">
        <f>TYPE(IMLOG2(IF(1,1)))</f>
        <v>2</v>
      </c>
      <c r="J1294" s="2">
        <f>IF(C1294=0,COUNTIFS(A:A,A1294,D:D,"a"),"")</f>
        <v>0</v>
      </c>
      <c r="K1294" s="2"/>
      <c r="M1294" s="2"/>
    </row>
    <row r="1295" spans="1:14" x14ac:dyDescent="0.55000000000000004">
      <c r="A1295" s="1" t="s">
        <v>1832</v>
      </c>
      <c r="B1295" s="2">
        <f>COUNTIF(A:A,A1295)-1</f>
        <v>1</v>
      </c>
      <c r="C1295" s="2">
        <f>COUNTIF(A$1:A1295,A1295)-1</f>
        <v>1</v>
      </c>
      <c r="D1295" s="2" t="str">
        <f>Argument!D1295</f>
        <v>vr</v>
      </c>
      <c r="E1295" s="2" t="str">
        <f t="shared" si="40"/>
        <v/>
      </c>
      <c r="F1295" s="2" t="str">
        <f>IF(C1295=0,ISTEXT(FORMULA.CONVERT("="&amp;A1295&amp;"("&amp;REPLACE(REPT(",#ref!",B1295),1,1,"")&amp;")()",1)),"")</f>
        <v/>
      </c>
      <c r="G1295" s="2">
        <f>TYPE(IMLOG2({1}))</f>
        <v>64</v>
      </c>
      <c r="H1295" s="2" t="str">
        <f t="shared" si="41"/>
        <v/>
      </c>
      <c r="I1295" s="2">
        <f>TYPE(IMLOG2(IF(1,1)))</f>
        <v>2</v>
      </c>
      <c r="J1295" s="2" t="str">
        <f>IF(C1295=0,COUNTIFS(A:A,A1295,D:D,"a"),"")</f>
        <v/>
      </c>
      <c r="K1295" s="2" t="e">
        <f>INDEX(+IMLOG2(K1295:L1295),)</f>
        <v>#VALUE!</v>
      </c>
      <c r="L1295" s="1">
        <v>1</v>
      </c>
      <c r="M1295" s="2" t="e">
        <f>INDEX(+IMLOG2(INDIRECT(M1295:N1295)),)</f>
        <v>#REF!</v>
      </c>
      <c r="N1295" s="1">
        <v>1</v>
      </c>
    </row>
    <row r="1296" spans="1:14" x14ac:dyDescent="0.55000000000000004">
      <c r="A1296" s="1" t="s">
        <v>1833</v>
      </c>
      <c r="B1296" s="2">
        <f>COUNTIF(A:A,A1296)-1</f>
        <v>1</v>
      </c>
      <c r="C1296" s="2">
        <f>COUNTIF(A$1:A1296,A1296)-1</f>
        <v>0</v>
      </c>
      <c r="D1296" s="2" t="str">
        <f>Argument!D1296</f>
        <v/>
      </c>
      <c r="E1296" s="2" t="str">
        <f t="shared" si="40"/>
        <v>v</v>
      </c>
      <c r="F1296" s="2" t="b">
        <f>IF(C1296=0,ISTEXT(FORMULA.CONVERT("="&amp;A1296&amp;"("&amp;REPLACE(REPT(",#ref!",B1296),1,1,"")&amp;")()",1)),"")</f>
        <v>0</v>
      </c>
      <c r="G1296" s="2"/>
      <c r="H1296" s="2" t="str">
        <f t="shared" si="41"/>
        <v/>
      </c>
      <c r="I1296" s="2">
        <f>TYPE(IMLOG10(IF(1,1)))</f>
        <v>2</v>
      </c>
      <c r="J1296" s="2">
        <f>IF(C1296=0,COUNTIFS(A:A,A1296,D:D,"a"),"")</f>
        <v>0</v>
      </c>
      <c r="K1296" s="2"/>
      <c r="M1296" s="2"/>
    </row>
    <row r="1297" spans="1:14" x14ac:dyDescent="0.55000000000000004">
      <c r="A1297" s="1" t="s">
        <v>1833</v>
      </c>
      <c r="B1297" s="2">
        <f>COUNTIF(A:A,A1297)-1</f>
        <v>1</v>
      </c>
      <c r="C1297" s="2">
        <f>COUNTIF(A$1:A1297,A1297)-1</f>
        <v>1</v>
      </c>
      <c r="D1297" s="2" t="str">
        <f>Argument!D1297</f>
        <v>vr</v>
      </c>
      <c r="E1297" s="2" t="str">
        <f t="shared" si="40"/>
        <v/>
      </c>
      <c r="F1297" s="2" t="str">
        <f>IF(C1297=0,ISTEXT(FORMULA.CONVERT("="&amp;A1297&amp;"("&amp;REPLACE(REPT(",#ref!",B1297),1,1,"")&amp;")()",1)),"")</f>
        <v/>
      </c>
      <c r="G1297" s="2">
        <f>TYPE(IMLOG10({1}))</f>
        <v>64</v>
      </c>
      <c r="H1297" s="2" t="str">
        <f t="shared" si="41"/>
        <v/>
      </c>
      <c r="I1297" s="2">
        <f>TYPE(IMLOG10(IF(1,1)))</f>
        <v>2</v>
      </c>
      <c r="J1297" s="2" t="str">
        <f>IF(C1297=0,COUNTIFS(A:A,A1297,D:D,"a"),"")</f>
        <v/>
      </c>
      <c r="K1297" s="2" t="e">
        <f>INDEX(+IMLOG10(K1297:L1297),)</f>
        <v>#VALUE!</v>
      </c>
      <c r="L1297" s="1">
        <v>1</v>
      </c>
      <c r="M1297" s="2" t="e">
        <f>INDEX(+IMLOG10(INDIRECT(M1297:N1297)),)</f>
        <v>#REF!</v>
      </c>
      <c r="N1297" s="1">
        <v>1</v>
      </c>
    </row>
    <row r="1298" spans="1:14" x14ac:dyDescent="0.55000000000000004">
      <c r="A1298" s="1" t="s">
        <v>1834</v>
      </c>
      <c r="B1298" s="2">
        <f>COUNTIF(A:A,A1298)-1</f>
        <v>1</v>
      </c>
      <c r="C1298" s="2">
        <f>COUNTIF(A$1:A1298,A1298)-1</f>
        <v>0</v>
      </c>
      <c r="D1298" s="2" t="str">
        <f>Argument!D1298</f>
        <v/>
      </c>
      <c r="E1298" s="2" t="str">
        <f t="shared" si="40"/>
        <v>v</v>
      </c>
      <c r="F1298" s="2" t="b">
        <f>IF(C1298=0,ISTEXT(FORMULA.CONVERT("="&amp;A1298&amp;"("&amp;REPLACE(REPT(",#ref!",B1298),1,1,"")&amp;")()",1)),"")</f>
        <v>0</v>
      </c>
      <c r="G1298" s="2"/>
      <c r="H1298" s="2" t="str">
        <f t="shared" si="41"/>
        <v/>
      </c>
      <c r="I1298" s="2">
        <f>TYPE(IMSIN(IF(1,1)))</f>
        <v>2</v>
      </c>
      <c r="J1298" s="2">
        <f>IF(C1298=0,COUNTIFS(A:A,A1298,D:D,"a"),"")</f>
        <v>0</v>
      </c>
      <c r="K1298" s="2"/>
      <c r="M1298" s="2"/>
    </row>
    <row r="1299" spans="1:14" x14ac:dyDescent="0.55000000000000004">
      <c r="A1299" s="1" t="s">
        <v>1834</v>
      </c>
      <c r="B1299" s="2">
        <f>COUNTIF(A:A,A1299)-1</f>
        <v>1</v>
      </c>
      <c r="C1299" s="2">
        <f>COUNTIF(A$1:A1299,A1299)-1</f>
        <v>1</v>
      </c>
      <c r="D1299" s="2" t="str">
        <f>Argument!D1299</f>
        <v>vr</v>
      </c>
      <c r="E1299" s="2" t="str">
        <f t="shared" si="40"/>
        <v/>
      </c>
      <c r="F1299" s="2" t="str">
        <f>IF(C1299=0,ISTEXT(FORMULA.CONVERT("="&amp;A1299&amp;"("&amp;REPLACE(REPT(",#ref!",B1299),1,1,"")&amp;")()",1)),"")</f>
        <v/>
      </c>
      <c r="G1299" s="2">
        <f>TYPE(IMSIN({1}))</f>
        <v>64</v>
      </c>
      <c r="H1299" s="2" t="str">
        <f t="shared" si="41"/>
        <v/>
      </c>
      <c r="I1299" s="2">
        <f>TYPE(IMSIN(IF(1,1)))</f>
        <v>2</v>
      </c>
      <c r="J1299" s="2" t="str">
        <f>IF(C1299=0,COUNTIFS(A:A,A1299,D:D,"a"),"")</f>
        <v/>
      </c>
      <c r="K1299" s="2" t="e">
        <f>INDEX(+IMSIN(K1299:L1299),)</f>
        <v>#VALUE!</v>
      </c>
      <c r="L1299" s="1">
        <v>1</v>
      </c>
      <c r="M1299" s="2" t="e">
        <f>INDEX(+IMSIN(INDIRECT(M1299:N1299)),)</f>
        <v>#REF!</v>
      </c>
      <c r="N1299" s="1">
        <v>1</v>
      </c>
    </row>
    <row r="1300" spans="1:14" x14ac:dyDescent="0.55000000000000004">
      <c r="A1300" s="1" t="s">
        <v>1835</v>
      </c>
      <c r="B1300" s="2">
        <f>COUNTIF(A:A,A1300)-1</f>
        <v>1</v>
      </c>
      <c r="C1300" s="2">
        <f>COUNTIF(A$1:A1300,A1300)-1</f>
        <v>0</v>
      </c>
      <c r="D1300" s="2" t="str">
        <f>Argument!D1300</f>
        <v/>
      </c>
      <c r="E1300" s="2" t="str">
        <f t="shared" si="40"/>
        <v>v</v>
      </c>
      <c r="F1300" s="2" t="b">
        <f>IF(C1300=0,ISTEXT(FORMULA.CONVERT("="&amp;A1300&amp;"("&amp;REPLACE(REPT(",#ref!",B1300),1,1,"")&amp;")()",1)),"")</f>
        <v>0</v>
      </c>
      <c r="G1300" s="2"/>
      <c r="H1300" s="2" t="str">
        <f t="shared" si="41"/>
        <v/>
      </c>
      <c r="I1300" s="2">
        <f>TYPE(IMCOS(IF(1,1)))</f>
        <v>2</v>
      </c>
      <c r="J1300" s="2">
        <f>IF(C1300=0,COUNTIFS(A:A,A1300,D:D,"a"),"")</f>
        <v>0</v>
      </c>
      <c r="K1300" s="2"/>
      <c r="M1300" s="2"/>
    </row>
    <row r="1301" spans="1:14" x14ac:dyDescent="0.55000000000000004">
      <c r="A1301" s="1" t="s">
        <v>1835</v>
      </c>
      <c r="B1301" s="2">
        <f>COUNTIF(A:A,A1301)-1</f>
        <v>1</v>
      </c>
      <c r="C1301" s="2">
        <f>COUNTIF(A$1:A1301,A1301)-1</f>
        <v>1</v>
      </c>
      <c r="D1301" s="2" t="str">
        <f>Argument!D1301</f>
        <v>vr</v>
      </c>
      <c r="E1301" s="2" t="str">
        <f t="shared" si="40"/>
        <v/>
      </c>
      <c r="F1301" s="2" t="str">
        <f>IF(C1301=0,ISTEXT(FORMULA.CONVERT("="&amp;A1301&amp;"("&amp;REPLACE(REPT(",#ref!",B1301),1,1,"")&amp;")()",1)),"")</f>
        <v/>
      </c>
      <c r="G1301" s="2">
        <f>TYPE(IMCOS({1}))</f>
        <v>64</v>
      </c>
      <c r="H1301" s="2" t="str">
        <f t="shared" si="41"/>
        <v/>
      </c>
      <c r="I1301" s="2">
        <f>TYPE(IMCOS(IF(1,1)))</f>
        <v>2</v>
      </c>
      <c r="J1301" s="2" t="str">
        <f>IF(C1301=0,COUNTIFS(A:A,A1301,D:D,"a"),"")</f>
        <v/>
      </c>
      <c r="K1301" s="2" t="e">
        <f>INDEX(+IMCOS(K1301:L1301),)</f>
        <v>#VALUE!</v>
      </c>
      <c r="L1301" s="1">
        <v>1</v>
      </c>
      <c r="M1301" s="2" t="e">
        <f>INDEX(+IMCOS(INDIRECT(M1301:N1301)),)</f>
        <v>#REF!</v>
      </c>
      <c r="N1301" s="1">
        <v>1</v>
      </c>
    </row>
    <row r="1302" spans="1:14" x14ac:dyDescent="0.55000000000000004">
      <c r="A1302" s="1" t="s">
        <v>1836</v>
      </c>
      <c r="B1302" s="2">
        <f>COUNTIF(A:A,A1302)-1</f>
        <v>1</v>
      </c>
      <c r="C1302" s="2">
        <f>COUNTIF(A$1:A1302,A1302)-1</f>
        <v>0</v>
      </c>
      <c r="D1302" s="2" t="str">
        <f>Argument!D1302</f>
        <v/>
      </c>
      <c r="E1302" s="2" t="str">
        <f t="shared" si="40"/>
        <v>v</v>
      </c>
      <c r="F1302" s="2" t="b">
        <f>IF(C1302=0,ISTEXT(FORMULA.CONVERT("="&amp;A1302&amp;"("&amp;REPLACE(REPT(",#ref!",B1302),1,1,"")&amp;")()",1)),"")</f>
        <v>0</v>
      </c>
      <c r="G1302" s="2"/>
      <c r="H1302" s="2" t="str">
        <f t="shared" si="41"/>
        <v/>
      </c>
      <c r="I1302" s="2">
        <f>TYPE(IMEXP(IF(1,1)))</f>
        <v>2</v>
      </c>
      <c r="J1302" s="2">
        <f>IF(C1302=0,COUNTIFS(A:A,A1302,D:D,"a"),"")</f>
        <v>0</v>
      </c>
      <c r="K1302" s="2"/>
      <c r="M1302" s="2"/>
    </row>
    <row r="1303" spans="1:14" x14ac:dyDescent="0.55000000000000004">
      <c r="A1303" s="1" t="s">
        <v>1836</v>
      </c>
      <c r="B1303" s="2">
        <f>COUNTIF(A:A,A1303)-1</f>
        <v>1</v>
      </c>
      <c r="C1303" s="2">
        <f>COUNTIF(A$1:A1303,A1303)-1</f>
        <v>1</v>
      </c>
      <c r="D1303" s="2" t="str">
        <f>Argument!D1303</f>
        <v>vr</v>
      </c>
      <c r="E1303" s="2" t="str">
        <f t="shared" si="40"/>
        <v/>
      </c>
      <c r="F1303" s="2" t="str">
        <f>IF(C1303=0,ISTEXT(FORMULA.CONVERT("="&amp;A1303&amp;"("&amp;REPLACE(REPT(",#ref!",B1303),1,1,"")&amp;")()",1)),"")</f>
        <v/>
      </c>
      <c r="G1303" s="2">
        <f>TYPE(IMEXP({1}))</f>
        <v>64</v>
      </c>
      <c r="H1303" s="2" t="str">
        <f t="shared" si="41"/>
        <v/>
      </c>
      <c r="I1303" s="2">
        <f>TYPE(IMEXP(IF(1,1)))</f>
        <v>2</v>
      </c>
      <c r="J1303" s="2" t="str">
        <f>IF(C1303=0,COUNTIFS(A:A,A1303,D:D,"a"),"")</f>
        <v/>
      </c>
      <c r="K1303" s="2" t="e">
        <f>INDEX(+IMEXP(K1303:L1303),)</f>
        <v>#VALUE!</v>
      </c>
      <c r="L1303" s="1">
        <v>1</v>
      </c>
      <c r="M1303" s="2" t="e">
        <f>INDEX(+IMEXP(INDIRECT(M1303:N1303)),)</f>
        <v>#REF!</v>
      </c>
      <c r="N1303" s="1">
        <v>1</v>
      </c>
    </row>
    <row r="1304" spans="1:14" x14ac:dyDescent="0.55000000000000004">
      <c r="A1304" s="1" t="s">
        <v>1837</v>
      </c>
      <c r="B1304" s="2">
        <f>COUNTIF(A:A,A1304)-1</f>
        <v>1</v>
      </c>
      <c r="C1304" s="2">
        <f>COUNTIF(A$1:A1304,A1304)-1</f>
        <v>0</v>
      </c>
      <c r="D1304" s="2" t="str">
        <f>Argument!D1304</f>
        <v/>
      </c>
      <c r="E1304" s="2" t="str">
        <f t="shared" si="40"/>
        <v>v</v>
      </c>
      <c r="F1304" s="2" t="b">
        <f>IF(C1304=0,ISTEXT(FORMULA.CONVERT("="&amp;A1304&amp;"("&amp;REPLACE(REPT(",#ref!",B1304),1,1,"")&amp;")()",1)),"")</f>
        <v>0</v>
      </c>
      <c r="G1304" s="2"/>
      <c r="H1304" s="2" t="str">
        <f t="shared" si="41"/>
        <v/>
      </c>
      <c r="I1304" s="2">
        <f>TYPE(IMARGUMENT(IF(1,1)))</f>
        <v>1</v>
      </c>
      <c r="J1304" s="2">
        <f>IF(C1304=0,COUNTIFS(A:A,A1304,D:D,"a"),"")</f>
        <v>0</v>
      </c>
      <c r="K1304" s="2"/>
      <c r="M1304" s="2"/>
    </row>
    <row r="1305" spans="1:14" x14ac:dyDescent="0.55000000000000004">
      <c r="A1305" s="1" t="s">
        <v>1837</v>
      </c>
      <c r="B1305" s="2">
        <f>COUNTIF(A:A,A1305)-1</f>
        <v>1</v>
      </c>
      <c r="C1305" s="2">
        <f>COUNTIF(A$1:A1305,A1305)-1</f>
        <v>1</v>
      </c>
      <c r="D1305" s="2" t="str">
        <f>Argument!D1305</f>
        <v>vr</v>
      </c>
      <c r="E1305" s="2" t="str">
        <f t="shared" si="40"/>
        <v/>
      </c>
      <c r="F1305" s="2" t="str">
        <f>IF(C1305=0,ISTEXT(FORMULA.CONVERT("="&amp;A1305&amp;"("&amp;REPLACE(REPT(",#ref!",B1305),1,1,"")&amp;")()",1)),"")</f>
        <v/>
      </c>
      <c r="G1305" s="2">
        <f>TYPE(IMARGUMENT({1}))</f>
        <v>64</v>
      </c>
      <c r="H1305" s="2" t="str">
        <f t="shared" si="41"/>
        <v/>
      </c>
      <c r="I1305" s="2">
        <f>TYPE(IMARGUMENT(IF(1,1)))</f>
        <v>1</v>
      </c>
      <c r="J1305" s="2" t="str">
        <f>IF(C1305=0,COUNTIFS(A:A,A1305,D:D,"a"),"")</f>
        <v/>
      </c>
      <c r="K1305" s="2" t="e">
        <f>INDEX(+IMARGUMENT(K1305:L1305),)</f>
        <v>#VALUE!</v>
      </c>
      <c r="L1305" s="1">
        <v>1</v>
      </c>
      <c r="M1305" s="2" t="e">
        <f>INDEX(+IMARGUMENT(INDIRECT(M1305:N1305)),)</f>
        <v>#REF!</v>
      </c>
      <c r="N1305" s="1">
        <v>1</v>
      </c>
    </row>
    <row r="1306" spans="1:14" x14ac:dyDescent="0.55000000000000004">
      <c r="A1306" s="1" t="s">
        <v>1838</v>
      </c>
      <c r="B1306" s="2">
        <f>COUNTIF(A:A,A1306)-1</f>
        <v>1</v>
      </c>
      <c r="C1306" s="2">
        <f>COUNTIF(A$1:A1306,A1306)-1</f>
        <v>0</v>
      </c>
      <c r="D1306" s="2" t="str">
        <f>Argument!D1306</f>
        <v/>
      </c>
      <c r="E1306" s="2" t="str">
        <f t="shared" si="40"/>
        <v>v</v>
      </c>
      <c r="F1306" s="2" t="b">
        <f>IF(C1306=0,ISTEXT(FORMULA.CONVERT("="&amp;A1306&amp;"("&amp;REPLACE(REPT(",#ref!",B1306),1,1,"")&amp;")()",1)),"")</f>
        <v>0</v>
      </c>
      <c r="G1306" s="2"/>
      <c r="H1306" s="2" t="str">
        <f t="shared" si="41"/>
        <v/>
      </c>
      <c r="I1306" s="2">
        <f>TYPE(IMCONJUGATE(IF(1,1)))</f>
        <v>2</v>
      </c>
      <c r="J1306" s="2">
        <f>IF(C1306=0,COUNTIFS(A:A,A1306,D:D,"a"),"")</f>
        <v>0</v>
      </c>
      <c r="K1306" s="2"/>
      <c r="M1306" s="2"/>
    </row>
    <row r="1307" spans="1:14" x14ac:dyDescent="0.55000000000000004">
      <c r="A1307" s="1" t="s">
        <v>1838</v>
      </c>
      <c r="B1307" s="2">
        <f>COUNTIF(A:A,A1307)-1</f>
        <v>1</v>
      </c>
      <c r="C1307" s="2">
        <f>COUNTIF(A$1:A1307,A1307)-1</f>
        <v>1</v>
      </c>
      <c r="D1307" s="2" t="str">
        <f>Argument!D1307</f>
        <v>vr</v>
      </c>
      <c r="E1307" s="2" t="str">
        <f t="shared" si="40"/>
        <v/>
      </c>
      <c r="F1307" s="2" t="str">
        <f>IF(C1307=0,ISTEXT(FORMULA.CONVERT("="&amp;A1307&amp;"("&amp;REPLACE(REPT(",#ref!",B1307),1,1,"")&amp;")()",1)),"")</f>
        <v/>
      </c>
      <c r="G1307" s="2">
        <f>TYPE(IMCONJUGATE({1}))</f>
        <v>64</v>
      </c>
      <c r="H1307" s="2" t="str">
        <f t="shared" si="41"/>
        <v/>
      </c>
      <c r="I1307" s="2">
        <f>TYPE(IMCONJUGATE(IF(1,1)))</f>
        <v>2</v>
      </c>
      <c r="J1307" s="2" t="str">
        <f>IF(C1307=0,COUNTIFS(A:A,A1307,D:D,"a"),"")</f>
        <v/>
      </c>
      <c r="K1307" s="2" t="e">
        <f>INDEX(+IMCONJUGATE(K1307:L1307),)</f>
        <v>#VALUE!</v>
      </c>
      <c r="L1307" s="1">
        <v>1</v>
      </c>
      <c r="M1307" s="2" t="e">
        <f>INDEX(+IMCONJUGATE(INDIRECT(M1307:N1307)),)</f>
        <v>#REF!</v>
      </c>
      <c r="N1307" s="1">
        <v>1</v>
      </c>
    </row>
    <row r="1308" spans="1:14" x14ac:dyDescent="0.55000000000000004">
      <c r="A1308" s="1" t="s">
        <v>1839</v>
      </c>
      <c r="B1308" s="2">
        <f>COUNTIF(A:A,A1308)-1</f>
        <v>1</v>
      </c>
      <c r="C1308" s="2">
        <f>COUNTIF(A$1:A1308,A1308)-1</f>
        <v>0</v>
      </c>
      <c r="D1308" s="2" t="str">
        <f>Argument!D1308</f>
        <v/>
      </c>
      <c r="E1308" s="2" t="str">
        <f t="shared" si="40"/>
        <v>v</v>
      </c>
      <c r="F1308" s="2" t="b">
        <f>IF(C1308=0,ISTEXT(FORMULA.CONVERT("="&amp;A1308&amp;"("&amp;REPLACE(REPT(",#ref!",B1308),1,1,"")&amp;")()",1)),"")</f>
        <v>0</v>
      </c>
      <c r="G1308" s="2"/>
      <c r="H1308" s="2" t="str">
        <f t="shared" si="41"/>
        <v/>
      </c>
      <c r="I1308" s="2">
        <f>TYPE(IMAGINARY(IF(1,1)))</f>
        <v>1</v>
      </c>
      <c r="J1308" s="2">
        <f>IF(C1308=0,COUNTIFS(A:A,A1308,D:D,"a"),"")</f>
        <v>0</v>
      </c>
      <c r="K1308" s="2"/>
      <c r="M1308" s="2"/>
    </row>
    <row r="1309" spans="1:14" x14ac:dyDescent="0.55000000000000004">
      <c r="A1309" s="1" t="s">
        <v>1839</v>
      </c>
      <c r="B1309" s="2">
        <f>COUNTIF(A:A,A1309)-1</f>
        <v>1</v>
      </c>
      <c r="C1309" s="2">
        <f>COUNTIF(A$1:A1309,A1309)-1</f>
        <v>1</v>
      </c>
      <c r="D1309" s="2" t="str">
        <f>Argument!D1309</f>
        <v>vr</v>
      </c>
      <c r="E1309" s="2" t="str">
        <f t="shared" si="40"/>
        <v/>
      </c>
      <c r="F1309" s="2" t="str">
        <f>IF(C1309=0,ISTEXT(FORMULA.CONVERT("="&amp;A1309&amp;"("&amp;REPLACE(REPT(",#ref!",B1309),1,1,"")&amp;")()",1)),"")</f>
        <v/>
      </c>
      <c r="G1309" s="2">
        <f>TYPE(IMAGINARY({1}))</f>
        <v>64</v>
      </c>
      <c r="H1309" s="2" t="str">
        <f t="shared" si="41"/>
        <v/>
      </c>
      <c r="I1309" s="2">
        <f>TYPE(IMAGINARY(IF(1,1)))</f>
        <v>1</v>
      </c>
      <c r="J1309" s="2" t="str">
        <f>IF(C1309=0,COUNTIFS(A:A,A1309,D:D,"a"),"")</f>
        <v/>
      </c>
      <c r="K1309" s="2" t="e">
        <f>INDEX(+IMAGINARY(K1309:L1309),)</f>
        <v>#VALUE!</v>
      </c>
      <c r="L1309" s="1">
        <v>1</v>
      </c>
      <c r="M1309" s="2" t="e">
        <f>INDEX(+IMAGINARY(INDIRECT(M1309:N1309)),)</f>
        <v>#REF!</v>
      </c>
      <c r="N1309" s="1">
        <v>1</v>
      </c>
    </row>
    <row r="1310" spans="1:14" x14ac:dyDescent="0.55000000000000004">
      <c r="A1310" s="1" t="s">
        <v>1840</v>
      </c>
      <c r="B1310" s="2">
        <f>COUNTIF(A:A,A1310)-1</f>
        <v>1</v>
      </c>
      <c r="C1310" s="2">
        <f>COUNTIF(A$1:A1310,A1310)-1</f>
        <v>0</v>
      </c>
      <c r="D1310" s="2" t="str">
        <f>Argument!D1310</f>
        <v/>
      </c>
      <c r="E1310" s="2" t="str">
        <f t="shared" si="40"/>
        <v>v</v>
      </c>
      <c r="F1310" s="2" t="b">
        <f>IF(C1310=0,ISTEXT(FORMULA.CONVERT("="&amp;A1310&amp;"("&amp;REPLACE(REPT(",#ref!",B1310),1,1,"")&amp;")()",1)),"")</f>
        <v>0</v>
      </c>
      <c r="G1310" s="2"/>
      <c r="H1310" s="2" t="str">
        <f t="shared" si="41"/>
        <v/>
      </c>
      <c r="I1310" s="2">
        <f>TYPE(IMREAL(IF(1,1)))</f>
        <v>1</v>
      </c>
      <c r="J1310" s="2">
        <f>IF(C1310=0,COUNTIFS(A:A,A1310,D:D,"a"),"")</f>
        <v>0</v>
      </c>
      <c r="K1310" s="2"/>
      <c r="M1310" s="2"/>
    </row>
    <row r="1311" spans="1:14" x14ac:dyDescent="0.55000000000000004">
      <c r="A1311" s="1" t="s">
        <v>1840</v>
      </c>
      <c r="B1311" s="2">
        <f>COUNTIF(A:A,A1311)-1</f>
        <v>1</v>
      </c>
      <c r="C1311" s="2">
        <f>COUNTIF(A$1:A1311,A1311)-1</f>
        <v>1</v>
      </c>
      <c r="D1311" s="2" t="str">
        <f>Argument!D1311</f>
        <v>vr</v>
      </c>
      <c r="E1311" s="2" t="str">
        <f t="shared" si="40"/>
        <v/>
      </c>
      <c r="F1311" s="2" t="str">
        <f>IF(C1311=0,ISTEXT(FORMULA.CONVERT("="&amp;A1311&amp;"("&amp;REPLACE(REPT(",#ref!",B1311),1,1,"")&amp;")()",1)),"")</f>
        <v/>
      </c>
      <c r="G1311" s="2">
        <f>TYPE(IMREAL({1}))</f>
        <v>64</v>
      </c>
      <c r="H1311" s="2" t="str">
        <f t="shared" si="41"/>
        <v/>
      </c>
      <c r="I1311" s="2">
        <f>TYPE(IMREAL(IF(1,1)))</f>
        <v>1</v>
      </c>
      <c r="J1311" s="2" t="str">
        <f>IF(C1311=0,COUNTIFS(A:A,A1311,D:D,"a"),"")</f>
        <v/>
      </c>
      <c r="K1311" s="2" t="e">
        <f>INDEX(+IMREAL(K1311:L1311),)</f>
        <v>#VALUE!</v>
      </c>
      <c r="L1311" s="1">
        <v>1</v>
      </c>
      <c r="M1311" s="2" t="e">
        <f>INDEX(+IMREAL(INDIRECT(M1311:N1311)),)</f>
        <v>#REF!</v>
      </c>
      <c r="N1311" s="1">
        <v>1</v>
      </c>
    </row>
    <row r="1312" spans="1:14" x14ac:dyDescent="0.55000000000000004">
      <c r="A1312" s="1" t="s">
        <v>1841</v>
      </c>
      <c r="B1312" s="2">
        <f>COUNTIF(A:A,A1312)-1</f>
        <v>3</v>
      </c>
      <c r="C1312" s="2">
        <f>COUNTIF(A$1:A1312,A1312)-1</f>
        <v>0</v>
      </c>
      <c r="D1312" s="2" t="str">
        <f>Argument!D1312</f>
        <v/>
      </c>
      <c r="E1312" s="2" t="str">
        <f t="shared" si="40"/>
        <v>v</v>
      </c>
      <c r="F1312" s="2" t="b">
        <f>IF(C1312=0,ISTEXT(FORMULA.CONVERT("="&amp;A1312&amp;"("&amp;REPLACE(REPT(",#ref!",B1312),1,1,"")&amp;")()",1)),"")</f>
        <v>0</v>
      </c>
      <c r="G1312" s="2"/>
      <c r="H1312" s="2" t="str">
        <f t="shared" si="41"/>
        <v/>
      </c>
      <c r="I1312" s="2">
        <f>TYPE(COMPLEX(IF(1,1),IF(1,1),IF(1,1)))</f>
        <v>16</v>
      </c>
      <c r="J1312" s="2">
        <f>IF(C1312=0,COUNTIFS(A:A,A1312,D:D,"a"),"")</f>
        <v>0</v>
      </c>
      <c r="K1312" s="2"/>
      <c r="M1312" s="2"/>
    </row>
    <row r="1313" spans="1:14" x14ac:dyDescent="0.55000000000000004">
      <c r="A1313" s="1" t="s">
        <v>1841</v>
      </c>
      <c r="B1313" s="2">
        <f>COUNTIF(A:A,A1313)-1</f>
        <v>3</v>
      </c>
      <c r="C1313" s="2">
        <f>COUNTIF(A$1:A1313,A1313)-1</f>
        <v>1</v>
      </c>
      <c r="D1313" s="2" t="str">
        <f>Argument!D1313</f>
        <v>vr</v>
      </c>
      <c r="E1313" s="2" t="str">
        <f t="shared" si="40"/>
        <v/>
      </c>
      <c r="F1313" s="2" t="str">
        <f>IF(C1313=0,ISTEXT(FORMULA.CONVERT("="&amp;A1313&amp;"("&amp;REPLACE(REPT(",#ref!",B1313),1,1,"")&amp;")()",1)),"")</f>
        <v/>
      </c>
      <c r="G1313" s="2">
        <f>TYPE(COMPLEX({1},IF(1,1),IF(1,1)))</f>
        <v>64</v>
      </c>
      <c r="H1313" s="2" t="str">
        <f t="shared" si="41"/>
        <v/>
      </c>
      <c r="I1313" s="2">
        <f>TYPE(COMPLEX(IF(1,1),IF(1,1),IF(1,1)))</f>
        <v>16</v>
      </c>
      <c r="J1313" s="2" t="str">
        <f>IF(C1313=0,COUNTIFS(A:A,A1313,D:D,"a"),"")</f>
        <v/>
      </c>
      <c r="K1313" s="2" t="e">
        <f>INDEX(+COMPLEX(K1313:L1313,#REF!,#REF!),)</f>
        <v>#REF!</v>
      </c>
      <c r="L1313" s="1">
        <v>1</v>
      </c>
      <c r="M1313" s="2" t="e">
        <f>INDEX(+COMPLEX(INDIRECT(M1313:N1313),#REF!,#REF!),)</f>
        <v>#REF!</v>
      </c>
      <c r="N1313" s="1">
        <v>1</v>
      </c>
    </row>
    <row r="1314" spans="1:14" x14ac:dyDescent="0.55000000000000004">
      <c r="A1314" s="1" t="s">
        <v>1841</v>
      </c>
      <c r="B1314" s="2">
        <f>COUNTIF(A:A,A1314)-1</f>
        <v>3</v>
      </c>
      <c r="C1314" s="2">
        <f>COUNTIF(A$1:A1314,A1314)-1</f>
        <v>2</v>
      </c>
      <c r="D1314" s="2" t="str">
        <f>Argument!D1314</f>
        <v>vr</v>
      </c>
      <c r="E1314" s="2" t="str">
        <f t="shared" si="40"/>
        <v/>
      </c>
      <c r="F1314" s="2" t="str">
        <f>IF(C1314=0,ISTEXT(FORMULA.CONVERT("="&amp;A1314&amp;"("&amp;REPLACE(REPT(",#ref!",B1314),1,1,"")&amp;")()",1)),"")</f>
        <v/>
      </c>
      <c r="G1314" s="2">
        <f>TYPE(COMPLEX(IF(1,1),{1},IF(1,1)))</f>
        <v>64</v>
      </c>
      <c r="H1314" s="2" t="str">
        <f t="shared" si="41"/>
        <v/>
      </c>
      <c r="I1314" s="2">
        <f>TYPE(COMPLEX(IF(1,1),IF(1,1),IF(1,1)))</f>
        <v>16</v>
      </c>
      <c r="J1314" s="2" t="str">
        <f>IF(C1314=0,COUNTIFS(A:A,A1314,D:D,"a"),"")</f>
        <v/>
      </c>
      <c r="K1314" s="2" t="e">
        <f>INDEX(+COMPLEX(#REF!,K1314:L1314,#REF!),)</f>
        <v>#REF!</v>
      </c>
      <c r="L1314" s="1">
        <v>1</v>
      </c>
      <c r="M1314" s="2" t="e">
        <f>INDEX(+COMPLEX(#REF!,INDIRECT(M1314:N1314),#REF!),)</f>
        <v>#REF!</v>
      </c>
      <c r="N1314" s="1">
        <v>1</v>
      </c>
    </row>
    <row r="1315" spans="1:14" x14ac:dyDescent="0.55000000000000004">
      <c r="A1315" s="1" t="s">
        <v>1841</v>
      </c>
      <c r="B1315" s="2">
        <f>COUNTIF(A:A,A1315)-1</f>
        <v>3</v>
      </c>
      <c r="C1315" s="2">
        <f>COUNTIF(A$1:A1315,A1315)-1</f>
        <v>3</v>
      </c>
      <c r="D1315" s="2" t="str">
        <f>Argument!D1315</f>
        <v>vr</v>
      </c>
      <c r="E1315" s="2" t="str">
        <f t="shared" si="40"/>
        <v/>
      </c>
      <c r="F1315" s="2" t="str">
        <f>IF(C1315=0,ISTEXT(FORMULA.CONVERT("="&amp;A1315&amp;"("&amp;REPLACE(REPT(",#ref!",B1315),1,1,"")&amp;")()",1)),"")</f>
        <v/>
      </c>
      <c r="G1315" s="2">
        <f>TYPE(COMPLEX(IF(1,1),IF(1,1),{1}))</f>
        <v>64</v>
      </c>
      <c r="H1315" s="2" t="str">
        <f t="shared" si="41"/>
        <v/>
      </c>
      <c r="I1315" s="2">
        <f>TYPE(COMPLEX(IF(1,1),IF(1,1),IF(1,1)))</f>
        <v>16</v>
      </c>
      <c r="J1315" s="2" t="str">
        <f>IF(C1315=0,COUNTIFS(A:A,A1315,D:D,"a"),"")</f>
        <v/>
      </c>
      <c r="K1315" s="2" t="e">
        <f>INDEX(+COMPLEX(#REF!,#REF!,K1315:L1315),)</f>
        <v>#VALUE!</v>
      </c>
      <c r="L1315" s="1">
        <v>1</v>
      </c>
      <c r="M1315" s="2" t="e">
        <f>INDEX(+COMPLEX(#REF!,#REF!,INDIRECT(M1315:N1315)),)</f>
        <v>#REF!</v>
      </c>
      <c r="N1315" s="1">
        <v>1</v>
      </c>
    </row>
    <row r="1316" spans="1:14" x14ac:dyDescent="0.55000000000000004">
      <c r="A1316" s="1" t="s">
        <v>1842</v>
      </c>
      <c r="B1316" s="2">
        <f>COUNTIF(A:A,A1316)-1</f>
        <v>3</v>
      </c>
      <c r="C1316" s="2">
        <f>COUNTIF(A$1:A1316,A1316)-1</f>
        <v>0</v>
      </c>
      <c r="D1316" s="2" t="str">
        <f>Argument!D1316</f>
        <v/>
      </c>
      <c r="E1316" s="2" t="str">
        <f t="shared" si="40"/>
        <v>v</v>
      </c>
      <c r="F1316" s="2" t="b">
        <f>IF(C1316=0,ISTEXT(FORMULA.CONVERT("="&amp;A1316&amp;"("&amp;REPLACE(REPT(",#ref!",B1316),1,1,"")&amp;")()",1)),"")</f>
        <v>0</v>
      </c>
      <c r="G1316" s="2"/>
      <c r="H1316" s="2" t="str">
        <f t="shared" si="41"/>
        <v/>
      </c>
      <c r="I1316" s="2">
        <f>TYPE(IMSUM(IF(1,1),IF(1,1),IF(1,1)))</f>
        <v>2</v>
      </c>
      <c r="J1316" s="2">
        <f>IF(C1316=0,COUNTIFS(A:A,A1316,D:D,"a"),"")</f>
        <v>0</v>
      </c>
      <c r="K1316" s="2"/>
      <c r="M1316" s="2"/>
    </row>
    <row r="1317" spans="1:14" x14ac:dyDescent="0.55000000000000004">
      <c r="A1317" s="1" t="s">
        <v>1842</v>
      </c>
      <c r="B1317" s="2">
        <f>COUNTIF(A:A,A1317)-1</f>
        <v>3</v>
      </c>
      <c r="C1317" s="2">
        <f>COUNTIF(A$1:A1317,A1317)-1</f>
        <v>1</v>
      </c>
      <c r="D1317" s="2" t="str">
        <f>Argument!D1317</f>
        <v>var</v>
      </c>
      <c r="E1317" s="2" t="str">
        <f t="shared" si="40"/>
        <v/>
      </c>
      <c r="F1317" s="2" t="str">
        <f>IF(C1317=0,ISTEXT(FORMULA.CONVERT("="&amp;A1317&amp;"("&amp;REPLACE(REPT(",#ref!",B1317),1,1,"")&amp;")()",1)),"")</f>
        <v/>
      </c>
      <c r="G1317" s="2">
        <f>TYPE(IMSUM({1},IF(1,1),IF(1,1)))</f>
        <v>2</v>
      </c>
      <c r="H1317" s="2" t="str">
        <f t="shared" si="41"/>
        <v/>
      </c>
      <c r="I1317" s="2">
        <f>TYPE(IMSUM(IF(1,1),IF(1,1),IF(1,1)))</f>
        <v>2</v>
      </c>
      <c r="J1317" s="2" t="str">
        <f>IF(C1317=0,COUNTIFS(A:A,A1317,D:D,"a"),"")</f>
        <v/>
      </c>
      <c r="K1317" s="2" t="e">
        <f>INDEX(+IMSUM(K1317:L1317,#REF!,#REF!),)</f>
        <v>#REF!</v>
      </c>
      <c r="L1317" s="1">
        <v>1</v>
      </c>
      <c r="M1317" s="2" t="e">
        <f>INDEX(+IMSUM(INDIRECT(M1317:N1317),#REF!,#REF!),)</f>
        <v>#REF!</v>
      </c>
      <c r="N1317" s="1">
        <v>1</v>
      </c>
    </row>
    <row r="1318" spans="1:14" x14ac:dyDescent="0.55000000000000004">
      <c r="A1318" s="1" t="s">
        <v>1842</v>
      </c>
      <c r="B1318" s="2">
        <f>COUNTIF(A:A,A1318)-1</f>
        <v>3</v>
      </c>
      <c r="C1318" s="2">
        <f>COUNTIF(A$1:A1318,A1318)-1</f>
        <v>2</v>
      </c>
      <c r="D1318" s="2" t="str">
        <f>Argument!D1318</f>
        <v>var</v>
      </c>
      <c r="E1318" s="2" t="str">
        <f t="shared" si="40"/>
        <v/>
      </c>
      <c r="F1318" s="2" t="str">
        <f>IF(C1318=0,ISTEXT(FORMULA.CONVERT("="&amp;A1318&amp;"("&amp;REPLACE(REPT(",#ref!",B1318),1,1,"")&amp;")()",1)),"")</f>
        <v/>
      </c>
      <c r="G1318" s="2">
        <f>TYPE(IMSUM(IF(1,1),{1},IF(1,1)))</f>
        <v>2</v>
      </c>
      <c r="H1318" s="2" t="str">
        <f t="shared" si="41"/>
        <v/>
      </c>
      <c r="I1318" s="2">
        <f>TYPE(IMSUM(IF(1,1),IF(1,1),IF(1,1)))</f>
        <v>2</v>
      </c>
      <c r="J1318" s="2" t="str">
        <f>IF(C1318=0,COUNTIFS(A:A,A1318,D:D,"a"),"")</f>
        <v/>
      </c>
      <c r="K1318" s="2" t="e">
        <f>INDEX(+IMSUM(#REF!,K1318:L1318,#REF!),)</f>
        <v>#REF!</v>
      </c>
      <c r="L1318" s="1">
        <v>1</v>
      </c>
      <c r="M1318" s="2" t="e">
        <f>INDEX(+IMSUM(#REF!,INDIRECT(M1318:N1318),#REF!),)</f>
        <v>#REF!</v>
      </c>
      <c r="N1318" s="1">
        <v>1</v>
      </c>
    </row>
    <row r="1319" spans="1:14" x14ac:dyDescent="0.55000000000000004">
      <c r="A1319" s="1" t="s">
        <v>1842</v>
      </c>
      <c r="B1319" s="2">
        <f>COUNTIF(A:A,A1319)-1</f>
        <v>3</v>
      </c>
      <c r="C1319" s="2">
        <f>COUNTIF(A$1:A1319,A1319)-1</f>
        <v>3</v>
      </c>
      <c r="D1319" s="2" t="str">
        <f>Argument!D1319</f>
        <v>var</v>
      </c>
      <c r="E1319" s="2" t="str">
        <f t="shared" si="40"/>
        <v/>
      </c>
      <c r="F1319" s="2" t="str">
        <f>IF(C1319=0,ISTEXT(FORMULA.CONVERT("="&amp;A1319&amp;"("&amp;REPLACE(REPT(",#ref!",B1319),1,1,"")&amp;")()",1)),"")</f>
        <v/>
      </c>
      <c r="G1319" s="2">
        <f>TYPE(IMSUM(IF(1,1),IF(1,1),{1}))</f>
        <v>2</v>
      </c>
      <c r="H1319" s="2" t="str">
        <f t="shared" si="41"/>
        <v/>
      </c>
      <c r="I1319" s="2">
        <f>TYPE(IMSUM(IF(1,1),IF(1,1),IF(1,1)))</f>
        <v>2</v>
      </c>
      <c r="J1319" s="2" t="str">
        <f>IF(C1319=0,COUNTIFS(A:A,A1319,D:D,"a"),"")</f>
        <v/>
      </c>
      <c r="K1319" s="2" t="e">
        <f>INDEX(+IMSUM(#REF!,#REF!,K1319:L1319),)</f>
        <v>#REF!</v>
      </c>
      <c r="L1319" s="1">
        <v>1</v>
      </c>
      <c r="M1319" s="2" t="e">
        <f>INDEX(+IMSUM(#REF!,#REF!,INDIRECT(M1319:N1319)),)</f>
        <v>#REF!</v>
      </c>
      <c r="N1319" s="1">
        <v>1</v>
      </c>
    </row>
    <row r="1320" spans="1:14" x14ac:dyDescent="0.55000000000000004">
      <c r="A1320" s="1" t="s">
        <v>1843</v>
      </c>
      <c r="B1320" s="2">
        <f>COUNTIF(A:A,A1320)-1</f>
        <v>3</v>
      </c>
      <c r="C1320" s="2">
        <f>COUNTIF(A$1:A1320,A1320)-1</f>
        <v>0</v>
      </c>
      <c r="D1320" s="2" t="str">
        <f>Argument!D1320</f>
        <v/>
      </c>
      <c r="E1320" s="2" t="str">
        <f t="shared" si="40"/>
        <v>v</v>
      </c>
      <c r="F1320" s="2" t="b">
        <f>IF(C1320=0,ISTEXT(FORMULA.CONVERT("="&amp;A1320&amp;"("&amp;REPLACE(REPT(",#ref!",B1320),1,1,"")&amp;")()",1)),"")</f>
        <v>0</v>
      </c>
      <c r="G1320" s="2"/>
      <c r="H1320" s="2" t="str">
        <f t="shared" si="41"/>
        <v/>
      </c>
      <c r="I1320" s="2">
        <f>TYPE(IMPRODUCT(IF(1,1),IF(1,1),IF(1,1)))</f>
        <v>2</v>
      </c>
      <c r="J1320" s="2">
        <f>IF(C1320=0,COUNTIFS(A:A,A1320,D:D,"a"),"")</f>
        <v>0</v>
      </c>
      <c r="K1320" s="2"/>
      <c r="M1320" s="2"/>
    </row>
    <row r="1321" spans="1:14" x14ac:dyDescent="0.55000000000000004">
      <c r="A1321" s="1" t="s">
        <v>1843</v>
      </c>
      <c r="B1321" s="2">
        <f>COUNTIF(A:A,A1321)-1</f>
        <v>3</v>
      </c>
      <c r="C1321" s="2">
        <f>COUNTIF(A$1:A1321,A1321)-1</f>
        <v>1</v>
      </c>
      <c r="D1321" s="2" t="str">
        <f>Argument!D1321</f>
        <v>var</v>
      </c>
      <c r="E1321" s="2" t="str">
        <f t="shared" si="40"/>
        <v/>
      </c>
      <c r="F1321" s="2" t="str">
        <f>IF(C1321=0,ISTEXT(FORMULA.CONVERT("="&amp;A1321&amp;"("&amp;REPLACE(REPT(",#ref!",B1321),1,1,"")&amp;")()",1)),"")</f>
        <v/>
      </c>
      <c r="G1321" s="2">
        <f>TYPE(IMPRODUCT({1},IF(1,1),IF(1,1)))</f>
        <v>2</v>
      </c>
      <c r="H1321" s="2" t="str">
        <f t="shared" si="41"/>
        <v/>
      </c>
      <c r="I1321" s="2">
        <f>TYPE(IMPRODUCT(IF(1,1),IF(1,1),IF(1,1)))</f>
        <v>2</v>
      </c>
      <c r="J1321" s="2" t="str">
        <f>IF(C1321=0,COUNTIFS(A:A,A1321,D:D,"a"),"")</f>
        <v/>
      </c>
      <c r="K1321" s="2" t="e">
        <f>INDEX(+IMPRODUCT(K1321:L1321,#REF!,#REF!),)</f>
        <v>#REF!</v>
      </c>
      <c r="L1321" s="1">
        <v>1</v>
      </c>
      <c r="M1321" s="2" t="e">
        <f>INDEX(+IMPRODUCT(INDIRECT(M1321:N1321),#REF!,#REF!),)</f>
        <v>#REF!</v>
      </c>
      <c r="N1321" s="1">
        <v>1</v>
      </c>
    </row>
    <row r="1322" spans="1:14" x14ac:dyDescent="0.55000000000000004">
      <c r="A1322" s="1" t="s">
        <v>1843</v>
      </c>
      <c r="B1322" s="2">
        <f>COUNTIF(A:A,A1322)-1</f>
        <v>3</v>
      </c>
      <c r="C1322" s="2">
        <f>COUNTIF(A$1:A1322,A1322)-1</f>
        <v>2</v>
      </c>
      <c r="D1322" s="2" t="str">
        <f>Argument!D1322</f>
        <v>var</v>
      </c>
      <c r="E1322" s="2" t="str">
        <f t="shared" si="40"/>
        <v/>
      </c>
      <c r="F1322" s="2" t="str">
        <f>IF(C1322=0,ISTEXT(FORMULA.CONVERT("="&amp;A1322&amp;"("&amp;REPLACE(REPT(",#ref!",B1322),1,1,"")&amp;")()",1)),"")</f>
        <v/>
      </c>
      <c r="G1322" s="2">
        <f>TYPE(IMPRODUCT(IF(1,1),{1},IF(1,1)))</f>
        <v>2</v>
      </c>
      <c r="H1322" s="2" t="str">
        <f t="shared" si="41"/>
        <v/>
      </c>
      <c r="I1322" s="2">
        <f>TYPE(IMPRODUCT(IF(1,1),IF(1,1),IF(1,1)))</f>
        <v>2</v>
      </c>
      <c r="J1322" s="2" t="str">
        <f>IF(C1322=0,COUNTIFS(A:A,A1322,D:D,"a"),"")</f>
        <v/>
      </c>
      <c r="K1322" s="2" t="e">
        <f>INDEX(+IMPRODUCT(#REF!,K1322:L1322,#REF!),)</f>
        <v>#REF!</v>
      </c>
      <c r="L1322" s="1">
        <v>1</v>
      </c>
      <c r="M1322" s="2" t="e">
        <f>INDEX(+IMPRODUCT(#REF!,INDIRECT(M1322:N1322),#REF!),)</f>
        <v>#REF!</v>
      </c>
      <c r="N1322" s="1">
        <v>1</v>
      </c>
    </row>
    <row r="1323" spans="1:14" x14ac:dyDescent="0.55000000000000004">
      <c r="A1323" s="1" t="s">
        <v>1843</v>
      </c>
      <c r="B1323" s="2">
        <f>COUNTIF(A:A,A1323)-1</f>
        <v>3</v>
      </c>
      <c r="C1323" s="2">
        <f>COUNTIF(A$1:A1323,A1323)-1</f>
        <v>3</v>
      </c>
      <c r="D1323" s="2" t="str">
        <f>Argument!D1323</f>
        <v>var</v>
      </c>
      <c r="E1323" s="2" t="str">
        <f t="shared" si="40"/>
        <v/>
      </c>
      <c r="F1323" s="2" t="str">
        <f>IF(C1323=0,ISTEXT(FORMULA.CONVERT("="&amp;A1323&amp;"("&amp;REPLACE(REPT(",#ref!",B1323),1,1,"")&amp;")()",1)),"")</f>
        <v/>
      </c>
      <c r="G1323" s="2">
        <f>TYPE(IMPRODUCT(IF(1,1),IF(1,1),{1}))</f>
        <v>2</v>
      </c>
      <c r="H1323" s="2" t="str">
        <f t="shared" si="41"/>
        <v/>
      </c>
      <c r="I1323" s="2">
        <f>TYPE(IMPRODUCT(IF(1,1),IF(1,1),IF(1,1)))</f>
        <v>2</v>
      </c>
      <c r="J1323" s="2" t="str">
        <f>IF(C1323=0,COUNTIFS(A:A,A1323,D:D,"a"),"")</f>
        <v/>
      </c>
      <c r="K1323" s="2" t="e">
        <f>INDEX(+IMPRODUCT(#REF!,#REF!,K1323:L1323),)</f>
        <v>#REF!</v>
      </c>
      <c r="L1323" s="1">
        <v>1</v>
      </c>
      <c r="M1323" s="2" t="e">
        <f>INDEX(+IMPRODUCT(#REF!,#REF!,INDIRECT(M1323:N1323)),)</f>
        <v>#REF!</v>
      </c>
      <c r="N1323" s="1">
        <v>1</v>
      </c>
    </row>
    <row r="1324" spans="1:14" x14ac:dyDescent="0.55000000000000004">
      <c r="A1324" s="1" t="s">
        <v>1844</v>
      </c>
      <c r="B1324" s="2">
        <f>COUNTIF(A:A,A1324)-1</f>
        <v>4</v>
      </c>
      <c r="C1324" s="2">
        <f>COUNTIF(A$1:A1324,A1324)-1</f>
        <v>0</v>
      </c>
      <c r="D1324" s="2" t="str">
        <f>Argument!D1324</f>
        <v/>
      </c>
      <c r="E1324" s="2" t="str">
        <f t="shared" si="40"/>
        <v>v</v>
      </c>
      <c r="F1324" s="2" t="b">
        <f>IF(C1324=0,ISTEXT(FORMULA.CONVERT("="&amp;A1324&amp;"("&amp;REPLACE(REPT(",#ref!",B1324),1,1,"")&amp;")()",1)),"")</f>
        <v>0</v>
      </c>
      <c r="G1324" s="2"/>
      <c r="H1324" s="2" t="str">
        <f t="shared" si="41"/>
        <v/>
      </c>
      <c r="I1324" s="2">
        <f>TYPE(SERIESSUM(IF(1,1),IF(1,1),IF(1,1),IF(1,1)))</f>
        <v>1</v>
      </c>
      <c r="J1324" s="2">
        <f>IF(C1324=0,COUNTIFS(A:A,A1324,D:D,"a"),"")</f>
        <v>0</v>
      </c>
      <c r="K1324" s="2"/>
      <c r="M1324" s="2"/>
    </row>
    <row r="1325" spans="1:14" x14ac:dyDescent="0.55000000000000004">
      <c r="A1325" s="1" t="s">
        <v>1844</v>
      </c>
      <c r="B1325" s="2">
        <f>COUNTIF(A:A,A1325)-1</f>
        <v>4</v>
      </c>
      <c r="C1325" s="2">
        <f>COUNTIF(A$1:A1325,A1325)-1</f>
        <v>1</v>
      </c>
      <c r="D1325" s="2" t="str">
        <f>Argument!D1325</f>
        <v>vr</v>
      </c>
      <c r="E1325" s="2" t="str">
        <f t="shared" si="40"/>
        <v/>
      </c>
      <c r="F1325" s="2" t="str">
        <f>IF(C1325=0,ISTEXT(FORMULA.CONVERT("="&amp;A1325&amp;"("&amp;REPLACE(REPT(",#ref!",B1325),1,1,"")&amp;")()",1)),"")</f>
        <v/>
      </c>
      <c r="G1325" s="2">
        <f>TYPE(SERIESSUM({1},IF(1,1),IF(1,1),IF(1,1)))</f>
        <v>64</v>
      </c>
      <c r="H1325" s="2" t="str">
        <f t="shared" si="41"/>
        <v/>
      </c>
      <c r="I1325" s="2">
        <f>TYPE(SERIESSUM(IF(1,1),IF(1,1),IF(1,1),IF(1,1)))</f>
        <v>1</v>
      </c>
      <c r="J1325" s="2" t="str">
        <f>IF(C1325=0,COUNTIFS(A:A,A1325,D:D,"a"),"")</f>
        <v/>
      </c>
      <c r="K1325" s="2" t="e">
        <f>INDEX(+SERIESSUM(K1325:L1325,#REF!,#REF!,#REF!),)</f>
        <v>#VALUE!</v>
      </c>
      <c r="L1325" s="1">
        <v>1</v>
      </c>
      <c r="M1325" s="2" t="e">
        <f>INDEX(+SERIESSUM(INDIRECT(M1325:N1325),#REF!,#REF!,#REF!),)</f>
        <v>#REF!</v>
      </c>
      <c r="N1325" s="1">
        <v>1</v>
      </c>
    </row>
    <row r="1326" spans="1:14" x14ac:dyDescent="0.55000000000000004">
      <c r="A1326" s="1" t="s">
        <v>1844</v>
      </c>
      <c r="B1326" s="2">
        <f>COUNTIF(A:A,A1326)-1</f>
        <v>4</v>
      </c>
      <c r="C1326" s="2">
        <f>COUNTIF(A$1:A1326,A1326)-1</f>
        <v>2</v>
      </c>
      <c r="D1326" s="2" t="str">
        <f>Argument!D1326</f>
        <v>vr</v>
      </c>
      <c r="E1326" s="2" t="str">
        <f t="shared" si="40"/>
        <v/>
      </c>
      <c r="F1326" s="2" t="str">
        <f>IF(C1326=0,ISTEXT(FORMULA.CONVERT("="&amp;A1326&amp;"("&amp;REPLACE(REPT(",#ref!",B1326),1,1,"")&amp;")()",1)),"")</f>
        <v/>
      </c>
      <c r="G1326" s="2">
        <f>TYPE(SERIESSUM(IF(1,1),{1},IF(1,1),IF(1,1)))</f>
        <v>64</v>
      </c>
      <c r="H1326" s="2" t="str">
        <f t="shared" si="41"/>
        <v/>
      </c>
      <c r="I1326" s="2">
        <f>TYPE(SERIESSUM(IF(1,1),IF(1,1),IF(1,1),IF(1,1)))</f>
        <v>1</v>
      </c>
      <c r="J1326" s="2" t="str">
        <f>IF(C1326=0,COUNTIFS(A:A,A1326,D:D,"a"),"")</f>
        <v/>
      </c>
      <c r="K1326" s="2" t="e">
        <f>INDEX(+SERIESSUM(#REF!,K1326:L1326,#REF!,#REF!),)</f>
        <v>#REF!</v>
      </c>
      <c r="L1326" s="1">
        <v>1</v>
      </c>
      <c r="M1326" s="2" t="e">
        <f>INDEX(+SERIESSUM(#REF!,INDIRECT(M1326:N1326),#REF!,#REF!),)</f>
        <v>#REF!</v>
      </c>
      <c r="N1326" s="1">
        <v>1</v>
      </c>
    </row>
    <row r="1327" spans="1:14" x14ac:dyDescent="0.55000000000000004">
      <c r="A1327" s="1" t="s">
        <v>1844</v>
      </c>
      <c r="B1327" s="2">
        <f>COUNTIF(A:A,A1327)-1</f>
        <v>4</v>
      </c>
      <c r="C1327" s="2">
        <f>COUNTIF(A$1:A1327,A1327)-1</f>
        <v>3</v>
      </c>
      <c r="D1327" s="2" t="str">
        <f>Argument!D1327</f>
        <v>vr</v>
      </c>
      <c r="E1327" s="2" t="str">
        <f t="shared" si="40"/>
        <v/>
      </c>
      <c r="F1327" s="2" t="str">
        <f>IF(C1327=0,ISTEXT(FORMULA.CONVERT("="&amp;A1327&amp;"("&amp;REPLACE(REPT(",#ref!",B1327),1,1,"")&amp;")()",1)),"")</f>
        <v/>
      </c>
      <c r="G1327" s="2">
        <f>TYPE(SERIESSUM(IF(1,1),IF(1,1),{1},IF(1,1)))</f>
        <v>64</v>
      </c>
      <c r="H1327" s="2" t="str">
        <f t="shared" si="41"/>
        <v/>
      </c>
      <c r="I1327" s="2">
        <f>TYPE(SERIESSUM(IF(1,1),IF(1,1),IF(1,1),IF(1,1)))</f>
        <v>1</v>
      </c>
      <c r="J1327" s="2" t="str">
        <f>IF(C1327=0,COUNTIFS(A:A,A1327,D:D,"a"),"")</f>
        <v/>
      </c>
      <c r="K1327" s="2" t="e">
        <f>INDEX(+SERIESSUM(#REF!,#REF!,K1327:L1327,#REF!),)</f>
        <v>#REF!</v>
      </c>
      <c r="L1327" s="1">
        <v>1</v>
      </c>
      <c r="M1327" s="2" t="e">
        <f>INDEX(+SERIESSUM(#REF!,#REF!,INDIRECT(M1327:N1327),#REF!),)</f>
        <v>#REF!</v>
      </c>
      <c r="N1327" s="1">
        <v>1</v>
      </c>
    </row>
    <row r="1328" spans="1:14" x14ac:dyDescent="0.55000000000000004">
      <c r="A1328" s="1" t="s">
        <v>1844</v>
      </c>
      <c r="B1328" s="2">
        <f>COUNTIF(A:A,A1328)-1</f>
        <v>4</v>
      </c>
      <c r="C1328" s="2">
        <f>COUNTIF(A$1:A1328,A1328)-1</f>
        <v>4</v>
      </c>
      <c r="D1328" s="2" t="str">
        <f>Argument!D1328</f>
        <v>var</v>
      </c>
      <c r="E1328" s="2" t="str">
        <f t="shared" si="40"/>
        <v/>
      </c>
      <c r="F1328" s="2" t="str">
        <f>IF(C1328=0,ISTEXT(FORMULA.CONVERT("="&amp;A1328&amp;"("&amp;REPLACE(REPT(",#ref!",B1328),1,1,"")&amp;")()",1)),"")</f>
        <v/>
      </c>
      <c r="G1328" s="2">
        <f>TYPE(SERIESSUM(IF(1,1),IF(1,1),IF(1,1),{1}))</f>
        <v>1</v>
      </c>
      <c r="H1328" s="2" t="str">
        <f t="shared" si="41"/>
        <v/>
      </c>
      <c r="I1328" s="2">
        <f>TYPE(SERIESSUM(IF(1,1),IF(1,1),IF(1,1),IF(1,1)))</f>
        <v>1</v>
      </c>
      <c r="J1328" s="2" t="str">
        <f>IF(C1328=0,COUNTIFS(A:A,A1328,D:D,"a"),"")</f>
        <v/>
      </c>
      <c r="K1328" s="2" t="e">
        <f>INDEX(+SERIESSUM(#REF!,#REF!,#REF!,K1328:L1328),)</f>
        <v>#REF!</v>
      </c>
      <c r="L1328" s="1">
        <v>1</v>
      </c>
      <c r="M1328" s="2" t="e">
        <f>INDEX(+SERIESSUM(#REF!,#REF!,#REF!,INDIRECT(M1328:N1328)),)</f>
        <v>#REF!</v>
      </c>
      <c r="N1328" s="1">
        <v>1</v>
      </c>
    </row>
    <row r="1329" spans="1:14" x14ac:dyDescent="0.55000000000000004">
      <c r="A1329" s="1" t="s">
        <v>1845</v>
      </c>
      <c r="B1329" s="2">
        <f>COUNTIF(A:A,A1329)-1</f>
        <v>1</v>
      </c>
      <c r="C1329" s="2">
        <f>COUNTIF(A$1:A1329,A1329)-1</f>
        <v>0</v>
      </c>
      <c r="D1329" s="2" t="str">
        <f>Argument!D1329</f>
        <v/>
      </c>
      <c r="E1329" s="2" t="str">
        <f t="shared" si="40"/>
        <v>v</v>
      </c>
      <c r="F1329" s="2" t="b">
        <f>IF(C1329=0,ISTEXT(FORMULA.CONVERT("="&amp;A1329&amp;"("&amp;REPLACE(REPT(",#ref!",B1329),1,1,"")&amp;")()",1)),"")</f>
        <v>0</v>
      </c>
      <c r="G1329" s="2"/>
      <c r="H1329" s="2" t="str">
        <f t="shared" si="41"/>
        <v/>
      </c>
      <c r="I1329" s="2">
        <f>TYPE(FACTDOUBLE(IF(1,1)))</f>
        <v>1</v>
      </c>
      <c r="J1329" s="2">
        <f>IF(C1329=0,COUNTIFS(A:A,A1329,D:D,"a"),"")</f>
        <v>0</v>
      </c>
      <c r="K1329" s="2"/>
      <c r="M1329" s="2"/>
    </row>
    <row r="1330" spans="1:14" x14ac:dyDescent="0.55000000000000004">
      <c r="A1330" s="1" t="s">
        <v>1845</v>
      </c>
      <c r="B1330" s="2">
        <f>COUNTIF(A:A,A1330)-1</f>
        <v>1</v>
      </c>
      <c r="C1330" s="2">
        <f>COUNTIF(A$1:A1330,A1330)-1</f>
        <v>1</v>
      </c>
      <c r="D1330" s="2" t="str">
        <f>Argument!D1330</f>
        <v>vr</v>
      </c>
      <c r="E1330" s="2" t="str">
        <f t="shared" si="40"/>
        <v/>
      </c>
      <c r="F1330" s="2" t="str">
        <f>IF(C1330=0,ISTEXT(FORMULA.CONVERT("="&amp;A1330&amp;"("&amp;REPLACE(REPT(",#ref!",B1330),1,1,"")&amp;")()",1)),"")</f>
        <v/>
      </c>
      <c r="G1330" s="2">
        <f>TYPE(FACTDOUBLE({1}))</f>
        <v>64</v>
      </c>
      <c r="H1330" s="2" t="str">
        <f t="shared" si="41"/>
        <v/>
      </c>
      <c r="I1330" s="2">
        <f>TYPE(FACTDOUBLE(IF(1,1)))</f>
        <v>1</v>
      </c>
      <c r="J1330" s="2" t="str">
        <f>IF(C1330=0,COUNTIFS(A:A,A1330,D:D,"a"),"")</f>
        <v/>
      </c>
      <c r="K1330" s="2" t="e">
        <f>INDEX(+FACTDOUBLE(K1330:L1330),)</f>
        <v>#VALUE!</v>
      </c>
      <c r="L1330" s="1">
        <v>1</v>
      </c>
      <c r="M1330" s="2" t="e">
        <f>INDEX(+FACTDOUBLE(INDIRECT(M1330:N1330)),)</f>
        <v>#REF!</v>
      </c>
      <c r="N1330" s="1">
        <v>1</v>
      </c>
    </row>
    <row r="1331" spans="1:14" x14ac:dyDescent="0.55000000000000004">
      <c r="A1331" s="1" t="s">
        <v>1846</v>
      </c>
      <c r="B1331" s="2">
        <f>COUNTIF(A:A,A1331)-1</f>
        <v>1</v>
      </c>
      <c r="C1331" s="2">
        <f>COUNTIF(A$1:A1331,A1331)-1</f>
        <v>0</v>
      </c>
      <c r="D1331" s="2" t="str">
        <f>Argument!D1331</f>
        <v/>
      </c>
      <c r="E1331" s="2" t="str">
        <f t="shared" si="40"/>
        <v>v</v>
      </c>
      <c r="F1331" s="2" t="b">
        <f>IF(C1331=0,ISTEXT(FORMULA.CONVERT("="&amp;A1331&amp;"("&amp;REPLACE(REPT(",#ref!",B1331),1,1,"")&amp;")()",1)),"")</f>
        <v>0</v>
      </c>
      <c r="G1331" s="2"/>
      <c r="H1331" s="2" t="str">
        <f t="shared" si="41"/>
        <v/>
      </c>
      <c r="I1331" s="2">
        <f>TYPE(SQRTPI(IF(1,1)))</f>
        <v>1</v>
      </c>
      <c r="J1331" s="2">
        <f>IF(C1331=0,COUNTIFS(A:A,A1331,D:D,"a"),"")</f>
        <v>0</v>
      </c>
      <c r="K1331" s="2"/>
      <c r="M1331" s="2"/>
    </row>
    <row r="1332" spans="1:14" x14ac:dyDescent="0.55000000000000004">
      <c r="A1332" s="1" t="s">
        <v>1846</v>
      </c>
      <c r="B1332" s="2">
        <f>COUNTIF(A:A,A1332)-1</f>
        <v>1</v>
      </c>
      <c r="C1332" s="2">
        <f>COUNTIF(A$1:A1332,A1332)-1</f>
        <v>1</v>
      </c>
      <c r="D1332" s="2" t="str">
        <f>Argument!D1332</f>
        <v>vr</v>
      </c>
      <c r="E1332" s="2" t="str">
        <f t="shared" si="40"/>
        <v/>
      </c>
      <c r="F1332" s="2" t="str">
        <f>IF(C1332=0,ISTEXT(FORMULA.CONVERT("="&amp;A1332&amp;"("&amp;REPLACE(REPT(",#ref!",B1332),1,1,"")&amp;")()",1)),"")</f>
        <v/>
      </c>
      <c r="G1332" s="2">
        <f>TYPE(SQRTPI({1}))</f>
        <v>64</v>
      </c>
      <c r="H1332" s="2" t="str">
        <f t="shared" si="41"/>
        <v/>
      </c>
      <c r="I1332" s="2">
        <f>TYPE(SQRTPI(IF(1,1)))</f>
        <v>1</v>
      </c>
      <c r="J1332" s="2" t="str">
        <f>IF(C1332=0,COUNTIFS(A:A,A1332,D:D,"a"),"")</f>
        <v/>
      </c>
      <c r="K1332" s="2" t="e">
        <f>INDEX(+SQRTPI(K1332:L1332),)</f>
        <v>#VALUE!</v>
      </c>
      <c r="L1332" s="1">
        <v>1</v>
      </c>
      <c r="M1332" s="2" t="e">
        <f>INDEX(+SQRTPI(INDIRECT(M1332:N1332)),)</f>
        <v>#REF!</v>
      </c>
      <c r="N1332" s="1">
        <v>1</v>
      </c>
    </row>
    <row r="1333" spans="1:14" x14ac:dyDescent="0.55000000000000004">
      <c r="A1333" s="1" t="s">
        <v>1847</v>
      </c>
      <c r="B1333" s="2">
        <f>COUNTIF(A:A,A1333)-1</f>
        <v>2</v>
      </c>
      <c r="C1333" s="2">
        <f>COUNTIF(A$1:A1333,A1333)-1</f>
        <v>0</v>
      </c>
      <c r="D1333" s="2" t="str">
        <f>Argument!D1333</f>
        <v/>
      </c>
      <c r="E1333" s="2" t="str">
        <f t="shared" si="40"/>
        <v>v</v>
      </c>
      <c r="F1333" s="2" t="b">
        <f>IF(C1333=0,ISTEXT(FORMULA.CONVERT("="&amp;A1333&amp;"("&amp;REPLACE(REPT(",#ref!",B1333),1,1,"")&amp;")()",1)),"")</f>
        <v>0</v>
      </c>
      <c r="G1333" s="2"/>
      <c r="H1333" s="2" t="str">
        <f t="shared" si="41"/>
        <v/>
      </c>
      <c r="I1333" s="2">
        <f>TYPE(QUOTIENT(IF(1,1),IF(1,1)))</f>
        <v>1</v>
      </c>
      <c r="J1333" s="2">
        <f>IF(C1333=0,COUNTIFS(A:A,A1333,D:D,"a"),"")</f>
        <v>0</v>
      </c>
      <c r="K1333" s="2"/>
      <c r="M1333" s="2"/>
    </row>
    <row r="1334" spans="1:14" x14ac:dyDescent="0.55000000000000004">
      <c r="A1334" s="1" t="s">
        <v>1847</v>
      </c>
      <c r="B1334" s="2">
        <f>COUNTIF(A:A,A1334)-1</f>
        <v>2</v>
      </c>
      <c r="C1334" s="2">
        <f>COUNTIF(A$1:A1334,A1334)-1</f>
        <v>1</v>
      </c>
      <c r="D1334" s="2" t="str">
        <f>Argument!D1334</f>
        <v>vr</v>
      </c>
      <c r="E1334" s="2" t="str">
        <f t="shared" si="40"/>
        <v/>
      </c>
      <c r="F1334" s="2" t="str">
        <f>IF(C1334=0,ISTEXT(FORMULA.CONVERT("="&amp;A1334&amp;"("&amp;REPLACE(REPT(",#ref!",B1334),1,1,"")&amp;")()",1)),"")</f>
        <v/>
      </c>
      <c r="G1334" s="2">
        <f>TYPE(QUOTIENT({1},IF(1,1)))</f>
        <v>64</v>
      </c>
      <c r="H1334" s="2" t="str">
        <f t="shared" si="41"/>
        <v/>
      </c>
      <c r="I1334" s="2">
        <f>TYPE(QUOTIENT(IF(1,1),IF(1,1)))</f>
        <v>1</v>
      </c>
      <c r="J1334" s="2" t="str">
        <f>IF(C1334=0,COUNTIFS(A:A,A1334,D:D,"a"),"")</f>
        <v/>
      </c>
      <c r="K1334" s="2" t="e">
        <f>INDEX(+QUOTIENT(K1334:L1334,#REF!),)</f>
        <v>#VALUE!</v>
      </c>
      <c r="L1334" s="1">
        <v>1</v>
      </c>
      <c r="M1334" s="2" t="e">
        <f>INDEX(+QUOTIENT(INDIRECT(M1334:N1334),#REF!),)</f>
        <v>#REF!</v>
      </c>
      <c r="N1334" s="1">
        <v>1</v>
      </c>
    </row>
    <row r="1335" spans="1:14" x14ac:dyDescent="0.55000000000000004">
      <c r="A1335" s="1" t="s">
        <v>1847</v>
      </c>
      <c r="B1335" s="2">
        <f>COUNTIF(A:A,A1335)-1</f>
        <v>2</v>
      </c>
      <c r="C1335" s="2">
        <f>COUNTIF(A$1:A1335,A1335)-1</f>
        <v>2</v>
      </c>
      <c r="D1335" s="2" t="str">
        <f>Argument!D1335</f>
        <v>vr</v>
      </c>
      <c r="E1335" s="2" t="str">
        <f t="shared" si="40"/>
        <v/>
      </c>
      <c r="F1335" s="2" t="str">
        <f>IF(C1335=0,ISTEXT(FORMULA.CONVERT("="&amp;A1335&amp;"("&amp;REPLACE(REPT(",#ref!",B1335),1,1,"")&amp;")()",1)),"")</f>
        <v/>
      </c>
      <c r="G1335" s="2">
        <f>TYPE(QUOTIENT(IF(1,1),{1}))</f>
        <v>64</v>
      </c>
      <c r="H1335" s="2" t="str">
        <f t="shared" si="41"/>
        <v/>
      </c>
      <c r="I1335" s="2">
        <f>TYPE(QUOTIENT(IF(1,1),IF(1,1)))</f>
        <v>1</v>
      </c>
      <c r="J1335" s="2" t="str">
        <f>IF(C1335=0,COUNTIFS(A:A,A1335,D:D,"a"),"")</f>
        <v/>
      </c>
      <c r="K1335" s="2" t="e">
        <f>INDEX(+QUOTIENT(#REF!,K1335:L1335),)</f>
        <v>#REF!</v>
      </c>
      <c r="L1335" s="1">
        <v>1</v>
      </c>
      <c r="M1335" s="2" t="e">
        <f>INDEX(+QUOTIENT(#REF!,INDIRECT(M1335:N1335)),)</f>
        <v>#REF!</v>
      </c>
      <c r="N1335" s="1">
        <v>1</v>
      </c>
    </row>
    <row r="1336" spans="1:14" x14ac:dyDescent="0.55000000000000004">
      <c r="A1336" s="1" t="s">
        <v>1848</v>
      </c>
      <c r="B1336" s="2">
        <f>COUNTIF(A:A,A1336)-1</f>
        <v>2</v>
      </c>
      <c r="C1336" s="2">
        <f>COUNTIF(A$1:A1336,A1336)-1</f>
        <v>0</v>
      </c>
      <c r="D1336" s="2" t="str">
        <f>Argument!D1336</f>
        <v/>
      </c>
      <c r="E1336" s="2" t="str">
        <f t="shared" si="40"/>
        <v>v</v>
      </c>
      <c r="F1336" s="2" t="b">
        <f>IF(C1336=0,ISTEXT(FORMULA.CONVERT("="&amp;A1336&amp;"("&amp;REPLACE(REPT(",#ref!",B1336),1,1,"")&amp;")()",1)),"")</f>
        <v>0</v>
      </c>
      <c r="G1336" s="2"/>
      <c r="H1336" s="2" t="str">
        <f t="shared" si="41"/>
        <v/>
      </c>
      <c r="I1336" s="2">
        <f>TYPE(DELTA(IF(1,1),IF(1,1)))</f>
        <v>1</v>
      </c>
      <c r="J1336" s="2">
        <f>IF(C1336=0,COUNTIFS(A:A,A1336,D:D,"a"),"")</f>
        <v>0</v>
      </c>
      <c r="K1336" s="2"/>
      <c r="M1336" s="2"/>
    </row>
    <row r="1337" spans="1:14" x14ac:dyDescent="0.55000000000000004">
      <c r="A1337" s="1" t="s">
        <v>1848</v>
      </c>
      <c r="B1337" s="2">
        <f>COUNTIF(A:A,A1337)-1</f>
        <v>2</v>
      </c>
      <c r="C1337" s="2">
        <f>COUNTIF(A$1:A1337,A1337)-1</f>
        <v>1</v>
      </c>
      <c r="D1337" s="2" t="str">
        <f>Argument!D1337</f>
        <v>vr</v>
      </c>
      <c r="E1337" s="2" t="str">
        <f t="shared" si="40"/>
        <v/>
      </c>
      <c r="F1337" s="2" t="str">
        <f>IF(C1337=0,ISTEXT(FORMULA.CONVERT("="&amp;A1337&amp;"("&amp;REPLACE(REPT(",#ref!",B1337),1,1,"")&amp;")()",1)),"")</f>
        <v/>
      </c>
      <c r="G1337" s="2">
        <f>TYPE(DELTA({1},IF(1,1)))</f>
        <v>64</v>
      </c>
      <c r="H1337" s="2" t="str">
        <f t="shared" si="41"/>
        <v/>
      </c>
      <c r="I1337" s="2">
        <f>TYPE(DELTA(IF(1,1),IF(1,1)))</f>
        <v>1</v>
      </c>
      <c r="J1337" s="2" t="str">
        <f>IF(C1337=0,COUNTIFS(A:A,A1337,D:D,"a"),"")</f>
        <v/>
      </c>
      <c r="K1337" s="2" t="e">
        <f>INDEX(+DELTA(K1337:L1337,#REF!),)</f>
        <v>#REF!</v>
      </c>
      <c r="L1337" s="1">
        <v>1</v>
      </c>
      <c r="M1337" s="2" t="e">
        <f>INDEX(+DELTA(INDIRECT(M1337:N1337),#REF!),)</f>
        <v>#REF!</v>
      </c>
      <c r="N1337" s="1">
        <v>1</v>
      </c>
    </row>
    <row r="1338" spans="1:14" x14ac:dyDescent="0.55000000000000004">
      <c r="A1338" s="1" t="s">
        <v>1848</v>
      </c>
      <c r="B1338" s="2">
        <f>COUNTIF(A:A,A1338)-1</f>
        <v>2</v>
      </c>
      <c r="C1338" s="2">
        <f>COUNTIF(A$1:A1338,A1338)-1</f>
        <v>2</v>
      </c>
      <c r="D1338" s="2" t="str">
        <f>Argument!D1338</f>
        <v>vr</v>
      </c>
      <c r="E1338" s="2" t="str">
        <f t="shared" si="40"/>
        <v/>
      </c>
      <c r="F1338" s="2" t="str">
        <f>IF(C1338=0,ISTEXT(FORMULA.CONVERT("="&amp;A1338&amp;"("&amp;REPLACE(REPT(",#ref!",B1338),1,1,"")&amp;")()",1)),"")</f>
        <v/>
      </c>
      <c r="G1338" s="2">
        <f>TYPE(DELTA(IF(1,1),{1}))</f>
        <v>64</v>
      </c>
      <c r="H1338" s="2" t="str">
        <f t="shared" si="41"/>
        <v/>
      </c>
      <c r="I1338" s="2">
        <f>TYPE(DELTA(IF(1,1),IF(1,1)))</f>
        <v>1</v>
      </c>
      <c r="J1338" s="2" t="str">
        <f>IF(C1338=0,COUNTIFS(A:A,A1338,D:D,"a"),"")</f>
        <v/>
      </c>
      <c r="K1338" s="2" t="e">
        <f>INDEX(+DELTA(#REF!,K1338:L1338),)</f>
        <v>#VALUE!</v>
      </c>
      <c r="L1338" s="1">
        <v>1</v>
      </c>
      <c r="M1338" s="2" t="e">
        <f>INDEX(+DELTA(#REF!,INDIRECT(M1338:N1338)),)</f>
        <v>#REF!</v>
      </c>
      <c r="N1338" s="1">
        <v>1</v>
      </c>
    </row>
    <row r="1339" spans="1:14" x14ac:dyDescent="0.55000000000000004">
      <c r="A1339" s="1" t="s">
        <v>1849</v>
      </c>
      <c r="B1339" s="2">
        <f>COUNTIF(A:A,A1339)-1</f>
        <v>2</v>
      </c>
      <c r="C1339" s="2">
        <f>COUNTIF(A$1:A1339,A1339)-1</f>
        <v>0</v>
      </c>
      <c r="D1339" s="2" t="str">
        <f>Argument!D1339</f>
        <v/>
      </c>
      <c r="E1339" s="2" t="str">
        <f t="shared" si="40"/>
        <v>v</v>
      </c>
      <c r="F1339" s="2" t="b">
        <f>IF(C1339=0,ISTEXT(FORMULA.CONVERT("="&amp;A1339&amp;"("&amp;REPLACE(REPT(",#ref!",B1339),1,1,"")&amp;")()",1)),"")</f>
        <v>0</v>
      </c>
      <c r="G1339" s="2"/>
      <c r="H1339" s="2" t="str">
        <f t="shared" si="41"/>
        <v/>
      </c>
      <c r="I1339" s="2">
        <f>TYPE(GESTEP(IF(1,1),IF(1,1)))</f>
        <v>1</v>
      </c>
      <c r="J1339" s="2">
        <f>IF(C1339=0,COUNTIFS(A:A,A1339,D:D,"a"),"")</f>
        <v>0</v>
      </c>
      <c r="K1339" s="2"/>
      <c r="M1339" s="2"/>
    </row>
    <row r="1340" spans="1:14" x14ac:dyDescent="0.55000000000000004">
      <c r="A1340" s="1" t="s">
        <v>1849</v>
      </c>
      <c r="B1340" s="2">
        <f>COUNTIF(A:A,A1340)-1</f>
        <v>2</v>
      </c>
      <c r="C1340" s="2">
        <f>COUNTIF(A$1:A1340,A1340)-1</f>
        <v>1</v>
      </c>
      <c r="D1340" s="2" t="str">
        <f>Argument!D1340</f>
        <v>vr</v>
      </c>
      <c r="E1340" s="2" t="str">
        <f t="shared" si="40"/>
        <v/>
      </c>
      <c r="F1340" s="2" t="str">
        <f>IF(C1340=0,ISTEXT(FORMULA.CONVERT("="&amp;A1340&amp;"("&amp;REPLACE(REPT(",#ref!",B1340),1,1,"")&amp;")()",1)),"")</f>
        <v/>
      </c>
      <c r="G1340" s="2">
        <f>TYPE(GESTEP({1},IF(1,1)))</f>
        <v>64</v>
      </c>
      <c r="H1340" s="2" t="str">
        <f t="shared" si="41"/>
        <v/>
      </c>
      <c r="I1340" s="2">
        <f>TYPE(GESTEP(IF(1,1),IF(1,1)))</f>
        <v>1</v>
      </c>
      <c r="J1340" s="2" t="str">
        <f>IF(C1340=0,COUNTIFS(A:A,A1340,D:D,"a"),"")</f>
        <v/>
      </c>
      <c r="K1340" s="2" t="e">
        <f>INDEX(+GESTEP(K1340:L1340,#REF!),)</f>
        <v>#REF!</v>
      </c>
      <c r="L1340" s="1">
        <v>1</v>
      </c>
      <c r="M1340" s="2" t="e">
        <f>INDEX(+GESTEP(INDIRECT(M1340:N1340),#REF!),)</f>
        <v>#REF!</v>
      </c>
      <c r="N1340" s="1">
        <v>1</v>
      </c>
    </row>
    <row r="1341" spans="1:14" x14ac:dyDescent="0.55000000000000004">
      <c r="A1341" s="1" t="s">
        <v>1849</v>
      </c>
      <c r="B1341" s="2">
        <f>COUNTIF(A:A,A1341)-1</f>
        <v>2</v>
      </c>
      <c r="C1341" s="2">
        <f>COUNTIF(A$1:A1341,A1341)-1</f>
        <v>2</v>
      </c>
      <c r="D1341" s="2" t="str">
        <f>Argument!D1341</f>
        <v>vr</v>
      </c>
      <c r="E1341" s="2" t="str">
        <f t="shared" si="40"/>
        <v/>
      </c>
      <c r="F1341" s="2" t="str">
        <f>IF(C1341=0,ISTEXT(FORMULA.CONVERT("="&amp;A1341&amp;"("&amp;REPLACE(REPT(",#ref!",B1341),1,1,"")&amp;")()",1)),"")</f>
        <v/>
      </c>
      <c r="G1341" s="2">
        <f>TYPE(GESTEP(IF(1,1),{1}))</f>
        <v>64</v>
      </c>
      <c r="H1341" s="2" t="str">
        <f t="shared" si="41"/>
        <v/>
      </c>
      <c r="I1341" s="2">
        <f>TYPE(GESTEP(IF(1,1),IF(1,1)))</f>
        <v>1</v>
      </c>
      <c r="J1341" s="2" t="str">
        <f>IF(C1341=0,COUNTIFS(A:A,A1341,D:D,"a"),"")</f>
        <v/>
      </c>
      <c r="K1341" s="2" t="e">
        <f>INDEX(+GESTEP(#REF!,K1341:L1341),)</f>
        <v>#VALUE!</v>
      </c>
      <c r="L1341" s="1">
        <v>1</v>
      </c>
      <c r="M1341" s="2" t="e">
        <f>INDEX(+GESTEP(#REF!,INDIRECT(M1341:N1341)),)</f>
        <v>#REF!</v>
      </c>
      <c r="N1341" s="1">
        <v>1</v>
      </c>
    </row>
    <row r="1342" spans="1:14" x14ac:dyDescent="0.55000000000000004">
      <c r="A1342" s="1" t="s">
        <v>1850</v>
      </c>
      <c r="B1342" s="2">
        <f>COUNTIF(A:A,A1342)-1</f>
        <v>1</v>
      </c>
      <c r="C1342" s="2">
        <f>COUNTIF(A$1:A1342,A1342)-1</f>
        <v>0</v>
      </c>
      <c r="D1342" s="2" t="str">
        <f>Argument!D1342</f>
        <v/>
      </c>
      <c r="E1342" s="2" t="str">
        <f t="shared" si="40"/>
        <v>v</v>
      </c>
      <c r="F1342" s="2" t="b">
        <f>IF(C1342=0,ISTEXT(FORMULA.CONVERT("="&amp;A1342&amp;"("&amp;REPLACE(REPT(",#ref!",B1342),1,1,"")&amp;")()",1)),"")</f>
        <v>0</v>
      </c>
      <c r="G1342" s="2"/>
      <c r="H1342" s="2" t="str">
        <f t="shared" si="41"/>
        <v/>
      </c>
      <c r="I1342" s="2">
        <f>TYPE(ISEVEN(IF(1,1)))</f>
        <v>4</v>
      </c>
      <c r="J1342" s="2">
        <f>IF(C1342=0,COUNTIFS(A:A,A1342,D:D,"a"),"")</f>
        <v>0</v>
      </c>
      <c r="K1342" s="2"/>
      <c r="M1342" s="2"/>
    </row>
    <row r="1343" spans="1:14" x14ac:dyDescent="0.55000000000000004">
      <c r="A1343" s="1" t="s">
        <v>1850</v>
      </c>
      <c r="B1343" s="2">
        <f>COUNTIF(A:A,A1343)-1</f>
        <v>1</v>
      </c>
      <c r="C1343" s="2">
        <f>COUNTIF(A$1:A1343,A1343)-1</f>
        <v>1</v>
      </c>
      <c r="D1343" s="2" t="str">
        <f>Argument!D1343</f>
        <v>vr</v>
      </c>
      <c r="E1343" s="2" t="str">
        <f t="shared" si="40"/>
        <v/>
      </c>
      <c r="F1343" s="2" t="str">
        <f>IF(C1343=0,ISTEXT(FORMULA.CONVERT("="&amp;A1343&amp;"("&amp;REPLACE(REPT(",#ref!",B1343),1,1,"")&amp;")()",1)),"")</f>
        <v/>
      </c>
      <c r="G1343" s="2">
        <f>TYPE(ISEVEN({1}))</f>
        <v>64</v>
      </c>
      <c r="H1343" s="2" t="str">
        <f t="shared" si="41"/>
        <v/>
      </c>
      <c r="I1343" s="2">
        <f>TYPE(ISEVEN(IF(1,1)))</f>
        <v>4</v>
      </c>
      <c r="J1343" s="2" t="str">
        <f>IF(C1343=0,COUNTIFS(A:A,A1343,D:D,"a"),"")</f>
        <v/>
      </c>
      <c r="K1343" s="2" t="e">
        <f>INDEX(+ISEVEN(K1343:L1343),)</f>
        <v>#VALUE!</v>
      </c>
      <c r="L1343" s="1">
        <v>1</v>
      </c>
      <c r="M1343" s="2" t="e">
        <f>INDEX(+ISEVEN(INDIRECT(M1343:N1343)),)</f>
        <v>#REF!</v>
      </c>
      <c r="N1343" s="1">
        <v>1</v>
      </c>
    </row>
    <row r="1344" spans="1:14" x14ac:dyDescent="0.55000000000000004">
      <c r="A1344" s="1" t="s">
        <v>1851</v>
      </c>
      <c r="B1344" s="2">
        <f>COUNTIF(A:A,A1344)-1</f>
        <v>1</v>
      </c>
      <c r="C1344" s="2">
        <f>COUNTIF(A$1:A1344,A1344)-1</f>
        <v>0</v>
      </c>
      <c r="D1344" s="2" t="str">
        <f>Argument!D1344</f>
        <v/>
      </c>
      <c r="E1344" s="2" t="str">
        <f t="shared" si="40"/>
        <v>v</v>
      </c>
      <c r="F1344" s="2" t="b">
        <f>IF(C1344=0,ISTEXT(FORMULA.CONVERT("="&amp;A1344&amp;"("&amp;REPLACE(REPT(",#ref!",B1344),1,1,"")&amp;")()",1)),"")</f>
        <v>0</v>
      </c>
      <c r="G1344" s="2"/>
      <c r="H1344" s="2" t="str">
        <f t="shared" si="41"/>
        <v/>
      </c>
      <c r="I1344" s="2">
        <f>TYPE(ISODD(IF(1,1)))</f>
        <v>4</v>
      </c>
      <c r="J1344" s="2">
        <f>IF(C1344=0,COUNTIFS(A:A,A1344,D:D,"a"),"")</f>
        <v>0</v>
      </c>
      <c r="K1344" s="2"/>
      <c r="M1344" s="2"/>
    </row>
    <row r="1345" spans="1:14" x14ac:dyDescent="0.55000000000000004">
      <c r="A1345" s="1" t="s">
        <v>1851</v>
      </c>
      <c r="B1345" s="2">
        <f>COUNTIF(A:A,A1345)-1</f>
        <v>1</v>
      </c>
      <c r="C1345" s="2">
        <f>COUNTIF(A$1:A1345,A1345)-1</f>
        <v>1</v>
      </c>
      <c r="D1345" s="2" t="str">
        <f>Argument!D1345</f>
        <v>vr</v>
      </c>
      <c r="E1345" s="2" t="str">
        <f t="shared" si="40"/>
        <v/>
      </c>
      <c r="F1345" s="2" t="str">
        <f>IF(C1345=0,ISTEXT(FORMULA.CONVERT("="&amp;A1345&amp;"("&amp;REPLACE(REPT(",#ref!",B1345),1,1,"")&amp;")()",1)),"")</f>
        <v/>
      </c>
      <c r="G1345" s="2">
        <f>TYPE(ISODD({1}))</f>
        <v>64</v>
      </c>
      <c r="H1345" s="2" t="str">
        <f t="shared" si="41"/>
        <v/>
      </c>
      <c r="I1345" s="2">
        <f>TYPE(ISODD(IF(1,1)))</f>
        <v>4</v>
      </c>
      <c r="J1345" s="2" t="str">
        <f>IF(C1345=0,COUNTIFS(A:A,A1345,D:D,"a"),"")</f>
        <v/>
      </c>
      <c r="K1345" s="2" t="e">
        <f>INDEX(+ISODD(K1345:L1345),)</f>
        <v>#VALUE!</v>
      </c>
      <c r="L1345" s="1">
        <v>1</v>
      </c>
      <c r="M1345" s="2" t="e">
        <f>INDEX(+ISODD(INDIRECT(M1345:N1345)),)</f>
        <v>#REF!</v>
      </c>
      <c r="N1345" s="1">
        <v>1</v>
      </c>
    </row>
    <row r="1346" spans="1:14" x14ac:dyDescent="0.55000000000000004">
      <c r="A1346" s="1" t="s">
        <v>1852</v>
      </c>
      <c r="B1346" s="2">
        <f>COUNTIF(A:A,A1346)-1</f>
        <v>2</v>
      </c>
      <c r="C1346" s="2">
        <f>COUNTIF(A$1:A1346,A1346)-1</f>
        <v>0</v>
      </c>
      <c r="D1346" s="2" t="str">
        <f>Argument!D1346</f>
        <v/>
      </c>
      <c r="E1346" s="2" t="str">
        <f t="shared" ref="E1346:E1409" si="42">IF(C1346=0,IF(SUMIFS(H:H,A:A,A1346),IF(COUNTIFS(A:A,A1346,G:G,64),,"v")&amp;IF(F1346,"ar","a"),IF(F1346,"r","v")),"")</f>
        <v>v</v>
      </c>
      <c r="F1346" s="2" t="b">
        <f>IF(C1346=0,ISTEXT(FORMULA.CONVERT("="&amp;A1346&amp;"("&amp;REPLACE(REPT(",#ref!",B1346),1,1,"")&amp;")()",1)),"")</f>
        <v>0</v>
      </c>
      <c r="G1346" s="2"/>
      <c r="H1346" s="2" t="str">
        <f t="shared" ref="H1346:H1409" si="43">IF((I1346=64)*(J1346=B1346)+(1-L1346)*COUNTIF(D1346,"*v*")+(1-N1346)*COUNTIF(D1346,"*r*"),1,"")</f>
        <v/>
      </c>
      <c r="I1346" s="2">
        <f>TYPE(MROUND(IF(1,1),IF(1,1)))</f>
        <v>1</v>
      </c>
      <c r="J1346" s="2">
        <f>IF(C1346=0,COUNTIFS(A:A,A1346,D:D,"a"),"")</f>
        <v>0</v>
      </c>
      <c r="K1346" s="2"/>
      <c r="M1346" s="2"/>
    </row>
    <row r="1347" spans="1:14" x14ac:dyDescent="0.55000000000000004">
      <c r="A1347" s="1" t="s">
        <v>1852</v>
      </c>
      <c r="B1347" s="2">
        <f>COUNTIF(A:A,A1347)-1</f>
        <v>2</v>
      </c>
      <c r="C1347" s="2">
        <f>COUNTIF(A$1:A1347,A1347)-1</f>
        <v>1</v>
      </c>
      <c r="D1347" s="2" t="str">
        <f>Argument!D1347</f>
        <v>vr</v>
      </c>
      <c r="E1347" s="2" t="str">
        <f t="shared" si="42"/>
        <v/>
      </c>
      <c r="F1347" s="2" t="str">
        <f>IF(C1347=0,ISTEXT(FORMULA.CONVERT("="&amp;A1347&amp;"("&amp;REPLACE(REPT(",#ref!",B1347),1,1,"")&amp;")()",1)),"")</f>
        <v/>
      </c>
      <c r="G1347" s="2">
        <f>TYPE(MROUND({1},IF(1,1)))</f>
        <v>64</v>
      </c>
      <c r="H1347" s="2" t="str">
        <f t="shared" si="43"/>
        <v/>
      </c>
      <c r="I1347" s="2">
        <f>TYPE(MROUND(IF(1,1),IF(1,1)))</f>
        <v>1</v>
      </c>
      <c r="J1347" s="2" t="str">
        <f>IF(C1347=0,COUNTIFS(A:A,A1347,D:D,"a"),"")</f>
        <v/>
      </c>
      <c r="K1347" s="2" t="e">
        <f>INDEX(+MROUND(K1347:L1347,#REF!),)</f>
        <v>#VALUE!</v>
      </c>
      <c r="L1347" s="1">
        <v>1</v>
      </c>
      <c r="M1347" s="2" t="e">
        <f>INDEX(+MROUND(INDIRECT(M1347:N1347),#REF!),)</f>
        <v>#REF!</v>
      </c>
      <c r="N1347" s="1">
        <v>1</v>
      </c>
    </row>
    <row r="1348" spans="1:14" x14ac:dyDescent="0.55000000000000004">
      <c r="A1348" s="1" t="s">
        <v>1852</v>
      </c>
      <c r="B1348" s="2">
        <f>COUNTIF(A:A,A1348)-1</f>
        <v>2</v>
      </c>
      <c r="C1348" s="2">
        <f>COUNTIF(A$1:A1348,A1348)-1</f>
        <v>2</v>
      </c>
      <c r="D1348" s="2" t="str">
        <f>Argument!D1348</f>
        <v>vr</v>
      </c>
      <c r="E1348" s="2" t="str">
        <f t="shared" si="42"/>
        <v/>
      </c>
      <c r="F1348" s="2" t="str">
        <f>IF(C1348=0,ISTEXT(FORMULA.CONVERT("="&amp;A1348&amp;"("&amp;REPLACE(REPT(",#ref!",B1348),1,1,"")&amp;")()",1)),"")</f>
        <v/>
      </c>
      <c r="G1348" s="2">
        <f>TYPE(MROUND(IF(1,1),{1}))</f>
        <v>64</v>
      </c>
      <c r="H1348" s="2" t="str">
        <f t="shared" si="43"/>
        <v/>
      </c>
      <c r="I1348" s="2">
        <f>TYPE(MROUND(IF(1,1),IF(1,1)))</f>
        <v>1</v>
      </c>
      <c r="J1348" s="2" t="str">
        <f>IF(C1348=0,COUNTIFS(A:A,A1348,D:D,"a"),"")</f>
        <v/>
      </c>
      <c r="K1348" s="2" t="e">
        <f>INDEX(+MROUND(#REF!,K1348:L1348),)</f>
        <v>#REF!</v>
      </c>
      <c r="L1348" s="1">
        <v>1</v>
      </c>
      <c r="M1348" s="2" t="e">
        <f>INDEX(+MROUND(#REF!,INDIRECT(M1348:N1348)),)</f>
        <v>#REF!</v>
      </c>
      <c r="N1348" s="1">
        <v>1</v>
      </c>
    </row>
    <row r="1349" spans="1:14" x14ac:dyDescent="0.55000000000000004">
      <c r="A1349" s="1" t="s">
        <v>1853</v>
      </c>
      <c r="B1349" s="2">
        <f>COUNTIF(A:A,A1349)-1</f>
        <v>2</v>
      </c>
      <c r="C1349" s="2">
        <f>COUNTIF(A$1:A1349,A1349)-1</f>
        <v>0</v>
      </c>
      <c r="D1349" s="2" t="str">
        <f>Argument!D1349</f>
        <v/>
      </c>
      <c r="E1349" s="2" t="str">
        <f t="shared" si="42"/>
        <v>v</v>
      </c>
      <c r="F1349" s="2" t="b">
        <f>IF(C1349=0,ISTEXT(FORMULA.CONVERT("="&amp;A1349&amp;"("&amp;REPLACE(REPT(",#ref!",B1349),1,1,"")&amp;")()",1)),"")</f>
        <v>0</v>
      </c>
      <c r="G1349" s="2"/>
      <c r="H1349" s="2" t="str">
        <f t="shared" si="43"/>
        <v/>
      </c>
      <c r="I1349" s="2">
        <f>TYPE(ERF(IF(1,1),IF(1,1)))</f>
        <v>1</v>
      </c>
      <c r="J1349" s="2">
        <f>IF(C1349=0,COUNTIFS(A:A,A1349,D:D,"a"),"")</f>
        <v>0</v>
      </c>
      <c r="K1349" s="2"/>
      <c r="M1349" s="2"/>
    </row>
    <row r="1350" spans="1:14" x14ac:dyDescent="0.55000000000000004">
      <c r="A1350" s="1" t="s">
        <v>1853</v>
      </c>
      <c r="B1350" s="2">
        <f>COUNTIF(A:A,A1350)-1</f>
        <v>2</v>
      </c>
      <c r="C1350" s="2">
        <f>COUNTIF(A$1:A1350,A1350)-1</f>
        <v>1</v>
      </c>
      <c r="D1350" s="2" t="str">
        <f>Argument!D1350</f>
        <v>vr</v>
      </c>
      <c r="E1350" s="2" t="str">
        <f t="shared" si="42"/>
        <v/>
      </c>
      <c r="F1350" s="2" t="str">
        <f>IF(C1350=0,ISTEXT(FORMULA.CONVERT("="&amp;A1350&amp;"("&amp;REPLACE(REPT(",#ref!",B1350),1,1,"")&amp;")()",1)),"")</f>
        <v/>
      </c>
      <c r="G1350" s="2">
        <f>TYPE(ERF({1},IF(1,1)))</f>
        <v>64</v>
      </c>
      <c r="H1350" s="2" t="str">
        <f t="shared" si="43"/>
        <v/>
      </c>
      <c r="I1350" s="2">
        <f>TYPE(ERF(IF(1,1),IF(1,1)))</f>
        <v>1</v>
      </c>
      <c r="J1350" s="2" t="str">
        <f>IF(C1350=0,COUNTIFS(A:A,A1350,D:D,"a"),"")</f>
        <v/>
      </c>
      <c r="K1350" s="2" t="e">
        <f>INDEX(+ERF(K1350:L1350,#REF!),)</f>
        <v>#VALUE!</v>
      </c>
      <c r="L1350" s="1">
        <v>1</v>
      </c>
      <c r="M1350" s="2" t="e">
        <f>INDEX(+ERF(INDIRECT(M1350:N1350),#REF!),)</f>
        <v>#REF!</v>
      </c>
      <c r="N1350" s="1">
        <v>1</v>
      </c>
    </row>
    <row r="1351" spans="1:14" x14ac:dyDescent="0.55000000000000004">
      <c r="A1351" s="1" t="s">
        <v>1853</v>
      </c>
      <c r="B1351" s="2">
        <f>COUNTIF(A:A,A1351)-1</f>
        <v>2</v>
      </c>
      <c r="C1351" s="2">
        <f>COUNTIF(A$1:A1351,A1351)-1</f>
        <v>2</v>
      </c>
      <c r="D1351" s="2" t="str">
        <f>Argument!D1351</f>
        <v>vr</v>
      </c>
      <c r="E1351" s="2" t="str">
        <f t="shared" si="42"/>
        <v/>
      </c>
      <c r="F1351" s="2" t="str">
        <f>IF(C1351=0,ISTEXT(FORMULA.CONVERT("="&amp;A1351&amp;"("&amp;REPLACE(REPT(",#ref!",B1351),1,1,"")&amp;")()",1)),"")</f>
        <v/>
      </c>
      <c r="G1351" s="2">
        <f>TYPE(ERF(IF(1,1),{1}))</f>
        <v>64</v>
      </c>
      <c r="H1351" s="2" t="str">
        <f t="shared" si="43"/>
        <v/>
      </c>
      <c r="I1351" s="2">
        <f>TYPE(ERF(IF(1,1),IF(1,1)))</f>
        <v>1</v>
      </c>
      <c r="J1351" s="2" t="str">
        <f>IF(C1351=0,COUNTIFS(A:A,A1351,D:D,"a"),"")</f>
        <v/>
      </c>
      <c r="K1351" s="2" t="e">
        <f>INDEX(+ERF(#REF!,K1351:L1351),)</f>
        <v>#REF!</v>
      </c>
      <c r="L1351" s="1">
        <v>1</v>
      </c>
      <c r="M1351" s="2" t="e">
        <f>INDEX(+ERF(#REF!,INDIRECT(M1351:N1351)),)</f>
        <v>#REF!</v>
      </c>
      <c r="N1351" s="1">
        <v>1</v>
      </c>
    </row>
    <row r="1352" spans="1:14" x14ac:dyDescent="0.55000000000000004">
      <c r="A1352" s="1" t="s">
        <v>1854</v>
      </c>
      <c r="B1352" s="2">
        <f>COUNTIF(A:A,A1352)-1</f>
        <v>1</v>
      </c>
      <c r="C1352" s="2">
        <f>COUNTIF(A$1:A1352,A1352)-1</f>
        <v>0</v>
      </c>
      <c r="D1352" s="2" t="str">
        <f>Argument!D1352</f>
        <v/>
      </c>
      <c r="E1352" s="2" t="str">
        <f t="shared" si="42"/>
        <v>v</v>
      </c>
      <c r="F1352" s="2" t="b">
        <f>IF(C1352=0,ISTEXT(FORMULA.CONVERT("="&amp;A1352&amp;"("&amp;REPLACE(REPT(",#ref!",B1352),1,1,"")&amp;")()",1)),"")</f>
        <v>0</v>
      </c>
      <c r="G1352" s="2"/>
      <c r="H1352" s="2" t="str">
        <f t="shared" si="43"/>
        <v/>
      </c>
      <c r="I1352" s="2">
        <f>TYPE(ERFC(IF(1,1)))</f>
        <v>1</v>
      </c>
      <c r="J1352" s="2">
        <f>IF(C1352=0,COUNTIFS(A:A,A1352,D:D,"a"),"")</f>
        <v>0</v>
      </c>
      <c r="K1352" s="2"/>
      <c r="M1352" s="2"/>
    </row>
    <row r="1353" spans="1:14" x14ac:dyDescent="0.55000000000000004">
      <c r="A1353" s="1" t="s">
        <v>1854</v>
      </c>
      <c r="B1353" s="2">
        <f>COUNTIF(A:A,A1353)-1</f>
        <v>1</v>
      </c>
      <c r="C1353" s="2">
        <f>COUNTIF(A$1:A1353,A1353)-1</f>
        <v>1</v>
      </c>
      <c r="D1353" s="2" t="str">
        <f>Argument!D1353</f>
        <v>vr</v>
      </c>
      <c r="E1353" s="2" t="str">
        <f t="shared" si="42"/>
        <v/>
      </c>
      <c r="F1353" s="2" t="str">
        <f>IF(C1353=0,ISTEXT(FORMULA.CONVERT("="&amp;A1353&amp;"("&amp;REPLACE(REPT(",#ref!",B1353),1,1,"")&amp;")()",1)),"")</f>
        <v/>
      </c>
      <c r="G1353" s="2">
        <f>TYPE(ERFC({1}))</f>
        <v>64</v>
      </c>
      <c r="H1353" s="2" t="str">
        <f t="shared" si="43"/>
        <v/>
      </c>
      <c r="I1353" s="2">
        <f>TYPE(ERFC(IF(1,1)))</f>
        <v>1</v>
      </c>
      <c r="J1353" s="2" t="str">
        <f>IF(C1353=0,COUNTIFS(A:A,A1353,D:D,"a"),"")</f>
        <v/>
      </c>
      <c r="K1353" s="2" t="e">
        <f>INDEX(+ERFC(K1353:L1353),)</f>
        <v>#VALUE!</v>
      </c>
      <c r="L1353" s="1">
        <v>1</v>
      </c>
      <c r="M1353" s="2" t="e">
        <f>INDEX(+ERFC(INDIRECT(M1353:N1353)),)</f>
        <v>#REF!</v>
      </c>
      <c r="N1353" s="1">
        <v>1</v>
      </c>
    </row>
    <row r="1354" spans="1:14" x14ac:dyDescent="0.55000000000000004">
      <c r="A1354" s="1" t="s">
        <v>1855</v>
      </c>
      <c r="B1354" s="2">
        <f>COUNTIF(A:A,A1354)-1</f>
        <v>2</v>
      </c>
      <c r="C1354" s="2">
        <f>COUNTIF(A$1:A1354,A1354)-1</f>
        <v>0</v>
      </c>
      <c r="D1354" s="2" t="str">
        <f>Argument!D1354</f>
        <v/>
      </c>
      <c r="E1354" s="2" t="str">
        <f t="shared" si="42"/>
        <v>v</v>
      </c>
      <c r="F1354" s="2" t="b">
        <f>IF(C1354=0,ISTEXT(FORMULA.CONVERT("="&amp;A1354&amp;"("&amp;REPLACE(REPT(",#ref!",B1354),1,1,"")&amp;")()",1)),"")</f>
        <v>0</v>
      </c>
      <c r="G1354" s="2"/>
      <c r="H1354" s="2" t="str">
        <f t="shared" si="43"/>
        <v/>
      </c>
      <c r="I1354" s="2">
        <f>TYPE(BESSELJ(IF(1,1),IF(1,1)))</f>
        <v>1</v>
      </c>
      <c r="J1354" s="2">
        <f>IF(C1354=0,COUNTIFS(A:A,A1354,D:D,"a"),"")</f>
        <v>0</v>
      </c>
      <c r="K1354" s="2"/>
      <c r="M1354" s="2"/>
    </row>
    <row r="1355" spans="1:14" x14ac:dyDescent="0.55000000000000004">
      <c r="A1355" s="1" t="s">
        <v>1855</v>
      </c>
      <c r="B1355" s="2">
        <f>COUNTIF(A:A,A1355)-1</f>
        <v>2</v>
      </c>
      <c r="C1355" s="2">
        <f>COUNTIF(A$1:A1355,A1355)-1</f>
        <v>1</v>
      </c>
      <c r="D1355" s="2" t="str">
        <f>Argument!D1355</f>
        <v>vr</v>
      </c>
      <c r="E1355" s="2" t="str">
        <f t="shared" si="42"/>
        <v/>
      </c>
      <c r="F1355" s="2" t="str">
        <f>IF(C1355=0,ISTEXT(FORMULA.CONVERT("="&amp;A1355&amp;"("&amp;REPLACE(REPT(",#ref!",B1355),1,1,"")&amp;")()",1)),"")</f>
        <v/>
      </c>
      <c r="G1355" s="2">
        <f>TYPE(BESSELJ({1},IF(1,1)))</f>
        <v>64</v>
      </c>
      <c r="H1355" s="2" t="str">
        <f t="shared" si="43"/>
        <v/>
      </c>
      <c r="I1355" s="2">
        <f>TYPE(BESSELJ(IF(1,1),IF(1,1)))</f>
        <v>1</v>
      </c>
      <c r="J1355" s="2" t="str">
        <f>IF(C1355=0,COUNTIFS(A:A,A1355,D:D,"a"),"")</f>
        <v/>
      </c>
      <c r="K1355" s="2" t="e">
        <f>INDEX(+BESSELJ(K1355:L1355,#REF!),)</f>
        <v>#VALUE!</v>
      </c>
      <c r="L1355" s="1">
        <v>1</v>
      </c>
      <c r="M1355" s="2" t="e">
        <f>INDEX(+BESSELJ(INDIRECT(M1355:N1355),#REF!),)</f>
        <v>#REF!</v>
      </c>
      <c r="N1355" s="1">
        <v>1</v>
      </c>
    </row>
    <row r="1356" spans="1:14" x14ac:dyDescent="0.55000000000000004">
      <c r="A1356" s="1" t="s">
        <v>1855</v>
      </c>
      <c r="B1356" s="2">
        <f>COUNTIF(A:A,A1356)-1</f>
        <v>2</v>
      </c>
      <c r="C1356" s="2">
        <f>COUNTIF(A$1:A1356,A1356)-1</f>
        <v>2</v>
      </c>
      <c r="D1356" s="2" t="str">
        <f>Argument!D1356</f>
        <v>vr</v>
      </c>
      <c r="E1356" s="2" t="str">
        <f t="shared" si="42"/>
        <v/>
      </c>
      <c r="F1356" s="2" t="str">
        <f>IF(C1356=0,ISTEXT(FORMULA.CONVERT("="&amp;A1356&amp;"("&amp;REPLACE(REPT(",#ref!",B1356),1,1,"")&amp;")()",1)),"")</f>
        <v/>
      </c>
      <c r="G1356" s="2">
        <f>TYPE(BESSELJ(IF(1,1),{1}))</f>
        <v>64</v>
      </c>
      <c r="H1356" s="2" t="str">
        <f t="shared" si="43"/>
        <v/>
      </c>
      <c r="I1356" s="2">
        <f>TYPE(BESSELJ(IF(1,1),IF(1,1)))</f>
        <v>1</v>
      </c>
      <c r="J1356" s="2" t="str">
        <f>IF(C1356=0,COUNTIFS(A:A,A1356,D:D,"a"),"")</f>
        <v/>
      </c>
      <c r="K1356" s="2" t="e">
        <f>INDEX(+BESSELJ(#REF!,K1356:L1356),)</f>
        <v>#REF!</v>
      </c>
      <c r="L1356" s="1">
        <v>1</v>
      </c>
      <c r="M1356" s="2" t="e">
        <f>INDEX(+BESSELJ(#REF!,INDIRECT(M1356:N1356)),)</f>
        <v>#REF!</v>
      </c>
      <c r="N1356" s="1">
        <v>1</v>
      </c>
    </row>
    <row r="1357" spans="1:14" x14ac:dyDescent="0.55000000000000004">
      <c r="A1357" s="1" t="s">
        <v>1856</v>
      </c>
      <c r="B1357" s="2">
        <f>COUNTIF(A:A,A1357)-1</f>
        <v>2</v>
      </c>
      <c r="C1357" s="2">
        <f>COUNTIF(A$1:A1357,A1357)-1</f>
        <v>0</v>
      </c>
      <c r="D1357" s="2" t="str">
        <f>Argument!D1357</f>
        <v/>
      </c>
      <c r="E1357" s="2" t="str">
        <f t="shared" si="42"/>
        <v>v</v>
      </c>
      <c r="F1357" s="2" t="b">
        <f>IF(C1357=0,ISTEXT(FORMULA.CONVERT("="&amp;A1357&amp;"("&amp;REPLACE(REPT(",#ref!",B1357),1,1,"")&amp;")()",1)),"")</f>
        <v>0</v>
      </c>
      <c r="G1357" s="2"/>
      <c r="H1357" s="2" t="str">
        <f t="shared" si="43"/>
        <v/>
      </c>
      <c r="I1357" s="2">
        <f>TYPE(BESSELK(IF(1,1),IF(1,1)))</f>
        <v>1</v>
      </c>
      <c r="J1357" s="2">
        <f>IF(C1357=0,COUNTIFS(A:A,A1357,D:D,"a"),"")</f>
        <v>0</v>
      </c>
      <c r="K1357" s="2"/>
      <c r="M1357" s="2"/>
    </row>
    <row r="1358" spans="1:14" x14ac:dyDescent="0.55000000000000004">
      <c r="A1358" s="1" t="s">
        <v>1856</v>
      </c>
      <c r="B1358" s="2">
        <f>COUNTIF(A:A,A1358)-1</f>
        <v>2</v>
      </c>
      <c r="C1358" s="2">
        <f>COUNTIF(A$1:A1358,A1358)-1</f>
        <v>1</v>
      </c>
      <c r="D1358" s="2" t="str">
        <f>Argument!D1358</f>
        <v>vr</v>
      </c>
      <c r="E1358" s="2" t="str">
        <f t="shared" si="42"/>
        <v/>
      </c>
      <c r="F1358" s="2" t="str">
        <f>IF(C1358=0,ISTEXT(FORMULA.CONVERT("="&amp;A1358&amp;"("&amp;REPLACE(REPT(",#ref!",B1358),1,1,"")&amp;")()",1)),"")</f>
        <v/>
      </c>
      <c r="G1358" s="2">
        <f>TYPE(BESSELK({1},IF(1,1)))</f>
        <v>64</v>
      </c>
      <c r="H1358" s="2" t="str">
        <f t="shared" si="43"/>
        <v/>
      </c>
      <c r="I1358" s="2">
        <f>TYPE(BESSELK(IF(1,1),IF(1,1)))</f>
        <v>1</v>
      </c>
      <c r="J1358" s="2" t="str">
        <f>IF(C1358=0,COUNTIFS(A:A,A1358,D:D,"a"),"")</f>
        <v/>
      </c>
      <c r="K1358" s="2" t="e">
        <f>INDEX(+BESSELK(K1358:L1358,#REF!),)</f>
        <v>#VALUE!</v>
      </c>
      <c r="L1358" s="1">
        <v>1</v>
      </c>
      <c r="M1358" s="2" t="e">
        <f>INDEX(+BESSELK(INDIRECT(M1358:N1358),#REF!),)</f>
        <v>#REF!</v>
      </c>
      <c r="N1358" s="1">
        <v>1</v>
      </c>
    </row>
    <row r="1359" spans="1:14" x14ac:dyDescent="0.55000000000000004">
      <c r="A1359" s="1" t="s">
        <v>1856</v>
      </c>
      <c r="B1359" s="2">
        <f>COUNTIF(A:A,A1359)-1</f>
        <v>2</v>
      </c>
      <c r="C1359" s="2">
        <f>COUNTIF(A$1:A1359,A1359)-1</f>
        <v>2</v>
      </c>
      <c r="D1359" s="2" t="str">
        <f>Argument!D1359</f>
        <v>vr</v>
      </c>
      <c r="E1359" s="2" t="str">
        <f t="shared" si="42"/>
        <v/>
      </c>
      <c r="F1359" s="2" t="str">
        <f>IF(C1359=0,ISTEXT(FORMULA.CONVERT("="&amp;A1359&amp;"("&amp;REPLACE(REPT(",#ref!",B1359),1,1,"")&amp;")()",1)),"")</f>
        <v/>
      </c>
      <c r="G1359" s="2">
        <f>TYPE(BESSELK(IF(1,1),{1}))</f>
        <v>64</v>
      </c>
      <c r="H1359" s="2" t="str">
        <f t="shared" si="43"/>
        <v/>
      </c>
      <c r="I1359" s="2">
        <f>TYPE(BESSELK(IF(1,1),IF(1,1)))</f>
        <v>1</v>
      </c>
      <c r="J1359" s="2" t="str">
        <f>IF(C1359=0,COUNTIFS(A:A,A1359,D:D,"a"),"")</f>
        <v/>
      </c>
      <c r="K1359" s="2" t="e">
        <f>INDEX(+BESSELK(#REF!,K1359:L1359),)</f>
        <v>#REF!</v>
      </c>
      <c r="L1359" s="1">
        <v>1</v>
      </c>
      <c r="M1359" s="2" t="e">
        <f>INDEX(+BESSELK(#REF!,INDIRECT(M1359:N1359)),)</f>
        <v>#REF!</v>
      </c>
      <c r="N1359" s="1">
        <v>1</v>
      </c>
    </row>
    <row r="1360" spans="1:14" x14ac:dyDescent="0.55000000000000004">
      <c r="A1360" s="1" t="s">
        <v>1857</v>
      </c>
      <c r="B1360" s="2">
        <f>COUNTIF(A:A,A1360)-1</f>
        <v>2</v>
      </c>
      <c r="C1360" s="2">
        <f>COUNTIF(A$1:A1360,A1360)-1</f>
        <v>0</v>
      </c>
      <c r="D1360" s="2" t="str">
        <f>Argument!D1360</f>
        <v/>
      </c>
      <c r="E1360" s="2" t="str">
        <f t="shared" si="42"/>
        <v>v</v>
      </c>
      <c r="F1360" s="2" t="b">
        <f>IF(C1360=0,ISTEXT(FORMULA.CONVERT("="&amp;A1360&amp;"("&amp;REPLACE(REPT(",#ref!",B1360),1,1,"")&amp;")()",1)),"")</f>
        <v>0</v>
      </c>
      <c r="G1360" s="2"/>
      <c r="H1360" s="2" t="str">
        <f t="shared" si="43"/>
        <v/>
      </c>
      <c r="I1360" s="2">
        <f>TYPE(BESSELY(IF(1,1),IF(1,1)))</f>
        <v>1</v>
      </c>
      <c r="J1360" s="2">
        <f>IF(C1360=0,COUNTIFS(A:A,A1360,D:D,"a"),"")</f>
        <v>0</v>
      </c>
      <c r="K1360" s="2"/>
      <c r="M1360" s="2"/>
    </row>
    <row r="1361" spans="1:14" x14ac:dyDescent="0.55000000000000004">
      <c r="A1361" s="1" t="s">
        <v>1857</v>
      </c>
      <c r="B1361" s="2">
        <f>COUNTIF(A:A,A1361)-1</f>
        <v>2</v>
      </c>
      <c r="C1361" s="2">
        <f>COUNTIF(A$1:A1361,A1361)-1</f>
        <v>1</v>
      </c>
      <c r="D1361" s="2" t="str">
        <f>Argument!D1361</f>
        <v>vr</v>
      </c>
      <c r="E1361" s="2" t="str">
        <f t="shared" si="42"/>
        <v/>
      </c>
      <c r="F1361" s="2" t="str">
        <f>IF(C1361=0,ISTEXT(FORMULA.CONVERT("="&amp;A1361&amp;"("&amp;REPLACE(REPT(",#ref!",B1361),1,1,"")&amp;")()",1)),"")</f>
        <v/>
      </c>
      <c r="G1361" s="2">
        <f>TYPE(BESSELY({1},IF(1,1)))</f>
        <v>64</v>
      </c>
      <c r="H1361" s="2" t="str">
        <f t="shared" si="43"/>
        <v/>
      </c>
      <c r="I1361" s="2">
        <f>TYPE(BESSELY(IF(1,1),IF(1,1)))</f>
        <v>1</v>
      </c>
      <c r="J1361" s="2" t="str">
        <f>IF(C1361=0,COUNTIFS(A:A,A1361,D:D,"a"),"")</f>
        <v/>
      </c>
      <c r="K1361" s="2" t="e">
        <f>INDEX(+BESSELY(K1361:L1361,#REF!),)</f>
        <v>#VALUE!</v>
      </c>
      <c r="L1361" s="1">
        <v>1</v>
      </c>
      <c r="M1361" s="2" t="e">
        <f>INDEX(+BESSELY(INDIRECT(M1361:N1361),#REF!),)</f>
        <v>#REF!</v>
      </c>
      <c r="N1361" s="1">
        <v>1</v>
      </c>
    </row>
    <row r="1362" spans="1:14" x14ac:dyDescent="0.55000000000000004">
      <c r="A1362" s="1" t="s">
        <v>1857</v>
      </c>
      <c r="B1362" s="2">
        <f>COUNTIF(A:A,A1362)-1</f>
        <v>2</v>
      </c>
      <c r="C1362" s="2">
        <f>COUNTIF(A$1:A1362,A1362)-1</f>
        <v>2</v>
      </c>
      <c r="D1362" s="2" t="str">
        <f>Argument!D1362</f>
        <v>vr</v>
      </c>
      <c r="E1362" s="2" t="str">
        <f t="shared" si="42"/>
        <v/>
      </c>
      <c r="F1362" s="2" t="str">
        <f>IF(C1362=0,ISTEXT(FORMULA.CONVERT("="&amp;A1362&amp;"("&amp;REPLACE(REPT(",#ref!",B1362),1,1,"")&amp;")()",1)),"")</f>
        <v/>
      </c>
      <c r="G1362" s="2">
        <f>TYPE(BESSELY(IF(1,1),{1}))</f>
        <v>64</v>
      </c>
      <c r="H1362" s="2" t="str">
        <f t="shared" si="43"/>
        <v/>
      </c>
      <c r="I1362" s="2">
        <f>TYPE(BESSELY(IF(1,1),IF(1,1)))</f>
        <v>1</v>
      </c>
      <c r="J1362" s="2" t="str">
        <f>IF(C1362=0,COUNTIFS(A:A,A1362,D:D,"a"),"")</f>
        <v/>
      </c>
      <c r="K1362" s="2" t="e">
        <f>INDEX(+BESSELY(#REF!,K1362:L1362),)</f>
        <v>#REF!</v>
      </c>
      <c r="L1362" s="1">
        <v>1</v>
      </c>
      <c r="M1362" s="2" t="e">
        <f>INDEX(+BESSELY(#REF!,INDIRECT(M1362:N1362)),)</f>
        <v>#REF!</v>
      </c>
      <c r="N1362" s="1">
        <v>1</v>
      </c>
    </row>
    <row r="1363" spans="1:14" x14ac:dyDescent="0.55000000000000004">
      <c r="A1363" s="1" t="s">
        <v>1858</v>
      </c>
      <c r="B1363" s="2">
        <f>COUNTIF(A:A,A1363)-1</f>
        <v>2</v>
      </c>
      <c r="C1363" s="2">
        <f>COUNTIF(A$1:A1363,A1363)-1</f>
        <v>0</v>
      </c>
      <c r="D1363" s="2" t="str">
        <f>Argument!D1363</f>
        <v/>
      </c>
      <c r="E1363" s="2" t="str">
        <f t="shared" si="42"/>
        <v>v</v>
      </c>
      <c r="F1363" s="2" t="b">
        <f>IF(C1363=0,ISTEXT(FORMULA.CONVERT("="&amp;A1363&amp;"("&amp;REPLACE(REPT(",#ref!",B1363),1,1,"")&amp;")()",1)),"")</f>
        <v>0</v>
      </c>
      <c r="G1363" s="2"/>
      <c r="H1363" s="2" t="str">
        <f t="shared" si="43"/>
        <v/>
      </c>
      <c r="I1363" s="2">
        <f>TYPE(BESSELI(IF(1,1),IF(1,1)))</f>
        <v>1</v>
      </c>
      <c r="J1363" s="2">
        <f>IF(C1363=0,COUNTIFS(A:A,A1363,D:D,"a"),"")</f>
        <v>0</v>
      </c>
      <c r="K1363" s="2"/>
      <c r="M1363" s="2"/>
    </row>
    <row r="1364" spans="1:14" x14ac:dyDescent="0.55000000000000004">
      <c r="A1364" s="1" t="s">
        <v>1858</v>
      </c>
      <c r="B1364" s="2">
        <f>COUNTIF(A:A,A1364)-1</f>
        <v>2</v>
      </c>
      <c r="C1364" s="2">
        <f>COUNTIF(A$1:A1364,A1364)-1</f>
        <v>1</v>
      </c>
      <c r="D1364" s="2" t="str">
        <f>Argument!D1364</f>
        <v>vr</v>
      </c>
      <c r="E1364" s="2" t="str">
        <f t="shared" si="42"/>
        <v/>
      </c>
      <c r="F1364" s="2" t="str">
        <f>IF(C1364=0,ISTEXT(FORMULA.CONVERT("="&amp;A1364&amp;"("&amp;REPLACE(REPT(",#ref!",B1364),1,1,"")&amp;")()",1)),"")</f>
        <v/>
      </c>
      <c r="G1364" s="2">
        <f>TYPE(BESSELI({1},IF(1,1)))</f>
        <v>64</v>
      </c>
      <c r="H1364" s="2" t="str">
        <f t="shared" si="43"/>
        <v/>
      </c>
      <c r="I1364" s="2">
        <f>TYPE(BESSELI(IF(1,1),IF(1,1)))</f>
        <v>1</v>
      </c>
      <c r="J1364" s="2" t="str">
        <f>IF(C1364=0,COUNTIFS(A:A,A1364,D:D,"a"),"")</f>
        <v/>
      </c>
      <c r="K1364" s="2" t="e">
        <f>INDEX(+BESSELI(K1364:L1364,#REF!),)</f>
        <v>#VALUE!</v>
      </c>
      <c r="L1364" s="1">
        <v>1</v>
      </c>
      <c r="M1364" s="2" t="e">
        <f>INDEX(+BESSELI(INDIRECT(M1364:N1364),#REF!),)</f>
        <v>#REF!</v>
      </c>
      <c r="N1364" s="1">
        <v>1</v>
      </c>
    </row>
    <row r="1365" spans="1:14" x14ac:dyDescent="0.55000000000000004">
      <c r="A1365" s="1" t="s">
        <v>1858</v>
      </c>
      <c r="B1365" s="2">
        <f>COUNTIF(A:A,A1365)-1</f>
        <v>2</v>
      </c>
      <c r="C1365" s="2">
        <f>COUNTIF(A$1:A1365,A1365)-1</f>
        <v>2</v>
      </c>
      <c r="D1365" s="2" t="str">
        <f>Argument!D1365</f>
        <v>vr</v>
      </c>
      <c r="E1365" s="2" t="str">
        <f t="shared" si="42"/>
        <v/>
      </c>
      <c r="F1365" s="2" t="str">
        <f>IF(C1365=0,ISTEXT(FORMULA.CONVERT("="&amp;A1365&amp;"("&amp;REPLACE(REPT(",#ref!",B1365),1,1,"")&amp;")()",1)),"")</f>
        <v/>
      </c>
      <c r="G1365" s="2">
        <f>TYPE(BESSELI(IF(1,1),{1}))</f>
        <v>64</v>
      </c>
      <c r="H1365" s="2" t="str">
        <f t="shared" si="43"/>
        <v/>
      </c>
      <c r="I1365" s="2">
        <f>TYPE(BESSELI(IF(1,1),IF(1,1)))</f>
        <v>1</v>
      </c>
      <c r="J1365" s="2" t="str">
        <f>IF(C1365=0,COUNTIFS(A:A,A1365,D:D,"a"),"")</f>
        <v/>
      </c>
      <c r="K1365" s="2" t="e">
        <f>INDEX(+BESSELI(#REF!,K1365:L1365),)</f>
        <v>#REF!</v>
      </c>
      <c r="L1365" s="1">
        <v>1</v>
      </c>
      <c r="M1365" s="2" t="e">
        <f>INDEX(+BESSELI(#REF!,INDIRECT(M1365:N1365)),)</f>
        <v>#REF!</v>
      </c>
      <c r="N1365" s="1">
        <v>1</v>
      </c>
    </row>
    <row r="1366" spans="1:14" x14ac:dyDescent="0.55000000000000004">
      <c r="A1366" s="1" t="s">
        <v>1859</v>
      </c>
      <c r="B1366" s="2">
        <f>COUNTIF(A:A,A1366)-1</f>
        <v>3</v>
      </c>
      <c r="C1366" s="2">
        <f>COUNTIF(A$1:A1366,A1366)-1</f>
        <v>0</v>
      </c>
      <c r="D1366" s="2" t="str">
        <f>Argument!D1366</f>
        <v/>
      </c>
      <c r="E1366" s="2" t="str">
        <f t="shared" si="42"/>
        <v>v</v>
      </c>
      <c r="F1366" s="2" t="b">
        <f>IF(C1366=0,ISTEXT(FORMULA.CONVERT("="&amp;A1366&amp;"("&amp;REPLACE(REPT(",#ref!",B1366),1,1,"")&amp;")()",1)),"")</f>
        <v>0</v>
      </c>
      <c r="G1366" s="2"/>
      <c r="H1366" s="2" t="str">
        <f t="shared" si="43"/>
        <v/>
      </c>
      <c r="I1366" s="2">
        <f>TYPE(XIRR(IF(1,1),IF(1,1),IF(1,1)))</f>
        <v>16</v>
      </c>
      <c r="J1366" s="2">
        <f>IF(C1366=0,COUNTIFS(A:A,A1366,D:D,"a"),"")</f>
        <v>0</v>
      </c>
      <c r="K1366" s="2"/>
      <c r="M1366" s="2"/>
    </row>
    <row r="1367" spans="1:14" x14ac:dyDescent="0.55000000000000004">
      <c r="A1367" s="1" t="s">
        <v>1859</v>
      </c>
      <c r="B1367" s="2">
        <f>COUNTIF(A:A,A1367)-1</f>
        <v>3</v>
      </c>
      <c r="C1367" s="2">
        <f>COUNTIF(A$1:A1367,A1367)-1</f>
        <v>1</v>
      </c>
      <c r="D1367" s="2" t="str">
        <f>Argument!D1367</f>
        <v>var</v>
      </c>
      <c r="E1367" s="2" t="str">
        <f t="shared" si="42"/>
        <v/>
      </c>
      <c r="F1367" s="2" t="str">
        <f>IF(C1367=0,ISTEXT(FORMULA.CONVERT("="&amp;A1367&amp;"("&amp;REPLACE(REPT(",#ref!",B1367),1,1,"")&amp;")()",1)),"")</f>
        <v/>
      </c>
      <c r="G1367" s="2">
        <f>TYPE(XIRR({1},IF(1,1),IF(1,1)))</f>
        <v>16</v>
      </c>
      <c r="H1367" s="2" t="str">
        <f t="shared" si="43"/>
        <v/>
      </c>
      <c r="I1367" s="2">
        <f>TYPE(XIRR(IF(1,1),IF(1,1),IF(1,1)))</f>
        <v>16</v>
      </c>
      <c r="J1367" s="2" t="str">
        <f>IF(C1367=0,COUNTIFS(A:A,A1367,D:D,"a"),"")</f>
        <v/>
      </c>
      <c r="K1367" s="2" t="e">
        <f>INDEX(+XIRR(K1367:L1367,#REF!,#REF!),)</f>
        <v>#REF!</v>
      </c>
      <c r="L1367" s="1">
        <v>1</v>
      </c>
      <c r="M1367" s="2" t="e">
        <f>INDEX(+XIRR(INDIRECT(M1367:N1367),#REF!,#REF!),)</f>
        <v>#REF!</v>
      </c>
      <c r="N1367" s="1">
        <v>1</v>
      </c>
    </row>
    <row r="1368" spans="1:14" x14ac:dyDescent="0.55000000000000004">
      <c r="A1368" s="1" t="s">
        <v>1859</v>
      </c>
      <c r="B1368" s="2">
        <f>COUNTIF(A:A,A1368)-1</f>
        <v>3</v>
      </c>
      <c r="C1368" s="2">
        <f>COUNTIF(A$1:A1368,A1368)-1</f>
        <v>2</v>
      </c>
      <c r="D1368" s="2" t="str">
        <f>Argument!D1368</f>
        <v>var</v>
      </c>
      <c r="E1368" s="2" t="str">
        <f t="shared" si="42"/>
        <v/>
      </c>
      <c r="F1368" s="2" t="str">
        <f>IF(C1368=0,ISTEXT(FORMULA.CONVERT("="&amp;A1368&amp;"("&amp;REPLACE(REPT(",#ref!",B1368),1,1,"")&amp;")()",1)),"")</f>
        <v/>
      </c>
      <c r="G1368" s="2">
        <f>TYPE(XIRR(IF(1,1),{1},IF(1,1)))</f>
        <v>16</v>
      </c>
      <c r="H1368" s="2" t="str">
        <f t="shared" si="43"/>
        <v/>
      </c>
      <c r="I1368" s="2">
        <f>TYPE(XIRR(IF(1,1),IF(1,1),IF(1,1)))</f>
        <v>16</v>
      </c>
      <c r="J1368" s="2" t="str">
        <f>IF(C1368=0,COUNTIFS(A:A,A1368,D:D,"a"),"")</f>
        <v/>
      </c>
      <c r="K1368" s="2" t="e">
        <f>INDEX(+XIRR(#REF!,K1368:L1368,#REF!),)</f>
        <v>#REF!</v>
      </c>
      <c r="L1368" s="1">
        <v>1</v>
      </c>
      <c r="M1368" s="2" t="e">
        <f>INDEX(+XIRR(#REF!,INDIRECT(M1368:N1368),#REF!),)</f>
        <v>#REF!</v>
      </c>
      <c r="N1368" s="1">
        <v>1</v>
      </c>
    </row>
    <row r="1369" spans="1:14" x14ac:dyDescent="0.55000000000000004">
      <c r="A1369" s="1" t="s">
        <v>1859</v>
      </c>
      <c r="B1369" s="2">
        <f>COUNTIF(A:A,A1369)-1</f>
        <v>3</v>
      </c>
      <c r="C1369" s="2">
        <f>COUNTIF(A$1:A1369,A1369)-1</f>
        <v>3</v>
      </c>
      <c r="D1369" s="2" t="str">
        <f>Argument!D1369</f>
        <v>vr</v>
      </c>
      <c r="E1369" s="2" t="str">
        <f t="shared" si="42"/>
        <v/>
      </c>
      <c r="F1369" s="2" t="str">
        <f>IF(C1369=0,ISTEXT(FORMULA.CONVERT("="&amp;A1369&amp;"("&amp;REPLACE(REPT(",#ref!",B1369),1,1,"")&amp;")()",1)),"")</f>
        <v/>
      </c>
      <c r="G1369" s="2">
        <f>TYPE(XIRR(IF(1,1),IF(1,1),{1}))</f>
        <v>64</v>
      </c>
      <c r="H1369" s="2" t="str">
        <f t="shared" si="43"/>
        <v/>
      </c>
      <c r="I1369" s="2">
        <f>TYPE(XIRR(IF(1,1),IF(1,1),IF(1,1)))</f>
        <v>16</v>
      </c>
      <c r="J1369" s="2" t="str">
        <f>IF(C1369=0,COUNTIFS(A:A,A1369,D:D,"a"),"")</f>
        <v/>
      </c>
      <c r="K1369" s="2" t="e">
        <f>INDEX(+XIRR(#REF!,#REF!,K1369:L1369),)</f>
        <v>#VALUE!</v>
      </c>
      <c r="L1369" s="1">
        <v>1</v>
      </c>
      <c r="M1369" s="2" t="e">
        <f>INDEX(+XIRR(#REF!,#REF!,INDIRECT(M1369:N1369)),)</f>
        <v>#REF!</v>
      </c>
      <c r="N1369" s="1">
        <v>1</v>
      </c>
    </row>
    <row r="1370" spans="1:14" x14ac:dyDescent="0.55000000000000004">
      <c r="A1370" s="1" t="s">
        <v>1860</v>
      </c>
      <c r="B1370" s="2">
        <f>COUNTIF(A:A,A1370)-1</f>
        <v>3</v>
      </c>
      <c r="C1370" s="2">
        <f>COUNTIF(A$1:A1370,A1370)-1</f>
        <v>0</v>
      </c>
      <c r="D1370" s="2" t="str">
        <f>Argument!D1370</f>
        <v/>
      </c>
      <c r="E1370" s="2" t="str">
        <f t="shared" si="42"/>
        <v>v</v>
      </c>
      <c r="F1370" s="2" t="b">
        <f>IF(C1370=0,ISTEXT(FORMULA.CONVERT("="&amp;A1370&amp;"("&amp;REPLACE(REPT(",#ref!",B1370),1,1,"")&amp;")()",1)),"")</f>
        <v>0</v>
      </c>
      <c r="G1370" s="2"/>
      <c r="H1370" s="2" t="str">
        <f t="shared" si="43"/>
        <v/>
      </c>
      <c r="I1370" s="2">
        <f>TYPE(XNPV(IF(1,1),IF(1,1),IF(1,1)))</f>
        <v>1</v>
      </c>
      <c r="J1370" s="2">
        <f>IF(C1370=0,COUNTIFS(A:A,A1370,D:D,"a"),"")</f>
        <v>0</v>
      </c>
      <c r="K1370" s="2"/>
      <c r="M1370" s="2"/>
    </row>
    <row r="1371" spans="1:14" x14ac:dyDescent="0.55000000000000004">
      <c r="A1371" s="1" t="s">
        <v>1860</v>
      </c>
      <c r="B1371" s="2">
        <f>COUNTIF(A:A,A1371)-1</f>
        <v>3</v>
      </c>
      <c r="C1371" s="2">
        <f>COUNTIF(A$1:A1371,A1371)-1</f>
        <v>1</v>
      </c>
      <c r="D1371" s="2" t="str">
        <f>Argument!D1371</f>
        <v>vr</v>
      </c>
      <c r="E1371" s="2" t="str">
        <f t="shared" si="42"/>
        <v/>
      </c>
      <c r="F1371" s="2" t="str">
        <f>IF(C1371=0,ISTEXT(FORMULA.CONVERT("="&amp;A1371&amp;"("&amp;REPLACE(REPT(",#ref!",B1371),1,1,"")&amp;")()",1)),"")</f>
        <v/>
      </c>
      <c r="G1371" s="2">
        <f>TYPE(XNPV({1},IF(1,1),IF(1,1)))</f>
        <v>64</v>
      </c>
      <c r="H1371" s="2" t="str">
        <f t="shared" si="43"/>
        <v/>
      </c>
      <c r="I1371" s="2">
        <f>TYPE(XNPV(IF(1,1),IF(1,1),IF(1,1)))</f>
        <v>1</v>
      </c>
      <c r="J1371" s="2" t="str">
        <f>IF(C1371=0,COUNTIFS(A:A,A1371,D:D,"a"),"")</f>
        <v/>
      </c>
      <c r="K1371" s="2" t="e">
        <f>INDEX(+XNPV(K1371:L1371,#REF!,#REF!),)</f>
        <v>#VALUE!</v>
      </c>
      <c r="L1371" s="1">
        <v>1</v>
      </c>
      <c r="M1371" s="2" t="e">
        <f>INDEX(+XNPV(INDIRECT(M1371:N1371),#REF!,#REF!),)</f>
        <v>#REF!</v>
      </c>
      <c r="N1371" s="1">
        <v>1</v>
      </c>
    </row>
    <row r="1372" spans="1:14" x14ac:dyDescent="0.55000000000000004">
      <c r="A1372" s="1" t="s">
        <v>1860</v>
      </c>
      <c r="B1372" s="2">
        <f>COUNTIF(A:A,A1372)-1</f>
        <v>3</v>
      </c>
      <c r="C1372" s="2">
        <f>COUNTIF(A$1:A1372,A1372)-1</f>
        <v>2</v>
      </c>
      <c r="D1372" s="2" t="str">
        <f>Argument!D1372</f>
        <v>var</v>
      </c>
      <c r="E1372" s="2" t="str">
        <f t="shared" si="42"/>
        <v/>
      </c>
      <c r="F1372" s="2" t="str">
        <f>IF(C1372=0,ISTEXT(FORMULA.CONVERT("="&amp;A1372&amp;"("&amp;REPLACE(REPT(",#ref!",B1372),1,1,"")&amp;")()",1)),"")</f>
        <v/>
      </c>
      <c r="G1372" s="2">
        <f>TYPE(XNPV(IF(1,1),{1},IF(1,1)))</f>
        <v>1</v>
      </c>
      <c r="H1372" s="2" t="str">
        <f t="shared" si="43"/>
        <v/>
      </c>
      <c r="I1372" s="2">
        <f>TYPE(XNPV(IF(1,1),IF(1,1),IF(1,1)))</f>
        <v>1</v>
      </c>
      <c r="J1372" s="2" t="str">
        <f>IF(C1372=0,COUNTIFS(A:A,A1372,D:D,"a"),"")</f>
        <v/>
      </c>
      <c r="K1372" s="2" t="e">
        <f>INDEX(+XNPV(#REF!,K1372:L1372,#REF!),)</f>
        <v>#REF!</v>
      </c>
      <c r="L1372" s="1">
        <v>1</v>
      </c>
      <c r="M1372" s="2" t="e">
        <f>INDEX(+XNPV(#REF!,INDIRECT(M1372:N1372),#REF!),)</f>
        <v>#REF!</v>
      </c>
      <c r="N1372" s="1">
        <v>1</v>
      </c>
    </row>
    <row r="1373" spans="1:14" x14ac:dyDescent="0.55000000000000004">
      <c r="A1373" s="1" t="s">
        <v>1860</v>
      </c>
      <c r="B1373" s="2">
        <f>COUNTIF(A:A,A1373)-1</f>
        <v>3</v>
      </c>
      <c r="C1373" s="2">
        <f>COUNTIF(A$1:A1373,A1373)-1</f>
        <v>3</v>
      </c>
      <c r="D1373" s="2" t="str">
        <f>Argument!D1373</f>
        <v>var</v>
      </c>
      <c r="E1373" s="2" t="str">
        <f t="shared" si="42"/>
        <v/>
      </c>
      <c r="F1373" s="2" t="str">
        <f>IF(C1373=0,ISTEXT(FORMULA.CONVERT("="&amp;A1373&amp;"("&amp;REPLACE(REPT(",#ref!",B1373),1,1,"")&amp;")()",1)),"")</f>
        <v/>
      </c>
      <c r="G1373" s="2">
        <f>TYPE(XNPV(IF(1,1),IF(1,1),{1}))</f>
        <v>1</v>
      </c>
      <c r="H1373" s="2" t="str">
        <f t="shared" si="43"/>
        <v/>
      </c>
      <c r="I1373" s="2">
        <f>TYPE(XNPV(IF(1,1),IF(1,1),IF(1,1)))</f>
        <v>1</v>
      </c>
      <c r="J1373" s="2" t="str">
        <f>IF(C1373=0,COUNTIFS(A:A,A1373,D:D,"a"),"")</f>
        <v/>
      </c>
      <c r="K1373" s="2" t="e">
        <f>INDEX(+XNPV(#REF!,#REF!,K1373:L1373),)</f>
        <v>#REF!</v>
      </c>
      <c r="L1373" s="1">
        <v>1</v>
      </c>
      <c r="M1373" s="2" t="e">
        <f>INDEX(+XNPV(#REF!,#REF!,INDIRECT(M1373:N1373)),)</f>
        <v>#REF!</v>
      </c>
      <c r="N1373" s="1">
        <v>1</v>
      </c>
    </row>
    <row r="1374" spans="1:14" x14ac:dyDescent="0.55000000000000004">
      <c r="A1374" s="1" t="s">
        <v>1861</v>
      </c>
      <c r="B1374" s="2">
        <f>COUNTIF(A:A,A1374)-1</f>
        <v>6</v>
      </c>
      <c r="C1374" s="2">
        <f>COUNTIF(A$1:A1374,A1374)-1</f>
        <v>0</v>
      </c>
      <c r="D1374" s="2" t="str">
        <f>Argument!D1374</f>
        <v/>
      </c>
      <c r="E1374" s="2" t="str">
        <f t="shared" si="42"/>
        <v>v</v>
      </c>
      <c r="F1374" s="2" t="b">
        <f>IF(C1374=0,ISTEXT(FORMULA.CONVERT("="&amp;A1374&amp;"("&amp;REPLACE(REPT(",#ref!",B1374),1,1,"")&amp;")()",1)),"")</f>
        <v>0</v>
      </c>
      <c r="G1374" s="2"/>
      <c r="H1374" s="2" t="str">
        <f t="shared" si="43"/>
        <v/>
      </c>
      <c r="I1374" s="2">
        <f>TYPE(PRICEMAT(IF(1,1),IF(1,1),IF(1,1),IF(1,1),IF(1,1),IF(1,1)))</f>
        <v>16</v>
      </c>
      <c r="J1374" s="2">
        <f>IF(C1374=0,COUNTIFS(A:A,A1374,D:D,"a"),"")</f>
        <v>0</v>
      </c>
      <c r="K1374" s="2"/>
      <c r="M1374" s="2"/>
    </row>
    <row r="1375" spans="1:14" x14ac:dyDescent="0.55000000000000004">
      <c r="A1375" s="1" t="s">
        <v>1861</v>
      </c>
      <c r="B1375" s="2">
        <f>COUNTIF(A:A,A1375)-1</f>
        <v>6</v>
      </c>
      <c r="C1375" s="2">
        <f>COUNTIF(A$1:A1375,A1375)-1</f>
        <v>1</v>
      </c>
      <c r="D1375" s="2" t="str">
        <f>Argument!D1375</f>
        <v>vr</v>
      </c>
      <c r="E1375" s="2" t="str">
        <f t="shared" si="42"/>
        <v/>
      </c>
      <c r="F1375" s="2" t="str">
        <f>IF(C1375=0,ISTEXT(FORMULA.CONVERT("="&amp;A1375&amp;"("&amp;REPLACE(REPT(",#ref!",B1375),1,1,"")&amp;")()",1)),"")</f>
        <v/>
      </c>
      <c r="G1375" s="2">
        <f>TYPE(PRICEMAT({1},IF(1,1),IF(1,1),IF(1,1),IF(1,1),IF(1,1)))</f>
        <v>64</v>
      </c>
      <c r="H1375" s="2" t="str">
        <f t="shared" si="43"/>
        <v/>
      </c>
      <c r="I1375" s="2">
        <f>TYPE(PRICEMAT(IF(1,1),IF(1,1),IF(1,1),IF(1,1),IF(1,1),IF(1,1)))</f>
        <v>16</v>
      </c>
      <c r="J1375" s="2" t="str">
        <f>IF(C1375=0,COUNTIFS(A:A,A1375,D:D,"a"),"")</f>
        <v/>
      </c>
      <c r="K1375" s="2" t="e">
        <f>INDEX(+PRICEMAT(K1375:L1375,#REF!,#REF!,#REF!,#REF!,#REF!),)</f>
        <v>#REF!</v>
      </c>
      <c r="L1375" s="1">
        <v>1</v>
      </c>
      <c r="M1375" s="2" t="e">
        <f>INDEX(+PRICEMAT(INDIRECT(M1375:N1375),#REF!,#REF!,#REF!,#REF!,#REF!),)</f>
        <v>#REF!</v>
      </c>
      <c r="N1375" s="1">
        <v>1</v>
      </c>
    </row>
    <row r="1376" spans="1:14" x14ac:dyDescent="0.55000000000000004">
      <c r="A1376" s="1" t="s">
        <v>1861</v>
      </c>
      <c r="B1376" s="2">
        <f>COUNTIF(A:A,A1376)-1</f>
        <v>6</v>
      </c>
      <c r="C1376" s="2">
        <f>COUNTIF(A$1:A1376,A1376)-1</f>
        <v>2</v>
      </c>
      <c r="D1376" s="2" t="str">
        <f>Argument!D1376</f>
        <v>vr</v>
      </c>
      <c r="E1376" s="2" t="str">
        <f t="shared" si="42"/>
        <v/>
      </c>
      <c r="F1376" s="2" t="str">
        <f>IF(C1376=0,ISTEXT(FORMULA.CONVERT("="&amp;A1376&amp;"("&amp;REPLACE(REPT(",#ref!",B1376),1,1,"")&amp;")()",1)),"")</f>
        <v/>
      </c>
      <c r="G1376" s="2">
        <f>TYPE(PRICEMAT(IF(1,1),{1},IF(1,1),IF(1,1),IF(1,1),IF(1,1)))</f>
        <v>64</v>
      </c>
      <c r="H1376" s="2" t="str">
        <f t="shared" si="43"/>
        <v/>
      </c>
      <c r="I1376" s="2">
        <f>TYPE(PRICEMAT(IF(1,1),IF(1,1),IF(1,1),IF(1,1),IF(1,1),IF(1,1)))</f>
        <v>16</v>
      </c>
      <c r="J1376" s="2" t="str">
        <f>IF(C1376=0,COUNTIFS(A:A,A1376,D:D,"a"),"")</f>
        <v/>
      </c>
      <c r="K1376" s="2" t="e">
        <f>INDEX(+PRICEMAT(#REF!,K1376:L1376,#REF!,#REF!,#REF!,#REF!),)</f>
        <v>#REF!</v>
      </c>
      <c r="L1376" s="1">
        <v>1</v>
      </c>
      <c r="M1376" s="2" t="e">
        <f>INDEX(+PRICEMAT(#REF!,INDIRECT(M1376:N1376),#REF!,#REF!,#REF!,#REF!),)</f>
        <v>#REF!</v>
      </c>
      <c r="N1376" s="1">
        <v>1</v>
      </c>
    </row>
    <row r="1377" spans="1:14" x14ac:dyDescent="0.55000000000000004">
      <c r="A1377" s="1" t="s">
        <v>1861</v>
      </c>
      <c r="B1377" s="2">
        <f>COUNTIF(A:A,A1377)-1</f>
        <v>6</v>
      </c>
      <c r="C1377" s="2">
        <f>COUNTIF(A$1:A1377,A1377)-1</f>
        <v>3</v>
      </c>
      <c r="D1377" s="2" t="str">
        <f>Argument!D1377</f>
        <v>vr</v>
      </c>
      <c r="E1377" s="2" t="str">
        <f t="shared" si="42"/>
        <v/>
      </c>
      <c r="F1377" s="2" t="str">
        <f>IF(C1377=0,ISTEXT(FORMULA.CONVERT("="&amp;A1377&amp;"("&amp;REPLACE(REPT(",#ref!",B1377),1,1,"")&amp;")()",1)),"")</f>
        <v/>
      </c>
      <c r="G1377" s="2">
        <f>TYPE(PRICEMAT(IF(1,1),IF(1,1),{1},IF(1,1),IF(1,1),IF(1,1)))</f>
        <v>64</v>
      </c>
      <c r="H1377" s="2" t="str">
        <f t="shared" si="43"/>
        <v/>
      </c>
      <c r="I1377" s="2">
        <f>TYPE(PRICEMAT(IF(1,1),IF(1,1),IF(1,1),IF(1,1),IF(1,1),IF(1,1)))</f>
        <v>16</v>
      </c>
      <c r="J1377" s="2" t="str">
        <f>IF(C1377=0,COUNTIFS(A:A,A1377,D:D,"a"),"")</f>
        <v/>
      </c>
      <c r="K1377" s="2" t="e">
        <f>INDEX(+PRICEMAT(#REF!,#REF!,K1377:L1377,#REF!,#REF!,#REF!),)</f>
        <v>#REF!</v>
      </c>
      <c r="L1377" s="1">
        <v>1</v>
      </c>
      <c r="M1377" s="2" t="e">
        <f>INDEX(+PRICEMAT(#REF!,#REF!,INDIRECT(M1377:N1377),#REF!,#REF!,#REF!),)</f>
        <v>#REF!</v>
      </c>
      <c r="N1377" s="1">
        <v>1</v>
      </c>
    </row>
    <row r="1378" spans="1:14" x14ac:dyDescent="0.55000000000000004">
      <c r="A1378" s="1" t="s">
        <v>1861</v>
      </c>
      <c r="B1378" s="2">
        <f>COUNTIF(A:A,A1378)-1</f>
        <v>6</v>
      </c>
      <c r="C1378" s="2">
        <f>COUNTIF(A$1:A1378,A1378)-1</f>
        <v>4</v>
      </c>
      <c r="D1378" s="2" t="str">
        <f>Argument!D1378</f>
        <v>vr</v>
      </c>
      <c r="E1378" s="2" t="str">
        <f t="shared" si="42"/>
        <v/>
      </c>
      <c r="F1378" s="2" t="str">
        <f>IF(C1378=0,ISTEXT(FORMULA.CONVERT("="&amp;A1378&amp;"("&amp;REPLACE(REPT(",#ref!",B1378),1,1,"")&amp;")()",1)),"")</f>
        <v/>
      </c>
      <c r="G1378" s="2">
        <f>TYPE(PRICEMAT(IF(1,1),IF(1,1),IF(1,1),{1},IF(1,1),IF(1,1)))</f>
        <v>64</v>
      </c>
      <c r="H1378" s="2" t="str">
        <f t="shared" si="43"/>
        <v/>
      </c>
      <c r="I1378" s="2">
        <f>TYPE(PRICEMAT(IF(1,1),IF(1,1),IF(1,1),IF(1,1),IF(1,1),IF(1,1)))</f>
        <v>16</v>
      </c>
      <c r="J1378" s="2" t="str">
        <f>IF(C1378=0,COUNTIFS(A:A,A1378,D:D,"a"),"")</f>
        <v/>
      </c>
      <c r="K1378" s="2" t="e">
        <f>INDEX(+PRICEMAT(#REF!,#REF!,#REF!,K1378:L1378,#REF!,#REF!),)</f>
        <v>#REF!</v>
      </c>
      <c r="L1378" s="1">
        <v>1</v>
      </c>
      <c r="M1378" s="2" t="e">
        <f>INDEX(+PRICEMAT(#REF!,#REF!,#REF!,INDIRECT(M1378:N1378),#REF!,#REF!),)</f>
        <v>#REF!</v>
      </c>
      <c r="N1378" s="1">
        <v>1</v>
      </c>
    </row>
    <row r="1379" spans="1:14" x14ac:dyDescent="0.55000000000000004">
      <c r="A1379" s="1" t="s">
        <v>1861</v>
      </c>
      <c r="B1379" s="2">
        <f>COUNTIF(A:A,A1379)-1</f>
        <v>6</v>
      </c>
      <c r="C1379" s="2">
        <f>COUNTIF(A$1:A1379,A1379)-1</f>
        <v>5</v>
      </c>
      <c r="D1379" s="2" t="str">
        <f>Argument!D1379</f>
        <v>vr</v>
      </c>
      <c r="E1379" s="2" t="str">
        <f t="shared" si="42"/>
        <v/>
      </c>
      <c r="F1379" s="2" t="str">
        <f>IF(C1379=0,ISTEXT(FORMULA.CONVERT("="&amp;A1379&amp;"("&amp;REPLACE(REPT(",#ref!",B1379),1,1,"")&amp;")()",1)),"")</f>
        <v/>
      </c>
      <c r="G1379" s="2">
        <f>TYPE(PRICEMAT(IF(1,1),IF(1,1),IF(1,1),IF(1,1),{1},IF(1,1)))</f>
        <v>64</v>
      </c>
      <c r="H1379" s="2" t="str">
        <f t="shared" si="43"/>
        <v/>
      </c>
      <c r="I1379" s="2">
        <f>TYPE(PRICEMAT(IF(1,1),IF(1,1),IF(1,1),IF(1,1),IF(1,1),IF(1,1)))</f>
        <v>16</v>
      </c>
      <c r="J1379" s="2" t="str">
        <f>IF(C1379=0,COUNTIFS(A:A,A1379,D:D,"a"),"")</f>
        <v/>
      </c>
      <c r="K1379" s="2" t="e">
        <f>INDEX(+PRICEMAT(#REF!,#REF!,#REF!,#REF!,K1379:L1379,#REF!),)</f>
        <v>#REF!</v>
      </c>
      <c r="L1379" s="1">
        <v>1</v>
      </c>
      <c r="M1379" s="2" t="e">
        <f>INDEX(+PRICEMAT(#REF!,#REF!,#REF!,#REF!,INDIRECT(M1379:N1379),#REF!),)</f>
        <v>#REF!</v>
      </c>
      <c r="N1379" s="1">
        <v>1</v>
      </c>
    </row>
    <row r="1380" spans="1:14" x14ac:dyDescent="0.55000000000000004">
      <c r="A1380" s="1" t="s">
        <v>1861</v>
      </c>
      <c r="B1380" s="2">
        <f>COUNTIF(A:A,A1380)-1</f>
        <v>6</v>
      </c>
      <c r="C1380" s="2">
        <f>COUNTIF(A$1:A1380,A1380)-1</f>
        <v>6</v>
      </c>
      <c r="D1380" s="2" t="str">
        <f>Argument!D1380</f>
        <v>vr</v>
      </c>
      <c r="E1380" s="2" t="str">
        <f t="shared" si="42"/>
        <v/>
      </c>
      <c r="F1380" s="2" t="str">
        <f>IF(C1380=0,ISTEXT(FORMULA.CONVERT("="&amp;A1380&amp;"("&amp;REPLACE(REPT(",#ref!",B1380),1,1,"")&amp;")()",1)),"")</f>
        <v/>
      </c>
      <c r="G1380" s="2">
        <f>TYPE(PRICEMAT(IF(1,1),IF(1,1),IF(1,1),IF(1,1),IF(1,1),{1}))</f>
        <v>64</v>
      </c>
      <c r="H1380" s="2" t="str">
        <f t="shared" si="43"/>
        <v/>
      </c>
      <c r="I1380" s="2">
        <f>TYPE(PRICEMAT(IF(1,1),IF(1,1),IF(1,1),IF(1,1),IF(1,1),IF(1,1)))</f>
        <v>16</v>
      </c>
      <c r="J1380" s="2" t="str">
        <f>IF(C1380=0,COUNTIFS(A:A,A1380,D:D,"a"),"")</f>
        <v/>
      </c>
      <c r="K1380" s="2" t="e">
        <f>INDEX(+PRICEMAT(#REF!,#REF!,#REF!,#REF!,#REF!,K1380:L1380),)</f>
        <v>#VALUE!</v>
      </c>
      <c r="L1380" s="1">
        <v>1</v>
      </c>
      <c r="M1380" s="2" t="e">
        <f>INDEX(+PRICEMAT(#REF!,#REF!,#REF!,#REF!,#REF!,INDIRECT(M1380:N1380)),)</f>
        <v>#REF!</v>
      </c>
      <c r="N1380" s="1">
        <v>1</v>
      </c>
    </row>
    <row r="1381" spans="1:14" x14ac:dyDescent="0.55000000000000004">
      <c r="A1381" s="1" t="s">
        <v>1862</v>
      </c>
      <c r="B1381" s="2">
        <f>COUNTIF(A:A,A1381)-1</f>
        <v>6</v>
      </c>
      <c r="C1381" s="2">
        <f>COUNTIF(A$1:A1381,A1381)-1</f>
        <v>0</v>
      </c>
      <c r="D1381" s="2" t="str">
        <f>Argument!D1381</f>
        <v/>
      </c>
      <c r="E1381" s="2" t="str">
        <f t="shared" si="42"/>
        <v>v</v>
      </c>
      <c r="F1381" s="2" t="b">
        <f>IF(C1381=0,ISTEXT(FORMULA.CONVERT("="&amp;A1381&amp;"("&amp;REPLACE(REPT(",#ref!",B1381),1,1,"")&amp;")()",1)),"")</f>
        <v>0</v>
      </c>
      <c r="G1381" s="2"/>
      <c r="H1381" s="2" t="str">
        <f t="shared" si="43"/>
        <v/>
      </c>
      <c r="I1381" s="2">
        <f>TYPE(YIELDMAT(IF(1,1),IF(1,1),IF(1,1),IF(1,1),IF(1,1),IF(1,1)))</f>
        <v>16</v>
      </c>
      <c r="J1381" s="2">
        <f>IF(C1381=0,COUNTIFS(A:A,A1381,D:D,"a"),"")</f>
        <v>0</v>
      </c>
      <c r="K1381" s="2"/>
      <c r="M1381" s="2"/>
    </row>
    <row r="1382" spans="1:14" x14ac:dyDescent="0.55000000000000004">
      <c r="A1382" s="1" t="s">
        <v>1862</v>
      </c>
      <c r="B1382" s="2">
        <f>COUNTIF(A:A,A1382)-1</f>
        <v>6</v>
      </c>
      <c r="C1382" s="2">
        <f>COUNTIF(A$1:A1382,A1382)-1</f>
        <v>1</v>
      </c>
      <c r="D1382" s="2" t="str">
        <f>Argument!D1382</f>
        <v>vr</v>
      </c>
      <c r="E1382" s="2" t="str">
        <f t="shared" si="42"/>
        <v/>
      </c>
      <c r="F1382" s="2" t="str">
        <f>IF(C1382=0,ISTEXT(FORMULA.CONVERT("="&amp;A1382&amp;"("&amp;REPLACE(REPT(",#ref!",B1382),1,1,"")&amp;")()",1)),"")</f>
        <v/>
      </c>
      <c r="G1382" s="2">
        <f>TYPE(YIELDMAT({1},IF(1,1),IF(1,1),IF(1,1),IF(1,1),IF(1,1)))</f>
        <v>64</v>
      </c>
      <c r="H1382" s="2" t="str">
        <f t="shared" si="43"/>
        <v/>
      </c>
      <c r="I1382" s="2">
        <f>TYPE(YIELDMAT(IF(1,1),IF(1,1),IF(1,1),IF(1,1),IF(1,1),IF(1,1)))</f>
        <v>16</v>
      </c>
      <c r="J1382" s="2" t="str">
        <f>IF(C1382=0,COUNTIFS(A:A,A1382,D:D,"a"),"")</f>
        <v/>
      </c>
      <c r="K1382" s="2" t="e">
        <f>INDEX(+YIELDMAT(K1382:L1382,#REF!,#REF!,#REF!,#REF!,#REF!),)</f>
        <v>#REF!</v>
      </c>
      <c r="L1382" s="1">
        <v>1</v>
      </c>
      <c r="M1382" s="2" t="e">
        <f>INDEX(+YIELDMAT(INDIRECT(M1382:N1382),#REF!,#REF!,#REF!,#REF!,#REF!),)</f>
        <v>#REF!</v>
      </c>
      <c r="N1382" s="1">
        <v>1</v>
      </c>
    </row>
    <row r="1383" spans="1:14" x14ac:dyDescent="0.55000000000000004">
      <c r="A1383" s="1" t="s">
        <v>1862</v>
      </c>
      <c r="B1383" s="2">
        <f>COUNTIF(A:A,A1383)-1</f>
        <v>6</v>
      </c>
      <c r="C1383" s="2">
        <f>COUNTIF(A$1:A1383,A1383)-1</f>
        <v>2</v>
      </c>
      <c r="D1383" s="2" t="str">
        <f>Argument!D1383</f>
        <v>vr</v>
      </c>
      <c r="E1383" s="2" t="str">
        <f t="shared" si="42"/>
        <v/>
      </c>
      <c r="F1383" s="2" t="str">
        <f>IF(C1383=0,ISTEXT(FORMULA.CONVERT("="&amp;A1383&amp;"("&amp;REPLACE(REPT(",#ref!",B1383),1,1,"")&amp;")()",1)),"")</f>
        <v/>
      </c>
      <c r="G1383" s="2">
        <f>TYPE(YIELDMAT(IF(1,1),{1},IF(1,1),IF(1,1),IF(1,1),IF(1,1)))</f>
        <v>64</v>
      </c>
      <c r="H1383" s="2" t="str">
        <f t="shared" si="43"/>
        <v/>
      </c>
      <c r="I1383" s="2">
        <f>TYPE(YIELDMAT(IF(1,1),IF(1,1),IF(1,1),IF(1,1),IF(1,1),IF(1,1)))</f>
        <v>16</v>
      </c>
      <c r="J1383" s="2" t="str">
        <f>IF(C1383=0,COUNTIFS(A:A,A1383,D:D,"a"),"")</f>
        <v/>
      </c>
      <c r="K1383" s="2" t="e">
        <f>INDEX(+YIELDMAT(#REF!,K1383:L1383,#REF!,#REF!,#REF!,#REF!),)</f>
        <v>#REF!</v>
      </c>
      <c r="L1383" s="1">
        <v>1</v>
      </c>
      <c r="M1383" s="2" t="e">
        <f>INDEX(+YIELDMAT(#REF!,INDIRECT(M1383:N1383),#REF!,#REF!,#REF!,#REF!),)</f>
        <v>#REF!</v>
      </c>
      <c r="N1383" s="1">
        <v>1</v>
      </c>
    </row>
    <row r="1384" spans="1:14" x14ac:dyDescent="0.55000000000000004">
      <c r="A1384" s="1" t="s">
        <v>1862</v>
      </c>
      <c r="B1384" s="2">
        <f>COUNTIF(A:A,A1384)-1</f>
        <v>6</v>
      </c>
      <c r="C1384" s="2">
        <f>COUNTIF(A$1:A1384,A1384)-1</f>
        <v>3</v>
      </c>
      <c r="D1384" s="2" t="str">
        <f>Argument!D1384</f>
        <v>vr</v>
      </c>
      <c r="E1384" s="2" t="str">
        <f t="shared" si="42"/>
        <v/>
      </c>
      <c r="F1384" s="2" t="str">
        <f>IF(C1384=0,ISTEXT(FORMULA.CONVERT("="&amp;A1384&amp;"("&amp;REPLACE(REPT(",#ref!",B1384),1,1,"")&amp;")()",1)),"")</f>
        <v/>
      </c>
      <c r="G1384" s="2">
        <f>TYPE(YIELDMAT(IF(1,1),IF(1,1),{1},IF(1,1),IF(1,1),IF(1,1)))</f>
        <v>64</v>
      </c>
      <c r="H1384" s="2" t="str">
        <f t="shared" si="43"/>
        <v/>
      </c>
      <c r="I1384" s="2">
        <f>TYPE(YIELDMAT(IF(1,1),IF(1,1),IF(1,1),IF(1,1),IF(1,1),IF(1,1)))</f>
        <v>16</v>
      </c>
      <c r="J1384" s="2" t="str">
        <f>IF(C1384=0,COUNTIFS(A:A,A1384,D:D,"a"),"")</f>
        <v/>
      </c>
      <c r="K1384" s="2" t="e">
        <f>INDEX(+YIELDMAT(#REF!,#REF!,K1384:L1384,#REF!,#REF!,#REF!),)</f>
        <v>#REF!</v>
      </c>
      <c r="L1384" s="1">
        <v>1</v>
      </c>
      <c r="M1384" s="2" t="e">
        <f>INDEX(+YIELDMAT(#REF!,#REF!,INDIRECT(M1384:N1384),#REF!,#REF!,#REF!),)</f>
        <v>#REF!</v>
      </c>
      <c r="N1384" s="1">
        <v>1</v>
      </c>
    </row>
    <row r="1385" spans="1:14" x14ac:dyDescent="0.55000000000000004">
      <c r="A1385" s="1" t="s">
        <v>1862</v>
      </c>
      <c r="B1385" s="2">
        <f>COUNTIF(A:A,A1385)-1</f>
        <v>6</v>
      </c>
      <c r="C1385" s="2">
        <f>COUNTIF(A$1:A1385,A1385)-1</f>
        <v>4</v>
      </c>
      <c r="D1385" s="2" t="str">
        <f>Argument!D1385</f>
        <v>vr</v>
      </c>
      <c r="E1385" s="2" t="str">
        <f t="shared" si="42"/>
        <v/>
      </c>
      <c r="F1385" s="2" t="str">
        <f>IF(C1385=0,ISTEXT(FORMULA.CONVERT("="&amp;A1385&amp;"("&amp;REPLACE(REPT(",#ref!",B1385),1,1,"")&amp;")()",1)),"")</f>
        <v/>
      </c>
      <c r="G1385" s="2">
        <f>TYPE(YIELDMAT(IF(1,1),IF(1,1),IF(1,1),{1},IF(1,1),IF(1,1)))</f>
        <v>64</v>
      </c>
      <c r="H1385" s="2" t="str">
        <f t="shared" si="43"/>
        <v/>
      </c>
      <c r="I1385" s="2">
        <f>TYPE(YIELDMAT(IF(1,1),IF(1,1),IF(1,1),IF(1,1),IF(1,1),IF(1,1)))</f>
        <v>16</v>
      </c>
      <c r="J1385" s="2" t="str">
        <f>IF(C1385=0,COUNTIFS(A:A,A1385,D:D,"a"),"")</f>
        <v/>
      </c>
      <c r="K1385" s="2" t="e">
        <f>INDEX(+YIELDMAT(#REF!,#REF!,#REF!,K1385:L1385,#REF!,#REF!),)</f>
        <v>#REF!</v>
      </c>
      <c r="L1385" s="1">
        <v>1</v>
      </c>
      <c r="M1385" s="2" t="e">
        <f>INDEX(+YIELDMAT(#REF!,#REF!,#REF!,INDIRECT(M1385:N1385),#REF!,#REF!),)</f>
        <v>#REF!</v>
      </c>
      <c r="N1385" s="1">
        <v>1</v>
      </c>
    </row>
    <row r="1386" spans="1:14" x14ac:dyDescent="0.55000000000000004">
      <c r="A1386" s="1" t="s">
        <v>1862</v>
      </c>
      <c r="B1386" s="2">
        <f>COUNTIF(A:A,A1386)-1</f>
        <v>6</v>
      </c>
      <c r="C1386" s="2">
        <f>COUNTIF(A$1:A1386,A1386)-1</f>
        <v>5</v>
      </c>
      <c r="D1386" s="2" t="str">
        <f>Argument!D1386</f>
        <v>vr</v>
      </c>
      <c r="E1386" s="2" t="str">
        <f t="shared" si="42"/>
        <v/>
      </c>
      <c r="F1386" s="2" t="str">
        <f>IF(C1386=0,ISTEXT(FORMULA.CONVERT("="&amp;A1386&amp;"("&amp;REPLACE(REPT(",#ref!",B1386),1,1,"")&amp;")()",1)),"")</f>
        <v/>
      </c>
      <c r="G1386" s="2">
        <f>TYPE(YIELDMAT(IF(1,1),IF(1,1),IF(1,1),IF(1,1),{1},IF(1,1)))</f>
        <v>64</v>
      </c>
      <c r="H1386" s="2" t="str">
        <f t="shared" si="43"/>
        <v/>
      </c>
      <c r="I1386" s="2">
        <f>TYPE(YIELDMAT(IF(1,1),IF(1,1),IF(1,1),IF(1,1),IF(1,1),IF(1,1)))</f>
        <v>16</v>
      </c>
      <c r="J1386" s="2" t="str">
        <f>IF(C1386=0,COUNTIFS(A:A,A1386,D:D,"a"),"")</f>
        <v/>
      </c>
      <c r="K1386" s="2" t="e">
        <f>INDEX(+YIELDMAT(#REF!,#REF!,#REF!,#REF!,K1386:L1386,#REF!),)</f>
        <v>#REF!</v>
      </c>
      <c r="L1386" s="1">
        <v>1</v>
      </c>
      <c r="M1386" s="2" t="e">
        <f>INDEX(+YIELDMAT(#REF!,#REF!,#REF!,#REF!,INDIRECT(M1386:N1386),#REF!),)</f>
        <v>#REF!</v>
      </c>
      <c r="N1386" s="1">
        <v>1</v>
      </c>
    </row>
    <row r="1387" spans="1:14" x14ac:dyDescent="0.55000000000000004">
      <c r="A1387" s="1" t="s">
        <v>1862</v>
      </c>
      <c r="B1387" s="2">
        <f>COUNTIF(A:A,A1387)-1</f>
        <v>6</v>
      </c>
      <c r="C1387" s="2">
        <f>COUNTIF(A$1:A1387,A1387)-1</f>
        <v>6</v>
      </c>
      <c r="D1387" s="2" t="str">
        <f>Argument!D1387</f>
        <v>vr</v>
      </c>
      <c r="E1387" s="2" t="str">
        <f t="shared" si="42"/>
        <v/>
      </c>
      <c r="F1387" s="2" t="str">
        <f>IF(C1387=0,ISTEXT(FORMULA.CONVERT("="&amp;A1387&amp;"("&amp;REPLACE(REPT(",#ref!",B1387),1,1,"")&amp;")()",1)),"")</f>
        <v/>
      </c>
      <c r="G1387" s="2">
        <f>TYPE(YIELDMAT(IF(1,1),IF(1,1),IF(1,1),IF(1,1),IF(1,1),{1}))</f>
        <v>64</v>
      </c>
      <c r="H1387" s="2" t="str">
        <f t="shared" si="43"/>
        <v/>
      </c>
      <c r="I1387" s="2">
        <f>TYPE(YIELDMAT(IF(1,1),IF(1,1),IF(1,1),IF(1,1),IF(1,1),IF(1,1)))</f>
        <v>16</v>
      </c>
      <c r="J1387" s="2" t="str">
        <f>IF(C1387=0,COUNTIFS(A:A,A1387,D:D,"a"),"")</f>
        <v/>
      </c>
      <c r="K1387" s="2" t="e">
        <f>INDEX(+YIELDMAT(#REF!,#REF!,#REF!,#REF!,#REF!,K1387:L1387),)</f>
        <v>#VALUE!</v>
      </c>
      <c r="L1387" s="1">
        <v>1</v>
      </c>
      <c r="M1387" s="2" t="e">
        <f>INDEX(+YIELDMAT(#REF!,#REF!,#REF!,#REF!,#REF!,INDIRECT(M1387:N1387)),)</f>
        <v>#REF!</v>
      </c>
      <c r="N1387" s="1">
        <v>1</v>
      </c>
    </row>
    <row r="1388" spans="1:14" x14ac:dyDescent="0.55000000000000004">
      <c r="A1388" s="1" t="s">
        <v>1863</v>
      </c>
      <c r="B1388" s="2">
        <f>COUNTIF(A:A,A1388)-1</f>
        <v>5</v>
      </c>
      <c r="C1388" s="2">
        <f>COUNTIF(A$1:A1388,A1388)-1</f>
        <v>0</v>
      </c>
      <c r="D1388" s="2" t="str">
        <f>Argument!D1388</f>
        <v/>
      </c>
      <c r="E1388" s="2" t="str">
        <f t="shared" si="42"/>
        <v>v</v>
      </c>
      <c r="F1388" s="2" t="b">
        <f>IF(C1388=0,ISTEXT(FORMULA.CONVERT("="&amp;A1388&amp;"("&amp;REPLACE(REPT(",#ref!",B1388),1,1,"")&amp;")()",1)),"")</f>
        <v>0</v>
      </c>
      <c r="G1388" s="2"/>
      <c r="H1388" s="2" t="str">
        <f t="shared" si="43"/>
        <v/>
      </c>
      <c r="I1388" s="2">
        <f>TYPE(INTRATE(IF(1,1),IF(1,1),IF(1,1),IF(1,1),IF(1,1)))</f>
        <v>16</v>
      </c>
      <c r="J1388" s="2">
        <f>IF(C1388=0,COUNTIFS(A:A,A1388,D:D,"a"),"")</f>
        <v>0</v>
      </c>
      <c r="K1388" s="2"/>
      <c r="M1388" s="2"/>
    </row>
    <row r="1389" spans="1:14" x14ac:dyDescent="0.55000000000000004">
      <c r="A1389" s="1" t="s">
        <v>1863</v>
      </c>
      <c r="B1389" s="2">
        <f>COUNTIF(A:A,A1389)-1</f>
        <v>5</v>
      </c>
      <c r="C1389" s="2">
        <f>COUNTIF(A$1:A1389,A1389)-1</f>
        <v>1</v>
      </c>
      <c r="D1389" s="2" t="str">
        <f>Argument!D1389</f>
        <v>vr</v>
      </c>
      <c r="E1389" s="2" t="str">
        <f t="shared" si="42"/>
        <v/>
      </c>
      <c r="F1389" s="2" t="str">
        <f>IF(C1389=0,ISTEXT(FORMULA.CONVERT("="&amp;A1389&amp;"("&amp;REPLACE(REPT(",#ref!",B1389),1,1,"")&amp;")()",1)),"")</f>
        <v/>
      </c>
      <c r="G1389" s="2">
        <f>TYPE(INTRATE({1},IF(1,1),IF(1,1),IF(1,1),IF(1,1)))</f>
        <v>64</v>
      </c>
      <c r="H1389" s="2" t="str">
        <f t="shared" si="43"/>
        <v/>
      </c>
      <c r="I1389" s="2">
        <f>TYPE(INTRATE(IF(1,1),IF(1,1),IF(1,1),IF(1,1),IF(1,1)))</f>
        <v>16</v>
      </c>
      <c r="J1389" s="2" t="str">
        <f>IF(C1389=0,COUNTIFS(A:A,A1389,D:D,"a"),"")</f>
        <v/>
      </c>
      <c r="K1389" s="2" t="e">
        <f>INDEX(+INTRATE(K1389:L1389,#REF!,#REF!,#REF!,#REF!),)</f>
        <v>#REF!</v>
      </c>
      <c r="L1389" s="1">
        <v>1</v>
      </c>
      <c r="M1389" s="2" t="e">
        <f>INDEX(+INTRATE(INDIRECT(M1389:N1389),#REF!,#REF!,#REF!,#REF!),)</f>
        <v>#REF!</v>
      </c>
      <c r="N1389" s="1">
        <v>1</v>
      </c>
    </row>
    <row r="1390" spans="1:14" x14ac:dyDescent="0.55000000000000004">
      <c r="A1390" s="1" t="s">
        <v>1863</v>
      </c>
      <c r="B1390" s="2">
        <f>COUNTIF(A:A,A1390)-1</f>
        <v>5</v>
      </c>
      <c r="C1390" s="2">
        <f>COUNTIF(A$1:A1390,A1390)-1</f>
        <v>2</v>
      </c>
      <c r="D1390" s="2" t="str">
        <f>Argument!D1390</f>
        <v>vr</v>
      </c>
      <c r="E1390" s="2" t="str">
        <f t="shared" si="42"/>
        <v/>
      </c>
      <c r="F1390" s="2" t="str">
        <f>IF(C1390=0,ISTEXT(FORMULA.CONVERT("="&amp;A1390&amp;"("&amp;REPLACE(REPT(",#ref!",B1390),1,1,"")&amp;")()",1)),"")</f>
        <v/>
      </c>
      <c r="G1390" s="2">
        <f>TYPE(INTRATE(IF(1,1),{1},IF(1,1),IF(1,1),IF(1,1)))</f>
        <v>64</v>
      </c>
      <c r="H1390" s="2" t="str">
        <f t="shared" si="43"/>
        <v/>
      </c>
      <c r="I1390" s="2">
        <f>TYPE(INTRATE(IF(1,1),IF(1,1),IF(1,1),IF(1,1),IF(1,1)))</f>
        <v>16</v>
      </c>
      <c r="J1390" s="2" t="str">
        <f>IF(C1390=0,COUNTIFS(A:A,A1390,D:D,"a"),"")</f>
        <v/>
      </c>
      <c r="K1390" s="2" t="e">
        <f>INDEX(+INTRATE(#REF!,K1390:L1390,#REF!,#REF!,#REF!),)</f>
        <v>#REF!</v>
      </c>
      <c r="L1390" s="1">
        <v>1</v>
      </c>
      <c r="M1390" s="2" t="e">
        <f>INDEX(+INTRATE(#REF!,INDIRECT(M1390:N1390),#REF!,#REF!,#REF!),)</f>
        <v>#REF!</v>
      </c>
      <c r="N1390" s="1">
        <v>1</v>
      </c>
    </row>
    <row r="1391" spans="1:14" x14ac:dyDescent="0.55000000000000004">
      <c r="A1391" s="1" t="s">
        <v>1863</v>
      </c>
      <c r="B1391" s="2">
        <f>COUNTIF(A:A,A1391)-1</f>
        <v>5</v>
      </c>
      <c r="C1391" s="2">
        <f>COUNTIF(A$1:A1391,A1391)-1</f>
        <v>3</v>
      </c>
      <c r="D1391" s="2" t="str">
        <f>Argument!D1391</f>
        <v>vr</v>
      </c>
      <c r="E1391" s="2" t="str">
        <f t="shared" si="42"/>
        <v/>
      </c>
      <c r="F1391" s="2" t="str">
        <f>IF(C1391=0,ISTEXT(FORMULA.CONVERT("="&amp;A1391&amp;"("&amp;REPLACE(REPT(",#ref!",B1391),1,1,"")&amp;")()",1)),"")</f>
        <v/>
      </c>
      <c r="G1391" s="2">
        <f>TYPE(INTRATE(IF(1,1),IF(1,1),{1},IF(1,1),IF(1,1)))</f>
        <v>64</v>
      </c>
      <c r="H1391" s="2" t="str">
        <f t="shared" si="43"/>
        <v/>
      </c>
      <c r="I1391" s="2">
        <f>TYPE(INTRATE(IF(1,1),IF(1,1),IF(1,1),IF(1,1),IF(1,1)))</f>
        <v>16</v>
      </c>
      <c r="J1391" s="2" t="str">
        <f>IF(C1391=0,COUNTIFS(A:A,A1391,D:D,"a"),"")</f>
        <v/>
      </c>
      <c r="K1391" s="2" t="e">
        <f>INDEX(+INTRATE(#REF!,#REF!,K1391:L1391,#REF!,#REF!),)</f>
        <v>#REF!</v>
      </c>
      <c r="L1391" s="1">
        <v>1</v>
      </c>
      <c r="M1391" s="2" t="e">
        <f>INDEX(+INTRATE(#REF!,#REF!,INDIRECT(M1391:N1391),#REF!,#REF!),)</f>
        <v>#REF!</v>
      </c>
      <c r="N1391" s="1">
        <v>1</v>
      </c>
    </row>
    <row r="1392" spans="1:14" x14ac:dyDescent="0.55000000000000004">
      <c r="A1392" s="1" t="s">
        <v>1863</v>
      </c>
      <c r="B1392" s="2">
        <f>COUNTIF(A:A,A1392)-1</f>
        <v>5</v>
      </c>
      <c r="C1392" s="2">
        <f>COUNTIF(A$1:A1392,A1392)-1</f>
        <v>4</v>
      </c>
      <c r="D1392" s="2" t="str">
        <f>Argument!D1392</f>
        <v>vr</v>
      </c>
      <c r="E1392" s="2" t="str">
        <f t="shared" si="42"/>
        <v/>
      </c>
      <c r="F1392" s="2" t="str">
        <f>IF(C1392=0,ISTEXT(FORMULA.CONVERT("="&amp;A1392&amp;"("&amp;REPLACE(REPT(",#ref!",B1392),1,1,"")&amp;")()",1)),"")</f>
        <v/>
      </c>
      <c r="G1392" s="2">
        <f>TYPE(INTRATE(IF(1,1),IF(1,1),IF(1,1),{1},IF(1,1)))</f>
        <v>64</v>
      </c>
      <c r="H1392" s="2" t="str">
        <f t="shared" si="43"/>
        <v/>
      </c>
      <c r="I1392" s="2">
        <f>TYPE(INTRATE(IF(1,1),IF(1,1),IF(1,1),IF(1,1),IF(1,1)))</f>
        <v>16</v>
      </c>
      <c r="J1392" s="2" t="str">
        <f>IF(C1392=0,COUNTIFS(A:A,A1392,D:D,"a"),"")</f>
        <v/>
      </c>
      <c r="K1392" s="2" t="e">
        <f>INDEX(+INTRATE(#REF!,#REF!,#REF!,K1392:L1392,#REF!),)</f>
        <v>#REF!</v>
      </c>
      <c r="L1392" s="1">
        <v>1</v>
      </c>
      <c r="M1392" s="2" t="e">
        <f>INDEX(+INTRATE(#REF!,#REF!,#REF!,INDIRECT(M1392:N1392),#REF!),)</f>
        <v>#REF!</v>
      </c>
      <c r="N1392" s="1">
        <v>1</v>
      </c>
    </row>
    <row r="1393" spans="1:14" x14ac:dyDescent="0.55000000000000004">
      <c r="A1393" s="1" t="s">
        <v>1863</v>
      </c>
      <c r="B1393" s="2">
        <f>COUNTIF(A:A,A1393)-1</f>
        <v>5</v>
      </c>
      <c r="C1393" s="2">
        <f>COUNTIF(A$1:A1393,A1393)-1</f>
        <v>5</v>
      </c>
      <c r="D1393" s="2" t="str">
        <f>Argument!D1393</f>
        <v>vr</v>
      </c>
      <c r="E1393" s="2" t="str">
        <f t="shared" si="42"/>
        <v/>
      </c>
      <c r="F1393" s="2" t="str">
        <f>IF(C1393=0,ISTEXT(FORMULA.CONVERT("="&amp;A1393&amp;"("&amp;REPLACE(REPT(",#ref!",B1393),1,1,"")&amp;")()",1)),"")</f>
        <v/>
      </c>
      <c r="G1393" s="2">
        <f>TYPE(INTRATE(IF(1,1),IF(1,1),IF(1,1),IF(1,1),{1}))</f>
        <v>64</v>
      </c>
      <c r="H1393" s="2" t="str">
        <f t="shared" si="43"/>
        <v/>
      </c>
      <c r="I1393" s="2">
        <f>TYPE(INTRATE(IF(1,1),IF(1,1),IF(1,1),IF(1,1),IF(1,1)))</f>
        <v>16</v>
      </c>
      <c r="J1393" s="2" t="str">
        <f>IF(C1393=0,COUNTIFS(A:A,A1393,D:D,"a"),"")</f>
        <v/>
      </c>
      <c r="K1393" s="2" t="e">
        <f>INDEX(+INTRATE(#REF!,#REF!,#REF!,#REF!,K1393:L1393),)</f>
        <v>#VALUE!</v>
      </c>
      <c r="L1393" s="1">
        <v>1</v>
      </c>
      <c r="M1393" s="2" t="e">
        <f>INDEX(+INTRATE(#REF!,#REF!,#REF!,#REF!,INDIRECT(M1393:N1393)),)</f>
        <v>#REF!</v>
      </c>
      <c r="N1393" s="1">
        <v>1</v>
      </c>
    </row>
    <row r="1394" spans="1:14" x14ac:dyDescent="0.55000000000000004">
      <c r="A1394" s="1" t="s">
        <v>1864</v>
      </c>
      <c r="B1394" s="2">
        <f>COUNTIF(A:A,A1394)-1</f>
        <v>5</v>
      </c>
      <c r="C1394" s="2">
        <f>COUNTIF(A$1:A1394,A1394)-1</f>
        <v>0</v>
      </c>
      <c r="D1394" s="2" t="str">
        <f>Argument!D1394</f>
        <v/>
      </c>
      <c r="E1394" s="2" t="str">
        <f t="shared" si="42"/>
        <v>v</v>
      </c>
      <c r="F1394" s="2" t="b">
        <f>IF(C1394=0,ISTEXT(FORMULA.CONVERT("="&amp;A1394&amp;"("&amp;REPLACE(REPT(",#ref!",B1394),1,1,"")&amp;")()",1)),"")</f>
        <v>0</v>
      </c>
      <c r="G1394" s="2"/>
      <c r="H1394" s="2" t="str">
        <f t="shared" si="43"/>
        <v/>
      </c>
      <c r="I1394" s="2">
        <f>TYPE(RECEIVED(IF(1,1),IF(1,1),IF(1,1),IF(1,1),IF(1,1)))</f>
        <v>16</v>
      </c>
      <c r="J1394" s="2">
        <f>IF(C1394=0,COUNTIFS(A:A,A1394,D:D,"a"),"")</f>
        <v>0</v>
      </c>
      <c r="K1394" s="2"/>
      <c r="M1394" s="2"/>
    </row>
    <row r="1395" spans="1:14" x14ac:dyDescent="0.55000000000000004">
      <c r="A1395" s="1" t="s">
        <v>1864</v>
      </c>
      <c r="B1395" s="2">
        <f>COUNTIF(A:A,A1395)-1</f>
        <v>5</v>
      </c>
      <c r="C1395" s="2">
        <f>COUNTIF(A$1:A1395,A1395)-1</f>
        <v>1</v>
      </c>
      <c r="D1395" s="2" t="str">
        <f>Argument!D1395</f>
        <v>vr</v>
      </c>
      <c r="E1395" s="2" t="str">
        <f t="shared" si="42"/>
        <v/>
      </c>
      <c r="F1395" s="2" t="str">
        <f>IF(C1395=0,ISTEXT(FORMULA.CONVERT("="&amp;A1395&amp;"("&amp;REPLACE(REPT(",#ref!",B1395),1,1,"")&amp;")()",1)),"")</f>
        <v/>
      </c>
      <c r="G1395" s="2">
        <f>TYPE(RECEIVED({1},IF(1,1),IF(1,1),IF(1,1),IF(1,1)))</f>
        <v>64</v>
      </c>
      <c r="H1395" s="2" t="str">
        <f t="shared" si="43"/>
        <v/>
      </c>
      <c r="I1395" s="2">
        <f>TYPE(RECEIVED(IF(1,1),IF(1,1),IF(1,1),IF(1,1),IF(1,1)))</f>
        <v>16</v>
      </c>
      <c r="J1395" s="2" t="str">
        <f>IF(C1395=0,COUNTIFS(A:A,A1395,D:D,"a"),"")</f>
        <v/>
      </c>
      <c r="K1395" s="2" t="e">
        <f>INDEX(+RECEIVED(K1395:L1395,#REF!,#REF!,#REF!,#REF!),)</f>
        <v>#REF!</v>
      </c>
      <c r="L1395" s="1">
        <v>1</v>
      </c>
      <c r="M1395" s="2" t="e">
        <f>INDEX(+RECEIVED(INDIRECT(M1395:N1395),#REF!,#REF!,#REF!,#REF!),)</f>
        <v>#REF!</v>
      </c>
      <c r="N1395" s="1">
        <v>1</v>
      </c>
    </row>
    <row r="1396" spans="1:14" x14ac:dyDescent="0.55000000000000004">
      <c r="A1396" s="1" t="s">
        <v>1864</v>
      </c>
      <c r="B1396" s="2">
        <f>COUNTIF(A:A,A1396)-1</f>
        <v>5</v>
      </c>
      <c r="C1396" s="2">
        <f>COUNTIF(A$1:A1396,A1396)-1</f>
        <v>2</v>
      </c>
      <c r="D1396" s="2" t="str">
        <f>Argument!D1396</f>
        <v>vr</v>
      </c>
      <c r="E1396" s="2" t="str">
        <f t="shared" si="42"/>
        <v/>
      </c>
      <c r="F1396" s="2" t="str">
        <f>IF(C1396=0,ISTEXT(FORMULA.CONVERT("="&amp;A1396&amp;"("&amp;REPLACE(REPT(",#ref!",B1396),1,1,"")&amp;")()",1)),"")</f>
        <v/>
      </c>
      <c r="G1396" s="2">
        <f>TYPE(RECEIVED(IF(1,1),{1},IF(1,1),IF(1,1),IF(1,1)))</f>
        <v>64</v>
      </c>
      <c r="H1396" s="2" t="str">
        <f t="shared" si="43"/>
        <v/>
      </c>
      <c r="I1396" s="2">
        <f>TYPE(RECEIVED(IF(1,1),IF(1,1),IF(1,1),IF(1,1),IF(1,1)))</f>
        <v>16</v>
      </c>
      <c r="J1396" s="2" t="str">
        <f>IF(C1396=0,COUNTIFS(A:A,A1396,D:D,"a"),"")</f>
        <v/>
      </c>
      <c r="K1396" s="2" t="e">
        <f>INDEX(+RECEIVED(#REF!,K1396:L1396,#REF!,#REF!,#REF!),)</f>
        <v>#REF!</v>
      </c>
      <c r="L1396" s="1">
        <v>1</v>
      </c>
      <c r="M1396" s="2" t="e">
        <f>INDEX(+RECEIVED(#REF!,INDIRECT(M1396:N1396),#REF!,#REF!,#REF!),)</f>
        <v>#REF!</v>
      </c>
      <c r="N1396" s="1">
        <v>1</v>
      </c>
    </row>
    <row r="1397" spans="1:14" x14ac:dyDescent="0.55000000000000004">
      <c r="A1397" s="1" t="s">
        <v>1864</v>
      </c>
      <c r="B1397" s="2">
        <f>COUNTIF(A:A,A1397)-1</f>
        <v>5</v>
      </c>
      <c r="C1397" s="2">
        <f>COUNTIF(A$1:A1397,A1397)-1</f>
        <v>3</v>
      </c>
      <c r="D1397" s="2" t="str">
        <f>Argument!D1397</f>
        <v>vr</v>
      </c>
      <c r="E1397" s="2" t="str">
        <f t="shared" si="42"/>
        <v/>
      </c>
      <c r="F1397" s="2" t="str">
        <f>IF(C1397=0,ISTEXT(FORMULA.CONVERT("="&amp;A1397&amp;"("&amp;REPLACE(REPT(",#ref!",B1397),1,1,"")&amp;")()",1)),"")</f>
        <v/>
      </c>
      <c r="G1397" s="2">
        <f>TYPE(RECEIVED(IF(1,1),IF(1,1),{1},IF(1,1),IF(1,1)))</f>
        <v>64</v>
      </c>
      <c r="H1397" s="2" t="str">
        <f t="shared" si="43"/>
        <v/>
      </c>
      <c r="I1397" s="2">
        <f>TYPE(RECEIVED(IF(1,1),IF(1,1),IF(1,1),IF(1,1),IF(1,1)))</f>
        <v>16</v>
      </c>
      <c r="J1397" s="2" t="str">
        <f>IF(C1397=0,COUNTIFS(A:A,A1397,D:D,"a"),"")</f>
        <v/>
      </c>
      <c r="K1397" s="2" t="e">
        <f>INDEX(+RECEIVED(#REF!,#REF!,K1397:L1397,#REF!,#REF!),)</f>
        <v>#REF!</v>
      </c>
      <c r="L1397" s="1">
        <v>1</v>
      </c>
      <c r="M1397" s="2" t="e">
        <f>INDEX(+RECEIVED(#REF!,#REF!,INDIRECT(M1397:N1397),#REF!,#REF!),)</f>
        <v>#REF!</v>
      </c>
      <c r="N1397" s="1">
        <v>1</v>
      </c>
    </row>
    <row r="1398" spans="1:14" x14ac:dyDescent="0.55000000000000004">
      <c r="A1398" s="1" t="s">
        <v>1864</v>
      </c>
      <c r="B1398" s="2">
        <f>COUNTIF(A:A,A1398)-1</f>
        <v>5</v>
      </c>
      <c r="C1398" s="2">
        <f>COUNTIF(A$1:A1398,A1398)-1</f>
        <v>4</v>
      </c>
      <c r="D1398" s="2" t="str">
        <f>Argument!D1398</f>
        <v>vr</v>
      </c>
      <c r="E1398" s="2" t="str">
        <f t="shared" si="42"/>
        <v/>
      </c>
      <c r="F1398" s="2" t="str">
        <f>IF(C1398=0,ISTEXT(FORMULA.CONVERT("="&amp;A1398&amp;"("&amp;REPLACE(REPT(",#ref!",B1398),1,1,"")&amp;")()",1)),"")</f>
        <v/>
      </c>
      <c r="G1398" s="2">
        <f>TYPE(RECEIVED(IF(1,1),IF(1,1),IF(1,1),{1},IF(1,1)))</f>
        <v>64</v>
      </c>
      <c r="H1398" s="2" t="str">
        <f t="shared" si="43"/>
        <v/>
      </c>
      <c r="I1398" s="2">
        <f>TYPE(RECEIVED(IF(1,1),IF(1,1),IF(1,1),IF(1,1),IF(1,1)))</f>
        <v>16</v>
      </c>
      <c r="J1398" s="2" t="str">
        <f>IF(C1398=0,COUNTIFS(A:A,A1398,D:D,"a"),"")</f>
        <v/>
      </c>
      <c r="K1398" s="2" t="e">
        <f>INDEX(+RECEIVED(#REF!,#REF!,#REF!,K1398:L1398,#REF!),)</f>
        <v>#REF!</v>
      </c>
      <c r="L1398" s="1">
        <v>1</v>
      </c>
      <c r="M1398" s="2" t="e">
        <f>INDEX(+RECEIVED(#REF!,#REF!,#REF!,INDIRECT(M1398:N1398),#REF!),)</f>
        <v>#REF!</v>
      </c>
      <c r="N1398" s="1">
        <v>1</v>
      </c>
    </row>
    <row r="1399" spans="1:14" x14ac:dyDescent="0.55000000000000004">
      <c r="A1399" s="1" t="s">
        <v>1864</v>
      </c>
      <c r="B1399" s="2">
        <f>COUNTIF(A:A,A1399)-1</f>
        <v>5</v>
      </c>
      <c r="C1399" s="2">
        <f>COUNTIF(A$1:A1399,A1399)-1</f>
        <v>5</v>
      </c>
      <c r="D1399" s="2" t="str">
        <f>Argument!D1399</f>
        <v>vr</v>
      </c>
      <c r="E1399" s="2" t="str">
        <f t="shared" si="42"/>
        <v/>
      </c>
      <c r="F1399" s="2" t="str">
        <f>IF(C1399=0,ISTEXT(FORMULA.CONVERT("="&amp;A1399&amp;"("&amp;REPLACE(REPT(",#ref!",B1399),1,1,"")&amp;")()",1)),"")</f>
        <v/>
      </c>
      <c r="G1399" s="2">
        <f>TYPE(RECEIVED(IF(1,1),IF(1,1),IF(1,1),IF(1,1),{1}))</f>
        <v>64</v>
      </c>
      <c r="H1399" s="2" t="str">
        <f t="shared" si="43"/>
        <v/>
      </c>
      <c r="I1399" s="2">
        <f>TYPE(RECEIVED(IF(1,1),IF(1,1),IF(1,1),IF(1,1),IF(1,1)))</f>
        <v>16</v>
      </c>
      <c r="J1399" s="2" t="str">
        <f>IF(C1399=0,COUNTIFS(A:A,A1399,D:D,"a"),"")</f>
        <v/>
      </c>
      <c r="K1399" s="2" t="e">
        <f>INDEX(+RECEIVED(#REF!,#REF!,#REF!,#REF!,K1399:L1399),)</f>
        <v>#VALUE!</v>
      </c>
      <c r="L1399" s="1">
        <v>1</v>
      </c>
      <c r="M1399" s="2" t="e">
        <f>INDEX(+RECEIVED(#REF!,#REF!,#REF!,#REF!,INDIRECT(M1399:N1399)),)</f>
        <v>#REF!</v>
      </c>
      <c r="N1399" s="1">
        <v>1</v>
      </c>
    </row>
    <row r="1400" spans="1:14" x14ac:dyDescent="0.55000000000000004">
      <c r="A1400" s="1" t="s">
        <v>1865</v>
      </c>
      <c r="B1400" s="2">
        <f>COUNTIF(A:A,A1400)-1</f>
        <v>5</v>
      </c>
      <c r="C1400" s="2">
        <f>COUNTIF(A$1:A1400,A1400)-1</f>
        <v>0</v>
      </c>
      <c r="D1400" s="2" t="str">
        <f>Argument!D1400</f>
        <v/>
      </c>
      <c r="E1400" s="2" t="str">
        <f t="shared" si="42"/>
        <v>v</v>
      </c>
      <c r="F1400" s="2" t="b">
        <f>IF(C1400=0,ISTEXT(FORMULA.CONVERT("="&amp;A1400&amp;"("&amp;REPLACE(REPT(",#ref!",B1400),1,1,"")&amp;")()",1)),"")</f>
        <v>0</v>
      </c>
      <c r="G1400" s="2"/>
      <c r="H1400" s="2" t="str">
        <f t="shared" si="43"/>
        <v/>
      </c>
      <c r="I1400" s="2">
        <f>TYPE(DISC(IF(1,1),IF(1,1),IF(1,1),IF(1,1),IF(1,1)))</f>
        <v>16</v>
      </c>
      <c r="J1400" s="2">
        <f>IF(C1400=0,COUNTIFS(A:A,A1400,D:D,"a"),"")</f>
        <v>0</v>
      </c>
      <c r="K1400" s="2"/>
      <c r="M1400" s="2"/>
    </row>
    <row r="1401" spans="1:14" x14ac:dyDescent="0.55000000000000004">
      <c r="A1401" s="1" t="s">
        <v>1865</v>
      </c>
      <c r="B1401" s="2">
        <f>COUNTIF(A:A,A1401)-1</f>
        <v>5</v>
      </c>
      <c r="C1401" s="2">
        <f>COUNTIF(A$1:A1401,A1401)-1</f>
        <v>1</v>
      </c>
      <c r="D1401" s="2" t="str">
        <f>Argument!D1401</f>
        <v>vr</v>
      </c>
      <c r="E1401" s="2" t="str">
        <f t="shared" si="42"/>
        <v/>
      </c>
      <c r="F1401" s="2" t="str">
        <f>IF(C1401=0,ISTEXT(FORMULA.CONVERT("="&amp;A1401&amp;"("&amp;REPLACE(REPT(",#ref!",B1401),1,1,"")&amp;")()",1)),"")</f>
        <v/>
      </c>
      <c r="G1401" s="2">
        <f>TYPE(DISC({1},IF(1,1),IF(1,1),IF(1,1),IF(1,1)))</f>
        <v>64</v>
      </c>
      <c r="H1401" s="2" t="str">
        <f t="shared" si="43"/>
        <v/>
      </c>
      <c r="I1401" s="2">
        <f>TYPE(DISC(IF(1,1),IF(1,1),IF(1,1),IF(1,1),IF(1,1)))</f>
        <v>16</v>
      </c>
      <c r="J1401" s="2" t="str">
        <f>IF(C1401=0,COUNTIFS(A:A,A1401,D:D,"a"),"")</f>
        <v/>
      </c>
      <c r="K1401" s="2" t="e">
        <f>INDEX(+DISC(K1401:L1401,#REF!,#REF!,#REF!,#REF!),)</f>
        <v>#REF!</v>
      </c>
      <c r="L1401" s="1">
        <v>1</v>
      </c>
      <c r="M1401" s="2" t="e">
        <f>INDEX(+DISC(INDIRECT(M1401:N1401),#REF!,#REF!,#REF!,#REF!),)</f>
        <v>#REF!</v>
      </c>
      <c r="N1401" s="1">
        <v>1</v>
      </c>
    </row>
    <row r="1402" spans="1:14" x14ac:dyDescent="0.55000000000000004">
      <c r="A1402" s="1" t="s">
        <v>1865</v>
      </c>
      <c r="B1402" s="2">
        <f>COUNTIF(A:A,A1402)-1</f>
        <v>5</v>
      </c>
      <c r="C1402" s="2">
        <f>COUNTIF(A$1:A1402,A1402)-1</f>
        <v>2</v>
      </c>
      <c r="D1402" s="2" t="str">
        <f>Argument!D1402</f>
        <v>vr</v>
      </c>
      <c r="E1402" s="2" t="str">
        <f t="shared" si="42"/>
        <v/>
      </c>
      <c r="F1402" s="2" t="str">
        <f>IF(C1402=0,ISTEXT(FORMULA.CONVERT("="&amp;A1402&amp;"("&amp;REPLACE(REPT(",#ref!",B1402),1,1,"")&amp;")()",1)),"")</f>
        <v/>
      </c>
      <c r="G1402" s="2">
        <f>TYPE(DISC(IF(1,1),{1},IF(1,1),IF(1,1),IF(1,1)))</f>
        <v>64</v>
      </c>
      <c r="H1402" s="2" t="str">
        <f t="shared" si="43"/>
        <v/>
      </c>
      <c r="I1402" s="2">
        <f>TYPE(DISC(IF(1,1),IF(1,1),IF(1,1),IF(1,1),IF(1,1)))</f>
        <v>16</v>
      </c>
      <c r="J1402" s="2" t="str">
        <f>IF(C1402=0,COUNTIFS(A:A,A1402,D:D,"a"),"")</f>
        <v/>
      </c>
      <c r="K1402" s="2" t="e">
        <f>INDEX(+DISC(#REF!,K1402:L1402,#REF!,#REF!,#REF!),)</f>
        <v>#REF!</v>
      </c>
      <c r="L1402" s="1">
        <v>1</v>
      </c>
      <c r="M1402" s="2" t="e">
        <f>INDEX(+DISC(#REF!,INDIRECT(M1402:N1402),#REF!,#REF!,#REF!),)</f>
        <v>#REF!</v>
      </c>
      <c r="N1402" s="1">
        <v>1</v>
      </c>
    </row>
    <row r="1403" spans="1:14" x14ac:dyDescent="0.55000000000000004">
      <c r="A1403" s="1" t="s">
        <v>1865</v>
      </c>
      <c r="B1403" s="2">
        <f>COUNTIF(A:A,A1403)-1</f>
        <v>5</v>
      </c>
      <c r="C1403" s="2">
        <f>COUNTIF(A$1:A1403,A1403)-1</f>
        <v>3</v>
      </c>
      <c r="D1403" s="2" t="str">
        <f>Argument!D1403</f>
        <v>vr</v>
      </c>
      <c r="E1403" s="2" t="str">
        <f t="shared" si="42"/>
        <v/>
      </c>
      <c r="F1403" s="2" t="str">
        <f>IF(C1403=0,ISTEXT(FORMULA.CONVERT("="&amp;A1403&amp;"("&amp;REPLACE(REPT(",#ref!",B1403),1,1,"")&amp;")()",1)),"")</f>
        <v/>
      </c>
      <c r="G1403" s="2">
        <f>TYPE(DISC(IF(1,1),IF(1,1),{1},IF(1,1),IF(1,1)))</f>
        <v>64</v>
      </c>
      <c r="H1403" s="2" t="str">
        <f t="shared" si="43"/>
        <v/>
      </c>
      <c r="I1403" s="2">
        <f>TYPE(DISC(IF(1,1),IF(1,1),IF(1,1),IF(1,1),IF(1,1)))</f>
        <v>16</v>
      </c>
      <c r="J1403" s="2" t="str">
        <f>IF(C1403=0,COUNTIFS(A:A,A1403,D:D,"a"),"")</f>
        <v/>
      </c>
      <c r="K1403" s="2" t="e">
        <f>INDEX(+DISC(#REF!,#REF!,K1403:L1403,#REF!,#REF!),)</f>
        <v>#REF!</v>
      </c>
      <c r="L1403" s="1">
        <v>1</v>
      </c>
      <c r="M1403" s="2" t="e">
        <f>INDEX(+DISC(#REF!,#REF!,INDIRECT(M1403:N1403),#REF!,#REF!),)</f>
        <v>#REF!</v>
      </c>
      <c r="N1403" s="1">
        <v>1</v>
      </c>
    </row>
    <row r="1404" spans="1:14" x14ac:dyDescent="0.55000000000000004">
      <c r="A1404" s="1" t="s">
        <v>1865</v>
      </c>
      <c r="B1404" s="2">
        <f>COUNTIF(A:A,A1404)-1</f>
        <v>5</v>
      </c>
      <c r="C1404" s="2">
        <f>COUNTIF(A$1:A1404,A1404)-1</f>
        <v>4</v>
      </c>
      <c r="D1404" s="2" t="str">
        <f>Argument!D1404</f>
        <v>vr</v>
      </c>
      <c r="E1404" s="2" t="str">
        <f t="shared" si="42"/>
        <v/>
      </c>
      <c r="F1404" s="2" t="str">
        <f>IF(C1404=0,ISTEXT(FORMULA.CONVERT("="&amp;A1404&amp;"("&amp;REPLACE(REPT(",#ref!",B1404),1,1,"")&amp;")()",1)),"")</f>
        <v/>
      </c>
      <c r="G1404" s="2">
        <f>TYPE(DISC(IF(1,1),IF(1,1),IF(1,1),{1},IF(1,1)))</f>
        <v>64</v>
      </c>
      <c r="H1404" s="2" t="str">
        <f t="shared" si="43"/>
        <v/>
      </c>
      <c r="I1404" s="2">
        <f>TYPE(DISC(IF(1,1),IF(1,1),IF(1,1),IF(1,1),IF(1,1)))</f>
        <v>16</v>
      </c>
      <c r="J1404" s="2" t="str">
        <f>IF(C1404=0,COUNTIFS(A:A,A1404,D:D,"a"),"")</f>
        <v/>
      </c>
      <c r="K1404" s="2" t="e">
        <f>INDEX(+DISC(#REF!,#REF!,#REF!,K1404:L1404,#REF!),)</f>
        <v>#REF!</v>
      </c>
      <c r="L1404" s="1">
        <v>1</v>
      </c>
      <c r="M1404" s="2" t="e">
        <f>INDEX(+DISC(#REF!,#REF!,#REF!,INDIRECT(M1404:N1404),#REF!),)</f>
        <v>#REF!</v>
      </c>
      <c r="N1404" s="1">
        <v>1</v>
      </c>
    </row>
    <row r="1405" spans="1:14" x14ac:dyDescent="0.55000000000000004">
      <c r="A1405" s="1" t="s">
        <v>1865</v>
      </c>
      <c r="B1405" s="2">
        <f>COUNTIF(A:A,A1405)-1</f>
        <v>5</v>
      </c>
      <c r="C1405" s="2">
        <f>COUNTIF(A$1:A1405,A1405)-1</f>
        <v>5</v>
      </c>
      <c r="D1405" s="2" t="str">
        <f>Argument!D1405</f>
        <v>vr</v>
      </c>
      <c r="E1405" s="2" t="str">
        <f t="shared" si="42"/>
        <v/>
      </c>
      <c r="F1405" s="2" t="str">
        <f>IF(C1405=0,ISTEXT(FORMULA.CONVERT("="&amp;A1405&amp;"("&amp;REPLACE(REPT(",#ref!",B1405),1,1,"")&amp;")()",1)),"")</f>
        <v/>
      </c>
      <c r="G1405" s="2">
        <f>TYPE(DISC(IF(1,1),IF(1,1),IF(1,1),IF(1,1),{1}))</f>
        <v>64</v>
      </c>
      <c r="H1405" s="2" t="str">
        <f t="shared" si="43"/>
        <v/>
      </c>
      <c r="I1405" s="2">
        <f>TYPE(DISC(IF(1,1),IF(1,1),IF(1,1),IF(1,1),IF(1,1)))</f>
        <v>16</v>
      </c>
      <c r="J1405" s="2" t="str">
        <f>IF(C1405=0,COUNTIFS(A:A,A1405,D:D,"a"),"")</f>
        <v/>
      </c>
      <c r="K1405" s="2" t="e">
        <f>INDEX(+DISC(#REF!,#REF!,#REF!,#REF!,K1405:L1405),)</f>
        <v>#VALUE!</v>
      </c>
      <c r="L1405" s="1">
        <v>1</v>
      </c>
      <c r="M1405" s="2" t="e">
        <f>INDEX(+DISC(#REF!,#REF!,#REF!,#REF!,INDIRECT(M1405:N1405)),)</f>
        <v>#REF!</v>
      </c>
      <c r="N1405" s="1">
        <v>1</v>
      </c>
    </row>
    <row r="1406" spans="1:14" x14ac:dyDescent="0.55000000000000004">
      <c r="A1406" s="1" t="s">
        <v>1866</v>
      </c>
      <c r="B1406" s="2">
        <f>COUNTIF(A:A,A1406)-1</f>
        <v>5</v>
      </c>
      <c r="C1406" s="2">
        <f>COUNTIF(A$1:A1406,A1406)-1</f>
        <v>0</v>
      </c>
      <c r="D1406" s="2" t="str">
        <f>Argument!D1406</f>
        <v/>
      </c>
      <c r="E1406" s="2" t="str">
        <f t="shared" si="42"/>
        <v>v</v>
      </c>
      <c r="F1406" s="2" t="b">
        <f>IF(C1406=0,ISTEXT(FORMULA.CONVERT("="&amp;A1406&amp;"("&amp;REPLACE(REPT(",#ref!",B1406),1,1,"")&amp;")()",1)),"")</f>
        <v>0</v>
      </c>
      <c r="G1406" s="2"/>
      <c r="H1406" s="2" t="str">
        <f t="shared" si="43"/>
        <v/>
      </c>
      <c r="I1406" s="2">
        <f>TYPE(PRICEDISC(IF(1,1),IF(1,1),IF(1,1),IF(1,1),IF(1,1)))</f>
        <v>16</v>
      </c>
      <c r="J1406" s="2">
        <f>IF(C1406=0,COUNTIFS(A:A,A1406,D:D,"a"),"")</f>
        <v>0</v>
      </c>
      <c r="K1406" s="2"/>
      <c r="M1406" s="2"/>
    </row>
    <row r="1407" spans="1:14" x14ac:dyDescent="0.55000000000000004">
      <c r="A1407" s="1" t="s">
        <v>1866</v>
      </c>
      <c r="B1407" s="2">
        <f>COUNTIF(A:A,A1407)-1</f>
        <v>5</v>
      </c>
      <c r="C1407" s="2">
        <f>COUNTIF(A$1:A1407,A1407)-1</f>
        <v>1</v>
      </c>
      <c r="D1407" s="2" t="str">
        <f>Argument!D1407</f>
        <v>vr</v>
      </c>
      <c r="E1407" s="2" t="str">
        <f t="shared" si="42"/>
        <v/>
      </c>
      <c r="F1407" s="2" t="str">
        <f>IF(C1407=0,ISTEXT(FORMULA.CONVERT("="&amp;A1407&amp;"("&amp;REPLACE(REPT(",#ref!",B1407),1,1,"")&amp;")()",1)),"")</f>
        <v/>
      </c>
      <c r="G1407" s="2">
        <f>TYPE(PRICEDISC({1},IF(1,1),IF(1,1),IF(1,1),IF(1,1)))</f>
        <v>64</v>
      </c>
      <c r="H1407" s="2" t="str">
        <f t="shared" si="43"/>
        <v/>
      </c>
      <c r="I1407" s="2">
        <f>TYPE(PRICEDISC(IF(1,1),IF(1,1),IF(1,1),IF(1,1),IF(1,1)))</f>
        <v>16</v>
      </c>
      <c r="J1407" s="2" t="str">
        <f>IF(C1407=0,COUNTIFS(A:A,A1407,D:D,"a"),"")</f>
        <v/>
      </c>
      <c r="K1407" s="2" t="e">
        <f>INDEX(+PRICEDISC(K1407:L1407,#REF!,#REF!,#REF!,#REF!),)</f>
        <v>#REF!</v>
      </c>
      <c r="L1407" s="1">
        <v>1</v>
      </c>
      <c r="M1407" s="2" t="e">
        <f>INDEX(+PRICEDISC(INDIRECT(M1407:N1407),#REF!,#REF!,#REF!,#REF!),)</f>
        <v>#REF!</v>
      </c>
      <c r="N1407" s="1">
        <v>1</v>
      </c>
    </row>
    <row r="1408" spans="1:14" x14ac:dyDescent="0.55000000000000004">
      <c r="A1408" s="1" t="s">
        <v>1866</v>
      </c>
      <c r="B1408" s="2">
        <f>COUNTIF(A:A,A1408)-1</f>
        <v>5</v>
      </c>
      <c r="C1408" s="2">
        <f>COUNTIF(A$1:A1408,A1408)-1</f>
        <v>2</v>
      </c>
      <c r="D1408" s="2" t="str">
        <f>Argument!D1408</f>
        <v>vr</v>
      </c>
      <c r="E1408" s="2" t="str">
        <f t="shared" si="42"/>
        <v/>
      </c>
      <c r="F1408" s="2" t="str">
        <f>IF(C1408=0,ISTEXT(FORMULA.CONVERT("="&amp;A1408&amp;"("&amp;REPLACE(REPT(",#ref!",B1408),1,1,"")&amp;")()",1)),"")</f>
        <v/>
      </c>
      <c r="G1408" s="2">
        <f>TYPE(PRICEDISC(IF(1,1),{1},IF(1,1),IF(1,1),IF(1,1)))</f>
        <v>64</v>
      </c>
      <c r="H1408" s="2" t="str">
        <f t="shared" si="43"/>
        <v/>
      </c>
      <c r="I1408" s="2">
        <f>TYPE(PRICEDISC(IF(1,1),IF(1,1),IF(1,1),IF(1,1),IF(1,1)))</f>
        <v>16</v>
      </c>
      <c r="J1408" s="2" t="str">
        <f>IF(C1408=0,COUNTIFS(A:A,A1408,D:D,"a"),"")</f>
        <v/>
      </c>
      <c r="K1408" s="2" t="e">
        <f>INDEX(+PRICEDISC(#REF!,K1408:L1408,#REF!,#REF!,#REF!),)</f>
        <v>#REF!</v>
      </c>
      <c r="L1408" s="1">
        <v>1</v>
      </c>
      <c r="M1408" s="2" t="e">
        <f>INDEX(+PRICEDISC(#REF!,INDIRECT(M1408:N1408),#REF!,#REF!,#REF!),)</f>
        <v>#REF!</v>
      </c>
      <c r="N1408" s="1">
        <v>1</v>
      </c>
    </row>
    <row r="1409" spans="1:14" x14ac:dyDescent="0.55000000000000004">
      <c r="A1409" s="1" t="s">
        <v>1866</v>
      </c>
      <c r="B1409" s="2">
        <f>COUNTIF(A:A,A1409)-1</f>
        <v>5</v>
      </c>
      <c r="C1409" s="2">
        <f>COUNTIF(A$1:A1409,A1409)-1</f>
        <v>3</v>
      </c>
      <c r="D1409" s="2" t="str">
        <f>Argument!D1409</f>
        <v>vr</v>
      </c>
      <c r="E1409" s="2" t="str">
        <f t="shared" si="42"/>
        <v/>
      </c>
      <c r="F1409" s="2" t="str">
        <f>IF(C1409=0,ISTEXT(FORMULA.CONVERT("="&amp;A1409&amp;"("&amp;REPLACE(REPT(",#ref!",B1409),1,1,"")&amp;")()",1)),"")</f>
        <v/>
      </c>
      <c r="G1409" s="2">
        <f>TYPE(PRICEDISC(IF(1,1),IF(1,1),{1},IF(1,1),IF(1,1)))</f>
        <v>64</v>
      </c>
      <c r="H1409" s="2" t="str">
        <f t="shared" si="43"/>
        <v/>
      </c>
      <c r="I1409" s="2">
        <f>TYPE(PRICEDISC(IF(1,1),IF(1,1),IF(1,1),IF(1,1),IF(1,1)))</f>
        <v>16</v>
      </c>
      <c r="J1409" s="2" t="str">
        <f>IF(C1409=0,COUNTIFS(A:A,A1409,D:D,"a"),"")</f>
        <v/>
      </c>
      <c r="K1409" s="2" t="e">
        <f>INDEX(+PRICEDISC(#REF!,#REF!,K1409:L1409,#REF!,#REF!),)</f>
        <v>#REF!</v>
      </c>
      <c r="L1409" s="1">
        <v>1</v>
      </c>
      <c r="M1409" s="2" t="e">
        <f>INDEX(+PRICEDISC(#REF!,#REF!,INDIRECT(M1409:N1409),#REF!,#REF!),)</f>
        <v>#REF!</v>
      </c>
      <c r="N1409" s="1">
        <v>1</v>
      </c>
    </row>
    <row r="1410" spans="1:14" x14ac:dyDescent="0.55000000000000004">
      <c r="A1410" s="1" t="s">
        <v>1866</v>
      </c>
      <c r="B1410" s="2">
        <f>COUNTIF(A:A,A1410)-1</f>
        <v>5</v>
      </c>
      <c r="C1410" s="2">
        <f>COUNTIF(A$1:A1410,A1410)-1</f>
        <v>4</v>
      </c>
      <c r="D1410" s="2" t="str">
        <f>Argument!D1410</f>
        <v>vr</v>
      </c>
      <c r="E1410" s="2" t="str">
        <f t="shared" ref="E1410:E1473" si="44">IF(C1410=0,IF(SUMIFS(H:H,A:A,A1410),IF(COUNTIFS(A:A,A1410,G:G,64),,"v")&amp;IF(F1410,"ar","a"),IF(F1410,"r","v")),"")</f>
        <v/>
      </c>
      <c r="F1410" s="2" t="str">
        <f>IF(C1410=0,ISTEXT(FORMULA.CONVERT("="&amp;A1410&amp;"("&amp;REPLACE(REPT(",#ref!",B1410),1,1,"")&amp;")()",1)),"")</f>
        <v/>
      </c>
      <c r="G1410" s="2">
        <f>TYPE(PRICEDISC(IF(1,1),IF(1,1),IF(1,1),{1},IF(1,1)))</f>
        <v>64</v>
      </c>
      <c r="H1410" s="2" t="str">
        <f t="shared" ref="H1410:H1473" si="45">IF((I1410=64)*(J1410=B1410)+(1-L1410)*COUNTIF(D1410,"*v*")+(1-N1410)*COUNTIF(D1410,"*r*"),1,"")</f>
        <v/>
      </c>
      <c r="I1410" s="2">
        <f>TYPE(PRICEDISC(IF(1,1),IF(1,1),IF(1,1),IF(1,1),IF(1,1)))</f>
        <v>16</v>
      </c>
      <c r="J1410" s="2" t="str">
        <f>IF(C1410=0,COUNTIFS(A:A,A1410,D:D,"a"),"")</f>
        <v/>
      </c>
      <c r="K1410" s="2" t="e">
        <f>INDEX(+PRICEDISC(#REF!,#REF!,#REF!,K1410:L1410,#REF!),)</f>
        <v>#REF!</v>
      </c>
      <c r="L1410" s="1">
        <v>1</v>
      </c>
      <c r="M1410" s="2" t="e">
        <f>INDEX(+PRICEDISC(#REF!,#REF!,#REF!,INDIRECT(M1410:N1410),#REF!),)</f>
        <v>#REF!</v>
      </c>
      <c r="N1410" s="1">
        <v>1</v>
      </c>
    </row>
    <row r="1411" spans="1:14" x14ac:dyDescent="0.55000000000000004">
      <c r="A1411" s="1" t="s">
        <v>1866</v>
      </c>
      <c r="B1411" s="2">
        <f>COUNTIF(A:A,A1411)-1</f>
        <v>5</v>
      </c>
      <c r="C1411" s="2">
        <f>COUNTIF(A$1:A1411,A1411)-1</f>
        <v>5</v>
      </c>
      <c r="D1411" s="2" t="str">
        <f>Argument!D1411</f>
        <v>vr</v>
      </c>
      <c r="E1411" s="2" t="str">
        <f t="shared" si="44"/>
        <v/>
      </c>
      <c r="F1411" s="2" t="str">
        <f>IF(C1411=0,ISTEXT(FORMULA.CONVERT("="&amp;A1411&amp;"("&amp;REPLACE(REPT(",#ref!",B1411),1,1,"")&amp;")()",1)),"")</f>
        <v/>
      </c>
      <c r="G1411" s="2">
        <f>TYPE(PRICEDISC(IF(1,1),IF(1,1),IF(1,1),IF(1,1),{1}))</f>
        <v>64</v>
      </c>
      <c r="H1411" s="2" t="str">
        <f t="shared" si="45"/>
        <v/>
      </c>
      <c r="I1411" s="2">
        <f>TYPE(PRICEDISC(IF(1,1),IF(1,1),IF(1,1),IF(1,1),IF(1,1)))</f>
        <v>16</v>
      </c>
      <c r="J1411" s="2" t="str">
        <f>IF(C1411=0,COUNTIFS(A:A,A1411,D:D,"a"),"")</f>
        <v/>
      </c>
      <c r="K1411" s="2" t="e">
        <f>INDEX(+PRICEDISC(#REF!,#REF!,#REF!,#REF!,K1411:L1411),)</f>
        <v>#VALUE!</v>
      </c>
      <c r="L1411" s="1">
        <v>1</v>
      </c>
      <c r="M1411" s="2" t="e">
        <f>INDEX(+PRICEDISC(#REF!,#REF!,#REF!,#REF!,INDIRECT(M1411:N1411)),)</f>
        <v>#REF!</v>
      </c>
      <c r="N1411" s="1">
        <v>1</v>
      </c>
    </row>
    <row r="1412" spans="1:14" x14ac:dyDescent="0.55000000000000004">
      <c r="A1412" s="1" t="s">
        <v>1867</v>
      </c>
      <c r="B1412" s="2">
        <f>COUNTIF(A:A,A1412)-1</f>
        <v>5</v>
      </c>
      <c r="C1412" s="2">
        <f>COUNTIF(A$1:A1412,A1412)-1</f>
        <v>0</v>
      </c>
      <c r="D1412" s="2" t="str">
        <f>Argument!D1412</f>
        <v/>
      </c>
      <c r="E1412" s="2" t="str">
        <f t="shared" si="44"/>
        <v>v</v>
      </c>
      <c r="F1412" s="2" t="b">
        <f>IF(C1412=0,ISTEXT(FORMULA.CONVERT("="&amp;A1412&amp;"("&amp;REPLACE(REPT(",#ref!",B1412),1,1,"")&amp;")()",1)),"")</f>
        <v>0</v>
      </c>
      <c r="G1412" s="2"/>
      <c r="H1412" s="2" t="str">
        <f t="shared" si="45"/>
        <v/>
      </c>
      <c r="I1412" s="2">
        <f>TYPE(YIELDDISC(IF(1,1),IF(1,1),IF(1,1),IF(1,1),IF(1,1)))</f>
        <v>16</v>
      </c>
      <c r="J1412" s="2">
        <f>IF(C1412=0,COUNTIFS(A:A,A1412,D:D,"a"),"")</f>
        <v>0</v>
      </c>
      <c r="K1412" s="2"/>
      <c r="M1412" s="2"/>
    </row>
    <row r="1413" spans="1:14" x14ac:dyDescent="0.55000000000000004">
      <c r="A1413" s="1" t="s">
        <v>1867</v>
      </c>
      <c r="B1413" s="2">
        <f>COUNTIF(A:A,A1413)-1</f>
        <v>5</v>
      </c>
      <c r="C1413" s="2">
        <f>COUNTIF(A$1:A1413,A1413)-1</f>
        <v>1</v>
      </c>
      <c r="D1413" s="2" t="str">
        <f>Argument!D1413</f>
        <v>vr</v>
      </c>
      <c r="E1413" s="2" t="str">
        <f t="shared" si="44"/>
        <v/>
      </c>
      <c r="F1413" s="2" t="str">
        <f>IF(C1413=0,ISTEXT(FORMULA.CONVERT("="&amp;A1413&amp;"("&amp;REPLACE(REPT(",#ref!",B1413),1,1,"")&amp;")()",1)),"")</f>
        <v/>
      </c>
      <c r="G1413" s="2">
        <f>TYPE(YIELDDISC({1},IF(1,1),IF(1,1),IF(1,1),IF(1,1)))</f>
        <v>64</v>
      </c>
      <c r="H1413" s="2" t="str">
        <f t="shared" si="45"/>
        <v/>
      </c>
      <c r="I1413" s="2">
        <f>TYPE(YIELDDISC(IF(1,1),IF(1,1),IF(1,1),IF(1,1),IF(1,1)))</f>
        <v>16</v>
      </c>
      <c r="J1413" s="2" t="str">
        <f>IF(C1413=0,COUNTIFS(A:A,A1413,D:D,"a"),"")</f>
        <v/>
      </c>
      <c r="K1413" s="2" t="e">
        <f>INDEX(+YIELDDISC(K1413:L1413,#REF!,#REF!,#REF!,#REF!),)</f>
        <v>#REF!</v>
      </c>
      <c r="L1413" s="1">
        <v>1</v>
      </c>
      <c r="M1413" s="2" t="e">
        <f>INDEX(+YIELDDISC(INDIRECT(M1413:N1413),#REF!,#REF!,#REF!,#REF!),)</f>
        <v>#REF!</v>
      </c>
      <c r="N1413" s="1">
        <v>1</v>
      </c>
    </row>
    <row r="1414" spans="1:14" x14ac:dyDescent="0.55000000000000004">
      <c r="A1414" s="1" t="s">
        <v>1867</v>
      </c>
      <c r="B1414" s="2">
        <f>COUNTIF(A:A,A1414)-1</f>
        <v>5</v>
      </c>
      <c r="C1414" s="2">
        <f>COUNTIF(A$1:A1414,A1414)-1</f>
        <v>2</v>
      </c>
      <c r="D1414" s="2" t="str">
        <f>Argument!D1414</f>
        <v>vr</v>
      </c>
      <c r="E1414" s="2" t="str">
        <f t="shared" si="44"/>
        <v/>
      </c>
      <c r="F1414" s="2" t="str">
        <f>IF(C1414=0,ISTEXT(FORMULA.CONVERT("="&amp;A1414&amp;"("&amp;REPLACE(REPT(",#ref!",B1414),1,1,"")&amp;")()",1)),"")</f>
        <v/>
      </c>
      <c r="G1414" s="2">
        <f>TYPE(YIELDDISC(IF(1,1),{1},IF(1,1),IF(1,1),IF(1,1)))</f>
        <v>64</v>
      </c>
      <c r="H1414" s="2" t="str">
        <f t="shared" si="45"/>
        <v/>
      </c>
      <c r="I1414" s="2">
        <f>TYPE(YIELDDISC(IF(1,1),IF(1,1),IF(1,1),IF(1,1),IF(1,1)))</f>
        <v>16</v>
      </c>
      <c r="J1414" s="2" t="str">
        <f>IF(C1414=0,COUNTIFS(A:A,A1414,D:D,"a"),"")</f>
        <v/>
      </c>
      <c r="K1414" s="2" t="e">
        <f>INDEX(+YIELDDISC(#REF!,K1414:L1414,#REF!,#REF!,#REF!),)</f>
        <v>#REF!</v>
      </c>
      <c r="L1414" s="1">
        <v>1</v>
      </c>
      <c r="M1414" s="2" t="e">
        <f>INDEX(+YIELDDISC(#REF!,INDIRECT(M1414:N1414),#REF!,#REF!,#REF!),)</f>
        <v>#REF!</v>
      </c>
      <c r="N1414" s="1">
        <v>1</v>
      </c>
    </row>
    <row r="1415" spans="1:14" x14ac:dyDescent="0.55000000000000004">
      <c r="A1415" s="1" t="s">
        <v>1867</v>
      </c>
      <c r="B1415" s="2">
        <f>COUNTIF(A:A,A1415)-1</f>
        <v>5</v>
      </c>
      <c r="C1415" s="2">
        <f>COUNTIF(A$1:A1415,A1415)-1</f>
        <v>3</v>
      </c>
      <c r="D1415" s="2" t="str">
        <f>Argument!D1415</f>
        <v>vr</v>
      </c>
      <c r="E1415" s="2" t="str">
        <f t="shared" si="44"/>
        <v/>
      </c>
      <c r="F1415" s="2" t="str">
        <f>IF(C1415=0,ISTEXT(FORMULA.CONVERT("="&amp;A1415&amp;"("&amp;REPLACE(REPT(",#ref!",B1415),1,1,"")&amp;")()",1)),"")</f>
        <v/>
      </c>
      <c r="G1415" s="2">
        <f>TYPE(YIELDDISC(IF(1,1),IF(1,1),{1},IF(1,1),IF(1,1)))</f>
        <v>64</v>
      </c>
      <c r="H1415" s="2" t="str">
        <f t="shared" si="45"/>
        <v/>
      </c>
      <c r="I1415" s="2">
        <f>TYPE(YIELDDISC(IF(1,1),IF(1,1),IF(1,1),IF(1,1),IF(1,1)))</f>
        <v>16</v>
      </c>
      <c r="J1415" s="2" t="str">
        <f>IF(C1415=0,COUNTIFS(A:A,A1415,D:D,"a"),"")</f>
        <v/>
      </c>
      <c r="K1415" s="2" t="e">
        <f>INDEX(+YIELDDISC(#REF!,#REF!,K1415:L1415,#REF!,#REF!),)</f>
        <v>#REF!</v>
      </c>
      <c r="L1415" s="1">
        <v>1</v>
      </c>
      <c r="M1415" s="2" t="e">
        <f>INDEX(+YIELDDISC(#REF!,#REF!,INDIRECT(M1415:N1415),#REF!,#REF!),)</f>
        <v>#REF!</v>
      </c>
      <c r="N1415" s="1">
        <v>1</v>
      </c>
    </row>
    <row r="1416" spans="1:14" x14ac:dyDescent="0.55000000000000004">
      <c r="A1416" s="1" t="s">
        <v>1867</v>
      </c>
      <c r="B1416" s="2">
        <f>COUNTIF(A:A,A1416)-1</f>
        <v>5</v>
      </c>
      <c r="C1416" s="2">
        <f>COUNTIF(A$1:A1416,A1416)-1</f>
        <v>4</v>
      </c>
      <c r="D1416" s="2" t="str">
        <f>Argument!D1416</f>
        <v>vr</v>
      </c>
      <c r="E1416" s="2" t="str">
        <f t="shared" si="44"/>
        <v/>
      </c>
      <c r="F1416" s="2" t="str">
        <f>IF(C1416=0,ISTEXT(FORMULA.CONVERT("="&amp;A1416&amp;"("&amp;REPLACE(REPT(",#ref!",B1416),1,1,"")&amp;")()",1)),"")</f>
        <v/>
      </c>
      <c r="G1416" s="2">
        <f>TYPE(YIELDDISC(IF(1,1),IF(1,1),IF(1,1),{1},IF(1,1)))</f>
        <v>64</v>
      </c>
      <c r="H1416" s="2" t="str">
        <f t="shared" si="45"/>
        <v/>
      </c>
      <c r="I1416" s="2">
        <f>TYPE(YIELDDISC(IF(1,1),IF(1,1),IF(1,1),IF(1,1),IF(1,1)))</f>
        <v>16</v>
      </c>
      <c r="J1416" s="2" t="str">
        <f>IF(C1416=0,COUNTIFS(A:A,A1416,D:D,"a"),"")</f>
        <v/>
      </c>
      <c r="K1416" s="2" t="e">
        <f>INDEX(+YIELDDISC(#REF!,#REF!,#REF!,K1416:L1416,#REF!),)</f>
        <v>#REF!</v>
      </c>
      <c r="L1416" s="1">
        <v>1</v>
      </c>
      <c r="M1416" s="2" t="e">
        <f>INDEX(+YIELDDISC(#REF!,#REF!,#REF!,INDIRECT(M1416:N1416),#REF!),)</f>
        <v>#REF!</v>
      </c>
      <c r="N1416" s="1">
        <v>1</v>
      </c>
    </row>
    <row r="1417" spans="1:14" x14ac:dyDescent="0.55000000000000004">
      <c r="A1417" s="1" t="s">
        <v>1867</v>
      </c>
      <c r="B1417" s="2">
        <f>COUNTIF(A:A,A1417)-1</f>
        <v>5</v>
      </c>
      <c r="C1417" s="2">
        <f>COUNTIF(A$1:A1417,A1417)-1</f>
        <v>5</v>
      </c>
      <c r="D1417" s="2" t="str">
        <f>Argument!D1417</f>
        <v>vr</v>
      </c>
      <c r="E1417" s="2" t="str">
        <f t="shared" si="44"/>
        <v/>
      </c>
      <c r="F1417" s="2" t="str">
        <f>IF(C1417=0,ISTEXT(FORMULA.CONVERT("="&amp;A1417&amp;"("&amp;REPLACE(REPT(",#ref!",B1417),1,1,"")&amp;")()",1)),"")</f>
        <v/>
      </c>
      <c r="G1417" s="2">
        <f>TYPE(YIELDDISC(IF(1,1),IF(1,1),IF(1,1),IF(1,1),{1}))</f>
        <v>64</v>
      </c>
      <c r="H1417" s="2" t="str">
        <f t="shared" si="45"/>
        <v/>
      </c>
      <c r="I1417" s="2">
        <f>TYPE(YIELDDISC(IF(1,1),IF(1,1),IF(1,1),IF(1,1),IF(1,1)))</f>
        <v>16</v>
      </c>
      <c r="J1417" s="2" t="str">
        <f>IF(C1417=0,COUNTIFS(A:A,A1417,D:D,"a"),"")</f>
        <v/>
      </c>
      <c r="K1417" s="2" t="e">
        <f>INDEX(+YIELDDISC(#REF!,#REF!,#REF!,#REF!,K1417:L1417),)</f>
        <v>#VALUE!</v>
      </c>
      <c r="L1417" s="1">
        <v>1</v>
      </c>
      <c r="M1417" s="2" t="e">
        <f>INDEX(+YIELDDISC(#REF!,#REF!,#REF!,#REF!,INDIRECT(M1417:N1417)),)</f>
        <v>#REF!</v>
      </c>
      <c r="N1417" s="1">
        <v>1</v>
      </c>
    </row>
    <row r="1418" spans="1:14" x14ac:dyDescent="0.55000000000000004">
      <c r="A1418" s="1" t="s">
        <v>1868</v>
      </c>
      <c r="B1418" s="2">
        <f>COUNTIF(A:A,A1418)-1</f>
        <v>3</v>
      </c>
      <c r="C1418" s="2">
        <f>COUNTIF(A$1:A1418,A1418)-1</f>
        <v>0</v>
      </c>
      <c r="D1418" s="2" t="str">
        <f>Argument!D1418</f>
        <v/>
      </c>
      <c r="E1418" s="2" t="str">
        <f t="shared" si="44"/>
        <v>v</v>
      </c>
      <c r="F1418" s="2" t="b">
        <f>IF(C1418=0,ISTEXT(FORMULA.CONVERT("="&amp;A1418&amp;"("&amp;REPLACE(REPT(",#ref!",B1418),1,1,"")&amp;")()",1)),"")</f>
        <v>0</v>
      </c>
      <c r="G1418" s="2"/>
      <c r="H1418" s="2" t="str">
        <f t="shared" si="45"/>
        <v/>
      </c>
      <c r="I1418" s="2">
        <f>TYPE(TBILLEQ(IF(1,1),IF(1,1),IF(1,1)))</f>
        <v>16</v>
      </c>
      <c r="J1418" s="2">
        <f>IF(C1418=0,COUNTIFS(A:A,A1418,D:D,"a"),"")</f>
        <v>0</v>
      </c>
      <c r="K1418" s="2"/>
      <c r="M1418" s="2"/>
    </row>
    <row r="1419" spans="1:14" x14ac:dyDescent="0.55000000000000004">
      <c r="A1419" s="1" t="s">
        <v>1868</v>
      </c>
      <c r="B1419" s="2">
        <f>COUNTIF(A:A,A1419)-1</f>
        <v>3</v>
      </c>
      <c r="C1419" s="2">
        <f>COUNTIF(A$1:A1419,A1419)-1</f>
        <v>1</v>
      </c>
      <c r="D1419" s="2" t="str">
        <f>Argument!D1419</f>
        <v>vr</v>
      </c>
      <c r="E1419" s="2" t="str">
        <f t="shared" si="44"/>
        <v/>
      </c>
      <c r="F1419" s="2" t="str">
        <f>IF(C1419=0,ISTEXT(FORMULA.CONVERT("="&amp;A1419&amp;"("&amp;REPLACE(REPT(",#ref!",B1419),1,1,"")&amp;")()",1)),"")</f>
        <v/>
      </c>
      <c r="G1419" s="2">
        <f>TYPE(TBILLEQ({1},IF(1,1),IF(1,1)))</f>
        <v>64</v>
      </c>
      <c r="H1419" s="2" t="str">
        <f t="shared" si="45"/>
        <v/>
      </c>
      <c r="I1419" s="2">
        <f>TYPE(TBILLEQ(IF(1,1),IF(1,1),IF(1,1)))</f>
        <v>16</v>
      </c>
      <c r="J1419" s="2" t="str">
        <f>IF(C1419=0,COUNTIFS(A:A,A1419,D:D,"a"),"")</f>
        <v/>
      </c>
      <c r="K1419" s="2" t="e">
        <f>INDEX(+TBILLEQ(K1419:L1419,#REF!,#REF!),)</f>
        <v>#VALUE!</v>
      </c>
      <c r="L1419" s="1">
        <v>1</v>
      </c>
      <c r="M1419" s="2" t="e">
        <f>INDEX(+TBILLEQ(INDIRECT(M1419:N1419),#REF!,#REF!),)</f>
        <v>#REF!</v>
      </c>
      <c r="N1419" s="1">
        <v>1</v>
      </c>
    </row>
    <row r="1420" spans="1:14" x14ac:dyDescent="0.55000000000000004">
      <c r="A1420" s="1" t="s">
        <v>1868</v>
      </c>
      <c r="B1420" s="2">
        <f>COUNTIF(A:A,A1420)-1</f>
        <v>3</v>
      </c>
      <c r="C1420" s="2">
        <f>COUNTIF(A$1:A1420,A1420)-1</f>
        <v>2</v>
      </c>
      <c r="D1420" s="2" t="str">
        <f>Argument!D1420</f>
        <v>vr</v>
      </c>
      <c r="E1420" s="2" t="str">
        <f t="shared" si="44"/>
        <v/>
      </c>
      <c r="F1420" s="2" t="str">
        <f>IF(C1420=0,ISTEXT(FORMULA.CONVERT("="&amp;A1420&amp;"("&amp;REPLACE(REPT(",#ref!",B1420),1,1,"")&amp;")()",1)),"")</f>
        <v/>
      </c>
      <c r="G1420" s="2">
        <f>TYPE(TBILLEQ(IF(1,1),{1},IF(1,1)))</f>
        <v>64</v>
      </c>
      <c r="H1420" s="2" t="str">
        <f t="shared" si="45"/>
        <v/>
      </c>
      <c r="I1420" s="2">
        <f>TYPE(TBILLEQ(IF(1,1),IF(1,1),IF(1,1)))</f>
        <v>16</v>
      </c>
      <c r="J1420" s="2" t="str">
        <f>IF(C1420=0,COUNTIFS(A:A,A1420,D:D,"a"),"")</f>
        <v/>
      </c>
      <c r="K1420" s="2" t="e">
        <f>INDEX(+TBILLEQ(#REF!,K1420:L1420,#REF!),)</f>
        <v>#REF!</v>
      </c>
      <c r="L1420" s="1">
        <v>1</v>
      </c>
      <c r="M1420" s="2" t="e">
        <f>INDEX(+TBILLEQ(#REF!,INDIRECT(M1420:N1420),#REF!),)</f>
        <v>#REF!</v>
      </c>
      <c r="N1420" s="1">
        <v>1</v>
      </c>
    </row>
    <row r="1421" spans="1:14" x14ac:dyDescent="0.55000000000000004">
      <c r="A1421" s="1" t="s">
        <v>1868</v>
      </c>
      <c r="B1421" s="2">
        <f>COUNTIF(A:A,A1421)-1</f>
        <v>3</v>
      </c>
      <c r="C1421" s="2">
        <f>COUNTIF(A$1:A1421,A1421)-1</f>
        <v>3</v>
      </c>
      <c r="D1421" s="2" t="str">
        <f>Argument!D1421</f>
        <v>vr</v>
      </c>
      <c r="E1421" s="2" t="str">
        <f t="shared" si="44"/>
        <v/>
      </c>
      <c r="F1421" s="2" t="str">
        <f>IF(C1421=0,ISTEXT(FORMULA.CONVERT("="&amp;A1421&amp;"("&amp;REPLACE(REPT(",#ref!",B1421),1,1,"")&amp;")()",1)),"")</f>
        <v/>
      </c>
      <c r="G1421" s="2">
        <f>TYPE(TBILLEQ(IF(1,1),IF(1,1),{1}))</f>
        <v>64</v>
      </c>
      <c r="H1421" s="2" t="str">
        <f t="shared" si="45"/>
        <v/>
      </c>
      <c r="I1421" s="2">
        <f>TYPE(TBILLEQ(IF(1,1),IF(1,1),IF(1,1)))</f>
        <v>16</v>
      </c>
      <c r="J1421" s="2" t="str">
        <f>IF(C1421=0,COUNTIFS(A:A,A1421,D:D,"a"),"")</f>
        <v/>
      </c>
      <c r="K1421" s="2" t="e">
        <f>INDEX(+TBILLEQ(#REF!,#REF!,K1421:L1421),)</f>
        <v>#REF!</v>
      </c>
      <c r="L1421" s="1">
        <v>1</v>
      </c>
      <c r="M1421" s="2" t="e">
        <f>INDEX(+TBILLEQ(#REF!,#REF!,INDIRECT(M1421:N1421)),)</f>
        <v>#REF!</v>
      </c>
      <c r="N1421" s="1">
        <v>1</v>
      </c>
    </row>
    <row r="1422" spans="1:14" x14ac:dyDescent="0.55000000000000004">
      <c r="A1422" s="1" t="s">
        <v>1869</v>
      </c>
      <c r="B1422" s="2">
        <f>COUNTIF(A:A,A1422)-1</f>
        <v>3</v>
      </c>
      <c r="C1422" s="2">
        <f>COUNTIF(A$1:A1422,A1422)-1</f>
        <v>0</v>
      </c>
      <c r="D1422" s="2" t="str">
        <f>Argument!D1422</f>
        <v/>
      </c>
      <c r="E1422" s="2" t="str">
        <f t="shared" si="44"/>
        <v>v</v>
      </c>
      <c r="F1422" s="2" t="b">
        <f>IF(C1422=0,ISTEXT(FORMULA.CONVERT("="&amp;A1422&amp;"("&amp;REPLACE(REPT(",#ref!",B1422),1,1,"")&amp;")()",1)),"")</f>
        <v>0</v>
      </c>
      <c r="G1422" s="2"/>
      <c r="H1422" s="2" t="str">
        <f t="shared" si="45"/>
        <v/>
      </c>
      <c r="I1422" s="2">
        <f>TYPE(TBILLPRICE(IF(1,1),IF(1,1),IF(1,1)))</f>
        <v>16</v>
      </c>
      <c r="J1422" s="2">
        <f>IF(C1422=0,COUNTIFS(A:A,A1422,D:D,"a"),"")</f>
        <v>0</v>
      </c>
      <c r="K1422" s="2"/>
      <c r="M1422" s="2"/>
    </row>
    <row r="1423" spans="1:14" x14ac:dyDescent="0.55000000000000004">
      <c r="A1423" s="1" t="s">
        <v>1869</v>
      </c>
      <c r="B1423" s="2">
        <f>COUNTIF(A:A,A1423)-1</f>
        <v>3</v>
      </c>
      <c r="C1423" s="2">
        <f>COUNTIF(A$1:A1423,A1423)-1</f>
        <v>1</v>
      </c>
      <c r="D1423" s="2" t="str">
        <f>Argument!D1423</f>
        <v>vr</v>
      </c>
      <c r="E1423" s="2" t="str">
        <f t="shared" si="44"/>
        <v/>
      </c>
      <c r="F1423" s="2" t="str">
        <f>IF(C1423=0,ISTEXT(FORMULA.CONVERT("="&amp;A1423&amp;"("&amp;REPLACE(REPT(",#ref!",B1423),1,1,"")&amp;")()",1)),"")</f>
        <v/>
      </c>
      <c r="G1423" s="2">
        <f>TYPE(TBILLPRICE({1},IF(1,1),IF(1,1)))</f>
        <v>64</v>
      </c>
      <c r="H1423" s="2" t="str">
        <f t="shared" si="45"/>
        <v/>
      </c>
      <c r="I1423" s="2">
        <f>TYPE(TBILLPRICE(IF(1,1),IF(1,1),IF(1,1)))</f>
        <v>16</v>
      </c>
      <c r="J1423" s="2" t="str">
        <f>IF(C1423=0,COUNTIFS(A:A,A1423,D:D,"a"),"")</f>
        <v/>
      </c>
      <c r="K1423" s="2" t="e">
        <f>INDEX(+TBILLPRICE(K1423:L1423,#REF!,#REF!),)</f>
        <v>#VALUE!</v>
      </c>
      <c r="L1423" s="1">
        <v>1</v>
      </c>
      <c r="M1423" s="2" t="e">
        <f>INDEX(+TBILLPRICE(INDIRECT(M1423:N1423),#REF!,#REF!),)</f>
        <v>#REF!</v>
      </c>
      <c r="N1423" s="1">
        <v>1</v>
      </c>
    </row>
    <row r="1424" spans="1:14" x14ac:dyDescent="0.55000000000000004">
      <c r="A1424" s="1" t="s">
        <v>1869</v>
      </c>
      <c r="B1424" s="2">
        <f>COUNTIF(A:A,A1424)-1</f>
        <v>3</v>
      </c>
      <c r="C1424" s="2">
        <f>COUNTIF(A$1:A1424,A1424)-1</f>
        <v>2</v>
      </c>
      <c r="D1424" s="2" t="str">
        <f>Argument!D1424</f>
        <v>vr</v>
      </c>
      <c r="E1424" s="2" t="str">
        <f t="shared" si="44"/>
        <v/>
      </c>
      <c r="F1424" s="2" t="str">
        <f>IF(C1424=0,ISTEXT(FORMULA.CONVERT("="&amp;A1424&amp;"("&amp;REPLACE(REPT(",#ref!",B1424),1,1,"")&amp;")()",1)),"")</f>
        <v/>
      </c>
      <c r="G1424" s="2">
        <f>TYPE(TBILLPRICE(IF(1,1),{1},IF(1,1)))</f>
        <v>64</v>
      </c>
      <c r="H1424" s="2" t="str">
        <f t="shared" si="45"/>
        <v/>
      </c>
      <c r="I1424" s="2">
        <f>TYPE(TBILLPRICE(IF(1,1),IF(1,1),IF(1,1)))</f>
        <v>16</v>
      </c>
      <c r="J1424" s="2" t="str">
        <f>IF(C1424=0,COUNTIFS(A:A,A1424,D:D,"a"),"")</f>
        <v/>
      </c>
      <c r="K1424" s="2" t="e">
        <f>INDEX(+TBILLPRICE(#REF!,K1424:L1424,#REF!),)</f>
        <v>#REF!</v>
      </c>
      <c r="L1424" s="1">
        <v>1</v>
      </c>
      <c r="M1424" s="2" t="e">
        <f>INDEX(+TBILLPRICE(#REF!,INDIRECT(M1424:N1424),#REF!),)</f>
        <v>#REF!</v>
      </c>
      <c r="N1424" s="1">
        <v>1</v>
      </c>
    </row>
    <row r="1425" spans="1:14" x14ac:dyDescent="0.55000000000000004">
      <c r="A1425" s="1" t="s">
        <v>1869</v>
      </c>
      <c r="B1425" s="2">
        <f>COUNTIF(A:A,A1425)-1</f>
        <v>3</v>
      </c>
      <c r="C1425" s="2">
        <f>COUNTIF(A$1:A1425,A1425)-1</f>
        <v>3</v>
      </c>
      <c r="D1425" s="2" t="str">
        <f>Argument!D1425</f>
        <v>vr</v>
      </c>
      <c r="E1425" s="2" t="str">
        <f t="shared" si="44"/>
        <v/>
      </c>
      <c r="F1425" s="2" t="str">
        <f>IF(C1425=0,ISTEXT(FORMULA.CONVERT("="&amp;A1425&amp;"("&amp;REPLACE(REPT(",#ref!",B1425),1,1,"")&amp;")()",1)),"")</f>
        <v/>
      </c>
      <c r="G1425" s="2">
        <f>TYPE(TBILLPRICE(IF(1,1),IF(1,1),{1}))</f>
        <v>64</v>
      </c>
      <c r="H1425" s="2" t="str">
        <f t="shared" si="45"/>
        <v/>
      </c>
      <c r="I1425" s="2">
        <f>TYPE(TBILLPRICE(IF(1,1),IF(1,1),IF(1,1)))</f>
        <v>16</v>
      </c>
      <c r="J1425" s="2" t="str">
        <f>IF(C1425=0,COUNTIFS(A:A,A1425,D:D,"a"),"")</f>
        <v/>
      </c>
      <c r="K1425" s="2" t="e">
        <f>INDEX(+TBILLPRICE(#REF!,#REF!,K1425:L1425),)</f>
        <v>#REF!</v>
      </c>
      <c r="L1425" s="1">
        <v>1</v>
      </c>
      <c r="M1425" s="2" t="e">
        <f>INDEX(+TBILLPRICE(#REF!,#REF!,INDIRECT(M1425:N1425)),)</f>
        <v>#REF!</v>
      </c>
      <c r="N1425" s="1">
        <v>1</v>
      </c>
    </row>
    <row r="1426" spans="1:14" x14ac:dyDescent="0.55000000000000004">
      <c r="A1426" s="1" t="s">
        <v>1870</v>
      </c>
      <c r="B1426" s="2">
        <f>COUNTIF(A:A,A1426)-1</f>
        <v>3</v>
      </c>
      <c r="C1426" s="2">
        <f>COUNTIF(A$1:A1426,A1426)-1</f>
        <v>0</v>
      </c>
      <c r="D1426" s="2" t="str">
        <f>Argument!D1426</f>
        <v/>
      </c>
      <c r="E1426" s="2" t="str">
        <f t="shared" si="44"/>
        <v>v</v>
      </c>
      <c r="F1426" s="2" t="b">
        <f>IF(C1426=0,ISTEXT(FORMULA.CONVERT("="&amp;A1426&amp;"("&amp;REPLACE(REPT(",#ref!",B1426),1,1,"")&amp;")()",1)),"")</f>
        <v>0</v>
      </c>
      <c r="G1426" s="2"/>
      <c r="H1426" s="2" t="str">
        <f t="shared" si="45"/>
        <v/>
      </c>
      <c r="I1426" s="2">
        <f>TYPE(TBILLYIELD(IF(1,1),IF(1,1),IF(1,1)))</f>
        <v>16</v>
      </c>
      <c r="J1426" s="2">
        <f>IF(C1426=0,COUNTIFS(A:A,A1426,D:D,"a"),"")</f>
        <v>0</v>
      </c>
      <c r="K1426" s="2"/>
      <c r="M1426" s="2"/>
    </row>
    <row r="1427" spans="1:14" x14ac:dyDescent="0.55000000000000004">
      <c r="A1427" s="1" t="s">
        <v>1870</v>
      </c>
      <c r="B1427" s="2">
        <f>COUNTIF(A:A,A1427)-1</f>
        <v>3</v>
      </c>
      <c r="C1427" s="2">
        <f>COUNTIF(A$1:A1427,A1427)-1</f>
        <v>1</v>
      </c>
      <c r="D1427" s="2" t="str">
        <f>Argument!D1427</f>
        <v>vr</v>
      </c>
      <c r="E1427" s="2" t="str">
        <f t="shared" si="44"/>
        <v/>
      </c>
      <c r="F1427" s="2" t="str">
        <f>IF(C1427=0,ISTEXT(FORMULA.CONVERT("="&amp;A1427&amp;"("&amp;REPLACE(REPT(",#ref!",B1427),1,1,"")&amp;")()",1)),"")</f>
        <v/>
      </c>
      <c r="G1427" s="2">
        <f>TYPE(TBILLYIELD({1},IF(1,1),IF(1,1)))</f>
        <v>64</v>
      </c>
      <c r="H1427" s="2" t="str">
        <f t="shared" si="45"/>
        <v/>
      </c>
      <c r="I1427" s="2">
        <f>TYPE(TBILLYIELD(IF(1,1),IF(1,1),IF(1,1)))</f>
        <v>16</v>
      </c>
      <c r="J1427" s="2" t="str">
        <f>IF(C1427=0,COUNTIFS(A:A,A1427,D:D,"a"),"")</f>
        <v/>
      </c>
      <c r="K1427" s="2" t="e">
        <f>INDEX(+TBILLYIELD(K1427:L1427,#REF!,#REF!),)</f>
        <v>#VALUE!</v>
      </c>
      <c r="L1427" s="1">
        <v>1</v>
      </c>
      <c r="M1427" s="2" t="e">
        <f>INDEX(+TBILLYIELD(INDIRECT(M1427:N1427),#REF!,#REF!),)</f>
        <v>#REF!</v>
      </c>
      <c r="N1427" s="1">
        <v>1</v>
      </c>
    </row>
    <row r="1428" spans="1:14" x14ac:dyDescent="0.55000000000000004">
      <c r="A1428" s="1" t="s">
        <v>1870</v>
      </c>
      <c r="B1428" s="2">
        <f>COUNTIF(A:A,A1428)-1</f>
        <v>3</v>
      </c>
      <c r="C1428" s="2">
        <f>COUNTIF(A$1:A1428,A1428)-1</f>
        <v>2</v>
      </c>
      <c r="D1428" s="2" t="str">
        <f>Argument!D1428</f>
        <v>vr</v>
      </c>
      <c r="E1428" s="2" t="str">
        <f t="shared" si="44"/>
        <v/>
      </c>
      <c r="F1428" s="2" t="str">
        <f>IF(C1428=0,ISTEXT(FORMULA.CONVERT("="&amp;A1428&amp;"("&amp;REPLACE(REPT(",#ref!",B1428),1,1,"")&amp;")()",1)),"")</f>
        <v/>
      </c>
      <c r="G1428" s="2">
        <f>TYPE(TBILLYIELD(IF(1,1),{1},IF(1,1)))</f>
        <v>64</v>
      </c>
      <c r="H1428" s="2" t="str">
        <f t="shared" si="45"/>
        <v/>
      </c>
      <c r="I1428" s="2">
        <f>TYPE(TBILLYIELD(IF(1,1),IF(1,1),IF(1,1)))</f>
        <v>16</v>
      </c>
      <c r="J1428" s="2" t="str">
        <f>IF(C1428=0,COUNTIFS(A:A,A1428,D:D,"a"),"")</f>
        <v/>
      </c>
      <c r="K1428" s="2" t="e">
        <f>INDEX(+TBILLYIELD(#REF!,K1428:L1428,#REF!),)</f>
        <v>#REF!</v>
      </c>
      <c r="L1428" s="1">
        <v>1</v>
      </c>
      <c r="M1428" s="2" t="e">
        <f>INDEX(+TBILLYIELD(#REF!,INDIRECT(M1428:N1428),#REF!),)</f>
        <v>#REF!</v>
      </c>
      <c r="N1428" s="1">
        <v>1</v>
      </c>
    </row>
    <row r="1429" spans="1:14" x14ac:dyDescent="0.55000000000000004">
      <c r="A1429" s="1" t="s">
        <v>1870</v>
      </c>
      <c r="B1429" s="2">
        <f>COUNTIF(A:A,A1429)-1</f>
        <v>3</v>
      </c>
      <c r="C1429" s="2">
        <f>COUNTIF(A$1:A1429,A1429)-1</f>
        <v>3</v>
      </c>
      <c r="D1429" s="2" t="str">
        <f>Argument!D1429</f>
        <v>vr</v>
      </c>
      <c r="E1429" s="2" t="str">
        <f t="shared" si="44"/>
        <v/>
      </c>
      <c r="F1429" s="2" t="str">
        <f>IF(C1429=0,ISTEXT(FORMULA.CONVERT("="&amp;A1429&amp;"("&amp;REPLACE(REPT(",#ref!",B1429),1,1,"")&amp;")()",1)),"")</f>
        <v/>
      </c>
      <c r="G1429" s="2">
        <f>TYPE(TBILLYIELD(IF(1,1),IF(1,1),{1}))</f>
        <v>64</v>
      </c>
      <c r="H1429" s="2" t="str">
        <f t="shared" si="45"/>
        <v/>
      </c>
      <c r="I1429" s="2">
        <f>TYPE(TBILLYIELD(IF(1,1),IF(1,1),IF(1,1)))</f>
        <v>16</v>
      </c>
      <c r="J1429" s="2" t="str">
        <f>IF(C1429=0,COUNTIFS(A:A,A1429,D:D,"a"),"")</f>
        <v/>
      </c>
      <c r="K1429" s="2" t="e">
        <f>INDEX(+TBILLYIELD(#REF!,#REF!,K1429:L1429),)</f>
        <v>#REF!</v>
      </c>
      <c r="L1429" s="1">
        <v>1</v>
      </c>
      <c r="M1429" s="2" t="e">
        <f>INDEX(+TBILLYIELD(#REF!,#REF!,INDIRECT(M1429:N1429)),)</f>
        <v>#REF!</v>
      </c>
      <c r="N1429" s="1">
        <v>1</v>
      </c>
    </row>
    <row r="1430" spans="1:14" x14ac:dyDescent="0.55000000000000004">
      <c r="A1430" s="1" t="s">
        <v>1871</v>
      </c>
      <c r="B1430" s="2">
        <f>COUNTIF(A:A,A1430)-1</f>
        <v>7</v>
      </c>
      <c r="C1430" s="2">
        <f>COUNTIF(A$1:A1430,A1430)-1</f>
        <v>0</v>
      </c>
      <c r="D1430" s="2" t="str">
        <f>Argument!D1430</f>
        <v/>
      </c>
      <c r="E1430" s="2" t="str">
        <f t="shared" si="44"/>
        <v>v</v>
      </c>
      <c r="F1430" s="2" t="b">
        <f>IF(C1430=0,ISTEXT(FORMULA.CONVERT("="&amp;A1430&amp;"("&amp;REPLACE(REPT(",#ref!",B1430),1,1,"")&amp;")()",1)),"")</f>
        <v>0</v>
      </c>
      <c r="G1430" s="2"/>
      <c r="H1430" s="2" t="str">
        <f t="shared" si="45"/>
        <v/>
      </c>
      <c r="I1430" s="2">
        <f>TYPE(PRICE(IF(1,1),IF(1,1),IF(1,1),IF(1,1),IF(1,1),IF(1,1),IF(1,1)))</f>
        <v>16</v>
      </c>
      <c r="J1430" s="2">
        <f>IF(C1430=0,COUNTIFS(A:A,A1430,D:D,"a"),"")</f>
        <v>0</v>
      </c>
      <c r="K1430" s="2"/>
      <c r="M1430" s="2"/>
    </row>
    <row r="1431" spans="1:14" x14ac:dyDescent="0.55000000000000004">
      <c r="A1431" s="1" t="s">
        <v>1871</v>
      </c>
      <c r="B1431" s="2">
        <f>COUNTIF(A:A,A1431)-1</f>
        <v>7</v>
      </c>
      <c r="C1431" s="2">
        <f>COUNTIF(A$1:A1431,A1431)-1</f>
        <v>1</v>
      </c>
      <c r="D1431" s="2" t="str">
        <f>Argument!D1431</f>
        <v>vr</v>
      </c>
      <c r="E1431" s="2" t="str">
        <f t="shared" si="44"/>
        <v/>
      </c>
      <c r="F1431" s="2" t="str">
        <f>IF(C1431=0,ISTEXT(FORMULA.CONVERT("="&amp;A1431&amp;"("&amp;REPLACE(REPT(",#ref!",B1431),1,1,"")&amp;")()",1)),"")</f>
        <v/>
      </c>
      <c r="G1431" s="2">
        <f>TYPE(PRICE({1},IF(1,1),IF(1,1),IF(1,1),IF(1,1),IF(1,1),IF(1,1)))</f>
        <v>64</v>
      </c>
      <c r="H1431" s="2" t="str">
        <f t="shared" si="45"/>
        <v/>
      </c>
      <c r="I1431" s="2">
        <f>TYPE(PRICE(IF(1,1),IF(1,1),IF(1,1),IF(1,1),IF(1,1),IF(1,1),IF(1,1)))</f>
        <v>16</v>
      </c>
      <c r="J1431" s="2" t="str">
        <f>IF(C1431=0,COUNTIFS(A:A,A1431,D:D,"a"),"")</f>
        <v/>
      </c>
      <c r="K1431" s="2" t="e">
        <f>INDEX(+PRICE(K1431:L1431,#REF!,#REF!,#REF!,#REF!,#REF!,#REF!),)</f>
        <v>#REF!</v>
      </c>
      <c r="L1431" s="1">
        <v>1</v>
      </c>
      <c r="M1431" s="2" t="e">
        <f>INDEX(+PRICE(INDIRECT(M1431:N1431),#REF!,#REF!,#REF!,#REF!,#REF!,#REF!),)</f>
        <v>#REF!</v>
      </c>
      <c r="N1431" s="1">
        <v>1</v>
      </c>
    </row>
    <row r="1432" spans="1:14" x14ac:dyDescent="0.55000000000000004">
      <c r="A1432" s="1" t="s">
        <v>1871</v>
      </c>
      <c r="B1432" s="2">
        <f>COUNTIF(A:A,A1432)-1</f>
        <v>7</v>
      </c>
      <c r="C1432" s="2">
        <f>COUNTIF(A$1:A1432,A1432)-1</f>
        <v>2</v>
      </c>
      <c r="D1432" s="2" t="str">
        <f>Argument!D1432</f>
        <v>vr</v>
      </c>
      <c r="E1432" s="2" t="str">
        <f t="shared" si="44"/>
        <v/>
      </c>
      <c r="F1432" s="2" t="str">
        <f>IF(C1432=0,ISTEXT(FORMULA.CONVERT("="&amp;A1432&amp;"("&amp;REPLACE(REPT(",#ref!",B1432),1,1,"")&amp;")()",1)),"")</f>
        <v/>
      </c>
      <c r="G1432" s="2">
        <f>TYPE(PRICE(IF(1,1),{1},IF(1,1),IF(1,1),IF(1,1),IF(1,1),IF(1,1)))</f>
        <v>64</v>
      </c>
      <c r="H1432" s="2" t="str">
        <f t="shared" si="45"/>
        <v/>
      </c>
      <c r="I1432" s="2">
        <f>TYPE(PRICE(IF(1,1),IF(1,1),IF(1,1),IF(1,1),IF(1,1),IF(1,1),IF(1,1)))</f>
        <v>16</v>
      </c>
      <c r="J1432" s="2" t="str">
        <f>IF(C1432=0,COUNTIFS(A:A,A1432,D:D,"a"),"")</f>
        <v/>
      </c>
      <c r="K1432" s="2" t="e">
        <f>INDEX(+PRICE(#REF!,K1432:L1432,#REF!,#REF!,#REF!,#REF!,#REF!),)</f>
        <v>#REF!</v>
      </c>
      <c r="L1432" s="1">
        <v>1</v>
      </c>
      <c r="M1432" s="2" t="e">
        <f>INDEX(+PRICE(#REF!,INDIRECT(M1432:N1432),#REF!,#REF!,#REF!,#REF!,#REF!),)</f>
        <v>#REF!</v>
      </c>
      <c r="N1432" s="1">
        <v>1</v>
      </c>
    </row>
    <row r="1433" spans="1:14" x14ac:dyDescent="0.55000000000000004">
      <c r="A1433" s="1" t="s">
        <v>1871</v>
      </c>
      <c r="B1433" s="2">
        <f>COUNTIF(A:A,A1433)-1</f>
        <v>7</v>
      </c>
      <c r="C1433" s="2">
        <f>COUNTIF(A$1:A1433,A1433)-1</f>
        <v>3</v>
      </c>
      <c r="D1433" s="2" t="str">
        <f>Argument!D1433</f>
        <v>vr</v>
      </c>
      <c r="E1433" s="2" t="str">
        <f t="shared" si="44"/>
        <v/>
      </c>
      <c r="F1433" s="2" t="str">
        <f>IF(C1433=0,ISTEXT(FORMULA.CONVERT("="&amp;A1433&amp;"("&amp;REPLACE(REPT(",#ref!",B1433),1,1,"")&amp;")()",1)),"")</f>
        <v/>
      </c>
      <c r="G1433" s="2">
        <f>TYPE(PRICE(IF(1,1),IF(1,1),{1},IF(1,1),IF(1,1),IF(1,1),IF(1,1)))</f>
        <v>64</v>
      </c>
      <c r="H1433" s="2" t="str">
        <f t="shared" si="45"/>
        <v/>
      </c>
      <c r="I1433" s="2">
        <f>TYPE(PRICE(IF(1,1),IF(1,1),IF(1,1),IF(1,1),IF(1,1),IF(1,1),IF(1,1)))</f>
        <v>16</v>
      </c>
      <c r="J1433" s="2" t="str">
        <f>IF(C1433=0,COUNTIFS(A:A,A1433,D:D,"a"),"")</f>
        <v/>
      </c>
      <c r="K1433" s="2" t="e">
        <f>INDEX(+PRICE(#REF!,#REF!,K1433:L1433,#REF!,#REF!,#REF!,#REF!),)</f>
        <v>#REF!</v>
      </c>
      <c r="L1433" s="1">
        <v>1</v>
      </c>
      <c r="M1433" s="2" t="e">
        <f>INDEX(+PRICE(#REF!,#REF!,INDIRECT(M1433:N1433),#REF!,#REF!,#REF!,#REF!),)</f>
        <v>#REF!</v>
      </c>
      <c r="N1433" s="1">
        <v>1</v>
      </c>
    </row>
    <row r="1434" spans="1:14" x14ac:dyDescent="0.55000000000000004">
      <c r="A1434" s="1" t="s">
        <v>1871</v>
      </c>
      <c r="B1434" s="2">
        <f>COUNTIF(A:A,A1434)-1</f>
        <v>7</v>
      </c>
      <c r="C1434" s="2">
        <f>COUNTIF(A$1:A1434,A1434)-1</f>
        <v>4</v>
      </c>
      <c r="D1434" s="2" t="str">
        <f>Argument!D1434</f>
        <v>vr</v>
      </c>
      <c r="E1434" s="2" t="str">
        <f t="shared" si="44"/>
        <v/>
      </c>
      <c r="F1434" s="2" t="str">
        <f>IF(C1434=0,ISTEXT(FORMULA.CONVERT("="&amp;A1434&amp;"("&amp;REPLACE(REPT(",#ref!",B1434),1,1,"")&amp;")()",1)),"")</f>
        <v/>
      </c>
      <c r="G1434" s="2">
        <f>TYPE(PRICE(IF(1,1),IF(1,1),IF(1,1),{1},IF(1,1),IF(1,1),IF(1,1)))</f>
        <v>64</v>
      </c>
      <c r="H1434" s="2" t="str">
        <f t="shared" si="45"/>
        <v/>
      </c>
      <c r="I1434" s="2">
        <f>TYPE(PRICE(IF(1,1),IF(1,1),IF(1,1),IF(1,1),IF(1,1),IF(1,1),IF(1,1)))</f>
        <v>16</v>
      </c>
      <c r="J1434" s="2" t="str">
        <f>IF(C1434=0,COUNTIFS(A:A,A1434,D:D,"a"),"")</f>
        <v/>
      </c>
      <c r="K1434" s="2" t="e">
        <f>INDEX(+PRICE(#REF!,#REF!,#REF!,K1434:L1434,#REF!,#REF!,#REF!),)</f>
        <v>#REF!</v>
      </c>
      <c r="L1434" s="1">
        <v>1</v>
      </c>
      <c r="M1434" s="2" t="e">
        <f>INDEX(+PRICE(#REF!,#REF!,#REF!,INDIRECT(M1434:N1434),#REF!,#REF!,#REF!),)</f>
        <v>#REF!</v>
      </c>
      <c r="N1434" s="1">
        <v>1</v>
      </c>
    </row>
    <row r="1435" spans="1:14" x14ac:dyDescent="0.55000000000000004">
      <c r="A1435" s="1" t="s">
        <v>1871</v>
      </c>
      <c r="B1435" s="2">
        <f>COUNTIF(A:A,A1435)-1</f>
        <v>7</v>
      </c>
      <c r="C1435" s="2">
        <f>COUNTIF(A$1:A1435,A1435)-1</f>
        <v>5</v>
      </c>
      <c r="D1435" s="2" t="str">
        <f>Argument!D1435</f>
        <v>vr</v>
      </c>
      <c r="E1435" s="2" t="str">
        <f t="shared" si="44"/>
        <v/>
      </c>
      <c r="F1435" s="2" t="str">
        <f>IF(C1435=0,ISTEXT(FORMULA.CONVERT("="&amp;A1435&amp;"("&amp;REPLACE(REPT(",#ref!",B1435),1,1,"")&amp;")()",1)),"")</f>
        <v/>
      </c>
      <c r="G1435" s="2">
        <f>TYPE(PRICE(IF(1,1),IF(1,1),IF(1,1),IF(1,1),{1},IF(1,1),IF(1,1)))</f>
        <v>64</v>
      </c>
      <c r="H1435" s="2" t="str">
        <f t="shared" si="45"/>
        <v/>
      </c>
      <c r="I1435" s="2">
        <f>TYPE(PRICE(IF(1,1),IF(1,1),IF(1,1),IF(1,1),IF(1,1),IF(1,1),IF(1,1)))</f>
        <v>16</v>
      </c>
      <c r="J1435" s="2" t="str">
        <f>IF(C1435=0,COUNTIFS(A:A,A1435,D:D,"a"),"")</f>
        <v/>
      </c>
      <c r="K1435" s="2" t="e">
        <f>INDEX(+PRICE(#REF!,#REF!,#REF!,#REF!,K1435:L1435,#REF!,#REF!),)</f>
        <v>#REF!</v>
      </c>
      <c r="L1435" s="1">
        <v>1</v>
      </c>
      <c r="M1435" s="2" t="e">
        <f>INDEX(+PRICE(#REF!,#REF!,#REF!,#REF!,INDIRECT(M1435:N1435),#REF!,#REF!),)</f>
        <v>#REF!</v>
      </c>
      <c r="N1435" s="1">
        <v>1</v>
      </c>
    </row>
    <row r="1436" spans="1:14" x14ac:dyDescent="0.55000000000000004">
      <c r="A1436" s="1" t="s">
        <v>1871</v>
      </c>
      <c r="B1436" s="2">
        <f>COUNTIF(A:A,A1436)-1</f>
        <v>7</v>
      </c>
      <c r="C1436" s="2">
        <f>COUNTIF(A$1:A1436,A1436)-1</f>
        <v>6</v>
      </c>
      <c r="D1436" s="2" t="str">
        <f>Argument!D1436</f>
        <v>vr</v>
      </c>
      <c r="E1436" s="2" t="str">
        <f t="shared" si="44"/>
        <v/>
      </c>
      <c r="F1436" s="2" t="str">
        <f>IF(C1436=0,ISTEXT(FORMULA.CONVERT("="&amp;A1436&amp;"("&amp;REPLACE(REPT(",#ref!",B1436),1,1,"")&amp;")()",1)),"")</f>
        <v/>
      </c>
      <c r="G1436" s="2">
        <f>TYPE(PRICE(IF(1,1),IF(1,1),IF(1,1),IF(1,1),IF(1,1),{1},IF(1,1)))</f>
        <v>64</v>
      </c>
      <c r="H1436" s="2" t="str">
        <f t="shared" si="45"/>
        <v/>
      </c>
      <c r="I1436" s="2">
        <f>TYPE(PRICE(IF(1,1),IF(1,1),IF(1,1),IF(1,1),IF(1,1),IF(1,1),IF(1,1)))</f>
        <v>16</v>
      </c>
      <c r="J1436" s="2" t="str">
        <f>IF(C1436=0,COUNTIFS(A:A,A1436,D:D,"a"),"")</f>
        <v/>
      </c>
      <c r="K1436" s="2" t="e">
        <f>INDEX(+PRICE(#REF!,#REF!,#REF!,#REF!,#REF!,K1436:L1436,#REF!),)</f>
        <v>#REF!</v>
      </c>
      <c r="L1436" s="1">
        <v>1</v>
      </c>
      <c r="M1436" s="2" t="e">
        <f>INDEX(+PRICE(#REF!,#REF!,#REF!,#REF!,#REF!,INDIRECT(M1436:N1436),#REF!),)</f>
        <v>#REF!</v>
      </c>
      <c r="N1436" s="1">
        <v>1</v>
      </c>
    </row>
    <row r="1437" spans="1:14" x14ac:dyDescent="0.55000000000000004">
      <c r="A1437" s="1" t="s">
        <v>1871</v>
      </c>
      <c r="B1437" s="2">
        <f>COUNTIF(A:A,A1437)-1</f>
        <v>7</v>
      </c>
      <c r="C1437" s="2">
        <f>COUNTIF(A$1:A1437,A1437)-1</f>
        <v>7</v>
      </c>
      <c r="D1437" s="2" t="str">
        <f>Argument!D1437</f>
        <v>vr</v>
      </c>
      <c r="E1437" s="2" t="str">
        <f t="shared" si="44"/>
        <v/>
      </c>
      <c r="F1437" s="2" t="str">
        <f>IF(C1437=0,ISTEXT(FORMULA.CONVERT("="&amp;A1437&amp;"("&amp;REPLACE(REPT(",#ref!",B1437),1,1,"")&amp;")()",1)),"")</f>
        <v/>
      </c>
      <c r="G1437" s="2">
        <f>TYPE(PRICE(IF(1,1),IF(1,1),IF(1,1),IF(1,1),IF(1,1),IF(1,1),{1}))</f>
        <v>64</v>
      </c>
      <c r="H1437" s="2" t="str">
        <f t="shared" si="45"/>
        <v/>
      </c>
      <c r="I1437" s="2">
        <f>TYPE(PRICE(IF(1,1),IF(1,1),IF(1,1),IF(1,1),IF(1,1),IF(1,1),IF(1,1)))</f>
        <v>16</v>
      </c>
      <c r="J1437" s="2" t="str">
        <f>IF(C1437=0,COUNTIFS(A:A,A1437,D:D,"a"),"")</f>
        <v/>
      </c>
      <c r="K1437" s="2" t="e">
        <f>INDEX(+PRICE(#REF!,#REF!,#REF!,#REF!,#REF!,#REF!,K1437:L1437),)</f>
        <v>#VALUE!</v>
      </c>
      <c r="L1437" s="1">
        <v>1</v>
      </c>
      <c r="M1437" s="2" t="e">
        <f>INDEX(+PRICE(#REF!,#REF!,#REF!,#REF!,#REF!,#REF!,INDIRECT(M1437:N1437)),)</f>
        <v>#REF!</v>
      </c>
      <c r="N1437" s="1">
        <v>1</v>
      </c>
    </row>
    <row r="1438" spans="1:14" x14ac:dyDescent="0.55000000000000004">
      <c r="A1438" s="1" t="s">
        <v>1872</v>
      </c>
      <c r="B1438" s="2">
        <f>COUNTIF(A:A,A1438)-1</f>
        <v>7</v>
      </c>
      <c r="C1438" s="2">
        <f>COUNTIF(A$1:A1438,A1438)-1</f>
        <v>0</v>
      </c>
      <c r="D1438" s="2" t="str">
        <f>Argument!D1438</f>
        <v/>
      </c>
      <c r="E1438" s="2" t="str">
        <f t="shared" si="44"/>
        <v>v</v>
      </c>
      <c r="F1438" s="2" t="b">
        <f>IF(C1438=0,ISTEXT(FORMULA.CONVERT("="&amp;A1438&amp;"("&amp;REPLACE(REPT(",#ref!",B1438),1,1,"")&amp;")()",1)),"")</f>
        <v>0</v>
      </c>
      <c r="G1438" s="2"/>
      <c r="H1438" s="2" t="str">
        <f t="shared" si="45"/>
        <v/>
      </c>
      <c r="I1438" s="2">
        <f>TYPE(YIELD(IF(1,1),IF(1,1),IF(1,1),IF(1,1),IF(1,1),IF(1,1),IF(1,1)))</f>
        <v>16</v>
      </c>
      <c r="J1438" s="2">
        <f>IF(C1438=0,COUNTIFS(A:A,A1438,D:D,"a"),"")</f>
        <v>0</v>
      </c>
      <c r="K1438" s="2"/>
      <c r="M1438" s="2"/>
    </row>
    <row r="1439" spans="1:14" x14ac:dyDescent="0.55000000000000004">
      <c r="A1439" s="1" t="s">
        <v>1872</v>
      </c>
      <c r="B1439" s="2">
        <f>COUNTIF(A:A,A1439)-1</f>
        <v>7</v>
      </c>
      <c r="C1439" s="2">
        <f>COUNTIF(A$1:A1439,A1439)-1</f>
        <v>1</v>
      </c>
      <c r="D1439" s="2" t="str">
        <f>Argument!D1439</f>
        <v>vr</v>
      </c>
      <c r="E1439" s="2" t="str">
        <f t="shared" si="44"/>
        <v/>
      </c>
      <c r="F1439" s="2" t="str">
        <f>IF(C1439=0,ISTEXT(FORMULA.CONVERT("="&amp;A1439&amp;"("&amp;REPLACE(REPT(",#ref!",B1439),1,1,"")&amp;")()",1)),"")</f>
        <v/>
      </c>
      <c r="G1439" s="2">
        <f>TYPE(YIELD({1},IF(1,1),IF(1,1),IF(1,1),IF(1,1),IF(1,1),IF(1,1)))</f>
        <v>64</v>
      </c>
      <c r="H1439" s="2" t="str">
        <f t="shared" si="45"/>
        <v/>
      </c>
      <c r="I1439" s="2">
        <f>TYPE(YIELD(IF(1,1),IF(1,1),IF(1,1),IF(1,1),IF(1,1),IF(1,1),IF(1,1)))</f>
        <v>16</v>
      </c>
      <c r="J1439" s="2" t="str">
        <f>IF(C1439=0,COUNTIFS(A:A,A1439,D:D,"a"),"")</f>
        <v/>
      </c>
      <c r="K1439" s="2" t="e">
        <f>INDEX(+YIELD(K1439:L1439,#REF!,#REF!,#REF!,#REF!,#REF!,#REF!),)</f>
        <v>#REF!</v>
      </c>
      <c r="L1439" s="1">
        <v>1</v>
      </c>
      <c r="M1439" s="2" t="e">
        <f>INDEX(+YIELD(INDIRECT(M1439:N1439),#REF!,#REF!,#REF!,#REF!,#REF!,#REF!),)</f>
        <v>#REF!</v>
      </c>
      <c r="N1439" s="1">
        <v>1</v>
      </c>
    </row>
    <row r="1440" spans="1:14" x14ac:dyDescent="0.55000000000000004">
      <c r="A1440" s="1" t="s">
        <v>1872</v>
      </c>
      <c r="B1440" s="2">
        <f>COUNTIF(A:A,A1440)-1</f>
        <v>7</v>
      </c>
      <c r="C1440" s="2">
        <f>COUNTIF(A$1:A1440,A1440)-1</f>
        <v>2</v>
      </c>
      <c r="D1440" s="2" t="str">
        <f>Argument!D1440</f>
        <v>vr</v>
      </c>
      <c r="E1440" s="2" t="str">
        <f t="shared" si="44"/>
        <v/>
      </c>
      <c r="F1440" s="2" t="str">
        <f>IF(C1440=0,ISTEXT(FORMULA.CONVERT("="&amp;A1440&amp;"("&amp;REPLACE(REPT(",#ref!",B1440),1,1,"")&amp;")()",1)),"")</f>
        <v/>
      </c>
      <c r="G1440" s="2">
        <f>TYPE(YIELD(IF(1,1),{1},IF(1,1),IF(1,1),IF(1,1),IF(1,1),IF(1,1)))</f>
        <v>64</v>
      </c>
      <c r="H1440" s="2" t="str">
        <f t="shared" si="45"/>
        <v/>
      </c>
      <c r="I1440" s="2">
        <f>TYPE(YIELD(IF(1,1),IF(1,1),IF(1,1),IF(1,1),IF(1,1),IF(1,1),IF(1,1)))</f>
        <v>16</v>
      </c>
      <c r="J1440" s="2" t="str">
        <f>IF(C1440=0,COUNTIFS(A:A,A1440,D:D,"a"),"")</f>
        <v/>
      </c>
      <c r="K1440" s="2" t="e">
        <f>INDEX(+YIELD(#REF!,K1440:L1440,#REF!,#REF!,#REF!,#REF!,#REF!),)</f>
        <v>#REF!</v>
      </c>
      <c r="L1440" s="1">
        <v>1</v>
      </c>
      <c r="M1440" s="2" t="e">
        <f>INDEX(+YIELD(#REF!,INDIRECT(M1440:N1440),#REF!,#REF!,#REF!,#REF!,#REF!),)</f>
        <v>#REF!</v>
      </c>
      <c r="N1440" s="1">
        <v>1</v>
      </c>
    </row>
    <row r="1441" spans="1:14" x14ac:dyDescent="0.55000000000000004">
      <c r="A1441" s="1" t="s">
        <v>1872</v>
      </c>
      <c r="B1441" s="2">
        <f>COUNTIF(A:A,A1441)-1</f>
        <v>7</v>
      </c>
      <c r="C1441" s="2">
        <f>COUNTIF(A$1:A1441,A1441)-1</f>
        <v>3</v>
      </c>
      <c r="D1441" s="2" t="str">
        <f>Argument!D1441</f>
        <v>vr</v>
      </c>
      <c r="E1441" s="2" t="str">
        <f t="shared" si="44"/>
        <v/>
      </c>
      <c r="F1441" s="2" t="str">
        <f>IF(C1441=0,ISTEXT(FORMULA.CONVERT("="&amp;A1441&amp;"("&amp;REPLACE(REPT(",#ref!",B1441),1,1,"")&amp;")()",1)),"")</f>
        <v/>
      </c>
      <c r="G1441" s="2">
        <f>TYPE(YIELD(IF(1,1),IF(1,1),{1},IF(1,1),IF(1,1),IF(1,1),IF(1,1)))</f>
        <v>64</v>
      </c>
      <c r="H1441" s="2" t="str">
        <f t="shared" si="45"/>
        <v/>
      </c>
      <c r="I1441" s="2">
        <f>TYPE(YIELD(IF(1,1),IF(1,1),IF(1,1),IF(1,1),IF(1,1),IF(1,1),IF(1,1)))</f>
        <v>16</v>
      </c>
      <c r="J1441" s="2" t="str">
        <f>IF(C1441=0,COUNTIFS(A:A,A1441,D:D,"a"),"")</f>
        <v/>
      </c>
      <c r="K1441" s="2" t="e">
        <f>INDEX(+YIELD(#REF!,#REF!,K1441:L1441,#REF!,#REF!,#REF!,#REF!),)</f>
        <v>#REF!</v>
      </c>
      <c r="L1441" s="1">
        <v>1</v>
      </c>
      <c r="M1441" s="2" t="e">
        <f>INDEX(+YIELD(#REF!,#REF!,INDIRECT(M1441:N1441),#REF!,#REF!,#REF!,#REF!),)</f>
        <v>#REF!</v>
      </c>
      <c r="N1441" s="1">
        <v>1</v>
      </c>
    </row>
    <row r="1442" spans="1:14" x14ac:dyDescent="0.55000000000000004">
      <c r="A1442" s="1" t="s">
        <v>1872</v>
      </c>
      <c r="B1442" s="2">
        <f>COUNTIF(A:A,A1442)-1</f>
        <v>7</v>
      </c>
      <c r="C1442" s="2">
        <f>COUNTIF(A$1:A1442,A1442)-1</f>
        <v>4</v>
      </c>
      <c r="D1442" s="2" t="str">
        <f>Argument!D1442</f>
        <v>vr</v>
      </c>
      <c r="E1442" s="2" t="str">
        <f t="shared" si="44"/>
        <v/>
      </c>
      <c r="F1442" s="2" t="str">
        <f>IF(C1442=0,ISTEXT(FORMULA.CONVERT("="&amp;A1442&amp;"("&amp;REPLACE(REPT(",#ref!",B1442),1,1,"")&amp;")()",1)),"")</f>
        <v/>
      </c>
      <c r="G1442" s="2">
        <f>TYPE(YIELD(IF(1,1),IF(1,1),IF(1,1),{1},IF(1,1),IF(1,1),IF(1,1)))</f>
        <v>64</v>
      </c>
      <c r="H1442" s="2" t="str">
        <f t="shared" si="45"/>
        <v/>
      </c>
      <c r="I1442" s="2">
        <f>TYPE(YIELD(IF(1,1),IF(1,1),IF(1,1),IF(1,1),IF(1,1),IF(1,1),IF(1,1)))</f>
        <v>16</v>
      </c>
      <c r="J1442" s="2" t="str">
        <f>IF(C1442=0,COUNTIFS(A:A,A1442,D:D,"a"),"")</f>
        <v/>
      </c>
      <c r="K1442" s="2" t="e">
        <f>INDEX(+YIELD(#REF!,#REF!,#REF!,K1442:L1442,#REF!,#REF!,#REF!),)</f>
        <v>#REF!</v>
      </c>
      <c r="L1442" s="1">
        <v>1</v>
      </c>
      <c r="M1442" s="2" t="e">
        <f>INDEX(+YIELD(#REF!,#REF!,#REF!,INDIRECT(M1442:N1442),#REF!,#REF!,#REF!),)</f>
        <v>#REF!</v>
      </c>
      <c r="N1442" s="1">
        <v>1</v>
      </c>
    </row>
    <row r="1443" spans="1:14" x14ac:dyDescent="0.55000000000000004">
      <c r="A1443" s="1" t="s">
        <v>1872</v>
      </c>
      <c r="B1443" s="2">
        <f>COUNTIF(A:A,A1443)-1</f>
        <v>7</v>
      </c>
      <c r="C1443" s="2">
        <f>COUNTIF(A$1:A1443,A1443)-1</f>
        <v>5</v>
      </c>
      <c r="D1443" s="2" t="str">
        <f>Argument!D1443</f>
        <v>vr</v>
      </c>
      <c r="E1443" s="2" t="str">
        <f t="shared" si="44"/>
        <v/>
      </c>
      <c r="F1443" s="2" t="str">
        <f>IF(C1443=0,ISTEXT(FORMULA.CONVERT("="&amp;A1443&amp;"("&amp;REPLACE(REPT(",#ref!",B1443),1,1,"")&amp;")()",1)),"")</f>
        <v/>
      </c>
      <c r="G1443" s="2">
        <f>TYPE(YIELD(IF(1,1),IF(1,1),IF(1,1),IF(1,1),{1},IF(1,1),IF(1,1)))</f>
        <v>64</v>
      </c>
      <c r="H1443" s="2" t="str">
        <f t="shared" si="45"/>
        <v/>
      </c>
      <c r="I1443" s="2">
        <f>TYPE(YIELD(IF(1,1),IF(1,1),IF(1,1),IF(1,1),IF(1,1),IF(1,1),IF(1,1)))</f>
        <v>16</v>
      </c>
      <c r="J1443" s="2" t="str">
        <f>IF(C1443=0,COUNTIFS(A:A,A1443,D:D,"a"),"")</f>
        <v/>
      </c>
      <c r="K1443" s="2" t="e">
        <f>INDEX(+YIELD(#REF!,#REF!,#REF!,#REF!,K1443:L1443,#REF!,#REF!),)</f>
        <v>#REF!</v>
      </c>
      <c r="L1443" s="1">
        <v>1</v>
      </c>
      <c r="M1443" s="2" t="e">
        <f>INDEX(+YIELD(#REF!,#REF!,#REF!,#REF!,INDIRECT(M1443:N1443),#REF!,#REF!),)</f>
        <v>#REF!</v>
      </c>
      <c r="N1443" s="1">
        <v>1</v>
      </c>
    </row>
    <row r="1444" spans="1:14" x14ac:dyDescent="0.55000000000000004">
      <c r="A1444" s="1" t="s">
        <v>1872</v>
      </c>
      <c r="B1444" s="2">
        <f>COUNTIF(A:A,A1444)-1</f>
        <v>7</v>
      </c>
      <c r="C1444" s="2">
        <f>COUNTIF(A$1:A1444,A1444)-1</f>
        <v>6</v>
      </c>
      <c r="D1444" s="2" t="str">
        <f>Argument!D1444</f>
        <v>vr</v>
      </c>
      <c r="E1444" s="2" t="str">
        <f t="shared" si="44"/>
        <v/>
      </c>
      <c r="F1444" s="2" t="str">
        <f>IF(C1444=0,ISTEXT(FORMULA.CONVERT("="&amp;A1444&amp;"("&amp;REPLACE(REPT(",#ref!",B1444),1,1,"")&amp;")()",1)),"")</f>
        <v/>
      </c>
      <c r="G1444" s="2">
        <f>TYPE(YIELD(IF(1,1),IF(1,1),IF(1,1),IF(1,1),IF(1,1),{1},IF(1,1)))</f>
        <v>64</v>
      </c>
      <c r="H1444" s="2" t="str">
        <f t="shared" si="45"/>
        <v/>
      </c>
      <c r="I1444" s="2">
        <f>TYPE(YIELD(IF(1,1),IF(1,1),IF(1,1),IF(1,1),IF(1,1),IF(1,1),IF(1,1)))</f>
        <v>16</v>
      </c>
      <c r="J1444" s="2" t="str">
        <f>IF(C1444=0,COUNTIFS(A:A,A1444,D:D,"a"),"")</f>
        <v/>
      </c>
      <c r="K1444" s="2" t="e">
        <f>INDEX(+YIELD(#REF!,#REF!,#REF!,#REF!,#REF!,K1444:L1444,#REF!),)</f>
        <v>#REF!</v>
      </c>
      <c r="L1444" s="1">
        <v>1</v>
      </c>
      <c r="M1444" s="2" t="e">
        <f>INDEX(+YIELD(#REF!,#REF!,#REF!,#REF!,#REF!,INDIRECT(M1444:N1444),#REF!),)</f>
        <v>#REF!</v>
      </c>
      <c r="N1444" s="1">
        <v>1</v>
      </c>
    </row>
    <row r="1445" spans="1:14" x14ac:dyDescent="0.55000000000000004">
      <c r="A1445" s="1" t="s">
        <v>1872</v>
      </c>
      <c r="B1445" s="2">
        <f>COUNTIF(A:A,A1445)-1</f>
        <v>7</v>
      </c>
      <c r="C1445" s="2">
        <f>COUNTIF(A$1:A1445,A1445)-1</f>
        <v>7</v>
      </c>
      <c r="D1445" s="2" t="str">
        <f>Argument!D1445</f>
        <v>vr</v>
      </c>
      <c r="E1445" s="2" t="str">
        <f t="shared" si="44"/>
        <v/>
      </c>
      <c r="F1445" s="2" t="str">
        <f>IF(C1445=0,ISTEXT(FORMULA.CONVERT("="&amp;A1445&amp;"("&amp;REPLACE(REPT(",#ref!",B1445),1,1,"")&amp;")()",1)),"")</f>
        <v/>
      </c>
      <c r="G1445" s="2">
        <f>TYPE(YIELD(IF(1,1),IF(1,1),IF(1,1),IF(1,1),IF(1,1),IF(1,1),{1}))</f>
        <v>64</v>
      </c>
      <c r="H1445" s="2" t="str">
        <f t="shared" si="45"/>
        <v/>
      </c>
      <c r="I1445" s="2">
        <f>TYPE(YIELD(IF(1,1),IF(1,1),IF(1,1),IF(1,1),IF(1,1),IF(1,1),IF(1,1)))</f>
        <v>16</v>
      </c>
      <c r="J1445" s="2" t="str">
        <f>IF(C1445=0,COUNTIFS(A:A,A1445,D:D,"a"),"")</f>
        <v/>
      </c>
      <c r="K1445" s="2" t="e">
        <f>INDEX(+YIELD(#REF!,#REF!,#REF!,#REF!,#REF!,#REF!,K1445:L1445),)</f>
        <v>#VALUE!</v>
      </c>
      <c r="L1445" s="1">
        <v>1</v>
      </c>
      <c r="M1445" s="2" t="e">
        <f>INDEX(+YIELD(#REF!,#REF!,#REF!,#REF!,#REF!,#REF!,INDIRECT(M1445:N1445)),)</f>
        <v>#REF!</v>
      </c>
      <c r="N1445" s="1">
        <v>1</v>
      </c>
    </row>
    <row r="1446" spans="1:14" x14ac:dyDescent="0.55000000000000004">
      <c r="A1446" s="1" t="s">
        <v>1873</v>
      </c>
      <c r="B1446" s="2">
        <f>COUNTIF(A:A,A1446)-1</f>
        <v>2</v>
      </c>
      <c r="C1446" s="2">
        <f>COUNTIF(A$1:A1446,A1446)-1</f>
        <v>0</v>
      </c>
      <c r="D1446" s="2" t="str">
        <f>Argument!D1446</f>
        <v/>
      </c>
      <c r="E1446" s="2" t="str">
        <f t="shared" si="44"/>
        <v>v</v>
      </c>
      <c r="F1446" s="2" t="b">
        <f>IF(C1446=0,ISTEXT(FORMULA.CONVERT("="&amp;A1446&amp;"("&amp;REPLACE(REPT(",#ref!",B1446),1,1,"")&amp;")()",1)),"")</f>
        <v>0</v>
      </c>
      <c r="G1446" s="2"/>
      <c r="H1446" s="2" t="str">
        <f t="shared" si="45"/>
        <v/>
      </c>
      <c r="I1446" s="2">
        <f>TYPE(DOLLARDE(IF(1,1),IF(1,1)))</f>
        <v>1</v>
      </c>
      <c r="J1446" s="2">
        <f>IF(C1446=0,COUNTIFS(A:A,A1446,D:D,"a"),"")</f>
        <v>0</v>
      </c>
      <c r="K1446" s="2"/>
      <c r="M1446" s="2"/>
    </row>
    <row r="1447" spans="1:14" x14ac:dyDescent="0.55000000000000004">
      <c r="A1447" s="1" t="s">
        <v>1873</v>
      </c>
      <c r="B1447" s="2">
        <f>COUNTIF(A:A,A1447)-1</f>
        <v>2</v>
      </c>
      <c r="C1447" s="2">
        <f>COUNTIF(A$1:A1447,A1447)-1</f>
        <v>1</v>
      </c>
      <c r="D1447" s="2" t="str">
        <f>Argument!D1447</f>
        <v>vr</v>
      </c>
      <c r="E1447" s="2" t="str">
        <f t="shared" si="44"/>
        <v/>
      </c>
      <c r="F1447" s="2" t="str">
        <f>IF(C1447=0,ISTEXT(FORMULA.CONVERT("="&amp;A1447&amp;"("&amp;REPLACE(REPT(",#ref!",B1447),1,1,"")&amp;")()",1)),"")</f>
        <v/>
      </c>
      <c r="G1447" s="2">
        <f>TYPE(DOLLARDE({1},IF(1,1)))</f>
        <v>64</v>
      </c>
      <c r="H1447" s="2" t="str">
        <f t="shared" si="45"/>
        <v/>
      </c>
      <c r="I1447" s="2">
        <f>TYPE(DOLLARDE(IF(1,1),IF(1,1)))</f>
        <v>1</v>
      </c>
      <c r="J1447" s="2" t="str">
        <f>IF(C1447=0,COUNTIFS(A:A,A1447,D:D,"a"),"")</f>
        <v/>
      </c>
      <c r="K1447" s="2" t="e">
        <f>INDEX(+DOLLARDE(K1447:L1447,#REF!),)</f>
        <v>#VALUE!</v>
      </c>
      <c r="L1447" s="1">
        <v>1</v>
      </c>
      <c r="M1447" s="2" t="e">
        <f>INDEX(+DOLLARDE(INDIRECT(M1447:N1447),#REF!),)</f>
        <v>#REF!</v>
      </c>
      <c r="N1447" s="1">
        <v>1</v>
      </c>
    </row>
    <row r="1448" spans="1:14" x14ac:dyDescent="0.55000000000000004">
      <c r="A1448" s="1" t="s">
        <v>1873</v>
      </c>
      <c r="B1448" s="2">
        <f>COUNTIF(A:A,A1448)-1</f>
        <v>2</v>
      </c>
      <c r="C1448" s="2">
        <f>COUNTIF(A$1:A1448,A1448)-1</f>
        <v>2</v>
      </c>
      <c r="D1448" s="2" t="str">
        <f>Argument!D1448</f>
        <v>vr</v>
      </c>
      <c r="E1448" s="2" t="str">
        <f t="shared" si="44"/>
        <v/>
      </c>
      <c r="F1448" s="2" t="str">
        <f>IF(C1448=0,ISTEXT(FORMULA.CONVERT("="&amp;A1448&amp;"("&amp;REPLACE(REPT(",#ref!",B1448),1,1,"")&amp;")()",1)),"")</f>
        <v/>
      </c>
      <c r="G1448" s="2">
        <f>TYPE(DOLLARDE(IF(1,1),{1}))</f>
        <v>64</v>
      </c>
      <c r="H1448" s="2" t="str">
        <f t="shared" si="45"/>
        <v/>
      </c>
      <c r="I1448" s="2">
        <f>TYPE(DOLLARDE(IF(1,1),IF(1,1)))</f>
        <v>1</v>
      </c>
      <c r="J1448" s="2" t="str">
        <f>IF(C1448=0,COUNTIFS(A:A,A1448,D:D,"a"),"")</f>
        <v/>
      </c>
      <c r="K1448" s="2" t="e">
        <f>INDEX(+DOLLARDE(#REF!,K1448:L1448),)</f>
        <v>#REF!</v>
      </c>
      <c r="L1448" s="1">
        <v>1</v>
      </c>
      <c r="M1448" s="2" t="e">
        <f>INDEX(+DOLLARDE(#REF!,INDIRECT(M1448:N1448)),)</f>
        <v>#REF!</v>
      </c>
      <c r="N1448" s="1">
        <v>1</v>
      </c>
    </row>
    <row r="1449" spans="1:14" x14ac:dyDescent="0.55000000000000004">
      <c r="A1449" s="1" t="s">
        <v>1874</v>
      </c>
      <c r="B1449" s="2">
        <f>COUNTIF(A:A,A1449)-1</f>
        <v>2</v>
      </c>
      <c r="C1449" s="2">
        <f>COUNTIF(A$1:A1449,A1449)-1</f>
        <v>0</v>
      </c>
      <c r="D1449" s="2" t="str">
        <f>Argument!D1449</f>
        <v/>
      </c>
      <c r="E1449" s="2" t="str">
        <f t="shared" si="44"/>
        <v>v</v>
      </c>
      <c r="F1449" s="2" t="b">
        <f>IF(C1449=0,ISTEXT(FORMULA.CONVERT("="&amp;A1449&amp;"("&amp;REPLACE(REPT(",#ref!",B1449),1,1,"")&amp;")()",1)),"")</f>
        <v>0</v>
      </c>
      <c r="G1449" s="2"/>
      <c r="H1449" s="2" t="str">
        <f t="shared" si="45"/>
        <v/>
      </c>
      <c r="I1449" s="2">
        <f>TYPE(DOLLARFR(IF(1,1),IF(1,1)))</f>
        <v>1</v>
      </c>
      <c r="J1449" s="2">
        <f>IF(C1449=0,COUNTIFS(A:A,A1449,D:D,"a"),"")</f>
        <v>0</v>
      </c>
      <c r="K1449" s="2"/>
      <c r="M1449" s="2"/>
    </row>
    <row r="1450" spans="1:14" x14ac:dyDescent="0.55000000000000004">
      <c r="A1450" s="1" t="s">
        <v>1874</v>
      </c>
      <c r="B1450" s="2">
        <f>COUNTIF(A:A,A1450)-1</f>
        <v>2</v>
      </c>
      <c r="C1450" s="2">
        <f>COUNTIF(A$1:A1450,A1450)-1</f>
        <v>1</v>
      </c>
      <c r="D1450" s="2" t="str">
        <f>Argument!D1450</f>
        <v>vr</v>
      </c>
      <c r="E1450" s="2" t="str">
        <f t="shared" si="44"/>
        <v/>
      </c>
      <c r="F1450" s="2" t="str">
        <f>IF(C1450=0,ISTEXT(FORMULA.CONVERT("="&amp;A1450&amp;"("&amp;REPLACE(REPT(",#ref!",B1450),1,1,"")&amp;")()",1)),"")</f>
        <v/>
      </c>
      <c r="G1450" s="2">
        <f>TYPE(DOLLARFR({1},IF(1,1)))</f>
        <v>64</v>
      </c>
      <c r="H1450" s="2" t="str">
        <f t="shared" si="45"/>
        <v/>
      </c>
      <c r="I1450" s="2">
        <f>TYPE(DOLLARFR(IF(1,1),IF(1,1)))</f>
        <v>1</v>
      </c>
      <c r="J1450" s="2" t="str">
        <f>IF(C1450=0,COUNTIFS(A:A,A1450,D:D,"a"),"")</f>
        <v/>
      </c>
      <c r="K1450" s="2" t="e">
        <f>INDEX(+DOLLARFR(K1450:L1450,#REF!),)</f>
        <v>#VALUE!</v>
      </c>
      <c r="L1450" s="1">
        <v>1</v>
      </c>
      <c r="M1450" s="2" t="e">
        <f>INDEX(+DOLLARFR(INDIRECT(M1450:N1450),#REF!),)</f>
        <v>#REF!</v>
      </c>
      <c r="N1450" s="1">
        <v>1</v>
      </c>
    </row>
    <row r="1451" spans="1:14" x14ac:dyDescent="0.55000000000000004">
      <c r="A1451" s="1" t="s">
        <v>1874</v>
      </c>
      <c r="B1451" s="2">
        <f>COUNTIF(A:A,A1451)-1</f>
        <v>2</v>
      </c>
      <c r="C1451" s="2">
        <f>COUNTIF(A$1:A1451,A1451)-1</f>
        <v>2</v>
      </c>
      <c r="D1451" s="2" t="str">
        <f>Argument!D1451</f>
        <v>vr</v>
      </c>
      <c r="E1451" s="2" t="str">
        <f t="shared" si="44"/>
        <v/>
      </c>
      <c r="F1451" s="2" t="str">
        <f>IF(C1451=0,ISTEXT(FORMULA.CONVERT("="&amp;A1451&amp;"("&amp;REPLACE(REPT(",#ref!",B1451),1,1,"")&amp;")()",1)),"")</f>
        <v/>
      </c>
      <c r="G1451" s="2">
        <f>TYPE(DOLLARFR(IF(1,1),{1}))</f>
        <v>64</v>
      </c>
      <c r="H1451" s="2" t="str">
        <f t="shared" si="45"/>
        <v/>
      </c>
      <c r="I1451" s="2">
        <f>TYPE(DOLLARFR(IF(1,1),IF(1,1)))</f>
        <v>1</v>
      </c>
      <c r="J1451" s="2" t="str">
        <f>IF(C1451=0,COUNTIFS(A:A,A1451,D:D,"a"),"")</f>
        <v/>
      </c>
      <c r="K1451" s="2" t="e">
        <f>INDEX(+DOLLARFR(#REF!,K1451:L1451),)</f>
        <v>#REF!</v>
      </c>
      <c r="L1451" s="1">
        <v>1</v>
      </c>
      <c r="M1451" s="2" t="e">
        <f>INDEX(+DOLLARFR(#REF!,INDIRECT(M1451:N1451)),)</f>
        <v>#REF!</v>
      </c>
      <c r="N1451" s="1">
        <v>1</v>
      </c>
    </row>
    <row r="1452" spans="1:14" x14ac:dyDescent="0.55000000000000004">
      <c r="A1452" s="1" t="s">
        <v>1875</v>
      </c>
      <c r="B1452" s="2">
        <f>COUNTIF(A:A,A1452)-1</f>
        <v>2</v>
      </c>
      <c r="C1452" s="2">
        <f>COUNTIF(A$1:A1452,A1452)-1</f>
        <v>0</v>
      </c>
      <c r="D1452" s="2" t="str">
        <f>Argument!D1452</f>
        <v/>
      </c>
      <c r="E1452" s="2" t="str">
        <f t="shared" si="44"/>
        <v>v</v>
      </c>
      <c r="F1452" s="2" t="b">
        <f>IF(C1452=0,ISTEXT(FORMULA.CONVERT("="&amp;A1452&amp;"("&amp;REPLACE(REPT(",#ref!",B1452),1,1,"")&amp;")()",1)),"")</f>
        <v>0</v>
      </c>
      <c r="G1452" s="2"/>
      <c r="H1452" s="2" t="str">
        <f t="shared" si="45"/>
        <v/>
      </c>
      <c r="I1452" s="2">
        <f>TYPE(NOMINAL(IF(1,1),IF(1,1)))</f>
        <v>1</v>
      </c>
      <c r="J1452" s="2">
        <f>IF(C1452=0,COUNTIFS(A:A,A1452,D:D,"a"),"")</f>
        <v>0</v>
      </c>
      <c r="K1452" s="2"/>
      <c r="M1452" s="2"/>
    </row>
    <row r="1453" spans="1:14" x14ac:dyDescent="0.55000000000000004">
      <c r="A1453" s="1" t="s">
        <v>1875</v>
      </c>
      <c r="B1453" s="2">
        <f>COUNTIF(A:A,A1453)-1</f>
        <v>2</v>
      </c>
      <c r="C1453" s="2">
        <f>COUNTIF(A$1:A1453,A1453)-1</f>
        <v>1</v>
      </c>
      <c r="D1453" s="2" t="str">
        <f>Argument!D1453</f>
        <v>vr</v>
      </c>
      <c r="E1453" s="2" t="str">
        <f t="shared" si="44"/>
        <v/>
      </c>
      <c r="F1453" s="2" t="str">
        <f>IF(C1453=0,ISTEXT(FORMULA.CONVERT("="&amp;A1453&amp;"("&amp;REPLACE(REPT(",#ref!",B1453),1,1,"")&amp;")()",1)),"")</f>
        <v/>
      </c>
      <c r="G1453" s="2">
        <f>TYPE(NOMINAL({1},IF(1,1)))</f>
        <v>64</v>
      </c>
      <c r="H1453" s="2" t="str">
        <f t="shared" si="45"/>
        <v/>
      </c>
      <c r="I1453" s="2">
        <f>TYPE(NOMINAL(IF(1,1),IF(1,1)))</f>
        <v>1</v>
      </c>
      <c r="J1453" s="2" t="str">
        <f>IF(C1453=0,COUNTIFS(A:A,A1453,D:D,"a"),"")</f>
        <v/>
      </c>
      <c r="K1453" s="2" t="e">
        <f>INDEX(+NOMINAL(K1453:L1453,#REF!),)</f>
        <v>#VALUE!</v>
      </c>
      <c r="L1453" s="1">
        <v>1</v>
      </c>
      <c r="M1453" s="2" t="e">
        <f>INDEX(+NOMINAL(INDIRECT(M1453:N1453),#REF!),)</f>
        <v>#REF!</v>
      </c>
      <c r="N1453" s="1">
        <v>1</v>
      </c>
    </row>
    <row r="1454" spans="1:14" x14ac:dyDescent="0.55000000000000004">
      <c r="A1454" s="1" t="s">
        <v>1875</v>
      </c>
      <c r="B1454" s="2">
        <f>COUNTIF(A:A,A1454)-1</f>
        <v>2</v>
      </c>
      <c r="C1454" s="2">
        <f>COUNTIF(A$1:A1454,A1454)-1</f>
        <v>2</v>
      </c>
      <c r="D1454" s="2" t="str">
        <f>Argument!D1454</f>
        <v>vr</v>
      </c>
      <c r="E1454" s="2" t="str">
        <f t="shared" si="44"/>
        <v/>
      </c>
      <c r="F1454" s="2" t="str">
        <f>IF(C1454=0,ISTEXT(FORMULA.CONVERT("="&amp;A1454&amp;"("&amp;REPLACE(REPT(",#ref!",B1454),1,1,"")&amp;")()",1)),"")</f>
        <v/>
      </c>
      <c r="G1454" s="2">
        <f>TYPE(NOMINAL(IF(1,1),{1}))</f>
        <v>64</v>
      </c>
      <c r="H1454" s="2" t="str">
        <f t="shared" si="45"/>
        <v/>
      </c>
      <c r="I1454" s="2">
        <f>TYPE(NOMINAL(IF(1,1),IF(1,1)))</f>
        <v>1</v>
      </c>
      <c r="J1454" s="2" t="str">
        <f>IF(C1454=0,COUNTIFS(A:A,A1454,D:D,"a"),"")</f>
        <v/>
      </c>
      <c r="K1454" s="2" t="e">
        <f>INDEX(+NOMINAL(#REF!,K1454:L1454),)</f>
        <v>#REF!</v>
      </c>
      <c r="L1454" s="1">
        <v>1</v>
      </c>
      <c r="M1454" s="2" t="e">
        <f>INDEX(+NOMINAL(#REF!,INDIRECT(M1454:N1454)),)</f>
        <v>#REF!</v>
      </c>
      <c r="N1454" s="1">
        <v>1</v>
      </c>
    </row>
    <row r="1455" spans="1:14" x14ac:dyDescent="0.55000000000000004">
      <c r="A1455" s="1" t="s">
        <v>1876</v>
      </c>
      <c r="B1455" s="2">
        <f>COUNTIF(A:A,A1455)-1</f>
        <v>2</v>
      </c>
      <c r="C1455" s="2">
        <f>COUNTIF(A$1:A1455,A1455)-1</f>
        <v>0</v>
      </c>
      <c r="D1455" s="2" t="str">
        <f>Argument!D1455</f>
        <v/>
      </c>
      <c r="E1455" s="2" t="str">
        <f t="shared" si="44"/>
        <v>v</v>
      </c>
      <c r="F1455" s="2" t="b">
        <f>IF(C1455=0,ISTEXT(FORMULA.CONVERT("="&amp;A1455&amp;"("&amp;REPLACE(REPT(",#ref!",B1455),1,1,"")&amp;")()",1)),"")</f>
        <v>0</v>
      </c>
      <c r="G1455" s="2"/>
      <c r="H1455" s="2" t="str">
        <f t="shared" si="45"/>
        <v/>
      </c>
      <c r="I1455" s="2">
        <f>TYPE(EFFECT(IF(1,1),IF(1,1)))</f>
        <v>1</v>
      </c>
      <c r="J1455" s="2">
        <f>IF(C1455=0,COUNTIFS(A:A,A1455,D:D,"a"),"")</f>
        <v>0</v>
      </c>
      <c r="K1455" s="2"/>
      <c r="M1455" s="2"/>
    </row>
    <row r="1456" spans="1:14" x14ac:dyDescent="0.55000000000000004">
      <c r="A1456" s="1" t="s">
        <v>1876</v>
      </c>
      <c r="B1456" s="2">
        <f>COUNTIF(A:A,A1456)-1</f>
        <v>2</v>
      </c>
      <c r="C1456" s="2">
        <f>COUNTIF(A$1:A1456,A1456)-1</f>
        <v>1</v>
      </c>
      <c r="D1456" s="2" t="str">
        <f>Argument!D1456</f>
        <v>vr</v>
      </c>
      <c r="E1456" s="2" t="str">
        <f t="shared" si="44"/>
        <v/>
      </c>
      <c r="F1456" s="2" t="str">
        <f>IF(C1456=0,ISTEXT(FORMULA.CONVERT("="&amp;A1456&amp;"("&amp;REPLACE(REPT(",#ref!",B1456),1,1,"")&amp;")()",1)),"")</f>
        <v/>
      </c>
      <c r="G1456" s="2">
        <f>TYPE(EFFECT({1},IF(1,1)))</f>
        <v>64</v>
      </c>
      <c r="H1456" s="2" t="str">
        <f t="shared" si="45"/>
        <v/>
      </c>
      <c r="I1456" s="2">
        <f>TYPE(EFFECT(IF(1,1),IF(1,1)))</f>
        <v>1</v>
      </c>
      <c r="J1456" s="2" t="str">
        <f>IF(C1456=0,COUNTIFS(A:A,A1456,D:D,"a"),"")</f>
        <v/>
      </c>
      <c r="K1456" s="2" t="e">
        <f>INDEX(+EFFECT(K1456:L1456,#REF!),)</f>
        <v>#VALUE!</v>
      </c>
      <c r="L1456" s="1">
        <v>1</v>
      </c>
      <c r="M1456" s="2" t="e">
        <f>INDEX(+EFFECT(INDIRECT(M1456:N1456),#REF!),)</f>
        <v>#REF!</v>
      </c>
      <c r="N1456" s="1">
        <v>1</v>
      </c>
    </row>
    <row r="1457" spans="1:14" x14ac:dyDescent="0.55000000000000004">
      <c r="A1457" s="1" t="s">
        <v>1876</v>
      </c>
      <c r="B1457" s="2">
        <f>COUNTIF(A:A,A1457)-1</f>
        <v>2</v>
      </c>
      <c r="C1457" s="2">
        <f>COUNTIF(A$1:A1457,A1457)-1</f>
        <v>2</v>
      </c>
      <c r="D1457" s="2" t="str">
        <f>Argument!D1457</f>
        <v>vr</v>
      </c>
      <c r="E1457" s="2" t="str">
        <f t="shared" si="44"/>
        <v/>
      </c>
      <c r="F1457" s="2" t="str">
        <f>IF(C1457=0,ISTEXT(FORMULA.CONVERT("="&amp;A1457&amp;"("&amp;REPLACE(REPT(",#ref!",B1457),1,1,"")&amp;")()",1)),"")</f>
        <v/>
      </c>
      <c r="G1457" s="2">
        <f>TYPE(EFFECT(IF(1,1),{1}))</f>
        <v>64</v>
      </c>
      <c r="H1457" s="2" t="str">
        <f t="shared" si="45"/>
        <v/>
      </c>
      <c r="I1457" s="2">
        <f>TYPE(EFFECT(IF(1,1),IF(1,1)))</f>
        <v>1</v>
      </c>
      <c r="J1457" s="2" t="str">
        <f>IF(C1457=0,COUNTIFS(A:A,A1457,D:D,"a"),"")</f>
        <v/>
      </c>
      <c r="K1457" s="2" t="e">
        <f>INDEX(+EFFECT(#REF!,K1457:L1457),)</f>
        <v>#REF!</v>
      </c>
      <c r="L1457" s="1">
        <v>1</v>
      </c>
      <c r="M1457" s="2" t="e">
        <f>INDEX(+EFFECT(#REF!,INDIRECT(M1457:N1457)),)</f>
        <v>#REF!</v>
      </c>
      <c r="N1457" s="1">
        <v>1</v>
      </c>
    </row>
    <row r="1458" spans="1:14" x14ac:dyDescent="0.55000000000000004">
      <c r="A1458" s="1" t="s">
        <v>1877</v>
      </c>
      <c r="B1458" s="2">
        <f>COUNTIF(A:A,A1458)-1</f>
        <v>6</v>
      </c>
      <c r="C1458" s="2">
        <f>COUNTIF(A$1:A1458,A1458)-1</f>
        <v>0</v>
      </c>
      <c r="D1458" s="2" t="str">
        <f>Argument!D1458</f>
        <v/>
      </c>
      <c r="E1458" s="2" t="str">
        <f t="shared" si="44"/>
        <v>v</v>
      </c>
      <c r="F1458" s="2" t="b">
        <f>IF(C1458=0,ISTEXT(FORMULA.CONVERT("="&amp;A1458&amp;"("&amp;REPLACE(REPT(",#ref!",B1458),1,1,"")&amp;")()",1)),"")</f>
        <v>0</v>
      </c>
      <c r="G1458" s="2"/>
      <c r="H1458" s="2" t="str">
        <f t="shared" si="45"/>
        <v/>
      </c>
      <c r="I1458" s="2">
        <f>TYPE(CUMPRINC(IF(1,1),IF(1,1),IF(1,1),IF(1,1),IF(1,1),IF(1,1)))</f>
        <v>1</v>
      </c>
      <c r="J1458" s="2">
        <f>IF(C1458=0,COUNTIFS(A:A,A1458,D:D,"a"),"")</f>
        <v>0</v>
      </c>
      <c r="K1458" s="2"/>
      <c r="M1458" s="2"/>
    </row>
    <row r="1459" spans="1:14" x14ac:dyDescent="0.55000000000000004">
      <c r="A1459" s="1" t="s">
        <v>1877</v>
      </c>
      <c r="B1459" s="2">
        <f>COUNTIF(A:A,A1459)-1</f>
        <v>6</v>
      </c>
      <c r="C1459" s="2">
        <f>COUNTIF(A$1:A1459,A1459)-1</f>
        <v>1</v>
      </c>
      <c r="D1459" s="2" t="str">
        <f>Argument!D1459</f>
        <v>vr</v>
      </c>
      <c r="E1459" s="2" t="str">
        <f t="shared" si="44"/>
        <v/>
      </c>
      <c r="F1459" s="2" t="str">
        <f>IF(C1459=0,ISTEXT(FORMULA.CONVERT("="&amp;A1459&amp;"("&amp;REPLACE(REPT(",#ref!",B1459),1,1,"")&amp;")()",1)),"")</f>
        <v/>
      </c>
      <c r="G1459" s="2">
        <f>TYPE(CUMPRINC({1},IF(1,1),IF(1,1),IF(1,1),IF(1,1),IF(1,1)))</f>
        <v>64</v>
      </c>
      <c r="H1459" s="2" t="str">
        <f t="shared" si="45"/>
        <v/>
      </c>
      <c r="I1459" s="2">
        <f>TYPE(CUMPRINC(IF(1,1),IF(1,1),IF(1,1),IF(1,1),IF(1,1),IF(1,1)))</f>
        <v>1</v>
      </c>
      <c r="J1459" s="2" t="str">
        <f>IF(C1459=0,COUNTIFS(A:A,A1459,D:D,"a"),"")</f>
        <v/>
      </c>
      <c r="K1459" s="2" t="e">
        <f>INDEX(+CUMPRINC(K1459:L1459,#REF!,#REF!,#REF!,#REF!,#REF!),)</f>
        <v>#VALUE!</v>
      </c>
      <c r="L1459" s="1">
        <v>1</v>
      </c>
      <c r="M1459" s="2" t="e">
        <f>INDEX(+CUMPRINC(INDIRECT(M1459:N1459),#REF!,#REF!,#REF!,#REF!,#REF!),)</f>
        <v>#REF!</v>
      </c>
      <c r="N1459" s="1">
        <v>1</v>
      </c>
    </row>
    <row r="1460" spans="1:14" x14ac:dyDescent="0.55000000000000004">
      <c r="A1460" s="1" t="s">
        <v>1877</v>
      </c>
      <c r="B1460" s="2">
        <f>COUNTIF(A:A,A1460)-1</f>
        <v>6</v>
      </c>
      <c r="C1460" s="2">
        <f>COUNTIF(A$1:A1460,A1460)-1</f>
        <v>2</v>
      </c>
      <c r="D1460" s="2" t="str">
        <f>Argument!D1460</f>
        <v>vr</v>
      </c>
      <c r="E1460" s="2" t="str">
        <f t="shared" si="44"/>
        <v/>
      </c>
      <c r="F1460" s="2" t="str">
        <f>IF(C1460=0,ISTEXT(FORMULA.CONVERT("="&amp;A1460&amp;"("&amp;REPLACE(REPT(",#ref!",B1460),1,1,"")&amp;")()",1)),"")</f>
        <v/>
      </c>
      <c r="G1460" s="2">
        <f>TYPE(CUMPRINC(IF(1,1),{1},IF(1,1),IF(1,1),IF(1,1),IF(1,1)))</f>
        <v>64</v>
      </c>
      <c r="H1460" s="2" t="str">
        <f t="shared" si="45"/>
        <v/>
      </c>
      <c r="I1460" s="2">
        <f>TYPE(CUMPRINC(IF(1,1),IF(1,1),IF(1,1),IF(1,1),IF(1,1),IF(1,1)))</f>
        <v>1</v>
      </c>
      <c r="J1460" s="2" t="str">
        <f>IF(C1460=0,COUNTIFS(A:A,A1460,D:D,"a"),"")</f>
        <v/>
      </c>
      <c r="K1460" s="2" t="e">
        <f>INDEX(+CUMPRINC(#REF!,K1460:L1460,#REF!,#REF!,#REF!,#REF!),)</f>
        <v>#REF!</v>
      </c>
      <c r="L1460" s="1">
        <v>1</v>
      </c>
      <c r="M1460" s="2" t="e">
        <f>INDEX(+CUMPRINC(#REF!,INDIRECT(M1460:N1460),#REF!,#REF!,#REF!,#REF!),)</f>
        <v>#REF!</v>
      </c>
      <c r="N1460" s="1">
        <v>1</v>
      </c>
    </row>
    <row r="1461" spans="1:14" x14ac:dyDescent="0.55000000000000004">
      <c r="A1461" s="1" t="s">
        <v>1877</v>
      </c>
      <c r="B1461" s="2">
        <f>COUNTIF(A:A,A1461)-1</f>
        <v>6</v>
      </c>
      <c r="C1461" s="2">
        <f>COUNTIF(A$1:A1461,A1461)-1</f>
        <v>3</v>
      </c>
      <c r="D1461" s="2" t="str">
        <f>Argument!D1461</f>
        <v>vr</v>
      </c>
      <c r="E1461" s="2" t="str">
        <f t="shared" si="44"/>
        <v/>
      </c>
      <c r="F1461" s="2" t="str">
        <f>IF(C1461=0,ISTEXT(FORMULA.CONVERT("="&amp;A1461&amp;"("&amp;REPLACE(REPT(",#ref!",B1461),1,1,"")&amp;")()",1)),"")</f>
        <v/>
      </c>
      <c r="G1461" s="2">
        <f>TYPE(CUMPRINC(IF(1,1),IF(1,1),{1},IF(1,1),IF(1,1),IF(1,1)))</f>
        <v>64</v>
      </c>
      <c r="H1461" s="2" t="str">
        <f t="shared" si="45"/>
        <v/>
      </c>
      <c r="I1461" s="2">
        <f>TYPE(CUMPRINC(IF(1,1),IF(1,1),IF(1,1),IF(1,1),IF(1,1),IF(1,1)))</f>
        <v>1</v>
      </c>
      <c r="J1461" s="2" t="str">
        <f>IF(C1461=0,COUNTIFS(A:A,A1461,D:D,"a"),"")</f>
        <v/>
      </c>
      <c r="K1461" s="2" t="e">
        <f>INDEX(+CUMPRINC(#REF!,#REF!,K1461:L1461,#REF!,#REF!,#REF!),)</f>
        <v>#REF!</v>
      </c>
      <c r="L1461" s="1">
        <v>1</v>
      </c>
      <c r="M1461" s="2" t="e">
        <f>INDEX(+CUMPRINC(#REF!,#REF!,INDIRECT(M1461:N1461),#REF!,#REF!,#REF!),)</f>
        <v>#REF!</v>
      </c>
      <c r="N1461" s="1">
        <v>1</v>
      </c>
    </row>
    <row r="1462" spans="1:14" x14ac:dyDescent="0.55000000000000004">
      <c r="A1462" s="1" t="s">
        <v>1877</v>
      </c>
      <c r="B1462" s="2">
        <f>COUNTIF(A:A,A1462)-1</f>
        <v>6</v>
      </c>
      <c r="C1462" s="2">
        <f>COUNTIF(A$1:A1462,A1462)-1</f>
        <v>4</v>
      </c>
      <c r="D1462" s="2" t="str">
        <f>Argument!D1462</f>
        <v>vr</v>
      </c>
      <c r="E1462" s="2" t="str">
        <f t="shared" si="44"/>
        <v/>
      </c>
      <c r="F1462" s="2" t="str">
        <f>IF(C1462=0,ISTEXT(FORMULA.CONVERT("="&amp;A1462&amp;"("&amp;REPLACE(REPT(",#ref!",B1462),1,1,"")&amp;")()",1)),"")</f>
        <v/>
      </c>
      <c r="G1462" s="2">
        <f>TYPE(CUMPRINC(IF(1,1),IF(1,1),IF(1,1),{1},IF(1,1),IF(1,1)))</f>
        <v>64</v>
      </c>
      <c r="H1462" s="2" t="str">
        <f t="shared" si="45"/>
        <v/>
      </c>
      <c r="I1462" s="2">
        <f>TYPE(CUMPRINC(IF(1,1),IF(1,1),IF(1,1),IF(1,1),IF(1,1),IF(1,1)))</f>
        <v>1</v>
      </c>
      <c r="J1462" s="2" t="str">
        <f>IF(C1462=0,COUNTIFS(A:A,A1462,D:D,"a"),"")</f>
        <v/>
      </c>
      <c r="K1462" s="2" t="e">
        <f>INDEX(+CUMPRINC(#REF!,#REF!,#REF!,K1462:L1462,#REF!,#REF!),)</f>
        <v>#REF!</v>
      </c>
      <c r="L1462" s="1">
        <v>1</v>
      </c>
      <c r="M1462" s="2" t="e">
        <f>INDEX(+CUMPRINC(#REF!,#REF!,#REF!,INDIRECT(M1462:N1462),#REF!,#REF!),)</f>
        <v>#REF!</v>
      </c>
      <c r="N1462" s="1">
        <v>1</v>
      </c>
    </row>
    <row r="1463" spans="1:14" x14ac:dyDescent="0.55000000000000004">
      <c r="A1463" s="1" t="s">
        <v>1877</v>
      </c>
      <c r="B1463" s="2">
        <f>COUNTIF(A:A,A1463)-1</f>
        <v>6</v>
      </c>
      <c r="C1463" s="2">
        <f>COUNTIF(A$1:A1463,A1463)-1</f>
        <v>5</v>
      </c>
      <c r="D1463" s="2" t="str">
        <f>Argument!D1463</f>
        <v>vr</v>
      </c>
      <c r="E1463" s="2" t="str">
        <f t="shared" si="44"/>
        <v/>
      </c>
      <c r="F1463" s="2" t="str">
        <f>IF(C1463=0,ISTEXT(FORMULA.CONVERT("="&amp;A1463&amp;"("&amp;REPLACE(REPT(",#ref!",B1463),1,1,"")&amp;")()",1)),"")</f>
        <v/>
      </c>
      <c r="G1463" s="2">
        <f>TYPE(CUMPRINC(IF(1,1),IF(1,1),IF(1,1),IF(1,1),{1},IF(1,1)))</f>
        <v>64</v>
      </c>
      <c r="H1463" s="2" t="str">
        <f t="shared" si="45"/>
        <v/>
      </c>
      <c r="I1463" s="2">
        <f>TYPE(CUMPRINC(IF(1,1),IF(1,1),IF(1,1),IF(1,1),IF(1,1),IF(1,1)))</f>
        <v>1</v>
      </c>
      <c r="J1463" s="2" t="str">
        <f>IF(C1463=0,COUNTIFS(A:A,A1463,D:D,"a"),"")</f>
        <v/>
      </c>
      <c r="K1463" s="2" t="e">
        <f>INDEX(+CUMPRINC(#REF!,#REF!,#REF!,#REF!,K1463:L1463,#REF!),)</f>
        <v>#REF!</v>
      </c>
      <c r="L1463" s="1">
        <v>1</v>
      </c>
      <c r="M1463" s="2" t="e">
        <f>INDEX(+CUMPRINC(#REF!,#REF!,#REF!,#REF!,INDIRECT(M1463:N1463),#REF!),)</f>
        <v>#REF!</v>
      </c>
      <c r="N1463" s="1">
        <v>1</v>
      </c>
    </row>
    <row r="1464" spans="1:14" x14ac:dyDescent="0.55000000000000004">
      <c r="A1464" s="1" t="s">
        <v>1877</v>
      </c>
      <c r="B1464" s="2">
        <f>COUNTIF(A:A,A1464)-1</f>
        <v>6</v>
      </c>
      <c r="C1464" s="2">
        <f>COUNTIF(A$1:A1464,A1464)-1</f>
        <v>6</v>
      </c>
      <c r="D1464" s="2" t="str">
        <f>Argument!D1464</f>
        <v>vr</v>
      </c>
      <c r="E1464" s="2" t="str">
        <f t="shared" si="44"/>
        <v/>
      </c>
      <c r="F1464" s="2" t="str">
        <f>IF(C1464=0,ISTEXT(FORMULA.CONVERT("="&amp;A1464&amp;"("&amp;REPLACE(REPT(",#ref!",B1464),1,1,"")&amp;")()",1)),"")</f>
        <v/>
      </c>
      <c r="G1464" s="2">
        <f>TYPE(CUMPRINC(IF(1,1),IF(1,1),IF(1,1),IF(1,1),IF(1,1),{1}))</f>
        <v>64</v>
      </c>
      <c r="H1464" s="2" t="str">
        <f t="shared" si="45"/>
        <v/>
      </c>
      <c r="I1464" s="2">
        <f>TYPE(CUMPRINC(IF(1,1),IF(1,1),IF(1,1),IF(1,1),IF(1,1),IF(1,1)))</f>
        <v>1</v>
      </c>
      <c r="J1464" s="2" t="str">
        <f>IF(C1464=0,COUNTIFS(A:A,A1464,D:D,"a"),"")</f>
        <v/>
      </c>
      <c r="K1464" s="2" t="e">
        <f>INDEX(+CUMPRINC(#REF!,#REF!,#REF!,#REF!,#REF!,K1464:L1464),)</f>
        <v>#REF!</v>
      </c>
      <c r="L1464" s="1">
        <v>1</v>
      </c>
      <c r="M1464" s="2" t="e">
        <f>INDEX(+CUMPRINC(#REF!,#REF!,#REF!,#REF!,#REF!,INDIRECT(M1464:N1464)),)</f>
        <v>#REF!</v>
      </c>
      <c r="N1464" s="1">
        <v>1</v>
      </c>
    </row>
    <row r="1465" spans="1:14" x14ac:dyDescent="0.55000000000000004">
      <c r="A1465" s="1" t="s">
        <v>1878</v>
      </c>
      <c r="B1465" s="2">
        <f>COUNTIF(A:A,A1465)-1</f>
        <v>6</v>
      </c>
      <c r="C1465" s="2">
        <f>COUNTIF(A$1:A1465,A1465)-1</f>
        <v>0</v>
      </c>
      <c r="D1465" s="2" t="str">
        <f>Argument!D1465</f>
        <v/>
      </c>
      <c r="E1465" s="2" t="str">
        <f t="shared" si="44"/>
        <v>v</v>
      </c>
      <c r="F1465" s="2" t="b">
        <f>IF(C1465=0,ISTEXT(FORMULA.CONVERT("="&amp;A1465&amp;"("&amp;REPLACE(REPT(",#ref!",B1465),1,1,"")&amp;")()",1)),"")</f>
        <v>0</v>
      </c>
      <c r="G1465" s="2"/>
      <c r="H1465" s="2" t="str">
        <f t="shared" si="45"/>
        <v/>
      </c>
      <c r="I1465" s="2">
        <f>TYPE(CUMIPMT(IF(1,1),IF(1,1),IF(1,1),IF(1,1),IF(1,1),IF(1,1)))</f>
        <v>1</v>
      </c>
      <c r="J1465" s="2">
        <f>IF(C1465=0,COUNTIFS(A:A,A1465,D:D,"a"),"")</f>
        <v>0</v>
      </c>
      <c r="K1465" s="2"/>
      <c r="M1465" s="2"/>
    </row>
    <row r="1466" spans="1:14" x14ac:dyDescent="0.55000000000000004">
      <c r="A1466" s="1" t="s">
        <v>1878</v>
      </c>
      <c r="B1466" s="2">
        <f>COUNTIF(A:A,A1466)-1</f>
        <v>6</v>
      </c>
      <c r="C1466" s="2">
        <f>COUNTIF(A$1:A1466,A1466)-1</f>
        <v>1</v>
      </c>
      <c r="D1466" s="2" t="str">
        <f>Argument!D1466</f>
        <v>vr</v>
      </c>
      <c r="E1466" s="2" t="str">
        <f t="shared" si="44"/>
        <v/>
      </c>
      <c r="F1466" s="2" t="str">
        <f>IF(C1466=0,ISTEXT(FORMULA.CONVERT("="&amp;A1466&amp;"("&amp;REPLACE(REPT(",#ref!",B1466),1,1,"")&amp;")()",1)),"")</f>
        <v/>
      </c>
      <c r="G1466" s="2">
        <f>TYPE(CUMIPMT({1},IF(1,1),IF(1,1),IF(1,1),IF(1,1),IF(1,1)))</f>
        <v>64</v>
      </c>
      <c r="H1466" s="2" t="str">
        <f t="shared" si="45"/>
        <v/>
      </c>
      <c r="I1466" s="2">
        <f>TYPE(CUMIPMT(IF(1,1),IF(1,1),IF(1,1),IF(1,1),IF(1,1),IF(1,1)))</f>
        <v>1</v>
      </c>
      <c r="J1466" s="2" t="str">
        <f>IF(C1466=0,COUNTIFS(A:A,A1466,D:D,"a"),"")</f>
        <v/>
      </c>
      <c r="K1466" s="2" t="e">
        <f>INDEX(+CUMIPMT(K1466:L1466,#REF!,#REF!,#REF!,#REF!,#REF!),)</f>
        <v>#VALUE!</v>
      </c>
      <c r="L1466" s="1">
        <v>1</v>
      </c>
      <c r="M1466" s="2" t="e">
        <f>INDEX(+CUMIPMT(INDIRECT(M1466:N1466),#REF!,#REF!,#REF!,#REF!,#REF!),)</f>
        <v>#REF!</v>
      </c>
      <c r="N1466" s="1">
        <v>1</v>
      </c>
    </row>
    <row r="1467" spans="1:14" x14ac:dyDescent="0.55000000000000004">
      <c r="A1467" s="1" t="s">
        <v>1878</v>
      </c>
      <c r="B1467" s="2">
        <f>COUNTIF(A:A,A1467)-1</f>
        <v>6</v>
      </c>
      <c r="C1467" s="2">
        <f>COUNTIF(A$1:A1467,A1467)-1</f>
        <v>2</v>
      </c>
      <c r="D1467" s="2" t="str">
        <f>Argument!D1467</f>
        <v>vr</v>
      </c>
      <c r="E1467" s="2" t="str">
        <f t="shared" si="44"/>
        <v/>
      </c>
      <c r="F1467" s="2" t="str">
        <f>IF(C1467=0,ISTEXT(FORMULA.CONVERT("="&amp;A1467&amp;"("&amp;REPLACE(REPT(",#ref!",B1467),1,1,"")&amp;")()",1)),"")</f>
        <v/>
      </c>
      <c r="G1467" s="2">
        <f>TYPE(CUMIPMT(IF(1,1),{1},IF(1,1),IF(1,1),IF(1,1),IF(1,1)))</f>
        <v>64</v>
      </c>
      <c r="H1467" s="2" t="str">
        <f t="shared" si="45"/>
        <v/>
      </c>
      <c r="I1467" s="2">
        <f>TYPE(CUMIPMT(IF(1,1),IF(1,1),IF(1,1),IF(1,1),IF(1,1),IF(1,1)))</f>
        <v>1</v>
      </c>
      <c r="J1467" s="2" t="str">
        <f>IF(C1467=0,COUNTIFS(A:A,A1467,D:D,"a"),"")</f>
        <v/>
      </c>
      <c r="K1467" s="2" t="e">
        <f>INDEX(+CUMIPMT(#REF!,K1467:L1467,#REF!,#REF!,#REF!,#REF!),)</f>
        <v>#REF!</v>
      </c>
      <c r="L1467" s="1">
        <v>1</v>
      </c>
      <c r="M1467" s="2" t="e">
        <f>INDEX(+CUMIPMT(#REF!,INDIRECT(M1467:N1467),#REF!,#REF!,#REF!,#REF!),)</f>
        <v>#REF!</v>
      </c>
      <c r="N1467" s="1">
        <v>1</v>
      </c>
    </row>
    <row r="1468" spans="1:14" x14ac:dyDescent="0.55000000000000004">
      <c r="A1468" s="1" t="s">
        <v>1878</v>
      </c>
      <c r="B1468" s="2">
        <f>COUNTIF(A:A,A1468)-1</f>
        <v>6</v>
      </c>
      <c r="C1468" s="2">
        <f>COUNTIF(A$1:A1468,A1468)-1</f>
        <v>3</v>
      </c>
      <c r="D1468" s="2" t="str">
        <f>Argument!D1468</f>
        <v>vr</v>
      </c>
      <c r="E1468" s="2" t="str">
        <f t="shared" si="44"/>
        <v/>
      </c>
      <c r="F1468" s="2" t="str">
        <f>IF(C1468=0,ISTEXT(FORMULA.CONVERT("="&amp;A1468&amp;"("&amp;REPLACE(REPT(",#ref!",B1468),1,1,"")&amp;")()",1)),"")</f>
        <v/>
      </c>
      <c r="G1468" s="2">
        <f>TYPE(CUMIPMT(IF(1,1),IF(1,1),{1},IF(1,1),IF(1,1),IF(1,1)))</f>
        <v>64</v>
      </c>
      <c r="H1468" s="2" t="str">
        <f t="shared" si="45"/>
        <v/>
      </c>
      <c r="I1468" s="2">
        <f>TYPE(CUMIPMT(IF(1,1),IF(1,1),IF(1,1),IF(1,1),IF(1,1),IF(1,1)))</f>
        <v>1</v>
      </c>
      <c r="J1468" s="2" t="str">
        <f>IF(C1468=0,COUNTIFS(A:A,A1468,D:D,"a"),"")</f>
        <v/>
      </c>
      <c r="K1468" s="2" t="e">
        <f>INDEX(+CUMIPMT(#REF!,#REF!,K1468:L1468,#REF!,#REF!,#REF!),)</f>
        <v>#REF!</v>
      </c>
      <c r="L1468" s="1">
        <v>1</v>
      </c>
      <c r="M1468" s="2" t="e">
        <f>INDEX(+CUMIPMT(#REF!,#REF!,INDIRECT(M1468:N1468),#REF!,#REF!,#REF!),)</f>
        <v>#REF!</v>
      </c>
      <c r="N1468" s="1">
        <v>1</v>
      </c>
    </row>
    <row r="1469" spans="1:14" x14ac:dyDescent="0.55000000000000004">
      <c r="A1469" s="1" t="s">
        <v>1878</v>
      </c>
      <c r="B1469" s="2">
        <f>COUNTIF(A:A,A1469)-1</f>
        <v>6</v>
      </c>
      <c r="C1469" s="2">
        <f>COUNTIF(A$1:A1469,A1469)-1</f>
        <v>4</v>
      </c>
      <c r="D1469" s="2" t="str">
        <f>Argument!D1469</f>
        <v>vr</v>
      </c>
      <c r="E1469" s="2" t="str">
        <f t="shared" si="44"/>
        <v/>
      </c>
      <c r="F1469" s="2" t="str">
        <f>IF(C1469=0,ISTEXT(FORMULA.CONVERT("="&amp;A1469&amp;"("&amp;REPLACE(REPT(",#ref!",B1469),1,1,"")&amp;")()",1)),"")</f>
        <v/>
      </c>
      <c r="G1469" s="2">
        <f>TYPE(CUMIPMT(IF(1,1),IF(1,1),IF(1,1),{1},IF(1,1),IF(1,1)))</f>
        <v>64</v>
      </c>
      <c r="H1469" s="2" t="str">
        <f t="shared" si="45"/>
        <v/>
      </c>
      <c r="I1469" s="2">
        <f>TYPE(CUMIPMT(IF(1,1),IF(1,1),IF(1,1),IF(1,1),IF(1,1),IF(1,1)))</f>
        <v>1</v>
      </c>
      <c r="J1469" s="2" t="str">
        <f>IF(C1469=0,COUNTIFS(A:A,A1469,D:D,"a"),"")</f>
        <v/>
      </c>
      <c r="K1469" s="2" t="e">
        <f>INDEX(+CUMIPMT(#REF!,#REF!,#REF!,K1469:L1469,#REF!,#REF!),)</f>
        <v>#REF!</v>
      </c>
      <c r="L1469" s="1">
        <v>1</v>
      </c>
      <c r="M1469" s="2" t="e">
        <f>INDEX(+CUMIPMT(#REF!,#REF!,#REF!,INDIRECT(M1469:N1469),#REF!,#REF!),)</f>
        <v>#REF!</v>
      </c>
      <c r="N1469" s="1">
        <v>1</v>
      </c>
    </row>
    <row r="1470" spans="1:14" x14ac:dyDescent="0.55000000000000004">
      <c r="A1470" s="1" t="s">
        <v>1878</v>
      </c>
      <c r="B1470" s="2">
        <f>COUNTIF(A:A,A1470)-1</f>
        <v>6</v>
      </c>
      <c r="C1470" s="2">
        <f>COUNTIF(A$1:A1470,A1470)-1</f>
        <v>5</v>
      </c>
      <c r="D1470" s="2" t="str">
        <f>Argument!D1470</f>
        <v>vr</v>
      </c>
      <c r="E1470" s="2" t="str">
        <f t="shared" si="44"/>
        <v/>
      </c>
      <c r="F1470" s="2" t="str">
        <f>IF(C1470=0,ISTEXT(FORMULA.CONVERT("="&amp;A1470&amp;"("&amp;REPLACE(REPT(",#ref!",B1470),1,1,"")&amp;")()",1)),"")</f>
        <v/>
      </c>
      <c r="G1470" s="2">
        <f>TYPE(CUMIPMT(IF(1,1),IF(1,1),IF(1,1),IF(1,1),{1},IF(1,1)))</f>
        <v>64</v>
      </c>
      <c r="H1470" s="2" t="str">
        <f t="shared" si="45"/>
        <v/>
      </c>
      <c r="I1470" s="2">
        <f>TYPE(CUMIPMT(IF(1,1),IF(1,1),IF(1,1),IF(1,1),IF(1,1),IF(1,1)))</f>
        <v>1</v>
      </c>
      <c r="J1470" s="2" t="str">
        <f>IF(C1470=0,COUNTIFS(A:A,A1470,D:D,"a"),"")</f>
        <v/>
      </c>
      <c r="K1470" s="2" t="e">
        <f>INDEX(+CUMIPMT(#REF!,#REF!,#REF!,#REF!,K1470:L1470,#REF!),)</f>
        <v>#REF!</v>
      </c>
      <c r="L1470" s="1">
        <v>1</v>
      </c>
      <c r="M1470" s="2" t="e">
        <f>INDEX(+CUMIPMT(#REF!,#REF!,#REF!,#REF!,INDIRECT(M1470:N1470),#REF!),)</f>
        <v>#REF!</v>
      </c>
      <c r="N1470" s="1">
        <v>1</v>
      </c>
    </row>
    <row r="1471" spans="1:14" x14ac:dyDescent="0.55000000000000004">
      <c r="A1471" s="1" t="s">
        <v>1878</v>
      </c>
      <c r="B1471" s="2">
        <f>COUNTIF(A:A,A1471)-1</f>
        <v>6</v>
      </c>
      <c r="C1471" s="2">
        <f>COUNTIF(A$1:A1471,A1471)-1</f>
        <v>6</v>
      </c>
      <c r="D1471" s="2" t="str">
        <f>Argument!D1471</f>
        <v>vr</v>
      </c>
      <c r="E1471" s="2" t="str">
        <f t="shared" si="44"/>
        <v/>
      </c>
      <c r="F1471" s="2" t="str">
        <f>IF(C1471=0,ISTEXT(FORMULA.CONVERT("="&amp;A1471&amp;"("&amp;REPLACE(REPT(",#ref!",B1471),1,1,"")&amp;")()",1)),"")</f>
        <v/>
      </c>
      <c r="G1471" s="2">
        <f>TYPE(CUMIPMT(IF(1,1),IF(1,1),IF(1,1),IF(1,1),IF(1,1),{1}))</f>
        <v>64</v>
      </c>
      <c r="H1471" s="2" t="str">
        <f t="shared" si="45"/>
        <v/>
      </c>
      <c r="I1471" s="2">
        <f>TYPE(CUMIPMT(IF(1,1),IF(1,1),IF(1,1),IF(1,1),IF(1,1),IF(1,1)))</f>
        <v>1</v>
      </c>
      <c r="J1471" s="2" t="str">
        <f>IF(C1471=0,COUNTIFS(A:A,A1471,D:D,"a"),"")</f>
        <v/>
      </c>
      <c r="K1471" s="2" t="e">
        <f>INDEX(+CUMIPMT(#REF!,#REF!,#REF!,#REF!,#REF!,K1471:L1471),)</f>
        <v>#REF!</v>
      </c>
      <c r="L1471" s="1">
        <v>1</v>
      </c>
      <c r="M1471" s="2" t="e">
        <f>INDEX(+CUMIPMT(#REF!,#REF!,#REF!,#REF!,#REF!,INDIRECT(M1471:N1471)),)</f>
        <v>#REF!</v>
      </c>
      <c r="N1471" s="1">
        <v>1</v>
      </c>
    </row>
    <row r="1472" spans="1:14" x14ac:dyDescent="0.55000000000000004">
      <c r="A1472" s="1" t="s">
        <v>1879</v>
      </c>
      <c r="B1472" s="2">
        <f>COUNTIF(A:A,A1472)-1</f>
        <v>2</v>
      </c>
      <c r="C1472" s="2">
        <f>COUNTIF(A$1:A1472,A1472)-1</f>
        <v>0</v>
      </c>
      <c r="D1472" s="2" t="str">
        <f>Argument!D1472</f>
        <v/>
      </c>
      <c r="E1472" s="2" t="str">
        <f t="shared" si="44"/>
        <v>v</v>
      </c>
      <c r="F1472" s="2" t="b">
        <f>IF(C1472=0,ISTEXT(FORMULA.CONVERT("="&amp;A1472&amp;"("&amp;REPLACE(REPT(",#ref!",B1472),1,1,"")&amp;")()",1)),"")</f>
        <v>0</v>
      </c>
      <c r="G1472" s="2"/>
      <c r="H1472" s="2" t="str">
        <f t="shared" si="45"/>
        <v/>
      </c>
      <c r="I1472" s="2">
        <f>TYPE(EDATE(IF(1,1),IF(1,1)))</f>
        <v>1</v>
      </c>
      <c r="J1472" s="2">
        <f>IF(C1472=0,COUNTIFS(A:A,A1472,D:D,"a"),"")</f>
        <v>0</v>
      </c>
      <c r="K1472" s="2"/>
      <c r="M1472" s="2"/>
    </row>
    <row r="1473" spans="1:14" x14ac:dyDescent="0.55000000000000004">
      <c r="A1473" s="1" t="s">
        <v>1879</v>
      </c>
      <c r="B1473" s="2">
        <f>COUNTIF(A:A,A1473)-1</f>
        <v>2</v>
      </c>
      <c r="C1473" s="2">
        <f>COUNTIF(A$1:A1473,A1473)-1</f>
        <v>1</v>
      </c>
      <c r="D1473" s="2" t="str">
        <f>Argument!D1473</f>
        <v>vr</v>
      </c>
      <c r="E1473" s="2" t="str">
        <f t="shared" si="44"/>
        <v/>
      </c>
      <c r="F1473" s="2" t="str">
        <f>IF(C1473=0,ISTEXT(FORMULA.CONVERT("="&amp;A1473&amp;"("&amp;REPLACE(REPT(",#ref!",B1473),1,1,"")&amp;")()",1)),"")</f>
        <v/>
      </c>
      <c r="G1473" s="2">
        <f>TYPE(EDATE({1},IF(1,1)))</f>
        <v>64</v>
      </c>
      <c r="H1473" s="2" t="str">
        <f t="shared" si="45"/>
        <v/>
      </c>
      <c r="I1473" s="2">
        <f>TYPE(EDATE(IF(1,1),IF(1,1)))</f>
        <v>1</v>
      </c>
      <c r="J1473" s="2" t="str">
        <f>IF(C1473=0,COUNTIFS(A:A,A1473,D:D,"a"),"")</f>
        <v/>
      </c>
      <c r="K1473" s="2" t="e">
        <f>INDEX(+EDATE(K1473:L1473,#REF!),)</f>
        <v>#VALUE!</v>
      </c>
      <c r="L1473" s="1">
        <v>1</v>
      </c>
      <c r="M1473" s="2" t="e">
        <f>INDEX(+EDATE(INDIRECT(M1473:N1473),#REF!),)</f>
        <v>#REF!</v>
      </c>
      <c r="N1473" s="1">
        <v>1</v>
      </c>
    </row>
    <row r="1474" spans="1:14" x14ac:dyDescent="0.55000000000000004">
      <c r="A1474" s="1" t="s">
        <v>1879</v>
      </c>
      <c r="B1474" s="2">
        <f>COUNTIF(A:A,A1474)-1</f>
        <v>2</v>
      </c>
      <c r="C1474" s="2">
        <f>COUNTIF(A$1:A1474,A1474)-1</f>
        <v>2</v>
      </c>
      <c r="D1474" s="2" t="str">
        <f>Argument!D1474</f>
        <v>vr</v>
      </c>
      <c r="E1474" s="2" t="str">
        <f t="shared" ref="E1474:E1537" si="46">IF(C1474=0,IF(SUMIFS(H:H,A:A,A1474),IF(COUNTIFS(A:A,A1474,G:G,64),,"v")&amp;IF(F1474,"ar","a"),IF(F1474,"r","v")),"")</f>
        <v/>
      </c>
      <c r="F1474" s="2" t="str">
        <f>IF(C1474=0,ISTEXT(FORMULA.CONVERT("="&amp;A1474&amp;"("&amp;REPLACE(REPT(",#ref!",B1474),1,1,"")&amp;")()",1)),"")</f>
        <v/>
      </c>
      <c r="G1474" s="2">
        <f>TYPE(EDATE(IF(1,1),{1}))</f>
        <v>64</v>
      </c>
      <c r="H1474" s="2" t="str">
        <f t="shared" ref="H1474:H1537" si="47">IF((I1474=64)*(J1474=B1474)+(1-L1474)*COUNTIF(D1474,"*v*")+(1-N1474)*COUNTIF(D1474,"*r*"),1,"")</f>
        <v/>
      </c>
      <c r="I1474" s="2">
        <f>TYPE(EDATE(IF(1,1),IF(1,1)))</f>
        <v>1</v>
      </c>
      <c r="J1474" s="2" t="str">
        <f>IF(C1474=0,COUNTIFS(A:A,A1474,D:D,"a"),"")</f>
        <v/>
      </c>
      <c r="K1474" s="2" t="e">
        <f>INDEX(+EDATE(#REF!,K1474:L1474),)</f>
        <v>#REF!</v>
      </c>
      <c r="L1474" s="1">
        <v>1</v>
      </c>
      <c r="M1474" s="2" t="e">
        <f>INDEX(+EDATE(#REF!,INDIRECT(M1474:N1474)),)</f>
        <v>#REF!</v>
      </c>
      <c r="N1474" s="1">
        <v>1</v>
      </c>
    </row>
    <row r="1475" spans="1:14" x14ac:dyDescent="0.55000000000000004">
      <c r="A1475" s="1" t="s">
        <v>1880</v>
      </c>
      <c r="B1475" s="2">
        <f>COUNTIF(A:A,A1475)-1</f>
        <v>2</v>
      </c>
      <c r="C1475" s="2">
        <f>COUNTIF(A$1:A1475,A1475)-1</f>
        <v>0</v>
      </c>
      <c r="D1475" s="2" t="str">
        <f>Argument!D1475</f>
        <v/>
      </c>
      <c r="E1475" s="2" t="str">
        <f t="shared" si="46"/>
        <v>v</v>
      </c>
      <c r="F1475" s="2" t="b">
        <f>IF(C1475=0,ISTEXT(FORMULA.CONVERT("="&amp;A1475&amp;"("&amp;REPLACE(REPT(",#ref!",B1475),1,1,"")&amp;")()",1)),"")</f>
        <v>0</v>
      </c>
      <c r="G1475" s="2"/>
      <c r="H1475" s="2" t="str">
        <f t="shared" si="47"/>
        <v/>
      </c>
      <c r="I1475" s="2">
        <f>TYPE(EOMONTH(IF(1,1),IF(1,1)))</f>
        <v>1</v>
      </c>
      <c r="J1475" s="2">
        <f>IF(C1475=0,COUNTIFS(A:A,A1475,D:D,"a"),"")</f>
        <v>0</v>
      </c>
      <c r="K1475" s="2"/>
      <c r="M1475" s="2"/>
    </row>
    <row r="1476" spans="1:14" x14ac:dyDescent="0.55000000000000004">
      <c r="A1476" s="1" t="s">
        <v>1880</v>
      </c>
      <c r="B1476" s="2">
        <f>COUNTIF(A:A,A1476)-1</f>
        <v>2</v>
      </c>
      <c r="C1476" s="2">
        <f>COUNTIF(A$1:A1476,A1476)-1</f>
        <v>1</v>
      </c>
      <c r="D1476" s="2" t="str">
        <f>Argument!D1476</f>
        <v>vr</v>
      </c>
      <c r="E1476" s="2" t="str">
        <f t="shared" si="46"/>
        <v/>
      </c>
      <c r="F1476" s="2" t="str">
        <f>IF(C1476=0,ISTEXT(FORMULA.CONVERT("="&amp;A1476&amp;"("&amp;REPLACE(REPT(",#ref!",B1476),1,1,"")&amp;")()",1)),"")</f>
        <v/>
      </c>
      <c r="G1476" s="2">
        <f>TYPE(EOMONTH({1},IF(1,1)))</f>
        <v>64</v>
      </c>
      <c r="H1476" s="2" t="str">
        <f t="shared" si="47"/>
        <v/>
      </c>
      <c r="I1476" s="2">
        <f>TYPE(EOMONTH(IF(1,1),IF(1,1)))</f>
        <v>1</v>
      </c>
      <c r="J1476" s="2" t="str">
        <f>IF(C1476=0,COUNTIFS(A:A,A1476,D:D,"a"),"")</f>
        <v/>
      </c>
      <c r="K1476" s="2" t="e">
        <f>INDEX(+EOMONTH(K1476:L1476,#REF!),)</f>
        <v>#VALUE!</v>
      </c>
      <c r="L1476" s="1">
        <v>1</v>
      </c>
      <c r="M1476" s="2" t="e">
        <f>INDEX(+EOMONTH(INDIRECT(M1476:N1476),#REF!),)</f>
        <v>#REF!</v>
      </c>
      <c r="N1476" s="1">
        <v>1</v>
      </c>
    </row>
    <row r="1477" spans="1:14" x14ac:dyDescent="0.55000000000000004">
      <c r="A1477" s="1" t="s">
        <v>1880</v>
      </c>
      <c r="B1477" s="2">
        <f>COUNTIF(A:A,A1477)-1</f>
        <v>2</v>
      </c>
      <c r="C1477" s="2">
        <f>COUNTIF(A$1:A1477,A1477)-1</f>
        <v>2</v>
      </c>
      <c r="D1477" s="2" t="str">
        <f>Argument!D1477</f>
        <v>vr</v>
      </c>
      <c r="E1477" s="2" t="str">
        <f t="shared" si="46"/>
        <v/>
      </c>
      <c r="F1477" s="2" t="str">
        <f>IF(C1477=0,ISTEXT(FORMULA.CONVERT("="&amp;A1477&amp;"("&amp;REPLACE(REPT(",#ref!",B1477),1,1,"")&amp;")()",1)),"")</f>
        <v/>
      </c>
      <c r="G1477" s="2">
        <f>TYPE(EOMONTH(IF(1,1),{1}))</f>
        <v>64</v>
      </c>
      <c r="H1477" s="2" t="str">
        <f t="shared" si="47"/>
        <v/>
      </c>
      <c r="I1477" s="2">
        <f>TYPE(EOMONTH(IF(1,1),IF(1,1)))</f>
        <v>1</v>
      </c>
      <c r="J1477" s="2" t="str">
        <f>IF(C1477=0,COUNTIFS(A:A,A1477,D:D,"a"),"")</f>
        <v/>
      </c>
      <c r="K1477" s="2" t="e">
        <f>INDEX(+EOMONTH(#REF!,K1477:L1477),)</f>
        <v>#REF!</v>
      </c>
      <c r="L1477" s="1">
        <v>1</v>
      </c>
      <c r="M1477" s="2" t="e">
        <f>INDEX(+EOMONTH(#REF!,INDIRECT(M1477:N1477)),)</f>
        <v>#REF!</v>
      </c>
      <c r="N1477" s="1">
        <v>1</v>
      </c>
    </row>
    <row r="1478" spans="1:14" x14ac:dyDescent="0.55000000000000004">
      <c r="A1478" s="1" t="s">
        <v>1881</v>
      </c>
      <c r="B1478" s="2">
        <f>COUNTIF(A:A,A1478)-1</f>
        <v>3</v>
      </c>
      <c r="C1478" s="2">
        <f>COUNTIF(A$1:A1478,A1478)-1</f>
        <v>0</v>
      </c>
      <c r="D1478" s="2" t="str">
        <f>Argument!D1478</f>
        <v/>
      </c>
      <c r="E1478" s="2" t="str">
        <f t="shared" si="46"/>
        <v>v</v>
      </c>
      <c r="F1478" s="2" t="b">
        <f>IF(C1478=0,ISTEXT(FORMULA.CONVERT("="&amp;A1478&amp;"("&amp;REPLACE(REPT(",#ref!",B1478),1,1,"")&amp;")()",1)),"")</f>
        <v>0</v>
      </c>
      <c r="G1478" s="2"/>
      <c r="H1478" s="2" t="str">
        <f t="shared" si="47"/>
        <v/>
      </c>
      <c r="I1478" s="2">
        <f>TYPE(YEARFRAC(IF(1,1),IF(1,1),IF(1,1)))</f>
        <v>1</v>
      </c>
      <c r="J1478" s="2">
        <f>IF(C1478=0,COUNTIFS(A:A,A1478,D:D,"a"),"")</f>
        <v>0</v>
      </c>
      <c r="K1478" s="2"/>
      <c r="M1478" s="2"/>
    </row>
    <row r="1479" spans="1:14" x14ac:dyDescent="0.55000000000000004">
      <c r="A1479" s="1" t="s">
        <v>1881</v>
      </c>
      <c r="B1479" s="2">
        <f>COUNTIF(A:A,A1479)-1</f>
        <v>3</v>
      </c>
      <c r="C1479" s="2">
        <f>COUNTIF(A$1:A1479,A1479)-1</f>
        <v>1</v>
      </c>
      <c r="D1479" s="2" t="str">
        <f>Argument!D1479</f>
        <v>vr</v>
      </c>
      <c r="E1479" s="2" t="str">
        <f t="shared" si="46"/>
        <v/>
      </c>
      <c r="F1479" s="2" t="str">
        <f>IF(C1479=0,ISTEXT(FORMULA.CONVERT("="&amp;A1479&amp;"("&amp;REPLACE(REPT(",#ref!",B1479),1,1,"")&amp;")()",1)),"")</f>
        <v/>
      </c>
      <c r="G1479" s="2">
        <f>TYPE(YEARFRAC({1},IF(1,1),IF(1,1)))</f>
        <v>64</v>
      </c>
      <c r="H1479" s="2" t="str">
        <f t="shared" si="47"/>
        <v/>
      </c>
      <c r="I1479" s="2">
        <f>TYPE(YEARFRAC(IF(1,1),IF(1,1),IF(1,1)))</f>
        <v>1</v>
      </c>
      <c r="J1479" s="2" t="str">
        <f>IF(C1479=0,COUNTIFS(A:A,A1479,D:D,"a"),"")</f>
        <v/>
      </c>
      <c r="K1479" s="2" t="e">
        <f>INDEX(+YEARFRAC(K1479:L1479,#REF!,#REF!),)</f>
        <v>#REF!</v>
      </c>
      <c r="L1479" s="1">
        <v>1</v>
      </c>
      <c r="M1479" s="2" t="e">
        <f>INDEX(+YEARFRAC(INDIRECT(M1479:N1479),#REF!,#REF!),)</f>
        <v>#REF!</v>
      </c>
      <c r="N1479" s="1">
        <v>1</v>
      </c>
    </row>
    <row r="1480" spans="1:14" x14ac:dyDescent="0.55000000000000004">
      <c r="A1480" s="1" t="s">
        <v>1881</v>
      </c>
      <c r="B1480" s="2">
        <f>COUNTIF(A:A,A1480)-1</f>
        <v>3</v>
      </c>
      <c r="C1480" s="2">
        <f>COUNTIF(A$1:A1480,A1480)-1</f>
        <v>2</v>
      </c>
      <c r="D1480" s="2" t="str">
        <f>Argument!D1480</f>
        <v>vr</v>
      </c>
      <c r="E1480" s="2" t="str">
        <f t="shared" si="46"/>
        <v/>
      </c>
      <c r="F1480" s="2" t="str">
        <f>IF(C1480=0,ISTEXT(FORMULA.CONVERT("="&amp;A1480&amp;"("&amp;REPLACE(REPT(",#ref!",B1480),1,1,"")&amp;")()",1)),"")</f>
        <v/>
      </c>
      <c r="G1480" s="2">
        <f>TYPE(YEARFRAC(IF(1,1),{1},IF(1,1)))</f>
        <v>64</v>
      </c>
      <c r="H1480" s="2" t="str">
        <f t="shared" si="47"/>
        <v/>
      </c>
      <c r="I1480" s="2">
        <f>TYPE(YEARFRAC(IF(1,1),IF(1,1),IF(1,1)))</f>
        <v>1</v>
      </c>
      <c r="J1480" s="2" t="str">
        <f>IF(C1480=0,COUNTIFS(A:A,A1480,D:D,"a"),"")</f>
        <v/>
      </c>
      <c r="K1480" s="2" t="e">
        <f>INDEX(+YEARFRAC(#REF!,K1480:L1480,#REF!),)</f>
        <v>#REF!</v>
      </c>
      <c r="L1480" s="1">
        <v>1</v>
      </c>
      <c r="M1480" s="2" t="e">
        <f>INDEX(+YEARFRAC(#REF!,INDIRECT(M1480:N1480),#REF!),)</f>
        <v>#REF!</v>
      </c>
      <c r="N1480" s="1">
        <v>1</v>
      </c>
    </row>
    <row r="1481" spans="1:14" x14ac:dyDescent="0.55000000000000004">
      <c r="A1481" s="1" t="s">
        <v>1881</v>
      </c>
      <c r="B1481" s="2">
        <f>COUNTIF(A:A,A1481)-1</f>
        <v>3</v>
      </c>
      <c r="C1481" s="2">
        <f>COUNTIF(A$1:A1481,A1481)-1</f>
        <v>3</v>
      </c>
      <c r="D1481" s="2" t="str">
        <f>Argument!D1481</f>
        <v>vr</v>
      </c>
      <c r="E1481" s="2" t="str">
        <f t="shared" si="46"/>
        <v/>
      </c>
      <c r="F1481" s="2" t="str">
        <f>IF(C1481=0,ISTEXT(FORMULA.CONVERT("="&amp;A1481&amp;"("&amp;REPLACE(REPT(",#ref!",B1481),1,1,"")&amp;")()",1)),"")</f>
        <v/>
      </c>
      <c r="G1481" s="2">
        <f>TYPE(YEARFRAC(IF(1,1),IF(1,1),{1}))</f>
        <v>64</v>
      </c>
      <c r="H1481" s="2" t="str">
        <f t="shared" si="47"/>
        <v/>
      </c>
      <c r="I1481" s="2">
        <f>TYPE(YEARFRAC(IF(1,1),IF(1,1),IF(1,1)))</f>
        <v>1</v>
      </c>
      <c r="J1481" s="2" t="str">
        <f>IF(C1481=0,COUNTIFS(A:A,A1481,D:D,"a"),"")</f>
        <v/>
      </c>
      <c r="K1481" s="2" t="e">
        <f>INDEX(+YEARFRAC(#REF!,#REF!,K1481:L1481),)</f>
        <v>#VALUE!</v>
      </c>
      <c r="L1481" s="1">
        <v>1</v>
      </c>
      <c r="M1481" s="2" t="e">
        <f>INDEX(+YEARFRAC(#REF!,#REF!,INDIRECT(M1481:N1481)),)</f>
        <v>#REF!</v>
      </c>
      <c r="N1481" s="1">
        <v>1</v>
      </c>
    </row>
    <row r="1482" spans="1:14" x14ac:dyDescent="0.55000000000000004">
      <c r="A1482" s="1" t="s">
        <v>1882</v>
      </c>
      <c r="B1482" s="2">
        <f>COUNTIF(A:A,A1482)-1</f>
        <v>4</v>
      </c>
      <c r="C1482" s="2">
        <f>COUNTIF(A$1:A1482,A1482)-1</f>
        <v>0</v>
      </c>
      <c r="D1482" s="2" t="str">
        <f>Argument!D1482</f>
        <v/>
      </c>
      <c r="E1482" s="2" t="str">
        <f t="shared" si="46"/>
        <v>v</v>
      </c>
      <c r="F1482" s="2" t="b">
        <f>IF(C1482=0,ISTEXT(FORMULA.CONVERT("="&amp;A1482&amp;"("&amp;REPLACE(REPT(",#ref!",B1482),1,1,"")&amp;")()",1)),"")</f>
        <v>0</v>
      </c>
      <c r="G1482" s="2"/>
      <c r="H1482" s="2" t="str">
        <f t="shared" si="47"/>
        <v/>
      </c>
      <c r="I1482" s="2">
        <f>TYPE(COUPDAYBS(IF(1,1),IF(1,1),IF(1,1),IF(1,1)))</f>
        <v>16</v>
      </c>
      <c r="J1482" s="2">
        <f>IF(C1482=0,COUNTIFS(A:A,A1482,D:D,"a"),"")</f>
        <v>0</v>
      </c>
      <c r="K1482" s="2"/>
      <c r="M1482" s="2"/>
    </row>
    <row r="1483" spans="1:14" x14ac:dyDescent="0.55000000000000004">
      <c r="A1483" s="1" t="s">
        <v>1882</v>
      </c>
      <c r="B1483" s="2">
        <f>COUNTIF(A:A,A1483)-1</f>
        <v>4</v>
      </c>
      <c r="C1483" s="2">
        <f>COUNTIF(A$1:A1483,A1483)-1</f>
        <v>1</v>
      </c>
      <c r="D1483" s="2" t="str">
        <f>Argument!D1483</f>
        <v>vr</v>
      </c>
      <c r="E1483" s="2" t="str">
        <f t="shared" si="46"/>
        <v/>
      </c>
      <c r="F1483" s="2" t="str">
        <f>IF(C1483=0,ISTEXT(FORMULA.CONVERT("="&amp;A1483&amp;"("&amp;REPLACE(REPT(",#ref!",B1483),1,1,"")&amp;")()",1)),"")</f>
        <v/>
      </c>
      <c r="G1483" s="2">
        <f>TYPE(COUPDAYBS({1},IF(1,1),IF(1,1),IF(1,1)))</f>
        <v>64</v>
      </c>
      <c r="H1483" s="2" t="str">
        <f t="shared" si="47"/>
        <v/>
      </c>
      <c r="I1483" s="2">
        <f>TYPE(COUPDAYBS(IF(1,1),IF(1,1),IF(1,1),IF(1,1)))</f>
        <v>16</v>
      </c>
      <c r="J1483" s="2" t="str">
        <f>IF(C1483=0,COUNTIFS(A:A,A1483,D:D,"a"),"")</f>
        <v/>
      </c>
      <c r="K1483" s="2" t="e">
        <f>INDEX(+COUPDAYBS(K1483:L1483,#REF!,#REF!,#REF!),)</f>
        <v>#VALUE!</v>
      </c>
      <c r="L1483" s="1">
        <v>1</v>
      </c>
      <c r="M1483" s="2" t="e">
        <f>INDEX(+COUPDAYBS(INDIRECT(M1483:N1483),#REF!,#REF!,#REF!),)</f>
        <v>#REF!</v>
      </c>
      <c r="N1483" s="1">
        <v>1</v>
      </c>
    </row>
    <row r="1484" spans="1:14" x14ac:dyDescent="0.55000000000000004">
      <c r="A1484" s="1" t="s">
        <v>1882</v>
      </c>
      <c r="B1484" s="2">
        <f>COUNTIF(A:A,A1484)-1</f>
        <v>4</v>
      </c>
      <c r="C1484" s="2">
        <f>COUNTIF(A$1:A1484,A1484)-1</f>
        <v>2</v>
      </c>
      <c r="D1484" s="2" t="str">
        <f>Argument!D1484</f>
        <v>vr</v>
      </c>
      <c r="E1484" s="2" t="str">
        <f t="shared" si="46"/>
        <v/>
      </c>
      <c r="F1484" s="2" t="str">
        <f>IF(C1484=0,ISTEXT(FORMULA.CONVERT("="&amp;A1484&amp;"("&amp;REPLACE(REPT(",#ref!",B1484),1,1,"")&amp;")()",1)),"")</f>
        <v/>
      </c>
      <c r="G1484" s="2">
        <f>TYPE(COUPDAYBS(IF(1,1),{1},IF(1,1),IF(1,1)))</f>
        <v>64</v>
      </c>
      <c r="H1484" s="2" t="str">
        <f t="shared" si="47"/>
        <v/>
      </c>
      <c r="I1484" s="2">
        <f>TYPE(COUPDAYBS(IF(1,1),IF(1,1),IF(1,1),IF(1,1)))</f>
        <v>16</v>
      </c>
      <c r="J1484" s="2" t="str">
        <f>IF(C1484=0,COUNTIFS(A:A,A1484,D:D,"a"),"")</f>
        <v/>
      </c>
      <c r="K1484" s="2" t="e">
        <f>INDEX(+COUPDAYBS(#REF!,K1484:L1484,#REF!,#REF!),)</f>
        <v>#REF!</v>
      </c>
      <c r="L1484" s="1">
        <v>1</v>
      </c>
      <c r="M1484" s="2" t="e">
        <f>INDEX(+COUPDAYBS(#REF!,INDIRECT(M1484:N1484),#REF!,#REF!),)</f>
        <v>#REF!</v>
      </c>
      <c r="N1484" s="1">
        <v>1</v>
      </c>
    </row>
    <row r="1485" spans="1:14" x14ac:dyDescent="0.55000000000000004">
      <c r="A1485" s="1" t="s">
        <v>1882</v>
      </c>
      <c r="B1485" s="2">
        <f>COUNTIF(A:A,A1485)-1</f>
        <v>4</v>
      </c>
      <c r="C1485" s="2">
        <f>COUNTIF(A$1:A1485,A1485)-1</f>
        <v>3</v>
      </c>
      <c r="D1485" s="2" t="str">
        <f>Argument!D1485</f>
        <v>vr</v>
      </c>
      <c r="E1485" s="2" t="str">
        <f t="shared" si="46"/>
        <v/>
      </c>
      <c r="F1485" s="2" t="str">
        <f>IF(C1485=0,ISTEXT(FORMULA.CONVERT("="&amp;A1485&amp;"("&amp;REPLACE(REPT(",#ref!",B1485),1,1,"")&amp;")()",1)),"")</f>
        <v/>
      </c>
      <c r="G1485" s="2">
        <f>TYPE(COUPDAYBS(IF(1,1),IF(1,1),{1},IF(1,1)))</f>
        <v>64</v>
      </c>
      <c r="H1485" s="2" t="str">
        <f t="shared" si="47"/>
        <v/>
      </c>
      <c r="I1485" s="2">
        <f>TYPE(COUPDAYBS(IF(1,1),IF(1,1),IF(1,1),IF(1,1)))</f>
        <v>16</v>
      </c>
      <c r="J1485" s="2" t="str">
        <f>IF(C1485=0,COUNTIFS(A:A,A1485,D:D,"a"),"")</f>
        <v/>
      </c>
      <c r="K1485" s="2" t="e">
        <f>INDEX(+COUPDAYBS(#REF!,#REF!,K1485:L1485,#REF!),)</f>
        <v>#REF!</v>
      </c>
      <c r="L1485" s="1">
        <v>1</v>
      </c>
      <c r="M1485" s="2" t="e">
        <f>INDEX(+COUPDAYBS(#REF!,#REF!,INDIRECT(M1485:N1485),#REF!),)</f>
        <v>#REF!</v>
      </c>
      <c r="N1485" s="1">
        <v>1</v>
      </c>
    </row>
    <row r="1486" spans="1:14" x14ac:dyDescent="0.55000000000000004">
      <c r="A1486" s="1" t="s">
        <v>1882</v>
      </c>
      <c r="B1486" s="2">
        <f>COUNTIF(A:A,A1486)-1</f>
        <v>4</v>
      </c>
      <c r="C1486" s="2">
        <f>COUNTIF(A$1:A1486,A1486)-1</f>
        <v>4</v>
      </c>
      <c r="D1486" s="2" t="str">
        <f>Argument!D1486</f>
        <v>vr</v>
      </c>
      <c r="E1486" s="2" t="str">
        <f t="shared" si="46"/>
        <v/>
      </c>
      <c r="F1486" s="2" t="str">
        <f>IF(C1486=0,ISTEXT(FORMULA.CONVERT("="&amp;A1486&amp;"("&amp;REPLACE(REPT(",#ref!",B1486),1,1,"")&amp;")()",1)),"")</f>
        <v/>
      </c>
      <c r="G1486" s="2">
        <f>TYPE(COUPDAYBS(IF(1,1),IF(1,1),IF(1,1),{1}))</f>
        <v>64</v>
      </c>
      <c r="H1486" s="2" t="str">
        <f t="shared" si="47"/>
        <v/>
      </c>
      <c r="I1486" s="2">
        <f>TYPE(COUPDAYBS(IF(1,1),IF(1,1),IF(1,1),IF(1,1)))</f>
        <v>16</v>
      </c>
      <c r="J1486" s="2" t="str">
        <f>IF(C1486=0,COUNTIFS(A:A,A1486,D:D,"a"),"")</f>
        <v/>
      </c>
      <c r="K1486" s="2" t="e">
        <f>INDEX(+COUPDAYBS(#REF!,#REF!,#REF!,K1486:L1486),)</f>
        <v>#REF!</v>
      </c>
      <c r="L1486" s="1">
        <v>1</v>
      </c>
      <c r="M1486" s="2" t="e">
        <f>INDEX(+COUPDAYBS(#REF!,#REF!,#REF!,INDIRECT(M1486:N1486)),)</f>
        <v>#REF!</v>
      </c>
      <c r="N1486" s="1">
        <v>1</v>
      </c>
    </row>
    <row r="1487" spans="1:14" x14ac:dyDescent="0.55000000000000004">
      <c r="A1487" s="1" t="s">
        <v>1883</v>
      </c>
      <c r="B1487" s="2">
        <f>COUNTIF(A:A,A1487)-1</f>
        <v>4</v>
      </c>
      <c r="C1487" s="2">
        <f>COUNTIF(A$1:A1487,A1487)-1</f>
        <v>0</v>
      </c>
      <c r="D1487" s="2" t="str">
        <f>Argument!D1487</f>
        <v/>
      </c>
      <c r="E1487" s="2" t="str">
        <f t="shared" si="46"/>
        <v>v</v>
      </c>
      <c r="F1487" s="2" t="b">
        <f>IF(C1487=0,ISTEXT(FORMULA.CONVERT("="&amp;A1487&amp;"("&amp;REPLACE(REPT(",#ref!",B1487),1,1,"")&amp;")()",1)),"")</f>
        <v>0</v>
      </c>
      <c r="G1487" s="2"/>
      <c r="H1487" s="2" t="str">
        <f t="shared" si="47"/>
        <v/>
      </c>
      <c r="I1487" s="2">
        <f>TYPE(COUPDAYS(IF(1,1),IF(1,1),IF(1,1),IF(1,1)))</f>
        <v>16</v>
      </c>
      <c r="J1487" s="2">
        <f>IF(C1487=0,COUNTIFS(A:A,A1487,D:D,"a"),"")</f>
        <v>0</v>
      </c>
      <c r="K1487" s="2"/>
      <c r="M1487" s="2"/>
    </row>
    <row r="1488" spans="1:14" x14ac:dyDescent="0.55000000000000004">
      <c r="A1488" s="1" t="s">
        <v>1883</v>
      </c>
      <c r="B1488" s="2">
        <f>COUNTIF(A:A,A1488)-1</f>
        <v>4</v>
      </c>
      <c r="C1488" s="2">
        <f>COUNTIF(A$1:A1488,A1488)-1</f>
        <v>1</v>
      </c>
      <c r="D1488" s="2" t="str">
        <f>Argument!D1488</f>
        <v>vr</v>
      </c>
      <c r="E1488" s="2" t="str">
        <f t="shared" si="46"/>
        <v/>
      </c>
      <c r="F1488" s="2" t="str">
        <f>IF(C1488=0,ISTEXT(FORMULA.CONVERT("="&amp;A1488&amp;"("&amp;REPLACE(REPT(",#ref!",B1488),1,1,"")&amp;")()",1)),"")</f>
        <v/>
      </c>
      <c r="G1488" s="2">
        <f>TYPE(COUPDAYS({1},IF(1,1),IF(1,1),IF(1,1)))</f>
        <v>64</v>
      </c>
      <c r="H1488" s="2" t="str">
        <f t="shared" si="47"/>
        <v/>
      </c>
      <c r="I1488" s="2">
        <f>TYPE(COUPDAYS(IF(1,1),IF(1,1),IF(1,1),IF(1,1)))</f>
        <v>16</v>
      </c>
      <c r="J1488" s="2" t="str">
        <f>IF(C1488=0,COUNTIFS(A:A,A1488,D:D,"a"),"")</f>
        <v/>
      </c>
      <c r="K1488" s="2" t="e">
        <f>INDEX(+COUPDAYS(K1488:L1488,#REF!,#REF!,#REF!),)</f>
        <v>#VALUE!</v>
      </c>
      <c r="L1488" s="1">
        <v>1</v>
      </c>
      <c r="M1488" s="2" t="e">
        <f>INDEX(+COUPDAYS(INDIRECT(M1488:N1488),#REF!,#REF!,#REF!),)</f>
        <v>#REF!</v>
      </c>
      <c r="N1488" s="1">
        <v>1</v>
      </c>
    </row>
    <row r="1489" spans="1:14" x14ac:dyDescent="0.55000000000000004">
      <c r="A1489" s="1" t="s">
        <v>1883</v>
      </c>
      <c r="B1489" s="2">
        <f>COUNTIF(A:A,A1489)-1</f>
        <v>4</v>
      </c>
      <c r="C1489" s="2">
        <f>COUNTIF(A$1:A1489,A1489)-1</f>
        <v>2</v>
      </c>
      <c r="D1489" s="2" t="str">
        <f>Argument!D1489</f>
        <v>vr</v>
      </c>
      <c r="E1489" s="2" t="str">
        <f t="shared" si="46"/>
        <v/>
      </c>
      <c r="F1489" s="2" t="str">
        <f>IF(C1489=0,ISTEXT(FORMULA.CONVERT("="&amp;A1489&amp;"("&amp;REPLACE(REPT(",#ref!",B1489),1,1,"")&amp;")()",1)),"")</f>
        <v/>
      </c>
      <c r="G1489" s="2">
        <f>TYPE(COUPDAYS(IF(1,1),{1},IF(1,1),IF(1,1)))</f>
        <v>64</v>
      </c>
      <c r="H1489" s="2" t="str">
        <f t="shared" si="47"/>
        <v/>
      </c>
      <c r="I1489" s="2">
        <f>TYPE(COUPDAYS(IF(1,1),IF(1,1),IF(1,1),IF(1,1)))</f>
        <v>16</v>
      </c>
      <c r="J1489" s="2" t="str">
        <f>IF(C1489=0,COUNTIFS(A:A,A1489,D:D,"a"),"")</f>
        <v/>
      </c>
      <c r="K1489" s="2" t="e">
        <f>INDEX(+COUPDAYS(#REF!,K1489:L1489,#REF!,#REF!),)</f>
        <v>#REF!</v>
      </c>
      <c r="L1489" s="1">
        <v>1</v>
      </c>
      <c r="M1489" s="2" t="e">
        <f>INDEX(+COUPDAYS(#REF!,INDIRECT(M1489:N1489),#REF!,#REF!),)</f>
        <v>#REF!</v>
      </c>
      <c r="N1489" s="1">
        <v>1</v>
      </c>
    </row>
    <row r="1490" spans="1:14" x14ac:dyDescent="0.55000000000000004">
      <c r="A1490" s="1" t="s">
        <v>1883</v>
      </c>
      <c r="B1490" s="2">
        <f>COUNTIF(A:A,A1490)-1</f>
        <v>4</v>
      </c>
      <c r="C1490" s="2">
        <f>COUNTIF(A$1:A1490,A1490)-1</f>
        <v>3</v>
      </c>
      <c r="D1490" s="2" t="str">
        <f>Argument!D1490</f>
        <v>vr</v>
      </c>
      <c r="E1490" s="2" t="str">
        <f t="shared" si="46"/>
        <v/>
      </c>
      <c r="F1490" s="2" t="str">
        <f>IF(C1490=0,ISTEXT(FORMULA.CONVERT("="&amp;A1490&amp;"("&amp;REPLACE(REPT(",#ref!",B1490),1,1,"")&amp;")()",1)),"")</f>
        <v/>
      </c>
      <c r="G1490" s="2">
        <f>TYPE(COUPDAYS(IF(1,1),IF(1,1),{1},IF(1,1)))</f>
        <v>64</v>
      </c>
      <c r="H1490" s="2" t="str">
        <f t="shared" si="47"/>
        <v/>
      </c>
      <c r="I1490" s="2">
        <f>TYPE(COUPDAYS(IF(1,1),IF(1,1),IF(1,1),IF(1,1)))</f>
        <v>16</v>
      </c>
      <c r="J1490" s="2" t="str">
        <f>IF(C1490=0,COUNTIFS(A:A,A1490,D:D,"a"),"")</f>
        <v/>
      </c>
      <c r="K1490" s="2" t="e">
        <f>INDEX(+COUPDAYS(#REF!,#REF!,K1490:L1490,#REF!),)</f>
        <v>#REF!</v>
      </c>
      <c r="L1490" s="1">
        <v>1</v>
      </c>
      <c r="M1490" s="2" t="e">
        <f>INDEX(+COUPDAYS(#REF!,#REF!,INDIRECT(M1490:N1490),#REF!),)</f>
        <v>#REF!</v>
      </c>
      <c r="N1490" s="1">
        <v>1</v>
      </c>
    </row>
    <row r="1491" spans="1:14" x14ac:dyDescent="0.55000000000000004">
      <c r="A1491" s="1" t="s">
        <v>1883</v>
      </c>
      <c r="B1491" s="2">
        <f>COUNTIF(A:A,A1491)-1</f>
        <v>4</v>
      </c>
      <c r="C1491" s="2">
        <f>COUNTIF(A$1:A1491,A1491)-1</f>
        <v>4</v>
      </c>
      <c r="D1491" s="2" t="str">
        <f>Argument!D1491</f>
        <v>vr</v>
      </c>
      <c r="E1491" s="2" t="str">
        <f t="shared" si="46"/>
        <v/>
      </c>
      <c r="F1491" s="2" t="str">
        <f>IF(C1491=0,ISTEXT(FORMULA.CONVERT("="&amp;A1491&amp;"("&amp;REPLACE(REPT(",#ref!",B1491),1,1,"")&amp;")()",1)),"")</f>
        <v/>
      </c>
      <c r="G1491" s="2">
        <f>TYPE(COUPDAYS(IF(1,1),IF(1,1),IF(1,1),{1}))</f>
        <v>64</v>
      </c>
      <c r="H1491" s="2" t="str">
        <f t="shared" si="47"/>
        <v/>
      </c>
      <c r="I1491" s="2">
        <f>TYPE(COUPDAYS(IF(1,1),IF(1,1),IF(1,1),IF(1,1)))</f>
        <v>16</v>
      </c>
      <c r="J1491" s="2" t="str">
        <f>IF(C1491=0,COUNTIFS(A:A,A1491,D:D,"a"),"")</f>
        <v/>
      </c>
      <c r="K1491" s="2" t="e">
        <f>INDEX(+COUPDAYS(#REF!,#REF!,#REF!,K1491:L1491),)</f>
        <v>#REF!</v>
      </c>
      <c r="L1491" s="1">
        <v>1</v>
      </c>
      <c r="M1491" s="2" t="e">
        <f>INDEX(+COUPDAYS(#REF!,#REF!,#REF!,INDIRECT(M1491:N1491)),)</f>
        <v>#REF!</v>
      </c>
      <c r="N1491" s="1">
        <v>1</v>
      </c>
    </row>
    <row r="1492" spans="1:14" x14ac:dyDescent="0.55000000000000004">
      <c r="A1492" s="1" t="s">
        <v>1884</v>
      </c>
      <c r="B1492" s="2">
        <f>COUNTIF(A:A,A1492)-1</f>
        <v>4</v>
      </c>
      <c r="C1492" s="2">
        <f>COUNTIF(A$1:A1492,A1492)-1</f>
        <v>0</v>
      </c>
      <c r="D1492" s="2" t="str">
        <f>Argument!D1492</f>
        <v/>
      </c>
      <c r="E1492" s="2" t="str">
        <f t="shared" si="46"/>
        <v>v</v>
      </c>
      <c r="F1492" s="2" t="b">
        <f>IF(C1492=0,ISTEXT(FORMULA.CONVERT("="&amp;A1492&amp;"("&amp;REPLACE(REPT(",#ref!",B1492),1,1,"")&amp;")()",1)),"")</f>
        <v>0</v>
      </c>
      <c r="G1492" s="2"/>
      <c r="H1492" s="2" t="str">
        <f t="shared" si="47"/>
        <v/>
      </c>
      <c r="I1492" s="2">
        <f>TYPE(COUPDAYSNC(IF(1,1),IF(1,1),IF(1,1),IF(1,1)))</f>
        <v>16</v>
      </c>
      <c r="J1492" s="2">
        <f>IF(C1492=0,COUNTIFS(A:A,A1492,D:D,"a"),"")</f>
        <v>0</v>
      </c>
      <c r="K1492" s="2"/>
      <c r="M1492" s="2"/>
    </row>
    <row r="1493" spans="1:14" x14ac:dyDescent="0.55000000000000004">
      <c r="A1493" s="1" t="s">
        <v>1884</v>
      </c>
      <c r="B1493" s="2">
        <f>COUNTIF(A:A,A1493)-1</f>
        <v>4</v>
      </c>
      <c r="C1493" s="2">
        <f>COUNTIF(A$1:A1493,A1493)-1</f>
        <v>1</v>
      </c>
      <c r="D1493" s="2" t="str">
        <f>Argument!D1493</f>
        <v>vr</v>
      </c>
      <c r="E1493" s="2" t="str">
        <f t="shared" si="46"/>
        <v/>
      </c>
      <c r="F1493" s="2" t="str">
        <f>IF(C1493=0,ISTEXT(FORMULA.CONVERT("="&amp;A1493&amp;"("&amp;REPLACE(REPT(",#ref!",B1493),1,1,"")&amp;")()",1)),"")</f>
        <v/>
      </c>
      <c r="G1493" s="2">
        <f>TYPE(COUPDAYSNC({1},IF(1,1),IF(1,1),IF(1,1)))</f>
        <v>64</v>
      </c>
      <c r="H1493" s="2" t="str">
        <f t="shared" si="47"/>
        <v/>
      </c>
      <c r="I1493" s="2">
        <f>TYPE(COUPDAYSNC(IF(1,1),IF(1,1),IF(1,1),IF(1,1)))</f>
        <v>16</v>
      </c>
      <c r="J1493" s="2" t="str">
        <f>IF(C1493=0,COUNTIFS(A:A,A1493,D:D,"a"),"")</f>
        <v/>
      </c>
      <c r="K1493" s="2" t="e">
        <f>INDEX(+COUPDAYSNC(K1493:L1493,#REF!,#REF!,#REF!),)</f>
        <v>#VALUE!</v>
      </c>
      <c r="L1493" s="1">
        <v>1</v>
      </c>
      <c r="M1493" s="2" t="e">
        <f>INDEX(+COUPDAYSNC(INDIRECT(M1493:N1493),#REF!,#REF!,#REF!),)</f>
        <v>#REF!</v>
      </c>
      <c r="N1493" s="1">
        <v>1</v>
      </c>
    </row>
    <row r="1494" spans="1:14" x14ac:dyDescent="0.55000000000000004">
      <c r="A1494" s="1" t="s">
        <v>1884</v>
      </c>
      <c r="B1494" s="2">
        <f>COUNTIF(A:A,A1494)-1</f>
        <v>4</v>
      </c>
      <c r="C1494" s="2">
        <f>COUNTIF(A$1:A1494,A1494)-1</f>
        <v>2</v>
      </c>
      <c r="D1494" s="2" t="str">
        <f>Argument!D1494</f>
        <v>vr</v>
      </c>
      <c r="E1494" s="2" t="str">
        <f t="shared" si="46"/>
        <v/>
      </c>
      <c r="F1494" s="2" t="str">
        <f>IF(C1494=0,ISTEXT(FORMULA.CONVERT("="&amp;A1494&amp;"("&amp;REPLACE(REPT(",#ref!",B1494),1,1,"")&amp;")()",1)),"")</f>
        <v/>
      </c>
      <c r="G1494" s="2">
        <f>TYPE(COUPDAYSNC(IF(1,1),{1},IF(1,1),IF(1,1)))</f>
        <v>64</v>
      </c>
      <c r="H1494" s="2" t="str">
        <f t="shared" si="47"/>
        <v/>
      </c>
      <c r="I1494" s="2">
        <f>TYPE(COUPDAYSNC(IF(1,1),IF(1,1),IF(1,1),IF(1,1)))</f>
        <v>16</v>
      </c>
      <c r="J1494" s="2" t="str">
        <f>IF(C1494=0,COUNTIFS(A:A,A1494,D:D,"a"),"")</f>
        <v/>
      </c>
      <c r="K1494" s="2" t="e">
        <f>INDEX(+COUPDAYSNC(#REF!,K1494:L1494,#REF!,#REF!),)</f>
        <v>#REF!</v>
      </c>
      <c r="L1494" s="1">
        <v>1</v>
      </c>
      <c r="M1494" s="2" t="e">
        <f>INDEX(+COUPDAYSNC(#REF!,INDIRECT(M1494:N1494),#REF!,#REF!),)</f>
        <v>#REF!</v>
      </c>
      <c r="N1494" s="1">
        <v>1</v>
      </c>
    </row>
    <row r="1495" spans="1:14" x14ac:dyDescent="0.55000000000000004">
      <c r="A1495" s="1" t="s">
        <v>1884</v>
      </c>
      <c r="B1495" s="2">
        <f>COUNTIF(A:A,A1495)-1</f>
        <v>4</v>
      </c>
      <c r="C1495" s="2">
        <f>COUNTIF(A$1:A1495,A1495)-1</f>
        <v>3</v>
      </c>
      <c r="D1495" s="2" t="str">
        <f>Argument!D1495</f>
        <v>vr</v>
      </c>
      <c r="E1495" s="2" t="str">
        <f t="shared" si="46"/>
        <v/>
      </c>
      <c r="F1495" s="2" t="str">
        <f>IF(C1495=0,ISTEXT(FORMULA.CONVERT("="&amp;A1495&amp;"("&amp;REPLACE(REPT(",#ref!",B1495),1,1,"")&amp;")()",1)),"")</f>
        <v/>
      </c>
      <c r="G1495" s="2">
        <f>TYPE(COUPDAYSNC(IF(1,1),IF(1,1),{1},IF(1,1)))</f>
        <v>64</v>
      </c>
      <c r="H1495" s="2" t="str">
        <f t="shared" si="47"/>
        <v/>
      </c>
      <c r="I1495" s="2">
        <f>TYPE(COUPDAYSNC(IF(1,1),IF(1,1),IF(1,1),IF(1,1)))</f>
        <v>16</v>
      </c>
      <c r="J1495" s="2" t="str">
        <f>IF(C1495=0,COUNTIFS(A:A,A1495,D:D,"a"),"")</f>
        <v/>
      </c>
      <c r="K1495" s="2" t="e">
        <f>INDEX(+COUPDAYSNC(#REF!,#REF!,K1495:L1495,#REF!),)</f>
        <v>#REF!</v>
      </c>
      <c r="L1495" s="1">
        <v>1</v>
      </c>
      <c r="M1495" s="2" t="e">
        <f>INDEX(+COUPDAYSNC(#REF!,#REF!,INDIRECT(M1495:N1495),#REF!),)</f>
        <v>#REF!</v>
      </c>
      <c r="N1495" s="1">
        <v>1</v>
      </c>
    </row>
    <row r="1496" spans="1:14" x14ac:dyDescent="0.55000000000000004">
      <c r="A1496" s="1" t="s">
        <v>1884</v>
      </c>
      <c r="B1496" s="2">
        <f>COUNTIF(A:A,A1496)-1</f>
        <v>4</v>
      </c>
      <c r="C1496" s="2">
        <f>COUNTIF(A$1:A1496,A1496)-1</f>
        <v>4</v>
      </c>
      <c r="D1496" s="2" t="str">
        <f>Argument!D1496</f>
        <v>vr</v>
      </c>
      <c r="E1496" s="2" t="str">
        <f t="shared" si="46"/>
        <v/>
      </c>
      <c r="F1496" s="2" t="str">
        <f>IF(C1496=0,ISTEXT(FORMULA.CONVERT("="&amp;A1496&amp;"("&amp;REPLACE(REPT(",#ref!",B1496),1,1,"")&amp;")()",1)),"")</f>
        <v/>
      </c>
      <c r="G1496" s="2">
        <f>TYPE(COUPDAYSNC(IF(1,1),IF(1,1),IF(1,1),{1}))</f>
        <v>64</v>
      </c>
      <c r="H1496" s="2" t="str">
        <f t="shared" si="47"/>
        <v/>
      </c>
      <c r="I1496" s="2">
        <f>TYPE(COUPDAYSNC(IF(1,1),IF(1,1),IF(1,1),IF(1,1)))</f>
        <v>16</v>
      </c>
      <c r="J1496" s="2" t="str">
        <f>IF(C1496=0,COUNTIFS(A:A,A1496,D:D,"a"),"")</f>
        <v/>
      </c>
      <c r="K1496" s="2" t="e">
        <f>INDEX(+COUPDAYSNC(#REF!,#REF!,#REF!,K1496:L1496),)</f>
        <v>#REF!</v>
      </c>
      <c r="L1496" s="1">
        <v>1</v>
      </c>
      <c r="M1496" s="2" t="e">
        <f>INDEX(+COUPDAYSNC(#REF!,#REF!,#REF!,INDIRECT(M1496:N1496)),)</f>
        <v>#REF!</v>
      </c>
      <c r="N1496" s="1">
        <v>1</v>
      </c>
    </row>
    <row r="1497" spans="1:14" x14ac:dyDescent="0.55000000000000004">
      <c r="A1497" s="1" t="s">
        <v>1885</v>
      </c>
      <c r="B1497" s="2">
        <f>COUNTIF(A:A,A1497)-1</f>
        <v>4</v>
      </c>
      <c r="C1497" s="2">
        <f>COUNTIF(A$1:A1497,A1497)-1</f>
        <v>0</v>
      </c>
      <c r="D1497" s="2" t="str">
        <f>Argument!D1497</f>
        <v/>
      </c>
      <c r="E1497" s="2" t="str">
        <f t="shared" si="46"/>
        <v>v</v>
      </c>
      <c r="F1497" s="2" t="b">
        <f>IF(C1497=0,ISTEXT(FORMULA.CONVERT("="&amp;A1497&amp;"("&amp;REPLACE(REPT(",#ref!",B1497),1,1,"")&amp;")()",1)),"")</f>
        <v>0</v>
      </c>
      <c r="G1497" s="2"/>
      <c r="H1497" s="2" t="str">
        <f t="shared" si="47"/>
        <v/>
      </c>
      <c r="I1497" s="2">
        <f>TYPE(COUPNCD(IF(1,1),IF(1,1),IF(1,1),IF(1,1)))</f>
        <v>16</v>
      </c>
      <c r="J1497" s="2">
        <f>IF(C1497=0,COUNTIFS(A:A,A1497,D:D,"a"),"")</f>
        <v>0</v>
      </c>
      <c r="K1497" s="2"/>
      <c r="M1497" s="2"/>
    </row>
    <row r="1498" spans="1:14" x14ac:dyDescent="0.55000000000000004">
      <c r="A1498" s="1" t="s">
        <v>1885</v>
      </c>
      <c r="B1498" s="2">
        <f>COUNTIF(A:A,A1498)-1</f>
        <v>4</v>
      </c>
      <c r="C1498" s="2">
        <f>COUNTIF(A$1:A1498,A1498)-1</f>
        <v>1</v>
      </c>
      <c r="D1498" s="2" t="str">
        <f>Argument!D1498</f>
        <v>vr</v>
      </c>
      <c r="E1498" s="2" t="str">
        <f t="shared" si="46"/>
        <v/>
      </c>
      <c r="F1498" s="2" t="str">
        <f>IF(C1498=0,ISTEXT(FORMULA.CONVERT("="&amp;A1498&amp;"("&amp;REPLACE(REPT(",#ref!",B1498),1,1,"")&amp;")()",1)),"")</f>
        <v/>
      </c>
      <c r="G1498" s="2">
        <f>TYPE(COUPNCD({1},IF(1,1),IF(1,1),IF(1,1)))</f>
        <v>64</v>
      </c>
      <c r="H1498" s="2" t="str">
        <f t="shared" si="47"/>
        <v/>
      </c>
      <c r="I1498" s="2">
        <f>TYPE(COUPNCD(IF(1,1),IF(1,1),IF(1,1),IF(1,1)))</f>
        <v>16</v>
      </c>
      <c r="J1498" s="2" t="str">
        <f>IF(C1498=0,COUNTIFS(A:A,A1498,D:D,"a"),"")</f>
        <v/>
      </c>
      <c r="K1498" s="2" t="e">
        <f>INDEX(+COUPNCD(K1498:L1498,#REF!,#REF!,#REF!),)</f>
        <v>#VALUE!</v>
      </c>
      <c r="L1498" s="1">
        <v>1</v>
      </c>
      <c r="M1498" s="2" t="e">
        <f>INDEX(+COUPNCD(INDIRECT(M1498:N1498),#REF!,#REF!,#REF!),)</f>
        <v>#REF!</v>
      </c>
      <c r="N1498" s="1">
        <v>1</v>
      </c>
    </row>
    <row r="1499" spans="1:14" x14ac:dyDescent="0.55000000000000004">
      <c r="A1499" s="1" t="s">
        <v>1885</v>
      </c>
      <c r="B1499" s="2">
        <f>COUNTIF(A:A,A1499)-1</f>
        <v>4</v>
      </c>
      <c r="C1499" s="2">
        <f>COUNTIF(A$1:A1499,A1499)-1</f>
        <v>2</v>
      </c>
      <c r="D1499" s="2" t="str">
        <f>Argument!D1499</f>
        <v>vr</v>
      </c>
      <c r="E1499" s="2" t="str">
        <f t="shared" si="46"/>
        <v/>
      </c>
      <c r="F1499" s="2" t="str">
        <f>IF(C1499=0,ISTEXT(FORMULA.CONVERT("="&amp;A1499&amp;"("&amp;REPLACE(REPT(",#ref!",B1499),1,1,"")&amp;")()",1)),"")</f>
        <v/>
      </c>
      <c r="G1499" s="2">
        <f>TYPE(COUPNCD(IF(1,1),{1},IF(1,1),IF(1,1)))</f>
        <v>64</v>
      </c>
      <c r="H1499" s="2" t="str">
        <f t="shared" si="47"/>
        <v/>
      </c>
      <c r="I1499" s="2">
        <f>TYPE(COUPNCD(IF(1,1),IF(1,1),IF(1,1),IF(1,1)))</f>
        <v>16</v>
      </c>
      <c r="J1499" s="2" t="str">
        <f>IF(C1499=0,COUNTIFS(A:A,A1499,D:D,"a"),"")</f>
        <v/>
      </c>
      <c r="K1499" s="2" t="e">
        <f>INDEX(+COUPNCD(#REF!,K1499:L1499,#REF!,#REF!),)</f>
        <v>#REF!</v>
      </c>
      <c r="L1499" s="1">
        <v>1</v>
      </c>
      <c r="M1499" s="2" t="e">
        <f>INDEX(+COUPNCD(#REF!,INDIRECT(M1499:N1499),#REF!,#REF!),)</f>
        <v>#REF!</v>
      </c>
      <c r="N1499" s="1">
        <v>1</v>
      </c>
    </row>
    <row r="1500" spans="1:14" x14ac:dyDescent="0.55000000000000004">
      <c r="A1500" s="1" t="s">
        <v>1885</v>
      </c>
      <c r="B1500" s="2">
        <f>COUNTIF(A:A,A1500)-1</f>
        <v>4</v>
      </c>
      <c r="C1500" s="2">
        <f>COUNTIF(A$1:A1500,A1500)-1</f>
        <v>3</v>
      </c>
      <c r="D1500" s="2" t="str">
        <f>Argument!D1500</f>
        <v>vr</v>
      </c>
      <c r="E1500" s="2" t="str">
        <f t="shared" si="46"/>
        <v/>
      </c>
      <c r="F1500" s="2" t="str">
        <f>IF(C1500=0,ISTEXT(FORMULA.CONVERT("="&amp;A1500&amp;"("&amp;REPLACE(REPT(",#ref!",B1500),1,1,"")&amp;")()",1)),"")</f>
        <v/>
      </c>
      <c r="G1500" s="2">
        <f>TYPE(COUPNCD(IF(1,1),IF(1,1),{1},IF(1,1)))</f>
        <v>64</v>
      </c>
      <c r="H1500" s="2" t="str">
        <f t="shared" si="47"/>
        <v/>
      </c>
      <c r="I1500" s="2">
        <f>TYPE(COUPNCD(IF(1,1),IF(1,1),IF(1,1),IF(1,1)))</f>
        <v>16</v>
      </c>
      <c r="J1500" s="2" t="str">
        <f>IF(C1500=0,COUNTIFS(A:A,A1500,D:D,"a"),"")</f>
        <v/>
      </c>
      <c r="K1500" s="2" t="e">
        <f>INDEX(+COUPNCD(#REF!,#REF!,K1500:L1500,#REF!),)</f>
        <v>#REF!</v>
      </c>
      <c r="L1500" s="1">
        <v>1</v>
      </c>
      <c r="M1500" s="2" t="e">
        <f>INDEX(+COUPNCD(#REF!,#REF!,INDIRECT(M1500:N1500),#REF!),)</f>
        <v>#REF!</v>
      </c>
      <c r="N1500" s="1">
        <v>1</v>
      </c>
    </row>
    <row r="1501" spans="1:14" x14ac:dyDescent="0.55000000000000004">
      <c r="A1501" s="1" t="s">
        <v>1885</v>
      </c>
      <c r="B1501" s="2">
        <f>COUNTIF(A:A,A1501)-1</f>
        <v>4</v>
      </c>
      <c r="C1501" s="2">
        <f>COUNTIF(A$1:A1501,A1501)-1</f>
        <v>4</v>
      </c>
      <c r="D1501" s="2" t="str">
        <f>Argument!D1501</f>
        <v>vr</v>
      </c>
      <c r="E1501" s="2" t="str">
        <f t="shared" si="46"/>
        <v/>
      </c>
      <c r="F1501" s="2" t="str">
        <f>IF(C1501=0,ISTEXT(FORMULA.CONVERT("="&amp;A1501&amp;"("&amp;REPLACE(REPT(",#ref!",B1501),1,1,"")&amp;")()",1)),"")</f>
        <v/>
      </c>
      <c r="G1501" s="2">
        <f>TYPE(COUPNCD(IF(1,1),IF(1,1),IF(1,1),{1}))</f>
        <v>64</v>
      </c>
      <c r="H1501" s="2" t="str">
        <f t="shared" si="47"/>
        <v/>
      </c>
      <c r="I1501" s="2">
        <f>TYPE(COUPNCD(IF(1,1),IF(1,1),IF(1,1),IF(1,1)))</f>
        <v>16</v>
      </c>
      <c r="J1501" s="2" t="str">
        <f>IF(C1501=0,COUNTIFS(A:A,A1501,D:D,"a"),"")</f>
        <v/>
      </c>
      <c r="K1501" s="2" t="e">
        <f>INDEX(+COUPNCD(#REF!,#REF!,#REF!,K1501:L1501),)</f>
        <v>#REF!</v>
      </c>
      <c r="L1501" s="1">
        <v>1</v>
      </c>
      <c r="M1501" s="2" t="e">
        <f>INDEX(+COUPNCD(#REF!,#REF!,#REF!,INDIRECT(M1501:N1501)),)</f>
        <v>#REF!</v>
      </c>
      <c r="N1501" s="1">
        <v>1</v>
      </c>
    </row>
    <row r="1502" spans="1:14" x14ac:dyDescent="0.55000000000000004">
      <c r="A1502" s="1" t="s">
        <v>1886</v>
      </c>
      <c r="B1502" s="2">
        <f>COUNTIF(A:A,A1502)-1</f>
        <v>4</v>
      </c>
      <c r="C1502" s="2">
        <f>COUNTIF(A$1:A1502,A1502)-1</f>
        <v>0</v>
      </c>
      <c r="D1502" s="2" t="str">
        <f>Argument!D1502</f>
        <v/>
      </c>
      <c r="E1502" s="2" t="str">
        <f t="shared" si="46"/>
        <v>v</v>
      </c>
      <c r="F1502" s="2" t="b">
        <f>IF(C1502=0,ISTEXT(FORMULA.CONVERT("="&amp;A1502&amp;"("&amp;REPLACE(REPT(",#ref!",B1502),1,1,"")&amp;")()",1)),"")</f>
        <v>0</v>
      </c>
      <c r="G1502" s="2"/>
      <c r="H1502" s="2" t="str">
        <f t="shared" si="47"/>
        <v/>
      </c>
      <c r="I1502" s="2">
        <f>TYPE(COUPNUM(IF(1,1),IF(1,1),IF(1,1),IF(1,1)))</f>
        <v>16</v>
      </c>
      <c r="J1502" s="2">
        <f>IF(C1502=0,COUNTIFS(A:A,A1502,D:D,"a"),"")</f>
        <v>0</v>
      </c>
      <c r="K1502" s="2"/>
      <c r="M1502" s="2"/>
    </row>
    <row r="1503" spans="1:14" x14ac:dyDescent="0.55000000000000004">
      <c r="A1503" s="1" t="s">
        <v>1886</v>
      </c>
      <c r="B1503" s="2">
        <f>COUNTIF(A:A,A1503)-1</f>
        <v>4</v>
      </c>
      <c r="C1503" s="2">
        <f>COUNTIF(A$1:A1503,A1503)-1</f>
        <v>1</v>
      </c>
      <c r="D1503" s="2" t="str">
        <f>Argument!D1503</f>
        <v>vr</v>
      </c>
      <c r="E1503" s="2" t="str">
        <f t="shared" si="46"/>
        <v/>
      </c>
      <c r="F1503" s="2" t="str">
        <f>IF(C1503=0,ISTEXT(FORMULA.CONVERT("="&amp;A1503&amp;"("&amp;REPLACE(REPT(",#ref!",B1503),1,1,"")&amp;")()",1)),"")</f>
        <v/>
      </c>
      <c r="G1503" s="2">
        <f>TYPE(COUPNUM({1},IF(1,1),IF(1,1),IF(1,1)))</f>
        <v>64</v>
      </c>
      <c r="H1503" s="2" t="str">
        <f t="shared" si="47"/>
        <v/>
      </c>
      <c r="I1503" s="2">
        <f>TYPE(COUPNUM(IF(1,1),IF(1,1),IF(1,1),IF(1,1)))</f>
        <v>16</v>
      </c>
      <c r="J1503" s="2" t="str">
        <f>IF(C1503=0,COUNTIFS(A:A,A1503,D:D,"a"),"")</f>
        <v/>
      </c>
      <c r="K1503" s="2" t="e">
        <f>INDEX(+COUPNUM(K1503:L1503,#REF!,#REF!,#REF!),)</f>
        <v>#VALUE!</v>
      </c>
      <c r="L1503" s="1">
        <v>1</v>
      </c>
      <c r="M1503" s="2" t="e">
        <f>INDEX(+COUPNUM(INDIRECT(M1503:N1503),#REF!,#REF!,#REF!),)</f>
        <v>#REF!</v>
      </c>
      <c r="N1503" s="1">
        <v>1</v>
      </c>
    </row>
    <row r="1504" spans="1:14" x14ac:dyDescent="0.55000000000000004">
      <c r="A1504" s="1" t="s">
        <v>1886</v>
      </c>
      <c r="B1504" s="2">
        <f>COUNTIF(A:A,A1504)-1</f>
        <v>4</v>
      </c>
      <c r="C1504" s="2">
        <f>COUNTIF(A$1:A1504,A1504)-1</f>
        <v>2</v>
      </c>
      <c r="D1504" s="2" t="str">
        <f>Argument!D1504</f>
        <v>vr</v>
      </c>
      <c r="E1504" s="2" t="str">
        <f t="shared" si="46"/>
        <v/>
      </c>
      <c r="F1504" s="2" t="str">
        <f>IF(C1504=0,ISTEXT(FORMULA.CONVERT("="&amp;A1504&amp;"("&amp;REPLACE(REPT(",#ref!",B1504),1,1,"")&amp;")()",1)),"")</f>
        <v/>
      </c>
      <c r="G1504" s="2">
        <f>TYPE(COUPNUM(IF(1,1),{1},IF(1,1),IF(1,1)))</f>
        <v>64</v>
      </c>
      <c r="H1504" s="2" t="str">
        <f t="shared" si="47"/>
        <v/>
      </c>
      <c r="I1504" s="2">
        <f>TYPE(COUPNUM(IF(1,1),IF(1,1),IF(1,1),IF(1,1)))</f>
        <v>16</v>
      </c>
      <c r="J1504" s="2" t="str">
        <f>IF(C1504=0,COUNTIFS(A:A,A1504,D:D,"a"),"")</f>
        <v/>
      </c>
      <c r="K1504" s="2" t="e">
        <f>INDEX(+COUPNUM(#REF!,K1504:L1504,#REF!,#REF!),)</f>
        <v>#REF!</v>
      </c>
      <c r="L1504" s="1">
        <v>1</v>
      </c>
      <c r="M1504" s="2" t="e">
        <f>INDEX(+COUPNUM(#REF!,INDIRECT(M1504:N1504),#REF!,#REF!),)</f>
        <v>#REF!</v>
      </c>
      <c r="N1504" s="1">
        <v>1</v>
      </c>
    </row>
    <row r="1505" spans="1:14" x14ac:dyDescent="0.55000000000000004">
      <c r="A1505" s="1" t="s">
        <v>1886</v>
      </c>
      <c r="B1505" s="2">
        <f>COUNTIF(A:A,A1505)-1</f>
        <v>4</v>
      </c>
      <c r="C1505" s="2">
        <f>COUNTIF(A$1:A1505,A1505)-1</f>
        <v>3</v>
      </c>
      <c r="D1505" s="2" t="str">
        <f>Argument!D1505</f>
        <v>vr</v>
      </c>
      <c r="E1505" s="2" t="str">
        <f t="shared" si="46"/>
        <v/>
      </c>
      <c r="F1505" s="2" t="str">
        <f>IF(C1505=0,ISTEXT(FORMULA.CONVERT("="&amp;A1505&amp;"("&amp;REPLACE(REPT(",#ref!",B1505),1,1,"")&amp;")()",1)),"")</f>
        <v/>
      </c>
      <c r="G1505" s="2">
        <f>TYPE(COUPNUM(IF(1,1),IF(1,1),{1},IF(1,1)))</f>
        <v>64</v>
      </c>
      <c r="H1505" s="2" t="str">
        <f t="shared" si="47"/>
        <v/>
      </c>
      <c r="I1505" s="2">
        <f>TYPE(COUPNUM(IF(1,1),IF(1,1),IF(1,1),IF(1,1)))</f>
        <v>16</v>
      </c>
      <c r="J1505" s="2" t="str">
        <f>IF(C1505=0,COUNTIFS(A:A,A1505,D:D,"a"),"")</f>
        <v/>
      </c>
      <c r="K1505" s="2" t="e">
        <f>INDEX(+COUPNUM(#REF!,#REF!,K1505:L1505,#REF!),)</f>
        <v>#REF!</v>
      </c>
      <c r="L1505" s="1">
        <v>1</v>
      </c>
      <c r="M1505" s="2" t="e">
        <f>INDEX(+COUPNUM(#REF!,#REF!,INDIRECT(M1505:N1505),#REF!),)</f>
        <v>#REF!</v>
      </c>
      <c r="N1505" s="1">
        <v>1</v>
      </c>
    </row>
    <row r="1506" spans="1:14" x14ac:dyDescent="0.55000000000000004">
      <c r="A1506" s="1" t="s">
        <v>1886</v>
      </c>
      <c r="B1506" s="2">
        <f>COUNTIF(A:A,A1506)-1</f>
        <v>4</v>
      </c>
      <c r="C1506" s="2">
        <f>COUNTIF(A$1:A1506,A1506)-1</f>
        <v>4</v>
      </c>
      <c r="D1506" s="2" t="str">
        <f>Argument!D1506</f>
        <v>vr</v>
      </c>
      <c r="E1506" s="2" t="str">
        <f t="shared" si="46"/>
        <v/>
      </c>
      <c r="F1506" s="2" t="str">
        <f>IF(C1506=0,ISTEXT(FORMULA.CONVERT("="&amp;A1506&amp;"("&amp;REPLACE(REPT(",#ref!",B1506),1,1,"")&amp;")()",1)),"")</f>
        <v/>
      </c>
      <c r="G1506" s="2">
        <f>TYPE(COUPNUM(IF(1,1),IF(1,1),IF(1,1),{1}))</f>
        <v>64</v>
      </c>
      <c r="H1506" s="2" t="str">
        <f t="shared" si="47"/>
        <v/>
      </c>
      <c r="I1506" s="2">
        <f>TYPE(COUPNUM(IF(1,1),IF(1,1),IF(1,1),IF(1,1)))</f>
        <v>16</v>
      </c>
      <c r="J1506" s="2" t="str">
        <f>IF(C1506=0,COUNTIFS(A:A,A1506,D:D,"a"),"")</f>
        <v/>
      </c>
      <c r="K1506" s="2" t="e">
        <f>INDEX(+COUPNUM(#REF!,#REF!,#REF!,K1506:L1506),)</f>
        <v>#REF!</v>
      </c>
      <c r="L1506" s="1">
        <v>1</v>
      </c>
      <c r="M1506" s="2" t="e">
        <f>INDEX(+COUPNUM(#REF!,#REF!,#REF!,INDIRECT(M1506:N1506)),)</f>
        <v>#REF!</v>
      </c>
      <c r="N1506" s="1">
        <v>1</v>
      </c>
    </row>
    <row r="1507" spans="1:14" x14ac:dyDescent="0.55000000000000004">
      <c r="A1507" s="1" t="s">
        <v>1887</v>
      </c>
      <c r="B1507" s="2">
        <f>COUNTIF(A:A,A1507)-1</f>
        <v>4</v>
      </c>
      <c r="C1507" s="2">
        <f>COUNTIF(A$1:A1507,A1507)-1</f>
        <v>0</v>
      </c>
      <c r="D1507" s="2" t="str">
        <f>Argument!D1507</f>
        <v/>
      </c>
      <c r="E1507" s="2" t="str">
        <f t="shared" si="46"/>
        <v>v</v>
      </c>
      <c r="F1507" s="2" t="b">
        <f>IF(C1507=0,ISTEXT(FORMULA.CONVERT("="&amp;A1507&amp;"("&amp;REPLACE(REPT(",#ref!",B1507),1,1,"")&amp;")()",1)),"")</f>
        <v>0</v>
      </c>
      <c r="G1507" s="2"/>
      <c r="H1507" s="2" t="str">
        <f t="shared" si="47"/>
        <v/>
      </c>
      <c r="I1507" s="2">
        <f>TYPE(COUPPCD(IF(1,1),IF(1,1),IF(1,1),IF(1,1)))</f>
        <v>16</v>
      </c>
      <c r="J1507" s="2">
        <f>IF(C1507=0,COUNTIFS(A:A,A1507,D:D,"a"),"")</f>
        <v>0</v>
      </c>
      <c r="K1507" s="2"/>
      <c r="M1507" s="2"/>
    </row>
    <row r="1508" spans="1:14" x14ac:dyDescent="0.55000000000000004">
      <c r="A1508" s="1" t="s">
        <v>1887</v>
      </c>
      <c r="B1508" s="2">
        <f>COUNTIF(A:A,A1508)-1</f>
        <v>4</v>
      </c>
      <c r="C1508" s="2">
        <f>COUNTIF(A$1:A1508,A1508)-1</f>
        <v>1</v>
      </c>
      <c r="D1508" s="2" t="str">
        <f>Argument!D1508</f>
        <v>vr</v>
      </c>
      <c r="E1508" s="2" t="str">
        <f t="shared" si="46"/>
        <v/>
      </c>
      <c r="F1508" s="2" t="str">
        <f>IF(C1508=0,ISTEXT(FORMULA.CONVERT("="&amp;A1508&amp;"("&amp;REPLACE(REPT(",#ref!",B1508),1,1,"")&amp;")()",1)),"")</f>
        <v/>
      </c>
      <c r="G1508" s="2">
        <f>TYPE(COUPPCD({1},IF(1,1),IF(1,1),IF(1,1)))</f>
        <v>64</v>
      </c>
      <c r="H1508" s="2" t="str">
        <f t="shared" si="47"/>
        <v/>
      </c>
      <c r="I1508" s="2">
        <f>TYPE(COUPPCD(IF(1,1),IF(1,1),IF(1,1),IF(1,1)))</f>
        <v>16</v>
      </c>
      <c r="J1508" s="2" t="str">
        <f>IF(C1508=0,COUNTIFS(A:A,A1508,D:D,"a"),"")</f>
        <v/>
      </c>
      <c r="K1508" s="2" t="e">
        <f>INDEX(+COUPPCD(K1508:L1508,#REF!,#REF!,#REF!),)</f>
        <v>#VALUE!</v>
      </c>
      <c r="L1508" s="1">
        <v>1</v>
      </c>
      <c r="M1508" s="2" t="e">
        <f>INDEX(+COUPPCD(INDIRECT(M1508:N1508),#REF!,#REF!,#REF!),)</f>
        <v>#REF!</v>
      </c>
      <c r="N1508" s="1">
        <v>1</v>
      </c>
    </row>
    <row r="1509" spans="1:14" x14ac:dyDescent="0.55000000000000004">
      <c r="A1509" s="1" t="s">
        <v>1887</v>
      </c>
      <c r="B1509" s="2">
        <f>COUNTIF(A:A,A1509)-1</f>
        <v>4</v>
      </c>
      <c r="C1509" s="2">
        <f>COUNTIF(A$1:A1509,A1509)-1</f>
        <v>2</v>
      </c>
      <c r="D1509" s="2" t="str">
        <f>Argument!D1509</f>
        <v>vr</v>
      </c>
      <c r="E1509" s="2" t="str">
        <f t="shared" si="46"/>
        <v/>
      </c>
      <c r="F1509" s="2" t="str">
        <f>IF(C1509=0,ISTEXT(FORMULA.CONVERT("="&amp;A1509&amp;"("&amp;REPLACE(REPT(",#ref!",B1509),1,1,"")&amp;")()",1)),"")</f>
        <v/>
      </c>
      <c r="G1509" s="2">
        <f>TYPE(COUPPCD(IF(1,1),{1},IF(1,1),IF(1,1)))</f>
        <v>64</v>
      </c>
      <c r="H1509" s="2" t="str">
        <f t="shared" si="47"/>
        <v/>
      </c>
      <c r="I1509" s="2">
        <f>TYPE(COUPPCD(IF(1,1),IF(1,1),IF(1,1),IF(1,1)))</f>
        <v>16</v>
      </c>
      <c r="J1509" s="2" t="str">
        <f>IF(C1509=0,COUNTIFS(A:A,A1509,D:D,"a"),"")</f>
        <v/>
      </c>
      <c r="K1509" s="2" t="e">
        <f>INDEX(+COUPPCD(#REF!,K1509:L1509,#REF!,#REF!),)</f>
        <v>#REF!</v>
      </c>
      <c r="L1509" s="1">
        <v>1</v>
      </c>
      <c r="M1509" s="2" t="e">
        <f>INDEX(+COUPPCD(#REF!,INDIRECT(M1509:N1509),#REF!,#REF!),)</f>
        <v>#REF!</v>
      </c>
      <c r="N1509" s="1">
        <v>1</v>
      </c>
    </row>
    <row r="1510" spans="1:14" x14ac:dyDescent="0.55000000000000004">
      <c r="A1510" s="1" t="s">
        <v>1887</v>
      </c>
      <c r="B1510" s="2">
        <f>COUNTIF(A:A,A1510)-1</f>
        <v>4</v>
      </c>
      <c r="C1510" s="2">
        <f>COUNTIF(A$1:A1510,A1510)-1</f>
        <v>3</v>
      </c>
      <c r="D1510" s="2" t="str">
        <f>Argument!D1510</f>
        <v>vr</v>
      </c>
      <c r="E1510" s="2" t="str">
        <f t="shared" si="46"/>
        <v/>
      </c>
      <c r="F1510" s="2" t="str">
        <f>IF(C1510=0,ISTEXT(FORMULA.CONVERT("="&amp;A1510&amp;"("&amp;REPLACE(REPT(",#ref!",B1510),1,1,"")&amp;")()",1)),"")</f>
        <v/>
      </c>
      <c r="G1510" s="2">
        <f>TYPE(COUPPCD(IF(1,1),IF(1,1),{1},IF(1,1)))</f>
        <v>64</v>
      </c>
      <c r="H1510" s="2" t="str">
        <f t="shared" si="47"/>
        <v/>
      </c>
      <c r="I1510" s="2">
        <f>TYPE(COUPPCD(IF(1,1),IF(1,1),IF(1,1),IF(1,1)))</f>
        <v>16</v>
      </c>
      <c r="J1510" s="2" t="str">
        <f>IF(C1510=0,COUNTIFS(A:A,A1510,D:D,"a"),"")</f>
        <v/>
      </c>
      <c r="K1510" s="2" t="e">
        <f>INDEX(+COUPPCD(#REF!,#REF!,K1510:L1510,#REF!),)</f>
        <v>#REF!</v>
      </c>
      <c r="L1510" s="1">
        <v>1</v>
      </c>
      <c r="M1510" s="2" t="e">
        <f>INDEX(+COUPPCD(#REF!,#REF!,INDIRECT(M1510:N1510),#REF!),)</f>
        <v>#REF!</v>
      </c>
      <c r="N1510" s="1">
        <v>1</v>
      </c>
    </row>
    <row r="1511" spans="1:14" x14ac:dyDescent="0.55000000000000004">
      <c r="A1511" s="1" t="s">
        <v>1887</v>
      </c>
      <c r="B1511" s="2">
        <f>COUNTIF(A:A,A1511)-1</f>
        <v>4</v>
      </c>
      <c r="C1511" s="2">
        <f>COUNTIF(A$1:A1511,A1511)-1</f>
        <v>4</v>
      </c>
      <c r="D1511" s="2" t="str">
        <f>Argument!D1511</f>
        <v>vr</v>
      </c>
      <c r="E1511" s="2" t="str">
        <f t="shared" si="46"/>
        <v/>
      </c>
      <c r="F1511" s="2" t="str">
        <f>IF(C1511=0,ISTEXT(FORMULA.CONVERT("="&amp;A1511&amp;"("&amp;REPLACE(REPT(",#ref!",B1511),1,1,"")&amp;")()",1)),"")</f>
        <v/>
      </c>
      <c r="G1511" s="2">
        <f>TYPE(COUPPCD(IF(1,1),IF(1,1),IF(1,1),{1}))</f>
        <v>64</v>
      </c>
      <c r="H1511" s="2" t="str">
        <f t="shared" si="47"/>
        <v/>
      </c>
      <c r="I1511" s="2">
        <f>TYPE(COUPPCD(IF(1,1),IF(1,1),IF(1,1),IF(1,1)))</f>
        <v>16</v>
      </c>
      <c r="J1511" s="2" t="str">
        <f>IF(C1511=0,COUNTIFS(A:A,A1511,D:D,"a"),"")</f>
        <v/>
      </c>
      <c r="K1511" s="2" t="e">
        <f>INDEX(+COUPPCD(#REF!,#REF!,#REF!,K1511:L1511),)</f>
        <v>#REF!</v>
      </c>
      <c r="L1511" s="1">
        <v>1</v>
      </c>
      <c r="M1511" s="2" t="e">
        <f>INDEX(+COUPPCD(#REF!,#REF!,#REF!,INDIRECT(M1511:N1511)),)</f>
        <v>#REF!</v>
      </c>
      <c r="N1511" s="1">
        <v>1</v>
      </c>
    </row>
    <row r="1512" spans="1:14" x14ac:dyDescent="0.55000000000000004">
      <c r="A1512" s="1" t="s">
        <v>1888</v>
      </c>
      <c r="B1512" s="2">
        <f>COUNTIF(A:A,A1512)-1</f>
        <v>6</v>
      </c>
      <c r="C1512" s="2">
        <f>COUNTIF(A$1:A1512,A1512)-1</f>
        <v>0</v>
      </c>
      <c r="D1512" s="2" t="str">
        <f>Argument!D1512</f>
        <v/>
      </c>
      <c r="E1512" s="2" t="str">
        <f t="shared" si="46"/>
        <v>v</v>
      </c>
      <c r="F1512" s="2" t="b">
        <f>IF(C1512=0,ISTEXT(FORMULA.CONVERT("="&amp;A1512&amp;"("&amp;REPLACE(REPT(",#ref!",B1512),1,1,"")&amp;")()",1)),"")</f>
        <v>0</v>
      </c>
      <c r="G1512" s="2"/>
      <c r="H1512" s="2" t="str">
        <f t="shared" si="47"/>
        <v/>
      </c>
      <c r="I1512" s="2">
        <f>TYPE(DURATION(IF(1,1),IF(1,1),IF(1,1),IF(1,1),IF(1,1),IF(1,1)))</f>
        <v>16</v>
      </c>
      <c r="J1512" s="2">
        <f>IF(C1512=0,COUNTIFS(A:A,A1512,D:D,"a"),"")</f>
        <v>0</v>
      </c>
      <c r="K1512" s="2"/>
      <c r="M1512" s="2"/>
    </row>
    <row r="1513" spans="1:14" x14ac:dyDescent="0.55000000000000004">
      <c r="A1513" s="1" t="s">
        <v>1888</v>
      </c>
      <c r="B1513" s="2">
        <f>COUNTIF(A:A,A1513)-1</f>
        <v>6</v>
      </c>
      <c r="C1513" s="2">
        <f>COUNTIF(A$1:A1513,A1513)-1</f>
        <v>1</v>
      </c>
      <c r="D1513" s="2" t="str">
        <f>Argument!D1513</f>
        <v>vr</v>
      </c>
      <c r="E1513" s="2" t="str">
        <f t="shared" si="46"/>
        <v/>
      </c>
      <c r="F1513" s="2" t="str">
        <f>IF(C1513=0,ISTEXT(FORMULA.CONVERT("="&amp;A1513&amp;"("&amp;REPLACE(REPT(",#ref!",B1513),1,1,"")&amp;")()",1)),"")</f>
        <v/>
      </c>
      <c r="G1513" s="2">
        <f>TYPE(DURATION({1},IF(1,1),IF(1,1),IF(1,1),IF(1,1),IF(1,1)))</f>
        <v>64</v>
      </c>
      <c r="H1513" s="2" t="str">
        <f t="shared" si="47"/>
        <v/>
      </c>
      <c r="I1513" s="2">
        <f>TYPE(DURATION(IF(1,1),IF(1,1),IF(1,1),IF(1,1),IF(1,1),IF(1,1)))</f>
        <v>16</v>
      </c>
      <c r="J1513" s="2" t="str">
        <f>IF(C1513=0,COUNTIFS(A:A,A1513,D:D,"a"),"")</f>
        <v/>
      </c>
      <c r="K1513" s="2" t="e">
        <f>INDEX(+DURATION(K1513:L1513,#REF!,#REF!,#REF!,#REF!,#REF!),)</f>
        <v>#VALUE!</v>
      </c>
      <c r="L1513" s="1">
        <v>1</v>
      </c>
      <c r="M1513" s="2" t="e">
        <f>INDEX(+DURATION(INDIRECT(M1513:N1513),#REF!,#REF!,#REF!,#REF!,#REF!),)</f>
        <v>#REF!</v>
      </c>
      <c r="N1513" s="1">
        <v>1</v>
      </c>
    </row>
    <row r="1514" spans="1:14" x14ac:dyDescent="0.55000000000000004">
      <c r="A1514" s="1" t="s">
        <v>1888</v>
      </c>
      <c r="B1514" s="2">
        <f>COUNTIF(A:A,A1514)-1</f>
        <v>6</v>
      </c>
      <c r="C1514" s="2">
        <f>COUNTIF(A$1:A1514,A1514)-1</f>
        <v>2</v>
      </c>
      <c r="D1514" s="2" t="str">
        <f>Argument!D1514</f>
        <v>vr</v>
      </c>
      <c r="E1514" s="2" t="str">
        <f t="shared" si="46"/>
        <v/>
      </c>
      <c r="F1514" s="2" t="str">
        <f>IF(C1514=0,ISTEXT(FORMULA.CONVERT("="&amp;A1514&amp;"("&amp;REPLACE(REPT(",#ref!",B1514),1,1,"")&amp;")()",1)),"")</f>
        <v/>
      </c>
      <c r="G1514" s="2">
        <f>TYPE(DURATION(IF(1,1),{1},IF(1,1),IF(1,1),IF(1,1),IF(1,1)))</f>
        <v>64</v>
      </c>
      <c r="H1514" s="2" t="str">
        <f t="shared" si="47"/>
        <v/>
      </c>
      <c r="I1514" s="2">
        <f>TYPE(DURATION(IF(1,1),IF(1,1),IF(1,1),IF(1,1),IF(1,1),IF(1,1)))</f>
        <v>16</v>
      </c>
      <c r="J1514" s="2" t="str">
        <f>IF(C1514=0,COUNTIFS(A:A,A1514,D:D,"a"),"")</f>
        <v/>
      </c>
      <c r="K1514" s="2" t="e">
        <f>INDEX(+DURATION(#REF!,K1514:L1514,#REF!,#REF!,#REF!,#REF!),)</f>
        <v>#REF!</v>
      </c>
      <c r="L1514" s="1">
        <v>1</v>
      </c>
      <c r="M1514" s="2" t="e">
        <f>INDEX(+DURATION(#REF!,INDIRECT(M1514:N1514),#REF!,#REF!,#REF!,#REF!),)</f>
        <v>#REF!</v>
      </c>
      <c r="N1514" s="1">
        <v>1</v>
      </c>
    </row>
    <row r="1515" spans="1:14" x14ac:dyDescent="0.55000000000000004">
      <c r="A1515" s="1" t="s">
        <v>1888</v>
      </c>
      <c r="B1515" s="2">
        <f>COUNTIF(A:A,A1515)-1</f>
        <v>6</v>
      </c>
      <c r="C1515" s="2">
        <f>COUNTIF(A$1:A1515,A1515)-1</f>
        <v>3</v>
      </c>
      <c r="D1515" s="2" t="str">
        <f>Argument!D1515</f>
        <v>vr</v>
      </c>
      <c r="E1515" s="2" t="str">
        <f t="shared" si="46"/>
        <v/>
      </c>
      <c r="F1515" s="2" t="str">
        <f>IF(C1515=0,ISTEXT(FORMULA.CONVERT("="&amp;A1515&amp;"("&amp;REPLACE(REPT(",#ref!",B1515),1,1,"")&amp;")()",1)),"")</f>
        <v/>
      </c>
      <c r="G1515" s="2">
        <f>TYPE(DURATION(IF(1,1),IF(1,1),{1},IF(1,1),IF(1,1),IF(1,1)))</f>
        <v>64</v>
      </c>
      <c r="H1515" s="2" t="str">
        <f t="shared" si="47"/>
        <v/>
      </c>
      <c r="I1515" s="2">
        <f>TYPE(DURATION(IF(1,1),IF(1,1),IF(1,1),IF(1,1),IF(1,1),IF(1,1)))</f>
        <v>16</v>
      </c>
      <c r="J1515" s="2" t="str">
        <f>IF(C1515=0,COUNTIFS(A:A,A1515,D:D,"a"),"")</f>
        <v/>
      </c>
      <c r="K1515" s="2" t="e">
        <f>INDEX(+DURATION(#REF!,#REF!,K1515:L1515,#REF!,#REF!,#REF!),)</f>
        <v>#REF!</v>
      </c>
      <c r="L1515" s="1">
        <v>1</v>
      </c>
      <c r="M1515" s="2" t="e">
        <f>INDEX(+DURATION(#REF!,#REF!,INDIRECT(M1515:N1515),#REF!,#REF!,#REF!),)</f>
        <v>#REF!</v>
      </c>
      <c r="N1515" s="1">
        <v>1</v>
      </c>
    </row>
    <row r="1516" spans="1:14" x14ac:dyDescent="0.55000000000000004">
      <c r="A1516" s="1" t="s">
        <v>1888</v>
      </c>
      <c r="B1516" s="2">
        <f>COUNTIF(A:A,A1516)-1</f>
        <v>6</v>
      </c>
      <c r="C1516" s="2">
        <f>COUNTIF(A$1:A1516,A1516)-1</f>
        <v>4</v>
      </c>
      <c r="D1516" s="2" t="str">
        <f>Argument!D1516</f>
        <v>vr</v>
      </c>
      <c r="E1516" s="2" t="str">
        <f t="shared" si="46"/>
        <v/>
      </c>
      <c r="F1516" s="2" t="str">
        <f>IF(C1516=0,ISTEXT(FORMULA.CONVERT("="&amp;A1516&amp;"("&amp;REPLACE(REPT(",#ref!",B1516),1,1,"")&amp;")()",1)),"")</f>
        <v/>
      </c>
      <c r="G1516" s="2">
        <f>TYPE(DURATION(IF(1,1),IF(1,1),IF(1,1),{1},IF(1,1),IF(1,1)))</f>
        <v>64</v>
      </c>
      <c r="H1516" s="2" t="str">
        <f t="shared" si="47"/>
        <v/>
      </c>
      <c r="I1516" s="2">
        <f>TYPE(DURATION(IF(1,1),IF(1,1),IF(1,1),IF(1,1),IF(1,1),IF(1,1)))</f>
        <v>16</v>
      </c>
      <c r="J1516" s="2" t="str">
        <f>IF(C1516=0,COUNTIFS(A:A,A1516,D:D,"a"),"")</f>
        <v/>
      </c>
      <c r="K1516" s="2" t="e">
        <f>INDEX(+DURATION(#REF!,#REF!,#REF!,K1516:L1516,#REF!,#REF!),)</f>
        <v>#REF!</v>
      </c>
      <c r="L1516" s="1">
        <v>1</v>
      </c>
      <c r="M1516" s="2" t="e">
        <f>INDEX(+DURATION(#REF!,#REF!,#REF!,INDIRECT(M1516:N1516),#REF!,#REF!),)</f>
        <v>#REF!</v>
      </c>
      <c r="N1516" s="1">
        <v>1</v>
      </c>
    </row>
    <row r="1517" spans="1:14" x14ac:dyDescent="0.55000000000000004">
      <c r="A1517" s="1" t="s">
        <v>1888</v>
      </c>
      <c r="B1517" s="2">
        <f>COUNTIF(A:A,A1517)-1</f>
        <v>6</v>
      </c>
      <c r="C1517" s="2">
        <f>COUNTIF(A$1:A1517,A1517)-1</f>
        <v>5</v>
      </c>
      <c r="D1517" s="2" t="str">
        <f>Argument!D1517</f>
        <v>vr</v>
      </c>
      <c r="E1517" s="2" t="str">
        <f t="shared" si="46"/>
        <v/>
      </c>
      <c r="F1517" s="2" t="str">
        <f>IF(C1517=0,ISTEXT(FORMULA.CONVERT("="&amp;A1517&amp;"("&amp;REPLACE(REPT(",#ref!",B1517),1,1,"")&amp;")()",1)),"")</f>
        <v/>
      </c>
      <c r="G1517" s="2">
        <f>TYPE(DURATION(IF(1,1),IF(1,1),IF(1,1),IF(1,1),{1},IF(1,1)))</f>
        <v>64</v>
      </c>
      <c r="H1517" s="2" t="str">
        <f t="shared" si="47"/>
        <v/>
      </c>
      <c r="I1517" s="2">
        <f>TYPE(DURATION(IF(1,1),IF(1,1),IF(1,1),IF(1,1),IF(1,1),IF(1,1)))</f>
        <v>16</v>
      </c>
      <c r="J1517" s="2" t="str">
        <f>IF(C1517=0,COUNTIFS(A:A,A1517,D:D,"a"),"")</f>
        <v/>
      </c>
      <c r="K1517" s="2" t="e">
        <f>INDEX(+DURATION(#REF!,#REF!,#REF!,#REF!,K1517:L1517,#REF!),)</f>
        <v>#REF!</v>
      </c>
      <c r="L1517" s="1">
        <v>1</v>
      </c>
      <c r="M1517" s="2" t="e">
        <f>INDEX(+DURATION(#REF!,#REF!,#REF!,#REF!,INDIRECT(M1517:N1517),#REF!),)</f>
        <v>#REF!</v>
      </c>
      <c r="N1517" s="1">
        <v>1</v>
      </c>
    </row>
    <row r="1518" spans="1:14" x14ac:dyDescent="0.55000000000000004">
      <c r="A1518" s="1" t="s">
        <v>1888</v>
      </c>
      <c r="B1518" s="2">
        <f>COUNTIF(A:A,A1518)-1</f>
        <v>6</v>
      </c>
      <c r="C1518" s="2">
        <f>COUNTIF(A$1:A1518,A1518)-1</f>
        <v>6</v>
      </c>
      <c r="D1518" s="2" t="str">
        <f>Argument!D1518</f>
        <v>vr</v>
      </c>
      <c r="E1518" s="2" t="str">
        <f t="shared" si="46"/>
        <v/>
      </c>
      <c r="F1518" s="2" t="str">
        <f>IF(C1518=0,ISTEXT(FORMULA.CONVERT("="&amp;A1518&amp;"("&amp;REPLACE(REPT(",#ref!",B1518),1,1,"")&amp;")()",1)),"")</f>
        <v/>
      </c>
      <c r="G1518" s="2">
        <f>TYPE(DURATION(IF(1,1),IF(1,1),IF(1,1),IF(1,1),IF(1,1),{1}))</f>
        <v>64</v>
      </c>
      <c r="H1518" s="2" t="str">
        <f t="shared" si="47"/>
        <v/>
      </c>
      <c r="I1518" s="2">
        <f>TYPE(DURATION(IF(1,1),IF(1,1),IF(1,1),IF(1,1),IF(1,1),IF(1,1)))</f>
        <v>16</v>
      </c>
      <c r="J1518" s="2" t="str">
        <f>IF(C1518=0,COUNTIFS(A:A,A1518,D:D,"a"),"")</f>
        <v/>
      </c>
      <c r="K1518" s="2" t="e">
        <f>INDEX(+DURATION(#REF!,#REF!,#REF!,#REF!,#REF!,K1518:L1518),)</f>
        <v>#REF!</v>
      </c>
      <c r="L1518" s="1">
        <v>1</v>
      </c>
      <c r="M1518" s="2" t="e">
        <f>INDEX(+DURATION(#REF!,#REF!,#REF!,#REF!,#REF!,INDIRECT(M1518:N1518)),)</f>
        <v>#REF!</v>
      </c>
      <c r="N1518" s="1">
        <v>1</v>
      </c>
    </row>
    <row r="1519" spans="1:14" x14ac:dyDescent="0.55000000000000004">
      <c r="A1519" s="1" t="s">
        <v>1889</v>
      </c>
      <c r="B1519" s="2">
        <f>COUNTIF(A:A,A1519)-1</f>
        <v>6</v>
      </c>
      <c r="C1519" s="2">
        <f>COUNTIF(A$1:A1519,A1519)-1</f>
        <v>0</v>
      </c>
      <c r="D1519" s="2" t="str">
        <f>Argument!D1519</f>
        <v/>
      </c>
      <c r="E1519" s="2" t="str">
        <f t="shared" si="46"/>
        <v>v</v>
      </c>
      <c r="F1519" s="2" t="b">
        <f>IF(C1519=0,ISTEXT(FORMULA.CONVERT("="&amp;A1519&amp;"("&amp;REPLACE(REPT(",#ref!",B1519),1,1,"")&amp;")()",1)),"")</f>
        <v>0</v>
      </c>
      <c r="G1519" s="2"/>
      <c r="H1519" s="2" t="str">
        <f t="shared" si="47"/>
        <v/>
      </c>
      <c r="I1519" s="2">
        <f>TYPE(MDURATION(IF(1,1),IF(1,1),IF(1,1),IF(1,1),IF(1,1),IF(1,1)))</f>
        <v>16</v>
      </c>
      <c r="J1519" s="2">
        <f>IF(C1519=0,COUNTIFS(A:A,A1519,D:D,"a"),"")</f>
        <v>0</v>
      </c>
      <c r="K1519" s="2"/>
      <c r="M1519" s="2"/>
    </row>
    <row r="1520" spans="1:14" x14ac:dyDescent="0.55000000000000004">
      <c r="A1520" s="1" t="s">
        <v>1889</v>
      </c>
      <c r="B1520" s="2">
        <f>COUNTIF(A:A,A1520)-1</f>
        <v>6</v>
      </c>
      <c r="C1520" s="2">
        <f>COUNTIF(A$1:A1520,A1520)-1</f>
        <v>1</v>
      </c>
      <c r="D1520" s="2" t="str">
        <f>Argument!D1520</f>
        <v>vr</v>
      </c>
      <c r="E1520" s="2" t="str">
        <f t="shared" si="46"/>
        <v/>
      </c>
      <c r="F1520" s="2" t="str">
        <f>IF(C1520=0,ISTEXT(FORMULA.CONVERT("="&amp;A1520&amp;"("&amp;REPLACE(REPT(",#ref!",B1520),1,1,"")&amp;")()",1)),"")</f>
        <v/>
      </c>
      <c r="G1520" s="2">
        <f>TYPE(MDURATION({1},IF(1,1),IF(1,1),IF(1,1),IF(1,1),IF(1,1)))</f>
        <v>64</v>
      </c>
      <c r="H1520" s="2" t="str">
        <f t="shared" si="47"/>
        <v/>
      </c>
      <c r="I1520" s="2">
        <f>TYPE(MDURATION(IF(1,1),IF(1,1),IF(1,1),IF(1,1),IF(1,1),IF(1,1)))</f>
        <v>16</v>
      </c>
      <c r="J1520" s="2" t="str">
        <f>IF(C1520=0,COUNTIFS(A:A,A1520,D:D,"a"),"")</f>
        <v/>
      </c>
      <c r="K1520" s="2" t="e">
        <f>INDEX(+MDURATION(K1520:L1520,#REF!,#REF!,#REF!,#REF!,#REF!),)</f>
        <v>#VALUE!</v>
      </c>
      <c r="L1520" s="1">
        <v>1</v>
      </c>
      <c r="M1520" s="2" t="e">
        <f>INDEX(+MDURATION(INDIRECT(M1520:N1520),#REF!,#REF!,#REF!,#REF!,#REF!),)</f>
        <v>#REF!</v>
      </c>
      <c r="N1520" s="1">
        <v>1</v>
      </c>
    </row>
    <row r="1521" spans="1:14" x14ac:dyDescent="0.55000000000000004">
      <c r="A1521" s="1" t="s">
        <v>1889</v>
      </c>
      <c r="B1521" s="2">
        <f>COUNTIF(A:A,A1521)-1</f>
        <v>6</v>
      </c>
      <c r="C1521" s="2">
        <f>COUNTIF(A$1:A1521,A1521)-1</f>
        <v>2</v>
      </c>
      <c r="D1521" s="2" t="str">
        <f>Argument!D1521</f>
        <v>vr</v>
      </c>
      <c r="E1521" s="2" t="str">
        <f t="shared" si="46"/>
        <v/>
      </c>
      <c r="F1521" s="2" t="str">
        <f>IF(C1521=0,ISTEXT(FORMULA.CONVERT("="&amp;A1521&amp;"("&amp;REPLACE(REPT(",#ref!",B1521),1,1,"")&amp;")()",1)),"")</f>
        <v/>
      </c>
      <c r="G1521" s="2">
        <f>TYPE(MDURATION(IF(1,1),{1},IF(1,1),IF(1,1),IF(1,1),IF(1,1)))</f>
        <v>64</v>
      </c>
      <c r="H1521" s="2" t="str">
        <f t="shared" si="47"/>
        <v/>
      </c>
      <c r="I1521" s="2">
        <f>TYPE(MDURATION(IF(1,1),IF(1,1),IF(1,1),IF(1,1),IF(1,1),IF(1,1)))</f>
        <v>16</v>
      </c>
      <c r="J1521" s="2" t="str">
        <f>IF(C1521=0,COUNTIFS(A:A,A1521,D:D,"a"),"")</f>
        <v/>
      </c>
      <c r="K1521" s="2" t="e">
        <f>INDEX(+MDURATION(#REF!,K1521:L1521,#REF!,#REF!,#REF!,#REF!),)</f>
        <v>#REF!</v>
      </c>
      <c r="L1521" s="1">
        <v>1</v>
      </c>
      <c r="M1521" s="2" t="e">
        <f>INDEX(+MDURATION(#REF!,INDIRECT(M1521:N1521),#REF!,#REF!,#REF!,#REF!),)</f>
        <v>#REF!</v>
      </c>
      <c r="N1521" s="1">
        <v>1</v>
      </c>
    </row>
    <row r="1522" spans="1:14" x14ac:dyDescent="0.55000000000000004">
      <c r="A1522" s="1" t="s">
        <v>1889</v>
      </c>
      <c r="B1522" s="2">
        <f>COUNTIF(A:A,A1522)-1</f>
        <v>6</v>
      </c>
      <c r="C1522" s="2">
        <f>COUNTIF(A$1:A1522,A1522)-1</f>
        <v>3</v>
      </c>
      <c r="D1522" s="2" t="str">
        <f>Argument!D1522</f>
        <v>vr</v>
      </c>
      <c r="E1522" s="2" t="str">
        <f t="shared" si="46"/>
        <v/>
      </c>
      <c r="F1522" s="2" t="str">
        <f>IF(C1522=0,ISTEXT(FORMULA.CONVERT("="&amp;A1522&amp;"("&amp;REPLACE(REPT(",#ref!",B1522),1,1,"")&amp;")()",1)),"")</f>
        <v/>
      </c>
      <c r="G1522" s="2">
        <f>TYPE(MDURATION(IF(1,1),IF(1,1),{1},IF(1,1),IF(1,1),IF(1,1)))</f>
        <v>64</v>
      </c>
      <c r="H1522" s="2" t="str">
        <f t="shared" si="47"/>
        <v/>
      </c>
      <c r="I1522" s="2">
        <f>TYPE(MDURATION(IF(1,1),IF(1,1),IF(1,1),IF(1,1),IF(1,1),IF(1,1)))</f>
        <v>16</v>
      </c>
      <c r="J1522" s="2" t="str">
        <f>IF(C1522=0,COUNTIFS(A:A,A1522,D:D,"a"),"")</f>
        <v/>
      </c>
      <c r="K1522" s="2" t="e">
        <f>INDEX(+MDURATION(#REF!,#REF!,K1522:L1522,#REF!,#REF!,#REF!),)</f>
        <v>#REF!</v>
      </c>
      <c r="L1522" s="1">
        <v>1</v>
      </c>
      <c r="M1522" s="2" t="e">
        <f>INDEX(+MDURATION(#REF!,#REF!,INDIRECT(M1522:N1522),#REF!,#REF!,#REF!),)</f>
        <v>#REF!</v>
      </c>
      <c r="N1522" s="1">
        <v>1</v>
      </c>
    </row>
    <row r="1523" spans="1:14" x14ac:dyDescent="0.55000000000000004">
      <c r="A1523" s="1" t="s">
        <v>1889</v>
      </c>
      <c r="B1523" s="2">
        <f>COUNTIF(A:A,A1523)-1</f>
        <v>6</v>
      </c>
      <c r="C1523" s="2">
        <f>COUNTIF(A$1:A1523,A1523)-1</f>
        <v>4</v>
      </c>
      <c r="D1523" s="2" t="str">
        <f>Argument!D1523</f>
        <v>vr</v>
      </c>
      <c r="E1523" s="2" t="str">
        <f t="shared" si="46"/>
        <v/>
      </c>
      <c r="F1523" s="2" t="str">
        <f>IF(C1523=0,ISTEXT(FORMULA.CONVERT("="&amp;A1523&amp;"("&amp;REPLACE(REPT(",#ref!",B1523),1,1,"")&amp;")()",1)),"")</f>
        <v/>
      </c>
      <c r="G1523" s="2">
        <f>TYPE(MDURATION(IF(1,1),IF(1,1),IF(1,1),{1},IF(1,1),IF(1,1)))</f>
        <v>64</v>
      </c>
      <c r="H1523" s="2" t="str">
        <f t="shared" si="47"/>
        <v/>
      </c>
      <c r="I1523" s="2">
        <f>TYPE(MDURATION(IF(1,1),IF(1,1),IF(1,1),IF(1,1),IF(1,1),IF(1,1)))</f>
        <v>16</v>
      </c>
      <c r="J1523" s="2" t="str">
        <f>IF(C1523=0,COUNTIFS(A:A,A1523,D:D,"a"),"")</f>
        <v/>
      </c>
      <c r="K1523" s="2" t="e">
        <f>INDEX(+MDURATION(#REF!,#REF!,#REF!,K1523:L1523,#REF!,#REF!),)</f>
        <v>#REF!</v>
      </c>
      <c r="L1523" s="1">
        <v>1</v>
      </c>
      <c r="M1523" s="2" t="e">
        <f>INDEX(+MDURATION(#REF!,#REF!,#REF!,INDIRECT(M1523:N1523),#REF!,#REF!),)</f>
        <v>#REF!</v>
      </c>
      <c r="N1523" s="1">
        <v>1</v>
      </c>
    </row>
    <row r="1524" spans="1:14" x14ac:dyDescent="0.55000000000000004">
      <c r="A1524" s="1" t="s">
        <v>1889</v>
      </c>
      <c r="B1524" s="2">
        <f>COUNTIF(A:A,A1524)-1</f>
        <v>6</v>
      </c>
      <c r="C1524" s="2">
        <f>COUNTIF(A$1:A1524,A1524)-1</f>
        <v>5</v>
      </c>
      <c r="D1524" s="2" t="str">
        <f>Argument!D1524</f>
        <v>vr</v>
      </c>
      <c r="E1524" s="2" t="str">
        <f t="shared" si="46"/>
        <v/>
      </c>
      <c r="F1524" s="2" t="str">
        <f>IF(C1524=0,ISTEXT(FORMULA.CONVERT("="&amp;A1524&amp;"("&amp;REPLACE(REPT(",#ref!",B1524),1,1,"")&amp;")()",1)),"")</f>
        <v/>
      </c>
      <c r="G1524" s="2">
        <f>TYPE(MDURATION(IF(1,1),IF(1,1),IF(1,1),IF(1,1),{1},IF(1,1)))</f>
        <v>64</v>
      </c>
      <c r="H1524" s="2" t="str">
        <f t="shared" si="47"/>
        <v/>
      </c>
      <c r="I1524" s="2">
        <f>TYPE(MDURATION(IF(1,1),IF(1,1),IF(1,1),IF(1,1),IF(1,1),IF(1,1)))</f>
        <v>16</v>
      </c>
      <c r="J1524" s="2" t="str">
        <f>IF(C1524=0,COUNTIFS(A:A,A1524,D:D,"a"),"")</f>
        <v/>
      </c>
      <c r="K1524" s="2" t="e">
        <f>INDEX(+MDURATION(#REF!,#REF!,#REF!,#REF!,K1524:L1524,#REF!),)</f>
        <v>#REF!</v>
      </c>
      <c r="L1524" s="1">
        <v>1</v>
      </c>
      <c r="M1524" s="2" t="e">
        <f>INDEX(+MDURATION(#REF!,#REF!,#REF!,#REF!,INDIRECT(M1524:N1524),#REF!),)</f>
        <v>#REF!</v>
      </c>
      <c r="N1524" s="1">
        <v>1</v>
      </c>
    </row>
    <row r="1525" spans="1:14" x14ac:dyDescent="0.55000000000000004">
      <c r="A1525" s="1" t="s">
        <v>1889</v>
      </c>
      <c r="B1525" s="2">
        <f>COUNTIF(A:A,A1525)-1</f>
        <v>6</v>
      </c>
      <c r="C1525" s="2">
        <f>COUNTIF(A$1:A1525,A1525)-1</f>
        <v>6</v>
      </c>
      <c r="D1525" s="2" t="str">
        <f>Argument!D1525</f>
        <v>vr</v>
      </c>
      <c r="E1525" s="2" t="str">
        <f t="shared" si="46"/>
        <v/>
      </c>
      <c r="F1525" s="2" t="str">
        <f>IF(C1525=0,ISTEXT(FORMULA.CONVERT("="&amp;A1525&amp;"("&amp;REPLACE(REPT(",#ref!",B1525),1,1,"")&amp;")()",1)),"")</f>
        <v/>
      </c>
      <c r="G1525" s="2">
        <f>TYPE(MDURATION(IF(1,1),IF(1,1),IF(1,1),IF(1,1),IF(1,1),{1}))</f>
        <v>64</v>
      </c>
      <c r="H1525" s="2" t="str">
        <f t="shared" si="47"/>
        <v/>
      </c>
      <c r="I1525" s="2">
        <f>TYPE(MDURATION(IF(1,1),IF(1,1),IF(1,1),IF(1,1),IF(1,1),IF(1,1)))</f>
        <v>16</v>
      </c>
      <c r="J1525" s="2" t="str">
        <f>IF(C1525=0,COUNTIFS(A:A,A1525,D:D,"a"),"")</f>
        <v/>
      </c>
      <c r="K1525" s="2" t="e">
        <f>INDEX(+MDURATION(#REF!,#REF!,#REF!,#REF!,#REF!,K1525:L1525),)</f>
        <v>#REF!</v>
      </c>
      <c r="L1525" s="1">
        <v>1</v>
      </c>
      <c r="M1525" s="2" t="e">
        <f>INDEX(+MDURATION(#REF!,#REF!,#REF!,#REF!,#REF!,INDIRECT(M1525:N1525)),)</f>
        <v>#REF!</v>
      </c>
      <c r="N1525" s="1">
        <v>1</v>
      </c>
    </row>
    <row r="1526" spans="1:14" x14ac:dyDescent="0.55000000000000004">
      <c r="A1526" s="1" t="s">
        <v>1890</v>
      </c>
      <c r="B1526" s="2">
        <f>COUNTIF(A:A,A1526)-1</f>
        <v>8</v>
      </c>
      <c r="C1526" s="2">
        <f>COUNTIF(A$1:A1526,A1526)-1</f>
        <v>0</v>
      </c>
      <c r="D1526" s="2" t="str">
        <f>Argument!D1526</f>
        <v/>
      </c>
      <c r="E1526" s="2" t="str">
        <f t="shared" si="46"/>
        <v>v</v>
      </c>
      <c r="F1526" s="2" t="b">
        <f>IF(C1526=0,ISTEXT(FORMULA.CONVERT("="&amp;A1526&amp;"("&amp;REPLACE(REPT(",#ref!",B1526),1,1,"")&amp;")()",1)),"")</f>
        <v>0</v>
      </c>
      <c r="G1526" s="2"/>
      <c r="H1526" s="2" t="str">
        <f t="shared" si="47"/>
        <v/>
      </c>
      <c r="I1526" s="2">
        <f>TYPE(ODDLPRICE(IF(1,1),IF(1,1),IF(1,1),IF(1,1),IF(1,1),IF(1,1),IF(1,1),IF(1,1)))</f>
        <v>16</v>
      </c>
      <c r="J1526" s="2">
        <f>IF(C1526=0,COUNTIFS(A:A,A1526,D:D,"a"),"")</f>
        <v>0</v>
      </c>
      <c r="K1526" s="2"/>
      <c r="M1526" s="2"/>
    </row>
    <row r="1527" spans="1:14" x14ac:dyDescent="0.55000000000000004">
      <c r="A1527" s="1" t="s">
        <v>1890</v>
      </c>
      <c r="B1527" s="2">
        <f>COUNTIF(A:A,A1527)-1</f>
        <v>8</v>
      </c>
      <c r="C1527" s="2">
        <f>COUNTIF(A$1:A1527,A1527)-1</f>
        <v>1</v>
      </c>
      <c r="D1527" s="2" t="str">
        <f>Argument!D1527</f>
        <v>vr</v>
      </c>
      <c r="E1527" s="2" t="str">
        <f t="shared" si="46"/>
        <v/>
      </c>
      <c r="F1527" s="2" t="str">
        <f>IF(C1527=0,ISTEXT(FORMULA.CONVERT("="&amp;A1527&amp;"("&amp;REPLACE(REPT(",#ref!",B1527),1,1,"")&amp;")()",1)),"")</f>
        <v/>
      </c>
      <c r="G1527" s="2">
        <f>TYPE(ODDLPRICE({1},IF(1,1),IF(1,1),IF(1,1),IF(1,1),IF(1,1),IF(1,1),IF(1,1)))</f>
        <v>64</v>
      </c>
      <c r="H1527" s="2" t="str">
        <f t="shared" si="47"/>
        <v/>
      </c>
      <c r="I1527" s="2">
        <f>TYPE(ODDLPRICE(IF(1,1),IF(1,1),IF(1,1),IF(1,1),IF(1,1),IF(1,1),IF(1,1),IF(1,1)))</f>
        <v>16</v>
      </c>
      <c r="J1527" s="2" t="str">
        <f>IF(C1527=0,COUNTIFS(A:A,A1527,D:D,"a"),"")</f>
        <v/>
      </c>
      <c r="K1527" s="2" t="e">
        <f>INDEX(+ODDLPRICE(K1527:L1527,#REF!,#REF!,#REF!,#REF!,#REF!,#REF!,#REF!),)</f>
        <v>#VALUE!</v>
      </c>
      <c r="L1527" s="1">
        <v>1</v>
      </c>
      <c r="M1527" s="2" t="e">
        <f>INDEX(+ODDLPRICE(INDIRECT(M1527:N1527),#REF!,#REF!,#REF!,#REF!,#REF!,#REF!,#REF!),)</f>
        <v>#REF!</v>
      </c>
      <c r="N1527" s="1">
        <v>1</v>
      </c>
    </row>
    <row r="1528" spans="1:14" x14ac:dyDescent="0.55000000000000004">
      <c r="A1528" s="1" t="s">
        <v>1890</v>
      </c>
      <c r="B1528" s="2">
        <f>COUNTIF(A:A,A1528)-1</f>
        <v>8</v>
      </c>
      <c r="C1528" s="2">
        <f>COUNTIF(A$1:A1528,A1528)-1</f>
        <v>2</v>
      </c>
      <c r="D1528" s="2" t="str">
        <f>Argument!D1528</f>
        <v>vr</v>
      </c>
      <c r="E1528" s="2" t="str">
        <f t="shared" si="46"/>
        <v/>
      </c>
      <c r="F1528" s="2" t="str">
        <f>IF(C1528=0,ISTEXT(FORMULA.CONVERT("="&amp;A1528&amp;"("&amp;REPLACE(REPT(",#ref!",B1528),1,1,"")&amp;")()",1)),"")</f>
        <v/>
      </c>
      <c r="G1528" s="2">
        <f>TYPE(ODDLPRICE(IF(1,1),{1},IF(1,1),IF(1,1),IF(1,1),IF(1,1),IF(1,1),IF(1,1)))</f>
        <v>64</v>
      </c>
      <c r="H1528" s="2" t="str">
        <f t="shared" si="47"/>
        <v/>
      </c>
      <c r="I1528" s="2">
        <f>TYPE(ODDLPRICE(IF(1,1),IF(1,1),IF(1,1),IF(1,1),IF(1,1),IF(1,1),IF(1,1),IF(1,1)))</f>
        <v>16</v>
      </c>
      <c r="J1528" s="2" t="str">
        <f>IF(C1528=0,COUNTIFS(A:A,A1528,D:D,"a"),"")</f>
        <v/>
      </c>
      <c r="K1528" s="2" t="e">
        <f>INDEX(+ODDLPRICE(#REF!,K1528:L1528,#REF!,#REF!,#REF!,#REF!,#REF!,#REF!),)</f>
        <v>#REF!</v>
      </c>
      <c r="L1528" s="1">
        <v>1</v>
      </c>
      <c r="M1528" s="2" t="e">
        <f>INDEX(+ODDLPRICE(#REF!,INDIRECT(M1528:N1528),#REF!,#REF!,#REF!,#REF!,#REF!,#REF!),)</f>
        <v>#REF!</v>
      </c>
      <c r="N1528" s="1">
        <v>1</v>
      </c>
    </row>
    <row r="1529" spans="1:14" x14ac:dyDescent="0.55000000000000004">
      <c r="A1529" s="1" t="s">
        <v>1890</v>
      </c>
      <c r="B1529" s="2">
        <f>COUNTIF(A:A,A1529)-1</f>
        <v>8</v>
      </c>
      <c r="C1529" s="2">
        <f>COUNTIF(A$1:A1529,A1529)-1</f>
        <v>3</v>
      </c>
      <c r="D1529" s="2" t="str">
        <f>Argument!D1529</f>
        <v>vr</v>
      </c>
      <c r="E1529" s="2" t="str">
        <f t="shared" si="46"/>
        <v/>
      </c>
      <c r="F1529" s="2" t="str">
        <f>IF(C1529=0,ISTEXT(FORMULA.CONVERT("="&amp;A1529&amp;"("&amp;REPLACE(REPT(",#ref!",B1529),1,1,"")&amp;")()",1)),"")</f>
        <v/>
      </c>
      <c r="G1529" s="2">
        <f>TYPE(ODDLPRICE(IF(1,1),IF(1,1),{1},IF(1,1),IF(1,1),IF(1,1),IF(1,1),IF(1,1)))</f>
        <v>64</v>
      </c>
      <c r="H1529" s="2" t="str">
        <f t="shared" si="47"/>
        <v/>
      </c>
      <c r="I1529" s="2">
        <f>TYPE(ODDLPRICE(IF(1,1),IF(1,1),IF(1,1),IF(1,1),IF(1,1),IF(1,1),IF(1,1),IF(1,1)))</f>
        <v>16</v>
      </c>
      <c r="J1529" s="2" t="str">
        <f>IF(C1529=0,COUNTIFS(A:A,A1529,D:D,"a"),"")</f>
        <v/>
      </c>
      <c r="K1529" s="2" t="e">
        <f>INDEX(+ODDLPRICE(#REF!,#REF!,K1529:L1529,#REF!,#REF!,#REF!,#REF!,#REF!),)</f>
        <v>#REF!</v>
      </c>
      <c r="L1529" s="1">
        <v>1</v>
      </c>
      <c r="M1529" s="2" t="e">
        <f>INDEX(+ODDLPRICE(#REF!,#REF!,INDIRECT(M1529:N1529),#REF!,#REF!,#REF!,#REF!,#REF!),)</f>
        <v>#REF!</v>
      </c>
      <c r="N1529" s="1">
        <v>1</v>
      </c>
    </row>
    <row r="1530" spans="1:14" x14ac:dyDescent="0.55000000000000004">
      <c r="A1530" s="1" t="s">
        <v>1890</v>
      </c>
      <c r="B1530" s="2">
        <f>COUNTIF(A:A,A1530)-1</f>
        <v>8</v>
      </c>
      <c r="C1530" s="2">
        <f>COUNTIF(A$1:A1530,A1530)-1</f>
        <v>4</v>
      </c>
      <c r="D1530" s="2" t="str">
        <f>Argument!D1530</f>
        <v>vr</v>
      </c>
      <c r="E1530" s="2" t="str">
        <f t="shared" si="46"/>
        <v/>
      </c>
      <c r="F1530" s="2" t="str">
        <f>IF(C1530=0,ISTEXT(FORMULA.CONVERT("="&amp;A1530&amp;"("&amp;REPLACE(REPT(",#ref!",B1530),1,1,"")&amp;")()",1)),"")</f>
        <v/>
      </c>
      <c r="G1530" s="2">
        <f>TYPE(ODDLPRICE(IF(1,1),IF(1,1),IF(1,1),{1},IF(1,1),IF(1,1),IF(1,1),IF(1,1)))</f>
        <v>64</v>
      </c>
      <c r="H1530" s="2" t="str">
        <f t="shared" si="47"/>
        <v/>
      </c>
      <c r="I1530" s="2">
        <f>TYPE(ODDLPRICE(IF(1,1),IF(1,1),IF(1,1),IF(1,1),IF(1,1),IF(1,1),IF(1,1),IF(1,1)))</f>
        <v>16</v>
      </c>
      <c r="J1530" s="2" t="str">
        <f>IF(C1530=0,COUNTIFS(A:A,A1530,D:D,"a"),"")</f>
        <v/>
      </c>
      <c r="K1530" s="2" t="e">
        <f>INDEX(+ODDLPRICE(#REF!,#REF!,#REF!,K1530:L1530,#REF!,#REF!,#REF!,#REF!),)</f>
        <v>#REF!</v>
      </c>
      <c r="L1530" s="1">
        <v>1</v>
      </c>
      <c r="M1530" s="2" t="e">
        <f>INDEX(+ODDLPRICE(#REF!,#REF!,#REF!,INDIRECT(M1530:N1530),#REF!,#REF!,#REF!,#REF!),)</f>
        <v>#REF!</v>
      </c>
      <c r="N1530" s="1">
        <v>1</v>
      </c>
    </row>
    <row r="1531" spans="1:14" x14ac:dyDescent="0.55000000000000004">
      <c r="A1531" s="1" t="s">
        <v>1890</v>
      </c>
      <c r="B1531" s="2">
        <f>COUNTIF(A:A,A1531)-1</f>
        <v>8</v>
      </c>
      <c r="C1531" s="2">
        <f>COUNTIF(A$1:A1531,A1531)-1</f>
        <v>5</v>
      </c>
      <c r="D1531" s="2" t="str">
        <f>Argument!D1531</f>
        <v>vr</v>
      </c>
      <c r="E1531" s="2" t="str">
        <f t="shared" si="46"/>
        <v/>
      </c>
      <c r="F1531" s="2" t="str">
        <f>IF(C1531=0,ISTEXT(FORMULA.CONVERT("="&amp;A1531&amp;"("&amp;REPLACE(REPT(",#ref!",B1531),1,1,"")&amp;")()",1)),"")</f>
        <v/>
      </c>
      <c r="G1531" s="2">
        <f>TYPE(ODDLPRICE(IF(1,1),IF(1,1),IF(1,1),IF(1,1),{1},IF(1,1),IF(1,1),IF(1,1)))</f>
        <v>64</v>
      </c>
      <c r="H1531" s="2" t="str">
        <f t="shared" si="47"/>
        <v/>
      </c>
      <c r="I1531" s="2">
        <f>TYPE(ODDLPRICE(IF(1,1),IF(1,1),IF(1,1),IF(1,1),IF(1,1),IF(1,1),IF(1,1),IF(1,1)))</f>
        <v>16</v>
      </c>
      <c r="J1531" s="2" t="str">
        <f>IF(C1531=0,COUNTIFS(A:A,A1531,D:D,"a"),"")</f>
        <v/>
      </c>
      <c r="K1531" s="2" t="e">
        <f>INDEX(+ODDLPRICE(#REF!,#REF!,#REF!,#REF!,K1531:L1531,#REF!,#REF!,#REF!),)</f>
        <v>#REF!</v>
      </c>
      <c r="L1531" s="1">
        <v>1</v>
      </c>
      <c r="M1531" s="2" t="e">
        <f>INDEX(+ODDLPRICE(#REF!,#REF!,#REF!,#REF!,INDIRECT(M1531:N1531),#REF!,#REF!,#REF!),)</f>
        <v>#REF!</v>
      </c>
      <c r="N1531" s="1">
        <v>1</v>
      </c>
    </row>
    <row r="1532" spans="1:14" x14ac:dyDescent="0.55000000000000004">
      <c r="A1532" s="1" t="s">
        <v>1890</v>
      </c>
      <c r="B1532" s="2">
        <f>COUNTIF(A:A,A1532)-1</f>
        <v>8</v>
      </c>
      <c r="C1532" s="2">
        <f>COUNTIF(A$1:A1532,A1532)-1</f>
        <v>6</v>
      </c>
      <c r="D1532" s="2" t="str">
        <f>Argument!D1532</f>
        <v>vr</v>
      </c>
      <c r="E1532" s="2" t="str">
        <f t="shared" si="46"/>
        <v/>
      </c>
      <c r="F1532" s="2" t="str">
        <f>IF(C1532=0,ISTEXT(FORMULA.CONVERT("="&amp;A1532&amp;"("&amp;REPLACE(REPT(",#ref!",B1532),1,1,"")&amp;")()",1)),"")</f>
        <v/>
      </c>
      <c r="G1532" s="2">
        <f>TYPE(ODDLPRICE(IF(1,1),IF(1,1),IF(1,1),IF(1,1),IF(1,1),{1},IF(1,1),IF(1,1)))</f>
        <v>64</v>
      </c>
      <c r="H1532" s="2" t="str">
        <f t="shared" si="47"/>
        <v/>
      </c>
      <c r="I1532" s="2">
        <f>TYPE(ODDLPRICE(IF(1,1),IF(1,1),IF(1,1),IF(1,1),IF(1,1),IF(1,1),IF(1,1),IF(1,1)))</f>
        <v>16</v>
      </c>
      <c r="J1532" s="2" t="str">
        <f>IF(C1532=0,COUNTIFS(A:A,A1532,D:D,"a"),"")</f>
        <v/>
      </c>
      <c r="K1532" s="2" t="e">
        <f>INDEX(+ODDLPRICE(#REF!,#REF!,#REF!,#REF!,#REF!,K1532:L1532,#REF!,#REF!),)</f>
        <v>#REF!</v>
      </c>
      <c r="L1532" s="1">
        <v>1</v>
      </c>
      <c r="M1532" s="2" t="e">
        <f>INDEX(+ODDLPRICE(#REF!,#REF!,#REF!,#REF!,#REF!,INDIRECT(M1532:N1532),#REF!,#REF!),)</f>
        <v>#REF!</v>
      </c>
      <c r="N1532" s="1">
        <v>1</v>
      </c>
    </row>
    <row r="1533" spans="1:14" x14ac:dyDescent="0.55000000000000004">
      <c r="A1533" s="1" t="s">
        <v>1890</v>
      </c>
      <c r="B1533" s="2">
        <f>COUNTIF(A:A,A1533)-1</f>
        <v>8</v>
      </c>
      <c r="C1533" s="2">
        <f>COUNTIF(A$1:A1533,A1533)-1</f>
        <v>7</v>
      </c>
      <c r="D1533" s="2" t="str">
        <f>Argument!D1533</f>
        <v>vr</v>
      </c>
      <c r="E1533" s="2" t="str">
        <f t="shared" si="46"/>
        <v/>
      </c>
      <c r="F1533" s="2" t="str">
        <f>IF(C1533=0,ISTEXT(FORMULA.CONVERT("="&amp;A1533&amp;"("&amp;REPLACE(REPT(",#ref!",B1533),1,1,"")&amp;")()",1)),"")</f>
        <v/>
      </c>
      <c r="G1533" s="2">
        <f>TYPE(ODDLPRICE(IF(1,1),IF(1,1),IF(1,1),IF(1,1),IF(1,1),IF(1,1),{1},IF(1,1)))</f>
        <v>64</v>
      </c>
      <c r="H1533" s="2" t="str">
        <f t="shared" si="47"/>
        <v/>
      </c>
      <c r="I1533" s="2">
        <f>TYPE(ODDLPRICE(IF(1,1),IF(1,1),IF(1,1),IF(1,1),IF(1,1),IF(1,1),IF(1,1),IF(1,1)))</f>
        <v>16</v>
      </c>
      <c r="J1533" s="2" t="str">
        <f>IF(C1533=0,COUNTIFS(A:A,A1533,D:D,"a"),"")</f>
        <v/>
      </c>
      <c r="K1533" s="2" t="e">
        <f>INDEX(+ODDLPRICE(#REF!,#REF!,#REF!,#REF!,#REF!,#REF!,K1533:L1533,#REF!),)</f>
        <v>#REF!</v>
      </c>
      <c r="L1533" s="1">
        <v>1</v>
      </c>
      <c r="M1533" s="2" t="e">
        <f>INDEX(+ODDLPRICE(#REF!,#REF!,#REF!,#REF!,#REF!,#REF!,INDIRECT(M1533:N1533),#REF!),)</f>
        <v>#REF!</v>
      </c>
      <c r="N1533" s="1">
        <v>1</v>
      </c>
    </row>
    <row r="1534" spans="1:14" x14ac:dyDescent="0.55000000000000004">
      <c r="A1534" s="1" t="s">
        <v>1890</v>
      </c>
      <c r="B1534" s="2">
        <f>COUNTIF(A:A,A1534)-1</f>
        <v>8</v>
      </c>
      <c r="C1534" s="2">
        <f>COUNTIF(A$1:A1534,A1534)-1</f>
        <v>8</v>
      </c>
      <c r="D1534" s="2" t="str">
        <f>Argument!D1534</f>
        <v>vr</v>
      </c>
      <c r="E1534" s="2" t="str">
        <f t="shared" si="46"/>
        <v/>
      </c>
      <c r="F1534" s="2" t="str">
        <f>IF(C1534=0,ISTEXT(FORMULA.CONVERT("="&amp;A1534&amp;"("&amp;REPLACE(REPT(",#ref!",B1534),1,1,"")&amp;")()",1)),"")</f>
        <v/>
      </c>
      <c r="G1534" s="2">
        <f>TYPE(ODDLPRICE(IF(1,1),IF(1,1),IF(1,1),IF(1,1),IF(1,1),IF(1,1),IF(1,1),{1}))</f>
        <v>64</v>
      </c>
      <c r="H1534" s="2" t="str">
        <f t="shared" si="47"/>
        <v/>
      </c>
      <c r="I1534" s="2">
        <f>TYPE(ODDLPRICE(IF(1,1),IF(1,1),IF(1,1),IF(1,1),IF(1,1),IF(1,1),IF(1,1),IF(1,1)))</f>
        <v>16</v>
      </c>
      <c r="J1534" s="2" t="str">
        <f>IF(C1534=0,COUNTIFS(A:A,A1534,D:D,"a"),"")</f>
        <v/>
      </c>
      <c r="K1534" s="2" t="e">
        <f>INDEX(+ODDLPRICE(#REF!,#REF!,#REF!,#REF!,#REF!,#REF!,#REF!,K1534:L1534),)</f>
        <v>#REF!</v>
      </c>
      <c r="L1534" s="1">
        <v>1</v>
      </c>
      <c r="M1534" s="2" t="e">
        <f>INDEX(+ODDLPRICE(#REF!,#REF!,#REF!,#REF!,#REF!,#REF!,#REF!,INDIRECT(M1534:N1534)),)</f>
        <v>#REF!</v>
      </c>
      <c r="N1534" s="1">
        <v>1</v>
      </c>
    </row>
    <row r="1535" spans="1:14" x14ac:dyDescent="0.55000000000000004">
      <c r="A1535" s="1" t="s">
        <v>1891</v>
      </c>
      <c r="B1535" s="2">
        <f>COUNTIF(A:A,A1535)-1</f>
        <v>8</v>
      </c>
      <c r="C1535" s="2">
        <f>COUNTIF(A$1:A1535,A1535)-1</f>
        <v>0</v>
      </c>
      <c r="D1535" s="2" t="str">
        <f>Argument!D1535</f>
        <v/>
      </c>
      <c r="E1535" s="2" t="str">
        <f t="shared" si="46"/>
        <v>v</v>
      </c>
      <c r="F1535" s="2" t="b">
        <f>IF(C1535=0,ISTEXT(FORMULA.CONVERT("="&amp;A1535&amp;"("&amp;REPLACE(REPT(",#ref!",B1535),1,1,"")&amp;")()",1)),"")</f>
        <v>0</v>
      </c>
      <c r="G1535" s="2"/>
      <c r="H1535" s="2" t="str">
        <f t="shared" si="47"/>
        <v/>
      </c>
      <c r="I1535" s="2">
        <f>TYPE(ODDLYIELD(IF(1,1),IF(1,1),IF(1,1),IF(1,1),IF(1,1),IF(1,1),IF(1,1),IF(1,1)))</f>
        <v>16</v>
      </c>
      <c r="J1535" s="2">
        <f>IF(C1535=0,COUNTIFS(A:A,A1535,D:D,"a"),"")</f>
        <v>0</v>
      </c>
      <c r="K1535" s="2"/>
      <c r="M1535" s="2"/>
    </row>
    <row r="1536" spans="1:14" x14ac:dyDescent="0.55000000000000004">
      <c r="A1536" s="1" t="s">
        <v>1891</v>
      </c>
      <c r="B1536" s="2">
        <f>COUNTIF(A:A,A1536)-1</f>
        <v>8</v>
      </c>
      <c r="C1536" s="2">
        <f>COUNTIF(A$1:A1536,A1536)-1</f>
        <v>1</v>
      </c>
      <c r="D1536" s="2" t="str">
        <f>Argument!D1536</f>
        <v>vr</v>
      </c>
      <c r="E1536" s="2" t="str">
        <f t="shared" si="46"/>
        <v/>
      </c>
      <c r="F1536" s="2" t="str">
        <f>IF(C1536=0,ISTEXT(FORMULA.CONVERT("="&amp;A1536&amp;"("&amp;REPLACE(REPT(",#ref!",B1536),1,1,"")&amp;")()",1)),"")</f>
        <v/>
      </c>
      <c r="G1536" s="2">
        <f>TYPE(ODDLYIELD({1},IF(1,1),IF(1,1),IF(1,1),IF(1,1),IF(1,1),IF(1,1),IF(1,1)))</f>
        <v>64</v>
      </c>
      <c r="H1536" s="2" t="str">
        <f t="shared" si="47"/>
        <v/>
      </c>
      <c r="I1536" s="2">
        <f>TYPE(ODDLYIELD(IF(1,1),IF(1,1),IF(1,1),IF(1,1),IF(1,1),IF(1,1),IF(1,1),IF(1,1)))</f>
        <v>16</v>
      </c>
      <c r="J1536" s="2" t="str">
        <f>IF(C1536=0,COUNTIFS(A:A,A1536,D:D,"a"),"")</f>
        <v/>
      </c>
      <c r="K1536" s="2" t="e">
        <f>INDEX(+ODDLYIELD(K1536:L1536,#REF!,#REF!,#REF!,#REF!,#REF!,#REF!,#REF!),)</f>
        <v>#VALUE!</v>
      </c>
      <c r="L1536" s="1">
        <v>1</v>
      </c>
      <c r="M1536" s="2" t="e">
        <f>INDEX(+ODDLYIELD(INDIRECT(M1536:N1536),#REF!,#REF!,#REF!,#REF!,#REF!,#REF!,#REF!),)</f>
        <v>#REF!</v>
      </c>
      <c r="N1536" s="1">
        <v>1</v>
      </c>
    </row>
    <row r="1537" spans="1:14" x14ac:dyDescent="0.55000000000000004">
      <c r="A1537" s="1" t="s">
        <v>1891</v>
      </c>
      <c r="B1537" s="2">
        <f>COUNTIF(A:A,A1537)-1</f>
        <v>8</v>
      </c>
      <c r="C1537" s="2">
        <f>COUNTIF(A$1:A1537,A1537)-1</f>
        <v>2</v>
      </c>
      <c r="D1537" s="2" t="str">
        <f>Argument!D1537</f>
        <v>vr</v>
      </c>
      <c r="E1537" s="2" t="str">
        <f t="shared" si="46"/>
        <v/>
      </c>
      <c r="F1537" s="2" t="str">
        <f>IF(C1537=0,ISTEXT(FORMULA.CONVERT("="&amp;A1537&amp;"("&amp;REPLACE(REPT(",#ref!",B1537),1,1,"")&amp;")()",1)),"")</f>
        <v/>
      </c>
      <c r="G1537" s="2">
        <f>TYPE(ODDLYIELD(IF(1,1),{1},IF(1,1),IF(1,1),IF(1,1),IF(1,1),IF(1,1),IF(1,1)))</f>
        <v>64</v>
      </c>
      <c r="H1537" s="2" t="str">
        <f t="shared" si="47"/>
        <v/>
      </c>
      <c r="I1537" s="2">
        <f>TYPE(ODDLYIELD(IF(1,1),IF(1,1),IF(1,1),IF(1,1),IF(1,1),IF(1,1),IF(1,1),IF(1,1)))</f>
        <v>16</v>
      </c>
      <c r="J1537" s="2" t="str">
        <f>IF(C1537=0,COUNTIFS(A:A,A1537,D:D,"a"),"")</f>
        <v/>
      </c>
      <c r="K1537" s="2" t="e">
        <f>INDEX(+ODDLYIELD(#REF!,K1537:L1537,#REF!,#REF!,#REF!,#REF!,#REF!,#REF!),)</f>
        <v>#REF!</v>
      </c>
      <c r="L1537" s="1">
        <v>1</v>
      </c>
      <c r="M1537" s="2" t="e">
        <f>INDEX(+ODDLYIELD(#REF!,INDIRECT(M1537:N1537),#REF!,#REF!,#REF!,#REF!,#REF!,#REF!),)</f>
        <v>#REF!</v>
      </c>
      <c r="N1537" s="1">
        <v>1</v>
      </c>
    </row>
    <row r="1538" spans="1:14" x14ac:dyDescent="0.55000000000000004">
      <c r="A1538" s="1" t="s">
        <v>1891</v>
      </c>
      <c r="B1538" s="2">
        <f>COUNTIF(A:A,A1538)-1</f>
        <v>8</v>
      </c>
      <c r="C1538" s="2">
        <f>COUNTIF(A$1:A1538,A1538)-1</f>
        <v>3</v>
      </c>
      <c r="D1538" s="2" t="str">
        <f>Argument!D1538</f>
        <v>vr</v>
      </c>
      <c r="E1538" s="2" t="str">
        <f t="shared" ref="E1538:E1601" si="48">IF(C1538=0,IF(SUMIFS(H:H,A:A,A1538),IF(COUNTIFS(A:A,A1538,G:G,64),,"v")&amp;IF(F1538,"ar","a"),IF(F1538,"r","v")),"")</f>
        <v/>
      </c>
      <c r="F1538" s="2" t="str">
        <f>IF(C1538=0,ISTEXT(FORMULA.CONVERT("="&amp;A1538&amp;"("&amp;REPLACE(REPT(",#ref!",B1538),1,1,"")&amp;")()",1)),"")</f>
        <v/>
      </c>
      <c r="G1538" s="2">
        <f>TYPE(ODDLYIELD(IF(1,1),IF(1,1),{1},IF(1,1),IF(1,1),IF(1,1),IF(1,1),IF(1,1)))</f>
        <v>64</v>
      </c>
      <c r="H1538" s="2" t="str">
        <f t="shared" ref="H1538:H1601" si="49">IF((I1538=64)*(J1538=B1538)+(1-L1538)*COUNTIF(D1538,"*v*")+(1-N1538)*COUNTIF(D1538,"*r*"),1,"")</f>
        <v/>
      </c>
      <c r="I1538" s="2">
        <f>TYPE(ODDLYIELD(IF(1,1),IF(1,1),IF(1,1),IF(1,1),IF(1,1),IF(1,1),IF(1,1),IF(1,1)))</f>
        <v>16</v>
      </c>
      <c r="J1538" s="2" t="str">
        <f>IF(C1538=0,COUNTIFS(A:A,A1538,D:D,"a"),"")</f>
        <v/>
      </c>
      <c r="K1538" s="2" t="e">
        <f>INDEX(+ODDLYIELD(#REF!,#REF!,K1538:L1538,#REF!,#REF!,#REF!,#REF!,#REF!),)</f>
        <v>#REF!</v>
      </c>
      <c r="L1538" s="1">
        <v>1</v>
      </c>
      <c r="M1538" s="2" t="e">
        <f>INDEX(+ODDLYIELD(#REF!,#REF!,INDIRECT(M1538:N1538),#REF!,#REF!,#REF!,#REF!,#REF!),)</f>
        <v>#REF!</v>
      </c>
      <c r="N1538" s="1">
        <v>1</v>
      </c>
    </row>
    <row r="1539" spans="1:14" x14ac:dyDescent="0.55000000000000004">
      <c r="A1539" s="1" t="s">
        <v>1891</v>
      </c>
      <c r="B1539" s="2">
        <f>COUNTIF(A:A,A1539)-1</f>
        <v>8</v>
      </c>
      <c r="C1539" s="2">
        <f>COUNTIF(A$1:A1539,A1539)-1</f>
        <v>4</v>
      </c>
      <c r="D1539" s="2" t="str">
        <f>Argument!D1539</f>
        <v>vr</v>
      </c>
      <c r="E1539" s="2" t="str">
        <f t="shared" si="48"/>
        <v/>
      </c>
      <c r="F1539" s="2" t="str">
        <f>IF(C1539=0,ISTEXT(FORMULA.CONVERT("="&amp;A1539&amp;"("&amp;REPLACE(REPT(",#ref!",B1539),1,1,"")&amp;")()",1)),"")</f>
        <v/>
      </c>
      <c r="G1539" s="2">
        <f>TYPE(ODDLYIELD(IF(1,1),IF(1,1),IF(1,1),{1},IF(1,1),IF(1,1),IF(1,1),IF(1,1)))</f>
        <v>64</v>
      </c>
      <c r="H1539" s="2" t="str">
        <f t="shared" si="49"/>
        <v/>
      </c>
      <c r="I1539" s="2">
        <f>TYPE(ODDLYIELD(IF(1,1),IF(1,1),IF(1,1),IF(1,1),IF(1,1),IF(1,1),IF(1,1),IF(1,1)))</f>
        <v>16</v>
      </c>
      <c r="J1539" s="2" t="str">
        <f>IF(C1539=0,COUNTIFS(A:A,A1539,D:D,"a"),"")</f>
        <v/>
      </c>
      <c r="K1539" s="2" t="e">
        <f>INDEX(+ODDLYIELD(#REF!,#REF!,#REF!,K1539:L1539,#REF!,#REF!,#REF!,#REF!),)</f>
        <v>#REF!</v>
      </c>
      <c r="L1539" s="1">
        <v>1</v>
      </c>
      <c r="M1539" s="2" t="e">
        <f>INDEX(+ODDLYIELD(#REF!,#REF!,#REF!,INDIRECT(M1539:N1539),#REF!,#REF!,#REF!,#REF!),)</f>
        <v>#REF!</v>
      </c>
      <c r="N1539" s="1">
        <v>1</v>
      </c>
    </row>
    <row r="1540" spans="1:14" x14ac:dyDescent="0.55000000000000004">
      <c r="A1540" s="1" t="s">
        <v>1891</v>
      </c>
      <c r="B1540" s="2">
        <f>COUNTIF(A:A,A1540)-1</f>
        <v>8</v>
      </c>
      <c r="C1540" s="2">
        <f>COUNTIF(A$1:A1540,A1540)-1</f>
        <v>5</v>
      </c>
      <c r="D1540" s="2" t="str">
        <f>Argument!D1540</f>
        <v>vr</v>
      </c>
      <c r="E1540" s="2" t="str">
        <f t="shared" si="48"/>
        <v/>
      </c>
      <c r="F1540" s="2" t="str">
        <f>IF(C1540=0,ISTEXT(FORMULA.CONVERT("="&amp;A1540&amp;"("&amp;REPLACE(REPT(",#ref!",B1540),1,1,"")&amp;")()",1)),"")</f>
        <v/>
      </c>
      <c r="G1540" s="2">
        <f>TYPE(ODDLYIELD(IF(1,1),IF(1,1),IF(1,1),IF(1,1),{1},IF(1,1),IF(1,1),IF(1,1)))</f>
        <v>64</v>
      </c>
      <c r="H1540" s="2" t="str">
        <f t="shared" si="49"/>
        <v/>
      </c>
      <c r="I1540" s="2">
        <f>TYPE(ODDLYIELD(IF(1,1),IF(1,1),IF(1,1),IF(1,1),IF(1,1),IF(1,1),IF(1,1),IF(1,1)))</f>
        <v>16</v>
      </c>
      <c r="J1540" s="2" t="str">
        <f>IF(C1540=0,COUNTIFS(A:A,A1540,D:D,"a"),"")</f>
        <v/>
      </c>
      <c r="K1540" s="2" t="e">
        <f>INDEX(+ODDLYIELD(#REF!,#REF!,#REF!,#REF!,K1540:L1540,#REF!,#REF!,#REF!),)</f>
        <v>#REF!</v>
      </c>
      <c r="L1540" s="1">
        <v>1</v>
      </c>
      <c r="M1540" s="2" t="e">
        <f>INDEX(+ODDLYIELD(#REF!,#REF!,#REF!,#REF!,INDIRECT(M1540:N1540),#REF!,#REF!,#REF!),)</f>
        <v>#REF!</v>
      </c>
      <c r="N1540" s="1">
        <v>1</v>
      </c>
    </row>
    <row r="1541" spans="1:14" x14ac:dyDescent="0.55000000000000004">
      <c r="A1541" s="1" t="s">
        <v>1891</v>
      </c>
      <c r="B1541" s="2">
        <f>COUNTIF(A:A,A1541)-1</f>
        <v>8</v>
      </c>
      <c r="C1541" s="2">
        <f>COUNTIF(A$1:A1541,A1541)-1</f>
        <v>6</v>
      </c>
      <c r="D1541" s="2" t="str">
        <f>Argument!D1541</f>
        <v>vr</v>
      </c>
      <c r="E1541" s="2" t="str">
        <f t="shared" si="48"/>
        <v/>
      </c>
      <c r="F1541" s="2" t="str">
        <f>IF(C1541=0,ISTEXT(FORMULA.CONVERT("="&amp;A1541&amp;"("&amp;REPLACE(REPT(",#ref!",B1541),1,1,"")&amp;")()",1)),"")</f>
        <v/>
      </c>
      <c r="G1541" s="2">
        <f>TYPE(ODDLYIELD(IF(1,1),IF(1,1),IF(1,1),IF(1,1),IF(1,1),{1},IF(1,1),IF(1,1)))</f>
        <v>64</v>
      </c>
      <c r="H1541" s="2" t="str">
        <f t="shared" si="49"/>
        <v/>
      </c>
      <c r="I1541" s="2">
        <f>TYPE(ODDLYIELD(IF(1,1),IF(1,1),IF(1,1),IF(1,1),IF(1,1),IF(1,1),IF(1,1),IF(1,1)))</f>
        <v>16</v>
      </c>
      <c r="J1541" s="2" t="str">
        <f>IF(C1541=0,COUNTIFS(A:A,A1541,D:D,"a"),"")</f>
        <v/>
      </c>
      <c r="K1541" s="2" t="e">
        <f>INDEX(+ODDLYIELD(#REF!,#REF!,#REF!,#REF!,#REF!,K1541:L1541,#REF!,#REF!),)</f>
        <v>#REF!</v>
      </c>
      <c r="L1541" s="1">
        <v>1</v>
      </c>
      <c r="M1541" s="2" t="e">
        <f>INDEX(+ODDLYIELD(#REF!,#REF!,#REF!,#REF!,#REF!,INDIRECT(M1541:N1541),#REF!,#REF!),)</f>
        <v>#REF!</v>
      </c>
      <c r="N1541" s="1">
        <v>1</v>
      </c>
    </row>
    <row r="1542" spans="1:14" x14ac:dyDescent="0.55000000000000004">
      <c r="A1542" s="1" t="s">
        <v>1891</v>
      </c>
      <c r="B1542" s="2">
        <f>COUNTIF(A:A,A1542)-1</f>
        <v>8</v>
      </c>
      <c r="C1542" s="2">
        <f>COUNTIF(A$1:A1542,A1542)-1</f>
        <v>7</v>
      </c>
      <c r="D1542" s="2" t="str">
        <f>Argument!D1542</f>
        <v>vr</v>
      </c>
      <c r="E1542" s="2" t="str">
        <f t="shared" si="48"/>
        <v/>
      </c>
      <c r="F1542" s="2" t="str">
        <f>IF(C1542=0,ISTEXT(FORMULA.CONVERT("="&amp;A1542&amp;"("&amp;REPLACE(REPT(",#ref!",B1542),1,1,"")&amp;")()",1)),"")</f>
        <v/>
      </c>
      <c r="G1542" s="2">
        <f>TYPE(ODDLYIELD(IF(1,1),IF(1,1),IF(1,1),IF(1,1),IF(1,1),IF(1,1),{1},IF(1,1)))</f>
        <v>64</v>
      </c>
      <c r="H1542" s="2" t="str">
        <f t="shared" si="49"/>
        <v/>
      </c>
      <c r="I1542" s="2">
        <f>TYPE(ODDLYIELD(IF(1,1),IF(1,1),IF(1,1),IF(1,1),IF(1,1),IF(1,1),IF(1,1),IF(1,1)))</f>
        <v>16</v>
      </c>
      <c r="J1542" s="2" t="str">
        <f>IF(C1542=0,COUNTIFS(A:A,A1542,D:D,"a"),"")</f>
        <v/>
      </c>
      <c r="K1542" s="2" t="e">
        <f>INDEX(+ODDLYIELD(#REF!,#REF!,#REF!,#REF!,#REF!,#REF!,K1542:L1542,#REF!),)</f>
        <v>#REF!</v>
      </c>
      <c r="L1542" s="1">
        <v>1</v>
      </c>
      <c r="M1542" s="2" t="e">
        <f>INDEX(+ODDLYIELD(#REF!,#REF!,#REF!,#REF!,#REF!,#REF!,INDIRECT(M1542:N1542),#REF!),)</f>
        <v>#REF!</v>
      </c>
      <c r="N1542" s="1">
        <v>1</v>
      </c>
    </row>
    <row r="1543" spans="1:14" x14ac:dyDescent="0.55000000000000004">
      <c r="A1543" s="1" t="s">
        <v>1891</v>
      </c>
      <c r="B1543" s="2">
        <f>COUNTIF(A:A,A1543)-1</f>
        <v>8</v>
      </c>
      <c r="C1543" s="2">
        <f>COUNTIF(A$1:A1543,A1543)-1</f>
        <v>8</v>
      </c>
      <c r="D1543" s="2" t="str">
        <f>Argument!D1543</f>
        <v>vr</v>
      </c>
      <c r="E1543" s="2" t="str">
        <f t="shared" si="48"/>
        <v/>
      </c>
      <c r="F1543" s="2" t="str">
        <f>IF(C1543=0,ISTEXT(FORMULA.CONVERT("="&amp;A1543&amp;"("&amp;REPLACE(REPT(",#ref!",B1543),1,1,"")&amp;")()",1)),"")</f>
        <v/>
      </c>
      <c r="G1543" s="2">
        <f>TYPE(ODDLYIELD(IF(1,1),IF(1,1),IF(1,1),IF(1,1),IF(1,1),IF(1,1),IF(1,1),{1}))</f>
        <v>64</v>
      </c>
      <c r="H1543" s="2" t="str">
        <f t="shared" si="49"/>
        <v/>
      </c>
      <c r="I1543" s="2">
        <f>TYPE(ODDLYIELD(IF(1,1),IF(1,1),IF(1,1),IF(1,1),IF(1,1),IF(1,1),IF(1,1),IF(1,1)))</f>
        <v>16</v>
      </c>
      <c r="J1543" s="2" t="str">
        <f>IF(C1543=0,COUNTIFS(A:A,A1543,D:D,"a"),"")</f>
        <v/>
      </c>
      <c r="K1543" s="2" t="e">
        <f>INDEX(+ODDLYIELD(#REF!,#REF!,#REF!,#REF!,#REF!,#REF!,#REF!,K1543:L1543),)</f>
        <v>#REF!</v>
      </c>
      <c r="L1543" s="1">
        <v>1</v>
      </c>
      <c r="M1543" s="2" t="e">
        <f>INDEX(+ODDLYIELD(#REF!,#REF!,#REF!,#REF!,#REF!,#REF!,#REF!,INDIRECT(M1543:N1543)),)</f>
        <v>#REF!</v>
      </c>
      <c r="N1543" s="1">
        <v>1</v>
      </c>
    </row>
    <row r="1544" spans="1:14" x14ac:dyDescent="0.55000000000000004">
      <c r="A1544" s="1" t="s">
        <v>1892</v>
      </c>
      <c r="B1544" s="2">
        <f>COUNTIF(A:A,A1544)-1</f>
        <v>9</v>
      </c>
      <c r="C1544" s="2">
        <f>COUNTIF(A$1:A1544,A1544)-1</f>
        <v>0</v>
      </c>
      <c r="D1544" s="2" t="str">
        <f>Argument!D1544</f>
        <v/>
      </c>
      <c r="E1544" s="2" t="str">
        <f t="shared" si="48"/>
        <v>v</v>
      </c>
      <c r="F1544" s="2" t="b">
        <f>IF(C1544=0,ISTEXT(FORMULA.CONVERT("="&amp;A1544&amp;"("&amp;REPLACE(REPT(",#ref!",B1544),1,1,"")&amp;")()",1)),"")</f>
        <v>0</v>
      </c>
      <c r="G1544" s="2"/>
      <c r="H1544" s="2" t="str">
        <f t="shared" si="49"/>
        <v/>
      </c>
      <c r="I1544" s="2">
        <f>TYPE(ODDFPRICE(IF(1,1),IF(1,1),IF(1,1),IF(1,1),IF(1,1),IF(1,1),IF(1,1),IF(1,1),IF(1,1)))</f>
        <v>16</v>
      </c>
      <c r="J1544" s="2">
        <f>IF(C1544=0,COUNTIFS(A:A,A1544,D:D,"a"),"")</f>
        <v>0</v>
      </c>
      <c r="K1544" s="2"/>
      <c r="M1544" s="2"/>
    </row>
    <row r="1545" spans="1:14" x14ac:dyDescent="0.55000000000000004">
      <c r="A1545" s="1" t="s">
        <v>1892</v>
      </c>
      <c r="B1545" s="2">
        <f>COUNTIF(A:A,A1545)-1</f>
        <v>9</v>
      </c>
      <c r="C1545" s="2">
        <f>COUNTIF(A$1:A1545,A1545)-1</f>
        <v>1</v>
      </c>
      <c r="D1545" s="2" t="str">
        <f>Argument!D1545</f>
        <v>vr</v>
      </c>
      <c r="E1545" s="2" t="str">
        <f t="shared" si="48"/>
        <v/>
      </c>
      <c r="F1545" s="2" t="str">
        <f>IF(C1545=0,ISTEXT(FORMULA.CONVERT("="&amp;A1545&amp;"("&amp;REPLACE(REPT(",#ref!",B1545),1,1,"")&amp;")()",1)),"")</f>
        <v/>
      </c>
      <c r="G1545" s="2">
        <f>TYPE(ODDFPRICE({1},IF(1,1),IF(1,1),IF(1,1),IF(1,1),IF(1,1),IF(1,1),IF(1,1),IF(1,1)))</f>
        <v>64</v>
      </c>
      <c r="H1545" s="2" t="str">
        <f t="shared" si="49"/>
        <v/>
      </c>
      <c r="I1545" s="2">
        <f>TYPE(ODDFPRICE(IF(1,1),IF(1,1),IF(1,1),IF(1,1),IF(1,1),IF(1,1),IF(1,1),IF(1,1),IF(1,1)))</f>
        <v>16</v>
      </c>
      <c r="J1545" s="2" t="str">
        <f>IF(C1545=0,COUNTIFS(A:A,A1545,D:D,"a"),"")</f>
        <v/>
      </c>
      <c r="K1545" s="2" t="e">
        <f>INDEX(+ODDFPRICE(K1545:L1545,#REF!,#REF!,#REF!,#REF!,#REF!,#REF!,#REF!,#REF!),)</f>
        <v>#VALUE!</v>
      </c>
      <c r="L1545" s="1">
        <v>1</v>
      </c>
      <c r="M1545" s="2" t="e">
        <f>INDEX(+ODDFPRICE(INDIRECT(M1545:N1545),#REF!,#REF!,#REF!,#REF!,#REF!,#REF!,#REF!,#REF!),)</f>
        <v>#REF!</v>
      </c>
      <c r="N1545" s="1">
        <v>1</v>
      </c>
    </row>
    <row r="1546" spans="1:14" x14ac:dyDescent="0.55000000000000004">
      <c r="A1546" s="1" t="s">
        <v>1892</v>
      </c>
      <c r="B1546" s="2">
        <f>COUNTIF(A:A,A1546)-1</f>
        <v>9</v>
      </c>
      <c r="C1546" s="2">
        <f>COUNTIF(A$1:A1546,A1546)-1</f>
        <v>2</v>
      </c>
      <c r="D1546" s="2" t="str">
        <f>Argument!D1546</f>
        <v>vr</v>
      </c>
      <c r="E1546" s="2" t="str">
        <f t="shared" si="48"/>
        <v/>
      </c>
      <c r="F1546" s="2" t="str">
        <f>IF(C1546=0,ISTEXT(FORMULA.CONVERT("="&amp;A1546&amp;"("&amp;REPLACE(REPT(",#ref!",B1546),1,1,"")&amp;")()",1)),"")</f>
        <v/>
      </c>
      <c r="G1546" s="2">
        <f>TYPE(ODDFPRICE(IF(1,1),{1},IF(1,1),IF(1,1),IF(1,1),IF(1,1),IF(1,1),IF(1,1),IF(1,1)))</f>
        <v>64</v>
      </c>
      <c r="H1546" s="2" t="str">
        <f t="shared" si="49"/>
        <v/>
      </c>
      <c r="I1546" s="2">
        <f>TYPE(ODDFPRICE(IF(1,1),IF(1,1),IF(1,1),IF(1,1),IF(1,1),IF(1,1),IF(1,1),IF(1,1),IF(1,1)))</f>
        <v>16</v>
      </c>
      <c r="J1546" s="2" t="str">
        <f>IF(C1546=0,COUNTIFS(A:A,A1546,D:D,"a"),"")</f>
        <v/>
      </c>
      <c r="K1546" s="2" t="e">
        <f>INDEX(+ODDFPRICE(#REF!,K1546:L1546,#REF!,#REF!,#REF!,#REF!,#REF!,#REF!,#REF!),)</f>
        <v>#REF!</v>
      </c>
      <c r="L1546" s="1">
        <v>1</v>
      </c>
      <c r="M1546" s="2" t="e">
        <f>INDEX(+ODDFPRICE(#REF!,INDIRECT(M1546:N1546),#REF!,#REF!,#REF!,#REF!,#REF!,#REF!,#REF!),)</f>
        <v>#REF!</v>
      </c>
      <c r="N1546" s="1">
        <v>1</v>
      </c>
    </row>
    <row r="1547" spans="1:14" x14ac:dyDescent="0.55000000000000004">
      <c r="A1547" s="1" t="s">
        <v>1892</v>
      </c>
      <c r="B1547" s="2">
        <f>COUNTIF(A:A,A1547)-1</f>
        <v>9</v>
      </c>
      <c r="C1547" s="2">
        <f>COUNTIF(A$1:A1547,A1547)-1</f>
        <v>3</v>
      </c>
      <c r="D1547" s="2" t="str">
        <f>Argument!D1547</f>
        <v>vr</v>
      </c>
      <c r="E1547" s="2" t="str">
        <f t="shared" si="48"/>
        <v/>
      </c>
      <c r="F1547" s="2" t="str">
        <f>IF(C1547=0,ISTEXT(FORMULA.CONVERT("="&amp;A1547&amp;"("&amp;REPLACE(REPT(",#ref!",B1547),1,1,"")&amp;")()",1)),"")</f>
        <v/>
      </c>
      <c r="G1547" s="2">
        <f>TYPE(ODDFPRICE(IF(1,1),IF(1,1),{1},IF(1,1),IF(1,1),IF(1,1),IF(1,1),IF(1,1),IF(1,1)))</f>
        <v>64</v>
      </c>
      <c r="H1547" s="2" t="str">
        <f t="shared" si="49"/>
        <v/>
      </c>
      <c r="I1547" s="2">
        <f>TYPE(ODDFPRICE(IF(1,1),IF(1,1),IF(1,1),IF(1,1),IF(1,1),IF(1,1),IF(1,1),IF(1,1),IF(1,1)))</f>
        <v>16</v>
      </c>
      <c r="J1547" s="2" t="str">
        <f>IF(C1547=0,COUNTIFS(A:A,A1547,D:D,"a"),"")</f>
        <v/>
      </c>
      <c r="K1547" s="2" t="e">
        <f>INDEX(+ODDFPRICE(#REF!,#REF!,K1547:L1547,#REF!,#REF!,#REF!,#REF!,#REF!,#REF!),)</f>
        <v>#REF!</v>
      </c>
      <c r="L1547" s="1">
        <v>1</v>
      </c>
      <c r="M1547" s="2" t="e">
        <f>INDEX(+ODDFPRICE(#REF!,#REF!,INDIRECT(M1547:N1547),#REF!,#REF!,#REF!,#REF!,#REF!,#REF!),)</f>
        <v>#REF!</v>
      </c>
      <c r="N1547" s="1">
        <v>1</v>
      </c>
    </row>
    <row r="1548" spans="1:14" x14ac:dyDescent="0.55000000000000004">
      <c r="A1548" s="1" t="s">
        <v>1892</v>
      </c>
      <c r="B1548" s="2">
        <f>COUNTIF(A:A,A1548)-1</f>
        <v>9</v>
      </c>
      <c r="C1548" s="2">
        <f>COUNTIF(A$1:A1548,A1548)-1</f>
        <v>4</v>
      </c>
      <c r="D1548" s="2" t="str">
        <f>Argument!D1548</f>
        <v>vr</v>
      </c>
      <c r="E1548" s="2" t="str">
        <f t="shared" si="48"/>
        <v/>
      </c>
      <c r="F1548" s="2" t="str">
        <f>IF(C1548=0,ISTEXT(FORMULA.CONVERT("="&amp;A1548&amp;"("&amp;REPLACE(REPT(",#ref!",B1548),1,1,"")&amp;")()",1)),"")</f>
        <v/>
      </c>
      <c r="G1548" s="2">
        <f>TYPE(ODDFPRICE(IF(1,1),IF(1,1),IF(1,1),{1},IF(1,1),IF(1,1),IF(1,1),IF(1,1),IF(1,1)))</f>
        <v>64</v>
      </c>
      <c r="H1548" s="2" t="str">
        <f t="shared" si="49"/>
        <v/>
      </c>
      <c r="I1548" s="2">
        <f>TYPE(ODDFPRICE(IF(1,1),IF(1,1),IF(1,1),IF(1,1),IF(1,1),IF(1,1),IF(1,1),IF(1,1),IF(1,1)))</f>
        <v>16</v>
      </c>
      <c r="J1548" s="2" t="str">
        <f>IF(C1548=0,COUNTIFS(A:A,A1548,D:D,"a"),"")</f>
        <v/>
      </c>
      <c r="K1548" s="2" t="e">
        <f>INDEX(+ODDFPRICE(#REF!,#REF!,#REF!,K1548:L1548,#REF!,#REF!,#REF!,#REF!,#REF!),)</f>
        <v>#REF!</v>
      </c>
      <c r="L1548" s="1">
        <v>1</v>
      </c>
      <c r="M1548" s="2" t="e">
        <f>INDEX(+ODDFPRICE(#REF!,#REF!,#REF!,INDIRECT(M1548:N1548),#REF!,#REF!,#REF!,#REF!,#REF!),)</f>
        <v>#REF!</v>
      </c>
      <c r="N1548" s="1">
        <v>1</v>
      </c>
    </row>
    <row r="1549" spans="1:14" x14ac:dyDescent="0.55000000000000004">
      <c r="A1549" s="1" t="s">
        <v>1892</v>
      </c>
      <c r="B1549" s="2">
        <f>COUNTIF(A:A,A1549)-1</f>
        <v>9</v>
      </c>
      <c r="C1549" s="2">
        <f>COUNTIF(A$1:A1549,A1549)-1</f>
        <v>5</v>
      </c>
      <c r="D1549" s="2" t="str">
        <f>Argument!D1549</f>
        <v>vr</v>
      </c>
      <c r="E1549" s="2" t="str">
        <f t="shared" si="48"/>
        <v/>
      </c>
      <c r="F1549" s="2" t="str">
        <f>IF(C1549=0,ISTEXT(FORMULA.CONVERT("="&amp;A1549&amp;"("&amp;REPLACE(REPT(",#ref!",B1549),1,1,"")&amp;")()",1)),"")</f>
        <v/>
      </c>
      <c r="G1549" s="2">
        <f>TYPE(ODDFPRICE(IF(1,1),IF(1,1),IF(1,1),IF(1,1),{1},IF(1,1),IF(1,1),IF(1,1),IF(1,1)))</f>
        <v>64</v>
      </c>
      <c r="H1549" s="2" t="str">
        <f t="shared" si="49"/>
        <v/>
      </c>
      <c r="I1549" s="2">
        <f>TYPE(ODDFPRICE(IF(1,1),IF(1,1),IF(1,1),IF(1,1),IF(1,1),IF(1,1),IF(1,1),IF(1,1),IF(1,1)))</f>
        <v>16</v>
      </c>
      <c r="J1549" s="2" t="str">
        <f>IF(C1549=0,COUNTIFS(A:A,A1549,D:D,"a"),"")</f>
        <v/>
      </c>
      <c r="K1549" s="2" t="e">
        <f>INDEX(+ODDFPRICE(#REF!,#REF!,#REF!,#REF!,K1549:L1549,#REF!,#REF!,#REF!,#REF!),)</f>
        <v>#REF!</v>
      </c>
      <c r="L1549" s="1">
        <v>1</v>
      </c>
      <c r="M1549" s="2" t="e">
        <f>INDEX(+ODDFPRICE(#REF!,#REF!,#REF!,#REF!,INDIRECT(M1549:N1549),#REF!,#REF!,#REF!,#REF!),)</f>
        <v>#REF!</v>
      </c>
      <c r="N1549" s="1">
        <v>1</v>
      </c>
    </row>
    <row r="1550" spans="1:14" x14ac:dyDescent="0.55000000000000004">
      <c r="A1550" s="1" t="s">
        <v>1892</v>
      </c>
      <c r="B1550" s="2">
        <f>COUNTIF(A:A,A1550)-1</f>
        <v>9</v>
      </c>
      <c r="C1550" s="2">
        <f>COUNTIF(A$1:A1550,A1550)-1</f>
        <v>6</v>
      </c>
      <c r="D1550" s="2" t="str">
        <f>Argument!D1550</f>
        <v>vr</v>
      </c>
      <c r="E1550" s="2" t="str">
        <f t="shared" si="48"/>
        <v/>
      </c>
      <c r="F1550" s="2" t="str">
        <f>IF(C1550=0,ISTEXT(FORMULA.CONVERT("="&amp;A1550&amp;"("&amp;REPLACE(REPT(",#ref!",B1550),1,1,"")&amp;")()",1)),"")</f>
        <v/>
      </c>
      <c r="G1550" s="2">
        <f>TYPE(ODDFPRICE(IF(1,1),IF(1,1),IF(1,1),IF(1,1),IF(1,1),{1},IF(1,1),IF(1,1),IF(1,1)))</f>
        <v>64</v>
      </c>
      <c r="H1550" s="2" t="str">
        <f t="shared" si="49"/>
        <v/>
      </c>
      <c r="I1550" s="2">
        <f>TYPE(ODDFPRICE(IF(1,1),IF(1,1),IF(1,1),IF(1,1),IF(1,1),IF(1,1),IF(1,1),IF(1,1),IF(1,1)))</f>
        <v>16</v>
      </c>
      <c r="J1550" s="2" t="str">
        <f>IF(C1550=0,COUNTIFS(A:A,A1550,D:D,"a"),"")</f>
        <v/>
      </c>
      <c r="K1550" s="2" t="e">
        <f>INDEX(+ODDFPRICE(#REF!,#REF!,#REF!,#REF!,#REF!,K1550:L1550,#REF!,#REF!,#REF!),)</f>
        <v>#REF!</v>
      </c>
      <c r="L1550" s="1">
        <v>1</v>
      </c>
      <c r="M1550" s="2" t="e">
        <f>INDEX(+ODDFPRICE(#REF!,#REF!,#REF!,#REF!,#REF!,INDIRECT(M1550:N1550),#REF!,#REF!,#REF!),)</f>
        <v>#REF!</v>
      </c>
      <c r="N1550" s="1">
        <v>1</v>
      </c>
    </row>
    <row r="1551" spans="1:14" x14ac:dyDescent="0.55000000000000004">
      <c r="A1551" s="1" t="s">
        <v>1892</v>
      </c>
      <c r="B1551" s="2">
        <f>COUNTIF(A:A,A1551)-1</f>
        <v>9</v>
      </c>
      <c r="C1551" s="2">
        <f>COUNTIF(A$1:A1551,A1551)-1</f>
        <v>7</v>
      </c>
      <c r="D1551" s="2" t="str">
        <f>Argument!D1551</f>
        <v>vr</v>
      </c>
      <c r="E1551" s="2" t="str">
        <f t="shared" si="48"/>
        <v/>
      </c>
      <c r="F1551" s="2" t="str">
        <f>IF(C1551=0,ISTEXT(FORMULA.CONVERT("="&amp;A1551&amp;"("&amp;REPLACE(REPT(",#ref!",B1551),1,1,"")&amp;")()",1)),"")</f>
        <v/>
      </c>
      <c r="G1551" s="2">
        <f>TYPE(ODDFPRICE(IF(1,1),IF(1,1),IF(1,1),IF(1,1),IF(1,1),IF(1,1),{1},IF(1,1),IF(1,1)))</f>
        <v>64</v>
      </c>
      <c r="H1551" s="2" t="str">
        <f t="shared" si="49"/>
        <v/>
      </c>
      <c r="I1551" s="2">
        <f>TYPE(ODDFPRICE(IF(1,1),IF(1,1),IF(1,1),IF(1,1),IF(1,1),IF(1,1),IF(1,1),IF(1,1),IF(1,1)))</f>
        <v>16</v>
      </c>
      <c r="J1551" s="2" t="str">
        <f>IF(C1551=0,COUNTIFS(A:A,A1551,D:D,"a"),"")</f>
        <v/>
      </c>
      <c r="K1551" s="2" t="e">
        <f>INDEX(+ODDFPRICE(#REF!,#REF!,#REF!,#REF!,#REF!,#REF!,K1551:L1551,#REF!,#REF!),)</f>
        <v>#REF!</v>
      </c>
      <c r="L1551" s="1">
        <v>1</v>
      </c>
      <c r="M1551" s="2" t="e">
        <f>INDEX(+ODDFPRICE(#REF!,#REF!,#REF!,#REF!,#REF!,#REF!,INDIRECT(M1551:N1551),#REF!,#REF!),)</f>
        <v>#REF!</v>
      </c>
      <c r="N1551" s="1">
        <v>1</v>
      </c>
    </row>
    <row r="1552" spans="1:14" x14ac:dyDescent="0.55000000000000004">
      <c r="A1552" s="1" t="s">
        <v>1892</v>
      </c>
      <c r="B1552" s="2">
        <f>COUNTIF(A:A,A1552)-1</f>
        <v>9</v>
      </c>
      <c r="C1552" s="2">
        <f>COUNTIF(A$1:A1552,A1552)-1</f>
        <v>8</v>
      </c>
      <c r="D1552" s="2" t="str">
        <f>Argument!D1552</f>
        <v>vr</v>
      </c>
      <c r="E1552" s="2" t="str">
        <f t="shared" si="48"/>
        <v/>
      </c>
      <c r="F1552" s="2" t="str">
        <f>IF(C1552=0,ISTEXT(FORMULA.CONVERT("="&amp;A1552&amp;"("&amp;REPLACE(REPT(",#ref!",B1552),1,1,"")&amp;")()",1)),"")</f>
        <v/>
      </c>
      <c r="G1552" s="2">
        <f>TYPE(ODDFPRICE(IF(1,1),IF(1,1),IF(1,1),IF(1,1),IF(1,1),IF(1,1),IF(1,1),{1},IF(1,1)))</f>
        <v>64</v>
      </c>
      <c r="H1552" s="2" t="str">
        <f t="shared" si="49"/>
        <v/>
      </c>
      <c r="I1552" s="2">
        <f>TYPE(ODDFPRICE(IF(1,1),IF(1,1),IF(1,1),IF(1,1),IF(1,1),IF(1,1),IF(1,1),IF(1,1),IF(1,1)))</f>
        <v>16</v>
      </c>
      <c r="J1552" s="2" t="str">
        <f>IF(C1552=0,COUNTIFS(A:A,A1552,D:D,"a"),"")</f>
        <v/>
      </c>
      <c r="K1552" s="2" t="e">
        <f>INDEX(+ODDFPRICE(#REF!,#REF!,#REF!,#REF!,#REF!,#REF!,#REF!,K1552:L1552,#REF!),)</f>
        <v>#REF!</v>
      </c>
      <c r="L1552" s="1">
        <v>1</v>
      </c>
      <c r="M1552" s="2" t="e">
        <f>INDEX(+ODDFPRICE(#REF!,#REF!,#REF!,#REF!,#REF!,#REF!,#REF!,INDIRECT(M1552:N1552),#REF!),)</f>
        <v>#REF!</v>
      </c>
      <c r="N1552" s="1">
        <v>1</v>
      </c>
    </row>
    <row r="1553" spans="1:14" x14ac:dyDescent="0.55000000000000004">
      <c r="A1553" s="1" t="s">
        <v>1892</v>
      </c>
      <c r="B1553" s="2">
        <f>COUNTIF(A:A,A1553)-1</f>
        <v>9</v>
      </c>
      <c r="C1553" s="2">
        <f>COUNTIF(A$1:A1553,A1553)-1</f>
        <v>9</v>
      </c>
      <c r="D1553" s="2" t="str">
        <f>Argument!D1553</f>
        <v>vr</v>
      </c>
      <c r="E1553" s="2" t="str">
        <f t="shared" si="48"/>
        <v/>
      </c>
      <c r="F1553" s="2" t="str">
        <f>IF(C1553=0,ISTEXT(FORMULA.CONVERT("="&amp;A1553&amp;"("&amp;REPLACE(REPT(",#ref!",B1553),1,1,"")&amp;")()",1)),"")</f>
        <v/>
      </c>
      <c r="G1553" s="2">
        <f>TYPE(ODDFPRICE(IF(1,1),IF(1,1),IF(1,1),IF(1,1),IF(1,1),IF(1,1),IF(1,1),IF(1,1),{1}))</f>
        <v>64</v>
      </c>
      <c r="H1553" s="2" t="str">
        <f t="shared" si="49"/>
        <v/>
      </c>
      <c r="I1553" s="2">
        <f>TYPE(ODDFPRICE(IF(1,1),IF(1,1),IF(1,1),IF(1,1),IF(1,1),IF(1,1),IF(1,1),IF(1,1),IF(1,1)))</f>
        <v>16</v>
      </c>
      <c r="J1553" s="2" t="str">
        <f>IF(C1553=0,COUNTIFS(A:A,A1553,D:D,"a"),"")</f>
        <v/>
      </c>
      <c r="K1553" s="2" t="e">
        <f>INDEX(+ODDFPRICE(#REF!,#REF!,#REF!,#REF!,#REF!,#REF!,#REF!,#REF!,K1553:L1553),)</f>
        <v>#REF!</v>
      </c>
      <c r="L1553" s="1">
        <v>1</v>
      </c>
      <c r="M1553" s="2" t="e">
        <f>INDEX(+ODDFPRICE(#REF!,#REF!,#REF!,#REF!,#REF!,#REF!,#REF!,#REF!,INDIRECT(M1553:N1553)),)</f>
        <v>#REF!</v>
      </c>
      <c r="N1553" s="1">
        <v>1</v>
      </c>
    </row>
    <row r="1554" spans="1:14" x14ac:dyDescent="0.55000000000000004">
      <c r="A1554" s="1" t="s">
        <v>1893</v>
      </c>
      <c r="B1554" s="2">
        <f>COUNTIF(A:A,A1554)-1</f>
        <v>9</v>
      </c>
      <c r="C1554" s="2">
        <f>COUNTIF(A$1:A1554,A1554)-1</f>
        <v>0</v>
      </c>
      <c r="D1554" s="2" t="str">
        <f>Argument!D1554</f>
        <v/>
      </c>
      <c r="E1554" s="2" t="str">
        <f t="shared" si="48"/>
        <v>v</v>
      </c>
      <c r="F1554" s="2" t="b">
        <f>IF(C1554=0,ISTEXT(FORMULA.CONVERT("="&amp;A1554&amp;"("&amp;REPLACE(REPT(",#ref!",B1554),1,1,"")&amp;")()",1)),"")</f>
        <v>0</v>
      </c>
      <c r="G1554" s="2"/>
      <c r="H1554" s="2" t="str">
        <f t="shared" si="49"/>
        <v/>
      </c>
      <c r="I1554" s="2">
        <f>TYPE(ODDFYIELD(IF(1,1),IF(1,1),IF(1,1),IF(1,1),IF(1,1),IF(1,1),IF(1,1),IF(1,1),IF(1,1)))</f>
        <v>16</v>
      </c>
      <c r="J1554" s="2">
        <f>IF(C1554=0,COUNTIFS(A:A,A1554,D:D,"a"),"")</f>
        <v>0</v>
      </c>
      <c r="K1554" s="2"/>
      <c r="M1554" s="2"/>
    </row>
    <row r="1555" spans="1:14" x14ac:dyDescent="0.55000000000000004">
      <c r="A1555" s="1" t="s">
        <v>1893</v>
      </c>
      <c r="B1555" s="2">
        <f>COUNTIF(A:A,A1555)-1</f>
        <v>9</v>
      </c>
      <c r="C1555" s="2">
        <f>COUNTIF(A$1:A1555,A1555)-1</f>
        <v>1</v>
      </c>
      <c r="D1555" s="2" t="str">
        <f>Argument!D1555</f>
        <v>vr</v>
      </c>
      <c r="E1555" s="2" t="str">
        <f t="shared" si="48"/>
        <v/>
      </c>
      <c r="F1555" s="2" t="str">
        <f>IF(C1555=0,ISTEXT(FORMULA.CONVERT("="&amp;A1555&amp;"("&amp;REPLACE(REPT(",#ref!",B1555),1,1,"")&amp;")()",1)),"")</f>
        <v/>
      </c>
      <c r="G1555" s="2">
        <f>TYPE(ODDFYIELD({1},IF(1,1),IF(1,1),IF(1,1),IF(1,1),IF(1,1),IF(1,1),IF(1,1),IF(1,1)))</f>
        <v>64</v>
      </c>
      <c r="H1555" s="2" t="str">
        <f t="shared" si="49"/>
        <v/>
      </c>
      <c r="I1555" s="2">
        <f>TYPE(ODDFYIELD(IF(1,1),IF(1,1),IF(1,1),IF(1,1),IF(1,1),IF(1,1),IF(1,1),IF(1,1),IF(1,1)))</f>
        <v>16</v>
      </c>
      <c r="J1555" s="2" t="str">
        <f>IF(C1555=0,COUNTIFS(A:A,A1555,D:D,"a"),"")</f>
        <v/>
      </c>
      <c r="K1555" s="2" t="e">
        <f>INDEX(+ODDFYIELD(K1555:L1555,#REF!,#REF!,#REF!,#REF!,#REF!,#REF!,#REF!,#REF!),)</f>
        <v>#VALUE!</v>
      </c>
      <c r="L1555" s="1">
        <v>1</v>
      </c>
      <c r="M1555" s="2" t="e">
        <f>INDEX(+ODDFYIELD(INDIRECT(M1555:N1555),#REF!,#REF!,#REF!,#REF!,#REF!,#REF!,#REF!,#REF!),)</f>
        <v>#REF!</v>
      </c>
      <c r="N1555" s="1">
        <v>1</v>
      </c>
    </row>
    <row r="1556" spans="1:14" x14ac:dyDescent="0.55000000000000004">
      <c r="A1556" s="1" t="s">
        <v>1893</v>
      </c>
      <c r="B1556" s="2">
        <f>COUNTIF(A:A,A1556)-1</f>
        <v>9</v>
      </c>
      <c r="C1556" s="2">
        <f>COUNTIF(A$1:A1556,A1556)-1</f>
        <v>2</v>
      </c>
      <c r="D1556" s="2" t="str">
        <f>Argument!D1556</f>
        <v>vr</v>
      </c>
      <c r="E1556" s="2" t="str">
        <f t="shared" si="48"/>
        <v/>
      </c>
      <c r="F1556" s="2" t="str">
        <f>IF(C1556=0,ISTEXT(FORMULA.CONVERT("="&amp;A1556&amp;"("&amp;REPLACE(REPT(",#ref!",B1556),1,1,"")&amp;")()",1)),"")</f>
        <v/>
      </c>
      <c r="G1556" s="2">
        <f>TYPE(ODDFYIELD(IF(1,1),{1},IF(1,1),IF(1,1),IF(1,1),IF(1,1),IF(1,1),IF(1,1),IF(1,1)))</f>
        <v>64</v>
      </c>
      <c r="H1556" s="2" t="str">
        <f t="shared" si="49"/>
        <v/>
      </c>
      <c r="I1556" s="2">
        <f>TYPE(ODDFYIELD(IF(1,1),IF(1,1),IF(1,1),IF(1,1),IF(1,1),IF(1,1),IF(1,1),IF(1,1),IF(1,1)))</f>
        <v>16</v>
      </c>
      <c r="J1556" s="2" t="str">
        <f>IF(C1556=0,COUNTIFS(A:A,A1556,D:D,"a"),"")</f>
        <v/>
      </c>
      <c r="K1556" s="2" t="e">
        <f>INDEX(+ODDFYIELD(#REF!,K1556:L1556,#REF!,#REF!,#REF!,#REF!,#REF!,#REF!,#REF!),)</f>
        <v>#REF!</v>
      </c>
      <c r="L1556" s="1">
        <v>1</v>
      </c>
      <c r="M1556" s="2" t="e">
        <f>INDEX(+ODDFYIELD(#REF!,INDIRECT(M1556:N1556),#REF!,#REF!,#REF!,#REF!,#REF!,#REF!,#REF!),)</f>
        <v>#REF!</v>
      </c>
      <c r="N1556" s="1">
        <v>1</v>
      </c>
    </row>
    <row r="1557" spans="1:14" x14ac:dyDescent="0.55000000000000004">
      <c r="A1557" s="1" t="s">
        <v>1893</v>
      </c>
      <c r="B1557" s="2">
        <f>COUNTIF(A:A,A1557)-1</f>
        <v>9</v>
      </c>
      <c r="C1557" s="2">
        <f>COUNTIF(A$1:A1557,A1557)-1</f>
        <v>3</v>
      </c>
      <c r="D1557" s="2" t="str">
        <f>Argument!D1557</f>
        <v>vr</v>
      </c>
      <c r="E1557" s="2" t="str">
        <f t="shared" si="48"/>
        <v/>
      </c>
      <c r="F1557" s="2" t="str">
        <f>IF(C1557=0,ISTEXT(FORMULA.CONVERT("="&amp;A1557&amp;"("&amp;REPLACE(REPT(",#ref!",B1557),1,1,"")&amp;")()",1)),"")</f>
        <v/>
      </c>
      <c r="G1557" s="2">
        <f>TYPE(ODDFYIELD(IF(1,1),IF(1,1),{1},IF(1,1),IF(1,1),IF(1,1),IF(1,1),IF(1,1),IF(1,1)))</f>
        <v>64</v>
      </c>
      <c r="H1557" s="2" t="str">
        <f t="shared" si="49"/>
        <v/>
      </c>
      <c r="I1557" s="2">
        <f>TYPE(ODDFYIELD(IF(1,1),IF(1,1),IF(1,1),IF(1,1),IF(1,1),IF(1,1),IF(1,1),IF(1,1),IF(1,1)))</f>
        <v>16</v>
      </c>
      <c r="J1557" s="2" t="str">
        <f>IF(C1557=0,COUNTIFS(A:A,A1557,D:D,"a"),"")</f>
        <v/>
      </c>
      <c r="K1557" s="2" t="e">
        <f>INDEX(+ODDFYIELD(#REF!,#REF!,K1557:L1557,#REF!,#REF!,#REF!,#REF!,#REF!,#REF!),)</f>
        <v>#REF!</v>
      </c>
      <c r="L1557" s="1">
        <v>1</v>
      </c>
      <c r="M1557" s="2" t="e">
        <f>INDEX(+ODDFYIELD(#REF!,#REF!,INDIRECT(M1557:N1557),#REF!,#REF!,#REF!,#REF!,#REF!,#REF!),)</f>
        <v>#REF!</v>
      </c>
      <c r="N1557" s="1">
        <v>1</v>
      </c>
    </row>
    <row r="1558" spans="1:14" x14ac:dyDescent="0.55000000000000004">
      <c r="A1558" s="1" t="s">
        <v>1893</v>
      </c>
      <c r="B1558" s="2">
        <f>COUNTIF(A:A,A1558)-1</f>
        <v>9</v>
      </c>
      <c r="C1558" s="2">
        <f>COUNTIF(A$1:A1558,A1558)-1</f>
        <v>4</v>
      </c>
      <c r="D1558" s="2" t="str">
        <f>Argument!D1558</f>
        <v>vr</v>
      </c>
      <c r="E1558" s="2" t="str">
        <f t="shared" si="48"/>
        <v/>
      </c>
      <c r="F1558" s="2" t="str">
        <f>IF(C1558=0,ISTEXT(FORMULA.CONVERT("="&amp;A1558&amp;"("&amp;REPLACE(REPT(",#ref!",B1558),1,1,"")&amp;")()",1)),"")</f>
        <v/>
      </c>
      <c r="G1558" s="2">
        <f>TYPE(ODDFYIELD(IF(1,1),IF(1,1),IF(1,1),{1},IF(1,1),IF(1,1),IF(1,1),IF(1,1),IF(1,1)))</f>
        <v>64</v>
      </c>
      <c r="H1558" s="2" t="str">
        <f t="shared" si="49"/>
        <v/>
      </c>
      <c r="I1558" s="2">
        <f>TYPE(ODDFYIELD(IF(1,1),IF(1,1),IF(1,1),IF(1,1),IF(1,1),IF(1,1),IF(1,1),IF(1,1),IF(1,1)))</f>
        <v>16</v>
      </c>
      <c r="J1558" s="2" t="str">
        <f>IF(C1558=0,COUNTIFS(A:A,A1558,D:D,"a"),"")</f>
        <v/>
      </c>
      <c r="K1558" s="2" t="e">
        <f>INDEX(+ODDFYIELD(#REF!,#REF!,#REF!,K1558:L1558,#REF!,#REF!,#REF!,#REF!,#REF!),)</f>
        <v>#REF!</v>
      </c>
      <c r="L1558" s="1">
        <v>1</v>
      </c>
      <c r="M1558" s="2" t="e">
        <f>INDEX(+ODDFYIELD(#REF!,#REF!,#REF!,INDIRECT(M1558:N1558),#REF!,#REF!,#REF!,#REF!,#REF!),)</f>
        <v>#REF!</v>
      </c>
      <c r="N1558" s="1">
        <v>1</v>
      </c>
    </row>
    <row r="1559" spans="1:14" x14ac:dyDescent="0.55000000000000004">
      <c r="A1559" s="1" t="s">
        <v>1893</v>
      </c>
      <c r="B1559" s="2">
        <f>COUNTIF(A:A,A1559)-1</f>
        <v>9</v>
      </c>
      <c r="C1559" s="2">
        <f>COUNTIF(A$1:A1559,A1559)-1</f>
        <v>5</v>
      </c>
      <c r="D1559" s="2" t="str">
        <f>Argument!D1559</f>
        <v>vr</v>
      </c>
      <c r="E1559" s="2" t="str">
        <f t="shared" si="48"/>
        <v/>
      </c>
      <c r="F1559" s="2" t="str">
        <f>IF(C1559=0,ISTEXT(FORMULA.CONVERT("="&amp;A1559&amp;"("&amp;REPLACE(REPT(",#ref!",B1559),1,1,"")&amp;")()",1)),"")</f>
        <v/>
      </c>
      <c r="G1559" s="2">
        <f>TYPE(ODDFYIELD(IF(1,1),IF(1,1),IF(1,1),IF(1,1),{1},IF(1,1),IF(1,1),IF(1,1),IF(1,1)))</f>
        <v>64</v>
      </c>
      <c r="H1559" s="2" t="str">
        <f t="shared" si="49"/>
        <v/>
      </c>
      <c r="I1559" s="2">
        <f>TYPE(ODDFYIELD(IF(1,1),IF(1,1),IF(1,1),IF(1,1),IF(1,1),IF(1,1),IF(1,1),IF(1,1),IF(1,1)))</f>
        <v>16</v>
      </c>
      <c r="J1559" s="2" t="str">
        <f>IF(C1559=0,COUNTIFS(A:A,A1559,D:D,"a"),"")</f>
        <v/>
      </c>
      <c r="K1559" s="2" t="e">
        <f>INDEX(+ODDFYIELD(#REF!,#REF!,#REF!,#REF!,K1559:L1559,#REF!,#REF!,#REF!,#REF!),)</f>
        <v>#REF!</v>
      </c>
      <c r="L1559" s="1">
        <v>1</v>
      </c>
      <c r="M1559" s="2" t="e">
        <f>INDEX(+ODDFYIELD(#REF!,#REF!,#REF!,#REF!,INDIRECT(M1559:N1559),#REF!,#REF!,#REF!,#REF!),)</f>
        <v>#REF!</v>
      </c>
      <c r="N1559" s="1">
        <v>1</v>
      </c>
    </row>
    <row r="1560" spans="1:14" x14ac:dyDescent="0.55000000000000004">
      <c r="A1560" s="1" t="s">
        <v>1893</v>
      </c>
      <c r="B1560" s="2">
        <f>COUNTIF(A:A,A1560)-1</f>
        <v>9</v>
      </c>
      <c r="C1560" s="2">
        <f>COUNTIF(A$1:A1560,A1560)-1</f>
        <v>6</v>
      </c>
      <c r="D1560" s="2" t="str">
        <f>Argument!D1560</f>
        <v>vr</v>
      </c>
      <c r="E1560" s="2" t="str">
        <f t="shared" si="48"/>
        <v/>
      </c>
      <c r="F1560" s="2" t="str">
        <f>IF(C1560=0,ISTEXT(FORMULA.CONVERT("="&amp;A1560&amp;"("&amp;REPLACE(REPT(",#ref!",B1560),1,1,"")&amp;")()",1)),"")</f>
        <v/>
      </c>
      <c r="G1560" s="2">
        <f>TYPE(ODDFYIELD(IF(1,1),IF(1,1),IF(1,1),IF(1,1),IF(1,1),{1},IF(1,1),IF(1,1),IF(1,1)))</f>
        <v>64</v>
      </c>
      <c r="H1560" s="2" t="str">
        <f t="shared" si="49"/>
        <v/>
      </c>
      <c r="I1560" s="2">
        <f>TYPE(ODDFYIELD(IF(1,1),IF(1,1),IF(1,1),IF(1,1),IF(1,1),IF(1,1),IF(1,1),IF(1,1),IF(1,1)))</f>
        <v>16</v>
      </c>
      <c r="J1560" s="2" t="str">
        <f>IF(C1560=0,COUNTIFS(A:A,A1560,D:D,"a"),"")</f>
        <v/>
      </c>
      <c r="K1560" s="2" t="e">
        <f>INDEX(+ODDFYIELD(#REF!,#REF!,#REF!,#REF!,#REF!,K1560:L1560,#REF!,#REF!,#REF!),)</f>
        <v>#REF!</v>
      </c>
      <c r="L1560" s="1">
        <v>1</v>
      </c>
      <c r="M1560" s="2" t="e">
        <f>INDEX(+ODDFYIELD(#REF!,#REF!,#REF!,#REF!,#REF!,INDIRECT(M1560:N1560),#REF!,#REF!,#REF!),)</f>
        <v>#REF!</v>
      </c>
      <c r="N1560" s="1">
        <v>1</v>
      </c>
    </row>
    <row r="1561" spans="1:14" x14ac:dyDescent="0.55000000000000004">
      <c r="A1561" s="1" t="s">
        <v>1893</v>
      </c>
      <c r="B1561" s="2">
        <f>COUNTIF(A:A,A1561)-1</f>
        <v>9</v>
      </c>
      <c r="C1561" s="2">
        <f>COUNTIF(A$1:A1561,A1561)-1</f>
        <v>7</v>
      </c>
      <c r="D1561" s="2" t="str">
        <f>Argument!D1561</f>
        <v>vr</v>
      </c>
      <c r="E1561" s="2" t="str">
        <f t="shared" si="48"/>
        <v/>
      </c>
      <c r="F1561" s="2" t="str">
        <f>IF(C1561=0,ISTEXT(FORMULA.CONVERT("="&amp;A1561&amp;"("&amp;REPLACE(REPT(",#ref!",B1561),1,1,"")&amp;")()",1)),"")</f>
        <v/>
      </c>
      <c r="G1561" s="2">
        <f>TYPE(ODDFYIELD(IF(1,1),IF(1,1),IF(1,1),IF(1,1),IF(1,1),IF(1,1),{1},IF(1,1),IF(1,1)))</f>
        <v>64</v>
      </c>
      <c r="H1561" s="2" t="str">
        <f t="shared" si="49"/>
        <v/>
      </c>
      <c r="I1561" s="2">
        <f>TYPE(ODDFYIELD(IF(1,1),IF(1,1),IF(1,1),IF(1,1),IF(1,1),IF(1,1),IF(1,1),IF(1,1),IF(1,1)))</f>
        <v>16</v>
      </c>
      <c r="J1561" s="2" t="str">
        <f>IF(C1561=0,COUNTIFS(A:A,A1561,D:D,"a"),"")</f>
        <v/>
      </c>
      <c r="K1561" s="2" t="e">
        <f>INDEX(+ODDFYIELD(#REF!,#REF!,#REF!,#REF!,#REF!,#REF!,K1561:L1561,#REF!,#REF!),)</f>
        <v>#REF!</v>
      </c>
      <c r="L1561" s="1">
        <v>1</v>
      </c>
      <c r="M1561" s="2" t="e">
        <f>INDEX(+ODDFYIELD(#REF!,#REF!,#REF!,#REF!,#REF!,#REF!,INDIRECT(M1561:N1561),#REF!,#REF!),)</f>
        <v>#REF!</v>
      </c>
      <c r="N1561" s="1">
        <v>1</v>
      </c>
    </row>
    <row r="1562" spans="1:14" x14ac:dyDescent="0.55000000000000004">
      <c r="A1562" s="1" t="s">
        <v>1893</v>
      </c>
      <c r="B1562" s="2">
        <f>COUNTIF(A:A,A1562)-1</f>
        <v>9</v>
      </c>
      <c r="C1562" s="2">
        <f>COUNTIF(A$1:A1562,A1562)-1</f>
        <v>8</v>
      </c>
      <c r="D1562" s="2" t="str">
        <f>Argument!D1562</f>
        <v>vr</v>
      </c>
      <c r="E1562" s="2" t="str">
        <f t="shared" si="48"/>
        <v/>
      </c>
      <c r="F1562" s="2" t="str">
        <f>IF(C1562=0,ISTEXT(FORMULA.CONVERT("="&amp;A1562&amp;"("&amp;REPLACE(REPT(",#ref!",B1562),1,1,"")&amp;")()",1)),"")</f>
        <v/>
      </c>
      <c r="G1562" s="2">
        <f>TYPE(ODDFYIELD(IF(1,1),IF(1,1),IF(1,1),IF(1,1),IF(1,1),IF(1,1),IF(1,1),{1},IF(1,1)))</f>
        <v>64</v>
      </c>
      <c r="H1562" s="2" t="str">
        <f t="shared" si="49"/>
        <v/>
      </c>
      <c r="I1562" s="2">
        <f>TYPE(ODDFYIELD(IF(1,1),IF(1,1),IF(1,1),IF(1,1),IF(1,1),IF(1,1),IF(1,1),IF(1,1),IF(1,1)))</f>
        <v>16</v>
      </c>
      <c r="J1562" s="2" t="str">
        <f>IF(C1562=0,COUNTIFS(A:A,A1562,D:D,"a"),"")</f>
        <v/>
      </c>
      <c r="K1562" s="2" t="e">
        <f>INDEX(+ODDFYIELD(#REF!,#REF!,#REF!,#REF!,#REF!,#REF!,#REF!,K1562:L1562,#REF!),)</f>
        <v>#REF!</v>
      </c>
      <c r="L1562" s="1">
        <v>1</v>
      </c>
      <c r="M1562" s="2" t="e">
        <f>INDEX(+ODDFYIELD(#REF!,#REF!,#REF!,#REF!,#REF!,#REF!,#REF!,INDIRECT(M1562:N1562),#REF!),)</f>
        <v>#REF!</v>
      </c>
      <c r="N1562" s="1">
        <v>1</v>
      </c>
    </row>
    <row r="1563" spans="1:14" x14ac:dyDescent="0.55000000000000004">
      <c r="A1563" s="1" t="s">
        <v>1893</v>
      </c>
      <c r="B1563" s="2">
        <f>COUNTIF(A:A,A1563)-1</f>
        <v>9</v>
      </c>
      <c r="C1563" s="2">
        <f>COUNTIF(A$1:A1563,A1563)-1</f>
        <v>9</v>
      </c>
      <c r="D1563" s="2" t="str">
        <f>Argument!D1563</f>
        <v>vr</v>
      </c>
      <c r="E1563" s="2" t="str">
        <f t="shared" si="48"/>
        <v/>
      </c>
      <c r="F1563" s="2" t="str">
        <f>IF(C1563=0,ISTEXT(FORMULA.CONVERT("="&amp;A1563&amp;"("&amp;REPLACE(REPT(",#ref!",B1563),1,1,"")&amp;")()",1)),"")</f>
        <v/>
      </c>
      <c r="G1563" s="2">
        <f>TYPE(ODDFYIELD(IF(1,1),IF(1,1),IF(1,1),IF(1,1),IF(1,1),IF(1,1),IF(1,1),IF(1,1),{1}))</f>
        <v>64</v>
      </c>
      <c r="H1563" s="2" t="str">
        <f t="shared" si="49"/>
        <v/>
      </c>
      <c r="I1563" s="2">
        <f>TYPE(ODDFYIELD(IF(1,1),IF(1,1),IF(1,1),IF(1,1),IF(1,1),IF(1,1),IF(1,1),IF(1,1),IF(1,1)))</f>
        <v>16</v>
      </c>
      <c r="J1563" s="2" t="str">
        <f>IF(C1563=0,COUNTIFS(A:A,A1563,D:D,"a"),"")</f>
        <v/>
      </c>
      <c r="K1563" s="2" t="e">
        <f>INDEX(+ODDFYIELD(#REF!,#REF!,#REF!,#REF!,#REF!,#REF!,#REF!,#REF!,K1563:L1563),)</f>
        <v>#REF!</v>
      </c>
      <c r="L1563" s="1">
        <v>1</v>
      </c>
      <c r="M1563" s="2" t="e">
        <f>INDEX(+ODDFYIELD(#REF!,#REF!,#REF!,#REF!,#REF!,#REF!,#REF!,#REF!,INDIRECT(M1563:N1563)),)</f>
        <v>#REF!</v>
      </c>
      <c r="N1563" s="1">
        <v>1</v>
      </c>
    </row>
    <row r="1564" spans="1:14" x14ac:dyDescent="0.55000000000000004">
      <c r="A1564" s="1" t="s">
        <v>1894</v>
      </c>
      <c r="B1564" s="2">
        <f>COUNTIF(A:A,A1564)-1</f>
        <v>2</v>
      </c>
      <c r="C1564" s="2">
        <f>COUNTIF(A$1:A1564,A1564)-1</f>
        <v>0</v>
      </c>
      <c r="D1564" s="2" t="str">
        <f>Argument!D1564</f>
        <v/>
      </c>
      <c r="E1564" s="2" t="str">
        <f t="shared" si="48"/>
        <v>v</v>
      </c>
      <c r="F1564" s="2" t="b">
        <f>IF(C1564=0,ISTEXT(FORMULA.CONVERT("="&amp;A1564&amp;"("&amp;REPLACE(REPT(",#ref!",B1564),1,1,"")&amp;")()",1)),"")</f>
        <v>0</v>
      </c>
      <c r="G1564" s="2"/>
      <c r="H1564" s="2" t="str">
        <f t="shared" si="49"/>
        <v/>
      </c>
      <c r="I1564" s="2">
        <f>TYPE(RANDBETWEEN(IF(1,1),IF(1,1)))</f>
        <v>1</v>
      </c>
      <c r="J1564" s="2">
        <f>IF(C1564=0,COUNTIFS(A:A,A1564,D:D,"a"),"")</f>
        <v>0</v>
      </c>
      <c r="K1564" s="2"/>
      <c r="M1564" s="2"/>
    </row>
    <row r="1565" spans="1:14" x14ac:dyDescent="0.55000000000000004">
      <c r="A1565" s="1" t="s">
        <v>1894</v>
      </c>
      <c r="B1565" s="2">
        <f>COUNTIF(A:A,A1565)-1</f>
        <v>2</v>
      </c>
      <c r="C1565" s="2">
        <f>COUNTIF(A$1:A1565,A1565)-1</f>
        <v>1</v>
      </c>
      <c r="D1565" s="2" t="str">
        <f>Argument!D1565</f>
        <v>vr</v>
      </c>
      <c r="E1565" s="2" t="str">
        <f t="shared" si="48"/>
        <v/>
      </c>
      <c r="F1565" s="2" t="str">
        <f>IF(C1565=0,ISTEXT(FORMULA.CONVERT("="&amp;A1565&amp;"("&amp;REPLACE(REPT(",#ref!",B1565),1,1,"")&amp;")()",1)),"")</f>
        <v/>
      </c>
      <c r="G1565" s="2">
        <f>TYPE(RANDBETWEEN({1},IF(1,1)))</f>
        <v>64</v>
      </c>
      <c r="H1565" s="2" t="str">
        <f t="shared" si="49"/>
        <v/>
      </c>
      <c r="I1565" s="2">
        <f>TYPE(RANDBETWEEN(IF(1,1),IF(1,1)))</f>
        <v>1</v>
      </c>
      <c r="J1565" s="2" t="str">
        <f>IF(C1565=0,COUNTIFS(A:A,A1565,D:D,"a"),"")</f>
        <v/>
      </c>
      <c r="K1565" s="2" t="e">
        <f>INDEX(+RANDBETWEEN(K1565:L1565,#REF!),)</f>
        <v>#REF!</v>
      </c>
      <c r="L1565" s="1">
        <v>1</v>
      </c>
      <c r="M1565" s="2" t="e">
        <f>INDEX(+RANDBETWEEN(INDIRECT(M1565:N1565),#REF!),)</f>
        <v>#REF!</v>
      </c>
      <c r="N1565" s="1">
        <v>1</v>
      </c>
    </row>
    <row r="1566" spans="1:14" x14ac:dyDescent="0.55000000000000004">
      <c r="A1566" s="1" t="s">
        <v>1894</v>
      </c>
      <c r="B1566" s="2">
        <f>COUNTIF(A:A,A1566)-1</f>
        <v>2</v>
      </c>
      <c r="C1566" s="2">
        <f>COUNTIF(A$1:A1566,A1566)-1</f>
        <v>2</v>
      </c>
      <c r="D1566" s="2" t="str">
        <f>Argument!D1566</f>
        <v>vr</v>
      </c>
      <c r="E1566" s="2" t="str">
        <f t="shared" si="48"/>
        <v/>
      </c>
      <c r="F1566" s="2" t="str">
        <f>IF(C1566=0,ISTEXT(FORMULA.CONVERT("="&amp;A1566&amp;"("&amp;REPLACE(REPT(",#ref!",B1566),1,1,"")&amp;")()",1)),"")</f>
        <v/>
      </c>
      <c r="G1566" s="2">
        <f>TYPE(RANDBETWEEN(IF(1,1),{1}))</f>
        <v>64</v>
      </c>
      <c r="H1566" s="2" t="str">
        <f t="shared" si="49"/>
        <v/>
      </c>
      <c r="I1566" s="2">
        <f>TYPE(RANDBETWEEN(IF(1,1),IF(1,1)))</f>
        <v>1</v>
      </c>
      <c r="J1566" s="2" t="str">
        <f>IF(C1566=0,COUNTIFS(A:A,A1566,D:D,"a"),"")</f>
        <v/>
      </c>
      <c r="K1566" s="2" t="e">
        <f>INDEX(+RANDBETWEEN(#REF!,K1566:L1566),)</f>
        <v>#VALUE!</v>
      </c>
      <c r="L1566" s="1">
        <v>1</v>
      </c>
      <c r="M1566" s="2" t="e">
        <f>INDEX(+RANDBETWEEN(#REF!,INDIRECT(M1566:N1566)),)</f>
        <v>#REF!</v>
      </c>
      <c r="N1566" s="1">
        <v>1</v>
      </c>
    </row>
    <row r="1567" spans="1:14" x14ac:dyDescent="0.55000000000000004">
      <c r="A1567" s="1" t="s">
        <v>1895</v>
      </c>
      <c r="B1567" s="2">
        <f>COUNTIF(A:A,A1567)-1</f>
        <v>2</v>
      </c>
      <c r="C1567" s="2">
        <f>COUNTIF(A$1:A1567,A1567)-1</f>
        <v>0</v>
      </c>
      <c r="D1567" s="2" t="str">
        <f>Argument!D1567</f>
        <v/>
      </c>
      <c r="E1567" s="2" t="str">
        <f t="shared" si="48"/>
        <v>v</v>
      </c>
      <c r="F1567" s="2" t="b">
        <f>IF(C1567=0,ISTEXT(FORMULA.CONVERT("="&amp;A1567&amp;"("&amp;REPLACE(REPT(",#ref!",B1567),1,1,"")&amp;")()",1)),"")</f>
        <v>0</v>
      </c>
      <c r="G1567" s="2"/>
      <c r="H1567" s="2" t="str">
        <f t="shared" si="49"/>
        <v/>
      </c>
      <c r="I1567" s="2">
        <f>TYPE(WEEKNUM(IF(1,1),IF(1,1)))</f>
        <v>1</v>
      </c>
      <c r="J1567" s="2">
        <f>IF(C1567=0,COUNTIFS(A:A,A1567,D:D,"a"),"")</f>
        <v>0</v>
      </c>
      <c r="K1567" s="2"/>
      <c r="M1567" s="2"/>
    </row>
    <row r="1568" spans="1:14" x14ac:dyDescent="0.55000000000000004">
      <c r="A1568" s="1" t="s">
        <v>1895</v>
      </c>
      <c r="B1568" s="2">
        <f>COUNTIF(A:A,A1568)-1</f>
        <v>2</v>
      </c>
      <c r="C1568" s="2">
        <f>COUNTIF(A$1:A1568,A1568)-1</f>
        <v>1</v>
      </c>
      <c r="D1568" s="2" t="str">
        <f>Argument!D1568</f>
        <v>vr</v>
      </c>
      <c r="E1568" s="2" t="str">
        <f t="shared" si="48"/>
        <v/>
      </c>
      <c r="F1568" s="2" t="str">
        <f>IF(C1568=0,ISTEXT(FORMULA.CONVERT("="&amp;A1568&amp;"("&amp;REPLACE(REPT(",#ref!",B1568),1,1,"")&amp;")()",1)),"")</f>
        <v/>
      </c>
      <c r="G1568" s="2">
        <f>TYPE(WEEKNUM({1},IF(1,1)))</f>
        <v>64</v>
      </c>
      <c r="H1568" s="2" t="str">
        <f t="shared" si="49"/>
        <v/>
      </c>
      <c r="I1568" s="2">
        <f>TYPE(WEEKNUM(IF(1,1),IF(1,1)))</f>
        <v>1</v>
      </c>
      <c r="J1568" s="2" t="str">
        <f>IF(C1568=0,COUNTIFS(A:A,A1568,D:D,"a"),"")</f>
        <v/>
      </c>
      <c r="K1568" s="2" t="e">
        <f>INDEX(+WEEKNUM(K1568:L1568,#REF!),)</f>
        <v>#VALUE!</v>
      </c>
      <c r="L1568" s="1">
        <v>1</v>
      </c>
      <c r="M1568" s="2" t="e">
        <f>INDEX(+WEEKNUM(INDIRECT(M1568:N1568),#REF!),)</f>
        <v>#REF!</v>
      </c>
      <c r="N1568" s="1">
        <v>1</v>
      </c>
    </row>
    <row r="1569" spans="1:14" x14ac:dyDescent="0.55000000000000004">
      <c r="A1569" s="1" t="s">
        <v>1895</v>
      </c>
      <c r="B1569" s="2">
        <f>COUNTIF(A:A,A1569)-1</f>
        <v>2</v>
      </c>
      <c r="C1569" s="2">
        <f>COUNTIF(A$1:A1569,A1569)-1</f>
        <v>2</v>
      </c>
      <c r="D1569" s="2" t="str">
        <f>Argument!D1569</f>
        <v>vr</v>
      </c>
      <c r="E1569" s="2" t="str">
        <f t="shared" si="48"/>
        <v/>
      </c>
      <c r="F1569" s="2" t="str">
        <f>IF(C1569=0,ISTEXT(FORMULA.CONVERT("="&amp;A1569&amp;"("&amp;REPLACE(REPT(",#ref!",B1569),1,1,"")&amp;")()",1)),"")</f>
        <v/>
      </c>
      <c r="G1569" s="2">
        <f>TYPE(WEEKNUM(IF(1,1),{1}))</f>
        <v>64</v>
      </c>
      <c r="H1569" s="2" t="str">
        <f t="shared" si="49"/>
        <v/>
      </c>
      <c r="I1569" s="2">
        <f>TYPE(WEEKNUM(IF(1,1),IF(1,1)))</f>
        <v>1</v>
      </c>
      <c r="J1569" s="2" t="str">
        <f>IF(C1569=0,COUNTIFS(A:A,A1569,D:D,"a"),"")</f>
        <v/>
      </c>
      <c r="K1569" s="2" t="e">
        <f>INDEX(+WEEKNUM(#REF!,K1569:L1569),)</f>
        <v>#REF!</v>
      </c>
      <c r="L1569" s="1">
        <v>1</v>
      </c>
      <c r="M1569" s="2" t="e">
        <f>INDEX(+WEEKNUM(#REF!,INDIRECT(M1569:N1569)),)</f>
        <v>#REF!</v>
      </c>
      <c r="N1569" s="1">
        <v>1</v>
      </c>
    </row>
    <row r="1570" spans="1:14" x14ac:dyDescent="0.55000000000000004">
      <c r="A1570" s="1" t="s">
        <v>1896</v>
      </c>
      <c r="B1570" s="2">
        <f>COUNTIF(A:A,A1570)-1</f>
        <v>7</v>
      </c>
      <c r="C1570" s="2">
        <f>COUNTIF(A$1:A1570,A1570)-1</f>
        <v>0</v>
      </c>
      <c r="D1570" s="2" t="str">
        <f>Argument!D1570</f>
        <v/>
      </c>
      <c r="E1570" s="2" t="str">
        <f t="shared" si="48"/>
        <v>v</v>
      </c>
      <c r="F1570" s="2" t="b">
        <f>IF(C1570=0,ISTEXT(FORMULA.CONVERT("="&amp;A1570&amp;"("&amp;REPLACE(REPT(",#ref!",B1570),1,1,"")&amp;")()",1)),"")</f>
        <v>0</v>
      </c>
      <c r="G1570" s="2"/>
      <c r="H1570" s="2" t="str">
        <f t="shared" si="49"/>
        <v/>
      </c>
      <c r="I1570" s="2">
        <f>TYPE(AMORDEGRC(IF(1,1),IF(1,1),IF(1,1),IF(1,1),IF(1,1),IF(1,1),IF(1,1)))</f>
        <v>16</v>
      </c>
      <c r="J1570" s="2">
        <f>IF(C1570=0,COUNTIFS(A:A,A1570,D:D,"a"),"")</f>
        <v>0</v>
      </c>
      <c r="K1570" s="2"/>
      <c r="M1570" s="2"/>
    </row>
    <row r="1571" spans="1:14" x14ac:dyDescent="0.55000000000000004">
      <c r="A1571" s="1" t="s">
        <v>1896</v>
      </c>
      <c r="B1571" s="2">
        <f>COUNTIF(A:A,A1571)-1</f>
        <v>7</v>
      </c>
      <c r="C1571" s="2">
        <f>COUNTIF(A$1:A1571,A1571)-1</f>
        <v>1</v>
      </c>
      <c r="D1571" s="2" t="str">
        <f>Argument!D1571</f>
        <v>vr</v>
      </c>
      <c r="E1571" s="2" t="str">
        <f t="shared" si="48"/>
        <v/>
      </c>
      <c r="F1571" s="2" t="str">
        <f>IF(C1571=0,ISTEXT(FORMULA.CONVERT("="&amp;A1571&amp;"("&amp;REPLACE(REPT(",#ref!",B1571),1,1,"")&amp;")()",1)),"")</f>
        <v/>
      </c>
      <c r="G1571" s="2">
        <f>TYPE(AMORDEGRC({1},IF(1,1),IF(1,1),IF(1,1),IF(1,1),IF(1,1),IF(1,1)))</f>
        <v>64</v>
      </c>
      <c r="H1571" s="2" t="str">
        <f t="shared" si="49"/>
        <v/>
      </c>
      <c r="I1571" s="2">
        <f>TYPE(AMORDEGRC(IF(1,1),IF(1,1),IF(1,1),IF(1,1),IF(1,1),IF(1,1),IF(1,1)))</f>
        <v>16</v>
      </c>
      <c r="J1571" s="2" t="str">
        <f>IF(C1571=0,COUNTIFS(A:A,A1571,D:D,"a"),"")</f>
        <v/>
      </c>
      <c r="K1571" s="2" t="e">
        <f>INDEX(+AMORDEGRC(K1571:L1571,#REF!,#REF!,#REF!,#REF!,#REF!,#REF!),)</f>
        <v>#VALUE!</v>
      </c>
      <c r="L1571" s="1">
        <v>1</v>
      </c>
      <c r="M1571" s="2" t="e">
        <f>INDEX(+AMORDEGRC(INDIRECT(M1571:N1571),#REF!,#REF!,#REF!,#REF!,#REF!,#REF!),)</f>
        <v>#REF!</v>
      </c>
      <c r="N1571" s="1">
        <v>1</v>
      </c>
    </row>
    <row r="1572" spans="1:14" x14ac:dyDescent="0.55000000000000004">
      <c r="A1572" s="1" t="s">
        <v>1896</v>
      </c>
      <c r="B1572" s="2">
        <f>COUNTIF(A:A,A1572)-1</f>
        <v>7</v>
      </c>
      <c r="C1572" s="2">
        <f>COUNTIF(A$1:A1572,A1572)-1</f>
        <v>2</v>
      </c>
      <c r="D1572" s="2" t="str">
        <f>Argument!D1572</f>
        <v>vr</v>
      </c>
      <c r="E1572" s="2" t="str">
        <f t="shared" si="48"/>
        <v/>
      </c>
      <c r="F1572" s="2" t="str">
        <f>IF(C1572=0,ISTEXT(FORMULA.CONVERT("="&amp;A1572&amp;"("&amp;REPLACE(REPT(",#ref!",B1572),1,1,"")&amp;")()",1)),"")</f>
        <v/>
      </c>
      <c r="G1572" s="2">
        <f>TYPE(AMORDEGRC(IF(1,1),{1},IF(1,1),IF(1,1),IF(1,1),IF(1,1),IF(1,1)))</f>
        <v>64</v>
      </c>
      <c r="H1572" s="2" t="str">
        <f t="shared" si="49"/>
        <v/>
      </c>
      <c r="I1572" s="2">
        <f>TYPE(AMORDEGRC(IF(1,1),IF(1,1),IF(1,1),IF(1,1),IF(1,1),IF(1,1),IF(1,1)))</f>
        <v>16</v>
      </c>
      <c r="J1572" s="2" t="str">
        <f>IF(C1572=0,COUNTIFS(A:A,A1572,D:D,"a"),"")</f>
        <v/>
      </c>
      <c r="K1572" s="2" t="e">
        <f>INDEX(+AMORDEGRC(#REF!,K1572:L1572,#REF!,#REF!,#REF!,#REF!,#REF!),)</f>
        <v>#REF!</v>
      </c>
      <c r="L1572" s="1">
        <v>1</v>
      </c>
      <c r="M1572" s="2" t="e">
        <f>INDEX(+AMORDEGRC(#REF!,INDIRECT(M1572:N1572),#REF!,#REF!,#REF!,#REF!,#REF!),)</f>
        <v>#REF!</v>
      </c>
      <c r="N1572" s="1">
        <v>1</v>
      </c>
    </row>
    <row r="1573" spans="1:14" x14ac:dyDescent="0.55000000000000004">
      <c r="A1573" s="1" t="s">
        <v>1896</v>
      </c>
      <c r="B1573" s="2">
        <f>COUNTIF(A:A,A1573)-1</f>
        <v>7</v>
      </c>
      <c r="C1573" s="2">
        <f>COUNTIF(A$1:A1573,A1573)-1</f>
        <v>3</v>
      </c>
      <c r="D1573" s="2" t="str">
        <f>Argument!D1573</f>
        <v>vr</v>
      </c>
      <c r="E1573" s="2" t="str">
        <f t="shared" si="48"/>
        <v/>
      </c>
      <c r="F1573" s="2" t="str">
        <f>IF(C1573=0,ISTEXT(FORMULA.CONVERT("="&amp;A1573&amp;"("&amp;REPLACE(REPT(",#ref!",B1573),1,1,"")&amp;")()",1)),"")</f>
        <v/>
      </c>
      <c r="G1573" s="2">
        <f>TYPE(AMORDEGRC(IF(1,1),IF(1,1),{1},IF(1,1),IF(1,1),IF(1,1),IF(1,1)))</f>
        <v>64</v>
      </c>
      <c r="H1573" s="2" t="str">
        <f t="shared" si="49"/>
        <v/>
      </c>
      <c r="I1573" s="2">
        <f>TYPE(AMORDEGRC(IF(1,1),IF(1,1),IF(1,1),IF(1,1),IF(1,1),IF(1,1),IF(1,1)))</f>
        <v>16</v>
      </c>
      <c r="J1573" s="2" t="str">
        <f>IF(C1573=0,COUNTIFS(A:A,A1573,D:D,"a"),"")</f>
        <v/>
      </c>
      <c r="K1573" s="2" t="e">
        <f>INDEX(+AMORDEGRC(#REF!,#REF!,K1573:L1573,#REF!,#REF!,#REF!,#REF!),)</f>
        <v>#REF!</v>
      </c>
      <c r="L1573" s="1">
        <v>1</v>
      </c>
      <c r="M1573" s="2" t="e">
        <f>INDEX(+AMORDEGRC(#REF!,#REF!,INDIRECT(M1573:N1573),#REF!,#REF!,#REF!,#REF!),)</f>
        <v>#REF!</v>
      </c>
      <c r="N1573" s="1">
        <v>1</v>
      </c>
    </row>
    <row r="1574" spans="1:14" x14ac:dyDescent="0.55000000000000004">
      <c r="A1574" s="1" t="s">
        <v>1896</v>
      </c>
      <c r="B1574" s="2">
        <f>COUNTIF(A:A,A1574)-1</f>
        <v>7</v>
      </c>
      <c r="C1574" s="2">
        <f>COUNTIF(A$1:A1574,A1574)-1</f>
        <v>4</v>
      </c>
      <c r="D1574" s="2" t="str">
        <f>Argument!D1574</f>
        <v>vr</v>
      </c>
      <c r="E1574" s="2" t="str">
        <f t="shared" si="48"/>
        <v/>
      </c>
      <c r="F1574" s="2" t="str">
        <f>IF(C1574=0,ISTEXT(FORMULA.CONVERT("="&amp;A1574&amp;"("&amp;REPLACE(REPT(",#ref!",B1574),1,1,"")&amp;")()",1)),"")</f>
        <v/>
      </c>
      <c r="G1574" s="2">
        <f>TYPE(AMORDEGRC(IF(1,1),IF(1,1),IF(1,1),{1},IF(1,1),IF(1,1),IF(1,1)))</f>
        <v>64</v>
      </c>
      <c r="H1574" s="2" t="str">
        <f t="shared" si="49"/>
        <v/>
      </c>
      <c r="I1574" s="2">
        <f>TYPE(AMORDEGRC(IF(1,1),IF(1,1),IF(1,1),IF(1,1),IF(1,1),IF(1,1),IF(1,1)))</f>
        <v>16</v>
      </c>
      <c r="J1574" s="2" t="str">
        <f>IF(C1574=0,COUNTIFS(A:A,A1574,D:D,"a"),"")</f>
        <v/>
      </c>
      <c r="K1574" s="2" t="e">
        <f>INDEX(+AMORDEGRC(#REF!,#REF!,#REF!,K1574:L1574,#REF!,#REF!,#REF!),)</f>
        <v>#REF!</v>
      </c>
      <c r="L1574" s="1">
        <v>1</v>
      </c>
      <c r="M1574" s="2" t="e">
        <f>INDEX(+AMORDEGRC(#REF!,#REF!,#REF!,INDIRECT(M1574:N1574),#REF!,#REF!,#REF!),)</f>
        <v>#REF!</v>
      </c>
      <c r="N1574" s="1">
        <v>1</v>
      </c>
    </row>
    <row r="1575" spans="1:14" x14ac:dyDescent="0.55000000000000004">
      <c r="A1575" s="1" t="s">
        <v>1896</v>
      </c>
      <c r="B1575" s="2">
        <f>COUNTIF(A:A,A1575)-1</f>
        <v>7</v>
      </c>
      <c r="C1575" s="2">
        <f>COUNTIF(A$1:A1575,A1575)-1</f>
        <v>5</v>
      </c>
      <c r="D1575" s="2" t="str">
        <f>Argument!D1575</f>
        <v>vr</v>
      </c>
      <c r="E1575" s="2" t="str">
        <f t="shared" si="48"/>
        <v/>
      </c>
      <c r="F1575" s="2" t="str">
        <f>IF(C1575=0,ISTEXT(FORMULA.CONVERT("="&amp;A1575&amp;"("&amp;REPLACE(REPT(",#ref!",B1575),1,1,"")&amp;")()",1)),"")</f>
        <v/>
      </c>
      <c r="G1575" s="2">
        <f>TYPE(AMORDEGRC(IF(1,1),IF(1,1),IF(1,1),IF(1,1),{1},IF(1,1),IF(1,1)))</f>
        <v>64</v>
      </c>
      <c r="H1575" s="2" t="str">
        <f t="shared" si="49"/>
        <v/>
      </c>
      <c r="I1575" s="2">
        <f>TYPE(AMORDEGRC(IF(1,1),IF(1,1),IF(1,1),IF(1,1),IF(1,1),IF(1,1),IF(1,1)))</f>
        <v>16</v>
      </c>
      <c r="J1575" s="2" t="str">
        <f>IF(C1575=0,COUNTIFS(A:A,A1575,D:D,"a"),"")</f>
        <v/>
      </c>
      <c r="K1575" s="2" t="e">
        <f>INDEX(+AMORDEGRC(#REF!,#REF!,#REF!,#REF!,K1575:L1575,#REF!,#REF!),)</f>
        <v>#REF!</v>
      </c>
      <c r="L1575" s="1">
        <v>1</v>
      </c>
      <c r="M1575" s="2" t="e">
        <f>INDEX(+AMORDEGRC(#REF!,#REF!,#REF!,#REF!,INDIRECT(M1575:N1575),#REF!,#REF!),)</f>
        <v>#REF!</v>
      </c>
      <c r="N1575" s="1">
        <v>1</v>
      </c>
    </row>
    <row r="1576" spans="1:14" x14ac:dyDescent="0.55000000000000004">
      <c r="A1576" s="1" t="s">
        <v>1896</v>
      </c>
      <c r="B1576" s="2">
        <f>COUNTIF(A:A,A1576)-1</f>
        <v>7</v>
      </c>
      <c r="C1576" s="2">
        <f>COUNTIF(A$1:A1576,A1576)-1</f>
        <v>6</v>
      </c>
      <c r="D1576" s="2" t="str">
        <f>Argument!D1576</f>
        <v>vr</v>
      </c>
      <c r="E1576" s="2" t="str">
        <f t="shared" si="48"/>
        <v/>
      </c>
      <c r="F1576" s="2" t="str">
        <f>IF(C1576=0,ISTEXT(FORMULA.CONVERT("="&amp;A1576&amp;"("&amp;REPLACE(REPT(",#ref!",B1576),1,1,"")&amp;")()",1)),"")</f>
        <v/>
      </c>
      <c r="G1576" s="2">
        <f>TYPE(AMORDEGRC(IF(1,1),IF(1,1),IF(1,1),IF(1,1),IF(1,1),{1},IF(1,1)))</f>
        <v>64</v>
      </c>
      <c r="H1576" s="2" t="str">
        <f t="shared" si="49"/>
        <v/>
      </c>
      <c r="I1576" s="2">
        <f>TYPE(AMORDEGRC(IF(1,1),IF(1,1),IF(1,1),IF(1,1),IF(1,1),IF(1,1),IF(1,1)))</f>
        <v>16</v>
      </c>
      <c r="J1576" s="2" t="str">
        <f>IF(C1576=0,COUNTIFS(A:A,A1576,D:D,"a"),"")</f>
        <v/>
      </c>
      <c r="K1576" s="2" t="e">
        <f>INDEX(+AMORDEGRC(#REF!,#REF!,#REF!,#REF!,#REF!,K1576:L1576,#REF!),)</f>
        <v>#REF!</v>
      </c>
      <c r="L1576" s="1">
        <v>1</v>
      </c>
      <c r="M1576" s="2" t="e">
        <f>INDEX(+AMORDEGRC(#REF!,#REF!,#REF!,#REF!,#REF!,INDIRECT(M1576:N1576),#REF!),)</f>
        <v>#REF!</v>
      </c>
      <c r="N1576" s="1">
        <v>1</v>
      </c>
    </row>
    <row r="1577" spans="1:14" x14ac:dyDescent="0.55000000000000004">
      <c r="A1577" s="1" t="s">
        <v>1896</v>
      </c>
      <c r="B1577" s="2">
        <f>COUNTIF(A:A,A1577)-1</f>
        <v>7</v>
      </c>
      <c r="C1577" s="2">
        <f>COUNTIF(A$1:A1577,A1577)-1</f>
        <v>7</v>
      </c>
      <c r="D1577" s="2" t="str">
        <f>Argument!D1577</f>
        <v>vr</v>
      </c>
      <c r="E1577" s="2" t="str">
        <f t="shared" si="48"/>
        <v/>
      </c>
      <c r="F1577" s="2" t="str">
        <f>IF(C1577=0,ISTEXT(FORMULA.CONVERT("="&amp;A1577&amp;"("&amp;REPLACE(REPT(",#ref!",B1577),1,1,"")&amp;")()",1)),"")</f>
        <v/>
      </c>
      <c r="G1577" s="2">
        <f>TYPE(AMORDEGRC(IF(1,1),IF(1,1),IF(1,1),IF(1,1),IF(1,1),IF(1,1),{1}))</f>
        <v>64</v>
      </c>
      <c r="H1577" s="2" t="str">
        <f t="shared" si="49"/>
        <v/>
      </c>
      <c r="I1577" s="2">
        <f>TYPE(AMORDEGRC(IF(1,1),IF(1,1),IF(1,1),IF(1,1),IF(1,1),IF(1,1),IF(1,1)))</f>
        <v>16</v>
      </c>
      <c r="J1577" s="2" t="str">
        <f>IF(C1577=0,COUNTIFS(A:A,A1577,D:D,"a"),"")</f>
        <v/>
      </c>
      <c r="K1577" s="2" t="e">
        <f>INDEX(+AMORDEGRC(#REF!,#REF!,#REF!,#REF!,#REF!,#REF!,K1577:L1577),)</f>
        <v>#REF!</v>
      </c>
      <c r="L1577" s="1">
        <v>1</v>
      </c>
      <c r="M1577" s="2" t="e">
        <f>INDEX(+AMORDEGRC(#REF!,#REF!,#REF!,#REF!,#REF!,#REF!,INDIRECT(M1577:N1577)),)</f>
        <v>#REF!</v>
      </c>
      <c r="N1577" s="1">
        <v>1</v>
      </c>
    </row>
    <row r="1578" spans="1:14" x14ac:dyDescent="0.55000000000000004">
      <c r="A1578" s="1" t="s">
        <v>1897</v>
      </c>
      <c r="B1578" s="2">
        <f>COUNTIF(A:A,A1578)-1</f>
        <v>7</v>
      </c>
      <c r="C1578" s="2">
        <f>COUNTIF(A$1:A1578,A1578)-1</f>
        <v>0</v>
      </c>
      <c r="D1578" s="2" t="str">
        <f>Argument!D1578</f>
        <v/>
      </c>
      <c r="E1578" s="2" t="str">
        <f t="shared" si="48"/>
        <v>v</v>
      </c>
      <c r="F1578" s="2" t="b">
        <f>IF(C1578=0,ISTEXT(FORMULA.CONVERT("="&amp;A1578&amp;"("&amp;REPLACE(REPT(",#ref!",B1578),1,1,"")&amp;")()",1)),"")</f>
        <v>0</v>
      </c>
      <c r="G1578" s="2"/>
      <c r="H1578" s="2" t="str">
        <f t="shared" si="49"/>
        <v/>
      </c>
      <c r="I1578" s="2">
        <f>TYPE(AMORLINC(IF(1,1),IF(1,1),IF(1,1),IF(1,1),IF(1,1),IF(1,1),IF(1,1)))</f>
        <v>1</v>
      </c>
      <c r="J1578" s="2">
        <f>IF(C1578=0,COUNTIFS(A:A,A1578,D:D,"a"),"")</f>
        <v>0</v>
      </c>
      <c r="K1578" s="2"/>
      <c r="M1578" s="2"/>
    </row>
    <row r="1579" spans="1:14" x14ac:dyDescent="0.55000000000000004">
      <c r="A1579" s="1" t="s">
        <v>1897</v>
      </c>
      <c r="B1579" s="2">
        <f>COUNTIF(A:A,A1579)-1</f>
        <v>7</v>
      </c>
      <c r="C1579" s="2">
        <f>COUNTIF(A$1:A1579,A1579)-1</f>
        <v>1</v>
      </c>
      <c r="D1579" s="2" t="str">
        <f>Argument!D1579</f>
        <v>vr</v>
      </c>
      <c r="E1579" s="2" t="str">
        <f t="shared" si="48"/>
        <v/>
      </c>
      <c r="F1579" s="2" t="str">
        <f>IF(C1579=0,ISTEXT(FORMULA.CONVERT("="&amp;A1579&amp;"("&amp;REPLACE(REPT(",#ref!",B1579),1,1,"")&amp;")()",1)),"")</f>
        <v/>
      </c>
      <c r="G1579" s="2">
        <f>TYPE(AMORLINC({1},IF(1,1),IF(1,1),IF(1,1),IF(1,1),IF(1,1),IF(1,1)))</f>
        <v>64</v>
      </c>
      <c r="H1579" s="2" t="str">
        <f t="shared" si="49"/>
        <v/>
      </c>
      <c r="I1579" s="2">
        <f>TYPE(AMORLINC(IF(1,1),IF(1,1),IF(1,1),IF(1,1),IF(1,1),IF(1,1),IF(1,1)))</f>
        <v>1</v>
      </c>
      <c r="J1579" s="2" t="str">
        <f>IF(C1579=0,COUNTIFS(A:A,A1579,D:D,"a"),"")</f>
        <v/>
      </c>
      <c r="K1579" s="2" t="e">
        <f>INDEX(+AMORLINC(K1579:L1579,#REF!,#REF!,#REF!,#REF!,#REF!,#REF!),)</f>
        <v>#VALUE!</v>
      </c>
      <c r="L1579" s="1">
        <v>1</v>
      </c>
      <c r="M1579" s="2" t="e">
        <f>INDEX(+AMORLINC(INDIRECT(M1579:N1579),#REF!,#REF!,#REF!,#REF!,#REF!,#REF!),)</f>
        <v>#REF!</v>
      </c>
      <c r="N1579" s="1">
        <v>1</v>
      </c>
    </row>
    <row r="1580" spans="1:14" x14ac:dyDescent="0.55000000000000004">
      <c r="A1580" s="1" t="s">
        <v>1897</v>
      </c>
      <c r="B1580" s="2">
        <f>COUNTIF(A:A,A1580)-1</f>
        <v>7</v>
      </c>
      <c r="C1580" s="2">
        <f>COUNTIF(A$1:A1580,A1580)-1</f>
        <v>2</v>
      </c>
      <c r="D1580" s="2" t="str">
        <f>Argument!D1580</f>
        <v>vr</v>
      </c>
      <c r="E1580" s="2" t="str">
        <f t="shared" si="48"/>
        <v/>
      </c>
      <c r="F1580" s="2" t="str">
        <f>IF(C1580=0,ISTEXT(FORMULA.CONVERT("="&amp;A1580&amp;"("&amp;REPLACE(REPT(",#ref!",B1580),1,1,"")&amp;")()",1)),"")</f>
        <v/>
      </c>
      <c r="G1580" s="2">
        <f>TYPE(AMORLINC(IF(1,1),{1},IF(1,1),IF(1,1),IF(1,1),IF(1,1),IF(1,1)))</f>
        <v>64</v>
      </c>
      <c r="H1580" s="2" t="str">
        <f t="shared" si="49"/>
        <v/>
      </c>
      <c r="I1580" s="2">
        <f>TYPE(AMORLINC(IF(1,1),IF(1,1),IF(1,1),IF(1,1),IF(1,1),IF(1,1),IF(1,1)))</f>
        <v>1</v>
      </c>
      <c r="J1580" s="2" t="str">
        <f>IF(C1580=0,COUNTIFS(A:A,A1580,D:D,"a"),"")</f>
        <v/>
      </c>
      <c r="K1580" s="2" t="e">
        <f>INDEX(+AMORLINC(#REF!,K1580:L1580,#REF!,#REF!,#REF!,#REF!,#REF!),)</f>
        <v>#REF!</v>
      </c>
      <c r="L1580" s="1">
        <v>1</v>
      </c>
      <c r="M1580" s="2" t="e">
        <f>INDEX(+AMORLINC(#REF!,INDIRECT(M1580:N1580),#REF!,#REF!,#REF!,#REF!,#REF!),)</f>
        <v>#REF!</v>
      </c>
      <c r="N1580" s="1">
        <v>1</v>
      </c>
    </row>
    <row r="1581" spans="1:14" x14ac:dyDescent="0.55000000000000004">
      <c r="A1581" s="1" t="s">
        <v>1897</v>
      </c>
      <c r="B1581" s="2">
        <f>COUNTIF(A:A,A1581)-1</f>
        <v>7</v>
      </c>
      <c r="C1581" s="2">
        <f>COUNTIF(A$1:A1581,A1581)-1</f>
        <v>3</v>
      </c>
      <c r="D1581" s="2" t="str">
        <f>Argument!D1581</f>
        <v>vr</v>
      </c>
      <c r="E1581" s="2" t="str">
        <f t="shared" si="48"/>
        <v/>
      </c>
      <c r="F1581" s="2" t="str">
        <f>IF(C1581=0,ISTEXT(FORMULA.CONVERT("="&amp;A1581&amp;"("&amp;REPLACE(REPT(",#ref!",B1581),1,1,"")&amp;")()",1)),"")</f>
        <v/>
      </c>
      <c r="G1581" s="2">
        <f>TYPE(AMORLINC(IF(1,1),IF(1,1),{1},IF(1,1),IF(1,1),IF(1,1),IF(1,1)))</f>
        <v>64</v>
      </c>
      <c r="H1581" s="2" t="str">
        <f t="shared" si="49"/>
        <v/>
      </c>
      <c r="I1581" s="2">
        <f>TYPE(AMORLINC(IF(1,1),IF(1,1),IF(1,1),IF(1,1),IF(1,1),IF(1,1),IF(1,1)))</f>
        <v>1</v>
      </c>
      <c r="J1581" s="2" t="str">
        <f>IF(C1581=0,COUNTIFS(A:A,A1581,D:D,"a"),"")</f>
        <v/>
      </c>
      <c r="K1581" s="2" t="e">
        <f>INDEX(+AMORLINC(#REF!,#REF!,K1581:L1581,#REF!,#REF!,#REF!,#REF!),)</f>
        <v>#REF!</v>
      </c>
      <c r="L1581" s="1">
        <v>1</v>
      </c>
      <c r="M1581" s="2" t="e">
        <f>INDEX(+AMORLINC(#REF!,#REF!,INDIRECT(M1581:N1581),#REF!,#REF!,#REF!,#REF!),)</f>
        <v>#REF!</v>
      </c>
      <c r="N1581" s="1">
        <v>1</v>
      </c>
    </row>
    <row r="1582" spans="1:14" x14ac:dyDescent="0.55000000000000004">
      <c r="A1582" s="1" t="s">
        <v>1897</v>
      </c>
      <c r="B1582" s="2">
        <f>COUNTIF(A:A,A1582)-1</f>
        <v>7</v>
      </c>
      <c r="C1582" s="2">
        <f>COUNTIF(A$1:A1582,A1582)-1</f>
        <v>4</v>
      </c>
      <c r="D1582" s="2" t="str">
        <f>Argument!D1582</f>
        <v>vr</v>
      </c>
      <c r="E1582" s="2" t="str">
        <f t="shared" si="48"/>
        <v/>
      </c>
      <c r="F1582" s="2" t="str">
        <f>IF(C1582=0,ISTEXT(FORMULA.CONVERT("="&amp;A1582&amp;"("&amp;REPLACE(REPT(",#ref!",B1582),1,1,"")&amp;")()",1)),"")</f>
        <v/>
      </c>
      <c r="G1582" s="2">
        <f>TYPE(AMORLINC(IF(1,1),IF(1,1),IF(1,1),{1},IF(1,1),IF(1,1),IF(1,1)))</f>
        <v>64</v>
      </c>
      <c r="H1582" s="2" t="str">
        <f t="shared" si="49"/>
        <v/>
      </c>
      <c r="I1582" s="2">
        <f>TYPE(AMORLINC(IF(1,1),IF(1,1),IF(1,1),IF(1,1),IF(1,1),IF(1,1),IF(1,1)))</f>
        <v>1</v>
      </c>
      <c r="J1582" s="2" t="str">
        <f>IF(C1582=0,COUNTIFS(A:A,A1582,D:D,"a"),"")</f>
        <v/>
      </c>
      <c r="K1582" s="2" t="e">
        <f>INDEX(+AMORLINC(#REF!,#REF!,#REF!,K1582:L1582,#REF!,#REF!,#REF!),)</f>
        <v>#REF!</v>
      </c>
      <c r="L1582" s="1">
        <v>1</v>
      </c>
      <c r="M1582" s="2" t="e">
        <f>INDEX(+AMORLINC(#REF!,#REF!,#REF!,INDIRECT(M1582:N1582),#REF!,#REF!,#REF!),)</f>
        <v>#REF!</v>
      </c>
      <c r="N1582" s="1">
        <v>1</v>
      </c>
    </row>
    <row r="1583" spans="1:14" x14ac:dyDescent="0.55000000000000004">
      <c r="A1583" s="1" t="s">
        <v>1897</v>
      </c>
      <c r="B1583" s="2">
        <f>COUNTIF(A:A,A1583)-1</f>
        <v>7</v>
      </c>
      <c r="C1583" s="2">
        <f>COUNTIF(A$1:A1583,A1583)-1</f>
        <v>5</v>
      </c>
      <c r="D1583" s="2" t="str">
        <f>Argument!D1583</f>
        <v>vr</v>
      </c>
      <c r="E1583" s="2" t="str">
        <f t="shared" si="48"/>
        <v/>
      </c>
      <c r="F1583" s="2" t="str">
        <f>IF(C1583=0,ISTEXT(FORMULA.CONVERT("="&amp;A1583&amp;"("&amp;REPLACE(REPT(",#ref!",B1583),1,1,"")&amp;")()",1)),"")</f>
        <v/>
      </c>
      <c r="G1583" s="2">
        <f>TYPE(AMORLINC(IF(1,1),IF(1,1),IF(1,1),IF(1,1),{1},IF(1,1),IF(1,1)))</f>
        <v>64</v>
      </c>
      <c r="H1583" s="2" t="str">
        <f t="shared" si="49"/>
        <v/>
      </c>
      <c r="I1583" s="2">
        <f>TYPE(AMORLINC(IF(1,1),IF(1,1),IF(1,1),IF(1,1),IF(1,1),IF(1,1),IF(1,1)))</f>
        <v>1</v>
      </c>
      <c r="J1583" s="2" t="str">
        <f>IF(C1583=0,COUNTIFS(A:A,A1583,D:D,"a"),"")</f>
        <v/>
      </c>
      <c r="K1583" s="2" t="e">
        <f>INDEX(+AMORLINC(#REF!,#REF!,#REF!,#REF!,K1583:L1583,#REF!,#REF!),)</f>
        <v>#REF!</v>
      </c>
      <c r="L1583" s="1">
        <v>1</v>
      </c>
      <c r="M1583" s="2" t="e">
        <f>INDEX(+AMORLINC(#REF!,#REF!,#REF!,#REF!,INDIRECT(M1583:N1583),#REF!,#REF!),)</f>
        <v>#REF!</v>
      </c>
      <c r="N1583" s="1">
        <v>1</v>
      </c>
    </row>
    <row r="1584" spans="1:14" x14ac:dyDescent="0.55000000000000004">
      <c r="A1584" s="1" t="s">
        <v>1897</v>
      </c>
      <c r="B1584" s="2">
        <f>COUNTIF(A:A,A1584)-1</f>
        <v>7</v>
      </c>
      <c r="C1584" s="2">
        <f>COUNTIF(A$1:A1584,A1584)-1</f>
        <v>6</v>
      </c>
      <c r="D1584" s="2" t="str">
        <f>Argument!D1584</f>
        <v>vr</v>
      </c>
      <c r="E1584" s="2" t="str">
        <f t="shared" si="48"/>
        <v/>
      </c>
      <c r="F1584" s="2" t="str">
        <f>IF(C1584=0,ISTEXT(FORMULA.CONVERT("="&amp;A1584&amp;"("&amp;REPLACE(REPT(",#ref!",B1584),1,1,"")&amp;")()",1)),"")</f>
        <v/>
      </c>
      <c r="G1584" s="2">
        <f>TYPE(AMORLINC(IF(1,1),IF(1,1),IF(1,1),IF(1,1),IF(1,1),{1},IF(1,1)))</f>
        <v>64</v>
      </c>
      <c r="H1584" s="2" t="str">
        <f t="shared" si="49"/>
        <v/>
      </c>
      <c r="I1584" s="2">
        <f>TYPE(AMORLINC(IF(1,1),IF(1,1),IF(1,1),IF(1,1),IF(1,1),IF(1,1),IF(1,1)))</f>
        <v>1</v>
      </c>
      <c r="J1584" s="2" t="str">
        <f>IF(C1584=0,COUNTIFS(A:A,A1584,D:D,"a"),"")</f>
        <v/>
      </c>
      <c r="K1584" s="2" t="e">
        <f>INDEX(+AMORLINC(#REF!,#REF!,#REF!,#REF!,#REF!,K1584:L1584,#REF!),)</f>
        <v>#REF!</v>
      </c>
      <c r="L1584" s="1">
        <v>1</v>
      </c>
      <c r="M1584" s="2" t="e">
        <f>INDEX(+AMORLINC(#REF!,#REF!,#REF!,#REF!,#REF!,INDIRECT(M1584:N1584),#REF!),)</f>
        <v>#REF!</v>
      </c>
      <c r="N1584" s="1">
        <v>1</v>
      </c>
    </row>
    <row r="1585" spans="1:14" x14ac:dyDescent="0.55000000000000004">
      <c r="A1585" s="1" t="s">
        <v>1897</v>
      </c>
      <c r="B1585" s="2">
        <f>COUNTIF(A:A,A1585)-1</f>
        <v>7</v>
      </c>
      <c r="C1585" s="2">
        <f>COUNTIF(A$1:A1585,A1585)-1</f>
        <v>7</v>
      </c>
      <c r="D1585" s="2" t="str">
        <f>Argument!D1585</f>
        <v>vr</v>
      </c>
      <c r="E1585" s="2" t="str">
        <f t="shared" si="48"/>
        <v/>
      </c>
      <c r="F1585" s="2" t="str">
        <f>IF(C1585=0,ISTEXT(FORMULA.CONVERT("="&amp;A1585&amp;"("&amp;REPLACE(REPT(",#ref!",B1585),1,1,"")&amp;")()",1)),"")</f>
        <v/>
      </c>
      <c r="G1585" s="2">
        <f>TYPE(AMORLINC(IF(1,1),IF(1,1),IF(1,1),IF(1,1),IF(1,1),IF(1,1),{1}))</f>
        <v>64</v>
      </c>
      <c r="H1585" s="2" t="str">
        <f t="shared" si="49"/>
        <v/>
      </c>
      <c r="I1585" s="2">
        <f>TYPE(AMORLINC(IF(1,1),IF(1,1),IF(1,1),IF(1,1),IF(1,1),IF(1,1),IF(1,1)))</f>
        <v>1</v>
      </c>
      <c r="J1585" s="2" t="str">
        <f>IF(C1585=0,COUNTIFS(A:A,A1585,D:D,"a"),"")</f>
        <v/>
      </c>
      <c r="K1585" s="2" t="e">
        <f>INDEX(+AMORLINC(#REF!,#REF!,#REF!,#REF!,#REF!,#REF!,K1585:L1585),)</f>
        <v>#REF!</v>
      </c>
      <c r="L1585" s="1">
        <v>1</v>
      </c>
      <c r="M1585" s="2" t="e">
        <f>INDEX(+AMORLINC(#REF!,#REF!,#REF!,#REF!,#REF!,#REF!,INDIRECT(M1585:N1585)),)</f>
        <v>#REF!</v>
      </c>
      <c r="N1585" s="1">
        <v>1</v>
      </c>
    </row>
    <row r="1586" spans="1:14" x14ac:dyDescent="0.55000000000000004">
      <c r="A1586" s="1" t="s">
        <v>1898</v>
      </c>
      <c r="B1586" s="2">
        <f>COUNTIF(A:A,A1586)-1</f>
        <v>3</v>
      </c>
      <c r="C1586" s="2">
        <f>COUNTIF(A$1:A1586,A1586)-1</f>
        <v>0</v>
      </c>
      <c r="D1586" s="2" t="str">
        <f>Argument!D1586</f>
        <v/>
      </c>
      <c r="E1586" s="2" t="str">
        <f t="shared" si="48"/>
        <v>v</v>
      </c>
      <c r="F1586" s="2" t="b">
        <f>IF(C1586=0,ISTEXT(FORMULA.CONVERT("="&amp;A1586&amp;"("&amp;REPLACE(REPT(",#ref!",B1586),1,1,"")&amp;")()",1)),"")</f>
        <v>0</v>
      </c>
      <c r="G1586" s="2"/>
      <c r="H1586" s="2" t="str">
        <f t="shared" si="49"/>
        <v/>
      </c>
      <c r="I1586" s="2">
        <f>TYPE(CONVERT(IF(1,1),IF(1,1),IF(1,1)))</f>
        <v>16</v>
      </c>
      <c r="J1586" s="2">
        <f>IF(C1586=0,COUNTIFS(A:A,A1586,D:D,"a"),"")</f>
        <v>0</v>
      </c>
      <c r="K1586" s="2"/>
      <c r="M1586" s="2"/>
    </row>
    <row r="1587" spans="1:14" x14ac:dyDescent="0.55000000000000004">
      <c r="A1587" s="1" t="s">
        <v>1898</v>
      </c>
      <c r="B1587" s="2">
        <f>COUNTIF(A:A,A1587)-1</f>
        <v>3</v>
      </c>
      <c r="C1587" s="2">
        <f>COUNTIF(A$1:A1587,A1587)-1</f>
        <v>1</v>
      </c>
      <c r="D1587" s="2" t="str">
        <f>Argument!D1587</f>
        <v>vr</v>
      </c>
      <c r="E1587" s="2" t="str">
        <f t="shared" si="48"/>
        <v/>
      </c>
      <c r="F1587" s="2" t="str">
        <f>IF(C1587=0,ISTEXT(FORMULA.CONVERT("="&amp;A1587&amp;"("&amp;REPLACE(REPT(",#ref!",B1587),1,1,"")&amp;")()",1)),"")</f>
        <v/>
      </c>
      <c r="G1587" s="2">
        <f>TYPE(CONVERT({1},IF(1,1),IF(1,1)))</f>
        <v>64</v>
      </c>
      <c r="H1587" s="2" t="str">
        <f t="shared" si="49"/>
        <v/>
      </c>
      <c r="I1587" s="2">
        <f>TYPE(CONVERT(IF(1,1),IF(1,1),IF(1,1)))</f>
        <v>16</v>
      </c>
      <c r="J1587" s="2" t="str">
        <f>IF(C1587=0,COUNTIFS(A:A,A1587,D:D,"a"),"")</f>
        <v/>
      </c>
      <c r="K1587" s="2" t="e">
        <f>INDEX(+CONVERT(K1587:L1587,#REF!,#REF!),)</f>
        <v>#VALUE!</v>
      </c>
      <c r="L1587" s="1">
        <v>1</v>
      </c>
      <c r="M1587" s="2" t="e">
        <f>INDEX(+CONVERT(INDIRECT(M1587:N1587),#REF!,#REF!),)</f>
        <v>#REF!</v>
      </c>
      <c r="N1587" s="1">
        <v>1</v>
      </c>
    </row>
    <row r="1588" spans="1:14" x14ac:dyDescent="0.55000000000000004">
      <c r="A1588" s="1" t="s">
        <v>1898</v>
      </c>
      <c r="B1588" s="2">
        <f>COUNTIF(A:A,A1588)-1</f>
        <v>3</v>
      </c>
      <c r="C1588" s="2">
        <f>COUNTIF(A$1:A1588,A1588)-1</f>
        <v>2</v>
      </c>
      <c r="D1588" s="2" t="str">
        <f>Argument!D1588</f>
        <v>vr</v>
      </c>
      <c r="E1588" s="2" t="str">
        <f t="shared" si="48"/>
        <v/>
      </c>
      <c r="F1588" s="2" t="str">
        <f>IF(C1588=0,ISTEXT(FORMULA.CONVERT("="&amp;A1588&amp;"("&amp;REPLACE(REPT(",#ref!",B1588),1,1,"")&amp;")()",1)),"")</f>
        <v/>
      </c>
      <c r="G1588" s="2">
        <f>TYPE(CONVERT(IF(1,1),{1},IF(1,1)))</f>
        <v>64</v>
      </c>
      <c r="H1588" s="2" t="str">
        <f t="shared" si="49"/>
        <v/>
      </c>
      <c r="I1588" s="2">
        <f>TYPE(CONVERT(IF(1,1),IF(1,1),IF(1,1)))</f>
        <v>16</v>
      </c>
      <c r="J1588" s="2" t="str">
        <f>IF(C1588=0,COUNTIFS(A:A,A1588,D:D,"a"),"")</f>
        <v/>
      </c>
      <c r="K1588" s="2" t="e">
        <f>INDEX(+CONVERT(#REF!,K1588:L1588,#REF!),)</f>
        <v>#REF!</v>
      </c>
      <c r="L1588" s="1">
        <v>1</v>
      </c>
      <c r="M1588" s="2" t="e">
        <f>INDEX(+CONVERT(#REF!,INDIRECT(M1588:N1588),#REF!),)</f>
        <v>#REF!</v>
      </c>
      <c r="N1588" s="1">
        <v>1</v>
      </c>
    </row>
    <row r="1589" spans="1:14" x14ac:dyDescent="0.55000000000000004">
      <c r="A1589" s="1" t="s">
        <v>1898</v>
      </c>
      <c r="B1589" s="2">
        <f>COUNTIF(A:A,A1589)-1</f>
        <v>3</v>
      </c>
      <c r="C1589" s="2">
        <f>COUNTIF(A$1:A1589,A1589)-1</f>
        <v>3</v>
      </c>
      <c r="D1589" s="2" t="str">
        <f>Argument!D1589</f>
        <v>vr</v>
      </c>
      <c r="E1589" s="2" t="str">
        <f t="shared" si="48"/>
        <v/>
      </c>
      <c r="F1589" s="2" t="str">
        <f>IF(C1589=0,ISTEXT(FORMULA.CONVERT("="&amp;A1589&amp;"("&amp;REPLACE(REPT(",#ref!",B1589),1,1,"")&amp;")()",1)),"")</f>
        <v/>
      </c>
      <c r="G1589" s="2">
        <f>TYPE(CONVERT(IF(1,1),IF(1,1),{1}))</f>
        <v>64</v>
      </c>
      <c r="H1589" s="2" t="str">
        <f t="shared" si="49"/>
        <v/>
      </c>
      <c r="I1589" s="2">
        <f>TYPE(CONVERT(IF(1,1),IF(1,1),IF(1,1)))</f>
        <v>16</v>
      </c>
      <c r="J1589" s="2" t="str">
        <f>IF(C1589=0,COUNTIFS(A:A,A1589,D:D,"a"),"")</f>
        <v/>
      </c>
      <c r="K1589" s="2" t="e">
        <f>INDEX(+CONVERT(#REF!,#REF!,K1589:L1589),)</f>
        <v>#REF!</v>
      </c>
      <c r="L1589" s="1">
        <v>1</v>
      </c>
      <c r="M1589" s="2" t="e">
        <f>INDEX(+CONVERT(#REF!,#REF!,INDIRECT(M1589:N1589)),)</f>
        <v>#REF!</v>
      </c>
      <c r="N1589" s="1">
        <v>1</v>
      </c>
    </row>
    <row r="1590" spans="1:14" x14ac:dyDescent="0.55000000000000004">
      <c r="A1590" s="1" t="s">
        <v>1899</v>
      </c>
      <c r="B1590" s="2">
        <f>COUNTIF(A:A,A1590)-1</f>
        <v>8</v>
      </c>
      <c r="C1590" s="2">
        <f>COUNTIF(A$1:A1590,A1590)-1</f>
        <v>0</v>
      </c>
      <c r="D1590" s="2" t="str">
        <f>Argument!D1590</f>
        <v/>
      </c>
      <c r="E1590" s="2" t="str">
        <f t="shared" si="48"/>
        <v>v</v>
      </c>
      <c r="F1590" s="2" t="b">
        <f>IF(C1590=0,ISTEXT(FORMULA.CONVERT("="&amp;A1590&amp;"("&amp;REPLACE(REPT(",#ref!",B1590),1,1,"")&amp;")()",1)),"")</f>
        <v>0</v>
      </c>
      <c r="G1590" s="2"/>
      <c r="H1590" s="2" t="str">
        <f t="shared" si="49"/>
        <v/>
      </c>
      <c r="I1590" s="2">
        <f>TYPE(ACCRINT(IF(1,1),IF(1,1),IF(1,1),IF(1,1),IF(1,1),IF(1,1),IF(1,1),IF(1,1)))</f>
        <v>16</v>
      </c>
      <c r="J1590" s="2">
        <f>IF(C1590=0,COUNTIFS(A:A,A1590,D:D,"a"),"")</f>
        <v>0</v>
      </c>
      <c r="K1590" s="2"/>
      <c r="M1590" s="2"/>
    </row>
    <row r="1591" spans="1:14" x14ac:dyDescent="0.55000000000000004">
      <c r="A1591" s="1" t="s">
        <v>1899</v>
      </c>
      <c r="B1591" s="2">
        <f>COUNTIF(A:A,A1591)-1</f>
        <v>8</v>
      </c>
      <c r="C1591" s="2">
        <f>COUNTIF(A$1:A1591,A1591)-1</f>
        <v>1</v>
      </c>
      <c r="D1591" s="2" t="str">
        <f>Argument!D1591</f>
        <v>vr</v>
      </c>
      <c r="E1591" s="2" t="str">
        <f t="shared" si="48"/>
        <v/>
      </c>
      <c r="F1591" s="2" t="str">
        <f>IF(C1591=0,ISTEXT(FORMULA.CONVERT("="&amp;A1591&amp;"("&amp;REPLACE(REPT(",#ref!",B1591),1,1,"")&amp;")()",1)),"")</f>
        <v/>
      </c>
      <c r="G1591" s="2">
        <f>TYPE(ACCRINT({1},IF(1,1),IF(1,1),IF(1,1),IF(1,1),IF(1,1),IF(1,1),IF(1,1)))</f>
        <v>64</v>
      </c>
      <c r="H1591" s="2" t="str">
        <f t="shared" si="49"/>
        <v/>
      </c>
      <c r="I1591" s="2">
        <f>TYPE(ACCRINT(IF(1,1),IF(1,1),IF(1,1),IF(1,1),IF(1,1),IF(1,1),IF(1,1),IF(1,1)))</f>
        <v>16</v>
      </c>
      <c r="J1591" s="2" t="str">
        <f>IF(C1591=0,COUNTIFS(A:A,A1591,D:D,"a"),"")</f>
        <v/>
      </c>
      <c r="K1591" s="2" t="e">
        <f>INDEX(+ACCRINT(K1591:L1591,#REF!,#REF!,#REF!,#REF!,#REF!,#REF!,#REF!),)</f>
        <v>#REF!</v>
      </c>
      <c r="L1591" s="1">
        <v>1</v>
      </c>
      <c r="M1591" s="2" t="e">
        <f>INDEX(+ACCRINT(INDIRECT(M1591:N1591),#REF!,#REF!,#REF!,#REF!,#REF!,#REF!,#REF!),)</f>
        <v>#REF!</v>
      </c>
      <c r="N1591" s="1">
        <v>1</v>
      </c>
    </row>
    <row r="1592" spans="1:14" x14ac:dyDescent="0.55000000000000004">
      <c r="A1592" s="1" t="s">
        <v>1899</v>
      </c>
      <c r="B1592" s="2">
        <f>COUNTIF(A:A,A1592)-1</f>
        <v>8</v>
      </c>
      <c r="C1592" s="2">
        <f>COUNTIF(A$1:A1592,A1592)-1</f>
        <v>2</v>
      </c>
      <c r="D1592" s="2" t="str">
        <f>Argument!D1592</f>
        <v>vr</v>
      </c>
      <c r="E1592" s="2" t="str">
        <f t="shared" si="48"/>
        <v/>
      </c>
      <c r="F1592" s="2" t="str">
        <f>IF(C1592=0,ISTEXT(FORMULA.CONVERT("="&amp;A1592&amp;"("&amp;REPLACE(REPT(",#ref!",B1592),1,1,"")&amp;")()",1)),"")</f>
        <v/>
      </c>
      <c r="G1592" s="2">
        <f>TYPE(ACCRINT(IF(1,1),{1},IF(1,1),IF(1,1),IF(1,1),IF(1,1),IF(1,1),IF(1,1)))</f>
        <v>64</v>
      </c>
      <c r="H1592" s="2" t="str">
        <f t="shared" si="49"/>
        <v/>
      </c>
      <c r="I1592" s="2">
        <f>TYPE(ACCRINT(IF(1,1),IF(1,1),IF(1,1),IF(1,1),IF(1,1),IF(1,1),IF(1,1),IF(1,1)))</f>
        <v>16</v>
      </c>
      <c r="J1592" s="2" t="str">
        <f>IF(C1592=0,COUNTIFS(A:A,A1592,D:D,"a"),"")</f>
        <v/>
      </c>
      <c r="K1592" s="2" t="e">
        <f>INDEX(+ACCRINT(#REF!,K1592:L1592,#REF!,#REF!,#REF!,#REF!,#REF!,#REF!),)</f>
        <v>#REF!</v>
      </c>
      <c r="L1592" s="1">
        <v>1</v>
      </c>
      <c r="M1592" s="2" t="e">
        <f>INDEX(+ACCRINT(#REF!,INDIRECT(M1592:N1592),#REF!,#REF!,#REF!,#REF!,#REF!,#REF!),)</f>
        <v>#REF!</v>
      </c>
      <c r="N1592" s="1">
        <v>1</v>
      </c>
    </row>
    <row r="1593" spans="1:14" x14ac:dyDescent="0.55000000000000004">
      <c r="A1593" s="1" t="s">
        <v>1899</v>
      </c>
      <c r="B1593" s="2">
        <f>COUNTIF(A:A,A1593)-1</f>
        <v>8</v>
      </c>
      <c r="C1593" s="2">
        <f>COUNTIF(A$1:A1593,A1593)-1</f>
        <v>3</v>
      </c>
      <c r="D1593" s="2" t="str">
        <f>Argument!D1593</f>
        <v>vr</v>
      </c>
      <c r="E1593" s="2" t="str">
        <f t="shared" si="48"/>
        <v/>
      </c>
      <c r="F1593" s="2" t="str">
        <f>IF(C1593=0,ISTEXT(FORMULA.CONVERT("="&amp;A1593&amp;"("&amp;REPLACE(REPT(",#ref!",B1593),1,1,"")&amp;")()",1)),"")</f>
        <v/>
      </c>
      <c r="G1593" s="2">
        <f>TYPE(ACCRINT(IF(1,1),IF(1,1),{1},IF(1,1),IF(1,1),IF(1,1),IF(1,1),IF(1,1)))</f>
        <v>64</v>
      </c>
      <c r="H1593" s="2" t="str">
        <f t="shared" si="49"/>
        <v/>
      </c>
      <c r="I1593" s="2">
        <f>TYPE(ACCRINT(IF(1,1),IF(1,1),IF(1,1),IF(1,1),IF(1,1),IF(1,1),IF(1,1),IF(1,1)))</f>
        <v>16</v>
      </c>
      <c r="J1593" s="2" t="str">
        <f>IF(C1593=0,COUNTIFS(A:A,A1593,D:D,"a"),"")</f>
        <v/>
      </c>
      <c r="K1593" s="2" t="e">
        <f>INDEX(+ACCRINT(#REF!,#REF!,K1593:L1593,#REF!,#REF!,#REF!,#REF!,#REF!),)</f>
        <v>#REF!</v>
      </c>
      <c r="L1593" s="1">
        <v>1</v>
      </c>
      <c r="M1593" s="2" t="e">
        <f>INDEX(+ACCRINT(#REF!,#REF!,INDIRECT(M1593:N1593),#REF!,#REF!,#REF!,#REF!,#REF!),)</f>
        <v>#REF!</v>
      </c>
      <c r="N1593" s="1">
        <v>1</v>
      </c>
    </row>
    <row r="1594" spans="1:14" x14ac:dyDescent="0.55000000000000004">
      <c r="A1594" s="1" t="s">
        <v>1899</v>
      </c>
      <c r="B1594" s="2">
        <f>COUNTIF(A:A,A1594)-1</f>
        <v>8</v>
      </c>
      <c r="C1594" s="2">
        <f>COUNTIF(A$1:A1594,A1594)-1</f>
        <v>4</v>
      </c>
      <c r="D1594" s="2" t="str">
        <f>Argument!D1594</f>
        <v>vr</v>
      </c>
      <c r="E1594" s="2" t="str">
        <f t="shared" si="48"/>
        <v/>
      </c>
      <c r="F1594" s="2" t="str">
        <f>IF(C1594=0,ISTEXT(FORMULA.CONVERT("="&amp;A1594&amp;"("&amp;REPLACE(REPT(",#ref!",B1594),1,1,"")&amp;")()",1)),"")</f>
        <v/>
      </c>
      <c r="G1594" s="2">
        <f>TYPE(ACCRINT(IF(1,1),IF(1,1),IF(1,1),{1},IF(1,1),IF(1,1),IF(1,1),IF(1,1)))</f>
        <v>64</v>
      </c>
      <c r="H1594" s="2" t="str">
        <f t="shared" si="49"/>
        <v/>
      </c>
      <c r="I1594" s="2">
        <f>TYPE(ACCRINT(IF(1,1),IF(1,1),IF(1,1),IF(1,1),IF(1,1),IF(1,1),IF(1,1),IF(1,1)))</f>
        <v>16</v>
      </c>
      <c r="J1594" s="2" t="str">
        <f>IF(C1594=0,COUNTIFS(A:A,A1594,D:D,"a"),"")</f>
        <v/>
      </c>
      <c r="K1594" s="2" t="e">
        <f>INDEX(+ACCRINT(#REF!,#REF!,#REF!,K1594:L1594,#REF!,#REF!,#REF!,#REF!),)</f>
        <v>#REF!</v>
      </c>
      <c r="L1594" s="1">
        <v>1</v>
      </c>
      <c r="M1594" s="2" t="e">
        <f>INDEX(+ACCRINT(#REF!,#REF!,#REF!,INDIRECT(M1594:N1594),#REF!,#REF!,#REF!,#REF!),)</f>
        <v>#REF!</v>
      </c>
      <c r="N1594" s="1">
        <v>1</v>
      </c>
    </row>
    <row r="1595" spans="1:14" x14ac:dyDescent="0.55000000000000004">
      <c r="A1595" s="1" t="s">
        <v>1899</v>
      </c>
      <c r="B1595" s="2">
        <f>COUNTIF(A:A,A1595)-1</f>
        <v>8</v>
      </c>
      <c r="C1595" s="2">
        <f>COUNTIF(A$1:A1595,A1595)-1</f>
        <v>5</v>
      </c>
      <c r="D1595" s="2" t="str">
        <f>Argument!D1595</f>
        <v>vr</v>
      </c>
      <c r="E1595" s="2" t="str">
        <f t="shared" si="48"/>
        <v/>
      </c>
      <c r="F1595" s="2" t="str">
        <f>IF(C1595=0,ISTEXT(FORMULA.CONVERT("="&amp;A1595&amp;"("&amp;REPLACE(REPT(",#ref!",B1595),1,1,"")&amp;")()",1)),"")</f>
        <v/>
      </c>
      <c r="G1595" s="2">
        <f>TYPE(ACCRINT(IF(1,1),IF(1,1),IF(1,1),IF(1,1),{1},IF(1,1),IF(1,1),IF(1,1)))</f>
        <v>64</v>
      </c>
      <c r="H1595" s="2" t="str">
        <f t="shared" si="49"/>
        <v/>
      </c>
      <c r="I1595" s="2">
        <f>TYPE(ACCRINT(IF(1,1),IF(1,1),IF(1,1),IF(1,1),IF(1,1),IF(1,1),IF(1,1),IF(1,1)))</f>
        <v>16</v>
      </c>
      <c r="J1595" s="2" t="str">
        <f>IF(C1595=0,COUNTIFS(A:A,A1595,D:D,"a"),"")</f>
        <v/>
      </c>
      <c r="K1595" s="2" t="e">
        <f>INDEX(+ACCRINT(#REF!,#REF!,#REF!,#REF!,K1595:L1595,#REF!,#REF!,#REF!),)</f>
        <v>#REF!</v>
      </c>
      <c r="L1595" s="1">
        <v>1</v>
      </c>
      <c r="M1595" s="2" t="e">
        <f>INDEX(+ACCRINT(#REF!,#REF!,#REF!,#REF!,INDIRECT(M1595:N1595),#REF!,#REF!,#REF!),)</f>
        <v>#REF!</v>
      </c>
      <c r="N1595" s="1">
        <v>1</v>
      </c>
    </row>
    <row r="1596" spans="1:14" x14ac:dyDescent="0.55000000000000004">
      <c r="A1596" s="1" t="s">
        <v>1899</v>
      </c>
      <c r="B1596" s="2">
        <f>COUNTIF(A:A,A1596)-1</f>
        <v>8</v>
      </c>
      <c r="C1596" s="2">
        <f>COUNTIF(A$1:A1596,A1596)-1</f>
        <v>6</v>
      </c>
      <c r="D1596" s="2" t="str">
        <f>Argument!D1596</f>
        <v>vr</v>
      </c>
      <c r="E1596" s="2" t="str">
        <f t="shared" si="48"/>
        <v/>
      </c>
      <c r="F1596" s="2" t="str">
        <f>IF(C1596=0,ISTEXT(FORMULA.CONVERT("="&amp;A1596&amp;"("&amp;REPLACE(REPT(",#ref!",B1596),1,1,"")&amp;")()",1)),"")</f>
        <v/>
      </c>
      <c r="G1596" s="2">
        <f>TYPE(ACCRINT(IF(1,1),IF(1,1),IF(1,1),IF(1,1),IF(1,1),{1},IF(1,1),IF(1,1)))</f>
        <v>64</v>
      </c>
      <c r="H1596" s="2" t="str">
        <f t="shared" si="49"/>
        <v/>
      </c>
      <c r="I1596" s="2">
        <f>TYPE(ACCRINT(IF(1,1),IF(1,1),IF(1,1),IF(1,1),IF(1,1),IF(1,1),IF(1,1),IF(1,1)))</f>
        <v>16</v>
      </c>
      <c r="J1596" s="2" t="str">
        <f>IF(C1596=0,COUNTIFS(A:A,A1596,D:D,"a"),"")</f>
        <v/>
      </c>
      <c r="K1596" s="2" t="e">
        <f>INDEX(+ACCRINT(#REF!,#REF!,#REF!,#REF!,#REF!,K1596:L1596,#REF!,#REF!),)</f>
        <v>#REF!</v>
      </c>
      <c r="L1596" s="1">
        <v>1</v>
      </c>
      <c r="M1596" s="2" t="e">
        <f>INDEX(+ACCRINT(#REF!,#REF!,#REF!,#REF!,#REF!,INDIRECT(M1596:N1596),#REF!,#REF!),)</f>
        <v>#REF!</v>
      </c>
      <c r="N1596" s="1">
        <v>1</v>
      </c>
    </row>
    <row r="1597" spans="1:14" x14ac:dyDescent="0.55000000000000004">
      <c r="A1597" s="1" t="s">
        <v>1899</v>
      </c>
      <c r="B1597" s="2">
        <f>COUNTIF(A:A,A1597)-1</f>
        <v>8</v>
      </c>
      <c r="C1597" s="2">
        <f>COUNTIF(A$1:A1597,A1597)-1</f>
        <v>7</v>
      </c>
      <c r="D1597" s="2" t="str">
        <f>Argument!D1597</f>
        <v>vr</v>
      </c>
      <c r="E1597" s="2" t="str">
        <f t="shared" si="48"/>
        <v/>
      </c>
      <c r="F1597" s="2" t="str">
        <f>IF(C1597=0,ISTEXT(FORMULA.CONVERT("="&amp;A1597&amp;"("&amp;REPLACE(REPT(",#ref!",B1597),1,1,"")&amp;")()",1)),"")</f>
        <v/>
      </c>
      <c r="G1597" s="2">
        <f>TYPE(ACCRINT(IF(1,1),IF(1,1),IF(1,1),IF(1,1),IF(1,1),IF(1,1),{1},IF(1,1)))</f>
        <v>64</v>
      </c>
      <c r="H1597" s="2" t="str">
        <f t="shared" si="49"/>
        <v/>
      </c>
      <c r="I1597" s="2">
        <f>TYPE(ACCRINT(IF(1,1),IF(1,1),IF(1,1),IF(1,1),IF(1,1),IF(1,1),IF(1,1),IF(1,1)))</f>
        <v>16</v>
      </c>
      <c r="J1597" s="2" t="str">
        <f>IF(C1597=0,COUNTIFS(A:A,A1597,D:D,"a"),"")</f>
        <v/>
      </c>
      <c r="K1597" s="2" t="e">
        <f>INDEX(+ACCRINT(#REF!,#REF!,#REF!,#REF!,#REF!,#REF!,K1597:L1597,#REF!),)</f>
        <v>#REF!</v>
      </c>
      <c r="L1597" s="1">
        <v>1</v>
      </c>
      <c r="M1597" s="2" t="e">
        <f>INDEX(+ACCRINT(#REF!,#REF!,#REF!,#REF!,#REF!,#REF!,INDIRECT(M1597:N1597),#REF!),)</f>
        <v>#REF!</v>
      </c>
      <c r="N1597" s="1">
        <v>1</v>
      </c>
    </row>
    <row r="1598" spans="1:14" x14ac:dyDescent="0.55000000000000004">
      <c r="A1598" s="1" t="s">
        <v>1899</v>
      </c>
      <c r="B1598" s="2">
        <f>COUNTIF(A:A,A1598)-1</f>
        <v>8</v>
      </c>
      <c r="C1598" s="2">
        <f>COUNTIF(A$1:A1598,A1598)-1</f>
        <v>8</v>
      </c>
      <c r="D1598" s="2" t="str">
        <f>Argument!D1598</f>
        <v>vr</v>
      </c>
      <c r="E1598" s="2" t="str">
        <f t="shared" si="48"/>
        <v/>
      </c>
      <c r="F1598" s="2" t="str">
        <f>IF(C1598=0,ISTEXT(FORMULA.CONVERT("="&amp;A1598&amp;"("&amp;REPLACE(REPT(",#ref!",B1598),1,1,"")&amp;")()",1)),"")</f>
        <v/>
      </c>
      <c r="G1598" s="2">
        <f>TYPE(ACCRINT(IF(1,1),IF(1,1),IF(1,1),IF(1,1),IF(1,1),IF(1,1),IF(1,1),{1}))</f>
        <v>64</v>
      </c>
      <c r="H1598" s="2" t="str">
        <f t="shared" si="49"/>
        <v/>
      </c>
      <c r="I1598" s="2">
        <f>TYPE(ACCRINT(IF(1,1),IF(1,1),IF(1,1),IF(1,1),IF(1,1),IF(1,1),IF(1,1),IF(1,1)))</f>
        <v>16</v>
      </c>
      <c r="J1598" s="2" t="str">
        <f>IF(C1598=0,COUNTIFS(A:A,A1598,D:D,"a"),"")</f>
        <v/>
      </c>
      <c r="K1598" s="2" t="e">
        <f>INDEX(+ACCRINT(#REF!,#REF!,#REF!,#REF!,#REF!,#REF!,#REF!,K1598:L1598),)</f>
        <v>#VALUE!</v>
      </c>
      <c r="L1598" s="1">
        <v>1</v>
      </c>
      <c r="M1598" s="2" t="e">
        <f>INDEX(+ACCRINT(#REF!,#REF!,#REF!,#REF!,#REF!,#REF!,#REF!,INDIRECT(M1598:N1598)),)</f>
        <v>#REF!</v>
      </c>
      <c r="N1598" s="1">
        <v>1</v>
      </c>
    </row>
    <row r="1599" spans="1:14" x14ac:dyDescent="0.55000000000000004">
      <c r="A1599" s="1" t="s">
        <v>1900</v>
      </c>
      <c r="B1599" s="2">
        <f>COUNTIF(A:A,A1599)-1</f>
        <v>5</v>
      </c>
      <c r="C1599" s="2">
        <f>COUNTIF(A$1:A1599,A1599)-1</f>
        <v>0</v>
      </c>
      <c r="D1599" s="2" t="str">
        <f>Argument!D1599</f>
        <v/>
      </c>
      <c r="E1599" s="2" t="str">
        <f t="shared" si="48"/>
        <v>v</v>
      </c>
      <c r="F1599" s="2" t="b">
        <f>IF(C1599=0,ISTEXT(FORMULA.CONVERT("="&amp;A1599&amp;"("&amp;REPLACE(REPT(",#ref!",B1599),1,1,"")&amp;")()",1)),"")</f>
        <v>0</v>
      </c>
      <c r="G1599" s="2"/>
      <c r="H1599" s="2" t="str">
        <f t="shared" si="49"/>
        <v/>
      </c>
      <c r="I1599" s="2">
        <f>TYPE(ACCRINTM(IF(1,1),IF(1,1),IF(1,1),IF(1,1),IF(1,1)))</f>
        <v>1</v>
      </c>
      <c r="J1599" s="2">
        <f>IF(C1599=0,COUNTIFS(A:A,A1599,D:D,"a"),"")</f>
        <v>0</v>
      </c>
      <c r="K1599" s="2"/>
      <c r="M1599" s="2"/>
    </row>
    <row r="1600" spans="1:14" x14ac:dyDescent="0.55000000000000004">
      <c r="A1600" s="1" t="s">
        <v>1900</v>
      </c>
      <c r="B1600" s="2">
        <f>COUNTIF(A:A,A1600)-1</f>
        <v>5</v>
      </c>
      <c r="C1600" s="2">
        <f>COUNTIF(A$1:A1600,A1600)-1</f>
        <v>1</v>
      </c>
      <c r="D1600" s="2" t="str">
        <f>Argument!D1600</f>
        <v>vr</v>
      </c>
      <c r="E1600" s="2" t="str">
        <f t="shared" si="48"/>
        <v/>
      </c>
      <c r="F1600" s="2" t="str">
        <f>IF(C1600=0,ISTEXT(FORMULA.CONVERT("="&amp;A1600&amp;"("&amp;REPLACE(REPT(",#ref!",B1600),1,1,"")&amp;")()",1)),"")</f>
        <v/>
      </c>
      <c r="G1600" s="2">
        <f>TYPE(ACCRINTM({1},IF(1,1),IF(1,1),IF(1,1),IF(1,1)))</f>
        <v>64</v>
      </c>
      <c r="H1600" s="2" t="str">
        <f t="shared" si="49"/>
        <v/>
      </c>
      <c r="I1600" s="2">
        <f>TYPE(ACCRINTM(IF(1,1),IF(1,1),IF(1,1),IF(1,1),IF(1,1)))</f>
        <v>1</v>
      </c>
      <c r="J1600" s="2" t="str">
        <f>IF(C1600=0,COUNTIFS(A:A,A1600,D:D,"a"),"")</f>
        <v/>
      </c>
      <c r="K1600" s="2" t="e">
        <f>INDEX(+ACCRINTM(K1600:L1600,#REF!,#REF!,#REF!,#REF!),)</f>
        <v>#VALUE!</v>
      </c>
      <c r="L1600" s="1">
        <v>1</v>
      </c>
      <c r="M1600" s="2" t="e">
        <f>INDEX(+ACCRINTM(INDIRECT(M1600:N1600),#REF!,#REF!,#REF!,#REF!),)</f>
        <v>#REF!</v>
      </c>
      <c r="N1600" s="1">
        <v>1</v>
      </c>
    </row>
    <row r="1601" spans="1:14" x14ac:dyDescent="0.55000000000000004">
      <c r="A1601" s="1" t="s">
        <v>1900</v>
      </c>
      <c r="B1601" s="2">
        <f>COUNTIF(A:A,A1601)-1</f>
        <v>5</v>
      </c>
      <c r="C1601" s="2">
        <f>COUNTIF(A$1:A1601,A1601)-1</f>
        <v>2</v>
      </c>
      <c r="D1601" s="2" t="str">
        <f>Argument!D1601</f>
        <v>vr</v>
      </c>
      <c r="E1601" s="2" t="str">
        <f t="shared" si="48"/>
        <v/>
      </c>
      <c r="F1601" s="2" t="str">
        <f>IF(C1601=0,ISTEXT(FORMULA.CONVERT("="&amp;A1601&amp;"("&amp;REPLACE(REPT(",#ref!",B1601),1,1,"")&amp;")()",1)),"")</f>
        <v/>
      </c>
      <c r="G1601" s="2">
        <f>TYPE(ACCRINTM(IF(1,1),{1},IF(1,1),IF(1,1),IF(1,1)))</f>
        <v>64</v>
      </c>
      <c r="H1601" s="2" t="str">
        <f t="shared" si="49"/>
        <v/>
      </c>
      <c r="I1601" s="2">
        <f>TYPE(ACCRINTM(IF(1,1),IF(1,1),IF(1,1),IF(1,1),IF(1,1)))</f>
        <v>1</v>
      </c>
      <c r="J1601" s="2" t="str">
        <f>IF(C1601=0,COUNTIFS(A:A,A1601,D:D,"a"),"")</f>
        <v/>
      </c>
      <c r="K1601" s="2" t="e">
        <f>INDEX(+ACCRINTM(#REF!,K1601:L1601,#REF!,#REF!,#REF!),)</f>
        <v>#REF!</v>
      </c>
      <c r="L1601" s="1">
        <v>1</v>
      </c>
      <c r="M1601" s="2" t="e">
        <f>INDEX(+ACCRINTM(#REF!,INDIRECT(M1601:N1601),#REF!,#REF!,#REF!),)</f>
        <v>#REF!</v>
      </c>
      <c r="N1601" s="1">
        <v>1</v>
      </c>
    </row>
    <row r="1602" spans="1:14" x14ac:dyDescent="0.55000000000000004">
      <c r="A1602" s="1" t="s">
        <v>1900</v>
      </c>
      <c r="B1602" s="2">
        <f>COUNTIF(A:A,A1602)-1</f>
        <v>5</v>
      </c>
      <c r="C1602" s="2">
        <f>COUNTIF(A$1:A1602,A1602)-1</f>
        <v>3</v>
      </c>
      <c r="D1602" s="2" t="str">
        <f>Argument!D1602</f>
        <v>vr</v>
      </c>
      <c r="E1602" s="2" t="str">
        <f t="shared" ref="E1602:E1665" si="50">IF(C1602=0,IF(SUMIFS(H:H,A:A,A1602),IF(COUNTIFS(A:A,A1602,G:G,64),,"v")&amp;IF(F1602,"ar","a"),IF(F1602,"r","v")),"")</f>
        <v/>
      </c>
      <c r="F1602" s="2" t="str">
        <f>IF(C1602=0,ISTEXT(FORMULA.CONVERT("="&amp;A1602&amp;"("&amp;REPLACE(REPT(",#ref!",B1602),1,1,"")&amp;")()",1)),"")</f>
        <v/>
      </c>
      <c r="G1602" s="2">
        <f>TYPE(ACCRINTM(IF(1,1),IF(1,1),{1},IF(1,1),IF(1,1)))</f>
        <v>64</v>
      </c>
      <c r="H1602" s="2" t="str">
        <f t="shared" ref="H1602:H1665" si="51">IF((I1602=64)*(J1602=B1602)+(1-L1602)*COUNTIF(D1602,"*v*")+(1-N1602)*COUNTIF(D1602,"*r*"),1,"")</f>
        <v/>
      </c>
      <c r="I1602" s="2">
        <f>TYPE(ACCRINTM(IF(1,1),IF(1,1),IF(1,1),IF(1,1),IF(1,1)))</f>
        <v>1</v>
      </c>
      <c r="J1602" s="2" t="str">
        <f>IF(C1602=0,COUNTIFS(A:A,A1602,D:D,"a"),"")</f>
        <v/>
      </c>
      <c r="K1602" s="2" t="e">
        <f>INDEX(+ACCRINTM(#REF!,#REF!,K1602:L1602,#REF!,#REF!),)</f>
        <v>#REF!</v>
      </c>
      <c r="L1602" s="1">
        <v>1</v>
      </c>
      <c r="M1602" s="2" t="e">
        <f>INDEX(+ACCRINTM(#REF!,#REF!,INDIRECT(M1602:N1602),#REF!,#REF!),)</f>
        <v>#REF!</v>
      </c>
      <c r="N1602" s="1">
        <v>1</v>
      </c>
    </row>
    <row r="1603" spans="1:14" x14ac:dyDescent="0.55000000000000004">
      <c r="A1603" s="1" t="s">
        <v>1900</v>
      </c>
      <c r="B1603" s="2">
        <f>COUNTIF(A:A,A1603)-1</f>
        <v>5</v>
      </c>
      <c r="C1603" s="2">
        <f>COUNTIF(A$1:A1603,A1603)-1</f>
        <v>4</v>
      </c>
      <c r="D1603" s="2" t="str">
        <f>Argument!D1603</f>
        <v>vr</v>
      </c>
      <c r="E1603" s="2" t="str">
        <f t="shared" si="50"/>
        <v/>
      </c>
      <c r="F1603" s="2" t="str">
        <f>IF(C1603=0,ISTEXT(FORMULA.CONVERT("="&amp;A1603&amp;"("&amp;REPLACE(REPT(",#ref!",B1603),1,1,"")&amp;")()",1)),"")</f>
        <v/>
      </c>
      <c r="G1603" s="2">
        <f>TYPE(ACCRINTM(IF(1,1),IF(1,1),IF(1,1),{1},IF(1,1)))</f>
        <v>64</v>
      </c>
      <c r="H1603" s="2" t="str">
        <f t="shared" si="51"/>
        <v/>
      </c>
      <c r="I1603" s="2">
        <f>TYPE(ACCRINTM(IF(1,1),IF(1,1),IF(1,1),IF(1,1),IF(1,1)))</f>
        <v>1</v>
      </c>
      <c r="J1603" s="2" t="str">
        <f>IF(C1603=0,COUNTIFS(A:A,A1603,D:D,"a"),"")</f>
        <v/>
      </c>
      <c r="K1603" s="2" t="e">
        <f>INDEX(+ACCRINTM(#REF!,#REF!,#REF!,K1603:L1603,#REF!),)</f>
        <v>#REF!</v>
      </c>
      <c r="L1603" s="1">
        <v>1</v>
      </c>
      <c r="M1603" s="2" t="e">
        <f>INDEX(+ACCRINTM(#REF!,#REF!,#REF!,INDIRECT(M1603:N1603),#REF!),)</f>
        <v>#REF!</v>
      </c>
      <c r="N1603" s="1">
        <v>1</v>
      </c>
    </row>
    <row r="1604" spans="1:14" x14ac:dyDescent="0.55000000000000004">
      <c r="A1604" s="1" t="s">
        <v>1900</v>
      </c>
      <c r="B1604" s="2">
        <f>COUNTIF(A:A,A1604)-1</f>
        <v>5</v>
      </c>
      <c r="C1604" s="2">
        <f>COUNTIF(A$1:A1604,A1604)-1</f>
        <v>5</v>
      </c>
      <c r="D1604" s="2" t="str">
        <f>Argument!D1604</f>
        <v>vr</v>
      </c>
      <c r="E1604" s="2" t="str">
        <f t="shared" si="50"/>
        <v/>
      </c>
      <c r="F1604" s="2" t="str">
        <f>IF(C1604=0,ISTEXT(FORMULA.CONVERT("="&amp;A1604&amp;"("&amp;REPLACE(REPT(",#ref!",B1604),1,1,"")&amp;")()",1)),"")</f>
        <v/>
      </c>
      <c r="G1604" s="2">
        <f>TYPE(ACCRINTM(IF(1,1),IF(1,1),IF(1,1),IF(1,1),{1}))</f>
        <v>64</v>
      </c>
      <c r="H1604" s="2" t="str">
        <f t="shared" si="51"/>
        <v/>
      </c>
      <c r="I1604" s="2">
        <f>TYPE(ACCRINTM(IF(1,1),IF(1,1),IF(1,1),IF(1,1),IF(1,1)))</f>
        <v>1</v>
      </c>
      <c r="J1604" s="2" t="str">
        <f>IF(C1604=0,COUNTIFS(A:A,A1604,D:D,"a"),"")</f>
        <v/>
      </c>
      <c r="K1604" s="2" t="e">
        <f>INDEX(+ACCRINTM(#REF!,#REF!,#REF!,#REF!,K1604:L1604),)</f>
        <v>#REF!</v>
      </c>
      <c r="L1604" s="1">
        <v>1</v>
      </c>
      <c r="M1604" s="2" t="e">
        <f>INDEX(+ACCRINTM(#REF!,#REF!,#REF!,#REF!,INDIRECT(M1604:N1604)),)</f>
        <v>#REF!</v>
      </c>
      <c r="N1604" s="1">
        <v>1</v>
      </c>
    </row>
    <row r="1605" spans="1:14" x14ac:dyDescent="0.55000000000000004">
      <c r="A1605" s="1" t="s">
        <v>1901</v>
      </c>
      <c r="B1605" s="2">
        <f>COUNTIF(A:A,A1605)-1</f>
        <v>3</v>
      </c>
      <c r="C1605" s="2">
        <f>COUNTIF(A$1:A1605,A1605)-1</f>
        <v>0</v>
      </c>
      <c r="D1605" s="2" t="str">
        <f>Argument!D1605</f>
        <v/>
      </c>
      <c r="E1605" s="2" t="str">
        <f t="shared" si="50"/>
        <v>v</v>
      </c>
      <c r="F1605" s="2" t="b">
        <f>IF(C1605=0,ISTEXT(FORMULA.CONVERT("="&amp;A1605&amp;"("&amp;REPLACE(REPT(",#ref!",B1605),1,1,"")&amp;")()",1)),"")</f>
        <v>0</v>
      </c>
      <c r="G1605" s="2"/>
      <c r="H1605" s="2" t="str">
        <f t="shared" si="51"/>
        <v/>
      </c>
      <c r="I1605" s="2">
        <f>TYPE(WORKDAY(IF(1,1),IF(1,1),IF(1,1)))</f>
        <v>1</v>
      </c>
      <c r="J1605" s="2">
        <f>IF(C1605=0,COUNTIFS(A:A,A1605,D:D,"a"),"")</f>
        <v>0</v>
      </c>
      <c r="K1605" s="2"/>
      <c r="M1605" s="2"/>
    </row>
    <row r="1606" spans="1:14" x14ac:dyDescent="0.55000000000000004">
      <c r="A1606" s="1" t="s">
        <v>1901</v>
      </c>
      <c r="B1606" s="2">
        <f>COUNTIF(A:A,A1606)-1</f>
        <v>3</v>
      </c>
      <c r="C1606" s="2">
        <f>COUNTIF(A$1:A1606,A1606)-1</f>
        <v>1</v>
      </c>
      <c r="D1606" s="2" t="str">
        <f>Argument!D1606</f>
        <v>vr</v>
      </c>
      <c r="E1606" s="2" t="str">
        <f t="shared" si="50"/>
        <v/>
      </c>
      <c r="F1606" s="2" t="str">
        <f>IF(C1606=0,ISTEXT(FORMULA.CONVERT("="&amp;A1606&amp;"("&amp;REPLACE(REPT(",#ref!",B1606),1,1,"")&amp;")()",1)),"")</f>
        <v/>
      </c>
      <c r="G1606" s="2">
        <f>TYPE(WORKDAY({1},IF(1,1),IF(1,1)))</f>
        <v>64</v>
      </c>
      <c r="H1606" s="2" t="str">
        <f t="shared" si="51"/>
        <v/>
      </c>
      <c r="I1606" s="2">
        <f>TYPE(WORKDAY(IF(1,1),IF(1,1),IF(1,1)))</f>
        <v>1</v>
      </c>
      <c r="J1606" s="2" t="str">
        <f>IF(C1606=0,COUNTIFS(A:A,A1606,D:D,"a"),"")</f>
        <v/>
      </c>
      <c r="K1606" s="2" t="e">
        <f>INDEX(+WORKDAY(K1606:L1606,#REF!,#REF!),)</f>
        <v>#VALUE!</v>
      </c>
      <c r="L1606" s="1">
        <v>1</v>
      </c>
      <c r="M1606" s="2" t="e">
        <f>INDEX(+WORKDAY(INDIRECT(M1606:N1606),#REF!,#REF!),)</f>
        <v>#REF!</v>
      </c>
      <c r="N1606" s="1">
        <v>1</v>
      </c>
    </row>
    <row r="1607" spans="1:14" x14ac:dyDescent="0.55000000000000004">
      <c r="A1607" s="1" t="s">
        <v>1901</v>
      </c>
      <c r="B1607" s="2">
        <f>COUNTIF(A:A,A1607)-1</f>
        <v>3</v>
      </c>
      <c r="C1607" s="2">
        <f>COUNTIF(A$1:A1607,A1607)-1</f>
        <v>2</v>
      </c>
      <c r="D1607" s="2" t="str">
        <f>Argument!D1607</f>
        <v>vr</v>
      </c>
      <c r="E1607" s="2" t="str">
        <f t="shared" si="50"/>
        <v/>
      </c>
      <c r="F1607" s="2" t="str">
        <f>IF(C1607=0,ISTEXT(FORMULA.CONVERT("="&amp;A1607&amp;"("&amp;REPLACE(REPT(",#ref!",B1607),1,1,"")&amp;")()",1)),"")</f>
        <v/>
      </c>
      <c r="G1607" s="2">
        <f>TYPE(WORKDAY(IF(1,1),{1},IF(1,1)))</f>
        <v>64</v>
      </c>
      <c r="H1607" s="2" t="str">
        <f t="shared" si="51"/>
        <v/>
      </c>
      <c r="I1607" s="2">
        <f>TYPE(WORKDAY(IF(1,1),IF(1,1),IF(1,1)))</f>
        <v>1</v>
      </c>
      <c r="J1607" s="2" t="str">
        <f>IF(C1607=0,COUNTIFS(A:A,A1607,D:D,"a"),"")</f>
        <v/>
      </c>
      <c r="K1607" s="2" t="e">
        <f>INDEX(+WORKDAY(#REF!,K1607:L1607,#REF!),)</f>
        <v>#REF!</v>
      </c>
      <c r="L1607" s="1">
        <v>1</v>
      </c>
      <c r="M1607" s="2" t="e">
        <f>INDEX(+WORKDAY(#REF!,INDIRECT(M1607:N1607),#REF!),)</f>
        <v>#REF!</v>
      </c>
      <c r="N1607" s="1">
        <v>1</v>
      </c>
    </row>
    <row r="1608" spans="1:14" x14ac:dyDescent="0.55000000000000004">
      <c r="A1608" s="1" t="s">
        <v>1901</v>
      </c>
      <c r="B1608" s="2">
        <f>COUNTIF(A:A,A1608)-1</f>
        <v>3</v>
      </c>
      <c r="C1608" s="2">
        <f>COUNTIF(A$1:A1608,A1608)-1</f>
        <v>3</v>
      </c>
      <c r="D1608" s="2" t="str">
        <f>Argument!D1608</f>
        <v>var</v>
      </c>
      <c r="E1608" s="2" t="str">
        <f t="shared" si="50"/>
        <v/>
      </c>
      <c r="F1608" s="2" t="str">
        <f>IF(C1608=0,ISTEXT(FORMULA.CONVERT("="&amp;A1608&amp;"("&amp;REPLACE(REPT(",#ref!",B1608),1,1,"")&amp;")()",1)),"")</f>
        <v/>
      </c>
      <c r="G1608" s="2">
        <f>TYPE(WORKDAY(IF(1,1),IF(1,1),{1}))</f>
        <v>1</v>
      </c>
      <c r="H1608" s="2" t="str">
        <f t="shared" si="51"/>
        <v/>
      </c>
      <c r="I1608" s="2">
        <f>TYPE(WORKDAY(IF(1,1),IF(1,1),IF(1,1)))</f>
        <v>1</v>
      </c>
      <c r="J1608" s="2" t="str">
        <f>IF(C1608=0,COUNTIFS(A:A,A1608,D:D,"a"),"")</f>
        <v/>
      </c>
      <c r="K1608" s="2" t="e">
        <f>INDEX(+WORKDAY(#REF!,#REF!,K1608:L1608),)</f>
        <v>#REF!</v>
      </c>
      <c r="L1608" s="1">
        <v>1</v>
      </c>
      <c r="M1608" s="2" t="e">
        <f>INDEX(+WORKDAY(#REF!,#REF!,INDIRECT(M1608:N1608)),)</f>
        <v>#REF!</v>
      </c>
      <c r="N1608" s="1">
        <v>1</v>
      </c>
    </row>
    <row r="1609" spans="1:14" x14ac:dyDescent="0.55000000000000004">
      <c r="A1609" s="1" t="s">
        <v>1902</v>
      </c>
      <c r="B1609" s="2">
        <f>COUNTIF(A:A,A1609)-1</f>
        <v>3</v>
      </c>
      <c r="C1609" s="2">
        <f>COUNTIF(A$1:A1609,A1609)-1</f>
        <v>0</v>
      </c>
      <c r="D1609" s="2" t="str">
        <f>Argument!D1609</f>
        <v/>
      </c>
      <c r="E1609" s="2" t="str">
        <f t="shared" si="50"/>
        <v>v</v>
      </c>
      <c r="F1609" s="2" t="b">
        <f>IF(C1609=0,ISTEXT(FORMULA.CONVERT("="&amp;A1609&amp;"("&amp;REPLACE(REPT(",#ref!",B1609),1,1,"")&amp;")()",1)),"")</f>
        <v>0</v>
      </c>
      <c r="G1609" s="2"/>
      <c r="H1609" s="2" t="str">
        <f t="shared" si="51"/>
        <v/>
      </c>
      <c r="I1609" s="2">
        <f>TYPE(NETWORKDAYS(IF(1,1),IF(1,1),IF(1,1)))</f>
        <v>1</v>
      </c>
      <c r="J1609" s="2">
        <f>IF(C1609=0,COUNTIFS(A:A,A1609,D:D,"a"),"")</f>
        <v>0</v>
      </c>
      <c r="K1609" s="2"/>
      <c r="M1609" s="2"/>
    </row>
    <row r="1610" spans="1:14" x14ac:dyDescent="0.55000000000000004">
      <c r="A1610" s="1" t="s">
        <v>1902</v>
      </c>
      <c r="B1610" s="2">
        <f>COUNTIF(A:A,A1610)-1</f>
        <v>3</v>
      </c>
      <c r="C1610" s="2">
        <f>COUNTIF(A$1:A1610,A1610)-1</f>
        <v>1</v>
      </c>
      <c r="D1610" s="2" t="str">
        <f>Argument!D1610</f>
        <v>vr</v>
      </c>
      <c r="E1610" s="2" t="str">
        <f t="shared" si="50"/>
        <v/>
      </c>
      <c r="F1610" s="2" t="str">
        <f>IF(C1610=0,ISTEXT(FORMULA.CONVERT("="&amp;A1610&amp;"("&amp;REPLACE(REPT(",#ref!",B1610),1,1,"")&amp;")()",1)),"")</f>
        <v/>
      </c>
      <c r="G1610" s="2">
        <f>TYPE(NETWORKDAYS({1},IF(1,1),IF(1,1)))</f>
        <v>64</v>
      </c>
      <c r="H1610" s="2" t="str">
        <f t="shared" si="51"/>
        <v/>
      </c>
      <c r="I1610" s="2">
        <f>TYPE(NETWORKDAYS(IF(1,1),IF(1,1),IF(1,1)))</f>
        <v>1</v>
      </c>
      <c r="J1610" s="2" t="str">
        <f>IF(C1610=0,COUNTIFS(A:A,A1610,D:D,"a"),"")</f>
        <v/>
      </c>
      <c r="K1610" s="2" t="e">
        <f>INDEX(+NETWORKDAYS(K1610:L1610,#REF!,#REF!),)</f>
        <v>#VALUE!</v>
      </c>
      <c r="L1610" s="1">
        <v>1</v>
      </c>
      <c r="M1610" s="2" t="e">
        <f>INDEX(+NETWORKDAYS(INDIRECT(M1610:N1610),#REF!,#REF!),)</f>
        <v>#REF!</v>
      </c>
      <c r="N1610" s="1">
        <v>1</v>
      </c>
    </row>
    <row r="1611" spans="1:14" x14ac:dyDescent="0.55000000000000004">
      <c r="A1611" s="1" t="s">
        <v>1902</v>
      </c>
      <c r="B1611" s="2">
        <f>COUNTIF(A:A,A1611)-1</f>
        <v>3</v>
      </c>
      <c r="C1611" s="2">
        <f>COUNTIF(A$1:A1611,A1611)-1</f>
        <v>2</v>
      </c>
      <c r="D1611" s="2" t="str">
        <f>Argument!D1611</f>
        <v>vr</v>
      </c>
      <c r="E1611" s="2" t="str">
        <f t="shared" si="50"/>
        <v/>
      </c>
      <c r="F1611" s="2" t="str">
        <f>IF(C1611=0,ISTEXT(FORMULA.CONVERT("="&amp;A1611&amp;"("&amp;REPLACE(REPT(",#ref!",B1611),1,1,"")&amp;")()",1)),"")</f>
        <v/>
      </c>
      <c r="G1611" s="2">
        <f>TYPE(NETWORKDAYS(IF(1,1),{1},IF(1,1)))</f>
        <v>64</v>
      </c>
      <c r="H1611" s="2" t="str">
        <f t="shared" si="51"/>
        <v/>
      </c>
      <c r="I1611" s="2">
        <f>TYPE(NETWORKDAYS(IF(1,1),IF(1,1),IF(1,1)))</f>
        <v>1</v>
      </c>
      <c r="J1611" s="2" t="str">
        <f>IF(C1611=0,COUNTIFS(A:A,A1611,D:D,"a"),"")</f>
        <v/>
      </c>
      <c r="K1611" s="2" t="e">
        <f>INDEX(+NETWORKDAYS(#REF!,K1611:L1611,#REF!),)</f>
        <v>#REF!</v>
      </c>
      <c r="L1611" s="1">
        <v>1</v>
      </c>
      <c r="M1611" s="2" t="e">
        <f>INDEX(+NETWORKDAYS(#REF!,INDIRECT(M1611:N1611),#REF!),)</f>
        <v>#REF!</v>
      </c>
      <c r="N1611" s="1">
        <v>1</v>
      </c>
    </row>
    <row r="1612" spans="1:14" x14ac:dyDescent="0.55000000000000004">
      <c r="A1612" s="1" t="s">
        <v>1902</v>
      </c>
      <c r="B1612" s="2">
        <f>COUNTIF(A:A,A1612)-1</f>
        <v>3</v>
      </c>
      <c r="C1612" s="2">
        <f>COUNTIF(A$1:A1612,A1612)-1</f>
        <v>3</v>
      </c>
      <c r="D1612" s="2" t="str">
        <f>Argument!D1612</f>
        <v>var</v>
      </c>
      <c r="E1612" s="2" t="str">
        <f t="shared" si="50"/>
        <v/>
      </c>
      <c r="F1612" s="2" t="str">
        <f>IF(C1612=0,ISTEXT(FORMULA.CONVERT("="&amp;A1612&amp;"("&amp;REPLACE(REPT(",#ref!",B1612),1,1,"")&amp;")()",1)),"")</f>
        <v/>
      </c>
      <c r="G1612" s="2">
        <f>TYPE(NETWORKDAYS(IF(1,1),IF(1,1),{1}))</f>
        <v>1</v>
      </c>
      <c r="H1612" s="2" t="str">
        <f t="shared" si="51"/>
        <v/>
      </c>
      <c r="I1612" s="2">
        <f>TYPE(NETWORKDAYS(IF(1,1),IF(1,1),IF(1,1)))</f>
        <v>1</v>
      </c>
      <c r="J1612" s="2" t="str">
        <f>IF(C1612=0,COUNTIFS(A:A,A1612,D:D,"a"),"")</f>
        <v/>
      </c>
      <c r="K1612" s="2" t="e">
        <f>INDEX(+NETWORKDAYS(#REF!,#REF!,K1612:L1612),)</f>
        <v>#REF!</v>
      </c>
      <c r="L1612" s="1">
        <v>1</v>
      </c>
      <c r="M1612" s="2" t="e">
        <f>INDEX(+NETWORKDAYS(#REF!,#REF!,INDIRECT(M1612:N1612)),)</f>
        <v>#REF!</v>
      </c>
      <c r="N1612" s="1">
        <v>1</v>
      </c>
    </row>
    <row r="1613" spans="1:14" x14ac:dyDescent="0.55000000000000004">
      <c r="A1613" s="1" t="s">
        <v>1903</v>
      </c>
      <c r="B1613" s="2">
        <f>COUNTIF(A:A,A1613)-1</f>
        <v>3</v>
      </c>
      <c r="C1613" s="2">
        <f>COUNTIF(A$1:A1613,A1613)-1</f>
        <v>0</v>
      </c>
      <c r="D1613" s="2" t="str">
        <f>Argument!D1613</f>
        <v/>
      </c>
      <c r="E1613" s="2" t="str">
        <f t="shared" si="50"/>
        <v>v</v>
      </c>
      <c r="F1613" s="2" t="b">
        <f>IF(C1613=0,ISTEXT(FORMULA.CONVERT("="&amp;A1613&amp;"("&amp;REPLACE(REPT(",#ref!",B1613),1,1,"")&amp;")()",1)),"")</f>
        <v>0</v>
      </c>
      <c r="G1613" s="2"/>
      <c r="H1613" s="2" t="str">
        <f t="shared" si="51"/>
        <v/>
      </c>
      <c r="I1613" s="2">
        <f>TYPE(GCD(IF(1,1),IF(1,1),IF(1,1)))</f>
        <v>1</v>
      </c>
      <c r="J1613" s="2">
        <f>IF(C1613=0,COUNTIFS(A:A,A1613,D:D,"a"),"")</f>
        <v>0</v>
      </c>
      <c r="K1613" s="2"/>
      <c r="M1613" s="2"/>
    </row>
    <row r="1614" spans="1:14" x14ac:dyDescent="0.55000000000000004">
      <c r="A1614" s="1" t="s">
        <v>1903</v>
      </c>
      <c r="B1614" s="2">
        <f>COUNTIF(A:A,A1614)-1</f>
        <v>3</v>
      </c>
      <c r="C1614" s="2">
        <f>COUNTIF(A$1:A1614,A1614)-1</f>
        <v>1</v>
      </c>
      <c r="D1614" s="2" t="str">
        <f>Argument!D1614</f>
        <v>var</v>
      </c>
      <c r="E1614" s="2" t="str">
        <f t="shared" si="50"/>
        <v/>
      </c>
      <c r="F1614" s="2" t="str">
        <f>IF(C1614=0,ISTEXT(FORMULA.CONVERT("="&amp;A1614&amp;"("&amp;REPLACE(REPT(",#ref!",B1614),1,1,"")&amp;")()",1)),"")</f>
        <v/>
      </c>
      <c r="G1614" s="2">
        <f>TYPE(GCD({1},IF(1,1),IF(1,1)))</f>
        <v>1</v>
      </c>
      <c r="H1614" s="2" t="str">
        <f t="shared" si="51"/>
        <v/>
      </c>
      <c r="I1614" s="2">
        <f>TYPE(GCD(IF(1,1),IF(1,1),IF(1,1)))</f>
        <v>1</v>
      </c>
      <c r="J1614" s="2" t="str">
        <f>IF(C1614=0,COUNTIFS(A:A,A1614,D:D,"a"),"")</f>
        <v/>
      </c>
      <c r="K1614" s="2" t="e">
        <f>INDEX(+GCD(K1614:L1614,#REF!,#REF!),)</f>
        <v>#REF!</v>
      </c>
      <c r="L1614" s="1">
        <v>1</v>
      </c>
      <c r="M1614" s="2" t="e">
        <f>INDEX(+GCD(INDIRECT(M1614:N1614),#REF!,#REF!),)</f>
        <v>#REF!</v>
      </c>
      <c r="N1614" s="1">
        <v>1</v>
      </c>
    </row>
    <row r="1615" spans="1:14" x14ac:dyDescent="0.55000000000000004">
      <c r="A1615" s="1" t="s">
        <v>1903</v>
      </c>
      <c r="B1615" s="2">
        <f>COUNTIF(A:A,A1615)-1</f>
        <v>3</v>
      </c>
      <c r="C1615" s="2">
        <f>COUNTIF(A$1:A1615,A1615)-1</f>
        <v>2</v>
      </c>
      <c r="D1615" s="2" t="str">
        <f>Argument!D1615</f>
        <v>var</v>
      </c>
      <c r="E1615" s="2" t="str">
        <f t="shared" si="50"/>
        <v/>
      </c>
      <c r="F1615" s="2" t="str">
        <f>IF(C1615=0,ISTEXT(FORMULA.CONVERT("="&amp;A1615&amp;"("&amp;REPLACE(REPT(",#ref!",B1615),1,1,"")&amp;")()",1)),"")</f>
        <v/>
      </c>
      <c r="G1615" s="2">
        <f>TYPE(GCD(IF(1,1),{1},IF(1,1)))</f>
        <v>1</v>
      </c>
      <c r="H1615" s="2" t="str">
        <f t="shared" si="51"/>
        <v/>
      </c>
      <c r="I1615" s="2">
        <f>TYPE(GCD(IF(1,1),IF(1,1),IF(1,1)))</f>
        <v>1</v>
      </c>
      <c r="J1615" s="2" t="str">
        <f>IF(C1615=0,COUNTIFS(A:A,A1615,D:D,"a"),"")</f>
        <v/>
      </c>
      <c r="K1615" s="2" t="e">
        <f>INDEX(+GCD(#REF!,K1615:L1615,#REF!),)</f>
        <v>#REF!</v>
      </c>
      <c r="L1615" s="1">
        <v>1</v>
      </c>
      <c r="M1615" s="2" t="e">
        <f>INDEX(+GCD(#REF!,INDIRECT(M1615:N1615),#REF!),)</f>
        <v>#REF!</v>
      </c>
      <c r="N1615" s="1">
        <v>1</v>
      </c>
    </row>
    <row r="1616" spans="1:14" x14ac:dyDescent="0.55000000000000004">
      <c r="A1616" s="1" t="s">
        <v>1903</v>
      </c>
      <c r="B1616" s="2">
        <f>COUNTIF(A:A,A1616)-1</f>
        <v>3</v>
      </c>
      <c r="C1616" s="2">
        <f>COUNTIF(A$1:A1616,A1616)-1</f>
        <v>3</v>
      </c>
      <c r="D1616" s="2" t="str">
        <f>Argument!D1616</f>
        <v>var</v>
      </c>
      <c r="E1616" s="2" t="str">
        <f t="shared" si="50"/>
        <v/>
      </c>
      <c r="F1616" s="2" t="str">
        <f>IF(C1616=0,ISTEXT(FORMULA.CONVERT("="&amp;A1616&amp;"("&amp;REPLACE(REPT(",#ref!",B1616),1,1,"")&amp;")()",1)),"")</f>
        <v/>
      </c>
      <c r="G1616" s="2">
        <f>TYPE(GCD(IF(1,1),IF(1,1),{1}))</f>
        <v>1</v>
      </c>
      <c r="H1616" s="2" t="str">
        <f t="shared" si="51"/>
        <v/>
      </c>
      <c r="I1616" s="2">
        <f>TYPE(GCD(IF(1,1),IF(1,1),IF(1,1)))</f>
        <v>1</v>
      </c>
      <c r="J1616" s="2" t="str">
        <f>IF(C1616=0,COUNTIFS(A:A,A1616,D:D,"a"),"")</f>
        <v/>
      </c>
      <c r="K1616" s="2" t="e">
        <f>INDEX(+GCD(#REF!,#REF!,K1616:L1616),)</f>
        <v>#REF!</v>
      </c>
      <c r="L1616" s="1">
        <v>1</v>
      </c>
      <c r="M1616" s="2" t="e">
        <f>INDEX(+GCD(#REF!,#REF!,INDIRECT(M1616:N1616)),)</f>
        <v>#REF!</v>
      </c>
      <c r="N1616" s="1">
        <v>1</v>
      </c>
    </row>
    <row r="1617" spans="1:14" x14ac:dyDescent="0.55000000000000004">
      <c r="A1617" s="1" t="s">
        <v>1904</v>
      </c>
      <c r="B1617" s="2">
        <f>COUNTIF(A:A,A1617)-1</f>
        <v>3</v>
      </c>
      <c r="C1617" s="2">
        <f>COUNTIF(A$1:A1617,A1617)-1</f>
        <v>0</v>
      </c>
      <c r="D1617" s="2" t="str">
        <f>Argument!D1617</f>
        <v/>
      </c>
      <c r="E1617" s="2" t="str">
        <f t="shared" si="50"/>
        <v>v</v>
      </c>
      <c r="F1617" s="2" t="b">
        <f>IF(C1617=0,ISTEXT(FORMULA.CONVERT("="&amp;A1617&amp;"("&amp;REPLACE(REPT(",#ref!",B1617),1,1,"")&amp;")()",1)),"")</f>
        <v>0</v>
      </c>
      <c r="G1617" s="2"/>
      <c r="H1617" s="2" t="str">
        <f t="shared" si="51"/>
        <v/>
      </c>
      <c r="I1617" s="2">
        <f>TYPE(MULTINOMIAL(IF(1,1),IF(1,1),IF(1,1)))</f>
        <v>1</v>
      </c>
      <c r="J1617" s="2">
        <f>IF(C1617=0,COUNTIFS(A:A,A1617,D:D,"a"),"")</f>
        <v>0</v>
      </c>
      <c r="K1617" s="2"/>
      <c r="M1617" s="2"/>
    </row>
    <row r="1618" spans="1:14" x14ac:dyDescent="0.55000000000000004">
      <c r="A1618" s="1" t="s">
        <v>1904</v>
      </c>
      <c r="B1618" s="2">
        <f>COUNTIF(A:A,A1618)-1</f>
        <v>3</v>
      </c>
      <c r="C1618" s="2">
        <f>COUNTIF(A$1:A1618,A1618)-1</f>
        <v>1</v>
      </c>
      <c r="D1618" s="2" t="str">
        <f>Argument!D1618</f>
        <v>var</v>
      </c>
      <c r="E1618" s="2" t="str">
        <f t="shared" si="50"/>
        <v/>
      </c>
      <c r="F1618" s="2" t="str">
        <f>IF(C1618=0,ISTEXT(FORMULA.CONVERT("="&amp;A1618&amp;"("&amp;REPLACE(REPT(",#ref!",B1618),1,1,"")&amp;")()",1)),"")</f>
        <v/>
      </c>
      <c r="G1618" s="2">
        <f>TYPE(MULTINOMIAL({1},IF(1,1),IF(1,1)))</f>
        <v>1</v>
      </c>
      <c r="H1618" s="2" t="str">
        <f t="shared" si="51"/>
        <v/>
      </c>
      <c r="I1618" s="2">
        <f>TYPE(MULTINOMIAL(IF(1,1),IF(1,1),IF(1,1)))</f>
        <v>1</v>
      </c>
      <c r="J1618" s="2" t="str">
        <f>IF(C1618=0,COUNTIFS(A:A,A1618,D:D,"a"),"")</f>
        <v/>
      </c>
      <c r="K1618" s="2" t="e">
        <f>INDEX(+MULTINOMIAL(K1618:L1618,#REF!,#REF!),)</f>
        <v>#REF!</v>
      </c>
      <c r="L1618" s="1">
        <v>1</v>
      </c>
      <c r="M1618" s="2" t="e">
        <f>INDEX(+MULTINOMIAL(INDIRECT(M1618:N1618),#REF!,#REF!),)</f>
        <v>#REF!</v>
      </c>
      <c r="N1618" s="1">
        <v>1</v>
      </c>
    </row>
    <row r="1619" spans="1:14" x14ac:dyDescent="0.55000000000000004">
      <c r="A1619" s="1" t="s">
        <v>1904</v>
      </c>
      <c r="B1619" s="2">
        <f>COUNTIF(A:A,A1619)-1</f>
        <v>3</v>
      </c>
      <c r="C1619" s="2">
        <f>COUNTIF(A$1:A1619,A1619)-1</f>
        <v>2</v>
      </c>
      <c r="D1619" s="2" t="str">
        <f>Argument!D1619</f>
        <v>var</v>
      </c>
      <c r="E1619" s="2" t="str">
        <f t="shared" si="50"/>
        <v/>
      </c>
      <c r="F1619" s="2" t="str">
        <f>IF(C1619=0,ISTEXT(FORMULA.CONVERT("="&amp;A1619&amp;"("&amp;REPLACE(REPT(",#ref!",B1619),1,1,"")&amp;")()",1)),"")</f>
        <v/>
      </c>
      <c r="G1619" s="2">
        <f>TYPE(MULTINOMIAL(IF(1,1),{1},IF(1,1)))</f>
        <v>1</v>
      </c>
      <c r="H1619" s="2" t="str">
        <f t="shared" si="51"/>
        <v/>
      </c>
      <c r="I1619" s="2">
        <f>TYPE(MULTINOMIAL(IF(1,1),IF(1,1),IF(1,1)))</f>
        <v>1</v>
      </c>
      <c r="J1619" s="2" t="str">
        <f>IF(C1619=0,COUNTIFS(A:A,A1619,D:D,"a"),"")</f>
        <v/>
      </c>
      <c r="K1619" s="2" t="e">
        <f>INDEX(+MULTINOMIAL(#REF!,K1619:L1619,#REF!),)</f>
        <v>#REF!</v>
      </c>
      <c r="L1619" s="1">
        <v>1</v>
      </c>
      <c r="M1619" s="2" t="e">
        <f>INDEX(+MULTINOMIAL(#REF!,INDIRECT(M1619:N1619),#REF!),)</f>
        <v>#REF!</v>
      </c>
      <c r="N1619" s="1">
        <v>1</v>
      </c>
    </row>
    <row r="1620" spans="1:14" x14ac:dyDescent="0.55000000000000004">
      <c r="A1620" s="1" t="s">
        <v>1904</v>
      </c>
      <c r="B1620" s="2">
        <f>COUNTIF(A:A,A1620)-1</f>
        <v>3</v>
      </c>
      <c r="C1620" s="2">
        <f>COUNTIF(A$1:A1620,A1620)-1</f>
        <v>3</v>
      </c>
      <c r="D1620" s="2" t="str">
        <f>Argument!D1620</f>
        <v>var</v>
      </c>
      <c r="E1620" s="2" t="str">
        <f t="shared" si="50"/>
        <v/>
      </c>
      <c r="F1620" s="2" t="str">
        <f>IF(C1620=0,ISTEXT(FORMULA.CONVERT("="&amp;A1620&amp;"("&amp;REPLACE(REPT(",#ref!",B1620),1,1,"")&amp;")()",1)),"")</f>
        <v/>
      </c>
      <c r="G1620" s="2">
        <f>TYPE(MULTINOMIAL(IF(1,1),IF(1,1),{1}))</f>
        <v>1</v>
      </c>
      <c r="H1620" s="2" t="str">
        <f t="shared" si="51"/>
        <v/>
      </c>
      <c r="I1620" s="2">
        <f>TYPE(MULTINOMIAL(IF(1,1),IF(1,1),IF(1,1)))</f>
        <v>1</v>
      </c>
      <c r="J1620" s="2" t="str">
        <f>IF(C1620=0,COUNTIFS(A:A,A1620,D:D,"a"),"")</f>
        <v/>
      </c>
      <c r="K1620" s="2" t="e">
        <f>INDEX(+MULTINOMIAL(#REF!,#REF!,K1620:L1620),)</f>
        <v>#REF!</v>
      </c>
      <c r="L1620" s="1">
        <v>1</v>
      </c>
      <c r="M1620" s="2" t="e">
        <f>INDEX(+MULTINOMIAL(#REF!,#REF!,INDIRECT(M1620:N1620)),)</f>
        <v>#REF!</v>
      </c>
      <c r="N1620" s="1">
        <v>1</v>
      </c>
    </row>
    <row r="1621" spans="1:14" x14ac:dyDescent="0.55000000000000004">
      <c r="A1621" s="1" t="s">
        <v>1905</v>
      </c>
      <c r="B1621" s="2">
        <f>COUNTIF(A:A,A1621)-1</f>
        <v>3</v>
      </c>
      <c r="C1621" s="2">
        <f>COUNTIF(A$1:A1621,A1621)-1</f>
        <v>0</v>
      </c>
      <c r="D1621" s="2" t="str">
        <f>Argument!D1621</f>
        <v/>
      </c>
      <c r="E1621" s="2" t="str">
        <f t="shared" si="50"/>
        <v>v</v>
      </c>
      <c r="F1621" s="2" t="b">
        <f>IF(C1621=0,ISTEXT(FORMULA.CONVERT("="&amp;A1621&amp;"("&amp;REPLACE(REPT(",#ref!",B1621),1,1,"")&amp;")()",1)),"")</f>
        <v>0</v>
      </c>
      <c r="G1621" s="2"/>
      <c r="H1621" s="2" t="str">
        <f t="shared" si="51"/>
        <v/>
      </c>
      <c r="I1621" s="2">
        <f>TYPE(LCM(IF(1,1),IF(1,1),IF(1,1)))</f>
        <v>1</v>
      </c>
      <c r="J1621" s="2">
        <f>IF(C1621=0,COUNTIFS(A:A,A1621,D:D,"a"),"")</f>
        <v>0</v>
      </c>
      <c r="K1621" s="2"/>
      <c r="M1621" s="2"/>
    </row>
    <row r="1622" spans="1:14" x14ac:dyDescent="0.55000000000000004">
      <c r="A1622" s="1" t="s">
        <v>1905</v>
      </c>
      <c r="B1622" s="2">
        <f>COUNTIF(A:A,A1622)-1</f>
        <v>3</v>
      </c>
      <c r="C1622" s="2">
        <f>COUNTIF(A$1:A1622,A1622)-1</f>
        <v>1</v>
      </c>
      <c r="D1622" s="2" t="str">
        <f>Argument!D1622</f>
        <v>var</v>
      </c>
      <c r="E1622" s="2" t="str">
        <f t="shared" si="50"/>
        <v/>
      </c>
      <c r="F1622" s="2" t="str">
        <f>IF(C1622=0,ISTEXT(FORMULA.CONVERT("="&amp;A1622&amp;"("&amp;REPLACE(REPT(",#ref!",B1622),1,1,"")&amp;")()",1)),"")</f>
        <v/>
      </c>
      <c r="G1622" s="2">
        <f>TYPE(LCM({1},IF(1,1),IF(1,1)))</f>
        <v>1</v>
      </c>
      <c r="H1622" s="2" t="str">
        <f t="shared" si="51"/>
        <v/>
      </c>
      <c r="I1622" s="2">
        <f>TYPE(LCM(IF(1,1),IF(1,1),IF(1,1)))</f>
        <v>1</v>
      </c>
      <c r="J1622" s="2" t="str">
        <f>IF(C1622=0,COUNTIFS(A:A,A1622,D:D,"a"),"")</f>
        <v/>
      </c>
      <c r="K1622" s="2" t="e">
        <f>INDEX(+LCM(K1622:L1622,#REF!,#REF!),)</f>
        <v>#REF!</v>
      </c>
      <c r="L1622" s="1">
        <v>1</v>
      </c>
      <c r="M1622" s="2" t="e">
        <f>INDEX(+LCM(INDIRECT(M1622:N1622),#REF!,#REF!),)</f>
        <v>#REF!</v>
      </c>
      <c r="N1622" s="1">
        <v>1</v>
      </c>
    </row>
    <row r="1623" spans="1:14" x14ac:dyDescent="0.55000000000000004">
      <c r="A1623" s="1" t="s">
        <v>1905</v>
      </c>
      <c r="B1623" s="2">
        <f>COUNTIF(A:A,A1623)-1</f>
        <v>3</v>
      </c>
      <c r="C1623" s="2">
        <f>COUNTIF(A$1:A1623,A1623)-1</f>
        <v>2</v>
      </c>
      <c r="D1623" s="2" t="str">
        <f>Argument!D1623</f>
        <v>var</v>
      </c>
      <c r="E1623" s="2" t="str">
        <f t="shared" si="50"/>
        <v/>
      </c>
      <c r="F1623" s="2" t="str">
        <f>IF(C1623=0,ISTEXT(FORMULA.CONVERT("="&amp;A1623&amp;"("&amp;REPLACE(REPT(",#ref!",B1623),1,1,"")&amp;")()",1)),"")</f>
        <v/>
      </c>
      <c r="G1623" s="2">
        <f>TYPE(LCM(IF(1,1),{1},IF(1,1)))</f>
        <v>1</v>
      </c>
      <c r="H1623" s="2" t="str">
        <f t="shared" si="51"/>
        <v/>
      </c>
      <c r="I1623" s="2">
        <f>TYPE(LCM(IF(1,1),IF(1,1),IF(1,1)))</f>
        <v>1</v>
      </c>
      <c r="J1623" s="2" t="str">
        <f>IF(C1623=0,COUNTIFS(A:A,A1623,D:D,"a"),"")</f>
        <v/>
      </c>
      <c r="K1623" s="2" t="e">
        <f>INDEX(+LCM(#REF!,K1623:L1623,#REF!),)</f>
        <v>#REF!</v>
      </c>
      <c r="L1623" s="1">
        <v>1</v>
      </c>
      <c r="M1623" s="2" t="e">
        <f>INDEX(+LCM(#REF!,INDIRECT(M1623:N1623),#REF!),)</f>
        <v>#REF!</v>
      </c>
      <c r="N1623" s="1">
        <v>1</v>
      </c>
    </row>
    <row r="1624" spans="1:14" x14ac:dyDescent="0.55000000000000004">
      <c r="A1624" s="1" t="s">
        <v>1905</v>
      </c>
      <c r="B1624" s="2">
        <f>COUNTIF(A:A,A1624)-1</f>
        <v>3</v>
      </c>
      <c r="C1624" s="2">
        <f>COUNTIF(A$1:A1624,A1624)-1</f>
        <v>3</v>
      </c>
      <c r="D1624" s="2" t="str">
        <f>Argument!D1624</f>
        <v>var</v>
      </c>
      <c r="E1624" s="2" t="str">
        <f t="shared" si="50"/>
        <v/>
      </c>
      <c r="F1624" s="2" t="str">
        <f>IF(C1624=0,ISTEXT(FORMULA.CONVERT("="&amp;A1624&amp;"("&amp;REPLACE(REPT(",#ref!",B1624),1,1,"")&amp;")()",1)),"")</f>
        <v/>
      </c>
      <c r="G1624" s="2">
        <f>TYPE(LCM(IF(1,1),IF(1,1),{1}))</f>
        <v>1</v>
      </c>
      <c r="H1624" s="2" t="str">
        <f t="shared" si="51"/>
        <v/>
      </c>
      <c r="I1624" s="2">
        <f>TYPE(LCM(IF(1,1),IF(1,1),IF(1,1)))</f>
        <v>1</v>
      </c>
      <c r="J1624" s="2" t="str">
        <f>IF(C1624=0,COUNTIFS(A:A,A1624,D:D,"a"),"")</f>
        <v/>
      </c>
      <c r="K1624" s="2" t="e">
        <f>INDEX(+LCM(#REF!,#REF!,K1624:L1624),)</f>
        <v>#REF!</v>
      </c>
      <c r="L1624" s="1">
        <v>1</v>
      </c>
      <c r="M1624" s="2" t="e">
        <f>INDEX(+LCM(#REF!,#REF!,INDIRECT(M1624:N1624)),)</f>
        <v>#REF!</v>
      </c>
      <c r="N1624" s="1">
        <v>1</v>
      </c>
    </row>
    <row r="1625" spans="1:14" x14ac:dyDescent="0.55000000000000004">
      <c r="A1625" s="1" t="s">
        <v>1906</v>
      </c>
      <c r="B1625" s="2">
        <f>COUNTIF(A:A,A1625)-1</f>
        <v>2</v>
      </c>
      <c r="C1625" s="2">
        <f>COUNTIF(A$1:A1625,A1625)-1</f>
        <v>0</v>
      </c>
      <c r="D1625" s="2" t="str">
        <f>Argument!D1625</f>
        <v/>
      </c>
      <c r="E1625" s="2" t="str">
        <f t="shared" si="50"/>
        <v>v</v>
      </c>
      <c r="F1625" s="2" t="b">
        <f>IF(C1625=0,ISTEXT(FORMULA.CONVERT("="&amp;A1625&amp;"("&amp;REPLACE(REPT(",#ref!",B1625),1,1,"")&amp;")()",1)),"")</f>
        <v>0</v>
      </c>
      <c r="G1625" s="2"/>
      <c r="H1625" s="2" t="str">
        <f t="shared" si="51"/>
        <v/>
      </c>
      <c r="I1625" s="2">
        <f>TYPE(FVSCHEDULE(IF(1,1),IF(1,1)))</f>
        <v>1</v>
      </c>
      <c r="J1625" s="2">
        <f>IF(C1625=0,COUNTIFS(A:A,A1625,D:D,"a"),"")</f>
        <v>0</v>
      </c>
      <c r="K1625" s="2"/>
      <c r="M1625" s="2"/>
    </row>
    <row r="1626" spans="1:14" x14ac:dyDescent="0.55000000000000004">
      <c r="A1626" s="1" t="s">
        <v>1906</v>
      </c>
      <c r="B1626" s="2">
        <f>COUNTIF(A:A,A1626)-1</f>
        <v>2</v>
      </c>
      <c r="C1626" s="2">
        <f>COUNTIF(A$1:A1626,A1626)-1</f>
        <v>1</v>
      </c>
      <c r="D1626" s="2" t="str">
        <f>Argument!D1626</f>
        <v>vr</v>
      </c>
      <c r="E1626" s="2" t="str">
        <f t="shared" si="50"/>
        <v/>
      </c>
      <c r="F1626" s="2" t="str">
        <f>IF(C1626=0,ISTEXT(FORMULA.CONVERT("="&amp;A1626&amp;"("&amp;REPLACE(REPT(",#ref!",B1626),1,1,"")&amp;")()",1)),"")</f>
        <v/>
      </c>
      <c r="G1626" s="2">
        <f>TYPE(FVSCHEDULE({1},IF(1,1)))</f>
        <v>64</v>
      </c>
      <c r="H1626" s="2" t="str">
        <f t="shared" si="51"/>
        <v/>
      </c>
      <c r="I1626" s="2">
        <f>TYPE(FVSCHEDULE(IF(1,1),IF(1,1)))</f>
        <v>1</v>
      </c>
      <c r="J1626" s="2" t="str">
        <f>IF(C1626=0,COUNTIFS(A:A,A1626,D:D,"a"),"")</f>
        <v/>
      </c>
      <c r="K1626" s="2" t="e">
        <f>INDEX(+FVSCHEDULE(K1626:L1626,#REF!),)</f>
        <v>#VALUE!</v>
      </c>
      <c r="L1626" s="1">
        <v>1</v>
      </c>
      <c r="M1626" s="2" t="e">
        <f>INDEX(+FVSCHEDULE(INDIRECT(M1626:N1626),#REF!),)</f>
        <v>#REF!</v>
      </c>
      <c r="N1626" s="1">
        <v>1</v>
      </c>
    </row>
    <row r="1627" spans="1:14" x14ac:dyDescent="0.55000000000000004">
      <c r="A1627" s="1" t="s">
        <v>1906</v>
      </c>
      <c r="B1627" s="2">
        <f>COUNTIF(A:A,A1627)-1</f>
        <v>2</v>
      </c>
      <c r="C1627" s="2">
        <f>COUNTIF(A$1:A1627,A1627)-1</f>
        <v>2</v>
      </c>
      <c r="D1627" s="2" t="str">
        <f>Argument!D1627</f>
        <v>var</v>
      </c>
      <c r="E1627" s="2" t="str">
        <f t="shared" si="50"/>
        <v/>
      </c>
      <c r="F1627" s="2" t="str">
        <f>IF(C1627=0,ISTEXT(FORMULA.CONVERT("="&amp;A1627&amp;"("&amp;REPLACE(REPT(",#ref!",B1627),1,1,"")&amp;")()",1)),"")</f>
        <v/>
      </c>
      <c r="G1627" s="2">
        <f>TYPE(FVSCHEDULE(IF(1,1),{1}))</f>
        <v>1</v>
      </c>
      <c r="H1627" s="2" t="str">
        <f t="shared" si="51"/>
        <v/>
      </c>
      <c r="I1627" s="2">
        <f>TYPE(FVSCHEDULE(IF(1,1),IF(1,1)))</f>
        <v>1</v>
      </c>
      <c r="J1627" s="2" t="str">
        <f>IF(C1627=0,COUNTIFS(A:A,A1627,D:D,"a"),"")</f>
        <v/>
      </c>
      <c r="K1627" s="2" t="e">
        <f>INDEX(+FVSCHEDULE(#REF!,K1627:L1627),)</f>
        <v>#REF!</v>
      </c>
      <c r="L1627" s="1">
        <v>1</v>
      </c>
      <c r="M1627" s="2" t="e">
        <f>INDEX(+FVSCHEDULE(#REF!,INDIRECT(M1627:N1627)),)</f>
        <v>#REF!</v>
      </c>
      <c r="N1627" s="1">
        <v>1</v>
      </c>
    </row>
    <row r="1628" spans="1:14" x14ac:dyDescent="0.55000000000000004">
      <c r="A1628" s="1" t="s">
        <v>1907</v>
      </c>
      <c r="B1628" s="2">
        <f>COUNTIF(A:A,A1628)-1</f>
        <v>4</v>
      </c>
      <c r="C1628" s="2">
        <f>COUNTIF(A$1:A1628,A1628)-1</f>
        <v>0</v>
      </c>
      <c r="D1628" s="2" t="str">
        <f>Argument!D1628</f>
        <v/>
      </c>
      <c r="E1628" s="2" t="str">
        <f t="shared" si="50"/>
        <v>v</v>
      </c>
      <c r="F1628" s="2" t="b">
        <f>IF(C1628=0,ISTEXT(FORMULA.CONVERT("="&amp;A1628&amp;"("&amp;REPLACE(REPT(",#ref!",B1628),1,1,"")&amp;")()",1)),"")</f>
        <v>0</v>
      </c>
      <c r="G1628" s="2"/>
      <c r="H1628" s="2" t="str">
        <f t="shared" si="51"/>
        <v/>
      </c>
      <c r="I1628" s="2">
        <f>TYPE(CUBEKPIMEMBER(IF(1,1),IF(1,1),IF(1,1),IF(1,1)))</f>
        <v>16</v>
      </c>
      <c r="J1628" s="2">
        <f>IF(C1628=0,COUNTIFS(A:A,A1628,D:D,"a"),"")</f>
        <v>0</v>
      </c>
      <c r="K1628" s="2"/>
      <c r="M1628" s="2"/>
    </row>
    <row r="1629" spans="1:14" x14ac:dyDescent="0.55000000000000004">
      <c r="A1629" s="1" t="s">
        <v>1907</v>
      </c>
      <c r="B1629" s="2">
        <f>COUNTIF(A:A,A1629)-1</f>
        <v>4</v>
      </c>
      <c r="C1629" s="2">
        <f>COUNTIF(A$1:A1629,A1629)-1</f>
        <v>1</v>
      </c>
      <c r="D1629" s="2" t="str">
        <f>Argument!D1629</f>
        <v>v</v>
      </c>
      <c r="E1629" s="2" t="str">
        <f t="shared" si="50"/>
        <v/>
      </c>
      <c r="F1629" s="2" t="str">
        <f>IF(C1629=0,ISTEXT(FORMULA.CONVERT("="&amp;A1629&amp;"("&amp;REPLACE(REPT(",#ref!",B1629),1,1,"")&amp;")()",1)),"")</f>
        <v/>
      </c>
      <c r="G1629" s="2">
        <f>TYPE(CUBEKPIMEMBER({1},IF(1,1),IF(1,1),IF(1,1)))</f>
        <v>64</v>
      </c>
      <c r="H1629" s="2" t="str">
        <f t="shared" si="51"/>
        <v/>
      </c>
      <c r="I1629" s="2">
        <f>TYPE(CUBEKPIMEMBER(IF(1,1),IF(1,1),IF(1,1),IF(1,1)))</f>
        <v>16</v>
      </c>
      <c r="J1629" s="2" t="str">
        <f>IF(C1629=0,COUNTIFS(A:A,A1629,D:D,"a"),"")</f>
        <v/>
      </c>
      <c r="K1629" s="2" t="e">
        <f>INDEX(+CUBEKPIMEMBER(K1629:L1629,#REF!,#REF!,#REF!),)</f>
        <v>#REF!</v>
      </c>
      <c r="L1629" s="1">
        <v>1</v>
      </c>
      <c r="M1629" s="2" t="e">
        <f>INDEX(+CUBEKPIMEMBER(INDIRECT(M1629:N1629),#REF!,#REF!,#REF!),)</f>
        <v>#REF!</v>
      </c>
      <c r="N1629" s="1">
        <v>1</v>
      </c>
    </row>
    <row r="1630" spans="1:14" x14ac:dyDescent="0.55000000000000004">
      <c r="A1630" s="1" t="s">
        <v>1907</v>
      </c>
      <c r="B1630" s="2">
        <f>COUNTIF(A:A,A1630)-1</f>
        <v>4</v>
      </c>
      <c r="C1630" s="2">
        <f>COUNTIF(A$1:A1630,A1630)-1</f>
        <v>2</v>
      </c>
      <c r="D1630" s="2" t="str">
        <f>Argument!D1630</f>
        <v>v</v>
      </c>
      <c r="E1630" s="2" t="str">
        <f t="shared" si="50"/>
        <v/>
      </c>
      <c r="F1630" s="2" t="str">
        <f>IF(C1630=0,ISTEXT(FORMULA.CONVERT("="&amp;A1630&amp;"("&amp;REPLACE(REPT(",#ref!",B1630),1,1,"")&amp;")()",1)),"")</f>
        <v/>
      </c>
      <c r="G1630" s="2">
        <f>TYPE(CUBEKPIMEMBER(IF(1,1),{1},IF(1,1),IF(1,1)))</f>
        <v>64</v>
      </c>
      <c r="H1630" s="2" t="str">
        <f t="shared" si="51"/>
        <v/>
      </c>
      <c r="I1630" s="2">
        <f>TYPE(CUBEKPIMEMBER(IF(1,1),IF(1,1),IF(1,1),IF(1,1)))</f>
        <v>16</v>
      </c>
      <c r="J1630" s="2" t="str">
        <f>IF(C1630=0,COUNTIFS(A:A,A1630,D:D,"a"),"")</f>
        <v/>
      </c>
      <c r="K1630" s="2" t="e">
        <f>INDEX(+CUBEKPIMEMBER(#REF!,K1630:L1630,#REF!,#REF!),)</f>
        <v>#REF!</v>
      </c>
      <c r="L1630" s="1">
        <v>1</v>
      </c>
      <c r="M1630" s="2" t="e">
        <f>INDEX(+CUBEKPIMEMBER(#REF!,INDIRECT(M1630:N1630),#REF!,#REF!),)</f>
        <v>#REF!</v>
      </c>
      <c r="N1630" s="1">
        <v>1</v>
      </c>
    </row>
    <row r="1631" spans="1:14" x14ac:dyDescent="0.55000000000000004">
      <c r="A1631" s="1" t="s">
        <v>1907</v>
      </c>
      <c r="B1631" s="2">
        <f>COUNTIF(A:A,A1631)-1</f>
        <v>4</v>
      </c>
      <c r="C1631" s="2">
        <f>COUNTIF(A$1:A1631,A1631)-1</f>
        <v>3</v>
      </c>
      <c r="D1631" s="2" t="str">
        <f>Argument!D1631</f>
        <v>v</v>
      </c>
      <c r="E1631" s="2" t="str">
        <f t="shared" si="50"/>
        <v/>
      </c>
      <c r="F1631" s="2" t="str">
        <f>IF(C1631=0,ISTEXT(FORMULA.CONVERT("="&amp;A1631&amp;"("&amp;REPLACE(REPT(",#ref!",B1631),1,1,"")&amp;")()",1)),"")</f>
        <v/>
      </c>
      <c r="G1631" s="2">
        <f>TYPE(CUBEKPIMEMBER(IF(1,1),IF(1,1),{1},IF(1,1)))</f>
        <v>64</v>
      </c>
      <c r="H1631" s="2" t="str">
        <f t="shared" si="51"/>
        <v/>
      </c>
      <c r="I1631" s="2">
        <f>TYPE(CUBEKPIMEMBER(IF(1,1),IF(1,1),IF(1,1),IF(1,1)))</f>
        <v>16</v>
      </c>
      <c r="J1631" s="2" t="str">
        <f>IF(C1631=0,COUNTIFS(A:A,A1631,D:D,"a"),"")</f>
        <v/>
      </c>
      <c r="K1631" s="2" t="e">
        <f>INDEX(+CUBEKPIMEMBER(#REF!,#REF!,K1631:L1631,#REF!),)</f>
        <v>#REF!</v>
      </c>
      <c r="L1631" s="1">
        <v>1</v>
      </c>
      <c r="M1631" s="2" t="e">
        <f>INDEX(+CUBEKPIMEMBER(#REF!,#REF!,INDIRECT(M1631:N1631),#REF!),)</f>
        <v>#REF!</v>
      </c>
      <c r="N1631" s="1">
        <v>1</v>
      </c>
    </row>
    <row r="1632" spans="1:14" x14ac:dyDescent="0.55000000000000004">
      <c r="A1632" s="1" t="s">
        <v>1907</v>
      </c>
      <c r="B1632" s="2">
        <f>COUNTIF(A:A,A1632)-1</f>
        <v>4</v>
      </c>
      <c r="C1632" s="2">
        <f>COUNTIF(A$1:A1632,A1632)-1</f>
        <v>4</v>
      </c>
      <c r="D1632" s="2" t="str">
        <f>Argument!D1632</f>
        <v>v</v>
      </c>
      <c r="E1632" s="2" t="str">
        <f t="shared" si="50"/>
        <v/>
      </c>
      <c r="F1632" s="2" t="str">
        <f>IF(C1632=0,ISTEXT(FORMULA.CONVERT("="&amp;A1632&amp;"("&amp;REPLACE(REPT(",#ref!",B1632),1,1,"")&amp;")()",1)),"")</f>
        <v/>
      </c>
      <c r="G1632" s="2">
        <f>TYPE(CUBEKPIMEMBER(IF(1,1),IF(1,1),IF(1,1),{1}))</f>
        <v>64</v>
      </c>
      <c r="H1632" s="2" t="str">
        <f t="shared" si="51"/>
        <v/>
      </c>
      <c r="I1632" s="2">
        <f>TYPE(CUBEKPIMEMBER(IF(1,1),IF(1,1),IF(1,1),IF(1,1)))</f>
        <v>16</v>
      </c>
      <c r="J1632" s="2" t="str">
        <f>IF(C1632=0,COUNTIFS(A:A,A1632,D:D,"a"),"")</f>
        <v/>
      </c>
      <c r="K1632" s="2" t="e">
        <f>INDEX(+CUBEKPIMEMBER(#REF!,#REF!,#REF!,K1632:L1632),)</f>
        <v>#REF!</v>
      </c>
      <c r="L1632" s="1">
        <v>1</v>
      </c>
      <c r="M1632" s="2" t="e">
        <f>INDEX(+CUBEKPIMEMBER(#REF!,#REF!,#REF!,INDIRECT(M1632:N1632)),)</f>
        <v>#REF!</v>
      </c>
      <c r="N1632" s="1">
        <v>1</v>
      </c>
    </row>
    <row r="1633" spans="1:14" x14ac:dyDescent="0.55000000000000004">
      <c r="A1633" s="1" t="s">
        <v>1908</v>
      </c>
      <c r="B1633" s="2">
        <f>COUNTIF(A:A,A1633)-1</f>
        <v>5</v>
      </c>
      <c r="C1633" s="2">
        <f>COUNTIF(A$1:A1633,A1633)-1</f>
        <v>0</v>
      </c>
      <c r="D1633" s="2" t="str">
        <f>Argument!D1633</f>
        <v/>
      </c>
      <c r="E1633" s="2" t="str">
        <f t="shared" si="50"/>
        <v>v</v>
      </c>
      <c r="F1633" s="2" t="b">
        <f>IF(C1633=0,ISTEXT(FORMULA.CONVERT("="&amp;A1633&amp;"("&amp;REPLACE(REPT(",#ref!",B1633),1,1,"")&amp;")()",1)),"")</f>
        <v>0</v>
      </c>
      <c r="G1633" s="2"/>
      <c r="H1633" s="2" t="str">
        <f t="shared" si="51"/>
        <v/>
      </c>
      <c r="I1633" s="2">
        <f>TYPE(CUBESET(IF(1,1),IF(1,1),IF(1,1),IF(1,1),IF(1,1)))</f>
        <v>16</v>
      </c>
      <c r="J1633" s="2">
        <f>IF(C1633=0,COUNTIFS(A:A,A1633,D:D,"a"),"")</f>
        <v>0</v>
      </c>
      <c r="K1633" s="2"/>
      <c r="M1633" s="2"/>
    </row>
    <row r="1634" spans="1:14" x14ac:dyDescent="0.55000000000000004">
      <c r="A1634" s="1" t="s">
        <v>1908</v>
      </c>
      <c r="B1634" s="2">
        <f>COUNTIF(A:A,A1634)-1</f>
        <v>5</v>
      </c>
      <c r="C1634" s="2">
        <f>COUNTIF(A$1:A1634,A1634)-1</f>
        <v>1</v>
      </c>
      <c r="D1634" s="2" t="str">
        <f>Argument!D1634</f>
        <v>v</v>
      </c>
      <c r="E1634" s="2" t="str">
        <f t="shared" si="50"/>
        <v/>
      </c>
      <c r="F1634" s="2" t="str">
        <f>IF(C1634=0,ISTEXT(FORMULA.CONVERT("="&amp;A1634&amp;"("&amp;REPLACE(REPT(",#ref!",B1634),1,1,"")&amp;")()",1)),"")</f>
        <v/>
      </c>
      <c r="G1634" s="2">
        <f>TYPE(CUBESET({1},IF(1,1),IF(1,1),IF(1,1),IF(1,1)))</f>
        <v>64</v>
      </c>
      <c r="H1634" s="2" t="str">
        <f t="shared" si="51"/>
        <v/>
      </c>
      <c r="I1634" s="2">
        <f>TYPE(CUBESET(IF(1,1),IF(1,1),IF(1,1),IF(1,1),IF(1,1)))</f>
        <v>16</v>
      </c>
      <c r="J1634" s="2" t="str">
        <f>IF(C1634=0,COUNTIFS(A:A,A1634,D:D,"a"),"")</f>
        <v/>
      </c>
      <c r="K1634" s="2" t="e">
        <f>INDEX(+CUBESET(K1634:L1634,#REF!,#REF!,#REF!,#REF!),)</f>
        <v>#REF!</v>
      </c>
      <c r="L1634" s="1">
        <v>1</v>
      </c>
      <c r="M1634" s="2" t="e">
        <f>INDEX(+CUBESET(INDIRECT(M1634:N1634),#REF!,#REF!,#REF!,#REF!),)</f>
        <v>#REF!</v>
      </c>
      <c r="N1634" s="1">
        <v>1</v>
      </c>
    </row>
    <row r="1635" spans="1:14" x14ac:dyDescent="0.55000000000000004">
      <c r="A1635" s="1" t="s">
        <v>1908</v>
      </c>
      <c r="B1635" s="2">
        <f>COUNTIF(A:A,A1635)-1</f>
        <v>5</v>
      </c>
      <c r="C1635" s="2">
        <f>COUNTIF(A$1:A1635,A1635)-1</f>
        <v>2</v>
      </c>
      <c r="D1635" s="2" t="str">
        <f>Argument!D1635</f>
        <v>var</v>
      </c>
      <c r="E1635" s="2" t="str">
        <f t="shared" si="50"/>
        <v/>
      </c>
      <c r="F1635" s="2" t="str">
        <f>IF(C1635=0,ISTEXT(FORMULA.CONVERT("="&amp;A1635&amp;"("&amp;REPLACE(REPT(",#ref!",B1635),1,1,"")&amp;")()",1)),"")</f>
        <v/>
      </c>
      <c r="G1635" s="2">
        <f>TYPE(CUBESET(IF(1,1),{1},IF(1,1),IF(1,1),IF(1,1)))</f>
        <v>16</v>
      </c>
      <c r="H1635" s="2" t="str">
        <f t="shared" si="51"/>
        <v/>
      </c>
      <c r="I1635" s="2">
        <f>TYPE(CUBESET(IF(1,1),IF(1,1),IF(1,1),IF(1,1),IF(1,1)))</f>
        <v>16</v>
      </c>
      <c r="J1635" s="2" t="str">
        <f>IF(C1635=0,COUNTIFS(A:A,A1635,D:D,"a"),"")</f>
        <v/>
      </c>
      <c r="K1635" s="2" t="e">
        <f>INDEX(+CUBESET(#REF!,K1635:L1635,#REF!,#REF!,#REF!),)</f>
        <v>#REF!</v>
      </c>
      <c r="L1635" s="1">
        <v>1</v>
      </c>
      <c r="M1635" s="2" t="e">
        <f>INDEX(+CUBESET(#REF!,INDIRECT(M1635:N1635),#REF!,#REF!,#REF!),)</f>
        <v>#REF!</v>
      </c>
      <c r="N1635" s="1">
        <v>1</v>
      </c>
    </row>
    <row r="1636" spans="1:14" x14ac:dyDescent="0.55000000000000004">
      <c r="A1636" s="1" t="s">
        <v>1908</v>
      </c>
      <c r="B1636" s="2">
        <f>COUNTIF(A:A,A1636)-1</f>
        <v>5</v>
      </c>
      <c r="C1636" s="2">
        <f>COUNTIF(A$1:A1636,A1636)-1</f>
        <v>3</v>
      </c>
      <c r="D1636" s="2" t="str">
        <f>Argument!D1636</f>
        <v>v</v>
      </c>
      <c r="E1636" s="2" t="str">
        <f t="shared" si="50"/>
        <v/>
      </c>
      <c r="F1636" s="2" t="str">
        <f>IF(C1636=0,ISTEXT(FORMULA.CONVERT("="&amp;A1636&amp;"("&amp;REPLACE(REPT(",#ref!",B1636),1,1,"")&amp;")()",1)),"")</f>
        <v/>
      </c>
      <c r="G1636" s="2">
        <f>TYPE(CUBESET(IF(1,1),IF(1,1),{1},IF(1,1),IF(1,1)))</f>
        <v>64</v>
      </c>
      <c r="H1636" s="2" t="str">
        <f t="shared" si="51"/>
        <v/>
      </c>
      <c r="I1636" s="2">
        <f>TYPE(CUBESET(IF(1,1),IF(1,1),IF(1,1),IF(1,1),IF(1,1)))</f>
        <v>16</v>
      </c>
      <c r="J1636" s="2" t="str">
        <f>IF(C1636=0,COUNTIFS(A:A,A1636,D:D,"a"),"")</f>
        <v/>
      </c>
      <c r="K1636" s="2" t="e">
        <f>INDEX(+CUBESET(#REF!,#REF!,K1636:L1636,#REF!,#REF!),)</f>
        <v>#REF!</v>
      </c>
      <c r="L1636" s="1">
        <v>1</v>
      </c>
      <c r="M1636" s="2" t="e">
        <f>INDEX(+CUBESET(#REF!,#REF!,INDIRECT(M1636:N1636),#REF!,#REF!),)</f>
        <v>#REF!</v>
      </c>
      <c r="N1636" s="1">
        <v>1</v>
      </c>
    </row>
    <row r="1637" spans="1:14" x14ac:dyDescent="0.55000000000000004">
      <c r="A1637" s="1" t="s">
        <v>1908</v>
      </c>
      <c r="B1637" s="2">
        <f>COUNTIF(A:A,A1637)-1</f>
        <v>5</v>
      </c>
      <c r="C1637" s="2">
        <f>COUNTIF(A$1:A1637,A1637)-1</f>
        <v>4</v>
      </c>
      <c r="D1637" s="2" t="str">
        <f>Argument!D1637</f>
        <v>v</v>
      </c>
      <c r="E1637" s="2" t="str">
        <f t="shared" si="50"/>
        <v/>
      </c>
      <c r="F1637" s="2" t="str">
        <f>IF(C1637=0,ISTEXT(FORMULA.CONVERT("="&amp;A1637&amp;"("&amp;REPLACE(REPT(",#ref!",B1637),1,1,"")&amp;")()",1)),"")</f>
        <v/>
      </c>
      <c r="G1637" s="2">
        <f>TYPE(CUBESET(IF(1,1),IF(1,1),IF(1,1),{1},IF(1,1)))</f>
        <v>64</v>
      </c>
      <c r="H1637" s="2" t="str">
        <f t="shared" si="51"/>
        <v/>
      </c>
      <c r="I1637" s="2">
        <f>TYPE(CUBESET(IF(1,1),IF(1,1),IF(1,1),IF(1,1),IF(1,1)))</f>
        <v>16</v>
      </c>
      <c r="J1637" s="2" t="str">
        <f>IF(C1637=0,COUNTIFS(A:A,A1637,D:D,"a"),"")</f>
        <v/>
      </c>
      <c r="K1637" s="2" t="e">
        <f>INDEX(+CUBESET(#REF!,#REF!,#REF!,K1637:L1637,#REF!),)</f>
        <v>#REF!</v>
      </c>
      <c r="L1637" s="1">
        <v>1</v>
      </c>
      <c r="M1637" s="2" t="e">
        <f>INDEX(+CUBESET(#REF!,#REF!,#REF!,INDIRECT(M1637:N1637),#REF!),)</f>
        <v>#REF!</v>
      </c>
      <c r="N1637" s="1">
        <v>1</v>
      </c>
    </row>
    <row r="1638" spans="1:14" x14ac:dyDescent="0.55000000000000004">
      <c r="A1638" s="1" t="s">
        <v>1908</v>
      </c>
      <c r="B1638" s="2">
        <f>COUNTIF(A:A,A1638)-1</f>
        <v>5</v>
      </c>
      <c r="C1638" s="2">
        <f>COUNTIF(A$1:A1638,A1638)-1</f>
        <v>5</v>
      </c>
      <c r="D1638" s="2" t="str">
        <f>Argument!D1638</f>
        <v>v</v>
      </c>
      <c r="E1638" s="2" t="str">
        <f t="shared" si="50"/>
        <v/>
      </c>
      <c r="F1638" s="2" t="str">
        <f>IF(C1638=0,ISTEXT(FORMULA.CONVERT("="&amp;A1638&amp;"("&amp;REPLACE(REPT(",#ref!",B1638),1,1,"")&amp;")()",1)),"")</f>
        <v/>
      </c>
      <c r="G1638" s="2">
        <f>TYPE(CUBESET(IF(1,1),IF(1,1),IF(1,1),IF(1,1),{1}))</f>
        <v>64</v>
      </c>
      <c r="H1638" s="2" t="str">
        <f t="shared" si="51"/>
        <v/>
      </c>
      <c r="I1638" s="2">
        <f>TYPE(CUBESET(IF(1,1),IF(1,1),IF(1,1),IF(1,1),IF(1,1)))</f>
        <v>16</v>
      </c>
      <c r="J1638" s="2" t="str">
        <f>IF(C1638=0,COUNTIFS(A:A,A1638,D:D,"a"),"")</f>
        <v/>
      </c>
      <c r="K1638" s="2" t="e">
        <f>INDEX(+CUBESET(#REF!,#REF!,#REF!,#REF!,K1638:L1638),)</f>
        <v>#REF!</v>
      </c>
      <c r="L1638" s="1">
        <v>1</v>
      </c>
      <c r="M1638" s="2" t="e">
        <f>INDEX(+CUBESET(#REF!,#REF!,#REF!,#REF!,INDIRECT(M1638:N1638)),)</f>
        <v>#REF!</v>
      </c>
      <c r="N1638" s="1">
        <v>1</v>
      </c>
    </row>
    <row r="1639" spans="1:14" x14ac:dyDescent="0.55000000000000004">
      <c r="A1639" s="1" t="s">
        <v>1909</v>
      </c>
      <c r="B1639" s="2">
        <f>COUNTIF(A:A,A1639)-1</f>
        <v>1</v>
      </c>
      <c r="C1639" s="2">
        <f>COUNTIF(A$1:A1639,A1639)-1</f>
        <v>0</v>
      </c>
      <c r="D1639" s="2" t="str">
        <f>Argument!D1639</f>
        <v/>
      </c>
      <c r="E1639" s="2" t="str">
        <f t="shared" si="50"/>
        <v>v</v>
      </c>
      <c r="F1639" s="2" t="b">
        <f>IF(C1639=0,ISTEXT(FORMULA.CONVERT("="&amp;A1639&amp;"("&amp;REPLACE(REPT(",#ref!",B1639),1,1,"")&amp;")()",1)),"")</f>
        <v>0</v>
      </c>
      <c r="G1639" s="2"/>
      <c r="H1639" s="2" t="str">
        <f t="shared" si="51"/>
        <v/>
      </c>
      <c r="I1639" s="2">
        <f>TYPE(CUBESETCOUNT(IF(1,1)))</f>
        <v>16</v>
      </c>
      <c r="J1639" s="2">
        <f>IF(C1639=0,COUNTIFS(A:A,A1639,D:D,"a"),"")</f>
        <v>0</v>
      </c>
      <c r="K1639" s="2"/>
      <c r="M1639" s="2"/>
    </row>
    <row r="1640" spans="1:14" x14ac:dyDescent="0.55000000000000004">
      <c r="A1640" s="1" t="s">
        <v>1909</v>
      </c>
      <c r="B1640" s="2">
        <f>COUNTIF(A:A,A1640)-1</f>
        <v>1</v>
      </c>
      <c r="C1640" s="2">
        <f>COUNTIF(A$1:A1640,A1640)-1</f>
        <v>1</v>
      </c>
      <c r="D1640" s="2" t="str">
        <f>Argument!D1640</f>
        <v>v</v>
      </c>
      <c r="E1640" s="2" t="str">
        <f t="shared" si="50"/>
        <v/>
      </c>
      <c r="F1640" s="2" t="str">
        <f>IF(C1640=0,ISTEXT(FORMULA.CONVERT("="&amp;A1640&amp;"("&amp;REPLACE(REPT(",#ref!",B1640),1,1,"")&amp;")()",1)),"")</f>
        <v/>
      </c>
      <c r="G1640" s="2">
        <f>TYPE(CUBESETCOUNT({1}))</f>
        <v>64</v>
      </c>
      <c r="H1640" s="2" t="str">
        <f t="shared" si="51"/>
        <v/>
      </c>
      <c r="I1640" s="2">
        <f>TYPE(CUBESETCOUNT(IF(1,1)))</f>
        <v>16</v>
      </c>
      <c r="J1640" s="2" t="str">
        <f>IF(C1640=0,COUNTIFS(A:A,A1640,D:D,"a"),"")</f>
        <v/>
      </c>
      <c r="K1640" s="2" t="e">
        <f>INDEX(+CUBESETCOUNT(K1640:L1640),)</f>
        <v>#N/A</v>
      </c>
      <c r="L1640" s="1">
        <v>1</v>
      </c>
      <c r="M1640" s="2" t="e">
        <f>INDEX(+CUBESETCOUNT(INDIRECT(M1640:N1640)),)</f>
        <v>#REF!</v>
      </c>
      <c r="N1640" s="1">
        <v>1</v>
      </c>
    </row>
    <row r="1641" spans="1:14" x14ac:dyDescent="0.55000000000000004">
      <c r="A1641" s="1" t="s">
        <v>1910</v>
      </c>
      <c r="B1641" s="2">
        <f>COUNTIF(A:A,A1641)-1</f>
        <v>2</v>
      </c>
      <c r="C1641" s="2">
        <f>COUNTIF(A$1:A1641,A1641)-1</f>
        <v>0</v>
      </c>
      <c r="D1641" s="2" t="str">
        <f>Argument!D1641</f>
        <v/>
      </c>
      <c r="E1641" s="2" t="str">
        <f t="shared" si="50"/>
        <v>va</v>
      </c>
      <c r="F1641" s="2" t="b">
        <f>IF(C1641=0,ISTEXT(FORMULA.CONVERT("="&amp;A1641&amp;"("&amp;REPLACE(REPT(",#ref!",B1641),1,1,"")&amp;")()",1)),"")</f>
        <v>0</v>
      </c>
      <c r="G1641" s="2"/>
      <c r="H1641" s="2" t="str">
        <f t="shared" si="51"/>
        <v/>
      </c>
      <c r="I1641" s="2">
        <f>TYPE(IFERROR(IF(1,1),IF(1,1)))</f>
        <v>1</v>
      </c>
      <c r="J1641" s="2">
        <f>IF(C1641=0,COUNTIFS(A:A,A1641,D:D,"a"),"")</f>
        <v>0</v>
      </c>
      <c r="K1641" s="2"/>
      <c r="M1641" s="2"/>
    </row>
    <row r="1642" spans="1:14" x14ac:dyDescent="0.55000000000000004">
      <c r="A1642" s="1" t="s">
        <v>1910</v>
      </c>
      <c r="B1642" s="2">
        <f>COUNTIF(A:A,A1642)-1</f>
        <v>2</v>
      </c>
      <c r="C1642" s="2">
        <f>COUNTIF(A$1:A1642,A1642)-1</f>
        <v>1</v>
      </c>
      <c r="D1642" s="2" t="str">
        <f>Argument!D1642</f>
        <v>va</v>
      </c>
      <c r="E1642" s="2" t="str">
        <f t="shared" si="50"/>
        <v/>
      </c>
      <c r="F1642" s="2" t="str">
        <f>IF(C1642=0,ISTEXT(FORMULA.CONVERT("="&amp;A1642&amp;"("&amp;REPLACE(REPT(",#ref!",B1642),1,1,"")&amp;")()",1)),"")</f>
        <v/>
      </c>
      <c r="G1642" s="2">
        <f>TYPE(IFERROR({1},IF(1,1)))</f>
        <v>1</v>
      </c>
      <c r="H1642" s="2">
        <f t="shared" si="51"/>
        <v>1</v>
      </c>
      <c r="I1642" s="2">
        <f>TYPE(IFERROR(IF(1,1),IF(1,1)))</f>
        <v>1</v>
      </c>
      <c r="J1642" s="2" t="str">
        <f>IF(C1642=0,COUNTIFS(A:A,A1642,D:D,"a"),"")</f>
        <v/>
      </c>
      <c r="K1642" s="2">
        <f>INDEX(+IFERROR(K1642:L1642,#REF!),)</f>
        <v>0</v>
      </c>
      <c r="M1642" s="2" t="e">
        <f>INDEX(+IFERROR(INDIRECT(M1642:N1642),#REF!),)</f>
        <v>#REF!</v>
      </c>
    </row>
    <row r="1643" spans="1:14" x14ac:dyDescent="0.55000000000000004">
      <c r="A1643" s="1" t="s">
        <v>1910</v>
      </c>
      <c r="B1643" s="2">
        <f>COUNTIF(A:A,A1643)-1</f>
        <v>2</v>
      </c>
      <c r="C1643" s="2">
        <f>COUNTIF(A$1:A1643,A1643)-1</f>
        <v>2</v>
      </c>
      <c r="D1643" s="2" t="str">
        <f>Argument!D1643</f>
        <v>var</v>
      </c>
      <c r="E1643" s="2" t="str">
        <f t="shared" si="50"/>
        <v/>
      </c>
      <c r="F1643" s="2" t="str">
        <f>IF(C1643=0,ISTEXT(FORMULA.CONVERT("="&amp;A1643&amp;"("&amp;REPLACE(REPT(",#ref!",B1643),1,1,"")&amp;")()",1)),"")</f>
        <v/>
      </c>
      <c r="G1643" s="2">
        <f>TYPE(IFERROR(IF(1,1),{1}))</f>
        <v>1</v>
      </c>
      <c r="H1643" s="2">
        <f t="shared" si="51"/>
        <v>1</v>
      </c>
      <c r="I1643" s="2">
        <f>TYPE(IFERROR(IF(1,1),IF(1,1)))</f>
        <v>1</v>
      </c>
      <c r="J1643" s="2" t="str">
        <f>IF(C1643=0,COUNTIFS(A:A,A1643,D:D,"a"),"")</f>
        <v/>
      </c>
      <c r="K1643" s="2">
        <f>INDEX(+IFERROR(#REF!,K1643:L1643),)</f>
        <v>0</v>
      </c>
      <c r="L1643" s="1">
        <v>1</v>
      </c>
      <c r="M1643" s="2" t="e">
        <f>INDEX(+IFERROR(#REF!,INDIRECT(M1643:N1643)),)</f>
        <v>#REF!</v>
      </c>
    </row>
    <row r="1644" spans="1:14" x14ac:dyDescent="0.55000000000000004">
      <c r="A1644" s="1" t="s">
        <v>1911</v>
      </c>
      <c r="B1644" s="2">
        <f>COUNTIF(A:A,A1644)-1</f>
        <v>4</v>
      </c>
      <c r="C1644" s="2">
        <f>COUNTIF(A$1:A1644,A1644)-1</f>
        <v>0</v>
      </c>
      <c r="D1644" s="2" t="str">
        <f>Argument!D1644</f>
        <v/>
      </c>
      <c r="E1644" s="2" t="str">
        <f t="shared" si="50"/>
        <v>v</v>
      </c>
      <c r="F1644" s="2" t="b">
        <f>IF(C1644=0,ISTEXT(FORMULA.CONVERT("="&amp;A1644&amp;"("&amp;REPLACE(REPT(",#ref!",B1644),1,1,"")&amp;")()",1)),"")</f>
        <v>0</v>
      </c>
      <c r="G1644" s="2"/>
      <c r="H1644" s="2" t="str">
        <f t="shared" si="51"/>
        <v/>
      </c>
      <c r="I1644" s="2">
        <f>TYPE(COUNTIFS(IF(1,1),IF(1,1),IF(1,1),IF(1,1)))</f>
        <v>16</v>
      </c>
      <c r="J1644" s="2">
        <f>IF(C1644=0,COUNTIFS(A:A,A1644,D:D,"a"),"")</f>
        <v>0</v>
      </c>
      <c r="K1644" s="2"/>
      <c r="M1644" s="2"/>
    </row>
    <row r="1645" spans="1:14" x14ac:dyDescent="0.55000000000000004">
      <c r="A1645" s="1" t="s">
        <v>1911</v>
      </c>
      <c r="B1645" s="2">
        <f>COUNTIF(A:A,A1645)-1</f>
        <v>4</v>
      </c>
      <c r="C1645" s="2">
        <f>COUNTIF(A$1:A1645,A1645)-1</f>
        <v>1</v>
      </c>
      <c r="D1645" s="2" t="str">
        <f>Argument!D1645</f>
        <v>r</v>
      </c>
      <c r="E1645" s="2" t="str">
        <f t="shared" si="50"/>
        <v/>
      </c>
      <c r="F1645" s="2" t="str">
        <f>IF(C1645=0,ISTEXT(FORMULA.CONVERT("="&amp;A1645&amp;"("&amp;REPLACE(REPT(",#ref!",B1645),1,1,"")&amp;")()",1)),"")</f>
        <v/>
      </c>
      <c r="G1645" s="2"/>
      <c r="H1645" s="2" t="str">
        <f t="shared" si="51"/>
        <v/>
      </c>
      <c r="I1645" s="2">
        <f>TYPE(COUNTIFS(IF(1,1),IF(1,1),IF(1,1),IF(1,1)))</f>
        <v>16</v>
      </c>
      <c r="J1645" s="2" t="str">
        <f>IF(C1645=0,COUNTIFS(A:A,A1645,D:D,"a"),"")</f>
        <v/>
      </c>
      <c r="K1645" s="2" t="e">
        <f>INDEX(+COUNTIFS(K1645:L1645,#REF!,#REF!,#REF!),)</f>
        <v>#REF!</v>
      </c>
      <c r="L1645" s="1">
        <v>1</v>
      </c>
      <c r="M1645" s="2" t="e">
        <f>INDEX(+COUNTIFS(INDIRECT(M1645:N1645),#REF!,#REF!,#REF!),)</f>
        <v>#REF!</v>
      </c>
      <c r="N1645" s="1">
        <v>1</v>
      </c>
    </row>
    <row r="1646" spans="1:14" x14ac:dyDescent="0.55000000000000004">
      <c r="A1646" s="1" t="s">
        <v>1911</v>
      </c>
      <c r="B1646" s="2">
        <f>COUNTIF(A:A,A1646)-1</f>
        <v>4</v>
      </c>
      <c r="C1646" s="2">
        <f>COUNTIF(A$1:A1646,A1646)-1</f>
        <v>2</v>
      </c>
      <c r="D1646" s="2" t="str">
        <f>Argument!D1646</f>
        <v>v</v>
      </c>
      <c r="E1646" s="2" t="str">
        <f t="shared" si="50"/>
        <v/>
      </c>
      <c r="F1646" s="2" t="str">
        <f>IF(C1646=0,ISTEXT(FORMULA.CONVERT("="&amp;A1646&amp;"("&amp;REPLACE(REPT(",#ref!",B1646),1,1,"")&amp;")()",1)),"")</f>
        <v/>
      </c>
      <c r="G1646" s="2">
        <f>TYPE(COUNTIFS(IF(1,1),{1},IF(1,1),IF(1,1)))</f>
        <v>64</v>
      </c>
      <c r="H1646" s="2" t="str">
        <f t="shared" si="51"/>
        <v/>
      </c>
      <c r="I1646" s="2">
        <f>TYPE(COUNTIFS(IF(1,1),IF(1,1),IF(1,1),IF(1,1)))</f>
        <v>16</v>
      </c>
      <c r="J1646" s="2" t="str">
        <f>IF(C1646=0,COUNTIFS(A:A,A1646,D:D,"a"),"")</f>
        <v/>
      </c>
      <c r="K1646" s="2" t="e">
        <f>INDEX(+COUNTIFS(#REF!,K1646:L1646,#REF!,#REF!),)</f>
        <v>#REF!</v>
      </c>
      <c r="L1646" s="1">
        <v>1</v>
      </c>
      <c r="M1646" s="2" t="e">
        <f>INDEX(+COUNTIFS(#REF!,INDIRECT(M1646:N1646),#REF!,#REF!),)</f>
        <v>#REF!</v>
      </c>
      <c r="N1646" s="1">
        <v>1</v>
      </c>
    </row>
    <row r="1647" spans="1:14" x14ac:dyDescent="0.55000000000000004">
      <c r="A1647" s="1" t="s">
        <v>1911</v>
      </c>
      <c r="B1647" s="2">
        <f>COUNTIF(A:A,A1647)-1</f>
        <v>4</v>
      </c>
      <c r="C1647" s="2">
        <f>COUNTIF(A$1:A1647,A1647)-1</f>
        <v>3</v>
      </c>
      <c r="D1647" s="2" t="str">
        <f>Argument!D1647</f>
        <v>r</v>
      </c>
      <c r="E1647" s="2" t="str">
        <f t="shared" si="50"/>
        <v/>
      </c>
      <c r="F1647" s="2" t="str">
        <f>IF(C1647=0,ISTEXT(FORMULA.CONVERT("="&amp;A1647&amp;"("&amp;REPLACE(REPT(",#ref!",B1647),1,1,"")&amp;")()",1)),"")</f>
        <v/>
      </c>
      <c r="G1647" s="2"/>
      <c r="H1647" s="2" t="str">
        <f t="shared" si="51"/>
        <v/>
      </c>
      <c r="I1647" s="2">
        <f>TYPE(COUNTIFS(IF(1,1),IF(1,1),IF(1,1),IF(1,1)))</f>
        <v>16</v>
      </c>
      <c r="J1647" s="2" t="str">
        <f>IF(C1647=0,COUNTIFS(A:A,A1647,D:D,"a"),"")</f>
        <v/>
      </c>
      <c r="K1647" s="2" t="e">
        <f>INDEX(+COUNTIFS(#REF!,#REF!,K1647:L1647,#REF!),)</f>
        <v>#REF!</v>
      </c>
      <c r="L1647" s="1">
        <v>1</v>
      </c>
      <c r="M1647" s="2" t="e">
        <f>INDEX(+COUNTIFS(#REF!,#REF!,INDIRECT(M1647:N1647),#REF!),)</f>
        <v>#REF!</v>
      </c>
      <c r="N1647" s="1">
        <v>1</v>
      </c>
    </row>
    <row r="1648" spans="1:14" x14ac:dyDescent="0.55000000000000004">
      <c r="A1648" s="1" t="s">
        <v>1911</v>
      </c>
      <c r="B1648" s="2">
        <f>COUNTIF(A:A,A1648)-1</f>
        <v>4</v>
      </c>
      <c r="C1648" s="2">
        <f>COUNTIF(A$1:A1648,A1648)-1</f>
        <v>4</v>
      </c>
      <c r="D1648" s="2" t="str">
        <f>Argument!D1648</f>
        <v>v</v>
      </c>
      <c r="E1648" s="2" t="str">
        <f t="shared" si="50"/>
        <v/>
      </c>
      <c r="F1648" s="2" t="str">
        <f>IF(C1648=0,ISTEXT(FORMULA.CONVERT("="&amp;A1648&amp;"("&amp;REPLACE(REPT(",#ref!",B1648),1,1,"")&amp;")()",1)),"")</f>
        <v/>
      </c>
      <c r="G1648" s="2">
        <f>TYPE(COUNTIFS(IF(1,1),IF(1,1),IF(1,1),{1}))</f>
        <v>64</v>
      </c>
      <c r="H1648" s="2" t="str">
        <f t="shared" si="51"/>
        <v/>
      </c>
      <c r="I1648" s="2">
        <f>TYPE(COUNTIFS(IF(1,1),IF(1,1),IF(1,1),IF(1,1)))</f>
        <v>16</v>
      </c>
      <c r="J1648" s="2" t="str">
        <f>IF(C1648=0,COUNTIFS(A:A,A1648,D:D,"a"),"")</f>
        <v/>
      </c>
      <c r="K1648" s="2" t="e">
        <f>INDEX(+COUNTIFS(#REF!,#REF!,#REF!,K1648:L1648),)</f>
        <v>#REF!</v>
      </c>
      <c r="L1648" s="1">
        <v>1</v>
      </c>
      <c r="M1648" s="2" t="e">
        <f>INDEX(+COUNTIFS(#REF!,#REF!,#REF!,INDIRECT(M1648:N1648)),)</f>
        <v>#REF!</v>
      </c>
      <c r="N1648" s="1">
        <v>1</v>
      </c>
    </row>
    <row r="1649" spans="1:14" x14ac:dyDescent="0.55000000000000004">
      <c r="A1649" s="1" t="s">
        <v>1912</v>
      </c>
      <c r="B1649" s="2">
        <f>COUNTIF(A:A,A1649)-1</f>
        <v>5</v>
      </c>
      <c r="C1649" s="2">
        <f>COUNTIF(A$1:A1649,A1649)-1</f>
        <v>0</v>
      </c>
      <c r="D1649" s="2" t="str">
        <f>Argument!D1649</f>
        <v/>
      </c>
      <c r="E1649" s="2" t="str">
        <f t="shared" si="50"/>
        <v>v</v>
      </c>
      <c r="F1649" s="2" t="b">
        <f>IF(C1649=0,ISTEXT(FORMULA.CONVERT("="&amp;A1649&amp;"("&amp;REPLACE(REPT(",#ref!",B1649),1,1,"")&amp;")()",1)),"")</f>
        <v>0</v>
      </c>
      <c r="G1649" s="2"/>
      <c r="H1649" s="2" t="str">
        <f t="shared" si="51"/>
        <v/>
      </c>
      <c r="I1649" s="2">
        <f>TYPE(SUMIFS(IF(1,1),IF(1,1),IF(1,1),IF(1,1),IF(1,1)))</f>
        <v>16</v>
      </c>
      <c r="J1649" s="2">
        <f>IF(C1649=0,COUNTIFS(A:A,A1649,D:D,"a"),"")</f>
        <v>0</v>
      </c>
      <c r="K1649" s="2"/>
      <c r="M1649" s="2"/>
    </row>
    <row r="1650" spans="1:14" x14ac:dyDescent="0.55000000000000004">
      <c r="A1650" s="1" t="s">
        <v>1912</v>
      </c>
      <c r="B1650" s="2">
        <f>COUNTIF(A:A,A1650)-1</f>
        <v>5</v>
      </c>
      <c r="C1650" s="2">
        <f>COUNTIF(A$1:A1650,A1650)-1</f>
        <v>1</v>
      </c>
      <c r="D1650" s="2" t="str">
        <f>Argument!D1650</f>
        <v>r</v>
      </c>
      <c r="E1650" s="2" t="str">
        <f t="shared" si="50"/>
        <v/>
      </c>
      <c r="F1650" s="2" t="str">
        <f>IF(C1650=0,ISTEXT(FORMULA.CONVERT("="&amp;A1650&amp;"("&amp;REPLACE(REPT(",#ref!",B1650),1,1,"")&amp;")()",1)),"")</f>
        <v/>
      </c>
      <c r="G1650" s="2"/>
      <c r="H1650" s="2" t="str">
        <f t="shared" si="51"/>
        <v/>
      </c>
      <c r="I1650" s="2">
        <f>TYPE(SUMIFS(IF(1,1),IF(1,1),IF(1,1),IF(1,1),IF(1,1)))</f>
        <v>16</v>
      </c>
      <c r="J1650" s="2" t="str">
        <f>IF(C1650=0,COUNTIFS(A:A,A1650,D:D,"a"),"")</f>
        <v/>
      </c>
      <c r="K1650" s="2" t="e">
        <f>INDEX(+SUMIFS(K1650:L1650,#REF!,#REF!,#REF!,#REF!),)</f>
        <v>#REF!</v>
      </c>
      <c r="L1650" s="1">
        <v>1</v>
      </c>
      <c r="M1650" s="2" t="e">
        <f>INDEX(+SUMIFS(INDIRECT(M1650:N1650),#REF!,#REF!,#REF!,#REF!),)</f>
        <v>#REF!</v>
      </c>
      <c r="N1650" s="1">
        <v>1</v>
      </c>
    </row>
    <row r="1651" spans="1:14" x14ac:dyDescent="0.55000000000000004">
      <c r="A1651" s="1" t="s">
        <v>1912</v>
      </c>
      <c r="B1651" s="2">
        <f>COUNTIF(A:A,A1651)-1</f>
        <v>5</v>
      </c>
      <c r="C1651" s="2">
        <f>COUNTIF(A$1:A1651,A1651)-1</f>
        <v>2</v>
      </c>
      <c r="D1651" s="2" t="str">
        <f>Argument!D1651</f>
        <v>r</v>
      </c>
      <c r="E1651" s="2" t="str">
        <f t="shared" si="50"/>
        <v/>
      </c>
      <c r="F1651" s="2" t="str">
        <f>IF(C1651=0,ISTEXT(FORMULA.CONVERT("="&amp;A1651&amp;"("&amp;REPLACE(REPT(",#ref!",B1651),1,1,"")&amp;")()",1)),"")</f>
        <v/>
      </c>
      <c r="G1651" s="2"/>
      <c r="H1651" s="2" t="str">
        <f t="shared" si="51"/>
        <v/>
      </c>
      <c r="I1651" s="2">
        <f>TYPE(SUMIFS(IF(1,1),IF(1,1),IF(1,1),IF(1,1),IF(1,1)))</f>
        <v>16</v>
      </c>
      <c r="J1651" s="2" t="str">
        <f>IF(C1651=0,COUNTIFS(A:A,A1651,D:D,"a"),"")</f>
        <v/>
      </c>
      <c r="K1651" s="2" t="e">
        <f>INDEX(+SUMIFS(#REF!,K1651:L1651,#REF!,#REF!,#REF!),)</f>
        <v>#REF!</v>
      </c>
      <c r="L1651" s="1">
        <v>1</v>
      </c>
      <c r="M1651" s="2" t="e">
        <f>INDEX(+SUMIFS(#REF!,INDIRECT(M1651:N1651),#REF!,#REF!,#REF!),)</f>
        <v>#REF!</v>
      </c>
      <c r="N1651" s="1">
        <v>1</v>
      </c>
    </row>
    <row r="1652" spans="1:14" x14ac:dyDescent="0.55000000000000004">
      <c r="A1652" s="1" t="s">
        <v>1912</v>
      </c>
      <c r="B1652" s="2">
        <f>COUNTIF(A:A,A1652)-1</f>
        <v>5</v>
      </c>
      <c r="C1652" s="2">
        <f>COUNTIF(A$1:A1652,A1652)-1</f>
        <v>3</v>
      </c>
      <c r="D1652" s="2" t="str">
        <f>Argument!D1652</f>
        <v>v</v>
      </c>
      <c r="E1652" s="2" t="str">
        <f t="shared" si="50"/>
        <v/>
      </c>
      <c r="F1652" s="2" t="str">
        <f>IF(C1652=0,ISTEXT(FORMULA.CONVERT("="&amp;A1652&amp;"("&amp;REPLACE(REPT(",#ref!",B1652),1,1,"")&amp;")()",1)),"")</f>
        <v/>
      </c>
      <c r="G1652" s="2">
        <f>TYPE(SUMIFS(IF(1,1),IF(1,1),{1},IF(1,1),IF(1,1)))</f>
        <v>64</v>
      </c>
      <c r="H1652" s="2" t="str">
        <f t="shared" si="51"/>
        <v/>
      </c>
      <c r="I1652" s="2">
        <f>TYPE(SUMIFS(IF(1,1),IF(1,1),IF(1,1),IF(1,1),IF(1,1)))</f>
        <v>16</v>
      </c>
      <c r="J1652" s="2" t="str">
        <f>IF(C1652=0,COUNTIFS(A:A,A1652,D:D,"a"),"")</f>
        <v/>
      </c>
      <c r="K1652" s="2" t="e">
        <f>INDEX(+SUMIFS(#REF!,#REF!,K1652:L1652,#REF!,#REF!),)</f>
        <v>#REF!</v>
      </c>
      <c r="L1652" s="1">
        <v>1</v>
      </c>
      <c r="M1652" s="2" t="e">
        <f>INDEX(+SUMIFS(#REF!,#REF!,INDIRECT(M1652:N1652),#REF!,#REF!),)</f>
        <v>#REF!</v>
      </c>
      <c r="N1652" s="1">
        <v>1</v>
      </c>
    </row>
    <row r="1653" spans="1:14" x14ac:dyDescent="0.55000000000000004">
      <c r="A1653" s="1" t="s">
        <v>1912</v>
      </c>
      <c r="B1653" s="2">
        <f>COUNTIF(A:A,A1653)-1</f>
        <v>5</v>
      </c>
      <c r="C1653" s="2">
        <f>COUNTIF(A$1:A1653,A1653)-1</f>
        <v>4</v>
      </c>
      <c r="D1653" s="2" t="str">
        <f>Argument!D1653</f>
        <v>r</v>
      </c>
      <c r="E1653" s="2" t="str">
        <f t="shared" si="50"/>
        <v/>
      </c>
      <c r="F1653" s="2" t="str">
        <f>IF(C1653=0,ISTEXT(FORMULA.CONVERT("="&amp;A1653&amp;"("&amp;REPLACE(REPT(",#ref!",B1653),1,1,"")&amp;")()",1)),"")</f>
        <v/>
      </c>
      <c r="G1653" s="2"/>
      <c r="H1653" s="2" t="str">
        <f t="shared" si="51"/>
        <v/>
      </c>
      <c r="I1653" s="2">
        <f>TYPE(SUMIFS(IF(1,1),IF(1,1),IF(1,1),IF(1,1),IF(1,1)))</f>
        <v>16</v>
      </c>
      <c r="J1653" s="2" t="str">
        <f>IF(C1653=0,COUNTIFS(A:A,A1653,D:D,"a"),"")</f>
        <v/>
      </c>
      <c r="K1653" s="2" t="e">
        <f>INDEX(+SUMIFS(#REF!,#REF!,#REF!,K1653:L1653,#REF!),)</f>
        <v>#REF!</v>
      </c>
      <c r="L1653" s="1">
        <v>1</v>
      </c>
      <c r="M1653" s="2" t="e">
        <f>INDEX(+SUMIFS(#REF!,#REF!,#REF!,INDIRECT(M1653:N1653),#REF!),)</f>
        <v>#REF!</v>
      </c>
      <c r="N1653" s="1">
        <v>1</v>
      </c>
    </row>
    <row r="1654" spans="1:14" x14ac:dyDescent="0.55000000000000004">
      <c r="A1654" s="1" t="s">
        <v>1912</v>
      </c>
      <c r="B1654" s="2">
        <f>COUNTIF(A:A,A1654)-1</f>
        <v>5</v>
      </c>
      <c r="C1654" s="2">
        <f>COUNTIF(A$1:A1654,A1654)-1</f>
        <v>5</v>
      </c>
      <c r="D1654" s="2" t="str">
        <f>Argument!D1654</f>
        <v>v</v>
      </c>
      <c r="E1654" s="2" t="str">
        <f t="shared" si="50"/>
        <v/>
      </c>
      <c r="F1654" s="2" t="str">
        <f>IF(C1654=0,ISTEXT(FORMULA.CONVERT("="&amp;A1654&amp;"("&amp;REPLACE(REPT(",#ref!",B1654),1,1,"")&amp;")()",1)),"")</f>
        <v/>
      </c>
      <c r="G1654" s="2">
        <f>TYPE(SUMIFS(IF(1,1),IF(1,1),IF(1,1),IF(1,1),{1}))</f>
        <v>64</v>
      </c>
      <c r="H1654" s="2" t="str">
        <f t="shared" si="51"/>
        <v/>
      </c>
      <c r="I1654" s="2">
        <f>TYPE(SUMIFS(IF(1,1),IF(1,1),IF(1,1),IF(1,1),IF(1,1)))</f>
        <v>16</v>
      </c>
      <c r="J1654" s="2" t="str">
        <f>IF(C1654=0,COUNTIFS(A:A,A1654,D:D,"a"),"")</f>
        <v/>
      </c>
      <c r="K1654" s="2" t="e">
        <f>INDEX(+SUMIFS(#REF!,#REF!,#REF!,#REF!,K1654:L1654),)</f>
        <v>#REF!</v>
      </c>
      <c r="L1654" s="1">
        <v>1</v>
      </c>
      <c r="M1654" s="2" t="e">
        <f>INDEX(+SUMIFS(#REF!,#REF!,#REF!,#REF!,INDIRECT(M1654:N1654)),)</f>
        <v>#REF!</v>
      </c>
      <c r="N1654" s="1">
        <v>1</v>
      </c>
    </row>
    <row r="1655" spans="1:14" x14ac:dyDescent="0.55000000000000004">
      <c r="A1655" s="1" t="s">
        <v>1913</v>
      </c>
      <c r="B1655" s="2">
        <f>COUNTIF(A:A,A1655)-1</f>
        <v>3</v>
      </c>
      <c r="C1655" s="2">
        <f>COUNTIF(A$1:A1655,A1655)-1</f>
        <v>0</v>
      </c>
      <c r="D1655" s="2" t="str">
        <f>Argument!D1655</f>
        <v/>
      </c>
      <c r="E1655" s="2" t="str">
        <f t="shared" si="50"/>
        <v>v</v>
      </c>
      <c r="F1655" s="2" t="b">
        <f>IF(C1655=0,ISTEXT(FORMULA.CONVERT("="&amp;A1655&amp;"("&amp;REPLACE(REPT(",#ref!",B1655),1,1,"")&amp;")()",1)),"")</f>
        <v>0</v>
      </c>
      <c r="G1655" s="2"/>
      <c r="H1655" s="2" t="str">
        <f t="shared" si="51"/>
        <v/>
      </c>
      <c r="I1655" s="2">
        <f>TYPE(AVERAGEIF(IF(1,1),IF(1,1),IF(1,1)))</f>
        <v>16</v>
      </c>
      <c r="J1655" s="2">
        <f>IF(C1655=0,COUNTIFS(A:A,A1655,D:D,"a"),"")</f>
        <v>0</v>
      </c>
      <c r="K1655" s="2"/>
      <c r="M1655" s="2"/>
    </row>
    <row r="1656" spans="1:14" x14ac:dyDescent="0.55000000000000004">
      <c r="A1656" s="1" t="s">
        <v>1913</v>
      </c>
      <c r="B1656" s="2">
        <f>COUNTIF(A:A,A1656)-1</f>
        <v>3</v>
      </c>
      <c r="C1656" s="2">
        <f>COUNTIF(A$1:A1656,A1656)-1</f>
        <v>1</v>
      </c>
      <c r="D1656" s="2" t="str">
        <f>Argument!D1656</f>
        <v>r</v>
      </c>
      <c r="E1656" s="2" t="str">
        <f t="shared" si="50"/>
        <v/>
      </c>
      <c r="F1656" s="2" t="str">
        <f>IF(C1656=0,ISTEXT(FORMULA.CONVERT("="&amp;A1656&amp;"("&amp;REPLACE(REPT(",#ref!",B1656),1,1,"")&amp;")()",1)),"")</f>
        <v/>
      </c>
      <c r="G1656" s="2"/>
      <c r="H1656" s="2" t="str">
        <f t="shared" si="51"/>
        <v/>
      </c>
      <c r="I1656" s="2">
        <f>TYPE(AVERAGEIF(IF(1,1),IF(1,1),IF(1,1)))</f>
        <v>16</v>
      </c>
      <c r="J1656" s="2" t="str">
        <f>IF(C1656=0,COUNTIFS(A:A,A1656,D:D,"a"),"")</f>
        <v/>
      </c>
      <c r="K1656" s="2" t="e">
        <f>INDEX(+AVERAGEIF(K1656:L1656,#REF!,#REF!),)</f>
        <v>#REF!</v>
      </c>
      <c r="L1656" s="1">
        <v>1</v>
      </c>
      <c r="M1656" s="2" t="e">
        <f>INDEX(+AVERAGEIF(INDIRECT(M1656:N1656),#REF!,#REF!),)</f>
        <v>#REF!</v>
      </c>
      <c r="N1656" s="1">
        <v>1</v>
      </c>
    </row>
    <row r="1657" spans="1:14" x14ac:dyDescent="0.55000000000000004">
      <c r="A1657" s="1" t="s">
        <v>1913</v>
      </c>
      <c r="B1657" s="2">
        <f>COUNTIF(A:A,A1657)-1</f>
        <v>3</v>
      </c>
      <c r="C1657" s="2">
        <f>COUNTIF(A$1:A1657,A1657)-1</f>
        <v>2</v>
      </c>
      <c r="D1657" s="2" t="str">
        <f>Argument!D1657</f>
        <v>v</v>
      </c>
      <c r="E1657" s="2" t="str">
        <f t="shared" si="50"/>
        <v/>
      </c>
      <c r="F1657" s="2" t="str">
        <f>IF(C1657=0,ISTEXT(FORMULA.CONVERT("="&amp;A1657&amp;"("&amp;REPLACE(REPT(",#ref!",B1657),1,1,"")&amp;")()",1)),"")</f>
        <v/>
      </c>
      <c r="G1657" s="2">
        <f>TYPE(AVERAGEIF(IF(1,1),{1},IF(1,1)))</f>
        <v>64</v>
      </c>
      <c r="H1657" s="2" t="str">
        <f t="shared" si="51"/>
        <v/>
      </c>
      <c r="I1657" s="2">
        <f>TYPE(AVERAGEIF(IF(1,1),IF(1,1),IF(1,1)))</f>
        <v>16</v>
      </c>
      <c r="J1657" s="2" t="str">
        <f>IF(C1657=0,COUNTIFS(A:A,A1657,D:D,"a"),"")</f>
        <v/>
      </c>
      <c r="K1657" s="2" t="e">
        <f>INDEX(+AVERAGEIF(#REF!,K1657:L1657,#REF!),)</f>
        <v>#REF!</v>
      </c>
      <c r="L1657" s="1">
        <v>1</v>
      </c>
      <c r="M1657" s="2" t="e">
        <f>INDEX(+AVERAGEIF(#REF!,INDIRECT(M1657:N1657),#REF!),)</f>
        <v>#REF!</v>
      </c>
      <c r="N1657" s="1">
        <v>1</v>
      </c>
    </row>
    <row r="1658" spans="1:14" x14ac:dyDescent="0.55000000000000004">
      <c r="A1658" s="1" t="s">
        <v>1913</v>
      </c>
      <c r="B1658" s="2">
        <f>COUNTIF(A:A,A1658)-1</f>
        <v>3</v>
      </c>
      <c r="C1658" s="2">
        <f>COUNTIF(A$1:A1658,A1658)-1</f>
        <v>3</v>
      </c>
      <c r="D1658" s="2" t="str">
        <f>Argument!D1658</f>
        <v>r</v>
      </c>
      <c r="E1658" s="2" t="str">
        <f t="shared" si="50"/>
        <v/>
      </c>
      <c r="F1658" s="2" t="str">
        <f>IF(C1658=0,ISTEXT(FORMULA.CONVERT("="&amp;A1658&amp;"("&amp;REPLACE(REPT(",#ref!",B1658),1,1,"")&amp;")()",1)),"")</f>
        <v/>
      </c>
      <c r="G1658" s="2"/>
      <c r="H1658" s="2" t="str">
        <f t="shared" si="51"/>
        <v/>
      </c>
      <c r="I1658" s="2">
        <f>TYPE(AVERAGEIF(IF(1,1),IF(1,1),IF(1,1)))</f>
        <v>16</v>
      </c>
      <c r="J1658" s="2" t="str">
        <f>IF(C1658=0,COUNTIFS(A:A,A1658,D:D,"a"),"")</f>
        <v/>
      </c>
      <c r="K1658" s="2" t="e">
        <f>INDEX(+AVERAGEIF(#REF!,#REF!,K1658:L1658),)</f>
        <v>#REF!</v>
      </c>
      <c r="L1658" s="1">
        <v>1</v>
      </c>
      <c r="M1658" s="2" t="e">
        <f>INDEX(+AVERAGEIF(#REF!,#REF!,INDIRECT(M1658:N1658)),)</f>
        <v>#REF!</v>
      </c>
      <c r="N1658" s="1">
        <v>1</v>
      </c>
    </row>
    <row r="1659" spans="1:14" x14ac:dyDescent="0.55000000000000004">
      <c r="A1659" s="1" t="s">
        <v>1914</v>
      </c>
      <c r="B1659" s="2">
        <f>COUNTIF(A:A,A1659)-1</f>
        <v>5</v>
      </c>
      <c r="C1659" s="2">
        <f>COUNTIF(A$1:A1659,A1659)-1</f>
        <v>0</v>
      </c>
      <c r="D1659" s="2" t="str">
        <f>Argument!D1659</f>
        <v/>
      </c>
      <c r="E1659" s="2" t="str">
        <f t="shared" si="50"/>
        <v>v</v>
      </c>
      <c r="F1659" s="2" t="b">
        <f>IF(C1659=0,ISTEXT(FORMULA.CONVERT("="&amp;A1659&amp;"("&amp;REPLACE(REPT(",#ref!",B1659),1,1,"")&amp;")()",1)),"")</f>
        <v>0</v>
      </c>
      <c r="G1659" s="2"/>
      <c r="H1659" s="2" t="str">
        <f t="shared" si="51"/>
        <v/>
      </c>
      <c r="I1659" s="2">
        <f>TYPE(AVERAGEIFS(IF(1,1),IF(1,1),IF(1,1),IF(1,1),IF(1,1)))</f>
        <v>16</v>
      </c>
      <c r="J1659" s="2">
        <f>IF(C1659=0,COUNTIFS(A:A,A1659,D:D,"a"),"")</f>
        <v>0</v>
      </c>
      <c r="K1659" s="2"/>
      <c r="M1659" s="2"/>
    </row>
    <row r="1660" spans="1:14" x14ac:dyDescent="0.55000000000000004">
      <c r="A1660" s="1" t="s">
        <v>1914</v>
      </c>
      <c r="B1660" s="2">
        <f>COUNTIF(A:A,A1660)-1</f>
        <v>5</v>
      </c>
      <c r="C1660" s="2">
        <f>COUNTIF(A$1:A1660,A1660)-1</f>
        <v>1</v>
      </c>
      <c r="D1660" s="2" t="str">
        <f>Argument!D1660</f>
        <v>r</v>
      </c>
      <c r="E1660" s="2" t="str">
        <f t="shared" si="50"/>
        <v/>
      </c>
      <c r="F1660" s="2" t="str">
        <f>IF(C1660=0,ISTEXT(FORMULA.CONVERT("="&amp;A1660&amp;"("&amp;REPLACE(REPT(",#ref!",B1660),1,1,"")&amp;")()",1)),"")</f>
        <v/>
      </c>
      <c r="G1660" s="2"/>
      <c r="H1660" s="2" t="str">
        <f t="shared" si="51"/>
        <v/>
      </c>
      <c r="I1660" s="2">
        <f>TYPE(AVERAGEIFS(IF(1,1),IF(1,1),IF(1,1),IF(1,1),IF(1,1)))</f>
        <v>16</v>
      </c>
      <c r="J1660" s="2" t="str">
        <f>IF(C1660=0,COUNTIFS(A:A,A1660,D:D,"a"),"")</f>
        <v/>
      </c>
      <c r="K1660" s="2" t="e">
        <f>INDEX(+AVERAGEIFS(K1660:L1660,#REF!,#REF!,#REF!,#REF!),)</f>
        <v>#REF!</v>
      </c>
      <c r="L1660" s="1">
        <v>1</v>
      </c>
      <c r="M1660" s="2" t="e">
        <f>INDEX(+AVERAGEIFS(INDIRECT(M1660:N1660),#REF!,#REF!,#REF!,#REF!),)</f>
        <v>#REF!</v>
      </c>
      <c r="N1660" s="1">
        <v>1</v>
      </c>
    </row>
    <row r="1661" spans="1:14" x14ac:dyDescent="0.55000000000000004">
      <c r="A1661" s="1" t="s">
        <v>1914</v>
      </c>
      <c r="B1661" s="2">
        <f>COUNTIF(A:A,A1661)-1</f>
        <v>5</v>
      </c>
      <c r="C1661" s="2">
        <f>COUNTIF(A$1:A1661,A1661)-1</f>
        <v>2</v>
      </c>
      <c r="D1661" s="2" t="str">
        <f>Argument!D1661</f>
        <v>r</v>
      </c>
      <c r="E1661" s="2" t="str">
        <f t="shared" si="50"/>
        <v/>
      </c>
      <c r="F1661" s="2" t="str">
        <f>IF(C1661=0,ISTEXT(FORMULA.CONVERT("="&amp;A1661&amp;"("&amp;REPLACE(REPT(",#ref!",B1661),1,1,"")&amp;")()",1)),"")</f>
        <v/>
      </c>
      <c r="G1661" s="2"/>
      <c r="H1661" s="2" t="str">
        <f t="shared" si="51"/>
        <v/>
      </c>
      <c r="I1661" s="2">
        <f>TYPE(AVERAGEIFS(IF(1,1),IF(1,1),IF(1,1),IF(1,1),IF(1,1)))</f>
        <v>16</v>
      </c>
      <c r="J1661" s="2" t="str">
        <f>IF(C1661=0,COUNTIFS(A:A,A1661,D:D,"a"),"")</f>
        <v/>
      </c>
      <c r="K1661" s="2" t="e">
        <f>INDEX(+AVERAGEIFS(#REF!,K1661:L1661,#REF!,#REF!,#REF!),)</f>
        <v>#REF!</v>
      </c>
      <c r="L1661" s="1">
        <v>1</v>
      </c>
      <c r="M1661" s="2" t="e">
        <f>INDEX(+AVERAGEIFS(#REF!,INDIRECT(M1661:N1661),#REF!,#REF!,#REF!),)</f>
        <v>#REF!</v>
      </c>
      <c r="N1661" s="1">
        <v>1</v>
      </c>
    </row>
    <row r="1662" spans="1:14" x14ac:dyDescent="0.55000000000000004">
      <c r="A1662" s="1" t="s">
        <v>1914</v>
      </c>
      <c r="B1662" s="2">
        <f>COUNTIF(A:A,A1662)-1</f>
        <v>5</v>
      </c>
      <c r="C1662" s="2">
        <f>COUNTIF(A$1:A1662,A1662)-1</f>
        <v>3</v>
      </c>
      <c r="D1662" s="2" t="str">
        <f>Argument!D1662</f>
        <v>v</v>
      </c>
      <c r="E1662" s="2" t="str">
        <f t="shared" si="50"/>
        <v/>
      </c>
      <c r="F1662" s="2" t="str">
        <f>IF(C1662=0,ISTEXT(FORMULA.CONVERT("="&amp;A1662&amp;"("&amp;REPLACE(REPT(",#ref!",B1662),1,1,"")&amp;")()",1)),"")</f>
        <v/>
      </c>
      <c r="G1662" s="2">
        <f>TYPE(AVERAGEIFS(IF(1,1),IF(1,1),{1},IF(1,1),IF(1,1)))</f>
        <v>64</v>
      </c>
      <c r="H1662" s="2" t="str">
        <f t="shared" si="51"/>
        <v/>
      </c>
      <c r="I1662" s="2">
        <f>TYPE(AVERAGEIFS(IF(1,1),IF(1,1),IF(1,1),IF(1,1),IF(1,1)))</f>
        <v>16</v>
      </c>
      <c r="J1662" s="2" t="str">
        <f>IF(C1662=0,COUNTIFS(A:A,A1662,D:D,"a"),"")</f>
        <v/>
      </c>
      <c r="K1662" s="2" t="e">
        <f>INDEX(+AVERAGEIFS(#REF!,#REF!,K1662:L1662,#REF!,#REF!),)</f>
        <v>#REF!</v>
      </c>
      <c r="L1662" s="1">
        <v>1</v>
      </c>
      <c r="M1662" s="2" t="e">
        <f>INDEX(+AVERAGEIFS(#REF!,#REF!,INDIRECT(M1662:N1662),#REF!,#REF!),)</f>
        <v>#REF!</v>
      </c>
      <c r="N1662" s="1">
        <v>1</v>
      </c>
    </row>
    <row r="1663" spans="1:14" x14ac:dyDescent="0.55000000000000004">
      <c r="A1663" s="1" t="s">
        <v>1914</v>
      </c>
      <c r="B1663" s="2">
        <f>COUNTIF(A:A,A1663)-1</f>
        <v>5</v>
      </c>
      <c r="C1663" s="2">
        <f>COUNTIF(A$1:A1663,A1663)-1</f>
        <v>4</v>
      </c>
      <c r="D1663" s="2" t="str">
        <f>Argument!D1663</f>
        <v>r</v>
      </c>
      <c r="E1663" s="2" t="str">
        <f t="shared" si="50"/>
        <v/>
      </c>
      <c r="F1663" s="2" t="str">
        <f>IF(C1663=0,ISTEXT(FORMULA.CONVERT("="&amp;A1663&amp;"("&amp;REPLACE(REPT(",#ref!",B1663),1,1,"")&amp;")()",1)),"")</f>
        <v/>
      </c>
      <c r="G1663" s="2"/>
      <c r="H1663" s="2" t="str">
        <f t="shared" si="51"/>
        <v/>
      </c>
      <c r="I1663" s="2">
        <f>TYPE(AVERAGEIFS(IF(1,1),IF(1,1),IF(1,1),IF(1,1),IF(1,1)))</f>
        <v>16</v>
      </c>
      <c r="J1663" s="2" t="str">
        <f>IF(C1663=0,COUNTIFS(A:A,A1663,D:D,"a"),"")</f>
        <v/>
      </c>
      <c r="K1663" s="2" t="e">
        <f>INDEX(+AVERAGEIFS(#REF!,#REF!,#REF!,K1663:L1663,#REF!),)</f>
        <v>#REF!</v>
      </c>
      <c r="L1663" s="1">
        <v>1</v>
      </c>
      <c r="M1663" s="2" t="e">
        <f>INDEX(+AVERAGEIFS(#REF!,#REF!,#REF!,INDIRECT(M1663:N1663),#REF!),)</f>
        <v>#REF!</v>
      </c>
      <c r="N1663" s="1">
        <v>1</v>
      </c>
    </row>
    <row r="1664" spans="1:14" x14ac:dyDescent="0.55000000000000004">
      <c r="A1664" s="1" t="s">
        <v>1914</v>
      </c>
      <c r="B1664" s="2">
        <f>COUNTIF(A:A,A1664)-1</f>
        <v>5</v>
      </c>
      <c r="C1664" s="2">
        <f>COUNTIF(A$1:A1664,A1664)-1</f>
        <v>5</v>
      </c>
      <c r="D1664" s="2" t="str">
        <f>Argument!D1664</f>
        <v>v</v>
      </c>
      <c r="E1664" s="2" t="str">
        <f t="shared" si="50"/>
        <v/>
      </c>
      <c r="F1664" s="2" t="str">
        <f>IF(C1664=0,ISTEXT(FORMULA.CONVERT("="&amp;A1664&amp;"("&amp;REPLACE(REPT(",#ref!",B1664),1,1,"")&amp;")()",1)),"")</f>
        <v/>
      </c>
      <c r="G1664" s="2">
        <f>TYPE(AVERAGEIFS(IF(1,1),IF(1,1),IF(1,1),IF(1,1),{1}))</f>
        <v>64</v>
      </c>
      <c r="H1664" s="2" t="str">
        <f t="shared" si="51"/>
        <v/>
      </c>
      <c r="I1664" s="2">
        <f>TYPE(AVERAGEIFS(IF(1,1),IF(1,1),IF(1,1),IF(1,1),IF(1,1)))</f>
        <v>16</v>
      </c>
      <c r="J1664" s="2" t="str">
        <f>IF(C1664=0,COUNTIFS(A:A,A1664,D:D,"a"),"")</f>
        <v/>
      </c>
      <c r="K1664" s="2" t="e">
        <f>INDEX(+AVERAGEIFS(#REF!,#REF!,#REF!,#REF!,K1664:L1664),)</f>
        <v>#REF!</v>
      </c>
      <c r="L1664" s="1">
        <v>1</v>
      </c>
      <c r="M1664" s="2" t="e">
        <f>INDEX(+AVERAGEIFS(#REF!,#REF!,#REF!,#REF!,INDIRECT(M1664:N1664)),)</f>
        <v>#REF!</v>
      </c>
      <c r="N1664" s="1">
        <v>1</v>
      </c>
    </row>
    <row r="1665" spans="1:14" x14ac:dyDescent="0.55000000000000004">
      <c r="A1665" s="1" t="s">
        <v>1915</v>
      </c>
      <c r="B1665" s="2">
        <f>COUNTIF(A:A,A1665)-1</f>
        <v>5</v>
      </c>
      <c r="C1665" s="2">
        <f>COUNTIF(A$1:A1665,A1665)-1</f>
        <v>0</v>
      </c>
      <c r="D1665" s="2" t="str">
        <f>Argument!D1665</f>
        <v/>
      </c>
      <c r="E1665" s="2" t="str">
        <f t="shared" si="50"/>
        <v>v</v>
      </c>
      <c r="F1665" s="2" t="b">
        <f>IF(C1665=0,ISTEXT(FORMULA.CONVERT("="&amp;A1665&amp;"("&amp;REPLACE(REPT(",#ref!",B1665),1,1,"")&amp;")()",1)),"")</f>
        <v>0</v>
      </c>
      <c r="G1665" s="2"/>
      <c r="H1665" s="2" t="str">
        <f t="shared" si="51"/>
        <v/>
      </c>
      <c r="I1665" s="2">
        <f>TYPE(_xlfn.AGGREGATE(IF(1,1),IF(1,1),IF(1,1),IF(1,1),IF(1,1)))</f>
        <v>16</v>
      </c>
      <c r="J1665" s="2">
        <f>IF(C1665=0,COUNTIFS(A:A,A1665,D:D,"a"),"")</f>
        <v>0</v>
      </c>
      <c r="K1665" s="2"/>
      <c r="M1665" s="2"/>
    </row>
    <row r="1666" spans="1:14" x14ac:dyDescent="0.55000000000000004">
      <c r="A1666" s="1" t="s">
        <v>1915</v>
      </c>
      <c r="B1666" s="2">
        <f>COUNTIF(A:A,A1666)-1</f>
        <v>5</v>
      </c>
      <c r="C1666" s="2">
        <f>COUNTIF(A$1:A1666,A1666)-1</f>
        <v>1</v>
      </c>
      <c r="D1666" s="2" t="str">
        <f>Argument!D1666</f>
        <v>v</v>
      </c>
      <c r="E1666" s="2" t="str">
        <f t="shared" ref="E1666:E1729" si="52">IF(C1666=0,IF(SUMIFS(H:H,A:A,A1666),IF(COUNTIFS(A:A,A1666,G:G,64),,"v")&amp;IF(F1666,"ar","a"),IF(F1666,"r","v")),"")</f>
        <v/>
      </c>
      <c r="F1666" s="2" t="str">
        <f>IF(C1666=0,ISTEXT(FORMULA.CONVERT("="&amp;A1666&amp;"("&amp;REPLACE(REPT(",#ref!",B1666),1,1,"")&amp;")()",1)),"")</f>
        <v/>
      </c>
      <c r="G1666" s="2">
        <f>TYPE(_xlfn.AGGREGATE({1},IF(1,1),IF(1,1),IF(1,1),IF(1,1)))</f>
        <v>64</v>
      </c>
      <c r="H1666" s="2" t="str">
        <f t="shared" ref="H1666:H1729" si="53">IF((I1666=64)*(J1666=B1666)+(1-L1666)*COUNTIF(D1666,"*v*")+(1-N1666)*COUNTIF(D1666,"*r*"),1,"")</f>
        <v/>
      </c>
      <c r="I1666" s="2">
        <f>TYPE(_xlfn.AGGREGATE(IF(1,1),IF(1,1),IF(1,1),IF(1,1),IF(1,1)))</f>
        <v>16</v>
      </c>
      <c r="J1666" s="2" t="str">
        <f>IF(C1666=0,COUNTIFS(A:A,A1666,D:D,"a"),"")</f>
        <v/>
      </c>
      <c r="K1666" s="2" t="e">
        <f>INDEX(+_xlfn.AGGREGATE(K1666:L1666,#REF!,#REF!,#REF!,#REF!),)</f>
        <v>#REF!</v>
      </c>
      <c r="L1666" s="1">
        <v>1</v>
      </c>
      <c r="M1666" s="2" t="e">
        <f>INDEX(+_xlfn.AGGREGATE(INDIRECT(M1666:N1666),#REF!,#REF!,#REF!,#REF!),)</f>
        <v>#REF!</v>
      </c>
      <c r="N1666" s="1">
        <v>1</v>
      </c>
    </row>
    <row r="1667" spans="1:14" x14ac:dyDescent="0.55000000000000004">
      <c r="A1667" s="1" t="s">
        <v>1915</v>
      </c>
      <c r="B1667" s="2">
        <f>COUNTIF(A:A,A1667)-1</f>
        <v>5</v>
      </c>
      <c r="C1667" s="2">
        <f>COUNTIF(A$1:A1667,A1667)-1</f>
        <v>2</v>
      </c>
      <c r="D1667" s="2" t="str">
        <f>Argument!D1667</f>
        <v>v</v>
      </c>
      <c r="E1667" s="2" t="str">
        <f t="shared" si="52"/>
        <v/>
      </c>
      <c r="F1667" s="2" t="str">
        <f>IF(C1667=0,ISTEXT(FORMULA.CONVERT("="&amp;A1667&amp;"("&amp;REPLACE(REPT(",#ref!",B1667),1,1,"")&amp;")()",1)),"")</f>
        <v/>
      </c>
      <c r="G1667" s="2">
        <f>TYPE(_xlfn.AGGREGATE(IF(1,1),{1},IF(1,1),IF(1,1),IF(1,1)))</f>
        <v>64</v>
      </c>
      <c r="H1667" s="2" t="str">
        <f t="shared" si="53"/>
        <v/>
      </c>
      <c r="I1667" s="2">
        <f>TYPE(_xlfn.AGGREGATE(IF(1,1),IF(1,1),IF(1,1),IF(1,1),IF(1,1)))</f>
        <v>16</v>
      </c>
      <c r="J1667" s="2" t="str">
        <f>IF(C1667=0,COUNTIFS(A:A,A1667,D:D,"a"),"")</f>
        <v/>
      </c>
      <c r="K1667" s="2" t="e">
        <f>INDEX(+_xlfn.AGGREGATE(#REF!,K1667:L1667,#REF!,#REF!,#REF!),)</f>
        <v>#REF!</v>
      </c>
      <c r="L1667" s="1">
        <v>1</v>
      </c>
      <c r="M1667" s="2" t="e">
        <f>INDEX(+_xlfn.AGGREGATE(#REF!,INDIRECT(M1667:N1667),#REF!,#REF!,#REF!),)</f>
        <v>#REF!</v>
      </c>
      <c r="N1667" s="1">
        <v>1</v>
      </c>
    </row>
    <row r="1668" spans="1:14" x14ac:dyDescent="0.55000000000000004">
      <c r="A1668" s="1" t="s">
        <v>1915</v>
      </c>
      <c r="B1668" s="2">
        <f>COUNTIF(A:A,A1668)-1</f>
        <v>5</v>
      </c>
      <c r="C1668" s="2">
        <f>COUNTIF(A$1:A1668,A1668)-1</f>
        <v>3</v>
      </c>
      <c r="D1668" s="2" t="str">
        <f>Argument!D1668</f>
        <v>ar</v>
      </c>
      <c r="E1668" s="2" t="str">
        <f t="shared" si="52"/>
        <v/>
      </c>
      <c r="F1668" s="2" t="str">
        <f>IF(C1668=0,ISTEXT(FORMULA.CONVERT("="&amp;A1668&amp;"("&amp;REPLACE(REPT(",#ref!",B1668),1,1,"")&amp;")()",1)),"")</f>
        <v/>
      </c>
      <c r="G1668" s="2">
        <f>TYPE(_xlfn.AGGREGATE(IF(1,1),IF(1,1),{1},IF(1,1),IF(1,1)))</f>
        <v>16</v>
      </c>
      <c r="H1668" s="2" t="str">
        <f t="shared" si="53"/>
        <v/>
      </c>
      <c r="I1668" s="2">
        <f>TYPE(_xlfn.AGGREGATE(IF(1,1),IF(1,1),IF(1,1),IF(1,1),IF(1,1)))</f>
        <v>16</v>
      </c>
      <c r="J1668" s="2" t="str">
        <f>IF(C1668=0,COUNTIFS(A:A,A1668,D:D,"a"),"")</f>
        <v/>
      </c>
      <c r="K1668" s="2" t="e">
        <f>INDEX(+_xlfn.AGGREGATE(#REF!,#REF!,K1668:L1668,#REF!,#REF!),)</f>
        <v>#REF!</v>
      </c>
      <c r="L1668" s="1">
        <v>1</v>
      </c>
      <c r="M1668" s="2" t="e">
        <f>INDEX(+_xlfn.AGGREGATE(#REF!,#REF!,INDIRECT(M1668:N1668),#REF!,#REF!),)</f>
        <v>#REF!</v>
      </c>
      <c r="N1668" s="1">
        <v>1</v>
      </c>
    </row>
    <row r="1669" spans="1:14" x14ac:dyDescent="0.55000000000000004">
      <c r="A1669" s="1" t="s">
        <v>1915</v>
      </c>
      <c r="B1669" s="2">
        <f>COUNTIF(A:A,A1669)-1</f>
        <v>5</v>
      </c>
      <c r="C1669" s="2">
        <f>COUNTIF(A$1:A1669,A1669)-1</f>
        <v>4</v>
      </c>
      <c r="D1669" s="2" t="str">
        <f>Argument!D1669</f>
        <v>vr</v>
      </c>
      <c r="E1669" s="2" t="str">
        <f t="shared" si="52"/>
        <v/>
      </c>
      <c r="F1669" s="2" t="str">
        <f>IF(C1669=0,ISTEXT(FORMULA.CONVERT("="&amp;A1669&amp;"("&amp;REPLACE(REPT(",#ref!",B1669),1,1,"")&amp;")()",1)),"")</f>
        <v/>
      </c>
      <c r="G1669" s="2">
        <f>TYPE(_xlfn.AGGREGATE(IF(1,1),IF(1,1),IF(1,1),{1},IF(1,1)))</f>
        <v>64</v>
      </c>
      <c r="H1669" s="2" t="str">
        <f t="shared" si="53"/>
        <v/>
      </c>
      <c r="I1669" s="2">
        <f>TYPE(_xlfn.AGGREGATE(IF(1,1),IF(1,1),IF(1,1),IF(1,1),IF(1,1)))</f>
        <v>16</v>
      </c>
      <c r="J1669" s="2" t="str">
        <f>IF(C1669=0,COUNTIFS(A:A,A1669,D:D,"a"),"")</f>
        <v/>
      </c>
      <c r="K1669" s="2" t="e">
        <f>INDEX(+_xlfn.AGGREGATE(#REF!,#REF!,#REF!,K1669:L1669,#REF!),)</f>
        <v>#REF!</v>
      </c>
      <c r="L1669" s="1">
        <v>1</v>
      </c>
      <c r="M1669" s="2" t="e">
        <f>INDEX(+_xlfn.AGGREGATE(#REF!,#REF!,#REF!,INDIRECT(M1669:N1669),#REF!),)</f>
        <v>#REF!</v>
      </c>
      <c r="N1669" s="1">
        <v>1</v>
      </c>
    </row>
    <row r="1670" spans="1:14" s="1" customFormat="1" x14ac:dyDescent="0.55000000000000004">
      <c r="A1670" s="1" t="s">
        <v>1915</v>
      </c>
      <c r="B1670" s="2">
        <f>COUNTIF(A:A,A1670)-1</f>
        <v>5</v>
      </c>
      <c r="C1670" s="2">
        <f>COUNTIF(A$1:A1670,A1670)-1</f>
        <v>5</v>
      </c>
      <c r="D1670" s="2" t="str">
        <f>Argument!D1670</f>
        <v>r</v>
      </c>
      <c r="E1670" s="2" t="str">
        <f t="shared" si="52"/>
        <v/>
      </c>
      <c r="F1670" s="2" t="str">
        <f>IF(C1670=0,ISTEXT(FORMULA.CONVERT("="&amp;A1670&amp;"("&amp;REPLACE(REPT(",#ref!",B1670),1,1,"")&amp;")()",1)),"")</f>
        <v/>
      </c>
      <c r="G1670" s="2"/>
      <c r="H1670" s="2" t="str">
        <f t="shared" si="53"/>
        <v/>
      </c>
      <c r="I1670" s="2">
        <f>TYPE(_xlfn.AGGREGATE(IF(1,1),IF(1,1),IF(1,1),IF(1,1),IF(1,1)))</f>
        <v>16</v>
      </c>
      <c r="J1670" s="2" t="str">
        <f>IF(C1670=0,COUNTIFS(A:A,A1670,D:D,"a"),"")</f>
        <v/>
      </c>
      <c r="K1670" s="2" t="e">
        <f>INDEX(+_xlfn.AGGREGATE(#REF!,#REF!,#REF!,#REF!,K1670:L1670),)</f>
        <v>#REF!</v>
      </c>
      <c r="L1670" s="1">
        <v>1</v>
      </c>
      <c r="M1670" s="2" t="e">
        <f>INDEX(+_xlfn.AGGREGATE(#REF!,#REF!,#REF!,#REF!,INDIRECT(M1670:N1670)),)</f>
        <v>#REF!</v>
      </c>
      <c r="N1670" s="1">
        <v>1</v>
      </c>
    </row>
    <row r="1671" spans="1:14" s="1" customFormat="1" x14ac:dyDescent="0.55000000000000004">
      <c r="A1671" s="1" t="s">
        <v>1915</v>
      </c>
      <c r="B1671" s="2">
        <f t="shared" ref="B1671" si="54">COUNTIF(A:A,A1671)-1</f>
        <v>6</v>
      </c>
      <c r="C1671" s="2">
        <f>COUNTIF(A$1:A1671,A1671)-1</f>
        <v>6</v>
      </c>
      <c r="D1671" s="2" t="str">
        <f>Argument!D1671</f>
        <v>r</v>
      </c>
      <c r="E1671" s="2" t="str">
        <f t="shared" si="52"/>
        <v/>
      </c>
      <c r="F1671" s="2" t="str">
        <f>IF(C1671=0,ISTEXT(FORMULA.CONVERT("="&amp;A1671&amp;"("&amp;REPLACE(REPT(",#ref!",B1671),1,1,"")&amp;")()",1)),"")</f>
        <v/>
      </c>
      <c r="G1671" s="2"/>
      <c r="H1671" s="2" t="str">
        <f t="shared" si="53"/>
        <v/>
      </c>
      <c r="I1671" s="2">
        <f>TYPE(_xlfn.AGGREGATE(IF(1,1),IF(1,1),IF(1,1),IF(1,1),IF(1,1),IF(1,1)))</f>
        <v>16</v>
      </c>
      <c r="J1671" s="2"/>
      <c r="K1671" s="2" t="e">
        <f>INDEX(+_xlfn.AGGREGATE(#REF!,#REF!,#REF!,#REF!,#REF!,K1671:L1671),)</f>
        <v>#REF!</v>
      </c>
      <c r="L1671" s="1">
        <v>1</v>
      </c>
      <c r="M1671" s="2" t="e">
        <f>INDEX(+_xlfn.AGGREGATE(#REF!,#REF!,#REF!,#REF!,#REF!,INDIRECT(M1671:N1671)),)</f>
        <v>#REF!</v>
      </c>
      <c r="N1671" s="1">
        <v>1</v>
      </c>
    </row>
    <row r="1672" spans="1:14" x14ac:dyDescent="0.55000000000000004">
      <c r="A1672" s="1" t="s">
        <v>2072</v>
      </c>
      <c r="B1672" s="2">
        <f>COUNTIF(A:A,A1672)-1</f>
        <v>4</v>
      </c>
      <c r="C1672" s="2">
        <f>COUNTIF(A$1:A1672,A1672)-1</f>
        <v>0</v>
      </c>
      <c r="D1672" s="2" t="str">
        <f>Argument!D1672</f>
        <v/>
      </c>
      <c r="E1672" s="2" t="str">
        <f t="shared" si="52"/>
        <v>v</v>
      </c>
      <c r="F1672" s="2" t="b">
        <f>IF(C1672=0,ISTEXT(FORMULA.CONVERT("="&amp;A1672&amp;"("&amp;REPLACE(REPT(",#ref!",B1672),1,1,"")&amp;")()",1)),"")</f>
        <v>0</v>
      </c>
      <c r="G1672" s="2"/>
      <c r="H1672" s="2" t="str">
        <f t="shared" si="53"/>
        <v/>
      </c>
      <c r="I1672" s="2">
        <f>TYPE(_xlfn.BINOM.DIST(IF(1,1),IF(1,1),IF(1,1),IF(1,1)))</f>
        <v>1</v>
      </c>
      <c r="J1672" s="2">
        <f>IF(C1672=0,COUNTIFS(A:A,A1672,D:D,"a"),"")</f>
        <v>0</v>
      </c>
      <c r="K1672" s="2"/>
      <c r="M1672" s="2"/>
    </row>
    <row r="1673" spans="1:14" x14ac:dyDescent="0.55000000000000004">
      <c r="A1673" s="1" t="s">
        <v>2072</v>
      </c>
      <c r="B1673" s="2">
        <f>COUNTIF(A:A,A1673)-1</f>
        <v>4</v>
      </c>
      <c r="C1673" s="2">
        <f>COUNTIF(A$1:A1673,A1673)-1</f>
        <v>1</v>
      </c>
      <c r="D1673" s="2" t="str">
        <f>Argument!D1673</f>
        <v>v</v>
      </c>
      <c r="E1673" s="2" t="str">
        <f t="shared" si="52"/>
        <v/>
      </c>
      <c r="F1673" s="2" t="str">
        <f>IF(C1673=0,ISTEXT(FORMULA.CONVERT("="&amp;A1673&amp;"("&amp;REPLACE(REPT(",#ref!",B1673),1,1,"")&amp;")()",1)),"")</f>
        <v/>
      </c>
      <c r="G1673" s="2">
        <f>TYPE(_xlfn.BINOM.DIST({1},IF(1,1),IF(1,1),IF(1,1)))</f>
        <v>64</v>
      </c>
      <c r="H1673" s="2" t="str">
        <f t="shared" si="53"/>
        <v/>
      </c>
      <c r="I1673" s="2">
        <f>TYPE(_xlfn.BINOM.DIST(IF(1,1),IF(1,1),IF(1,1),IF(1,1)))</f>
        <v>1</v>
      </c>
      <c r="J1673" s="2" t="str">
        <f>IF(C1673=0,COUNTIFS(A:A,A1673,D:D,"a"),"")</f>
        <v/>
      </c>
      <c r="K1673" s="2" t="e">
        <f>INDEX(+_xlfn.BINOM.DIST(K1673:L1673,#REF!,#REF!,#REF!),)</f>
        <v>#REF!</v>
      </c>
      <c r="L1673" s="1">
        <v>1</v>
      </c>
      <c r="M1673" s="2" t="e">
        <f>INDEX(+_xlfn.BINOM.DIST(INDIRECT(M1673:N1673),#REF!,#REF!,#REF!),)</f>
        <v>#REF!</v>
      </c>
      <c r="N1673" s="1">
        <v>1</v>
      </c>
    </row>
    <row r="1674" spans="1:14" x14ac:dyDescent="0.55000000000000004">
      <c r="A1674" s="1" t="s">
        <v>2072</v>
      </c>
      <c r="B1674" s="2">
        <f>COUNTIF(A:A,A1674)-1</f>
        <v>4</v>
      </c>
      <c r="C1674" s="2">
        <f>COUNTIF(A$1:A1674,A1674)-1</f>
        <v>2</v>
      </c>
      <c r="D1674" s="2" t="str">
        <f>Argument!D1674</f>
        <v>v</v>
      </c>
      <c r="E1674" s="2" t="str">
        <f t="shared" si="52"/>
        <v/>
      </c>
      <c r="F1674" s="2" t="str">
        <f>IF(C1674=0,ISTEXT(FORMULA.CONVERT("="&amp;A1674&amp;"("&amp;REPLACE(REPT(",#ref!",B1674),1,1,"")&amp;")()",1)),"")</f>
        <v/>
      </c>
      <c r="G1674" s="2">
        <f>TYPE(_xlfn.BINOM.DIST(IF(1,1),{1},IF(1,1),IF(1,1)))</f>
        <v>64</v>
      </c>
      <c r="H1674" s="2" t="str">
        <f t="shared" si="53"/>
        <v/>
      </c>
      <c r="I1674" s="2">
        <f>TYPE(_xlfn.BINOM.DIST(IF(1,1),IF(1,1),IF(1,1),IF(1,1)))</f>
        <v>1</v>
      </c>
      <c r="J1674" s="2" t="str">
        <f>IF(C1674=0,COUNTIFS(A:A,A1674,D:D,"a"),"")</f>
        <v/>
      </c>
      <c r="K1674" s="2" t="e">
        <f>INDEX(+_xlfn.BINOM.DIST(#REF!,K1674:L1674,#REF!,#REF!),)</f>
        <v>#REF!</v>
      </c>
      <c r="L1674" s="1">
        <v>1</v>
      </c>
      <c r="M1674" s="2" t="e">
        <f>INDEX(+_xlfn.BINOM.DIST(#REF!,INDIRECT(M1674:N1674),#REF!,#REF!),)</f>
        <v>#REF!</v>
      </c>
      <c r="N1674" s="1">
        <v>1</v>
      </c>
    </row>
    <row r="1675" spans="1:14" x14ac:dyDescent="0.55000000000000004">
      <c r="A1675" s="1" t="s">
        <v>2072</v>
      </c>
      <c r="B1675" s="2">
        <f>COUNTIF(A:A,A1675)-1</f>
        <v>4</v>
      </c>
      <c r="C1675" s="2">
        <f>COUNTIF(A$1:A1675,A1675)-1</f>
        <v>3</v>
      </c>
      <c r="D1675" s="2" t="str">
        <f>Argument!D1675</f>
        <v>v</v>
      </c>
      <c r="E1675" s="2" t="str">
        <f t="shared" si="52"/>
        <v/>
      </c>
      <c r="F1675" s="2" t="str">
        <f>IF(C1675=0,ISTEXT(FORMULA.CONVERT("="&amp;A1675&amp;"("&amp;REPLACE(REPT(",#ref!",B1675),1,1,"")&amp;")()",1)),"")</f>
        <v/>
      </c>
      <c r="G1675" s="2">
        <f>TYPE(_xlfn.BINOM.DIST(IF(1,1),IF(1,1),{1},IF(1,1)))</f>
        <v>64</v>
      </c>
      <c r="H1675" s="2" t="str">
        <f t="shared" si="53"/>
        <v/>
      </c>
      <c r="I1675" s="2">
        <f>TYPE(_xlfn.BINOM.DIST(IF(1,1),IF(1,1),IF(1,1),IF(1,1)))</f>
        <v>1</v>
      </c>
      <c r="J1675" s="2" t="str">
        <f>IF(C1675=0,COUNTIFS(A:A,A1675,D:D,"a"),"")</f>
        <v/>
      </c>
      <c r="K1675" s="2" t="e">
        <f>INDEX(+_xlfn.BINOM.DIST(#REF!,#REF!,K1675:L1675,#REF!),)</f>
        <v>#REF!</v>
      </c>
      <c r="L1675" s="1">
        <v>1</v>
      </c>
      <c r="M1675" s="2" t="e">
        <f>INDEX(+_xlfn.BINOM.DIST(#REF!,#REF!,INDIRECT(M1675:N1675),#REF!),)</f>
        <v>#REF!</v>
      </c>
      <c r="N1675" s="1">
        <v>1</v>
      </c>
    </row>
    <row r="1676" spans="1:14" x14ac:dyDescent="0.55000000000000004">
      <c r="A1676" s="1" t="s">
        <v>2072</v>
      </c>
      <c r="B1676" s="2">
        <f>COUNTIF(A:A,A1676)-1</f>
        <v>4</v>
      </c>
      <c r="C1676" s="2">
        <f>COUNTIF(A$1:A1676,A1676)-1</f>
        <v>4</v>
      </c>
      <c r="D1676" s="2" t="str">
        <f>Argument!D1676</f>
        <v>v</v>
      </c>
      <c r="E1676" s="2" t="str">
        <f t="shared" si="52"/>
        <v/>
      </c>
      <c r="F1676" s="2" t="str">
        <f>IF(C1676=0,ISTEXT(FORMULA.CONVERT("="&amp;A1676&amp;"("&amp;REPLACE(REPT(",#ref!",B1676),1,1,"")&amp;")()",1)),"")</f>
        <v/>
      </c>
      <c r="G1676" s="2">
        <f>TYPE(_xlfn.BINOM.DIST(IF(1,1),IF(1,1),IF(1,1),{1}))</f>
        <v>64</v>
      </c>
      <c r="H1676" s="2" t="str">
        <f t="shared" si="53"/>
        <v/>
      </c>
      <c r="I1676" s="2">
        <f>TYPE(_xlfn.BINOM.DIST(IF(1,1),IF(1,1),IF(1,1),IF(1,1)))</f>
        <v>1</v>
      </c>
      <c r="J1676" s="2" t="str">
        <f>IF(C1676=0,COUNTIFS(A:A,A1676,D:D,"a"),"")</f>
        <v/>
      </c>
      <c r="K1676" s="2" t="e">
        <f>INDEX(+_xlfn.BINOM.DIST(#REF!,#REF!,#REF!,K1676:L1676),)</f>
        <v>#REF!</v>
      </c>
      <c r="L1676" s="1">
        <v>1</v>
      </c>
      <c r="M1676" s="2" t="e">
        <f>INDEX(+_xlfn.BINOM.DIST(#REF!,#REF!,#REF!,INDIRECT(M1676:N1676)),)</f>
        <v>#REF!</v>
      </c>
      <c r="N1676" s="1">
        <v>1</v>
      </c>
    </row>
    <row r="1677" spans="1:14" x14ac:dyDescent="0.55000000000000004">
      <c r="A1677" s="1" t="s">
        <v>2073</v>
      </c>
      <c r="B1677" s="2">
        <f>COUNTIF(A:A,A1677)-1</f>
        <v>3</v>
      </c>
      <c r="C1677" s="2">
        <f>COUNTIF(A$1:A1677,A1677)-1</f>
        <v>0</v>
      </c>
      <c r="D1677" s="2" t="str">
        <f>Argument!D1677</f>
        <v/>
      </c>
      <c r="E1677" s="2" t="str">
        <f t="shared" si="52"/>
        <v>v</v>
      </c>
      <c r="F1677" s="2" t="b">
        <f>IF(C1677=0,ISTEXT(FORMULA.CONVERT("="&amp;A1677&amp;"("&amp;REPLACE(REPT(",#ref!",B1677),1,1,"")&amp;")()",1)),"")</f>
        <v>0</v>
      </c>
      <c r="G1677" s="2"/>
      <c r="H1677" s="2" t="str">
        <f t="shared" si="53"/>
        <v/>
      </c>
      <c r="I1677" s="2">
        <f>TYPE(_xlfn.BINOM.INV(IF(1,1),IF(1,1),IF(1,1)))</f>
        <v>16</v>
      </c>
      <c r="J1677" s="2">
        <f>IF(C1677=0,COUNTIFS(A:A,A1677,D:D,"a"),"")</f>
        <v>0</v>
      </c>
      <c r="K1677" s="2"/>
      <c r="M1677" s="2"/>
    </row>
    <row r="1678" spans="1:14" x14ac:dyDescent="0.55000000000000004">
      <c r="A1678" s="1" t="s">
        <v>2073</v>
      </c>
      <c r="B1678" s="2">
        <f>COUNTIF(A:A,A1678)-1</f>
        <v>3</v>
      </c>
      <c r="C1678" s="2">
        <f>COUNTIF(A$1:A1678,A1678)-1</f>
        <v>1</v>
      </c>
      <c r="D1678" s="2" t="str">
        <f>Argument!D1678</f>
        <v>v</v>
      </c>
      <c r="E1678" s="2" t="str">
        <f t="shared" si="52"/>
        <v/>
      </c>
      <c r="F1678" s="2" t="str">
        <f>IF(C1678=0,ISTEXT(FORMULA.CONVERT("="&amp;A1678&amp;"("&amp;REPLACE(REPT(",#ref!",B1678),1,1,"")&amp;")()",1)),"")</f>
        <v/>
      </c>
      <c r="G1678" s="2">
        <f>TYPE(_xlfn.BINOM.INV({1},IF(1,1),IF(1,1)))</f>
        <v>64</v>
      </c>
      <c r="H1678" s="2" t="str">
        <f t="shared" si="53"/>
        <v/>
      </c>
      <c r="I1678" s="2">
        <f>TYPE(_xlfn.BINOM.INV(IF(1,1),IF(1,1),IF(1,1)))</f>
        <v>16</v>
      </c>
      <c r="J1678" s="2" t="str">
        <f>IF(C1678=0,COUNTIFS(A:A,A1678,D:D,"a"),"")</f>
        <v/>
      </c>
      <c r="K1678" s="2" t="e">
        <f>INDEX(+_xlfn.BINOM.INV(K1678:L1678,#REF!,#REF!),)</f>
        <v>#REF!</v>
      </c>
      <c r="L1678" s="1">
        <v>1</v>
      </c>
      <c r="M1678" s="2" t="e">
        <f>INDEX(+_xlfn.BINOM.INV(INDIRECT(M1678:N1678),#REF!,#REF!),)</f>
        <v>#REF!</v>
      </c>
      <c r="N1678" s="1">
        <v>1</v>
      </c>
    </row>
    <row r="1679" spans="1:14" x14ac:dyDescent="0.55000000000000004">
      <c r="A1679" s="1" t="s">
        <v>2073</v>
      </c>
      <c r="B1679" s="2">
        <f>COUNTIF(A:A,A1679)-1</f>
        <v>3</v>
      </c>
      <c r="C1679" s="2">
        <f>COUNTIF(A$1:A1679,A1679)-1</f>
        <v>2</v>
      </c>
      <c r="D1679" s="2" t="str">
        <f>Argument!D1679</f>
        <v>v</v>
      </c>
      <c r="E1679" s="2" t="str">
        <f t="shared" si="52"/>
        <v/>
      </c>
      <c r="F1679" s="2" t="str">
        <f>IF(C1679=0,ISTEXT(FORMULA.CONVERT("="&amp;A1679&amp;"("&amp;REPLACE(REPT(",#ref!",B1679),1,1,"")&amp;")()",1)),"")</f>
        <v/>
      </c>
      <c r="G1679" s="2">
        <f>TYPE(_xlfn.BINOM.INV(IF(1,1),{1},IF(1,1)))</f>
        <v>64</v>
      </c>
      <c r="H1679" s="2" t="str">
        <f t="shared" si="53"/>
        <v/>
      </c>
      <c r="I1679" s="2">
        <f>TYPE(_xlfn.BINOM.INV(IF(1,1),IF(1,1),IF(1,1)))</f>
        <v>16</v>
      </c>
      <c r="J1679" s="2" t="str">
        <f>IF(C1679=0,COUNTIFS(A:A,A1679,D:D,"a"),"")</f>
        <v/>
      </c>
      <c r="K1679" s="2" t="e">
        <f>INDEX(+_xlfn.BINOM.INV(#REF!,K1679:L1679,#REF!),)</f>
        <v>#REF!</v>
      </c>
      <c r="L1679" s="1">
        <v>1</v>
      </c>
      <c r="M1679" s="2" t="e">
        <f>INDEX(+_xlfn.BINOM.INV(#REF!,INDIRECT(M1679:N1679),#REF!),)</f>
        <v>#REF!</v>
      </c>
      <c r="N1679" s="1">
        <v>1</v>
      </c>
    </row>
    <row r="1680" spans="1:14" x14ac:dyDescent="0.55000000000000004">
      <c r="A1680" s="1" t="s">
        <v>2073</v>
      </c>
      <c r="B1680" s="2">
        <f>COUNTIF(A:A,A1680)-1</f>
        <v>3</v>
      </c>
      <c r="C1680" s="2">
        <f>COUNTIF(A$1:A1680,A1680)-1</f>
        <v>3</v>
      </c>
      <c r="D1680" s="2" t="str">
        <f>Argument!D1680</f>
        <v>v</v>
      </c>
      <c r="E1680" s="2" t="str">
        <f t="shared" si="52"/>
        <v/>
      </c>
      <c r="F1680" s="2" t="str">
        <f>IF(C1680=0,ISTEXT(FORMULA.CONVERT("="&amp;A1680&amp;"("&amp;REPLACE(REPT(",#ref!",B1680),1,1,"")&amp;")()",1)),"")</f>
        <v/>
      </c>
      <c r="G1680" s="2">
        <f>TYPE(_xlfn.BINOM.INV(IF(1,1),IF(1,1),{1}))</f>
        <v>64</v>
      </c>
      <c r="H1680" s="2" t="str">
        <f t="shared" si="53"/>
        <v/>
      </c>
      <c r="I1680" s="2">
        <f>TYPE(_xlfn.BINOM.INV(IF(1,1),IF(1,1),IF(1,1)))</f>
        <v>16</v>
      </c>
      <c r="J1680" s="2" t="str">
        <f>IF(C1680=0,COUNTIFS(A:A,A1680,D:D,"a"),"")</f>
        <v/>
      </c>
      <c r="K1680" s="2" t="e">
        <f>INDEX(+_xlfn.BINOM.INV(#REF!,#REF!,K1680:L1680),)</f>
        <v>#REF!</v>
      </c>
      <c r="L1680" s="1">
        <v>1</v>
      </c>
      <c r="M1680" s="2" t="e">
        <f>INDEX(+_xlfn.BINOM.INV(#REF!,#REF!,INDIRECT(M1680:N1680)),)</f>
        <v>#REF!</v>
      </c>
      <c r="N1680" s="1">
        <v>1</v>
      </c>
    </row>
    <row r="1681" spans="1:14" x14ac:dyDescent="0.55000000000000004">
      <c r="A1681" s="1" t="s">
        <v>2074</v>
      </c>
      <c r="B1681" s="2">
        <f>COUNTIF(A:A,A1681)-1</f>
        <v>3</v>
      </c>
      <c r="C1681" s="2">
        <f>COUNTIF(A$1:A1681,A1681)-1</f>
        <v>0</v>
      </c>
      <c r="D1681" s="2" t="str">
        <f>Argument!D1681</f>
        <v/>
      </c>
      <c r="E1681" s="2" t="str">
        <f t="shared" si="52"/>
        <v>v</v>
      </c>
      <c r="F1681" s="2" t="b">
        <f>IF(C1681=0,ISTEXT(FORMULA.CONVERT("="&amp;A1681&amp;"("&amp;REPLACE(REPT(",#ref!",B1681),1,1,"")&amp;")()",1)),"")</f>
        <v>0</v>
      </c>
      <c r="G1681" s="2"/>
      <c r="H1681" s="2" t="str">
        <f t="shared" si="53"/>
        <v/>
      </c>
      <c r="I1681" s="2">
        <f>TYPE(_xlfn.CONFIDENCE.NORM(IF(1,1),IF(1,1),IF(1,1)))</f>
        <v>16</v>
      </c>
      <c r="J1681" s="2">
        <f>IF(C1681=0,COUNTIFS(A:A,A1681,D:D,"a"),"")</f>
        <v>0</v>
      </c>
      <c r="K1681" s="2"/>
      <c r="M1681" s="2"/>
    </row>
    <row r="1682" spans="1:14" x14ac:dyDescent="0.55000000000000004">
      <c r="A1682" s="1" t="s">
        <v>2074</v>
      </c>
      <c r="B1682" s="2">
        <f>COUNTIF(A:A,A1682)-1</f>
        <v>3</v>
      </c>
      <c r="C1682" s="2">
        <f>COUNTIF(A$1:A1682,A1682)-1</f>
        <v>1</v>
      </c>
      <c r="D1682" s="2" t="str">
        <f>Argument!D1682</f>
        <v>v</v>
      </c>
      <c r="E1682" s="2" t="str">
        <f t="shared" si="52"/>
        <v/>
      </c>
      <c r="F1682" s="2" t="str">
        <f>IF(C1682=0,ISTEXT(FORMULA.CONVERT("="&amp;A1682&amp;"("&amp;REPLACE(REPT(",#ref!",B1682),1,1,"")&amp;")()",1)),"")</f>
        <v/>
      </c>
      <c r="G1682" s="2">
        <f>TYPE(_xlfn.CONFIDENCE.NORM({1},IF(1,1),IF(1,1)))</f>
        <v>64</v>
      </c>
      <c r="H1682" s="2" t="str">
        <f t="shared" si="53"/>
        <v/>
      </c>
      <c r="I1682" s="2">
        <f>TYPE(_xlfn.CONFIDENCE.NORM(IF(1,1),IF(1,1),IF(1,1)))</f>
        <v>16</v>
      </c>
      <c r="J1682" s="2" t="str">
        <f>IF(C1682=0,COUNTIFS(A:A,A1682,D:D,"a"),"")</f>
        <v/>
      </c>
      <c r="K1682" s="2" t="e">
        <f>INDEX(+_xlfn.CONFIDENCE.NORM(K1682:L1682,#REF!,#REF!),)</f>
        <v>#REF!</v>
      </c>
      <c r="L1682" s="1">
        <v>1</v>
      </c>
      <c r="M1682" s="2" t="e">
        <f>INDEX(+_xlfn.CONFIDENCE.NORM(INDIRECT(M1682:N1682),#REF!,#REF!),)</f>
        <v>#REF!</v>
      </c>
      <c r="N1682" s="1">
        <v>1</v>
      </c>
    </row>
    <row r="1683" spans="1:14" x14ac:dyDescent="0.55000000000000004">
      <c r="A1683" s="1" t="s">
        <v>2074</v>
      </c>
      <c r="B1683" s="2">
        <f>COUNTIF(A:A,A1683)-1</f>
        <v>3</v>
      </c>
      <c r="C1683" s="2">
        <f>COUNTIF(A$1:A1683,A1683)-1</f>
        <v>2</v>
      </c>
      <c r="D1683" s="2" t="str">
        <f>Argument!D1683</f>
        <v>v</v>
      </c>
      <c r="E1683" s="2" t="str">
        <f t="shared" si="52"/>
        <v/>
      </c>
      <c r="F1683" s="2" t="str">
        <f>IF(C1683=0,ISTEXT(FORMULA.CONVERT("="&amp;A1683&amp;"("&amp;REPLACE(REPT(",#ref!",B1683),1,1,"")&amp;")()",1)),"")</f>
        <v/>
      </c>
      <c r="G1683" s="2">
        <f>TYPE(_xlfn.CONFIDENCE.NORM(IF(1,1),{1},IF(1,1)))</f>
        <v>64</v>
      </c>
      <c r="H1683" s="2" t="str">
        <f t="shared" si="53"/>
        <v/>
      </c>
      <c r="I1683" s="2">
        <f>TYPE(_xlfn.CONFIDENCE.NORM(IF(1,1),IF(1,1),IF(1,1)))</f>
        <v>16</v>
      </c>
      <c r="J1683" s="2" t="str">
        <f>IF(C1683=0,COUNTIFS(A:A,A1683,D:D,"a"),"")</f>
        <v/>
      </c>
      <c r="K1683" s="2" t="e">
        <f>INDEX(+_xlfn.CONFIDENCE.NORM(#REF!,K1683:L1683,#REF!),)</f>
        <v>#REF!</v>
      </c>
      <c r="L1683" s="1">
        <v>1</v>
      </c>
      <c r="M1683" s="2" t="e">
        <f>INDEX(+_xlfn.CONFIDENCE.NORM(#REF!,INDIRECT(M1683:N1683),#REF!),)</f>
        <v>#REF!</v>
      </c>
      <c r="N1683" s="1">
        <v>1</v>
      </c>
    </row>
    <row r="1684" spans="1:14" x14ac:dyDescent="0.55000000000000004">
      <c r="A1684" s="1" t="s">
        <v>2074</v>
      </c>
      <c r="B1684" s="2">
        <f>COUNTIF(A:A,A1684)-1</f>
        <v>3</v>
      </c>
      <c r="C1684" s="2">
        <f>COUNTIF(A$1:A1684,A1684)-1</f>
        <v>3</v>
      </c>
      <c r="D1684" s="2" t="str">
        <f>Argument!D1684</f>
        <v>v</v>
      </c>
      <c r="E1684" s="2" t="str">
        <f t="shared" si="52"/>
        <v/>
      </c>
      <c r="F1684" s="2" t="str">
        <f>IF(C1684=0,ISTEXT(FORMULA.CONVERT("="&amp;A1684&amp;"("&amp;REPLACE(REPT(",#ref!",B1684),1,1,"")&amp;")()",1)),"")</f>
        <v/>
      </c>
      <c r="G1684" s="2">
        <f>TYPE(_xlfn.CONFIDENCE.NORM(IF(1,1),IF(1,1),{1}))</f>
        <v>64</v>
      </c>
      <c r="H1684" s="2" t="str">
        <f t="shared" si="53"/>
        <v/>
      </c>
      <c r="I1684" s="2">
        <f>TYPE(_xlfn.CONFIDENCE.NORM(IF(1,1),IF(1,1),IF(1,1)))</f>
        <v>16</v>
      </c>
      <c r="J1684" s="2" t="str">
        <f>IF(C1684=0,COUNTIFS(A:A,A1684,D:D,"a"),"")</f>
        <v/>
      </c>
      <c r="K1684" s="2" t="e">
        <f>INDEX(+_xlfn.CONFIDENCE.NORM(#REF!,#REF!,K1684:L1684),)</f>
        <v>#REF!</v>
      </c>
      <c r="L1684" s="1">
        <v>1</v>
      </c>
      <c r="M1684" s="2" t="e">
        <f>INDEX(+_xlfn.CONFIDENCE.NORM(#REF!,#REF!,INDIRECT(M1684:N1684)),)</f>
        <v>#REF!</v>
      </c>
      <c r="N1684" s="1">
        <v>1</v>
      </c>
    </row>
    <row r="1685" spans="1:14" x14ac:dyDescent="0.55000000000000004">
      <c r="A1685" s="1" t="s">
        <v>2075</v>
      </c>
      <c r="B1685" s="2">
        <f>COUNTIF(A:A,A1685)-1</f>
        <v>3</v>
      </c>
      <c r="C1685" s="2">
        <f>COUNTIF(A$1:A1685,A1685)-1</f>
        <v>0</v>
      </c>
      <c r="D1685" s="2" t="str">
        <f>Argument!D1685</f>
        <v/>
      </c>
      <c r="E1685" s="2" t="str">
        <f t="shared" si="52"/>
        <v>v</v>
      </c>
      <c r="F1685" s="2" t="b">
        <f>IF(C1685=0,ISTEXT(FORMULA.CONVERT("="&amp;A1685&amp;"("&amp;REPLACE(REPT(",#ref!",B1685),1,1,"")&amp;")()",1)),"")</f>
        <v>0</v>
      </c>
      <c r="G1685" s="2"/>
      <c r="H1685" s="2" t="str">
        <f t="shared" si="53"/>
        <v/>
      </c>
      <c r="I1685" s="2">
        <f>TYPE(_xlfn.CONFIDENCE.T(IF(1,1),IF(1,1),IF(1,1)))</f>
        <v>16</v>
      </c>
      <c r="J1685" s="2">
        <f>IF(C1685=0,COUNTIFS(A:A,A1685,D:D,"a"),"")</f>
        <v>0</v>
      </c>
      <c r="K1685" s="2"/>
      <c r="M1685" s="2"/>
    </row>
    <row r="1686" spans="1:14" x14ac:dyDescent="0.55000000000000004">
      <c r="A1686" s="1" t="s">
        <v>2075</v>
      </c>
      <c r="B1686" s="2">
        <f>COUNTIF(A:A,A1686)-1</f>
        <v>3</v>
      </c>
      <c r="C1686" s="2">
        <f>COUNTIF(A$1:A1686,A1686)-1</f>
        <v>1</v>
      </c>
      <c r="D1686" s="2" t="str">
        <f>Argument!D1686</f>
        <v>v</v>
      </c>
      <c r="E1686" s="2" t="str">
        <f t="shared" si="52"/>
        <v/>
      </c>
      <c r="F1686" s="2" t="str">
        <f>IF(C1686=0,ISTEXT(FORMULA.CONVERT("="&amp;A1686&amp;"("&amp;REPLACE(REPT(",#ref!",B1686),1,1,"")&amp;")()",1)),"")</f>
        <v/>
      </c>
      <c r="G1686" s="2">
        <f>TYPE(_xlfn.CONFIDENCE.T({1},IF(1,1),IF(1,1)))</f>
        <v>64</v>
      </c>
      <c r="H1686" s="2" t="str">
        <f t="shared" si="53"/>
        <v/>
      </c>
      <c r="I1686" s="2">
        <f>TYPE(_xlfn.CONFIDENCE.T(IF(1,1),IF(1,1),IF(1,1)))</f>
        <v>16</v>
      </c>
      <c r="J1686" s="2" t="str">
        <f>IF(C1686=0,COUNTIFS(A:A,A1686,D:D,"a"),"")</f>
        <v/>
      </c>
      <c r="K1686" s="2" t="e">
        <f>INDEX(+_xlfn.CONFIDENCE.T(K1686:L1686,#REF!,#REF!),)</f>
        <v>#REF!</v>
      </c>
      <c r="L1686" s="1">
        <v>1</v>
      </c>
      <c r="M1686" s="2" t="e">
        <f>INDEX(+_xlfn.CONFIDENCE.T(INDIRECT(M1686:N1686),#REF!,#REF!),)</f>
        <v>#REF!</v>
      </c>
      <c r="N1686" s="1">
        <v>1</v>
      </c>
    </row>
    <row r="1687" spans="1:14" x14ac:dyDescent="0.55000000000000004">
      <c r="A1687" s="1" t="s">
        <v>2075</v>
      </c>
      <c r="B1687" s="2">
        <f>COUNTIF(A:A,A1687)-1</f>
        <v>3</v>
      </c>
      <c r="C1687" s="2">
        <f>COUNTIF(A$1:A1687,A1687)-1</f>
        <v>2</v>
      </c>
      <c r="D1687" s="2" t="str">
        <f>Argument!D1687</f>
        <v>v</v>
      </c>
      <c r="E1687" s="2" t="str">
        <f t="shared" si="52"/>
        <v/>
      </c>
      <c r="F1687" s="2" t="str">
        <f>IF(C1687=0,ISTEXT(FORMULA.CONVERT("="&amp;A1687&amp;"("&amp;REPLACE(REPT(",#ref!",B1687),1,1,"")&amp;")()",1)),"")</f>
        <v/>
      </c>
      <c r="G1687" s="2">
        <f>TYPE(_xlfn.CONFIDENCE.T(IF(1,1),{1},IF(1,1)))</f>
        <v>64</v>
      </c>
      <c r="H1687" s="2" t="str">
        <f t="shared" si="53"/>
        <v/>
      </c>
      <c r="I1687" s="2">
        <f>TYPE(_xlfn.CONFIDENCE.T(IF(1,1),IF(1,1),IF(1,1)))</f>
        <v>16</v>
      </c>
      <c r="J1687" s="2" t="str">
        <f>IF(C1687=0,COUNTIFS(A:A,A1687,D:D,"a"),"")</f>
        <v/>
      </c>
      <c r="K1687" s="2" t="e">
        <f>INDEX(+_xlfn.CONFIDENCE.T(#REF!,K1687:L1687,#REF!),)</f>
        <v>#REF!</v>
      </c>
      <c r="L1687" s="1">
        <v>1</v>
      </c>
      <c r="M1687" s="2" t="e">
        <f>INDEX(+_xlfn.CONFIDENCE.T(#REF!,INDIRECT(M1687:N1687),#REF!),)</f>
        <v>#REF!</v>
      </c>
      <c r="N1687" s="1">
        <v>1</v>
      </c>
    </row>
    <row r="1688" spans="1:14" x14ac:dyDescent="0.55000000000000004">
      <c r="A1688" s="1" t="s">
        <v>2075</v>
      </c>
      <c r="B1688" s="2">
        <f>COUNTIF(A:A,A1688)-1</f>
        <v>3</v>
      </c>
      <c r="C1688" s="2">
        <f>COUNTIF(A$1:A1688,A1688)-1</f>
        <v>3</v>
      </c>
      <c r="D1688" s="2" t="str">
        <f>Argument!D1688</f>
        <v>v</v>
      </c>
      <c r="E1688" s="2" t="str">
        <f t="shared" si="52"/>
        <v/>
      </c>
      <c r="F1688" s="2" t="str">
        <f>IF(C1688=0,ISTEXT(FORMULA.CONVERT("="&amp;A1688&amp;"("&amp;REPLACE(REPT(",#ref!",B1688),1,1,"")&amp;")()",1)),"")</f>
        <v/>
      </c>
      <c r="G1688" s="2">
        <f>TYPE(_xlfn.CONFIDENCE.T(IF(1,1),IF(1,1),{1}))</f>
        <v>64</v>
      </c>
      <c r="H1688" s="2" t="str">
        <f t="shared" si="53"/>
        <v/>
      </c>
      <c r="I1688" s="2">
        <f>TYPE(_xlfn.CONFIDENCE.T(IF(1,1),IF(1,1),IF(1,1)))</f>
        <v>16</v>
      </c>
      <c r="J1688" s="2" t="str">
        <f>IF(C1688=0,COUNTIFS(A:A,A1688,D:D,"a"),"")</f>
        <v/>
      </c>
      <c r="K1688" s="2" t="e">
        <f>INDEX(+_xlfn.CONFIDENCE.T(#REF!,#REF!,K1688:L1688),)</f>
        <v>#REF!</v>
      </c>
      <c r="L1688" s="1">
        <v>1</v>
      </c>
      <c r="M1688" s="2" t="e">
        <f>INDEX(+_xlfn.CONFIDENCE.T(#REF!,#REF!,INDIRECT(M1688:N1688)),)</f>
        <v>#REF!</v>
      </c>
      <c r="N1688" s="1">
        <v>1</v>
      </c>
    </row>
    <row r="1689" spans="1:14" x14ac:dyDescent="0.55000000000000004">
      <c r="A1689" s="1" t="s">
        <v>2076</v>
      </c>
      <c r="B1689" s="2">
        <f>COUNTIF(A:A,A1689)-1</f>
        <v>2</v>
      </c>
      <c r="C1689" s="2">
        <f>COUNTIF(A$1:A1689,A1689)-1</f>
        <v>0</v>
      </c>
      <c r="D1689" s="2" t="str">
        <f>Argument!D1689</f>
        <v/>
      </c>
      <c r="E1689" s="2" t="str">
        <f t="shared" si="52"/>
        <v>v</v>
      </c>
      <c r="F1689" s="2" t="b">
        <f>IF(C1689=0,ISTEXT(FORMULA.CONVERT("="&amp;A1689&amp;"("&amp;REPLACE(REPT(",#ref!",B1689),1,1,"")&amp;")()",1)),"")</f>
        <v>0</v>
      </c>
      <c r="G1689" s="2"/>
      <c r="H1689" s="2" t="str">
        <f t="shared" si="53"/>
        <v/>
      </c>
      <c r="I1689" s="2">
        <f>TYPE(_xlfn.CHISQ.TEST(IF(1,1),IF(1,1)))</f>
        <v>16</v>
      </c>
      <c r="J1689" s="2">
        <f>IF(C1689=0,COUNTIFS(A:A,A1689,D:D,"a"),"")</f>
        <v>0</v>
      </c>
      <c r="K1689" s="2"/>
      <c r="M1689" s="2"/>
    </row>
    <row r="1690" spans="1:14" x14ac:dyDescent="0.55000000000000004">
      <c r="A1690" s="1" t="s">
        <v>2076</v>
      </c>
      <c r="B1690" s="2">
        <f>COUNTIF(A:A,A1690)-1</f>
        <v>2</v>
      </c>
      <c r="C1690" s="2">
        <f>COUNTIF(A$1:A1690,A1690)-1</f>
        <v>1</v>
      </c>
      <c r="D1690" s="2" t="str">
        <f>Argument!D1690</f>
        <v>a</v>
      </c>
      <c r="E1690" s="2" t="str">
        <f t="shared" si="52"/>
        <v/>
      </c>
      <c r="F1690" s="2" t="str">
        <f>IF(C1690=0,ISTEXT(FORMULA.CONVERT("="&amp;A1690&amp;"("&amp;REPLACE(REPT(",#ref!",B1690),1,1,"")&amp;")()",1)),"")</f>
        <v/>
      </c>
      <c r="G1690" s="2">
        <f>TYPE(_xlfn.CHISQ.TEST({1},IF(1,1)))</f>
        <v>16</v>
      </c>
      <c r="H1690" s="2" t="str">
        <f t="shared" si="53"/>
        <v/>
      </c>
      <c r="I1690" s="2">
        <f>TYPE(_xlfn.CHISQ.TEST(IF(1,1),IF(1,1)))</f>
        <v>16</v>
      </c>
      <c r="J1690" s="2" t="str">
        <f>IF(C1690=0,COUNTIFS(A:A,A1690,D:D,"a"),"")</f>
        <v/>
      </c>
      <c r="K1690" s="2" t="e">
        <f>INDEX(+_xlfn.CHISQ.TEST(K1690:L1690,#REF!),)</f>
        <v>#REF!</v>
      </c>
      <c r="L1690" s="1">
        <v>1</v>
      </c>
      <c r="M1690" s="2" t="e">
        <f>INDEX(+_xlfn.CHISQ.TEST(INDIRECT(M1690:N1690),#REF!),)</f>
        <v>#REF!</v>
      </c>
      <c r="N1690" s="1">
        <v>1</v>
      </c>
    </row>
    <row r="1691" spans="1:14" x14ac:dyDescent="0.55000000000000004">
      <c r="A1691" s="1" t="s">
        <v>2076</v>
      </c>
      <c r="B1691" s="2">
        <f>COUNTIF(A:A,A1691)-1</f>
        <v>2</v>
      </c>
      <c r="C1691" s="2">
        <f>COUNTIF(A$1:A1691,A1691)-1</f>
        <v>2</v>
      </c>
      <c r="D1691" s="2" t="str">
        <f>Argument!D1691</f>
        <v>a</v>
      </c>
      <c r="E1691" s="2" t="str">
        <f t="shared" si="52"/>
        <v/>
      </c>
      <c r="F1691" s="2" t="str">
        <f>IF(C1691=0,ISTEXT(FORMULA.CONVERT("="&amp;A1691&amp;"("&amp;REPLACE(REPT(",#ref!",B1691),1,1,"")&amp;")()",1)),"")</f>
        <v/>
      </c>
      <c r="G1691" s="2">
        <f>TYPE(_xlfn.CHISQ.TEST(IF(1,1),{1}))</f>
        <v>16</v>
      </c>
      <c r="H1691" s="2" t="str">
        <f t="shared" si="53"/>
        <v/>
      </c>
      <c r="I1691" s="2">
        <f>TYPE(_xlfn.CHISQ.TEST(IF(1,1),IF(1,1)))</f>
        <v>16</v>
      </c>
      <c r="J1691" s="2" t="str">
        <f>IF(C1691=0,COUNTIFS(A:A,A1691,D:D,"a"),"")</f>
        <v/>
      </c>
      <c r="K1691" s="2" t="e">
        <f>INDEX(+_xlfn.CHISQ.TEST(#REF!,K1691:L1691),)</f>
        <v>#REF!</v>
      </c>
      <c r="L1691" s="1">
        <v>1</v>
      </c>
      <c r="M1691" s="2" t="e">
        <f>INDEX(+_xlfn.CHISQ.TEST(#REF!,INDIRECT(M1691:N1691)),)</f>
        <v>#REF!</v>
      </c>
      <c r="N1691" s="1">
        <v>1</v>
      </c>
    </row>
    <row r="1692" spans="1:14" x14ac:dyDescent="0.55000000000000004">
      <c r="A1692" s="1" t="s">
        <v>2077</v>
      </c>
      <c r="B1692" s="2">
        <f>COUNTIF(A:A,A1692)-1</f>
        <v>2</v>
      </c>
      <c r="C1692" s="2">
        <f>COUNTIF(A$1:A1692,A1692)-1</f>
        <v>0</v>
      </c>
      <c r="D1692" s="2" t="str">
        <f>Argument!D1692</f>
        <v/>
      </c>
      <c r="E1692" s="2" t="str">
        <f t="shared" si="52"/>
        <v>v</v>
      </c>
      <c r="F1692" s="2" t="b">
        <f>IF(C1692=0,ISTEXT(FORMULA.CONVERT("="&amp;A1692&amp;"("&amp;REPLACE(REPT(",#ref!",B1692),1,1,"")&amp;")()",1)),"")</f>
        <v>0</v>
      </c>
      <c r="G1692" s="2"/>
      <c r="H1692" s="2" t="str">
        <f t="shared" si="53"/>
        <v/>
      </c>
      <c r="I1692" s="2">
        <f>TYPE(_xlfn.F.TEST(IF(1,1),IF(1,1)))</f>
        <v>16</v>
      </c>
      <c r="J1692" s="2">
        <f>IF(C1692=0,COUNTIFS(A:A,A1692,D:D,"a"),"")</f>
        <v>0</v>
      </c>
      <c r="K1692" s="2"/>
      <c r="M1692" s="2"/>
    </row>
    <row r="1693" spans="1:14" x14ac:dyDescent="0.55000000000000004">
      <c r="A1693" s="1" t="s">
        <v>2077</v>
      </c>
      <c r="B1693" s="2">
        <f>COUNTIF(A:A,A1693)-1</f>
        <v>2</v>
      </c>
      <c r="C1693" s="2">
        <f>COUNTIF(A$1:A1693,A1693)-1</f>
        <v>1</v>
      </c>
      <c r="D1693" s="2" t="str">
        <f>Argument!D1693</f>
        <v>a</v>
      </c>
      <c r="E1693" s="2" t="str">
        <f t="shared" si="52"/>
        <v/>
      </c>
      <c r="F1693" s="2" t="str">
        <f>IF(C1693=0,ISTEXT(FORMULA.CONVERT("="&amp;A1693&amp;"("&amp;REPLACE(REPT(",#ref!",B1693),1,1,"")&amp;")()",1)),"")</f>
        <v/>
      </c>
      <c r="G1693" s="2">
        <f>TYPE(_xlfn.F.TEST({1},IF(1,1)))</f>
        <v>16</v>
      </c>
      <c r="H1693" s="2" t="str">
        <f t="shared" si="53"/>
        <v/>
      </c>
      <c r="I1693" s="2">
        <f>TYPE(_xlfn.F.TEST(IF(1,1),IF(1,1)))</f>
        <v>16</v>
      </c>
      <c r="J1693" s="2" t="str">
        <f>IF(C1693=0,COUNTIFS(A:A,A1693,D:D,"a"),"")</f>
        <v/>
      </c>
      <c r="K1693" s="2" t="e">
        <f>INDEX(+_xlfn.F.TEST(K1693:L1693,#REF!),)</f>
        <v>#REF!</v>
      </c>
      <c r="L1693" s="1">
        <v>1</v>
      </c>
      <c r="M1693" s="2" t="e">
        <f>INDEX(+_xlfn.F.TEST(INDIRECT(M1693:N1693),#REF!),)</f>
        <v>#REF!</v>
      </c>
      <c r="N1693" s="1">
        <v>1</v>
      </c>
    </row>
    <row r="1694" spans="1:14" x14ac:dyDescent="0.55000000000000004">
      <c r="A1694" s="1" t="s">
        <v>2077</v>
      </c>
      <c r="B1694" s="2">
        <f>COUNTIF(A:A,A1694)-1</f>
        <v>2</v>
      </c>
      <c r="C1694" s="2">
        <f>COUNTIF(A$1:A1694,A1694)-1</f>
        <v>2</v>
      </c>
      <c r="D1694" s="2" t="str">
        <f>Argument!D1694</f>
        <v>a</v>
      </c>
      <c r="E1694" s="2" t="str">
        <f t="shared" si="52"/>
        <v/>
      </c>
      <c r="F1694" s="2" t="str">
        <f>IF(C1694=0,ISTEXT(FORMULA.CONVERT("="&amp;A1694&amp;"("&amp;REPLACE(REPT(",#ref!",B1694),1,1,"")&amp;")()",1)),"")</f>
        <v/>
      </c>
      <c r="G1694" s="2">
        <f>TYPE(_xlfn.F.TEST(IF(1,1),{1}))</f>
        <v>16</v>
      </c>
      <c r="H1694" s="2" t="str">
        <f t="shared" si="53"/>
        <v/>
      </c>
      <c r="I1694" s="2">
        <f>TYPE(_xlfn.F.TEST(IF(1,1),IF(1,1)))</f>
        <v>16</v>
      </c>
      <c r="J1694" s="2" t="str">
        <f>IF(C1694=0,COUNTIFS(A:A,A1694,D:D,"a"),"")</f>
        <v/>
      </c>
      <c r="K1694" s="2" t="e">
        <f>INDEX(+_xlfn.F.TEST(#REF!,K1694:L1694),)</f>
        <v>#REF!</v>
      </c>
      <c r="L1694" s="1">
        <v>1</v>
      </c>
      <c r="M1694" s="2" t="e">
        <f>INDEX(+_xlfn.F.TEST(#REF!,INDIRECT(M1694:N1694)),)</f>
        <v>#REF!</v>
      </c>
      <c r="N1694" s="1">
        <v>1</v>
      </c>
    </row>
    <row r="1695" spans="1:14" x14ac:dyDescent="0.55000000000000004">
      <c r="A1695" s="1" t="s">
        <v>2078</v>
      </c>
      <c r="B1695" s="2">
        <f>COUNTIF(A:A,A1695)-1</f>
        <v>2</v>
      </c>
      <c r="C1695" s="2">
        <f>COUNTIF(A$1:A1695,A1695)-1</f>
        <v>0</v>
      </c>
      <c r="D1695" s="2" t="str">
        <f>Argument!D1695</f>
        <v/>
      </c>
      <c r="E1695" s="2" t="str">
        <f t="shared" si="52"/>
        <v>v</v>
      </c>
      <c r="F1695" s="2" t="b">
        <f>IF(C1695=0,ISTEXT(FORMULA.CONVERT("="&amp;A1695&amp;"("&amp;REPLACE(REPT(",#ref!",B1695),1,1,"")&amp;")()",1)),"")</f>
        <v>0</v>
      </c>
      <c r="G1695" s="2"/>
      <c r="H1695" s="2" t="str">
        <f t="shared" si="53"/>
        <v/>
      </c>
      <c r="I1695" s="2">
        <f>TYPE(_xlfn.COVARIANCE.P(IF(1,1),IF(1,1)))</f>
        <v>1</v>
      </c>
      <c r="J1695" s="2">
        <f>IF(C1695=0,COUNTIFS(A:A,A1695,D:D,"a"),"")</f>
        <v>0</v>
      </c>
      <c r="K1695" s="2"/>
      <c r="M1695" s="2"/>
    </row>
    <row r="1696" spans="1:14" x14ac:dyDescent="0.55000000000000004">
      <c r="A1696" s="1" t="s">
        <v>2078</v>
      </c>
      <c r="B1696" s="2">
        <f>COUNTIF(A:A,A1696)-1</f>
        <v>2</v>
      </c>
      <c r="C1696" s="2">
        <f>COUNTIF(A$1:A1696,A1696)-1</f>
        <v>1</v>
      </c>
      <c r="D1696" s="2" t="str">
        <f>Argument!D1696</f>
        <v>a</v>
      </c>
      <c r="E1696" s="2" t="str">
        <f t="shared" si="52"/>
        <v/>
      </c>
      <c r="F1696" s="2" t="str">
        <f>IF(C1696=0,ISTEXT(FORMULA.CONVERT("="&amp;A1696&amp;"("&amp;REPLACE(REPT(",#ref!",B1696),1,1,"")&amp;")()",1)),"")</f>
        <v/>
      </c>
      <c r="G1696" s="2">
        <f>TYPE(_xlfn.COVARIANCE.P({1},IF(1,1)))</f>
        <v>1</v>
      </c>
      <c r="H1696" s="2" t="str">
        <f t="shared" si="53"/>
        <v/>
      </c>
      <c r="I1696" s="2">
        <f>TYPE(_xlfn.COVARIANCE.P(IF(1,1),IF(1,1)))</f>
        <v>1</v>
      </c>
      <c r="J1696" s="2" t="str">
        <f>IF(C1696=0,COUNTIFS(A:A,A1696,D:D,"a"),"")</f>
        <v/>
      </c>
      <c r="K1696" s="2" t="e">
        <f>INDEX(+_xlfn.COVARIANCE.P(K1696:L1696,#REF!),)</f>
        <v>#REF!</v>
      </c>
      <c r="L1696" s="1">
        <v>1</v>
      </c>
      <c r="M1696" s="2" t="e">
        <f>INDEX(+_xlfn.COVARIANCE.P(INDIRECT(M1696:N1696),#REF!),)</f>
        <v>#REF!</v>
      </c>
      <c r="N1696" s="1">
        <v>1</v>
      </c>
    </row>
    <row r="1697" spans="1:14" x14ac:dyDescent="0.55000000000000004">
      <c r="A1697" s="1" t="s">
        <v>2078</v>
      </c>
      <c r="B1697" s="2">
        <f>COUNTIF(A:A,A1697)-1</f>
        <v>2</v>
      </c>
      <c r="C1697" s="2">
        <f>COUNTIF(A$1:A1697,A1697)-1</f>
        <v>2</v>
      </c>
      <c r="D1697" s="2" t="str">
        <f>Argument!D1697</f>
        <v>a</v>
      </c>
      <c r="E1697" s="2" t="str">
        <f t="shared" si="52"/>
        <v/>
      </c>
      <c r="F1697" s="2" t="str">
        <f>IF(C1697=0,ISTEXT(FORMULA.CONVERT("="&amp;A1697&amp;"("&amp;REPLACE(REPT(",#ref!",B1697),1,1,"")&amp;")()",1)),"")</f>
        <v/>
      </c>
      <c r="G1697" s="2">
        <f>TYPE(_xlfn.COVARIANCE.P(IF(1,1),{1}))</f>
        <v>1</v>
      </c>
      <c r="H1697" s="2" t="str">
        <f t="shared" si="53"/>
        <v/>
      </c>
      <c r="I1697" s="2">
        <f>TYPE(_xlfn.COVARIANCE.P(IF(1,1),IF(1,1)))</f>
        <v>1</v>
      </c>
      <c r="J1697" s="2" t="str">
        <f>IF(C1697=0,COUNTIFS(A:A,A1697,D:D,"a"),"")</f>
        <v/>
      </c>
      <c r="K1697" s="2" t="e">
        <f>INDEX(+_xlfn.COVARIANCE.P(#REF!,K1697:L1697),)</f>
        <v>#REF!</v>
      </c>
      <c r="L1697" s="1">
        <v>1</v>
      </c>
      <c r="M1697" s="2" t="e">
        <f>INDEX(+_xlfn.COVARIANCE.P(#REF!,INDIRECT(M1697:N1697)),)</f>
        <v>#REF!</v>
      </c>
      <c r="N1697" s="1">
        <v>1</v>
      </c>
    </row>
    <row r="1698" spans="1:14" x14ac:dyDescent="0.55000000000000004">
      <c r="A1698" s="1" t="s">
        <v>2079</v>
      </c>
      <c r="B1698" s="2">
        <f>COUNTIF(A:A,A1698)-1</f>
        <v>2</v>
      </c>
      <c r="C1698" s="2">
        <f>COUNTIF(A$1:A1698,A1698)-1</f>
        <v>0</v>
      </c>
      <c r="D1698" s="2" t="str">
        <f>Argument!D1698</f>
        <v/>
      </c>
      <c r="E1698" s="2" t="str">
        <f t="shared" si="52"/>
        <v>v</v>
      </c>
      <c r="F1698" s="2" t="b">
        <f>IF(C1698=0,ISTEXT(FORMULA.CONVERT("="&amp;A1698&amp;"("&amp;REPLACE(REPT(",#ref!",B1698),1,1,"")&amp;")()",1)),"")</f>
        <v>0</v>
      </c>
      <c r="G1698" s="2"/>
      <c r="H1698" s="2" t="str">
        <f t="shared" si="53"/>
        <v/>
      </c>
      <c r="I1698" s="2">
        <f>TYPE(_xlfn.COVARIANCE.S(IF(1,1),IF(1,1)))</f>
        <v>16</v>
      </c>
      <c r="J1698" s="2">
        <f>IF(C1698=0,COUNTIFS(A:A,A1698,D:D,"a"),"")</f>
        <v>0</v>
      </c>
      <c r="K1698" s="2"/>
      <c r="M1698" s="2"/>
    </row>
    <row r="1699" spans="1:14" x14ac:dyDescent="0.55000000000000004">
      <c r="A1699" s="1" t="s">
        <v>2079</v>
      </c>
      <c r="B1699" s="2">
        <f>COUNTIF(A:A,A1699)-1</f>
        <v>2</v>
      </c>
      <c r="C1699" s="2">
        <f>COUNTIF(A$1:A1699,A1699)-1</f>
        <v>1</v>
      </c>
      <c r="D1699" s="2" t="str">
        <f>Argument!D1699</f>
        <v>a</v>
      </c>
      <c r="E1699" s="2" t="str">
        <f t="shared" si="52"/>
        <v/>
      </c>
      <c r="F1699" s="2" t="str">
        <f>IF(C1699=0,ISTEXT(FORMULA.CONVERT("="&amp;A1699&amp;"("&amp;REPLACE(REPT(",#ref!",B1699),1,1,"")&amp;")()",1)),"")</f>
        <v/>
      </c>
      <c r="G1699" s="2">
        <f>TYPE(_xlfn.COVARIANCE.S({1},IF(1,1)))</f>
        <v>16</v>
      </c>
      <c r="H1699" s="2" t="str">
        <f t="shared" si="53"/>
        <v/>
      </c>
      <c r="I1699" s="2">
        <f>TYPE(_xlfn.COVARIANCE.S(IF(1,1),IF(1,1)))</f>
        <v>16</v>
      </c>
      <c r="J1699" s="2" t="str">
        <f>IF(C1699=0,COUNTIFS(A:A,A1699,D:D,"a"),"")</f>
        <v/>
      </c>
      <c r="K1699" s="2" t="e">
        <f>INDEX(+_xlfn.COVARIANCE.S(K1699:L1699,#REF!),)</f>
        <v>#REF!</v>
      </c>
      <c r="L1699" s="1">
        <v>1</v>
      </c>
      <c r="M1699" s="2" t="e">
        <f>INDEX(+_xlfn.COVARIANCE.S(INDIRECT(M1699:N1699),#REF!),)</f>
        <v>#REF!</v>
      </c>
      <c r="N1699" s="1">
        <v>1</v>
      </c>
    </row>
    <row r="1700" spans="1:14" x14ac:dyDescent="0.55000000000000004">
      <c r="A1700" s="1" t="s">
        <v>2079</v>
      </c>
      <c r="B1700" s="2">
        <f>COUNTIF(A:A,A1700)-1</f>
        <v>2</v>
      </c>
      <c r="C1700" s="2">
        <f>COUNTIF(A$1:A1700,A1700)-1</f>
        <v>2</v>
      </c>
      <c r="D1700" s="2" t="str">
        <f>Argument!D1700</f>
        <v>a</v>
      </c>
      <c r="E1700" s="2" t="str">
        <f t="shared" si="52"/>
        <v/>
      </c>
      <c r="F1700" s="2" t="str">
        <f>IF(C1700=0,ISTEXT(FORMULA.CONVERT("="&amp;A1700&amp;"("&amp;REPLACE(REPT(",#ref!",B1700),1,1,"")&amp;")()",1)),"")</f>
        <v/>
      </c>
      <c r="G1700" s="2">
        <f>TYPE(_xlfn.COVARIANCE.S(IF(1,1),{1}))</f>
        <v>16</v>
      </c>
      <c r="H1700" s="2" t="str">
        <f t="shared" si="53"/>
        <v/>
      </c>
      <c r="I1700" s="2">
        <f>TYPE(_xlfn.COVARIANCE.S(IF(1,1),IF(1,1)))</f>
        <v>16</v>
      </c>
      <c r="J1700" s="2" t="str">
        <f>IF(C1700=0,COUNTIFS(A:A,A1700,D:D,"a"),"")</f>
        <v/>
      </c>
      <c r="K1700" s="2" t="e">
        <f>INDEX(+_xlfn.COVARIANCE.S(#REF!,K1700:L1700),)</f>
        <v>#REF!</v>
      </c>
      <c r="L1700" s="1">
        <v>1</v>
      </c>
      <c r="M1700" s="2" t="e">
        <f>INDEX(+_xlfn.COVARIANCE.S(#REF!,INDIRECT(M1700:N1700)),)</f>
        <v>#REF!</v>
      </c>
      <c r="N1700" s="1">
        <v>1</v>
      </c>
    </row>
    <row r="1701" spans="1:14" x14ac:dyDescent="0.55000000000000004">
      <c r="A1701" s="1" t="s">
        <v>2080</v>
      </c>
      <c r="B1701" s="2">
        <f>COUNTIF(A:A,A1701)-1</f>
        <v>3</v>
      </c>
      <c r="C1701" s="2">
        <f>COUNTIF(A$1:A1701,A1701)-1</f>
        <v>0</v>
      </c>
      <c r="D1701" s="2" t="str">
        <f>Argument!D1701</f>
        <v/>
      </c>
      <c r="E1701" s="2" t="str">
        <f t="shared" si="52"/>
        <v>v</v>
      </c>
      <c r="F1701" s="2" t="b">
        <f>IF(C1701=0,ISTEXT(FORMULA.CONVERT("="&amp;A1701&amp;"("&amp;REPLACE(REPT(",#ref!",B1701),1,1,"")&amp;")()",1)),"")</f>
        <v>0</v>
      </c>
      <c r="G1701" s="2"/>
      <c r="H1701" s="2" t="str">
        <f t="shared" si="53"/>
        <v/>
      </c>
      <c r="I1701" s="2">
        <f>TYPE(_xlfn.EXPON.DIST(IF(1,1),IF(1,1),IF(1,1)))</f>
        <v>1</v>
      </c>
      <c r="J1701" s="2">
        <f>IF(C1701=0,COUNTIFS(A:A,A1701,D:D,"a"),"")</f>
        <v>0</v>
      </c>
      <c r="K1701" s="2"/>
      <c r="M1701" s="2"/>
    </row>
    <row r="1702" spans="1:14" x14ac:dyDescent="0.55000000000000004">
      <c r="A1702" s="1" t="s">
        <v>2080</v>
      </c>
      <c r="B1702" s="2">
        <f>COUNTIF(A:A,A1702)-1</f>
        <v>3</v>
      </c>
      <c r="C1702" s="2">
        <f>COUNTIF(A$1:A1702,A1702)-1</f>
        <v>1</v>
      </c>
      <c r="D1702" s="2" t="str">
        <f>Argument!D1702</f>
        <v>v</v>
      </c>
      <c r="E1702" s="2" t="str">
        <f t="shared" si="52"/>
        <v/>
      </c>
      <c r="F1702" s="2" t="str">
        <f>IF(C1702=0,ISTEXT(FORMULA.CONVERT("="&amp;A1702&amp;"("&amp;REPLACE(REPT(",#ref!",B1702),1,1,"")&amp;")()",1)),"")</f>
        <v/>
      </c>
      <c r="G1702" s="2">
        <f>TYPE(_xlfn.EXPON.DIST({1},IF(1,1),IF(1,1)))</f>
        <v>64</v>
      </c>
      <c r="H1702" s="2" t="str">
        <f t="shared" si="53"/>
        <v/>
      </c>
      <c r="I1702" s="2">
        <f>TYPE(_xlfn.EXPON.DIST(IF(1,1),IF(1,1),IF(1,1)))</f>
        <v>1</v>
      </c>
      <c r="J1702" s="2" t="str">
        <f>IF(C1702=0,COUNTIFS(A:A,A1702,D:D,"a"),"")</f>
        <v/>
      </c>
      <c r="K1702" s="2" t="e">
        <f>INDEX(+_xlfn.EXPON.DIST(K1702:L1702,#REF!,#REF!),)</f>
        <v>#REF!</v>
      </c>
      <c r="L1702" s="1">
        <v>1</v>
      </c>
      <c r="M1702" s="2" t="e">
        <f>INDEX(+_xlfn.EXPON.DIST(INDIRECT(M1702:N1702),#REF!,#REF!),)</f>
        <v>#REF!</v>
      </c>
      <c r="N1702" s="1">
        <v>1</v>
      </c>
    </row>
    <row r="1703" spans="1:14" x14ac:dyDescent="0.55000000000000004">
      <c r="A1703" s="1" t="s">
        <v>2080</v>
      </c>
      <c r="B1703" s="2">
        <f>COUNTIF(A:A,A1703)-1</f>
        <v>3</v>
      </c>
      <c r="C1703" s="2">
        <f>COUNTIF(A$1:A1703,A1703)-1</f>
        <v>2</v>
      </c>
      <c r="D1703" s="2" t="str">
        <f>Argument!D1703</f>
        <v>v</v>
      </c>
      <c r="E1703" s="2" t="str">
        <f t="shared" si="52"/>
        <v/>
      </c>
      <c r="F1703" s="2" t="str">
        <f>IF(C1703=0,ISTEXT(FORMULA.CONVERT("="&amp;A1703&amp;"("&amp;REPLACE(REPT(",#ref!",B1703),1,1,"")&amp;")()",1)),"")</f>
        <v/>
      </c>
      <c r="G1703" s="2">
        <f>TYPE(_xlfn.EXPON.DIST(IF(1,1),{1},IF(1,1)))</f>
        <v>64</v>
      </c>
      <c r="H1703" s="2" t="str">
        <f t="shared" si="53"/>
        <v/>
      </c>
      <c r="I1703" s="2">
        <f>TYPE(_xlfn.EXPON.DIST(IF(1,1),IF(1,1),IF(1,1)))</f>
        <v>1</v>
      </c>
      <c r="J1703" s="2" t="str">
        <f>IF(C1703=0,COUNTIFS(A:A,A1703,D:D,"a"),"")</f>
        <v/>
      </c>
      <c r="K1703" s="2" t="e">
        <f>INDEX(+_xlfn.EXPON.DIST(#REF!,K1703:L1703,#REF!),)</f>
        <v>#REF!</v>
      </c>
      <c r="L1703" s="1">
        <v>1</v>
      </c>
      <c r="M1703" s="2" t="e">
        <f>INDEX(+_xlfn.EXPON.DIST(#REF!,INDIRECT(M1703:N1703),#REF!),)</f>
        <v>#REF!</v>
      </c>
      <c r="N1703" s="1">
        <v>1</v>
      </c>
    </row>
    <row r="1704" spans="1:14" x14ac:dyDescent="0.55000000000000004">
      <c r="A1704" s="1" t="s">
        <v>2080</v>
      </c>
      <c r="B1704" s="2">
        <f>COUNTIF(A:A,A1704)-1</f>
        <v>3</v>
      </c>
      <c r="C1704" s="2">
        <f>COUNTIF(A$1:A1704,A1704)-1</f>
        <v>3</v>
      </c>
      <c r="D1704" s="2" t="str">
        <f>Argument!D1704</f>
        <v>v</v>
      </c>
      <c r="E1704" s="2" t="str">
        <f t="shared" si="52"/>
        <v/>
      </c>
      <c r="F1704" s="2" t="str">
        <f>IF(C1704=0,ISTEXT(FORMULA.CONVERT("="&amp;A1704&amp;"("&amp;REPLACE(REPT(",#ref!",B1704),1,1,"")&amp;")()",1)),"")</f>
        <v/>
      </c>
      <c r="G1704" s="2">
        <f>TYPE(_xlfn.EXPON.DIST(IF(1,1),IF(1,1),{1}))</f>
        <v>64</v>
      </c>
      <c r="H1704" s="2" t="str">
        <f t="shared" si="53"/>
        <v/>
      </c>
      <c r="I1704" s="2">
        <f>TYPE(_xlfn.EXPON.DIST(IF(1,1),IF(1,1),IF(1,1)))</f>
        <v>1</v>
      </c>
      <c r="J1704" s="2" t="str">
        <f>IF(C1704=0,COUNTIFS(A:A,A1704,D:D,"a"),"")</f>
        <v/>
      </c>
      <c r="K1704" s="2" t="e">
        <f>INDEX(+_xlfn.EXPON.DIST(#REF!,#REF!,K1704:L1704),)</f>
        <v>#REF!</v>
      </c>
      <c r="L1704" s="1">
        <v>1</v>
      </c>
      <c r="M1704" s="2" t="e">
        <f>INDEX(+_xlfn.EXPON.DIST(#REF!,#REF!,INDIRECT(M1704:N1704)),)</f>
        <v>#REF!</v>
      </c>
      <c r="N1704" s="1">
        <v>1</v>
      </c>
    </row>
    <row r="1705" spans="1:14" x14ac:dyDescent="0.55000000000000004">
      <c r="A1705" s="1" t="s">
        <v>2081</v>
      </c>
      <c r="B1705" s="2">
        <f>COUNTIF(A:A,A1705)-1</f>
        <v>4</v>
      </c>
      <c r="C1705" s="2">
        <f>COUNTIF(A$1:A1705,A1705)-1</f>
        <v>0</v>
      </c>
      <c r="D1705" s="2" t="str">
        <f>Argument!D1705</f>
        <v/>
      </c>
      <c r="E1705" s="2" t="str">
        <f t="shared" si="52"/>
        <v>v</v>
      </c>
      <c r="F1705" s="2" t="b">
        <f>IF(C1705=0,ISTEXT(FORMULA.CONVERT("="&amp;A1705&amp;"("&amp;REPLACE(REPT(",#ref!",B1705),1,1,"")&amp;")()",1)),"")</f>
        <v>0</v>
      </c>
      <c r="G1705" s="2"/>
      <c r="H1705" s="2" t="str">
        <f t="shared" si="53"/>
        <v/>
      </c>
      <c r="I1705" s="2">
        <f>TYPE(_xlfn.GAMMA.DIST(IF(1,1),IF(1,1),IF(1,1),IF(1,1)))</f>
        <v>1</v>
      </c>
      <c r="J1705" s="2">
        <f>IF(C1705=0,COUNTIFS(A:A,A1705,D:D,"a"),"")</f>
        <v>0</v>
      </c>
      <c r="K1705" s="2"/>
      <c r="M1705" s="2"/>
    </row>
    <row r="1706" spans="1:14" x14ac:dyDescent="0.55000000000000004">
      <c r="A1706" s="1" t="s">
        <v>2081</v>
      </c>
      <c r="B1706" s="2">
        <f>COUNTIF(A:A,A1706)-1</f>
        <v>4</v>
      </c>
      <c r="C1706" s="2">
        <f>COUNTIF(A$1:A1706,A1706)-1</f>
        <v>1</v>
      </c>
      <c r="D1706" s="2" t="str">
        <f>Argument!D1706</f>
        <v>v</v>
      </c>
      <c r="E1706" s="2" t="str">
        <f t="shared" si="52"/>
        <v/>
      </c>
      <c r="F1706" s="2" t="str">
        <f>IF(C1706=0,ISTEXT(FORMULA.CONVERT("="&amp;A1706&amp;"("&amp;REPLACE(REPT(",#ref!",B1706),1,1,"")&amp;")()",1)),"")</f>
        <v/>
      </c>
      <c r="G1706" s="2">
        <f>TYPE(_xlfn.GAMMA.DIST({1},IF(1,1),IF(1,1),IF(1,1)))</f>
        <v>64</v>
      </c>
      <c r="H1706" s="2" t="str">
        <f t="shared" si="53"/>
        <v/>
      </c>
      <c r="I1706" s="2">
        <f>TYPE(_xlfn.GAMMA.DIST(IF(1,1),IF(1,1),IF(1,1),IF(1,1)))</f>
        <v>1</v>
      </c>
      <c r="J1706" s="2" t="str">
        <f>IF(C1706=0,COUNTIFS(A:A,A1706,D:D,"a"),"")</f>
        <v/>
      </c>
      <c r="K1706" s="2" t="e">
        <f>INDEX(+_xlfn.GAMMA.DIST(K1706:L1706,#REF!,#REF!,#REF!),)</f>
        <v>#REF!</v>
      </c>
      <c r="L1706" s="1">
        <v>1</v>
      </c>
      <c r="M1706" s="2" t="e">
        <f>INDEX(+_xlfn.GAMMA.DIST(INDIRECT(M1706:N1706),#REF!,#REF!,#REF!),)</f>
        <v>#REF!</v>
      </c>
      <c r="N1706" s="1">
        <v>1</v>
      </c>
    </row>
    <row r="1707" spans="1:14" x14ac:dyDescent="0.55000000000000004">
      <c r="A1707" s="1" t="s">
        <v>2081</v>
      </c>
      <c r="B1707" s="2">
        <f>COUNTIF(A:A,A1707)-1</f>
        <v>4</v>
      </c>
      <c r="C1707" s="2">
        <f>COUNTIF(A$1:A1707,A1707)-1</f>
        <v>2</v>
      </c>
      <c r="D1707" s="2" t="str">
        <f>Argument!D1707</f>
        <v>v</v>
      </c>
      <c r="E1707" s="2" t="str">
        <f t="shared" si="52"/>
        <v/>
      </c>
      <c r="F1707" s="2" t="str">
        <f>IF(C1707=0,ISTEXT(FORMULA.CONVERT("="&amp;A1707&amp;"("&amp;REPLACE(REPT(",#ref!",B1707),1,1,"")&amp;")()",1)),"")</f>
        <v/>
      </c>
      <c r="G1707" s="2">
        <f>TYPE(_xlfn.GAMMA.DIST(IF(1,1),{1},IF(1,1),IF(1,1)))</f>
        <v>64</v>
      </c>
      <c r="H1707" s="2" t="str">
        <f t="shared" si="53"/>
        <v/>
      </c>
      <c r="I1707" s="2">
        <f>TYPE(_xlfn.GAMMA.DIST(IF(1,1),IF(1,1),IF(1,1),IF(1,1)))</f>
        <v>1</v>
      </c>
      <c r="J1707" s="2" t="str">
        <f>IF(C1707=0,COUNTIFS(A:A,A1707,D:D,"a"),"")</f>
        <v/>
      </c>
      <c r="K1707" s="2" t="e">
        <f>INDEX(+_xlfn.GAMMA.DIST(#REF!,K1707:L1707,#REF!,#REF!),)</f>
        <v>#REF!</v>
      </c>
      <c r="L1707" s="1">
        <v>1</v>
      </c>
      <c r="M1707" s="2" t="e">
        <f>INDEX(+_xlfn.GAMMA.DIST(#REF!,INDIRECT(M1707:N1707),#REF!,#REF!),)</f>
        <v>#REF!</v>
      </c>
      <c r="N1707" s="1">
        <v>1</v>
      </c>
    </row>
    <row r="1708" spans="1:14" x14ac:dyDescent="0.55000000000000004">
      <c r="A1708" s="1" t="s">
        <v>2081</v>
      </c>
      <c r="B1708" s="2">
        <f>COUNTIF(A:A,A1708)-1</f>
        <v>4</v>
      </c>
      <c r="C1708" s="2">
        <f>COUNTIF(A$1:A1708,A1708)-1</f>
        <v>3</v>
      </c>
      <c r="D1708" s="2" t="str">
        <f>Argument!D1708</f>
        <v>v</v>
      </c>
      <c r="E1708" s="2" t="str">
        <f t="shared" si="52"/>
        <v/>
      </c>
      <c r="F1708" s="2" t="str">
        <f>IF(C1708=0,ISTEXT(FORMULA.CONVERT("="&amp;A1708&amp;"("&amp;REPLACE(REPT(",#ref!",B1708),1,1,"")&amp;")()",1)),"")</f>
        <v/>
      </c>
      <c r="G1708" s="2">
        <f>TYPE(_xlfn.GAMMA.DIST(IF(1,1),IF(1,1),{1},IF(1,1)))</f>
        <v>64</v>
      </c>
      <c r="H1708" s="2" t="str">
        <f t="shared" si="53"/>
        <v/>
      </c>
      <c r="I1708" s="2">
        <f>TYPE(_xlfn.GAMMA.DIST(IF(1,1),IF(1,1),IF(1,1),IF(1,1)))</f>
        <v>1</v>
      </c>
      <c r="J1708" s="2" t="str">
        <f>IF(C1708=0,COUNTIFS(A:A,A1708,D:D,"a"),"")</f>
        <v/>
      </c>
      <c r="K1708" s="2" t="e">
        <f>INDEX(+_xlfn.GAMMA.DIST(#REF!,#REF!,K1708:L1708,#REF!),)</f>
        <v>#REF!</v>
      </c>
      <c r="L1708" s="1">
        <v>1</v>
      </c>
      <c r="M1708" s="2" t="e">
        <f>INDEX(+_xlfn.GAMMA.DIST(#REF!,#REF!,INDIRECT(M1708:N1708),#REF!),)</f>
        <v>#REF!</v>
      </c>
      <c r="N1708" s="1">
        <v>1</v>
      </c>
    </row>
    <row r="1709" spans="1:14" x14ac:dyDescent="0.55000000000000004">
      <c r="A1709" s="1" t="s">
        <v>2081</v>
      </c>
      <c r="B1709" s="2">
        <f>COUNTIF(A:A,A1709)-1</f>
        <v>4</v>
      </c>
      <c r="C1709" s="2">
        <f>COUNTIF(A$1:A1709,A1709)-1</f>
        <v>4</v>
      </c>
      <c r="D1709" s="2" t="str">
        <f>Argument!D1709</f>
        <v>v</v>
      </c>
      <c r="E1709" s="2" t="str">
        <f t="shared" si="52"/>
        <v/>
      </c>
      <c r="F1709" s="2" t="str">
        <f>IF(C1709=0,ISTEXT(FORMULA.CONVERT("="&amp;A1709&amp;"("&amp;REPLACE(REPT(",#ref!",B1709),1,1,"")&amp;")()",1)),"")</f>
        <v/>
      </c>
      <c r="G1709" s="2">
        <f>TYPE(_xlfn.GAMMA.DIST(IF(1,1),IF(1,1),IF(1,1),{1}))</f>
        <v>64</v>
      </c>
      <c r="H1709" s="2" t="str">
        <f t="shared" si="53"/>
        <v/>
      </c>
      <c r="I1709" s="2">
        <f>TYPE(_xlfn.GAMMA.DIST(IF(1,1),IF(1,1),IF(1,1),IF(1,1)))</f>
        <v>1</v>
      </c>
      <c r="J1709" s="2" t="str">
        <f>IF(C1709=0,COUNTIFS(A:A,A1709,D:D,"a"),"")</f>
        <v/>
      </c>
      <c r="K1709" s="2" t="e">
        <f>INDEX(+_xlfn.GAMMA.DIST(#REF!,#REF!,#REF!,K1709:L1709),)</f>
        <v>#REF!</v>
      </c>
      <c r="L1709" s="1">
        <v>1</v>
      </c>
      <c r="M1709" s="2" t="e">
        <f>INDEX(+_xlfn.GAMMA.DIST(#REF!,#REF!,#REF!,INDIRECT(M1709:N1709)),)</f>
        <v>#REF!</v>
      </c>
      <c r="N1709" s="1">
        <v>1</v>
      </c>
    </row>
    <row r="1710" spans="1:14" x14ac:dyDescent="0.55000000000000004">
      <c r="A1710" s="1" t="s">
        <v>2082</v>
      </c>
      <c r="B1710" s="2">
        <f>COUNTIF(A:A,A1710)-1</f>
        <v>3</v>
      </c>
      <c r="C1710" s="2">
        <f>COUNTIF(A$1:A1710,A1710)-1</f>
        <v>0</v>
      </c>
      <c r="D1710" s="2" t="str">
        <f>Argument!D1710</f>
        <v/>
      </c>
      <c r="E1710" s="2" t="str">
        <f t="shared" si="52"/>
        <v>v</v>
      </c>
      <c r="F1710" s="2" t="b">
        <f>IF(C1710=0,ISTEXT(FORMULA.CONVERT("="&amp;A1710&amp;"("&amp;REPLACE(REPT(",#ref!",B1710),1,1,"")&amp;")()",1)),"")</f>
        <v>0</v>
      </c>
      <c r="G1710" s="2"/>
      <c r="H1710" s="2" t="str">
        <f t="shared" si="53"/>
        <v/>
      </c>
      <c r="I1710" s="2">
        <f>TYPE(_xlfn.GAMMA.INV(IF(1,1),IF(1,1),IF(1,1)))</f>
        <v>16</v>
      </c>
      <c r="J1710" s="2">
        <f>IF(C1710=0,COUNTIFS(A:A,A1710,D:D,"a"),"")</f>
        <v>0</v>
      </c>
      <c r="K1710" s="2"/>
      <c r="M1710" s="2"/>
    </row>
    <row r="1711" spans="1:14" x14ac:dyDescent="0.55000000000000004">
      <c r="A1711" s="1" t="s">
        <v>2082</v>
      </c>
      <c r="B1711" s="2">
        <f>COUNTIF(A:A,A1711)-1</f>
        <v>3</v>
      </c>
      <c r="C1711" s="2">
        <f>COUNTIF(A$1:A1711,A1711)-1</f>
        <v>1</v>
      </c>
      <c r="D1711" s="2" t="str">
        <f>Argument!D1711</f>
        <v>v</v>
      </c>
      <c r="E1711" s="2" t="str">
        <f t="shared" si="52"/>
        <v/>
      </c>
      <c r="F1711" s="2" t="str">
        <f>IF(C1711=0,ISTEXT(FORMULA.CONVERT("="&amp;A1711&amp;"("&amp;REPLACE(REPT(",#ref!",B1711),1,1,"")&amp;")()",1)),"")</f>
        <v/>
      </c>
      <c r="G1711" s="2">
        <f>TYPE(_xlfn.GAMMA.INV({1},IF(1,1),IF(1,1)))</f>
        <v>64</v>
      </c>
      <c r="H1711" s="2" t="str">
        <f t="shared" si="53"/>
        <v/>
      </c>
      <c r="I1711" s="2">
        <f>TYPE(_xlfn.GAMMA.INV(IF(1,1),IF(1,1),IF(1,1)))</f>
        <v>16</v>
      </c>
      <c r="J1711" s="2" t="str">
        <f>IF(C1711=0,COUNTIFS(A:A,A1711,D:D,"a"),"")</f>
        <v/>
      </c>
      <c r="K1711" s="2" t="e">
        <f>INDEX(+_xlfn.GAMMA.INV(K1711:L1711,#REF!,#REF!),)</f>
        <v>#REF!</v>
      </c>
      <c r="L1711" s="1">
        <v>1</v>
      </c>
      <c r="M1711" s="2" t="e">
        <f>INDEX(+_xlfn.GAMMA.INV(INDIRECT(M1711:N1711),#REF!,#REF!),)</f>
        <v>#REF!</v>
      </c>
      <c r="N1711" s="1">
        <v>1</v>
      </c>
    </row>
    <row r="1712" spans="1:14" x14ac:dyDescent="0.55000000000000004">
      <c r="A1712" s="1" t="s">
        <v>2082</v>
      </c>
      <c r="B1712" s="2">
        <f>COUNTIF(A:A,A1712)-1</f>
        <v>3</v>
      </c>
      <c r="C1712" s="2">
        <f>COUNTIF(A$1:A1712,A1712)-1</f>
        <v>2</v>
      </c>
      <c r="D1712" s="2" t="str">
        <f>Argument!D1712</f>
        <v>v</v>
      </c>
      <c r="E1712" s="2" t="str">
        <f t="shared" si="52"/>
        <v/>
      </c>
      <c r="F1712" s="2" t="str">
        <f>IF(C1712=0,ISTEXT(FORMULA.CONVERT("="&amp;A1712&amp;"("&amp;REPLACE(REPT(",#ref!",B1712),1,1,"")&amp;")()",1)),"")</f>
        <v/>
      </c>
      <c r="G1712" s="2">
        <f>TYPE(_xlfn.GAMMA.INV(IF(1,1),{1},IF(1,1)))</f>
        <v>64</v>
      </c>
      <c r="H1712" s="2" t="str">
        <f t="shared" si="53"/>
        <v/>
      </c>
      <c r="I1712" s="2">
        <f>TYPE(_xlfn.GAMMA.INV(IF(1,1),IF(1,1),IF(1,1)))</f>
        <v>16</v>
      </c>
      <c r="J1712" s="2" t="str">
        <f>IF(C1712=0,COUNTIFS(A:A,A1712,D:D,"a"),"")</f>
        <v/>
      </c>
      <c r="K1712" s="2" t="e">
        <f>INDEX(+_xlfn.GAMMA.INV(#REF!,K1712:L1712,#REF!),)</f>
        <v>#REF!</v>
      </c>
      <c r="L1712" s="1">
        <v>1</v>
      </c>
      <c r="M1712" s="2" t="e">
        <f>INDEX(+_xlfn.GAMMA.INV(#REF!,INDIRECT(M1712:N1712),#REF!),)</f>
        <v>#REF!</v>
      </c>
      <c r="N1712" s="1">
        <v>1</v>
      </c>
    </row>
    <row r="1713" spans="1:14" x14ac:dyDescent="0.55000000000000004">
      <c r="A1713" s="1" t="s">
        <v>2082</v>
      </c>
      <c r="B1713" s="2">
        <f>COUNTIF(A:A,A1713)-1</f>
        <v>3</v>
      </c>
      <c r="C1713" s="2">
        <f>COUNTIF(A$1:A1713,A1713)-1</f>
        <v>3</v>
      </c>
      <c r="D1713" s="2" t="str">
        <f>Argument!D1713</f>
        <v>v</v>
      </c>
      <c r="E1713" s="2" t="str">
        <f t="shared" si="52"/>
        <v/>
      </c>
      <c r="F1713" s="2" t="str">
        <f>IF(C1713=0,ISTEXT(FORMULA.CONVERT("="&amp;A1713&amp;"("&amp;REPLACE(REPT(",#ref!",B1713),1,1,"")&amp;")()",1)),"")</f>
        <v/>
      </c>
      <c r="G1713" s="2">
        <f>TYPE(_xlfn.GAMMA.INV(IF(1,1),IF(1,1),{1}))</f>
        <v>64</v>
      </c>
      <c r="H1713" s="2" t="str">
        <f t="shared" si="53"/>
        <v/>
      </c>
      <c r="I1713" s="2">
        <f>TYPE(_xlfn.GAMMA.INV(IF(1,1),IF(1,1),IF(1,1)))</f>
        <v>16</v>
      </c>
      <c r="J1713" s="2" t="str">
        <f>IF(C1713=0,COUNTIFS(A:A,A1713,D:D,"a"),"")</f>
        <v/>
      </c>
      <c r="K1713" s="2" t="e">
        <f>INDEX(+_xlfn.GAMMA.INV(#REF!,#REF!,K1713:L1713),)</f>
        <v>#REF!</v>
      </c>
      <c r="L1713" s="1">
        <v>1</v>
      </c>
      <c r="M1713" s="2" t="e">
        <f>INDEX(+_xlfn.GAMMA.INV(#REF!,#REF!,INDIRECT(M1713:N1713)),)</f>
        <v>#REF!</v>
      </c>
      <c r="N1713" s="1">
        <v>1</v>
      </c>
    </row>
    <row r="1714" spans="1:14" x14ac:dyDescent="0.55000000000000004">
      <c r="A1714" s="1" t="s">
        <v>2083</v>
      </c>
      <c r="B1714" s="2">
        <f>COUNTIF(A:A,A1714)-1</f>
        <v>3</v>
      </c>
      <c r="C1714" s="2">
        <f>COUNTIF(A$1:A1714,A1714)-1</f>
        <v>0</v>
      </c>
      <c r="D1714" s="2" t="str">
        <f>Argument!D1714</f>
        <v/>
      </c>
      <c r="E1714" s="2" t="str">
        <f t="shared" si="52"/>
        <v>v</v>
      </c>
      <c r="F1714" s="2" t="b">
        <f>IF(C1714=0,ISTEXT(FORMULA.CONVERT("="&amp;A1714&amp;"("&amp;REPLACE(REPT(",#ref!",B1714),1,1,"")&amp;")()",1)),"")</f>
        <v>0</v>
      </c>
      <c r="G1714" s="2"/>
      <c r="H1714" s="2" t="str">
        <f t="shared" si="53"/>
        <v/>
      </c>
      <c r="I1714" s="2">
        <f>TYPE(_xlfn.MODE.MULT(IF(1,1),IF(1,1),IF(1,1)))</f>
        <v>64</v>
      </c>
      <c r="J1714" s="2">
        <f>IF(C1714=0,COUNTIFS(A:A,A1714,D:D,"a"),"")</f>
        <v>0</v>
      </c>
      <c r="K1714" s="2"/>
      <c r="M1714" s="2"/>
    </row>
    <row r="1715" spans="1:14" x14ac:dyDescent="0.55000000000000004">
      <c r="A1715" s="1" t="s">
        <v>2083</v>
      </c>
      <c r="B1715" s="2">
        <f>COUNTIF(A:A,A1715)-1</f>
        <v>3</v>
      </c>
      <c r="C1715" s="2">
        <f>COUNTIF(A$1:A1715,A1715)-1</f>
        <v>1</v>
      </c>
      <c r="D1715" s="2" t="str">
        <f>Argument!D1715</f>
        <v>a</v>
      </c>
      <c r="E1715" s="2" t="str">
        <f t="shared" si="52"/>
        <v/>
      </c>
      <c r="F1715" s="2" t="str">
        <f>IF(C1715=0,ISTEXT(FORMULA.CONVERT("="&amp;A1715&amp;"("&amp;REPLACE(REPT(",#ref!",B1715),1,1,"")&amp;")()",1)),"")</f>
        <v/>
      </c>
      <c r="G1715" s="2">
        <f>TYPE(_xlfn.MODE.MULT({1},IF(1,1),IF(1,1)))</f>
        <v>64</v>
      </c>
      <c r="H1715" s="2" t="str">
        <f t="shared" si="53"/>
        <v/>
      </c>
      <c r="I1715" s="2">
        <f>TYPE(_xlfn.MODE.MULT(IF(1,1),IF(1,1),IF(1,1)))</f>
        <v>64</v>
      </c>
      <c r="J1715" s="2" t="str">
        <f>IF(C1715=0,COUNTIFS(A:A,A1715,D:D,"a"),"")</f>
        <v/>
      </c>
      <c r="K1715" s="2" t="e">
        <f>INDEX(+_xlfn.MODE.MULT(K1715:L1715,#REF!,#REF!),)</f>
        <v>#REF!</v>
      </c>
      <c r="L1715" s="1">
        <v>1</v>
      </c>
      <c r="M1715" s="2" t="e">
        <f>INDEX(+_xlfn.MODE.MULT(INDIRECT(M1715:N1715),#REF!,#REF!),)</f>
        <v>#REF!</v>
      </c>
      <c r="N1715" s="1">
        <v>1</v>
      </c>
    </row>
    <row r="1716" spans="1:14" x14ac:dyDescent="0.55000000000000004">
      <c r="A1716" s="1" t="s">
        <v>2083</v>
      </c>
      <c r="B1716" s="2">
        <f>COUNTIF(A:A,A1716)-1</f>
        <v>3</v>
      </c>
      <c r="C1716" s="2">
        <f>COUNTIF(A$1:A1716,A1716)-1</f>
        <v>2</v>
      </c>
      <c r="D1716" s="2" t="str">
        <f>Argument!D1716</f>
        <v>a</v>
      </c>
      <c r="E1716" s="2" t="str">
        <f t="shared" si="52"/>
        <v/>
      </c>
      <c r="F1716" s="2" t="str">
        <f>IF(C1716=0,ISTEXT(FORMULA.CONVERT("="&amp;A1716&amp;"("&amp;REPLACE(REPT(",#ref!",B1716),1,1,"")&amp;")()",1)),"")</f>
        <v/>
      </c>
      <c r="G1716" s="2">
        <f>TYPE(_xlfn.MODE.MULT(IF(1,1),{1},IF(1,1)))</f>
        <v>64</v>
      </c>
      <c r="H1716" s="2" t="str">
        <f t="shared" si="53"/>
        <v/>
      </c>
      <c r="I1716" s="2">
        <f>TYPE(_xlfn.MODE.MULT(IF(1,1),IF(1,1),IF(1,1)))</f>
        <v>64</v>
      </c>
      <c r="J1716" s="2" t="str">
        <f>IF(C1716=0,COUNTIFS(A:A,A1716,D:D,"a"),"")</f>
        <v/>
      </c>
      <c r="K1716" s="2" t="e">
        <f>INDEX(+_xlfn.MODE.MULT(#REF!,K1716:L1716,#REF!),)</f>
        <v>#REF!</v>
      </c>
      <c r="L1716" s="1">
        <v>1</v>
      </c>
      <c r="M1716" s="2" t="e">
        <f>INDEX(+_xlfn.MODE.MULT(#REF!,INDIRECT(M1716:N1716),#REF!),)</f>
        <v>#REF!</v>
      </c>
      <c r="N1716" s="1">
        <v>1</v>
      </c>
    </row>
    <row r="1717" spans="1:14" x14ac:dyDescent="0.55000000000000004">
      <c r="A1717" s="1" t="s">
        <v>2083</v>
      </c>
      <c r="B1717" s="2">
        <f>COUNTIF(A:A,A1717)-1</f>
        <v>3</v>
      </c>
      <c r="C1717" s="2">
        <f>COUNTIF(A$1:A1717,A1717)-1</f>
        <v>3</v>
      </c>
      <c r="D1717" s="2" t="str">
        <f>Argument!D1717</f>
        <v>a</v>
      </c>
      <c r="E1717" s="2" t="str">
        <f t="shared" si="52"/>
        <v/>
      </c>
      <c r="F1717" s="2" t="str">
        <f>IF(C1717=0,ISTEXT(FORMULA.CONVERT("="&amp;A1717&amp;"("&amp;REPLACE(REPT(",#ref!",B1717),1,1,"")&amp;")()",1)),"")</f>
        <v/>
      </c>
      <c r="G1717" s="2">
        <f>TYPE(_xlfn.MODE.MULT(IF(1,1),IF(1,1),{1}))</f>
        <v>64</v>
      </c>
      <c r="H1717" s="2" t="str">
        <f t="shared" si="53"/>
        <v/>
      </c>
      <c r="I1717" s="2">
        <f>TYPE(_xlfn.MODE.MULT(IF(1,1),IF(1,1),IF(1,1)))</f>
        <v>64</v>
      </c>
      <c r="J1717" s="2" t="str">
        <f>IF(C1717=0,COUNTIFS(A:A,A1717,D:D,"a"),"")</f>
        <v/>
      </c>
      <c r="K1717" s="2" t="e">
        <f>INDEX(+_xlfn.MODE.MULT(#REF!,#REF!,K1717:L1717),)</f>
        <v>#REF!</v>
      </c>
      <c r="L1717" s="1">
        <v>1</v>
      </c>
      <c r="M1717" s="2" t="e">
        <f>INDEX(+_xlfn.MODE.MULT(#REF!,#REF!,INDIRECT(M1717:N1717)),)</f>
        <v>#REF!</v>
      </c>
      <c r="N1717" s="1">
        <v>1</v>
      </c>
    </row>
    <row r="1718" spans="1:14" x14ac:dyDescent="0.55000000000000004">
      <c r="A1718" s="1" t="s">
        <v>2084</v>
      </c>
      <c r="B1718" s="2">
        <f>COUNTIF(A:A,A1718)-1</f>
        <v>3</v>
      </c>
      <c r="C1718" s="2">
        <f>COUNTIF(A$1:A1718,A1718)-1</f>
        <v>0</v>
      </c>
      <c r="D1718" s="2" t="str">
        <f>Argument!D1718</f>
        <v/>
      </c>
      <c r="E1718" s="2" t="str">
        <f t="shared" si="52"/>
        <v>v</v>
      </c>
      <c r="F1718" s="2" t="b">
        <f>IF(C1718=0,ISTEXT(FORMULA.CONVERT("="&amp;A1718&amp;"("&amp;REPLACE(REPT(",#ref!",B1718),1,1,"")&amp;")()",1)),"")</f>
        <v>0</v>
      </c>
      <c r="G1718" s="2"/>
      <c r="H1718" s="2" t="str">
        <f t="shared" si="53"/>
        <v/>
      </c>
      <c r="I1718" s="2">
        <f>TYPE(_xlfn.MODE.SNGL(IF(1,1),IF(1,1),IF(1,1)))</f>
        <v>1</v>
      </c>
      <c r="J1718" s="2">
        <f>IF(C1718=0,COUNTIFS(A:A,A1718,D:D,"a"),"")</f>
        <v>0</v>
      </c>
      <c r="K1718" s="2"/>
      <c r="M1718" s="2"/>
    </row>
    <row r="1719" spans="1:14" x14ac:dyDescent="0.55000000000000004">
      <c r="A1719" s="1" t="s">
        <v>2084</v>
      </c>
      <c r="B1719" s="2">
        <f>COUNTIF(A:A,A1719)-1</f>
        <v>3</v>
      </c>
      <c r="C1719" s="2">
        <f>COUNTIF(A$1:A1719,A1719)-1</f>
        <v>1</v>
      </c>
      <c r="D1719" s="2" t="str">
        <f>Argument!D1719</f>
        <v>a</v>
      </c>
      <c r="E1719" s="2" t="str">
        <f t="shared" si="52"/>
        <v/>
      </c>
      <c r="F1719" s="2" t="str">
        <f>IF(C1719=0,ISTEXT(FORMULA.CONVERT("="&amp;A1719&amp;"("&amp;REPLACE(REPT(",#ref!",B1719),1,1,"")&amp;")()",1)),"")</f>
        <v/>
      </c>
      <c r="G1719" s="2">
        <f>TYPE(_xlfn.MODE.SNGL({1},IF(1,1),IF(1,1)))</f>
        <v>1</v>
      </c>
      <c r="H1719" s="2" t="str">
        <f t="shared" si="53"/>
        <v/>
      </c>
      <c r="I1719" s="2">
        <f>TYPE(_xlfn.MODE.SNGL(IF(1,1),IF(1,1),IF(1,1)))</f>
        <v>1</v>
      </c>
      <c r="J1719" s="2" t="str">
        <f>IF(C1719=0,COUNTIFS(A:A,A1719,D:D,"a"),"")</f>
        <v/>
      </c>
      <c r="K1719" s="2" t="e">
        <f>INDEX(+_xlfn.MODE.SNGL(K1719:L1719,#REF!,#REF!),)</f>
        <v>#REF!</v>
      </c>
      <c r="L1719" s="1">
        <v>1</v>
      </c>
      <c r="M1719" s="2" t="e">
        <f>INDEX(+_xlfn.MODE.SNGL(INDIRECT(M1719:N1719),#REF!,#REF!),)</f>
        <v>#REF!</v>
      </c>
      <c r="N1719" s="1">
        <v>1</v>
      </c>
    </row>
    <row r="1720" spans="1:14" x14ac:dyDescent="0.55000000000000004">
      <c r="A1720" s="1" t="s">
        <v>2084</v>
      </c>
      <c r="B1720" s="2">
        <f>COUNTIF(A:A,A1720)-1</f>
        <v>3</v>
      </c>
      <c r="C1720" s="2">
        <f>COUNTIF(A$1:A1720,A1720)-1</f>
        <v>2</v>
      </c>
      <c r="D1720" s="2" t="str">
        <f>Argument!D1720</f>
        <v>a</v>
      </c>
      <c r="E1720" s="2" t="str">
        <f t="shared" si="52"/>
        <v/>
      </c>
      <c r="F1720" s="2" t="str">
        <f>IF(C1720=0,ISTEXT(FORMULA.CONVERT("="&amp;A1720&amp;"("&amp;REPLACE(REPT(",#ref!",B1720),1,1,"")&amp;")()",1)),"")</f>
        <v/>
      </c>
      <c r="G1720" s="2">
        <f>TYPE(_xlfn.MODE.SNGL(IF(1,1),{1},IF(1,1)))</f>
        <v>1</v>
      </c>
      <c r="H1720" s="2" t="str">
        <f t="shared" si="53"/>
        <v/>
      </c>
      <c r="I1720" s="2">
        <f>TYPE(_xlfn.MODE.SNGL(IF(1,1),IF(1,1),IF(1,1)))</f>
        <v>1</v>
      </c>
      <c r="J1720" s="2" t="str">
        <f>IF(C1720=0,COUNTIFS(A:A,A1720,D:D,"a"),"")</f>
        <v/>
      </c>
      <c r="K1720" s="2" t="e">
        <f>INDEX(+_xlfn.MODE.SNGL(#REF!,K1720:L1720,#REF!),)</f>
        <v>#REF!</v>
      </c>
      <c r="L1720" s="1">
        <v>1</v>
      </c>
      <c r="M1720" s="2" t="e">
        <f>INDEX(+_xlfn.MODE.SNGL(#REF!,INDIRECT(M1720:N1720),#REF!),)</f>
        <v>#REF!</v>
      </c>
      <c r="N1720" s="1">
        <v>1</v>
      </c>
    </row>
    <row r="1721" spans="1:14" x14ac:dyDescent="0.55000000000000004">
      <c r="A1721" s="1" t="s">
        <v>2084</v>
      </c>
      <c r="B1721" s="2">
        <f>COUNTIF(A:A,A1721)-1</f>
        <v>3</v>
      </c>
      <c r="C1721" s="2">
        <f>COUNTIF(A$1:A1721,A1721)-1</f>
        <v>3</v>
      </c>
      <c r="D1721" s="2" t="str">
        <f>Argument!D1721</f>
        <v>a</v>
      </c>
      <c r="E1721" s="2" t="str">
        <f t="shared" si="52"/>
        <v/>
      </c>
      <c r="F1721" s="2" t="str">
        <f>IF(C1721=0,ISTEXT(FORMULA.CONVERT("="&amp;A1721&amp;"("&amp;REPLACE(REPT(",#ref!",B1721),1,1,"")&amp;")()",1)),"")</f>
        <v/>
      </c>
      <c r="G1721" s="2">
        <f>TYPE(_xlfn.MODE.SNGL(IF(1,1),IF(1,1),{1}))</f>
        <v>1</v>
      </c>
      <c r="H1721" s="2" t="str">
        <f t="shared" si="53"/>
        <v/>
      </c>
      <c r="I1721" s="2">
        <f>TYPE(_xlfn.MODE.SNGL(IF(1,1),IF(1,1),IF(1,1)))</f>
        <v>1</v>
      </c>
      <c r="J1721" s="2" t="str">
        <f>IF(C1721=0,COUNTIFS(A:A,A1721,D:D,"a"),"")</f>
        <v/>
      </c>
      <c r="K1721" s="2" t="e">
        <f>INDEX(+_xlfn.MODE.SNGL(#REF!,#REF!,K1721:L1721),)</f>
        <v>#REF!</v>
      </c>
      <c r="L1721" s="1">
        <v>1</v>
      </c>
      <c r="M1721" s="2" t="e">
        <f>INDEX(+_xlfn.MODE.SNGL(#REF!,#REF!,INDIRECT(M1721:N1721)),)</f>
        <v>#REF!</v>
      </c>
      <c r="N1721" s="1">
        <v>1</v>
      </c>
    </row>
    <row r="1722" spans="1:14" x14ac:dyDescent="0.55000000000000004">
      <c r="A1722" s="1" t="s">
        <v>2085</v>
      </c>
      <c r="B1722" s="2">
        <f>COUNTIF(A:A,A1722)-1</f>
        <v>4</v>
      </c>
      <c r="C1722" s="2">
        <f>COUNTIF(A$1:A1722,A1722)-1</f>
        <v>0</v>
      </c>
      <c r="D1722" s="2" t="str">
        <f>Argument!D1722</f>
        <v/>
      </c>
      <c r="E1722" s="2" t="str">
        <f t="shared" si="52"/>
        <v>v</v>
      </c>
      <c r="F1722" s="2" t="b">
        <f>IF(C1722=0,ISTEXT(FORMULA.CONVERT("="&amp;A1722&amp;"("&amp;REPLACE(REPT(",#ref!",B1722),1,1,"")&amp;")()",1)),"")</f>
        <v>0</v>
      </c>
      <c r="G1722" s="2"/>
      <c r="H1722" s="2" t="str">
        <f t="shared" si="53"/>
        <v/>
      </c>
      <c r="I1722" s="2">
        <f>TYPE(_xlfn.NORM.DIST(IF(1,1),IF(1,1),IF(1,1),IF(1,1)))</f>
        <v>1</v>
      </c>
      <c r="J1722" s="2">
        <f>IF(C1722=0,COUNTIFS(A:A,A1722,D:D,"a"),"")</f>
        <v>0</v>
      </c>
      <c r="K1722" s="2"/>
      <c r="M1722" s="2"/>
    </row>
    <row r="1723" spans="1:14" x14ac:dyDescent="0.55000000000000004">
      <c r="A1723" s="1" t="s">
        <v>2085</v>
      </c>
      <c r="B1723" s="2">
        <f>COUNTIF(A:A,A1723)-1</f>
        <v>4</v>
      </c>
      <c r="C1723" s="2">
        <f>COUNTIF(A$1:A1723,A1723)-1</f>
        <v>1</v>
      </c>
      <c r="D1723" s="2" t="str">
        <f>Argument!D1723</f>
        <v>v</v>
      </c>
      <c r="E1723" s="2" t="str">
        <f t="shared" si="52"/>
        <v/>
      </c>
      <c r="F1723" s="2" t="str">
        <f>IF(C1723=0,ISTEXT(FORMULA.CONVERT("="&amp;A1723&amp;"("&amp;REPLACE(REPT(",#ref!",B1723),1,1,"")&amp;")()",1)),"")</f>
        <v/>
      </c>
      <c r="G1723" s="2">
        <f>TYPE(_xlfn.NORM.DIST({1},IF(1,1),IF(1,1),IF(1,1)))</f>
        <v>64</v>
      </c>
      <c r="H1723" s="2" t="str">
        <f t="shared" si="53"/>
        <v/>
      </c>
      <c r="I1723" s="2">
        <f>TYPE(_xlfn.NORM.DIST(IF(1,1),IF(1,1),IF(1,1),IF(1,1)))</f>
        <v>1</v>
      </c>
      <c r="J1723" s="2" t="str">
        <f>IF(C1723=0,COUNTIFS(A:A,A1723,D:D,"a"),"")</f>
        <v/>
      </c>
      <c r="K1723" s="2" t="e">
        <f>INDEX(+_xlfn.NORM.DIST(K1723:L1723,#REF!,#REF!,#REF!),)</f>
        <v>#REF!</v>
      </c>
      <c r="L1723" s="1">
        <v>1</v>
      </c>
      <c r="M1723" s="2" t="e">
        <f>INDEX(+_xlfn.NORM.DIST(INDIRECT(M1723:N1723),#REF!,#REF!,#REF!),)</f>
        <v>#REF!</v>
      </c>
      <c r="N1723" s="1">
        <v>1</v>
      </c>
    </row>
    <row r="1724" spans="1:14" x14ac:dyDescent="0.55000000000000004">
      <c r="A1724" s="1" t="s">
        <v>2085</v>
      </c>
      <c r="B1724" s="2">
        <f>COUNTIF(A:A,A1724)-1</f>
        <v>4</v>
      </c>
      <c r="C1724" s="2">
        <f>COUNTIF(A$1:A1724,A1724)-1</f>
        <v>2</v>
      </c>
      <c r="D1724" s="2" t="str">
        <f>Argument!D1724</f>
        <v>v</v>
      </c>
      <c r="E1724" s="2" t="str">
        <f t="shared" si="52"/>
        <v/>
      </c>
      <c r="F1724" s="2" t="str">
        <f>IF(C1724=0,ISTEXT(FORMULA.CONVERT("="&amp;A1724&amp;"("&amp;REPLACE(REPT(",#ref!",B1724),1,1,"")&amp;")()",1)),"")</f>
        <v/>
      </c>
      <c r="G1724" s="2">
        <f>TYPE(_xlfn.NORM.DIST(IF(1,1),{1},IF(1,1),IF(1,1)))</f>
        <v>64</v>
      </c>
      <c r="H1724" s="2" t="str">
        <f t="shared" si="53"/>
        <v/>
      </c>
      <c r="I1724" s="2">
        <f>TYPE(_xlfn.NORM.DIST(IF(1,1),IF(1,1),IF(1,1),IF(1,1)))</f>
        <v>1</v>
      </c>
      <c r="J1724" s="2" t="str">
        <f>IF(C1724=0,COUNTIFS(A:A,A1724,D:D,"a"),"")</f>
        <v/>
      </c>
      <c r="K1724" s="2" t="e">
        <f>INDEX(+_xlfn.NORM.DIST(#REF!,K1724:L1724,#REF!,#REF!),)</f>
        <v>#REF!</v>
      </c>
      <c r="L1724" s="1">
        <v>1</v>
      </c>
      <c r="M1724" s="2" t="e">
        <f>INDEX(+_xlfn.NORM.DIST(#REF!,INDIRECT(M1724:N1724),#REF!,#REF!),)</f>
        <v>#REF!</v>
      </c>
      <c r="N1724" s="1">
        <v>1</v>
      </c>
    </row>
    <row r="1725" spans="1:14" x14ac:dyDescent="0.55000000000000004">
      <c r="A1725" s="1" t="s">
        <v>2085</v>
      </c>
      <c r="B1725" s="2">
        <f>COUNTIF(A:A,A1725)-1</f>
        <v>4</v>
      </c>
      <c r="C1725" s="2">
        <f>COUNTIF(A$1:A1725,A1725)-1</f>
        <v>3</v>
      </c>
      <c r="D1725" s="2" t="str">
        <f>Argument!D1725</f>
        <v>v</v>
      </c>
      <c r="E1725" s="2" t="str">
        <f t="shared" si="52"/>
        <v/>
      </c>
      <c r="F1725" s="2" t="str">
        <f>IF(C1725=0,ISTEXT(FORMULA.CONVERT("="&amp;A1725&amp;"("&amp;REPLACE(REPT(",#ref!",B1725),1,1,"")&amp;")()",1)),"")</f>
        <v/>
      </c>
      <c r="G1725" s="2">
        <f>TYPE(_xlfn.NORM.DIST(IF(1,1),IF(1,1),{1},IF(1,1)))</f>
        <v>64</v>
      </c>
      <c r="H1725" s="2" t="str">
        <f t="shared" si="53"/>
        <v/>
      </c>
      <c r="I1725" s="2">
        <f>TYPE(_xlfn.NORM.DIST(IF(1,1),IF(1,1),IF(1,1),IF(1,1)))</f>
        <v>1</v>
      </c>
      <c r="J1725" s="2" t="str">
        <f>IF(C1725=0,COUNTIFS(A:A,A1725,D:D,"a"),"")</f>
        <v/>
      </c>
      <c r="K1725" s="2" t="e">
        <f>INDEX(+_xlfn.NORM.DIST(#REF!,#REF!,K1725:L1725,#REF!),)</f>
        <v>#REF!</v>
      </c>
      <c r="L1725" s="1">
        <v>1</v>
      </c>
      <c r="M1725" s="2" t="e">
        <f>INDEX(+_xlfn.NORM.DIST(#REF!,#REF!,INDIRECT(M1725:N1725),#REF!),)</f>
        <v>#REF!</v>
      </c>
      <c r="N1725" s="1">
        <v>1</v>
      </c>
    </row>
    <row r="1726" spans="1:14" x14ac:dyDescent="0.55000000000000004">
      <c r="A1726" s="1" t="s">
        <v>2085</v>
      </c>
      <c r="B1726" s="2">
        <f>COUNTIF(A:A,A1726)-1</f>
        <v>4</v>
      </c>
      <c r="C1726" s="2">
        <f>COUNTIF(A$1:A1726,A1726)-1</f>
        <v>4</v>
      </c>
      <c r="D1726" s="2" t="str">
        <f>Argument!D1726</f>
        <v>v</v>
      </c>
      <c r="E1726" s="2" t="str">
        <f t="shared" si="52"/>
        <v/>
      </c>
      <c r="F1726" s="2" t="str">
        <f>IF(C1726=0,ISTEXT(FORMULA.CONVERT("="&amp;A1726&amp;"("&amp;REPLACE(REPT(",#ref!",B1726),1,1,"")&amp;")()",1)),"")</f>
        <v/>
      </c>
      <c r="G1726" s="2">
        <f>TYPE(_xlfn.NORM.DIST(IF(1,1),IF(1,1),IF(1,1),{1}))</f>
        <v>64</v>
      </c>
      <c r="H1726" s="2" t="str">
        <f t="shared" si="53"/>
        <v/>
      </c>
      <c r="I1726" s="2">
        <f>TYPE(_xlfn.NORM.DIST(IF(1,1),IF(1,1),IF(1,1),IF(1,1)))</f>
        <v>1</v>
      </c>
      <c r="J1726" s="2" t="str">
        <f>IF(C1726=0,COUNTIFS(A:A,A1726,D:D,"a"),"")</f>
        <v/>
      </c>
      <c r="K1726" s="2" t="e">
        <f>INDEX(+_xlfn.NORM.DIST(#REF!,#REF!,#REF!,K1726:L1726),)</f>
        <v>#REF!</v>
      </c>
      <c r="L1726" s="1">
        <v>1</v>
      </c>
      <c r="M1726" s="2" t="e">
        <f>INDEX(+_xlfn.NORM.DIST(#REF!,#REF!,#REF!,INDIRECT(M1726:N1726)),)</f>
        <v>#REF!</v>
      </c>
      <c r="N1726" s="1">
        <v>1</v>
      </c>
    </row>
    <row r="1727" spans="1:14" x14ac:dyDescent="0.55000000000000004">
      <c r="A1727" s="1" t="s">
        <v>2086</v>
      </c>
      <c r="B1727" s="2">
        <f>COUNTIF(A:A,A1727)-1</f>
        <v>3</v>
      </c>
      <c r="C1727" s="2">
        <f>COUNTIF(A$1:A1727,A1727)-1</f>
        <v>0</v>
      </c>
      <c r="D1727" s="2" t="str">
        <f>Argument!D1727</f>
        <v/>
      </c>
      <c r="E1727" s="2" t="str">
        <f t="shared" si="52"/>
        <v>v</v>
      </c>
      <c r="F1727" s="2" t="b">
        <f>IF(C1727=0,ISTEXT(FORMULA.CONVERT("="&amp;A1727&amp;"("&amp;REPLACE(REPT(",#ref!",B1727),1,1,"")&amp;")()",1)),"")</f>
        <v>0</v>
      </c>
      <c r="G1727" s="2"/>
      <c r="H1727" s="2" t="str">
        <f t="shared" si="53"/>
        <v/>
      </c>
      <c r="I1727" s="2">
        <f>TYPE(_xlfn.NORM.INV(IF(1,1),IF(1,1),IF(1,1)))</f>
        <v>16</v>
      </c>
      <c r="J1727" s="2">
        <f>IF(C1727=0,COUNTIFS(A:A,A1727,D:D,"a"),"")</f>
        <v>0</v>
      </c>
      <c r="K1727" s="2"/>
      <c r="M1727" s="2"/>
    </row>
    <row r="1728" spans="1:14" x14ac:dyDescent="0.55000000000000004">
      <c r="A1728" s="1" t="s">
        <v>2086</v>
      </c>
      <c r="B1728" s="2">
        <f>COUNTIF(A:A,A1728)-1</f>
        <v>3</v>
      </c>
      <c r="C1728" s="2">
        <f>COUNTIF(A$1:A1728,A1728)-1</f>
        <v>1</v>
      </c>
      <c r="D1728" s="2" t="str">
        <f>Argument!D1728</f>
        <v>v</v>
      </c>
      <c r="E1728" s="2" t="str">
        <f t="shared" si="52"/>
        <v/>
      </c>
      <c r="F1728" s="2" t="str">
        <f>IF(C1728=0,ISTEXT(FORMULA.CONVERT("="&amp;A1728&amp;"("&amp;REPLACE(REPT(",#ref!",B1728),1,1,"")&amp;")()",1)),"")</f>
        <v/>
      </c>
      <c r="G1728" s="2">
        <f>TYPE(_xlfn.NORM.INV({1},IF(1,1),IF(1,1)))</f>
        <v>64</v>
      </c>
      <c r="H1728" s="2" t="str">
        <f t="shared" si="53"/>
        <v/>
      </c>
      <c r="I1728" s="2">
        <f>TYPE(_xlfn.NORM.INV(IF(1,1),IF(1,1),IF(1,1)))</f>
        <v>16</v>
      </c>
      <c r="J1728" s="2" t="str">
        <f>IF(C1728=0,COUNTIFS(A:A,A1728,D:D,"a"),"")</f>
        <v/>
      </c>
      <c r="K1728" s="2" t="e">
        <f>INDEX(+_xlfn.NORM.INV(K1728:L1728,#REF!,#REF!),)</f>
        <v>#REF!</v>
      </c>
      <c r="L1728" s="1">
        <v>1</v>
      </c>
      <c r="M1728" s="2" t="e">
        <f>INDEX(+_xlfn.NORM.INV(INDIRECT(M1728:N1728),#REF!,#REF!),)</f>
        <v>#REF!</v>
      </c>
      <c r="N1728" s="1">
        <v>1</v>
      </c>
    </row>
    <row r="1729" spans="1:14" x14ac:dyDescent="0.55000000000000004">
      <c r="A1729" s="1" t="s">
        <v>2086</v>
      </c>
      <c r="B1729" s="2">
        <f>COUNTIF(A:A,A1729)-1</f>
        <v>3</v>
      </c>
      <c r="C1729" s="2">
        <f>COUNTIF(A$1:A1729,A1729)-1</f>
        <v>2</v>
      </c>
      <c r="D1729" s="2" t="str">
        <f>Argument!D1729</f>
        <v>v</v>
      </c>
      <c r="E1729" s="2" t="str">
        <f t="shared" si="52"/>
        <v/>
      </c>
      <c r="F1729" s="2" t="str">
        <f>IF(C1729=0,ISTEXT(FORMULA.CONVERT("="&amp;A1729&amp;"("&amp;REPLACE(REPT(",#ref!",B1729),1,1,"")&amp;")()",1)),"")</f>
        <v/>
      </c>
      <c r="G1729" s="2">
        <f>TYPE(_xlfn.NORM.INV(IF(1,1),{1},IF(1,1)))</f>
        <v>64</v>
      </c>
      <c r="H1729" s="2" t="str">
        <f t="shared" si="53"/>
        <v/>
      </c>
      <c r="I1729" s="2">
        <f>TYPE(_xlfn.NORM.INV(IF(1,1),IF(1,1),IF(1,1)))</f>
        <v>16</v>
      </c>
      <c r="J1729" s="2" t="str">
        <f>IF(C1729=0,COUNTIFS(A:A,A1729,D:D,"a"),"")</f>
        <v/>
      </c>
      <c r="K1729" s="2" t="e">
        <f>INDEX(+_xlfn.NORM.INV(#REF!,K1729:L1729,#REF!),)</f>
        <v>#REF!</v>
      </c>
      <c r="L1729" s="1">
        <v>1</v>
      </c>
      <c r="M1729" s="2" t="e">
        <f>INDEX(+_xlfn.NORM.INV(#REF!,INDIRECT(M1729:N1729),#REF!),)</f>
        <v>#REF!</v>
      </c>
      <c r="N1729" s="1">
        <v>1</v>
      </c>
    </row>
    <row r="1730" spans="1:14" x14ac:dyDescent="0.55000000000000004">
      <c r="A1730" s="1" t="s">
        <v>2086</v>
      </c>
      <c r="B1730" s="2">
        <f>COUNTIF(A:A,A1730)-1</f>
        <v>3</v>
      </c>
      <c r="C1730" s="2">
        <f>COUNTIF(A$1:A1730,A1730)-1</f>
        <v>3</v>
      </c>
      <c r="D1730" s="2" t="str">
        <f>Argument!D1730</f>
        <v>v</v>
      </c>
      <c r="E1730" s="2" t="str">
        <f t="shared" ref="E1730:E1793" si="55">IF(C1730=0,IF(SUMIFS(H:H,A:A,A1730),IF(COUNTIFS(A:A,A1730,G:G,64),,"v")&amp;IF(F1730,"ar","a"),IF(F1730,"r","v")),"")</f>
        <v/>
      </c>
      <c r="F1730" s="2" t="str">
        <f>IF(C1730=0,ISTEXT(FORMULA.CONVERT("="&amp;A1730&amp;"("&amp;REPLACE(REPT(",#ref!",B1730),1,1,"")&amp;")()",1)),"")</f>
        <v/>
      </c>
      <c r="G1730" s="2">
        <f>TYPE(_xlfn.NORM.INV(IF(1,1),IF(1,1),{1}))</f>
        <v>64</v>
      </c>
      <c r="H1730" s="2" t="str">
        <f t="shared" ref="H1730:H1793" si="56">IF((I1730=64)*(J1730=B1730)+(1-L1730)*COUNTIF(D1730,"*v*")+(1-N1730)*COUNTIF(D1730,"*r*"),1,"")</f>
        <v/>
      </c>
      <c r="I1730" s="2">
        <f>TYPE(_xlfn.NORM.INV(IF(1,1),IF(1,1),IF(1,1)))</f>
        <v>16</v>
      </c>
      <c r="J1730" s="2" t="str">
        <f>IF(C1730=0,COUNTIFS(A:A,A1730,D:D,"a"),"")</f>
        <v/>
      </c>
      <c r="K1730" s="2" t="e">
        <f>INDEX(+_xlfn.NORM.INV(#REF!,#REF!,K1730:L1730),)</f>
        <v>#REF!</v>
      </c>
      <c r="L1730" s="1">
        <v>1</v>
      </c>
      <c r="M1730" s="2" t="e">
        <f>INDEX(+_xlfn.NORM.INV(#REF!,#REF!,INDIRECT(M1730:N1730)),)</f>
        <v>#REF!</v>
      </c>
      <c r="N1730" s="1">
        <v>1</v>
      </c>
    </row>
    <row r="1731" spans="1:14" x14ac:dyDescent="0.55000000000000004">
      <c r="A1731" s="1" t="s">
        <v>2087</v>
      </c>
      <c r="B1731" s="2">
        <f>COUNTIF(A:A,A1731)-1</f>
        <v>2</v>
      </c>
      <c r="C1731" s="2">
        <f>COUNTIF(A$1:A1731,A1731)-1</f>
        <v>0</v>
      </c>
      <c r="D1731" s="2" t="str">
        <f>Argument!D1731</f>
        <v/>
      </c>
      <c r="E1731" s="2" t="str">
        <f t="shared" si="55"/>
        <v>v</v>
      </c>
      <c r="F1731" s="2" t="b">
        <f>IF(C1731=0,ISTEXT(FORMULA.CONVERT("="&amp;A1731&amp;"("&amp;REPLACE(REPT(",#ref!",B1731),1,1,"")&amp;")()",1)),"")</f>
        <v>0</v>
      </c>
      <c r="G1731" s="2"/>
      <c r="H1731" s="2" t="str">
        <f t="shared" si="56"/>
        <v/>
      </c>
      <c r="I1731" s="2">
        <f>TYPE(_xlfn.PERCENTILE.EXC(IF(1,1),IF(1,1)))</f>
        <v>16</v>
      </c>
      <c r="J1731" s="2">
        <f>IF(C1731=0,COUNTIFS(A:A,A1731,D:D,"a"),"")</f>
        <v>0</v>
      </c>
      <c r="K1731" s="2"/>
      <c r="M1731" s="2"/>
    </row>
    <row r="1732" spans="1:14" x14ac:dyDescent="0.55000000000000004">
      <c r="A1732" s="1" t="s">
        <v>2087</v>
      </c>
      <c r="B1732" s="2">
        <f>COUNTIF(A:A,A1732)-1</f>
        <v>2</v>
      </c>
      <c r="C1732" s="2">
        <f>COUNTIF(A$1:A1732,A1732)-1</f>
        <v>1</v>
      </c>
      <c r="D1732" s="2" t="str">
        <f>Argument!D1732</f>
        <v>var</v>
      </c>
      <c r="E1732" s="2" t="str">
        <f t="shared" si="55"/>
        <v/>
      </c>
      <c r="F1732" s="2" t="str">
        <f>IF(C1732=0,ISTEXT(FORMULA.CONVERT("="&amp;A1732&amp;"("&amp;REPLACE(REPT(",#ref!",B1732),1,1,"")&amp;")()",1)),"")</f>
        <v/>
      </c>
      <c r="G1732" s="2">
        <f>TYPE(_xlfn.PERCENTILE.EXC({1},IF(1,1)))</f>
        <v>16</v>
      </c>
      <c r="H1732" s="2" t="str">
        <f t="shared" si="56"/>
        <v/>
      </c>
      <c r="I1732" s="2">
        <f>TYPE(_xlfn.PERCENTILE.EXC(IF(1,1),IF(1,1)))</f>
        <v>16</v>
      </c>
      <c r="J1732" s="2" t="str">
        <f>IF(C1732=0,COUNTIFS(A:A,A1732,D:D,"a"),"")</f>
        <v/>
      </c>
      <c r="K1732" s="2" t="e">
        <f>INDEX(+_xlfn.PERCENTILE.EXC(K1732:L1732,#REF!),)</f>
        <v>#REF!</v>
      </c>
      <c r="L1732" s="1">
        <v>1</v>
      </c>
      <c r="M1732" s="2" t="e">
        <f>INDEX(+_xlfn.PERCENTILE.EXC(INDIRECT(M1732:N1732),#REF!),)</f>
        <v>#REF!</v>
      </c>
      <c r="N1732" s="1">
        <v>1</v>
      </c>
    </row>
    <row r="1733" spans="1:14" x14ac:dyDescent="0.55000000000000004">
      <c r="A1733" s="1" t="s">
        <v>2087</v>
      </c>
      <c r="B1733" s="2">
        <f>COUNTIF(A:A,A1733)-1</f>
        <v>2</v>
      </c>
      <c r="C1733" s="2">
        <f>COUNTIF(A$1:A1733,A1733)-1</f>
        <v>2</v>
      </c>
      <c r="D1733" s="2" t="str">
        <f>Argument!D1733</f>
        <v>v</v>
      </c>
      <c r="E1733" s="2" t="str">
        <f t="shared" si="55"/>
        <v/>
      </c>
      <c r="F1733" s="2" t="str">
        <f>IF(C1733=0,ISTEXT(FORMULA.CONVERT("="&amp;A1733&amp;"("&amp;REPLACE(REPT(",#ref!",B1733),1,1,"")&amp;")()",1)),"")</f>
        <v/>
      </c>
      <c r="G1733" s="2">
        <f>TYPE(_xlfn.PERCENTILE.EXC(IF(1,1),{1}))</f>
        <v>64</v>
      </c>
      <c r="H1733" s="2" t="str">
        <f t="shared" si="56"/>
        <v/>
      </c>
      <c r="I1733" s="2">
        <f>TYPE(_xlfn.PERCENTILE.EXC(IF(1,1),IF(1,1)))</f>
        <v>16</v>
      </c>
      <c r="J1733" s="2" t="str">
        <f>IF(C1733=0,COUNTIFS(A:A,A1733,D:D,"a"),"")</f>
        <v/>
      </c>
      <c r="K1733" s="2" t="e">
        <f>INDEX(+_xlfn.PERCENTILE.EXC(#REF!,K1733:L1733),)</f>
        <v>#REF!</v>
      </c>
      <c r="L1733" s="1">
        <v>1</v>
      </c>
      <c r="M1733" s="2" t="e">
        <f>INDEX(+_xlfn.PERCENTILE.EXC(#REF!,INDIRECT(M1733:N1733)),)</f>
        <v>#REF!</v>
      </c>
      <c r="N1733" s="1">
        <v>1</v>
      </c>
    </row>
    <row r="1734" spans="1:14" x14ac:dyDescent="0.55000000000000004">
      <c r="A1734" s="1" t="s">
        <v>2088</v>
      </c>
      <c r="B1734" s="2">
        <f>COUNTIF(A:A,A1734)-1</f>
        <v>2</v>
      </c>
      <c r="C1734" s="2">
        <f>COUNTIF(A$1:A1734,A1734)-1</f>
        <v>0</v>
      </c>
      <c r="D1734" s="2" t="str">
        <f>Argument!D1734</f>
        <v/>
      </c>
      <c r="E1734" s="2" t="str">
        <f t="shared" si="55"/>
        <v>v</v>
      </c>
      <c r="F1734" s="2" t="b">
        <f>IF(C1734=0,ISTEXT(FORMULA.CONVERT("="&amp;A1734&amp;"("&amp;REPLACE(REPT(",#ref!",B1734),1,1,"")&amp;")()",1)),"")</f>
        <v>0</v>
      </c>
      <c r="G1734" s="2"/>
      <c r="H1734" s="2" t="str">
        <f t="shared" si="56"/>
        <v/>
      </c>
      <c r="I1734" s="2">
        <f>TYPE(_xlfn.PERCENTILE.INC(IF(1,1),IF(1,1)))</f>
        <v>1</v>
      </c>
      <c r="J1734" s="2">
        <f>IF(C1734=0,COUNTIFS(A:A,A1734,D:D,"a"),"")</f>
        <v>0</v>
      </c>
      <c r="K1734" s="2"/>
      <c r="M1734" s="2"/>
    </row>
    <row r="1735" spans="1:14" x14ac:dyDescent="0.55000000000000004">
      <c r="A1735" s="1" t="s">
        <v>2088</v>
      </c>
      <c r="B1735" s="2">
        <f>COUNTIF(A:A,A1735)-1</f>
        <v>2</v>
      </c>
      <c r="C1735" s="2">
        <f>COUNTIF(A$1:A1735,A1735)-1</f>
        <v>1</v>
      </c>
      <c r="D1735" s="2" t="str">
        <f>Argument!D1735</f>
        <v>var</v>
      </c>
      <c r="E1735" s="2" t="str">
        <f t="shared" si="55"/>
        <v/>
      </c>
      <c r="F1735" s="2" t="str">
        <f>IF(C1735=0,ISTEXT(FORMULA.CONVERT("="&amp;A1735&amp;"("&amp;REPLACE(REPT(",#ref!",B1735),1,1,"")&amp;")()",1)),"")</f>
        <v/>
      </c>
      <c r="G1735" s="2">
        <f>TYPE(_xlfn.PERCENTILE.INC({1},IF(1,1)))</f>
        <v>1</v>
      </c>
      <c r="H1735" s="2" t="str">
        <f t="shared" si="56"/>
        <v/>
      </c>
      <c r="I1735" s="2">
        <f>TYPE(_xlfn.PERCENTILE.INC(IF(1,1),IF(1,1)))</f>
        <v>1</v>
      </c>
      <c r="J1735" s="2" t="str">
        <f>IF(C1735=0,COUNTIFS(A:A,A1735,D:D,"a"),"")</f>
        <v/>
      </c>
      <c r="K1735" s="2" t="e">
        <f>INDEX(+_xlfn.PERCENTILE.INC(K1735:L1735,#REF!),)</f>
        <v>#REF!</v>
      </c>
      <c r="L1735" s="1">
        <v>1</v>
      </c>
      <c r="M1735" s="2" t="e">
        <f>INDEX(+_xlfn.PERCENTILE.INC(INDIRECT(M1735:N1735),#REF!),)</f>
        <v>#REF!</v>
      </c>
      <c r="N1735" s="1">
        <v>1</v>
      </c>
    </row>
    <row r="1736" spans="1:14" x14ac:dyDescent="0.55000000000000004">
      <c r="A1736" s="1" t="s">
        <v>2088</v>
      </c>
      <c r="B1736" s="2">
        <f>COUNTIF(A:A,A1736)-1</f>
        <v>2</v>
      </c>
      <c r="C1736" s="2">
        <f>COUNTIF(A$1:A1736,A1736)-1</f>
        <v>2</v>
      </c>
      <c r="D1736" s="2" t="str">
        <f>Argument!D1736</f>
        <v>v</v>
      </c>
      <c r="E1736" s="2" t="str">
        <f t="shared" si="55"/>
        <v/>
      </c>
      <c r="F1736" s="2" t="str">
        <f>IF(C1736=0,ISTEXT(FORMULA.CONVERT("="&amp;A1736&amp;"("&amp;REPLACE(REPT(",#ref!",B1736),1,1,"")&amp;")()",1)),"")</f>
        <v/>
      </c>
      <c r="G1736" s="2">
        <f>TYPE(_xlfn.PERCENTILE.INC(IF(1,1),{1}))</f>
        <v>64</v>
      </c>
      <c r="H1736" s="2" t="str">
        <f t="shared" si="56"/>
        <v/>
      </c>
      <c r="I1736" s="2">
        <f>TYPE(_xlfn.PERCENTILE.INC(IF(1,1),IF(1,1)))</f>
        <v>1</v>
      </c>
      <c r="J1736" s="2" t="str">
        <f>IF(C1736=0,COUNTIFS(A:A,A1736,D:D,"a"),"")</f>
        <v/>
      </c>
      <c r="K1736" s="2" t="e">
        <f>INDEX(+_xlfn.PERCENTILE.INC(#REF!,K1736:L1736),)</f>
        <v>#REF!</v>
      </c>
      <c r="L1736" s="1">
        <v>1</v>
      </c>
      <c r="M1736" s="2" t="e">
        <f>INDEX(+_xlfn.PERCENTILE.INC(#REF!,INDIRECT(M1736:N1736)),)</f>
        <v>#REF!</v>
      </c>
      <c r="N1736" s="1">
        <v>1</v>
      </c>
    </row>
    <row r="1737" spans="1:14" x14ac:dyDescent="0.55000000000000004">
      <c r="A1737" s="1" t="s">
        <v>2089</v>
      </c>
      <c r="B1737" s="2">
        <f>COUNTIF(A:A,A1737)-1</f>
        <v>3</v>
      </c>
      <c r="C1737" s="2">
        <f>COUNTIF(A$1:A1737,A1737)-1</f>
        <v>0</v>
      </c>
      <c r="D1737" s="2" t="str">
        <f>Argument!D1737</f>
        <v/>
      </c>
      <c r="E1737" s="2" t="str">
        <f t="shared" si="55"/>
        <v>v</v>
      </c>
      <c r="F1737" s="2" t="b">
        <f>IF(C1737=0,ISTEXT(FORMULA.CONVERT("="&amp;A1737&amp;"("&amp;REPLACE(REPT(",#ref!",B1737),1,1,"")&amp;")()",1)),"")</f>
        <v>0</v>
      </c>
      <c r="G1737" s="2"/>
      <c r="H1737" s="2" t="str">
        <f t="shared" si="56"/>
        <v/>
      </c>
      <c r="I1737" s="2">
        <f>TYPE(_xlfn.PERCENTRANK.EXC(IF(1,1),IF(1,1),IF(1,1)))</f>
        <v>1</v>
      </c>
      <c r="J1737" s="2">
        <f>IF(C1737=0,COUNTIFS(A:A,A1737,D:D,"a"),"")</f>
        <v>0</v>
      </c>
      <c r="K1737" s="2"/>
      <c r="M1737" s="2"/>
    </row>
    <row r="1738" spans="1:14" x14ac:dyDescent="0.55000000000000004">
      <c r="A1738" s="1" t="s">
        <v>2089</v>
      </c>
      <c r="B1738" s="2">
        <f>COUNTIF(A:A,A1738)-1</f>
        <v>3</v>
      </c>
      <c r="C1738" s="2">
        <f>COUNTIF(A$1:A1738,A1738)-1</f>
        <v>1</v>
      </c>
      <c r="D1738" s="2" t="str">
        <f>Argument!D1738</f>
        <v>var</v>
      </c>
      <c r="E1738" s="2" t="str">
        <f t="shared" si="55"/>
        <v/>
      </c>
      <c r="F1738" s="2" t="str">
        <f>IF(C1738=0,ISTEXT(FORMULA.CONVERT("="&amp;A1738&amp;"("&amp;REPLACE(REPT(",#ref!",B1738),1,1,"")&amp;")()",1)),"")</f>
        <v/>
      </c>
      <c r="G1738" s="2">
        <f>TYPE(_xlfn.PERCENTRANK.EXC({1},IF(1,1),IF(1,1)))</f>
        <v>1</v>
      </c>
      <c r="H1738" s="2" t="str">
        <f t="shared" si="56"/>
        <v/>
      </c>
      <c r="I1738" s="2">
        <f>TYPE(_xlfn.PERCENTRANK.EXC(IF(1,1),IF(1,1),IF(1,1)))</f>
        <v>1</v>
      </c>
      <c r="J1738" s="2" t="str">
        <f>IF(C1738=0,COUNTIFS(A:A,A1738,D:D,"a"),"")</f>
        <v/>
      </c>
      <c r="K1738" s="2" t="e">
        <f>INDEX(+_xlfn.PERCENTRANK.EXC(K1738:L1738,#REF!,#REF!),)</f>
        <v>#REF!</v>
      </c>
      <c r="L1738" s="1">
        <v>1</v>
      </c>
      <c r="M1738" s="2" t="e">
        <f>INDEX(+_xlfn.PERCENTRANK.EXC(INDIRECT(M1738:N1738),#REF!,#REF!),)</f>
        <v>#REF!</v>
      </c>
      <c r="N1738" s="1">
        <v>1</v>
      </c>
    </row>
    <row r="1739" spans="1:14" x14ac:dyDescent="0.55000000000000004">
      <c r="A1739" s="1" t="s">
        <v>2089</v>
      </c>
      <c r="B1739" s="2">
        <f>COUNTIF(A:A,A1739)-1</f>
        <v>3</v>
      </c>
      <c r="C1739" s="2">
        <f>COUNTIF(A$1:A1739,A1739)-1</f>
        <v>2</v>
      </c>
      <c r="D1739" s="2" t="str">
        <f>Argument!D1739</f>
        <v>v</v>
      </c>
      <c r="E1739" s="2" t="str">
        <f t="shared" si="55"/>
        <v/>
      </c>
      <c r="F1739" s="2" t="str">
        <f>IF(C1739=0,ISTEXT(FORMULA.CONVERT("="&amp;A1739&amp;"("&amp;REPLACE(REPT(",#ref!",B1739),1,1,"")&amp;")()",1)),"")</f>
        <v/>
      </c>
      <c r="G1739" s="2">
        <f>TYPE(_xlfn.PERCENTRANK.EXC(IF(1,1),{1},IF(1,1)))</f>
        <v>64</v>
      </c>
      <c r="H1739" s="2" t="str">
        <f t="shared" si="56"/>
        <v/>
      </c>
      <c r="I1739" s="2">
        <f>TYPE(_xlfn.PERCENTRANK.EXC(IF(1,1),IF(1,1),IF(1,1)))</f>
        <v>1</v>
      </c>
      <c r="J1739" s="2" t="str">
        <f>IF(C1739=0,COUNTIFS(A:A,A1739,D:D,"a"),"")</f>
        <v/>
      </c>
      <c r="K1739" s="2" t="e">
        <f>INDEX(+_xlfn.PERCENTRANK.EXC(#REF!,K1739:L1739,#REF!),)</f>
        <v>#REF!</v>
      </c>
      <c r="L1739" s="1">
        <v>1</v>
      </c>
      <c r="M1739" s="2" t="e">
        <f>INDEX(+_xlfn.PERCENTRANK.EXC(#REF!,INDIRECT(M1739:N1739),#REF!),)</f>
        <v>#REF!</v>
      </c>
      <c r="N1739" s="1">
        <v>1</v>
      </c>
    </row>
    <row r="1740" spans="1:14" x14ac:dyDescent="0.55000000000000004">
      <c r="A1740" s="1" t="s">
        <v>2089</v>
      </c>
      <c r="B1740" s="2">
        <f>COUNTIF(A:A,A1740)-1</f>
        <v>3</v>
      </c>
      <c r="C1740" s="2">
        <f>COUNTIF(A$1:A1740,A1740)-1</f>
        <v>3</v>
      </c>
      <c r="D1740" s="2" t="str">
        <f>Argument!D1740</f>
        <v>v</v>
      </c>
      <c r="E1740" s="2" t="str">
        <f t="shared" si="55"/>
        <v/>
      </c>
      <c r="F1740" s="2" t="str">
        <f>IF(C1740=0,ISTEXT(FORMULA.CONVERT("="&amp;A1740&amp;"("&amp;REPLACE(REPT(",#ref!",B1740),1,1,"")&amp;")()",1)),"")</f>
        <v/>
      </c>
      <c r="G1740" s="2">
        <f>TYPE(_xlfn.PERCENTRANK.EXC(IF(1,1),IF(1,1),{1}))</f>
        <v>64</v>
      </c>
      <c r="H1740" s="2" t="str">
        <f t="shared" si="56"/>
        <v/>
      </c>
      <c r="I1740" s="2">
        <f>TYPE(_xlfn.PERCENTRANK.EXC(IF(1,1),IF(1,1),IF(1,1)))</f>
        <v>1</v>
      </c>
      <c r="J1740" s="2" t="str">
        <f>IF(C1740=0,COUNTIFS(A:A,A1740,D:D,"a"),"")</f>
        <v/>
      </c>
      <c r="K1740" s="2" t="e">
        <f>INDEX(+_xlfn.PERCENTRANK.EXC(#REF!,#REF!,K1740:L1740),)</f>
        <v>#REF!</v>
      </c>
      <c r="L1740" s="1">
        <v>1</v>
      </c>
      <c r="M1740" s="2" t="e">
        <f>INDEX(+_xlfn.PERCENTRANK.EXC(#REF!,#REF!,INDIRECT(M1740:N1740)),)</f>
        <v>#REF!</v>
      </c>
      <c r="N1740" s="1">
        <v>1</v>
      </c>
    </row>
    <row r="1741" spans="1:14" x14ac:dyDescent="0.55000000000000004">
      <c r="A1741" s="1" t="s">
        <v>2090</v>
      </c>
      <c r="B1741" s="2">
        <f>COUNTIF(A:A,A1741)-1</f>
        <v>3</v>
      </c>
      <c r="C1741" s="2">
        <f>COUNTIF(A$1:A1741,A1741)-1</f>
        <v>0</v>
      </c>
      <c r="D1741" s="2" t="str">
        <f>Argument!D1741</f>
        <v/>
      </c>
      <c r="E1741" s="2" t="str">
        <f t="shared" si="55"/>
        <v>v</v>
      </c>
      <c r="F1741" s="2" t="b">
        <f>IF(C1741=0,ISTEXT(FORMULA.CONVERT("="&amp;A1741&amp;"("&amp;REPLACE(REPT(",#ref!",B1741),1,1,"")&amp;")()",1)),"")</f>
        <v>0</v>
      </c>
      <c r="G1741" s="2"/>
      <c r="H1741" s="2" t="str">
        <f t="shared" si="56"/>
        <v/>
      </c>
      <c r="I1741" s="2">
        <f>TYPE(_xlfn.PERCENTRANK.INC(IF(1,1),IF(1,1),IF(1,1)))</f>
        <v>1</v>
      </c>
      <c r="J1741" s="2">
        <f>IF(C1741=0,COUNTIFS(A:A,A1741,D:D,"a"),"")</f>
        <v>0</v>
      </c>
      <c r="K1741" s="2"/>
      <c r="M1741" s="2"/>
    </row>
    <row r="1742" spans="1:14" x14ac:dyDescent="0.55000000000000004">
      <c r="A1742" s="1" t="s">
        <v>2090</v>
      </c>
      <c r="B1742" s="2">
        <f>COUNTIF(A:A,A1742)-1</f>
        <v>3</v>
      </c>
      <c r="C1742" s="2">
        <f>COUNTIF(A$1:A1742,A1742)-1</f>
        <v>1</v>
      </c>
      <c r="D1742" s="2" t="str">
        <f>Argument!D1742</f>
        <v>var</v>
      </c>
      <c r="E1742" s="2" t="str">
        <f t="shared" si="55"/>
        <v/>
      </c>
      <c r="F1742" s="2" t="str">
        <f>IF(C1742=0,ISTEXT(FORMULA.CONVERT("="&amp;A1742&amp;"("&amp;REPLACE(REPT(",#ref!",B1742),1,1,"")&amp;")()",1)),"")</f>
        <v/>
      </c>
      <c r="G1742" s="2">
        <f>TYPE(_xlfn.PERCENTRANK.INC({1},IF(1,1),IF(1,1)))</f>
        <v>1</v>
      </c>
      <c r="H1742" s="2" t="str">
        <f t="shared" si="56"/>
        <v/>
      </c>
      <c r="I1742" s="2">
        <f>TYPE(_xlfn.PERCENTRANK.INC(IF(1,1),IF(1,1),IF(1,1)))</f>
        <v>1</v>
      </c>
      <c r="J1742" s="2" t="str">
        <f>IF(C1742=0,COUNTIFS(A:A,A1742,D:D,"a"),"")</f>
        <v/>
      </c>
      <c r="K1742" s="2" t="e">
        <f>INDEX(+_xlfn.PERCENTRANK.INC(K1742:L1742,#REF!,#REF!),)</f>
        <v>#REF!</v>
      </c>
      <c r="L1742" s="1">
        <v>1</v>
      </c>
      <c r="M1742" s="2" t="e">
        <f>INDEX(+_xlfn.PERCENTRANK.INC(INDIRECT(M1742:N1742),#REF!,#REF!),)</f>
        <v>#REF!</v>
      </c>
      <c r="N1742" s="1">
        <v>1</v>
      </c>
    </row>
    <row r="1743" spans="1:14" x14ac:dyDescent="0.55000000000000004">
      <c r="A1743" s="1" t="s">
        <v>2090</v>
      </c>
      <c r="B1743" s="2">
        <f>COUNTIF(A:A,A1743)-1</f>
        <v>3</v>
      </c>
      <c r="C1743" s="2">
        <f>COUNTIF(A$1:A1743,A1743)-1</f>
        <v>2</v>
      </c>
      <c r="D1743" s="2" t="str">
        <f>Argument!D1743</f>
        <v>v</v>
      </c>
      <c r="E1743" s="2" t="str">
        <f t="shared" si="55"/>
        <v/>
      </c>
      <c r="F1743" s="2" t="str">
        <f>IF(C1743=0,ISTEXT(FORMULA.CONVERT("="&amp;A1743&amp;"("&amp;REPLACE(REPT(",#ref!",B1743),1,1,"")&amp;")()",1)),"")</f>
        <v/>
      </c>
      <c r="G1743" s="2">
        <f>TYPE(_xlfn.PERCENTRANK.INC(IF(1,1),{1},IF(1,1)))</f>
        <v>64</v>
      </c>
      <c r="H1743" s="2" t="str">
        <f t="shared" si="56"/>
        <v/>
      </c>
      <c r="I1743" s="2">
        <f>TYPE(_xlfn.PERCENTRANK.INC(IF(1,1),IF(1,1),IF(1,1)))</f>
        <v>1</v>
      </c>
      <c r="J1743" s="2" t="str">
        <f>IF(C1743=0,COUNTIFS(A:A,A1743,D:D,"a"),"")</f>
        <v/>
      </c>
      <c r="K1743" s="2" t="e">
        <f>INDEX(+_xlfn.PERCENTRANK.INC(#REF!,K1743:L1743,#REF!),)</f>
        <v>#REF!</v>
      </c>
      <c r="L1743" s="1">
        <v>1</v>
      </c>
      <c r="M1743" s="2" t="e">
        <f>INDEX(+_xlfn.PERCENTRANK.INC(#REF!,INDIRECT(M1743:N1743),#REF!),)</f>
        <v>#REF!</v>
      </c>
      <c r="N1743" s="1">
        <v>1</v>
      </c>
    </row>
    <row r="1744" spans="1:14" x14ac:dyDescent="0.55000000000000004">
      <c r="A1744" s="1" t="s">
        <v>2090</v>
      </c>
      <c r="B1744" s="2">
        <f>COUNTIF(A:A,A1744)-1</f>
        <v>3</v>
      </c>
      <c r="C1744" s="2">
        <f>COUNTIF(A$1:A1744,A1744)-1</f>
        <v>3</v>
      </c>
      <c r="D1744" s="2" t="str">
        <f>Argument!D1744</f>
        <v>v</v>
      </c>
      <c r="E1744" s="2" t="str">
        <f t="shared" si="55"/>
        <v/>
      </c>
      <c r="F1744" s="2" t="str">
        <f>IF(C1744=0,ISTEXT(FORMULA.CONVERT("="&amp;A1744&amp;"("&amp;REPLACE(REPT(",#ref!",B1744),1,1,"")&amp;")()",1)),"")</f>
        <v/>
      </c>
      <c r="G1744" s="2">
        <f>TYPE(_xlfn.PERCENTRANK.INC(IF(1,1),IF(1,1),{1}))</f>
        <v>64</v>
      </c>
      <c r="H1744" s="2" t="str">
        <f t="shared" si="56"/>
        <v/>
      </c>
      <c r="I1744" s="2">
        <f>TYPE(_xlfn.PERCENTRANK.INC(IF(1,1),IF(1,1),IF(1,1)))</f>
        <v>1</v>
      </c>
      <c r="J1744" s="2" t="str">
        <f>IF(C1744=0,COUNTIFS(A:A,A1744,D:D,"a"),"")</f>
        <v/>
      </c>
      <c r="K1744" s="2" t="e">
        <f>INDEX(+_xlfn.PERCENTRANK.INC(#REF!,#REF!,K1744:L1744),)</f>
        <v>#REF!</v>
      </c>
      <c r="L1744" s="1">
        <v>1</v>
      </c>
      <c r="M1744" s="2" t="e">
        <f>INDEX(+_xlfn.PERCENTRANK.INC(#REF!,#REF!,INDIRECT(M1744:N1744)),)</f>
        <v>#REF!</v>
      </c>
      <c r="N1744" s="1">
        <v>1</v>
      </c>
    </row>
    <row r="1745" spans="1:14" x14ac:dyDescent="0.55000000000000004">
      <c r="A1745" s="1" t="s">
        <v>2091</v>
      </c>
      <c r="B1745" s="2">
        <f>COUNTIF(A:A,A1745)-1</f>
        <v>3</v>
      </c>
      <c r="C1745" s="2">
        <f>COUNTIF(A$1:A1745,A1745)-1</f>
        <v>0</v>
      </c>
      <c r="D1745" s="2" t="str">
        <f>Argument!D1745</f>
        <v/>
      </c>
      <c r="E1745" s="2" t="str">
        <f t="shared" si="55"/>
        <v>v</v>
      </c>
      <c r="F1745" s="2" t="b">
        <f>IF(C1745=0,ISTEXT(FORMULA.CONVERT("="&amp;A1745&amp;"("&amp;REPLACE(REPT(",#ref!",B1745),1,1,"")&amp;")()",1)),"")</f>
        <v>0</v>
      </c>
      <c r="G1745" s="2"/>
      <c r="H1745" s="2" t="str">
        <f t="shared" si="56"/>
        <v/>
      </c>
      <c r="I1745" s="2">
        <f>TYPE(_xlfn.POISSON.DIST(IF(1,1),IF(1,1),IF(1,1)))</f>
        <v>1</v>
      </c>
      <c r="J1745" s="2">
        <f>IF(C1745=0,COUNTIFS(A:A,A1745,D:D,"a"),"")</f>
        <v>0</v>
      </c>
      <c r="K1745" s="2"/>
      <c r="M1745" s="2"/>
    </row>
    <row r="1746" spans="1:14" x14ac:dyDescent="0.55000000000000004">
      <c r="A1746" s="1" t="s">
        <v>2091</v>
      </c>
      <c r="B1746" s="2">
        <f>COUNTIF(A:A,A1746)-1</f>
        <v>3</v>
      </c>
      <c r="C1746" s="2">
        <f>COUNTIF(A$1:A1746,A1746)-1</f>
        <v>1</v>
      </c>
      <c r="D1746" s="2" t="str">
        <f>Argument!D1746</f>
        <v>v</v>
      </c>
      <c r="E1746" s="2" t="str">
        <f t="shared" si="55"/>
        <v/>
      </c>
      <c r="F1746" s="2" t="str">
        <f>IF(C1746=0,ISTEXT(FORMULA.CONVERT("="&amp;A1746&amp;"("&amp;REPLACE(REPT(",#ref!",B1746),1,1,"")&amp;")()",1)),"")</f>
        <v/>
      </c>
      <c r="G1746" s="2">
        <f>TYPE(_xlfn.POISSON.DIST({1},IF(1,1),IF(1,1)))</f>
        <v>64</v>
      </c>
      <c r="H1746" s="2" t="str">
        <f t="shared" si="56"/>
        <v/>
      </c>
      <c r="I1746" s="2">
        <f>TYPE(_xlfn.POISSON.DIST(IF(1,1),IF(1,1),IF(1,1)))</f>
        <v>1</v>
      </c>
      <c r="J1746" s="2" t="str">
        <f>IF(C1746=0,COUNTIFS(A:A,A1746,D:D,"a"),"")</f>
        <v/>
      </c>
      <c r="K1746" s="2" t="e">
        <f>INDEX(+_xlfn.POISSON.DIST(K1746:L1746,#REF!,#REF!),)</f>
        <v>#REF!</v>
      </c>
      <c r="L1746" s="1">
        <v>1</v>
      </c>
      <c r="M1746" s="2" t="e">
        <f>INDEX(+_xlfn.POISSON.DIST(INDIRECT(M1746:N1746),#REF!,#REF!),)</f>
        <v>#REF!</v>
      </c>
      <c r="N1746" s="1">
        <v>1</v>
      </c>
    </row>
    <row r="1747" spans="1:14" x14ac:dyDescent="0.55000000000000004">
      <c r="A1747" s="1" t="s">
        <v>2091</v>
      </c>
      <c r="B1747" s="2">
        <f>COUNTIF(A:A,A1747)-1</f>
        <v>3</v>
      </c>
      <c r="C1747" s="2">
        <f>COUNTIF(A$1:A1747,A1747)-1</f>
        <v>2</v>
      </c>
      <c r="D1747" s="2" t="str">
        <f>Argument!D1747</f>
        <v>v</v>
      </c>
      <c r="E1747" s="2" t="str">
        <f t="shared" si="55"/>
        <v/>
      </c>
      <c r="F1747" s="2" t="str">
        <f>IF(C1747=0,ISTEXT(FORMULA.CONVERT("="&amp;A1747&amp;"("&amp;REPLACE(REPT(",#ref!",B1747),1,1,"")&amp;")()",1)),"")</f>
        <v/>
      </c>
      <c r="G1747" s="2">
        <f>TYPE(_xlfn.POISSON.DIST(IF(1,1),{1},IF(1,1)))</f>
        <v>64</v>
      </c>
      <c r="H1747" s="2" t="str">
        <f t="shared" si="56"/>
        <v/>
      </c>
      <c r="I1747" s="2">
        <f>TYPE(_xlfn.POISSON.DIST(IF(1,1),IF(1,1),IF(1,1)))</f>
        <v>1</v>
      </c>
      <c r="J1747" s="2" t="str">
        <f>IF(C1747=0,COUNTIFS(A:A,A1747,D:D,"a"),"")</f>
        <v/>
      </c>
      <c r="K1747" s="2" t="e">
        <f>INDEX(+_xlfn.POISSON.DIST(#REF!,K1747:L1747,#REF!),)</f>
        <v>#REF!</v>
      </c>
      <c r="L1747" s="1">
        <v>1</v>
      </c>
      <c r="M1747" s="2" t="e">
        <f>INDEX(+_xlfn.POISSON.DIST(#REF!,INDIRECT(M1747:N1747),#REF!),)</f>
        <v>#REF!</v>
      </c>
      <c r="N1747" s="1">
        <v>1</v>
      </c>
    </row>
    <row r="1748" spans="1:14" x14ac:dyDescent="0.55000000000000004">
      <c r="A1748" s="1" t="s">
        <v>2091</v>
      </c>
      <c r="B1748" s="2">
        <f>COUNTIF(A:A,A1748)-1</f>
        <v>3</v>
      </c>
      <c r="C1748" s="2">
        <f>COUNTIF(A$1:A1748,A1748)-1</f>
        <v>3</v>
      </c>
      <c r="D1748" s="2" t="str">
        <f>Argument!D1748</f>
        <v>v</v>
      </c>
      <c r="E1748" s="2" t="str">
        <f t="shared" si="55"/>
        <v/>
      </c>
      <c r="F1748" s="2" t="str">
        <f>IF(C1748=0,ISTEXT(FORMULA.CONVERT("="&amp;A1748&amp;"("&amp;REPLACE(REPT(",#ref!",B1748),1,1,"")&amp;")()",1)),"")</f>
        <v/>
      </c>
      <c r="G1748" s="2">
        <f>TYPE(_xlfn.POISSON.DIST(IF(1,1),IF(1,1),{1}))</f>
        <v>64</v>
      </c>
      <c r="H1748" s="2" t="str">
        <f t="shared" si="56"/>
        <v/>
      </c>
      <c r="I1748" s="2">
        <f>TYPE(_xlfn.POISSON.DIST(IF(1,1),IF(1,1),IF(1,1)))</f>
        <v>1</v>
      </c>
      <c r="J1748" s="2" t="str">
        <f>IF(C1748=0,COUNTIFS(A:A,A1748,D:D,"a"),"")</f>
        <v/>
      </c>
      <c r="K1748" s="2" t="e">
        <f>INDEX(+_xlfn.POISSON.DIST(#REF!,#REF!,K1748:L1748),)</f>
        <v>#REF!</v>
      </c>
      <c r="L1748" s="1">
        <v>1</v>
      </c>
      <c r="M1748" s="2" t="e">
        <f>INDEX(+_xlfn.POISSON.DIST(#REF!,#REF!,INDIRECT(M1748:N1748)),)</f>
        <v>#REF!</v>
      </c>
      <c r="N1748" s="1">
        <v>1</v>
      </c>
    </row>
    <row r="1749" spans="1:14" x14ac:dyDescent="0.55000000000000004">
      <c r="A1749" s="1" t="s">
        <v>2092</v>
      </c>
      <c r="B1749" s="2">
        <f>COUNTIF(A:A,A1749)-1</f>
        <v>2</v>
      </c>
      <c r="C1749" s="2">
        <f>COUNTIF(A$1:A1749,A1749)-1</f>
        <v>0</v>
      </c>
      <c r="D1749" s="2" t="str">
        <f>Argument!D1749</f>
        <v/>
      </c>
      <c r="E1749" s="2" t="str">
        <f t="shared" si="55"/>
        <v>v</v>
      </c>
      <c r="F1749" s="2" t="b">
        <f>IF(C1749=0,ISTEXT(FORMULA.CONVERT("="&amp;A1749&amp;"("&amp;REPLACE(REPT(",#ref!",B1749),1,1,"")&amp;")()",1)),"")</f>
        <v>0</v>
      </c>
      <c r="G1749" s="2"/>
      <c r="H1749" s="2" t="str">
        <f t="shared" si="56"/>
        <v/>
      </c>
      <c r="I1749" s="2">
        <f>TYPE(_xlfn.QUARTILE.EXC(IF(1,1),IF(1,1)))</f>
        <v>16</v>
      </c>
      <c r="J1749" s="2">
        <f>IF(C1749=0,COUNTIFS(A:A,A1749,D:D,"a"),"")</f>
        <v>0</v>
      </c>
      <c r="K1749" s="2"/>
      <c r="M1749" s="2"/>
    </row>
    <row r="1750" spans="1:14" x14ac:dyDescent="0.55000000000000004">
      <c r="A1750" s="1" t="s">
        <v>2092</v>
      </c>
      <c r="B1750" s="2">
        <f>COUNTIF(A:A,A1750)-1</f>
        <v>2</v>
      </c>
      <c r="C1750" s="2">
        <f>COUNTIF(A$1:A1750,A1750)-1</f>
        <v>1</v>
      </c>
      <c r="D1750" s="2" t="str">
        <f>Argument!D1750</f>
        <v>var</v>
      </c>
      <c r="E1750" s="2" t="str">
        <f t="shared" si="55"/>
        <v/>
      </c>
      <c r="F1750" s="2" t="str">
        <f>IF(C1750=0,ISTEXT(FORMULA.CONVERT("="&amp;A1750&amp;"("&amp;REPLACE(REPT(",#ref!",B1750),1,1,"")&amp;")()",1)),"")</f>
        <v/>
      </c>
      <c r="G1750" s="2">
        <f>TYPE(_xlfn.QUARTILE.EXC({1},IF(1,1)))</f>
        <v>16</v>
      </c>
      <c r="H1750" s="2" t="str">
        <f t="shared" si="56"/>
        <v/>
      </c>
      <c r="I1750" s="2">
        <f>TYPE(_xlfn.QUARTILE.EXC(IF(1,1),IF(1,1)))</f>
        <v>16</v>
      </c>
      <c r="J1750" s="2" t="str">
        <f>IF(C1750=0,COUNTIFS(A:A,A1750,D:D,"a"),"")</f>
        <v/>
      </c>
      <c r="K1750" s="2" t="e">
        <f>INDEX(+_xlfn.QUARTILE.EXC(K1750:L1750,#REF!),)</f>
        <v>#REF!</v>
      </c>
      <c r="L1750" s="1">
        <v>1</v>
      </c>
      <c r="M1750" s="2" t="e">
        <f>INDEX(+_xlfn.QUARTILE.EXC(INDIRECT(M1750:N1750),#REF!),)</f>
        <v>#REF!</v>
      </c>
      <c r="N1750" s="1">
        <v>1</v>
      </c>
    </row>
    <row r="1751" spans="1:14" x14ac:dyDescent="0.55000000000000004">
      <c r="A1751" s="1" t="s">
        <v>2092</v>
      </c>
      <c r="B1751" s="2">
        <f>COUNTIF(A:A,A1751)-1</f>
        <v>2</v>
      </c>
      <c r="C1751" s="2">
        <f>COUNTIF(A$1:A1751,A1751)-1</f>
        <v>2</v>
      </c>
      <c r="D1751" s="2" t="str">
        <f>Argument!D1751</f>
        <v>v</v>
      </c>
      <c r="E1751" s="2" t="str">
        <f t="shared" si="55"/>
        <v/>
      </c>
      <c r="F1751" s="2" t="str">
        <f>IF(C1751=0,ISTEXT(FORMULA.CONVERT("="&amp;A1751&amp;"("&amp;REPLACE(REPT(",#ref!",B1751),1,1,"")&amp;")()",1)),"")</f>
        <v/>
      </c>
      <c r="G1751" s="2">
        <f>TYPE(_xlfn.QUARTILE.EXC(IF(1,1),{1}))</f>
        <v>64</v>
      </c>
      <c r="H1751" s="2" t="str">
        <f t="shared" si="56"/>
        <v/>
      </c>
      <c r="I1751" s="2">
        <f>TYPE(_xlfn.QUARTILE.EXC(IF(1,1),IF(1,1)))</f>
        <v>16</v>
      </c>
      <c r="J1751" s="2" t="str">
        <f>IF(C1751=0,COUNTIFS(A:A,A1751,D:D,"a"),"")</f>
        <v/>
      </c>
      <c r="K1751" s="2" t="e">
        <f>INDEX(+_xlfn.QUARTILE.EXC(#REF!,K1751:L1751),)</f>
        <v>#REF!</v>
      </c>
      <c r="L1751" s="1">
        <v>1</v>
      </c>
      <c r="M1751" s="2" t="e">
        <f>INDEX(+_xlfn.QUARTILE.EXC(#REF!,INDIRECT(M1751:N1751)),)</f>
        <v>#REF!</v>
      </c>
      <c r="N1751" s="1">
        <v>1</v>
      </c>
    </row>
    <row r="1752" spans="1:14" x14ac:dyDescent="0.55000000000000004">
      <c r="A1752" s="1" t="s">
        <v>2093</v>
      </c>
      <c r="B1752" s="2">
        <f>COUNTIF(A:A,A1752)-1</f>
        <v>2</v>
      </c>
      <c r="C1752" s="2">
        <f>COUNTIF(A$1:A1752,A1752)-1</f>
        <v>0</v>
      </c>
      <c r="D1752" s="2" t="str">
        <f>Argument!D1752</f>
        <v/>
      </c>
      <c r="E1752" s="2" t="str">
        <f t="shared" si="55"/>
        <v>v</v>
      </c>
      <c r="F1752" s="2" t="b">
        <f>IF(C1752=0,ISTEXT(FORMULA.CONVERT("="&amp;A1752&amp;"("&amp;REPLACE(REPT(",#ref!",B1752),1,1,"")&amp;")()",1)),"")</f>
        <v>0</v>
      </c>
      <c r="G1752" s="2"/>
      <c r="H1752" s="2" t="str">
        <f t="shared" si="56"/>
        <v/>
      </c>
      <c r="I1752" s="2">
        <f>TYPE(_xlfn.QUARTILE.INC(IF(1,1),IF(1,1)))</f>
        <v>1</v>
      </c>
      <c r="J1752" s="2">
        <f>IF(C1752=0,COUNTIFS(A:A,A1752,D:D,"a"),"")</f>
        <v>0</v>
      </c>
      <c r="K1752" s="2"/>
      <c r="M1752" s="2"/>
    </row>
    <row r="1753" spans="1:14" x14ac:dyDescent="0.55000000000000004">
      <c r="A1753" s="1" t="s">
        <v>2093</v>
      </c>
      <c r="B1753" s="2">
        <f>COUNTIF(A:A,A1753)-1</f>
        <v>2</v>
      </c>
      <c r="C1753" s="2">
        <f>COUNTIF(A$1:A1753,A1753)-1</f>
        <v>1</v>
      </c>
      <c r="D1753" s="2" t="str">
        <f>Argument!D1753</f>
        <v>var</v>
      </c>
      <c r="E1753" s="2" t="str">
        <f t="shared" si="55"/>
        <v/>
      </c>
      <c r="F1753" s="2" t="str">
        <f>IF(C1753=0,ISTEXT(FORMULA.CONVERT("="&amp;A1753&amp;"("&amp;REPLACE(REPT(",#ref!",B1753),1,1,"")&amp;")()",1)),"")</f>
        <v/>
      </c>
      <c r="G1753" s="2">
        <f>TYPE(_xlfn.QUARTILE.INC({1},IF(1,1)))</f>
        <v>1</v>
      </c>
      <c r="H1753" s="2" t="str">
        <f t="shared" si="56"/>
        <v/>
      </c>
      <c r="I1753" s="2">
        <f>TYPE(_xlfn.QUARTILE.INC(IF(1,1),IF(1,1)))</f>
        <v>1</v>
      </c>
      <c r="J1753" s="2" t="str">
        <f>IF(C1753=0,COUNTIFS(A:A,A1753,D:D,"a"),"")</f>
        <v/>
      </c>
      <c r="K1753" s="2" t="e">
        <f>INDEX(+_xlfn.QUARTILE.INC(K1753:L1753,#REF!),)</f>
        <v>#REF!</v>
      </c>
      <c r="L1753" s="1">
        <v>1</v>
      </c>
      <c r="M1753" s="2" t="e">
        <f>INDEX(+_xlfn.QUARTILE.INC(INDIRECT(M1753:N1753),#REF!),)</f>
        <v>#REF!</v>
      </c>
      <c r="N1753" s="1">
        <v>1</v>
      </c>
    </row>
    <row r="1754" spans="1:14" x14ac:dyDescent="0.55000000000000004">
      <c r="A1754" s="1" t="s">
        <v>2093</v>
      </c>
      <c r="B1754" s="2">
        <f>COUNTIF(A:A,A1754)-1</f>
        <v>2</v>
      </c>
      <c r="C1754" s="2">
        <f>COUNTIF(A$1:A1754,A1754)-1</f>
        <v>2</v>
      </c>
      <c r="D1754" s="2" t="str">
        <f>Argument!D1754</f>
        <v>v</v>
      </c>
      <c r="E1754" s="2" t="str">
        <f t="shared" si="55"/>
        <v/>
      </c>
      <c r="F1754" s="2" t="str">
        <f>IF(C1754=0,ISTEXT(FORMULA.CONVERT("="&amp;A1754&amp;"("&amp;REPLACE(REPT(",#ref!",B1754),1,1,"")&amp;")()",1)),"")</f>
        <v/>
      </c>
      <c r="G1754" s="2">
        <f>TYPE(_xlfn.QUARTILE.INC(IF(1,1),{1}))</f>
        <v>64</v>
      </c>
      <c r="H1754" s="2" t="str">
        <f t="shared" si="56"/>
        <v/>
      </c>
      <c r="I1754" s="2">
        <f>TYPE(_xlfn.QUARTILE.INC(IF(1,1),IF(1,1)))</f>
        <v>1</v>
      </c>
      <c r="J1754" s="2" t="str">
        <f>IF(C1754=0,COUNTIFS(A:A,A1754,D:D,"a"),"")</f>
        <v/>
      </c>
      <c r="K1754" s="2" t="e">
        <f>INDEX(+_xlfn.QUARTILE.INC(#REF!,K1754:L1754),)</f>
        <v>#REF!</v>
      </c>
      <c r="L1754" s="1">
        <v>1</v>
      </c>
      <c r="M1754" s="2" t="e">
        <f>INDEX(+_xlfn.QUARTILE.INC(#REF!,INDIRECT(M1754:N1754)),)</f>
        <v>#REF!</v>
      </c>
      <c r="N1754" s="1">
        <v>1</v>
      </c>
    </row>
    <row r="1755" spans="1:14" x14ac:dyDescent="0.55000000000000004">
      <c r="A1755" s="1" t="s">
        <v>2094</v>
      </c>
      <c r="B1755" s="2">
        <f>COUNTIF(A:A,A1755)-1</f>
        <v>3</v>
      </c>
      <c r="C1755" s="2">
        <f>COUNTIF(A$1:A1755,A1755)-1</f>
        <v>0</v>
      </c>
      <c r="D1755" s="2" t="str">
        <f>Argument!D1755</f>
        <v/>
      </c>
      <c r="E1755" s="2" t="str">
        <f t="shared" si="55"/>
        <v>v</v>
      </c>
      <c r="F1755" s="2" t="b">
        <f>IF(C1755=0,ISTEXT(FORMULA.CONVERT("="&amp;A1755&amp;"("&amp;REPLACE(REPT(",#ref!",B1755),1,1,"")&amp;")()",1)),"")</f>
        <v>0</v>
      </c>
      <c r="G1755" s="2"/>
      <c r="H1755" s="2" t="str">
        <f t="shared" si="56"/>
        <v/>
      </c>
      <c r="I1755" s="2">
        <f>TYPE(_xlfn.RANK.AVG(IF(1,1),IF(1,1),IF(1,1)))</f>
        <v>16</v>
      </c>
      <c r="J1755" s="2">
        <f>IF(C1755=0,COUNTIFS(A:A,A1755,D:D,"a"),"")</f>
        <v>0</v>
      </c>
      <c r="K1755" s="2"/>
      <c r="M1755" s="2"/>
    </row>
    <row r="1756" spans="1:14" x14ac:dyDescent="0.55000000000000004">
      <c r="A1756" s="1" t="s">
        <v>2094</v>
      </c>
      <c r="B1756" s="2">
        <f>COUNTIF(A:A,A1756)-1</f>
        <v>3</v>
      </c>
      <c r="C1756" s="2">
        <f>COUNTIF(A$1:A1756,A1756)-1</f>
        <v>1</v>
      </c>
      <c r="D1756" s="2" t="str">
        <f>Argument!D1756</f>
        <v>v</v>
      </c>
      <c r="E1756" s="2" t="str">
        <f t="shared" si="55"/>
        <v/>
      </c>
      <c r="F1756" s="2" t="str">
        <f>IF(C1756=0,ISTEXT(FORMULA.CONVERT("="&amp;A1756&amp;"("&amp;REPLACE(REPT(",#ref!",B1756),1,1,"")&amp;")()",1)),"")</f>
        <v/>
      </c>
      <c r="G1756" s="2">
        <f>TYPE(_xlfn.RANK.AVG({1},IF(1,1),IF(1,1)))</f>
        <v>64</v>
      </c>
      <c r="H1756" s="2" t="str">
        <f t="shared" si="56"/>
        <v/>
      </c>
      <c r="I1756" s="2">
        <f>TYPE(_xlfn.RANK.AVG(IF(1,1),IF(1,1),IF(1,1)))</f>
        <v>16</v>
      </c>
      <c r="J1756" s="2" t="str">
        <f>IF(C1756=0,COUNTIFS(A:A,A1756,D:D,"a"),"")</f>
        <v/>
      </c>
      <c r="K1756" s="2" t="e">
        <f>INDEX(+_xlfn.RANK.AVG(K1756:L1756,#REF!,#REF!),)</f>
        <v>#REF!</v>
      </c>
      <c r="L1756" s="1">
        <v>1</v>
      </c>
      <c r="M1756" s="2" t="e">
        <f>INDEX(+_xlfn.RANK.AVG(INDIRECT(M1756:N1756),#REF!,#REF!),)</f>
        <v>#REF!</v>
      </c>
      <c r="N1756" s="1">
        <v>1</v>
      </c>
    </row>
    <row r="1757" spans="1:14" x14ac:dyDescent="0.55000000000000004">
      <c r="A1757" s="1" t="s">
        <v>2094</v>
      </c>
      <c r="B1757" s="2">
        <f>COUNTIF(A:A,A1757)-1</f>
        <v>3</v>
      </c>
      <c r="C1757" s="2">
        <f>COUNTIF(A$1:A1757,A1757)-1</f>
        <v>2</v>
      </c>
      <c r="D1757" s="2" t="str">
        <f>Argument!D1757</f>
        <v>r</v>
      </c>
      <c r="E1757" s="2" t="str">
        <f t="shared" si="55"/>
        <v/>
      </c>
      <c r="F1757" s="2" t="str">
        <f>IF(C1757=0,ISTEXT(FORMULA.CONVERT("="&amp;A1757&amp;"("&amp;REPLACE(REPT(",#ref!",B1757),1,1,"")&amp;")()",1)),"")</f>
        <v/>
      </c>
      <c r="G1757" s="2"/>
      <c r="H1757" s="2" t="str">
        <f t="shared" si="56"/>
        <v/>
      </c>
      <c r="I1757" s="2">
        <f>TYPE(_xlfn.RANK.AVG(IF(1,1),IF(1,1),IF(1,1)))</f>
        <v>16</v>
      </c>
      <c r="J1757" s="2" t="str">
        <f>IF(C1757=0,COUNTIFS(A:A,A1757,D:D,"a"),"")</f>
        <v/>
      </c>
      <c r="K1757" s="2" t="e">
        <f>INDEX(+_xlfn.RANK.AVG(#REF!,K1757:L1757,#REF!),)</f>
        <v>#REF!</v>
      </c>
      <c r="L1757" s="1">
        <v>1</v>
      </c>
      <c r="M1757" s="2" t="e">
        <f>INDEX(+_xlfn.RANK.AVG(#REF!,INDIRECT(M1757:N1757),#REF!),)</f>
        <v>#REF!</v>
      </c>
      <c r="N1757" s="1">
        <v>1</v>
      </c>
    </row>
    <row r="1758" spans="1:14" x14ac:dyDescent="0.55000000000000004">
      <c r="A1758" s="1" t="s">
        <v>2094</v>
      </c>
      <c r="B1758" s="2">
        <f>COUNTIF(A:A,A1758)-1</f>
        <v>3</v>
      </c>
      <c r="C1758" s="2">
        <f>COUNTIF(A$1:A1758,A1758)-1</f>
        <v>3</v>
      </c>
      <c r="D1758" s="2" t="str">
        <f>Argument!D1758</f>
        <v>v</v>
      </c>
      <c r="E1758" s="2" t="str">
        <f t="shared" si="55"/>
        <v/>
      </c>
      <c r="F1758" s="2" t="str">
        <f>IF(C1758=0,ISTEXT(FORMULA.CONVERT("="&amp;A1758&amp;"("&amp;REPLACE(REPT(",#ref!",B1758),1,1,"")&amp;")()",1)),"")</f>
        <v/>
      </c>
      <c r="G1758" s="2">
        <f>TYPE(_xlfn.RANK.AVG(IF(1,1),IF(1,1),{1}))</f>
        <v>64</v>
      </c>
      <c r="H1758" s="2" t="str">
        <f t="shared" si="56"/>
        <v/>
      </c>
      <c r="I1758" s="2">
        <f>TYPE(_xlfn.RANK.AVG(IF(1,1),IF(1,1),IF(1,1)))</f>
        <v>16</v>
      </c>
      <c r="J1758" s="2" t="str">
        <f>IF(C1758=0,COUNTIFS(A:A,A1758,D:D,"a"),"")</f>
        <v/>
      </c>
      <c r="K1758" s="2" t="e">
        <f>INDEX(+_xlfn.RANK.AVG(#REF!,#REF!,K1758:L1758),)</f>
        <v>#REF!</v>
      </c>
      <c r="L1758" s="1">
        <v>1</v>
      </c>
      <c r="M1758" s="2" t="e">
        <f>INDEX(+_xlfn.RANK.AVG(#REF!,#REF!,INDIRECT(M1758:N1758)),)</f>
        <v>#REF!</v>
      </c>
      <c r="N1758" s="1">
        <v>1</v>
      </c>
    </row>
    <row r="1759" spans="1:14" x14ac:dyDescent="0.55000000000000004">
      <c r="A1759" s="1" t="s">
        <v>2095</v>
      </c>
      <c r="B1759" s="2">
        <f>COUNTIF(A:A,A1759)-1</f>
        <v>3</v>
      </c>
      <c r="C1759" s="2">
        <f>COUNTIF(A$1:A1759,A1759)-1</f>
        <v>0</v>
      </c>
      <c r="D1759" s="2" t="str">
        <f>Argument!D1759</f>
        <v/>
      </c>
      <c r="E1759" s="2" t="str">
        <f t="shared" si="55"/>
        <v>v</v>
      </c>
      <c r="F1759" s="2" t="b">
        <f>IF(C1759=0,ISTEXT(FORMULA.CONVERT("="&amp;A1759&amp;"("&amp;REPLACE(REPT(",#ref!",B1759),1,1,"")&amp;")()",1)),"")</f>
        <v>0</v>
      </c>
      <c r="G1759" s="2"/>
      <c r="H1759" s="2" t="str">
        <f t="shared" si="56"/>
        <v/>
      </c>
      <c r="I1759" s="2">
        <f>TYPE(_xlfn.RANK.EQ(IF(1,1),IF(1,1),IF(1,1)))</f>
        <v>16</v>
      </c>
      <c r="J1759" s="2">
        <f>IF(C1759=0,COUNTIFS(A:A,A1759,D:D,"a"),"")</f>
        <v>0</v>
      </c>
      <c r="K1759" s="2"/>
      <c r="M1759" s="2"/>
    </row>
    <row r="1760" spans="1:14" x14ac:dyDescent="0.55000000000000004">
      <c r="A1760" s="1" t="s">
        <v>2095</v>
      </c>
      <c r="B1760" s="2">
        <f>COUNTIF(A:A,A1760)-1</f>
        <v>3</v>
      </c>
      <c r="C1760" s="2">
        <f>COUNTIF(A$1:A1760,A1760)-1</f>
        <v>1</v>
      </c>
      <c r="D1760" s="2" t="str">
        <f>Argument!D1760</f>
        <v>v</v>
      </c>
      <c r="E1760" s="2" t="str">
        <f t="shared" si="55"/>
        <v/>
      </c>
      <c r="F1760" s="2" t="str">
        <f>IF(C1760=0,ISTEXT(FORMULA.CONVERT("="&amp;A1760&amp;"("&amp;REPLACE(REPT(",#ref!",B1760),1,1,"")&amp;")()",1)),"")</f>
        <v/>
      </c>
      <c r="G1760" s="2">
        <f>TYPE(_xlfn.RANK.EQ({1},IF(1,1),IF(1,1)))</f>
        <v>64</v>
      </c>
      <c r="H1760" s="2" t="str">
        <f t="shared" si="56"/>
        <v/>
      </c>
      <c r="I1760" s="2">
        <f>TYPE(_xlfn.RANK.EQ(IF(1,1),IF(1,1),IF(1,1)))</f>
        <v>16</v>
      </c>
      <c r="J1760" s="2" t="str">
        <f>IF(C1760=0,COUNTIFS(A:A,A1760,D:D,"a"),"")</f>
        <v/>
      </c>
      <c r="K1760" s="2" t="e">
        <f>INDEX(+_xlfn.RANK.EQ(K1760:L1760,#REF!,#REF!),)</f>
        <v>#REF!</v>
      </c>
      <c r="L1760" s="1">
        <v>1</v>
      </c>
      <c r="M1760" s="2" t="e">
        <f>INDEX(+_xlfn.RANK.EQ(INDIRECT(M1760:N1760),#REF!,#REF!),)</f>
        <v>#REF!</v>
      </c>
      <c r="N1760" s="1">
        <v>1</v>
      </c>
    </row>
    <row r="1761" spans="1:14" x14ac:dyDescent="0.55000000000000004">
      <c r="A1761" s="1" t="s">
        <v>2095</v>
      </c>
      <c r="B1761" s="2">
        <f>COUNTIF(A:A,A1761)-1</f>
        <v>3</v>
      </c>
      <c r="C1761" s="2">
        <f>COUNTIF(A$1:A1761,A1761)-1</f>
        <v>2</v>
      </c>
      <c r="D1761" s="2" t="str">
        <f>Argument!D1761</f>
        <v>r</v>
      </c>
      <c r="E1761" s="2" t="str">
        <f t="shared" si="55"/>
        <v/>
      </c>
      <c r="F1761" s="2" t="str">
        <f>IF(C1761=0,ISTEXT(FORMULA.CONVERT("="&amp;A1761&amp;"("&amp;REPLACE(REPT(",#ref!",B1761),1,1,"")&amp;")()",1)),"")</f>
        <v/>
      </c>
      <c r="G1761" s="2"/>
      <c r="H1761" s="2" t="str">
        <f t="shared" si="56"/>
        <v/>
      </c>
      <c r="I1761" s="2">
        <f>TYPE(_xlfn.RANK.EQ(IF(1,1),IF(1,1),IF(1,1)))</f>
        <v>16</v>
      </c>
      <c r="J1761" s="2" t="str">
        <f>IF(C1761=0,COUNTIFS(A:A,A1761,D:D,"a"),"")</f>
        <v/>
      </c>
      <c r="K1761" s="2" t="e">
        <f>INDEX(+_xlfn.RANK.EQ(#REF!,K1761:L1761,#REF!),)</f>
        <v>#REF!</v>
      </c>
      <c r="L1761" s="1">
        <v>1</v>
      </c>
      <c r="M1761" s="2" t="e">
        <f>INDEX(+_xlfn.RANK.EQ(#REF!,INDIRECT(M1761:N1761),#REF!),)</f>
        <v>#REF!</v>
      </c>
      <c r="N1761" s="1">
        <v>1</v>
      </c>
    </row>
    <row r="1762" spans="1:14" x14ac:dyDescent="0.55000000000000004">
      <c r="A1762" s="1" t="s">
        <v>2095</v>
      </c>
      <c r="B1762" s="2">
        <f>COUNTIF(A:A,A1762)-1</f>
        <v>3</v>
      </c>
      <c r="C1762" s="2">
        <f>COUNTIF(A$1:A1762,A1762)-1</f>
        <v>3</v>
      </c>
      <c r="D1762" s="2" t="str">
        <f>Argument!D1762</f>
        <v>v</v>
      </c>
      <c r="E1762" s="2" t="str">
        <f t="shared" si="55"/>
        <v/>
      </c>
      <c r="F1762" s="2" t="str">
        <f>IF(C1762=0,ISTEXT(FORMULA.CONVERT("="&amp;A1762&amp;"("&amp;REPLACE(REPT(",#ref!",B1762),1,1,"")&amp;")()",1)),"")</f>
        <v/>
      </c>
      <c r="G1762" s="2">
        <f>TYPE(_xlfn.RANK.EQ(IF(1,1),IF(1,1),{1}))</f>
        <v>64</v>
      </c>
      <c r="H1762" s="2" t="str">
        <f t="shared" si="56"/>
        <v/>
      </c>
      <c r="I1762" s="2">
        <f>TYPE(_xlfn.RANK.EQ(IF(1,1),IF(1,1),IF(1,1)))</f>
        <v>16</v>
      </c>
      <c r="J1762" s="2" t="str">
        <f>IF(C1762=0,COUNTIFS(A:A,A1762,D:D,"a"),"")</f>
        <v/>
      </c>
      <c r="K1762" s="2" t="e">
        <f>INDEX(+_xlfn.RANK.EQ(#REF!,#REF!,K1762:L1762),)</f>
        <v>#REF!</v>
      </c>
      <c r="L1762" s="1">
        <v>1</v>
      </c>
      <c r="M1762" s="2" t="e">
        <f>INDEX(+_xlfn.RANK.EQ(#REF!,#REF!,INDIRECT(M1762:N1762)),)</f>
        <v>#REF!</v>
      </c>
      <c r="N1762" s="1">
        <v>1</v>
      </c>
    </row>
    <row r="1763" spans="1:14" x14ac:dyDescent="0.55000000000000004">
      <c r="A1763" s="1" t="s">
        <v>2096</v>
      </c>
      <c r="B1763" s="2">
        <f>COUNTIF(A:A,A1763)-1</f>
        <v>3</v>
      </c>
      <c r="C1763" s="2">
        <f>COUNTIF(A$1:A1763,A1763)-1</f>
        <v>0</v>
      </c>
      <c r="D1763" s="2" t="str">
        <f>Argument!D1763</f>
        <v/>
      </c>
      <c r="E1763" s="2" t="str">
        <f t="shared" si="55"/>
        <v>v</v>
      </c>
      <c r="F1763" s="2" t="b">
        <f>IF(C1763=0,ISTEXT(FORMULA.CONVERT("="&amp;A1763&amp;"("&amp;REPLACE(REPT(",#ref!",B1763),1,1,"")&amp;")()",1)),"")</f>
        <v>0</v>
      </c>
      <c r="G1763" s="2"/>
      <c r="H1763" s="2" t="str">
        <f t="shared" si="56"/>
        <v/>
      </c>
      <c r="I1763" s="2">
        <f>TYPE(_xlfn.STDEV.S(IF(1,1),IF(1,1),IF(1,1)))</f>
        <v>1</v>
      </c>
      <c r="J1763" s="2">
        <f>IF(C1763=0,COUNTIFS(A:A,A1763,D:D,"a"),"")</f>
        <v>0</v>
      </c>
      <c r="K1763" s="2"/>
      <c r="M1763" s="2"/>
    </row>
    <row r="1764" spans="1:14" x14ac:dyDescent="0.55000000000000004">
      <c r="A1764" s="1" t="s">
        <v>2096</v>
      </c>
      <c r="B1764" s="2">
        <f>COUNTIF(A:A,A1764)-1</f>
        <v>3</v>
      </c>
      <c r="C1764" s="2">
        <f>COUNTIF(A$1:A1764,A1764)-1</f>
        <v>1</v>
      </c>
      <c r="D1764" s="2" t="str">
        <f>Argument!D1764</f>
        <v>var</v>
      </c>
      <c r="E1764" s="2" t="str">
        <f t="shared" si="55"/>
        <v/>
      </c>
      <c r="F1764" s="2" t="str">
        <f>IF(C1764=0,ISTEXT(FORMULA.CONVERT("="&amp;A1764&amp;"("&amp;REPLACE(REPT(",#ref!",B1764),1,1,"")&amp;")()",1)),"")</f>
        <v/>
      </c>
      <c r="G1764" s="2">
        <f>TYPE(_xlfn.STDEV.S({1},IF(1,1),IF(1,1)))</f>
        <v>1</v>
      </c>
      <c r="H1764" s="2" t="str">
        <f t="shared" si="56"/>
        <v/>
      </c>
      <c r="I1764" s="2">
        <f>TYPE(_xlfn.STDEV.S(IF(1,1),IF(1,1),IF(1,1)))</f>
        <v>1</v>
      </c>
      <c r="J1764" s="2" t="str">
        <f>IF(C1764=0,COUNTIFS(A:A,A1764,D:D,"a"),"")</f>
        <v/>
      </c>
      <c r="K1764" s="2" t="e">
        <f>INDEX(+_xlfn.STDEV.S(K1764:L1764,#REF!,#REF!),)</f>
        <v>#REF!</v>
      </c>
      <c r="L1764" s="1">
        <v>1</v>
      </c>
      <c r="M1764" s="2" t="e">
        <f>INDEX(+_xlfn.STDEV.S(INDIRECT(M1764:N1764),#REF!,#REF!),)</f>
        <v>#REF!</v>
      </c>
      <c r="N1764" s="1">
        <v>1</v>
      </c>
    </row>
    <row r="1765" spans="1:14" x14ac:dyDescent="0.55000000000000004">
      <c r="A1765" s="1" t="s">
        <v>2096</v>
      </c>
      <c r="B1765" s="2">
        <f>COUNTIF(A:A,A1765)-1</f>
        <v>3</v>
      </c>
      <c r="C1765" s="2">
        <f>COUNTIF(A$1:A1765,A1765)-1</f>
        <v>2</v>
      </c>
      <c r="D1765" s="2" t="str">
        <f>Argument!D1765</f>
        <v>var</v>
      </c>
      <c r="E1765" s="2" t="str">
        <f t="shared" si="55"/>
        <v/>
      </c>
      <c r="F1765" s="2" t="str">
        <f>IF(C1765=0,ISTEXT(FORMULA.CONVERT("="&amp;A1765&amp;"("&amp;REPLACE(REPT(",#ref!",B1765),1,1,"")&amp;")()",1)),"")</f>
        <v/>
      </c>
      <c r="G1765" s="2">
        <f>TYPE(_xlfn.STDEV.S(IF(1,1),{1},IF(1,1)))</f>
        <v>1</v>
      </c>
      <c r="H1765" s="2" t="str">
        <f t="shared" si="56"/>
        <v/>
      </c>
      <c r="I1765" s="2">
        <f>TYPE(_xlfn.STDEV.S(IF(1,1),IF(1,1),IF(1,1)))</f>
        <v>1</v>
      </c>
      <c r="J1765" s="2" t="str">
        <f>IF(C1765=0,COUNTIFS(A:A,A1765,D:D,"a"),"")</f>
        <v/>
      </c>
      <c r="K1765" s="2" t="e">
        <f>INDEX(+_xlfn.STDEV.S(#REF!,K1765:L1765,#REF!),)</f>
        <v>#REF!</v>
      </c>
      <c r="L1765" s="1">
        <v>1</v>
      </c>
      <c r="M1765" s="2" t="e">
        <f>INDEX(+_xlfn.STDEV.S(#REF!,INDIRECT(M1765:N1765),#REF!),)</f>
        <v>#REF!</v>
      </c>
      <c r="N1765" s="1">
        <v>1</v>
      </c>
    </row>
    <row r="1766" spans="1:14" x14ac:dyDescent="0.55000000000000004">
      <c r="A1766" s="1" t="s">
        <v>2096</v>
      </c>
      <c r="B1766" s="2">
        <f>COUNTIF(A:A,A1766)-1</f>
        <v>3</v>
      </c>
      <c r="C1766" s="2">
        <f>COUNTIF(A$1:A1766,A1766)-1</f>
        <v>3</v>
      </c>
      <c r="D1766" s="2" t="str">
        <f>Argument!D1766</f>
        <v>var</v>
      </c>
      <c r="E1766" s="2" t="str">
        <f t="shared" si="55"/>
        <v/>
      </c>
      <c r="F1766" s="2" t="str">
        <f>IF(C1766=0,ISTEXT(FORMULA.CONVERT("="&amp;A1766&amp;"("&amp;REPLACE(REPT(",#ref!",B1766),1,1,"")&amp;")()",1)),"")</f>
        <v/>
      </c>
      <c r="G1766" s="2">
        <f>TYPE(_xlfn.STDEV.S(IF(1,1),IF(1,1),{1}))</f>
        <v>1</v>
      </c>
      <c r="H1766" s="2" t="str">
        <f t="shared" si="56"/>
        <v/>
      </c>
      <c r="I1766" s="2">
        <f>TYPE(_xlfn.STDEV.S(IF(1,1),IF(1,1),IF(1,1)))</f>
        <v>1</v>
      </c>
      <c r="J1766" s="2" t="str">
        <f>IF(C1766=0,COUNTIFS(A:A,A1766,D:D,"a"),"")</f>
        <v/>
      </c>
      <c r="K1766" s="2" t="e">
        <f>INDEX(+_xlfn.STDEV.S(#REF!,#REF!,K1766:L1766),)</f>
        <v>#REF!</v>
      </c>
      <c r="L1766" s="1">
        <v>1</v>
      </c>
      <c r="M1766" s="2" t="e">
        <f>INDEX(+_xlfn.STDEV.S(#REF!,#REF!,INDIRECT(M1766:N1766)),)</f>
        <v>#REF!</v>
      </c>
      <c r="N1766" s="1">
        <v>1</v>
      </c>
    </row>
    <row r="1767" spans="1:14" x14ac:dyDescent="0.55000000000000004">
      <c r="A1767" s="1" t="s">
        <v>2097</v>
      </c>
      <c r="B1767" s="2">
        <f>COUNTIF(A:A,A1767)-1</f>
        <v>3</v>
      </c>
      <c r="C1767" s="2">
        <f>COUNTIF(A$1:A1767,A1767)-1</f>
        <v>0</v>
      </c>
      <c r="D1767" s="2" t="str">
        <f>Argument!D1767</f>
        <v/>
      </c>
      <c r="E1767" s="2" t="str">
        <f t="shared" si="55"/>
        <v>v</v>
      </c>
      <c r="F1767" s="2" t="b">
        <f>IF(C1767=0,ISTEXT(FORMULA.CONVERT("="&amp;A1767&amp;"("&amp;REPLACE(REPT(",#ref!",B1767),1,1,"")&amp;")()",1)),"")</f>
        <v>0</v>
      </c>
      <c r="G1767" s="2"/>
      <c r="H1767" s="2" t="str">
        <f t="shared" si="56"/>
        <v/>
      </c>
      <c r="I1767" s="2">
        <f>TYPE(_xlfn.STDEV.P(IF(1,1),IF(1,1),IF(1,1)))</f>
        <v>1</v>
      </c>
      <c r="J1767" s="2">
        <f>IF(C1767=0,COUNTIFS(A:A,A1767,D:D,"a"),"")</f>
        <v>0</v>
      </c>
      <c r="K1767" s="2"/>
      <c r="M1767" s="2"/>
    </row>
    <row r="1768" spans="1:14" x14ac:dyDescent="0.55000000000000004">
      <c r="A1768" s="1" t="s">
        <v>2097</v>
      </c>
      <c r="B1768" s="2">
        <f>COUNTIF(A:A,A1768)-1</f>
        <v>3</v>
      </c>
      <c r="C1768" s="2">
        <f>COUNTIF(A$1:A1768,A1768)-1</f>
        <v>1</v>
      </c>
      <c r="D1768" s="2" t="str">
        <f>Argument!D1768</f>
        <v>var</v>
      </c>
      <c r="E1768" s="2" t="str">
        <f t="shared" si="55"/>
        <v/>
      </c>
      <c r="F1768" s="2" t="str">
        <f>IF(C1768=0,ISTEXT(FORMULA.CONVERT("="&amp;A1768&amp;"("&amp;REPLACE(REPT(",#ref!",B1768),1,1,"")&amp;")()",1)),"")</f>
        <v/>
      </c>
      <c r="G1768" s="2">
        <f>TYPE(_xlfn.STDEV.P({1},IF(1,1),IF(1,1)))</f>
        <v>1</v>
      </c>
      <c r="H1768" s="2" t="str">
        <f t="shared" si="56"/>
        <v/>
      </c>
      <c r="I1768" s="2">
        <f>TYPE(_xlfn.STDEV.P(IF(1,1),IF(1,1),IF(1,1)))</f>
        <v>1</v>
      </c>
      <c r="J1768" s="2" t="str">
        <f>IF(C1768=0,COUNTIFS(A:A,A1768,D:D,"a"),"")</f>
        <v/>
      </c>
      <c r="K1768" s="2" t="e">
        <f>INDEX(+_xlfn.STDEV.P(K1768:L1768,#REF!,#REF!),)</f>
        <v>#REF!</v>
      </c>
      <c r="L1768" s="1">
        <v>1</v>
      </c>
      <c r="M1768" s="2" t="e">
        <f>INDEX(+_xlfn.STDEV.P(INDIRECT(M1768:N1768),#REF!,#REF!),)</f>
        <v>#REF!</v>
      </c>
      <c r="N1768" s="1">
        <v>1</v>
      </c>
    </row>
    <row r="1769" spans="1:14" x14ac:dyDescent="0.55000000000000004">
      <c r="A1769" s="1" t="s">
        <v>2097</v>
      </c>
      <c r="B1769" s="2">
        <f>COUNTIF(A:A,A1769)-1</f>
        <v>3</v>
      </c>
      <c r="C1769" s="2">
        <f>COUNTIF(A$1:A1769,A1769)-1</f>
        <v>2</v>
      </c>
      <c r="D1769" s="2" t="str">
        <f>Argument!D1769</f>
        <v>var</v>
      </c>
      <c r="E1769" s="2" t="str">
        <f t="shared" si="55"/>
        <v/>
      </c>
      <c r="F1769" s="2" t="str">
        <f>IF(C1769=0,ISTEXT(FORMULA.CONVERT("="&amp;A1769&amp;"("&amp;REPLACE(REPT(",#ref!",B1769),1,1,"")&amp;")()",1)),"")</f>
        <v/>
      </c>
      <c r="G1769" s="2">
        <f>TYPE(_xlfn.STDEV.P(IF(1,1),{1},IF(1,1)))</f>
        <v>1</v>
      </c>
      <c r="H1769" s="2" t="str">
        <f t="shared" si="56"/>
        <v/>
      </c>
      <c r="I1769" s="2">
        <f>TYPE(_xlfn.STDEV.P(IF(1,1),IF(1,1),IF(1,1)))</f>
        <v>1</v>
      </c>
      <c r="J1769" s="2" t="str">
        <f>IF(C1769=0,COUNTIFS(A:A,A1769,D:D,"a"),"")</f>
        <v/>
      </c>
      <c r="K1769" s="2" t="e">
        <f>INDEX(+_xlfn.STDEV.P(#REF!,K1769:L1769,#REF!),)</f>
        <v>#REF!</v>
      </c>
      <c r="L1769" s="1">
        <v>1</v>
      </c>
      <c r="M1769" s="2" t="e">
        <f>INDEX(+_xlfn.STDEV.P(#REF!,INDIRECT(M1769:N1769),#REF!),)</f>
        <v>#REF!</v>
      </c>
      <c r="N1769" s="1">
        <v>1</v>
      </c>
    </row>
    <row r="1770" spans="1:14" x14ac:dyDescent="0.55000000000000004">
      <c r="A1770" s="1" t="s">
        <v>2097</v>
      </c>
      <c r="B1770" s="2">
        <f>COUNTIF(A:A,A1770)-1</f>
        <v>3</v>
      </c>
      <c r="C1770" s="2">
        <f>COUNTIF(A$1:A1770,A1770)-1</f>
        <v>3</v>
      </c>
      <c r="D1770" s="2" t="str">
        <f>Argument!D1770</f>
        <v>var</v>
      </c>
      <c r="E1770" s="2" t="str">
        <f t="shared" si="55"/>
        <v/>
      </c>
      <c r="F1770" s="2" t="str">
        <f>IF(C1770=0,ISTEXT(FORMULA.CONVERT("="&amp;A1770&amp;"("&amp;REPLACE(REPT(",#ref!",B1770),1,1,"")&amp;")()",1)),"")</f>
        <v/>
      </c>
      <c r="G1770" s="2">
        <f>TYPE(_xlfn.STDEV.P(IF(1,1),IF(1,1),{1}))</f>
        <v>1</v>
      </c>
      <c r="H1770" s="2" t="str">
        <f t="shared" si="56"/>
        <v/>
      </c>
      <c r="I1770" s="2">
        <f>TYPE(_xlfn.STDEV.P(IF(1,1),IF(1,1),IF(1,1)))</f>
        <v>1</v>
      </c>
      <c r="J1770" s="2" t="str">
        <f>IF(C1770=0,COUNTIFS(A:A,A1770,D:D,"a"),"")</f>
        <v/>
      </c>
      <c r="K1770" s="2" t="e">
        <f>INDEX(+_xlfn.STDEV.P(#REF!,#REF!,K1770:L1770),)</f>
        <v>#REF!</v>
      </c>
      <c r="L1770" s="1">
        <v>1</v>
      </c>
      <c r="M1770" s="2" t="e">
        <f>INDEX(+_xlfn.STDEV.P(#REF!,#REF!,INDIRECT(M1770:N1770)),)</f>
        <v>#REF!</v>
      </c>
      <c r="N1770" s="1">
        <v>1</v>
      </c>
    </row>
    <row r="1771" spans="1:14" x14ac:dyDescent="0.55000000000000004">
      <c r="A1771" s="1" t="s">
        <v>2098</v>
      </c>
      <c r="B1771" s="2">
        <f>COUNTIF(A:A,A1771)-1</f>
        <v>3</v>
      </c>
      <c r="C1771" s="2">
        <f>COUNTIF(A$1:A1771,A1771)-1</f>
        <v>0</v>
      </c>
      <c r="D1771" s="2" t="str">
        <f>Argument!D1771</f>
        <v/>
      </c>
      <c r="E1771" s="2" t="str">
        <f t="shared" si="55"/>
        <v>v</v>
      </c>
      <c r="F1771" s="2" t="b">
        <f>IF(C1771=0,ISTEXT(FORMULA.CONVERT("="&amp;A1771&amp;"("&amp;REPLACE(REPT(",#ref!",B1771),1,1,"")&amp;")()",1)),"")</f>
        <v>0</v>
      </c>
      <c r="G1771" s="2"/>
      <c r="H1771" s="2" t="str">
        <f t="shared" si="56"/>
        <v/>
      </c>
      <c r="I1771" s="2">
        <f>TYPE(_xlfn.T.DIST(IF(1,1),IF(1,1),IF(1,1)))</f>
        <v>1</v>
      </c>
      <c r="J1771" s="2">
        <f>IF(C1771=0,COUNTIFS(A:A,A1771,D:D,"a"),"")</f>
        <v>0</v>
      </c>
      <c r="K1771" s="2"/>
      <c r="M1771" s="2"/>
    </row>
    <row r="1772" spans="1:14" x14ac:dyDescent="0.55000000000000004">
      <c r="A1772" s="1" t="s">
        <v>2098</v>
      </c>
      <c r="B1772" s="2">
        <f>COUNTIF(A:A,A1772)-1</f>
        <v>3</v>
      </c>
      <c r="C1772" s="2">
        <f>COUNTIF(A$1:A1772,A1772)-1</f>
        <v>1</v>
      </c>
      <c r="D1772" s="2" t="str">
        <f>Argument!D1772</f>
        <v>v</v>
      </c>
      <c r="E1772" s="2" t="str">
        <f t="shared" si="55"/>
        <v/>
      </c>
      <c r="F1772" s="2" t="str">
        <f>IF(C1772=0,ISTEXT(FORMULA.CONVERT("="&amp;A1772&amp;"("&amp;REPLACE(REPT(",#ref!",B1772),1,1,"")&amp;")()",1)),"")</f>
        <v/>
      </c>
      <c r="G1772" s="2">
        <f>TYPE(_xlfn.T.DIST({1},IF(1,1),IF(1,1)))</f>
        <v>64</v>
      </c>
      <c r="H1772" s="2" t="str">
        <f t="shared" si="56"/>
        <v/>
      </c>
      <c r="I1772" s="2">
        <f>TYPE(_xlfn.T.DIST(IF(1,1),IF(1,1),IF(1,1)))</f>
        <v>1</v>
      </c>
      <c r="J1772" s="2" t="str">
        <f>IF(C1772=0,COUNTIFS(A:A,A1772,D:D,"a"),"")</f>
        <v/>
      </c>
      <c r="K1772" s="2" t="e">
        <f>INDEX(+_xlfn.T.DIST(K1772:L1772,#REF!,#REF!),)</f>
        <v>#REF!</v>
      </c>
      <c r="L1772" s="1">
        <v>1</v>
      </c>
      <c r="M1772" s="2" t="e">
        <f>INDEX(+_xlfn.T.DIST(INDIRECT(M1772:N1772),#REF!,#REF!),)</f>
        <v>#REF!</v>
      </c>
      <c r="N1772" s="1">
        <v>1</v>
      </c>
    </row>
    <row r="1773" spans="1:14" x14ac:dyDescent="0.55000000000000004">
      <c r="A1773" s="1" t="s">
        <v>2098</v>
      </c>
      <c r="B1773" s="2">
        <f>COUNTIF(A:A,A1773)-1</f>
        <v>3</v>
      </c>
      <c r="C1773" s="2">
        <f>COUNTIF(A$1:A1773,A1773)-1</f>
        <v>2</v>
      </c>
      <c r="D1773" s="2" t="str">
        <f>Argument!D1773</f>
        <v>v</v>
      </c>
      <c r="E1773" s="2" t="str">
        <f t="shared" si="55"/>
        <v/>
      </c>
      <c r="F1773" s="2" t="str">
        <f>IF(C1773=0,ISTEXT(FORMULA.CONVERT("="&amp;A1773&amp;"("&amp;REPLACE(REPT(",#ref!",B1773),1,1,"")&amp;")()",1)),"")</f>
        <v/>
      </c>
      <c r="G1773" s="2">
        <f>TYPE(_xlfn.T.DIST(IF(1,1),{1},IF(1,1)))</f>
        <v>64</v>
      </c>
      <c r="H1773" s="2" t="str">
        <f t="shared" si="56"/>
        <v/>
      </c>
      <c r="I1773" s="2">
        <f>TYPE(_xlfn.T.DIST(IF(1,1),IF(1,1),IF(1,1)))</f>
        <v>1</v>
      </c>
      <c r="J1773" s="2" t="str">
        <f>IF(C1773=0,COUNTIFS(A:A,A1773,D:D,"a"),"")</f>
        <v/>
      </c>
      <c r="K1773" s="2" t="e">
        <f>INDEX(+_xlfn.T.DIST(#REF!,K1773:L1773,#REF!),)</f>
        <v>#REF!</v>
      </c>
      <c r="L1773" s="1">
        <v>1</v>
      </c>
      <c r="M1773" s="2" t="e">
        <f>INDEX(+_xlfn.T.DIST(#REF!,INDIRECT(M1773:N1773),#REF!),)</f>
        <v>#REF!</v>
      </c>
      <c r="N1773" s="1">
        <v>1</v>
      </c>
    </row>
    <row r="1774" spans="1:14" x14ac:dyDescent="0.55000000000000004">
      <c r="A1774" s="1" t="s">
        <v>2098</v>
      </c>
      <c r="B1774" s="2">
        <f>COUNTIF(A:A,A1774)-1</f>
        <v>3</v>
      </c>
      <c r="C1774" s="2">
        <f>COUNTIF(A$1:A1774,A1774)-1</f>
        <v>3</v>
      </c>
      <c r="D1774" s="2" t="str">
        <f>Argument!D1774</f>
        <v>v</v>
      </c>
      <c r="E1774" s="2" t="str">
        <f t="shared" si="55"/>
        <v/>
      </c>
      <c r="F1774" s="2" t="str">
        <f>IF(C1774=0,ISTEXT(FORMULA.CONVERT("="&amp;A1774&amp;"("&amp;REPLACE(REPT(",#ref!",B1774),1,1,"")&amp;")()",1)),"")</f>
        <v/>
      </c>
      <c r="G1774" s="2">
        <f>TYPE(_xlfn.T.DIST(IF(1,1),IF(1,1),{1}))</f>
        <v>64</v>
      </c>
      <c r="H1774" s="2" t="str">
        <f t="shared" si="56"/>
        <v/>
      </c>
      <c r="I1774" s="2">
        <f>TYPE(_xlfn.T.DIST(IF(1,1),IF(1,1),IF(1,1)))</f>
        <v>1</v>
      </c>
      <c r="J1774" s="2" t="str">
        <f>IF(C1774=0,COUNTIFS(A:A,A1774,D:D,"a"),"")</f>
        <v/>
      </c>
      <c r="K1774" s="2" t="e">
        <f>INDEX(+_xlfn.T.DIST(#REF!,#REF!,K1774:L1774),)</f>
        <v>#REF!</v>
      </c>
      <c r="L1774" s="1">
        <v>1</v>
      </c>
      <c r="M1774" s="2" t="e">
        <f>INDEX(+_xlfn.T.DIST(#REF!,#REF!,INDIRECT(M1774:N1774)),)</f>
        <v>#REF!</v>
      </c>
      <c r="N1774" s="1">
        <v>1</v>
      </c>
    </row>
    <row r="1775" spans="1:14" x14ac:dyDescent="0.55000000000000004">
      <c r="A1775" s="1" t="s">
        <v>2099</v>
      </c>
      <c r="B1775" s="2">
        <f>COUNTIF(A:A,A1775)-1</f>
        <v>2</v>
      </c>
      <c r="C1775" s="2">
        <f>COUNTIF(A$1:A1775,A1775)-1</f>
        <v>0</v>
      </c>
      <c r="D1775" s="2" t="str">
        <f>Argument!D1775</f>
        <v/>
      </c>
      <c r="E1775" s="2" t="str">
        <f t="shared" si="55"/>
        <v>v</v>
      </c>
      <c r="F1775" s="2" t="b">
        <f>IF(C1775=0,ISTEXT(FORMULA.CONVERT("="&amp;A1775&amp;"("&amp;REPLACE(REPT(",#ref!",B1775),1,1,"")&amp;")()",1)),"")</f>
        <v>0</v>
      </c>
      <c r="G1775" s="2"/>
      <c r="H1775" s="2" t="str">
        <f t="shared" si="56"/>
        <v/>
      </c>
      <c r="I1775" s="2">
        <f>TYPE(_xlfn.T.DIST.2T(IF(1,1),IF(1,1)))</f>
        <v>1</v>
      </c>
      <c r="J1775" s="2">
        <f>IF(C1775=0,COUNTIFS(A:A,A1775,D:D,"a"),"")</f>
        <v>0</v>
      </c>
      <c r="K1775" s="2"/>
      <c r="M1775" s="2"/>
    </row>
    <row r="1776" spans="1:14" x14ac:dyDescent="0.55000000000000004">
      <c r="A1776" s="1" t="s">
        <v>2099</v>
      </c>
      <c r="B1776" s="2">
        <f>COUNTIF(A:A,A1776)-1</f>
        <v>2</v>
      </c>
      <c r="C1776" s="2">
        <f>COUNTIF(A$1:A1776,A1776)-1</f>
        <v>1</v>
      </c>
      <c r="D1776" s="2" t="str">
        <f>Argument!D1776</f>
        <v>v</v>
      </c>
      <c r="E1776" s="2" t="str">
        <f t="shared" si="55"/>
        <v/>
      </c>
      <c r="F1776" s="2" t="str">
        <f>IF(C1776=0,ISTEXT(FORMULA.CONVERT("="&amp;A1776&amp;"("&amp;REPLACE(REPT(",#ref!",B1776),1,1,"")&amp;")()",1)),"")</f>
        <v/>
      </c>
      <c r="G1776" s="2">
        <f>TYPE(_xlfn.T.DIST.2T({1},IF(1,1)))</f>
        <v>64</v>
      </c>
      <c r="H1776" s="2" t="str">
        <f t="shared" si="56"/>
        <v/>
      </c>
      <c r="I1776" s="2">
        <f>TYPE(_xlfn.T.DIST.2T(IF(1,1),IF(1,1)))</f>
        <v>1</v>
      </c>
      <c r="J1776" s="2" t="str">
        <f>IF(C1776=0,COUNTIFS(A:A,A1776,D:D,"a"),"")</f>
        <v/>
      </c>
      <c r="K1776" s="2" t="e">
        <f>INDEX(+_xlfn.T.DIST.2T(K1776:L1776,#REF!),)</f>
        <v>#REF!</v>
      </c>
      <c r="L1776" s="1">
        <v>1</v>
      </c>
      <c r="M1776" s="2" t="e">
        <f>INDEX(+_xlfn.T.DIST.2T(INDIRECT(M1776:N1776),#REF!),)</f>
        <v>#REF!</v>
      </c>
      <c r="N1776" s="1">
        <v>1</v>
      </c>
    </row>
    <row r="1777" spans="1:14" x14ac:dyDescent="0.55000000000000004">
      <c r="A1777" s="1" t="s">
        <v>2099</v>
      </c>
      <c r="B1777" s="2">
        <f>COUNTIF(A:A,A1777)-1</f>
        <v>2</v>
      </c>
      <c r="C1777" s="2">
        <f>COUNTIF(A$1:A1777,A1777)-1</f>
        <v>2</v>
      </c>
      <c r="D1777" s="2" t="str">
        <f>Argument!D1777</f>
        <v>v</v>
      </c>
      <c r="E1777" s="2" t="str">
        <f t="shared" si="55"/>
        <v/>
      </c>
      <c r="F1777" s="2" t="str">
        <f>IF(C1777=0,ISTEXT(FORMULA.CONVERT("="&amp;A1777&amp;"("&amp;REPLACE(REPT(",#ref!",B1777),1,1,"")&amp;")()",1)),"")</f>
        <v/>
      </c>
      <c r="G1777" s="2">
        <f>TYPE(_xlfn.T.DIST.2T(IF(1,1),{1}))</f>
        <v>64</v>
      </c>
      <c r="H1777" s="2" t="str">
        <f t="shared" si="56"/>
        <v/>
      </c>
      <c r="I1777" s="2">
        <f>TYPE(_xlfn.T.DIST.2T(IF(1,1),IF(1,1)))</f>
        <v>1</v>
      </c>
      <c r="J1777" s="2" t="str">
        <f>IF(C1777=0,COUNTIFS(A:A,A1777,D:D,"a"),"")</f>
        <v/>
      </c>
      <c r="K1777" s="2" t="e">
        <f>INDEX(+_xlfn.T.DIST.2T(#REF!,K1777:L1777),)</f>
        <v>#REF!</v>
      </c>
      <c r="L1777" s="1">
        <v>1</v>
      </c>
      <c r="M1777" s="2" t="e">
        <f>INDEX(+_xlfn.T.DIST.2T(#REF!,INDIRECT(M1777:N1777)),)</f>
        <v>#REF!</v>
      </c>
      <c r="N1777" s="1">
        <v>1</v>
      </c>
    </row>
    <row r="1778" spans="1:14" x14ac:dyDescent="0.55000000000000004">
      <c r="A1778" s="1" t="s">
        <v>2100</v>
      </c>
      <c r="B1778" s="2">
        <f>COUNTIF(A:A,A1778)-1</f>
        <v>2</v>
      </c>
      <c r="C1778" s="2">
        <f>COUNTIF(A$1:A1778,A1778)-1</f>
        <v>0</v>
      </c>
      <c r="D1778" s="2" t="str">
        <f>Argument!D1778</f>
        <v/>
      </c>
      <c r="E1778" s="2" t="str">
        <f t="shared" si="55"/>
        <v>v</v>
      </c>
      <c r="F1778" s="2" t="b">
        <f>IF(C1778=0,ISTEXT(FORMULA.CONVERT("="&amp;A1778&amp;"("&amp;REPLACE(REPT(",#ref!",B1778),1,1,"")&amp;")()",1)),"")</f>
        <v>0</v>
      </c>
      <c r="G1778" s="2"/>
      <c r="H1778" s="2" t="str">
        <f t="shared" si="56"/>
        <v/>
      </c>
      <c r="I1778" s="2">
        <f>TYPE(_xlfn.T.DIST.RT(IF(1,1),IF(1,1)))</f>
        <v>1</v>
      </c>
      <c r="J1778" s="2">
        <f>IF(C1778=0,COUNTIFS(A:A,A1778,D:D,"a"),"")</f>
        <v>0</v>
      </c>
      <c r="K1778" s="2"/>
      <c r="M1778" s="2"/>
    </row>
    <row r="1779" spans="1:14" x14ac:dyDescent="0.55000000000000004">
      <c r="A1779" s="1" t="s">
        <v>2100</v>
      </c>
      <c r="B1779" s="2">
        <f>COUNTIF(A:A,A1779)-1</f>
        <v>2</v>
      </c>
      <c r="C1779" s="2">
        <f>COUNTIF(A$1:A1779,A1779)-1</f>
        <v>1</v>
      </c>
      <c r="D1779" s="2" t="str">
        <f>Argument!D1779</f>
        <v>v</v>
      </c>
      <c r="E1779" s="2" t="str">
        <f t="shared" si="55"/>
        <v/>
      </c>
      <c r="F1779" s="2" t="str">
        <f>IF(C1779=0,ISTEXT(FORMULA.CONVERT("="&amp;A1779&amp;"("&amp;REPLACE(REPT(",#ref!",B1779),1,1,"")&amp;")()",1)),"")</f>
        <v/>
      </c>
      <c r="G1779" s="2">
        <f>TYPE(_xlfn.T.DIST.RT({1},IF(1,1)))</f>
        <v>64</v>
      </c>
      <c r="H1779" s="2" t="str">
        <f t="shared" si="56"/>
        <v/>
      </c>
      <c r="I1779" s="2">
        <f>TYPE(_xlfn.T.DIST.RT(IF(1,1),IF(1,1)))</f>
        <v>1</v>
      </c>
      <c r="J1779" s="2" t="str">
        <f>IF(C1779=0,COUNTIFS(A:A,A1779,D:D,"a"),"")</f>
        <v/>
      </c>
      <c r="K1779" s="2" t="e">
        <f>INDEX(+_xlfn.T.DIST.RT(K1779:L1779,#REF!),)</f>
        <v>#REF!</v>
      </c>
      <c r="L1779" s="1">
        <v>1</v>
      </c>
      <c r="M1779" s="2" t="e">
        <f>INDEX(+_xlfn.T.DIST.RT(INDIRECT(M1779:N1779),#REF!),)</f>
        <v>#REF!</v>
      </c>
      <c r="N1779" s="1">
        <v>1</v>
      </c>
    </row>
    <row r="1780" spans="1:14" x14ac:dyDescent="0.55000000000000004">
      <c r="A1780" s="1" t="s">
        <v>2100</v>
      </c>
      <c r="B1780" s="2">
        <f>COUNTIF(A:A,A1780)-1</f>
        <v>2</v>
      </c>
      <c r="C1780" s="2">
        <f>COUNTIF(A$1:A1780,A1780)-1</f>
        <v>2</v>
      </c>
      <c r="D1780" s="2" t="str">
        <f>Argument!D1780</f>
        <v>v</v>
      </c>
      <c r="E1780" s="2" t="str">
        <f t="shared" si="55"/>
        <v/>
      </c>
      <c r="F1780" s="2" t="str">
        <f>IF(C1780=0,ISTEXT(FORMULA.CONVERT("="&amp;A1780&amp;"("&amp;REPLACE(REPT(",#ref!",B1780),1,1,"")&amp;")()",1)),"")</f>
        <v/>
      </c>
      <c r="G1780" s="2">
        <f>TYPE(_xlfn.T.DIST.RT(IF(1,1),{1}))</f>
        <v>64</v>
      </c>
      <c r="H1780" s="2" t="str">
        <f t="shared" si="56"/>
        <v/>
      </c>
      <c r="I1780" s="2">
        <f>TYPE(_xlfn.T.DIST.RT(IF(1,1),IF(1,1)))</f>
        <v>1</v>
      </c>
      <c r="J1780" s="2" t="str">
        <f>IF(C1780=0,COUNTIFS(A:A,A1780,D:D,"a"),"")</f>
        <v/>
      </c>
      <c r="K1780" s="2" t="e">
        <f>INDEX(+_xlfn.T.DIST.RT(#REF!,K1780:L1780),)</f>
        <v>#REF!</v>
      </c>
      <c r="L1780" s="1">
        <v>1</v>
      </c>
      <c r="M1780" s="2" t="e">
        <f>INDEX(+_xlfn.T.DIST.RT(#REF!,INDIRECT(M1780:N1780)),)</f>
        <v>#REF!</v>
      </c>
      <c r="N1780" s="1">
        <v>1</v>
      </c>
    </row>
    <row r="1781" spans="1:14" x14ac:dyDescent="0.55000000000000004">
      <c r="A1781" s="1" t="s">
        <v>2101</v>
      </c>
      <c r="B1781" s="2">
        <f>COUNTIF(A:A,A1781)-1</f>
        <v>2</v>
      </c>
      <c r="C1781" s="2">
        <f>COUNTIF(A$1:A1781,A1781)-1</f>
        <v>0</v>
      </c>
      <c r="D1781" s="2" t="str">
        <f>Argument!D1781</f>
        <v/>
      </c>
      <c r="E1781" s="2" t="str">
        <f t="shared" si="55"/>
        <v>v</v>
      </c>
      <c r="F1781" s="2" t="b">
        <f>IF(C1781=0,ISTEXT(FORMULA.CONVERT("="&amp;A1781&amp;"("&amp;REPLACE(REPT(",#ref!",B1781),1,1,"")&amp;")()",1)),"")</f>
        <v>0</v>
      </c>
      <c r="G1781" s="2"/>
      <c r="H1781" s="2" t="str">
        <f t="shared" si="56"/>
        <v/>
      </c>
      <c r="I1781" s="2">
        <f>TYPE(_xlfn.T.INV(IF(1,1),IF(1,1)))</f>
        <v>16</v>
      </c>
      <c r="J1781" s="2">
        <f>IF(C1781=0,COUNTIFS(A:A,A1781,D:D,"a"),"")</f>
        <v>0</v>
      </c>
      <c r="K1781" s="2"/>
      <c r="M1781" s="2"/>
    </row>
    <row r="1782" spans="1:14" x14ac:dyDescent="0.55000000000000004">
      <c r="A1782" s="1" t="s">
        <v>2101</v>
      </c>
      <c r="B1782" s="2">
        <f>COUNTIF(A:A,A1782)-1</f>
        <v>2</v>
      </c>
      <c r="C1782" s="2">
        <f>COUNTIF(A$1:A1782,A1782)-1</f>
        <v>1</v>
      </c>
      <c r="D1782" s="2" t="str">
        <f>Argument!D1782</f>
        <v>v</v>
      </c>
      <c r="E1782" s="2" t="str">
        <f t="shared" si="55"/>
        <v/>
      </c>
      <c r="F1782" s="2" t="str">
        <f>IF(C1782=0,ISTEXT(FORMULA.CONVERT("="&amp;A1782&amp;"("&amp;REPLACE(REPT(",#ref!",B1782),1,1,"")&amp;")()",1)),"")</f>
        <v/>
      </c>
      <c r="G1782" s="2">
        <f>TYPE(_xlfn.T.INV({1},IF(1,1)))</f>
        <v>64</v>
      </c>
      <c r="H1782" s="2" t="str">
        <f t="shared" si="56"/>
        <v/>
      </c>
      <c r="I1782" s="2">
        <f>TYPE(_xlfn.T.INV(IF(1,1),IF(1,1)))</f>
        <v>16</v>
      </c>
      <c r="J1782" s="2" t="str">
        <f>IF(C1782=0,COUNTIFS(A:A,A1782,D:D,"a"),"")</f>
        <v/>
      </c>
      <c r="K1782" s="2" t="e">
        <f>INDEX(+_xlfn.T.INV(K1782:L1782,#REF!),)</f>
        <v>#REF!</v>
      </c>
      <c r="L1782" s="1">
        <v>1</v>
      </c>
      <c r="M1782" s="2" t="e">
        <f>INDEX(+_xlfn.T.INV(INDIRECT(M1782:N1782),#REF!),)</f>
        <v>#REF!</v>
      </c>
      <c r="N1782" s="1">
        <v>1</v>
      </c>
    </row>
    <row r="1783" spans="1:14" x14ac:dyDescent="0.55000000000000004">
      <c r="A1783" s="1" t="s">
        <v>2101</v>
      </c>
      <c r="B1783" s="2">
        <f>COUNTIF(A:A,A1783)-1</f>
        <v>2</v>
      </c>
      <c r="C1783" s="2">
        <f>COUNTIF(A$1:A1783,A1783)-1</f>
        <v>2</v>
      </c>
      <c r="D1783" s="2" t="str">
        <f>Argument!D1783</f>
        <v>v</v>
      </c>
      <c r="E1783" s="2" t="str">
        <f t="shared" si="55"/>
        <v/>
      </c>
      <c r="F1783" s="2" t="str">
        <f>IF(C1783=0,ISTEXT(FORMULA.CONVERT("="&amp;A1783&amp;"("&amp;REPLACE(REPT(",#ref!",B1783),1,1,"")&amp;")()",1)),"")</f>
        <v/>
      </c>
      <c r="G1783" s="2">
        <f>TYPE(_xlfn.T.INV(IF(1,1),{1}))</f>
        <v>64</v>
      </c>
      <c r="H1783" s="2" t="str">
        <f t="shared" si="56"/>
        <v/>
      </c>
      <c r="I1783" s="2">
        <f>TYPE(_xlfn.T.INV(IF(1,1),IF(1,1)))</f>
        <v>16</v>
      </c>
      <c r="J1783" s="2" t="str">
        <f>IF(C1783=0,COUNTIFS(A:A,A1783,D:D,"a"),"")</f>
        <v/>
      </c>
      <c r="K1783" s="2" t="e">
        <f>INDEX(+_xlfn.T.INV(#REF!,K1783:L1783),)</f>
        <v>#REF!</v>
      </c>
      <c r="L1783" s="1">
        <v>1</v>
      </c>
      <c r="M1783" s="2" t="e">
        <f>INDEX(+_xlfn.T.INV(#REF!,INDIRECT(M1783:N1783)),)</f>
        <v>#REF!</v>
      </c>
      <c r="N1783" s="1">
        <v>1</v>
      </c>
    </row>
    <row r="1784" spans="1:14" x14ac:dyDescent="0.55000000000000004">
      <c r="A1784" s="1" t="s">
        <v>2102</v>
      </c>
      <c r="B1784" s="2">
        <f>COUNTIF(A:A,A1784)-1</f>
        <v>2</v>
      </c>
      <c r="C1784" s="2">
        <f>COUNTIF(A$1:A1784,A1784)-1</f>
        <v>0</v>
      </c>
      <c r="D1784" s="2" t="str">
        <f>Argument!D1784</f>
        <v/>
      </c>
      <c r="E1784" s="2" t="str">
        <f t="shared" si="55"/>
        <v>v</v>
      </c>
      <c r="F1784" s="2" t="b">
        <f>IF(C1784=0,ISTEXT(FORMULA.CONVERT("="&amp;A1784&amp;"("&amp;REPLACE(REPT(",#ref!",B1784),1,1,"")&amp;")()",1)),"")</f>
        <v>0</v>
      </c>
      <c r="G1784" s="2"/>
      <c r="H1784" s="2" t="str">
        <f t="shared" si="56"/>
        <v/>
      </c>
      <c r="I1784" s="2">
        <f>TYPE(_xlfn.T.INV.2T(IF(1,1),IF(1,1)))</f>
        <v>1</v>
      </c>
      <c r="J1784" s="2">
        <f>IF(C1784=0,COUNTIFS(A:A,A1784,D:D,"a"),"")</f>
        <v>0</v>
      </c>
      <c r="K1784" s="2"/>
      <c r="M1784" s="2"/>
    </row>
    <row r="1785" spans="1:14" x14ac:dyDescent="0.55000000000000004">
      <c r="A1785" s="1" t="s">
        <v>2102</v>
      </c>
      <c r="B1785" s="2">
        <f>COUNTIF(A:A,A1785)-1</f>
        <v>2</v>
      </c>
      <c r="C1785" s="2">
        <f>COUNTIF(A$1:A1785,A1785)-1</f>
        <v>1</v>
      </c>
      <c r="D1785" s="2" t="str">
        <f>Argument!D1785</f>
        <v>v</v>
      </c>
      <c r="E1785" s="2" t="str">
        <f t="shared" si="55"/>
        <v/>
      </c>
      <c r="F1785" s="2" t="str">
        <f>IF(C1785=0,ISTEXT(FORMULA.CONVERT("="&amp;A1785&amp;"("&amp;REPLACE(REPT(",#ref!",B1785),1,1,"")&amp;")()",1)),"")</f>
        <v/>
      </c>
      <c r="G1785" s="2">
        <f>TYPE(_xlfn.T.INV.2T({1},IF(1,1)))</f>
        <v>64</v>
      </c>
      <c r="H1785" s="2" t="str">
        <f t="shared" si="56"/>
        <v/>
      </c>
      <c r="I1785" s="2">
        <f>TYPE(_xlfn.T.INV.2T(IF(1,1),IF(1,1)))</f>
        <v>1</v>
      </c>
      <c r="J1785" s="2" t="str">
        <f>IF(C1785=0,COUNTIFS(A:A,A1785,D:D,"a"),"")</f>
        <v/>
      </c>
      <c r="K1785" s="2" t="e">
        <f>INDEX(+_xlfn.T.INV.2T(K1785:L1785,#REF!),)</f>
        <v>#REF!</v>
      </c>
      <c r="L1785" s="1">
        <v>1</v>
      </c>
      <c r="M1785" s="2" t="e">
        <f>INDEX(+_xlfn.T.INV.2T(INDIRECT(M1785:N1785),#REF!),)</f>
        <v>#REF!</v>
      </c>
      <c r="N1785" s="1">
        <v>1</v>
      </c>
    </row>
    <row r="1786" spans="1:14" x14ac:dyDescent="0.55000000000000004">
      <c r="A1786" s="1" t="s">
        <v>2102</v>
      </c>
      <c r="B1786" s="2">
        <f>COUNTIF(A:A,A1786)-1</f>
        <v>2</v>
      </c>
      <c r="C1786" s="2">
        <f>COUNTIF(A$1:A1786,A1786)-1</f>
        <v>2</v>
      </c>
      <c r="D1786" s="2" t="str">
        <f>Argument!D1786</f>
        <v>v</v>
      </c>
      <c r="E1786" s="2" t="str">
        <f t="shared" si="55"/>
        <v/>
      </c>
      <c r="F1786" s="2" t="str">
        <f>IF(C1786=0,ISTEXT(FORMULA.CONVERT("="&amp;A1786&amp;"("&amp;REPLACE(REPT(",#ref!",B1786),1,1,"")&amp;")()",1)),"")</f>
        <v/>
      </c>
      <c r="G1786" s="2">
        <f>TYPE(_xlfn.T.INV.2T(IF(1,1),{1}))</f>
        <v>64</v>
      </c>
      <c r="H1786" s="2" t="str">
        <f t="shared" si="56"/>
        <v/>
      </c>
      <c r="I1786" s="2">
        <f>TYPE(_xlfn.T.INV.2T(IF(1,1),IF(1,1)))</f>
        <v>1</v>
      </c>
      <c r="J1786" s="2" t="str">
        <f>IF(C1786=0,COUNTIFS(A:A,A1786,D:D,"a"),"")</f>
        <v/>
      </c>
      <c r="K1786" s="2" t="e">
        <f>INDEX(+_xlfn.T.INV.2T(#REF!,K1786:L1786),)</f>
        <v>#REF!</v>
      </c>
      <c r="L1786" s="1">
        <v>1</v>
      </c>
      <c r="M1786" s="2" t="e">
        <f>INDEX(+_xlfn.T.INV.2T(#REF!,INDIRECT(M1786:N1786)),)</f>
        <v>#REF!</v>
      </c>
      <c r="N1786" s="1">
        <v>1</v>
      </c>
    </row>
    <row r="1787" spans="1:14" x14ac:dyDescent="0.55000000000000004">
      <c r="A1787" s="1" t="s">
        <v>2103</v>
      </c>
      <c r="B1787" s="2">
        <f>COUNTIF(A:A,A1787)-1</f>
        <v>3</v>
      </c>
      <c r="C1787" s="2">
        <f>COUNTIF(A$1:A1787,A1787)-1</f>
        <v>0</v>
      </c>
      <c r="D1787" s="2" t="str">
        <f>Argument!D1787</f>
        <v/>
      </c>
      <c r="E1787" s="2" t="str">
        <f t="shared" si="55"/>
        <v>v</v>
      </c>
      <c r="F1787" s="2" t="b">
        <f>IF(C1787=0,ISTEXT(FORMULA.CONVERT("="&amp;A1787&amp;"("&amp;REPLACE(REPT(",#ref!",B1787),1,1,"")&amp;")()",1)),"")</f>
        <v>0</v>
      </c>
      <c r="G1787" s="2"/>
      <c r="H1787" s="2" t="str">
        <f t="shared" si="56"/>
        <v/>
      </c>
      <c r="I1787" s="2">
        <f>TYPE(_xlfn.VAR.S(IF(1,1),IF(1,1),IF(1,1)))</f>
        <v>1</v>
      </c>
      <c r="J1787" s="2">
        <f>IF(C1787=0,COUNTIFS(A:A,A1787,D:D,"a"),"")</f>
        <v>0</v>
      </c>
      <c r="K1787" s="2"/>
      <c r="M1787" s="2"/>
    </row>
    <row r="1788" spans="1:14" x14ac:dyDescent="0.55000000000000004">
      <c r="A1788" s="1" t="s">
        <v>2103</v>
      </c>
      <c r="B1788" s="2">
        <f>COUNTIF(A:A,A1788)-1</f>
        <v>3</v>
      </c>
      <c r="C1788" s="2">
        <f>COUNTIF(A$1:A1788,A1788)-1</f>
        <v>1</v>
      </c>
      <c r="D1788" s="2" t="str">
        <f>Argument!D1788</f>
        <v>var</v>
      </c>
      <c r="E1788" s="2" t="str">
        <f t="shared" si="55"/>
        <v/>
      </c>
      <c r="F1788" s="2" t="str">
        <f>IF(C1788=0,ISTEXT(FORMULA.CONVERT("="&amp;A1788&amp;"("&amp;REPLACE(REPT(",#ref!",B1788),1,1,"")&amp;")()",1)),"")</f>
        <v/>
      </c>
      <c r="G1788" s="2">
        <f>TYPE(_xlfn.VAR.S({1},IF(1,1),IF(1,1)))</f>
        <v>1</v>
      </c>
      <c r="H1788" s="2" t="str">
        <f t="shared" si="56"/>
        <v/>
      </c>
      <c r="I1788" s="2">
        <f>TYPE(_xlfn.VAR.S(IF(1,1),IF(1,1),IF(1,1)))</f>
        <v>1</v>
      </c>
      <c r="J1788" s="2" t="str">
        <f>IF(C1788=0,COUNTIFS(A:A,A1788,D:D,"a"),"")</f>
        <v/>
      </c>
      <c r="K1788" s="2" t="e">
        <f>INDEX(+_xlfn.VAR.S(K1788:L1788,#REF!,#REF!),)</f>
        <v>#REF!</v>
      </c>
      <c r="L1788" s="1">
        <v>1</v>
      </c>
      <c r="M1788" s="2" t="e">
        <f>INDEX(+_xlfn.VAR.S(INDIRECT(M1788:N1788),#REF!,#REF!),)</f>
        <v>#REF!</v>
      </c>
      <c r="N1788" s="1">
        <v>1</v>
      </c>
    </row>
    <row r="1789" spans="1:14" x14ac:dyDescent="0.55000000000000004">
      <c r="A1789" s="1" t="s">
        <v>2103</v>
      </c>
      <c r="B1789" s="2">
        <f>COUNTIF(A:A,A1789)-1</f>
        <v>3</v>
      </c>
      <c r="C1789" s="2">
        <f>COUNTIF(A$1:A1789,A1789)-1</f>
        <v>2</v>
      </c>
      <c r="D1789" s="2" t="str">
        <f>Argument!D1789</f>
        <v>var</v>
      </c>
      <c r="E1789" s="2" t="str">
        <f t="shared" si="55"/>
        <v/>
      </c>
      <c r="F1789" s="2" t="str">
        <f>IF(C1789=0,ISTEXT(FORMULA.CONVERT("="&amp;A1789&amp;"("&amp;REPLACE(REPT(",#ref!",B1789),1,1,"")&amp;")()",1)),"")</f>
        <v/>
      </c>
      <c r="G1789" s="2">
        <f>TYPE(_xlfn.VAR.S(IF(1,1),{1},IF(1,1)))</f>
        <v>1</v>
      </c>
      <c r="H1789" s="2" t="str">
        <f t="shared" si="56"/>
        <v/>
      </c>
      <c r="I1789" s="2">
        <f>TYPE(_xlfn.VAR.S(IF(1,1),IF(1,1),IF(1,1)))</f>
        <v>1</v>
      </c>
      <c r="J1789" s="2" t="str">
        <f>IF(C1789=0,COUNTIFS(A:A,A1789,D:D,"a"),"")</f>
        <v/>
      </c>
      <c r="K1789" s="2" t="e">
        <f>INDEX(+_xlfn.VAR.S(#REF!,K1789:L1789,#REF!),)</f>
        <v>#REF!</v>
      </c>
      <c r="L1789" s="1">
        <v>1</v>
      </c>
      <c r="M1789" s="2" t="e">
        <f>INDEX(+_xlfn.VAR.S(#REF!,INDIRECT(M1789:N1789),#REF!),)</f>
        <v>#REF!</v>
      </c>
      <c r="N1789" s="1">
        <v>1</v>
      </c>
    </row>
    <row r="1790" spans="1:14" x14ac:dyDescent="0.55000000000000004">
      <c r="A1790" s="1" t="s">
        <v>2103</v>
      </c>
      <c r="B1790" s="2">
        <f>COUNTIF(A:A,A1790)-1</f>
        <v>3</v>
      </c>
      <c r="C1790" s="2">
        <f>COUNTIF(A$1:A1790,A1790)-1</f>
        <v>3</v>
      </c>
      <c r="D1790" s="2" t="str">
        <f>Argument!D1790</f>
        <v>var</v>
      </c>
      <c r="E1790" s="2" t="str">
        <f t="shared" si="55"/>
        <v/>
      </c>
      <c r="F1790" s="2" t="str">
        <f>IF(C1790=0,ISTEXT(FORMULA.CONVERT("="&amp;A1790&amp;"("&amp;REPLACE(REPT(",#ref!",B1790),1,1,"")&amp;")()",1)),"")</f>
        <v/>
      </c>
      <c r="G1790" s="2">
        <f>TYPE(_xlfn.VAR.S(IF(1,1),IF(1,1),{1}))</f>
        <v>1</v>
      </c>
      <c r="H1790" s="2" t="str">
        <f t="shared" si="56"/>
        <v/>
      </c>
      <c r="I1790" s="2">
        <f>TYPE(_xlfn.VAR.S(IF(1,1),IF(1,1),IF(1,1)))</f>
        <v>1</v>
      </c>
      <c r="J1790" s="2" t="str">
        <f>IF(C1790=0,COUNTIFS(A:A,A1790,D:D,"a"),"")</f>
        <v/>
      </c>
      <c r="K1790" s="2" t="e">
        <f>INDEX(+_xlfn.VAR.S(#REF!,#REF!,K1790:L1790),)</f>
        <v>#REF!</v>
      </c>
      <c r="L1790" s="1">
        <v>1</v>
      </c>
      <c r="M1790" s="2" t="e">
        <f>INDEX(+_xlfn.VAR.S(#REF!,#REF!,INDIRECT(M1790:N1790)),)</f>
        <v>#REF!</v>
      </c>
      <c r="N1790" s="1">
        <v>1</v>
      </c>
    </row>
    <row r="1791" spans="1:14" x14ac:dyDescent="0.55000000000000004">
      <c r="A1791" s="1" t="s">
        <v>2104</v>
      </c>
      <c r="B1791" s="2">
        <f>COUNTIF(A:A,A1791)-1</f>
        <v>3</v>
      </c>
      <c r="C1791" s="2">
        <f>COUNTIF(A$1:A1791,A1791)-1</f>
        <v>0</v>
      </c>
      <c r="D1791" s="2" t="str">
        <f>Argument!D1791</f>
        <v/>
      </c>
      <c r="E1791" s="2" t="str">
        <f t="shared" si="55"/>
        <v>v</v>
      </c>
      <c r="F1791" s="2" t="b">
        <f>IF(C1791=0,ISTEXT(FORMULA.CONVERT("="&amp;A1791&amp;"("&amp;REPLACE(REPT(",#ref!",B1791),1,1,"")&amp;")()",1)),"")</f>
        <v>0</v>
      </c>
      <c r="G1791" s="2"/>
      <c r="H1791" s="2" t="str">
        <f t="shared" si="56"/>
        <v/>
      </c>
      <c r="I1791" s="2">
        <f>TYPE(_xlfn.VAR.P(IF(1,1),IF(1,1),IF(1,1)))</f>
        <v>1</v>
      </c>
      <c r="J1791" s="2">
        <f>IF(C1791=0,COUNTIFS(A:A,A1791,D:D,"a"),"")</f>
        <v>0</v>
      </c>
      <c r="K1791" s="2"/>
      <c r="M1791" s="2"/>
    </row>
    <row r="1792" spans="1:14" x14ac:dyDescent="0.55000000000000004">
      <c r="A1792" s="1" t="s">
        <v>2104</v>
      </c>
      <c r="B1792" s="2">
        <f>COUNTIF(A:A,A1792)-1</f>
        <v>3</v>
      </c>
      <c r="C1792" s="2">
        <f>COUNTIF(A$1:A1792,A1792)-1</f>
        <v>1</v>
      </c>
      <c r="D1792" s="2" t="str">
        <f>Argument!D1792</f>
        <v>var</v>
      </c>
      <c r="E1792" s="2" t="str">
        <f t="shared" si="55"/>
        <v/>
      </c>
      <c r="F1792" s="2" t="str">
        <f>IF(C1792=0,ISTEXT(FORMULA.CONVERT("="&amp;A1792&amp;"("&amp;REPLACE(REPT(",#ref!",B1792),1,1,"")&amp;")()",1)),"")</f>
        <v/>
      </c>
      <c r="G1792" s="2">
        <f>TYPE(_xlfn.VAR.P({1},IF(1,1),IF(1,1)))</f>
        <v>1</v>
      </c>
      <c r="H1792" s="2" t="str">
        <f t="shared" si="56"/>
        <v/>
      </c>
      <c r="I1792" s="2">
        <f>TYPE(_xlfn.VAR.P(IF(1,1),IF(1,1),IF(1,1)))</f>
        <v>1</v>
      </c>
      <c r="J1792" s="2" t="str">
        <f>IF(C1792=0,COUNTIFS(A:A,A1792,D:D,"a"),"")</f>
        <v/>
      </c>
      <c r="K1792" s="2" t="e">
        <f>INDEX(+_xlfn.VAR.P(K1792:L1792,#REF!,#REF!),)</f>
        <v>#REF!</v>
      </c>
      <c r="L1792" s="1">
        <v>1</v>
      </c>
      <c r="M1792" s="2" t="e">
        <f>INDEX(+_xlfn.VAR.P(INDIRECT(M1792:N1792),#REF!,#REF!),)</f>
        <v>#REF!</v>
      </c>
      <c r="N1792" s="1">
        <v>1</v>
      </c>
    </row>
    <row r="1793" spans="1:14" x14ac:dyDescent="0.55000000000000004">
      <c r="A1793" s="1" t="s">
        <v>2104</v>
      </c>
      <c r="B1793" s="2">
        <f>COUNTIF(A:A,A1793)-1</f>
        <v>3</v>
      </c>
      <c r="C1793" s="2">
        <f>COUNTIF(A$1:A1793,A1793)-1</f>
        <v>2</v>
      </c>
      <c r="D1793" s="2" t="str">
        <f>Argument!D1793</f>
        <v>var</v>
      </c>
      <c r="E1793" s="2" t="str">
        <f t="shared" si="55"/>
        <v/>
      </c>
      <c r="F1793" s="2" t="str">
        <f>IF(C1793=0,ISTEXT(FORMULA.CONVERT("="&amp;A1793&amp;"("&amp;REPLACE(REPT(",#ref!",B1793),1,1,"")&amp;")()",1)),"")</f>
        <v/>
      </c>
      <c r="G1793" s="2">
        <f>TYPE(_xlfn.VAR.P(IF(1,1),{1},IF(1,1)))</f>
        <v>1</v>
      </c>
      <c r="H1793" s="2" t="str">
        <f t="shared" si="56"/>
        <v/>
      </c>
      <c r="I1793" s="2">
        <f>TYPE(_xlfn.VAR.P(IF(1,1),IF(1,1),IF(1,1)))</f>
        <v>1</v>
      </c>
      <c r="J1793" s="2" t="str">
        <f>IF(C1793=0,COUNTIFS(A:A,A1793,D:D,"a"),"")</f>
        <v/>
      </c>
      <c r="K1793" s="2" t="e">
        <f>INDEX(+_xlfn.VAR.P(#REF!,K1793:L1793,#REF!),)</f>
        <v>#REF!</v>
      </c>
      <c r="L1793" s="1">
        <v>1</v>
      </c>
      <c r="M1793" s="2" t="e">
        <f>INDEX(+_xlfn.VAR.P(#REF!,INDIRECT(M1793:N1793),#REF!),)</f>
        <v>#REF!</v>
      </c>
      <c r="N1793" s="1">
        <v>1</v>
      </c>
    </row>
    <row r="1794" spans="1:14" x14ac:dyDescent="0.55000000000000004">
      <c r="A1794" s="1" t="s">
        <v>2104</v>
      </c>
      <c r="B1794" s="2">
        <f>COUNTIF(A:A,A1794)-1</f>
        <v>3</v>
      </c>
      <c r="C1794" s="2">
        <f>COUNTIF(A$1:A1794,A1794)-1</f>
        <v>3</v>
      </c>
      <c r="D1794" s="2" t="str">
        <f>Argument!D1794</f>
        <v>var</v>
      </c>
      <c r="E1794" s="2" t="str">
        <f t="shared" ref="E1794:E1857" si="57">IF(C1794=0,IF(SUMIFS(H:H,A:A,A1794),IF(COUNTIFS(A:A,A1794,G:G,64),,"v")&amp;IF(F1794,"ar","a"),IF(F1794,"r","v")),"")</f>
        <v/>
      </c>
      <c r="F1794" s="2" t="str">
        <f>IF(C1794=0,ISTEXT(FORMULA.CONVERT("="&amp;A1794&amp;"("&amp;REPLACE(REPT(",#ref!",B1794),1,1,"")&amp;")()",1)),"")</f>
        <v/>
      </c>
      <c r="G1794" s="2">
        <f>TYPE(_xlfn.VAR.P(IF(1,1),IF(1,1),{1}))</f>
        <v>1</v>
      </c>
      <c r="H1794" s="2" t="str">
        <f t="shared" ref="H1794:H1857" si="58">IF((I1794=64)*(J1794=B1794)+(1-L1794)*COUNTIF(D1794,"*v*")+(1-N1794)*COUNTIF(D1794,"*r*"),1,"")</f>
        <v/>
      </c>
      <c r="I1794" s="2">
        <f>TYPE(_xlfn.VAR.P(IF(1,1),IF(1,1),IF(1,1)))</f>
        <v>1</v>
      </c>
      <c r="J1794" s="2" t="str">
        <f>IF(C1794=0,COUNTIFS(A:A,A1794,D:D,"a"),"")</f>
        <v/>
      </c>
      <c r="K1794" s="2" t="e">
        <f>INDEX(+_xlfn.VAR.P(#REF!,#REF!,K1794:L1794),)</f>
        <v>#REF!</v>
      </c>
      <c r="L1794" s="1">
        <v>1</v>
      </c>
      <c r="M1794" s="2" t="e">
        <f>INDEX(+_xlfn.VAR.P(#REF!,#REF!,INDIRECT(M1794:N1794)),)</f>
        <v>#REF!</v>
      </c>
      <c r="N1794" s="1">
        <v>1</v>
      </c>
    </row>
    <row r="1795" spans="1:14" x14ac:dyDescent="0.55000000000000004">
      <c r="A1795" s="1" t="s">
        <v>2105</v>
      </c>
      <c r="B1795" s="2">
        <f>COUNTIF(A:A,A1795)-1</f>
        <v>4</v>
      </c>
      <c r="C1795" s="2">
        <f>COUNTIF(A$1:A1795,A1795)-1</f>
        <v>0</v>
      </c>
      <c r="D1795" s="2" t="str">
        <f>Argument!D1795</f>
        <v/>
      </c>
      <c r="E1795" s="2" t="str">
        <f t="shared" si="57"/>
        <v>v</v>
      </c>
      <c r="F1795" s="2" t="b">
        <f>IF(C1795=0,ISTEXT(FORMULA.CONVERT("="&amp;A1795&amp;"("&amp;REPLACE(REPT(",#ref!",B1795),1,1,"")&amp;")()",1)),"")</f>
        <v>0</v>
      </c>
      <c r="G1795" s="2"/>
      <c r="H1795" s="2" t="str">
        <f t="shared" si="58"/>
        <v/>
      </c>
      <c r="I1795" s="2">
        <f>TYPE(_xlfn.WEIBULL.DIST(IF(1,1),IF(1,1),IF(1,1),IF(1,1)))</f>
        <v>1</v>
      </c>
      <c r="J1795" s="2">
        <f>IF(C1795=0,COUNTIFS(A:A,A1795,D:D,"a"),"")</f>
        <v>0</v>
      </c>
      <c r="K1795" s="2"/>
      <c r="M1795" s="2"/>
    </row>
    <row r="1796" spans="1:14" x14ac:dyDescent="0.55000000000000004">
      <c r="A1796" s="1" t="s">
        <v>2105</v>
      </c>
      <c r="B1796" s="2">
        <f>COUNTIF(A:A,A1796)-1</f>
        <v>4</v>
      </c>
      <c r="C1796" s="2">
        <f>COUNTIF(A$1:A1796,A1796)-1</f>
        <v>1</v>
      </c>
      <c r="D1796" s="2" t="str">
        <f>Argument!D1796</f>
        <v>v</v>
      </c>
      <c r="E1796" s="2" t="str">
        <f t="shared" si="57"/>
        <v/>
      </c>
      <c r="F1796" s="2" t="str">
        <f>IF(C1796=0,ISTEXT(FORMULA.CONVERT("="&amp;A1796&amp;"("&amp;REPLACE(REPT(",#ref!",B1796),1,1,"")&amp;")()",1)),"")</f>
        <v/>
      </c>
      <c r="G1796" s="2">
        <f>TYPE(_xlfn.WEIBULL.DIST({1},IF(1,1),IF(1,1),IF(1,1)))</f>
        <v>64</v>
      </c>
      <c r="H1796" s="2" t="str">
        <f t="shared" si="58"/>
        <v/>
      </c>
      <c r="I1796" s="2">
        <f>TYPE(_xlfn.WEIBULL.DIST(IF(1,1),IF(1,1),IF(1,1),IF(1,1)))</f>
        <v>1</v>
      </c>
      <c r="J1796" s="2" t="str">
        <f>IF(C1796=0,COUNTIFS(A:A,A1796,D:D,"a"),"")</f>
        <v/>
      </c>
      <c r="K1796" s="2" t="e">
        <f>INDEX(+_xlfn.WEIBULL.DIST(K1796:L1796,#REF!,#REF!,#REF!),)</f>
        <v>#REF!</v>
      </c>
      <c r="L1796" s="1">
        <v>1</v>
      </c>
      <c r="M1796" s="2" t="e">
        <f>INDEX(+_xlfn.WEIBULL.DIST(INDIRECT(M1796:N1796),#REF!,#REF!,#REF!),)</f>
        <v>#REF!</v>
      </c>
      <c r="N1796" s="1">
        <v>1</v>
      </c>
    </row>
    <row r="1797" spans="1:14" x14ac:dyDescent="0.55000000000000004">
      <c r="A1797" s="1" t="s">
        <v>2105</v>
      </c>
      <c r="B1797" s="2">
        <f>COUNTIF(A:A,A1797)-1</f>
        <v>4</v>
      </c>
      <c r="C1797" s="2">
        <f>COUNTIF(A$1:A1797,A1797)-1</f>
        <v>2</v>
      </c>
      <c r="D1797" s="2" t="str">
        <f>Argument!D1797</f>
        <v>v</v>
      </c>
      <c r="E1797" s="2" t="str">
        <f t="shared" si="57"/>
        <v/>
      </c>
      <c r="F1797" s="2" t="str">
        <f>IF(C1797=0,ISTEXT(FORMULA.CONVERT("="&amp;A1797&amp;"("&amp;REPLACE(REPT(",#ref!",B1797),1,1,"")&amp;")()",1)),"")</f>
        <v/>
      </c>
      <c r="G1797" s="2">
        <f>TYPE(_xlfn.WEIBULL.DIST(IF(1,1),{1},IF(1,1),IF(1,1)))</f>
        <v>64</v>
      </c>
      <c r="H1797" s="2" t="str">
        <f t="shared" si="58"/>
        <v/>
      </c>
      <c r="I1797" s="2">
        <f>TYPE(_xlfn.WEIBULL.DIST(IF(1,1),IF(1,1),IF(1,1),IF(1,1)))</f>
        <v>1</v>
      </c>
      <c r="J1797" s="2" t="str">
        <f>IF(C1797=0,COUNTIFS(A:A,A1797,D:D,"a"),"")</f>
        <v/>
      </c>
      <c r="K1797" s="2" t="e">
        <f>INDEX(+_xlfn.WEIBULL.DIST(#REF!,K1797:L1797,#REF!,#REF!),)</f>
        <v>#REF!</v>
      </c>
      <c r="L1797" s="1">
        <v>1</v>
      </c>
      <c r="M1797" s="2" t="e">
        <f>INDEX(+_xlfn.WEIBULL.DIST(#REF!,INDIRECT(M1797:N1797),#REF!,#REF!),)</f>
        <v>#REF!</v>
      </c>
      <c r="N1797" s="1">
        <v>1</v>
      </c>
    </row>
    <row r="1798" spans="1:14" x14ac:dyDescent="0.55000000000000004">
      <c r="A1798" s="1" t="s">
        <v>2105</v>
      </c>
      <c r="B1798" s="2">
        <f>COUNTIF(A:A,A1798)-1</f>
        <v>4</v>
      </c>
      <c r="C1798" s="2">
        <f>COUNTIF(A$1:A1798,A1798)-1</f>
        <v>3</v>
      </c>
      <c r="D1798" s="2" t="str">
        <f>Argument!D1798</f>
        <v>v</v>
      </c>
      <c r="E1798" s="2" t="str">
        <f t="shared" si="57"/>
        <v/>
      </c>
      <c r="F1798" s="2" t="str">
        <f>IF(C1798=0,ISTEXT(FORMULA.CONVERT("="&amp;A1798&amp;"("&amp;REPLACE(REPT(",#ref!",B1798),1,1,"")&amp;")()",1)),"")</f>
        <v/>
      </c>
      <c r="G1798" s="2">
        <f>TYPE(_xlfn.WEIBULL.DIST(IF(1,1),IF(1,1),{1},IF(1,1)))</f>
        <v>64</v>
      </c>
      <c r="H1798" s="2" t="str">
        <f t="shared" si="58"/>
        <v/>
      </c>
      <c r="I1798" s="2">
        <f>TYPE(_xlfn.WEIBULL.DIST(IF(1,1),IF(1,1),IF(1,1),IF(1,1)))</f>
        <v>1</v>
      </c>
      <c r="J1798" s="2" t="str">
        <f>IF(C1798=0,COUNTIFS(A:A,A1798,D:D,"a"),"")</f>
        <v/>
      </c>
      <c r="K1798" s="2" t="e">
        <f>INDEX(+_xlfn.WEIBULL.DIST(#REF!,#REF!,K1798:L1798,#REF!),)</f>
        <v>#REF!</v>
      </c>
      <c r="L1798" s="1">
        <v>1</v>
      </c>
      <c r="M1798" s="2" t="e">
        <f>INDEX(+_xlfn.WEIBULL.DIST(#REF!,#REF!,INDIRECT(M1798:N1798),#REF!),)</f>
        <v>#REF!</v>
      </c>
      <c r="N1798" s="1">
        <v>1</v>
      </c>
    </row>
    <row r="1799" spans="1:14" x14ac:dyDescent="0.55000000000000004">
      <c r="A1799" s="1" t="s">
        <v>2105</v>
      </c>
      <c r="B1799" s="2">
        <f>COUNTIF(A:A,A1799)-1</f>
        <v>4</v>
      </c>
      <c r="C1799" s="2">
        <f>COUNTIF(A$1:A1799,A1799)-1</f>
        <v>4</v>
      </c>
      <c r="D1799" s="2" t="str">
        <f>Argument!D1799</f>
        <v>v</v>
      </c>
      <c r="E1799" s="2" t="str">
        <f t="shared" si="57"/>
        <v/>
      </c>
      <c r="F1799" s="2" t="str">
        <f>IF(C1799=0,ISTEXT(FORMULA.CONVERT("="&amp;A1799&amp;"("&amp;REPLACE(REPT(",#ref!",B1799),1,1,"")&amp;")()",1)),"")</f>
        <v/>
      </c>
      <c r="G1799" s="2">
        <f>TYPE(_xlfn.WEIBULL.DIST(IF(1,1),IF(1,1),IF(1,1),{1}))</f>
        <v>64</v>
      </c>
      <c r="H1799" s="2" t="str">
        <f t="shared" si="58"/>
        <v/>
      </c>
      <c r="I1799" s="2">
        <f>TYPE(_xlfn.WEIBULL.DIST(IF(1,1),IF(1,1),IF(1,1),IF(1,1)))</f>
        <v>1</v>
      </c>
      <c r="J1799" s="2" t="str">
        <f>IF(C1799=0,COUNTIFS(A:A,A1799,D:D,"a"),"")</f>
        <v/>
      </c>
      <c r="K1799" s="2" t="e">
        <f>INDEX(+_xlfn.WEIBULL.DIST(#REF!,#REF!,#REF!,K1799:L1799),)</f>
        <v>#REF!</v>
      </c>
      <c r="L1799" s="1">
        <v>1</v>
      </c>
      <c r="M1799" s="2" t="e">
        <f>INDEX(+_xlfn.WEIBULL.DIST(#REF!,#REF!,#REF!,INDIRECT(M1799:N1799)),)</f>
        <v>#REF!</v>
      </c>
      <c r="N1799" s="1">
        <v>1</v>
      </c>
    </row>
    <row r="1800" spans="1:14" x14ac:dyDescent="0.55000000000000004">
      <c r="A1800" s="1" t="s">
        <v>2106</v>
      </c>
      <c r="B1800" s="2">
        <f>COUNTIF(A:A,A1800)-1</f>
        <v>4</v>
      </c>
      <c r="C1800" s="2">
        <f>COUNTIF(A$1:A1800,A1800)-1</f>
        <v>0</v>
      </c>
      <c r="D1800" s="2" t="str">
        <f>Argument!D1800</f>
        <v/>
      </c>
      <c r="E1800" s="2" t="str">
        <f t="shared" si="57"/>
        <v>v</v>
      </c>
      <c r="F1800" s="2" t="b">
        <f>IF(C1800=0,ISTEXT(FORMULA.CONVERT("="&amp;A1800&amp;"("&amp;REPLACE(REPT(",#ref!",B1800),1,1,"")&amp;")()",1)),"")</f>
        <v>0</v>
      </c>
      <c r="G1800" s="2"/>
      <c r="H1800" s="2" t="str">
        <f t="shared" si="58"/>
        <v/>
      </c>
      <c r="I1800" s="2">
        <f>TYPE(NETWORKDAYS.INTL(IF(1,1),IF(1,1),IF(1,1),IF(1,1)))</f>
        <v>1</v>
      </c>
      <c r="J1800" s="2">
        <f>IF(C1800=0,COUNTIFS(A:A,A1800,D:D,"a"),"")</f>
        <v>0</v>
      </c>
      <c r="K1800" s="2"/>
      <c r="M1800" s="2"/>
    </row>
    <row r="1801" spans="1:14" x14ac:dyDescent="0.55000000000000004">
      <c r="A1801" s="1" t="s">
        <v>2106</v>
      </c>
      <c r="B1801" s="2">
        <f>COUNTIF(A:A,A1801)-1</f>
        <v>4</v>
      </c>
      <c r="C1801" s="2">
        <f>COUNTIF(A$1:A1801,A1801)-1</f>
        <v>1</v>
      </c>
      <c r="D1801" s="2" t="str">
        <f>Argument!D1801</f>
        <v>vr</v>
      </c>
      <c r="E1801" s="2" t="str">
        <f t="shared" si="57"/>
        <v/>
      </c>
      <c r="F1801" s="2" t="str">
        <f>IF(C1801=0,ISTEXT(FORMULA.CONVERT("="&amp;A1801&amp;"("&amp;REPLACE(REPT(",#ref!",B1801),1,1,"")&amp;")()",1)),"")</f>
        <v/>
      </c>
      <c r="G1801" s="2">
        <f>TYPE(NETWORKDAYS.INTL({1},IF(1,1),IF(1,1),IF(1,1)))</f>
        <v>64</v>
      </c>
      <c r="H1801" s="2" t="str">
        <f t="shared" si="58"/>
        <v/>
      </c>
      <c r="I1801" s="2">
        <f>TYPE(NETWORKDAYS.INTL(IF(1,1),IF(1,1),IF(1,1),IF(1,1)))</f>
        <v>1</v>
      </c>
      <c r="J1801" s="2" t="str">
        <f>IF(C1801=0,COUNTIFS(A:A,A1801,D:D,"a"),"")</f>
        <v/>
      </c>
      <c r="K1801" s="2" t="e">
        <f>INDEX(+NETWORKDAYS.INTL(K1801:L1801,#REF!,#REF!,#REF!),)</f>
        <v>#VALUE!</v>
      </c>
      <c r="L1801" s="1">
        <v>1</v>
      </c>
      <c r="M1801" s="2" t="e">
        <f>INDEX(+NETWORKDAYS.INTL(INDIRECT(M1801:N1801),#REF!,#REF!,#REF!),)</f>
        <v>#VALUE!</v>
      </c>
      <c r="N1801" s="1">
        <v>1</v>
      </c>
    </row>
    <row r="1802" spans="1:14" x14ac:dyDescent="0.55000000000000004">
      <c r="A1802" s="1" t="s">
        <v>2106</v>
      </c>
      <c r="B1802" s="2">
        <f>COUNTIF(A:A,A1802)-1</f>
        <v>4</v>
      </c>
      <c r="C1802" s="2">
        <f>COUNTIF(A$1:A1802,A1802)-1</f>
        <v>2</v>
      </c>
      <c r="D1802" s="2" t="str">
        <f>Argument!D1802</f>
        <v>vr</v>
      </c>
      <c r="E1802" s="2" t="str">
        <f t="shared" si="57"/>
        <v/>
      </c>
      <c r="F1802" s="2" t="str">
        <f>IF(C1802=0,ISTEXT(FORMULA.CONVERT("="&amp;A1802&amp;"("&amp;REPLACE(REPT(",#ref!",B1802),1,1,"")&amp;")()",1)),"")</f>
        <v/>
      </c>
      <c r="G1802" s="2">
        <f>TYPE(NETWORKDAYS.INTL(IF(1,1),{1},IF(1,1),IF(1,1)))</f>
        <v>64</v>
      </c>
      <c r="H1802" s="2" t="str">
        <f t="shared" si="58"/>
        <v/>
      </c>
      <c r="I1802" s="2">
        <f>TYPE(NETWORKDAYS.INTL(IF(1,1),IF(1,1),IF(1,1),IF(1,1)))</f>
        <v>1</v>
      </c>
      <c r="J1802" s="2" t="str">
        <f>IF(C1802=0,COUNTIFS(A:A,A1802,D:D,"a"),"")</f>
        <v/>
      </c>
      <c r="K1802" s="2" t="e">
        <f>INDEX(+NETWORKDAYS.INTL(#REF!,K1802:L1802,#REF!,#REF!),)</f>
        <v>#VALUE!</v>
      </c>
      <c r="L1802" s="1">
        <v>1</v>
      </c>
      <c r="M1802" s="2" t="e">
        <f>INDEX(+NETWORKDAYS.INTL(#REF!,INDIRECT(M1802:N1802),#REF!,#REF!),)</f>
        <v>#VALUE!</v>
      </c>
      <c r="N1802" s="1">
        <v>1</v>
      </c>
    </row>
    <row r="1803" spans="1:14" x14ac:dyDescent="0.55000000000000004">
      <c r="A1803" s="1" t="s">
        <v>2106</v>
      </c>
      <c r="B1803" s="2">
        <f>COUNTIF(A:A,A1803)-1</f>
        <v>4</v>
      </c>
      <c r="C1803" s="2">
        <f>COUNTIF(A$1:A1803,A1803)-1</f>
        <v>3</v>
      </c>
      <c r="D1803" s="2" t="str">
        <f>Argument!D1803</f>
        <v>v</v>
      </c>
      <c r="E1803" s="2" t="str">
        <f t="shared" si="57"/>
        <v/>
      </c>
      <c r="F1803" s="2" t="str">
        <f>IF(C1803=0,ISTEXT(FORMULA.CONVERT("="&amp;A1803&amp;"("&amp;REPLACE(REPT(",#ref!",B1803),1,1,"")&amp;")()",1)),"")</f>
        <v/>
      </c>
      <c r="G1803" s="2">
        <f>TYPE(NETWORKDAYS.INTL(IF(1,1),IF(1,1),{1},IF(1,1)))</f>
        <v>64</v>
      </c>
      <c r="H1803" s="2" t="str">
        <f t="shared" si="58"/>
        <v/>
      </c>
      <c r="I1803" s="2">
        <f>TYPE(NETWORKDAYS.INTL(IF(1,1),IF(1,1),IF(1,1),IF(1,1)))</f>
        <v>1</v>
      </c>
      <c r="J1803" s="2" t="str">
        <f>IF(C1803=0,COUNTIFS(A:A,A1803,D:D,"a"),"")</f>
        <v/>
      </c>
      <c r="K1803" s="2" t="e">
        <f>INDEX(+NETWORKDAYS.INTL(#REF!,#REF!,K1803:L1803,#REF!),)</f>
        <v>#NUM!</v>
      </c>
      <c r="L1803" s="1">
        <v>1</v>
      </c>
      <c r="M1803" s="2" t="e">
        <f>INDEX(+NETWORKDAYS.INTL(#REF!,#REF!,INDIRECT(M1803:N1803),#REF!),)</f>
        <v>#VALUE!</v>
      </c>
      <c r="N1803" s="1">
        <v>1</v>
      </c>
    </row>
    <row r="1804" spans="1:14" x14ac:dyDescent="0.55000000000000004">
      <c r="A1804" s="1" t="s">
        <v>2106</v>
      </c>
      <c r="B1804" s="2">
        <f>COUNTIF(A:A,A1804)-1</f>
        <v>4</v>
      </c>
      <c r="C1804" s="2">
        <f>COUNTIF(A$1:A1804,A1804)-1</f>
        <v>4</v>
      </c>
      <c r="D1804" s="2" t="str">
        <f>Argument!D1804</f>
        <v>var</v>
      </c>
      <c r="E1804" s="2" t="str">
        <f t="shared" si="57"/>
        <v/>
      </c>
      <c r="F1804" s="2" t="str">
        <f>IF(C1804=0,ISTEXT(FORMULA.CONVERT("="&amp;A1804&amp;"("&amp;REPLACE(REPT(",#ref!",B1804),1,1,"")&amp;")()",1)),"")</f>
        <v/>
      </c>
      <c r="G1804" s="2">
        <f>TYPE(NETWORKDAYS.INTL(IF(1,1),IF(1,1),IF(1,1),{1}))</f>
        <v>1</v>
      </c>
      <c r="H1804" s="2" t="str">
        <f t="shared" si="58"/>
        <v/>
      </c>
      <c r="I1804" s="2">
        <f>TYPE(NETWORKDAYS.INTL(IF(1,1),IF(1,1),IF(1,1),IF(1,1)))</f>
        <v>1</v>
      </c>
      <c r="J1804" s="2" t="str">
        <f>IF(C1804=0,COUNTIFS(A:A,A1804,D:D,"a"),"")</f>
        <v/>
      </c>
      <c r="K1804" s="2" t="e">
        <f>INDEX(+NETWORKDAYS.INTL(#REF!,#REF!,#REF!,K1804:L1804),)</f>
        <v>#VALUE!</v>
      </c>
      <c r="L1804" s="1">
        <v>1</v>
      </c>
      <c r="M1804" s="2" t="e">
        <f>INDEX(+NETWORKDAYS.INTL(#REF!,#REF!,#REF!,INDIRECT(M1804:N1804)),)</f>
        <v>#VALUE!</v>
      </c>
      <c r="N1804" s="1">
        <v>1</v>
      </c>
    </row>
    <row r="1805" spans="1:14" x14ac:dyDescent="0.55000000000000004">
      <c r="A1805" s="1" t="s">
        <v>2107</v>
      </c>
      <c r="B1805" s="2">
        <f>COUNTIF(A:A,A1805)-1</f>
        <v>4</v>
      </c>
      <c r="C1805" s="2">
        <f>COUNTIF(A$1:A1805,A1805)-1</f>
        <v>0</v>
      </c>
      <c r="D1805" s="2" t="str">
        <f>Argument!D1805</f>
        <v/>
      </c>
      <c r="E1805" s="2" t="str">
        <f t="shared" si="57"/>
        <v>v</v>
      </c>
      <c r="F1805" s="2" t="b">
        <f>IF(C1805=0,ISTEXT(FORMULA.CONVERT("="&amp;A1805&amp;"("&amp;REPLACE(REPT(",#ref!",B1805),1,1,"")&amp;")()",1)),"")</f>
        <v>0</v>
      </c>
      <c r="G1805" s="2"/>
      <c r="H1805" s="2" t="str">
        <f t="shared" si="58"/>
        <v/>
      </c>
      <c r="I1805" s="2">
        <f>TYPE(WORKDAY.INTL(IF(1,1),IF(1,1),IF(1,1),IF(1,1)))</f>
        <v>1</v>
      </c>
      <c r="J1805" s="2">
        <f>IF(C1805=0,COUNTIFS(A:A,A1805,D:D,"a"),"")</f>
        <v>0</v>
      </c>
      <c r="K1805" s="2"/>
      <c r="M1805" s="2"/>
    </row>
    <row r="1806" spans="1:14" x14ac:dyDescent="0.55000000000000004">
      <c r="A1806" s="1" t="s">
        <v>2107</v>
      </c>
      <c r="B1806" s="2">
        <f>COUNTIF(A:A,A1806)-1</f>
        <v>4</v>
      </c>
      <c r="C1806" s="2">
        <f>COUNTIF(A$1:A1806,A1806)-1</f>
        <v>1</v>
      </c>
      <c r="D1806" s="2" t="str">
        <f>Argument!D1806</f>
        <v>vr</v>
      </c>
      <c r="E1806" s="2" t="str">
        <f t="shared" si="57"/>
        <v/>
      </c>
      <c r="F1806" s="2" t="str">
        <f>IF(C1806=0,ISTEXT(FORMULA.CONVERT("="&amp;A1806&amp;"("&amp;REPLACE(REPT(",#ref!",B1806),1,1,"")&amp;")()",1)),"")</f>
        <v/>
      </c>
      <c r="G1806" s="2">
        <f>TYPE(WORKDAY.INTL({1},IF(1,1),IF(1,1),IF(1,1)))</f>
        <v>64</v>
      </c>
      <c r="H1806" s="2" t="str">
        <f t="shared" si="58"/>
        <v/>
      </c>
      <c r="I1806" s="2">
        <f>TYPE(WORKDAY.INTL(IF(1,1),IF(1,1),IF(1,1),IF(1,1)))</f>
        <v>1</v>
      </c>
      <c r="J1806" s="2" t="str">
        <f>IF(C1806=0,COUNTIFS(A:A,A1806,D:D,"a"),"")</f>
        <v/>
      </c>
      <c r="K1806" s="2" t="e">
        <f>INDEX(+WORKDAY.INTL(K1806:L1806,#REF!,#REF!,#REF!),)</f>
        <v>#VALUE!</v>
      </c>
      <c r="L1806" s="1">
        <v>1</v>
      </c>
      <c r="M1806" s="2" t="e">
        <f>INDEX(+WORKDAY.INTL(INDIRECT(M1806:N1806),#REF!,#REF!,#REF!),)</f>
        <v>#REF!</v>
      </c>
      <c r="N1806" s="1">
        <v>1</v>
      </c>
    </row>
    <row r="1807" spans="1:14" x14ac:dyDescent="0.55000000000000004">
      <c r="A1807" s="1" t="s">
        <v>2107</v>
      </c>
      <c r="B1807" s="2">
        <f>COUNTIF(A:A,A1807)-1</f>
        <v>4</v>
      </c>
      <c r="C1807" s="2">
        <f>COUNTIF(A$1:A1807,A1807)-1</f>
        <v>2</v>
      </c>
      <c r="D1807" s="2" t="str">
        <f>Argument!D1807</f>
        <v>vr</v>
      </c>
      <c r="E1807" s="2" t="str">
        <f t="shared" si="57"/>
        <v/>
      </c>
      <c r="F1807" s="2" t="str">
        <f>IF(C1807=0,ISTEXT(FORMULA.CONVERT("="&amp;A1807&amp;"("&amp;REPLACE(REPT(",#ref!",B1807),1,1,"")&amp;")()",1)),"")</f>
        <v/>
      </c>
      <c r="G1807" s="2">
        <f>TYPE(WORKDAY.INTL(IF(1,1),{1},IF(1,1),IF(1,1)))</f>
        <v>64</v>
      </c>
      <c r="H1807" s="2" t="str">
        <f t="shared" si="58"/>
        <v/>
      </c>
      <c r="I1807" s="2">
        <f>TYPE(WORKDAY.INTL(IF(1,1),IF(1,1),IF(1,1),IF(1,1)))</f>
        <v>1</v>
      </c>
      <c r="J1807" s="2" t="str">
        <f>IF(C1807=0,COUNTIFS(A:A,A1807,D:D,"a"),"")</f>
        <v/>
      </c>
      <c r="K1807" s="2" t="e">
        <f>INDEX(+WORKDAY.INTL(#REF!,K1807:L1807,#REF!,#REF!),)</f>
        <v>#REF!</v>
      </c>
      <c r="L1807" s="1">
        <v>1</v>
      </c>
      <c r="M1807" s="2" t="e">
        <f>INDEX(+WORKDAY.INTL(#REF!,INDIRECT(M1807:N1807),#REF!,#REF!),)</f>
        <v>#REF!</v>
      </c>
      <c r="N1807" s="1">
        <v>1</v>
      </c>
    </row>
    <row r="1808" spans="1:14" x14ac:dyDescent="0.55000000000000004">
      <c r="A1808" s="1" t="s">
        <v>2107</v>
      </c>
      <c r="B1808" s="2">
        <f>COUNTIF(A:A,A1808)-1</f>
        <v>4</v>
      </c>
      <c r="C1808" s="2">
        <f>COUNTIF(A$1:A1808,A1808)-1</f>
        <v>3</v>
      </c>
      <c r="D1808" s="2" t="str">
        <f>Argument!D1808</f>
        <v>v</v>
      </c>
      <c r="E1808" s="2" t="str">
        <f t="shared" si="57"/>
        <v/>
      </c>
      <c r="F1808" s="2" t="str">
        <f>IF(C1808=0,ISTEXT(FORMULA.CONVERT("="&amp;A1808&amp;"("&amp;REPLACE(REPT(",#ref!",B1808),1,1,"")&amp;")()",1)),"")</f>
        <v/>
      </c>
      <c r="G1808" s="2">
        <f>TYPE(WORKDAY.INTL(IF(1,1),IF(1,1),{1},IF(1,1)))</f>
        <v>64</v>
      </c>
      <c r="H1808" s="2" t="str">
        <f t="shared" si="58"/>
        <v/>
      </c>
      <c r="I1808" s="2">
        <f>TYPE(WORKDAY.INTL(IF(1,1),IF(1,1),IF(1,1),IF(1,1)))</f>
        <v>1</v>
      </c>
      <c r="J1808" s="2" t="str">
        <f>IF(C1808=0,COUNTIFS(A:A,A1808,D:D,"a"),"")</f>
        <v/>
      </c>
      <c r="K1808" s="2" t="e">
        <f>INDEX(+WORKDAY.INTL(#REF!,#REF!,K1808:L1808,#REF!),)</f>
        <v>#REF!</v>
      </c>
      <c r="L1808" s="1">
        <v>1</v>
      </c>
      <c r="M1808" s="2" t="e">
        <f>INDEX(+WORKDAY.INTL(#REF!,#REF!,INDIRECT(M1808:N1808),#REF!),)</f>
        <v>#REF!</v>
      </c>
      <c r="N1808" s="1">
        <v>1</v>
      </c>
    </row>
    <row r="1809" spans="1:14" x14ac:dyDescent="0.55000000000000004">
      <c r="A1809" s="1" t="s">
        <v>2107</v>
      </c>
      <c r="B1809" s="2">
        <f>COUNTIF(A:A,A1809)-1</f>
        <v>4</v>
      </c>
      <c r="C1809" s="2">
        <f>COUNTIF(A$1:A1809,A1809)-1</f>
        <v>4</v>
      </c>
      <c r="D1809" s="2" t="str">
        <f>Argument!D1809</f>
        <v>var</v>
      </c>
      <c r="E1809" s="2" t="str">
        <f t="shared" si="57"/>
        <v/>
      </c>
      <c r="F1809" s="2" t="str">
        <f>IF(C1809=0,ISTEXT(FORMULA.CONVERT("="&amp;A1809&amp;"("&amp;REPLACE(REPT(",#ref!",B1809),1,1,"")&amp;")()",1)),"")</f>
        <v/>
      </c>
      <c r="G1809" s="2">
        <f>TYPE(WORKDAY.INTL(IF(1,1),IF(1,1),IF(1,1),{1}))</f>
        <v>1</v>
      </c>
      <c r="H1809" s="2" t="str">
        <f t="shared" si="58"/>
        <v/>
      </c>
      <c r="I1809" s="2">
        <f>TYPE(WORKDAY.INTL(IF(1,1),IF(1,1),IF(1,1),IF(1,1)))</f>
        <v>1</v>
      </c>
      <c r="J1809" s="2" t="str">
        <f>IF(C1809=0,COUNTIFS(A:A,A1809,D:D,"a"),"")</f>
        <v/>
      </c>
      <c r="K1809" s="2" t="e">
        <f>INDEX(+WORKDAY.INTL(#REF!,#REF!,#REF!,K1809:L1809),)</f>
        <v>#REF!</v>
      </c>
      <c r="L1809" s="1">
        <v>1</v>
      </c>
      <c r="M1809" s="2" t="e">
        <f>INDEX(+WORKDAY.INTL(#REF!,#REF!,#REF!,INDIRECT(M1809:N1809)),)</f>
        <v>#REF!</v>
      </c>
      <c r="N1809" s="1">
        <v>1</v>
      </c>
    </row>
    <row r="1810" spans="1:14" x14ac:dyDescent="0.55000000000000004">
      <c r="A1810" s="1" t="s">
        <v>2108</v>
      </c>
      <c r="B1810" s="2">
        <f>COUNTIF(A:A,A1810)-1</f>
        <v>2</v>
      </c>
      <c r="C1810" s="2">
        <f>COUNTIF(A$1:A1810,A1810)-1</f>
        <v>0</v>
      </c>
      <c r="D1810" s="2" t="str">
        <f>Argument!D1810</f>
        <v/>
      </c>
      <c r="E1810" s="2" t="str">
        <f t="shared" si="57"/>
        <v>v</v>
      </c>
      <c r="F1810" s="2" t="b">
        <f>IF(C1810=0,ISTEXT(FORMULA.CONVERT("="&amp;A1810&amp;"("&amp;REPLACE(REPT(",#ref!",B1810),1,1,"")&amp;")()",1)),"")</f>
        <v>0</v>
      </c>
      <c r="G1810" s="2"/>
      <c r="H1810" s="2" t="str">
        <f t="shared" si="58"/>
        <v/>
      </c>
      <c r="I1810" s="2">
        <f>TYPE(ECMA.CEILING(IF(1,1),IF(1,1)))</f>
        <v>1</v>
      </c>
      <c r="J1810" s="2">
        <f>IF(C1810=0,COUNTIFS(A:A,A1810,D:D,"a"),"")</f>
        <v>0</v>
      </c>
      <c r="K1810" s="2"/>
      <c r="M1810" s="2"/>
    </row>
    <row r="1811" spans="1:14" x14ac:dyDescent="0.55000000000000004">
      <c r="A1811" s="1" t="s">
        <v>2108</v>
      </c>
      <c r="B1811" s="2">
        <f>COUNTIF(A:A,A1811)-1</f>
        <v>2</v>
      </c>
      <c r="C1811" s="2">
        <f>COUNTIF(A$1:A1811,A1811)-1</f>
        <v>1</v>
      </c>
      <c r="D1811" s="2" t="str">
        <f>Argument!D1811</f>
        <v>v</v>
      </c>
      <c r="E1811" s="2" t="str">
        <f t="shared" si="57"/>
        <v/>
      </c>
      <c r="F1811" s="2" t="str">
        <f>IF(C1811=0,ISTEXT(FORMULA.CONVERT("="&amp;A1811&amp;"("&amp;REPLACE(REPT(",#ref!",B1811),1,1,"")&amp;")()",1)),"")</f>
        <v/>
      </c>
      <c r="G1811" s="2">
        <f>TYPE(ECMA.CEILING({1},IF(1,1)))</f>
        <v>64</v>
      </c>
      <c r="H1811" s="2" t="str">
        <f t="shared" si="58"/>
        <v/>
      </c>
      <c r="I1811" s="2">
        <f>TYPE(ECMA.CEILING(IF(1,1),IF(1,1)))</f>
        <v>1</v>
      </c>
      <c r="J1811" s="2" t="str">
        <f>IF(C1811=0,COUNTIFS(A:A,A1811,D:D,"a"),"")</f>
        <v/>
      </c>
      <c r="K1811" s="2" t="e">
        <f>INDEX(+ECMA.CEILING(K1811:L1811,#REF!),)</f>
        <v>#REF!</v>
      </c>
      <c r="L1811" s="1">
        <v>1</v>
      </c>
      <c r="M1811" s="2" t="e">
        <f>INDEX(+ECMA.CEILING(INDIRECT(M1811:N1811),#REF!),)</f>
        <v>#REF!</v>
      </c>
      <c r="N1811" s="1">
        <v>1</v>
      </c>
    </row>
    <row r="1812" spans="1:14" x14ac:dyDescent="0.55000000000000004">
      <c r="A1812" s="1" t="s">
        <v>2108</v>
      </c>
      <c r="B1812" s="2">
        <f>COUNTIF(A:A,A1812)-1</f>
        <v>2</v>
      </c>
      <c r="C1812" s="2">
        <f>COUNTIF(A$1:A1812,A1812)-1</f>
        <v>2</v>
      </c>
      <c r="D1812" s="2" t="str">
        <f>Argument!D1812</f>
        <v>v</v>
      </c>
      <c r="E1812" s="2" t="str">
        <f t="shared" si="57"/>
        <v/>
      </c>
      <c r="F1812" s="2" t="str">
        <f>IF(C1812=0,ISTEXT(FORMULA.CONVERT("="&amp;A1812&amp;"("&amp;REPLACE(REPT(",#ref!",B1812),1,1,"")&amp;")()",1)),"")</f>
        <v/>
      </c>
      <c r="G1812" s="2">
        <f>TYPE(ECMA.CEILING(IF(1,1),{1}))</f>
        <v>64</v>
      </c>
      <c r="H1812" s="2" t="str">
        <f t="shared" si="58"/>
        <v/>
      </c>
      <c r="I1812" s="2">
        <f>TYPE(ECMA.CEILING(IF(1,1),IF(1,1)))</f>
        <v>1</v>
      </c>
      <c r="J1812" s="2" t="str">
        <f>IF(C1812=0,COUNTIFS(A:A,A1812,D:D,"a"),"")</f>
        <v/>
      </c>
      <c r="K1812" s="2" t="e">
        <f>INDEX(+ECMA.CEILING(#REF!,K1812:L1812),)</f>
        <v>#REF!</v>
      </c>
      <c r="L1812" s="1">
        <v>1</v>
      </c>
      <c r="M1812" s="2" t="e">
        <f>INDEX(+ECMA.CEILING(#REF!,INDIRECT(M1812:N1812)),)</f>
        <v>#REF!</v>
      </c>
      <c r="N1812" s="1">
        <v>1</v>
      </c>
    </row>
    <row r="1813" spans="1:14" x14ac:dyDescent="0.55000000000000004">
      <c r="A1813" s="1" t="s">
        <v>2109</v>
      </c>
      <c r="B1813" s="2">
        <f>COUNTIF(A:A,A1813)-1</f>
        <v>2</v>
      </c>
      <c r="C1813" s="2">
        <f>COUNTIF(A$1:A1813,A1813)-1</f>
        <v>0</v>
      </c>
      <c r="D1813" s="2" t="str">
        <f>Argument!D1813</f>
        <v/>
      </c>
      <c r="E1813" s="2" t="str">
        <f t="shared" si="57"/>
        <v>v</v>
      </c>
      <c r="F1813" s="2" t="b">
        <f>IF(C1813=0,ISTEXT(FORMULA.CONVERT("="&amp;A1813&amp;"("&amp;REPLACE(REPT(",#ref!",B1813),1,1,"")&amp;")()",1)),"")</f>
        <v>0</v>
      </c>
      <c r="G1813" s="2"/>
      <c r="H1813" s="2" t="str">
        <f t="shared" si="58"/>
        <v/>
      </c>
      <c r="I1813" s="2">
        <f>TYPE(ISO.CEILING(IF(1,1),IF(1,1)))</f>
        <v>1</v>
      </c>
      <c r="J1813" s="2">
        <f>IF(C1813=0,COUNTIFS(A:A,A1813,D:D,"a"),"")</f>
        <v>0</v>
      </c>
      <c r="K1813" s="2"/>
      <c r="M1813" s="2"/>
    </row>
    <row r="1814" spans="1:14" x14ac:dyDescent="0.55000000000000004">
      <c r="A1814" s="1" t="s">
        <v>2109</v>
      </c>
      <c r="B1814" s="2">
        <f>COUNTIF(A:A,A1814)-1</f>
        <v>2</v>
      </c>
      <c r="C1814" s="2">
        <f>COUNTIF(A$1:A1814,A1814)-1</f>
        <v>1</v>
      </c>
      <c r="D1814" s="2" t="str">
        <f>Argument!D1814</f>
        <v>v</v>
      </c>
      <c r="E1814" s="2" t="str">
        <f t="shared" si="57"/>
        <v/>
      </c>
      <c r="F1814" s="2" t="str">
        <f>IF(C1814=0,ISTEXT(FORMULA.CONVERT("="&amp;A1814&amp;"("&amp;REPLACE(REPT(",#ref!",B1814),1,1,"")&amp;")()",1)),"")</f>
        <v/>
      </c>
      <c r="G1814" s="2">
        <f>TYPE(ISO.CEILING({1},IF(1,1)))</f>
        <v>64</v>
      </c>
      <c r="H1814" s="2" t="str">
        <f t="shared" si="58"/>
        <v/>
      </c>
      <c r="I1814" s="2">
        <f>TYPE(ISO.CEILING(IF(1,1),IF(1,1)))</f>
        <v>1</v>
      </c>
      <c r="J1814" s="2" t="str">
        <f>IF(C1814=0,COUNTIFS(A:A,A1814,D:D,"a"),"")</f>
        <v/>
      </c>
      <c r="K1814" s="2" t="e">
        <f>INDEX(+ISO.CEILING(K1814:L1814,#REF!),)</f>
        <v>#REF!</v>
      </c>
      <c r="L1814" s="1">
        <v>1</v>
      </c>
      <c r="M1814" s="2" t="e">
        <f>INDEX(+ISO.CEILING(INDIRECT(M1814:N1814),#REF!),)</f>
        <v>#REF!</v>
      </c>
      <c r="N1814" s="1">
        <v>1</v>
      </c>
    </row>
    <row r="1815" spans="1:14" x14ac:dyDescent="0.55000000000000004">
      <c r="A1815" s="1" t="s">
        <v>2109</v>
      </c>
      <c r="B1815" s="2">
        <f>COUNTIF(A:A,A1815)-1</f>
        <v>2</v>
      </c>
      <c r="C1815" s="2">
        <f>COUNTIF(A$1:A1815,A1815)-1</f>
        <v>2</v>
      </c>
      <c r="D1815" s="2" t="str">
        <f>Argument!D1815</f>
        <v>v</v>
      </c>
      <c r="E1815" s="2" t="str">
        <f t="shared" si="57"/>
        <v/>
      </c>
      <c r="F1815" s="2" t="str">
        <f>IF(C1815=0,ISTEXT(FORMULA.CONVERT("="&amp;A1815&amp;"("&amp;REPLACE(REPT(",#ref!",B1815),1,1,"")&amp;")()",1)),"")</f>
        <v/>
      </c>
      <c r="G1815" s="2">
        <f>TYPE(ISO.CEILING(IF(1,1),{1}))</f>
        <v>64</v>
      </c>
      <c r="H1815" s="2" t="str">
        <f t="shared" si="58"/>
        <v/>
      </c>
      <c r="I1815" s="2">
        <f>TYPE(ISO.CEILING(IF(1,1),IF(1,1)))</f>
        <v>1</v>
      </c>
      <c r="J1815" s="2" t="str">
        <f>IF(C1815=0,COUNTIFS(A:A,A1815,D:D,"a"),"")</f>
        <v/>
      </c>
      <c r="K1815" s="2" t="e">
        <f>INDEX(+ISO.CEILING(#REF!,K1815:L1815),)</f>
        <v>#REF!</v>
      </c>
      <c r="L1815" s="1">
        <v>1</v>
      </c>
      <c r="M1815" s="2" t="e">
        <f>INDEX(+ISO.CEILING(#REF!,INDIRECT(M1815:N1815)),)</f>
        <v>#REF!</v>
      </c>
      <c r="N1815" s="1">
        <v>1</v>
      </c>
    </row>
    <row r="1816" spans="1:14" x14ac:dyDescent="0.55000000000000004">
      <c r="A1816" s="1" t="s">
        <v>2110</v>
      </c>
      <c r="B1816" s="2">
        <f>COUNTIF(A:A,A1816)-1</f>
        <v>6</v>
      </c>
      <c r="C1816" s="2">
        <f>COUNTIF(A$1:A1816,A1816)-1</f>
        <v>0</v>
      </c>
      <c r="D1816" s="2" t="str">
        <f>Argument!D1816</f>
        <v/>
      </c>
      <c r="E1816" s="2" t="str">
        <f t="shared" si="57"/>
        <v>v</v>
      </c>
      <c r="F1816" s="2" t="b">
        <f>IF(C1816=0,ISTEXT(FORMULA.CONVERT("="&amp;A1816&amp;"("&amp;REPLACE(REPT(",#ref!",B1816),1,1,"")&amp;")()",1)),"")</f>
        <v>0</v>
      </c>
      <c r="G1816" s="2"/>
      <c r="H1816" s="2" t="str">
        <f t="shared" si="58"/>
        <v/>
      </c>
      <c r="I1816" s="2">
        <f>TYPE(_xlfn.BETA.DIST(IF(1,1),IF(1,1),IF(1,1),IF(1,1),IF(1,1),IF(1,1)))</f>
        <v>16</v>
      </c>
      <c r="J1816" s="2">
        <f>IF(C1816=0,COUNTIFS(A:A,A1816,D:D,"a"),"")</f>
        <v>0</v>
      </c>
      <c r="K1816" s="2"/>
      <c r="M1816" s="2"/>
    </row>
    <row r="1817" spans="1:14" x14ac:dyDescent="0.55000000000000004">
      <c r="A1817" s="1" t="s">
        <v>2110</v>
      </c>
      <c r="B1817" s="2">
        <f>COUNTIF(A:A,A1817)-1</f>
        <v>6</v>
      </c>
      <c r="C1817" s="2">
        <f>COUNTIF(A$1:A1817,A1817)-1</f>
        <v>1</v>
      </c>
      <c r="D1817" s="2" t="str">
        <f>Argument!D1817</f>
        <v>v</v>
      </c>
      <c r="E1817" s="2" t="str">
        <f t="shared" si="57"/>
        <v/>
      </c>
      <c r="F1817" s="2" t="str">
        <f>IF(C1817=0,ISTEXT(FORMULA.CONVERT("="&amp;A1817&amp;"("&amp;REPLACE(REPT(",#ref!",B1817),1,1,"")&amp;")()",1)),"")</f>
        <v/>
      </c>
      <c r="G1817" s="2">
        <f>TYPE(_xlfn.BETA.DIST({1},IF(1,1),IF(1,1),IF(1,1),IF(1,1),IF(1,1)))</f>
        <v>64</v>
      </c>
      <c r="H1817" s="2" t="str">
        <f t="shared" si="58"/>
        <v/>
      </c>
      <c r="I1817" s="2">
        <f>TYPE(_xlfn.BETA.DIST(IF(1,1),IF(1,1),IF(1,1),IF(1,1),IF(1,1),IF(1,1)))</f>
        <v>16</v>
      </c>
      <c r="J1817" s="2" t="str">
        <f>IF(C1817=0,COUNTIFS(A:A,A1817,D:D,"a"),"")</f>
        <v/>
      </c>
      <c r="K1817" s="2" t="e">
        <f>INDEX(+_xlfn.BETA.DIST(K1817:L1817,#REF!,#REF!,#REF!,#REF!,#REF!),)</f>
        <v>#REF!</v>
      </c>
      <c r="L1817" s="1">
        <v>1</v>
      </c>
      <c r="M1817" s="2" t="e">
        <f>INDEX(+_xlfn.BETA.DIST(INDIRECT(M1817:N1817),#REF!,#REF!,#REF!,#REF!,#REF!),)</f>
        <v>#REF!</v>
      </c>
      <c r="N1817" s="1">
        <v>1</v>
      </c>
    </row>
    <row r="1818" spans="1:14" x14ac:dyDescent="0.55000000000000004">
      <c r="A1818" s="1" t="s">
        <v>2110</v>
      </c>
      <c r="B1818" s="2">
        <f>COUNTIF(A:A,A1818)-1</f>
        <v>6</v>
      </c>
      <c r="C1818" s="2">
        <f>COUNTIF(A$1:A1818,A1818)-1</f>
        <v>2</v>
      </c>
      <c r="D1818" s="2" t="str">
        <f>Argument!D1818</f>
        <v>v</v>
      </c>
      <c r="E1818" s="2" t="str">
        <f t="shared" si="57"/>
        <v/>
      </c>
      <c r="F1818" s="2" t="str">
        <f>IF(C1818=0,ISTEXT(FORMULA.CONVERT("="&amp;A1818&amp;"("&amp;REPLACE(REPT(",#ref!",B1818),1,1,"")&amp;")()",1)),"")</f>
        <v/>
      </c>
      <c r="G1818" s="2">
        <f>TYPE(_xlfn.BETA.DIST(IF(1,1),{1},IF(1,1),IF(1,1),IF(1,1),IF(1,1)))</f>
        <v>64</v>
      </c>
      <c r="H1818" s="2" t="str">
        <f t="shared" si="58"/>
        <v/>
      </c>
      <c r="I1818" s="2">
        <f>TYPE(_xlfn.BETA.DIST(IF(1,1),IF(1,1),IF(1,1),IF(1,1),IF(1,1),IF(1,1)))</f>
        <v>16</v>
      </c>
      <c r="J1818" s="2" t="str">
        <f>IF(C1818=0,COUNTIFS(A:A,A1818,D:D,"a"),"")</f>
        <v/>
      </c>
      <c r="K1818" s="2" t="e">
        <f>INDEX(+_xlfn.BETA.DIST(#REF!,K1818:L1818,#REF!,#REF!,#REF!,#REF!),)</f>
        <v>#REF!</v>
      </c>
      <c r="L1818" s="1">
        <v>1</v>
      </c>
      <c r="M1818" s="2" t="e">
        <f>INDEX(+_xlfn.BETA.DIST(#REF!,INDIRECT(M1818:N1818),#REF!,#REF!,#REF!,#REF!),)</f>
        <v>#REF!</v>
      </c>
      <c r="N1818" s="1">
        <v>1</v>
      </c>
    </row>
    <row r="1819" spans="1:14" x14ac:dyDescent="0.55000000000000004">
      <c r="A1819" s="1" t="s">
        <v>2110</v>
      </c>
      <c r="B1819" s="2">
        <f>COUNTIF(A:A,A1819)-1</f>
        <v>6</v>
      </c>
      <c r="C1819" s="2">
        <f>COUNTIF(A$1:A1819,A1819)-1</f>
        <v>3</v>
      </c>
      <c r="D1819" s="2" t="str">
        <f>Argument!D1819</f>
        <v>v</v>
      </c>
      <c r="E1819" s="2" t="str">
        <f t="shared" si="57"/>
        <v/>
      </c>
      <c r="F1819" s="2" t="str">
        <f>IF(C1819=0,ISTEXT(FORMULA.CONVERT("="&amp;A1819&amp;"("&amp;REPLACE(REPT(",#ref!",B1819),1,1,"")&amp;")()",1)),"")</f>
        <v/>
      </c>
      <c r="G1819" s="2">
        <f>TYPE(_xlfn.BETA.DIST(IF(1,1),IF(1,1),{1},IF(1,1),IF(1,1),IF(1,1)))</f>
        <v>64</v>
      </c>
      <c r="H1819" s="2" t="str">
        <f t="shared" si="58"/>
        <v/>
      </c>
      <c r="I1819" s="2">
        <f>TYPE(_xlfn.BETA.DIST(IF(1,1),IF(1,1),IF(1,1),IF(1,1),IF(1,1),IF(1,1)))</f>
        <v>16</v>
      </c>
      <c r="J1819" s="2" t="str">
        <f>IF(C1819=0,COUNTIFS(A:A,A1819,D:D,"a"),"")</f>
        <v/>
      </c>
      <c r="K1819" s="2" t="e">
        <f>INDEX(+_xlfn.BETA.DIST(#REF!,#REF!,K1819:L1819,#REF!,#REF!,#REF!),)</f>
        <v>#REF!</v>
      </c>
      <c r="L1819" s="1">
        <v>1</v>
      </c>
      <c r="M1819" s="2" t="e">
        <f>INDEX(+_xlfn.BETA.DIST(#REF!,#REF!,INDIRECT(M1819:N1819),#REF!,#REF!,#REF!),)</f>
        <v>#REF!</v>
      </c>
      <c r="N1819" s="1">
        <v>1</v>
      </c>
    </row>
    <row r="1820" spans="1:14" x14ac:dyDescent="0.55000000000000004">
      <c r="A1820" s="1" t="s">
        <v>2110</v>
      </c>
      <c r="B1820" s="2">
        <f>COUNTIF(A:A,A1820)-1</f>
        <v>6</v>
      </c>
      <c r="C1820" s="2">
        <f>COUNTIF(A$1:A1820,A1820)-1</f>
        <v>4</v>
      </c>
      <c r="D1820" s="2" t="str">
        <f>Argument!D1820</f>
        <v>v</v>
      </c>
      <c r="E1820" s="2" t="str">
        <f t="shared" si="57"/>
        <v/>
      </c>
      <c r="F1820" s="2" t="str">
        <f>IF(C1820=0,ISTEXT(FORMULA.CONVERT("="&amp;A1820&amp;"("&amp;REPLACE(REPT(",#ref!",B1820),1,1,"")&amp;")()",1)),"")</f>
        <v/>
      </c>
      <c r="G1820" s="2">
        <f>TYPE(_xlfn.BETA.DIST(IF(1,1),IF(1,1),IF(1,1),{1},IF(1,1),IF(1,1)))</f>
        <v>64</v>
      </c>
      <c r="H1820" s="2" t="str">
        <f t="shared" si="58"/>
        <v/>
      </c>
      <c r="I1820" s="2">
        <f>TYPE(_xlfn.BETA.DIST(IF(1,1),IF(1,1),IF(1,1),IF(1,1),IF(1,1),IF(1,1)))</f>
        <v>16</v>
      </c>
      <c r="J1820" s="2" t="str">
        <f>IF(C1820=0,COUNTIFS(A:A,A1820,D:D,"a"),"")</f>
        <v/>
      </c>
      <c r="K1820" s="2" t="e">
        <f>INDEX(+_xlfn.BETA.DIST(#REF!,#REF!,#REF!,K1820:L1820,#REF!,#REF!),)</f>
        <v>#REF!</v>
      </c>
      <c r="L1820" s="1">
        <v>1</v>
      </c>
      <c r="M1820" s="2" t="e">
        <f>INDEX(+_xlfn.BETA.DIST(#REF!,#REF!,#REF!,INDIRECT(M1820:N1820),#REF!,#REF!),)</f>
        <v>#REF!</v>
      </c>
      <c r="N1820" s="1">
        <v>1</v>
      </c>
    </row>
    <row r="1821" spans="1:14" x14ac:dyDescent="0.55000000000000004">
      <c r="A1821" s="1" t="s">
        <v>2110</v>
      </c>
      <c r="B1821" s="2">
        <f>COUNTIF(A:A,A1821)-1</f>
        <v>6</v>
      </c>
      <c r="C1821" s="2">
        <f>COUNTIF(A$1:A1821,A1821)-1</f>
        <v>5</v>
      </c>
      <c r="D1821" s="2" t="str">
        <f>Argument!D1821</f>
        <v>v</v>
      </c>
      <c r="E1821" s="2" t="str">
        <f t="shared" si="57"/>
        <v/>
      </c>
      <c r="F1821" s="2" t="str">
        <f>IF(C1821=0,ISTEXT(FORMULA.CONVERT("="&amp;A1821&amp;"("&amp;REPLACE(REPT(",#ref!",B1821),1,1,"")&amp;")()",1)),"")</f>
        <v/>
      </c>
      <c r="G1821" s="2">
        <f>TYPE(_xlfn.BETA.DIST(IF(1,1),IF(1,1),IF(1,1),IF(1,1),{1},IF(1,1)))</f>
        <v>64</v>
      </c>
      <c r="H1821" s="2" t="str">
        <f t="shared" si="58"/>
        <v/>
      </c>
      <c r="I1821" s="2">
        <f>TYPE(_xlfn.BETA.DIST(IF(1,1),IF(1,1),IF(1,1),IF(1,1),IF(1,1),IF(1,1)))</f>
        <v>16</v>
      </c>
      <c r="J1821" s="2" t="str">
        <f>IF(C1821=0,COUNTIFS(A:A,A1821,D:D,"a"),"")</f>
        <v/>
      </c>
      <c r="K1821" s="2" t="e">
        <f>INDEX(+_xlfn.BETA.DIST(#REF!,#REF!,#REF!,#REF!,K1821:L1821,#REF!),)</f>
        <v>#REF!</v>
      </c>
      <c r="L1821" s="1">
        <v>1</v>
      </c>
      <c r="M1821" s="2" t="e">
        <f>INDEX(+_xlfn.BETA.DIST(#REF!,#REF!,#REF!,#REF!,INDIRECT(M1821:N1821),#REF!),)</f>
        <v>#REF!</v>
      </c>
      <c r="N1821" s="1">
        <v>1</v>
      </c>
    </row>
    <row r="1822" spans="1:14" x14ac:dyDescent="0.55000000000000004">
      <c r="A1822" s="1" t="s">
        <v>2110</v>
      </c>
      <c r="B1822" s="2">
        <f>COUNTIF(A:A,A1822)-1</f>
        <v>6</v>
      </c>
      <c r="C1822" s="2">
        <f>COUNTIF(A$1:A1822,A1822)-1</f>
        <v>6</v>
      </c>
      <c r="D1822" s="2" t="str">
        <f>Argument!D1822</f>
        <v>v</v>
      </c>
      <c r="E1822" s="2" t="str">
        <f t="shared" si="57"/>
        <v/>
      </c>
      <c r="F1822" s="2" t="str">
        <f>IF(C1822=0,ISTEXT(FORMULA.CONVERT("="&amp;A1822&amp;"("&amp;REPLACE(REPT(",#ref!",B1822),1,1,"")&amp;")()",1)),"")</f>
        <v/>
      </c>
      <c r="G1822" s="2">
        <f>TYPE(_xlfn.BETA.DIST(IF(1,1),IF(1,1),IF(1,1),IF(1,1),IF(1,1),{1}))</f>
        <v>64</v>
      </c>
      <c r="H1822" s="2" t="str">
        <f t="shared" si="58"/>
        <v/>
      </c>
      <c r="I1822" s="2">
        <f>TYPE(_xlfn.BETA.DIST(IF(1,1),IF(1,1),IF(1,1),IF(1,1),IF(1,1),IF(1,1)))</f>
        <v>16</v>
      </c>
      <c r="J1822" s="2" t="str">
        <f>IF(C1822=0,COUNTIFS(A:A,A1822,D:D,"a"),"")</f>
        <v/>
      </c>
      <c r="K1822" s="2" t="e">
        <f>INDEX(+_xlfn.BETA.DIST(#REF!,#REF!,#REF!,#REF!,#REF!,K1822:L1822),)</f>
        <v>#REF!</v>
      </c>
      <c r="L1822" s="1">
        <v>1</v>
      </c>
      <c r="M1822" s="2" t="e">
        <f>INDEX(+_xlfn.BETA.DIST(#REF!,#REF!,#REF!,#REF!,#REF!,INDIRECT(M1822:N1822)),)</f>
        <v>#REF!</v>
      </c>
      <c r="N1822" s="1">
        <v>1</v>
      </c>
    </row>
    <row r="1823" spans="1:14" x14ac:dyDescent="0.55000000000000004">
      <c r="A1823" s="1" t="s">
        <v>2111</v>
      </c>
      <c r="B1823" s="2">
        <f>COUNTIF(A:A,A1823)-1</f>
        <v>5</v>
      </c>
      <c r="C1823" s="2">
        <f>COUNTIF(A$1:A1823,A1823)-1</f>
        <v>0</v>
      </c>
      <c r="D1823" s="2" t="str">
        <f>Argument!D1823</f>
        <v/>
      </c>
      <c r="E1823" s="2" t="str">
        <f t="shared" si="57"/>
        <v>v</v>
      </c>
      <c r="F1823" s="2" t="b">
        <f>IF(C1823=0,ISTEXT(FORMULA.CONVERT("="&amp;A1823&amp;"("&amp;REPLACE(REPT(",#ref!",B1823),1,1,"")&amp;")()",1)),"")</f>
        <v>0</v>
      </c>
      <c r="G1823" s="2"/>
      <c r="H1823" s="2" t="str">
        <f t="shared" si="58"/>
        <v/>
      </c>
      <c r="I1823" s="2">
        <f>TYPE(_xlfn.BETA.INV(IF(1,1),IF(1,1),IF(1,1),IF(1,1),IF(1,1)))</f>
        <v>16</v>
      </c>
      <c r="J1823" s="2">
        <f>IF(C1823=0,COUNTIFS(A:A,A1823,D:D,"a"),"")</f>
        <v>0</v>
      </c>
      <c r="K1823" s="2"/>
      <c r="M1823" s="2"/>
    </row>
    <row r="1824" spans="1:14" x14ac:dyDescent="0.55000000000000004">
      <c r="A1824" s="1" t="s">
        <v>2111</v>
      </c>
      <c r="B1824" s="2">
        <f>COUNTIF(A:A,A1824)-1</f>
        <v>5</v>
      </c>
      <c r="C1824" s="2">
        <f>COUNTIF(A$1:A1824,A1824)-1</f>
        <v>1</v>
      </c>
      <c r="D1824" s="2" t="str">
        <f>Argument!D1824</f>
        <v>v</v>
      </c>
      <c r="E1824" s="2" t="str">
        <f t="shared" si="57"/>
        <v/>
      </c>
      <c r="F1824" s="2" t="str">
        <f>IF(C1824=0,ISTEXT(FORMULA.CONVERT("="&amp;A1824&amp;"("&amp;REPLACE(REPT(",#ref!",B1824),1,1,"")&amp;")()",1)),"")</f>
        <v/>
      </c>
      <c r="G1824" s="2">
        <f>TYPE(_xlfn.BETA.INV({1},IF(1,1),IF(1,1),IF(1,1),IF(1,1)))</f>
        <v>64</v>
      </c>
      <c r="H1824" s="2" t="str">
        <f t="shared" si="58"/>
        <v/>
      </c>
      <c r="I1824" s="2">
        <f>TYPE(_xlfn.BETA.INV(IF(1,1),IF(1,1),IF(1,1),IF(1,1),IF(1,1)))</f>
        <v>16</v>
      </c>
      <c r="J1824" s="2" t="str">
        <f>IF(C1824=0,COUNTIFS(A:A,A1824,D:D,"a"),"")</f>
        <v/>
      </c>
      <c r="K1824" s="2" t="e">
        <f>INDEX(+_xlfn.BETA.INV(K1824:L1824,#REF!,#REF!,#REF!,#REF!),)</f>
        <v>#REF!</v>
      </c>
      <c r="L1824" s="1">
        <v>1</v>
      </c>
      <c r="M1824" s="2" t="e">
        <f>INDEX(+_xlfn.BETA.INV(INDIRECT(M1824:N1824),#REF!,#REF!,#REF!,#REF!),)</f>
        <v>#REF!</v>
      </c>
      <c r="N1824" s="1">
        <v>1</v>
      </c>
    </row>
    <row r="1825" spans="1:14" x14ac:dyDescent="0.55000000000000004">
      <c r="A1825" s="1" t="s">
        <v>2111</v>
      </c>
      <c r="B1825" s="2">
        <f>COUNTIF(A:A,A1825)-1</f>
        <v>5</v>
      </c>
      <c r="C1825" s="2">
        <f>COUNTIF(A$1:A1825,A1825)-1</f>
        <v>2</v>
      </c>
      <c r="D1825" s="2" t="str">
        <f>Argument!D1825</f>
        <v>v</v>
      </c>
      <c r="E1825" s="2" t="str">
        <f t="shared" si="57"/>
        <v/>
      </c>
      <c r="F1825" s="2" t="str">
        <f>IF(C1825=0,ISTEXT(FORMULA.CONVERT("="&amp;A1825&amp;"("&amp;REPLACE(REPT(",#ref!",B1825),1,1,"")&amp;")()",1)),"")</f>
        <v/>
      </c>
      <c r="G1825" s="2">
        <f>TYPE(_xlfn.BETA.INV(IF(1,1),{1},IF(1,1),IF(1,1),IF(1,1)))</f>
        <v>64</v>
      </c>
      <c r="H1825" s="2" t="str">
        <f t="shared" si="58"/>
        <v/>
      </c>
      <c r="I1825" s="2">
        <f>TYPE(_xlfn.BETA.INV(IF(1,1),IF(1,1),IF(1,1),IF(1,1),IF(1,1)))</f>
        <v>16</v>
      </c>
      <c r="J1825" s="2" t="str">
        <f>IF(C1825=0,COUNTIFS(A:A,A1825,D:D,"a"),"")</f>
        <v/>
      </c>
      <c r="K1825" s="2" t="e">
        <f>INDEX(+_xlfn.BETA.INV(#REF!,K1825:L1825,#REF!,#REF!,#REF!),)</f>
        <v>#REF!</v>
      </c>
      <c r="L1825" s="1">
        <v>1</v>
      </c>
      <c r="M1825" s="2" t="e">
        <f>INDEX(+_xlfn.BETA.INV(#REF!,INDIRECT(M1825:N1825),#REF!,#REF!,#REF!),)</f>
        <v>#REF!</v>
      </c>
      <c r="N1825" s="1">
        <v>1</v>
      </c>
    </row>
    <row r="1826" spans="1:14" x14ac:dyDescent="0.55000000000000004">
      <c r="A1826" s="1" t="s">
        <v>2111</v>
      </c>
      <c r="B1826" s="2">
        <f>COUNTIF(A:A,A1826)-1</f>
        <v>5</v>
      </c>
      <c r="C1826" s="2">
        <f>COUNTIF(A$1:A1826,A1826)-1</f>
        <v>3</v>
      </c>
      <c r="D1826" s="2" t="str">
        <f>Argument!D1826</f>
        <v>v</v>
      </c>
      <c r="E1826" s="2" t="str">
        <f t="shared" si="57"/>
        <v/>
      </c>
      <c r="F1826" s="2" t="str">
        <f>IF(C1826=0,ISTEXT(FORMULA.CONVERT("="&amp;A1826&amp;"("&amp;REPLACE(REPT(",#ref!",B1826),1,1,"")&amp;")()",1)),"")</f>
        <v/>
      </c>
      <c r="G1826" s="2">
        <f>TYPE(_xlfn.BETA.INV(IF(1,1),IF(1,1),{1},IF(1,1),IF(1,1)))</f>
        <v>64</v>
      </c>
      <c r="H1826" s="2" t="str">
        <f t="shared" si="58"/>
        <v/>
      </c>
      <c r="I1826" s="2">
        <f>TYPE(_xlfn.BETA.INV(IF(1,1),IF(1,1),IF(1,1),IF(1,1),IF(1,1)))</f>
        <v>16</v>
      </c>
      <c r="J1826" s="2" t="str">
        <f>IF(C1826=0,COUNTIFS(A:A,A1826,D:D,"a"),"")</f>
        <v/>
      </c>
      <c r="K1826" s="2" t="e">
        <f>INDEX(+_xlfn.BETA.INV(#REF!,#REF!,K1826:L1826,#REF!,#REF!),)</f>
        <v>#REF!</v>
      </c>
      <c r="L1826" s="1">
        <v>1</v>
      </c>
      <c r="M1826" s="2" t="e">
        <f>INDEX(+_xlfn.BETA.INV(#REF!,#REF!,INDIRECT(M1826:N1826),#REF!,#REF!),)</f>
        <v>#REF!</v>
      </c>
      <c r="N1826" s="1">
        <v>1</v>
      </c>
    </row>
    <row r="1827" spans="1:14" x14ac:dyDescent="0.55000000000000004">
      <c r="A1827" s="1" t="s">
        <v>2111</v>
      </c>
      <c r="B1827" s="2">
        <f>COUNTIF(A:A,A1827)-1</f>
        <v>5</v>
      </c>
      <c r="C1827" s="2">
        <f>COUNTIF(A$1:A1827,A1827)-1</f>
        <v>4</v>
      </c>
      <c r="D1827" s="2" t="str">
        <f>Argument!D1827</f>
        <v>v</v>
      </c>
      <c r="E1827" s="2" t="str">
        <f t="shared" si="57"/>
        <v/>
      </c>
      <c r="F1827" s="2" t="str">
        <f>IF(C1827=0,ISTEXT(FORMULA.CONVERT("="&amp;A1827&amp;"("&amp;REPLACE(REPT(",#ref!",B1827),1,1,"")&amp;")()",1)),"")</f>
        <v/>
      </c>
      <c r="G1827" s="2">
        <f>TYPE(_xlfn.BETA.INV(IF(1,1),IF(1,1),IF(1,1),{1},IF(1,1)))</f>
        <v>64</v>
      </c>
      <c r="H1827" s="2" t="str">
        <f t="shared" si="58"/>
        <v/>
      </c>
      <c r="I1827" s="2">
        <f>TYPE(_xlfn.BETA.INV(IF(1,1),IF(1,1),IF(1,1),IF(1,1),IF(1,1)))</f>
        <v>16</v>
      </c>
      <c r="J1827" s="2" t="str">
        <f>IF(C1827=0,COUNTIFS(A:A,A1827,D:D,"a"),"")</f>
        <v/>
      </c>
      <c r="K1827" s="2" t="e">
        <f>INDEX(+_xlfn.BETA.INV(#REF!,#REF!,#REF!,K1827:L1827,#REF!),)</f>
        <v>#REF!</v>
      </c>
      <c r="L1827" s="1">
        <v>1</v>
      </c>
      <c r="M1827" s="2" t="e">
        <f>INDEX(+_xlfn.BETA.INV(#REF!,#REF!,#REF!,INDIRECT(M1827:N1827),#REF!),)</f>
        <v>#REF!</v>
      </c>
      <c r="N1827" s="1">
        <v>1</v>
      </c>
    </row>
    <row r="1828" spans="1:14" x14ac:dyDescent="0.55000000000000004">
      <c r="A1828" s="1" t="s">
        <v>2111</v>
      </c>
      <c r="B1828" s="2">
        <f>COUNTIF(A:A,A1828)-1</f>
        <v>5</v>
      </c>
      <c r="C1828" s="2">
        <f>COUNTIF(A$1:A1828,A1828)-1</f>
        <v>5</v>
      </c>
      <c r="D1828" s="2" t="str">
        <f>Argument!D1828</f>
        <v>v</v>
      </c>
      <c r="E1828" s="2" t="str">
        <f t="shared" si="57"/>
        <v/>
      </c>
      <c r="F1828" s="2" t="str">
        <f>IF(C1828=0,ISTEXT(FORMULA.CONVERT("="&amp;A1828&amp;"("&amp;REPLACE(REPT(",#ref!",B1828),1,1,"")&amp;")()",1)),"")</f>
        <v/>
      </c>
      <c r="G1828" s="2">
        <f>TYPE(_xlfn.BETA.INV(IF(1,1),IF(1,1),IF(1,1),IF(1,1),{1}))</f>
        <v>64</v>
      </c>
      <c r="H1828" s="2" t="str">
        <f t="shared" si="58"/>
        <v/>
      </c>
      <c r="I1828" s="2">
        <f>TYPE(_xlfn.BETA.INV(IF(1,1),IF(1,1),IF(1,1),IF(1,1),IF(1,1)))</f>
        <v>16</v>
      </c>
      <c r="J1828" s="2" t="str">
        <f>IF(C1828=0,COUNTIFS(A:A,A1828,D:D,"a"),"")</f>
        <v/>
      </c>
      <c r="K1828" s="2" t="e">
        <f>INDEX(+_xlfn.BETA.INV(#REF!,#REF!,#REF!,#REF!,K1828:L1828),)</f>
        <v>#REF!</v>
      </c>
      <c r="L1828" s="1">
        <v>1</v>
      </c>
      <c r="M1828" s="2" t="e">
        <f>INDEX(+_xlfn.BETA.INV(#REF!,#REF!,#REF!,#REF!,INDIRECT(M1828:N1828)),)</f>
        <v>#REF!</v>
      </c>
      <c r="N1828" s="1">
        <v>1</v>
      </c>
    </row>
    <row r="1829" spans="1:14" x14ac:dyDescent="0.55000000000000004">
      <c r="A1829" s="1" t="s">
        <v>2112</v>
      </c>
      <c r="B1829" s="2">
        <f>COUNTIF(A:A,A1829)-1</f>
        <v>3</v>
      </c>
      <c r="C1829" s="2">
        <f>COUNTIF(A$1:A1829,A1829)-1</f>
        <v>0</v>
      </c>
      <c r="D1829" s="2" t="str">
        <f>Argument!D1829</f>
        <v/>
      </c>
      <c r="E1829" s="2" t="str">
        <f t="shared" si="57"/>
        <v>v</v>
      </c>
      <c r="F1829" s="2" t="b">
        <f>IF(C1829=0,ISTEXT(FORMULA.CONVERT("="&amp;A1829&amp;"("&amp;REPLACE(REPT(",#ref!",B1829),1,1,"")&amp;")()",1)),"")</f>
        <v>0</v>
      </c>
      <c r="G1829" s="2"/>
      <c r="H1829" s="2" t="str">
        <f t="shared" si="58"/>
        <v/>
      </c>
      <c r="I1829" s="2">
        <f>TYPE(_xlfn.CHISQ.DIST(IF(1,1),IF(1,1),IF(1,1)))</f>
        <v>1</v>
      </c>
      <c r="J1829" s="2">
        <f>IF(C1829=0,COUNTIFS(A:A,A1829,D:D,"a"),"")</f>
        <v>0</v>
      </c>
      <c r="K1829" s="2"/>
      <c r="M1829" s="2"/>
    </row>
    <row r="1830" spans="1:14" x14ac:dyDescent="0.55000000000000004">
      <c r="A1830" s="1" t="s">
        <v>2112</v>
      </c>
      <c r="B1830" s="2">
        <f>COUNTIF(A:A,A1830)-1</f>
        <v>3</v>
      </c>
      <c r="C1830" s="2">
        <f>COUNTIF(A$1:A1830,A1830)-1</f>
        <v>1</v>
      </c>
      <c r="D1830" s="2" t="str">
        <f>Argument!D1830</f>
        <v>v</v>
      </c>
      <c r="E1830" s="2" t="str">
        <f t="shared" si="57"/>
        <v/>
      </c>
      <c r="F1830" s="2" t="str">
        <f>IF(C1830=0,ISTEXT(FORMULA.CONVERT("="&amp;A1830&amp;"("&amp;REPLACE(REPT(",#ref!",B1830),1,1,"")&amp;")()",1)),"")</f>
        <v/>
      </c>
      <c r="G1830" s="2">
        <f>TYPE(_xlfn.CHISQ.DIST({1},IF(1,1),IF(1,1)))</f>
        <v>64</v>
      </c>
      <c r="H1830" s="2" t="str">
        <f t="shared" si="58"/>
        <v/>
      </c>
      <c r="I1830" s="2">
        <f>TYPE(_xlfn.CHISQ.DIST(IF(1,1),IF(1,1),IF(1,1)))</f>
        <v>1</v>
      </c>
      <c r="J1830" s="2" t="str">
        <f>IF(C1830=0,COUNTIFS(A:A,A1830,D:D,"a"),"")</f>
        <v/>
      </c>
      <c r="K1830" s="2" t="e">
        <f>INDEX(+_xlfn.CHISQ.DIST(K1830:L1830,#REF!,#REF!),)</f>
        <v>#REF!</v>
      </c>
      <c r="L1830" s="1">
        <v>1</v>
      </c>
      <c r="M1830" s="2" t="e">
        <f>INDEX(+_xlfn.CHISQ.DIST(INDIRECT(M1830:N1830),#REF!,#REF!),)</f>
        <v>#REF!</v>
      </c>
      <c r="N1830" s="1">
        <v>1</v>
      </c>
    </row>
    <row r="1831" spans="1:14" x14ac:dyDescent="0.55000000000000004">
      <c r="A1831" s="1" t="s">
        <v>2112</v>
      </c>
      <c r="B1831" s="2">
        <f>COUNTIF(A:A,A1831)-1</f>
        <v>3</v>
      </c>
      <c r="C1831" s="2">
        <f>COUNTIF(A$1:A1831,A1831)-1</f>
        <v>2</v>
      </c>
      <c r="D1831" s="2" t="str">
        <f>Argument!D1831</f>
        <v>v</v>
      </c>
      <c r="E1831" s="2" t="str">
        <f t="shared" si="57"/>
        <v/>
      </c>
      <c r="F1831" s="2" t="str">
        <f>IF(C1831=0,ISTEXT(FORMULA.CONVERT("="&amp;A1831&amp;"("&amp;REPLACE(REPT(",#ref!",B1831),1,1,"")&amp;")()",1)),"")</f>
        <v/>
      </c>
      <c r="G1831" s="2">
        <f>TYPE(_xlfn.CHISQ.DIST(IF(1,1),{1},IF(1,1)))</f>
        <v>64</v>
      </c>
      <c r="H1831" s="2" t="str">
        <f t="shared" si="58"/>
        <v/>
      </c>
      <c r="I1831" s="2">
        <f>TYPE(_xlfn.CHISQ.DIST(IF(1,1),IF(1,1),IF(1,1)))</f>
        <v>1</v>
      </c>
      <c r="J1831" s="2" t="str">
        <f>IF(C1831=0,COUNTIFS(A:A,A1831,D:D,"a"),"")</f>
        <v/>
      </c>
      <c r="K1831" s="2" t="e">
        <f>INDEX(+_xlfn.CHISQ.DIST(#REF!,K1831:L1831,#REF!),)</f>
        <v>#REF!</v>
      </c>
      <c r="L1831" s="1">
        <v>1</v>
      </c>
      <c r="M1831" s="2" t="e">
        <f>INDEX(+_xlfn.CHISQ.DIST(#REF!,INDIRECT(M1831:N1831),#REF!),)</f>
        <v>#REF!</v>
      </c>
      <c r="N1831" s="1">
        <v>1</v>
      </c>
    </row>
    <row r="1832" spans="1:14" x14ac:dyDescent="0.55000000000000004">
      <c r="A1832" s="1" t="s">
        <v>2112</v>
      </c>
      <c r="B1832" s="2">
        <f>COUNTIF(A:A,A1832)-1</f>
        <v>3</v>
      </c>
      <c r="C1832" s="2">
        <f>COUNTIF(A$1:A1832,A1832)-1</f>
        <v>3</v>
      </c>
      <c r="D1832" s="2" t="str">
        <f>Argument!D1832</f>
        <v>v</v>
      </c>
      <c r="E1832" s="2" t="str">
        <f t="shared" si="57"/>
        <v/>
      </c>
      <c r="F1832" s="2" t="str">
        <f>IF(C1832=0,ISTEXT(FORMULA.CONVERT("="&amp;A1832&amp;"("&amp;REPLACE(REPT(",#ref!",B1832),1,1,"")&amp;")()",1)),"")</f>
        <v/>
      </c>
      <c r="G1832" s="2">
        <f>TYPE(_xlfn.CHISQ.DIST(IF(1,1),IF(1,1),{1}))</f>
        <v>64</v>
      </c>
      <c r="H1832" s="2" t="str">
        <f t="shared" si="58"/>
        <v/>
      </c>
      <c r="I1832" s="2">
        <f>TYPE(_xlfn.CHISQ.DIST(IF(1,1),IF(1,1),IF(1,1)))</f>
        <v>1</v>
      </c>
      <c r="J1832" s="2" t="str">
        <f>IF(C1832=0,COUNTIFS(A:A,A1832,D:D,"a"),"")</f>
        <v/>
      </c>
      <c r="K1832" s="2" t="e">
        <f>INDEX(+_xlfn.CHISQ.DIST(#REF!,#REF!,K1832:L1832),)</f>
        <v>#REF!</v>
      </c>
      <c r="L1832" s="1">
        <v>1</v>
      </c>
      <c r="M1832" s="2" t="e">
        <f>INDEX(+_xlfn.CHISQ.DIST(#REF!,#REF!,INDIRECT(M1832:N1832)),)</f>
        <v>#REF!</v>
      </c>
      <c r="N1832" s="1">
        <v>1</v>
      </c>
    </row>
    <row r="1833" spans="1:14" x14ac:dyDescent="0.55000000000000004">
      <c r="A1833" s="1" t="s">
        <v>2113</v>
      </c>
      <c r="B1833" s="2">
        <f>COUNTIF(A:A,A1833)-1</f>
        <v>2</v>
      </c>
      <c r="C1833" s="2">
        <f>COUNTIF(A$1:A1833,A1833)-1</f>
        <v>0</v>
      </c>
      <c r="D1833" s="2" t="str">
        <f>Argument!D1833</f>
        <v/>
      </c>
      <c r="E1833" s="2" t="str">
        <f t="shared" si="57"/>
        <v>v</v>
      </c>
      <c r="F1833" s="2" t="b">
        <f>IF(C1833=0,ISTEXT(FORMULA.CONVERT("="&amp;A1833&amp;"("&amp;REPLACE(REPT(",#ref!",B1833),1,1,"")&amp;")()",1)),"")</f>
        <v>0</v>
      </c>
      <c r="G1833" s="2"/>
      <c r="H1833" s="2" t="str">
        <f t="shared" si="58"/>
        <v/>
      </c>
      <c r="I1833" s="2">
        <f>TYPE(_xlfn.CHISQ.DIST.RT(IF(1,1),IF(1,1)))</f>
        <v>1</v>
      </c>
      <c r="J1833" s="2">
        <f>IF(C1833=0,COUNTIFS(A:A,A1833,D:D,"a"),"")</f>
        <v>0</v>
      </c>
      <c r="K1833" s="2"/>
      <c r="M1833" s="2"/>
    </row>
    <row r="1834" spans="1:14" x14ac:dyDescent="0.55000000000000004">
      <c r="A1834" s="1" t="s">
        <v>2113</v>
      </c>
      <c r="B1834" s="2">
        <f>COUNTIF(A:A,A1834)-1</f>
        <v>2</v>
      </c>
      <c r="C1834" s="2">
        <f>COUNTIF(A$1:A1834,A1834)-1</f>
        <v>1</v>
      </c>
      <c r="D1834" s="2" t="str">
        <f>Argument!D1834</f>
        <v>v</v>
      </c>
      <c r="E1834" s="2" t="str">
        <f t="shared" si="57"/>
        <v/>
      </c>
      <c r="F1834" s="2" t="str">
        <f>IF(C1834=0,ISTEXT(FORMULA.CONVERT("="&amp;A1834&amp;"("&amp;REPLACE(REPT(",#ref!",B1834),1,1,"")&amp;")()",1)),"")</f>
        <v/>
      </c>
      <c r="G1834" s="2">
        <f>TYPE(_xlfn.CHISQ.DIST.RT({1},IF(1,1)))</f>
        <v>64</v>
      </c>
      <c r="H1834" s="2" t="str">
        <f t="shared" si="58"/>
        <v/>
      </c>
      <c r="I1834" s="2">
        <f>TYPE(_xlfn.CHISQ.DIST.RT(IF(1,1),IF(1,1)))</f>
        <v>1</v>
      </c>
      <c r="J1834" s="2" t="str">
        <f>IF(C1834=0,COUNTIFS(A:A,A1834,D:D,"a"),"")</f>
        <v/>
      </c>
      <c r="K1834" s="2" t="e">
        <f>INDEX(+_xlfn.CHISQ.DIST.RT(K1834:L1834,#REF!),)</f>
        <v>#REF!</v>
      </c>
      <c r="L1834" s="1">
        <v>1</v>
      </c>
      <c r="M1834" s="2" t="e">
        <f>INDEX(+_xlfn.CHISQ.DIST.RT(INDIRECT(M1834:N1834),#REF!),)</f>
        <v>#REF!</v>
      </c>
      <c r="N1834" s="1">
        <v>1</v>
      </c>
    </row>
    <row r="1835" spans="1:14" x14ac:dyDescent="0.55000000000000004">
      <c r="A1835" s="1" t="s">
        <v>2113</v>
      </c>
      <c r="B1835" s="2">
        <f>COUNTIF(A:A,A1835)-1</f>
        <v>2</v>
      </c>
      <c r="C1835" s="2">
        <f>COUNTIF(A$1:A1835,A1835)-1</f>
        <v>2</v>
      </c>
      <c r="D1835" s="2" t="str">
        <f>Argument!D1835</f>
        <v>v</v>
      </c>
      <c r="E1835" s="2" t="str">
        <f t="shared" si="57"/>
        <v/>
      </c>
      <c r="F1835" s="2" t="str">
        <f>IF(C1835=0,ISTEXT(FORMULA.CONVERT("="&amp;A1835&amp;"("&amp;REPLACE(REPT(",#ref!",B1835),1,1,"")&amp;")()",1)),"")</f>
        <v/>
      </c>
      <c r="G1835" s="2">
        <f>TYPE(_xlfn.CHISQ.DIST.RT(IF(1,1),{1}))</f>
        <v>64</v>
      </c>
      <c r="H1835" s="2" t="str">
        <f t="shared" si="58"/>
        <v/>
      </c>
      <c r="I1835" s="2">
        <f>TYPE(_xlfn.CHISQ.DIST.RT(IF(1,1),IF(1,1)))</f>
        <v>1</v>
      </c>
      <c r="J1835" s="2" t="str">
        <f>IF(C1835=0,COUNTIFS(A:A,A1835,D:D,"a"),"")</f>
        <v/>
      </c>
      <c r="K1835" s="2" t="e">
        <f>INDEX(+_xlfn.CHISQ.DIST.RT(#REF!,K1835:L1835),)</f>
        <v>#REF!</v>
      </c>
      <c r="L1835" s="1">
        <v>1</v>
      </c>
      <c r="M1835" s="2" t="e">
        <f>INDEX(+_xlfn.CHISQ.DIST.RT(#REF!,INDIRECT(M1835:N1835)),)</f>
        <v>#REF!</v>
      </c>
      <c r="N1835" s="1">
        <v>1</v>
      </c>
    </row>
    <row r="1836" spans="1:14" x14ac:dyDescent="0.55000000000000004">
      <c r="A1836" s="1" t="s">
        <v>2114</v>
      </c>
      <c r="B1836" s="2">
        <f>COUNTIF(A:A,A1836)-1</f>
        <v>2</v>
      </c>
      <c r="C1836" s="2">
        <f>COUNTIF(A$1:A1836,A1836)-1</f>
        <v>0</v>
      </c>
      <c r="D1836" s="2" t="str">
        <f>Argument!D1836</f>
        <v/>
      </c>
      <c r="E1836" s="2" t="str">
        <f t="shared" si="57"/>
        <v>v</v>
      </c>
      <c r="F1836" s="2" t="b">
        <f>IF(C1836=0,ISTEXT(FORMULA.CONVERT("="&amp;A1836&amp;"("&amp;REPLACE(REPT(",#ref!",B1836),1,1,"")&amp;")()",1)),"")</f>
        <v>0</v>
      </c>
      <c r="G1836" s="2"/>
      <c r="H1836" s="2" t="str">
        <f t="shared" si="58"/>
        <v/>
      </c>
      <c r="I1836" s="2">
        <f>TYPE(_xlfn.CHISQ.INV(IF(1,1),IF(1,1)))</f>
        <v>16</v>
      </c>
      <c r="J1836" s="2">
        <f>IF(C1836=0,COUNTIFS(A:A,A1836,D:D,"a"),"")</f>
        <v>0</v>
      </c>
      <c r="K1836" s="2"/>
      <c r="M1836" s="2"/>
    </row>
    <row r="1837" spans="1:14" x14ac:dyDescent="0.55000000000000004">
      <c r="A1837" s="1" t="s">
        <v>2114</v>
      </c>
      <c r="B1837" s="2">
        <f>COUNTIF(A:A,A1837)-1</f>
        <v>2</v>
      </c>
      <c r="C1837" s="2">
        <f>COUNTIF(A$1:A1837,A1837)-1</f>
        <v>1</v>
      </c>
      <c r="D1837" s="2" t="str">
        <f>Argument!D1837</f>
        <v>v</v>
      </c>
      <c r="E1837" s="2" t="str">
        <f t="shared" si="57"/>
        <v/>
      </c>
      <c r="F1837" s="2" t="str">
        <f>IF(C1837=0,ISTEXT(FORMULA.CONVERT("="&amp;A1837&amp;"("&amp;REPLACE(REPT(",#ref!",B1837),1,1,"")&amp;")()",1)),"")</f>
        <v/>
      </c>
      <c r="G1837" s="2">
        <f>TYPE(_xlfn.CHISQ.INV({1},IF(1,1)))</f>
        <v>64</v>
      </c>
      <c r="H1837" s="2" t="str">
        <f t="shared" si="58"/>
        <v/>
      </c>
      <c r="I1837" s="2">
        <f>TYPE(_xlfn.CHISQ.INV(IF(1,1),IF(1,1)))</f>
        <v>16</v>
      </c>
      <c r="J1837" s="2" t="str">
        <f>IF(C1837=0,COUNTIFS(A:A,A1837,D:D,"a"),"")</f>
        <v/>
      </c>
      <c r="K1837" s="2" t="e">
        <f>INDEX(+_xlfn.CHISQ.INV(K1837:L1837,#REF!),)</f>
        <v>#REF!</v>
      </c>
      <c r="L1837" s="1">
        <v>1</v>
      </c>
      <c r="M1837" s="2" t="e">
        <f>INDEX(+_xlfn.CHISQ.INV(INDIRECT(M1837:N1837),#REF!),)</f>
        <v>#REF!</v>
      </c>
      <c r="N1837" s="1">
        <v>1</v>
      </c>
    </row>
    <row r="1838" spans="1:14" x14ac:dyDescent="0.55000000000000004">
      <c r="A1838" s="1" t="s">
        <v>2114</v>
      </c>
      <c r="B1838" s="2">
        <f>COUNTIF(A:A,A1838)-1</f>
        <v>2</v>
      </c>
      <c r="C1838" s="2">
        <f>COUNTIF(A$1:A1838,A1838)-1</f>
        <v>2</v>
      </c>
      <c r="D1838" s="2" t="str">
        <f>Argument!D1838</f>
        <v>v</v>
      </c>
      <c r="E1838" s="2" t="str">
        <f t="shared" si="57"/>
        <v/>
      </c>
      <c r="F1838" s="2" t="str">
        <f>IF(C1838=0,ISTEXT(FORMULA.CONVERT("="&amp;A1838&amp;"("&amp;REPLACE(REPT(",#ref!",B1838),1,1,"")&amp;")()",1)),"")</f>
        <v/>
      </c>
      <c r="G1838" s="2">
        <f>TYPE(_xlfn.CHISQ.INV(IF(1,1),{1}))</f>
        <v>64</v>
      </c>
      <c r="H1838" s="2" t="str">
        <f t="shared" si="58"/>
        <v/>
      </c>
      <c r="I1838" s="2">
        <f>TYPE(_xlfn.CHISQ.INV(IF(1,1),IF(1,1)))</f>
        <v>16</v>
      </c>
      <c r="J1838" s="2" t="str">
        <f>IF(C1838=0,COUNTIFS(A:A,A1838,D:D,"a"),"")</f>
        <v/>
      </c>
      <c r="K1838" s="2" t="e">
        <f>INDEX(+_xlfn.CHISQ.INV(#REF!,K1838:L1838),)</f>
        <v>#REF!</v>
      </c>
      <c r="L1838" s="1">
        <v>1</v>
      </c>
      <c r="M1838" s="2" t="e">
        <f>INDEX(+_xlfn.CHISQ.INV(#REF!,INDIRECT(M1838:N1838)),)</f>
        <v>#REF!</v>
      </c>
      <c r="N1838" s="1">
        <v>1</v>
      </c>
    </row>
    <row r="1839" spans="1:14" x14ac:dyDescent="0.55000000000000004">
      <c r="A1839" s="1" t="s">
        <v>2115</v>
      </c>
      <c r="B1839" s="2">
        <f>COUNTIF(A:A,A1839)-1</f>
        <v>2</v>
      </c>
      <c r="C1839" s="2">
        <f>COUNTIF(A$1:A1839,A1839)-1</f>
        <v>0</v>
      </c>
      <c r="D1839" s="2" t="str">
        <f>Argument!D1839</f>
        <v/>
      </c>
      <c r="E1839" s="2" t="str">
        <f t="shared" si="57"/>
        <v>v</v>
      </c>
      <c r="F1839" s="2" t="b">
        <f>IF(C1839=0,ISTEXT(FORMULA.CONVERT("="&amp;A1839&amp;"("&amp;REPLACE(REPT(",#ref!",B1839),1,1,"")&amp;")()",1)),"")</f>
        <v>0</v>
      </c>
      <c r="G1839" s="2"/>
      <c r="H1839" s="2" t="str">
        <f t="shared" si="58"/>
        <v/>
      </c>
      <c r="I1839" s="2">
        <f>TYPE(_xlfn.CHISQ.INV.RT(IF(1,1),IF(1,1)))</f>
        <v>1</v>
      </c>
      <c r="J1839" s="2">
        <f>IF(C1839=0,COUNTIFS(A:A,A1839,D:D,"a"),"")</f>
        <v>0</v>
      </c>
      <c r="K1839" s="2"/>
      <c r="M1839" s="2"/>
    </row>
    <row r="1840" spans="1:14" x14ac:dyDescent="0.55000000000000004">
      <c r="A1840" s="1" t="s">
        <v>2115</v>
      </c>
      <c r="B1840" s="2">
        <f>COUNTIF(A:A,A1840)-1</f>
        <v>2</v>
      </c>
      <c r="C1840" s="2">
        <f>COUNTIF(A$1:A1840,A1840)-1</f>
        <v>1</v>
      </c>
      <c r="D1840" s="2" t="str">
        <f>Argument!D1840</f>
        <v>v</v>
      </c>
      <c r="E1840" s="2" t="str">
        <f t="shared" si="57"/>
        <v/>
      </c>
      <c r="F1840" s="2" t="str">
        <f>IF(C1840=0,ISTEXT(FORMULA.CONVERT("="&amp;A1840&amp;"("&amp;REPLACE(REPT(",#ref!",B1840),1,1,"")&amp;")()",1)),"")</f>
        <v/>
      </c>
      <c r="G1840" s="2">
        <f>TYPE(_xlfn.CHISQ.INV.RT({1},IF(1,1)))</f>
        <v>64</v>
      </c>
      <c r="H1840" s="2" t="str">
        <f t="shared" si="58"/>
        <v/>
      </c>
      <c r="I1840" s="2">
        <f>TYPE(_xlfn.CHISQ.INV.RT(IF(1,1),IF(1,1)))</f>
        <v>1</v>
      </c>
      <c r="J1840" s="2" t="str">
        <f>IF(C1840=0,COUNTIFS(A:A,A1840,D:D,"a"),"")</f>
        <v/>
      </c>
      <c r="K1840" s="2" t="e">
        <f>INDEX(+_xlfn.CHISQ.INV.RT(K1840:L1840,#REF!),)</f>
        <v>#REF!</v>
      </c>
      <c r="L1840" s="1">
        <v>1</v>
      </c>
      <c r="M1840" s="2" t="e">
        <f>INDEX(+_xlfn.CHISQ.INV.RT(INDIRECT(M1840:N1840),#REF!),)</f>
        <v>#REF!</v>
      </c>
      <c r="N1840" s="1">
        <v>1</v>
      </c>
    </row>
    <row r="1841" spans="1:14" x14ac:dyDescent="0.55000000000000004">
      <c r="A1841" s="1" t="s">
        <v>2115</v>
      </c>
      <c r="B1841" s="2">
        <f>COUNTIF(A:A,A1841)-1</f>
        <v>2</v>
      </c>
      <c r="C1841" s="2">
        <f>COUNTIF(A$1:A1841,A1841)-1</f>
        <v>2</v>
      </c>
      <c r="D1841" s="2" t="str">
        <f>Argument!D1841</f>
        <v>v</v>
      </c>
      <c r="E1841" s="2" t="str">
        <f t="shared" si="57"/>
        <v/>
      </c>
      <c r="F1841" s="2" t="str">
        <f>IF(C1841=0,ISTEXT(FORMULA.CONVERT("="&amp;A1841&amp;"("&amp;REPLACE(REPT(",#ref!",B1841),1,1,"")&amp;")()",1)),"")</f>
        <v/>
      </c>
      <c r="G1841" s="2">
        <f>TYPE(_xlfn.CHISQ.INV.RT(IF(1,1),{1}))</f>
        <v>64</v>
      </c>
      <c r="H1841" s="2" t="str">
        <f t="shared" si="58"/>
        <v/>
      </c>
      <c r="I1841" s="2">
        <f>TYPE(_xlfn.CHISQ.INV.RT(IF(1,1),IF(1,1)))</f>
        <v>1</v>
      </c>
      <c r="J1841" s="2" t="str">
        <f>IF(C1841=0,COUNTIFS(A:A,A1841,D:D,"a"),"")</f>
        <v/>
      </c>
      <c r="K1841" s="2" t="e">
        <f>INDEX(+_xlfn.CHISQ.INV.RT(#REF!,K1841:L1841),)</f>
        <v>#REF!</v>
      </c>
      <c r="L1841" s="1">
        <v>1</v>
      </c>
      <c r="M1841" s="2" t="e">
        <f>INDEX(+_xlfn.CHISQ.INV.RT(#REF!,INDIRECT(M1841:N1841)),)</f>
        <v>#REF!</v>
      </c>
      <c r="N1841" s="1">
        <v>1</v>
      </c>
    </row>
    <row r="1842" spans="1:14" x14ac:dyDescent="0.55000000000000004">
      <c r="A1842" s="1" t="s">
        <v>2116</v>
      </c>
      <c r="B1842" s="2">
        <f>COUNTIF(A:A,A1842)-1</f>
        <v>4</v>
      </c>
      <c r="C1842" s="2">
        <f>COUNTIF(A$1:A1842,A1842)-1</f>
        <v>0</v>
      </c>
      <c r="D1842" s="2" t="str">
        <f>Argument!D1842</f>
        <v/>
      </c>
      <c r="E1842" s="2" t="str">
        <f t="shared" si="57"/>
        <v>v</v>
      </c>
      <c r="F1842" s="2" t="b">
        <f>IF(C1842=0,ISTEXT(FORMULA.CONVERT("="&amp;A1842&amp;"("&amp;REPLACE(REPT(",#ref!",B1842),1,1,"")&amp;")()",1)),"")</f>
        <v>0</v>
      </c>
      <c r="G1842" s="2"/>
      <c r="H1842" s="2" t="str">
        <f t="shared" si="58"/>
        <v/>
      </c>
      <c r="I1842" s="2">
        <f>TYPE(_xlfn.F.DIST(IF(1,1),IF(1,1),IF(1,1),IF(1,1)))</f>
        <v>1</v>
      </c>
      <c r="J1842" s="2">
        <f>IF(C1842=0,COUNTIFS(A:A,A1842,D:D,"a"),"")</f>
        <v>0</v>
      </c>
      <c r="K1842" s="2"/>
      <c r="M1842" s="2"/>
    </row>
    <row r="1843" spans="1:14" x14ac:dyDescent="0.55000000000000004">
      <c r="A1843" s="1" t="s">
        <v>2116</v>
      </c>
      <c r="B1843" s="2">
        <f>COUNTIF(A:A,A1843)-1</f>
        <v>4</v>
      </c>
      <c r="C1843" s="2">
        <f>COUNTIF(A$1:A1843,A1843)-1</f>
        <v>1</v>
      </c>
      <c r="D1843" s="2" t="str">
        <f>Argument!D1843</f>
        <v>v</v>
      </c>
      <c r="E1843" s="2" t="str">
        <f t="shared" si="57"/>
        <v/>
      </c>
      <c r="F1843" s="2" t="str">
        <f>IF(C1843=0,ISTEXT(FORMULA.CONVERT("="&amp;A1843&amp;"("&amp;REPLACE(REPT(",#ref!",B1843),1,1,"")&amp;")()",1)),"")</f>
        <v/>
      </c>
      <c r="G1843" s="2">
        <f>TYPE(_xlfn.F.DIST({1},IF(1,1),IF(1,1),IF(1,1)))</f>
        <v>64</v>
      </c>
      <c r="H1843" s="2" t="str">
        <f t="shared" si="58"/>
        <v/>
      </c>
      <c r="I1843" s="2">
        <f>TYPE(_xlfn.F.DIST(IF(1,1),IF(1,1),IF(1,1),IF(1,1)))</f>
        <v>1</v>
      </c>
      <c r="J1843" s="2" t="str">
        <f>IF(C1843=0,COUNTIFS(A:A,A1843,D:D,"a"),"")</f>
        <v/>
      </c>
      <c r="K1843" s="2" t="e">
        <f>INDEX(+_xlfn.F.DIST(K1843:L1843,#REF!,#REF!,#REF!),)</f>
        <v>#REF!</v>
      </c>
      <c r="L1843" s="1">
        <v>1</v>
      </c>
      <c r="M1843" s="2" t="e">
        <f>INDEX(+_xlfn.F.DIST(INDIRECT(M1843:N1843),#REF!,#REF!,#REF!),)</f>
        <v>#REF!</v>
      </c>
      <c r="N1843" s="1">
        <v>1</v>
      </c>
    </row>
    <row r="1844" spans="1:14" x14ac:dyDescent="0.55000000000000004">
      <c r="A1844" s="1" t="s">
        <v>2116</v>
      </c>
      <c r="B1844" s="2">
        <f>COUNTIF(A:A,A1844)-1</f>
        <v>4</v>
      </c>
      <c r="C1844" s="2">
        <f>COUNTIF(A$1:A1844,A1844)-1</f>
        <v>2</v>
      </c>
      <c r="D1844" s="2" t="str">
        <f>Argument!D1844</f>
        <v>v</v>
      </c>
      <c r="E1844" s="2" t="str">
        <f t="shared" si="57"/>
        <v/>
      </c>
      <c r="F1844" s="2" t="str">
        <f>IF(C1844=0,ISTEXT(FORMULA.CONVERT("="&amp;A1844&amp;"("&amp;REPLACE(REPT(",#ref!",B1844),1,1,"")&amp;")()",1)),"")</f>
        <v/>
      </c>
      <c r="G1844" s="2">
        <f>TYPE(_xlfn.F.DIST(IF(1,1),{1},IF(1,1),IF(1,1)))</f>
        <v>64</v>
      </c>
      <c r="H1844" s="2" t="str">
        <f t="shared" si="58"/>
        <v/>
      </c>
      <c r="I1844" s="2">
        <f>TYPE(_xlfn.F.DIST(IF(1,1),IF(1,1),IF(1,1),IF(1,1)))</f>
        <v>1</v>
      </c>
      <c r="J1844" s="2" t="str">
        <f>IF(C1844=0,COUNTIFS(A:A,A1844,D:D,"a"),"")</f>
        <v/>
      </c>
      <c r="K1844" s="2" t="e">
        <f>INDEX(+_xlfn.F.DIST(#REF!,K1844:L1844,#REF!,#REF!),)</f>
        <v>#REF!</v>
      </c>
      <c r="L1844" s="1">
        <v>1</v>
      </c>
      <c r="M1844" s="2" t="e">
        <f>INDEX(+_xlfn.F.DIST(#REF!,INDIRECT(M1844:N1844),#REF!,#REF!),)</f>
        <v>#REF!</v>
      </c>
      <c r="N1844" s="1">
        <v>1</v>
      </c>
    </row>
    <row r="1845" spans="1:14" x14ac:dyDescent="0.55000000000000004">
      <c r="A1845" s="1" t="s">
        <v>2116</v>
      </c>
      <c r="B1845" s="2">
        <f>COUNTIF(A:A,A1845)-1</f>
        <v>4</v>
      </c>
      <c r="C1845" s="2">
        <f>COUNTIF(A$1:A1845,A1845)-1</f>
        <v>3</v>
      </c>
      <c r="D1845" s="2" t="str">
        <f>Argument!D1845</f>
        <v>v</v>
      </c>
      <c r="E1845" s="2" t="str">
        <f t="shared" si="57"/>
        <v/>
      </c>
      <c r="F1845" s="2" t="str">
        <f>IF(C1845=0,ISTEXT(FORMULA.CONVERT("="&amp;A1845&amp;"("&amp;REPLACE(REPT(",#ref!",B1845),1,1,"")&amp;")()",1)),"")</f>
        <v/>
      </c>
      <c r="G1845" s="2">
        <f>TYPE(_xlfn.F.DIST(IF(1,1),IF(1,1),{1},IF(1,1)))</f>
        <v>64</v>
      </c>
      <c r="H1845" s="2" t="str">
        <f t="shared" si="58"/>
        <v/>
      </c>
      <c r="I1845" s="2">
        <f>TYPE(_xlfn.F.DIST(IF(1,1),IF(1,1),IF(1,1),IF(1,1)))</f>
        <v>1</v>
      </c>
      <c r="J1845" s="2" t="str">
        <f>IF(C1845=0,COUNTIFS(A:A,A1845,D:D,"a"),"")</f>
        <v/>
      </c>
      <c r="K1845" s="2" t="e">
        <f>INDEX(+_xlfn.F.DIST(#REF!,#REF!,K1845:L1845,#REF!),)</f>
        <v>#REF!</v>
      </c>
      <c r="L1845" s="1">
        <v>1</v>
      </c>
      <c r="M1845" s="2" t="e">
        <f>INDEX(+_xlfn.F.DIST(#REF!,#REF!,INDIRECT(M1845:N1845),#REF!),)</f>
        <v>#REF!</v>
      </c>
      <c r="N1845" s="1">
        <v>1</v>
      </c>
    </row>
    <row r="1846" spans="1:14" x14ac:dyDescent="0.55000000000000004">
      <c r="A1846" s="1" t="s">
        <v>2116</v>
      </c>
      <c r="B1846" s="2">
        <f>COUNTIF(A:A,A1846)-1</f>
        <v>4</v>
      </c>
      <c r="C1846" s="2">
        <f>COUNTIF(A$1:A1846,A1846)-1</f>
        <v>4</v>
      </c>
      <c r="D1846" s="2" t="str">
        <f>Argument!D1846</f>
        <v>v</v>
      </c>
      <c r="E1846" s="2" t="str">
        <f t="shared" si="57"/>
        <v/>
      </c>
      <c r="F1846" s="2" t="str">
        <f>IF(C1846=0,ISTEXT(FORMULA.CONVERT("="&amp;A1846&amp;"("&amp;REPLACE(REPT(",#ref!",B1846),1,1,"")&amp;")()",1)),"")</f>
        <v/>
      </c>
      <c r="G1846" s="2">
        <f>TYPE(_xlfn.F.DIST(IF(1,1),IF(1,1),IF(1,1),{1}))</f>
        <v>64</v>
      </c>
      <c r="H1846" s="2" t="str">
        <f t="shared" si="58"/>
        <v/>
      </c>
      <c r="I1846" s="2">
        <f>TYPE(_xlfn.F.DIST(IF(1,1),IF(1,1),IF(1,1),IF(1,1)))</f>
        <v>1</v>
      </c>
      <c r="J1846" s="2" t="str">
        <f>IF(C1846=0,COUNTIFS(A:A,A1846,D:D,"a"),"")</f>
        <v/>
      </c>
      <c r="K1846" s="2" t="e">
        <f>INDEX(+_xlfn.F.DIST(#REF!,#REF!,#REF!,K1846:L1846),)</f>
        <v>#REF!</v>
      </c>
      <c r="L1846" s="1">
        <v>1</v>
      </c>
      <c r="M1846" s="2" t="e">
        <f>INDEX(+_xlfn.F.DIST(#REF!,#REF!,#REF!,INDIRECT(M1846:N1846)),)</f>
        <v>#REF!</v>
      </c>
      <c r="N1846" s="1">
        <v>1</v>
      </c>
    </row>
    <row r="1847" spans="1:14" x14ac:dyDescent="0.55000000000000004">
      <c r="A1847" s="1" t="s">
        <v>2117</v>
      </c>
      <c r="B1847" s="2">
        <f>COUNTIF(A:A,A1847)-1</f>
        <v>3</v>
      </c>
      <c r="C1847" s="2">
        <f>COUNTIF(A$1:A1847,A1847)-1</f>
        <v>0</v>
      </c>
      <c r="D1847" s="2" t="str">
        <f>Argument!D1847</f>
        <v/>
      </c>
      <c r="E1847" s="2" t="str">
        <f t="shared" si="57"/>
        <v>v</v>
      </c>
      <c r="F1847" s="2" t="b">
        <f>IF(C1847=0,ISTEXT(FORMULA.CONVERT("="&amp;A1847&amp;"("&amp;REPLACE(REPT(",#ref!",B1847),1,1,"")&amp;")()",1)),"")</f>
        <v>0</v>
      </c>
      <c r="G1847" s="2"/>
      <c r="H1847" s="2" t="str">
        <f t="shared" si="58"/>
        <v/>
      </c>
      <c r="I1847" s="2">
        <f>TYPE(_xlfn.F.DIST.RT(IF(1,1),IF(1,1),IF(1,1)))</f>
        <v>1</v>
      </c>
      <c r="J1847" s="2">
        <f>IF(C1847=0,COUNTIFS(A:A,A1847,D:D,"a"),"")</f>
        <v>0</v>
      </c>
      <c r="K1847" s="2"/>
      <c r="M1847" s="2"/>
    </row>
    <row r="1848" spans="1:14" x14ac:dyDescent="0.55000000000000004">
      <c r="A1848" s="1" t="s">
        <v>2117</v>
      </c>
      <c r="B1848" s="2">
        <f>COUNTIF(A:A,A1848)-1</f>
        <v>3</v>
      </c>
      <c r="C1848" s="2">
        <f>COUNTIF(A$1:A1848,A1848)-1</f>
        <v>1</v>
      </c>
      <c r="D1848" s="2" t="str">
        <f>Argument!D1848</f>
        <v>v</v>
      </c>
      <c r="E1848" s="2" t="str">
        <f t="shared" si="57"/>
        <v/>
      </c>
      <c r="F1848" s="2" t="str">
        <f>IF(C1848=0,ISTEXT(FORMULA.CONVERT("="&amp;A1848&amp;"("&amp;REPLACE(REPT(",#ref!",B1848),1,1,"")&amp;")()",1)),"")</f>
        <v/>
      </c>
      <c r="G1848" s="2">
        <f>TYPE(_xlfn.F.DIST.RT({1},IF(1,1),IF(1,1)))</f>
        <v>64</v>
      </c>
      <c r="H1848" s="2" t="str">
        <f t="shared" si="58"/>
        <v/>
      </c>
      <c r="I1848" s="2">
        <f>TYPE(_xlfn.F.DIST.RT(IF(1,1),IF(1,1),IF(1,1)))</f>
        <v>1</v>
      </c>
      <c r="J1848" s="2" t="str">
        <f>IF(C1848=0,COUNTIFS(A:A,A1848,D:D,"a"),"")</f>
        <v/>
      </c>
      <c r="K1848" s="2" t="e">
        <f>INDEX(+_xlfn.F.DIST.RT(K1848:L1848,#REF!,#REF!),)</f>
        <v>#REF!</v>
      </c>
      <c r="L1848" s="1">
        <v>1</v>
      </c>
      <c r="M1848" s="2" t="e">
        <f>INDEX(+_xlfn.F.DIST.RT(INDIRECT(M1848:N1848),#REF!,#REF!),)</f>
        <v>#REF!</v>
      </c>
      <c r="N1848" s="1">
        <v>1</v>
      </c>
    </row>
    <row r="1849" spans="1:14" x14ac:dyDescent="0.55000000000000004">
      <c r="A1849" s="1" t="s">
        <v>2117</v>
      </c>
      <c r="B1849" s="2">
        <f>COUNTIF(A:A,A1849)-1</f>
        <v>3</v>
      </c>
      <c r="C1849" s="2">
        <f>COUNTIF(A$1:A1849,A1849)-1</f>
        <v>2</v>
      </c>
      <c r="D1849" s="2" t="str">
        <f>Argument!D1849</f>
        <v>v</v>
      </c>
      <c r="E1849" s="2" t="str">
        <f t="shared" si="57"/>
        <v/>
      </c>
      <c r="F1849" s="2" t="str">
        <f>IF(C1849=0,ISTEXT(FORMULA.CONVERT("="&amp;A1849&amp;"("&amp;REPLACE(REPT(",#ref!",B1849),1,1,"")&amp;")()",1)),"")</f>
        <v/>
      </c>
      <c r="G1849" s="2">
        <f>TYPE(_xlfn.F.DIST.RT(IF(1,1),{1},IF(1,1)))</f>
        <v>64</v>
      </c>
      <c r="H1849" s="2" t="str">
        <f t="shared" si="58"/>
        <v/>
      </c>
      <c r="I1849" s="2">
        <f>TYPE(_xlfn.F.DIST.RT(IF(1,1),IF(1,1),IF(1,1)))</f>
        <v>1</v>
      </c>
      <c r="J1849" s="2" t="str">
        <f>IF(C1849=0,COUNTIFS(A:A,A1849,D:D,"a"),"")</f>
        <v/>
      </c>
      <c r="K1849" s="2" t="e">
        <f>INDEX(+_xlfn.F.DIST.RT(#REF!,K1849:L1849,#REF!),)</f>
        <v>#REF!</v>
      </c>
      <c r="L1849" s="1">
        <v>1</v>
      </c>
      <c r="M1849" s="2" t="e">
        <f>INDEX(+_xlfn.F.DIST.RT(#REF!,INDIRECT(M1849:N1849),#REF!),)</f>
        <v>#REF!</v>
      </c>
      <c r="N1849" s="1">
        <v>1</v>
      </c>
    </row>
    <row r="1850" spans="1:14" x14ac:dyDescent="0.55000000000000004">
      <c r="A1850" s="1" t="s">
        <v>2117</v>
      </c>
      <c r="B1850" s="2">
        <f>COUNTIF(A:A,A1850)-1</f>
        <v>3</v>
      </c>
      <c r="C1850" s="2">
        <f>COUNTIF(A$1:A1850,A1850)-1</f>
        <v>3</v>
      </c>
      <c r="D1850" s="2" t="str">
        <f>Argument!D1850</f>
        <v>v</v>
      </c>
      <c r="E1850" s="2" t="str">
        <f t="shared" si="57"/>
        <v/>
      </c>
      <c r="F1850" s="2" t="str">
        <f>IF(C1850=0,ISTEXT(FORMULA.CONVERT("="&amp;A1850&amp;"("&amp;REPLACE(REPT(",#ref!",B1850),1,1,"")&amp;")()",1)),"")</f>
        <v/>
      </c>
      <c r="G1850" s="2">
        <f>TYPE(_xlfn.F.DIST.RT(IF(1,1),IF(1,1),{1}))</f>
        <v>64</v>
      </c>
      <c r="H1850" s="2" t="str">
        <f t="shared" si="58"/>
        <v/>
      </c>
      <c r="I1850" s="2">
        <f>TYPE(_xlfn.F.DIST.RT(IF(1,1),IF(1,1),IF(1,1)))</f>
        <v>1</v>
      </c>
      <c r="J1850" s="2" t="str">
        <f>IF(C1850=0,COUNTIFS(A:A,A1850,D:D,"a"),"")</f>
        <v/>
      </c>
      <c r="K1850" s="2" t="e">
        <f>INDEX(+_xlfn.F.DIST.RT(#REF!,#REF!,K1850:L1850),)</f>
        <v>#REF!</v>
      </c>
      <c r="L1850" s="1">
        <v>1</v>
      </c>
      <c r="M1850" s="2" t="e">
        <f>INDEX(+_xlfn.F.DIST.RT(#REF!,#REF!,INDIRECT(M1850:N1850)),)</f>
        <v>#REF!</v>
      </c>
      <c r="N1850" s="1">
        <v>1</v>
      </c>
    </row>
    <row r="1851" spans="1:14" x14ac:dyDescent="0.55000000000000004">
      <c r="A1851" s="1" t="s">
        <v>2118</v>
      </c>
      <c r="B1851" s="2">
        <f>COUNTIF(A:A,A1851)-1</f>
        <v>3</v>
      </c>
      <c r="C1851" s="2">
        <f>COUNTIF(A$1:A1851,A1851)-1</f>
        <v>0</v>
      </c>
      <c r="D1851" s="2" t="str">
        <f>Argument!D1851</f>
        <v/>
      </c>
      <c r="E1851" s="2" t="str">
        <f t="shared" si="57"/>
        <v>v</v>
      </c>
      <c r="F1851" s="2" t="b">
        <f>IF(C1851=0,ISTEXT(FORMULA.CONVERT("="&amp;A1851&amp;"("&amp;REPLACE(REPT(",#ref!",B1851),1,1,"")&amp;")()",1)),"")</f>
        <v>0</v>
      </c>
      <c r="G1851" s="2"/>
      <c r="H1851" s="2" t="str">
        <f t="shared" si="58"/>
        <v/>
      </c>
      <c r="I1851" s="2">
        <f>TYPE(_xlfn.F.INV(IF(1,1),IF(1,1),IF(1,1)))</f>
        <v>16</v>
      </c>
      <c r="J1851" s="2">
        <f>IF(C1851=0,COUNTIFS(A:A,A1851,D:D,"a"),"")</f>
        <v>0</v>
      </c>
      <c r="K1851" s="2"/>
      <c r="M1851" s="2"/>
    </row>
    <row r="1852" spans="1:14" x14ac:dyDescent="0.55000000000000004">
      <c r="A1852" s="1" t="s">
        <v>2118</v>
      </c>
      <c r="B1852" s="2">
        <f>COUNTIF(A:A,A1852)-1</f>
        <v>3</v>
      </c>
      <c r="C1852" s="2">
        <f>COUNTIF(A$1:A1852,A1852)-1</f>
        <v>1</v>
      </c>
      <c r="D1852" s="2" t="str">
        <f>Argument!D1852</f>
        <v>v</v>
      </c>
      <c r="E1852" s="2" t="str">
        <f t="shared" si="57"/>
        <v/>
      </c>
      <c r="F1852" s="2" t="str">
        <f>IF(C1852=0,ISTEXT(FORMULA.CONVERT("="&amp;A1852&amp;"("&amp;REPLACE(REPT(",#ref!",B1852),1,1,"")&amp;")()",1)),"")</f>
        <v/>
      </c>
      <c r="G1852" s="2">
        <f>TYPE(_xlfn.F.INV({1},IF(1,1),IF(1,1)))</f>
        <v>64</v>
      </c>
      <c r="H1852" s="2" t="str">
        <f t="shared" si="58"/>
        <v/>
      </c>
      <c r="I1852" s="2">
        <f>TYPE(_xlfn.F.INV(IF(1,1),IF(1,1),IF(1,1)))</f>
        <v>16</v>
      </c>
      <c r="J1852" s="2" t="str">
        <f>IF(C1852=0,COUNTIFS(A:A,A1852,D:D,"a"),"")</f>
        <v/>
      </c>
      <c r="K1852" s="2" t="e">
        <f>INDEX(+_xlfn.F.INV(K1852:L1852,#REF!,#REF!),)</f>
        <v>#REF!</v>
      </c>
      <c r="L1852" s="1">
        <v>1</v>
      </c>
      <c r="M1852" s="2" t="e">
        <f>INDEX(+_xlfn.F.INV(INDIRECT(M1852:N1852),#REF!,#REF!),)</f>
        <v>#REF!</v>
      </c>
      <c r="N1852" s="1">
        <v>1</v>
      </c>
    </row>
    <row r="1853" spans="1:14" x14ac:dyDescent="0.55000000000000004">
      <c r="A1853" s="1" t="s">
        <v>2118</v>
      </c>
      <c r="B1853" s="2">
        <f>COUNTIF(A:A,A1853)-1</f>
        <v>3</v>
      </c>
      <c r="C1853" s="2">
        <f>COUNTIF(A$1:A1853,A1853)-1</f>
        <v>2</v>
      </c>
      <c r="D1853" s="2" t="str">
        <f>Argument!D1853</f>
        <v>v</v>
      </c>
      <c r="E1853" s="2" t="str">
        <f t="shared" si="57"/>
        <v/>
      </c>
      <c r="F1853" s="2" t="str">
        <f>IF(C1853=0,ISTEXT(FORMULA.CONVERT("="&amp;A1853&amp;"("&amp;REPLACE(REPT(",#ref!",B1853),1,1,"")&amp;")()",1)),"")</f>
        <v/>
      </c>
      <c r="G1853" s="2">
        <f>TYPE(_xlfn.F.INV(IF(1,1),{1},IF(1,1)))</f>
        <v>64</v>
      </c>
      <c r="H1853" s="2" t="str">
        <f t="shared" si="58"/>
        <v/>
      </c>
      <c r="I1853" s="2">
        <f>TYPE(_xlfn.F.INV(IF(1,1),IF(1,1),IF(1,1)))</f>
        <v>16</v>
      </c>
      <c r="J1853" s="2" t="str">
        <f>IF(C1853=0,COUNTIFS(A:A,A1853,D:D,"a"),"")</f>
        <v/>
      </c>
      <c r="K1853" s="2" t="e">
        <f>INDEX(+_xlfn.F.INV(#REF!,K1853:L1853,#REF!),)</f>
        <v>#REF!</v>
      </c>
      <c r="L1853" s="1">
        <v>1</v>
      </c>
      <c r="M1853" s="2" t="e">
        <f>INDEX(+_xlfn.F.INV(#REF!,INDIRECT(M1853:N1853),#REF!),)</f>
        <v>#REF!</v>
      </c>
      <c r="N1853" s="1">
        <v>1</v>
      </c>
    </row>
    <row r="1854" spans="1:14" x14ac:dyDescent="0.55000000000000004">
      <c r="A1854" s="1" t="s">
        <v>2118</v>
      </c>
      <c r="B1854" s="2">
        <f>COUNTIF(A:A,A1854)-1</f>
        <v>3</v>
      </c>
      <c r="C1854" s="2">
        <f>COUNTIF(A$1:A1854,A1854)-1</f>
        <v>3</v>
      </c>
      <c r="D1854" s="2" t="str">
        <f>Argument!D1854</f>
        <v>v</v>
      </c>
      <c r="E1854" s="2" t="str">
        <f t="shared" si="57"/>
        <v/>
      </c>
      <c r="F1854" s="2" t="str">
        <f>IF(C1854=0,ISTEXT(FORMULA.CONVERT("="&amp;A1854&amp;"("&amp;REPLACE(REPT(",#ref!",B1854),1,1,"")&amp;")()",1)),"")</f>
        <v/>
      </c>
      <c r="G1854" s="2">
        <f>TYPE(_xlfn.F.INV(IF(1,1),IF(1,1),{1}))</f>
        <v>64</v>
      </c>
      <c r="H1854" s="2" t="str">
        <f t="shared" si="58"/>
        <v/>
      </c>
      <c r="I1854" s="2">
        <f>TYPE(_xlfn.F.INV(IF(1,1),IF(1,1),IF(1,1)))</f>
        <v>16</v>
      </c>
      <c r="J1854" s="2" t="str">
        <f>IF(C1854=0,COUNTIFS(A:A,A1854,D:D,"a"),"")</f>
        <v/>
      </c>
      <c r="K1854" s="2" t="e">
        <f>INDEX(+_xlfn.F.INV(#REF!,#REF!,K1854:L1854),)</f>
        <v>#REF!</v>
      </c>
      <c r="L1854" s="1">
        <v>1</v>
      </c>
      <c r="M1854" s="2" t="e">
        <f>INDEX(+_xlfn.F.INV(#REF!,#REF!,INDIRECT(M1854:N1854)),)</f>
        <v>#REF!</v>
      </c>
      <c r="N1854" s="1">
        <v>1</v>
      </c>
    </row>
    <row r="1855" spans="1:14" x14ac:dyDescent="0.55000000000000004">
      <c r="A1855" s="1" t="s">
        <v>2119</v>
      </c>
      <c r="B1855" s="2">
        <f>COUNTIF(A:A,A1855)-1</f>
        <v>3</v>
      </c>
      <c r="C1855" s="2">
        <f>COUNTIF(A$1:A1855,A1855)-1</f>
        <v>0</v>
      </c>
      <c r="D1855" s="2" t="str">
        <f>Argument!D1855</f>
        <v/>
      </c>
      <c r="E1855" s="2" t="str">
        <f t="shared" si="57"/>
        <v>v</v>
      </c>
      <c r="F1855" s="2" t="b">
        <f>IF(C1855=0,ISTEXT(FORMULA.CONVERT("="&amp;A1855&amp;"("&amp;REPLACE(REPT(",#ref!",B1855),1,1,"")&amp;")()",1)),"")</f>
        <v>0</v>
      </c>
      <c r="G1855" s="2"/>
      <c r="H1855" s="2" t="str">
        <f t="shared" si="58"/>
        <v/>
      </c>
      <c r="I1855" s="2">
        <f>TYPE(_xlfn.F.INV.RT(IF(1,1),IF(1,1),IF(1,1)))</f>
        <v>1</v>
      </c>
      <c r="J1855" s="2">
        <f>IF(C1855=0,COUNTIFS(A:A,A1855,D:D,"a"),"")</f>
        <v>0</v>
      </c>
      <c r="K1855" s="2"/>
      <c r="M1855" s="2"/>
    </row>
    <row r="1856" spans="1:14" x14ac:dyDescent="0.55000000000000004">
      <c r="A1856" s="1" t="s">
        <v>2119</v>
      </c>
      <c r="B1856" s="2">
        <f>COUNTIF(A:A,A1856)-1</f>
        <v>3</v>
      </c>
      <c r="C1856" s="2">
        <f>COUNTIF(A$1:A1856,A1856)-1</f>
        <v>1</v>
      </c>
      <c r="D1856" s="2" t="str">
        <f>Argument!D1856</f>
        <v>v</v>
      </c>
      <c r="E1856" s="2" t="str">
        <f t="shared" si="57"/>
        <v/>
      </c>
      <c r="F1856" s="2" t="str">
        <f>IF(C1856=0,ISTEXT(FORMULA.CONVERT("="&amp;A1856&amp;"("&amp;REPLACE(REPT(",#ref!",B1856),1,1,"")&amp;")()",1)),"")</f>
        <v/>
      </c>
      <c r="G1856" s="2">
        <f>TYPE(_xlfn.F.INV.RT({1},IF(1,1),IF(1,1)))</f>
        <v>64</v>
      </c>
      <c r="H1856" s="2" t="str">
        <f t="shared" si="58"/>
        <v/>
      </c>
      <c r="I1856" s="2">
        <f>TYPE(_xlfn.F.INV.RT(IF(1,1),IF(1,1),IF(1,1)))</f>
        <v>1</v>
      </c>
      <c r="J1856" s="2" t="str">
        <f>IF(C1856=0,COUNTIFS(A:A,A1856,D:D,"a"),"")</f>
        <v/>
      </c>
      <c r="K1856" s="2" t="e">
        <f>INDEX(+_xlfn.F.INV.RT(K1856:L1856,#REF!,#REF!),)</f>
        <v>#REF!</v>
      </c>
      <c r="L1856" s="1">
        <v>1</v>
      </c>
      <c r="M1856" s="2" t="e">
        <f>INDEX(+_xlfn.F.INV.RT(INDIRECT(M1856:N1856),#REF!,#REF!),)</f>
        <v>#REF!</v>
      </c>
      <c r="N1856" s="1">
        <v>1</v>
      </c>
    </row>
    <row r="1857" spans="1:14" x14ac:dyDescent="0.55000000000000004">
      <c r="A1857" s="1" t="s">
        <v>2119</v>
      </c>
      <c r="B1857" s="2">
        <f>COUNTIF(A:A,A1857)-1</f>
        <v>3</v>
      </c>
      <c r="C1857" s="2">
        <f>COUNTIF(A$1:A1857,A1857)-1</f>
        <v>2</v>
      </c>
      <c r="D1857" s="2" t="str">
        <f>Argument!D1857</f>
        <v>v</v>
      </c>
      <c r="E1857" s="2" t="str">
        <f t="shared" si="57"/>
        <v/>
      </c>
      <c r="F1857" s="2" t="str">
        <f>IF(C1857=0,ISTEXT(FORMULA.CONVERT("="&amp;A1857&amp;"("&amp;REPLACE(REPT(",#ref!",B1857),1,1,"")&amp;")()",1)),"")</f>
        <v/>
      </c>
      <c r="G1857" s="2">
        <f>TYPE(_xlfn.F.INV.RT(IF(1,1),{1},IF(1,1)))</f>
        <v>64</v>
      </c>
      <c r="H1857" s="2" t="str">
        <f t="shared" si="58"/>
        <v/>
      </c>
      <c r="I1857" s="2">
        <f>TYPE(_xlfn.F.INV.RT(IF(1,1),IF(1,1),IF(1,1)))</f>
        <v>1</v>
      </c>
      <c r="J1857" s="2" t="str">
        <f>IF(C1857=0,COUNTIFS(A:A,A1857,D:D,"a"),"")</f>
        <v/>
      </c>
      <c r="K1857" s="2" t="e">
        <f>INDEX(+_xlfn.F.INV.RT(#REF!,K1857:L1857,#REF!),)</f>
        <v>#REF!</v>
      </c>
      <c r="L1857" s="1">
        <v>1</v>
      </c>
      <c r="M1857" s="2" t="e">
        <f>INDEX(+_xlfn.F.INV.RT(#REF!,INDIRECT(M1857:N1857),#REF!),)</f>
        <v>#REF!</v>
      </c>
      <c r="N1857" s="1">
        <v>1</v>
      </c>
    </row>
    <row r="1858" spans="1:14" x14ac:dyDescent="0.55000000000000004">
      <c r="A1858" s="1" t="s">
        <v>2119</v>
      </c>
      <c r="B1858" s="2">
        <f>COUNTIF(A:A,A1858)-1</f>
        <v>3</v>
      </c>
      <c r="C1858" s="2">
        <f>COUNTIF(A$1:A1858,A1858)-1</f>
        <v>3</v>
      </c>
      <c r="D1858" s="2" t="str">
        <f>Argument!D1858</f>
        <v>v</v>
      </c>
      <c r="E1858" s="2" t="str">
        <f t="shared" ref="E1858:E1921" si="59">IF(C1858=0,IF(SUMIFS(H:H,A:A,A1858),IF(COUNTIFS(A:A,A1858,G:G,64),,"v")&amp;IF(F1858,"ar","a"),IF(F1858,"r","v")),"")</f>
        <v/>
      </c>
      <c r="F1858" s="2" t="str">
        <f>IF(C1858=0,ISTEXT(FORMULA.CONVERT("="&amp;A1858&amp;"("&amp;REPLACE(REPT(",#ref!",B1858),1,1,"")&amp;")()",1)),"")</f>
        <v/>
      </c>
      <c r="G1858" s="2">
        <f>TYPE(_xlfn.F.INV.RT(IF(1,1),IF(1,1),{1}))</f>
        <v>64</v>
      </c>
      <c r="H1858" s="2" t="str">
        <f t="shared" ref="H1858:H1921" si="60">IF((I1858=64)*(J1858=B1858)+(1-L1858)*COUNTIF(D1858,"*v*")+(1-N1858)*COUNTIF(D1858,"*r*"),1,"")</f>
        <v/>
      </c>
      <c r="I1858" s="2">
        <f>TYPE(_xlfn.F.INV.RT(IF(1,1),IF(1,1),IF(1,1)))</f>
        <v>1</v>
      </c>
      <c r="J1858" s="2" t="str">
        <f>IF(C1858=0,COUNTIFS(A:A,A1858,D:D,"a"),"")</f>
        <v/>
      </c>
      <c r="K1858" s="2" t="e">
        <f>INDEX(+_xlfn.F.INV.RT(#REF!,#REF!,K1858:L1858),)</f>
        <v>#REF!</v>
      </c>
      <c r="L1858" s="1">
        <v>1</v>
      </c>
      <c r="M1858" s="2" t="e">
        <f>INDEX(+_xlfn.F.INV.RT(#REF!,#REF!,INDIRECT(M1858:N1858)),)</f>
        <v>#REF!</v>
      </c>
      <c r="N1858" s="1">
        <v>1</v>
      </c>
    </row>
    <row r="1859" spans="1:14" x14ac:dyDescent="0.55000000000000004">
      <c r="A1859" s="1" t="s">
        <v>2120</v>
      </c>
      <c r="B1859" s="2">
        <f>COUNTIF(A:A,A1859)-1</f>
        <v>5</v>
      </c>
      <c r="C1859" s="2">
        <f>COUNTIF(A$1:A1859,A1859)-1</f>
        <v>0</v>
      </c>
      <c r="D1859" s="2" t="str">
        <f>Argument!D1859</f>
        <v/>
      </c>
      <c r="E1859" s="2" t="str">
        <f t="shared" si="59"/>
        <v>v</v>
      </c>
      <c r="F1859" s="2" t="b">
        <f>IF(C1859=0,ISTEXT(FORMULA.CONVERT("="&amp;A1859&amp;"("&amp;REPLACE(REPT(",#ref!",B1859),1,1,"")&amp;")()",1)),"")</f>
        <v>0</v>
      </c>
      <c r="G1859" s="2"/>
      <c r="H1859" s="2" t="str">
        <f t="shared" si="60"/>
        <v/>
      </c>
      <c r="I1859" s="2">
        <f>TYPE(_xlfn.HYPGEOM.DIST(IF(1,1),IF(1,1),IF(1,1),IF(1,1),IF(1,1)))</f>
        <v>1</v>
      </c>
      <c r="J1859" s="2">
        <f>IF(C1859=0,COUNTIFS(A:A,A1859,D:D,"a"),"")</f>
        <v>0</v>
      </c>
      <c r="K1859" s="2"/>
      <c r="M1859" s="2"/>
    </row>
    <row r="1860" spans="1:14" x14ac:dyDescent="0.55000000000000004">
      <c r="A1860" s="1" t="s">
        <v>2120</v>
      </c>
      <c r="B1860" s="2">
        <f>COUNTIF(A:A,A1860)-1</f>
        <v>5</v>
      </c>
      <c r="C1860" s="2">
        <f>COUNTIF(A$1:A1860,A1860)-1</f>
        <v>1</v>
      </c>
      <c r="D1860" s="2" t="str">
        <f>Argument!D1860</f>
        <v>v</v>
      </c>
      <c r="E1860" s="2" t="str">
        <f t="shared" si="59"/>
        <v/>
      </c>
      <c r="F1860" s="2" t="str">
        <f>IF(C1860=0,ISTEXT(FORMULA.CONVERT("="&amp;A1860&amp;"("&amp;REPLACE(REPT(",#ref!",B1860),1,1,"")&amp;")()",1)),"")</f>
        <v/>
      </c>
      <c r="G1860" s="2">
        <f>TYPE(_xlfn.HYPGEOM.DIST({1},IF(1,1),IF(1,1),IF(1,1),IF(1,1)))</f>
        <v>64</v>
      </c>
      <c r="H1860" s="2" t="str">
        <f t="shared" si="60"/>
        <v/>
      </c>
      <c r="I1860" s="2">
        <f>TYPE(_xlfn.HYPGEOM.DIST(IF(1,1),IF(1,1),IF(1,1),IF(1,1),IF(1,1)))</f>
        <v>1</v>
      </c>
      <c r="J1860" s="2" t="str">
        <f>IF(C1860=0,COUNTIFS(A:A,A1860,D:D,"a"),"")</f>
        <v/>
      </c>
      <c r="K1860" s="2" t="e">
        <f>INDEX(+_xlfn.HYPGEOM.DIST(K1860:L1860,#REF!,#REF!,#REF!,#REF!),)</f>
        <v>#REF!</v>
      </c>
      <c r="L1860" s="1">
        <v>1</v>
      </c>
      <c r="M1860" s="2" t="e">
        <f>INDEX(+_xlfn.HYPGEOM.DIST(INDIRECT(M1860:N1860),#REF!,#REF!,#REF!,#REF!),)</f>
        <v>#REF!</v>
      </c>
      <c r="N1860" s="1">
        <v>1</v>
      </c>
    </row>
    <row r="1861" spans="1:14" x14ac:dyDescent="0.55000000000000004">
      <c r="A1861" s="1" t="s">
        <v>2120</v>
      </c>
      <c r="B1861" s="2">
        <f>COUNTIF(A:A,A1861)-1</f>
        <v>5</v>
      </c>
      <c r="C1861" s="2">
        <f>COUNTIF(A$1:A1861,A1861)-1</f>
        <v>2</v>
      </c>
      <c r="D1861" s="2" t="str">
        <f>Argument!D1861</f>
        <v>v</v>
      </c>
      <c r="E1861" s="2" t="str">
        <f t="shared" si="59"/>
        <v/>
      </c>
      <c r="F1861" s="2" t="str">
        <f>IF(C1861=0,ISTEXT(FORMULA.CONVERT("="&amp;A1861&amp;"("&amp;REPLACE(REPT(",#ref!",B1861),1,1,"")&amp;")()",1)),"")</f>
        <v/>
      </c>
      <c r="G1861" s="2">
        <f>TYPE(_xlfn.HYPGEOM.DIST(IF(1,1),{1},IF(1,1),IF(1,1),IF(1,1)))</f>
        <v>64</v>
      </c>
      <c r="H1861" s="2" t="str">
        <f t="shared" si="60"/>
        <v/>
      </c>
      <c r="I1861" s="2">
        <f>TYPE(_xlfn.HYPGEOM.DIST(IF(1,1),IF(1,1),IF(1,1),IF(1,1),IF(1,1)))</f>
        <v>1</v>
      </c>
      <c r="J1861" s="2" t="str">
        <f>IF(C1861=0,COUNTIFS(A:A,A1861,D:D,"a"),"")</f>
        <v/>
      </c>
      <c r="K1861" s="2" t="e">
        <f>INDEX(+_xlfn.HYPGEOM.DIST(#REF!,K1861:L1861,#REF!,#REF!,#REF!),)</f>
        <v>#REF!</v>
      </c>
      <c r="L1861" s="1">
        <v>1</v>
      </c>
      <c r="M1861" s="2" t="e">
        <f>INDEX(+_xlfn.HYPGEOM.DIST(#REF!,INDIRECT(M1861:N1861),#REF!,#REF!,#REF!),)</f>
        <v>#REF!</v>
      </c>
      <c r="N1861" s="1">
        <v>1</v>
      </c>
    </row>
    <row r="1862" spans="1:14" x14ac:dyDescent="0.55000000000000004">
      <c r="A1862" s="1" t="s">
        <v>2120</v>
      </c>
      <c r="B1862" s="2">
        <f>COUNTIF(A:A,A1862)-1</f>
        <v>5</v>
      </c>
      <c r="C1862" s="2">
        <f>COUNTIF(A$1:A1862,A1862)-1</f>
        <v>3</v>
      </c>
      <c r="D1862" s="2" t="str">
        <f>Argument!D1862</f>
        <v>v</v>
      </c>
      <c r="E1862" s="2" t="str">
        <f t="shared" si="59"/>
        <v/>
      </c>
      <c r="F1862" s="2" t="str">
        <f>IF(C1862=0,ISTEXT(FORMULA.CONVERT("="&amp;A1862&amp;"("&amp;REPLACE(REPT(",#ref!",B1862),1,1,"")&amp;")()",1)),"")</f>
        <v/>
      </c>
      <c r="G1862" s="2">
        <f>TYPE(_xlfn.HYPGEOM.DIST(IF(1,1),IF(1,1),{1},IF(1,1),IF(1,1)))</f>
        <v>64</v>
      </c>
      <c r="H1862" s="2" t="str">
        <f t="shared" si="60"/>
        <v/>
      </c>
      <c r="I1862" s="2">
        <f>TYPE(_xlfn.HYPGEOM.DIST(IF(1,1),IF(1,1),IF(1,1),IF(1,1),IF(1,1)))</f>
        <v>1</v>
      </c>
      <c r="J1862" s="2" t="str">
        <f>IF(C1862=0,COUNTIFS(A:A,A1862,D:D,"a"),"")</f>
        <v/>
      </c>
      <c r="K1862" s="2" t="e">
        <f>INDEX(+_xlfn.HYPGEOM.DIST(#REF!,#REF!,K1862:L1862,#REF!,#REF!),)</f>
        <v>#REF!</v>
      </c>
      <c r="L1862" s="1">
        <v>1</v>
      </c>
      <c r="M1862" s="2" t="e">
        <f>INDEX(+_xlfn.HYPGEOM.DIST(#REF!,#REF!,INDIRECT(M1862:N1862),#REF!,#REF!),)</f>
        <v>#REF!</v>
      </c>
      <c r="N1862" s="1">
        <v>1</v>
      </c>
    </row>
    <row r="1863" spans="1:14" x14ac:dyDescent="0.55000000000000004">
      <c r="A1863" s="1" t="s">
        <v>2120</v>
      </c>
      <c r="B1863" s="2">
        <f>COUNTIF(A:A,A1863)-1</f>
        <v>5</v>
      </c>
      <c r="C1863" s="2">
        <f>COUNTIF(A$1:A1863,A1863)-1</f>
        <v>4</v>
      </c>
      <c r="D1863" s="2" t="str">
        <f>Argument!D1863</f>
        <v>v</v>
      </c>
      <c r="E1863" s="2" t="str">
        <f t="shared" si="59"/>
        <v/>
      </c>
      <c r="F1863" s="2" t="str">
        <f>IF(C1863=0,ISTEXT(FORMULA.CONVERT("="&amp;A1863&amp;"("&amp;REPLACE(REPT(",#ref!",B1863),1,1,"")&amp;")()",1)),"")</f>
        <v/>
      </c>
      <c r="G1863" s="2">
        <f>TYPE(_xlfn.HYPGEOM.DIST(IF(1,1),IF(1,1),IF(1,1),{1},IF(1,1)))</f>
        <v>64</v>
      </c>
      <c r="H1863" s="2" t="str">
        <f t="shared" si="60"/>
        <v/>
      </c>
      <c r="I1863" s="2">
        <f>TYPE(_xlfn.HYPGEOM.DIST(IF(1,1),IF(1,1),IF(1,1),IF(1,1),IF(1,1)))</f>
        <v>1</v>
      </c>
      <c r="J1863" s="2" t="str">
        <f>IF(C1863=0,COUNTIFS(A:A,A1863,D:D,"a"),"")</f>
        <v/>
      </c>
      <c r="K1863" s="2" t="e">
        <f>INDEX(+_xlfn.HYPGEOM.DIST(#REF!,#REF!,#REF!,K1863:L1863,#REF!),)</f>
        <v>#REF!</v>
      </c>
      <c r="L1863" s="1">
        <v>1</v>
      </c>
      <c r="M1863" s="2" t="e">
        <f>INDEX(+_xlfn.HYPGEOM.DIST(#REF!,#REF!,#REF!,INDIRECT(M1863:N1863),#REF!),)</f>
        <v>#REF!</v>
      </c>
      <c r="N1863" s="1">
        <v>1</v>
      </c>
    </row>
    <row r="1864" spans="1:14" x14ac:dyDescent="0.55000000000000004">
      <c r="A1864" s="1" t="s">
        <v>2120</v>
      </c>
      <c r="B1864" s="2">
        <f>COUNTIF(A:A,A1864)-1</f>
        <v>5</v>
      </c>
      <c r="C1864" s="2">
        <f>COUNTIF(A$1:A1864,A1864)-1</f>
        <v>5</v>
      </c>
      <c r="D1864" s="2" t="str">
        <f>Argument!D1864</f>
        <v>v</v>
      </c>
      <c r="E1864" s="2" t="str">
        <f t="shared" si="59"/>
        <v/>
      </c>
      <c r="F1864" s="2" t="str">
        <f>IF(C1864=0,ISTEXT(FORMULA.CONVERT("="&amp;A1864&amp;"("&amp;REPLACE(REPT(",#ref!",B1864),1,1,"")&amp;")()",1)),"")</f>
        <v/>
      </c>
      <c r="G1864" s="2">
        <f>TYPE(_xlfn.HYPGEOM.DIST(IF(1,1),IF(1,1),IF(1,1),IF(1,1),{1}))</f>
        <v>64</v>
      </c>
      <c r="H1864" s="2" t="str">
        <f t="shared" si="60"/>
        <v/>
      </c>
      <c r="I1864" s="2">
        <f>TYPE(_xlfn.HYPGEOM.DIST(IF(1,1),IF(1,1),IF(1,1),IF(1,1),IF(1,1)))</f>
        <v>1</v>
      </c>
      <c r="J1864" s="2" t="str">
        <f>IF(C1864=0,COUNTIFS(A:A,A1864,D:D,"a"),"")</f>
        <v/>
      </c>
      <c r="K1864" s="2" t="e">
        <f>INDEX(+_xlfn.HYPGEOM.DIST(#REF!,#REF!,#REF!,#REF!,K1864:L1864),)</f>
        <v>#REF!</v>
      </c>
      <c r="L1864" s="1">
        <v>1</v>
      </c>
      <c r="M1864" s="2" t="e">
        <f>INDEX(+_xlfn.HYPGEOM.DIST(#REF!,#REF!,#REF!,#REF!,INDIRECT(M1864:N1864)),)</f>
        <v>#REF!</v>
      </c>
      <c r="N1864" s="1">
        <v>1</v>
      </c>
    </row>
    <row r="1865" spans="1:14" x14ac:dyDescent="0.55000000000000004">
      <c r="A1865" s="1" t="s">
        <v>2121</v>
      </c>
      <c r="B1865" s="2">
        <f>COUNTIF(A:A,A1865)-1</f>
        <v>4</v>
      </c>
      <c r="C1865" s="2">
        <f>COUNTIF(A$1:A1865,A1865)-1</f>
        <v>0</v>
      </c>
      <c r="D1865" s="2" t="str">
        <f>Argument!D1865</f>
        <v/>
      </c>
      <c r="E1865" s="2" t="str">
        <f t="shared" si="59"/>
        <v>v</v>
      </c>
      <c r="F1865" s="2" t="b">
        <f>IF(C1865=0,ISTEXT(FORMULA.CONVERT("="&amp;A1865&amp;"("&amp;REPLACE(REPT(",#ref!",B1865),1,1,"")&amp;")()",1)),"")</f>
        <v>0</v>
      </c>
      <c r="G1865" s="2"/>
      <c r="H1865" s="2" t="str">
        <f t="shared" si="60"/>
        <v/>
      </c>
      <c r="I1865" s="2">
        <f>TYPE(_xlfn.LOGNORM.DIST(IF(1,1),IF(1,1),IF(1,1),IF(1,1)))</f>
        <v>1</v>
      </c>
      <c r="J1865" s="2">
        <f>IF(C1865=0,COUNTIFS(A:A,A1865,D:D,"a"),"")</f>
        <v>0</v>
      </c>
      <c r="K1865" s="2"/>
      <c r="M1865" s="2"/>
    </row>
    <row r="1866" spans="1:14" x14ac:dyDescent="0.55000000000000004">
      <c r="A1866" s="1" t="s">
        <v>2121</v>
      </c>
      <c r="B1866" s="2">
        <f>COUNTIF(A:A,A1866)-1</f>
        <v>4</v>
      </c>
      <c r="C1866" s="2">
        <f>COUNTIF(A$1:A1866,A1866)-1</f>
        <v>1</v>
      </c>
      <c r="D1866" s="2" t="str">
        <f>Argument!D1866</f>
        <v>v</v>
      </c>
      <c r="E1866" s="2" t="str">
        <f t="shared" si="59"/>
        <v/>
      </c>
      <c r="F1866" s="2" t="str">
        <f>IF(C1866=0,ISTEXT(FORMULA.CONVERT("="&amp;A1866&amp;"("&amp;REPLACE(REPT(",#ref!",B1866),1,1,"")&amp;")()",1)),"")</f>
        <v/>
      </c>
      <c r="G1866" s="2">
        <f>TYPE(_xlfn.LOGNORM.DIST({1},IF(1,1),IF(1,1),IF(1,1)))</f>
        <v>64</v>
      </c>
      <c r="H1866" s="2" t="str">
        <f t="shared" si="60"/>
        <v/>
      </c>
      <c r="I1866" s="2">
        <f>TYPE(_xlfn.LOGNORM.DIST(IF(1,1),IF(1,1),IF(1,1),IF(1,1)))</f>
        <v>1</v>
      </c>
      <c r="J1866" s="2" t="str">
        <f>IF(C1866=0,COUNTIFS(A:A,A1866,D:D,"a"),"")</f>
        <v/>
      </c>
      <c r="K1866" s="2" t="e">
        <f>INDEX(+_xlfn.LOGNORM.DIST(K1866:L1866,#REF!,#REF!,#REF!),)</f>
        <v>#REF!</v>
      </c>
      <c r="L1866" s="1">
        <v>1</v>
      </c>
      <c r="M1866" s="2" t="e">
        <f>INDEX(+_xlfn.LOGNORM.DIST(INDIRECT(M1866:N1866),#REF!,#REF!,#REF!),)</f>
        <v>#REF!</v>
      </c>
      <c r="N1866" s="1">
        <v>1</v>
      </c>
    </row>
    <row r="1867" spans="1:14" x14ac:dyDescent="0.55000000000000004">
      <c r="A1867" s="1" t="s">
        <v>2121</v>
      </c>
      <c r="B1867" s="2">
        <f>COUNTIF(A:A,A1867)-1</f>
        <v>4</v>
      </c>
      <c r="C1867" s="2">
        <f>COUNTIF(A$1:A1867,A1867)-1</f>
        <v>2</v>
      </c>
      <c r="D1867" s="2" t="str">
        <f>Argument!D1867</f>
        <v>v</v>
      </c>
      <c r="E1867" s="2" t="str">
        <f t="shared" si="59"/>
        <v/>
      </c>
      <c r="F1867" s="2" t="str">
        <f>IF(C1867=0,ISTEXT(FORMULA.CONVERT("="&amp;A1867&amp;"("&amp;REPLACE(REPT(",#ref!",B1867),1,1,"")&amp;")()",1)),"")</f>
        <v/>
      </c>
      <c r="G1867" s="2">
        <f>TYPE(_xlfn.LOGNORM.DIST(IF(1,1),{1},IF(1,1),IF(1,1)))</f>
        <v>64</v>
      </c>
      <c r="H1867" s="2" t="str">
        <f t="shared" si="60"/>
        <v/>
      </c>
      <c r="I1867" s="2">
        <f>TYPE(_xlfn.LOGNORM.DIST(IF(1,1),IF(1,1),IF(1,1),IF(1,1)))</f>
        <v>1</v>
      </c>
      <c r="J1867" s="2" t="str">
        <f>IF(C1867=0,COUNTIFS(A:A,A1867,D:D,"a"),"")</f>
        <v/>
      </c>
      <c r="K1867" s="2" t="e">
        <f>INDEX(+_xlfn.LOGNORM.DIST(#REF!,K1867:L1867,#REF!,#REF!),)</f>
        <v>#REF!</v>
      </c>
      <c r="L1867" s="1">
        <v>1</v>
      </c>
      <c r="M1867" s="2" t="e">
        <f>INDEX(+_xlfn.LOGNORM.DIST(#REF!,INDIRECT(M1867:N1867),#REF!,#REF!),)</f>
        <v>#REF!</v>
      </c>
      <c r="N1867" s="1">
        <v>1</v>
      </c>
    </row>
    <row r="1868" spans="1:14" x14ac:dyDescent="0.55000000000000004">
      <c r="A1868" s="1" t="s">
        <v>2121</v>
      </c>
      <c r="B1868" s="2">
        <f>COUNTIF(A:A,A1868)-1</f>
        <v>4</v>
      </c>
      <c r="C1868" s="2">
        <f>COUNTIF(A$1:A1868,A1868)-1</f>
        <v>3</v>
      </c>
      <c r="D1868" s="2" t="str">
        <f>Argument!D1868</f>
        <v>v</v>
      </c>
      <c r="E1868" s="2" t="str">
        <f t="shared" si="59"/>
        <v/>
      </c>
      <c r="F1868" s="2" t="str">
        <f>IF(C1868=0,ISTEXT(FORMULA.CONVERT("="&amp;A1868&amp;"("&amp;REPLACE(REPT(",#ref!",B1868),1,1,"")&amp;")()",1)),"")</f>
        <v/>
      </c>
      <c r="G1868" s="2">
        <f>TYPE(_xlfn.LOGNORM.DIST(IF(1,1),IF(1,1),{1},IF(1,1)))</f>
        <v>64</v>
      </c>
      <c r="H1868" s="2" t="str">
        <f t="shared" si="60"/>
        <v/>
      </c>
      <c r="I1868" s="2">
        <f>TYPE(_xlfn.LOGNORM.DIST(IF(1,1),IF(1,1),IF(1,1),IF(1,1)))</f>
        <v>1</v>
      </c>
      <c r="J1868" s="2" t="str">
        <f>IF(C1868=0,COUNTIFS(A:A,A1868,D:D,"a"),"")</f>
        <v/>
      </c>
      <c r="K1868" s="2" t="e">
        <f>INDEX(+_xlfn.LOGNORM.DIST(#REF!,#REF!,K1868:L1868,#REF!),)</f>
        <v>#REF!</v>
      </c>
      <c r="L1868" s="1">
        <v>1</v>
      </c>
      <c r="M1868" s="2" t="e">
        <f>INDEX(+_xlfn.LOGNORM.DIST(#REF!,#REF!,INDIRECT(M1868:N1868),#REF!),)</f>
        <v>#REF!</v>
      </c>
      <c r="N1868" s="1">
        <v>1</v>
      </c>
    </row>
    <row r="1869" spans="1:14" x14ac:dyDescent="0.55000000000000004">
      <c r="A1869" s="1" t="s">
        <v>2121</v>
      </c>
      <c r="B1869" s="2">
        <f>COUNTIF(A:A,A1869)-1</f>
        <v>4</v>
      </c>
      <c r="C1869" s="2">
        <f>COUNTIF(A$1:A1869,A1869)-1</f>
        <v>4</v>
      </c>
      <c r="D1869" s="2" t="str">
        <f>Argument!D1869</f>
        <v>v</v>
      </c>
      <c r="E1869" s="2" t="str">
        <f t="shared" si="59"/>
        <v/>
      </c>
      <c r="F1869" s="2" t="str">
        <f>IF(C1869=0,ISTEXT(FORMULA.CONVERT("="&amp;A1869&amp;"("&amp;REPLACE(REPT(",#ref!",B1869),1,1,"")&amp;")()",1)),"")</f>
        <v/>
      </c>
      <c r="G1869" s="2">
        <f>TYPE(_xlfn.LOGNORM.DIST(IF(1,1),IF(1,1),IF(1,1),{1}))</f>
        <v>64</v>
      </c>
      <c r="H1869" s="2" t="str">
        <f t="shared" si="60"/>
        <v/>
      </c>
      <c r="I1869" s="2">
        <f>TYPE(_xlfn.LOGNORM.DIST(IF(1,1),IF(1,1),IF(1,1),IF(1,1)))</f>
        <v>1</v>
      </c>
      <c r="J1869" s="2" t="str">
        <f>IF(C1869=0,COUNTIFS(A:A,A1869,D:D,"a"),"")</f>
        <v/>
      </c>
      <c r="K1869" s="2" t="e">
        <f>INDEX(+_xlfn.LOGNORM.DIST(#REF!,#REF!,#REF!,K1869:L1869),)</f>
        <v>#REF!</v>
      </c>
      <c r="L1869" s="1">
        <v>1</v>
      </c>
      <c r="M1869" s="2" t="e">
        <f>INDEX(+_xlfn.LOGNORM.DIST(#REF!,#REF!,#REF!,INDIRECT(M1869:N1869)),)</f>
        <v>#REF!</v>
      </c>
      <c r="N1869" s="1">
        <v>1</v>
      </c>
    </row>
    <row r="1870" spans="1:14" x14ac:dyDescent="0.55000000000000004">
      <c r="A1870" s="1" t="s">
        <v>2122</v>
      </c>
      <c r="B1870" s="2">
        <f>COUNTIF(A:A,A1870)-1</f>
        <v>3</v>
      </c>
      <c r="C1870" s="2">
        <f>COUNTIF(A$1:A1870,A1870)-1</f>
        <v>0</v>
      </c>
      <c r="D1870" s="2" t="str">
        <f>Argument!D1870</f>
        <v/>
      </c>
      <c r="E1870" s="2" t="str">
        <f t="shared" si="59"/>
        <v>v</v>
      </c>
      <c r="F1870" s="2" t="b">
        <f>IF(C1870=0,ISTEXT(FORMULA.CONVERT("="&amp;A1870&amp;"("&amp;REPLACE(REPT(",#ref!",B1870),1,1,"")&amp;")()",1)),"")</f>
        <v>0</v>
      </c>
      <c r="G1870" s="2"/>
      <c r="H1870" s="2" t="str">
        <f t="shared" si="60"/>
        <v/>
      </c>
      <c r="I1870" s="2">
        <f>TYPE(_xlfn.LOGNORM.INV(IF(1,1),IF(1,1),IF(1,1)))</f>
        <v>16</v>
      </c>
      <c r="J1870" s="2">
        <f>IF(C1870=0,COUNTIFS(A:A,A1870,D:D,"a"),"")</f>
        <v>0</v>
      </c>
      <c r="K1870" s="2"/>
      <c r="M1870" s="2"/>
    </row>
    <row r="1871" spans="1:14" x14ac:dyDescent="0.55000000000000004">
      <c r="A1871" s="1" t="s">
        <v>2122</v>
      </c>
      <c r="B1871" s="2">
        <f>COUNTIF(A:A,A1871)-1</f>
        <v>3</v>
      </c>
      <c r="C1871" s="2">
        <f>COUNTIF(A$1:A1871,A1871)-1</f>
        <v>1</v>
      </c>
      <c r="D1871" s="2" t="str">
        <f>Argument!D1871</f>
        <v>v</v>
      </c>
      <c r="E1871" s="2" t="str">
        <f t="shared" si="59"/>
        <v/>
      </c>
      <c r="F1871" s="2" t="str">
        <f>IF(C1871=0,ISTEXT(FORMULA.CONVERT("="&amp;A1871&amp;"("&amp;REPLACE(REPT(",#ref!",B1871),1,1,"")&amp;")()",1)),"")</f>
        <v/>
      </c>
      <c r="G1871" s="2">
        <f>TYPE(_xlfn.LOGNORM.INV({1},IF(1,1),IF(1,1)))</f>
        <v>64</v>
      </c>
      <c r="H1871" s="2" t="str">
        <f t="shared" si="60"/>
        <v/>
      </c>
      <c r="I1871" s="2">
        <f>TYPE(_xlfn.LOGNORM.INV(IF(1,1),IF(1,1),IF(1,1)))</f>
        <v>16</v>
      </c>
      <c r="J1871" s="2" t="str">
        <f>IF(C1871=0,COUNTIFS(A:A,A1871,D:D,"a"),"")</f>
        <v/>
      </c>
      <c r="K1871" s="2" t="e">
        <f>INDEX(+_xlfn.LOGNORM.INV(K1871:L1871,#REF!,#REF!),)</f>
        <v>#REF!</v>
      </c>
      <c r="L1871" s="1">
        <v>1</v>
      </c>
      <c r="M1871" s="2" t="e">
        <f>INDEX(+_xlfn.LOGNORM.INV(INDIRECT(M1871:N1871),#REF!,#REF!),)</f>
        <v>#REF!</v>
      </c>
      <c r="N1871" s="1">
        <v>1</v>
      </c>
    </row>
    <row r="1872" spans="1:14" x14ac:dyDescent="0.55000000000000004">
      <c r="A1872" s="1" t="s">
        <v>2122</v>
      </c>
      <c r="B1872" s="2">
        <f>COUNTIF(A:A,A1872)-1</f>
        <v>3</v>
      </c>
      <c r="C1872" s="2">
        <f>COUNTIF(A$1:A1872,A1872)-1</f>
        <v>2</v>
      </c>
      <c r="D1872" s="2" t="str">
        <f>Argument!D1872</f>
        <v>v</v>
      </c>
      <c r="E1872" s="2" t="str">
        <f t="shared" si="59"/>
        <v/>
      </c>
      <c r="F1872" s="2" t="str">
        <f>IF(C1872=0,ISTEXT(FORMULA.CONVERT("="&amp;A1872&amp;"("&amp;REPLACE(REPT(",#ref!",B1872),1,1,"")&amp;")()",1)),"")</f>
        <v/>
      </c>
      <c r="G1872" s="2">
        <f>TYPE(_xlfn.LOGNORM.INV(IF(1,1),{1},IF(1,1)))</f>
        <v>64</v>
      </c>
      <c r="H1872" s="2" t="str">
        <f t="shared" si="60"/>
        <v/>
      </c>
      <c r="I1872" s="2">
        <f>TYPE(_xlfn.LOGNORM.INV(IF(1,1),IF(1,1),IF(1,1)))</f>
        <v>16</v>
      </c>
      <c r="J1872" s="2" t="str">
        <f>IF(C1872=0,COUNTIFS(A:A,A1872,D:D,"a"),"")</f>
        <v/>
      </c>
      <c r="K1872" s="2" t="e">
        <f>INDEX(+_xlfn.LOGNORM.INV(#REF!,K1872:L1872,#REF!),)</f>
        <v>#REF!</v>
      </c>
      <c r="L1872" s="1">
        <v>1</v>
      </c>
      <c r="M1872" s="2" t="e">
        <f>INDEX(+_xlfn.LOGNORM.INV(#REF!,INDIRECT(M1872:N1872),#REF!),)</f>
        <v>#REF!</v>
      </c>
      <c r="N1872" s="1">
        <v>1</v>
      </c>
    </row>
    <row r="1873" spans="1:14" x14ac:dyDescent="0.55000000000000004">
      <c r="A1873" s="1" t="s">
        <v>2122</v>
      </c>
      <c r="B1873" s="2">
        <f>COUNTIF(A:A,A1873)-1</f>
        <v>3</v>
      </c>
      <c r="C1873" s="2">
        <f>COUNTIF(A$1:A1873,A1873)-1</f>
        <v>3</v>
      </c>
      <c r="D1873" s="2" t="str">
        <f>Argument!D1873</f>
        <v>v</v>
      </c>
      <c r="E1873" s="2" t="str">
        <f t="shared" si="59"/>
        <v/>
      </c>
      <c r="F1873" s="2" t="str">
        <f>IF(C1873=0,ISTEXT(FORMULA.CONVERT("="&amp;A1873&amp;"("&amp;REPLACE(REPT(",#ref!",B1873),1,1,"")&amp;")()",1)),"")</f>
        <v/>
      </c>
      <c r="G1873" s="2">
        <f>TYPE(_xlfn.LOGNORM.INV(IF(1,1),IF(1,1),{1}))</f>
        <v>64</v>
      </c>
      <c r="H1873" s="2" t="str">
        <f t="shared" si="60"/>
        <v/>
      </c>
      <c r="I1873" s="2">
        <f>TYPE(_xlfn.LOGNORM.INV(IF(1,1),IF(1,1),IF(1,1)))</f>
        <v>16</v>
      </c>
      <c r="J1873" s="2" t="str">
        <f>IF(C1873=0,COUNTIFS(A:A,A1873,D:D,"a"),"")</f>
        <v/>
      </c>
      <c r="K1873" s="2" t="e">
        <f>INDEX(+_xlfn.LOGNORM.INV(#REF!,#REF!,K1873:L1873),)</f>
        <v>#REF!</v>
      </c>
      <c r="L1873" s="1">
        <v>1</v>
      </c>
      <c r="M1873" s="2" t="e">
        <f>INDEX(+_xlfn.LOGNORM.INV(#REF!,#REF!,INDIRECT(M1873:N1873)),)</f>
        <v>#REF!</v>
      </c>
      <c r="N1873" s="1">
        <v>1</v>
      </c>
    </row>
    <row r="1874" spans="1:14" x14ac:dyDescent="0.55000000000000004">
      <c r="A1874" s="1" t="s">
        <v>2123</v>
      </c>
      <c r="B1874" s="2">
        <f>COUNTIF(A:A,A1874)-1</f>
        <v>4</v>
      </c>
      <c r="C1874" s="2">
        <f>COUNTIF(A$1:A1874,A1874)-1</f>
        <v>0</v>
      </c>
      <c r="D1874" s="2" t="str">
        <f>Argument!D1874</f>
        <v/>
      </c>
      <c r="E1874" s="2" t="str">
        <f t="shared" si="59"/>
        <v>v</v>
      </c>
      <c r="F1874" s="2" t="b">
        <f>IF(C1874=0,ISTEXT(FORMULA.CONVERT("="&amp;A1874&amp;"("&amp;REPLACE(REPT(",#ref!",B1874),1,1,"")&amp;")()",1)),"")</f>
        <v>0</v>
      </c>
      <c r="G1874" s="2"/>
      <c r="H1874" s="2" t="str">
        <f t="shared" si="60"/>
        <v/>
      </c>
      <c r="I1874" s="2">
        <f>TYPE(_xlfn.NEGBINOM.DIST(IF(1,1),IF(1,1),IF(1,1),IF(1,1)))</f>
        <v>16</v>
      </c>
      <c r="J1874" s="2">
        <f>IF(C1874=0,COUNTIFS(A:A,A1874,D:D,"a"),"")</f>
        <v>0</v>
      </c>
      <c r="K1874" s="2"/>
      <c r="M1874" s="2"/>
    </row>
    <row r="1875" spans="1:14" x14ac:dyDescent="0.55000000000000004">
      <c r="A1875" s="1" t="s">
        <v>2123</v>
      </c>
      <c r="B1875" s="2">
        <f>COUNTIF(A:A,A1875)-1</f>
        <v>4</v>
      </c>
      <c r="C1875" s="2">
        <f>COUNTIF(A$1:A1875,A1875)-1</f>
        <v>1</v>
      </c>
      <c r="D1875" s="2" t="str">
        <f>Argument!D1875</f>
        <v>v</v>
      </c>
      <c r="E1875" s="2" t="str">
        <f t="shared" si="59"/>
        <v/>
      </c>
      <c r="F1875" s="2" t="str">
        <f>IF(C1875=0,ISTEXT(FORMULA.CONVERT("="&amp;A1875&amp;"("&amp;REPLACE(REPT(",#ref!",B1875),1,1,"")&amp;")()",1)),"")</f>
        <v/>
      </c>
      <c r="G1875" s="2">
        <f>TYPE(_xlfn.NEGBINOM.DIST({1},IF(1,1),IF(1,1),IF(1,1)))</f>
        <v>64</v>
      </c>
      <c r="H1875" s="2" t="str">
        <f t="shared" si="60"/>
        <v/>
      </c>
      <c r="I1875" s="2">
        <f>TYPE(_xlfn.NEGBINOM.DIST(IF(1,1),IF(1,1),IF(1,1),IF(1,1)))</f>
        <v>16</v>
      </c>
      <c r="J1875" s="2" t="str">
        <f>IF(C1875=0,COUNTIFS(A:A,A1875,D:D,"a"),"")</f>
        <v/>
      </c>
      <c r="K1875" s="2" t="e">
        <f>INDEX(+_xlfn.NEGBINOM.DIST(K1875:L1875,#REF!,#REF!,#REF!),)</f>
        <v>#REF!</v>
      </c>
      <c r="L1875" s="1">
        <v>1</v>
      </c>
      <c r="M1875" s="2" t="e">
        <f>INDEX(+_xlfn.NEGBINOM.DIST(INDIRECT(M1875:N1875),#REF!,#REF!,#REF!),)</f>
        <v>#REF!</v>
      </c>
      <c r="N1875" s="1">
        <v>1</v>
      </c>
    </row>
    <row r="1876" spans="1:14" x14ac:dyDescent="0.55000000000000004">
      <c r="A1876" s="1" t="s">
        <v>2123</v>
      </c>
      <c r="B1876" s="2">
        <f>COUNTIF(A:A,A1876)-1</f>
        <v>4</v>
      </c>
      <c r="C1876" s="2">
        <f>COUNTIF(A$1:A1876,A1876)-1</f>
        <v>2</v>
      </c>
      <c r="D1876" s="2" t="str">
        <f>Argument!D1876</f>
        <v>v</v>
      </c>
      <c r="E1876" s="2" t="str">
        <f t="shared" si="59"/>
        <v/>
      </c>
      <c r="F1876" s="2" t="str">
        <f>IF(C1876=0,ISTEXT(FORMULA.CONVERT("="&amp;A1876&amp;"("&amp;REPLACE(REPT(",#ref!",B1876),1,1,"")&amp;")()",1)),"")</f>
        <v/>
      </c>
      <c r="G1876" s="2">
        <f>TYPE(_xlfn.NEGBINOM.DIST(IF(1,1),{1},IF(1,1),IF(1,1)))</f>
        <v>64</v>
      </c>
      <c r="H1876" s="2" t="str">
        <f t="shared" si="60"/>
        <v/>
      </c>
      <c r="I1876" s="2">
        <f>TYPE(_xlfn.NEGBINOM.DIST(IF(1,1),IF(1,1),IF(1,1),IF(1,1)))</f>
        <v>16</v>
      </c>
      <c r="J1876" s="2" t="str">
        <f>IF(C1876=0,COUNTIFS(A:A,A1876,D:D,"a"),"")</f>
        <v/>
      </c>
      <c r="K1876" s="2" t="e">
        <f>INDEX(+_xlfn.NEGBINOM.DIST(#REF!,K1876:L1876,#REF!,#REF!),)</f>
        <v>#REF!</v>
      </c>
      <c r="L1876" s="1">
        <v>1</v>
      </c>
      <c r="M1876" s="2" t="e">
        <f>INDEX(+_xlfn.NEGBINOM.DIST(#REF!,INDIRECT(M1876:N1876),#REF!,#REF!),)</f>
        <v>#REF!</v>
      </c>
      <c r="N1876" s="1">
        <v>1</v>
      </c>
    </row>
    <row r="1877" spans="1:14" x14ac:dyDescent="0.55000000000000004">
      <c r="A1877" s="1" t="s">
        <v>2123</v>
      </c>
      <c r="B1877" s="2">
        <f>COUNTIF(A:A,A1877)-1</f>
        <v>4</v>
      </c>
      <c r="C1877" s="2">
        <f>COUNTIF(A$1:A1877,A1877)-1</f>
        <v>3</v>
      </c>
      <c r="D1877" s="2" t="str">
        <f>Argument!D1877</f>
        <v>v</v>
      </c>
      <c r="E1877" s="2" t="str">
        <f t="shared" si="59"/>
        <v/>
      </c>
      <c r="F1877" s="2" t="str">
        <f>IF(C1877=0,ISTEXT(FORMULA.CONVERT("="&amp;A1877&amp;"("&amp;REPLACE(REPT(",#ref!",B1877),1,1,"")&amp;")()",1)),"")</f>
        <v/>
      </c>
      <c r="G1877" s="2">
        <f>TYPE(_xlfn.NEGBINOM.DIST(IF(1,1),IF(1,1),{1},IF(1,1)))</f>
        <v>64</v>
      </c>
      <c r="H1877" s="2" t="str">
        <f t="shared" si="60"/>
        <v/>
      </c>
      <c r="I1877" s="2">
        <f>TYPE(_xlfn.NEGBINOM.DIST(IF(1,1),IF(1,1),IF(1,1),IF(1,1)))</f>
        <v>16</v>
      </c>
      <c r="J1877" s="2" t="str">
        <f>IF(C1877=0,COUNTIFS(A:A,A1877,D:D,"a"),"")</f>
        <v/>
      </c>
      <c r="K1877" s="2" t="e">
        <f>INDEX(+_xlfn.NEGBINOM.DIST(#REF!,#REF!,K1877:L1877,#REF!),)</f>
        <v>#REF!</v>
      </c>
      <c r="L1877" s="1">
        <v>1</v>
      </c>
      <c r="M1877" s="2" t="e">
        <f>INDEX(+_xlfn.NEGBINOM.DIST(#REF!,#REF!,INDIRECT(M1877:N1877),#REF!),)</f>
        <v>#REF!</v>
      </c>
      <c r="N1877" s="1">
        <v>1</v>
      </c>
    </row>
    <row r="1878" spans="1:14" x14ac:dyDescent="0.55000000000000004">
      <c r="A1878" s="1" t="s">
        <v>2123</v>
      </c>
      <c r="B1878" s="2">
        <f>COUNTIF(A:A,A1878)-1</f>
        <v>4</v>
      </c>
      <c r="C1878" s="2">
        <f>COUNTIF(A$1:A1878,A1878)-1</f>
        <v>4</v>
      </c>
      <c r="D1878" s="2" t="str">
        <f>Argument!D1878</f>
        <v>v</v>
      </c>
      <c r="E1878" s="2" t="str">
        <f t="shared" si="59"/>
        <v/>
      </c>
      <c r="F1878" s="2" t="str">
        <f>IF(C1878=0,ISTEXT(FORMULA.CONVERT("="&amp;A1878&amp;"("&amp;REPLACE(REPT(",#ref!",B1878),1,1,"")&amp;")()",1)),"")</f>
        <v/>
      </c>
      <c r="G1878" s="2">
        <f>TYPE(_xlfn.NEGBINOM.DIST(IF(1,1),IF(1,1),IF(1,1),{1}))</f>
        <v>64</v>
      </c>
      <c r="H1878" s="2" t="str">
        <f t="shared" si="60"/>
        <v/>
      </c>
      <c r="I1878" s="2">
        <f>TYPE(_xlfn.NEGBINOM.DIST(IF(1,1),IF(1,1),IF(1,1),IF(1,1)))</f>
        <v>16</v>
      </c>
      <c r="J1878" s="2" t="str">
        <f>IF(C1878=0,COUNTIFS(A:A,A1878,D:D,"a"),"")</f>
        <v/>
      </c>
      <c r="K1878" s="2" t="e">
        <f>INDEX(+_xlfn.NEGBINOM.DIST(#REF!,#REF!,#REF!,K1878:L1878),)</f>
        <v>#REF!</v>
      </c>
      <c r="L1878" s="1">
        <v>1</v>
      </c>
      <c r="M1878" s="2" t="e">
        <f>INDEX(+_xlfn.NEGBINOM.DIST(#REF!,#REF!,#REF!,INDIRECT(M1878:N1878)),)</f>
        <v>#REF!</v>
      </c>
      <c r="N1878" s="1">
        <v>1</v>
      </c>
    </row>
    <row r="1879" spans="1:14" x14ac:dyDescent="0.55000000000000004">
      <c r="A1879" s="1" t="s">
        <v>2124</v>
      </c>
      <c r="B1879" s="2">
        <f>COUNTIF(A:A,A1879)-1</f>
        <v>2</v>
      </c>
      <c r="C1879" s="2">
        <f>COUNTIF(A$1:A1879,A1879)-1</f>
        <v>0</v>
      </c>
      <c r="D1879" s="2" t="str">
        <f>Argument!D1879</f>
        <v/>
      </c>
      <c r="E1879" s="2" t="str">
        <f t="shared" si="59"/>
        <v>v</v>
      </c>
      <c r="F1879" s="2" t="b">
        <f>IF(C1879=0,ISTEXT(FORMULA.CONVERT("="&amp;A1879&amp;"("&amp;REPLACE(REPT(",#ref!",B1879),1,1,"")&amp;")()",1)),"")</f>
        <v>0</v>
      </c>
      <c r="G1879" s="2"/>
      <c r="H1879" s="2" t="str">
        <f t="shared" si="60"/>
        <v/>
      </c>
      <c r="I1879" s="2">
        <f>TYPE(_xlfn.NORM.S.DIST(IF(1,1),IF(1,1)))</f>
        <v>1</v>
      </c>
      <c r="J1879" s="2">
        <f>IF(C1879=0,COUNTIFS(A:A,A1879,D:D,"a"),"")</f>
        <v>0</v>
      </c>
      <c r="K1879" s="2"/>
      <c r="M1879" s="2"/>
    </row>
    <row r="1880" spans="1:14" x14ac:dyDescent="0.55000000000000004">
      <c r="A1880" s="1" t="s">
        <v>2124</v>
      </c>
      <c r="B1880" s="2">
        <f>COUNTIF(A:A,A1880)-1</f>
        <v>2</v>
      </c>
      <c r="C1880" s="2">
        <f>COUNTIF(A$1:A1880,A1880)-1</f>
        <v>1</v>
      </c>
      <c r="D1880" s="2" t="str">
        <f>Argument!D1880</f>
        <v>v</v>
      </c>
      <c r="E1880" s="2" t="str">
        <f t="shared" si="59"/>
        <v/>
      </c>
      <c r="F1880" s="2" t="str">
        <f>IF(C1880=0,ISTEXT(FORMULA.CONVERT("="&amp;A1880&amp;"("&amp;REPLACE(REPT(",#ref!",B1880),1,1,"")&amp;")()",1)),"")</f>
        <v/>
      </c>
      <c r="G1880" s="2">
        <f>TYPE(_xlfn.NORM.S.DIST({1},IF(1,1)))</f>
        <v>64</v>
      </c>
      <c r="H1880" s="2" t="str">
        <f t="shared" si="60"/>
        <v/>
      </c>
      <c r="I1880" s="2">
        <f>TYPE(_xlfn.NORM.S.DIST(IF(1,1),IF(1,1)))</f>
        <v>1</v>
      </c>
      <c r="J1880" s="2" t="str">
        <f>IF(C1880=0,COUNTIFS(A:A,A1880,D:D,"a"),"")</f>
        <v/>
      </c>
      <c r="K1880" s="2" t="e">
        <f>INDEX(+_xlfn.NORM.S.DIST(K1880:L1880,#REF!),)</f>
        <v>#REF!</v>
      </c>
      <c r="L1880" s="1">
        <v>1</v>
      </c>
      <c r="M1880" s="2" t="e">
        <f>INDEX(+_xlfn.NORM.S.DIST(INDIRECT(M1880:N1880),#REF!),)</f>
        <v>#REF!</v>
      </c>
      <c r="N1880" s="1">
        <v>1</v>
      </c>
    </row>
    <row r="1881" spans="1:14" x14ac:dyDescent="0.55000000000000004">
      <c r="A1881" s="1" t="s">
        <v>2124</v>
      </c>
      <c r="B1881" s="2">
        <f>COUNTIF(A:A,A1881)-1</f>
        <v>2</v>
      </c>
      <c r="C1881" s="2">
        <f>COUNTIF(A$1:A1881,A1881)-1</f>
        <v>2</v>
      </c>
      <c r="D1881" s="2" t="str">
        <f>Argument!D1881</f>
        <v>v</v>
      </c>
      <c r="E1881" s="2" t="str">
        <f t="shared" si="59"/>
        <v/>
      </c>
      <c r="F1881" s="2" t="str">
        <f>IF(C1881=0,ISTEXT(FORMULA.CONVERT("="&amp;A1881&amp;"("&amp;REPLACE(REPT(",#ref!",B1881),1,1,"")&amp;")()",1)),"")</f>
        <v/>
      </c>
      <c r="G1881" s="2">
        <f>TYPE(_xlfn.NORM.S.DIST(IF(1,1),{1}))</f>
        <v>64</v>
      </c>
      <c r="H1881" s="2" t="str">
        <f t="shared" si="60"/>
        <v/>
      </c>
      <c r="I1881" s="2">
        <f>TYPE(_xlfn.NORM.S.DIST(IF(1,1),IF(1,1)))</f>
        <v>1</v>
      </c>
      <c r="J1881" s="2" t="str">
        <f>IF(C1881=0,COUNTIFS(A:A,A1881,D:D,"a"),"")</f>
        <v/>
      </c>
      <c r="K1881" s="2" t="e">
        <f>INDEX(+_xlfn.NORM.S.DIST(#REF!,K1881:L1881),)</f>
        <v>#REF!</v>
      </c>
      <c r="L1881" s="1">
        <v>1</v>
      </c>
      <c r="M1881" s="2" t="e">
        <f>INDEX(+_xlfn.NORM.S.DIST(#REF!,INDIRECT(M1881:N1881)),)</f>
        <v>#REF!</v>
      </c>
      <c r="N1881" s="1">
        <v>1</v>
      </c>
    </row>
    <row r="1882" spans="1:14" x14ac:dyDescent="0.55000000000000004">
      <c r="A1882" s="1" t="s">
        <v>2125</v>
      </c>
      <c r="B1882" s="2">
        <f>COUNTIF(A:A,A1882)-1</f>
        <v>1</v>
      </c>
      <c r="C1882" s="2">
        <f>COUNTIF(A$1:A1882,A1882)-1</f>
        <v>0</v>
      </c>
      <c r="D1882" s="2" t="str">
        <f>Argument!D1882</f>
        <v/>
      </c>
      <c r="E1882" s="2" t="str">
        <f t="shared" si="59"/>
        <v>v</v>
      </c>
      <c r="F1882" s="2" t="b">
        <f>IF(C1882=0,ISTEXT(FORMULA.CONVERT("="&amp;A1882&amp;"("&amp;REPLACE(REPT(",#ref!",B1882),1,1,"")&amp;")()",1)),"")</f>
        <v>0</v>
      </c>
      <c r="G1882" s="2"/>
      <c r="H1882" s="2" t="str">
        <f t="shared" si="60"/>
        <v/>
      </c>
      <c r="I1882" s="2">
        <f>TYPE(_xlfn.NORM.S.INV(IF(1,1)))</f>
        <v>16</v>
      </c>
      <c r="J1882" s="2">
        <f>IF(C1882=0,COUNTIFS(A:A,A1882,D:D,"a"),"")</f>
        <v>0</v>
      </c>
      <c r="K1882" s="2"/>
      <c r="M1882" s="2"/>
    </row>
    <row r="1883" spans="1:14" x14ac:dyDescent="0.55000000000000004">
      <c r="A1883" s="1" t="s">
        <v>2125</v>
      </c>
      <c r="B1883" s="2">
        <f>COUNTIF(A:A,A1883)-1</f>
        <v>1</v>
      </c>
      <c r="C1883" s="2">
        <f>COUNTIF(A$1:A1883,A1883)-1</f>
        <v>1</v>
      </c>
      <c r="D1883" s="2" t="str">
        <f>Argument!D1883</f>
        <v>v</v>
      </c>
      <c r="E1883" s="2" t="str">
        <f t="shared" si="59"/>
        <v/>
      </c>
      <c r="F1883" s="2" t="str">
        <f>IF(C1883=0,ISTEXT(FORMULA.CONVERT("="&amp;A1883&amp;"("&amp;REPLACE(REPT(",#ref!",B1883),1,1,"")&amp;")()",1)),"")</f>
        <v/>
      </c>
      <c r="G1883" s="2">
        <f>TYPE(_xlfn.NORM.S.INV({1}))</f>
        <v>64</v>
      </c>
      <c r="H1883" s="2" t="str">
        <f t="shared" si="60"/>
        <v/>
      </c>
      <c r="I1883" s="2">
        <f>TYPE(_xlfn.NORM.S.INV(IF(1,1)))</f>
        <v>16</v>
      </c>
      <c r="J1883" s="2" t="str">
        <f>IF(C1883=0,COUNTIFS(A:A,A1883,D:D,"a"),"")</f>
        <v/>
      </c>
      <c r="K1883" s="2" t="e">
        <f>INDEX(+_xlfn.NORM.S.INV(K1883:L1883),)</f>
        <v>#NUM!</v>
      </c>
      <c r="L1883" s="1">
        <v>1</v>
      </c>
      <c r="M1883" s="2" t="e">
        <f>INDEX(+_xlfn.NORM.S.INV(INDIRECT(M1883:N1883)),)</f>
        <v>#REF!</v>
      </c>
      <c r="N1883" s="1">
        <v>1</v>
      </c>
    </row>
    <row r="1884" spans="1:14" x14ac:dyDescent="0.55000000000000004">
      <c r="A1884" s="1" t="s">
        <v>2126</v>
      </c>
      <c r="B1884" s="2">
        <f>COUNTIF(A:A,A1884)-1</f>
        <v>4</v>
      </c>
      <c r="C1884" s="2">
        <f>COUNTIF(A$1:A1884,A1884)-1</f>
        <v>0</v>
      </c>
      <c r="D1884" s="2" t="str">
        <f>Argument!D1884</f>
        <v/>
      </c>
      <c r="E1884" s="2" t="str">
        <f t="shared" si="59"/>
        <v>v</v>
      </c>
      <c r="F1884" s="2" t="b">
        <f>IF(C1884=0,ISTEXT(FORMULA.CONVERT("="&amp;A1884&amp;"("&amp;REPLACE(REPT(",#ref!",B1884),1,1,"")&amp;")()",1)),"")</f>
        <v>0</v>
      </c>
      <c r="G1884" s="2"/>
      <c r="H1884" s="2" t="str">
        <f t="shared" si="60"/>
        <v/>
      </c>
      <c r="I1884" s="2">
        <f>TYPE(_xlfn.T.TEST(IF(1,1),IF(1,1),IF(1,1),IF(1,1)))</f>
        <v>16</v>
      </c>
      <c r="J1884" s="2">
        <f>IF(C1884=0,COUNTIFS(A:A,A1884,D:D,"a"),"")</f>
        <v>0</v>
      </c>
      <c r="K1884" s="2"/>
      <c r="M1884" s="2"/>
    </row>
    <row r="1885" spans="1:14" x14ac:dyDescent="0.55000000000000004">
      <c r="A1885" s="1" t="s">
        <v>2126</v>
      </c>
      <c r="B1885" s="2">
        <f>COUNTIF(A:A,A1885)-1</f>
        <v>4</v>
      </c>
      <c r="C1885" s="2">
        <f>COUNTIF(A$1:A1885,A1885)-1</f>
        <v>1</v>
      </c>
      <c r="D1885" s="2" t="str">
        <f>Argument!D1885</f>
        <v>a</v>
      </c>
      <c r="E1885" s="2" t="str">
        <f t="shared" si="59"/>
        <v/>
      </c>
      <c r="F1885" s="2" t="str">
        <f>IF(C1885=0,ISTEXT(FORMULA.CONVERT("="&amp;A1885&amp;"("&amp;REPLACE(REPT(",#ref!",B1885),1,1,"")&amp;")()",1)),"")</f>
        <v/>
      </c>
      <c r="G1885" s="2">
        <f>TYPE(_xlfn.T.TEST({1},IF(1,1),IF(1,1),IF(1,1)))</f>
        <v>16</v>
      </c>
      <c r="H1885" s="2" t="str">
        <f t="shared" si="60"/>
        <v/>
      </c>
      <c r="I1885" s="2">
        <f>TYPE(_xlfn.T.TEST(IF(1,1),IF(1,1),IF(1,1),IF(1,1)))</f>
        <v>16</v>
      </c>
      <c r="J1885" s="2" t="str">
        <f>IF(C1885=0,COUNTIFS(A:A,A1885,D:D,"a"),"")</f>
        <v/>
      </c>
      <c r="K1885" s="2" t="e">
        <f>INDEX(+_xlfn.T.TEST(K1885:L1885,#REF!,#REF!,#REF!),)</f>
        <v>#REF!</v>
      </c>
      <c r="L1885" s="1">
        <v>1</v>
      </c>
      <c r="M1885" s="2" t="e">
        <f>INDEX(+_xlfn.T.TEST(INDIRECT(M1885:N1885),#REF!,#REF!,#REF!),)</f>
        <v>#REF!</v>
      </c>
      <c r="N1885" s="1">
        <v>1</v>
      </c>
    </row>
    <row r="1886" spans="1:14" x14ac:dyDescent="0.55000000000000004">
      <c r="A1886" s="1" t="s">
        <v>2126</v>
      </c>
      <c r="B1886" s="2">
        <f>COUNTIF(A:A,A1886)-1</f>
        <v>4</v>
      </c>
      <c r="C1886" s="2">
        <f>COUNTIF(A$1:A1886,A1886)-1</f>
        <v>2</v>
      </c>
      <c r="D1886" s="2" t="str">
        <f>Argument!D1886</f>
        <v>a</v>
      </c>
      <c r="E1886" s="2" t="str">
        <f t="shared" si="59"/>
        <v/>
      </c>
      <c r="F1886" s="2" t="str">
        <f>IF(C1886=0,ISTEXT(FORMULA.CONVERT("="&amp;A1886&amp;"("&amp;REPLACE(REPT(",#ref!",B1886),1,1,"")&amp;")()",1)),"")</f>
        <v/>
      </c>
      <c r="G1886" s="2">
        <f>TYPE(_xlfn.T.TEST(IF(1,1),{1},IF(1,1),IF(1,1)))</f>
        <v>16</v>
      </c>
      <c r="H1886" s="2" t="str">
        <f t="shared" si="60"/>
        <v/>
      </c>
      <c r="I1886" s="2">
        <f>TYPE(_xlfn.T.TEST(IF(1,1),IF(1,1),IF(1,1),IF(1,1)))</f>
        <v>16</v>
      </c>
      <c r="J1886" s="2" t="str">
        <f>IF(C1886=0,COUNTIFS(A:A,A1886,D:D,"a"),"")</f>
        <v/>
      </c>
      <c r="K1886" s="2" t="e">
        <f>INDEX(+_xlfn.T.TEST(#REF!,K1886:L1886,#REF!,#REF!),)</f>
        <v>#REF!</v>
      </c>
      <c r="L1886" s="1">
        <v>1</v>
      </c>
      <c r="M1886" s="2" t="e">
        <f>INDEX(+_xlfn.T.TEST(#REF!,INDIRECT(M1886:N1886),#REF!,#REF!),)</f>
        <v>#REF!</v>
      </c>
      <c r="N1886" s="1">
        <v>1</v>
      </c>
    </row>
    <row r="1887" spans="1:14" x14ac:dyDescent="0.55000000000000004">
      <c r="A1887" s="1" t="s">
        <v>2126</v>
      </c>
      <c r="B1887" s="2">
        <f>COUNTIF(A:A,A1887)-1</f>
        <v>4</v>
      </c>
      <c r="C1887" s="2">
        <f>COUNTIF(A$1:A1887,A1887)-1</f>
        <v>3</v>
      </c>
      <c r="D1887" s="2" t="str">
        <f>Argument!D1887</f>
        <v>v</v>
      </c>
      <c r="E1887" s="2" t="str">
        <f t="shared" si="59"/>
        <v/>
      </c>
      <c r="F1887" s="2" t="str">
        <f>IF(C1887=0,ISTEXT(FORMULA.CONVERT("="&amp;A1887&amp;"("&amp;REPLACE(REPT(",#ref!",B1887),1,1,"")&amp;")()",1)),"")</f>
        <v/>
      </c>
      <c r="G1887" s="2">
        <f>TYPE(_xlfn.T.TEST(IF(1,1),IF(1,1),{1},IF(1,1)))</f>
        <v>64</v>
      </c>
      <c r="H1887" s="2" t="str">
        <f t="shared" si="60"/>
        <v/>
      </c>
      <c r="I1887" s="2">
        <f>TYPE(_xlfn.T.TEST(IF(1,1),IF(1,1),IF(1,1),IF(1,1)))</f>
        <v>16</v>
      </c>
      <c r="J1887" s="2" t="str">
        <f>IF(C1887=0,COUNTIFS(A:A,A1887,D:D,"a"),"")</f>
        <v/>
      </c>
      <c r="K1887" s="2" t="e">
        <f>INDEX(+_xlfn.T.TEST(#REF!,#REF!,K1887:L1887,#REF!),)</f>
        <v>#REF!</v>
      </c>
      <c r="L1887" s="1">
        <v>1</v>
      </c>
      <c r="M1887" s="2" t="e">
        <f>INDEX(+_xlfn.T.TEST(#REF!,#REF!,INDIRECT(M1887:N1887),#REF!),)</f>
        <v>#REF!</v>
      </c>
      <c r="N1887" s="1">
        <v>1</v>
      </c>
    </row>
    <row r="1888" spans="1:14" x14ac:dyDescent="0.55000000000000004">
      <c r="A1888" s="1" t="s">
        <v>2126</v>
      </c>
      <c r="B1888" s="2">
        <f>COUNTIF(A:A,A1888)-1</f>
        <v>4</v>
      </c>
      <c r="C1888" s="2">
        <f>COUNTIF(A$1:A1888,A1888)-1</f>
        <v>4</v>
      </c>
      <c r="D1888" s="2" t="str">
        <f>Argument!D1888</f>
        <v>v</v>
      </c>
      <c r="E1888" s="2" t="str">
        <f t="shared" si="59"/>
        <v/>
      </c>
      <c r="F1888" s="2" t="str">
        <f>IF(C1888=0,ISTEXT(FORMULA.CONVERT("="&amp;A1888&amp;"("&amp;REPLACE(REPT(",#ref!",B1888),1,1,"")&amp;")()",1)),"")</f>
        <v/>
      </c>
      <c r="G1888" s="2">
        <f>TYPE(_xlfn.T.TEST(IF(1,1),IF(1,1),IF(1,1),{1}))</f>
        <v>64</v>
      </c>
      <c r="H1888" s="2" t="str">
        <f t="shared" si="60"/>
        <v/>
      </c>
      <c r="I1888" s="2">
        <f>TYPE(_xlfn.T.TEST(IF(1,1),IF(1,1),IF(1,1),IF(1,1)))</f>
        <v>16</v>
      </c>
      <c r="J1888" s="2" t="str">
        <f>IF(C1888=0,COUNTIFS(A:A,A1888,D:D,"a"),"")</f>
        <v/>
      </c>
      <c r="K1888" s="2" t="e">
        <f>INDEX(+_xlfn.T.TEST(#REF!,#REF!,#REF!,K1888:L1888),)</f>
        <v>#REF!</v>
      </c>
      <c r="L1888" s="1">
        <v>1</v>
      </c>
      <c r="M1888" s="2" t="e">
        <f>INDEX(+_xlfn.T.TEST(#REF!,#REF!,#REF!,INDIRECT(M1888:N1888)),)</f>
        <v>#REF!</v>
      </c>
      <c r="N1888" s="1">
        <v>1</v>
      </c>
    </row>
    <row r="1889" spans="1:14" x14ac:dyDescent="0.55000000000000004">
      <c r="A1889" s="1" t="s">
        <v>2127</v>
      </c>
      <c r="B1889" s="2">
        <f>COUNTIF(A:A,A1889)-1</f>
        <v>3</v>
      </c>
      <c r="C1889" s="2">
        <f>COUNTIF(A$1:A1889,A1889)-1</f>
        <v>0</v>
      </c>
      <c r="D1889" s="2" t="str">
        <f>Argument!D1889</f>
        <v/>
      </c>
      <c r="E1889" s="2" t="str">
        <f t="shared" si="59"/>
        <v>v</v>
      </c>
      <c r="F1889" s="2" t="b">
        <f>IF(C1889=0,ISTEXT(FORMULA.CONVERT("="&amp;A1889&amp;"("&amp;REPLACE(REPT(",#ref!",B1889),1,1,"")&amp;")()",1)),"")</f>
        <v>0</v>
      </c>
      <c r="G1889" s="2"/>
      <c r="H1889" s="2" t="str">
        <f t="shared" si="60"/>
        <v/>
      </c>
      <c r="I1889" s="2">
        <f>TYPE(_xlfn.Z.TEST(IF(1,1),IF(1,1),IF(1,1)))</f>
        <v>16</v>
      </c>
      <c r="J1889" s="2">
        <f>IF(C1889=0,COUNTIFS(A:A,A1889,D:D,"a"),"")</f>
        <v>0</v>
      </c>
      <c r="K1889" s="2"/>
      <c r="M1889" s="2"/>
    </row>
    <row r="1890" spans="1:14" x14ac:dyDescent="0.55000000000000004">
      <c r="A1890" s="1" t="s">
        <v>2127</v>
      </c>
      <c r="B1890" s="2">
        <f>COUNTIF(A:A,A1890)-1</f>
        <v>3</v>
      </c>
      <c r="C1890" s="2">
        <f>COUNTIF(A$1:A1890,A1890)-1</f>
        <v>1</v>
      </c>
      <c r="D1890" s="2" t="str">
        <f>Argument!D1890</f>
        <v>var</v>
      </c>
      <c r="E1890" s="2" t="str">
        <f t="shared" si="59"/>
        <v/>
      </c>
      <c r="F1890" s="2" t="str">
        <f>IF(C1890=0,ISTEXT(FORMULA.CONVERT("="&amp;A1890&amp;"("&amp;REPLACE(REPT(",#ref!",B1890),1,1,"")&amp;")()",1)),"")</f>
        <v/>
      </c>
      <c r="G1890" s="2">
        <f>TYPE(_xlfn.Z.TEST({1},IF(1,1),IF(1,1)))</f>
        <v>16</v>
      </c>
      <c r="H1890" s="2" t="str">
        <f t="shared" si="60"/>
        <v/>
      </c>
      <c r="I1890" s="2">
        <f>TYPE(_xlfn.Z.TEST(IF(1,1),IF(1,1),IF(1,1)))</f>
        <v>16</v>
      </c>
      <c r="J1890" s="2" t="str">
        <f>IF(C1890=0,COUNTIFS(A:A,A1890,D:D,"a"),"")</f>
        <v/>
      </c>
      <c r="K1890" s="2" t="e">
        <f>INDEX(+_xlfn.Z.TEST(K1890:L1890,#REF!,#REF!),)</f>
        <v>#REF!</v>
      </c>
      <c r="L1890" s="1">
        <v>1</v>
      </c>
      <c r="M1890" s="2" t="e">
        <f>INDEX(+_xlfn.Z.TEST(INDIRECT(M1890:N1890),#REF!,#REF!),)</f>
        <v>#REF!</v>
      </c>
      <c r="N1890" s="1">
        <v>1</v>
      </c>
    </row>
    <row r="1891" spans="1:14" x14ac:dyDescent="0.55000000000000004">
      <c r="A1891" s="1" t="s">
        <v>2127</v>
      </c>
      <c r="B1891" s="2">
        <f>COUNTIF(A:A,A1891)-1</f>
        <v>3</v>
      </c>
      <c r="C1891" s="2">
        <f>COUNTIF(A$1:A1891,A1891)-1</f>
        <v>2</v>
      </c>
      <c r="D1891" s="2" t="str">
        <f>Argument!D1891</f>
        <v>v</v>
      </c>
      <c r="E1891" s="2" t="str">
        <f t="shared" si="59"/>
        <v/>
      </c>
      <c r="F1891" s="2" t="str">
        <f>IF(C1891=0,ISTEXT(FORMULA.CONVERT("="&amp;A1891&amp;"("&amp;REPLACE(REPT(",#ref!",B1891),1,1,"")&amp;")()",1)),"")</f>
        <v/>
      </c>
      <c r="G1891" s="2">
        <f>TYPE(_xlfn.Z.TEST(IF(1,1),{1},IF(1,1)))</f>
        <v>64</v>
      </c>
      <c r="H1891" s="2" t="str">
        <f t="shared" si="60"/>
        <v/>
      </c>
      <c r="I1891" s="2">
        <f>TYPE(_xlfn.Z.TEST(IF(1,1),IF(1,1),IF(1,1)))</f>
        <v>16</v>
      </c>
      <c r="J1891" s="2" t="str">
        <f>IF(C1891=0,COUNTIFS(A:A,A1891,D:D,"a"),"")</f>
        <v/>
      </c>
      <c r="K1891" s="2" t="e">
        <f>INDEX(+_xlfn.Z.TEST(#REF!,K1891:L1891,#REF!),)</f>
        <v>#REF!</v>
      </c>
      <c r="L1891" s="1">
        <v>1</v>
      </c>
      <c r="M1891" s="2" t="e">
        <f>INDEX(+_xlfn.Z.TEST(#REF!,INDIRECT(M1891:N1891),#REF!),)</f>
        <v>#REF!</v>
      </c>
      <c r="N1891" s="1">
        <v>1</v>
      </c>
    </row>
    <row r="1892" spans="1:14" x14ac:dyDescent="0.55000000000000004">
      <c r="A1892" s="1" t="s">
        <v>2127</v>
      </c>
      <c r="B1892" s="2">
        <f>COUNTIF(A:A,A1892)-1</f>
        <v>3</v>
      </c>
      <c r="C1892" s="2">
        <f>COUNTIF(A$1:A1892,A1892)-1</f>
        <v>3</v>
      </c>
      <c r="D1892" s="2" t="str">
        <f>Argument!D1892</f>
        <v>v</v>
      </c>
      <c r="E1892" s="2" t="str">
        <f t="shared" si="59"/>
        <v/>
      </c>
      <c r="F1892" s="2" t="str">
        <f>IF(C1892=0,ISTEXT(FORMULA.CONVERT("="&amp;A1892&amp;"("&amp;REPLACE(REPT(",#ref!",B1892),1,1,"")&amp;")()",1)),"")</f>
        <v/>
      </c>
      <c r="G1892" s="2">
        <f>TYPE(_xlfn.Z.TEST(IF(1,1),IF(1,1),{1}))</f>
        <v>64</v>
      </c>
      <c r="H1892" s="2" t="str">
        <f t="shared" si="60"/>
        <v/>
      </c>
      <c r="I1892" s="2">
        <f>TYPE(_xlfn.Z.TEST(IF(1,1),IF(1,1),IF(1,1)))</f>
        <v>16</v>
      </c>
      <c r="J1892" s="2" t="str">
        <f>IF(C1892=0,COUNTIFS(A:A,A1892,D:D,"a"),"")</f>
        <v/>
      </c>
      <c r="K1892" s="2" t="e">
        <f>INDEX(+_xlfn.Z.TEST(#REF!,#REF!,K1892:L1892),)</f>
        <v>#REF!</v>
      </c>
      <c r="L1892" s="1">
        <v>1</v>
      </c>
      <c r="M1892" s="2" t="e">
        <f>INDEX(+_xlfn.Z.TEST(#REF!,#REF!,INDIRECT(M1892:N1892)),)</f>
        <v>#REF!</v>
      </c>
      <c r="N1892" s="1">
        <v>1</v>
      </c>
    </row>
    <row r="1893" spans="1:14" x14ac:dyDescent="0.55000000000000004">
      <c r="A1893" s="1" t="s">
        <v>2128</v>
      </c>
      <c r="B1893" s="2">
        <f>COUNTIF(A:A,A1893)-1</f>
        <v>1</v>
      </c>
      <c r="C1893" s="2">
        <f>COUNTIF(A$1:A1893,A1893)-1</f>
        <v>0</v>
      </c>
      <c r="D1893" s="2" t="str">
        <f>Argument!D1893</f>
        <v/>
      </c>
      <c r="E1893" s="2" t="str">
        <f t="shared" si="59"/>
        <v>v</v>
      </c>
      <c r="F1893" s="2" t="b">
        <f>IF(C1893=0,ISTEXT(FORMULA.CONVERT("="&amp;A1893&amp;"("&amp;REPLACE(REPT(",#ref!",B1893),1,1,"")&amp;")()",1)),"")</f>
        <v>0</v>
      </c>
      <c r="G1893" s="2"/>
      <c r="H1893" s="2" t="str">
        <f t="shared" si="60"/>
        <v/>
      </c>
      <c r="I1893" s="2">
        <f>TYPE(_xlfn.ERF.PRECISE(IF(1,1)))</f>
        <v>1</v>
      </c>
      <c r="J1893" s="2">
        <f>IF(C1893=0,COUNTIFS(A:A,A1893,D:D,"a"),"")</f>
        <v>0</v>
      </c>
      <c r="K1893" s="2"/>
      <c r="M1893" s="2"/>
    </row>
    <row r="1894" spans="1:14" x14ac:dyDescent="0.55000000000000004">
      <c r="A1894" s="1" t="s">
        <v>2128</v>
      </c>
      <c r="B1894" s="2">
        <f>COUNTIF(A:A,A1894)-1</f>
        <v>1</v>
      </c>
      <c r="C1894" s="2">
        <f>COUNTIF(A$1:A1894,A1894)-1</f>
        <v>1</v>
      </c>
      <c r="D1894" s="2" t="str">
        <f>Argument!D1894</f>
        <v>vr</v>
      </c>
      <c r="E1894" s="2" t="str">
        <f t="shared" si="59"/>
        <v/>
      </c>
      <c r="F1894" s="2" t="str">
        <f>IF(C1894=0,ISTEXT(FORMULA.CONVERT("="&amp;A1894&amp;"("&amp;REPLACE(REPT(",#ref!",B1894),1,1,"")&amp;")()",1)),"")</f>
        <v/>
      </c>
      <c r="G1894" s="2">
        <f>TYPE(_xlfn.ERF.PRECISE({1}))</f>
        <v>64</v>
      </c>
      <c r="H1894" s="2" t="str">
        <f t="shared" si="60"/>
        <v/>
      </c>
      <c r="I1894" s="2">
        <f>TYPE(_xlfn.ERF.PRECISE(IF(1,1)))</f>
        <v>1</v>
      </c>
      <c r="J1894" s="2" t="str">
        <f>IF(C1894=0,COUNTIFS(A:A,A1894,D:D,"a"),"")</f>
        <v/>
      </c>
      <c r="K1894" s="2" t="e">
        <f>INDEX(+_xlfn.ERF.PRECISE(K1894:L1894),)</f>
        <v>#VALUE!</v>
      </c>
      <c r="L1894" s="1">
        <v>1</v>
      </c>
      <c r="M1894" s="2" t="e">
        <f>INDEX(+_xlfn.ERF.PRECISE(INDIRECT(M1894:N1894)),)</f>
        <v>#REF!</v>
      </c>
      <c r="N1894" s="1">
        <v>1</v>
      </c>
    </row>
    <row r="1895" spans="1:14" x14ac:dyDescent="0.55000000000000004">
      <c r="A1895" s="1" t="s">
        <v>2129</v>
      </c>
      <c r="B1895" s="2">
        <f>COUNTIF(A:A,A1895)-1</f>
        <v>1</v>
      </c>
      <c r="C1895" s="2">
        <f>COUNTIF(A$1:A1895,A1895)-1</f>
        <v>0</v>
      </c>
      <c r="D1895" s="2" t="str">
        <f>Argument!D1895</f>
        <v/>
      </c>
      <c r="E1895" s="2" t="str">
        <f t="shared" si="59"/>
        <v>v</v>
      </c>
      <c r="F1895" s="2" t="b">
        <f>IF(C1895=0,ISTEXT(FORMULA.CONVERT("="&amp;A1895&amp;"("&amp;REPLACE(REPT(",#ref!",B1895),1,1,"")&amp;")()",1)),"")</f>
        <v>0</v>
      </c>
      <c r="G1895" s="2"/>
      <c r="H1895" s="2" t="str">
        <f t="shared" si="60"/>
        <v/>
      </c>
      <c r="I1895" s="2">
        <f>TYPE(_xlfn.ERFC.PRECISE(IF(1,1)))</f>
        <v>1</v>
      </c>
      <c r="J1895" s="2">
        <f>IF(C1895=0,COUNTIFS(A:A,A1895,D:D,"a"),"")</f>
        <v>0</v>
      </c>
      <c r="K1895" s="2"/>
      <c r="M1895" s="2"/>
    </row>
    <row r="1896" spans="1:14" x14ac:dyDescent="0.55000000000000004">
      <c r="A1896" s="1" t="s">
        <v>2129</v>
      </c>
      <c r="B1896" s="2">
        <f>COUNTIF(A:A,A1896)-1</f>
        <v>1</v>
      </c>
      <c r="C1896" s="2">
        <f>COUNTIF(A$1:A1896,A1896)-1</f>
        <v>1</v>
      </c>
      <c r="D1896" s="2" t="str">
        <f>Argument!D1896</f>
        <v>vr</v>
      </c>
      <c r="E1896" s="2" t="str">
        <f t="shared" si="59"/>
        <v/>
      </c>
      <c r="F1896" s="2" t="str">
        <f>IF(C1896=0,ISTEXT(FORMULA.CONVERT("="&amp;A1896&amp;"("&amp;REPLACE(REPT(",#ref!",B1896),1,1,"")&amp;")()",1)),"")</f>
        <v/>
      </c>
      <c r="G1896" s="2">
        <f>TYPE(_xlfn.ERFC.PRECISE({1}))</f>
        <v>64</v>
      </c>
      <c r="H1896" s="2" t="str">
        <f t="shared" si="60"/>
        <v/>
      </c>
      <c r="I1896" s="2">
        <f>TYPE(_xlfn.ERFC.PRECISE(IF(1,1)))</f>
        <v>1</v>
      </c>
      <c r="J1896" s="2" t="str">
        <f>IF(C1896=0,COUNTIFS(A:A,A1896,D:D,"a"),"")</f>
        <v/>
      </c>
      <c r="K1896" s="2" t="e">
        <f>INDEX(+_xlfn.ERFC.PRECISE(K1896:L1896),)</f>
        <v>#VALUE!</v>
      </c>
      <c r="L1896" s="1">
        <v>1</v>
      </c>
      <c r="M1896" s="2" t="e">
        <f>INDEX(+_xlfn.ERFC.PRECISE(INDIRECT(M1896:N1896)),)</f>
        <v>#REF!</v>
      </c>
      <c r="N1896" s="1">
        <v>1</v>
      </c>
    </row>
    <row r="1897" spans="1:14" x14ac:dyDescent="0.55000000000000004">
      <c r="A1897" s="1" t="s">
        <v>2130</v>
      </c>
      <c r="B1897" s="2">
        <f>COUNTIF(A:A,A1897)-1</f>
        <v>1</v>
      </c>
      <c r="C1897" s="2">
        <f>COUNTIF(A$1:A1897,A1897)-1</f>
        <v>0</v>
      </c>
      <c r="D1897" s="2" t="str">
        <f>Argument!D1897</f>
        <v/>
      </c>
      <c r="E1897" s="2" t="str">
        <f t="shared" si="59"/>
        <v>v</v>
      </c>
      <c r="F1897" s="2" t="b">
        <f>IF(C1897=0,ISTEXT(FORMULA.CONVERT("="&amp;A1897&amp;"("&amp;REPLACE(REPT(",#ref!",B1897),1,1,"")&amp;")()",1)),"")</f>
        <v>0</v>
      </c>
      <c r="G1897" s="2"/>
      <c r="H1897" s="2" t="str">
        <f t="shared" si="60"/>
        <v/>
      </c>
      <c r="I1897" s="2">
        <f>TYPE(_xlfn.GAMMALN.PRECISE(IF(1,1)))</f>
        <v>1</v>
      </c>
      <c r="J1897" s="2">
        <f>IF(C1897=0,COUNTIFS(A:A,A1897,D:D,"a"),"")</f>
        <v>0</v>
      </c>
      <c r="K1897" s="2"/>
      <c r="M1897" s="2"/>
    </row>
    <row r="1898" spans="1:14" x14ac:dyDescent="0.55000000000000004">
      <c r="A1898" s="1" t="s">
        <v>2130</v>
      </c>
      <c r="B1898" s="2">
        <f>COUNTIF(A:A,A1898)-1</f>
        <v>1</v>
      </c>
      <c r="C1898" s="2">
        <f>COUNTIF(A$1:A1898,A1898)-1</f>
        <v>1</v>
      </c>
      <c r="D1898" s="2" t="str">
        <f>Argument!D1898</f>
        <v>v</v>
      </c>
      <c r="E1898" s="2" t="str">
        <f t="shared" si="59"/>
        <v/>
      </c>
      <c r="F1898" s="2" t="str">
        <f>IF(C1898=0,ISTEXT(FORMULA.CONVERT("="&amp;A1898&amp;"("&amp;REPLACE(REPT(",#ref!",B1898),1,1,"")&amp;")()",1)),"")</f>
        <v/>
      </c>
      <c r="G1898" s="2">
        <f>TYPE(_xlfn.GAMMALN.PRECISE({1}))</f>
        <v>64</v>
      </c>
      <c r="H1898" s="2" t="str">
        <f t="shared" si="60"/>
        <v/>
      </c>
      <c r="I1898" s="2">
        <f>TYPE(_xlfn.GAMMALN.PRECISE(IF(1,1)))</f>
        <v>1</v>
      </c>
      <c r="J1898" s="2" t="str">
        <f>IF(C1898=0,COUNTIFS(A:A,A1898,D:D,"a"),"")</f>
        <v/>
      </c>
      <c r="K1898" s="2" t="e">
        <f>INDEX(+_xlfn.GAMMALN.PRECISE(K1898:L1898),)</f>
        <v>#NUM!</v>
      </c>
      <c r="L1898" s="1">
        <v>1</v>
      </c>
      <c r="M1898" s="2" t="e">
        <f>INDEX(+_xlfn.GAMMALN.PRECISE(INDIRECT(M1898:N1898)),)</f>
        <v>#REF!</v>
      </c>
      <c r="N1898" s="1">
        <v>1</v>
      </c>
    </row>
    <row r="1899" spans="1:14" x14ac:dyDescent="0.55000000000000004">
      <c r="A1899" s="1" t="s">
        <v>2131</v>
      </c>
      <c r="B1899" s="2">
        <f>COUNTIF(A:A,A1899)-1</f>
        <v>2</v>
      </c>
      <c r="C1899" s="2">
        <f>COUNTIF(A$1:A1899,A1899)-1</f>
        <v>0</v>
      </c>
      <c r="D1899" s="2" t="str">
        <f>Argument!D1899</f>
        <v/>
      </c>
      <c r="E1899" s="2" t="str">
        <f t="shared" si="59"/>
        <v>v</v>
      </c>
      <c r="F1899" s="2" t="b">
        <f>IF(C1899=0,ISTEXT(FORMULA.CONVERT("="&amp;A1899&amp;"("&amp;REPLACE(REPT(",#ref!",B1899),1,1,"")&amp;")()",1)),"")</f>
        <v>0</v>
      </c>
      <c r="G1899" s="2"/>
      <c r="H1899" s="2" t="str">
        <f t="shared" si="60"/>
        <v/>
      </c>
      <c r="I1899" s="2">
        <f>TYPE(_xlfn.CEILING.PRECISE(IF(1,1),IF(1,1)))</f>
        <v>1</v>
      </c>
      <c r="J1899" s="2">
        <f>IF(C1899=0,COUNTIFS(A:A,A1899,D:D,"a"),"")</f>
        <v>0</v>
      </c>
      <c r="K1899" s="2"/>
      <c r="M1899" s="2"/>
    </row>
    <row r="1900" spans="1:14" x14ac:dyDescent="0.55000000000000004">
      <c r="A1900" s="1" t="s">
        <v>2131</v>
      </c>
      <c r="B1900" s="2">
        <f>COUNTIF(A:A,A1900)-1</f>
        <v>2</v>
      </c>
      <c r="C1900" s="2">
        <f>COUNTIF(A$1:A1900,A1900)-1</f>
        <v>1</v>
      </c>
      <c r="D1900" s="2" t="str">
        <f>Argument!D1900</f>
        <v>v</v>
      </c>
      <c r="E1900" s="2" t="str">
        <f t="shared" si="59"/>
        <v/>
      </c>
      <c r="F1900" s="2" t="str">
        <f>IF(C1900=0,ISTEXT(FORMULA.CONVERT("="&amp;A1900&amp;"("&amp;REPLACE(REPT(",#ref!",B1900),1,1,"")&amp;")()",1)),"")</f>
        <v/>
      </c>
      <c r="G1900" s="2">
        <f>TYPE(_xlfn.CEILING.PRECISE({1},IF(1,1)))</f>
        <v>64</v>
      </c>
      <c r="H1900" s="2" t="str">
        <f t="shared" si="60"/>
        <v/>
      </c>
      <c r="I1900" s="2">
        <f>TYPE(_xlfn.CEILING.PRECISE(IF(1,1),IF(1,1)))</f>
        <v>1</v>
      </c>
      <c r="J1900" s="2" t="str">
        <f>IF(C1900=0,COUNTIFS(A:A,A1900,D:D,"a"),"")</f>
        <v/>
      </c>
      <c r="K1900" s="2" t="e">
        <f>INDEX(+_xlfn.CEILING.PRECISE(K1900:L1900,#REF!),)</f>
        <v>#REF!</v>
      </c>
      <c r="L1900" s="1">
        <v>1</v>
      </c>
      <c r="M1900" s="2" t="e">
        <f>INDEX(+_xlfn.CEILING.PRECISE(INDIRECT(M1900:N1900),#REF!),)</f>
        <v>#REF!</v>
      </c>
      <c r="N1900" s="1">
        <v>1</v>
      </c>
    </row>
    <row r="1901" spans="1:14" x14ac:dyDescent="0.55000000000000004">
      <c r="A1901" s="1" t="s">
        <v>2131</v>
      </c>
      <c r="B1901" s="2">
        <f>COUNTIF(A:A,A1901)-1</f>
        <v>2</v>
      </c>
      <c r="C1901" s="2">
        <f>COUNTIF(A$1:A1901,A1901)-1</f>
        <v>2</v>
      </c>
      <c r="D1901" s="2" t="str">
        <f>Argument!D1901</f>
        <v>v</v>
      </c>
      <c r="E1901" s="2" t="str">
        <f t="shared" si="59"/>
        <v/>
      </c>
      <c r="F1901" s="2" t="str">
        <f>IF(C1901=0,ISTEXT(FORMULA.CONVERT("="&amp;A1901&amp;"("&amp;REPLACE(REPT(",#ref!",B1901),1,1,"")&amp;")()",1)),"")</f>
        <v/>
      </c>
      <c r="G1901" s="2">
        <f>TYPE(_xlfn.CEILING.PRECISE(IF(1,1),{1}))</f>
        <v>64</v>
      </c>
      <c r="H1901" s="2" t="str">
        <f t="shared" si="60"/>
        <v/>
      </c>
      <c r="I1901" s="2">
        <f>TYPE(_xlfn.CEILING.PRECISE(IF(1,1),IF(1,1)))</f>
        <v>1</v>
      </c>
      <c r="J1901" s="2" t="str">
        <f>IF(C1901=0,COUNTIFS(A:A,A1901,D:D,"a"),"")</f>
        <v/>
      </c>
      <c r="K1901" s="2" t="e">
        <f>INDEX(+_xlfn.CEILING.PRECISE(#REF!,K1901:L1901),)</f>
        <v>#REF!</v>
      </c>
      <c r="L1901" s="1">
        <v>1</v>
      </c>
      <c r="M1901" s="2" t="e">
        <f>INDEX(+_xlfn.CEILING.PRECISE(#REF!,INDIRECT(M1901:N1901)),)</f>
        <v>#REF!</v>
      </c>
      <c r="N1901" s="1">
        <v>1</v>
      </c>
    </row>
    <row r="1902" spans="1:14" x14ac:dyDescent="0.55000000000000004">
      <c r="A1902" s="1" t="s">
        <v>2132</v>
      </c>
      <c r="B1902" s="2">
        <f>COUNTIF(A:A,A1902)-1</f>
        <v>2</v>
      </c>
      <c r="C1902" s="2">
        <f>COUNTIF(A$1:A1902,A1902)-1</f>
        <v>0</v>
      </c>
      <c r="D1902" s="2" t="str">
        <f>Argument!D1902</f>
        <v/>
      </c>
      <c r="E1902" s="2" t="str">
        <f t="shared" si="59"/>
        <v>v</v>
      </c>
      <c r="F1902" s="2" t="b">
        <f>IF(C1902=0,ISTEXT(FORMULA.CONVERT("="&amp;A1902&amp;"("&amp;REPLACE(REPT(",#ref!",B1902),1,1,"")&amp;")()",1)),"")</f>
        <v>0</v>
      </c>
      <c r="G1902" s="2"/>
      <c r="H1902" s="2" t="str">
        <f t="shared" si="60"/>
        <v/>
      </c>
      <c r="I1902" s="2">
        <f>TYPE(_xlfn.FLOOR.PRECISE(IF(1,1),IF(1,1)))</f>
        <v>1</v>
      </c>
      <c r="J1902" s="2">
        <f>IF(C1902=0,COUNTIFS(A:A,A1902,D:D,"a"),"")</f>
        <v>0</v>
      </c>
      <c r="K1902" s="2"/>
      <c r="M1902" s="2"/>
    </row>
    <row r="1903" spans="1:14" x14ac:dyDescent="0.55000000000000004">
      <c r="A1903" s="1" t="s">
        <v>2132</v>
      </c>
      <c r="B1903" s="2">
        <f>COUNTIF(A:A,A1903)-1</f>
        <v>2</v>
      </c>
      <c r="C1903" s="2">
        <f>COUNTIF(A$1:A1903,A1903)-1</f>
        <v>1</v>
      </c>
      <c r="D1903" s="2" t="str">
        <f>Argument!D1903</f>
        <v>v</v>
      </c>
      <c r="E1903" s="2" t="str">
        <f t="shared" si="59"/>
        <v/>
      </c>
      <c r="F1903" s="2" t="str">
        <f>IF(C1903=0,ISTEXT(FORMULA.CONVERT("="&amp;A1903&amp;"("&amp;REPLACE(REPT(",#ref!",B1903),1,1,"")&amp;")()",1)),"")</f>
        <v/>
      </c>
      <c r="G1903" s="2">
        <f>TYPE(_xlfn.FLOOR.PRECISE({1},IF(1,1)))</f>
        <v>64</v>
      </c>
      <c r="H1903" s="2" t="str">
        <f t="shared" si="60"/>
        <v/>
      </c>
      <c r="I1903" s="2">
        <f>TYPE(_xlfn.FLOOR.PRECISE(IF(1,1),IF(1,1)))</f>
        <v>1</v>
      </c>
      <c r="J1903" s="2" t="str">
        <f>IF(C1903=0,COUNTIFS(A:A,A1903,D:D,"a"),"")</f>
        <v/>
      </c>
      <c r="K1903" s="2" t="e">
        <f>INDEX(+_xlfn.FLOOR.PRECISE(K1903:L1903,#REF!),)</f>
        <v>#REF!</v>
      </c>
      <c r="L1903" s="1">
        <v>1</v>
      </c>
      <c r="M1903" s="2" t="e">
        <f>INDEX(+_xlfn.FLOOR.PRECISE(INDIRECT(M1903:N1903),#REF!),)</f>
        <v>#REF!</v>
      </c>
      <c r="N1903" s="1">
        <v>1</v>
      </c>
    </row>
    <row r="1904" spans="1:14" x14ac:dyDescent="0.55000000000000004">
      <c r="A1904" s="1" t="s">
        <v>2132</v>
      </c>
      <c r="B1904" s="2">
        <f>COUNTIF(A:A,A1904)-1</f>
        <v>2</v>
      </c>
      <c r="C1904" s="2">
        <f>COUNTIF(A$1:A1904,A1904)-1</f>
        <v>2</v>
      </c>
      <c r="D1904" s="2" t="str">
        <f>Argument!D1904</f>
        <v>v</v>
      </c>
      <c r="E1904" s="2" t="str">
        <f t="shared" si="59"/>
        <v/>
      </c>
      <c r="F1904" s="2" t="str">
        <f>IF(C1904=0,ISTEXT(FORMULA.CONVERT("="&amp;A1904&amp;"("&amp;REPLACE(REPT(",#ref!",B1904),1,1,"")&amp;")()",1)),"")</f>
        <v/>
      </c>
      <c r="G1904" s="2">
        <f>TYPE(_xlfn.FLOOR.PRECISE(IF(1,1),{1}))</f>
        <v>64</v>
      </c>
      <c r="H1904" s="2" t="str">
        <f t="shared" si="60"/>
        <v/>
      </c>
      <c r="I1904" s="2">
        <f>TYPE(_xlfn.FLOOR.PRECISE(IF(1,1),IF(1,1)))</f>
        <v>1</v>
      </c>
      <c r="J1904" s="2" t="str">
        <f>IF(C1904=0,COUNTIFS(A:A,A1904,D:D,"a"),"")</f>
        <v/>
      </c>
      <c r="K1904" s="2" t="e">
        <f>INDEX(+_xlfn.FLOOR.PRECISE(#REF!,K1904:L1904),)</f>
        <v>#REF!</v>
      </c>
      <c r="L1904" s="1">
        <v>1</v>
      </c>
      <c r="M1904" s="2" t="e">
        <f>INDEX(+_xlfn.FLOOR.PRECISE(#REF!,INDIRECT(M1904:N1904)),)</f>
        <v>#REF!</v>
      </c>
      <c r="N1904" s="1">
        <v>1</v>
      </c>
    </row>
    <row r="1905" spans="1:14" x14ac:dyDescent="0.55000000000000004">
      <c r="A1905" s="1" t="s">
        <v>2133</v>
      </c>
      <c r="B1905" s="2">
        <f>COUNTIF(A:A,A1905)-1</f>
        <v>1</v>
      </c>
      <c r="C1905" s="2">
        <f>COUNTIF(A$1:A1905,A1905)-1</f>
        <v>0</v>
      </c>
      <c r="D1905" s="2" t="str">
        <f>Argument!D1905</f>
        <v/>
      </c>
      <c r="E1905" s="2" t="str">
        <f t="shared" si="59"/>
        <v>v</v>
      </c>
      <c r="F1905" s="2" t="b">
        <f>IF(C1905=0,ISTEXT(FORMULA.CONVERT("="&amp;A1905&amp;"("&amp;REPLACE(REPT(",#ref!",B1905),1,1,"")&amp;")()",1)),"")</f>
        <v>0</v>
      </c>
      <c r="G1905" s="2"/>
      <c r="H1905" s="2" t="str">
        <f t="shared" si="60"/>
        <v/>
      </c>
      <c r="I1905" s="2">
        <f>TYPE(_xlfn.ACOT(IF(1,1)))</f>
        <v>1</v>
      </c>
      <c r="J1905" s="2">
        <f>IF(C1905=0,COUNTIFS(A:A,A1905,D:D,"a"),"")</f>
        <v>0</v>
      </c>
      <c r="K1905" s="2"/>
      <c r="M1905" s="2"/>
    </row>
    <row r="1906" spans="1:14" x14ac:dyDescent="0.55000000000000004">
      <c r="A1906" s="1" t="s">
        <v>2133</v>
      </c>
      <c r="B1906" s="2">
        <f>COUNTIF(A:A,A1906)-1</f>
        <v>1</v>
      </c>
      <c r="C1906" s="2">
        <f>COUNTIF(A$1:A1906,A1906)-1</f>
        <v>1</v>
      </c>
      <c r="D1906" s="2" t="str">
        <f>Argument!D1906</f>
        <v>v</v>
      </c>
      <c r="E1906" s="2" t="str">
        <f t="shared" si="59"/>
        <v/>
      </c>
      <c r="F1906" s="2" t="str">
        <f>IF(C1906=0,ISTEXT(FORMULA.CONVERT("="&amp;A1906&amp;"("&amp;REPLACE(REPT(",#ref!",B1906),1,1,"")&amp;")()",1)),"")</f>
        <v/>
      </c>
      <c r="G1906" s="2">
        <f>TYPE(_xlfn.ACOT({1}))</f>
        <v>64</v>
      </c>
      <c r="H1906" s="2" t="str">
        <f t="shared" si="60"/>
        <v/>
      </c>
      <c r="I1906" s="2">
        <f>TYPE(_xlfn.ACOT(IF(1,1)))</f>
        <v>1</v>
      </c>
      <c r="J1906" s="2" t="str">
        <f>IF(C1906=0,COUNTIFS(A:A,A1906,D:D,"a"),"")</f>
        <v/>
      </c>
      <c r="K1906" s="2">
        <f>INDEX(+_xlfn.ACOT(K1906:L1906),)</f>
        <v>1.5707963267948966</v>
      </c>
      <c r="L1906" s="1">
        <v>1</v>
      </c>
      <c r="M1906" s="2" t="e">
        <f>INDEX(+_xlfn.ACOT(INDIRECT(M1906:N1906)),)</f>
        <v>#REF!</v>
      </c>
      <c r="N1906" s="1">
        <v>1</v>
      </c>
    </row>
    <row r="1907" spans="1:14" x14ac:dyDescent="0.55000000000000004">
      <c r="A1907" s="1" t="s">
        <v>2134</v>
      </c>
      <c r="B1907" s="2">
        <f>COUNTIF(A:A,A1907)-1</f>
        <v>1</v>
      </c>
      <c r="C1907" s="2">
        <f>COUNTIF(A$1:A1907,A1907)-1</f>
        <v>0</v>
      </c>
      <c r="D1907" s="2" t="str">
        <f>Argument!D1907</f>
        <v/>
      </c>
      <c r="E1907" s="2" t="str">
        <f t="shared" si="59"/>
        <v>v</v>
      </c>
      <c r="F1907" s="2" t="b">
        <f>IF(C1907=0,ISTEXT(FORMULA.CONVERT("="&amp;A1907&amp;"("&amp;REPLACE(REPT(",#ref!",B1907),1,1,"")&amp;")()",1)),"")</f>
        <v>0</v>
      </c>
      <c r="G1907" s="2"/>
      <c r="H1907" s="2" t="str">
        <f t="shared" si="60"/>
        <v/>
      </c>
      <c r="I1907" s="2">
        <f>TYPE(_xlfn.ACOTH(IF(1,1)))</f>
        <v>16</v>
      </c>
      <c r="J1907" s="2">
        <f>IF(C1907=0,COUNTIFS(A:A,A1907,D:D,"a"),"")</f>
        <v>0</v>
      </c>
      <c r="K1907" s="2"/>
      <c r="M1907" s="2"/>
    </row>
    <row r="1908" spans="1:14" x14ac:dyDescent="0.55000000000000004">
      <c r="A1908" s="1" t="s">
        <v>2134</v>
      </c>
      <c r="B1908" s="2">
        <f>COUNTIF(A:A,A1908)-1</f>
        <v>1</v>
      </c>
      <c r="C1908" s="2">
        <f>COUNTIF(A$1:A1908,A1908)-1</f>
        <v>1</v>
      </c>
      <c r="D1908" s="2" t="str">
        <f>Argument!D1908</f>
        <v>v</v>
      </c>
      <c r="E1908" s="2" t="str">
        <f t="shared" si="59"/>
        <v/>
      </c>
      <c r="F1908" s="2" t="str">
        <f>IF(C1908=0,ISTEXT(FORMULA.CONVERT("="&amp;A1908&amp;"("&amp;REPLACE(REPT(",#ref!",B1908),1,1,"")&amp;")()",1)),"")</f>
        <v/>
      </c>
      <c r="G1908" s="2">
        <f>TYPE(_xlfn.ACOTH({1}))</f>
        <v>64</v>
      </c>
      <c r="H1908" s="2" t="str">
        <f t="shared" si="60"/>
        <v/>
      </c>
      <c r="I1908" s="2">
        <f>TYPE(_xlfn.ACOTH(IF(1,1)))</f>
        <v>16</v>
      </c>
      <c r="J1908" s="2" t="str">
        <f>IF(C1908=0,COUNTIFS(A:A,A1908,D:D,"a"),"")</f>
        <v/>
      </c>
      <c r="K1908" s="2" t="e">
        <f>INDEX(+_xlfn.ACOTH(K1908:L1908),)</f>
        <v>#NUM!</v>
      </c>
      <c r="L1908" s="1">
        <v>1</v>
      </c>
      <c r="M1908" s="2" t="e">
        <f>INDEX(+_xlfn.ACOTH(INDIRECT(M1908:N1908)),)</f>
        <v>#REF!</v>
      </c>
      <c r="N1908" s="1">
        <v>1</v>
      </c>
    </row>
    <row r="1909" spans="1:14" x14ac:dyDescent="0.55000000000000004">
      <c r="A1909" s="1" t="s">
        <v>2135</v>
      </c>
      <c r="B1909" s="2">
        <f>COUNTIF(A:A,A1909)-1</f>
        <v>1</v>
      </c>
      <c r="C1909" s="2">
        <f>COUNTIF(A$1:A1909,A1909)-1</f>
        <v>0</v>
      </c>
      <c r="D1909" s="2" t="str">
        <f>Argument!D1909</f>
        <v/>
      </c>
      <c r="E1909" s="2" t="str">
        <f t="shared" si="59"/>
        <v>v</v>
      </c>
      <c r="F1909" s="2" t="b">
        <f>IF(C1909=0,ISTEXT(FORMULA.CONVERT("="&amp;A1909&amp;"("&amp;REPLACE(REPT(",#ref!",B1909),1,1,"")&amp;")()",1)),"")</f>
        <v>0</v>
      </c>
      <c r="G1909" s="2"/>
      <c r="H1909" s="2" t="str">
        <f t="shared" si="60"/>
        <v/>
      </c>
      <c r="I1909" s="2">
        <f>TYPE(_xlfn.COT(IF(1,1)))</f>
        <v>1</v>
      </c>
      <c r="J1909" s="2">
        <f>IF(C1909=0,COUNTIFS(A:A,A1909,D:D,"a"),"")</f>
        <v>0</v>
      </c>
      <c r="K1909" s="2"/>
      <c r="M1909" s="2"/>
    </row>
    <row r="1910" spans="1:14" x14ac:dyDescent="0.55000000000000004">
      <c r="A1910" s="1" t="s">
        <v>2135</v>
      </c>
      <c r="B1910" s="2">
        <f>COUNTIF(A:A,A1910)-1</f>
        <v>1</v>
      </c>
      <c r="C1910" s="2">
        <f>COUNTIF(A$1:A1910,A1910)-1</f>
        <v>1</v>
      </c>
      <c r="D1910" s="2" t="str">
        <f>Argument!D1910</f>
        <v>v</v>
      </c>
      <c r="E1910" s="2" t="str">
        <f t="shared" si="59"/>
        <v/>
      </c>
      <c r="F1910" s="2" t="str">
        <f>IF(C1910=0,ISTEXT(FORMULA.CONVERT("="&amp;A1910&amp;"("&amp;REPLACE(REPT(",#ref!",B1910),1,1,"")&amp;")()",1)),"")</f>
        <v/>
      </c>
      <c r="G1910" s="2">
        <f>TYPE(_xlfn.COT({1}))</f>
        <v>64</v>
      </c>
      <c r="H1910" s="2" t="str">
        <f t="shared" si="60"/>
        <v/>
      </c>
      <c r="I1910" s="2">
        <f>TYPE(_xlfn.COT(IF(1,1)))</f>
        <v>1</v>
      </c>
      <c r="J1910" s="2" t="str">
        <f>IF(C1910=0,COUNTIFS(A:A,A1910,D:D,"a"),"")</f>
        <v/>
      </c>
      <c r="K1910" s="2" t="e">
        <f>INDEX(+_xlfn.COT(K1910:L1910),)</f>
        <v>#DIV/0!</v>
      </c>
      <c r="L1910" s="1">
        <v>1</v>
      </c>
      <c r="M1910" s="2" t="e">
        <f>INDEX(+_xlfn.COT(INDIRECT(M1910:N1910)),)</f>
        <v>#REF!</v>
      </c>
      <c r="N1910" s="1">
        <v>1</v>
      </c>
    </row>
    <row r="1911" spans="1:14" x14ac:dyDescent="0.55000000000000004">
      <c r="A1911" s="1" t="s">
        <v>2136</v>
      </c>
      <c r="B1911" s="2">
        <f>COUNTIF(A:A,A1911)-1</f>
        <v>1</v>
      </c>
      <c r="C1911" s="2">
        <f>COUNTIF(A$1:A1911,A1911)-1</f>
        <v>0</v>
      </c>
      <c r="D1911" s="2" t="str">
        <f>Argument!D1911</f>
        <v/>
      </c>
      <c r="E1911" s="2" t="str">
        <f t="shared" si="59"/>
        <v>v</v>
      </c>
      <c r="F1911" s="2" t="b">
        <f>IF(C1911=0,ISTEXT(FORMULA.CONVERT("="&amp;A1911&amp;"("&amp;REPLACE(REPT(",#ref!",B1911),1,1,"")&amp;")()",1)),"")</f>
        <v>0</v>
      </c>
      <c r="G1911" s="2"/>
      <c r="H1911" s="2" t="str">
        <f t="shared" si="60"/>
        <v/>
      </c>
      <c r="I1911" s="2">
        <f>TYPE(_xlfn.COTH(IF(1,1)))</f>
        <v>1</v>
      </c>
      <c r="J1911" s="2">
        <f>IF(C1911=0,COUNTIFS(A:A,A1911,D:D,"a"),"")</f>
        <v>0</v>
      </c>
      <c r="K1911" s="2"/>
      <c r="M1911" s="2"/>
    </row>
    <row r="1912" spans="1:14" x14ac:dyDescent="0.55000000000000004">
      <c r="A1912" s="1" t="s">
        <v>2136</v>
      </c>
      <c r="B1912" s="2">
        <f>COUNTIF(A:A,A1912)-1</f>
        <v>1</v>
      </c>
      <c r="C1912" s="2">
        <f>COUNTIF(A$1:A1912,A1912)-1</f>
        <v>1</v>
      </c>
      <c r="D1912" s="2" t="str">
        <f>Argument!D1912</f>
        <v>v</v>
      </c>
      <c r="E1912" s="2" t="str">
        <f t="shared" si="59"/>
        <v/>
      </c>
      <c r="F1912" s="2" t="str">
        <f>IF(C1912=0,ISTEXT(FORMULA.CONVERT("="&amp;A1912&amp;"("&amp;REPLACE(REPT(",#ref!",B1912),1,1,"")&amp;")()",1)),"")</f>
        <v/>
      </c>
      <c r="G1912" s="2">
        <f>TYPE(_xlfn.COTH({1}))</f>
        <v>64</v>
      </c>
      <c r="H1912" s="2" t="str">
        <f t="shared" si="60"/>
        <v/>
      </c>
      <c r="I1912" s="2">
        <f>TYPE(_xlfn.COTH(IF(1,1)))</f>
        <v>1</v>
      </c>
      <c r="J1912" s="2" t="str">
        <f>IF(C1912=0,COUNTIFS(A:A,A1912,D:D,"a"),"")</f>
        <v/>
      </c>
      <c r="K1912" s="2" t="e">
        <f>INDEX(+_xlfn.COTH(K1912:L1912),)</f>
        <v>#DIV/0!</v>
      </c>
      <c r="L1912" s="1">
        <v>1</v>
      </c>
      <c r="M1912" s="2" t="e">
        <f>INDEX(+_xlfn.COTH(INDIRECT(M1912:N1912)),)</f>
        <v>#REF!</v>
      </c>
      <c r="N1912" s="1">
        <v>1</v>
      </c>
    </row>
    <row r="1913" spans="1:14" x14ac:dyDescent="0.55000000000000004">
      <c r="A1913" s="1" t="s">
        <v>2137</v>
      </c>
      <c r="B1913" s="2">
        <f>COUNTIF(A:A,A1913)-1</f>
        <v>1</v>
      </c>
      <c r="C1913" s="2">
        <f>COUNTIF(A$1:A1913,A1913)-1</f>
        <v>0</v>
      </c>
      <c r="D1913" s="2" t="str">
        <f>Argument!D1913</f>
        <v/>
      </c>
      <c r="E1913" s="2" t="str">
        <f t="shared" si="59"/>
        <v>v</v>
      </c>
      <c r="F1913" s="2" t="b">
        <f>IF(C1913=0,ISTEXT(FORMULA.CONVERT("="&amp;A1913&amp;"("&amp;REPLACE(REPT(",#ref!",B1913),1,1,"")&amp;")()",1)),"")</f>
        <v>0</v>
      </c>
      <c r="G1913" s="2"/>
      <c r="H1913" s="2" t="str">
        <f t="shared" si="60"/>
        <v/>
      </c>
      <c r="I1913" s="2">
        <f>TYPE(_xlfn.CSC(IF(1,1)))</f>
        <v>1</v>
      </c>
      <c r="J1913" s="2">
        <f>IF(C1913=0,COUNTIFS(A:A,A1913,D:D,"a"),"")</f>
        <v>0</v>
      </c>
      <c r="K1913" s="2"/>
      <c r="M1913" s="2"/>
    </row>
    <row r="1914" spans="1:14" x14ac:dyDescent="0.55000000000000004">
      <c r="A1914" s="1" t="s">
        <v>2137</v>
      </c>
      <c r="B1914" s="2">
        <f>COUNTIF(A:A,A1914)-1</f>
        <v>1</v>
      </c>
      <c r="C1914" s="2">
        <f>COUNTIF(A$1:A1914,A1914)-1</f>
        <v>1</v>
      </c>
      <c r="D1914" s="2" t="str">
        <f>Argument!D1914</f>
        <v>v</v>
      </c>
      <c r="E1914" s="2" t="str">
        <f t="shared" si="59"/>
        <v/>
      </c>
      <c r="F1914" s="2" t="str">
        <f>IF(C1914=0,ISTEXT(FORMULA.CONVERT("="&amp;A1914&amp;"("&amp;REPLACE(REPT(",#ref!",B1914),1,1,"")&amp;")()",1)),"")</f>
        <v/>
      </c>
      <c r="G1914" s="2">
        <f>TYPE(_xlfn.CSC({1}))</f>
        <v>64</v>
      </c>
      <c r="H1914" s="2" t="str">
        <f t="shared" si="60"/>
        <v/>
      </c>
      <c r="I1914" s="2">
        <f>TYPE(_xlfn.CSC(IF(1,1)))</f>
        <v>1</v>
      </c>
      <c r="J1914" s="2" t="str">
        <f>IF(C1914=0,COUNTIFS(A:A,A1914,D:D,"a"),"")</f>
        <v/>
      </c>
      <c r="K1914" s="2" t="e">
        <f>INDEX(+_xlfn.CSC(K1914:L1914),)</f>
        <v>#DIV/0!</v>
      </c>
      <c r="L1914" s="1">
        <v>1</v>
      </c>
      <c r="M1914" s="2" t="e">
        <f>INDEX(+_xlfn.CSC(INDIRECT(M1914:N1914)),)</f>
        <v>#REF!</v>
      </c>
      <c r="N1914" s="1">
        <v>1</v>
      </c>
    </row>
    <row r="1915" spans="1:14" x14ac:dyDescent="0.55000000000000004">
      <c r="A1915" s="1" t="s">
        <v>2138</v>
      </c>
      <c r="B1915" s="2">
        <f>COUNTIF(A:A,A1915)-1</f>
        <v>1</v>
      </c>
      <c r="C1915" s="2">
        <f>COUNTIF(A$1:A1915,A1915)-1</f>
        <v>0</v>
      </c>
      <c r="D1915" s="2" t="str">
        <f>Argument!D1915</f>
        <v/>
      </c>
      <c r="E1915" s="2" t="str">
        <f t="shared" si="59"/>
        <v>v</v>
      </c>
      <c r="F1915" s="2" t="b">
        <f>IF(C1915=0,ISTEXT(FORMULA.CONVERT("="&amp;A1915&amp;"("&amp;REPLACE(REPT(",#ref!",B1915),1,1,"")&amp;")()",1)),"")</f>
        <v>0</v>
      </c>
      <c r="G1915" s="2"/>
      <c r="H1915" s="2" t="str">
        <f t="shared" si="60"/>
        <v/>
      </c>
      <c r="I1915" s="2">
        <f>TYPE(_xlfn.CSCH(IF(1,1)))</f>
        <v>1</v>
      </c>
      <c r="J1915" s="2">
        <f>IF(C1915=0,COUNTIFS(A:A,A1915,D:D,"a"),"")</f>
        <v>0</v>
      </c>
      <c r="K1915" s="2"/>
      <c r="M1915" s="2"/>
    </row>
    <row r="1916" spans="1:14" x14ac:dyDescent="0.55000000000000004">
      <c r="A1916" s="1" t="s">
        <v>2138</v>
      </c>
      <c r="B1916" s="2">
        <f>COUNTIF(A:A,A1916)-1</f>
        <v>1</v>
      </c>
      <c r="C1916" s="2">
        <f>COUNTIF(A$1:A1916,A1916)-1</f>
        <v>1</v>
      </c>
      <c r="D1916" s="2" t="str">
        <f>Argument!D1916</f>
        <v>v</v>
      </c>
      <c r="E1916" s="2" t="str">
        <f t="shared" si="59"/>
        <v/>
      </c>
      <c r="F1916" s="2" t="str">
        <f>IF(C1916=0,ISTEXT(FORMULA.CONVERT("="&amp;A1916&amp;"("&amp;REPLACE(REPT(",#ref!",B1916),1,1,"")&amp;")()",1)),"")</f>
        <v/>
      </c>
      <c r="G1916" s="2">
        <f>TYPE(_xlfn.CSCH({1}))</f>
        <v>64</v>
      </c>
      <c r="H1916" s="2" t="str">
        <f t="shared" si="60"/>
        <v/>
      </c>
      <c r="I1916" s="2">
        <f>TYPE(_xlfn.CSCH(IF(1,1)))</f>
        <v>1</v>
      </c>
      <c r="J1916" s="2" t="str">
        <f>IF(C1916=0,COUNTIFS(A:A,A1916,D:D,"a"),"")</f>
        <v/>
      </c>
      <c r="K1916" s="2" t="e">
        <f>INDEX(+_xlfn.CSCH(K1916:L1916),)</f>
        <v>#DIV/0!</v>
      </c>
      <c r="L1916" s="1">
        <v>1</v>
      </c>
      <c r="M1916" s="2" t="e">
        <f>INDEX(+_xlfn.CSCH(INDIRECT(M1916:N1916)),)</f>
        <v>#REF!</v>
      </c>
      <c r="N1916" s="1">
        <v>1</v>
      </c>
    </row>
    <row r="1917" spans="1:14" x14ac:dyDescent="0.55000000000000004">
      <c r="A1917" s="1" t="s">
        <v>2139</v>
      </c>
      <c r="B1917" s="2">
        <f>COUNTIF(A:A,A1917)-1</f>
        <v>1</v>
      </c>
      <c r="C1917" s="2">
        <f>COUNTIF(A$1:A1917,A1917)-1</f>
        <v>0</v>
      </c>
      <c r="D1917" s="2" t="str">
        <f>Argument!D1917</f>
        <v/>
      </c>
      <c r="E1917" s="2" t="str">
        <f t="shared" si="59"/>
        <v>v</v>
      </c>
      <c r="F1917" s="2" t="b">
        <f>IF(C1917=0,ISTEXT(FORMULA.CONVERT("="&amp;A1917&amp;"("&amp;REPLACE(REPT(",#ref!",B1917),1,1,"")&amp;")()",1)),"")</f>
        <v>0</v>
      </c>
      <c r="G1917" s="2"/>
      <c r="H1917" s="2" t="str">
        <f t="shared" si="60"/>
        <v/>
      </c>
      <c r="I1917" s="2">
        <f>TYPE(_xlfn.SEC(IF(1,1)))</f>
        <v>1</v>
      </c>
      <c r="J1917" s="2">
        <f>IF(C1917=0,COUNTIFS(A:A,A1917,D:D,"a"),"")</f>
        <v>0</v>
      </c>
      <c r="K1917" s="2"/>
      <c r="M1917" s="2"/>
    </row>
    <row r="1918" spans="1:14" x14ac:dyDescent="0.55000000000000004">
      <c r="A1918" s="1" t="s">
        <v>2139</v>
      </c>
      <c r="B1918" s="2">
        <f>COUNTIF(A:A,A1918)-1</f>
        <v>1</v>
      </c>
      <c r="C1918" s="2">
        <f>COUNTIF(A$1:A1918,A1918)-1</f>
        <v>1</v>
      </c>
      <c r="D1918" s="2" t="str">
        <f>Argument!D1918</f>
        <v>v</v>
      </c>
      <c r="E1918" s="2" t="str">
        <f t="shared" si="59"/>
        <v/>
      </c>
      <c r="F1918" s="2" t="str">
        <f>IF(C1918=0,ISTEXT(FORMULA.CONVERT("="&amp;A1918&amp;"("&amp;REPLACE(REPT(",#ref!",B1918),1,1,"")&amp;")()",1)),"")</f>
        <v/>
      </c>
      <c r="G1918" s="2">
        <f>TYPE(_xlfn.SEC({1}))</f>
        <v>64</v>
      </c>
      <c r="H1918" s="2" t="str">
        <f t="shared" si="60"/>
        <v/>
      </c>
      <c r="I1918" s="2">
        <f>TYPE(_xlfn.SEC(IF(1,1)))</f>
        <v>1</v>
      </c>
      <c r="J1918" s="2" t="str">
        <f>IF(C1918=0,COUNTIFS(A:A,A1918,D:D,"a"),"")</f>
        <v/>
      </c>
      <c r="K1918" s="2">
        <f>INDEX(+_xlfn.SEC(K1918:L1918),)</f>
        <v>1</v>
      </c>
      <c r="L1918" s="1">
        <v>1</v>
      </c>
      <c r="M1918" s="2" t="e">
        <f>INDEX(+_xlfn.SEC(INDIRECT(M1918:N1918)),)</f>
        <v>#REF!</v>
      </c>
      <c r="N1918" s="1">
        <v>1</v>
      </c>
    </row>
    <row r="1919" spans="1:14" x14ac:dyDescent="0.55000000000000004">
      <c r="A1919" s="1" t="s">
        <v>2140</v>
      </c>
      <c r="B1919" s="2">
        <f>COUNTIF(A:A,A1919)-1</f>
        <v>1</v>
      </c>
      <c r="C1919" s="2">
        <f>COUNTIF(A$1:A1919,A1919)-1</f>
        <v>0</v>
      </c>
      <c r="D1919" s="2" t="str">
        <f>Argument!D1919</f>
        <v/>
      </c>
      <c r="E1919" s="2" t="str">
        <f t="shared" si="59"/>
        <v>v</v>
      </c>
      <c r="F1919" s="2" t="b">
        <f>IF(C1919=0,ISTEXT(FORMULA.CONVERT("="&amp;A1919&amp;"("&amp;REPLACE(REPT(",#ref!",B1919),1,1,"")&amp;")()",1)),"")</f>
        <v>0</v>
      </c>
      <c r="G1919" s="2"/>
      <c r="H1919" s="2" t="str">
        <f t="shared" si="60"/>
        <v/>
      </c>
      <c r="I1919" s="2">
        <f>TYPE(_xlfn.SECH(IF(1,1)))</f>
        <v>1</v>
      </c>
      <c r="J1919" s="2">
        <f>IF(C1919=0,COUNTIFS(A:A,A1919,D:D,"a"),"")</f>
        <v>0</v>
      </c>
      <c r="K1919" s="2"/>
      <c r="M1919" s="2"/>
    </row>
    <row r="1920" spans="1:14" x14ac:dyDescent="0.55000000000000004">
      <c r="A1920" s="1" t="s">
        <v>2140</v>
      </c>
      <c r="B1920" s="2">
        <f>COUNTIF(A:A,A1920)-1</f>
        <v>1</v>
      </c>
      <c r="C1920" s="2">
        <f>COUNTIF(A$1:A1920,A1920)-1</f>
        <v>1</v>
      </c>
      <c r="D1920" s="2" t="str">
        <f>Argument!D1920</f>
        <v>v</v>
      </c>
      <c r="E1920" s="2" t="str">
        <f t="shared" si="59"/>
        <v/>
      </c>
      <c r="F1920" s="2" t="str">
        <f>IF(C1920=0,ISTEXT(FORMULA.CONVERT("="&amp;A1920&amp;"("&amp;REPLACE(REPT(",#ref!",B1920),1,1,"")&amp;")()",1)),"")</f>
        <v/>
      </c>
      <c r="G1920" s="2">
        <f>TYPE(_xlfn.SECH({1}))</f>
        <v>64</v>
      </c>
      <c r="H1920" s="2" t="str">
        <f t="shared" si="60"/>
        <v/>
      </c>
      <c r="I1920" s="2">
        <f>TYPE(_xlfn.SECH(IF(1,1)))</f>
        <v>1</v>
      </c>
      <c r="J1920" s="2" t="str">
        <f>IF(C1920=0,COUNTIFS(A:A,A1920,D:D,"a"),"")</f>
        <v/>
      </c>
      <c r="K1920" s="2">
        <f>INDEX(+_xlfn.SECH(K1920:L1920),)</f>
        <v>1</v>
      </c>
      <c r="L1920" s="1">
        <v>1</v>
      </c>
      <c r="M1920" s="2" t="e">
        <f>INDEX(+_xlfn.SECH(INDIRECT(M1920:N1920)),)</f>
        <v>#REF!</v>
      </c>
      <c r="N1920" s="1">
        <v>1</v>
      </c>
    </row>
    <row r="1921" spans="1:14" x14ac:dyDescent="0.55000000000000004">
      <c r="A1921" s="1" t="s">
        <v>2141</v>
      </c>
      <c r="B1921" s="2">
        <f>COUNTIF(A:A,A1921)-1</f>
        <v>1</v>
      </c>
      <c r="C1921" s="2">
        <f>COUNTIF(A$1:A1921,A1921)-1</f>
        <v>0</v>
      </c>
      <c r="D1921" s="2" t="str">
        <f>Argument!D1921</f>
        <v/>
      </c>
      <c r="E1921" s="2" t="str">
        <f t="shared" si="59"/>
        <v>v</v>
      </c>
      <c r="F1921" s="2" t="b">
        <f>IF(C1921=0,ISTEXT(FORMULA.CONVERT("="&amp;A1921&amp;"("&amp;REPLACE(REPT(",#ref!",B1921),1,1,"")&amp;")()",1)),"")</f>
        <v>0</v>
      </c>
      <c r="G1921" s="2"/>
      <c r="H1921" s="2" t="str">
        <f t="shared" si="60"/>
        <v/>
      </c>
      <c r="I1921" s="2">
        <f>TYPE(_xlfn.IMTAN(IF(1,1)))</f>
        <v>2</v>
      </c>
      <c r="J1921" s="2">
        <f>IF(C1921=0,COUNTIFS(A:A,A1921,D:D,"a"),"")</f>
        <v>0</v>
      </c>
      <c r="K1921" s="2"/>
      <c r="M1921" s="2"/>
    </row>
    <row r="1922" spans="1:14" x14ac:dyDescent="0.55000000000000004">
      <c r="A1922" s="1" t="s">
        <v>2141</v>
      </c>
      <c r="B1922" s="2">
        <f>COUNTIF(A:A,A1922)-1</f>
        <v>1</v>
      </c>
      <c r="C1922" s="2">
        <f>COUNTIF(A$1:A1922,A1922)-1</f>
        <v>1</v>
      </c>
      <c r="D1922" s="2" t="str">
        <f>Argument!D1922</f>
        <v>vr</v>
      </c>
      <c r="E1922" s="2" t="str">
        <f t="shared" ref="E1922:E1985" si="61">IF(C1922=0,IF(SUMIFS(H:H,A:A,A1922),IF(COUNTIFS(A:A,A1922,G:G,64),,"v")&amp;IF(F1922,"ar","a"),IF(F1922,"r","v")),"")</f>
        <v/>
      </c>
      <c r="F1922" s="2" t="str">
        <f>IF(C1922=0,ISTEXT(FORMULA.CONVERT("="&amp;A1922&amp;"("&amp;REPLACE(REPT(",#ref!",B1922),1,1,"")&amp;")()",1)),"")</f>
        <v/>
      </c>
      <c r="G1922" s="2">
        <f>TYPE(_xlfn.IMTAN({1}))</f>
        <v>64</v>
      </c>
      <c r="H1922" s="2" t="str">
        <f t="shared" ref="H1922:H1985" si="62">IF((I1922=64)*(J1922=B1922)+(1-L1922)*COUNTIF(D1922,"*v*")+(1-N1922)*COUNTIF(D1922,"*r*"),1,"")</f>
        <v/>
      </c>
      <c r="I1922" s="2">
        <f>TYPE(_xlfn.IMTAN(IF(1,1)))</f>
        <v>2</v>
      </c>
      <c r="J1922" s="2" t="str">
        <f>IF(C1922=0,COUNTIFS(A:A,A1922,D:D,"a"),"")</f>
        <v/>
      </c>
      <c r="K1922" s="2" t="e">
        <f>INDEX(+_xlfn.IMTAN(K1922:L1922),)</f>
        <v>#VALUE!</v>
      </c>
      <c r="L1922" s="1">
        <v>1</v>
      </c>
      <c r="M1922" s="2" t="e">
        <f>INDEX(+_xlfn.IMTAN(INDIRECT(M1922:N1922)),)</f>
        <v>#REF!</v>
      </c>
      <c r="N1922" s="1">
        <v>1</v>
      </c>
    </row>
    <row r="1923" spans="1:14" x14ac:dyDescent="0.55000000000000004">
      <c r="A1923" s="1" t="s">
        <v>2142</v>
      </c>
      <c r="B1923" s="2">
        <f>COUNTIF(A:A,A1923)-1</f>
        <v>1</v>
      </c>
      <c r="C1923" s="2">
        <f>COUNTIF(A$1:A1923,A1923)-1</f>
        <v>0</v>
      </c>
      <c r="D1923" s="2" t="str">
        <f>Argument!D1923</f>
        <v/>
      </c>
      <c r="E1923" s="2" t="str">
        <f t="shared" si="61"/>
        <v>v</v>
      </c>
      <c r="F1923" s="2" t="b">
        <f>IF(C1923=0,ISTEXT(FORMULA.CONVERT("="&amp;A1923&amp;"("&amp;REPLACE(REPT(",#ref!",B1923),1,1,"")&amp;")()",1)),"")</f>
        <v>0</v>
      </c>
      <c r="G1923" s="2"/>
      <c r="H1923" s="2" t="str">
        <f t="shared" si="62"/>
        <v/>
      </c>
      <c r="I1923" s="2">
        <f>TYPE(_xlfn.IMCOT(IF(1,1)))</f>
        <v>2</v>
      </c>
      <c r="J1923" s="2">
        <f>IF(C1923=0,COUNTIFS(A:A,A1923,D:D,"a"),"")</f>
        <v>0</v>
      </c>
      <c r="K1923" s="2"/>
      <c r="M1923" s="2"/>
    </row>
    <row r="1924" spans="1:14" x14ac:dyDescent="0.55000000000000004">
      <c r="A1924" s="1" t="s">
        <v>2142</v>
      </c>
      <c r="B1924" s="2">
        <f>COUNTIF(A:A,A1924)-1</f>
        <v>1</v>
      </c>
      <c r="C1924" s="2">
        <f>COUNTIF(A$1:A1924,A1924)-1</f>
        <v>1</v>
      </c>
      <c r="D1924" s="2" t="str">
        <f>Argument!D1924</f>
        <v>vr</v>
      </c>
      <c r="E1924" s="2" t="str">
        <f t="shared" si="61"/>
        <v/>
      </c>
      <c r="F1924" s="2" t="str">
        <f>IF(C1924=0,ISTEXT(FORMULA.CONVERT("="&amp;A1924&amp;"("&amp;REPLACE(REPT(",#ref!",B1924),1,1,"")&amp;")()",1)),"")</f>
        <v/>
      </c>
      <c r="G1924" s="2">
        <f>TYPE(_xlfn.IMCOT({1}))</f>
        <v>64</v>
      </c>
      <c r="H1924" s="2" t="str">
        <f t="shared" si="62"/>
        <v/>
      </c>
      <c r="I1924" s="2">
        <f>TYPE(_xlfn.IMCOT(IF(1,1)))</f>
        <v>2</v>
      </c>
      <c r="J1924" s="2" t="str">
        <f>IF(C1924=0,COUNTIFS(A:A,A1924,D:D,"a"),"")</f>
        <v/>
      </c>
      <c r="K1924" s="2" t="e">
        <f>INDEX(+_xlfn.IMCOT(K1924:L1924),)</f>
        <v>#VALUE!</v>
      </c>
      <c r="L1924" s="1">
        <v>1</v>
      </c>
      <c r="M1924" s="2" t="e">
        <f>INDEX(+_xlfn.IMCOT(INDIRECT(M1924:N1924)),)</f>
        <v>#REF!</v>
      </c>
      <c r="N1924" s="1">
        <v>1</v>
      </c>
    </row>
    <row r="1925" spans="1:14" x14ac:dyDescent="0.55000000000000004">
      <c r="A1925" s="1" t="s">
        <v>2143</v>
      </c>
      <c r="B1925" s="2">
        <f>COUNTIF(A:A,A1925)-1</f>
        <v>1</v>
      </c>
      <c r="C1925" s="2">
        <f>COUNTIF(A$1:A1925,A1925)-1</f>
        <v>0</v>
      </c>
      <c r="D1925" s="2" t="str">
        <f>Argument!D1925</f>
        <v/>
      </c>
      <c r="E1925" s="2" t="str">
        <f t="shared" si="61"/>
        <v>v</v>
      </c>
      <c r="F1925" s="2" t="b">
        <f>IF(C1925=0,ISTEXT(FORMULA.CONVERT("="&amp;A1925&amp;"("&amp;REPLACE(REPT(",#ref!",B1925),1,1,"")&amp;")()",1)),"")</f>
        <v>0</v>
      </c>
      <c r="G1925" s="2"/>
      <c r="H1925" s="2" t="str">
        <f t="shared" si="62"/>
        <v/>
      </c>
      <c r="I1925" s="2">
        <f>TYPE(_xlfn.IMCSC(IF(1,1)))</f>
        <v>2</v>
      </c>
      <c r="J1925" s="2">
        <f>IF(C1925=0,COUNTIFS(A:A,A1925,D:D,"a"),"")</f>
        <v>0</v>
      </c>
      <c r="K1925" s="2"/>
      <c r="M1925" s="2"/>
    </row>
    <row r="1926" spans="1:14" x14ac:dyDescent="0.55000000000000004">
      <c r="A1926" s="1" t="s">
        <v>2143</v>
      </c>
      <c r="B1926" s="2">
        <f>COUNTIF(A:A,A1926)-1</f>
        <v>1</v>
      </c>
      <c r="C1926" s="2">
        <f>COUNTIF(A$1:A1926,A1926)-1</f>
        <v>1</v>
      </c>
      <c r="D1926" s="2" t="str">
        <f>Argument!D1926</f>
        <v>vr</v>
      </c>
      <c r="E1926" s="2" t="str">
        <f t="shared" si="61"/>
        <v/>
      </c>
      <c r="F1926" s="2" t="str">
        <f>IF(C1926=0,ISTEXT(FORMULA.CONVERT("="&amp;A1926&amp;"("&amp;REPLACE(REPT(",#ref!",B1926),1,1,"")&amp;")()",1)),"")</f>
        <v/>
      </c>
      <c r="G1926" s="2">
        <f>TYPE(_xlfn.IMCSC({1}))</f>
        <v>64</v>
      </c>
      <c r="H1926" s="2" t="str">
        <f t="shared" si="62"/>
        <v/>
      </c>
      <c r="I1926" s="2">
        <f>TYPE(_xlfn.IMCSC(IF(1,1)))</f>
        <v>2</v>
      </c>
      <c r="J1926" s="2" t="str">
        <f>IF(C1926=0,COUNTIFS(A:A,A1926,D:D,"a"),"")</f>
        <v/>
      </c>
      <c r="K1926" s="2" t="e">
        <f>INDEX(+_xlfn.IMCSC(K1926:L1926),)</f>
        <v>#VALUE!</v>
      </c>
      <c r="L1926" s="1">
        <v>1</v>
      </c>
      <c r="M1926" s="2" t="e">
        <f>INDEX(+_xlfn.IMCSC(INDIRECT(M1926:N1926)),)</f>
        <v>#REF!</v>
      </c>
      <c r="N1926" s="1">
        <v>1</v>
      </c>
    </row>
    <row r="1927" spans="1:14" x14ac:dyDescent="0.55000000000000004">
      <c r="A1927" s="1" t="s">
        <v>2144</v>
      </c>
      <c r="B1927" s="2">
        <f>COUNTIF(A:A,A1927)-1</f>
        <v>1</v>
      </c>
      <c r="C1927" s="2">
        <f>COUNTIF(A$1:A1927,A1927)-1</f>
        <v>0</v>
      </c>
      <c r="D1927" s="2" t="str">
        <f>Argument!D1927</f>
        <v/>
      </c>
      <c r="E1927" s="2" t="str">
        <f t="shared" si="61"/>
        <v>v</v>
      </c>
      <c r="F1927" s="2" t="b">
        <f>IF(C1927=0,ISTEXT(FORMULA.CONVERT("="&amp;A1927&amp;"("&amp;REPLACE(REPT(",#ref!",B1927),1,1,"")&amp;")()",1)),"")</f>
        <v>0</v>
      </c>
      <c r="G1927" s="2"/>
      <c r="H1927" s="2" t="str">
        <f t="shared" si="62"/>
        <v/>
      </c>
      <c r="I1927" s="2">
        <f>TYPE(_xlfn.IMCSCH(IF(1,1)))</f>
        <v>2</v>
      </c>
      <c r="J1927" s="2">
        <f>IF(C1927=0,COUNTIFS(A:A,A1927,D:D,"a"),"")</f>
        <v>0</v>
      </c>
      <c r="K1927" s="2"/>
      <c r="M1927" s="2"/>
    </row>
    <row r="1928" spans="1:14" x14ac:dyDescent="0.55000000000000004">
      <c r="A1928" s="1" t="s">
        <v>2144</v>
      </c>
      <c r="B1928" s="2">
        <f>COUNTIF(A:A,A1928)-1</f>
        <v>1</v>
      </c>
      <c r="C1928" s="2">
        <f>COUNTIF(A$1:A1928,A1928)-1</f>
        <v>1</v>
      </c>
      <c r="D1928" s="2" t="str">
        <f>Argument!D1928</f>
        <v>vr</v>
      </c>
      <c r="E1928" s="2" t="str">
        <f t="shared" si="61"/>
        <v/>
      </c>
      <c r="F1928" s="2" t="str">
        <f>IF(C1928=0,ISTEXT(FORMULA.CONVERT("="&amp;A1928&amp;"("&amp;REPLACE(REPT(",#ref!",B1928),1,1,"")&amp;")()",1)),"")</f>
        <v/>
      </c>
      <c r="G1928" s="2">
        <f>TYPE(_xlfn.IMCSCH({1}))</f>
        <v>64</v>
      </c>
      <c r="H1928" s="2" t="str">
        <f t="shared" si="62"/>
        <v/>
      </c>
      <c r="I1928" s="2">
        <f>TYPE(_xlfn.IMCSCH(IF(1,1)))</f>
        <v>2</v>
      </c>
      <c r="J1928" s="2" t="str">
        <f>IF(C1928=0,COUNTIFS(A:A,A1928,D:D,"a"),"")</f>
        <v/>
      </c>
      <c r="K1928" s="2" t="e">
        <f>INDEX(+_xlfn.IMCSCH(K1928:L1928),)</f>
        <v>#VALUE!</v>
      </c>
      <c r="L1928" s="1">
        <v>1</v>
      </c>
      <c r="M1928" s="2" t="e">
        <f>INDEX(+_xlfn.IMCSCH(INDIRECT(M1928:N1928)),)</f>
        <v>#REF!</v>
      </c>
      <c r="N1928" s="1">
        <v>1</v>
      </c>
    </row>
    <row r="1929" spans="1:14" x14ac:dyDescent="0.55000000000000004">
      <c r="A1929" s="1" t="s">
        <v>2145</v>
      </c>
      <c r="B1929" s="2">
        <f>COUNTIF(A:A,A1929)-1</f>
        <v>1</v>
      </c>
      <c r="C1929" s="2">
        <f>COUNTIF(A$1:A1929,A1929)-1</f>
        <v>0</v>
      </c>
      <c r="D1929" s="2" t="str">
        <f>Argument!D1929</f>
        <v/>
      </c>
      <c r="E1929" s="2" t="str">
        <f t="shared" si="61"/>
        <v>v</v>
      </c>
      <c r="F1929" s="2" t="b">
        <f>IF(C1929=0,ISTEXT(FORMULA.CONVERT("="&amp;A1929&amp;"("&amp;REPLACE(REPT(",#ref!",B1929),1,1,"")&amp;")()",1)),"")</f>
        <v>0</v>
      </c>
      <c r="G1929" s="2"/>
      <c r="H1929" s="2" t="str">
        <f t="shared" si="62"/>
        <v/>
      </c>
      <c r="I1929" s="2">
        <f>TYPE(_xlfn.IMSEC(IF(1,1)))</f>
        <v>2</v>
      </c>
      <c r="J1929" s="2">
        <f>IF(C1929=0,COUNTIFS(A:A,A1929,D:D,"a"),"")</f>
        <v>0</v>
      </c>
      <c r="K1929" s="2"/>
      <c r="M1929" s="2"/>
    </row>
    <row r="1930" spans="1:14" x14ac:dyDescent="0.55000000000000004">
      <c r="A1930" s="1" t="s">
        <v>2145</v>
      </c>
      <c r="B1930" s="2">
        <f>COUNTIF(A:A,A1930)-1</f>
        <v>1</v>
      </c>
      <c r="C1930" s="2">
        <f>COUNTIF(A$1:A1930,A1930)-1</f>
        <v>1</v>
      </c>
      <c r="D1930" s="2" t="str">
        <f>Argument!D1930</f>
        <v>vr</v>
      </c>
      <c r="E1930" s="2" t="str">
        <f t="shared" si="61"/>
        <v/>
      </c>
      <c r="F1930" s="2" t="str">
        <f>IF(C1930=0,ISTEXT(FORMULA.CONVERT("="&amp;A1930&amp;"("&amp;REPLACE(REPT(",#ref!",B1930),1,1,"")&amp;")()",1)),"")</f>
        <v/>
      </c>
      <c r="G1930" s="2">
        <f>TYPE(_xlfn.IMSEC({1}))</f>
        <v>64</v>
      </c>
      <c r="H1930" s="2" t="str">
        <f t="shared" si="62"/>
        <v/>
      </c>
      <c r="I1930" s="2">
        <f>TYPE(_xlfn.IMSEC(IF(1,1)))</f>
        <v>2</v>
      </c>
      <c r="J1930" s="2" t="str">
        <f>IF(C1930=0,COUNTIFS(A:A,A1930,D:D,"a"),"")</f>
        <v/>
      </c>
      <c r="K1930" s="2" t="e">
        <f>INDEX(+_xlfn.IMSEC(K1930:L1930),)</f>
        <v>#VALUE!</v>
      </c>
      <c r="L1930" s="1">
        <v>1</v>
      </c>
      <c r="M1930" s="2" t="e">
        <f>INDEX(+_xlfn.IMSEC(INDIRECT(M1930:N1930)),)</f>
        <v>#REF!</v>
      </c>
      <c r="N1930" s="1">
        <v>1</v>
      </c>
    </row>
    <row r="1931" spans="1:14" x14ac:dyDescent="0.55000000000000004">
      <c r="A1931" s="1" t="s">
        <v>2146</v>
      </c>
      <c r="B1931" s="2">
        <f>COUNTIF(A:A,A1931)-1</f>
        <v>1</v>
      </c>
      <c r="C1931" s="2">
        <f>COUNTIF(A$1:A1931,A1931)-1</f>
        <v>0</v>
      </c>
      <c r="D1931" s="2" t="str">
        <f>Argument!D1931</f>
        <v/>
      </c>
      <c r="E1931" s="2" t="str">
        <f t="shared" si="61"/>
        <v>v</v>
      </c>
      <c r="F1931" s="2" t="b">
        <f>IF(C1931=0,ISTEXT(FORMULA.CONVERT("="&amp;A1931&amp;"("&amp;REPLACE(REPT(",#ref!",B1931),1,1,"")&amp;")()",1)),"")</f>
        <v>0</v>
      </c>
      <c r="G1931" s="2"/>
      <c r="H1931" s="2" t="str">
        <f t="shared" si="62"/>
        <v/>
      </c>
      <c r="I1931" s="2">
        <f>TYPE(_xlfn.IMSECH(IF(1,1)))</f>
        <v>2</v>
      </c>
      <c r="J1931" s="2">
        <f>IF(C1931=0,COUNTIFS(A:A,A1931,D:D,"a"),"")</f>
        <v>0</v>
      </c>
      <c r="K1931" s="2"/>
      <c r="M1931" s="2"/>
    </row>
    <row r="1932" spans="1:14" x14ac:dyDescent="0.55000000000000004">
      <c r="A1932" s="1" t="s">
        <v>2146</v>
      </c>
      <c r="B1932" s="2">
        <f>COUNTIF(A:A,A1932)-1</f>
        <v>1</v>
      </c>
      <c r="C1932" s="2">
        <f>COUNTIF(A$1:A1932,A1932)-1</f>
        <v>1</v>
      </c>
      <c r="D1932" s="2" t="str">
        <f>Argument!D1932</f>
        <v>vr</v>
      </c>
      <c r="E1932" s="2" t="str">
        <f t="shared" si="61"/>
        <v/>
      </c>
      <c r="F1932" s="2" t="str">
        <f>IF(C1932=0,ISTEXT(FORMULA.CONVERT("="&amp;A1932&amp;"("&amp;REPLACE(REPT(",#ref!",B1932),1,1,"")&amp;")()",1)),"")</f>
        <v/>
      </c>
      <c r="G1932" s="2">
        <f>TYPE(_xlfn.IMSECH({1}))</f>
        <v>64</v>
      </c>
      <c r="H1932" s="2" t="str">
        <f t="shared" si="62"/>
        <v/>
      </c>
      <c r="I1932" s="2">
        <f>TYPE(_xlfn.IMSECH(IF(1,1)))</f>
        <v>2</v>
      </c>
      <c r="J1932" s="2" t="str">
        <f>IF(C1932=0,COUNTIFS(A:A,A1932,D:D,"a"),"")</f>
        <v/>
      </c>
      <c r="K1932" s="2" t="e">
        <f>INDEX(+_xlfn.IMSECH(K1932:L1932),)</f>
        <v>#VALUE!</v>
      </c>
      <c r="L1932" s="1">
        <v>1</v>
      </c>
      <c r="M1932" s="2" t="e">
        <f>INDEX(+_xlfn.IMSECH(INDIRECT(M1932:N1932)),)</f>
        <v>#REF!</v>
      </c>
      <c r="N1932" s="1">
        <v>1</v>
      </c>
    </row>
    <row r="1933" spans="1:14" x14ac:dyDescent="0.55000000000000004">
      <c r="A1933" s="1" t="s">
        <v>2147</v>
      </c>
      <c r="B1933" s="2">
        <f>COUNTIF(A:A,A1933)-1</f>
        <v>2</v>
      </c>
      <c r="C1933" s="2">
        <f>COUNTIF(A$1:A1933,A1933)-1</f>
        <v>0</v>
      </c>
      <c r="D1933" s="2" t="str">
        <f>Argument!D1933</f>
        <v/>
      </c>
      <c r="E1933" s="2" t="str">
        <f t="shared" si="61"/>
        <v>v</v>
      </c>
      <c r="F1933" s="2" t="b">
        <f>IF(C1933=0,ISTEXT(FORMULA.CONVERT("="&amp;A1933&amp;"("&amp;REPLACE(REPT(",#ref!",B1933),1,1,"")&amp;")()",1)),"")</f>
        <v>0</v>
      </c>
      <c r="G1933" s="2"/>
      <c r="H1933" s="2" t="str">
        <f t="shared" si="62"/>
        <v/>
      </c>
      <c r="I1933" s="2">
        <f>TYPE(_xlfn.BITAND(IF(1,1),IF(1,1)))</f>
        <v>1</v>
      </c>
      <c r="J1933" s="2">
        <f>IF(C1933=0,COUNTIFS(A:A,A1933,D:D,"a"),"")</f>
        <v>0</v>
      </c>
      <c r="K1933" s="2"/>
      <c r="M1933" s="2"/>
    </row>
    <row r="1934" spans="1:14" x14ac:dyDescent="0.55000000000000004">
      <c r="A1934" s="1" t="s">
        <v>2147</v>
      </c>
      <c r="B1934" s="2">
        <f>COUNTIF(A:A,A1934)-1</f>
        <v>2</v>
      </c>
      <c r="C1934" s="2">
        <f>COUNTIF(A$1:A1934,A1934)-1</f>
        <v>1</v>
      </c>
      <c r="D1934" s="2" t="str">
        <f>Argument!D1934</f>
        <v>v</v>
      </c>
      <c r="E1934" s="2" t="str">
        <f t="shared" si="61"/>
        <v/>
      </c>
      <c r="F1934" s="2" t="str">
        <f>IF(C1934=0,ISTEXT(FORMULA.CONVERT("="&amp;A1934&amp;"("&amp;REPLACE(REPT(",#ref!",B1934),1,1,"")&amp;")()",1)),"")</f>
        <v/>
      </c>
      <c r="G1934" s="2">
        <f>TYPE(_xlfn.BITAND({1},IF(1,1)))</f>
        <v>64</v>
      </c>
      <c r="H1934" s="2" t="str">
        <f t="shared" si="62"/>
        <v/>
      </c>
      <c r="I1934" s="2">
        <f>TYPE(_xlfn.BITAND(IF(1,1),IF(1,1)))</f>
        <v>1</v>
      </c>
      <c r="J1934" s="2" t="str">
        <f>IF(C1934=0,COUNTIFS(A:A,A1934,D:D,"a"),"")</f>
        <v/>
      </c>
      <c r="K1934" s="2" t="e">
        <f>INDEX(+_xlfn.BITAND(K1934:L1934,#REF!),)</f>
        <v>#REF!</v>
      </c>
      <c r="L1934" s="1">
        <v>1</v>
      </c>
      <c r="M1934" s="2" t="e">
        <f>INDEX(+_xlfn.BITAND(INDIRECT(M1934:N1934),#REF!),)</f>
        <v>#REF!</v>
      </c>
      <c r="N1934" s="1">
        <v>1</v>
      </c>
    </row>
    <row r="1935" spans="1:14" x14ac:dyDescent="0.55000000000000004">
      <c r="A1935" s="1" t="s">
        <v>2147</v>
      </c>
      <c r="B1935" s="2">
        <f>COUNTIF(A:A,A1935)-1</f>
        <v>2</v>
      </c>
      <c r="C1935" s="2">
        <f>COUNTIF(A$1:A1935,A1935)-1</f>
        <v>2</v>
      </c>
      <c r="D1935" s="2" t="str">
        <f>Argument!D1935</f>
        <v>v</v>
      </c>
      <c r="E1935" s="2" t="str">
        <f t="shared" si="61"/>
        <v/>
      </c>
      <c r="F1935" s="2" t="str">
        <f>IF(C1935=0,ISTEXT(FORMULA.CONVERT("="&amp;A1935&amp;"("&amp;REPLACE(REPT(",#ref!",B1935),1,1,"")&amp;")()",1)),"")</f>
        <v/>
      </c>
      <c r="G1935" s="2">
        <f>TYPE(_xlfn.BITAND(IF(1,1),{1}))</f>
        <v>64</v>
      </c>
      <c r="H1935" s="2" t="str">
        <f t="shared" si="62"/>
        <v/>
      </c>
      <c r="I1935" s="2">
        <f>TYPE(_xlfn.BITAND(IF(1,1),IF(1,1)))</f>
        <v>1</v>
      </c>
      <c r="J1935" s="2" t="str">
        <f>IF(C1935=0,COUNTIFS(A:A,A1935,D:D,"a"),"")</f>
        <v/>
      </c>
      <c r="K1935" s="2" t="e">
        <f>INDEX(+_xlfn.BITAND(#REF!,K1935:L1935),)</f>
        <v>#REF!</v>
      </c>
      <c r="L1935" s="1">
        <v>1</v>
      </c>
      <c r="M1935" s="2" t="e">
        <f>INDEX(+_xlfn.BITAND(#REF!,INDIRECT(M1935:N1935)),)</f>
        <v>#REF!</v>
      </c>
      <c r="N1935" s="1">
        <v>1</v>
      </c>
    </row>
    <row r="1936" spans="1:14" x14ac:dyDescent="0.55000000000000004">
      <c r="A1936" s="1" t="s">
        <v>2148</v>
      </c>
      <c r="B1936" s="2">
        <f>COUNTIF(A:A,A1936)-1</f>
        <v>2</v>
      </c>
      <c r="C1936" s="2">
        <f>COUNTIF(A$1:A1936,A1936)-1</f>
        <v>0</v>
      </c>
      <c r="D1936" s="2" t="str">
        <f>Argument!D1936</f>
        <v/>
      </c>
      <c r="E1936" s="2" t="str">
        <f t="shared" si="61"/>
        <v>v</v>
      </c>
      <c r="F1936" s="2" t="b">
        <f>IF(C1936=0,ISTEXT(FORMULA.CONVERT("="&amp;A1936&amp;"("&amp;REPLACE(REPT(",#ref!",B1936),1,1,"")&amp;")()",1)),"")</f>
        <v>0</v>
      </c>
      <c r="G1936" s="2"/>
      <c r="H1936" s="2" t="str">
        <f t="shared" si="62"/>
        <v/>
      </c>
      <c r="I1936" s="2">
        <f>TYPE(_xlfn.BITOR(IF(1,1),IF(1,1)))</f>
        <v>1</v>
      </c>
      <c r="J1936" s="2">
        <f>IF(C1936=0,COUNTIFS(A:A,A1936,D:D,"a"),"")</f>
        <v>0</v>
      </c>
      <c r="K1936" s="2"/>
      <c r="M1936" s="2"/>
    </row>
    <row r="1937" spans="1:14" x14ac:dyDescent="0.55000000000000004">
      <c r="A1937" s="1" t="s">
        <v>2148</v>
      </c>
      <c r="B1937" s="2">
        <f>COUNTIF(A:A,A1937)-1</f>
        <v>2</v>
      </c>
      <c r="C1937" s="2">
        <f>COUNTIF(A$1:A1937,A1937)-1</f>
        <v>1</v>
      </c>
      <c r="D1937" s="2" t="str">
        <f>Argument!D1937</f>
        <v>v</v>
      </c>
      <c r="E1937" s="2" t="str">
        <f t="shared" si="61"/>
        <v/>
      </c>
      <c r="F1937" s="2" t="str">
        <f>IF(C1937=0,ISTEXT(FORMULA.CONVERT("="&amp;A1937&amp;"("&amp;REPLACE(REPT(",#ref!",B1937),1,1,"")&amp;")()",1)),"")</f>
        <v/>
      </c>
      <c r="G1937" s="2">
        <f>TYPE(_xlfn.BITOR({1},IF(1,1)))</f>
        <v>64</v>
      </c>
      <c r="H1937" s="2" t="str">
        <f t="shared" si="62"/>
        <v/>
      </c>
      <c r="I1937" s="2">
        <f>TYPE(_xlfn.BITOR(IF(1,1),IF(1,1)))</f>
        <v>1</v>
      </c>
      <c r="J1937" s="2" t="str">
        <f>IF(C1937=0,COUNTIFS(A:A,A1937,D:D,"a"),"")</f>
        <v/>
      </c>
      <c r="K1937" s="2" t="e">
        <f>INDEX(+_xlfn.BITOR(K1937:L1937,#REF!),)</f>
        <v>#REF!</v>
      </c>
      <c r="L1937" s="1">
        <v>1</v>
      </c>
      <c r="M1937" s="2" t="e">
        <f>INDEX(+_xlfn.BITOR(INDIRECT(M1937:N1937),#REF!),)</f>
        <v>#REF!</v>
      </c>
      <c r="N1937" s="1">
        <v>1</v>
      </c>
    </row>
    <row r="1938" spans="1:14" x14ac:dyDescent="0.55000000000000004">
      <c r="A1938" s="1" t="s">
        <v>2148</v>
      </c>
      <c r="B1938" s="2">
        <f>COUNTIF(A:A,A1938)-1</f>
        <v>2</v>
      </c>
      <c r="C1938" s="2">
        <f>COUNTIF(A$1:A1938,A1938)-1</f>
        <v>2</v>
      </c>
      <c r="D1938" s="2" t="str">
        <f>Argument!D1938</f>
        <v>v</v>
      </c>
      <c r="E1938" s="2" t="str">
        <f t="shared" si="61"/>
        <v/>
      </c>
      <c r="F1938" s="2" t="str">
        <f>IF(C1938=0,ISTEXT(FORMULA.CONVERT("="&amp;A1938&amp;"("&amp;REPLACE(REPT(",#ref!",B1938),1,1,"")&amp;")()",1)),"")</f>
        <v/>
      </c>
      <c r="G1938" s="2">
        <f>TYPE(_xlfn.BITOR(IF(1,1),{1}))</f>
        <v>64</v>
      </c>
      <c r="H1938" s="2" t="str">
        <f t="shared" si="62"/>
        <v/>
      </c>
      <c r="I1938" s="2">
        <f>TYPE(_xlfn.BITOR(IF(1,1),IF(1,1)))</f>
        <v>1</v>
      </c>
      <c r="J1938" s="2" t="str">
        <f>IF(C1938=0,COUNTIFS(A:A,A1938,D:D,"a"),"")</f>
        <v/>
      </c>
      <c r="K1938" s="2" t="e">
        <f>INDEX(+_xlfn.BITOR(#REF!,K1938:L1938),)</f>
        <v>#REF!</v>
      </c>
      <c r="L1938" s="1">
        <v>1</v>
      </c>
      <c r="M1938" s="2" t="e">
        <f>INDEX(+_xlfn.BITOR(#REF!,INDIRECT(M1938:N1938)),)</f>
        <v>#REF!</v>
      </c>
      <c r="N1938" s="1">
        <v>1</v>
      </c>
    </row>
    <row r="1939" spans="1:14" x14ac:dyDescent="0.55000000000000004">
      <c r="A1939" s="1" t="s">
        <v>2149</v>
      </c>
      <c r="B1939" s="2">
        <f>COUNTIF(A:A,A1939)-1</f>
        <v>2</v>
      </c>
      <c r="C1939" s="2">
        <f>COUNTIF(A$1:A1939,A1939)-1</f>
        <v>0</v>
      </c>
      <c r="D1939" s="2" t="str">
        <f>Argument!D1939</f>
        <v/>
      </c>
      <c r="E1939" s="2" t="str">
        <f t="shared" si="61"/>
        <v>v</v>
      </c>
      <c r="F1939" s="2" t="b">
        <f>IF(C1939=0,ISTEXT(FORMULA.CONVERT("="&amp;A1939&amp;"("&amp;REPLACE(REPT(",#ref!",B1939),1,1,"")&amp;")()",1)),"")</f>
        <v>0</v>
      </c>
      <c r="G1939" s="2"/>
      <c r="H1939" s="2" t="str">
        <f t="shared" si="62"/>
        <v/>
      </c>
      <c r="I1939" s="2">
        <f>TYPE(_xlfn.BITXOR(IF(1,1),IF(1,1)))</f>
        <v>1</v>
      </c>
      <c r="J1939" s="2">
        <f>IF(C1939=0,COUNTIFS(A:A,A1939,D:D,"a"),"")</f>
        <v>0</v>
      </c>
      <c r="K1939" s="2"/>
      <c r="M1939" s="2"/>
    </row>
    <row r="1940" spans="1:14" x14ac:dyDescent="0.55000000000000004">
      <c r="A1940" s="1" t="s">
        <v>2149</v>
      </c>
      <c r="B1940" s="2">
        <f>COUNTIF(A:A,A1940)-1</f>
        <v>2</v>
      </c>
      <c r="C1940" s="2">
        <f>COUNTIF(A$1:A1940,A1940)-1</f>
        <v>1</v>
      </c>
      <c r="D1940" s="2" t="str">
        <f>Argument!D1940</f>
        <v>v</v>
      </c>
      <c r="E1940" s="2" t="str">
        <f t="shared" si="61"/>
        <v/>
      </c>
      <c r="F1940" s="2" t="str">
        <f>IF(C1940=0,ISTEXT(FORMULA.CONVERT("="&amp;A1940&amp;"("&amp;REPLACE(REPT(",#ref!",B1940),1,1,"")&amp;")()",1)),"")</f>
        <v/>
      </c>
      <c r="G1940" s="2">
        <f>TYPE(_xlfn.BITXOR({1},IF(1,1)))</f>
        <v>64</v>
      </c>
      <c r="H1940" s="2" t="str">
        <f t="shared" si="62"/>
        <v/>
      </c>
      <c r="I1940" s="2">
        <f>TYPE(_xlfn.BITXOR(IF(1,1),IF(1,1)))</f>
        <v>1</v>
      </c>
      <c r="J1940" s="2" t="str">
        <f>IF(C1940=0,COUNTIFS(A:A,A1940,D:D,"a"),"")</f>
        <v/>
      </c>
      <c r="K1940" s="2" t="e">
        <f>INDEX(+_xlfn.BITXOR(K1940:L1940,#REF!),)</f>
        <v>#REF!</v>
      </c>
      <c r="L1940" s="1">
        <v>1</v>
      </c>
      <c r="M1940" s="2" t="e">
        <f>INDEX(+_xlfn.BITXOR(INDIRECT(M1940:N1940),#REF!),)</f>
        <v>#REF!</v>
      </c>
      <c r="N1940" s="1">
        <v>1</v>
      </c>
    </row>
    <row r="1941" spans="1:14" x14ac:dyDescent="0.55000000000000004">
      <c r="A1941" s="1" t="s">
        <v>2149</v>
      </c>
      <c r="B1941" s="2">
        <f>COUNTIF(A:A,A1941)-1</f>
        <v>2</v>
      </c>
      <c r="C1941" s="2">
        <f>COUNTIF(A$1:A1941,A1941)-1</f>
        <v>2</v>
      </c>
      <c r="D1941" s="2" t="str">
        <f>Argument!D1941</f>
        <v>v</v>
      </c>
      <c r="E1941" s="2" t="str">
        <f t="shared" si="61"/>
        <v/>
      </c>
      <c r="F1941" s="2" t="str">
        <f>IF(C1941=0,ISTEXT(FORMULA.CONVERT("="&amp;A1941&amp;"("&amp;REPLACE(REPT(",#ref!",B1941),1,1,"")&amp;")()",1)),"")</f>
        <v/>
      </c>
      <c r="G1941" s="2">
        <f>TYPE(_xlfn.BITXOR(IF(1,1),{1}))</f>
        <v>64</v>
      </c>
      <c r="H1941" s="2" t="str">
        <f t="shared" si="62"/>
        <v/>
      </c>
      <c r="I1941" s="2">
        <f>TYPE(_xlfn.BITXOR(IF(1,1),IF(1,1)))</f>
        <v>1</v>
      </c>
      <c r="J1941" s="2" t="str">
        <f>IF(C1941=0,COUNTIFS(A:A,A1941,D:D,"a"),"")</f>
        <v/>
      </c>
      <c r="K1941" s="2" t="e">
        <f>INDEX(+_xlfn.BITXOR(#REF!,K1941:L1941),)</f>
        <v>#REF!</v>
      </c>
      <c r="L1941" s="1">
        <v>1</v>
      </c>
      <c r="M1941" s="2" t="e">
        <f>INDEX(+_xlfn.BITXOR(#REF!,INDIRECT(M1941:N1941)),)</f>
        <v>#REF!</v>
      </c>
      <c r="N1941" s="1">
        <v>1</v>
      </c>
    </row>
    <row r="1942" spans="1:14" x14ac:dyDescent="0.55000000000000004">
      <c r="A1942" s="1" t="s">
        <v>2150</v>
      </c>
      <c r="B1942" s="2">
        <f>COUNTIF(A:A,A1942)-1</f>
        <v>2</v>
      </c>
      <c r="C1942" s="2">
        <f>COUNTIF(A$1:A1942,A1942)-1</f>
        <v>0</v>
      </c>
      <c r="D1942" s="2" t="str">
        <f>Argument!D1942</f>
        <v/>
      </c>
      <c r="E1942" s="2" t="str">
        <f t="shared" si="61"/>
        <v>v</v>
      </c>
      <c r="F1942" s="2" t="b">
        <f>IF(C1942=0,ISTEXT(FORMULA.CONVERT("="&amp;A1942&amp;"("&amp;REPLACE(REPT(",#ref!",B1942),1,1,"")&amp;")()",1)),"")</f>
        <v>0</v>
      </c>
      <c r="G1942" s="2"/>
      <c r="H1942" s="2" t="str">
        <f t="shared" si="62"/>
        <v/>
      </c>
      <c r="I1942" s="2">
        <f>TYPE(_xlfn.BITLSHIFT(IF(1,1),IF(1,1)))</f>
        <v>1</v>
      </c>
      <c r="J1942" s="2">
        <f>IF(C1942=0,COUNTIFS(A:A,A1942,D:D,"a"),"")</f>
        <v>0</v>
      </c>
      <c r="K1942" s="2"/>
      <c r="M1942" s="2"/>
    </row>
    <row r="1943" spans="1:14" x14ac:dyDescent="0.55000000000000004">
      <c r="A1943" s="1" t="s">
        <v>2150</v>
      </c>
      <c r="B1943" s="2">
        <f>COUNTIF(A:A,A1943)-1</f>
        <v>2</v>
      </c>
      <c r="C1943" s="2">
        <f>COUNTIF(A$1:A1943,A1943)-1</f>
        <v>1</v>
      </c>
      <c r="D1943" s="2" t="str">
        <f>Argument!D1943</f>
        <v>v</v>
      </c>
      <c r="E1943" s="2" t="str">
        <f t="shared" si="61"/>
        <v/>
      </c>
      <c r="F1943" s="2" t="str">
        <f>IF(C1943=0,ISTEXT(FORMULA.CONVERT("="&amp;A1943&amp;"("&amp;REPLACE(REPT(",#ref!",B1943),1,1,"")&amp;")()",1)),"")</f>
        <v/>
      </c>
      <c r="G1943" s="2">
        <f>TYPE(_xlfn.BITLSHIFT({1},IF(1,1)))</f>
        <v>64</v>
      </c>
      <c r="H1943" s="2" t="str">
        <f t="shared" si="62"/>
        <v/>
      </c>
      <c r="I1943" s="2">
        <f>TYPE(_xlfn.BITLSHIFT(IF(1,1),IF(1,1)))</f>
        <v>1</v>
      </c>
      <c r="J1943" s="2" t="str">
        <f>IF(C1943=0,COUNTIFS(A:A,A1943,D:D,"a"),"")</f>
        <v/>
      </c>
      <c r="K1943" s="2" t="e">
        <f>INDEX(+_xlfn.BITLSHIFT(K1943:L1943,#REF!),)</f>
        <v>#REF!</v>
      </c>
      <c r="L1943" s="1">
        <v>1</v>
      </c>
      <c r="M1943" s="2" t="e">
        <f>INDEX(+_xlfn.BITLSHIFT(INDIRECT(M1943:N1943),#REF!),)</f>
        <v>#REF!</v>
      </c>
      <c r="N1943" s="1">
        <v>1</v>
      </c>
    </row>
    <row r="1944" spans="1:14" x14ac:dyDescent="0.55000000000000004">
      <c r="A1944" s="1" t="s">
        <v>2150</v>
      </c>
      <c r="B1944" s="2">
        <f>COUNTIF(A:A,A1944)-1</f>
        <v>2</v>
      </c>
      <c r="C1944" s="2">
        <f>COUNTIF(A$1:A1944,A1944)-1</f>
        <v>2</v>
      </c>
      <c r="D1944" s="2" t="str">
        <f>Argument!D1944</f>
        <v>v</v>
      </c>
      <c r="E1944" s="2" t="str">
        <f t="shared" si="61"/>
        <v/>
      </c>
      <c r="F1944" s="2" t="str">
        <f>IF(C1944=0,ISTEXT(FORMULA.CONVERT("="&amp;A1944&amp;"("&amp;REPLACE(REPT(",#ref!",B1944),1,1,"")&amp;")()",1)),"")</f>
        <v/>
      </c>
      <c r="G1944" s="2">
        <f>TYPE(_xlfn.BITLSHIFT(IF(1,1),{1}))</f>
        <v>64</v>
      </c>
      <c r="H1944" s="2" t="str">
        <f t="shared" si="62"/>
        <v/>
      </c>
      <c r="I1944" s="2">
        <f>TYPE(_xlfn.BITLSHIFT(IF(1,1),IF(1,1)))</f>
        <v>1</v>
      </c>
      <c r="J1944" s="2" t="str">
        <f>IF(C1944=0,COUNTIFS(A:A,A1944,D:D,"a"),"")</f>
        <v/>
      </c>
      <c r="K1944" s="2" t="e">
        <f>INDEX(+_xlfn.BITLSHIFT(#REF!,K1944:L1944),)</f>
        <v>#REF!</v>
      </c>
      <c r="L1944" s="1">
        <v>1</v>
      </c>
      <c r="M1944" s="2" t="e">
        <f>INDEX(+_xlfn.BITLSHIFT(#REF!,INDIRECT(M1944:N1944)),)</f>
        <v>#REF!</v>
      </c>
      <c r="N1944" s="1">
        <v>1</v>
      </c>
    </row>
    <row r="1945" spans="1:14" x14ac:dyDescent="0.55000000000000004">
      <c r="A1945" s="1" t="s">
        <v>2151</v>
      </c>
      <c r="B1945" s="2">
        <f>COUNTIF(A:A,A1945)-1</f>
        <v>2</v>
      </c>
      <c r="C1945" s="2">
        <f>COUNTIF(A$1:A1945,A1945)-1</f>
        <v>0</v>
      </c>
      <c r="D1945" s="2" t="str">
        <f>Argument!D1945</f>
        <v/>
      </c>
      <c r="E1945" s="2" t="str">
        <f t="shared" si="61"/>
        <v>v</v>
      </c>
      <c r="F1945" s="2" t="b">
        <f>IF(C1945=0,ISTEXT(FORMULA.CONVERT("="&amp;A1945&amp;"("&amp;REPLACE(REPT(",#ref!",B1945),1,1,"")&amp;")()",1)),"")</f>
        <v>0</v>
      </c>
      <c r="G1945" s="2"/>
      <c r="H1945" s="2" t="str">
        <f t="shared" si="62"/>
        <v/>
      </c>
      <c r="I1945" s="2">
        <f>TYPE(_xlfn.BITRSHIFT(IF(1,1),IF(1,1)))</f>
        <v>1</v>
      </c>
      <c r="J1945" s="2">
        <f>IF(C1945=0,COUNTIFS(A:A,A1945,D:D,"a"),"")</f>
        <v>0</v>
      </c>
      <c r="K1945" s="2"/>
      <c r="M1945" s="2"/>
    </row>
    <row r="1946" spans="1:14" x14ac:dyDescent="0.55000000000000004">
      <c r="A1946" s="1" t="s">
        <v>2151</v>
      </c>
      <c r="B1946" s="2">
        <f>COUNTIF(A:A,A1946)-1</f>
        <v>2</v>
      </c>
      <c r="C1946" s="2">
        <f>COUNTIF(A$1:A1946,A1946)-1</f>
        <v>1</v>
      </c>
      <c r="D1946" s="2" t="str">
        <f>Argument!D1946</f>
        <v>v</v>
      </c>
      <c r="E1946" s="2" t="str">
        <f t="shared" si="61"/>
        <v/>
      </c>
      <c r="F1946" s="2" t="str">
        <f>IF(C1946=0,ISTEXT(FORMULA.CONVERT("="&amp;A1946&amp;"("&amp;REPLACE(REPT(",#ref!",B1946),1,1,"")&amp;")()",1)),"")</f>
        <v/>
      </c>
      <c r="G1946" s="2">
        <f>TYPE(_xlfn.BITRSHIFT({1},IF(1,1)))</f>
        <v>64</v>
      </c>
      <c r="H1946" s="2" t="str">
        <f t="shared" si="62"/>
        <v/>
      </c>
      <c r="I1946" s="2">
        <f>TYPE(_xlfn.BITRSHIFT(IF(1,1),IF(1,1)))</f>
        <v>1</v>
      </c>
      <c r="J1946" s="2" t="str">
        <f>IF(C1946=0,COUNTIFS(A:A,A1946,D:D,"a"),"")</f>
        <v/>
      </c>
      <c r="K1946" s="2" t="e">
        <f>INDEX(+_xlfn.BITRSHIFT(K1946:L1946,#REF!),)</f>
        <v>#REF!</v>
      </c>
      <c r="L1946" s="1">
        <v>1</v>
      </c>
      <c r="M1946" s="2" t="e">
        <f>INDEX(+_xlfn.BITRSHIFT(INDIRECT(M1946:N1946),#REF!),)</f>
        <v>#REF!</v>
      </c>
      <c r="N1946" s="1">
        <v>1</v>
      </c>
    </row>
    <row r="1947" spans="1:14" x14ac:dyDescent="0.55000000000000004">
      <c r="A1947" s="1" t="s">
        <v>2151</v>
      </c>
      <c r="B1947" s="2">
        <f>COUNTIF(A:A,A1947)-1</f>
        <v>2</v>
      </c>
      <c r="C1947" s="2">
        <f>COUNTIF(A$1:A1947,A1947)-1</f>
        <v>2</v>
      </c>
      <c r="D1947" s="2" t="str">
        <f>Argument!D1947</f>
        <v>v</v>
      </c>
      <c r="E1947" s="2" t="str">
        <f t="shared" si="61"/>
        <v/>
      </c>
      <c r="F1947" s="2" t="str">
        <f>IF(C1947=0,ISTEXT(FORMULA.CONVERT("="&amp;A1947&amp;"("&amp;REPLACE(REPT(",#ref!",B1947),1,1,"")&amp;")()",1)),"")</f>
        <v/>
      </c>
      <c r="G1947" s="2">
        <f>TYPE(_xlfn.BITRSHIFT(IF(1,1),{1}))</f>
        <v>64</v>
      </c>
      <c r="H1947" s="2" t="str">
        <f t="shared" si="62"/>
        <v/>
      </c>
      <c r="I1947" s="2">
        <f>TYPE(_xlfn.BITRSHIFT(IF(1,1),IF(1,1)))</f>
        <v>1</v>
      </c>
      <c r="J1947" s="2" t="str">
        <f>IF(C1947=0,COUNTIFS(A:A,A1947,D:D,"a"),"")</f>
        <v/>
      </c>
      <c r="K1947" s="2" t="e">
        <f>INDEX(+_xlfn.BITRSHIFT(#REF!,K1947:L1947),)</f>
        <v>#REF!</v>
      </c>
      <c r="L1947" s="1">
        <v>1</v>
      </c>
      <c r="M1947" s="2" t="e">
        <f>INDEX(+_xlfn.BITRSHIFT(#REF!,INDIRECT(M1947:N1947)),)</f>
        <v>#REF!</v>
      </c>
      <c r="N1947" s="1">
        <v>1</v>
      </c>
    </row>
    <row r="1948" spans="1:14" x14ac:dyDescent="0.55000000000000004">
      <c r="A1948" s="1" t="s">
        <v>2152</v>
      </c>
      <c r="B1948" s="2">
        <f>COUNTIF(A:A,A1948)-1</f>
        <v>2</v>
      </c>
      <c r="C1948" s="2">
        <f>COUNTIF(A$1:A1948,A1948)-1</f>
        <v>0</v>
      </c>
      <c r="D1948" s="2" t="str">
        <f>Argument!D1948</f>
        <v/>
      </c>
      <c r="E1948" s="2" t="str">
        <f t="shared" si="61"/>
        <v>v</v>
      </c>
      <c r="F1948" s="2" t="b">
        <f>IF(C1948=0,ISTEXT(FORMULA.CONVERT("="&amp;A1948&amp;"("&amp;REPLACE(REPT(",#ref!",B1948),1,1,"")&amp;")()",1)),"")</f>
        <v>0</v>
      </c>
      <c r="G1948" s="2"/>
      <c r="H1948" s="2" t="str">
        <f t="shared" si="62"/>
        <v/>
      </c>
      <c r="I1948" s="2">
        <f>TYPE(_xlfn.PERMUTATIONA(IF(1,1),IF(1,1)))</f>
        <v>1</v>
      </c>
      <c r="J1948" s="2">
        <f>IF(C1948=0,COUNTIFS(A:A,A1948,D:D,"a"),"")</f>
        <v>0</v>
      </c>
      <c r="K1948" s="2"/>
      <c r="M1948" s="2"/>
    </row>
    <row r="1949" spans="1:14" x14ac:dyDescent="0.55000000000000004">
      <c r="A1949" s="1" t="s">
        <v>2152</v>
      </c>
      <c r="B1949" s="2">
        <f>COUNTIF(A:A,A1949)-1</f>
        <v>2</v>
      </c>
      <c r="C1949" s="2">
        <f>COUNTIF(A$1:A1949,A1949)-1</f>
        <v>1</v>
      </c>
      <c r="D1949" s="2" t="str">
        <f>Argument!D1949</f>
        <v>v</v>
      </c>
      <c r="E1949" s="2" t="str">
        <f t="shared" si="61"/>
        <v/>
      </c>
      <c r="F1949" s="2" t="str">
        <f>IF(C1949=0,ISTEXT(FORMULA.CONVERT("="&amp;A1949&amp;"("&amp;REPLACE(REPT(",#ref!",B1949),1,1,"")&amp;")()",1)),"")</f>
        <v/>
      </c>
      <c r="G1949" s="2">
        <f>TYPE(_xlfn.PERMUTATIONA({1},IF(1,1)))</f>
        <v>64</v>
      </c>
      <c r="H1949" s="2" t="str">
        <f t="shared" si="62"/>
        <v/>
      </c>
      <c r="I1949" s="2">
        <f>TYPE(_xlfn.PERMUTATIONA(IF(1,1),IF(1,1)))</f>
        <v>1</v>
      </c>
      <c r="J1949" s="2" t="str">
        <f>IF(C1949=0,COUNTIFS(A:A,A1949,D:D,"a"),"")</f>
        <v/>
      </c>
      <c r="K1949" s="2" t="e">
        <f>INDEX(+_xlfn.PERMUTATIONA(K1949:L1949,#REF!),)</f>
        <v>#REF!</v>
      </c>
      <c r="L1949" s="1">
        <v>1</v>
      </c>
      <c r="M1949" s="2" t="e">
        <f>INDEX(+_xlfn.PERMUTATIONA(INDIRECT(M1949:N1949),#REF!),)</f>
        <v>#REF!</v>
      </c>
      <c r="N1949" s="1">
        <v>1</v>
      </c>
    </row>
    <row r="1950" spans="1:14" x14ac:dyDescent="0.55000000000000004">
      <c r="A1950" s="1" t="s">
        <v>2152</v>
      </c>
      <c r="B1950" s="2">
        <f>COUNTIF(A:A,A1950)-1</f>
        <v>2</v>
      </c>
      <c r="C1950" s="2">
        <f>COUNTIF(A$1:A1950,A1950)-1</f>
        <v>2</v>
      </c>
      <c r="D1950" s="2" t="str">
        <f>Argument!D1950</f>
        <v>v</v>
      </c>
      <c r="E1950" s="2" t="str">
        <f t="shared" si="61"/>
        <v/>
      </c>
      <c r="F1950" s="2" t="str">
        <f>IF(C1950=0,ISTEXT(FORMULA.CONVERT("="&amp;A1950&amp;"("&amp;REPLACE(REPT(",#ref!",B1950),1,1,"")&amp;")()",1)),"")</f>
        <v/>
      </c>
      <c r="G1950" s="2">
        <f>TYPE(_xlfn.PERMUTATIONA(IF(1,1),{1}))</f>
        <v>64</v>
      </c>
      <c r="H1950" s="2" t="str">
        <f t="shared" si="62"/>
        <v/>
      </c>
      <c r="I1950" s="2">
        <f>TYPE(_xlfn.PERMUTATIONA(IF(1,1),IF(1,1)))</f>
        <v>1</v>
      </c>
      <c r="J1950" s="2" t="str">
        <f>IF(C1950=0,COUNTIFS(A:A,A1950,D:D,"a"),"")</f>
        <v/>
      </c>
      <c r="K1950" s="2" t="e">
        <f>INDEX(+_xlfn.PERMUTATIONA(#REF!,K1950:L1950),)</f>
        <v>#REF!</v>
      </c>
      <c r="L1950" s="1">
        <v>1</v>
      </c>
      <c r="M1950" s="2" t="e">
        <f>INDEX(+_xlfn.PERMUTATIONA(#REF!,INDIRECT(M1950:N1950)),)</f>
        <v>#REF!</v>
      </c>
      <c r="N1950" s="1">
        <v>1</v>
      </c>
    </row>
    <row r="1951" spans="1:14" x14ac:dyDescent="0.55000000000000004">
      <c r="A1951" s="1" t="s">
        <v>2153</v>
      </c>
      <c r="B1951" s="2">
        <f>COUNTIF(A:A,A1951)-1</f>
        <v>2</v>
      </c>
      <c r="C1951" s="2">
        <f>COUNTIF(A$1:A1951,A1951)-1</f>
        <v>0</v>
      </c>
      <c r="D1951" s="2" t="str">
        <f>Argument!D1951</f>
        <v/>
      </c>
      <c r="E1951" s="2" t="str">
        <f t="shared" si="61"/>
        <v>v</v>
      </c>
      <c r="F1951" s="2" t="b">
        <f>IF(C1951=0,ISTEXT(FORMULA.CONVERT("="&amp;A1951&amp;"("&amp;REPLACE(REPT(",#ref!",B1951),1,1,"")&amp;")()",1)),"")</f>
        <v>0</v>
      </c>
      <c r="G1951" s="2"/>
      <c r="H1951" s="2" t="str">
        <f t="shared" si="62"/>
        <v/>
      </c>
      <c r="I1951" s="2">
        <f>TYPE(_xlfn.COMBINA(IF(1,1),IF(1,1)))</f>
        <v>1</v>
      </c>
      <c r="J1951" s="2">
        <f>IF(C1951=0,COUNTIFS(A:A,A1951,D:D,"a"),"")</f>
        <v>0</v>
      </c>
      <c r="K1951" s="2"/>
      <c r="M1951" s="2"/>
    </row>
    <row r="1952" spans="1:14" x14ac:dyDescent="0.55000000000000004">
      <c r="A1952" s="1" t="s">
        <v>2153</v>
      </c>
      <c r="B1952" s="2">
        <f>COUNTIF(A:A,A1952)-1</f>
        <v>2</v>
      </c>
      <c r="C1952" s="2">
        <f>COUNTIF(A$1:A1952,A1952)-1</f>
        <v>1</v>
      </c>
      <c r="D1952" s="2" t="str">
        <f>Argument!D1952</f>
        <v>v</v>
      </c>
      <c r="E1952" s="2" t="str">
        <f t="shared" si="61"/>
        <v/>
      </c>
      <c r="F1952" s="2" t="str">
        <f>IF(C1952=0,ISTEXT(FORMULA.CONVERT("="&amp;A1952&amp;"("&amp;REPLACE(REPT(",#ref!",B1952),1,1,"")&amp;")()",1)),"")</f>
        <v/>
      </c>
      <c r="G1952" s="2">
        <f>TYPE(_xlfn.COMBINA({1},IF(1,1)))</f>
        <v>64</v>
      </c>
      <c r="H1952" s="2" t="str">
        <f t="shared" si="62"/>
        <v/>
      </c>
      <c r="I1952" s="2">
        <f>TYPE(_xlfn.COMBINA(IF(1,1),IF(1,1)))</f>
        <v>1</v>
      </c>
      <c r="J1952" s="2" t="str">
        <f>IF(C1952=0,COUNTIFS(A:A,A1952,D:D,"a"),"")</f>
        <v/>
      </c>
      <c r="K1952" s="2" t="e">
        <f>INDEX(+_xlfn.COMBINA(K1952:L1952,#REF!),)</f>
        <v>#REF!</v>
      </c>
      <c r="L1952" s="1">
        <v>1</v>
      </c>
      <c r="M1952" s="2" t="e">
        <f>INDEX(+_xlfn.COMBINA(INDIRECT(M1952:N1952),#REF!),)</f>
        <v>#REF!</v>
      </c>
      <c r="N1952" s="1">
        <v>1</v>
      </c>
    </row>
    <row r="1953" spans="1:14" x14ac:dyDescent="0.55000000000000004">
      <c r="A1953" s="1" t="s">
        <v>2153</v>
      </c>
      <c r="B1953" s="2">
        <f>COUNTIF(A:A,A1953)-1</f>
        <v>2</v>
      </c>
      <c r="C1953" s="2">
        <f>COUNTIF(A$1:A1953,A1953)-1</f>
        <v>2</v>
      </c>
      <c r="D1953" s="2" t="str">
        <f>Argument!D1953</f>
        <v>v</v>
      </c>
      <c r="E1953" s="2" t="str">
        <f t="shared" si="61"/>
        <v/>
      </c>
      <c r="F1953" s="2" t="str">
        <f>IF(C1953=0,ISTEXT(FORMULA.CONVERT("="&amp;A1953&amp;"("&amp;REPLACE(REPT(",#ref!",B1953),1,1,"")&amp;")()",1)),"")</f>
        <v/>
      </c>
      <c r="G1953" s="2">
        <f>TYPE(_xlfn.COMBINA(IF(1,1),{1}))</f>
        <v>64</v>
      </c>
      <c r="H1953" s="2" t="str">
        <f t="shared" si="62"/>
        <v/>
      </c>
      <c r="I1953" s="2">
        <f>TYPE(_xlfn.COMBINA(IF(1,1),IF(1,1)))</f>
        <v>1</v>
      </c>
      <c r="J1953" s="2" t="str">
        <f>IF(C1953=0,COUNTIFS(A:A,A1953,D:D,"a"),"")</f>
        <v/>
      </c>
      <c r="K1953" s="2" t="e">
        <f>INDEX(+_xlfn.COMBINA(#REF!,K1953:L1953),)</f>
        <v>#REF!</v>
      </c>
      <c r="L1953" s="1">
        <v>1</v>
      </c>
      <c r="M1953" s="2" t="e">
        <f>INDEX(+_xlfn.COMBINA(#REF!,INDIRECT(M1953:N1953)),)</f>
        <v>#REF!</v>
      </c>
      <c r="N1953" s="1">
        <v>1</v>
      </c>
    </row>
    <row r="1954" spans="1:14" x14ac:dyDescent="0.55000000000000004">
      <c r="A1954" s="1" t="s">
        <v>2154</v>
      </c>
      <c r="B1954" s="2">
        <f>COUNTIF(A:A,A1954)-1</f>
        <v>3</v>
      </c>
      <c r="C1954" s="2">
        <f>COUNTIF(A$1:A1954,A1954)-1</f>
        <v>0</v>
      </c>
      <c r="D1954" s="2" t="str">
        <f>Argument!D1954</f>
        <v/>
      </c>
      <c r="E1954" s="2" t="str">
        <f t="shared" si="61"/>
        <v>v</v>
      </c>
      <c r="F1954" s="2" t="b">
        <f>IF(C1954=0,ISTEXT(FORMULA.CONVERT("="&amp;A1954&amp;"("&amp;REPLACE(REPT(",#ref!",B1954),1,1,"")&amp;")()",1)),"")</f>
        <v>0</v>
      </c>
      <c r="G1954" s="2"/>
      <c r="H1954" s="2" t="str">
        <f t="shared" si="62"/>
        <v/>
      </c>
      <c r="I1954" s="2">
        <f>TYPE(_xlfn.XOR(IF(1,1),IF(1,1),IF(1,1)))</f>
        <v>4</v>
      </c>
      <c r="J1954" s="2">
        <f>IF(C1954=0,COUNTIFS(A:A,A1954,D:D,"a"),"")</f>
        <v>0</v>
      </c>
      <c r="K1954" s="2"/>
      <c r="M1954" s="2"/>
    </row>
    <row r="1955" spans="1:14" x14ac:dyDescent="0.55000000000000004">
      <c r="A1955" s="1" t="s">
        <v>2154</v>
      </c>
      <c r="B1955" s="2">
        <f>COUNTIF(A:A,A1955)-1</f>
        <v>3</v>
      </c>
      <c r="C1955" s="2">
        <f>COUNTIF(A$1:A1955,A1955)-1</f>
        <v>1</v>
      </c>
      <c r="D1955" s="2" t="str">
        <f>Argument!D1955</f>
        <v>var</v>
      </c>
      <c r="E1955" s="2" t="str">
        <f t="shared" si="61"/>
        <v/>
      </c>
      <c r="F1955" s="2" t="str">
        <f>IF(C1955=0,ISTEXT(FORMULA.CONVERT("="&amp;A1955&amp;"("&amp;REPLACE(REPT(",#ref!",B1955),1,1,"")&amp;")()",1)),"")</f>
        <v/>
      </c>
      <c r="G1955" s="2">
        <f>TYPE(_xlfn.XOR({1},IF(1,1),IF(1,1)))</f>
        <v>4</v>
      </c>
      <c r="H1955" s="2" t="str">
        <f t="shared" si="62"/>
        <v/>
      </c>
      <c r="I1955" s="2">
        <f>TYPE(_xlfn.XOR(IF(1,1),IF(1,1),IF(1,1)))</f>
        <v>4</v>
      </c>
      <c r="J1955" s="2" t="str">
        <f>IF(C1955=0,COUNTIFS(A:A,A1955,D:D,"a"),"")</f>
        <v/>
      </c>
      <c r="K1955" s="2" t="e">
        <f>INDEX(+_xlfn.XOR(K1955:L1955,#REF!,#REF!),)</f>
        <v>#REF!</v>
      </c>
      <c r="L1955" s="1">
        <v>1</v>
      </c>
      <c r="M1955" s="2" t="e">
        <f>INDEX(+_xlfn.XOR(INDIRECT(M1955:N1955),#REF!,#REF!),)</f>
        <v>#REF!</v>
      </c>
      <c r="N1955" s="1">
        <v>1</v>
      </c>
    </row>
    <row r="1956" spans="1:14" x14ac:dyDescent="0.55000000000000004">
      <c r="A1956" s="1" t="s">
        <v>2154</v>
      </c>
      <c r="B1956" s="2">
        <f>COUNTIF(A:A,A1956)-1</f>
        <v>3</v>
      </c>
      <c r="C1956" s="2">
        <f>COUNTIF(A$1:A1956,A1956)-1</f>
        <v>2</v>
      </c>
      <c r="D1956" s="2" t="str">
        <f>Argument!D1956</f>
        <v>var</v>
      </c>
      <c r="E1956" s="2" t="str">
        <f t="shared" si="61"/>
        <v/>
      </c>
      <c r="F1956" s="2" t="str">
        <f>IF(C1956=0,ISTEXT(FORMULA.CONVERT("="&amp;A1956&amp;"("&amp;REPLACE(REPT(",#ref!",B1956),1,1,"")&amp;")()",1)),"")</f>
        <v/>
      </c>
      <c r="G1956" s="2">
        <f>TYPE(_xlfn.XOR(IF(1,1),{1},IF(1,1)))</f>
        <v>4</v>
      </c>
      <c r="H1956" s="2" t="str">
        <f t="shared" si="62"/>
        <v/>
      </c>
      <c r="I1956" s="2">
        <f>TYPE(_xlfn.XOR(IF(1,1),IF(1,1),IF(1,1)))</f>
        <v>4</v>
      </c>
      <c r="J1956" s="2" t="str">
        <f>IF(C1956=0,COUNTIFS(A:A,A1956,D:D,"a"),"")</f>
        <v/>
      </c>
      <c r="K1956" s="2" t="e">
        <f>INDEX(+_xlfn.XOR(#REF!,K1956:L1956,#REF!),)</f>
        <v>#REF!</v>
      </c>
      <c r="L1956" s="1">
        <v>1</v>
      </c>
      <c r="M1956" s="2" t="e">
        <f>INDEX(+_xlfn.XOR(#REF!,INDIRECT(M1956:N1956),#REF!),)</f>
        <v>#REF!</v>
      </c>
      <c r="N1956" s="1">
        <v>1</v>
      </c>
    </row>
    <row r="1957" spans="1:14" x14ac:dyDescent="0.55000000000000004">
      <c r="A1957" s="1" t="s">
        <v>2154</v>
      </c>
      <c r="B1957" s="2">
        <f>COUNTIF(A:A,A1957)-1</f>
        <v>3</v>
      </c>
      <c r="C1957" s="2">
        <f>COUNTIF(A$1:A1957,A1957)-1</f>
        <v>3</v>
      </c>
      <c r="D1957" s="2" t="str">
        <f>Argument!D1957</f>
        <v>var</v>
      </c>
      <c r="E1957" s="2" t="str">
        <f t="shared" si="61"/>
        <v/>
      </c>
      <c r="F1957" s="2" t="str">
        <f>IF(C1957=0,ISTEXT(FORMULA.CONVERT("="&amp;A1957&amp;"("&amp;REPLACE(REPT(",#ref!",B1957),1,1,"")&amp;")()",1)),"")</f>
        <v/>
      </c>
      <c r="G1957" s="2">
        <f>TYPE(_xlfn.XOR(IF(1,1),IF(1,1),{1}))</f>
        <v>4</v>
      </c>
      <c r="H1957" s="2" t="str">
        <f t="shared" si="62"/>
        <v/>
      </c>
      <c r="I1957" s="2">
        <f>TYPE(_xlfn.XOR(IF(1,1),IF(1,1),IF(1,1)))</f>
        <v>4</v>
      </c>
      <c r="J1957" s="2" t="str">
        <f>IF(C1957=0,COUNTIFS(A:A,A1957,D:D,"a"),"")</f>
        <v/>
      </c>
      <c r="K1957" s="2" t="e">
        <f>INDEX(+_xlfn.XOR(#REF!,#REF!,K1957:L1957),)</f>
        <v>#REF!</v>
      </c>
      <c r="L1957" s="1">
        <v>1</v>
      </c>
      <c r="M1957" s="2" t="e">
        <f>INDEX(+_xlfn.XOR(#REF!,#REF!,INDIRECT(M1957:N1957)),)</f>
        <v>#REF!</v>
      </c>
      <c r="N1957" s="1">
        <v>1</v>
      </c>
    </row>
    <row r="1958" spans="1:14" x14ac:dyDescent="0.55000000000000004">
      <c r="A1958" s="1" t="s">
        <v>2155</v>
      </c>
      <c r="B1958" s="2">
        <f>COUNTIF(A:A,A1958)-1</f>
        <v>3</v>
      </c>
      <c r="C1958" s="2">
        <f>COUNTIF(A$1:A1958,A1958)-1</f>
        <v>0</v>
      </c>
      <c r="D1958" s="2" t="str">
        <f>Argument!D1958</f>
        <v/>
      </c>
      <c r="E1958" s="2" t="str">
        <f t="shared" si="61"/>
        <v>v</v>
      </c>
      <c r="F1958" s="2" t="b">
        <f>IF(C1958=0,ISTEXT(FORMULA.CONVERT("="&amp;A1958&amp;"("&amp;REPLACE(REPT(",#ref!",B1958),1,1,"")&amp;")()",1)),"")</f>
        <v>0</v>
      </c>
      <c r="G1958" s="2"/>
      <c r="H1958" s="2" t="str">
        <f t="shared" si="62"/>
        <v/>
      </c>
      <c r="I1958" s="2">
        <f>TYPE(_xlfn.PDURATION(IF(1,1),IF(1,1),IF(1,1)))</f>
        <v>1</v>
      </c>
      <c r="J1958" s="2">
        <f>IF(C1958=0,COUNTIFS(A:A,A1958,D:D,"a"),"")</f>
        <v>0</v>
      </c>
      <c r="K1958" s="2"/>
      <c r="M1958" s="2"/>
    </row>
    <row r="1959" spans="1:14" x14ac:dyDescent="0.55000000000000004">
      <c r="A1959" s="1" t="s">
        <v>2155</v>
      </c>
      <c r="B1959" s="2">
        <f>COUNTIF(A:A,A1959)-1</f>
        <v>3</v>
      </c>
      <c r="C1959" s="2">
        <f>COUNTIF(A$1:A1959,A1959)-1</f>
        <v>1</v>
      </c>
      <c r="D1959" s="2" t="str">
        <f>Argument!D1959</f>
        <v>v</v>
      </c>
      <c r="E1959" s="2" t="str">
        <f t="shared" si="61"/>
        <v/>
      </c>
      <c r="F1959" s="2" t="str">
        <f>IF(C1959=0,ISTEXT(FORMULA.CONVERT("="&amp;A1959&amp;"("&amp;REPLACE(REPT(",#ref!",B1959),1,1,"")&amp;")()",1)),"")</f>
        <v/>
      </c>
      <c r="G1959" s="2">
        <f>TYPE(_xlfn.PDURATION({1},IF(1,1),IF(1,1)))</f>
        <v>64</v>
      </c>
      <c r="H1959" s="2" t="str">
        <f t="shared" si="62"/>
        <v/>
      </c>
      <c r="I1959" s="2">
        <f>TYPE(_xlfn.PDURATION(IF(1,1),IF(1,1),IF(1,1)))</f>
        <v>1</v>
      </c>
      <c r="J1959" s="2" t="str">
        <f>IF(C1959=0,COUNTIFS(A:A,A1959,D:D,"a"),"")</f>
        <v/>
      </c>
      <c r="K1959" s="2" t="e">
        <f>INDEX(+_xlfn.PDURATION(K1959:L1959,#REF!,#REF!),)</f>
        <v>#REF!</v>
      </c>
      <c r="L1959" s="1">
        <v>1</v>
      </c>
      <c r="M1959" s="2" t="e">
        <f>INDEX(+_xlfn.PDURATION(INDIRECT(M1959:N1959),#REF!,#REF!),)</f>
        <v>#REF!</v>
      </c>
      <c r="N1959" s="1">
        <v>1</v>
      </c>
    </row>
    <row r="1960" spans="1:14" x14ac:dyDescent="0.55000000000000004">
      <c r="A1960" s="1" t="s">
        <v>2155</v>
      </c>
      <c r="B1960" s="2">
        <f>COUNTIF(A:A,A1960)-1</f>
        <v>3</v>
      </c>
      <c r="C1960" s="2">
        <f>COUNTIF(A$1:A1960,A1960)-1</f>
        <v>2</v>
      </c>
      <c r="D1960" s="2" t="str">
        <f>Argument!D1960</f>
        <v>v</v>
      </c>
      <c r="E1960" s="2" t="str">
        <f t="shared" si="61"/>
        <v/>
      </c>
      <c r="F1960" s="2" t="str">
        <f>IF(C1960=0,ISTEXT(FORMULA.CONVERT("="&amp;A1960&amp;"("&amp;REPLACE(REPT(",#ref!",B1960),1,1,"")&amp;")()",1)),"")</f>
        <v/>
      </c>
      <c r="G1960" s="2">
        <f>TYPE(_xlfn.PDURATION(IF(1,1),{1},IF(1,1)))</f>
        <v>64</v>
      </c>
      <c r="H1960" s="2" t="str">
        <f t="shared" si="62"/>
        <v/>
      </c>
      <c r="I1960" s="2">
        <f>TYPE(_xlfn.PDURATION(IF(1,1),IF(1,1),IF(1,1)))</f>
        <v>1</v>
      </c>
      <c r="J1960" s="2" t="str">
        <f>IF(C1960=0,COUNTIFS(A:A,A1960,D:D,"a"),"")</f>
        <v/>
      </c>
      <c r="K1960" s="2" t="e">
        <f>INDEX(+_xlfn.PDURATION(#REF!,K1960:L1960,#REF!),)</f>
        <v>#REF!</v>
      </c>
      <c r="L1960" s="1">
        <v>1</v>
      </c>
      <c r="M1960" s="2" t="e">
        <f>INDEX(+_xlfn.PDURATION(#REF!,INDIRECT(M1960:N1960),#REF!),)</f>
        <v>#REF!</v>
      </c>
      <c r="N1960" s="1">
        <v>1</v>
      </c>
    </row>
    <row r="1961" spans="1:14" x14ac:dyDescent="0.55000000000000004">
      <c r="A1961" s="1" t="s">
        <v>2155</v>
      </c>
      <c r="B1961" s="2">
        <f>COUNTIF(A:A,A1961)-1</f>
        <v>3</v>
      </c>
      <c r="C1961" s="2">
        <f>COUNTIF(A$1:A1961,A1961)-1</f>
        <v>3</v>
      </c>
      <c r="D1961" s="2" t="str">
        <f>Argument!D1961</f>
        <v>v</v>
      </c>
      <c r="E1961" s="2" t="str">
        <f t="shared" si="61"/>
        <v/>
      </c>
      <c r="F1961" s="2" t="str">
        <f>IF(C1961=0,ISTEXT(FORMULA.CONVERT("="&amp;A1961&amp;"("&amp;REPLACE(REPT(",#ref!",B1961),1,1,"")&amp;")()",1)),"")</f>
        <v/>
      </c>
      <c r="G1961" s="2">
        <f>TYPE(_xlfn.PDURATION(IF(1,1),IF(1,1),{1}))</f>
        <v>64</v>
      </c>
      <c r="H1961" s="2" t="str">
        <f t="shared" si="62"/>
        <v/>
      </c>
      <c r="I1961" s="2">
        <f>TYPE(_xlfn.PDURATION(IF(1,1),IF(1,1),IF(1,1)))</f>
        <v>1</v>
      </c>
      <c r="J1961" s="2" t="str">
        <f>IF(C1961=0,COUNTIFS(A:A,A1961,D:D,"a"),"")</f>
        <v/>
      </c>
      <c r="K1961" s="2" t="e">
        <f>INDEX(+_xlfn.PDURATION(#REF!,#REF!,K1961:L1961),)</f>
        <v>#REF!</v>
      </c>
      <c r="L1961" s="1">
        <v>1</v>
      </c>
      <c r="M1961" s="2" t="e">
        <f>INDEX(+_xlfn.PDURATION(#REF!,#REF!,INDIRECT(M1961:N1961)),)</f>
        <v>#REF!</v>
      </c>
      <c r="N1961" s="1">
        <v>1</v>
      </c>
    </row>
    <row r="1962" spans="1:14" x14ac:dyDescent="0.55000000000000004">
      <c r="A1962" s="1" t="s">
        <v>2156</v>
      </c>
      <c r="B1962" s="2">
        <f>COUNTIF(A:A,A1962)-1</f>
        <v>3</v>
      </c>
      <c r="C1962" s="2">
        <f>COUNTIF(A$1:A1962,A1962)-1</f>
        <v>0</v>
      </c>
      <c r="D1962" s="2" t="str">
        <f>Argument!D1962</f>
        <v/>
      </c>
      <c r="E1962" s="2" t="str">
        <f t="shared" si="61"/>
        <v>v</v>
      </c>
      <c r="F1962" s="2" t="b">
        <f>IF(C1962=0,ISTEXT(FORMULA.CONVERT("="&amp;A1962&amp;"("&amp;REPLACE(REPT(",#ref!",B1962),1,1,"")&amp;")()",1)),"")</f>
        <v>0</v>
      </c>
      <c r="G1962" s="2"/>
      <c r="H1962" s="2" t="str">
        <f t="shared" si="62"/>
        <v/>
      </c>
      <c r="I1962" s="2">
        <f>TYPE(_xlfn.BASE(IF(1,1),IF(1,1),IF(1,1)))</f>
        <v>16</v>
      </c>
      <c r="J1962" s="2">
        <f>IF(C1962=0,COUNTIFS(A:A,A1962,D:D,"a"),"")</f>
        <v>0</v>
      </c>
      <c r="K1962" s="2"/>
      <c r="M1962" s="2"/>
    </row>
    <row r="1963" spans="1:14" x14ac:dyDescent="0.55000000000000004">
      <c r="A1963" s="1" t="s">
        <v>2156</v>
      </c>
      <c r="B1963" s="2">
        <f>COUNTIF(A:A,A1963)-1</f>
        <v>3</v>
      </c>
      <c r="C1963" s="2">
        <f>COUNTIF(A$1:A1963,A1963)-1</f>
        <v>1</v>
      </c>
      <c r="D1963" s="2" t="str">
        <f>Argument!D1963</f>
        <v>v</v>
      </c>
      <c r="E1963" s="2" t="str">
        <f t="shared" si="61"/>
        <v/>
      </c>
      <c r="F1963" s="2" t="str">
        <f>IF(C1963=0,ISTEXT(FORMULA.CONVERT("="&amp;A1963&amp;"("&amp;REPLACE(REPT(",#ref!",B1963),1,1,"")&amp;")()",1)),"")</f>
        <v/>
      </c>
      <c r="G1963" s="2">
        <f>TYPE(_xlfn.BASE({1},IF(1,1),IF(1,1)))</f>
        <v>64</v>
      </c>
      <c r="H1963" s="2" t="str">
        <f t="shared" si="62"/>
        <v/>
      </c>
      <c r="I1963" s="2">
        <f>TYPE(_xlfn.BASE(IF(1,1),IF(1,1),IF(1,1)))</f>
        <v>16</v>
      </c>
      <c r="J1963" s="2" t="str">
        <f>IF(C1963=0,COUNTIFS(A:A,A1963,D:D,"a"),"")</f>
        <v/>
      </c>
      <c r="K1963" s="2" t="e">
        <f>INDEX(+_xlfn.BASE(K1963:L1963,#REF!,#REF!),)</f>
        <v>#REF!</v>
      </c>
      <c r="L1963" s="1">
        <v>1</v>
      </c>
      <c r="M1963" s="2" t="e">
        <f>INDEX(+_xlfn.BASE(INDIRECT(M1963:N1963),#REF!,#REF!),)</f>
        <v>#REF!</v>
      </c>
      <c r="N1963" s="1">
        <v>1</v>
      </c>
    </row>
    <row r="1964" spans="1:14" x14ac:dyDescent="0.55000000000000004">
      <c r="A1964" s="1" t="s">
        <v>2156</v>
      </c>
      <c r="B1964" s="2">
        <f>COUNTIF(A:A,A1964)-1</f>
        <v>3</v>
      </c>
      <c r="C1964" s="2">
        <f>COUNTIF(A$1:A1964,A1964)-1</f>
        <v>2</v>
      </c>
      <c r="D1964" s="2" t="str">
        <f>Argument!D1964</f>
        <v>v</v>
      </c>
      <c r="E1964" s="2" t="str">
        <f t="shared" si="61"/>
        <v/>
      </c>
      <c r="F1964" s="2" t="str">
        <f>IF(C1964=0,ISTEXT(FORMULA.CONVERT("="&amp;A1964&amp;"("&amp;REPLACE(REPT(",#ref!",B1964),1,1,"")&amp;")()",1)),"")</f>
        <v/>
      </c>
      <c r="G1964" s="2">
        <f>TYPE(_xlfn.BASE(IF(1,1),{1},IF(1,1)))</f>
        <v>64</v>
      </c>
      <c r="H1964" s="2" t="str">
        <f t="shared" si="62"/>
        <v/>
      </c>
      <c r="I1964" s="2">
        <f>TYPE(_xlfn.BASE(IF(1,1),IF(1,1),IF(1,1)))</f>
        <v>16</v>
      </c>
      <c r="J1964" s="2" t="str">
        <f>IF(C1964=0,COUNTIFS(A:A,A1964,D:D,"a"),"")</f>
        <v/>
      </c>
      <c r="K1964" s="2" t="e">
        <f>INDEX(+_xlfn.BASE(#REF!,K1964:L1964,#REF!),)</f>
        <v>#REF!</v>
      </c>
      <c r="L1964" s="1">
        <v>1</v>
      </c>
      <c r="M1964" s="2" t="e">
        <f>INDEX(+_xlfn.BASE(#REF!,INDIRECT(M1964:N1964),#REF!),)</f>
        <v>#REF!</v>
      </c>
      <c r="N1964" s="1">
        <v>1</v>
      </c>
    </row>
    <row r="1965" spans="1:14" x14ac:dyDescent="0.55000000000000004">
      <c r="A1965" s="1" t="s">
        <v>2156</v>
      </c>
      <c r="B1965" s="2">
        <f>COUNTIF(A:A,A1965)-1</f>
        <v>3</v>
      </c>
      <c r="C1965" s="2">
        <f>COUNTIF(A$1:A1965,A1965)-1</f>
        <v>3</v>
      </c>
      <c r="D1965" s="2" t="str">
        <f>Argument!D1965</f>
        <v>v</v>
      </c>
      <c r="E1965" s="2" t="str">
        <f t="shared" si="61"/>
        <v/>
      </c>
      <c r="F1965" s="2" t="str">
        <f>IF(C1965=0,ISTEXT(FORMULA.CONVERT("="&amp;A1965&amp;"("&amp;REPLACE(REPT(",#ref!",B1965),1,1,"")&amp;")()",1)),"")</f>
        <v/>
      </c>
      <c r="G1965" s="2">
        <f>TYPE(_xlfn.BASE(IF(1,1),IF(1,1),{1}))</f>
        <v>64</v>
      </c>
      <c r="H1965" s="2" t="str">
        <f t="shared" si="62"/>
        <v/>
      </c>
      <c r="I1965" s="2">
        <f>TYPE(_xlfn.BASE(IF(1,1),IF(1,1),IF(1,1)))</f>
        <v>16</v>
      </c>
      <c r="J1965" s="2" t="str">
        <f>IF(C1965=0,COUNTIFS(A:A,A1965,D:D,"a"),"")</f>
        <v/>
      </c>
      <c r="K1965" s="2" t="e">
        <f>INDEX(+_xlfn.BASE(#REF!,#REF!,K1965:L1965),)</f>
        <v>#REF!</v>
      </c>
      <c r="L1965" s="1">
        <v>1</v>
      </c>
      <c r="M1965" s="2" t="e">
        <f>INDEX(+_xlfn.BASE(#REF!,#REF!,INDIRECT(M1965:N1965)),)</f>
        <v>#REF!</v>
      </c>
      <c r="N1965" s="1">
        <v>1</v>
      </c>
    </row>
    <row r="1966" spans="1:14" x14ac:dyDescent="0.55000000000000004">
      <c r="A1966" s="1" t="s">
        <v>2157</v>
      </c>
      <c r="B1966" s="2">
        <f>COUNTIF(A:A,A1966)-1</f>
        <v>2</v>
      </c>
      <c r="C1966" s="2">
        <f>COUNTIF(A$1:A1966,A1966)-1</f>
        <v>0</v>
      </c>
      <c r="D1966" s="2" t="str">
        <f>Argument!D1966</f>
        <v/>
      </c>
      <c r="E1966" s="2" t="str">
        <f t="shared" si="61"/>
        <v>v</v>
      </c>
      <c r="F1966" s="2" t="b">
        <f>IF(C1966=0,ISTEXT(FORMULA.CONVERT("="&amp;A1966&amp;"("&amp;REPLACE(REPT(",#ref!",B1966),1,1,"")&amp;")()",1)),"")</f>
        <v>0</v>
      </c>
      <c r="G1966" s="2"/>
      <c r="H1966" s="2" t="str">
        <f t="shared" si="62"/>
        <v/>
      </c>
      <c r="I1966" s="2">
        <f>TYPE(_xlfn.DECIMAL(IF(1,1),IF(1,1)))</f>
        <v>16</v>
      </c>
      <c r="J1966" s="2">
        <f>IF(C1966=0,COUNTIFS(A:A,A1966,D:D,"a"),"")</f>
        <v>0</v>
      </c>
      <c r="K1966" s="2"/>
      <c r="M1966" s="2"/>
    </row>
    <row r="1967" spans="1:14" x14ac:dyDescent="0.55000000000000004">
      <c r="A1967" s="1" t="s">
        <v>2157</v>
      </c>
      <c r="B1967" s="2">
        <f>COUNTIF(A:A,A1967)-1</f>
        <v>2</v>
      </c>
      <c r="C1967" s="2">
        <f>COUNTIF(A$1:A1967,A1967)-1</f>
        <v>1</v>
      </c>
      <c r="D1967" s="2" t="str">
        <f>Argument!D1967</f>
        <v>v</v>
      </c>
      <c r="E1967" s="2" t="str">
        <f t="shared" si="61"/>
        <v/>
      </c>
      <c r="F1967" s="2" t="str">
        <f>IF(C1967=0,ISTEXT(FORMULA.CONVERT("="&amp;A1967&amp;"("&amp;REPLACE(REPT(",#ref!",B1967),1,1,"")&amp;")()",1)),"")</f>
        <v/>
      </c>
      <c r="G1967" s="2">
        <f>TYPE(_xlfn.DECIMAL({1},IF(1,1)))</f>
        <v>64</v>
      </c>
      <c r="H1967" s="2" t="str">
        <f t="shared" si="62"/>
        <v/>
      </c>
      <c r="I1967" s="2">
        <f>TYPE(_xlfn.DECIMAL(IF(1,1),IF(1,1)))</f>
        <v>16</v>
      </c>
      <c r="J1967" s="2" t="str">
        <f>IF(C1967=0,COUNTIFS(A:A,A1967,D:D,"a"),"")</f>
        <v/>
      </c>
      <c r="K1967" s="2" t="e">
        <f>INDEX(+_xlfn.DECIMAL(K1967:L1967,#REF!),)</f>
        <v>#REF!</v>
      </c>
      <c r="L1967" s="1">
        <v>1</v>
      </c>
      <c r="M1967" s="2" t="e">
        <f>INDEX(+_xlfn.DECIMAL(INDIRECT(M1967:N1967),#REF!),)</f>
        <v>#REF!</v>
      </c>
      <c r="N1967" s="1">
        <v>1</v>
      </c>
    </row>
    <row r="1968" spans="1:14" x14ac:dyDescent="0.55000000000000004">
      <c r="A1968" s="1" t="s">
        <v>2157</v>
      </c>
      <c r="B1968" s="2">
        <f>COUNTIF(A:A,A1968)-1</f>
        <v>2</v>
      </c>
      <c r="C1968" s="2">
        <f>COUNTIF(A$1:A1968,A1968)-1</f>
        <v>2</v>
      </c>
      <c r="D1968" s="2" t="str">
        <f>Argument!D1968</f>
        <v>v</v>
      </c>
      <c r="E1968" s="2" t="str">
        <f t="shared" si="61"/>
        <v/>
      </c>
      <c r="F1968" s="2" t="str">
        <f>IF(C1968=0,ISTEXT(FORMULA.CONVERT("="&amp;A1968&amp;"("&amp;REPLACE(REPT(",#ref!",B1968),1,1,"")&amp;")()",1)),"")</f>
        <v/>
      </c>
      <c r="G1968" s="2">
        <f>TYPE(_xlfn.DECIMAL(IF(1,1),{1}))</f>
        <v>64</v>
      </c>
      <c r="H1968" s="2" t="str">
        <f t="shared" si="62"/>
        <v/>
      </c>
      <c r="I1968" s="2">
        <f>TYPE(_xlfn.DECIMAL(IF(1,1),IF(1,1)))</f>
        <v>16</v>
      </c>
      <c r="J1968" s="2" t="str">
        <f>IF(C1968=0,COUNTIFS(A:A,A1968,D:D,"a"),"")</f>
        <v/>
      </c>
      <c r="K1968" s="2" t="e">
        <f>INDEX(+_xlfn.DECIMAL(#REF!,K1968:L1968),)</f>
        <v>#REF!</v>
      </c>
      <c r="L1968" s="1">
        <v>1</v>
      </c>
      <c r="M1968" s="2" t="e">
        <f>INDEX(+_xlfn.DECIMAL(#REF!,INDIRECT(M1968:N1968)),)</f>
        <v>#REF!</v>
      </c>
      <c r="N1968" s="1">
        <v>1</v>
      </c>
    </row>
    <row r="1969" spans="1:14" x14ac:dyDescent="0.55000000000000004">
      <c r="A1969" s="1" t="s">
        <v>2158</v>
      </c>
      <c r="B1969" s="2">
        <f>COUNTIF(A:A,A1969)-1</f>
        <v>2</v>
      </c>
      <c r="C1969" s="2">
        <f>COUNTIF(A$1:A1969,A1969)-1</f>
        <v>0</v>
      </c>
      <c r="D1969" s="2" t="str">
        <f>Argument!D1969</f>
        <v/>
      </c>
      <c r="E1969" s="2" t="str">
        <f t="shared" si="61"/>
        <v>v</v>
      </c>
      <c r="F1969" s="2" t="b">
        <f>IF(C1969=0,ISTEXT(FORMULA.CONVERT("="&amp;A1969&amp;"("&amp;REPLACE(REPT(",#ref!",B1969),1,1,"")&amp;")()",1)),"")</f>
        <v>0</v>
      </c>
      <c r="G1969" s="2"/>
      <c r="H1969" s="2" t="str">
        <f t="shared" si="62"/>
        <v/>
      </c>
      <c r="I1969" s="2">
        <f>TYPE(_xlfn.DAYS(IF(1,1),IF(1,1)))</f>
        <v>1</v>
      </c>
      <c r="J1969" s="2">
        <f>IF(C1969=0,COUNTIFS(A:A,A1969,D:D,"a"),"")</f>
        <v>0</v>
      </c>
      <c r="K1969" s="2"/>
      <c r="M1969" s="2"/>
    </row>
    <row r="1970" spans="1:14" x14ac:dyDescent="0.55000000000000004">
      <c r="A1970" s="1" t="s">
        <v>2158</v>
      </c>
      <c r="B1970" s="2">
        <f>COUNTIF(A:A,A1970)-1</f>
        <v>2</v>
      </c>
      <c r="C1970" s="2">
        <f>COUNTIF(A$1:A1970,A1970)-1</f>
        <v>1</v>
      </c>
      <c r="D1970" s="2" t="str">
        <f>Argument!D1970</f>
        <v>v</v>
      </c>
      <c r="E1970" s="2" t="str">
        <f t="shared" si="61"/>
        <v/>
      </c>
      <c r="F1970" s="2" t="str">
        <f>IF(C1970=0,ISTEXT(FORMULA.CONVERT("="&amp;A1970&amp;"("&amp;REPLACE(REPT(",#ref!",B1970),1,1,"")&amp;")()",1)),"")</f>
        <v/>
      </c>
      <c r="G1970" s="2">
        <f>TYPE(_xlfn.DAYS({1},IF(1,1)))</f>
        <v>64</v>
      </c>
      <c r="H1970" s="2" t="str">
        <f t="shared" si="62"/>
        <v/>
      </c>
      <c r="I1970" s="2">
        <f>TYPE(_xlfn.DAYS(IF(1,1),IF(1,1)))</f>
        <v>1</v>
      </c>
      <c r="J1970" s="2" t="str">
        <f>IF(C1970=0,COUNTIFS(A:A,A1970,D:D,"a"),"")</f>
        <v/>
      </c>
      <c r="K1970" s="2" t="e">
        <f>INDEX(+_xlfn.DAYS(K1970:L1970,#REF!),)</f>
        <v>#REF!</v>
      </c>
      <c r="L1970" s="1">
        <v>1</v>
      </c>
      <c r="M1970" s="2" t="e">
        <f>INDEX(+_xlfn.DAYS(INDIRECT(M1970:N1970),#REF!),)</f>
        <v>#REF!</v>
      </c>
      <c r="N1970" s="1">
        <v>1</v>
      </c>
    </row>
    <row r="1971" spans="1:14" x14ac:dyDescent="0.55000000000000004">
      <c r="A1971" s="1" t="s">
        <v>2158</v>
      </c>
      <c r="B1971" s="2">
        <f>COUNTIF(A:A,A1971)-1</f>
        <v>2</v>
      </c>
      <c r="C1971" s="2">
        <f>COUNTIF(A$1:A1971,A1971)-1</f>
        <v>2</v>
      </c>
      <c r="D1971" s="2" t="str">
        <f>Argument!D1971</f>
        <v>v</v>
      </c>
      <c r="E1971" s="2" t="str">
        <f t="shared" si="61"/>
        <v/>
      </c>
      <c r="F1971" s="2" t="str">
        <f>IF(C1971=0,ISTEXT(FORMULA.CONVERT("="&amp;A1971&amp;"("&amp;REPLACE(REPT(",#ref!",B1971),1,1,"")&amp;")()",1)),"")</f>
        <v/>
      </c>
      <c r="G1971" s="2">
        <f>TYPE(_xlfn.DAYS(IF(1,1),{1}))</f>
        <v>64</v>
      </c>
      <c r="H1971" s="2" t="str">
        <f t="shared" si="62"/>
        <v/>
      </c>
      <c r="I1971" s="2">
        <f>TYPE(_xlfn.DAYS(IF(1,1),IF(1,1)))</f>
        <v>1</v>
      </c>
      <c r="J1971" s="2" t="str">
        <f>IF(C1971=0,COUNTIFS(A:A,A1971,D:D,"a"),"")</f>
        <v/>
      </c>
      <c r="K1971" s="2" t="e">
        <f>INDEX(+_xlfn.DAYS(#REF!,K1971:L1971),)</f>
        <v>#REF!</v>
      </c>
      <c r="L1971" s="1">
        <v>1</v>
      </c>
      <c r="M1971" s="2" t="e">
        <f>INDEX(+_xlfn.DAYS(#REF!,INDIRECT(M1971:N1971)),)</f>
        <v>#REF!</v>
      </c>
      <c r="N1971" s="1">
        <v>1</v>
      </c>
    </row>
    <row r="1972" spans="1:14" x14ac:dyDescent="0.55000000000000004">
      <c r="A1972" s="1" t="s">
        <v>2159</v>
      </c>
      <c r="B1972" s="2">
        <f>COUNTIF(A:A,A1972)-1</f>
        <v>4</v>
      </c>
      <c r="C1972" s="2">
        <f>COUNTIF(A$1:A1972,A1972)-1</f>
        <v>0</v>
      </c>
      <c r="D1972" s="2" t="str">
        <f>Argument!D1972</f>
        <v/>
      </c>
      <c r="E1972" s="2" t="str">
        <f t="shared" si="61"/>
        <v>v</v>
      </c>
      <c r="F1972" s="2" t="b">
        <f>IF(C1972=0,ISTEXT(FORMULA.CONVERT("="&amp;A1972&amp;"("&amp;REPLACE(REPT(",#ref!",B1972),1,1,"")&amp;")()",1)),"")</f>
        <v>0</v>
      </c>
      <c r="G1972" s="2"/>
      <c r="H1972" s="2" t="str">
        <f t="shared" si="62"/>
        <v/>
      </c>
      <c r="I1972" s="2">
        <f>TYPE(_xlfn.BINOM.DIST.RANGE(IF(1,1),IF(1,1),IF(1,1),IF(1,1)))</f>
        <v>1</v>
      </c>
      <c r="J1972" s="2">
        <f>IF(C1972=0,COUNTIFS(A:A,A1972,D:D,"a"),"")</f>
        <v>0</v>
      </c>
      <c r="K1972" s="2"/>
      <c r="M1972" s="2"/>
    </row>
    <row r="1973" spans="1:14" x14ac:dyDescent="0.55000000000000004">
      <c r="A1973" s="1" t="s">
        <v>2159</v>
      </c>
      <c r="B1973" s="2">
        <f>COUNTIF(A:A,A1973)-1</f>
        <v>4</v>
      </c>
      <c r="C1973" s="2">
        <f>COUNTIF(A$1:A1973,A1973)-1</f>
        <v>1</v>
      </c>
      <c r="D1973" s="2" t="str">
        <f>Argument!D1973</f>
        <v>v</v>
      </c>
      <c r="E1973" s="2" t="str">
        <f t="shared" si="61"/>
        <v/>
      </c>
      <c r="F1973" s="2" t="str">
        <f>IF(C1973=0,ISTEXT(FORMULA.CONVERT("="&amp;A1973&amp;"("&amp;REPLACE(REPT(",#ref!",B1973),1,1,"")&amp;")()",1)),"")</f>
        <v/>
      </c>
      <c r="G1973" s="2">
        <f>TYPE(_xlfn.BINOM.DIST.RANGE({1},IF(1,1),IF(1,1),IF(1,1)))</f>
        <v>64</v>
      </c>
      <c r="H1973" s="2" t="str">
        <f t="shared" si="62"/>
        <v/>
      </c>
      <c r="I1973" s="2">
        <f>TYPE(_xlfn.BINOM.DIST.RANGE(IF(1,1),IF(1,1),IF(1,1),IF(1,1)))</f>
        <v>1</v>
      </c>
      <c r="J1973" s="2" t="str">
        <f>IF(C1973=0,COUNTIFS(A:A,A1973,D:D,"a"),"")</f>
        <v/>
      </c>
      <c r="K1973" s="2" t="e">
        <f>INDEX(+_xlfn.BINOM.DIST.RANGE(K1973:L1973,#REF!,#REF!,#REF!),)</f>
        <v>#REF!</v>
      </c>
      <c r="L1973" s="1">
        <v>1</v>
      </c>
      <c r="M1973" s="2" t="e">
        <f>INDEX(+_xlfn.BINOM.DIST.RANGE(INDIRECT(M1973:N1973),#REF!,#REF!,#REF!),)</f>
        <v>#REF!</v>
      </c>
      <c r="N1973" s="1">
        <v>1</v>
      </c>
    </row>
    <row r="1974" spans="1:14" x14ac:dyDescent="0.55000000000000004">
      <c r="A1974" s="1" t="s">
        <v>2159</v>
      </c>
      <c r="B1974" s="2">
        <f>COUNTIF(A:A,A1974)-1</f>
        <v>4</v>
      </c>
      <c r="C1974" s="2">
        <f>COUNTIF(A$1:A1974,A1974)-1</f>
        <v>2</v>
      </c>
      <c r="D1974" s="2" t="str">
        <f>Argument!D1974</f>
        <v>v</v>
      </c>
      <c r="E1974" s="2" t="str">
        <f t="shared" si="61"/>
        <v/>
      </c>
      <c r="F1974" s="2" t="str">
        <f>IF(C1974=0,ISTEXT(FORMULA.CONVERT("="&amp;A1974&amp;"("&amp;REPLACE(REPT(",#ref!",B1974),1,1,"")&amp;")()",1)),"")</f>
        <v/>
      </c>
      <c r="G1974" s="2">
        <f>TYPE(_xlfn.BINOM.DIST.RANGE(IF(1,1),{1},IF(1,1),IF(1,1)))</f>
        <v>64</v>
      </c>
      <c r="H1974" s="2" t="str">
        <f t="shared" si="62"/>
        <v/>
      </c>
      <c r="I1974" s="2">
        <f>TYPE(_xlfn.BINOM.DIST.RANGE(IF(1,1),IF(1,1),IF(1,1),IF(1,1)))</f>
        <v>1</v>
      </c>
      <c r="J1974" s="2" t="str">
        <f>IF(C1974=0,COUNTIFS(A:A,A1974,D:D,"a"),"")</f>
        <v/>
      </c>
      <c r="K1974" s="2" t="e">
        <f>INDEX(+_xlfn.BINOM.DIST.RANGE(#REF!,K1974:L1974,#REF!,#REF!),)</f>
        <v>#REF!</v>
      </c>
      <c r="L1974" s="1">
        <v>1</v>
      </c>
      <c r="M1974" s="2" t="e">
        <f>INDEX(+_xlfn.BINOM.DIST.RANGE(#REF!,INDIRECT(M1974:N1974),#REF!,#REF!),)</f>
        <v>#REF!</v>
      </c>
      <c r="N1974" s="1">
        <v>1</v>
      </c>
    </row>
    <row r="1975" spans="1:14" x14ac:dyDescent="0.55000000000000004">
      <c r="A1975" s="1" t="s">
        <v>2159</v>
      </c>
      <c r="B1975" s="2">
        <f>COUNTIF(A:A,A1975)-1</f>
        <v>4</v>
      </c>
      <c r="C1975" s="2">
        <f>COUNTIF(A$1:A1975,A1975)-1</f>
        <v>3</v>
      </c>
      <c r="D1975" s="2" t="str">
        <f>Argument!D1975</f>
        <v>v</v>
      </c>
      <c r="E1975" s="2" t="str">
        <f t="shared" si="61"/>
        <v/>
      </c>
      <c r="F1975" s="2" t="str">
        <f>IF(C1975=0,ISTEXT(FORMULA.CONVERT("="&amp;A1975&amp;"("&amp;REPLACE(REPT(",#ref!",B1975),1,1,"")&amp;")()",1)),"")</f>
        <v/>
      </c>
      <c r="G1975" s="2">
        <f>TYPE(_xlfn.BINOM.DIST.RANGE(IF(1,1),IF(1,1),{1},IF(1,1)))</f>
        <v>64</v>
      </c>
      <c r="H1975" s="2" t="str">
        <f t="shared" si="62"/>
        <v/>
      </c>
      <c r="I1975" s="2">
        <f>TYPE(_xlfn.BINOM.DIST.RANGE(IF(1,1),IF(1,1),IF(1,1),IF(1,1)))</f>
        <v>1</v>
      </c>
      <c r="J1975" s="2" t="str">
        <f>IF(C1975=0,COUNTIFS(A:A,A1975,D:D,"a"),"")</f>
        <v/>
      </c>
      <c r="K1975" s="2" t="e">
        <f>INDEX(+_xlfn.BINOM.DIST.RANGE(#REF!,#REF!,K1975:L1975,#REF!),)</f>
        <v>#REF!</v>
      </c>
      <c r="L1975" s="1">
        <v>1</v>
      </c>
      <c r="M1975" s="2" t="e">
        <f>INDEX(+_xlfn.BINOM.DIST.RANGE(#REF!,#REF!,INDIRECT(M1975:N1975),#REF!),)</f>
        <v>#REF!</v>
      </c>
      <c r="N1975" s="1">
        <v>1</v>
      </c>
    </row>
    <row r="1976" spans="1:14" x14ac:dyDescent="0.55000000000000004">
      <c r="A1976" s="1" t="s">
        <v>2159</v>
      </c>
      <c r="B1976" s="2">
        <f>COUNTIF(A:A,A1976)-1</f>
        <v>4</v>
      </c>
      <c r="C1976" s="2">
        <f>COUNTIF(A$1:A1976,A1976)-1</f>
        <v>4</v>
      </c>
      <c r="D1976" s="2" t="str">
        <f>Argument!D1976</f>
        <v>v</v>
      </c>
      <c r="E1976" s="2" t="str">
        <f t="shared" si="61"/>
        <v/>
      </c>
      <c r="F1976" s="2" t="str">
        <f>IF(C1976=0,ISTEXT(FORMULA.CONVERT("="&amp;A1976&amp;"("&amp;REPLACE(REPT(",#ref!",B1976),1,1,"")&amp;")()",1)),"")</f>
        <v/>
      </c>
      <c r="G1976" s="2">
        <f>TYPE(_xlfn.BINOM.DIST.RANGE(IF(1,1),IF(1,1),IF(1,1),{1}))</f>
        <v>64</v>
      </c>
      <c r="H1976" s="2" t="str">
        <f t="shared" si="62"/>
        <v/>
      </c>
      <c r="I1976" s="2">
        <f>TYPE(_xlfn.BINOM.DIST.RANGE(IF(1,1),IF(1,1),IF(1,1),IF(1,1)))</f>
        <v>1</v>
      </c>
      <c r="J1976" s="2" t="str">
        <f>IF(C1976=0,COUNTIFS(A:A,A1976,D:D,"a"),"")</f>
        <v/>
      </c>
      <c r="K1976" s="2" t="e">
        <f>INDEX(+_xlfn.BINOM.DIST.RANGE(#REF!,#REF!,#REF!,K1976:L1976),)</f>
        <v>#REF!</v>
      </c>
      <c r="L1976" s="1">
        <v>1</v>
      </c>
      <c r="M1976" s="2" t="e">
        <f>INDEX(+_xlfn.BINOM.DIST.RANGE(#REF!,#REF!,#REF!,INDIRECT(M1976:N1976)),)</f>
        <v>#REF!</v>
      </c>
      <c r="N1976" s="1">
        <v>1</v>
      </c>
    </row>
    <row r="1977" spans="1:14" x14ac:dyDescent="0.55000000000000004">
      <c r="A1977" s="1" t="s">
        <v>2160</v>
      </c>
      <c r="B1977" s="2">
        <f>COUNTIF(A:A,A1977)-1</f>
        <v>1</v>
      </c>
      <c r="C1977" s="2">
        <f>COUNTIF(A$1:A1977,A1977)-1</f>
        <v>0</v>
      </c>
      <c r="D1977" s="2" t="str">
        <f>Argument!D1977</f>
        <v/>
      </c>
      <c r="E1977" s="2" t="str">
        <f t="shared" si="61"/>
        <v>v</v>
      </c>
      <c r="F1977" s="2" t="b">
        <f>IF(C1977=0,ISTEXT(FORMULA.CONVERT("="&amp;A1977&amp;"("&amp;REPLACE(REPT(",#ref!",B1977),1,1,"")&amp;")()",1)),"")</f>
        <v>0</v>
      </c>
      <c r="G1977" s="2"/>
      <c r="H1977" s="2" t="str">
        <f t="shared" si="62"/>
        <v/>
      </c>
      <c r="I1977" s="2">
        <f>TYPE(_xlfn.GAMMA(IF(1,1)))</f>
        <v>1</v>
      </c>
      <c r="J1977" s="2">
        <f>IF(C1977=0,COUNTIFS(A:A,A1977,D:D,"a"),"")</f>
        <v>0</v>
      </c>
      <c r="K1977" s="2"/>
      <c r="M1977" s="2"/>
    </row>
    <row r="1978" spans="1:14" x14ac:dyDescent="0.55000000000000004">
      <c r="A1978" s="1" t="s">
        <v>2160</v>
      </c>
      <c r="B1978" s="2">
        <f>COUNTIF(A:A,A1978)-1</f>
        <v>1</v>
      </c>
      <c r="C1978" s="2">
        <f>COUNTIF(A$1:A1978,A1978)-1</f>
        <v>1</v>
      </c>
      <c r="D1978" s="2" t="str">
        <f>Argument!D1978</f>
        <v>v</v>
      </c>
      <c r="E1978" s="2" t="str">
        <f t="shared" si="61"/>
        <v/>
      </c>
      <c r="F1978" s="2" t="str">
        <f>IF(C1978=0,ISTEXT(FORMULA.CONVERT("="&amp;A1978&amp;"("&amp;REPLACE(REPT(",#ref!",B1978),1,1,"")&amp;")()",1)),"")</f>
        <v/>
      </c>
      <c r="G1978" s="2">
        <f>TYPE(_xlfn.GAMMA({1}))</f>
        <v>64</v>
      </c>
      <c r="H1978" s="2" t="str">
        <f t="shared" si="62"/>
        <v/>
      </c>
      <c r="I1978" s="2">
        <f>TYPE(_xlfn.GAMMA(IF(1,1)))</f>
        <v>1</v>
      </c>
      <c r="J1978" s="2" t="str">
        <f>IF(C1978=0,COUNTIFS(A:A,A1978,D:D,"a"),"")</f>
        <v/>
      </c>
      <c r="K1978" s="2" t="e">
        <f>INDEX(+_xlfn.GAMMA(K1978:L1978),)</f>
        <v>#NUM!</v>
      </c>
      <c r="L1978" s="1">
        <v>1</v>
      </c>
      <c r="M1978" s="2" t="e">
        <f>INDEX(+_xlfn.GAMMA(INDIRECT(M1978:N1978)),)</f>
        <v>#REF!</v>
      </c>
      <c r="N1978" s="1">
        <v>1</v>
      </c>
    </row>
    <row r="1979" spans="1:14" x14ac:dyDescent="0.55000000000000004">
      <c r="A1979" s="1" t="s">
        <v>2161</v>
      </c>
      <c r="B1979" s="2">
        <f>COUNTIF(A:A,A1979)-1</f>
        <v>3</v>
      </c>
      <c r="C1979" s="2">
        <f>COUNTIF(A$1:A1979,A1979)-1</f>
        <v>0</v>
      </c>
      <c r="D1979" s="2" t="str">
        <f>Argument!D1979</f>
        <v/>
      </c>
      <c r="E1979" s="2" t="str">
        <f t="shared" si="61"/>
        <v>v</v>
      </c>
      <c r="F1979" s="2" t="b">
        <f>IF(C1979=0,ISTEXT(FORMULA.CONVERT("="&amp;A1979&amp;"("&amp;REPLACE(REPT(",#ref!",B1979),1,1,"")&amp;")()",1)),"")</f>
        <v>0</v>
      </c>
      <c r="G1979" s="2"/>
      <c r="H1979" s="2" t="str">
        <f t="shared" si="62"/>
        <v/>
      </c>
      <c r="I1979" s="2">
        <f>TYPE(_xlfn.SKEW.P(IF(1,1),IF(1,1),IF(1,1)))</f>
        <v>16</v>
      </c>
      <c r="J1979" s="2">
        <f>IF(C1979=0,COUNTIFS(A:A,A1979,D:D,"a"),"")</f>
        <v>0</v>
      </c>
      <c r="K1979" s="2"/>
      <c r="M1979" s="2"/>
    </row>
    <row r="1980" spans="1:14" x14ac:dyDescent="0.55000000000000004">
      <c r="A1980" s="1" t="s">
        <v>2161</v>
      </c>
      <c r="B1980" s="2">
        <f>COUNTIF(A:A,A1980)-1</f>
        <v>3</v>
      </c>
      <c r="C1980" s="2">
        <f>COUNTIF(A$1:A1980,A1980)-1</f>
        <v>1</v>
      </c>
      <c r="D1980" s="2" t="str">
        <f>Argument!D1980</f>
        <v>var</v>
      </c>
      <c r="E1980" s="2" t="str">
        <f t="shared" si="61"/>
        <v/>
      </c>
      <c r="F1980" s="2" t="str">
        <f>IF(C1980=0,ISTEXT(FORMULA.CONVERT("="&amp;A1980&amp;"("&amp;REPLACE(REPT(",#ref!",B1980),1,1,"")&amp;")()",1)),"")</f>
        <v/>
      </c>
      <c r="G1980" s="2">
        <f>TYPE(_xlfn.SKEW.P({1},IF(1,1),IF(1,1)))</f>
        <v>16</v>
      </c>
      <c r="H1980" s="2" t="str">
        <f t="shared" si="62"/>
        <v/>
      </c>
      <c r="I1980" s="2">
        <f>TYPE(_xlfn.SKEW.P(IF(1,1),IF(1,1),IF(1,1)))</f>
        <v>16</v>
      </c>
      <c r="J1980" s="2" t="str">
        <f>IF(C1980=0,COUNTIFS(A:A,A1980,D:D,"a"),"")</f>
        <v/>
      </c>
      <c r="K1980" s="2" t="e">
        <f>INDEX(+_xlfn.SKEW.P(K1980:L1980,#REF!,#REF!),)</f>
        <v>#REF!</v>
      </c>
      <c r="L1980" s="1">
        <v>1</v>
      </c>
      <c r="M1980" s="2" t="e">
        <f>INDEX(+_xlfn.SKEW.P(INDIRECT(M1980:N1980),#REF!,#REF!),)</f>
        <v>#REF!</v>
      </c>
      <c r="N1980" s="1">
        <v>1</v>
      </c>
    </row>
    <row r="1981" spans="1:14" x14ac:dyDescent="0.55000000000000004">
      <c r="A1981" s="1" t="s">
        <v>2161</v>
      </c>
      <c r="B1981" s="2">
        <f>COUNTIF(A:A,A1981)-1</f>
        <v>3</v>
      </c>
      <c r="C1981" s="2">
        <f>COUNTIF(A$1:A1981,A1981)-1</f>
        <v>2</v>
      </c>
      <c r="D1981" s="2" t="str">
        <f>Argument!D1981</f>
        <v>var</v>
      </c>
      <c r="E1981" s="2" t="str">
        <f t="shared" si="61"/>
        <v/>
      </c>
      <c r="F1981" s="2" t="str">
        <f>IF(C1981=0,ISTEXT(FORMULA.CONVERT("="&amp;A1981&amp;"("&amp;REPLACE(REPT(",#ref!",B1981),1,1,"")&amp;")()",1)),"")</f>
        <v/>
      </c>
      <c r="G1981" s="2">
        <f>TYPE(_xlfn.SKEW.P(IF(1,1),{1},IF(1,1)))</f>
        <v>16</v>
      </c>
      <c r="H1981" s="2" t="str">
        <f t="shared" si="62"/>
        <v/>
      </c>
      <c r="I1981" s="2">
        <f>TYPE(_xlfn.SKEW.P(IF(1,1),IF(1,1),IF(1,1)))</f>
        <v>16</v>
      </c>
      <c r="J1981" s="2" t="str">
        <f>IF(C1981=0,COUNTIFS(A:A,A1981,D:D,"a"),"")</f>
        <v/>
      </c>
      <c r="K1981" s="2" t="e">
        <f>INDEX(+_xlfn.SKEW.P(#REF!,K1981:L1981,#REF!),)</f>
        <v>#REF!</v>
      </c>
      <c r="L1981" s="1">
        <v>1</v>
      </c>
      <c r="M1981" s="2" t="e">
        <f>INDEX(+_xlfn.SKEW.P(#REF!,INDIRECT(M1981:N1981),#REF!),)</f>
        <v>#REF!</v>
      </c>
      <c r="N1981" s="1">
        <v>1</v>
      </c>
    </row>
    <row r="1982" spans="1:14" x14ac:dyDescent="0.55000000000000004">
      <c r="A1982" s="1" t="s">
        <v>2161</v>
      </c>
      <c r="B1982" s="2">
        <f>COUNTIF(A:A,A1982)-1</f>
        <v>3</v>
      </c>
      <c r="C1982" s="2">
        <f>COUNTIF(A$1:A1982,A1982)-1</f>
        <v>3</v>
      </c>
      <c r="D1982" s="2" t="str">
        <f>Argument!D1982</f>
        <v>var</v>
      </c>
      <c r="E1982" s="2" t="str">
        <f t="shared" si="61"/>
        <v/>
      </c>
      <c r="F1982" s="2" t="str">
        <f>IF(C1982=0,ISTEXT(FORMULA.CONVERT("="&amp;A1982&amp;"("&amp;REPLACE(REPT(",#ref!",B1982),1,1,"")&amp;")()",1)),"")</f>
        <v/>
      </c>
      <c r="G1982" s="2">
        <f>TYPE(_xlfn.SKEW.P(IF(1,1),IF(1,1),{1}))</f>
        <v>16</v>
      </c>
      <c r="H1982" s="2" t="str">
        <f t="shared" si="62"/>
        <v/>
      </c>
      <c r="I1982" s="2">
        <f>TYPE(_xlfn.SKEW.P(IF(1,1),IF(1,1),IF(1,1)))</f>
        <v>16</v>
      </c>
      <c r="J1982" s="2" t="str">
        <f>IF(C1982=0,COUNTIFS(A:A,A1982,D:D,"a"),"")</f>
        <v/>
      </c>
      <c r="K1982" s="2" t="e">
        <f>INDEX(+_xlfn.SKEW.P(#REF!,#REF!,K1982:L1982),)</f>
        <v>#REF!</v>
      </c>
      <c r="L1982" s="1">
        <v>1</v>
      </c>
      <c r="M1982" s="2" t="e">
        <f>INDEX(+_xlfn.SKEW.P(#REF!,#REF!,INDIRECT(M1982:N1982)),)</f>
        <v>#REF!</v>
      </c>
      <c r="N1982" s="1">
        <v>1</v>
      </c>
    </row>
    <row r="1983" spans="1:14" x14ac:dyDescent="0.55000000000000004">
      <c r="A1983" s="1" t="s">
        <v>2162</v>
      </c>
      <c r="B1983" s="2">
        <f>COUNTIF(A:A,A1983)-1</f>
        <v>1</v>
      </c>
      <c r="C1983" s="2">
        <f>COUNTIF(A$1:A1983,A1983)-1</f>
        <v>0</v>
      </c>
      <c r="D1983" s="2" t="str">
        <f>Argument!D1983</f>
        <v/>
      </c>
      <c r="E1983" s="2" t="str">
        <f t="shared" si="61"/>
        <v>v</v>
      </c>
      <c r="F1983" s="2" t="b">
        <f>IF(C1983=0,ISTEXT(FORMULA.CONVERT("="&amp;A1983&amp;"("&amp;REPLACE(REPT(",#ref!",B1983),1,1,"")&amp;")()",1)),"")</f>
        <v>0</v>
      </c>
      <c r="G1983" s="2"/>
      <c r="H1983" s="2" t="str">
        <f t="shared" si="62"/>
        <v/>
      </c>
      <c r="I1983" s="2">
        <f>TYPE(_xlfn.GAUSS(IF(1,1)))</f>
        <v>1</v>
      </c>
      <c r="J1983" s="2">
        <f>IF(C1983=0,COUNTIFS(A:A,A1983,D:D,"a"),"")</f>
        <v>0</v>
      </c>
      <c r="K1983" s="2"/>
      <c r="M1983" s="2"/>
    </row>
    <row r="1984" spans="1:14" x14ac:dyDescent="0.55000000000000004">
      <c r="A1984" s="1" t="s">
        <v>2162</v>
      </c>
      <c r="B1984" s="2">
        <f>COUNTIF(A:A,A1984)-1</f>
        <v>1</v>
      </c>
      <c r="C1984" s="2">
        <f>COUNTIF(A$1:A1984,A1984)-1</f>
        <v>1</v>
      </c>
      <c r="D1984" s="2" t="str">
        <f>Argument!D1984</f>
        <v>v</v>
      </c>
      <c r="E1984" s="2" t="str">
        <f t="shared" si="61"/>
        <v/>
      </c>
      <c r="F1984" s="2" t="str">
        <f>IF(C1984=0,ISTEXT(FORMULA.CONVERT("="&amp;A1984&amp;"("&amp;REPLACE(REPT(",#ref!",B1984),1,1,"")&amp;")()",1)),"")</f>
        <v/>
      </c>
      <c r="G1984" s="2">
        <f>TYPE(_xlfn.GAUSS({1}))</f>
        <v>64</v>
      </c>
      <c r="H1984" s="2" t="str">
        <f t="shared" si="62"/>
        <v/>
      </c>
      <c r="I1984" s="2">
        <f>TYPE(_xlfn.GAUSS(IF(1,1)))</f>
        <v>1</v>
      </c>
      <c r="J1984" s="2" t="str">
        <f>IF(C1984=0,COUNTIFS(A:A,A1984,D:D,"a"),"")</f>
        <v/>
      </c>
      <c r="K1984" s="2">
        <f>INDEX(+_xlfn.GAUSS(K1984:L1984),)</f>
        <v>0</v>
      </c>
      <c r="L1984" s="1">
        <v>1</v>
      </c>
      <c r="M1984" s="2" t="e">
        <f>INDEX(+_xlfn.GAUSS(INDIRECT(M1984:N1984)),)</f>
        <v>#REF!</v>
      </c>
      <c r="N1984" s="1">
        <v>1</v>
      </c>
    </row>
    <row r="1985" spans="1:14" x14ac:dyDescent="0.55000000000000004">
      <c r="A1985" s="1" t="s">
        <v>2163</v>
      </c>
      <c r="B1985" s="2">
        <f>COUNTIF(A:A,A1985)-1</f>
        <v>1</v>
      </c>
      <c r="C1985" s="2">
        <f>COUNTIF(A$1:A1985,A1985)-1</f>
        <v>0</v>
      </c>
      <c r="D1985" s="2" t="str">
        <f>Argument!D1985</f>
        <v/>
      </c>
      <c r="E1985" s="2" t="str">
        <f t="shared" si="61"/>
        <v>v</v>
      </c>
      <c r="F1985" s="2" t="b">
        <f>IF(C1985=0,ISTEXT(FORMULA.CONVERT("="&amp;A1985&amp;"("&amp;REPLACE(REPT(",#ref!",B1985),1,1,"")&amp;")()",1)),"")</f>
        <v>0</v>
      </c>
      <c r="G1985" s="2"/>
      <c r="H1985" s="2" t="str">
        <f t="shared" si="62"/>
        <v/>
      </c>
      <c r="I1985" s="2">
        <f>TYPE(_xlfn.PHI(IF(1,1)))</f>
        <v>1</v>
      </c>
      <c r="J1985" s="2">
        <f>IF(C1985=0,COUNTIFS(A:A,A1985,D:D,"a"),"")</f>
        <v>0</v>
      </c>
      <c r="K1985" s="2"/>
      <c r="M1985" s="2"/>
    </row>
    <row r="1986" spans="1:14" x14ac:dyDescent="0.55000000000000004">
      <c r="A1986" s="1" t="s">
        <v>2163</v>
      </c>
      <c r="B1986" s="2">
        <f>COUNTIF(A:A,A1986)-1</f>
        <v>1</v>
      </c>
      <c r="C1986" s="2">
        <f>COUNTIF(A$1:A1986,A1986)-1</f>
        <v>1</v>
      </c>
      <c r="D1986" s="2" t="str">
        <f>Argument!D1986</f>
        <v>v</v>
      </c>
      <c r="E1986" s="2" t="str">
        <f t="shared" ref="E1986:E2049" si="63">IF(C1986=0,IF(SUMIFS(H:H,A:A,A1986),IF(COUNTIFS(A:A,A1986,G:G,64),,"v")&amp;IF(F1986,"ar","a"),IF(F1986,"r","v")),"")</f>
        <v/>
      </c>
      <c r="F1986" s="2" t="str">
        <f>IF(C1986=0,ISTEXT(FORMULA.CONVERT("="&amp;A1986&amp;"("&amp;REPLACE(REPT(",#ref!",B1986),1,1,"")&amp;")()",1)),"")</f>
        <v/>
      </c>
      <c r="G1986" s="2">
        <f>TYPE(_xlfn.PHI({1}))</f>
        <v>64</v>
      </c>
      <c r="H1986" s="2" t="str">
        <f t="shared" ref="H1986:H2049" si="64">IF((I1986=64)*(J1986=B1986)+(1-L1986)*COUNTIF(D1986,"*v*")+(1-N1986)*COUNTIF(D1986,"*r*"),1,"")</f>
        <v/>
      </c>
      <c r="I1986" s="2">
        <f>TYPE(_xlfn.PHI(IF(1,1)))</f>
        <v>1</v>
      </c>
      <c r="J1986" s="2" t="str">
        <f>IF(C1986=0,COUNTIFS(A:A,A1986,D:D,"a"),"")</f>
        <v/>
      </c>
      <c r="K1986" s="2">
        <f>INDEX(+_xlfn.PHI(K1986:L1986),)</f>
        <v>0.3989422804014327</v>
      </c>
      <c r="L1986" s="1">
        <v>1</v>
      </c>
      <c r="M1986" s="2" t="e">
        <f>INDEX(+_xlfn.PHI(INDIRECT(M1986:N1986)),)</f>
        <v>#REF!</v>
      </c>
      <c r="N1986" s="1">
        <v>1</v>
      </c>
    </row>
    <row r="1987" spans="1:14" x14ac:dyDescent="0.55000000000000004">
      <c r="A1987" s="1" t="s">
        <v>2164</v>
      </c>
      <c r="B1987" s="2">
        <f>COUNTIF(A:A,A1987)-1</f>
        <v>3</v>
      </c>
      <c r="C1987" s="2">
        <f>COUNTIF(A$1:A1987,A1987)-1</f>
        <v>0</v>
      </c>
      <c r="D1987" s="2" t="str">
        <f>Argument!D1987</f>
        <v/>
      </c>
      <c r="E1987" s="2" t="str">
        <f t="shared" si="63"/>
        <v>v</v>
      </c>
      <c r="F1987" s="2" t="b">
        <f>IF(C1987=0,ISTEXT(FORMULA.CONVERT("="&amp;A1987&amp;"("&amp;REPLACE(REPT(",#ref!",B1987),1,1,"")&amp;")()",1)),"")</f>
        <v>0</v>
      </c>
      <c r="G1987" s="2"/>
      <c r="H1987" s="2" t="str">
        <f t="shared" si="64"/>
        <v/>
      </c>
      <c r="I1987" s="2">
        <f>TYPE(_xlfn.RRI(IF(1,1),IF(1,1),IF(1,1)))</f>
        <v>1</v>
      </c>
      <c r="J1987" s="2">
        <f>IF(C1987=0,COUNTIFS(A:A,A1987,D:D,"a"),"")</f>
        <v>0</v>
      </c>
      <c r="K1987" s="2"/>
      <c r="M1987" s="2"/>
    </row>
    <row r="1988" spans="1:14" x14ac:dyDescent="0.55000000000000004">
      <c r="A1988" s="1" t="s">
        <v>2164</v>
      </c>
      <c r="B1988" s="2">
        <f>COUNTIF(A:A,A1988)-1</f>
        <v>3</v>
      </c>
      <c r="C1988" s="2">
        <f>COUNTIF(A$1:A1988,A1988)-1</f>
        <v>1</v>
      </c>
      <c r="D1988" s="2" t="str">
        <f>Argument!D1988</f>
        <v>v</v>
      </c>
      <c r="E1988" s="2" t="str">
        <f t="shared" si="63"/>
        <v/>
      </c>
      <c r="F1988" s="2" t="str">
        <f>IF(C1988=0,ISTEXT(FORMULA.CONVERT("="&amp;A1988&amp;"("&amp;REPLACE(REPT(",#ref!",B1988),1,1,"")&amp;")()",1)),"")</f>
        <v/>
      </c>
      <c r="G1988" s="2">
        <f>TYPE(_xlfn.RRI({1},IF(1,1),IF(1,1)))</f>
        <v>64</v>
      </c>
      <c r="H1988" s="2" t="str">
        <f t="shared" si="64"/>
        <v/>
      </c>
      <c r="I1988" s="2">
        <f>TYPE(_xlfn.RRI(IF(1,1),IF(1,1),IF(1,1)))</f>
        <v>1</v>
      </c>
      <c r="J1988" s="2" t="str">
        <f>IF(C1988=0,COUNTIFS(A:A,A1988,D:D,"a"),"")</f>
        <v/>
      </c>
      <c r="K1988" s="2" t="e">
        <f>INDEX(+_xlfn.RRI(K1988:L1988,#REF!,#REF!),)</f>
        <v>#REF!</v>
      </c>
      <c r="L1988" s="1">
        <v>1</v>
      </c>
      <c r="M1988" s="2" t="e">
        <f>INDEX(+_xlfn.RRI(INDIRECT(M1988:N1988),#REF!,#REF!),)</f>
        <v>#REF!</v>
      </c>
      <c r="N1988" s="1">
        <v>1</v>
      </c>
    </row>
    <row r="1989" spans="1:14" x14ac:dyDescent="0.55000000000000004">
      <c r="A1989" s="1" t="s">
        <v>2164</v>
      </c>
      <c r="B1989" s="2">
        <f>COUNTIF(A:A,A1989)-1</f>
        <v>3</v>
      </c>
      <c r="C1989" s="2">
        <f>COUNTIF(A$1:A1989,A1989)-1</f>
        <v>2</v>
      </c>
      <c r="D1989" s="2" t="str">
        <f>Argument!D1989</f>
        <v>v</v>
      </c>
      <c r="E1989" s="2" t="str">
        <f t="shared" si="63"/>
        <v/>
      </c>
      <c r="F1989" s="2" t="str">
        <f>IF(C1989=0,ISTEXT(FORMULA.CONVERT("="&amp;A1989&amp;"("&amp;REPLACE(REPT(",#ref!",B1989),1,1,"")&amp;")()",1)),"")</f>
        <v/>
      </c>
      <c r="G1989" s="2">
        <f>TYPE(_xlfn.RRI(IF(1,1),{1},IF(1,1)))</f>
        <v>64</v>
      </c>
      <c r="H1989" s="2" t="str">
        <f t="shared" si="64"/>
        <v/>
      </c>
      <c r="I1989" s="2">
        <f>TYPE(_xlfn.RRI(IF(1,1),IF(1,1),IF(1,1)))</f>
        <v>1</v>
      </c>
      <c r="J1989" s="2" t="str">
        <f>IF(C1989=0,COUNTIFS(A:A,A1989,D:D,"a"),"")</f>
        <v/>
      </c>
      <c r="K1989" s="2" t="e">
        <f>INDEX(+_xlfn.RRI(#REF!,K1989:L1989,#REF!),)</f>
        <v>#REF!</v>
      </c>
      <c r="L1989" s="1">
        <v>1</v>
      </c>
      <c r="M1989" s="2" t="e">
        <f>INDEX(+_xlfn.RRI(#REF!,INDIRECT(M1989:N1989),#REF!),)</f>
        <v>#REF!</v>
      </c>
      <c r="N1989" s="1">
        <v>1</v>
      </c>
    </row>
    <row r="1990" spans="1:14" x14ac:dyDescent="0.55000000000000004">
      <c r="A1990" s="1" t="s">
        <v>2164</v>
      </c>
      <c r="B1990" s="2">
        <f>COUNTIF(A:A,A1990)-1</f>
        <v>3</v>
      </c>
      <c r="C1990" s="2">
        <f>COUNTIF(A$1:A1990,A1990)-1</f>
        <v>3</v>
      </c>
      <c r="D1990" s="2" t="str">
        <f>Argument!D1990</f>
        <v>v</v>
      </c>
      <c r="E1990" s="2" t="str">
        <f t="shared" si="63"/>
        <v/>
      </c>
      <c r="F1990" s="2" t="str">
        <f>IF(C1990=0,ISTEXT(FORMULA.CONVERT("="&amp;A1990&amp;"("&amp;REPLACE(REPT(",#ref!",B1990),1,1,"")&amp;")()",1)),"")</f>
        <v/>
      </c>
      <c r="G1990" s="2">
        <f>TYPE(_xlfn.RRI(IF(1,1),IF(1,1),{1}))</f>
        <v>64</v>
      </c>
      <c r="H1990" s="2" t="str">
        <f t="shared" si="64"/>
        <v/>
      </c>
      <c r="I1990" s="2">
        <f>TYPE(_xlfn.RRI(IF(1,1),IF(1,1),IF(1,1)))</f>
        <v>1</v>
      </c>
      <c r="J1990" s="2" t="str">
        <f>IF(C1990=0,COUNTIFS(A:A,A1990,D:D,"a"),"")</f>
        <v/>
      </c>
      <c r="K1990" s="2" t="e">
        <f>INDEX(+_xlfn.RRI(#REF!,#REF!,K1990:L1990),)</f>
        <v>#REF!</v>
      </c>
      <c r="L1990" s="1">
        <v>1</v>
      </c>
      <c r="M1990" s="2" t="e">
        <f>INDEX(+_xlfn.RRI(#REF!,#REF!,INDIRECT(M1990:N1990)),)</f>
        <v>#REF!</v>
      </c>
      <c r="N1990" s="1">
        <v>1</v>
      </c>
    </row>
    <row r="1991" spans="1:14" x14ac:dyDescent="0.55000000000000004">
      <c r="A1991" s="1" t="s">
        <v>2165</v>
      </c>
      <c r="B1991" s="2">
        <f>COUNTIF(A:A,A1991)-1</f>
        <v>1</v>
      </c>
      <c r="C1991" s="2">
        <f>COUNTIF(A$1:A1991,A1991)-1</f>
        <v>0</v>
      </c>
      <c r="D1991" s="2" t="str">
        <f>Argument!D1991</f>
        <v/>
      </c>
      <c r="E1991" s="2" t="str">
        <f t="shared" si="63"/>
        <v>v</v>
      </c>
      <c r="F1991" s="2" t="b">
        <f>IF(C1991=0,ISTEXT(FORMULA.CONVERT("="&amp;A1991&amp;"("&amp;REPLACE(REPT(",#ref!",B1991),1,1,"")&amp;")()",1)),"")</f>
        <v>0</v>
      </c>
      <c r="G1991" s="2"/>
      <c r="H1991" s="2" t="str">
        <f t="shared" si="64"/>
        <v/>
      </c>
      <c r="I1991" s="2">
        <f>TYPE(_xlfn.UNICHAR(IF(1,1)))</f>
        <v>2</v>
      </c>
      <c r="J1991" s="2">
        <f>IF(C1991=0,COUNTIFS(A:A,A1991,D:D,"a"),"")</f>
        <v>0</v>
      </c>
      <c r="K1991" s="2"/>
      <c r="M1991" s="2"/>
    </row>
    <row r="1992" spans="1:14" x14ac:dyDescent="0.55000000000000004">
      <c r="A1992" s="1" t="s">
        <v>2165</v>
      </c>
      <c r="B1992" s="2">
        <f>COUNTIF(A:A,A1992)-1</f>
        <v>1</v>
      </c>
      <c r="C1992" s="2">
        <f>COUNTIF(A$1:A1992,A1992)-1</f>
        <v>1</v>
      </c>
      <c r="D1992" s="2" t="str">
        <f>Argument!D1992</f>
        <v>v</v>
      </c>
      <c r="E1992" s="2" t="str">
        <f t="shared" si="63"/>
        <v/>
      </c>
      <c r="F1992" s="2" t="str">
        <f>IF(C1992=0,ISTEXT(FORMULA.CONVERT("="&amp;A1992&amp;"("&amp;REPLACE(REPT(",#ref!",B1992),1,1,"")&amp;")()",1)),"")</f>
        <v/>
      </c>
      <c r="G1992" s="2">
        <f>TYPE(_xlfn.UNICHAR({1}))</f>
        <v>64</v>
      </c>
      <c r="H1992" s="2" t="str">
        <f t="shared" si="64"/>
        <v/>
      </c>
      <c r="I1992" s="2">
        <f>TYPE(_xlfn.UNICHAR(IF(1,1)))</f>
        <v>2</v>
      </c>
      <c r="J1992" s="2" t="str">
        <f>IF(C1992=0,COUNTIFS(A:A,A1992,D:D,"a"),"")</f>
        <v/>
      </c>
      <c r="K1992" s="2" t="e">
        <f>INDEX(+_xlfn.UNICHAR(K1992:L1992),)</f>
        <v>#VALUE!</v>
      </c>
      <c r="L1992" s="1">
        <v>1</v>
      </c>
      <c r="M1992" s="2" t="e">
        <f>INDEX(+_xlfn.UNICHAR(INDIRECT(M1992:N1992)),)</f>
        <v>#REF!</v>
      </c>
      <c r="N1992" s="1">
        <v>1</v>
      </c>
    </row>
    <row r="1993" spans="1:14" x14ac:dyDescent="0.55000000000000004">
      <c r="A1993" s="1" t="s">
        <v>2166</v>
      </c>
      <c r="B1993" s="2">
        <f>COUNTIF(A:A,A1993)-1</f>
        <v>1</v>
      </c>
      <c r="C1993" s="2">
        <f>COUNTIF(A$1:A1993,A1993)-1</f>
        <v>0</v>
      </c>
      <c r="D1993" s="2" t="str">
        <f>Argument!D1993</f>
        <v/>
      </c>
      <c r="E1993" s="2" t="str">
        <f t="shared" si="63"/>
        <v>v</v>
      </c>
      <c r="F1993" s="2" t="b">
        <f>IF(C1993=0,ISTEXT(FORMULA.CONVERT("="&amp;A1993&amp;"("&amp;REPLACE(REPT(",#ref!",B1993),1,1,"")&amp;")()",1)),"")</f>
        <v>0</v>
      </c>
      <c r="G1993" s="2"/>
      <c r="H1993" s="2" t="str">
        <f t="shared" si="64"/>
        <v/>
      </c>
      <c r="I1993" s="2">
        <f>TYPE(_xlfn.UNICODE(IF(1,1)))</f>
        <v>1</v>
      </c>
      <c r="J1993" s="2">
        <f>IF(C1993=0,COUNTIFS(A:A,A1993,D:D,"a"),"")</f>
        <v>0</v>
      </c>
      <c r="K1993" s="2"/>
      <c r="M1993" s="2"/>
    </row>
    <row r="1994" spans="1:14" x14ac:dyDescent="0.55000000000000004">
      <c r="A1994" s="1" t="s">
        <v>2166</v>
      </c>
      <c r="B1994" s="2">
        <f>COUNTIF(A:A,A1994)-1</f>
        <v>1</v>
      </c>
      <c r="C1994" s="2">
        <f>COUNTIF(A$1:A1994,A1994)-1</f>
        <v>1</v>
      </c>
      <c r="D1994" s="2" t="str">
        <f>Argument!D1994</f>
        <v>v</v>
      </c>
      <c r="E1994" s="2" t="str">
        <f t="shared" si="63"/>
        <v/>
      </c>
      <c r="F1994" s="2" t="str">
        <f>IF(C1994=0,ISTEXT(FORMULA.CONVERT("="&amp;A1994&amp;"("&amp;REPLACE(REPT(",#ref!",B1994),1,1,"")&amp;")()",1)),"")</f>
        <v/>
      </c>
      <c r="G1994" s="2">
        <f>TYPE(_xlfn.UNICODE({1}))</f>
        <v>64</v>
      </c>
      <c r="H1994" s="2" t="str">
        <f t="shared" si="64"/>
        <v/>
      </c>
      <c r="I1994" s="2">
        <f>TYPE(_xlfn.UNICODE(IF(1,1)))</f>
        <v>1</v>
      </c>
      <c r="J1994" s="2" t="str">
        <f>IF(C1994=0,COUNTIFS(A:A,A1994,D:D,"a"),"")</f>
        <v/>
      </c>
      <c r="K1994" s="2">
        <f>INDEX(+_xlfn.UNICODE(K1994:L1994),)</f>
        <v>48</v>
      </c>
      <c r="L1994" s="1">
        <v>1</v>
      </c>
      <c r="M1994" s="2" t="e">
        <f>INDEX(+_xlfn.UNICODE(INDIRECT(M1994:N1994)),)</f>
        <v>#REF!</v>
      </c>
      <c r="N1994" s="1">
        <v>1</v>
      </c>
    </row>
    <row r="1995" spans="1:14" x14ac:dyDescent="0.55000000000000004">
      <c r="A1995" s="1" t="s">
        <v>2167</v>
      </c>
      <c r="B1995" s="2">
        <f>COUNTIF(A:A,A1995)-1</f>
        <v>1</v>
      </c>
      <c r="C1995" s="2">
        <f>COUNTIF(A$1:A1995,A1995)-1</f>
        <v>0</v>
      </c>
      <c r="D1995" s="2" t="str">
        <f>Argument!D1995</f>
        <v/>
      </c>
      <c r="E1995" s="2" t="str">
        <f t="shared" si="63"/>
        <v>a</v>
      </c>
      <c r="F1995" s="2" t="b">
        <f>IF(C1995=0,ISTEXT(FORMULA.CONVERT("="&amp;A1995&amp;"("&amp;REPLACE(REPT(",#ref!",B1995),1,1,"")&amp;")()",1)),"")</f>
        <v>0</v>
      </c>
      <c r="G1995" s="2"/>
      <c r="H1995" s="2" t="str">
        <f t="shared" si="64"/>
        <v/>
      </c>
      <c r="I1995" s="2">
        <f>TYPE(_xlfn.MUNIT(IF(1,1)))</f>
        <v>64</v>
      </c>
      <c r="J1995" s="2">
        <f>IF(C1995=0,COUNTIFS(A:A,A1995,D:D,"a"),"")</f>
        <v>0</v>
      </c>
      <c r="K1995" s="2"/>
      <c r="M1995" s="2"/>
    </row>
    <row r="1996" spans="1:14" x14ac:dyDescent="0.55000000000000004">
      <c r="A1996" s="1" t="s">
        <v>2167</v>
      </c>
      <c r="B1996" s="2">
        <f>COUNTIF(A:A,A1996)-1</f>
        <v>1</v>
      </c>
      <c r="C1996" s="2">
        <f>COUNTIF(A$1:A1996,A1996)-1</f>
        <v>1</v>
      </c>
      <c r="D1996" s="2" t="str">
        <f>Argument!D1996</f>
        <v>v</v>
      </c>
      <c r="E1996" s="2" t="str">
        <f t="shared" si="63"/>
        <v/>
      </c>
      <c r="F1996" s="2" t="str">
        <f>IF(C1996=0,ISTEXT(FORMULA.CONVERT("="&amp;A1996&amp;"("&amp;REPLACE(REPT(",#ref!",B1996),1,1,"")&amp;")()",1)),"")</f>
        <v/>
      </c>
      <c r="G1996" s="2">
        <f>TYPE(_xlfn.MUNIT({1}))</f>
        <v>64</v>
      </c>
      <c r="H1996" s="2">
        <f t="shared" si="64"/>
        <v>1</v>
      </c>
      <c r="I1996" s="2">
        <f>TYPE(_xlfn.MUNIT(IF(1,1)))</f>
        <v>64</v>
      </c>
      <c r="J1996" s="2" t="str">
        <f>IF(C1996=0,COUNTIFS(A:A,A1996,D:D,"a"),"")</f>
        <v/>
      </c>
      <c r="K1996" s="2" t="e">
        <f>INDEX(+_xlfn.MUNIT(K1996:L1996),)</f>
        <v>#VALUE!</v>
      </c>
      <c r="M1996" s="2" t="e">
        <f>INDEX(+_xlfn.MUNIT(INDIRECT(M1996:N1996)),)</f>
        <v>#REF!</v>
      </c>
    </row>
    <row r="1997" spans="1:14" x14ac:dyDescent="0.55000000000000004">
      <c r="A1997" s="1" t="s">
        <v>2168</v>
      </c>
      <c r="B1997" s="2">
        <f>COUNTIF(A:A,A1997)-1</f>
        <v>1</v>
      </c>
      <c r="C1997" s="2">
        <f>COUNTIF(A$1:A1997,A1997)-1</f>
        <v>0</v>
      </c>
      <c r="D1997" s="2" t="str">
        <f>Argument!D1997</f>
        <v/>
      </c>
      <c r="E1997" s="2" t="str">
        <f t="shared" si="63"/>
        <v>v</v>
      </c>
      <c r="F1997" s="2" t="b">
        <f>IF(C1997=0,ISTEXT(FORMULA.CONVERT("="&amp;A1997&amp;"("&amp;REPLACE(REPT(",#ref!",B1997),1,1,"")&amp;")()",1)),"")</f>
        <v>0</v>
      </c>
      <c r="G1997" s="2"/>
      <c r="H1997" s="2" t="str">
        <f t="shared" si="64"/>
        <v/>
      </c>
      <c r="I1997" s="2">
        <f>TYPE(_xlfn.ARABIC(IF(1,1)))</f>
        <v>16</v>
      </c>
      <c r="J1997" s="2">
        <f>IF(C1997=0,COUNTIFS(A:A,A1997,D:D,"a"),"")</f>
        <v>0</v>
      </c>
      <c r="K1997" s="2"/>
      <c r="M1997" s="2"/>
    </row>
    <row r="1998" spans="1:14" x14ac:dyDescent="0.55000000000000004">
      <c r="A1998" s="1" t="s">
        <v>2168</v>
      </c>
      <c r="B1998" s="2">
        <f>COUNTIF(A:A,A1998)-1</f>
        <v>1</v>
      </c>
      <c r="C1998" s="2">
        <f>COUNTIF(A$1:A1998,A1998)-1</f>
        <v>1</v>
      </c>
      <c r="D1998" s="2" t="str">
        <f>Argument!D1998</f>
        <v>v</v>
      </c>
      <c r="E1998" s="2" t="str">
        <f t="shared" si="63"/>
        <v/>
      </c>
      <c r="F1998" s="2" t="str">
        <f>IF(C1998=0,ISTEXT(FORMULA.CONVERT("="&amp;A1998&amp;"("&amp;REPLACE(REPT(",#ref!",B1998),1,1,"")&amp;")()",1)),"")</f>
        <v/>
      </c>
      <c r="G1998" s="2">
        <f>TYPE(_xlfn.ARABIC({1}))</f>
        <v>64</v>
      </c>
      <c r="H1998" s="2" t="str">
        <f t="shared" si="64"/>
        <v/>
      </c>
      <c r="I1998" s="2">
        <f>TYPE(_xlfn.ARABIC(IF(1,1)))</f>
        <v>16</v>
      </c>
      <c r="J1998" s="2" t="str">
        <f>IF(C1998=0,COUNTIFS(A:A,A1998,D:D,"a"),"")</f>
        <v/>
      </c>
      <c r="K1998" s="2" t="e">
        <f>INDEX(+_xlfn.ARABIC(K1998:L1998),)</f>
        <v>#VALUE!</v>
      </c>
      <c r="L1998" s="1">
        <v>1</v>
      </c>
      <c r="M1998" s="2" t="e">
        <f>INDEX(+_xlfn.ARABIC(INDIRECT(M1998:N1998)),)</f>
        <v>#REF!</v>
      </c>
      <c r="N1998" s="1">
        <v>1</v>
      </c>
    </row>
    <row r="1999" spans="1:14" x14ac:dyDescent="0.55000000000000004">
      <c r="A1999" s="1" t="s">
        <v>2169</v>
      </c>
      <c r="B1999" s="2">
        <f>COUNTIF(A:A,A1999)-1</f>
        <v>1</v>
      </c>
      <c r="C1999" s="2">
        <f>COUNTIF(A$1:A1999,A1999)-1</f>
        <v>0</v>
      </c>
      <c r="D1999" s="2" t="str">
        <f>Argument!D1999</f>
        <v/>
      </c>
      <c r="E1999" s="2" t="str">
        <f t="shared" si="63"/>
        <v>v</v>
      </c>
      <c r="F1999" s="2" t="b">
        <f>IF(C1999=0,ISTEXT(FORMULA.CONVERT("="&amp;A1999&amp;"("&amp;REPLACE(REPT(",#ref!",B1999),1,1,"")&amp;")()",1)),"")</f>
        <v>0</v>
      </c>
      <c r="G1999" s="2"/>
      <c r="H1999" s="2" t="str">
        <f t="shared" si="64"/>
        <v/>
      </c>
      <c r="I1999" s="2">
        <f>TYPE(_xlfn.ISOWEEKNUM(IF(1,1)))</f>
        <v>1</v>
      </c>
      <c r="J1999" s="2">
        <f>IF(C1999=0,COUNTIFS(A:A,A1999,D:D,"a"),"")</f>
        <v>0</v>
      </c>
      <c r="K1999" s="2"/>
      <c r="M1999" s="2"/>
    </row>
    <row r="2000" spans="1:14" x14ac:dyDescent="0.55000000000000004">
      <c r="A2000" s="1" t="s">
        <v>2169</v>
      </c>
      <c r="B2000" s="2">
        <f>COUNTIF(A:A,A2000)-1</f>
        <v>1</v>
      </c>
      <c r="C2000" s="2">
        <f>COUNTIF(A$1:A2000,A2000)-1</f>
        <v>1</v>
      </c>
      <c r="D2000" s="2" t="str">
        <f>Argument!D2000</f>
        <v>v</v>
      </c>
      <c r="E2000" s="2" t="str">
        <f t="shared" si="63"/>
        <v/>
      </c>
      <c r="F2000" s="2" t="str">
        <f>IF(C2000=0,ISTEXT(FORMULA.CONVERT("="&amp;A2000&amp;"("&amp;REPLACE(REPT(",#ref!",B2000),1,1,"")&amp;")()",1)),"")</f>
        <v/>
      </c>
      <c r="G2000" s="2">
        <f>TYPE(_xlfn.ISOWEEKNUM({1}))</f>
        <v>64</v>
      </c>
      <c r="H2000" s="2" t="str">
        <f t="shared" si="64"/>
        <v/>
      </c>
      <c r="I2000" s="2">
        <f>TYPE(_xlfn.ISOWEEKNUM(IF(1,1)))</f>
        <v>1</v>
      </c>
      <c r="J2000" s="2" t="str">
        <f>IF(C2000=0,COUNTIFS(A:A,A2000,D:D,"a"),"")</f>
        <v/>
      </c>
      <c r="K2000" s="2">
        <f>INDEX(+_xlfn.ISOWEEKNUM(K2000:L2000),)</f>
        <v>52</v>
      </c>
      <c r="L2000" s="1">
        <v>1</v>
      </c>
      <c r="M2000" s="2" t="e">
        <f>INDEX(+_xlfn.ISOWEEKNUM(INDIRECT(M2000:N2000)),)</f>
        <v>#REF!</v>
      </c>
      <c r="N2000" s="1">
        <v>1</v>
      </c>
    </row>
    <row r="2001" spans="1:14" x14ac:dyDescent="0.55000000000000004">
      <c r="A2001" s="1" t="s">
        <v>2170</v>
      </c>
      <c r="B2001" s="2">
        <f>COUNTIF(A:A,A2001)-1</f>
        <v>3</v>
      </c>
      <c r="C2001" s="2">
        <f>COUNTIF(A$1:A2001,A2001)-1</f>
        <v>0</v>
      </c>
      <c r="D2001" s="2" t="str">
        <f>Argument!D2001</f>
        <v/>
      </c>
      <c r="E2001" s="2" t="str">
        <f t="shared" si="63"/>
        <v>v</v>
      </c>
      <c r="F2001" s="2" t="b">
        <f>IF(C2001=0,ISTEXT(FORMULA.CONVERT("="&amp;A2001&amp;"("&amp;REPLACE(REPT(",#ref!",B2001),1,1,"")&amp;")()",1)),"")</f>
        <v>0</v>
      </c>
      <c r="G2001" s="2"/>
      <c r="H2001" s="2" t="str">
        <f t="shared" si="64"/>
        <v/>
      </c>
      <c r="I2001" s="2">
        <f>TYPE(_xlfn.NUMBERVALUE(IF(1,1),IF(1,1),IF(1,1)))</f>
        <v>16</v>
      </c>
      <c r="J2001" s="2">
        <f>IF(C2001=0,COUNTIFS(A:A,A2001,D:D,"a"),"")</f>
        <v>0</v>
      </c>
      <c r="K2001" s="2"/>
      <c r="M2001" s="2"/>
    </row>
    <row r="2002" spans="1:14" x14ac:dyDescent="0.55000000000000004">
      <c r="A2002" s="1" t="s">
        <v>2170</v>
      </c>
      <c r="B2002" s="2">
        <f>COUNTIF(A:A,A2002)-1</f>
        <v>3</v>
      </c>
      <c r="C2002" s="2">
        <f>COUNTIF(A$1:A2002,A2002)-1</f>
        <v>1</v>
      </c>
      <c r="D2002" s="2" t="str">
        <f>Argument!D2002</f>
        <v>v</v>
      </c>
      <c r="E2002" s="2" t="str">
        <f t="shared" si="63"/>
        <v/>
      </c>
      <c r="F2002" s="2" t="str">
        <f>IF(C2002=0,ISTEXT(FORMULA.CONVERT("="&amp;A2002&amp;"("&amp;REPLACE(REPT(",#ref!",B2002),1,1,"")&amp;")()",1)),"")</f>
        <v/>
      </c>
      <c r="G2002" s="2">
        <f>TYPE(_xlfn.NUMBERVALUE({1},IF(1,1),IF(1,1)))</f>
        <v>64</v>
      </c>
      <c r="H2002" s="2" t="str">
        <f t="shared" si="64"/>
        <v/>
      </c>
      <c r="I2002" s="2">
        <f>TYPE(_xlfn.NUMBERVALUE(IF(1,1),IF(1,1),IF(1,1)))</f>
        <v>16</v>
      </c>
      <c r="J2002" s="2" t="str">
        <f>IF(C2002=0,COUNTIFS(A:A,A2002,D:D,"a"),"")</f>
        <v/>
      </c>
      <c r="K2002" s="2" t="e">
        <f>INDEX(+_xlfn.NUMBERVALUE(K2002:L2002,#REF!,#REF!),)</f>
        <v>#REF!</v>
      </c>
      <c r="L2002" s="1">
        <v>1</v>
      </c>
      <c r="M2002" s="2" t="e">
        <f>INDEX(+_xlfn.NUMBERVALUE(INDIRECT(M2002:N2002),#REF!,#REF!),)</f>
        <v>#REF!</v>
      </c>
      <c r="N2002" s="1">
        <v>1</v>
      </c>
    </row>
    <row r="2003" spans="1:14" x14ac:dyDescent="0.55000000000000004">
      <c r="A2003" s="1" t="s">
        <v>2170</v>
      </c>
      <c r="B2003" s="2">
        <f>COUNTIF(A:A,A2003)-1</f>
        <v>3</v>
      </c>
      <c r="C2003" s="2">
        <f>COUNTIF(A$1:A2003,A2003)-1</f>
        <v>2</v>
      </c>
      <c r="D2003" s="2" t="str">
        <f>Argument!D2003</f>
        <v>v</v>
      </c>
      <c r="E2003" s="2" t="str">
        <f t="shared" si="63"/>
        <v/>
      </c>
      <c r="F2003" s="2" t="str">
        <f>IF(C2003=0,ISTEXT(FORMULA.CONVERT("="&amp;A2003&amp;"("&amp;REPLACE(REPT(",#ref!",B2003),1,1,"")&amp;")()",1)),"")</f>
        <v/>
      </c>
      <c r="G2003" s="2">
        <f>TYPE(_xlfn.NUMBERVALUE(IF(1,1),{1},IF(1,1)))</f>
        <v>64</v>
      </c>
      <c r="H2003" s="2" t="str">
        <f t="shared" si="64"/>
        <v/>
      </c>
      <c r="I2003" s="2">
        <f>TYPE(_xlfn.NUMBERVALUE(IF(1,1),IF(1,1),IF(1,1)))</f>
        <v>16</v>
      </c>
      <c r="J2003" s="2" t="str">
        <f>IF(C2003=0,COUNTIFS(A:A,A2003,D:D,"a"),"")</f>
        <v/>
      </c>
      <c r="K2003" s="2" t="e">
        <f>INDEX(+_xlfn.NUMBERVALUE(#REF!,K2003:L2003,#REF!),)</f>
        <v>#REF!</v>
      </c>
      <c r="L2003" s="1">
        <v>1</v>
      </c>
      <c r="M2003" s="2" t="e">
        <f>INDEX(+_xlfn.NUMBERVALUE(#REF!,INDIRECT(M2003:N2003),#REF!),)</f>
        <v>#REF!</v>
      </c>
      <c r="N2003" s="1">
        <v>1</v>
      </c>
    </row>
    <row r="2004" spans="1:14" x14ac:dyDescent="0.55000000000000004">
      <c r="A2004" s="1" t="s">
        <v>2170</v>
      </c>
      <c r="B2004" s="2">
        <f>COUNTIF(A:A,A2004)-1</f>
        <v>3</v>
      </c>
      <c r="C2004" s="2">
        <f>COUNTIF(A$1:A2004,A2004)-1</f>
        <v>3</v>
      </c>
      <c r="D2004" s="2" t="str">
        <f>Argument!D2004</f>
        <v>v</v>
      </c>
      <c r="E2004" s="2" t="str">
        <f t="shared" si="63"/>
        <v/>
      </c>
      <c r="F2004" s="2" t="str">
        <f>IF(C2004=0,ISTEXT(FORMULA.CONVERT("="&amp;A2004&amp;"("&amp;REPLACE(REPT(",#ref!",B2004),1,1,"")&amp;")()",1)),"")</f>
        <v/>
      </c>
      <c r="G2004" s="2">
        <f>TYPE(_xlfn.NUMBERVALUE(IF(1,1),IF(1,1),{1}))</f>
        <v>64</v>
      </c>
      <c r="H2004" s="2" t="str">
        <f t="shared" si="64"/>
        <v/>
      </c>
      <c r="I2004" s="2">
        <f>TYPE(_xlfn.NUMBERVALUE(IF(1,1),IF(1,1),IF(1,1)))</f>
        <v>16</v>
      </c>
      <c r="J2004" s="2" t="str">
        <f>IF(C2004=0,COUNTIFS(A:A,A2004,D:D,"a"),"")</f>
        <v/>
      </c>
      <c r="K2004" s="2" t="e">
        <f>INDEX(+_xlfn.NUMBERVALUE(#REF!,#REF!,K2004:L2004),)</f>
        <v>#REF!</v>
      </c>
      <c r="L2004" s="1">
        <v>1</v>
      </c>
      <c r="M2004" s="2" t="e">
        <f>INDEX(+_xlfn.NUMBERVALUE(#REF!,#REF!,INDIRECT(M2004:N2004)),)</f>
        <v>#REF!</v>
      </c>
      <c r="N2004" s="1">
        <v>1</v>
      </c>
    </row>
    <row r="2005" spans="1:14" x14ac:dyDescent="0.55000000000000004">
      <c r="A2005" s="1" t="s">
        <v>2171</v>
      </c>
      <c r="B2005" s="2">
        <f>COUNTIF(A:A,A2005)-1</f>
        <v>1</v>
      </c>
      <c r="C2005" s="2">
        <f>COUNTIF(A$1:A2005,A2005)-1</f>
        <v>0</v>
      </c>
      <c r="D2005" s="2" t="str">
        <f>Argument!D2005</f>
        <v/>
      </c>
      <c r="E2005" s="2" t="str">
        <f t="shared" si="63"/>
        <v>v</v>
      </c>
      <c r="F2005" s="2" t="b">
        <f>IF(C2005=0,ISTEXT(FORMULA.CONVERT("="&amp;A2005&amp;"("&amp;REPLACE(REPT(",#ref!",B2005),1,1,"")&amp;")()",1)),"")</f>
        <v>0</v>
      </c>
      <c r="G2005" s="2"/>
      <c r="H2005" s="2" t="str">
        <f t="shared" si="64"/>
        <v/>
      </c>
      <c r="I2005" s="2">
        <f>TYPE(_xlfn.SHEET(IF(1,1)))</f>
        <v>16</v>
      </c>
      <c r="J2005" s="2">
        <f>IF(C2005=0,COUNTIFS(A:A,A2005,D:D,"a"),"")</f>
        <v>0</v>
      </c>
      <c r="K2005" s="2"/>
      <c r="M2005" s="2"/>
    </row>
    <row r="2006" spans="1:14" x14ac:dyDescent="0.55000000000000004">
      <c r="A2006" s="1" t="s">
        <v>2171</v>
      </c>
      <c r="B2006" s="2">
        <f>COUNTIF(A:A,A2006)-1</f>
        <v>1</v>
      </c>
      <c r="C2006" s="2">
        <f>COUNTIF(A$1:A2006,A2006)-1</f>
        <v>1</v>
      </c>
      <c r="D2006" s="2" t="str">
        <f>Argument!D2006</f>
        <v>var</v>
      </c>
      <c r="E2006" s="2" t="str">
        <f t="shared" si="63"/>
        <v/>
      </c>
      <c r="F2006" s="2" t="str">
        <f>IF(C2006=0,ISTEXT(FORMULA.CONVERT("="&amp;A2006&amp;"("&amp;REPLACE(REPT(",#ref!",B2006),1,1,"")&amp;")()",1)),"")</f>
        <v/>
      </c>
      <c r="G2006" s="2">
        <f>TYPE(_xlfn.SHEET({1}))</f>
        <v>16</v>
      </c>
      <c r="H2006" s="2" t="str">
        <f t="shared" si="64"/>
        <v/>
      </c>
      <c r="I2006" s="2">
        <f>TYPE(_xlfn.SHEET(IF(1,1)))</f>
        <v>16</v>
      </c>
      <c r="J2006" s="2" t="str">
        <f>IF(C2006=0,COUNTIFS(A:A,A2006,D:D,"a"),"")</f>
        <v/>
      </c>
      <c r="K2006" s="2">
        <f>INDEX(+_xlfn.SHEET(K2006:L2006),)</f>
        <v>5</v>
      </c>
      <c r="L2006" s="1">
        <v>1</v>
      </c>
      <c r="M2006" s="2" t="e">
        <f>INDEX(+_xlfn.SHEET(INDIRECT(M2006:N2006)),)</f>
        <v>#N/A</v>
      </c>
      <c r="N2006" s="1">
        <v>1</v>
      </c>
    </row>
    <row r="2007" spans="1:14" x14ac:dyDescent="0.55000000000000004">
      <c r="A2007" s="1" t="s">
        <v>2172</v>
      </c>
      <c r="B2007" s="2">
        <f>COUNTIF(A:A,A2007)-1</f>
        <v>1</v>
      </c>
      <c r="C2007" s="2">
        <f>COUNTIF(A$1:A2007,A2007)-1</f>
        <v>0</v>
      </c>
      <c r="D2007" s="2" t="str">
        <f>Argument!D2007</f>
        <v/>
      </c>
      <c r="E2007" s="2" t="str">
        <f t="shared" si="63"/>
        <v>v</v>
      </c>
      <c r="F2007" s="2" t="b">
        <f>IF(C2007=0,ISTEXT(FORMULA.CONVERT("="&amp;A2007&amp;"("&amp;REPLACE(REPT(",#ref!",B2007),1,1,"")&amp;")()",1)),"")</f>
        <v>0</v>
      </c>
      <c r="G2007" s="2"/>
      <c r="H2007" s="2" t="str">
        <f t="shared" si="64"/>
        <v/>
      </c>
      <c r="I2007" s="2">
        <f>TYPE(_xlfn.SHEETS(IF(1,1)))</f>
        <v>16</v>
      </c>
      <c r="J2007" s="2">
        <f>IF(C2007=0,COUNTIFS(A:A,A2007,D:D,"a"),"")</f>
        <v>0</v>
      </c>
      <c r="K2007" s="2"/>
      <c r="M2007" s="2"/>
    </row>
    <row r="2008" spans="1:14" x14ac:dyDescent="0.55000000000000004">
      <c r="A2008" s="1" t="s">
        <v>2172</v>
      </c>
      <c r="B2008" s="2">
        <f>COUNTIF(A:A,A2008)-1</f>
        <v>1</v>
      </c>
      <c r="C2008" s="2">
        <f>COUNTIF(A$1:A2008,A2008)-1</f>
        <v>1</v>
      </c>
      <c r="D2008" s="2" t="str">
        <f>Argument!D2008</f>
        <v>ar</v>
      </c>
      <c r="E2008" s="2" t="str">
        <f t="shared" si="63"/>
        <v/>
      </c>
      <c r="F2008" s="2" t="str">
        <f>IF(C2008=0,ISTEXT(FORMULA.CONVERT("="&amp;A2008&amp;"("&amp;REPLACE(REPT(",#ref!",B2008),1,1,"")&amp;")()",1)),"")</f>
        <v/>
      </c>
      <c r="G2008" s="2">
        <f>TYPE(_xlfn.SHEETS({1}))</f>
        <v>16</v>
      </c>
      <c r="H2008" s="2" t="str">
        <f t="shared" si="64"/>
        <v/>
      </c>
      <c r="I2008" s="2">
        <f>TYPE(_xlfn.SHEETS(IF(1,1)))</f>
        <v>16</v>
      </c>
      <c r="J2008" s="2" t="str">
        <f>IF(C2008=0,COUNTIFS(A:A,A2008,D:D,"a"),"")</f>
        <v/>
      </c>
      <c r="K2008" s="2">
        <f>INDEX(+_xlfn.SHEETS(K2008:L2008),)</f>
        <v>1</v>
      </c>
      <c r="L2008" s="1">
        <v>1</v>
      </c>
      <c r="M2008" s="2" t="e">
        <f>INDEX(+_xlfn.SHEETS(INDIRECT(M2008:N2008)),)</f>
        <v>#N/A</v>
      </c>
      <c r="N2008" s="1">
        <v>1</v>
      </c>
    </row>
    <row r="2009" spans="1:14" x14ac:dyDescent="0.55000000000000004">
      <c r="A2009" s="1" t="s">
        <v>2173</v>
      </c>
      <c r="B2009" s="2">
        <f>COUNTIF(A:A,A2009)-1</f>
        <v>1</v>
      </c>
      <c r="C2009" s="2">
        <f>COUNTIF(A$1:A2009,A2009)-1</f>
        <v>0</v>
      </c>
      <c r="D2009" s="2" t="str">
        <f>Argument!D2009</f>
        <v/>
      </c>
      <c r="E2009" s="2" t="str">
        <f t="shared" si="63"/>
        <v>v</v>
      </c>
      <c r="F2009" s="2" t="b">
        <f>IF(C2009=0,ISTEXT(FORMULA.CONVERT("="&amp;A2009&amp;"("&amp;REPLACE(REPT(",#ref!",B2009),1,1,"")&amp;")()",1)),"")</f>
        <v>0</v>
      </c>
      <c r="G2009" s="2"/>
      <c r="H2009" s="2" t="str">
        <f t="shared" si="64"/>
        <v/>
      </c>
      <c r="I2009" s="2">
        <f>TYPE(_xlfn.FORMULATEXT(IF(1,1)))</f>
        <v>16</v>
      </c>
      <c r="J2009" s="2">
        <f>IF(C2009=0,COUNTIFS(A:A,A2009,D:D,"a"),"")</f>
        <v>0</v>
      </c>
      <c r="K2009" s="2"/>
      <c r="M2009" s="2"/>
    </row>
    <row r="2010" spans="1:14" x14ac:dyDescent="0.55000000000000004">
      <c r="A2010" s="1" t="s">
        <v>2173</v>
      </c>
      <c r="B2010" s="2">
        <f>COUNTIF(A:A,A2010)-1</f>
        <v>1</v>
      </c>
      <c r="C2010" s="2">
        <f>COUNTIF(A$1:A2010,A2010)-1</f>
        <v>1</v>
      </c>
      <c r="D2010" s="2" t="str">
        <f>Argument!D2010</f>
        <v>r</v>
      </c>
      <c r="E2010" s="2" t="str">
        <f t="shared" si="63"/>
        <v/>
      </c>
      <c r="F2010" s="2" t="str">
        <f>IF(C2010=0,ISTEXT(FORMULA.CONVERT("="&amp;A2010&amp;"("&amp;REPLACE(REPT(",#ref!",B2010),1,1,"")&amp;")()",1)),"")</f>
        <v/>
      </c>
      <c r="G2010" s="2"/>
      <c r="H2010" s="2" t="str">
        <f t="shared" si="64"/>
        <v/>
      </c>
      <c r="I2010" s="2">
        <f>TYPE(_xlfn.FORMULATEXT(IF(1,1)))</f>
        <v>16</v>
      </c>
      <c r="J2010" s="2" t="str">
        <f>IF(C2010=0,COUNTIFS(A:A,A2010,D:D,"a"),"")</f>
        <v/>
      </c>
      <c r="K2010" s="2" t="str">
        <f>INDEX(+_xlfn.FORMULATEXT(K2010:L2010),)</f>
        <v>=INDEX(+FORMULATEXT(J2010:K2010),)</v>
      </c>
      <c r="L2010" s="1">
        <v>1</v>
      </c>
      <c r="M2010" s="2" t="e">
        <f>INDEX(+_xlfn.FORMULATEXT(INDIRECT(M2010:N2010)),)</f>
        <v>#REF!</v>
      </c>
      <c r="N2010" s="1">
        <v>1</v>
      </c>
    </row>
    <row r="2011" spans="1:14" x14ac:dyDescent="0.55000000000000004">
      <c r="A2011" s="1" t="s">
        <v>2174</v>
      </c>
      <c r="B2011" s="2">
        <f>COUNTIF(A:A,A2011)-1</f>
        <v>1</v>
      </c>
      <c r="C2011" s="2">
        <f>COUNTIF(A$1:A2011,A2011)-1</f>
        <v>0</v>
      </c>
      <c r="D2011" s="2" t="str">
        <f>Argument!D2011</f>
        <v/>
      </c>
      <c r="E2011" s="2" t="str">
        <f t="shared" si="63"/>
        <v>v</v>
      </c>
      <c r="F2011" s="2" t="b">
        <f>IF(C2011=0,ISTEXT(FORMULA.CONVERT("="&amp;A2011&amp;"("&amp;REPLACE(REPT(",#ref!",B2011),1,1,"")&amp;")()",1)),"")</f>
        <v>0</v>
      </c>
      <c r="G2011" s="2"/>
      <c r="H2011" s="2" t="str">
        <f t="shared" si="64"/>
        <v/>
      </c>
      <c r="I2011" s="2">
        <f>TYPE(_xlfn.ISFORMULA(IF(1,1)))</f>
        <v>16</v>
      </c>
      <c r="J2011" s="2">
        <f>IF(C2011=0,COUNTIFS(A:A,A2011,D:D,"a"),"")</f>
        <v>0</v>
      </c>
      <c r="K2011" s="2"/>
      <c r="M2011" s="2"/>
    </row>
    <row r="2012" spans="1:14" x14ac:dyDescent="0.55000000000000004">
      <c r="A2012" s="1" t="s">
        <v>2174</v>
      </c>
      <c r="B2012" s="2">
        <f>COUNTIF(A:A,A2012)-1</f>
        <v>1</v>
      </c>
      <c r="C2012" s="2">
        <f>COUNTIF(A$1:A2012,A2012)-1</f>
        <v>1</v>
      </c>
      <c r="D2012" s="2" t="str">
        <f>Argument!D2012</f>
        <v>r</v>
      </c>
      <c r="E2012" s="2" t="str">
        <f t="shared" si="63"/>
        <v/>
      </c>
      <c r="F2012" s="2" t="str">
        <f>IF(C2012=0,ISTEXT(FORMULA.CONVERT("="&amp;A2012&amp;"("&amp;REPLACE(REPT(",#ref!",B2012),1,1,"")&amp;")()",1)),"")</f>
        <v/>
      </c>
      <c r="G2012" s="2"/>
      <c r="H2012" s="2" t="str">
        <f t="shared" si="64"/>
        <v/>
      </c>
      <c r="I2012" s="2">
        <f>TYPE(_xlfn.ISFORMULA(IF(1,1)))</f>
        <v>16</v>
      </c>
      <c r="J2012" s="2" t="str">
        <f>IF(C2012=0,COUNTIFS(A:A,A2012,D:D,"a"),"")</f>
        <v/>
      </c>
      <c r="K2012" s="2" t="b">
        <f>INDEX(+_xlfn.ISFORMULA(K2012:L2012),)</f>
        <v>1</v>
      </c>
      <c r="L2012" s="1">
        <v>1</v>
      </c>
      <c r="M2012" s="2" t="e">
        <f>INDEX(+_xlfn.ISFORMULA(INDIRECT(M2012:N2012)),)</f>
        <v>#REF!</v>
      </c>
      <c r="N2012" s="1">
        <v>1</v>
      </c>
    </row>
    <row r="2013" spans="1:14" x14ac:dyDescent="0.55000000000000004">
      <c r="A2013" s="1" t="s">
        <v>2175</v>
      </c>
      <c r="B2013" s="2">
        <f>COUNTIF(A:A,A2013)-1</f>
        <v>2</v>
      </c>
      <c r="C2013" s="2">
        <f>COUNTIF(A$1:A2013,A2013)-1</f>
        <v>0</v>
      </c>
      <c r="D2013" s="2" t="str">
        <f>Argument!D2013</f>
        <v/>
      </c>
      <c r="E2013" s="2" t="str">
        <f t="shared" si="63"/>
        <v>va</v>
      </c>
      <c r="F2013" s="2" t="b">
        <f>IF(C2013=0,ISTEXT(FORMULA.CONVERT("="&amp;A2013&amp;"("&amp;REPLACE(REPT(",#ref!",B2013),1,1,"")&amp;")()",1)),"")</f>
        <v>0</v>
      </c>
      <c r="G2013" s="2"/>
      <c r="H2013" s="2" t="str">
        <f t="shared" si="64"/>
        <v/>
      </c>
      <c r="I2013" s="2">
        <f>TYPE(_xlfn.IFNA(IF(1,1),IF(1,1)))</f>
        <v>1</v>
      </c>
      <c r="J2013" s="2">
        <f>IF(C2013=0,COUNTIFS(A:A,A2013,D:D,"a"),"")</f>
        <v>0</v>
      </c>
      <c r="K2013" s="2"/>
      <c r="M2013" s="2"/>
    </row>
    <row r="2014" spans="1:14" x14ac:dyDescent="0.55000000000000004">
      <c r="A2014" s="1" t="s">
        <v>2175</v>
      </c>
      <c r="B2014" s="2">
        <f>COUNTIF(A:A,A2014)-1</f>
        <v>2</v>
      </c>
      <c r="C2014" s="2">
        <f>COUNTIF(A$1:A2014,A2014)-1</f>
        <v>1</v>
      </c>
      <c r="D2014" s="2" t="str">
        <f>Argument!D2014</f>
        <v>va</v>
      </c>
      <c r="E2014" s="2" t="str">
        <f t="shared" si="63"/>
        <v/>
      </c>
      <c r="F2014" s="2" t="str">
        <f>IF(C2014=0,ISTEXT(FORMULA.CONVERT("="&amp;A2014&amp;"("&amp;REPLACE(REPT(",#ref!",B2014),1,1,"")&amp;")()",1)),"")</f>
        <v/>
      </c>
      <c r="G2014" s="2">
        <f>TYPE(_xlfn.IFNA({1},IF(1,1)))</f>
        <v>1</v>
      </c>
      <c r="H2014" s="2">
        <f t="shared" si="64"/>
        <v>1</v>
      </c>
      <c r="I2014" s="2">
        <f>TYPE(_xlfn.IFNA(IF(1,1),IF(1,1)))</f>
        <v>1</v>
      </c>
      <c r="J2014" s="2" t="str">
        <f>IF(C2014=0,COUNTIFS(A:A,A2014,D:D,"a"),"")</f>
        <v/>
      </c>
      <c r="K2014" s="2">
        <f>INDEX(+_xlfn.IFNA(K2014:L2014,#REF!),)</f>
        <v>0</v>
      </c>
      <c r="M2014" s="2" t="e">
        <f>INDEX(+_xlfn.IFNA(INDIRECT(M2014:N2014),#REF!),)</f>
        <v>#REF!</v>
      </c>
    </row>
    <row r="2015" spans="1:14" x14ac:dyDescent="0.55000000000000004">
      <c r="A2015" s="1" t="s">
        <v>2175</v>
      </c>
      <c r="B2015" s="2">
        <f>COUNTIF(A:A,A2015)-1</f>
        <v>2</v>
      </c>
      <c r="C2015" s="2">
        <f>COUNTIF(A$1:A2015,A2015)-1</f>
        <v>2</v>
      </c>
      <c r="D2015" s="2" t="str">
        <f>Argument!D2015</f>
        <v>var</v>
      </c>
      <c r="E2015" s="2" t="str">
        <f t="shared" si="63"/>
        <v/>
      </c>
      <c r="F2015" s="2" t="str">
        <f>IF(C2015=0,ISTEXT(FORMULA.CONVERT("="&amp;A2015&amp;"("&amp;REPLACE(REPT(",#ref!",B2015),1,1,"")&amp;")()",1)),"")</f>
        <v/>
      </c>
      <c r="G2015" s="2">
        <f>TYPE(_xlfn.IFNA(IF(1,1),{1}))</f>
        <v>1</v>
      </c>
      <c r="H2015" s="2">
        <f t="shared" si="64"/>
        <v>1</v>
      </c>
      <c r="I2015" s="2">
        <f>TYPE(_xlfn.IFNA(IF(1,1),IF(1,1)))</f>
        <v>1</v>
      </c>
      <c r="J2015" s="2" t="str">
        <f>IF(C2015=0,COUNTIFS(A:A,A2015,D:D,"a"),"")</f>
        <v/>
      </c>
      <c r="K2015" s="2" t="e">
        <f>INDEX(+_xlfn.IFNA(#REF!,K2015:L2015),)</f>
        <v>#REF!</v>
      </c>
      <c r="L2015" s="1">
        <v>1</v>
      </c>
      <c r="M2015" s="2" t="e">
        <f>INDEX(+_xlfn.IFNA(#REF!,INDIRECT(M2015:N2015)),)</f>
        <v>#REF!</v>
      </c>
    </row>
    <row r="2016" spans="1:14" x14ac:dyDescent="0.55000000000000004">
      <c r="A2016" s="1" t="s">
        <v>2176</v>
      </c>
      <c r="B2016" s="2">
        <f>COUNTIF(A:A,A2016)-1</f>
        <v>3</v>
      </c>
      <c r="C2016" s="2">
        <f>COUNTIF(A$1:A2016,A2016)-1</f>
        <v>0</v>
      </c>
      <c r="D2016" s="2" t="str">
        <f>Argument!D2016</f>
        <v/>
      </c>
      <c r="E2016" s="2" t="str">
        <f t="shared" si="63"/>
        <v>v</v>
      </c>
      <c r="F2016" s="2" t="b">
        <f>IF(C2016=0,ISTEXT(FORMULA.CONVERT("="&amp;A2016&amp;"("&amp;REPLACE(REPT(",#ref!",B2016),1,1,"")&amp;")()",1)),"")</f>
        <v>0</v>
      </c>
      <c r="G2016" s="2"/>
      <c r="H2016" s="2" t="str">
        <f t="shared" si="64"/>
        <v/>
      </c>
      <c r="I2016" s="2">
        <f>TYPE(_xlfn.CEILING.MATH(IF(1,1),IF(1,1),IF(1,1)))</f>
        <v>1</v>
      </c>
      <c r="J2016" s="2">
        <f>IF(C2016=0,COUNTIFS(A:A,A2016,D:D,"a"),"")</f>
        <v>0</v>
      </c>
      <c r="K2016" s="2"/>
      <c r="M2016" s="2"/>
    </row>
    <row r="2017" spans="1:14" x14ac:dyDescent="0.55000000000000004">
      <c r="A2017" s="1" t="s">
        <v>2176</v>
      </c>
      <c r="B2017" s="2">
        <f>COUNTIF(A:A,A2017)-1</f>
        <v>3</v>
      </c>
      <c r="C2017" s="2">
        <f>COUNTIF(A$1:A2017,A2017)-1</f>
        <v>1</v>
      </c>
      <c r="D2017" s="2" t="str">
        <f>Argument!D2017</f>
        <v>v</v>
      </c>
      <c r="E2017" s="2" t="str">
        <f t="shared" si="63"/>
        <v/>
      </c>
      <c r="F2017" s="2" t="str">
        <f>IF(C2017=0,ISTEXT(FORMULA.CONVERT("="&amp;A2017&amp;"("&amp;REPLACE(REPT(",#ref!",B2017),1,1,"")&amp;")()",1)),"")</f>
        <v/>
      </c>
      <c r="G2017" s="2">
        <f>TYPE(_xlfn.CEILING.MATH({1},IF(1,1),IF(1,1)))</f>
        <v>64</v>
      </c>
      <c r="H2017" s="2" t="str">
        <f t="shared" si="64"/>
        <v/>
      </c>
      <c r="I2017" s="2">
        <f>TYPE(_xlfn.CEILING.MATH(IF(1,1),IF(1,1),IF(1,1)))</f>
        <v>1</v>
      </c>
      <c r="J2017" s="2" t="str">
        <f>IF(C2017=0,COUNTIFS(A:A,A2017,D:D,"a"),"")</f>
        <v/>
      </c>
      <c r="K2017" s="2" t="e">
        <f>INDEX(+_xlfn.CEILING.MATH(K2017:L2017,#REF!,#REF!),)</f>
        <v>#REF!</v>
      </c>
      <c r="L2017" s="1">
        <v>1</v>
      </c>
      <c r="M2017" s="2" t="e">
        <f>INDEX(+_xlfn.CEILING.MATH(INDIRECT(M2017:N2017),#REF!,#REF!),)</f>
        <v>#REF!</v>
      </c>
      <c r="N2017" s="1">
        <v>1</v>
      </c>
    </row>
    <row r="2018" spans="1:14" x14ac:dyDescent="0.55000000000000004">
      <c r="A2018" s="1" t="s">
        <v>2176</v>
      </c>
      <c r="B2018" s="2">
        <f>COUNTIF(A:A,A2018)-1</f>
        <v>3</v>
      </c>
      <c r="C2018" s="2">
        <f>COUNTIF(A$1:A2018,A2018)-1</f>
        <v>2</v>
      </c>
      <c r="D2018" s="2" t="str">
        <f>Argument!D2018</f>
        <v>v</v>
      </c>
      <c r="E2018" s="2" t="str">
        <f t="shared" si="63"/>
        <v/>
      </c>
      <c r="F2018" s="2" t="str">
        <f>IF(C2018=0,ISTEXT(FORMULA.CONVERT("="&amp;A2018&amp;"("&amp;REPLACE(REPT(",#ref!",B2018),1,1,"")&amp;")()",1)),"")</f>
        <v/>
      </c>
      <c r="G2018" s="2">
        <f>TYPE(_xlfn.CEILING.MATH(IF(1,1),{1},IF(1,1)))</f>
        <v>64</v>
      </c>
      <c r="H2018" s="2" t="str">
        <f t="shared" si="64"/>
        <v/>
      </c>
      <c r="I2018" s="2">
        <f>TYPE(_xlfn.CEILING.MATH(IF(1,1),IF(1,1),IF(1,1)))</f>
        <v>1</v>
      </c>
      <c r="J2018" s="2" t="str">
        <f>IF(C2018=0,COUNTIFS(A:A,A2018,D:D,"a"),"")</f>
        <v/>
      </c>
      <c r="K2018" s="2" t="e">
        <f>INDEX(+_xlfn.CEILING.MATH(#REF!,K2018:L2018,#REF!),)</f>
        <v>#REF!</v>
      </c>
      <c r="L2018" s="1">
        <v>1</v>
      </c>
      <c r="M2018" s="2" t="e">
        <f>INDEX(+_xlfn.CEILING.MATH(#REF!,INDIRECT(M2018:N2018),#REF!),)</f>
        <v>#REF!</v>
      </c>
      <c r="N2018" s="1">
        <v>1</v>
      </c>
    </row>
    <row r="2019" spans="1:14" x14ac:dyDescent="0.55000000000000004">
      <c r="A2019" s="1" t="s">
        <v>2176</v>
      </c>
      <c r="B2019" s="2">
        <f>COUNTIF(A:A,A2019)-1</f>
        <v>3</v>
      </c>
      <c r="C2019" s="2">
        <f>COUNTIF(A$1:A2019,A2019)-1</f>
        <v>3</v>
      </c>
      <c r="D2019" s="2" t="str">
        <f>Argument!D2019</f>
        <v>v</v>
      </c>
      <c r="E2019" s="2" t="str">
        <f t="shared" si="63"/>
        <v/>
      </c>
      <c r="F2019" s="2" t="str">
        <f>IF(C2019=0,ISTEXT(FORMULA.CONVERT("="&amp;A2019&amp;"("&amp;REPLACE(REPT(",#ref!",B2019),1,1,"")&amp;")()",1)),"")</f>
        <v/>
      </c>
      <c r="G2019" s="2">
        <f>TYPE(_xlfn.CEILING.MATH(IF(1,1),IF(1,1),{1}))</f>
        <v>64</v>
      </c>
      <c r="H2019" s="2" t="str">
        <f t="shared" si="64"/>
        <v/>
      </c>
      <c r="I2019" s="2">
        <f>TYPE(_xlfn.CEILING.MATH(IF(1,1),IF(1,1),IF(1,1)))</f>
        <v>1</v>
      </c>
      <c r="J2019" s="2" t="str">
        <f>IF(C2019=0,COUNTIFS(A:A,A2019,D:D,"a"),"")</f>
        <v/>
      </c>
      <c r="K2019" s="2" t="e">
        <f>INDEX(+_xlfn.CEILING.MATH(#REF!,#REF!,K2019:L2019),)</f>
        <v>#REF!</v>
      </c>
      <c r="L2019" s="1">
        <v>1</v>
      </c>
      <c r="M2019" s="2" t="e">
        <f>INDEX(+_xlfn.CEILING.MATH(#REF!,#REF!,INDIRECT(M2019:N2019)),)</f>
        <v>#REF!</v>
      </c>
      <c r="N2019" s="1">
        <v>1</v>
      </c>
    </row>
    <row r="2020" spans="1:14" x14ac:dyDescent="0.55000000000000004">
      <c r="A2020" s="1" t="s">
        <v>2177</v>
      </c>
      <c r="B2020" s="2">
        <f>COUNTIF(A:A,A2020)-1</f>
        <v>3</v>
      </c>
      <c r="C2020" s="2">
        <f>COUNTIF(A$1:A2020,A2020)-1</f>
        <v>0</v>
      </c>
      <c r="D2020" s="2" t="str">
        <f>Argument!D2020</f>
        <v/>
      </c>
      <c r="E2020" s="2" t="str">
        <f t="shared" si="63"/>
        <v>v</v>
      </c>
      <c r="F2020" s="2" t="b">
        <f>IF(C2020=0,ISTEXT(FORMULA.CONVERT("="&amp;A2020&amp;"("&amp;REPLACE(REPT(",#ref!",B2020),1,1,"")&amp;")()",1)),"")</f>
        <v>0</v>
      </c>
      <c r="G2020" s="2"/>
      <c r="H2020" s="2" t="str">
        <f t="shared" si="64"/>
        <v/>
      </c>
      <c r="I2020" s="2">
        <f>TYPE(_xlfn.FLOOR.MATH(IF(1,1),IF(1,1),IF(1,1)))</f>
        <v>1</v>
      </c>
      <c r="J2020" s="2">
        <f>IF(C2020=0,COUNTIFS(A:A,A2020,D:D,"a"),"")</f>
        <v>0</v>
      </c>
      <c r="K2020" s="2"/>
      <c r="M2020" s="2"/>
    </row>
    <row r="2021" spans="1:14" x14ac:dyDescent="0.55000000000000004">
      <c r="A2021" s="1" t="s">
        <v>2177</v>
      </c>
      <c r="B2021" s="2">
        <f>COUNTIF(A:A,A2021)-1</f>
        <v>3</v>
      </c>
      <c r="C2021" s="2">
        <f>COUNTIF(A$1:A2021,A2021)-1</f>
        <v>1</v>
      </c>
      <c r="D2021" s="2" t="str">
        <f>Argument!D2021</f>
        <v>v</v>
      </c>
      <c r="E2021" s="2" t="str">
        <f t="shared" si="63"/>
        <v/>
      </c>
      <c r="F2021" s="2" t="str">
        <f>IF(C2021=0,ISTEXT(FORMULA.CONVERT("="&amp;A2021&amp;"("&amp;REPLACE(REPT(",#ref!",B2021),1,1,"")&amp;")()",1)),"")</f>
        <v/>
      </c>
      <c r="G2021" s="2">
        <f>TYPE(_xlfn.FLOOR.MATH({1},IF(1,1),IF(1,1)))</f>
        <v>64</v>
      </c>
      <c r="H2021" s="2" t="str">
        <f t="shared" si="64"/>
        <v/>
      </c>
      <c r="I2021" s="2">
        <f>TYPE(_xlfn.FLOOR.MATH(IF(1,1),IF(1,1),IF(1,1)))</f>
        <v>1</v>
      </c>
      <c r="J2021" s="2" t="str">
        <f>IF(C2021=0,COUNTIFS(A:A,A2021,D:D,"a"),"")</f>
        <v/>
      </c>
      <c r="K2021" s="2" t="e">
        <f>INDEX(+_xlfn.FLOOR.MATH(K2021:L2021,#REF!,#REF!),)</f>
        <v>#REF!</v>
      </c>
      <c r="L2021" s="1">
        <v>1</v>
      </c>
      <c r="M2021" s="2" t="e">
        <f>INDEX(+_xlfn.FLOOR.MATH(INDIRECT(M2021:N2021),#REF!,#REF!),)</f>
        <v>#REF!</v>
      </c>
      <c r="N2021" s="1">
        <v>1</v>
      </c>
    </row>
    <row r="2022" spans="1:14" x14ac:dyDescent="0.55000000000000004">
      <c r="A2022" s="1" t="s">
        <v>2177</v>
      </c>
      <c r="B2022" s="2">
        <f>COUNTIF(A:A,A2022)-1</f>
        <v>3</v>
      </c>
      <c r="C2022" s="2">
        <f>COUNTIF(A$1:A2022,A2022)-1</f>
        <v>2</v>
      </c>
      <c r="D2022" s="2" t="str">
        <f>Argument!D2022</f>
        <v>v</v>
      </c>
      <c r="E2022" s="2" t="str">
        <f t="shared" si="63"/>
        <v/>
      </c>
      <c r="F2022" s="2" t="str">
        <f>IF(C2022=0,ISTEXT(FORMULA.CONVERT("="&amp;A2022&amp;"("&amp;REPLACE(REPT(",#ref!",B2022),1,1,"")&amp;")()",1)),"")</f>
        <v/>
      </c>
      <c r="G2022" s="2">
        <f>TYPE(_xlfn.FLOOR.MATH(IF(1,1),{1},IF(1,1)))</f>
        <v>64</v>
      </c>
      <c r="H2022" s="2" t="str">
        <f t="shared" si="64"/>
        <v/>
      </c>
      <c r="I2022" s="2">
        <f>TYPE(_xlfn.FLOOR.MATH(IF(1,1),IF(1,1),IF(1,1)))</f>
        <v>1</v>
      </c>
      <c r="J2022" s="2" t="str">
        <f>IF(C2022=0,COUNTIFS(A:A,A2022,D:D,"a"),"")</f>
        <v/>
      </c>
      <c r="K2022" s="2" t="e">
        <f>INDEX(+_xlfn.FLOOR.MATH(#REF!,K2022:L2022,#REF!),)</f>
        <v>#REF!</v>
      </c>
      <c r="L2022" s="1">
        <v>1</v>
      </c>
      <c r="M2022" s="2" t="e">
        <f>INDEX(+_xlfn.FLOOR.MATH(#REF!,INDIRECT(M2022:N2022),#REF!),)</f>
        <v>#REF!</v>
      </c>
      <c r="N2022" s="1">
        <v>1</v>
      </c>
    </row>
    <row r="2023" spans="1:14" x14ac:dyDescent="0.55000000000000004">
      <c r="A2023" s="1" t="s">
        <v>2177</v>
      </c>
      <c r="B2023" s="2">
        <f>COUNTIF(A:A,A2023)-1</f>
        <v>3</v>
      </c>
      <c r="C2023" s="2">
        <f>COUNTIF(A$1:A2023,A2023)-1</f>
        <v>3</v>
      </c>
      <c r="D2023" s="2" t="str">
        <f>Argument!D2023</f>
        <v>v</v>
      </c>
      <c r="E2023" s="2" t="str">
        <f t="shared" si="63"/>
        <v/>
      </c>
      <c r="F2023" s="2" t="str">
        <f>IF(C2023=0,ISTEXT(FORMULA.CONVERT("="&amp;A2023&amp;"("&amp;REPLACE(REPT(",#ref!",B2023),1,1,"")&amp;")()",1)),"")</f>
        <v/>
      </c>
      <c r="G2023" s="2">
        <f>TYPE(_xlfn.FLOOR.MATH(IF(1,1),IF(1,1),{1}))</f>
        <v>64</v>
      </c>
      <c r="H2023" s="2" t="str">
        <f t="shared" si="64"/>
        <v/>
      </c>
      <c r="I2023" s="2">
        <f>TYPE(_xlfn.FLOOR.MATH(IF(1,1),IF(1,1),IF(1,1)))</f>
        <v>1</v>
      </c>
      <c r="J2023" s="2" t="str">
        <f>IF(C2023=0,COUNTIFS(A:A,A2023,D:D,"a"),"")</f>
        <v/>
      </c>
      <c r="K2023" s="2" t="e">
        <f>INDEX(+_xlfn.FLOOR.MATH(#REF!,#REF!,K2023:L2023),)</f>
        <v>#REF!</v>
      </c>
      <c r="L2023" s="1">
        <v>1</v>
      </c>
      <c r="M2023" s="2" t="e">
        <f>INDEX(+_xlfn.FLOOR.MATH(#REF!,#REF!,INDIRECT(M2023:N2023)),)</f>
        <v>#REF!</v>
      </c>
      <c r="N2023" s="1">
        <v>1</v>
      </c>
    </row>
    <row r="2024" spans="1:14" x14ac:dyDescent="0.55000000000000004">
      <c r="A2024" s="1" t="s">
        <v>2178</v>
      </c>
      <c r="B2024" s="2">
        <f>COUNTIF(A:A,A2024)-1</f>
        <v>1</v>
      </c>
      <c r="C2024" s="2">
        <f>COUNTIF(A$1:A2024,A2024)-1</f>
        <v>0</v>
      </c>
      <c r="D2024" s="2" t="str">
        <f>Argument!D2024</f>
        <v/>
      </c>
      <c r="E2024" s="2" t="str">
        <f t="shared" si="63"/>
        <v>v</v>
      </c>
      <c r="F2024" s="2" t="b">
        <f>IF(C2024=0,ISTEXT(FORMULA.CONVERT("="&amp;A2024&amp;"("&amp;REPLACE(REPT(",#ref!",B2024),1,1,"")&amp;")()",1)),"")</f>
        <v>0</v>
      </c>
      <c r="G2024" s="2"/>
      <c r="H2024" s="2" t="str">
        <f t="shared" si="64"/>
        <v/>
      </c>
      <c r="I2024" s="2">
        <f>TYPE(_xlfn.IMSINH(IF(1,1)))</f>
        <v>2</v>
      </c>
      <c r="J2024" s="2">
        <f>IF(C2024=0,COUNTIFS(A:A,A2024,D:D,"a"),"")</f>
        <v>0</v>
      </c>
      <c r="K2024" s="2"/>
      <c r="M2024" s="2"/>
    </row>
    <row r="2025" spans="1:14" x14ac:dyDescent="0.55000000000000004">
      <c r="A2025" s="1" t="s">
        <v>2178</v>
      </c>
      <c r="B2025" s="2">
        <f>COUNTIF(A:A,A2025)-1</f>
        <v>1</v>
      </c>
      <c r="C2025" s="2">
        <f>COUNTIF(A$1:A2025,A2025)-1</f>
        <v>1</v>
      </c>
      <c r="D2025" s="2" t="str">
        <f>Argument!D2025</f>
        <v>vr</v>
      </c>
      <c r="E2025" s="2" t="str">
        <f t="shared" si="63"/>
        <v/>
      </c>
      <c r="F2025" s="2" t="str">
        <f>IF(C2025=0,ISTEXT(FORMULA.CONVERT("="&amp;A2025&amp;"("&amp;REPLACE(REPT(",#ref!",B2025),1,1,"")&amp;")()",1)),"")</f>
        <v/>
      </c>
      <c r="G2025" s="2">
        <f>TYPE(_xlfn.IMSINH({1}))</f>
        <v>64</v>
      </c>
      <c r="H2025" s="2" t="str">
        <f t="shared" si="64"/>
        <v/>
      </c>
      <c r="I2025" s="2">
        <f>TYPE(_xlfn.IMSINH(IF(1,1)))</f>
        <v>2</v>
      </c>
      <c r="J2025" s="2" t="str">
        <f>IF(C2025=0,COUNTIFS(A:A,A2025,D:D,"a"),"")</f>
        <v/>
      </c>
      <c r="K2025" s="2" t="e">
        <f>INDEX(+_xlfn.IMSINH(K2025:L2025),)</f>
        <v>#VALUE!</v>
      </c>
      <c r="L2025" s="1">
        <v>1</v>
      </c>
      <c r="M2025" s="2" t="e">
        <f>INDEX(+_xlfn.IMSINH(INDIRECT(M2025:N2025)),)</f>
        <v>#REF!</v>
      </c>
      <c r="N2025" s="1">
        <v>1</v>
      </c>
    </row>
    <row r="2026" spans="1:14" x14ac:dyDescent="0.55000000000000004">
      <c r="A2026" s="1" t="s">
        <v>2179</v>
      </c>
      <c r="B2026" s="2">
        <f>COUNTIF(A:A,A2026)-1</f>
        <v>1</v>
      </c>
      <c r="C2026" s="2">
        <f>COUNTIF(A$1:A2026,A2026)-1</f>
        <v>0</v>
      </c>
      <c r="D2026" s="2" t="str">
        <f>Argument!D2026</f>
        <v/>
      </c>
      <c r="E2026" s="2" t="str">
        <f t="shared" si="63"/>
        <v>v</v>
      </c>
      <c r="F2026" s="2" t="b">
        <f>IF(C2026=0,ISTEXT(FORMULA.CONVERT("="&amp;A2026&amp;"("&amp;REPLACE(REPT(",#ref!",B2026),1,1,"")&amp;")()",1)),"")</f>
        <v>0</v>
      </c>
      <c r="G2026" s="2"/>
      <c r="H2026" s="2" t="str">
        <f t="shared" si="64"/>
        <v/>
      </c>
      <c r="I2026" s="2">
        <f>TYPE(_xlfn.IMCOSH(IF(1,1)))</f>
        <v>2</v>
      </c>
      <c r="J2026" s="2">
        <f>IF(C2026=0,COUNTIFS(A:A,A2026,D:D,"a"),"")</f>
        <v>0</v>
      </c>
      <c r="K2026" s="2"/>
      <c r="M2026" s="2"/>
    </row>
    <row r="2027" spans="1:14" x14ac:dyDescent="0.55000000000000004">
      <c r="A2027" s="1" t="s">
        <v>2179</v>
      </c>
      <c r="B2027" s="2">
        <f>COUNTIF(A:A,A2027)-1</f>
        <v>1</v>
      </c>
      <c r="C2027" s="2">
        <f>COUNTIF(A$1:A2027,A2027)-1</f>
        <v>1</v>
      </c>
      <c r="D2027" s="2" t="str">
        <f>Argument!D2027</f>
        <v>vr</v>
      </c>
      <c r="E2027" s="2" t="str">
        <f t="shared" si="63"/>
        <v/>
      </c>
      <c r="F2027" s="2" t="str">
        <f>IF(C2027=0,ISTEXT(FORMULA.CONVERT("="&amp;A2027&amp;"("&amp;REPLACE(REPT(",#ref!",B2027),1,1,"")&amp;")()",1)),"")</f>
        <v/>
      </c>
      <c r="G2027" s="2">
        <f>TYPE(_xlfn.IMCOSH({1}))</f>
        <v>64</v>
      </c>
      <c r="H2027" s="2" t="str">
        <f t="shared" si="64"/>
        <v/>
      </c>
      <c r="I2027" s="2">
        <f>TYPE(_xlfn.IMCOSH(IF(1,1)))</f>
        <v>2</v>
      </c>
      <c r="J2027" s="2" t="str">
        <f>IF(C2027=0,COUNTIFS(A:A,A2027,D:D,"a"),"")</f>
        <v/>
      </c>
      <c r="K2027" s="2" t="e">
        <f>INDEX(+_xlfn.IMCOSH(K2027:L2027),)</f>
        <v>#VALUE!</v>
      </c>
      <c r="L2027" s="1">
        <v>1</v>
      </c>
      <c r="M2027" s="2" t="e">
        <f>INDEX(+_xlfn.IMCOSH(INDIRECT(M2027:N2027)),)</f>
        <v>#REF!</v>
      </c>
      <c r="N2027" s="1">
        <v>1</v>
      </c>
    </row>
    <row r="2028" spans="1:14" x14ac:dyDescent="0.55000000000000004">
      <c r="A2028" s="1" t="s">
        <v>2180</v>
      </c>
      <c r="B2028" s="2">
        <f>COUNTIF(A:A,A2028)-1</f>
        <v>2</v>
      </c>
      <c r="C2028" s="2">
        <f>COUNTIF(A$1:A2028,A2028)-1</f>
        <v>0</v>
      </c>
      <c r="D2028" s="2" t="str">
        <f>Argument!D2028</f>
        <v/>
      </c>
      <c r="E2028" s="2" t="str">
        <f t="shared" si="63"/>
        <v>va</v>
      </c>
      <c r="F2028" s="2" t="b">
        <f>IF(C2028=0,ISTEXT(FORMULA.CONVERT("="&amp;A2028&amp;"("&amp;REPLACE(REPT(",#ref!",B2028),1,1,"")&amp;")()",1)),"")</f>
        <v>0</v>
      </c>
      <c r="G2028" s="2"/>
      <c r="H2028" s="2" t="str">
        <f t="shared" si="64"/>
        <v/>
      </c>
      <c r="I2028" s="2">
        <f>TYPE(_xlfn.FILTERXML(IF(1,1),IF(1,1)))</f>
        <v>16</v>
      </c>
      <c r="J2028" s="2">
        <f>IF(C2028=0,COUNTIFS(A:A,A2028,D:D,"a"),"")</f>
        <v>0</v>
      </c>
      <c r="K2028" s="2"/>
      <c r="M2028" s="2"/>
    </row>
    <row r="2029" spans="1:14" x14ac:dyDescent="0.55000000000000004">
      <c r="A2029" s="1" t="s">
        <v>2180</v>
      </c>
      <c r="B2029" s="2">
        <f>COUNTIF(A:A,A2029)-1</f>
        <v>2</v>
      </c>
      <c r="C2029" s="2">
        <f>COUNTIF(A$1:A2029,A2029)-1</f>
        <v>1</v>
      </c>
      <c r="D2029" s="2" t="str">
        <f>Argument!D2029</f>
        <v>v</v>
      </c>
      <c r="E2029" s="2" t="str">
        <f t="shared" si="63"/>
        <v/>
      </c>
      <c r="F2029" s="2" t="str">
        <f>IF(C2029=0,ISTEXT(FORMULA.CONVERT("="&amp;A2029&amp;"("&amp;REPLACE(REPT(",#ref!",B2029),1,1,"")&amp;")()",1)),"")</f>
        <v/>
      </c>
      <c r="G2029" s="2">
        <f>TYPE(_xlfn.FILTERXML({1},IF(1,1)))</f>
        <v>16</v>
      </c>
      <c r="H2029" s="2">
        <f t="shared" si="64"/>
        <v>1</v>
      </c>
      <c r="I2029" s="2">
        <f>TYPE(_xlfn.FILTERXML(IF(1,1),IF(1,1)))</f>
        <v>16</v>
      </c>
      <c r="J2029" s="2" t="str">
        <f>IF(C2029=0,COUNTIFS(A:A,A2029,D:D,"a"),"")</f>
        <v/>
      </c>
      <c r="K2029" s="2" t="e">
        <f>INDEX(+_xlfn.FILTERXML(K2029:L2029,#REF!),)</f>
        <v>#REF!</v>
      </c>
      <c r="M2029" s="2" t="e">
        <f>INDEX(+_xlfn.FILTERXML(INDIRECT(M2029:N2029),#REF!),)</f>
        <v>#REF!</v>
      </c>
    </row>
    <row r="2030" spans="1:14" x14ac:dyDescent="0.55000000000000004">
      <c r="A2030" s="1" t="s">
        <v>2180</v>
      </c>
      <c r="B2030" s="2">
        <f>COUNTIF(A:A,A2030)-1</f>
        <v>2</v>
      </c>
      <c r="C2030" s="2">
        <f>COUNTIF(A$1:A2030,A2030)-1</f>
        <v>2</v>
      </c>
      <c r="D2030" s="2" t="str">
        <f>Argument!D2030</f>
        <v>v</v>
      </c>
      <c r="E2030" s="2" t="str">
        <f t="shared" si="63"/>
        <v/>
      </c>
      <c r="F2030" s="2" t="str">
        <f>IF(C2030=0,ISTEXT(FORMULA.CONVERT("="&amp;A2030&amp;"("&amp;REPLACE(REPT(",#ref!",B2030),1,1,"")&amp;")()",1)),"")</f>
        <v/>
      </c>
      <c r="G2030" s="2">
        <f>TYPE(_xlfn.FILTERXML(IF(1,1),{1}))</f>
        <v>16</v>
      </c>
      <c r="H2030" s="2">
        <f t="shared" si="64"/>
        <v>1</v>
      </c>
      <c r="I2030" s="2">
        <f>TYPE(_xlfn.FILTERXML(IF(1,1),IF(1,1)))</f>
        <v>16</v>
      </c>
      <c r="J2030" s="2" t="str">
        <f>IF(C2030=0,COUNTIFS(A:A,A2030,D:D,"a"),"")</f>
        <v/>
      </c>
      <c r="K2030" s="2" t="e">
        <f>INDEX(+_xlfn.FILTERXML(#REF!,K2030:L2030),)</f>
        <v>#REF!</v>
      </c>
      <c r="M2030" s="2" t="e">
        <f>INDEX(+_xlfn.FILTERXML(#REF!,INDIRECT(M2030:N2030)),)</f>
        <v>#REF!</v>
      </c>
    </row>
    <row r="2031" spans="1:14" x14ac:dyDescent="0.55000000000000004">
      <c r="A2031" s="1" t="s">
        <v>2181</v>
      </c>
      <c r="B2031" s="2">
        <f>COUNTIF(A:A,A2031)-1</f>
        <v>1</v>
      </c>
      <c r="C2031" s="2">
        <f>COUNTIF(A$1:A2031,A2031)-1</f>
        <v>0</v>
      </c>
      <c r="D2031" s="2" t="str">
        <f>Argument!D2031</f>
        <v/>
      </c>
      <c r="E2031" s="2" t="str">
        <f t="shared" si="63"/>
        <v>v</v>
      </c>
      <c r="F2031" s="2" t="b">
        <f>IF(C2031=0,ISTEXT(FORMULA.CONVERT("="&amp;A2031&amp;"("&amp;REPLACE(REPT(",#ref!",B2031),1,1,"")&amp;")()",1)),"")</f>
        <v>0</v>
      </c>
      <c r="G2031" s="2"/>
      <c r="H2031" s="2" t="str">
        <f t="shared" si="64"/>
        <v/>
      </c>
      <c r="I2031" s="2">
        <f>TYPE(_xlfn.WEBSERVICE(IF(1,1)))</f>
        <v>16</v>
      </c>
      <c r="J2031" s="2">
        <f>IF(C2031=0,COUNTIFS(A:A,A2031,D:D,"a"),"")</f>
        <v>0</v>
      </c>
      <c r="K2031" s="2"/>
      <c r="M2031" s="2"/>
    </row>
    <row r="2032" spans="1:14" x14ac:dyDescent="0.55000000000000004">
      <c r="A2032" s="1" t="s">
        <v>2181</v>
      </c>
      <c r="B2032" s="2">
        <f>COUNTIF(A:A,A2032)-1</f>
        <v>1</v>
      </c>
      <c r="C2032" s="2">
        <f>COUNTIF(A$1:A2032,A2032)-1</f>
        <v>1</v>
      </c>
      <c r="D2032" s="2" t="str">
        <f>Argument!D2032</f>
        <v>v</v>
      </c>
      <c r="E2032" s="2" t="str">
        <f t="shared" si="63"/>
        <v/>
      </c>
      <c r="F2032" s="2" t="str">
        <f>IF(C2032=0,ISTEXT(FORMULA.CONVERT("="&amp;A2032&amp;"("&amp;REPLACE(REPT(",#ref!",B2032),1,1,"")&amp;")()",1)),"")</f>
        <v/>
      </c>
      <c r="G2032" s="2">
        <f>TYPE(_xlfn.WEBSERVICE({1}))</f>
        <v>64</v>
      </c>
      <c r="H2032" s="2" t="str">
        <f t="shared" si="64"/>
        <v/>
      </c>
      <c r="I2032" s="2">
        <f>TYPE(_xlfn.WEBSERVICE(IF(1,1)))</f>
        <v>16</v>
      </c>
      <c r="J2032" s="2" t="str">
        <f>IF(C2032=0,COUNTIFS(A:A,A2032,D:D,"a"),"")</f>
        <v/>
      </c>
      <c r="K2032" s="2" t="e">
        <f>INDEX(+_xlfn.WEBSERVICE(K2032:L2032),)</f>
        <v>#VALUE!</v>
      </c>
      <c r="L2032" s="1">
        <v>1</v>
      </c>
      <c r="M2032" s="2" t="e">
        <f>INDEX(+_xlfn.WEBSERVICE(INDIRECT(M2032:N2032)),)</f>
        <v>#REF!</v>
      </c>
      <c r="N2032" s="1">
        <v>1</v>
      </c>
    </row>
    <row r="2033" spans="1:14" x14ac:dyDescent="0.55000000000000004">
      <c r="A2033" s="1" t="s">
        <v>2182</v>
      </c>
      <c r="B2033" s="2">
        <f>COUNTIF(A:A,A2033)-1</f>
        <v>1</v>
      </c>
      <c r="C2033" s="2">
        <f>COUNTIF(A$1:A2033,A2033)-1</f>
        <v>0</v>
      </c>
      <c r="D2033" s="2" t="str">
        <f>Argument!D2033</f>
        <v/>
      </c>
      <c r="E2033" s="2" t="str">
        <f t="shared" si="63"/>
        <v>v</v>
      </c>
      <c r="F2033" s="2" t="b">
        <f>IF(C2033=0,ISTEXT(FORMULA.CONVERT("="&amp;A2033&amp;"("&amp;REPLACE(REPT(",#ref!",B2033),1,1,"")&amp;")()",1)),"")</f>
        <v>0</v>
      </c>
      <c r="G2033" s="2"/>
      <c r="H2033" s="2" t="str">
        <f t="shared" si="64"/>
        <v/>
      </c>
      <c r="I2033" s="2">
        <f>TYPE(_xlfn.ENCODEURL(IF(1,1)))</f>
        <v>2</v>
      </c>
      <c r="J2033" s="2">
        <f>IF(C2033=0,COUNTIFS(A:A,A2033,D:D,"a"),"")</f>
        <v>0</v>
      </c>
      <c r="K2033" s="2"/>
      <c r="M2033" s="2"/>
    </row>
    <row r="2034" spans="1:14" x14ac:dyDescent="0.55000000000000004">
      <c r="A2034" s="1" t="s">
        <v>2182</v>
      </c>
      <c r="B2034" s="2">
        <f>COUNTIF(A:A,A2034)-1</f>
        <v>1</v>
      </c>
      <c r="C2034" s="2">
        <f>COUNTIF(A$1:A2034,A2034)-1</f>
        <v>1</v>
      </c>
      <c r="D2034" s="2" t="str">
        <f>Argument!D2034</f>
        <v>v</v>
      </c>
      <c r="E2034" s="2" t="str">
        <f t="shared" si="63"/>
        <v/>
      </c>
      <c r="F2034" s="2" t="str">
        <f>IF(C2034=0,ISTEXT(FORMULA.CONVERT("="&amp;A2034&amp;"("&amp;REPLACE(REPT(",#ref!",B2034),1,1,"")&amp;")()",1)),"")</f>
        <v/>
      </c>
      <c r="G2034" s="2">
        <f>TYPE(_xlfn.ENCODEURL({1}))</f>
        <v>64</v>
      </c>
      <c r="H2034" s="2" t="str">
        <f t="shared" si="64"/>
        <v/>
      </c>
      <c r="I2034" s="2">
        <f>TYPE(_xlfn.ENCODEURL(IF(1,1)))</f>
        <v>2</v>
      </c>
      <c r="J2034" s="2" t="str">
        <f>IF(C2034=0,COUNTIFS(A:A,A2034,D:D,"a"),"")</f>
        <v/>
      </c>
      <c r="K2034" s="2" t="str">
        <f>INDEX(+_xlfn.ENCODEURL(K2034:L2034),)</f>
        <v>0</v>
      </c>
      <c r="L2034" s="1">
        <v>1</v>
      </c>
      <c r="M2034" s="2" t="e">
        <f>INDEX(+_xlfn.ENCODEURL(INDIRECT(M2034:N2034)),)</f>
        <v>#REF!</v>
      </c>
      <c r="N2034" s="1">
        <v>1</v>
      </c>
    </row>
    <row r="2035" spans="1:14" x14ac:dyDescent="0.55000000000000004">
      <c r="A2035" s="1" t="s">
        <v>2183</v>
      </c>
      <c r="B2035" s="2">
        <f>COUNTIF(A:A,A2035)-1</f>
        <v>6</v>
      </c>
      <c r="C2035" s="2">
        <f>COUNTIF(A$1:A2035,A2035)-1</f>
        <v>0</v>
      </c>
      <c r="D2035" s="2" t="str">
        <f>Argument!D2035</f>
        <v/>
      </c>
      <c r="E2035" s="2" t="str">
        <f t="shared" si="63"/>
        <v>v</v>
      </c>
      <c r="F2035" s="2" t="b">
        <f>IF(C2035=0,ISTEXT(FORMULA.CONVERT("="&amp;A2035&amp;"("&amp;REPLACE(REPT(",#ref!",B2035),1,1,"")&amp;")()",1)),"")</f>
        <v>0</v>
      </c>
      <c r="G2035" s="2"/>
      <c r="H2035" s="2" t="str">
        <f t="shared" si="64"/>
        <v/>
      </c>
      <c r="I2035" s="2">
        <f>TYPE(_xlfn.FORECAST.ETS(IF(1,1),IF(1,1),IF(1,1),IF(1,1),IF(1,1),IF(1,1)))</f>
        <v>16</v>
      </c>
      <c r="J2035" s="2">
        <f>IF(C2035=0,COUNTIFS(A:A,A2035,D:D,"a"),"")</f>
        <v>0</v>
      </c>
      <c r="K2035" s="2"/>
      <c r="M2035" s="2"/>
    </row>
    <row r="2036" spans="1:14" x14ac:dyDescent="0.55000000000000004">
      <c r="A2036" s="1" t="s">
        <v>2183</v>
      </c>
      <c r="B2036" s="2">
        <f>COUNTIF(A:A,A2036)-1</f>
        <v>6</v>
      </c>
      <c r="C2036" s="2">
        <f>COUNTIF(A$1:A2036,A2036)-1</f>
        <v>1</v>
      </c>
      <c r="D2036" s="2" t="str">
        <f>Argument!D2036</f>
        <v>v</v>
      </c>
      <c r="E2036" s="2" t="str">
        <f t="shared" si="63"/>
        <v/>
      </c>
      <c r="F2036" s="2" t="str">
        <f>IF(C2036=0,ISTEXT(FORMULA.CONVERT("="&amp;A2036&amp;"("&amp;REPLACE(REPT(",#ref!",B2036),1,1,"")&amp;")()",1)),"")</f>
        <v/>
      </c>
      <c r="G2036" s="2">
        <f>TYPE(_xlfn.FORECAST.ETS({1},IF(1,1),IF(1,1),IF(1,1),IF(1,1),IF(1,1)))</f>
        <v>64</v>
      </c>
      <c r="H2036" s="2" t="str">
        <f t="shared" si="64"/>
        <v/>
      </c>
      <c r="I2036" s="2">
        <f>TYPE(_xlfn.FORECAST.ETS(IF(1,1),IF(1,1),IF(1,1),IF(1,1),IF(1,1),IF(1,1)))</f>
        <v>16</v>
      </c>
      <c r="J2036" s="2" t="str">
        <f>IF(C2036=0,COUNTIFS(A:A,A2036,D:D,"a"),"")</f>
        <v/>
      </c>
      <c r="K2036" s="2" t="e">
        <f>INDEX(+_xlfn.FORECAST.ETS(K2036:L2036,#REF!,#REF!,#REF!,#REF!,#REF!),)</f>
        <v>#REF!</v>
      </c>
      <c r="L2036" s="1">
        <v>1</v>
      </c>
      <c r="M2036" s="2" t="e">
        <f>INDEX(+_xlfn.FORECAST.ETS(INDIRECT(M2036:N2036),#REF!,#REF!,#REF!,#REF!,#REF!),)</f>
        <v>#REF!</v>
      </c>
      <c r="N2036" s="1">
        <v>1</v>
      </c>
    </row>
    <row r="2037" spans="1:14" x14ac:dyDescent="0.55000000000000004">
      <c r="A2037" s="1" t="s">
        <v>2183</v>
      </c>
      <c r="B2037" s="2">
        <f>COUNTIF(A:A,A2037)-1</f>
        <v>6</v>
      </c>
      <c r="C2037" s="2">
        <f>COUNTIF(A$1:A2037,A2037)-1</f>
        <v>2</v>
      </c>
      <c r="D2037" s="2" t="str">
        <f>Argument!D2037</f>
        <v>ar</v>
      </c>
      <c r="E2037" s="2" t="str">
        <f t="shared" si="63"/>
        <v/>
      </c>
      <c r="F2037" s="2" t="str">
        <f>IF(C2037=0,ISTEXT(FORMULA.CONVERT("="&amp;A2037&amp;"("&amp;REPLACE(REPT(",#ref!",B2037),1,1,"")&amp;")()",1)),"")</f>
        <v/>
      </c>
      <c r="G2037" s="2">
        <f>TYPE(_xlfn.FORECAST.ETS(IF(1,1),{1},IF(1,1),IF(1,1),IF(1,1),IF(1,1)))</f>
        <v>16</v>
      </c>
      <c r="H2037" s="2" t="str">
        <f t="shared" si="64"/>
        <v/>
      </c>
      <c r="I2037" s="2">
        <f>TYPE(_xlfn.FORECAST.ETS(IF(1,1),IF(1,1),IF(1,1),IF(1,1),IF(1,1),IF(1,1)))</f>
        <v>16</v>
      </c>
      <c r="J2037" s="2" t="str">
        <f>IF(C2037=0,COUNTIFS(A:A,A2037,D:D,"a"),"")</f>
        <v/>
      </c>
      <c r="K2037" s="2" t="e">
        <f>INDEX(+_xlfn.FORECAST.ETS(#REF!,K2037:L2037,#REF!,#REF!,#REF!,#REF!),)</f>
        <v>#REF!</v>
      </c>
      <c r="L2037" s="1">
        <v>1</v>
      </c>
      <c r="M2037" s="2" t="e">
        <f>INDEX(+_xlfn.FORECAST.ETS(#REF!,INDIRECT(M2037:N2037),#REF!,#REF!,#REF!,#REF!),)</f>
        <v>#REF!</v>
      </c>
      <c r="N2037" s="1">
        <v>1</v>
      </c>
    </row>
    <row r="2038" spans="1:14" x14ac:dyDescent="0.55000000000000004">
      <c r="A2038" s="1" t="s">
        <v>2183</v>
      </c>
      <c r="B2038" s="2">
        <f>COUNTIF(A:A,A2038)-1</f>
        <v>6</v>
      </c>
      <c r="C2038" s="2">
        <f>COUNTIF(A$1:A2038,A2038)-1</f>
        <v>3</v>
      </c>
      <c r="D2038" s="2" t="str">
        <f>Argument!D2038</f>
        <v>ar</v>
      </c>
      <c r="E2038" s="2" t="str">
        <f t="shared" si="63"/>
        <v/>
      </c>
      <c r="F2038" s="2" t="str">
        <f>IF(C2038=0,ISTEXT(FORMULA.CONVERT("="&amp;A2038&amp;"("&amp;REPLACE(REPT(",#ref!",B2038),1,1,"")&amp;")()",1)),"")</f>
        <v/>
      </c>
      <c r="G2038" s="2">
        <f>TYPE(_xlfn.FORECAST.ETS(IF(1,1),IF(1,1),{1},IF(1,1),IF(1,1),IF(1,1)))</f>
        <v>16</v>
      </c>
      <c r="H2038" s="2" t="str">
        <f t="shared" si="64"/>
        <v/>
      </c>
      <c r="I2038" s="2">
        <f>TYPE(_xlfn.FORECAST.ETS(IF(1,1),IF(1,1),IF(1,1),IF(1,1),IF(1,1),IF(1,1)))</f>
        <v>16</v>
      </c>
      <c r="J2038" s="2" t="str">
        <f>IF(C2038=0,COUNTIFS(A:A,A2038,D:D,"a"),"")</f>
        <v/>
      </c>
      <c r="K2038" s="2" t="e">
        <f>INDEX(+_xlfn.FORECAST.ETS(#REF!,#REF!,K2038:L2038,#REF!,#REF!,#REF!),)</f>
        <v>#REF!</v>
      </c>
      <c r="L2038" s="1">
        <v>1</v>
      </c>
      <c r="M2038" s="2" t="e">
        <f>INDEX(+_xlfn.FORECAST.ETS(#REF!,#REF!,INDIRECT(M2038:N2038),#REF!,#REF!,#REF!),)</f>
        <v>#REF!</v>
      </c>
      <c r="N2038" s="1">
        <v>1</v>
      </c>
    </row>
    <row r="2039" spans="1:14" x14ac:dyDescent="0.55000000000000004">
      <c r="A2039" s="1" t="s">
        <v>2183</v>
      </c>
      <c r="B2039" s="2">
        <f>COUNTIF(A:A,A2039)-1</f>
        <v>6</v>
      </c>
      <c r="C2039" s="2">
        <f>COUNTIF(A$1:A2039,A2039)-1</f>
        <v>4</v>
      </c>
      <c r="D2039" s="2" t="str">
        <f>Argument!D2039</f>
        <v>v</v>
      </c>
      <c r="E2039" s="2" t="str">
        <f t="shared" si="63"/>
        <v/>
      </c>
      <c r="F2039" s="2" t="str">
        <f>IF(C2039=0,ISTEXT(FORMULA.CONVERT("="&amp;A2039&amp;"("&amp;REPLACE(REPT(",#ref!",B2039),1,1,"")&amp;")()",1)),"")</f>
        <v/>
      </c>
      <c r="G2039" s="2">
        <f>TYPE(_xlfn.FORECAST.ETS(IF(1,1),IF(1,1),IF(1,1),{1},IF(1,1),IF(1,1)))</f>
        <v>64</v>
      </c>
      <c r="H2039" s="2" t="str">
        <f t="shared" si="64"/>
        <v/>
      </c>
      <c r="I2039" s="2">
        <f>TYPE(_xlfn.FORECAST.ETS(IF(1,1),IF(1,1),IF(1,1),IF(1,1),IF(1,1),IF(1,1)))</f>
        <v>16</v>
      </c>
      <c r="J2039" s="2" t="str">
        <f>IF(C2039=0,COUNTIFS(A:A,A2039,D:D,"a"),"")</f>
        <v/>
      </c>
      <c r="K2039" s="2" t="e">
        <f>INDEX(+_xlfn.FORECAST.ETS(#REF!,#REF!,#REF!,K2039:L2039,#REF!,#REF!),)</f>
        <v>#REF!</v>
      </c>
      <c r="L2039" s="1">
        <v>1</v>
      </c>
      <c r="M2039" s="2" t="e">
        <f>INDEX(+_xlfn.FORECAST.ETS(#REF!,#REF!,#REF!,INDIRECT(M2039:N2039),#REF!,#REF!),)</f>
        <v>#REF!</v>
      </c>
      <c r="N2039" s="1">
        <v>1</v>
      </c>
    </row>
    <row r="2040" spans="1:14" x14ac:dyDescent="0.55000000000000004">
      <c r="A2040" s="1" t="s">
        <v>2183</v>
      </c>
      <c r="B2040" s="2">
        <f>COUNTIF(A:A,A2040)-1</f>
        <v>6</v>
      </c>
      <c r="C2040" s="2">
        <f>COUNTIF(A$1:A2040,A2040)-1</f>
        <v>5</v>
      </c>
      <c r="D2040" s="2" t="str">
        <f>Argument!D2040</f>
        <v>v</v>
      </c>
      <c r="E2040" s="2" t="str">
        <f t="shared" si="63"/>
        <v/>
      </c>
      <c r="F2040" s="2" t="str">
        <f>IF(C2040=0,ISTEXT(FORMULA.CONVERT("="&amp;A2040&amp;"("&amp;REPLACE(REPT(",#ref!",B2040),1,1,"")&amp;")()",1)),"")</f>
        <v/>
      </c>
      <c r="G2040" s="2">
        <f>TYPE(_xlfn.FORECAST.ETS(IF(1,1),IF(1,1),IF(1,1),IF(1,1),{1},IF(1,1)))</f>
        <v>64</v>
      </c>
      <c r="H2040" s="2" t="str">
        <f t="shared" si="64"/>
        <v/>
      </c>
      <c r="I2040" s="2">
        <f>TYPE(_xlfn.FORECAST.ETS(IF(1,1),IF(1,1),IF(1,1),IF(1,1),IF(1,1),IF(1,1)))</f>
        <v>16</v>
      </c>
      <c r="J2040" s="2" t="str">
        <f>IF(C2040=0,COUNTIFS(A:A,A2040,D:D,"a"),"")</f>
        <v/>
      </c>
      <c r="K2040" s="2" t="e">
        <f>INDEX(+_xlfn.FORECAST.ETS(#REF!,#REF!,#REF!,#REF!,K2040:L2040,#REF!),)</f>
        <v>#REF!</v>
      </c>
      <c r="L2040" s="1">
        <v>1</v>
      </c>
      <c r="M2040" s="2" t="e">
        <f>INDEX(+_xlfn.FORECAST.ETS(#REF!,#REF!,#REF!,#REF!,INDIRECT(M2040:N2040),#REF!),)</f>
        <v>#REF!</v>
      </c>
      <c r="N2040" s="1">
        <v>1</v>
      </c>
    </row>
    <row r="2041" spans="1:14" x14ac:dyDescent="0.55000000000000004">
      <c r="A2041" s="1" t="s">
        <v>2183</v>
      </c>
      <c r="B2041" s="2">
        <f>COUNTIF(A:A,A2041)-1</f>
        <v>6</v>
      </c>
      <c r="C2041" s="2">
        <f>COUNTIF(A$1:A2041,A2041)-1</f>
        <v>6</v>
      </c>
      <c r="D2041" s="2" t="str">
        <f>Argument!D2041</f>
        <v>v</v>
      </c>
      <c r="E2041" s="2" t="str">
        <f t="shared" si="63"/>
        <v/>
      </c>
      <c r="F2041" s="2" t="str">
        <f>IF(C2041=0,ISTEXT(FORMULA.CONVERT("="&amp;A2041&amp;"("&amp;REPLACE(REPT(",#ref!",B2041),1,1,"")&amp;")()",1)),"")</f>
        <v/>
      </c>
      <c r="G2041" s="2">
        <f>TYPE(_xlfn.FORECAST.ETS(IF(1,1),IF(1,1),IF(1,1),IF(1,1),IF(1,1),{1}))</f>
        <v>64</v>
      </c>
      <c r="H2041" s="2" t="str">
        <f t="shared" si="64"/>
        <v/>
      </c>
      <c r="I2041" s="2">
        <f>TYPE(_xlfn.FORECAST.ETS(IF(1,1),IF(1,1),IF(1,1),IF(1,1),IF(1,1),IF(1,1)))</f>
        <v>16</v>
      </c>
      <c r="J2041" s="2" t="str">
        <f>IF(C2041=0,COUNTIFS(A:A,A2041,D:D,"a"),"")</f>
        <v/>
      </c>
      <c r="K2041" s="2" t="e">
        <f>INDEX(+_xlfn.FORECAST.ETS(#REF!,#REF!,#REF!,#REF!,#REF!,K2041:L2041),)</f>
        <v>#REF!</v>
      </c>
      <c r="L2041" s="1">
        <v>1</v>
      </c>
      <c r="M2041" s="2" t="e">
        <f>INDEX(+_xlfn.FORECAST.ETS(#REF!,#REF!,#REF!,#REF!,#REF!,INDIRECT(M2041:N2041)),)</f>
        <v>#REF!</v>
      </c>
      <c r="N2041" s="1">
        <v>1</v>
      </c>
    </row>
    <row r="2042" spans="1:14" x14ac:dyDescent="0.55000000000000004">
      <c r="A2042" s="1" t="s">
        <v>2184</v>
      </c>
      <c r="B2042" s="2">
        <f>COUNTIF(A:A,A2042)-1</f>
        <v>7</v>
      </c>
      <c r="C2042" s="2">
        <f>COUNTIF(A$1:A2042,A2042)-1</f>
        <v>0</v>
      </c>
      <c r="D2042" s="2" t="str">
        <f>Argument!D2042</f>
        <v/>
      </c>
      <c r="E2042" s="2" t="str">
        <f t="shared" si="63"/>
        <v>v</v>
      </c>
      <c r="F2042" s="2" t="b">
        <f>IF(C2042=0,ISTEXT(FORMULA.CONVERT("="&amp;A2042&amp;"("&amp;REPLACE(REPT(",#ref!",B2042),1,1,"")&amp;")()",1)),"")</f>
        <v>0</v>
      </c>
      <c r="G2042" s="2"/>
      <c r="H2042" s="2" t="str">
        <f t="shared" si="64"/>
        <v/>
      </c>
      <c r="I2042" s="2">
        <f>TYPE(_xlfn.FORECAST.ETS.CONFINT(IF(1,1),IF(1,1),IF(1,1),IF(1,1),IF(1,1),IF(1,1),IF(1,1)))</f>
        <v>16</v>
      </c>
      <c r="J2042" s="2">
        <f>IF(C2042=0,COUNTIFS(A:A,A2042,D:D,"a"),"")</f>
        <v>0</v>
      </c>
      <c r="K2042" s="2"/>
      <c r="M2042" s="2"/>
    </row>
    <row r="2043" spans="1:14" x14ac:dyDescent="0.55000000000000004">
      <c r="A2043" s="1" t="s">
        <v>2184</v>
      </c>
      <c r="B2043" s="2">
        <f>COUNTIF(A:A,A2043)-1</f>
        <v>7</v>
      </c>
      <c r="C2043" s="2">
        <f>COUNTIF(A$1:A2043,A2043)-1</f>
        <v>1</v>
      </c>
      <c r="D2043" s="2" t="str">
        <f>Argument!D2043</f>
        <v>v</v>
      </c>
      <c r="E2043" s="2" t="str">
        <f t="shared" si="63"/>
        <v/>
      </c>
      <c r="F2043" s="2" t="str">
        <f>IF(C2043=0,ISTEXT(FORMULA.CONVERT("="&amp;A2043&amp;"("&amp;REPLACE(REPT(",#ref!",B2043),1,1,"")&amp;")()",1)),"")</f>
        <v/>
      </c>
      <c r="G2043" s="2">
        <f>TYPE(_xlfn.FORECAST.ETS.CONFINT({1},IF(1,1),IF(1,1),IF(1,1),IF(1,1),IF(1,1),IF(1,1)))</f>
        <v>64</v>
      </c>
      <c r="H2043" s="2" t="str">
        <f t="shared" si="64"/>
        <v/>
      </c>
      <c r="I2043" s="2">
        <f>TYPE(_xlfn.FORECAST.ETS.CONFINT(IF(1,1),IF(1,1),IF(1,1),IF(1,1),IF(1,1),IF(1,1),IF(1,1)))</f>
        <v>16</v>
      </c>
      <c r="J2043" s="2" t="str">
        <f>IF(C2043=0,COUNTIFS(A:A,A2043,D:D,"a"),"")</f>
        <v/>
      </c>
      <c r="K2043" s="2" t="e">
        <f>INDEX(+_xlfn.FORECAST.ETS.CONFINT(K2043:L2043,#REF!,#REF!,#REF!,#REF!,#REF!,#REF!),)</f>
        <v>#REF!</v>
      </c>
      <c r="L2043" s="1">
        <v>1</v>
      </c>
      <c r="M2043" s="2" t="e">
        <f>INDEX(+_xlfn.FORECAST.ETS.CONFINT(INDIRECT(M2043:N2043),#REF!,#REF!,#REF!,#REF!,#REF!,#REF!),)</f>
        <v>#REF!</v>
      </c>
      <c r="N2043" s="1">
        <v>1</v>
      </c>
    </row>
    <row r="2044" spans="1:14" x14ac:dyDescent="0.55000000000000004">
      <c r="A2044" s="1" t="s">
        <v>2184</v>
      </c>
      <c r="B2044" s="2">
        <f>COUNTIF(A:A,A2044)-1</f>
        <v>7</v>
      </c>
      <c r="C2044" s="2">
        <f>COUNTIF(A$1:A2044,A2044)-1</f>
        <v>2</v>
      </c>
      <c r="D2044" s="2" t="str">
        <f>Argument!D2044</f>
        <v>ar</v>
      </c>
      <c r="E2044" s="2" t="str">
        <f t="shared" si="63"/>
        <v/>
      </c>
      <c r="F2044" s="2" t="str">
        <f>IF(C2044=0,ISTEXT(FORMULA.CONVERT("="&amp;A2044&amp;"("&amp;REPLACE(REPT(",#ref!",B2044),1,1,"")&amp;")()",1)),"")</f>
        <v/>
      </c>
      <c r="G2044" s="2">
        <f>TYPE(_xlfn.FORECAST.ETS.CONFINT(IF(1,1),{1},IF(1,1),IF(1,1),IF(1,1),IF(1,1),IF(1,1)))</f>
        <v>16</v>
      </c>
      <c r="H2044" s="2" t="str">
        <f t="shared" si="64"/>
        <v/>
      </c>
      <c r="I2044" s="2">
        <f>TYPE(_xlfn.FORECAST.ETS.CONFINT(IF(1,1),IF(1,1),IF(1,1),IF(1,1),IF(1,1),IF(1,1),IF(1,1)))</f>
        <v>16</v>
      </c>
      <c r="J2044" s="2" t="str">
        <f>IF(C2044=0,COUNTIFS(A:A,A2044,D:D,"a"),"")</f>
        <v/>
      </c>
      <c r="K2044" s="2" t="e">
        <f>INDEX(+_xlfn.FORECAST.ETS.CONFINT(#REF!,K2044:L2044,#REF!,#REF!,#REF!,#REF!,#REF!),)</f>
        <v>#REF!</v>
      </c>
      <c r="L2044" s="1">
        <v>1</v>
      </c>
      <c r="M2044" s="2" t="e">
        <f>INDEX(+_xlfn.FORECAST.ETS.CONFINT(#REF!,INDIRECT(M2044:N2044),#REF!,#REF!,#REF!,#REF!,#REF!),)</f>
        <v>#REF!</v>
      </c>
      <c r="N2044" s="1">
        <v>1</v>
      </c>
    </row>
    <row r="2045" spans="1:14" x14ac:dyDescent="0.55000000000000004">
      <c r="A2045" s="1" t="s">
        <v>2184</v>
      </c>
      <c r="B2045" s="2">
        <f>COUNTIF(A:A,A2045)-1</f>
        <v>7</v>
      </c>
      <c r="C2045" s="2">
        <f>COUNTIF(A$1:A2045,A2045)-1</f>
        <v>3</v>
      </c>
      <c r="D2045" s="2" t="str">
        <f>Argument!D2045</f>
        <v>ar</v>
      </c>
      <c r="E2045" s="2" t="str">
        <f t="shared" si="63"/>
        <v/>
      </c>
      <c r="F2045" s="2" t="str">
        <f>IF(C2045=0,ISTEXT(FORMULA.CONVERT("="&amp;A2045&amp;"("&amp;REPLACE(REPT(",#ref!",B2045),1,1,"")&amp;")()",1)),"")</f>
        <v/>
      </c>
      <c r="G2045" s="2">
        <f>TYPE(_xlfn.FORECAST.ETS.CONFINT(IF(1,1),IF(1,1),{1},IF(1,1),IF(1,1),IF(1,1),IF(1,1)))</f>
        <v>16</v>
      </c>
      <c r="H2045" s="2" t="str">
        <f t="shared" si="64"/>
        <v/>
      </c>
      <c r="I2045" s="2">
        <f>TYPE(_xlfn.FORECAST.ETS.CONFINT(IF(1,1),IF(1,1),IF(1,1),IF(1,1),IF(1,1),IF(1,1),IF(1,1)))</f>
        <v>16</v>
      </c>
      <c r="J2045" s="2" t="str">
        <f>IF(C2045=0,COUNTIFS(A:A,A2045,D:D,"a"),"")</f>
        <v/>
      </c>
      <c r="K2045" s="2" t="e">
        <f>INDEX(+_xlfn.FORECAST.ETS.CONFINT(#REF!,#REF!,K2045:L2045,#REF!,#REF!,#REF!,#REF!),)</f>
        <v>#REF!</v>
      </c>
      <c r="L2045" s="1">
        <v>1</v>
      </c>
      <c r="M2045" s="2" t="e">
        <f>INDEX(+_xlfn.FORECAST.ETS.CONFINT(#REF!,#REF!,INDIRECT(M2045:N2045),#REF!,#REF!,#REF!,#REF!),)</f>
        <v>#REF!</v>
      </c>
      <c r="N2045" s="1">
        <v>1</v>
      </c>
    </row>
    <row r="2046" spans="1:14" x14ac:dyDescent="0.55000000000000004">
      <c r="A2046" s="1" t="s">
        <v>2184</v>
      </c>
      <c r="B2046" s="2">
        <f>COUNTIF(A:A,A2046)-1</f>
        <v>7</v>
      </c>
      <c r="C2046" s="2">
        <f>COUNTIF(A$1:A2046,A2046)-1</f>
        <v>4</v>
      </c>
      <c r="D2046" s="2" t="str">
        <f>Argument!D2046</f>
        <v>v</v>
      </c>
      <c r="E2046" s="2" t="str">
        <f t="shared" si="63"/>
        <v/>
      </c>
      <c r="F2046" s="2" t="str">
        <f>IF(C2046=0,ISTEXT(FORMULA.CONVERT("="&amp;A2046&amp;"("&amp;REPLACE(REPT(",#ref!",B2046),1,1,"")&amp;")()",1)),"")</f>
        <v/>
      </c>
      <c r="G2046" s="2">
        <f>TYPE(_xlfn.FORECAST.ETS.CONFINT(IF(1,1),IF(1,1),IF(1,1),{1},IF(1,1),IF(1,1),IF(1,1)))</f>
        <v>64</v>
      </c>
      <c r="H2046" s="2" t="str">
        <f t="shared" si="64"/>
        <v/>
      </c>
      <c r="I2046" s="2">
        <f>TYPE(_xlfn.FORECAST.ETS.CONFINT(IF(1,1),IF(1,1),IF(1,1),IF(1,1),IF(1,1),IF(1,1),IF(1,1)))</f>
        <v>16</v>
      </c>
      <c r="J2046" s="2" t="str">
        <f>IF(C2046=0,COUNTIFS(A:A,A2046,D:D,"a"),"")</f>
        <v/>
      </c>
      <c r="K2046" s="2" t="e">
        <f>INDEX(+_xlfn.FORECAST.ETS.CONFINT(#REF!,#REF!,#REF!,K2046:L2046,#REF!,#REF!,#REF!),)</f>
        <v>#REF!</v>
      </c>
      <c r="L2046" s="1">
        <v>1</v>
      </c>
      <c r="M2046" s="2" t="e">
        <f>INDEX(+_xlfn.FORECAST.ETS.CONFINT(#REF!,#REF!,#REF!,INDIRECT(M2046:N2046),#REF!,#REF!,#REF!),)</f>
        <v>#REF!</v>
      </c>
      <c r="N2046" s="1">
        <v>1</v>
      </c>
    </row>
    <row r="2047" spans="1:14" x14ac:dyDescent="0.55000000000000004">
      <c r="A2047" s="1" t="s">
        <v>2184</v>
      </c>
      <c r="B2047" s="2">
        <f>COUNTIF(A:A,A2047)-1</f>
        <v>7</v>
      </c>
      <c r="C2047" s="2">
        <f>COUNTIF(A$1:A2047,A2047)-1</f>
        <v>5</v>
      </c>
      <c r="D2047" s="2" t="str">
        <f>Argument!D2047</f>
        <v>v</v>
      </c>
      <c r="E2047" s="2" t="str">
        <f t="shared" si="63"/>
        <v/>
      </c>
      <c r="F2047" s="2" t="str">
        <f>IF(C2047=0,ISTEXT(FORMULA.CONVERT("="&amp;A2047&amp;"("&amp;REPLACE(REPT(",#ref!",B2047),1,1,"")&amp;")()",1)),"")</f>
        <v/>
      </c>
      <c r="G2047" s="2">
        <f>TYPE(_xlfn.FORECAST.ETS.CONFINT(IF(1,1),IF(1,1),IF(1,1),IF(1,1),{1},IF(1,1),IF(1,1)))</f>
        <v>64</v>
      </c>
      <c r="H2047" s="2" t="str">
        <f t="shared" si="64"/>
        <v/>
      </c>
      <c r="I2047" s="2">
        <f>TYPE(_xlfn.FORECAST.ETS.CONFINT(IF(1,1),IF(1,1),IF(1,1),IF(1,1),IF(1,1),IF(1,1),IF(1,1)))</f>
        <v>16</v>
      </c>
      <c r="J2047" s="2" t="str">
        <f>IF(C2047=0,COUNTIFS(A:A,A2047,D:D,"a"),"")</f>
        <v/>
      </c>
      <c r="K2047" s="2" t="e">
        <f>INDEX(+_xlfn.FORECAST.ETS.CONFINT(#REF!,#REF!,#REF!,#REF!,K2047:L2047,#REF!,#REF!),)</f>
        <v>#REF!</v>
      </c>
      <c r="L2047" s="1">
        <v>1</v>
      </c>
      <c r="M2047" s="2" t="e">
        <f>INDEX(+_xlfn.FORECAST.ETS.CONFINT(#REF!,#REF!,#REF!,#REF!,INDIRECT(M2047:N2047),#REF!,#REF!),)</f>
        <v>#REF!</v>
      </c>
      <c r="N2047" s="1">
        <v>1</v>
      </c>
    </row>
    <row r="2048" spans="1:14" x14ac:dyDescent="0.55000000000000004">
      <c r="A2048" s="1" t="s">
        <v>2184</v>
      </c>
      <c r="B2048" s="2">
        <f>COUNTIF(A:A,A2048)-1</f>
        <v>7</v>
      </c>
      <c r="C2048" s="2">
        <f>COUNTIF(A$1:A2048,A2048)-1</f>
        <v>6</v>
      </c>
      <c r="D2048" s="2" t="str">
        <f>Argument!D2048</f>
        <v>v</v>
      </c>
      <c r="E2048" s="2" t="str">
        <f t="shared" si="63"/>
        <v/>
      </c>
      <c r="F2048" s="2" t="str">
        <f>IF(C2048=0,ISTEXT(FORMULA.CONVERT("="&amp;A2048&amp;"("&amp;REPLACE(REPT(",#ref!",B2048),1,1,"")&amp;")()",1)),"")</f>
        <v/>
      </c>
      <c r="G2048" s="2">
        <f>TYPE(_xlfn.FORECAST.ETS.CONFINT(IF(1,1),IF(1,1),IF(1,1),IF(1,1),IF(1,1),{1},IF(1,1)))</f>
        <v>64</v>
      </c>
      <c r="H2048" s="2" t="str">
        <f t="shared" si="64"/>
        <v/>
      </c>
      <c r="I2048" s="2">
        <f>TYPE(_xlfn.FORECAST.ETS.CONFINT(IF(1,1),IF(1,1),IF(1,1),IF(1,1),IF(1,1),IF(1,1),IF(1,1)))</f>
        <v>16</v>
      </c>
      <c r="J2048" s="2" t="str">
        <f>IF(C2048=0,COUNTIFS(A:A,A2048,D:D,"a"),"")</f>
        <v/>
      </c>
      <c r="K2048" s="2" t="e">
        <f>INDEX(+_xlfn.FORECAST.ETS.CONFINT(#REF!,#REF!,#REF!,#REF!,#REF!,K2048:L2048,#REF!),)</f>
        <v>#REF!</v>
      </c>
      <c r="L2048" s="1">
        <v>1</v>
      </c>
      <c r="M2048" s="2" t="e">
        <f>INDEX(+_xlfn.FORECAST.ETS.CONFINT(#REF!,#REF!,#REF!,#REF!,#REF!,INDIRECT(M2048:N2048),#REF!),)</f>
        <v>#REF!</v>
      </c>
      <c r="N2048" s="1">
        <v>1</v>
      </c>
    </row>
    <row r="2049" spans="1:14" x14ac:dyDescent="0.55000000000000004">
      <c r="A2049" s="1" t="s">
        <v>2184</v>
      </c>
      <c r="B2049" s="2">
        <f>COUNTIF(A:A,A2049)-1</f>
        <v>7</v>
      </c>
      <c r="C2049" s="2">
        <f>COUNTIF(A$1:A2049,A2049)-1</f>
        <v>7</v>
      </c>
      <c r="D2049" s="2" t="str">
        <f>Argument!D2049</f>
        <v>v</v>
      </c>
      <c r="E2049" s="2" t="str">
        <f t="shared" si="63"/>
        <v/>
      </c>
      <c r="F2049" s="2" t="str">
        <f>IF(C2049=0,ISTEXT(FORMULA.CONVERT("="&amp;A2049&amp;"("&amp;REPLACE(REPT(",#ref!",B2049),1,1,"")&amp;")()",1)),"")</f>
        <v/>
      </c>
      <c r="G2049" s="2">
        <f>TYPE(_xlfn.FORECAST.ETS.CONFINT(IF(1,1),IF(1,1),IF(1,1),IF(1,1),IF(1,1),IF(1,1),{1}))</f>
        <v>64</v>
      </c>
      <c r="H2049" s="2" t="str">
        <f t="shared" si="64"/>
        <v/>
      </c>
      <c r="I2049" s="2">
        <f>TYPE(_xlfn.FORECAST.ETS.CONFINT(IF(1,1),IF(1,1),IF(1,1),IF(1,1),IF(1,1),IF(1,1),IF(1,1)))</f>
        <v>16</v>
      </c>
      <c r="J2049" s="2" t="str">
        <f>IF(C2049=0,COUNTIFS(A:A,A2049,D:D,"a"),"")</f>
        <v/>
      </c>
      <c r="K2049" s="2" t="e">
        <f>INDEX(+_xlfn.FORECAST.ETS.CONFINT(#REF!,#REF!,#REF!,#REF!,#REF!,#REF!,K2049:L2049),)</f>
        <v>#REF!</v>
      </c>
      <c r="L2049" s="1">
        <v>1</v>
      </c>
      <c r="M2049" s="2" t="e">
        <f>INDEX(+_xlfn.FORECAST.ETS.CONFINT(#REF!,#REF!,#REF!,#REF!,#REF!,#REF!,INDIRECT(M2049:N2049)),)</f>
        <v>#REF!</v>
      </c>
      <c r="N2049" s="1">
        <v>1</v>
      </c>
    </row>
    <row r="2050" spans="1:14" x14ac:dyDescent="0.55000000000000004">
      <c r="A2050" s="1" t="s">
        <v>2185</v>
      </c>
      <c r="B2050" s="2">
        <f>COUNTIF(A:A,A2050)-1</f>
        <v>4</v>
      </c>
      <c r="C2050" s="2">
        <f>COUNTIF(A$1:A2050,A2050)-1</f>
        <v>0</v>
      </c>
      <c r="D2050" s="2" t="str">
        <f>Argument!D2050</f>
        <v/>
      </c>
      <c r="E2050" s="2" t="str">
        <f t="shared" ref="E2050:E2097" si="65">IF(C2050=0,IF(SUMIFS(H:H,A:A,A2050),IF(COUNTIFS(A:A,A2050,G:G,64),,"v")&amp;IF(F2050,"ar","a"),IF(F2050,"r","v")),"")</f>
        <v>v</v>
      </c>
      <c r="F2050" s="2" t="b">
        <f>IF(C2050=0,ISTEXT(FORMULA.CONVERT("="&amp;A2050&amp;"("&amp;REPLACE(REPT(",#ref!",B2050),1,1,"")&amp;")()",1)),"")</f>
        <v>0</v>
      </c>
      <c r="G2050" s="2"/>
      <c r="H2050" s="2" t="str">
        <f t="shared" ref="H2050:H2113" si="66">IF((I2050=64)*(J2050=B2050)+(1-L2050)*COUNTIF(D2050,"*v*")+(1-N2050)*COUNTIF(D2050,"*r*"),1,"")</f>
        <v/>
      </c>
      <c r="I2050" s="2">
        <f>TYPE(_xlfn.FORECAST.ETS.SEASONALITY(IF(1,1),IF(1,1),IF(1,1),IF(1,1)))</f>
        <v>16</v>
      </c>
      <c r="J2050" s="2">
        <f>IF(C2050=0,COUNTIFS(A:A,A2050,D:D,"a"),"")</f>
        <v>0</v>
      </c>
      <c r="K2050" s="2"/>
      <c r="M2050" s="2"/>
    </row>
    <row r="2051" spans="1:14" x14ac:dyDescent="0.55000000000000004">
      <c r="A2051" s="1" t="s">
        <v>2185</v>
      </c>
      <c r="B2051" s="2">
        <f>COUNTIF(A:A,A2051)-1</f>
        <v>4</v>
      </c>
      <c r="C2051" s="2">
        <f>COUNTIF(A$1:A2051,A2051)-1</f>
        <v>1</v>
      </c>
      <c r="D2051" s="2" t="str">
        <f>Argument!D2051</f>
        <v>ar</v>
      </c>
      <c r="E2051" s="2" t="str">
        <f t="shared" si="65"/>
        <v/>
      </c>
      <c r="F2051" s="2" t="str">
        <f>IF(C2051=0,ISTEXT(FORMULA.CONVERT("="&amp;A2051&amp;"("&amp;REPLACE(REPT(",#ref!",B2051),1,1,"")&amp;")()",1)),"")</f>
        <v/>
      </c>
      <c r="G2051" s="2">
        <f>TYPE(_xlfn.FORECAST.ETS.SEASONALITY({1},IF(1,1),IF(1,1),IF(1,1)))</f>
        <v>16</v>
      </c>
      <c r="H2051" s="2" t="str">
        <f t="shared" si="66"/>
        <v/>
      </c>
      <c r="I2051" s="2">
        <f>TYPE(_xlfn.FORECAST.ETS.SEASONALITY(IF(1,1),IF(1,1),IF(1,1),IF(1,1)))</f>
        <v>16</v>
      </c>
      <c r="J2051" s="2" t="str">
        <f>IF(C2051=0,COUNTIFS(A:A,A2051,D:D,"a"),"")</f>
        <v/>
      </c>
      <c r="K2051" s="2" t="e">
        <f>INDEX(+_xlfn.FORECAST.ETS.SEASONALITY(K2051:L2051,#REF!,#REF!,#REF!),)</f>
        <v>#REF!</v>
      </c>
      <c r="L2051" s="1">
        <v>1</v>
      </c>
      <c r="M2051" s="2" t="e">
        <f>INDEX(+_xlfn.FORECAST.ETS.SEASONALITY(INDIRECT(M2051:N2051),#REF!,#REF!,#REF!),)</f>
        <v>#REF!</v>
      </c>
      <c r="N2051" s="1">
        <v>1</v>
      </c>
    </row>
    <row r="2052" spans="1:14" x14ac:dyDescent="0.55000000000000004">
      <c r="A2052" s="1" t="s">
        <v>2185</v>
      </c>
      <c r="B2052" s="2">
        <f>COUNTIF(A:A,A2052)-1</f>
        <v>4</v>
      </c>
      <c r="C2052" s="2">
        <f>COUNTIF(A$1:A2052,A2052)-1</f>
        <v>2</v>
      </c>
      <c r="D2052" s="2" t="str">
        <f>Argument!D2052</f>
        <v>ar</v>
      </c>
      <c r="E2052" s="2" t="str">
        <f t="shared" si="65"/>
        <v/>
      </c>
      <c r="F2052" s="2" t="str">
        <f>IF(C2052=0,ISTEXT(FORMULA.CONVERT("="&amp;A2052&amp;"("&amp;REPLACE(REPT(",#ref!",B2052),1,1,"")&amp;")()",1)),"")</f>
        <v/>
      </c>
      <c r="G2052" s="2">
        <f>TYPE(_xlfn.FORECAST.ETS.SEASONALITY(IF(1,1),{1},IF(1,1),IF(1,1)))</f>
        <v>16</v>
      </c>
      <c r="H2052" s="2" t="str">
        <f t="shared" si="66"/>
        <v/>
      </c>
      <c r="I2052" s="2">
        <f>TYPE(_xlfn.FORECAST.ETS.SEASONALITY(IF(1,1),IF(1,1),IF(1,1),IF(1,1)))</f>
        <v>16</v>
      </c>
      <c r="J2052" s="2" t="str">
        <f>IF(C2052=0,COUNTIFS(A:A,A2052,D:D,"a"),"")</f>
        <v/>
      </c>
      <c r="K2052" s="2" t="e">
        <f>INDEX(+_xlfn.FORECAST.ETS.SEASONALITY(#REF!,K2052:L2052,#REF!,#REF!),)</f>
        <v>#REF!</v>
      </c>
      <c r="L2052" s="1">
        <v>1</v>
      </c>
      <c r="M2052" s="2" t="e">
        <f>INDEX(+_xlfn.FORECAST.ETS.SEASONALITY(#REF!,INDIRECT(M2052:N2052),#REF!,#REF!),)</f>
        <v>#REF!</v>
      </c>
      <c r="N2052" s="1">
        <v>1</v>
      </c>
    </row>
    <row r="2053" spans="1:14" x14ac:dyDescent="0.55000000000000004">
      <c r="A2053" s="1" t="s">
        <v>2185</v>
      </c>
      <c r="B2053" s="2">
        <f>COUNTIF(A:A,A2053)-1</f>
        <v>4</v>
      </c>
      <c r="C2053" s="2">
        <f>COUNTIF(A$1:A2053,A2053)-1</f>
        <v>3</v>
      </c>
      <c r="D2053" s="2" t="str">
        <f>Argument!D2053</f>
        <v>v</v>
      </c>
      <c r="E2053" s="2" t="str">
        <f t="shared" si="65"/>
        <v/>
      </c>
      <c r="F2053" s="2" t="str">
        <f>IF(C2053=0,ISTEXT(FORMULA.CONVERT("="&amp;A2053&amp;"("&amp;REPLACE(REPT(",#ref!",B2053),1,1,"")&amp;")()",1)),"")</f>
        <v/>
      </c>
      <c r="G2053" s="2">
        <f>TYPE(_xlfn.FORECAST.ETS.SEASONALITY(IF(1,1),IF(1,1),{1},IF(1,1)))</f>
        <v>64</v>
      </c>
      <c r="H2053" s="2" t="str">
        <f t="shared" si="66"/>
        <v/>
      </c>
      <c r="I2053" s="2">
        <f>TYPE(_xlfn.FORECAST.ETS.SEASONALITY(IF(1,1),IF(1,1),IF(1,1),IF(1,1)))</f>
        <v>16</v>
      </c>
      <c r="J2053" s="2" t="str">
        <f>IF(C2053=0,COUNTIFS(A:A,A2053,D:D,"a"),"")</f>
        <v/>
      </c>
      <c r="K2053" s="2" t="e">
        <f>INDEX(+_xlfn.FORECAST.ETS.SEASONALITY(#REF!,#REF!,K2053:L2053,#REF!),)</f>
        <v>#REF!</v>
      </c>
      <c r="L2053" s="1">
        <v>1</v>
      </c>
      <c r="M2053" s="2" t="e">
        <f>INDEX(+_xlfn.FORECAST.ETS.SEASONALITY(#REF!,#REF!,INDIRECT(M2053:N2053),#REF!),)</f>
        <v>#REF!</v>
      </c>
      <c r="N2053" s="1">
        <v>1</v>
      </c>
    </row>
    <row r="2054" spans="1:14" x14ac:dyDescent="0.55000000000000004">
      <c r="A2054" s="1" t="s">
        <v>2185</v>
      </c>
      <c r="B2054" s="2">
        <f>COUNTIF(A:A,A2054)-1</f>
        <v>4</v>
      </c>
      <c r="C2054" s="2">
        <f>COUNTIF(A$1:A2054,A2054)-1</f>
        <v>4</v>
      </c>
      <c r="D2054" s="2" t="str">
        <f>Argument!D2054</f>
        <v>v</v>
      </c>
      <c r="E2054" s="2" t="str">
        <f t="shared" si="65"/>
        <v/>
      </c>
      <c r="F2054" s="2" t="str">
        <f>IF(C2054=0,ISTEXT(FORMULA.CONVERT("="&amp;A2054&amp;"("&amp;REPLACE(REPT(",#ref!",B2054),1,1,"")&amp;")()",1)),"")</f>
        <v/>
      </c>
      <c r="G2054" s="2">
        <f>TYPE(_xlfn.FORECAST.ETS.SEASONALITY(IF(1,1),IF(1,1),IF(1,1),{1}))</f>
        <v>64</v>
      </c>
      <c r="H2054" s="2" t="str">
        <f t="shared" si="66"/>
        <v/>
      </c>
      <c r="I2054" s="2">
        <f>TYPE(_xlfn.FORECAST.ETS.SEASONALITY(IF(1,1),IF(1,1),IF(1,1),IF(1,1)))</f>
        <v>16</v>
      </c>
      <c r="J2054" s="2" t="str">
        <f>IF(C2054=0,COUNTIFS(A:A,A2054,D:D,"a"),"")</f>
        <v/>
      </c>
      <c r="K2054" s="2" t="e">
        <f>INDEX(+_xlfn.FORECAST.ETS.SEASONALITY(#REF!,#REF!,#REF!,K2054:L2054),)</f>
        <v>#REF!</v>
      </c>
      <c r="L2054" s="1">
        <v>1</v>
      </c>
      <c r="M2054" s="2" t="e">
        <f>INDEX(+_xlfn.FORECAST.ETS.SEASONALITY(#REF!,#REF!,#REF!,INDIRECT(M2054:N2054)),)</f>
        <v>#REF!</v>
      </c>
      <c r="N2054" s="1">
        <v>1</v>
      </c>
    </row>
    <row r="2055" spans="1:14" x14ac:dyDescent="0.55000000000000004">
      <c r="A2055" s="1" t="s">
        <v>2186</v>
      </c>
      <c r="B2055" s="2">
        <f>COUNTIF(A:A,A2055)-1</f>
        <v>6</v>
      </c>
      <c r="C2055" s="2">
        <f>COUNTIF(A$1:A2055,A2055)-1</f>
        <v>0</v>
      </c>
      <c r="D2055" s="2" t="str">
        <f>Argument!D2055</f>
        <v/>
      </c>
      <c r="E2055" s="2" t="str">
        <f t="shared" si="65"/>
        <v>v</v>
      </c>
      <c r="F2055" s="2" t="b">
        <f>IF(C2055=0,ISTEXT(FORMULA.CONVERT("="&amp;A2055&amp;"("&amp;REPLACE(REPT(",#ref!",B2055),1,1,"")&amp;")()",1)),"")</f>
        <v>0</v>
      </c>
      <c r="G2055" s="2"/>
      <c r="H2055" s="2" t="str">
        <f t="shared" si="66"/>
        <v/>
      </c>
      <c r="I2055" s="2">
        <f>TYPE(_xlfn.FORECAST.ETS.STAT(IF(1,1),IF(1,1),IF(1,1),IF(1,1),IF(1,1),IF(1,1)))</f>
        <v>16</v>
      </c>
      <c r="J2055" s="2">
        <f>IF(C2055=0,COUNTIFS(A:A,A2055,D:D,"a"),"")</f>
        <v>0</v>
      </c>
      <c r="K2055" s="2"/>
      <c r="M2055" s="2"/>
    </row>
    <row r="2056" spans="1:14" x14ac:dyDescent="0.55000000000000004">
      <c r="A2056" s="1" t="s">
        <v>2186</v>
      </c>
      <c r="B2056" s="2">
        <f>COUNTIF(A:A,A2056)-1</f>
        <v>6</v>
      </c>
      <c r="C2056" s="2">
        <f>COUNTIF(A$1:A2056,A2056)-1</f>
        <v>1</v>
      </c>
      <c r="D2056" s="2" t="str">
        <f>Argument!D2056</f>
        <v>ar</v>
      </c>
      <c r="E2056" s="2" t="str">
        <f t="shared" si="65"/>
        <v/>
      </c>
      <c r="F2056" s="2" t="str">
        <f>IF(C2056=0,ISTEXT(FORMULA.CONVERT("="&amp;A2056&amp;"("&amp;REPLACE(REPT(",#ref!",B2056),1,1,"")&amp;")()",1)),"")</f>
        <v/>
      </c>
      <c r="G2056" s="2">
        <f>TYPE(_xlfn.FORECAST.ETS.STAT({1},IF(1,1),IF(1,1),IF(1,1),IF(1,1),IF(1,1)))</f>
        <v>16</v>
      </c>
      <c r="H2056" s="2" t="str">
        <f t="shared" si="66"/>
        <v/>
      </c>
      <c r="I2056" s="2">
        <f>TYPE(_xlfn.FORECAST.ETS.STAT(IF(1,1),IF(1,1),IF(1,1),IF(1,1),IF(1,1),IF(1,1)))</f>
        <v>16</v>
      </c>
      <c r="J2056" s="2" t="str">
        <f>IF(C2056=0,COUNTIFS(A:A,A2056,D:D,"a"),"")</f>
        <v/>
      </c>
      <c r="K2056" s="2" t="e">
        <f>INDEX(+_xlfn.FORECAST.ETS.STAT(K2056:L2056,#REF!,#REF!,#REF!,#REF!,#REF!),)</f>
        <v>#REF!</v>
      </c>
      <c r="L2056" s="1">
        <v>1</v>
      </c>
      <c r="M2056" s="2" t="e">
        <f>INDEX(+_xlfn.FORECAST.ETS.STAT(INDIRECT(M2056:N2056),#REF!,#REF!,#REF!,#REF!,#REF!),)</f>
        <v>#REF!</v>
      </c>
      <c r="N2056" s="1">
        <v>1</v>
      </c>
    </row>
    <row r="2057" spans="1:14" x14ac:dyDescent="0.55000000000000004">
      <c r="A2057" s="1" t="s">
        <v>2186</v>
      </c>
      <c r="B2057" s="2">
        <f>COUNTIF(A:A,A2057)-1</f>
        <v>6</v>
      </c>
      <c r="C2057" s="2">
        <f>COUNTIF(A$1:A2057,A2057)-1</f>
        <v>2</v>
      </c>
      <c r="D2057" s="2" t="str">
        <f>Argument!D2057</f>
        <v>ar</v>
      </c>
      <c r="E2057" s="2" t="str">
        <f t="shared" si="65"/>
        <v/>
      </c>
      <c r="F2057" s="2" t="str">
        <f>IF(C2057=0,ISTEXT(FORMULA.CONVERT("="&amp;A2057&amp;"("&amp;REPLACE(REPT(",#ref!",B2057),1,1,"")&amp;")()",1)),"")</f>
        <v/>
      </c>
      <c r="G2057" s="2">
        <f>TYPE(_xlfn.FORECAST.ETS.STAT(IF(1,1),{1},IF(1,1),IF(1,1),IF(1,1),IF(1,1)))</f>
        <v>16</v>
      </c>
      <c r="H2057" s="2" t="str">
        <f t="shared" si="66"/>
        <v/>
      </c>
      <c r="I2057" s="2">
        <f>TYPE(_xlfn.FORECAST.ETS.STAT(IF(1,1),IF(1,1),IF(1,1),IF(1,1),IF(1,1),IF(1,1)))</f>
        <v>16</v>
      </c>
      <c r="J2057" s="2" t="str">
        <f>IF(C2057=0,COUNTIFS(A:A,A2057,D:D,"a"),"")</f>
        <v/>
      </c>
      <c r="K2057" s="2" t="e">
        <f>INDEX(+_xlfn.FORECAST.ETS.STAT(#REF!,K2057:L2057,#REF!,#REF!,#REF!,#REF!),)</f>
        <v>#REF!</v>
      </c>
      <c r="L2057" s="1">
        <v>1</v>
      </c>
      <c r="M2057" s="2" t="e">
        <f>INDEX(+_xlfn.FORECAST.ETS.STAT(#REF!,INDIRECT(M2057:N2057),#REF!,#REF!,#REF!,#REF!),)</f>
        <v>#REF!</v>
      </c>
      <c r="N2057" s="1">
        <v>1</v>
      </c>
    </row>
    <row r="2058" spans="1:14" x14ac:dyDescent="0.55000000000000004">
      <c r="A2058" s="1" t="s">
        <v>2186</v>
      </c>
      <c r="B2058" s="2">
        <f>COUNTIF(A:A,A2058)-1</f>
        <v>6</v>
      </c>
      <c r="C2058" s="2">
        <f>COUNTIF(A$1:A2058,A2058)-1</f>
        <v>3</v>
      </c>
      <c r="D2058" s="2" t="str">
        <f>Argument!D2058</f>
        <v>v</v>
      </c>
      <c r="E2058" s="2" t="str">
        <f t="shared" si="65"/>
        <v/>
      </c>
      <c r="F2058" s="2" t="str">
        <f>IF(C2058=0,ISTEXT(FORMULA.CONVERT("="&amp;A2058&amp;"("&amp;REPLACE(REPT(",#ref!",B2058),1,1,"")&amp;")()",1)),"")</f>
        <v/>
      </c>
      <c r="G2058" s="2">
        <f>TYPE(_xlfn.FORECAST.ETS.STAT(IF(1,1),IF(1,1),{1},IF(1,1),IF(1,1),IF(1,1)))</f>
        <v>64</v>
      </c>
      <c r="H2058" s="2" t="str">
        <f t="shared" si="66"/>
        <v/>
      </c>
      <c r="I2058" s="2">
        <f>TYPE(_xlfn.FORECAST.ETS.STAT(IF(1,1),IF(1,1),IF(1,1),IF(1,1),IF(1,1),IF(1,1)))</f>
        <v>16</v>
      </c>
      <c r="J2058" s="2" t="str">
        <f>IF(C2058=0,COUNTIFS(A:A,A2058,D:D,"a"),"")</f>
        <v/>
      </c>
      <c r="K2058" s="2" t="e">
        <f>INDEX(+_xlfn.FORECAST.ETS.STAT(#REF!,#REF!,K2058:L2058,#REF!,#REF!,#REF!),)</f>
        <v>#REF!</v>
      </c>
      <c r="L2058" s="1">
        <v>1</v>
      </c>
      <c r="M2058" s="2" t="e">
        <f>INDEX(+_xlfn.FORECAST.ETS.STAT(#REF!,#REF!,INDIRECT(M2058:N2058),#REF!,#REF!,#REF!),)</f>
        <v>#REF!</v>
      </c>
      <c r="N2058" s="1">
        <v>1</v>
      </c>
    </row>
    <row r="2059" spans="1:14" x14ac:dyDescent="0.55000000000000004">
      <c r="A2059" s="1" t="s">
        <v>2186</v>
      </c>
      <c r="B2059" s="2">
        <f>COUNTIF(A:A,A2059)-1</f>
        <v>6</v>
      </c>
      <c r="C2059" s="2">
        <f>COUNTIF(A$1:A2059,A2059)-1</f>
        <v>4</v>
      </c>
      <c r="D2059" s="2" t="str">
        <f>Argument!D2059</f>
        <v>v</v>
      </c>
      <c r="E2059" s="2" t="str">
        <f t="shared" si="65"/>
        <v/>
      </c>
      <c r="F2059" s="2" t="str">
        <f>IF(C2059=0,ISTEXT(FORMULA.CONVERT("="&amp;A2059&amp;"("&amp;REPLACE(REPT(",#ref!",B2059),1,1,"")&amp;")()",1)),"")</f>
        <v/>
      </c>
      <c r="G2059" s="2">
        <f>TYPE(_xlfn.FORECAST.ETS.STAT(IF(1,1),IF(1,1),IF(1,1),{1},IF(1,1),IF(1,1)))</f>
        <v>64</v>
      </c>
      <c r="H2059" s="2" t="str">
        <f t="shared" si="66"/>
        <v/>
      </c>
      <c r="I2059" s="2">
        <f>TYPE(_xlfn.FORECAST.ETS.STAT(IF(1,1),IF(1,1),IF(1,1),IF(1,1),IF(1,1),IF(1,1)))</f>
        <v>16</v>
      </c>
      <c r="J2059" s="2" t="str">
        <f>IF(C2059=0,COUNTIFS(A:A,A2059,D:D,"a"),"")</f>
        <v/>
      </c>
      <c r="K2059" s="2" t="e">
        <f>INDEX(+_xlfn.FORECAST.ETS.STAT(#REF!,#REF!,#REF!,K2059:L2059,#REF!,#REF!),)</f>
        <v>#REF!</v>
      </c>
      <c r="L2059" s="1">
        <v>1</v>
      </c>
      <c r="M2059" s="2" t="e">
        <f>INDEX(+_xlfn.FORECAST.ETS.STAT(#REF!,#REF!,#REF!,INDIRECT(M2059:N2059),#REF!,#REF!),)</f>
        <v>#REF!</v>
      </c>
      <c r="N2059" s="1">
        <v>1</v>
      </c>
    </row>
    <row r="2060" spans="1:14" x14ac:dyDescent="0.55000000000000004">
      <c r="A2060" s="1" t="s">
        <v>2186</v>
      </c>
      <c r="B2060" s="2">
        <f>COUNTIF(A:A,A2060)-1</f>
        <v>6</v>
      </c>
      <c r="C2060" s="2">
        <f>COUNTIF(A$1:A2060,A2060)-1</f>
        <v>5</v>
      </c>
      <c r="D2060" s="2" t="str">
        <f>Argument!D2060</f>
        <v>v</v>
      </c>
      <c r="E2060" s="2" t="str">
        <f t="shared" si="65"/>
        <v/>
      </c>
      <c r="F2060" s="2" t="str">
        <f>IF(C2060=0,ISTEXT(FORMULA.CONVERT("="&amp;A2060&amp;"("&amp;REPLACE(REPT(",#ref!",B2060),1,1,"")&amp;")()",1)),"")</f>
        <v/>
      </c>
      <c r="G2060" s="2">
        <f>TYPE(_xlfn.FORECAST.ETS.STAT(IF(1,1),IF(1,1),IF(1,1),IF(1,1),{1},IF(1,1)))</f>
        <v>64</v>
      </c>
      <c r="H2060" s="2" t="str">
        <f t="shared" si="66"/>
        <v/>
      </c>
      <c r="I2060" s="2">
        <f>TYPE(_xlfn.FORECAST.ETS.STAT(IF(1,1),IF(1,1),IF(1,1),IF(1,1),IF(1,1),IF(1,1)))</f>
        <v>16</v>
      </c>
      <c r="J2060" s="2" t="str">
        <f>IF(C2060=0,COUNTIFS(A:A,A2060,D:D,"a"),"")</f>
        <v/>
      </c>
      <c r="K2060" s="2" t="e">
        <f>INDEX(+_xlfn.FORECAST.ETS.STAT(#REF!,#REF!,#REF!,#REF!,K2060:L2060,#REF!),)</f>
        <v>#REF!</v>
      </c>
      <c r="L2060" s="1">
        <v>1</v>
      </c>
      <c r="M2060" s="2" t="e">
        <f>INDEX(+_xlfn.FORECAST.ETS.STAT(#REF!,#REF!,#REF!,#REF!,INDIRECT(M2060:N2060),#REF!),)</f>
        <v>#REF!</v>
      </c>
      <c r="N2060" s="1">
        <v>1</v>
      </c>
    </row>
    <row r="2061" spans="1:14" x14ac:dyDescent="0.55000000000000004">
      <c r="A2061" s="1" t="s">
        <v>2186</v>
      </c>
      <c r="B2061" s="2">
        <f>COUNTIF(A:A,A2061)-1</f>
        <v>6</v>
      </c>
      <c r="C2061" s="2">
        <f>COUNTIF(A$1:A2061,A2061)-1</f>
        <v>6</v>
      </c>
      <c r="D2061" s="2" t="str">
        <f>Argument!D2061</f>
        <v>v</v>
      </c>
      <c r="E2061" s="2" t="str">
        <f t="shared" si="65"/>
        <v/>
      </c>
      <c r="F2061" s="2" t="str">
        <f>IF(C2061=0,ISTEXT(FORMULA.CONVERT("="&amp;A2061&amp;"("&amp;REPLACE(REPT(",#ref!",B2061),1,1,"")&amp;")()",1)),"")</f>
        <v/>
      </c>
      <c r="G2061" s="2">
        <f>TYPE(_xlfn.FORECAST.ETS.STAT(IF(1,1),IF(1,1),IF(1,1),IF(1,1),IF(1,1),{1}))</f>
        <v>64</v>
      </c>
      <c r="H2061" s="2" t="str">
        <f t="shared" si="66"/>
        <v/>
      </c>
      <c r="I2061" s="2">
        <f>TYPE(_xlfn.FORECAST.ETS.STAT(IF(1,1),IF(1,1),IF(1,1),IF(1,1),IF(1,1),IF(1,1)))</f>
        <v>16</v>
      </c>
      <c r="J2061" s="2" t="str">
        <f>IF(C2061=0,COUNTIFS(A:A,A2061,D:D,"a"),"")</f>
        <v/>
      </c>
      <c r="K2061" s="2" t="e">
        <f>INDEX(+_xlfn.FORECAST.ETS.STAT(#REF!,#REF!,#REF!,#REF!,#REF!,K2061:L2061),)</f>
        <v>#REF!</v>
      </c>
      <c r="L2061" s="1">
        <v>1</v>
      </c>
      <c r="M2061" s="2" t="e">
        <f>INDEX(+_xlfn.FORECAST.ETS.STAT(#REF!,#REF!,#REF!,#REF!,#REF!,INDIRECT(M2061:N2061)),)</f>
        <v>#REF!</v>
      </c>
      <c r="N2061" s="1">
        <v>1</v>
      </c>
    </row>
    <row r="2062" spans="1:14" x14ac:dyDescent="0.55000000000000004">
      <c r="A2062" s="1" t="s">
        <v>2187</v>
      </c>
      <c r="B2062" s="2">
        <f>COUNTIF(A:A,A2062)-1</f>
        <v>3</v>
      </c>
      <c r="C2062" s="2">
        <f>COUNTIF(A$1:A2062,A2062)-1</f>
        <v>0</v>
      </c>
      <c r="D2062" s="2" t="str">
        <f>Argument!D2062</f>
        <v/>
      </c>
      <c r="E2062" s="2" t="str">
        <f t="shared" si="65"/>
        <v>v</v>
      </c>
      <c r="F2062" s="2" t="b">
        <f>IF(C2062=0,ISTEXT(FORMULA.CONVERT("="&amp;A2062&amp;"("&amp;REPLACE(REPT(",#ref!",B2062),1,1,"")&amp;")()",1)),"")</f>
        <v>0</v>
      </c>
      <c r="G2062" s="2"/>
      <c r="H2062" s="2" t="str">
        <f t="shared" si="66"/>
        <v/>
      </c>
      <c r="I2062" s="2">
        <f>TYPE(_xlfn.FORECAST.LINEAR(IF(1,1),IF(1,1),IF(1,1)))</f>
        <v>16</v>
      </c>
      <c r="J2062" s="2">
        <f>IF(C2062=0,COUNTIFS(A:A,A2062,D:D,"a"),"")</f>
        <v>0</v>
      </c>
      <c r="K2062" s="2"/>
      <c r="M2062" s="2"/>
    </row>
    <row r="2063" spans="1:14" x14ac:dyDescent="0.55000000000000004">
      <c r="A2063" s="1" t="s">
        <v>2187</v>
      </c>
      <c r="B2063" s="2">
        <f>COUNTIF(A:A,A2063)-1</f>
        <v>3</v>
      </c>
      <c r="C2063" s="2">
        <f>COUNTIF(A$1:A2063,A2063)-1</f>
        <v>1</v>
      </c>
      <c r="D2063" s="2" t="str">
        <f>Argument!D2063</f>
        <v>v</v>
      </c>
      <c r="E2063" s="2" t="str">
        <f t="shared" si="65"/>
        <v/>
      </c>
      <c r="F2063" s="2" t="str">
        <f>IF(C2063=0,ISTEXT(FORMULA.CONVERT("="&amp;A2063&amp;"("&amp;REPLACE(REPT(",#ref!",B2063),1,1,"")&amp;")()",1)),"")</f>
        <v/>
      </c>
      <c r="G2063" s="2">
        <f>TYPE(_xlfn.FORECAST.LINEAR({1},IF(1,1),IF(1,1)))</f>
        <v>64</v>
      </c>
      <c r="H2063" s="2" t="str">
        <f t="shared" si="66"/>
        <v/>
      </c>
      <c r="I2063" s="2">
        <f>TYPE(_xlfn.FORECAST.LINEAR(IF(1,1),IF(1,1),IF(1,1)))</f>
        <v>16</v>
      </c>
      <c r="J2063" s="2" t="str">
        <f>IF(C2063=0,COUNTIFS(A:A,A2063,D:D,"a"),"")</f>
        <v/>
      </c>
      <c r="K2063" s="2" t="e">
        <f>INDEX(+_xlfn.FORECAST.LINEAR(K2063:L2063,#REF!,#REF!),)</f>
        <v>#REF!</v>
      </c>
      <c r="L2063" s="1">
        <v>1</v>
      </c>
      <c r="M2063" s="2" t="e">
        <f>INDEX(+_xlfn.FORECAST.LINEAR(INDIRECT(M2063:N2063),#REF!,#REF!),)</f>
        <v>#REF!</v>
      </c>
      <c r="N2063" s="1">
        <v>1</v>
      </c>
    </row>
    <row r="2064" spans="1:14" x14ac:dyDescent="0.55000000000000004">
      <c r="A2064" s="1" t="s">
        <v>2187</v>
      </c>
      <c r="B2064" s="2">
        <f>COUNTIF(A:A,A2064)-1</f>
        <v>3</v>
      </c>
      <c r="C2064" s="2">
        <f>COUNTIF(A$1:A2064,A2064)-1</f>
        <v>2</v>
      </c>
      <c r="D2064" s="2" t="str">
        <f>Argument!D2064</f>
        <v>a</v>
      </c>
      <c r="E2064" s="2" t="str">
        <f t="shared" si="65"/>
        <v/>
      </c>
      <c r="F2064" s="2" t="str">
        <f>IF(C2064=0,ISTEXT(FORMULA.CONVERT("="&amp;A2064&amp;"("&amp;REPLACE(REPT(",#ref!",B2064),1,1,"")&amp;")()",1)),"")</f>
        <v/>
      </c>
      <c r="G2064" s="2">
        <f>TYPE(_xlfn.FORECAST.LINEAR(IF(1,1),{1},IF(1,1)))</f>
        <v>16</v>
      </c>
      <c r="H2064" s="2" t="str">
        <f t="shared" si="66"/>
        <v/>
      </c>
      <c r="I2064" s="2">
        <f>TYPE(_xlfn.FORECAST.LINEAR(IF(1,1),IF(1,1),IF(1,1)))</f>
        <v>16</v>
      </c>
      <c r="J2064" s="2" t="str">
        <f>IF(C2064=0,COUNTIFS(A:A,A2064,D:D,"a"),"")</f>
        <v/>
      </c>
      <c r="K2064" s="2" t="e">
        <f>INDEX(+_xlfn.FORECAST.LINEAR(#REF!,K2064:L2064,#REF!),)</f>
        <v>#REF!</v>
      </c>
      <c r="L2064" s="1">
        <v>1</v>
      </c>
      <c r="M2064" s="2" t="e">
        <f>INDEX(+_xlfn.FORECAST.LINEAR(#REF!,INDIRECT(M2064:N2064),#REF!),)</f>
        <v>#REF!</v>
      </c>
      <c r="N2064" s="1">
        <v>1</v>
      </c>
    </row>
    <row r="2065" spans="1:14" x14ac:dyDescent="0.55000000000000004">
      <c r="A2065" s="1" t="s">
        <v>2187</v>
      </c>
      <c r="B2065" s="2">
        <f>COUNTIF(A:A,A2065)-1</f>
        <v>3</v>
      </c>
      <c r="C2065" s="2">
        <f>COUNTIF(A$1:A2065,A2065)-1</f>
        <v>3</v>
      </c>
      <c r="D2065" s="2" t="str">
        <f>Argument!D2065</f>
        <v>a</v>
      </c>
      <c r="E2065" s="2" t="str">
        <f t="shared" si="65"/>
        <v/>
      </c>
      <c r="F2065" s="2" t="str">
        <f>IF(C2065=0,ISTEXT(FORMULA.CONVERT("="&amp;A2065&amp;"("&amp;REPLACE(REPT(",#ref!",B2065),1,1,"")&amp;")()",1)),"")</f>
        <v/>
      </c>
      <c r="G2065" s="2">
        <f>TYPE(_xlfn.FORECAST.LINEAR(IF(1,1),IF(1,1),{1}))</f>
        <v>16</v>
      </c>
      <c r="H2065" s="2" t="str">
        <f t="shared" si="66"/>
        <v/>
      </c>
      <c r="I2065" s="2">
        <f>TYPE(_xlfn.FORECAST.LINEAR(IF(1,1),IF(1,1),IF(1,1)))</f>
        <v>16</v>
      </c>
      <c r="J2065" s="2" t="str">
        <f>IF(C2065=0,COUNTIFS(A:A,A2065,D:D,"a"),"")</f>
        <v/>
      </c>
      <c r="K2065" s="2" t="e">
        <f>INDEX(+_xlfn.FORECAST.LINEAR(#REF!,#REF!,K2065:L2065),)</f>
        <v>#REF!</v>
      </c>
      <c r="L2065" s="1">
        <v>1</v>
      </c>
      <c r="M2065" s="2" t="e">
        <f>INDEX(+_xlfn.FORECAST.LINEAR(#REF!,#REF!,INDIRECT(M2065:N2065)),)</f>
        <v>#REF!</v>
      </c>
      <c r="N2065" s="1">
        <v>1</v>
      </c>
    </row>
    <row r="2066" spans="1:14" x14ac:dyDescent="0.55000000000000004">
      <c r="A2066" s="1" t="s">
        <v>2188</v>
      </c>
      <c r="B2066" s="2">
        <f>COUNTIF(A:A,A2066)-1</f>
        <v>3</v>
      </c>
      <c r="C2066" s="2">
        <f>COUNTIF(A$1:A2066,A2066)-1</f>
        <v>0</v>
      </c>
      <c r="D2066" s="2" t="str">
        <f>Argument!D2066</f>
        <v/>
      </c>
      <c r="E2066" s="2" t="str">
        <f t="shared" si="65"/>
        <v>var</v>
      </c>
      <c r="F2066" s="2" t="b">
        <f>IF(C2066=0,ISTEXT(FORMULA.CONVERT("="&amp;A2066&amp;"("&amp;REPLACE(REPT(",#ref!",B2066),1,1,"")&amp;")()",1)),"")</f>
        <v>1</v>
      </c>
      <c r="G2066" s="2"/>
      <c r="H2066" s="2" t="str">
        <f t="shared" si="66"/>
        <v/>
      </c>
      <c r="I2066" s="2">
        <f>TYPE(CONCAT(IF(1,1),IF(1,1),IF(1,1)))</f>
        <v>16</v>
      </c>
      <c r="J2066" s="2">
        <f>IF(C2066=0,COUNTIFS(A:A,A2066,D:D,"a"),"")</f>
        <v>0</v>
      </c>
      <c r="K2066" s="2"/>
      <c r="M2066" s="2"/>
    </row>
    <row r="2067" spans="1:14" x14ac:dyDescent="0.55000000000000004">
      <c r="A2067" s="1" t="s">
        <v>2188</v>
      </c>
      <c r="B2067" s="2">
        <f>COUNTIF(A:A,A2067)-1</f>
        <v>3</v>
      </c>
      <c r="C2067" s="2">
        <f>COUNTIF(A$1:A2067,A2067)-1</f>
        <v>1</v>
      </c>
      <c r="D2067" s="2" t="str">
        <f>Argument!D2067</f>
        <v>var</v>
      </c>
      <c r="E2067" s="2" t="str">
        <f t="shared" si="65"/>
        <v/>
      </c>
      <c r="F2067" s="2" t="str">
        <f>IF(C2067=0,ISTEXT(FORMULA.CONVERT("="&amp;A2067&amp;"("&amp;REPLACE(REPT(",#ref!",B2067),1,1,"")&amp;")()",1)),"")</f>
        <v/>
      </c>
      <c r="G2067" s="2">
        <f>TYPE(CONCAT({1},IF(1,1),IF(1,1)))</f>
        <v>16</v>
      </c>
      <c r="H2067" s="2">
        <f t="shared" si="66"/>
        <v>1</v>
      </c>
      <c r="I2067" s="2">
        <f>TYPE(CONCAT(IF(1,1),IF(1,1),IF(1,1)))</f>
        <v>16</v>
      </c>
      <c r="J2067" s="2" t="str">
        <f>IF(C2067=0,COUNTIFS(A:A,A2067,D:D,"a"),"")</f>
        <v/>
      </c>
      <c r="K2067" s="2" t="e">
        <f>INDEX(+CONCAT(K2067:L2067,#REF!,#REF!),)</f>
        <v>#NAME?</v>
      </c>
      <c r="L2067" s="1">
        <v>1</v>
      </c>
      <c r="M2067" s="2" t="e">
        <f>INDEX(+CONCAT(INDIRECT(M2067:N2067),#REF!,#REF!),)</f>
        <v>#NAME?</v>
      </c>
    </row>
    <row r="2068" spans="1:14" x14ac:dyDescent="0.55000000000000004">
      <c r="A2068" s="1" t="s">
        <v>2188</v>
      </c>
      <c r="B2068" s="2">
        <f>COUNTIF(A:A,A2068)-1</f>
        <v>3</v>
      </c>
      <c r="C2068" s="2">
        <f>COUNTIF(A$1:A2068,A2068)-1</f>
        <v>2</v>
      </c>
      <c r="D2068" s="2" t="str">
        <f>Argument!D2068</f>
        <v>var</v>
      </c>
      <c r="E2068" s="2" t="str">
        <f t="shared" si="65"/>
        <v/>
      </c>
      <c r="F2068" s="2" t="str">
        <f>IF(C2068=0,ISTEXT(FORMULA.CONVERT("="&amp;A2068&amp;"("&amp;REPLACE(REPT(",#ref!",B2068),1,1,"")&amp;")()",1)),"")</f>
        <v/>
      </c>
      <c r="G2068" s="2">
        <f>TYPE(CONCAT(IF(1,1),{1},IF(1,1)))</f>
        <v>16</v>
      </c>
      <c r="H2068" s="2">
        <f t="shared" si="66"/>
        <v>1</v>
      </c>
      <c r="I2068" s="2">
        <f>TYPE(CONCAT(IF(1,1),IF(1,1),IF(1,1)))</f>
        <v>16</v>
      </c>
      <c r="J2068" s="2" t="str">
        <f>IF(C2068=0,COUNTIFS(A:A,A2068,D:D,"a"),"")</f>
        <v/>
      </c>
      <c r="K2068" s="2" t="e">
        <f>INDEX(+CONCAT(#REF!,K2068:L2068,#REF!),)</f>
        <v>#NAME?</v>
      </c>
      <c r="L2068" s="1">
        <v>1</v>
      </c>
      <c r="M2068" s="2" t="e">
        <f>INDEX(+CONCAT(#REF!,INDIRECT(M2068:N2068),#REF!),)</f>
        <v>#NAME?</v>
      </c>
    </row>
    <row r="2069" spans="1:14" x14ac:dyDescent="0.55000000000000004">
      <c r="A2069" s="1" t="s">
        <v>2188</v>
      </c>
      <c r="B2069" s="2">
        <f>COUNTIF(A:A,A2069)-1</f>
        <v>3</v>
      </c>
      <c r="C2069" s="2">
        <f>COUNTIF(A$1:A2069,A2069)-1</f>
        <v>3</v>
      </c>
      <c r="D2069" s="2" t="str">
        <f>Argument!D2069</f>
        <v>var</v>
      </c>
      <c r="E2069" s="2" t="str">
        <f t="shared" si="65"/>
        <v/>
      </c>
      <c r="F2069" s="2" t="str">
        <f>IF(C2069=0,ISTEXT(FORMULA.CONVERT("="&amp;A2069&amp;"("&amp;REPLACE(REPT(",#ref!",B2069),1,1,"")&amp;")()",1)),"")</f>
        <v/>
      </c>
      <c r="G2069" s="2">
        <f>TYPE(CONCAT(IF(1,1),IF(1,1),{1}))</f>
        <v>16</v>
      </c>
      <c r="H2069" s="2">
        <f t="shared" si="66"/>
        <v>1</v>
      </c>
      <c r="I2069" s="2">
        <f>TYPE(CONCAT(IF(1,1),IF(1,1),IF(1,1)))</f>
        <v>16</v>
      </c>
      <c r="J2069" s="2" t="str">
        <f>IF(C2069=0,COUNTIFS(A:A,A2069,D:D,"a"),"")</f>
        <v/>
      </c>
      <c r="K2069" s="2" t="e">
        <f>INDEX(+CONCAT(#REF!,#REF!,K2069:L2069),)</f>
        <v>#NAME?</v>
      </c>
      <c r="L2069" s="1">
        <v>1</v>
      </c>
      <c r="M2069" s="2" t="e">
        <f>INDEX(+CONCAT(#REF!,#REF!,INDIRECT(M2069:N2069)),)</f>
        <v>#NAME?</v>
      </c>
    </row>
    <row r="2070" spans="1:14" x14ac:dyDescent="0.55000000000000004">
      <c r="A2070" s="1" t="s">
        <v>2189</v>
      </c>
      <c r="B2070" s="2">
        <f>COUNTIF(A:A,A2070)-1</f>
        <v>3</v>
      </c>
      <c r="C2070" s="2">
        <f>COUNTIF(A$1:A2070,A2070)-1</f>
        <v>0</v>
      </c>
      <c r="D2070" s="2" t="str">
        <f>Argument!D2070</f>
        <v/>
      </c>
      <c r="E2070" s="2" t="str">
        <f t="shared" si="65"/>
        <v>var</v>
      </c>
      <c r="F2070" s="2" t="b">
        <f>IF(C2070=0,ISTEXT(FORMULA.CONVERT("="&amp;A2070&amp;"("&amp;REPLACE(REPT(",#ref!",B2070),1,1,"")&amp;")()",1)),"")</f>
        <v>1</v>
      </c>
      <c r="G2070" s="2"/>
      <c r="H2070" s="2" t="str">
        <f t="shared" si="66"/>
        <v/>
      </c>
      <c r="I2070" s="2">
        <f>TYPE(IFS(IF(1,1),IF(1,1),IF(1,1)))</f>
        <v>16</v>
      </c>
      <c r="J2070" s="2">
        <f>IF(C2070=0,COUNTIFS(A:A,A2070,D:D,"a"),"")</f>
        <v>0</v>
      </c>
      <c r="K2070" s="2"/>
      <c r="M2070" s="2"/>
    </row>
    <row r="2071" spans="1:14" x14ac:dyDescent="0.55000000000000004">
      <c r="A2071" s="1" t="s">
        <v>2189</v>
      </c>
      <c r="B2071" s="2">
        <f>COUNTIF(A:A,A2071)-1</f>
        <v>3</v>
      </c>
      <c r="C2071" s="2">
        <f>COUNTIF(A$1:A2071,A2071)-1</f>
        <v>1</v>
      </c>
      <c r="D2071" s="2" t="str">
        <f>Argument!D2071</f>
        <v>var</v>
      </c>
      <c r="E2071" s="2" t="str">
        <f t="shared" si="65"/>
        <v/>
      </c>
      <c r="F2071" s="2" t="str">
        <f>IF(C2071=0,ISTEXT(FORMULA.CONVERT("="&amp;A2071&amp;"("&amp;REPLACE(REPT(",#ref!",B2071),1,1,"")&amp;")()",1)),"")</f>
        <v/>
      </c>
      <c r="G2071" s="2">
        <f>TYPE(IFS({1},IF(1,1),IF(1,1)))</f>
        <v>16</v>
      </c>
      <c r="H2071" s="2">
        <f t="shared" si="66"/>
        <v>1</v>
      </c>
      <c r="I2071" s="2">
        <f>TYPE(IFS(IF(1,1),IF(1,1),IF(1,1)))</f>
        <v>16</v>
      </c>
      <c r="J2071" s="2" t="str">
        <f>IF(C2071=0,COUNTIFS(A:A,A2071,D:D,"a"),"")</f>
        <v/>
      </c>
      <c r="K2071" s="2" t="e">
        <f>INDEX(+IFS(K2071:L2071,#REF!,#REF!),)</f>
        <v>#NAME?</v>
      </c>
      <c r="L2071" s="1">
        <v>1</v>
      </c>
      <c r="M2071" s="2" t="e">
        <f>INDEX(+IFS(INDIRECT(M2071:N2071),#REF!,#REF!),)</f>
        <v>#NAME?</v>
      </c>
    </row>
    <row r="2072" spans="1:14" x14ac:dyDescent="0.55000000000000004">
      <c r="A2072" s="1" t="s">
        <v>2189</v>
      </c>
      <c r="B2072" s="2">
        <f>COUNTIF(A:A,A2072)-1</f>
        <v>3</v>
      </c>
      <c r="C2072" s="2">
        <f>COUNTIF(A$1:A2072,A2072)-1</f>
        <v>2</v>
      </c>
      <c r="D2072" s="2" t="str">
        <f>Argument!D2072</f>
        <v>var</v>
      </c>
      <c r="E2072" s="2" t="str">
        <f t="shared" si="65"/>
        <v/>
      </c>
      <c r="F2072" s="2" t="str">
        <f>IF(C2072=0,ISTEXT(FORMULA.CONVERT("="&amp;A2072&amp;"("&amp;REPLACE(REPT(",#ref!",B2072),1,1,"")&amp;")()",1)),"")</f>
        <v/>
      </c>
      <c r="G2072" s="2">
        <f>TYPE(IFS(IF(1,1),{1},IF(1,1)))</f>
        <v>16</v>
      </c>
      <c r="H2072" s="2">
        <f t="shared" si="66"/>
        <v>1</v>
      </c>
      <c r="I2072" s="2">
        <f>TYPE(IFS(IF(1,1),IF(1,1),IF(1,1)))</f>
        <v>16</v>
      </c>
      <c r="J2072" s="2" t="str">
        <f>IF(C2072=0,COUNTIFS(A:A,A2072,D:D,"a"),"")</f>
        <v/>
      </c>
      <c r="K2072" s="2" t="e">
        <f>INDEX(+IFS(#REF!,K2072:L2072,#REF!),)</f>
        <v>#NAME?</v>
      </c>
      <c r="L2072" s="1">
        <v>1</v>
      </c>
      <c r="M2072" s="2" t="e">
        <f>INDEX(+IFS(#REF!,INDIRECT(M2072:N2072),#REF!),)</f>
        <v>#NAME?</v>
      </c>
    </row>
    <row r="2073" spans="1:14" x14ac:dyDescent="0.55000000000000004">
      <c r="A2073" s="1" t="s">
        <v>2189</v>
      </c>
      <c r="B2073" s="2">
        <f>COUNTIF(A:A,A2073)-1</f>
        <v>3</v>
      </c>
      <c r="C2073" s="2">
        <f>COUNTIF(A$1:A2073,A2073)-1</f>
        <v>3</v>
      </c>
      <c r="D2073" s="2" t="str">
        <f>Argument!D2073</f>
        <v>var</v>
      </c>
      <c r="E2073" s="2" t="str">
        <f t="shared" si="65"/>
        <v/>
      </c>
      <c r="F2073" s="2" t="str">
        <f>IF(C2073=0,ISTEXT(FORMULA.CONVERT("="&amp;A2073&amp;"("&amp;REPLACE(REPT(",#ref!",B2073),1,1,"")&amp;")()",1)),"")</f>
        <v/>
      </c>
      <c r="G2073" s="2">
        <f>TYPE(IFS(IF(1,1),IF(1,1),{1}))</f>
        <v>16</v>
      </c>
      <c r="H2073" s="2">
        <f t="shared" si="66"/>
        <v>1</v>
      </c>
      <c r="I2073" s="2">
        <f>TYPE(IFS(IF(1,1),IF(1,1),IF(1,1)))</f>
        <v>16</v>
      </c>
      <c r="J2073" s="2" t="str">
        <f>IF(C2073=0,COUNTIFS(A:A,A2073,D:D,"a"),"")</f>
        <v/>
      </c>
      <c r="K2073" s="2" t="e">
        <f>INDEX(+IFS(#REF!,#REF!,K2073:L2073),)</f>
        <v>#NAME?</v>
      </c>
      <c r="L2073" s="1">
        <v>1</v>
      </c>
      <c r="M2073" s="2" t="e">
        <f>INDEX(+IFS(#REF!,#REF!,INDIRECT(M2073:N2073)),)</f>
        <v>#NAME?</v>
      </c>
    </row>
    <row r="2074" spans="1:14" x14ac:dyDescent="0.55000000000000004">
      <c r="A2074" s="1" t="s">
        <v>2190</v>
      </c>
      <c r="B2074" s="2">
        <f>COUNTIF(A:A,A2074)-1</f>
        <v>5</v>
      </c>
      <c r="C2074" s="2">
        <f>COUNTIF(A$1:A2074,A2074)-1</f>
        <v>0</v>
      </c>
      <c r="D2074" s="2" t="str">
        <f>Argument!D2074</f>
        <v/>
      </c>
      <c r="E2074" s="2" t="str">
        <f t="shared" si="65"/>
        <v>var</v>
      </c>
      <c r="F2074" s="2" t="b">
        <f>IF(C2074=0,ISTEXT(FORMULA.CONVERT("="&amp;A2074&amp;"("&amp;REPLACE(REPT(",#ref!",B2074),1,1,"")&amp;")()",1)),"")</f>
        <v>1</v>
      </c>
      <c r="G2074" s="2"/>
      <c r="H2074" s="2" t="str">
        <f t="shared" si="66"/>
        <v/>
      </c>
      <c r="I2074" s="2">
        <f>TYPE(MAXIFS(IF(1,1),IF(1,1),IF(1,1),IF(1,1),IF(1,1)))</f>
        <v>16</v>
      </c>
      <c r="J2074" s="2">
        <f>IF(C2074=0,COUNTIFS(A:A,A2074,D:D,"a"),"")</f>
        <v>0</v>
      </c>
      <c r="K2074" s="2"/>
      <c r="M2074" s="2"/>
    </row>
    <row r="2075" spans="1:14" x14ac:dyDescent="0.55000000000000004">
      <c r="A2075" s="1" t="s">
        <v>2190</v>
      </c>
      <c r="B2075" s="2">
        <f>COUNTIF(A:A,A2075)-1</f>
        <v>5</v>
      </c>
      <c r="C2075" s="2">
        <f>COUNTIF(A$1:A2075,A2075)-1</f>
        <v>1</v>
      </c>
      <c r="D2075" s="2" t="str">
        <f>Argument!D2075</f>
        <v>var</v>
      </c>
      <c r="E2075" s="2" t="str">
        <f t="shared" si="65"/>
        <v/>
      </c>
      <c r="F2075" s="2" t="str">
        <f>IF(C2075=0,ISTEXT(FORMULA.CONVERT("="&amp;A2075&amp;"("&amp;REPLACE(REPT(",#ref!",B2075),1,1,"")&amp;")()",1)),"")</f>
        <v/>
      </c>
      <c r="G2075" s="2">
        <f>TYPE(MAXIFS({1},IF(1,1),IF(1,1),IF(1,1),IF(1,1)))</f>
        <v>16</v>
      </c>
      <c r="H2075" s="2">
        <f t="shared" si="66"/>
        <v>1</v>
      </c>
      <c r="I2075" s="2">
        <f>TYPE(MAXIFS(IF(1,1),IF(1,1),IF(1,1),IF(1,1),IF(1,1)))</f>
        <v>16</v>
      </c>
      <c r="J2075" s="2" t="str">
        <f>IF(C2075=0,COUNTIFS(A:A,A2075,D:D,"a"),"")</f>
        <v/>
      </c>
      <c r="K2075" s="2" t="e">
        <f>INDEX(+MAXIFS(K2075:L2075,#REF!,#REF!,#REF!,#REF!),)</f>
        <v>#NAME?</v>
      </c>
      <c r="L2075" s="1">
        <v>1</v>
      </c>
      <c r="M2075" s="2" t="e">
        <f>INDEX(+MAXIFS(INDIRECT(M2075:N2075),#REF!,#REF!,#REF!,#REF!),)</f>
        <v>#NAME?</v>
      </c>
    </row>
    <row r="2076" spans="1:14" x14ac:dyDescent="0.55000000000000004">
      <c r="A2076" s="1" t="s">
        <v>2190</v>
      </c>
      <c r="B2076" s="2">
        <f>COUNTIF(A:A,A2076)-1</f>
        <v>5</v>
      </c>
      <c r="C2076" s="2">
        <f>COUNTIF(A$1:A2076,A2076)-1</f>
        <v>2</v>
      </c>
      <c r="D2076" s="2" t="str">
        <f>Argument!D2076</f>
        <v>var</v>
      </c>
      <c r="E2076" s="2" t="str">
        <f t="shared" si="65"/>
        <v/>
      </c>
      <c r="F2076" s="2" t="str">
        <f>IF(C2076=0,ISTEXT(FORMULA.CONVERT("="&amp;A2076&amp;"("&amp;REPLACE(REPT(",#ref!",B2076),1,1,"")&amp;")()",1)),"")</f>
        <v/>
      </c>
      <c r="G2076" s="2">
        <f>TYPE(MAXIFS(IF(1,1),{1},IF(1,1),IF(1,1),IF(1,1)))</f>
        <v>16</v>
      </c>
      <c r="H2076" s="2">
        <f t="shared" si="66"/>
        <v>1</v>
      </c>
      <c r="I2076" s="2">
        <f>TYPE(MAXIFS(IF(1,1),IF(1,1),IF(1,1),IF(1,1),IF(1,1)))</f>
        <v>16</v>
      </c>
      <c r="J2076" s="2" t="str">
        <f>IF(C2076=0,COUNTIFS(A:A,A2076,D:D,"a"),"")</f>
        <v/>
      </c>
      <c r="K2076" s="2" t="e">
        <f>INDEX(+MAXIFS(#REF!,K2076:L2076,#REF!,#REF!,#REF!),)</f>
        <v>#NAME?</v>
      </c>
      <c r="L2076" s="1">
        <v>1</v>
      </c>
      <c r="M2076" s="2" t="e">
        <f>INDEX(+MAXIFS(#REF!,INDIRECT(M2076:N2076),#REF!,#REF!,#REF!),)</f>
        <v>#NAME?</v>
      </c>
    </row>
    <row r="2077" spans="1:14" x14ac:dyDescent="0.55000000000000004">
      <c r="A2077" s="1" t="s">
        <v>2190</v>
      </c>
      <c r="B2077" s="2">
        <f>COUNTIF(A:A,A2077)-1</f>
        <v>5</v>
      </c>
      <c r="C2077" s="2">
        <f>COUNTIF(A$1:A2077,A2077)-1</f>
        <v>3</v>
      </c>
      <c r="D2077" s="2" t="str">
        <f>Argument!D2077</f>
        <v>var</v>
      </c>
      <c r="E2077" s="2" t="str">
        <f t="shared" si="65"/>
        <v/>
      </c>
      <c r="F2077" s="2" t="str">
        <f>IF(C2077=0,ISTEXT(FORMULA.CONVERT("="&amp;A2077&amp;"("&amp;REPLACE(REPT(",#ref!",B2077),1,1,"")&amp;")()",1)),"")</f>
        <v/>
      </c>
      <c r="G2077" s="2">
        <f>TYPE(MAXIFS(IF(1,1),IF(1,1),{1},IF(1,1),IF(1,1)))</f>
        <v>16</v>
      </c>
      <c r="H2077" s="2">
        <f t="shared" si="66"/>
        <v>1</v>
      </c>
      <c r="I2077" s="2">
        <f>TYPE(MAXIFS(IF(1,1),IF(1,1),IF(1,1),IF(1,1),IF(1,1)))</f>
        <v>16</v>
      </c>
      <c r="J2077" s="2" t="str">
        <f>IF(C2077=0,COUNTIFS(A:A,A2077,D:D,"a"),"")</f>
        <v/>
      </c>
      <c r="K2077" s="2" t="e">
        <f>INDEX(+MAXIFS(#REF!,#REF!,K2077:L2077,#REF!,#REF!),)</f>
        <v>#NAME?</v>
      </c>
      <c r="L2077" s="1">
        <v>1</v>
      </c>
      <c r="M2077" s="2" t="e">
        <f>INDEX(+MAXIFS(#REF!,#REF!,INDIRECT(M2077:N2077),#REF!,#REF!),)</f>
        <v>#NAME?</v>
      </c>
    </row>
    <row r="2078" spans="1:14" x14ac:dyDescent="0.55000000000000004">
      <c r="A2078" s="1" t="s">
        <v>2190</v>
      </c>
      <c r="B2078" s="2">
        <f>COUNTIF(A:A,A2078)-1</f>
        <v>5</v>
      </c>
      <c r="C2078" s="2">
        <f>COUNTIF(A$1:A2078,A2078)-1</f>
        <v>4</v>
      </c>
      <c r="D2078" s="2" t="str">
        <f>Argument!D2078</f>
        <v>var</v>
      </c>
      <c r="E2078" s="2" t="str">
        <f t="shared" si="65"/>
        <v/>
      </c>
      <c r="F2078" s="2" t="str">
        <f>IF(C2078=0,ISTEXT(FORMULA.CONVERT("="&amp;A2078&amp;"("&amp;REPLACE(REPT(",#ref!",B2078),1,1,"")&amp;")()",1)),"")</f>
        <v/>
      </c>
      <c r="G2078" s="2">
        <f>TYPE(MAXIFS(IF(1,1),IF(1,1),IF(1,1),{1},IF(1,1)))</f>
        <v>16</v>
      </c>
      <c r="H2078" s="2">
        <f t="shared" si="66"/>
        <v>1</v>
      </c>
      <c r="I2078" s="2">
        <f>TYPE(MAXIFS(IF(1,1),IF(1,1),IF(1,1),IF(1,1),IF(1,1)))</f>
        <v>16</v>
      </c>
      <c r="J2078" s="2" t="str">
        <f>IF(C2078=0,COUNTIFS(A:A,A2078,D:D,"a"),"")</f>
        <v/>
      </c>
      <c r="K2078" s="2" t="e">
        <f>INDEX(+MAXIFS(#REF!,#REF!,#REF!,K2078:L2078,#REF!),)</f>
        <v>#NAME?</v>
      </c>
      <c r="L2078" s="1">
        <v>1</v>
      </c>
      <c r="M2078" s="2" t="e">
        <f>INDEX(+MAXIFS(#REF!,#REF!,#REF!,INDIRECT(M2078:N2078),#REF!),)</f>
        <v>#NAME?</v>
      </c>
    </row>
    <row r="2079" spans="1:14" x14ac:dyDescent="0.55000000000000004">
      <c r="A2079" s="1" t="s">
        <v>2190</v>
      </c>
      <c r="B2079" s="2">
        <f>COUNTIF(A:A,A2079)-1</f>
        <v>5</v>
      </c>
      <c r="C2079" s="2">
        <f>COUNTIF(A$1:A2079,A2079)-1</f>
        <v>5</v>
      </c>
      <c r="D2079" s="2" t="str">
        <f>Argument!D2079</f>
        <v>var</v>
      </c>
      <c r="E2079" s="2" t="str">
        <f t="shared" si="65"/>
        <v/>
      </c>
      <c r="F2079" s="2" t="str">
        <f>IF(C2079=0,ISTEXT(FORMULA.CONVERT("="&amp;A2079&amp;"("&amp;REPLACE(REPT(",#ref!",B2079),1,1,"")&amp;")()",1)),"")</f>
        <v/>
      </c>
      <c r="G2079" s="2">
        <f>TYPE(MAXIFS(IF(1,1),IF(1,1),IF(1,1),IF(1,1),{1}))</f>
        <v>16</v>
      </c>
      <c r="H2079" s="2">
        <f t="shared" si="66"/>
        <v>1</v>
      </c>
      <c r="I2079" s="2">
        <f>TYPE(MAXIFS(IF(1,1),IF(1,1),IF(1,1),IF(1,1),IF(1,1)))</f>
        <v>16</v>
      </c>
      <c r="J2079" s="2" t="str">
        <f>IF(C2079=0,COUNTIFS(A:A,A2079,D:D,"a"),"")</f>
        <v/>
      </c>
      <c r="K2079" s="2" t="e">
        <f>INDEX(+MAXIFS(#REF!,#REF!,#REF!,#REF!,K2079:L2079),)</f>
        <v>#NAME?</v>
      </c>
      <c r="L2079" s="1">
        <v>1</v>
      </c>
      <c r="M2079" s="2" t="e">
        <f>INDEX(+MAXIFS(#REF!,#REF!,#REF!,#REF!,INDIRECT(M2079:N2079)),)</f>
        <v>#NAME?</v>
      </c>
    </row>
    <row r="2080" spans="1:14" x14ac:dyDescent="0.55000000000000004">
      <c r="A2080" s="1" t="s">
        <v>2191</v>
      </c>
      <c r="B2080" s="2">
        <f>COUNTIF(A:A,A2080)-1</f>
        <v>5</v>
      </c>
      <c r="C2080" s="2">
        <f>COUNTIF(A$1:A2080,A2080)-1</f>
        <v>0</v>
      </c>
      <c r="D2080" s="2" t="str">
        <f>Argument!D2080</f>
        <v/>
      </c>
      <c r="E2080" s="2" t="str">
        <f t="shared" si="65"/>
        <v>var</v>
      </c>
      <c r="F2080" s="2" t="b">
        <f>IF(C2080=0,ISTEXT(FORMULA.CONVERT("="&amp;A2080&amp;"("&amp;REPLACE(REPT(",#ref!",B2080),1,1,"")&amp;")()",1)),"")</f>
        <v>1</v>
      </c>
      <c r="G2080" s="2"/>
      <c r="H2080" s="2" t="str">
        <f t="shared" si="66"/>
        <v/>
      </c>
      <c r="I2080" s="2">
        <f>TYPE(MINIFS(IF(1,1),IF(1,1),IF(1,1),IF(1,1),IF(1,1)))</f>
        <v>16</v>
      </c>
      <c r="J2080" s="2">
        <f>IF(C2080=0,COUNTIFS(A:A,A2080,D:D,"a"),"")</f>
        <v>0</v>
      </c>
      <c r="K2080" s="2"/>
      <c r="M2080" s="2"/>
    </row>
    <row r="2081" spans="1:13" x14ac:dyDescent="0.55000000000000004">
      <c r="A2081" s="1" t="s">
        <v>2191</v>
      </c>
      <c r="B2081" s="2">
        <f>COUNTIF(A:A,A2081)-1</f>
        <v>5</v>
      </c>
      <c r="C2081" s="2">
        <f>COUNTIF(A$1:A2081,A2081)-1</f>
        <v>1</v>
      </c>
      <c r="D2081" s="2" t="str">
        <f>Argument!D2081</f>
        <v>var</v>
      </c>
      <c r="E2081" s="2" t="str">
        <f t="shared" si="65"/>
        <v/>
      </c>
      <c r="F2081" s="2" t="str">
        <f>IF(C2081=0,ISTEXT(FORMULA.CONVERT("="&amp;A2081&amp;"("&amp;REPLACE(REPT(",#ref!",B2081),1,1,"")&amp;")()",1)),"")</f>
        <v/>
      </c>
      <c r="G2081" s="2">
        <f>TYPE(MINIFS({1},IF(1,1),IF(1,1),IF(1,1),IF(1,1)))</f>
        <v>16</v>
      </c>
      <c r="H2081" s="2">
        <f t="shared" si="66"/>
        <v>1</v>
      </c>
      <c r="I2081" s="2">
        <f>TYPE(MINIFS(IF(1,1),IF(1,1),IF(1,1),IF(1,1),IF(1,1)))</f>
        <v>16</v>
      </c>
      <c r="J2081" s="2" t="str">
        <f>IF(C2081=0,COUNTIFS(A:A,A2081,D:D,"a"),"")</f>
        <v/>
      </c>
      <c r="K2081" s="2" t="e">
        <f>INDEX(+MINIFS(K2081:L2081,#REF!,#REF!,#REF!,#REF!),)</f>
        <v>#NAME?</v>
      </c>
      <c r="L2081" s="1">
        <v>1</v>
      </c>
      <c r="M2081" s="2" t="e">
        <f>INDEX(+MINIFS(INDIRECT(M2081:N2081),#REF!,#REF!,#REF!,#REF!),)</f>
        <v>#NAME?</v>
      </c>
    </row>
    <row r="2082" spans="1:13" x14ac:dyDescent="0.55000000000000004">
      <c r="A2082" s="1" t="s">
        <v>2191</v>
      </c>
      <c r="B2082" s="2">
        <f>COUNTIF(A:A,A2082)-1</f>
        <v>5</v>
      </c>
      <c r="C2082" s="2">
        <f>COUNTIF(A$1:A2082,A2082)-1</f>
        <v>2</v>
      </c>
      <c r="D2082" s="2" t="str">
        <f>Argument!D2082</f>
        <v>var</v>
      </c>
      <c r="E2082" s="2" t="str">
        <f t="shared" si="65"/>
        <v/>
      </c>
      <c r="F2082" s="2" t="str">
        <f>IF(C2082=0,ISTEXT(FORMULA.CONVERT("="&amp;A2082&amp;"("&amp;REPLACE(REPT(",#ref!",B2082),1,1,"")&amp;")()",1)),"")</f>
        <v/>
      </c>
      <c r="G2082" s="2">
        <f>TYPE(MINIFS(IF(1,1),{1},IF(1,1),IF(1,1),IF(1,1)))</f>
        <v>16</v>
      </c>
      <c r="H2082" s="2">
        <f t="shared" si="66"/>
        <v>1</v>
      </c>
      <c r="I2082" s="2">
        <f>TYPE(MINIFS(IF(1,1),IF(1,1),IF(1,1),IF(1,1),IF(1,1)))</f>
        <v>16</v>
      </c>
      <c r="J2082" s="2" t="str">
        <f>IF(C2082=0,COUNTIFS(A:A,A2082,D:D,"a"),"")</f>
        <v/>
      </c>
      <c r="K2082" s="2" t="e">
        <f>INDEX(+MINIFS(#REF!,K2082:L2082,#REF!,#REF!,#REF!),)</f>
        <v>#NAME?</v>
      </c>
      <c r="L2082" s="1">
        <v>1</v>
      </c>
      <c r="M2082" s="2" t="e">
        <f>INDEX(+MINIFS(#REF!,INDIRECT(M2082:N2082),#REF!,#REF!,#REF!),)</f>
        <v>#NAME?</v>
      </c>
    </row>
    <row r="2083" spans="1:13" x14ac:dyDescent="0.55000000000000004">
      <c r="A2083" s="1" t="s">
        <v>2191</v>
      </c>
      <c r="B2083" s="2">
        <f>COUNTIF(A:A,A2083)-1</f>
        <v>5</v>
      </c>
      <c r="C2083" s="2">
        <f>COUNTIF(A$1:A2083,A2083)-1</f>
        <v>3</v>
      </c>
      <c r="D2083" s="2" t="str">
        <f>Argument!D2083</f>
        <v>var</v>
      </c>
      <c r="E2083" s="2" t="str">
        <f t="shared" si="65"/>
        <v/>
      </c>
      <c r="F2083" s="2" t="str">
        <f>IF(C2083=0,ISTEXT(FORMULA.CONVERT("="&amp;A2083&amp;"("&amp;REPLACE(REPT(",#ref!",B2083),1,1,"")&amp;")()",1)),"")</f>
        <v/>
      </c>
      <c r="G2083" s="2">
        <f>TYPE(MINIFS(IF(1,1),IF(1,1),{1},IF(1,1),IF(1,1)))</f>
        <v>16</v>
      </c>
      <c r="H2083" s="2">
        <f t="shared" si="66"/>
        <v>1</v>
      </c>
      <c r="I2083" s="2">
        <f>TYPE(MINIFS(IF(1,1),IF(1,1),IF(1,1),IF(1,1),IF(1,1)))</f>
        <v>16</v>
      </c>
      <c r="J2083" s="2" t="str">
        <f>IF(C2083=0,COUNTIFS(A:A,A2083,D:D,"a"),"")</f>
        <v/>
      </c>
      <c r="K2083" s="2" t="e">
        <f>INDEX(+MINIFS(#REF!,#REF!,K2083:L2083,#REF!,#REF!),)</f>
        <v>#NAME?</v>
      </c>
      <c r="L2083" s="1">
        <v>1</v>
      </c>
      <c r="M2083" s="2" t="e">
        <f>INDEX(+MINIFS(#REF!,#REF!,INDIRECT(M2083:N2083),#REF!,#REF!),)</f>
        <v>#NAME?</v>
      </c>
    </row>
    <row r="2084" spans="1:13" x14ac:dyDescent="0.55000000000000004">
      <c r="A2084" s="1" t="s">
        <v>2191</v>
      </c>
      <c r="B2084" s="2">
        <f>COUNTIF(A:A,A2084)-1</f>
        <v>5</v>
      </c>
      <c r="C2084" s="2">
        <f>COUNTIF(A$1:A2084,A2084)-1</f>
        <v>4</v>
      </c>
      <c r="D2084" s="2" t="str">
        <f>Argument!D2084</f>
        <v>var</v>
      </c>
      <c r="E2084" s="2" t="str">
        <f t="shared" si="65"/>
        <v/>
      </c>
      <c r="F2084" s="2" t="str">
        <f>IF(C2084=0,ISTEXT(FORMULA.CONVERT("="&amp;A2084&amp;"("&amp;REPLACE(REPT(",#ref!",B2084),1,1,"")&amp;")()",1)),"")</f>
        <v/>
      </c>
      <c r="G2084" s="2">
        <f>TYPE(MINIFS(IF(1,1),IF(1,1),IF(1,1),{1},IF(1,1)))</f>
        <v>16</v>
      </c>
      <c r="H2084" s="2">
        <f t="shared" si="66"/>
        <v>1</v>
      </c>
      <c r="I2084" s="2">
        <f>TYPE(MINIFS(IF(1,1),IF(1,1),IF(1,1),IF(1,1),IF(1,1)))</f>
        <v>16</v>
      </c>
      <c r="J2084" s="2" t="str">
        <f>IF(C2084=0,COUNTIFS(A:A,A2084,D:D,"a"),"")</f>
        <v/>
      </c>
      <c r="K2084" s="2" t="e">
        <f>INDEX(+MINIFS(#REF!,#REF!,#REF!,K2084:L2084,#REF!),)</f>
        <v>#NAME?</v>
      </c>
      <c r="L2084" s="1">
        <v>1</v>
      </c>
      <c r="M2084" s="2" t="e">
        <f>INDEX(+MINIFS(#REF!,#REF!,#REF!,INDIRECT(M2084:N2084),#REF!),)</f>
        <v>#NAME?</v>
      </c>
    </row>
    <row r="2085" spans="1:13" x14ac:dyDescent="0.55000000000000004">
      <c r="A2085" s="1" t="s">
        <v>2191</v>
      </c>
      <c r="B2085" s="2">
        <f>COUNTIF(A:A,A2085)-1</f>
        <v>5</v>
      </c>
      <c r="C2085" s="2">
        <f>COUNTIF(A$1:A2085,A2085)-1</f>
        <v>5</v>
      </c>
      <c r="D2085" s="2" t="str">
        <f>Argument!D2085</f>
        <v>var</v>
      </c>
      <c r="E2085" s="2" t="str">
        <f t="shared" si="65"/>
        <v/>
      </c>
      <c r="F2085" s="2" t="str">
        <f>IF(C2085=0,ISTEXT(FORMULA.CONVERT("="&amp;A2085&amp;"("&amp;REPLACE(REPT(",#ref!",B2085),1,1,"")&amp;")()",1)),"")</f>
        <v/>
      </c>
      <c r="G2085" s="2">
        <f>TYPE(MINIFS(IF(1,1),IF(1,1),IF(1,1),IF(1,1),{1}))</f>
        <v>16</v>
      </c>
      <c r="H2085" s="2">
        <f t="shared" si="66"/>
        <v>1</v>
      </c>
      <c r="I2085" s="2">
        <f>TYPE(MINIFS(IF(1,1),IF(1,1),IF(1,1),IF(1,1),IF(1,1)))</f>
        <v>16</v>
      </c>
      <c r="J2085" s="2" t="str">
        <f>IF(C2085=0,COUNTIFS(A:A,A2085,D:D,"a"),"")</f>
        <v/>
      </c>
      <c r="K2085" s="2" t="e">
        <f>INDEX(+MINIFS(#REF!,#REF!,#REF!,#REF!,K2085:L2085),)</f>
        <v>#NAME?</v>
      </c>
      <c r="L2085" s="1">
        <v>1</v>
      </c>
      <c r="M2085" s="2" t="e">
        <f>INDEX(+MINIFS(#REF!,#REF!,#REF!,#REF!,INDIRECT(M2085:N2085)),)</f>
        <v>#NAME?</v>
      </c>
    </row>
    <row r="2086" spans="1:13" x14ac:dyDescent="0.55000000000000004">
      <c r="A2086" s="1" t="s">
        <v>2192</v>
      </c>
      <c r="B2086" s="2">
        <f>COUNTIF(A:A,A2086)-1</f>
        <v>6</v>
      </c>
      <c r="C2086" s="2">
        <f>COUNTIF(A$1:A2086,A2086)-1</f>
        <v>0</v>
      </c>
      <c r="D2086" s="2" t="str">
        <f>Argument!D2086</f>
        <v/>
      </c>
      <c r="E2086" s="2" t="str">
        <f t="shared" si="65"/>
        <v>var</v>
      </c>
      <c r="F2086" s="2" t="b">
        <f>IF(C2086=0,ISTEXT(FORMULA.CONVERT("="&amp;A2086&amp;"("&amp;REPLACE(REPT(",#ref!",B2086),1,1,"")&amp;")()",1)),"")</f>
        <v>1</v>
      </c>
      <c r="G2086" s="2"/>
      <c r="H2086" s="2" t="str">
        <f t="shared" si="66"/>
        <v/>
      </c>
      <c r="I2086" s="2">
        <f>TYPE(SWITCH(IF(1,1),IF(1,1),IF(1,1),IF(1,1),IF(1,1),IF(1,1)))</f>
        <v>16</v>
      </c>
      <c r="J2086" s="2">
        <f>IF(C2086=0,COUNTIFS(A:A,A2086,D:D,"a"),"")</f>
        <v>0</v>
      </c>
      <c r="K2086" s="2"/>
      <c r="M2086" s="2"/>
    </row>
    <row r="2087" spans="1:13" x14ac:dyDescent="0.55000000000000004">
      <c r="A2087" s="1" t="s">
        <v>2192</v>
      </c>
      <c r="B2087" s="2">
        <f>COUNTIF(A:A,A2087)-1</f>
        <v>6</v>
      </c>
      <c r="C2087" s="2">
        <f>COUNTIF(A$1:A2087,A2087)-1</f>
        <v>1</v>
      </c>
      <c r="D2087" s="2" t="str">
        <f>Argument!D2087</f>
        <v>var</v>
      </c>
      <c r="E2087" s="2" t="str">
        <f t="shared" si="65"/>
        <v/>
      </c>
      <c r="F2087" s="2" t="str">
        <f>IF(C2087=0,ISTEXT(FORMULA.CONVERT("="&amp;A2087&amp;"("&amp;REPLACE(REPT(",#ref!",B2087),1,1,"")&amp;")()",1)),"")</f>
        <v/>
      </c>
      <c r="G2087" s="2">
        <f>TYPE(SWITCH({1},IF(1,1),IF(1,1),IF(1,1),IF(1,1),IF(1,1)))</f>
        <v>16</v>
      </c>
      <c r="H2087" s="2">
        <f t="shared" si="66"/>
        <v>1</v>
      </c>
      <c r="I2087" s="2">
        <f>TYPE(SWITCH(IF(1,1),IF(1,1),IF(1,1),IF(1,1),IF(1,1),IF(1,1)))</f>
        <v>16</v>
      </c>
      <c r="J2087" s="2" t="str">
        <f>IF(C2087=0,COUNTIFS(A:A,A2087,D:D,"a"),"")</f>
        <v/>
      </c>
      <c r="K2087" s="2" t="e">
        <f>INDEX(+SWITCH(K2087:L2087,#REF!,#REF!,#REF!,#REF!,#REF!),)</f>
        <v>#NAME?</v>
      </c>
      <c r="L2087" s="1">
        <v>1</v>
      </c>
      <c r="M2087" s="2" t="e">
        <f>INDEX(+SWITCH(INDIRECT(M2087:N2087),#REF!,#REF!,#REF!,#REF!,#REF!),)</f>
        <v>#NAME?</v>
      </c>
    </row>
    <row r="2088" spans="1:13" x14ac:dyDescent="0.55000000000000004">
      <c r="A2088" s="1" t="s">
        <v>2192</v>
      </c>
      <c r="B2088" s="2">
        <f>COUNTIF(A:A,A2088)-1</f>
        <v>6</v>
      </c>
      <c r="C2088" s="2">
        <f>COUNTIF(A$1:A2088,A2088)-1</f>
        <v>2</v>
      </c>
      <c r="D2088" s="2" t="str">
        <f>Argument!D2088</f>
        <v>var</v>
      </c>
      <c r="E2088" s="2" t="str">
        <f t="shared" si="65"/>
        <v/>
      </c>
      <c r="F2088" s="2" t="str">
        <f>IF(C2088=0,ISTEXT(FORMULA.CONVERT("="&amp;A2088&amp;"("&amp;REPLACE(REPT(",#ref!",B2088),1,1,"")&amp;")()",1)),"")</f>
        <v/>
      </c>
      <c r="G2088" s="2">
        <f>TYPE(SWITCH(IF(1,1),{1},IF(1,1),IF(1,1),IF(1,1),IF(1,1)))</f>
        <v>16</v>
      </c>
      <c r="H2088" s="2">
        <f t="shared" si="66"/>
        <v>1</v>
      </c>
      <c r="I2088" s="2">
        <f>TYPE(SWITCH(IF(1,1),IF(1,1),IF(1,1),IF(1,1),IF(1,1),IF(1,1)))</f>
        <v>16</v>
      </c>
      <c r="J2088" s="2" t="str">
        <f>IF(C2088=0,COUNTIFS(A:A,A2088,D:D,"a"),"")</f>
        <v/>
      </c>
      <c r="K2088" s="2" t="e">
        <f>INDEX(+SWITCH(#REF!,K2088:L2088,#REF!,#REF!,#REF!,#REF!),)</f>
        <v>#NAME?</v>
      </c>
      <c r="L2088" s="1">
        <v>1</v>
      </c>
      <c r="M2088" s="2" t="e">
        <f>INDEX(+SWITCH(#REF!,INDIRECT(M2088:N2088),#REF!,#REF!,#REF!,#REF!),)</f>
        <v>#NAME?</v>
      </c>
    </row>
    <row r="2089" spans="1:13" x14ac:dyDescent="0.55000000000000004">
      <c r="A2089" s="1" t="s">
        <v>2192</v>
      </c>
      <c r="B2089" s="2">
        <f>COUNTIF(A:A,A2089)-1</f>
        <v>6</v>
      </c>
      <c r="C2089" s="2">
        <f>COUNTIF(A$1:A2089,A2089)-1</f>
        <v>3</v>
      </c>
      <c r="D2089" s="2" t="str">
        <f>Argument!D2089</f>
        <v>var</v>
      </c>
      <c r="E2089" s="2" t="str">
        <f t="shared" si="65"/>
        <v/>
      </c>
      <c r="F2089" s="2" t="str">
        <f>IF(C2089=0,ISTEXT(FORMULA.CONVERT("="&amp;A2089&amp;"("&amp;REPLACE(REPT(",#ref!",B2089),1,1,"")&amp;")()",1)),"")</f>
        <v/>
      </c>
      <c r="G2089" s="2">
        <f>TYPE(SWITCH(IF(1,1),IF(1,1),{1},IF(1,1),IF(1,1),IF(1,1)))</f>
        <v>16</v>
      </c>
      <c r="H2089" s="2">
        <f t="shared" si="66"/>
        <v>1</v>
      </c>
      <c r="I2089" s="2">
        <f>TYPE(SWITCH(IF(1,1),IF(1,1),IF(1,1),IF(1,1),IF(1,1),IF(1,1)))</f>
        <v>16</v>
      </c>
      <c r="J2089" s="2" t="str">
        <f>IF(C2089=0,COUNTIFS(A:A,A2089,D:D,"a"),"")</f>
        <v/>
      </c>
      <c r="K2089" s="2" t="e">
        <f>INDEX(+SWITCH(#REF!,#REF!,K2089:L2089,#REF!,#REF!,#REF!),)</f>
        <v>#NAME?</v>
      </c>
      <c r="L2089" s="1">
        <v>1</v>
      </c>
      <c r="M2089" s="2" t="e">
        <f>INDEX(+SWITCH(#REF!,#REF!,INDIRECT(M2089:N2089),#REF!,#REF!,#REF!),)</f>
        <v>#NAME?</v>
      </c>
    </row>
    <row r="2090" spans="1:13" x14ac:dyDescent="0.55000000000000004">
      <c r="A2090" s="1" t="s">
        <v>2192</v>
      </c>
      <c r="B2090" s="2">
        <f>COUNTIF(A:A,A2090)-1</f>
        <v>6</v>
      </c>
      <c r="C2090" s="2">
        <f>COUNTIF(A$1:A2090,A2090)-1</f>
        <v>4</v>
      </c>
      <c r="D2090" s="2" t="str">
        <f>Argument!D2090</f>
        <v>var</v>
      </c>
      <c r="E2090" s="2" t="str">
        <f t="shared" si="65"/>
        <v/>
      </c>
      <c r="F2090" s="2" t="str">
        <f>IF(C2090=0,ISTEXT(FORMULA.CONVERT("="&amp;A2090&amp;"("&amp;REPLACE(REPT(",#ref!",B2090),1,1,"")&amp;")()",1)),"")</f>
        <v/>
      </c>
      <c r="G2090" s="2">
        <f>TYPE(SWITCH(IF(1,1),IF(1,1),IF(1,1),{1},IF(1,1),IF(1,1)))</f>
        <v>16</v>
      </c>
      <c r="H2090" s="2">
        <f t="shared" si="66"/>
        <v>1</v>
      </c>
      <c r="I2090" s="2">
        <f>TYPE(SWITCH(IF(1,1),IF(1,1),IF(1,1),IF(1,1),IF(1,1),IF(1,1)))</f>
        <v>16</v>
      </c>
      <c r="J2090" s="2" t="str">
        <f>IF(C2090=0,COUNTIFS(A:A,A2090,D:D,"a"),"")</f>
        <v/>
      </c>
      <c r="K2090" s="2" t="e">
        <f>INDEX(+SWITCH(#REF!,#REF!,#REF!,K2090:L2090,#REF!,#REF!),)</f>
        <v>#NAME?</v>
      </c>
      <c r="L2090" s="1">
        <v>1</v>
      </c>
      <c r="M2090" s="2" t="e">
        <f>INDEX(+SWITCH(#REF!,#REF!,#REF!,INDIRECT(M2090:N2090),#REF!,#REF!),)</f>
        <v>#NAME?</v>
      </c>
    </row>
    <row r="2091" spans="1:13" x14ac:dyDescent="0.55000000000000004">
      <c r="A2091" s="1" t="s">
        <v>2192</v>
      </c>
      <c r="B2091" s="2">
        <f>COUNTIF(A:A,A2091)-1</f>
        <v>6</v>
      </c>
      <c r="C2091" s="2">
        <f>COUNTIF(A$1:A2091,A2091)-1</f>
        <v>5</v>
      </c>
      <c r="D2091" s="2" t="str">
        <f>Argument!D2091</f>
        <v>var</v>
      </c>
      <c r="E2091" s="2" t="str">
        <f t="shared" si="65"/>
        <v/>
      </c>
      <c r="F2091" s="2" t="str">
        <f>IF(C2091=0,ISTEXT(FORMULA.CONVERT("="&amp;A2091&amp;"("&amp;REPLACE(REPT(",#ref!",B2091),1,1,"")&amp;")()",1)),"")</f>
        <v/>
      </c>
      <c r="G2091" s="2">
        <f>TYPE(SWITCH(IF(1,1),IF(1,1),IF(1,1),IF(1,1),{1},IF(1,1)))</f>
        <v>16</v>
      </c>
      <c r="H2091" s="2">
        <f t="shared" si="66"/>
        <v>1</v>
      </c>
      <c r="I2091" s="2">
        <f>TYPE(SWITCH(IF(1,1),IF(1,1),IF(1,1),IF(1,1),IF(1,1),IF(1,1)))</f>
        <v>16</v>
      </c>
      <c r="J2091" s="2" t="str">
        <f>IF(C2091=0,COUNTIFS(A:A,A2091,D:D,"a"),"")</f>
        <v/>
      </c>
      <c r="K2091" s="2" t="e">
        <f>INDEX(+SWITCH(#REF!,#REF!,#REF!,#REF!,K2091:L2091,#REF!),)</f>
        <v>#NAME?</v>
      </c>
      <c r="L2091" s="1">
        <v>1</v>
      </c>
      <c r="M2091" s="2" t="e">
        <f>INDEX(+SWITCH(#REF!,#REF!,#REF!,#REF!,INDIRECT(M2091:N2091),#REF!),)</f>
        <v>#NAME?</v>
      </c>
    </row>
    <row r="2092" spans="1:13" x14ac:dyDescent="0.55000000000000004">
      <c r="A2092" s="1" t="s">
        <v>2192</v>
      </c>
      <c r="B2092" s="2">
        <f>COUNTIF(A:A,A2092)-1</f>
        <v>6</v>
      </c>
      <c r="C2092" s="2">
        <f>COUNTIF(A$1:A2092,A2092)-1</f>
        <v>6</v>
      </c>
      <c r="D2092" s="2" t="str">
        <f>Argument!D2092</f>
        <v>var</v>
      </c>
      <c r="E2092" s="2" t="str">
        <f t="shared" si="65"/>
        <v/>
      </c>
      <c r="F2092" s="2" t="str">
        <f>IF(C2092=0,ISTEXT(FORMULA.CONVERT("="&amp;A2092&amp;"("&amp;REPLACE(REPT(",#ref!",B2092),1,1,"")&amp;")()",1)),"")</f>
        <v/>
      </c>
      <c r="G2092" s="2">
        <f>TYPE(SWITCH(IF(1,1),IF(1,1),IF(1,1),IF(1,1),IF(1,1),{1}))</f>
        <v>16</v>
      </c>
      <c r="H2092" s="2">
        <f t="shared" si="66"/>
        <v>1</v>
      </c>
      <c r="I2092" s="2">
        <f>TYPE(SWITCH(IF(1,1),IF(1,1),IF(1,1),IF(1,1),IF(1,1),IF(1,1)))</f>
        <v>16</v>
      </c>
      <c r="J2092" s="2" t="str">
        <f>IF(C2092=0,COUNTIFS(A:A,A2092,D:D,"a"),"")</f>
        <v/>
      </c>
      <c r="K2092" s="2" t="e">
        <f>INDEX(+SWITCH(#REF!,#REF!,#REF!,#REF!,#REF!,K2092:L2092),)</f>
        <v>#NAME?</v>
      </c>
      <c r="L2092" s="1">
        <v>1</v>
      </c>
      <c r="M2092" s="2" t="e">
        <f>INDEX(+SWITCH(#REF!,#REF!,#REF!,#REF!,#REF!,INDIRECT(M2092:N2092)),)</f>
        <v>#NAME?</v>
      </c>
    </row>
    <row r="2093" spans="1:13" x14ac:dyDescent="0.55000000000000004">
      <c r="A2093" s="1" t="s">
        <v>2193</v>
      </c>
      <c r="B2093" s="2">
        <f>COUNTIF(A:A,A2093)-1</f>
        <v>4</v>
      </c>
      <c r="C2093" s="2">
        <f>COUNTIF(A$1:A2093,A2093)-1</f>
        <v>0</v>
      </c>
      <c r="D2093" s="2" t="str">
        <f>Argument!D2093</f>
        <v/>
      </c>
      <c r="E2093" s="2" t="str">
        <f t="shared" si="65"/>
        <v>var</v>
      </c>
      <c r="F2093" s="2" t="b">
        <f>IF(C2093=0,ISTEXT(FORMULA.CONVERT("="&amp;A2093&amp;"("&amp;REPLACE(REPT(",#ref!",B2093),1,1,"")&amp;")()",1)),"")</f>
        <v>1</v>
      </c>
      <c r="G2093" s="2"/>
      <c r="H2093" s="2" t="str">
        <f t="shared" si="66"/>
        <v/>
      </c>
      <c r="I2093" s="2">
        <f>TYPE(TEXTJOIN(IF(1,1),IF(1,1),IF(1,1),IF(1,1)))</f>
        <v>16</v>
      </c>
      <c r="J2093" s="2">
        <f>IF(C2093=0,COUNTIFS(A:A,A2093,D:D,"a"),"")</f>
        <v>0</v>
      </c>
      <c r="K2093" s="2"/>
      <c r="M2093" s="2"/>
    </row>
    <row r="2094" spans="1:13" x14ac:dyDescent="0.55000000000000004">
      <c r="A2094" s="1" t="s">
        <v>2193</v>
      </c>
      <c r="B2094" s="2">
        <f>COUNTIF(A:A,A2094)-1</f>
        <v>4</v>
      </c>
      <c r="C2094" s="2">
        <f>COUNTIF(A$1:A2094,A2094)-1</f>
        <v>1</v>
      </c>
      <c r="D2094" s="2" t="str">
        <f>Argument!D2094</f>
        <v>var</v>
      </c>
      <c r="E2094" s="2" t="str">
        <f t="shared" si="65"/>
        <v/>
      </c>
      <c r="F2094" s="2" t="str">
        <f>IF(C2094=0,ISTEXT(FORMULA.CONVERT("="&amp;A2094&amp;"("&amp;REPLACE(REPT(",#ref!",B2094),1,1,"")&amp;")()",1)),"")</f>
        <v/>
      </c>
      <c r="G2094" s="2">
        <f>TYPE(TEXTJOIN({1},IF(1,1),IF(1,1),IF(1,1)))</f>
        <v>16</v>
      </c>
      <c r="H2094" s="2">
        <f t="shared" si="66"/>
        <v>1</v>
      </c>
      <c r="I2094" s="2">
        <f>TYPE(TEXTJOIN(IF(1,1),IF(1,1),IF(1,1),IF(1,1)))</f>
        <v>16</v>
      </c>
      <c r="J2094" s="2" t="str">
        <f>IF(C2094=0,COUNTIFS(A:A,A2094,D:D,"a"),"")</f>
        <v/>
      </c>
      <c r="K2094" s="2" t="e">
        <f>INDEX(+TEXTJOIN(K2094:L2094,#REF!,#REF!,#REF!),)</f>
        <v>#NAME?</v>
      </c>
      <c r="L2094" s="1">
        <v>1</v>
      </c>
      <c r="M2094" s="2" t="e">
        <f>INDEX(+TEXTJOIN(INDIRECT(M2094:N2094),#REF!,#REF!,#REF!),)</f>
        <v>#NAME?</v>
      </c>
    </row>
    <row r="2095" spans="1:13" x14ac:dyDescent="0.55000000000000004">
      <c r="A2095" s="1" t="s">
        <v>2193</v>
      </c>
      <c r="B2095" s="2">
        <f>COUNTIF(A:A,A2095)-1</f>
        <v>4</v>
      </c>
      <c r="C2095" s="2">
        <f>COUNTIF(A$1:A2095,A2095)-1</f>
        <v>2</v>
      </c>
      <c r="D2095" s="2" t="str">
        <f>Argument!D2095</f>
        <v>var</v>
      </c>
      <c r="E2095" s="2" t="str">
        <f t="shared" si="65"/>
        <v/>
      </c>
      <c r="F2095" s="2" t="str">
        <f>IF(C2095=0,ISTEXT(FORMULA.CONVERT("="&amp;A2095&amp;"("&amp;REPLACE(REPT(",#ref!",B2095),1,1,"")&amp;")()",1)),"")</f>
        <v/>
      </c>
      <c r="G2095" s="2">
        <f>TYPE(TEXTJOIN(IF(1,1),{1},IF(1,1),IF(1,1)))</f>
        <v>16</v>
      </c>
      <c r="H2095" s="2">
        <f t="shared" si="66"/>
        <v>1</v>
      </c>
      <c r="I2095" s="2">
        <f>TYPE(TEXTJOIN(IF(1,1),IF(1,1),IF(1,1),IF(1,1)))</f>
        <v>16</v>
      </c>
      <c r="J2095" s="2" t="str">
        <f>IF(C2095=0,COUNTIFS(A:A,A2095,D:D,"a"),"")</f>
        <v/>
      </c>
      <c r="K2095" s="2" t="e">
        <f>INDEX(+TEXTJOIN(#REF!,K2095:L2095,#REF!,#REF!),)</f>
        <v>#NAME?</v>
      </c>
      <c r="L2095" s="1">
        <v>1</v>
      </c>
      <c r="M2095" s="2" t="e">
        <f>INDEX(+TEXTJOIN(#REF!,INDIRECT(M2095:N2095),#REF!,#REF!),)</f>
        <v>#NAME?</v>
      </c>
    </row>
    <row r="2096" spans="1:13" x14ac:dyDescent="0.55000000000000004">
      <c r="A2096" s="1" t="s">
        <v>2193</v>
      </c>
      <c r="B2096" s="2">
        <f>COUNTIF(A:A,A2096)-1</f>
        <v>4</v>
      </c>
      <c r="C2096" s="2">
        <f>COUNTIF(A$1:A2096,A2096)-1</f>
        <v>3</v>
      </c>
      <c r="D2096" s="2" t="str">
        <f>Argument!D2096</f>
        <v>var</v>
      </c>
      <c r="E2096" s="2" t="str">
        <f t="shared" si="65"/>
        <v/>
      </c>
      <c r="F2096" s="2" t="str">
        <f>IF(C2096=0,ISTEXT(FORMULA.CONVERT("="&amp;A2096&amp;"("&amp;REPLACE(REPT(",#ref!",B2096),1,1,"")&amp;")()",1)),"")</f>
        <v/>
      </c>
      <c r="G2096" s="2">
        <f>TYPE(TEXTJOIN(IF(1,1),IF(1,1),{1},IF(1,1)))</f>
        <v>16</v>
      </c>
      <c r="H2096" s="2">
        <f t="shared" si="66"/>
        <v>1</v>
      </c>
      <c r="I2096" s="2">
        <f>TYPE(TEXTJOIN(IF(1,1),IF(1,1),IF(1,1),IF(1,1)))</f>
        <v>16</v>
      </c>
      <c r="J2096" s="2" t="str">
        <f>IF(C2096=0,COUNTIFS(A:A,A2096,D:D,"a"),"")</f>
        <v/>
      </c>
      <c r="K2096" s="2" t="e">
        <f>INDEX(+TEXTJOIN(#REF!,#REF!,K2096:L2096,#REF!),)</f>
        <v>#NAME?</v>
      </c>
      <c r="L2096" s="1">
        <v>1</v>
      </c>
      <c r="M2096" s="2" t="e">
        <f>INDEX(+TEXTJOIN(#REF!,#REF!,INDIRECT(M2096:N2096),#REF!),)</f>
        <v>#NAME?</v>
      </c>
    </row>
    <row r="2097" spans="1:13" x14ac:dyDescent="0.55000000000000004">
      <c r="A2097" s="1" t="s">
        <v>2193</v>
      </c>
      <c r="B2097" s="2">
        <f>COUNTIF(A:A,A2097)-1</f>
        <v>4</v>
      </c>
      <c r="C2097" s="2">
        <f>COUNTIF(A$1:A2097,A2097)-1</f>
        <v>4</v>
      </c>
      <c r="D2097" s="2" t="str">
        <f>Argument!D2097</f>
        <v>var</v>
      </c>
      <c r="E2097" s="2" t="str">
        <f t="shared" si="65"/>
        <v/>
      </c>
      <c r="F2097" s="2" t="str">
        <f>IF(C2097=0,ISTEXT(FORMULA.CONVERT("="&amp;A2097&amp;"("&amp;REPLACE(REPT(",#ref!",B2097),1,1,"")&amp;")()",1)),"")</f>
        <v/>
      </c>
      <c r="G2097" s="2">
        <f>TYPE(TEXTJOIN(IF(1,1),IF(1,1),IF(1,1),{1}))</f>
        <v>16</v>
      </c>
      <c r="H2097" s="2">
        <f t="shared" si="66"/>
        <v>1</v>
      </c>
      <c r="I2097" s="2">
        <f>TYPE(TEXTJOIN(IF(1,1),IF(1,1),IF(1,1),IF(1,1)))</f>
        <v>16</v>
      </c>
      <c r="J2097" s="2" t="str">
        <f>IF(C2097=0,COUNTIFS(A:A,A2097,D:D,"a"),"")</f>
        <v/>
      </c>
      <c r="K2097" s="2" t="e">
        <f>INDEX(+TEXTJOIN(#REF!,#REF!,#REF!,K2097:L2097),)</f>
        <v>#NAME?</v>
      </c>
      <c r="L2097" s="1">
        <v>1</v>
      </c>
      <c r="M2097" s="2" t="e">
        <f>INDEX(+TEXTJOIN(#REF!,#REF!,#REF!,INDIRECT(M2097:N2097)),)</f>
        <v>#NAME?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097"/>
  <sheetViews>
    <sheetView zoomScaleNormal="100" workbookViewId="0"/>
  </sheetViews>
  <sheetFormatPr defaultColWidth="9" defaultRowHeight="14.4" x14ac:dyDescent="0.55000000000000004"/>
  <cols>
    <col min="1" max="16384" width="9" style="1"/>
  </cols>
  <sheetData>
    <row r="1" spans="1:12" s="4" customFormat="1" x14ac:dyDescent="0.55000000000000004">
      <c r="A1" s="4" t="s">
        <v>1210</v>
      </c>
      <c r="B1" s="4" t="s">
        <v>2194</v>
      </c>
      <c r="C1" s="4" t="s">
        <v>2195</v>
      </c>
      <c r="D1" s="4" t="s">
        <v>2238</v>
      </c>
      <c r="E1" s="4" t="s">
        <v>2196</v>
      </c>
      <c r="F1" s="4" t="s">
        <v>2244</v>
      </c>
      <c r="H1" s="4" t="s">
        <v>2243</v>
      </c>
      <c r="J1" s="4" t="s">
        <v>2239</v>
      </c>
      <c r="L1" s="4" t="s">
        <v>2242</v>
      </c>
    </row>
    <row r="2" spans="1:12" x14ac:dyDescent="0.55000000000000004">
      <c r="B2" s="2">
        <f>COUNTIF(A:A,A2)-1</f>
        <v>-1</v>
      </c>
      <c r="C2" s="2">
        <f>COUNTIF(A$1:A2,A2)-1</f>
        <v>-1</v>
      </c>
      <c r="D2" s="2" t="str">
        <f t="shared" ref="D2:D65" si="0">IF(C2&gt;0,IF(COUNTA(F2:G2)=1,"v",)&amp;IF(L2=64,,"a")&amp;IF(COUNTA(I2,K2)=1,"r",),"")</f>
        <v/>
      </c>
      <c r="E2" s="2" t="str">
        <f>IFERROR(FORMULA.CONVERT("="&amp;Return!A2&amp;"("&amp;REPLACE(REPT(",#ref!",Return!C2),1,1,"")&amp;")",1),"")</f>
        <v/>
      </c>
      <c r="F2" s="2" t="str">
        <f>IF(C2&lt;1,"",IFERROR(FORMULA.CONVERT("="&amp;A2&amp;"("&amp;SUBSTITUTE(REPLACE(REPT(",#ref!",B2),1,1,""),"#ref!","+rc:rc[1]",C2)&amp;")",0,1,,F2),""))</f>
        <v/>
      </c>
      <c r="H2" s="2" t="str">
        <f>IF(C2&lt;1,"",FORMULA.CONVERT("="&amp;A2&amp;"("&amp;SUBSTITUTE(REPLACE(REPT(",#ref!",B2),1,1,""),"#ref!","rc:rc[1]",C2)&amp;")",0,1,,H2))</f>
        <v/>
      </c>
      <c r="J2" s="2" t="str">
        <f>IF(C2&lt;1,"",FORMULA.CONVERT("="&amp;A2&amp;"("&amp;SUBSTITUTE(REPLACE(REPT(",#ref!",B2),1,1,""),"#ref!","indirect(rc:rc[1])",C2)&amp;")",0,1,,J2))</f>
        <v/>
      </c>
      <c r="L2" s="2" t="e">
        <f>IF(C2=0,"","=Type(Index(,"&amp;A2&amp;"("&amp;REPLACE(SUBSTITUTE(REPT(",#ref!",B2),"#ref!","offset(index(1,),,)",C2),1,1,"")&amp;")))")</f>
        <v>#VALUE!</v>
      </c>
    </row>
    <row r="3" spans="1:12" x14ac:dyDescent="0.55000000000000004">
      <c r="A3" s="1" t="s">
        <v>1485</v>
      </c>
      <c r="B3" s="2">
        <f>COUNTIF(A:A,A3)-1</f>
        <v>3</v>
      </c>
      <c r="C3" s="2">
        <f>COUNTIF(A$1:A3,A3)-1</f>
        <v>0</v>
      </c>
      <c r="D3" s="2" t="str">
        <f t="shared" si="0"/>
        <v/>
      </c>
      <c r="E3" s="2"/>
      <c r="F3" s="2"/>
      <c r="H3" s="2"/>
      <c r="J3" s="2"/>
      <c r="L3" s="2"/>
    </row>
    <row r="4" spans="1:12" x14ac:dyDescent="0.55000000000000004">
      <c r="A4" s="1" t="s">
        <v>1485</v>
      </c>
      <c r="B4" s="2">
        <f>COUNTIF(A:A,A4)-1</f>
        <v>3</v>
      </c>
      <c r="C4" s="2">
        <f>COUNTIF(A$1:A4,A4)-1</f>
        <v>1</v>
      </c>
      <c r="D4" s="2" t="str">
        <f t="shared" si="0"/>
        <v>var</v>
      </c>
      <c r="E4" s="2">
        <f>COUNT(#REF!)</f>
        <v>0</v>
      </c>
      <c r="F4" s="2">
        <f>COUNT(+F4:G4,#REF!,#REF!)</f>
        <v>1</v>
      </c>
      <c r="H4" s="2">
        <f>COUNT(H4:I4,#REF!,#REF!)</f>
        <v>1</v>
      </c>
      <c r="I4" s="1">
        <v>1</v>
      </c>
      <c r="J4" s="2">
        <f>COUNT(INDIRECT(J4:K4),#REF!,#REF!)</f>
        <v>0</v>
      </c>
      <c r="L4" s="2">
        <f>TYPE(INDEX(,COUNT(OFFSET(INDEX(1,),,),#REF!,#REF!)))</f>
        <v>16</v>
      </c>
    </row>
    <row r="5" spans="1:12" x14ac:dyDescent="0.55000000000000004">
      <c r="A5" s="1" t="s">
        <v>1485</v>
      </c>
      <c r="B5" s="2">
        <f>COUNTIF(A:A,A5)-1</f>
        <v>3</v>
      </c>
      <c r="C5" s="2">
        <f>COUNTIF(A$1:A5,A5)-1</f>
        <v>2</v>
      </c>
      <c r="D5" s="2" t="str">
        <f t="shared" si="0"/>
        <v>var</v>
      </c>
      <c r="E5" s="2">
        <f>COUNT(#REF!,#REF!)</f>
        <v>0</v>
      </c>
      <c r="F5" s="2">
        <f>COUNT(#REF!,+F5:G5,#REF!)</f>
        <v>1</v>
      </c>
      <c r="H5" s="2">
        <f>COUNT(#REF!,H5:I5,#REF!)</f>
        <v>1</v>
      </c>
      <c r="I5" s="1">
        <v>1</v>
      </c>
      <c r="J5" s="2">
        <f>COUNT(#REF!,INDIRECT(J5:K5),#REF!)</f>
        <v>0</v>
      </c>
      <c r="L5" s="2">
        <f>TYPE(INDEX(,COUNT(#REF!,OFFSET(INDEX(1,),,),#REF!)))</f>
        <v>16</v>
      </c>
    </row>
    <row r="6" spans="1:12" x14ac:dyDescent="0.55000000000000004">
      <c r="A6" s="1" t="s">
        <v>1485</v>
      </c>
      <c r="B6" s="2">
        <f>COUNTIF(A:A,A6)-1</f>
        <v>3</v>
      </c>
      <c r="C6" s="2">
        <f>COUNTIF(A$1:A6,A6)-1</f>
        <v>3</v>
      </c>
      <c r="D6" s="2" t="str">
        <f t="shared" si="0"/>
        <v>var</v>
      </c>
      <c r="E6" s="2">
        <f>COUNT(#REF!,#REF!,#REF!)</f>
        <v>0</v>
      </c>
      <c r="F6" s="2">
        <f>COUNT(#REF!,#REF!,+F6:G6)</f>
        <v>1</v>
      </c>
      <c r="H6" s="2">
        <f>COUNT(#REF!,#REF!,H6:I6)</f>
        <v>1</v>
      </c>
      <c r="I6" s="1">
        <v>1</v>
      </c>
      <c r="J6" s="2">
        <f>COUNT(#REF!,#REF!,INDIRECT(J6:K6))</f>
        <v>0</v>
      </c>
      <c r="L6" s="2">
        <f>TYPE(INDEX(,COUNT(#REF!,#REF!,OFFSET(INDEX(1,),,))))</f>
        <v>16</v>
      </c>
    </row>
    <row r="7" spans="1:12" x14ac:dyDescent="0.55000000000000004">
      <c r="A7" s="1" t="s">
        <v>1486</v>
      </c>
      <c r="B7" s="2">
        <f>COUNTIF(A:A,A7)-1</f>
        <v>3</v>
      </c>
      <c r="C7" s="2">
        <f>COUNTIF(A$1:A7,A7)-1</f>
        <v>0</v>
      </c>
      <c r="D7" s="2" t="str">
        <f t="shared" si="0"/>
        <v/>
      </c>
      <c r="E7" s="2"/>
      <c r="F7" s="2"/>
      <c r="H7" s="2"/>
      <c r="J7" s="2"/>
      <c r="L7" s="2"/>
    </row>
    <row r="8" spans="1:12" x14ac:dyDescent="0.55000000000000004">
      <c r="A8" s="1" t="s">
        <v>1486</v>
      </c>
      <c r="B8" s="2">
        <f>COUNTIF(A:A,A8)-1</f>
        <v>3</v>
      </c>
      <c r="C8" s="2">
        <f>COUNTIF(A$1:A8,A8)-1</f>
        <v>1</v>
      </c>
      <c r="D8" s="2" t="str">
        <f t="shared" si="0"/>
        <v>va</v>
      </c>
      <c r="E8" s="2" t="b">
        <f>IF(#REF!)</f>
        <v>0</v>
      </c>
      <c r="F8" s="2" t="e">
        <f>IF(+F8:G8,#REF!,#REF!)</f>
        <v>#REF!</v>
      </c>
      <c r="H8" s="2" t="e">
        <f>IF(H8:I8,#REF!,#REF!)</f>
        <v>#REF!</v>
      </c>
      <c r="J8" s="2" t="e">
        <f>IF(INDIRECT(J8:K8),#REF!,#REF!)</f>
        <v>#REF!</v>
      </c>
      <c r="L8" s="2">
        <f>TYPE(INDEX(,IF(OFFSET(INDEX(1,),,),#REF!,#REF!)))</f>
        <v>16</v>
      </c>
    </row>
    <row r="9" spans="1:12" x14ac:dyDescent="0.55000000000000004">
      <c r="A9" s="1" t="s">
        <v>1486</v>
      </c>
      <c r="B9" s="2">
        <f>COUNTIF(A:A,A9)-1</f>
        <v>3</v>
      </c>
      <c r="C9" s="2">
        <f>COUNTIF(A$1:A9,A9)-1</f>
        <v>2</v>
      </c>
      <c r="D9" s="2" t="str">
        <f t="shared" si="0"/>
        <v>var</v>
      </c>
      <c r="E9" s="2" t="e">
        <f>IF(#REF!,#REF!)</f>
        <v>#REF!</v>
      </c>
      <c r="F9" s="2" t="e">
        <f>IF(#REF!,+F9:G9,#REF!)</f>
        <v>#REF!</v>
      </c>
      <c r="H9" s="2" t="e">
        <f>IF(#REF!,H9:I9,#REF!)</f>
        <v>#REF!</v>
      </c>
      <c r="I9" s="1">
        <v>1</v>
      </c>
      <c r="J9" s="2" t="e">
        <f>IF(#REF!,INDIRECT(J9:K9),#REF!)</f>
        <v>#REF!</v>
      </c>
      <c r="L9" s="2">
        <f>TYPE(INDEX(,IF(#REF!,OFFSET(INDEX(1,),,),#REF!)))</f>
        <v>16</v>
      </c>
    </row>
    <row r="10" spans="1:12" x14ac:dyDescent="0.55000000000000004">
      <c r="A10" s="1" t="s">
        <v>1486</v>
      </c>
      <c r="B10" s="2">
        <f>COUNTIF(A:A,A10)-1</f>
        <v>3</v>
      </c>
      <c r="C10" s="2">
        <f>COUNTIF(A$1:A10,A10)-1</f>
        <v>3</v>
      </c>
      <c r="D10" s="2" t="str">
        <f t="shared" si="0"/>
        <v>var</v>
      </c>
      <c r="E10" s="2" t="e">
        <f>IF(#REF!,#REF!,#REF!)</f>
        <v>#REF!</v>
      </c>
      <c r="F10" s="2" t="e">
        <f>IF(#REF!,#REF!,+F10:G10)</f>
        <v>#REF!</v>
      </c>
      <c r="H10" s="2" t="e">
        <f>IF(#REF!,#REF!,H10:I10)</f>
        <v>#REF!</v>
      </c>
      <c r="I10" s="1">
        <v>1</v>
      </c>
      <c r="J10" s="2" t="e">
        <f>IF(#REF!,#REF!,INDIRECT(J10:K10))</f>
        <v>#REF!</v>
      </c>
      <c r="L10" s="2">
        <f>TYPE(INDEX(,IF(#REF!,#REF!,OFFSET(INDEX(1,),,))))</f>
        <v>16</v>
      </c>
    </row>
    <row r="11" spans="1:12" x14ac:dyDescent="0.55000000000000004">
      <c r="A11" s="1" t="s">
        <v>1487</v>
      </c>
      <c r="B11" s="2">
        <f>COUNTIF(A:A,A11)-1</f>
        <v>1</v>
      </c>
      <c r="C11" s="2">
        <f>COUNTIF(A$1:A11,A11)-1</f>
        <v>0</v>
      </c>
      <c r="D11" s="2" t="str">
        <f t="shared" si="0"/>
        <v/>
      </c>
      <c r="E11" s="2"/>
      <c r="F11" s="2"/>
      <c r="H11" s="2"/>
      <c r="J11" s="2"/>
      <c r="L11" s="2"/>
    </row>
    <row r="12" spans="1:12" x14ac:dyDescent="0.55000000000000004">
      <c r="A12" s="1" t="s">
        <v>1487</v>
      </c>
      <c r="B12" s="2">
        <f>COUNTIF(A:A,A12)-1</f>
        <v>1</v>
      </c>
      <c r="C12" s="2">
        <f>COUNTIF(A$1:A12,A12)-1</f>
        <v>1</v>
      </c>
      <c r="D12" s="2" t="str">
        <f t="shared" si="0"/>
        <v>v</v>
      </c>
      <c r="E12" s="2" t="b">
        <f>ISNA(#REF!)</f>
        <v>0</v>
      </c>
      <c r="F12" s="2" t="b">
        <f>ISNA(+F12:G12)</f>
        <v>0</v>
      </c>
      <c r="H12" s="2" t="b">
        <f>ISNA(H12:I12)</f>
        <v>0</v>
      </c>
      <c r="J12" s="2" t="b">
        <f>ISNA(INDIRECT(J12:K12))</f>
        <v>0</v>
      </c>
      <c r="L12" s="2">
        <f>TYPE(INDEX(,ISNA(OFFSET(INDEX(1,),,))))</f>
        <v>64</v>
      </c>
    </row>
    <row r="13" spans="1:12" x14ac:dyDescent="0.55000000000000004">
      <c r="A13" s="1" t="s">
        <v>1488</v>
      </c>
      <c r="B13" s="2">
        <f>COUNTIF(A:A,A13)-1</f>
        <v>1</v>
      </c>
      <c r="C13" s="2">
        <f>COUNTIF(A$1:A13,A13)-1</f>
        <v>0</v>
      </c>
      <c r="D13" s="2" t="str">
        <f t="shared" si="0"/>
        <v/>
      </c>
      <c r="E13" s="2"/>
      <c r="F13" s="2"/>
      <c r="H13" s="2"/>
      <c r="J13" s="2"/>
      <c r="L13" s="2"/>
    </row>
    <row r="14" spans="1:12" x14ac:dyDescent="0.55000000000000004">
      <c r="A14" s="1" t="s">
        <v>1488</v>
      </c>
      <c r="B14" s="2">
        <f>COUNTIF(A:A,A14)-1</f>
        <v>1</v>
      </c>
      <c r="C14" s="2">
        <f>COUNTIF(A$1:A14,A14)-1</f>
        <v>1</v>
      </c>
      <c r="D14" s="2" t="str">
        <f t="shared" si="0"/>
        <v>v</v>
      </c>
      <c r="E14" s="2" t="b">
        <f>ISERROR(#REF!)</f>
        <v>1</v>
      </c>
      <c r="F14" s="2" t="b">
        <f>ISERROR(+F14:G14)</f>
        <v>0</v>
      </c>
      <c r="H14" s="2" t="b">
        <f>ISERROR(H14:I14)</f>
        <v>0</v>
      </c>
      <c r="J14" s="2" t="b">
        <f>ISERROR(INDIRECT(J14:K14))</f>
        <v>1</v>
      </c>
      <c r="L14" s="2">
        <f>TYPE(INDEX(,ISERROR(OFFSET(INDEX(1,),,))))</f>
        <v>64</v>
      </c>
    </row>
    <row r="15" spans="1:12" x14ac:dyDescent="0.55000000000000004">
      <c r="A15" s="1" t="s">
        <v>1489</v>
      </c>
      <c r="B15" s="2">
        <f>COUNTIF(A:A,A15)-1</f>
        <v>3</v>
      </c>
      <c r="C15" s="2">
        <f>COUNTIF(A$1:A15,A15)-1</f>
        <v>0</v>
      </c>
      <c r="D15" s="2" t="str">
        <f t="shared" si="0"/>
        <v/>
      </c>
      <c r="E15" s="2"/>
      <c r="F15" s="2"/>
      <c r="H15" s="2"/>
      <c r="J15" s="2"/>
      <c r="L15" s="2"/>
    </row>
    <row r="16" spans="1:12" x14ac:dyDescent="0.55000000000000004">
      <c r="A16" s="1" t="s">
        <v>1489</v>
      </c>
      <c r="B16" s="2">
        <f>COUNTIF(A:A,A16)-1</f>
        <v>3</v>
      </c>
      <c r="C16" s="2">
        <f>COUNTIF(A$1:A16,A16)-1</f>
        <v>1</v>
      </c>
      <c r="D16" s="2" t="str">
        <f t="shared" si="0"/>
        <v>var</v>
      </c>
      <c r="E16" s="2" t="e">
        <f>SUM(#REF!)</f>
        <v>#REF!</v>
      </c>
      <c r="F16" s="2" t="e">
        <f>SUM(+F16:G16,#REF!,#REF!)</f>
        <v>#REF!</v>
      </c>
      <c r="H16" s="2" t="e">
        <f>SUM(H16:I16,#REF!,#REF!)</f>
        <v>#REF!</v>
      </c>
      <c r="I16" s="1">
        <v>1</v>
      </c>
      <c r="J16" s="2" t="e">
        <f>SUM(INDIRECT(J16:K16),#REF!,#REF!)</f>
        <v>#REF!</v>
      </c>
      <c r="L16" s="2">
        <f>TYPE(INDEX(,SUM(OFFSET(INDEX(1,),,),#REF!,#REF!)))</f>
        <v>16</v>
      </c>
    </row>
    <row r="17" spans="1:12" x14ac:dyDescent="0.55000000000000004">
      <c r="A17" s="1" t="s">
        <v>1489</v>
      </c>
      <c r="B17" s="2">
        <f>COUNTIF(A:A,A17)-1</f>
        <v>3</v>
      </c>
      <c r="C17" s="2">
        <f>COUNTIF(A$1:A17,A17)-1</f>
        <v>2</v>
      </c>
      <c r="D17" s="2" t="str">
        <f t="shared" si="0"/>
        <v>var</v>
      </c>
      <c r="E17" s="2" t="e">
        <f>SUM(#REF!,#REF!)</f>
        <v>#REF!</v>
      </c>
      <c r="F17" s="2" t="e">
        <f>SUM(#REF!,+F17:G17,#REF!)</f>
        <v>#REF!</v>
      </c>
      <c r="H17" s="2" t="e">
        <f>SUM(#REF!,H17:I17,#REF!)</f>
        <v>#REF!</v>
      </c>
      <c r="I17" s="1">
        <v>1</v>
      </c>
      <c r="J17" s="2" t="e">
        <f>SUM(#REF!,INDIRECT(J17:K17),#REF!)</f>
        <v>#REF!</v>
      </c>
      <c r="L17" s="2">
        <f>TYPE(INDEX(,SUM(#REF!,OFFSET(INDEX(1,),,),#REF!)))</f>
        <v>16</v>
      </c>
    </row>
    <row r="18" spans="1:12" x14ac:dyDescent="0.55000000000000004">
      <c r="A18" s="1" t="s">
        <v>1489</v>
      </c>
      <c r="B18" s="2">
        <f>COUNTIF(A:A,A18)-1</f>
        <v>3</v>
      </c>
      <c r="C18" s="2">
        <f>COUNTIF(A$1:A18,A18)-1</f>
        <v>3</v>
      </c>
      <c r="D18" s="2" t="str">
        <f t="shared" si="0"/>
        <v>var</v>
      </c>
      <c r="E18" s="2" t="e">
        <f>SUM(#REF!,#REF!,#REF!)</f>
        <v>#REF!</v>
      </c>
      <c r="F18" s="2" t="e">
        <f>SUM(#REF!,#REF!,+F18:G18)</f>
        <v>#REF!</v>
      </c>
      <c r="H18" s="2" t="e">
        <f>SUM(#REF!,#REF!,H18:I18)</f>
        <v>#REF!</v>
      </c>
      <c r="I18" s="1">
        <v>1</v>
      </c>
      <c r="J18" s="2" t="e">
        <f>SUM(#REF!,#REF!,INDIRECT(J18:K18))</f>
        <v>#REF!</v>
      </c>
      <c r="L18" s="2">
        <f>TYPE(INDEX(,SUM(#REF!,#REF!,OFFSET(INDEX(1,),,))))</f>
        <v>16</v>
      </c>
    </row>
    <row r="19" spans="1:12" x14ac:dyDescent="0.55000000000000004">
      <c r="A19" s="1" t="s">
        <v>1490</v>
      </c>
      <c r="B19" s="2">
        <f>COUNTIF(A:A,A19)-1</f>
        <v>3</v>
      </c>
      <c r="C19" s="2">
        <f>COUNTIF(A$1:A19,A19)-1</f>
        <v>0</v>
      </c>
      <c r="D19" s="2" t="str">
        <f t="shared" si="0"/>
        <v/>
      </c>
      <c r="E19" s="2"/>
      <c r="F19" s="2"/>
      <c r="H19" s="2"/>
      <c r="J19" s="2"/>
      <c r="L19" s="2"/>
    </row>
    <row r="20" spans="1:12" x14ac:dyDescent="0.55000000000000004">
      <c r="A20" s="1" t="s">
        <v>1490</v>
      </c>
      <c r="B20" s="2">
        <f>COUNTIF(A:A,A20)-1</f>
        <v>3</v>
      </c>
      <c r="C20" s="2">
        <f>COUNTIF(A$1:A20,A20)-1</f>
        <v>1</v>
      </c>
      <c r="D20" s="2" t="str">
        <f t="shared" si="0"/>
        <v>var</v>
      </c>
      <c r="E20" s="2" t="e">
        <f>AVERAGE(#REF!)</f>
        <v>#REF!</v>
      </c>
      <c r="F20" s="2" t="e">
        <f>AVERAGE(+F20:G20,#REF!,#REF!)</f>
        <v>#REF!</v>
      </c>
      <c r="H20" s="2" t="e">
        <f>AVERAGE(H20:I20,#REF!,#REF!)</f>
        <v>#REF!</v>
      </c>
      <c r="I20" s="1">
        <v>1</v>
      </c>
      <c r="J20" s="2" t="e">
        <f>AVERAGE(INDIRECT(J20:K20),#REF!,#REF!)</f>
        <v>#REF!</v>
      </c>
      <c r="L20" s="2">
        <f>TYPE(INDEX(,AVERAGE(OFFSET(INDEX(1,),,),#REF!,#REF!)))</f>
        <v>16</v>
      </c>
    </row>
    <row r="21" spans="1:12" x14ac:dyDescent="0.55000000000000004">
      <c r="A21" s="1" t="s">
        <v>1490</v>
      </c>
      <c r="B21" s="2">
        <f>COUNTIF(A:A,A21)-1</f>
        <v>3</v>
      </c>
      <c r="C21" s="2">
        <f>COUNTIF(A$1:A21,A21)-1</f>
        <v>2</v>
      </c>
      <c r="D21" s="2" t="str">
        <f t="shared" si="0"/>
        <v>var</v>
      </c>
      <c r="E21" s="2" t="e">
        <f>AVERAGE(#REF!,#REF!)</f>
        <v>#REF!</v>
      </c>
      <c r="F21" s="2" t="e">
        <f>AVERAGE(#REF!,+F21:G21,#REF!)</f>
        <v>#REF!</v>
      </c>
      <c r="H21" s="2" t="e">
        <f>AVERAGE(#REF!,H21:I21,#REF!)</f>
        <v>#REF!</v>
      </c>
      <c r="I21" s="1">
        <v>1</v>
      </c>
      <c r="J21" s="2" t="e">
        <f>AVERAGE(#REF!,INDIRECT(J21:K21),#REF!)</f>
        <v>#REF!</v>
      </c>
      <c r="L21" s="2">
        <f>TYPE(INDEX(,AVERAGE(#REF!,OFFSET(INDEX(1,),,),#REF!)))</f>
        <v>16</v>
      </c>
    </row>
    <row r="22" spans="1:12" x14ac:dyDescent="0.55000000000000004">
      <c r="A22" s="1" t="s">
        <v>1490</v>
      </c>
      <c r="B22" s="2">
        <f>COUNTIF(A:A,A22)-1</f>
        <v>3</v>
      </c>
      <c r="C22" s="2">
        <f>COUNTIF(A$1:A22,A22)-1</f>
        <v>3</v>
      </c>
      <c r="D22" s="2" t="str">
        <f t="shared" si="0"/>
        <v>var</v>
      </c>
      <c r="E22" s="2" t="e">
        <f>AVERAGE(#REF!,#REF!,#REF!)</f>
        <v>#REF!</v>
      </c>
      <c r="F22" s="2" t="e">
        <f>AVERAGE(#REF!,#REF!,+F22:G22)</f>
        <v>#REF!</v>
      </c>
      <c r="H22" s="2" t="e">
        <f>AVERAGE(#REF!,#REF!,H22:I22)</f>
        <v>#REF!</v>
      </c>
      <c r="I22" s="1">
        <v>1</v>
      </c>
      <c r="J22" s="2" t="e">
        <f>AVERAGE(#REF!,#REF!,INDIRECT(J22:K22))</f>
        <v>#REF!</v>
      </c>
      <c r="L22" s="2">
        <f>TYPE(INDEX(,AVERAGE(#REF!,#REF!,OFFSET(INDEX(1,),,))))</f>
        <v>16</v>
      </c>
    </row>
    <row r="23" spans="1:12" x14ac:dyDescent="0.55000000000000004">
      <c r="A23" s="1" t="s">
        <v>1491</v>
      </c>
      <c r="B23" s="2">
        <f>COUNTIF(A:A,A23)-1</f>
        <v>3</v>
      </c>
      <c r="C23" s="2">
        <f>COUNTIF(A$1:A23,A23)-1</f>
        <v>0</v>
      </c>
      <c r="D23" s="2" t="str">
        <f t="shared" si="0"/>
        <v/>
      </c>
      <c r="E23" s="2"/>
      <c r="F23" s="2"/>
      <c r="H23" s="2"/>
      <c r="J23" s="2"/>
      <c r="L23" s="2"/>
    </row>
    <row r="24" spans="1:12" x14ac:dyDescent="0.55000000000000004">
      <c r="A24" s="1" t="s">
        <v>1491</v>
      </c>
      <c r="B24" s="2">
        <f>COUNTIF(A:A,A24)-1</f>
        <v>3</v>
      </c>
      <c r="C24" s="2">
        <f>COUNTIF(A$1:A24,A24)-1</f>
        <v>1</v>
      </c>
      <c r="D24" s="2" t="str">
        <f t="shared" si="0"/>
        <v>var</v>
      </c>
      <c r="E24" s="2" t="e">
        <f>MIN(#REF!)</f>
        <v>#REF!</v>
      </c>
      <c r="F24" s="2" t="e">
        <f>MIN(+F24:G24,#REF!,#REF!)</f>
        <v>#REF!</v>
      </c>
      <c r="H24" s="2" t="e">
        <f>MIN(H24:I24,#REF!,#REF!)</f>
        <v>#REF!</v>
      </c>
      <c r="I24" s="1">
        <v>1</v>
      </c>
      <c r="J24" s="2" t="e">
        <f>MIN(INDIRECT(J24:K24),#REF!,#REF!)</f>
        <v>#REF!</v>
      </c>
      <c r="L24" s="2">
        <f>TYPE(INDEX(,MIN(OFFSET(INDEX(1,),,),#REF!,#REF!)))</f>
        <v>16</v>
      </c>
    </row>
    <row r="25" spans="1:12" x14ac:dyDescent="0.55000000000000004">
      <c r="A25" s="1" t="s">
        <v>1491</v>
      </c>
      <c r="B25" s="2">
        <f>COUNTIF(A:A,A25)-1</f>
        <v>3</v>
      </c>
      <c r="C25" s="2">
        <f>COUNTIF(A$1:A25,A25)-1</f>
        <v>2</v>
      </c>
      <c r="D25" s="2" t="str">
        <f t="shared" si="0"/>
        <v>var</v>
      </c>
      <c r="E25" s="2" t="e">
        <f>MIN(#REF!,#REF!)</f>
        <v>#REF!</v>
      </c>
      <c r="F25" s="2" t="e">
        <f>MIN(#REF!,+F25:G25,#REF!)</f>
        <v>#REF!</v>
      </c>
      <c r="H25" s="2" t="e">
        <f>MIN(#REF!,H25:I25,#REF!)</f>
        <v>#REF!</v>
      </c>
      <c r="I25" s="1">
        <v>1</v>
      </c>
      <c r="J25" s="2" t="e">
        <f>MIN(#REF!,INDIRECT(J25:K25),#REF!)</f>
        <v>#REF!</v>
      </c>
      <c r="L25" s="2">
        <f>TYPE(INDEX(,MIN(#REF!,OFFSET(INDEX(1,),,),#REF!)))</f>
        <v>16</v>
      </c>
    </row>
    <row r="26" spans="1:12" x14ac:dyDescent="0.55000000000000004">
      <c r="A26" s="1" t="s">
        <v>1491</v>
      </c>
      <c r="B26" s="2">
        <f>COUNTIF(A:A,A26)-1</f>
        <v>3</v>
      </c>
      <c r="C26" s="2">
        <f>COUNTIF(A$1:A26,A26)-1</f>
        <v>3</v>
      </c>
      <c r="D26" s="2" t="str">
        <f t="shared" si="0"/>
        <v>var</v>
      </c>
      <c r="E26" s="2" t="e">
        <f>MIN(#REF!,#REF!,#REF!)</f>
        <v>#REF!</v>
      </c>
      <c r="F26" s="2" t="e">
        <f>MIN(#REF!,#REF!,+F26:G26)</f>
        <v>#REF!</v>
      </c>
      <c r="H26" s="2" t="e">
        <f>MIN(#REF!,#REF!,H26:I26)</f>
        <v>#REF!</v>
      </c>
      <c r="I26" s="1">
        <v>1</v>
      </c>
      <c r="J26" s="2" t="e">
        <f>MIN(#REF!,#REF!,INDIRECT(J26:K26))</f>
        <v>#REF!</v>
      </c>
      <c r="L26" s="2">
        <f>TYPE(INDEX(,MIN(#REF!,#REF!,OFFSET(INDEX(1,),,))))</f>
        <v>16</v>
      </c>
    </row>
    <row r="27" spans="1:12" x14ac:dyDescent="0.55000000000000004">
      <c r="A27" s="1" t="s">
        <v>1492</v>
      </c>
      <c r="B27" s="2">
        <f>COUNTIF(A:A,A27)-1</f>
        <v>3</v>
      </c>
      <c r="C27" s="2">
        <f>COUNTIF(A$1:A27,A27)-1</f>
        <v>0</v>
      </c>
      <c r="D27" s="2" t="str">
        <f t="shared" si="0"/>
        <v/>
      </c>
      <c r="E27" s="2"/>
      <c r="F27" s="2"/>
      <c r="H27" s="2"/>
      <c r="J27" s="2"/>
      <c r="L27" s="2"/>
    </row>
    <row r="28" spans="1:12" x14ac:dyDescent="0.55000000000000004">
      <c r="A28" s="1" t="s">
        <v>1492</v>
      </c>
      <c r="B28" s="2">
        <f>COUNTIF(A:A,A28)-1</f>
        <v>3</v>
      </c>
      <c r="C28" s="2">
        <f>COUNTIF(A$1:A28,A28)-1</f>
        <v>1</v>
      </c>
      <c r="D28" s="2" t="str">
        <f t="shared" si="0"/>
        <v>var</v>
      </c>
      <c r="E28" s="2" t="e">
        <f>MAX(#REF!)</f>
        <v>#REF!</v>
      </c>
      <c r="F28" s="2" t="e">
        <f>MAX(+F28:G28,#REF!,#REF!)</f>
        <v>#REF!</v>
      </c>
      <c r="H28" s="2" t="e">
        <f>MAX(H28:I28,#REF!,#REF!)</f>
        <v>#REF!</v>
      </c>
      <c r="I28" s="1">
        <v>1</v>
      </c>
      <c r="J28" s="2" t="e">
        <f>MAX(INDIRECT(J28:K28),#REF!,#REF!)</f>
        <v>#REF!</v>
      </c>
      <c r="L28" s="2">
        <f>TYPE(INDEX(,MAX(OFFSET(INDEX(1,),,),#REF!,#REF!)))</f>
        <v>16</v>
      </c>
    </row>
    <row r="29" spans="1:12" x14ac:dyDescent="0.55000000000000004">
      <c r="A29" s="1" t="s">
        <v>1492</v>
      </c>
      <c r="B29" s="2">
        <f>COUNTIF(A:A,A29)-1</f>
        <v>3</v>
      </c>
      <c r="C29" s="2">
        <f>COUNTIF(A$1:A29,A29)-1</f>
        <v>2</v>
      </c>
      <c r="D29" s="2" t="str">
        <f t="shared" si="0"/>
        <v>var</v>
      </c>
      <c r="E29" s="2" t="e">
        <f>MAX(#REF!,#REF!)</f>
        <v>#REF!</v>
      </c>
      <c r="F29" s="2" t="e">
        <f>MAX(#REF!,+F29:G29,#REF!)</f>
        <v>#REF!</v>
      </c>
      <c r="H29" s="2" t="e">
        <f>MAX(#REF!,H29:I29,#REF!)</f>
        <v>#REF!</v>
      </c>
      <c r="I29" s="1">
        <v>1</v>
      </c>
      <c r="J29" s="2" t="e">
        <f>MAX(#REF!,INDIRECT(J29:K29),#REF!)</f>
        <v>#REF!</v>
      </c>
      <c r="L29" s="2">
        <f>TYPE(INDEX(,MAX(#REF!,OFFSET(INDEX(1,),,),#REF!)))</f>
        <v>16</v>
      </c>
    </row>
    <row r="30" spans="1:12" x14ac:dyDescent="0.55000000000000004">
      <c r="A30" s="1" t="s">
        <v>1492</v>
      </c>
      <c r="B30" s="2">
        <f>COUNTIF(A:A,A30)-1</f>
        <v>3</v>
      </c>
      <c r="C30" s="2">
        <f>COUNTIF(A$1:A30,A30)-1</f>
        <v>3</v>
      </c>
      <c r="D30" s="2" t="str">
        <f t="shared" si="0"/>
        <v>var</v>
      </c>
      <c r="E30" s="2" t="e">
        <f>MAX(#REF!,#REF!,#REF!)</f>
        <v>#REF!</v>
      </c>
      <c r="F30" s="2" t="e">
        <f>MAX(#REF!,#REF!,+F30:G30)</f>
        <v>#REF!</v>
      </c>
      <c r="H30" s="2" t="e">
        <f>MAX(#REF!,#REF!,H30:I30)</f>
        <v>#REF!</v>
      </c>
      <c r="I30" s="1">
        <v>1</v>
      </c>
      <c r="J30" s="2" t="e">
        <f>MAX(#REF!,#REF!,INDIRECT(J30:K30))</f>
        <v>#REF!</v>
      </c>
      <c r="L30" s="2">
        <f>TYPE(INDEX(,MAX(#REF!,#REF!,OFFSET(INDEX(1,),,))))</f>
        <v>16</v>
      </c>
    </row>
    <row r="31" spans="1:12" x14ac:dyDescent="0.55000000000000004">
      <c r="A31" s="1" t="s">
        <v>1493</v>
      </c>
      <c r="B31" s="2">
        <f>COUNTIF(A:A,A31)-1</f>
        <v>1</v>
      </c>
      <c r="C31" s="2">
        <f>COUNTIF(A$1:A31,A31)-1</f>
        <v>0</v>
      </c>
      <c r="D31" s="2" t="str">
        <f t="shared" si="0"/>
        <v/>
      </c>
      <c r="E31" s="2">
        <f>ROW()</f>
        <v>31</v>
      </c>
      <c r="F31" s="2"/>
      <c r="H31" s="2"/>
      <c r="J31" s="2"/>
      <c r="L31" s="2"/>
    </row>
    <row r="32" spans="1:12" x14ac:dyDescent="0.55000000000000004">
      <c r="A32" s="1" t="s">
        <v>1493</v>
      </c>
      <c r="B32" s="2">
        <f>COUNTIF(A:A,A32)-1</f>
        <v>1</v>
      </c>
      <c r="C32" s="2">
        <f>COUNTIF(A$1:A32,A32)-1</f>
        <v>1</v>
      </c>
      <c r="D32" s="2" t="str">
        <f t="shared" si="0"/>
        <v>r</v>
      </c>
      <c r="E32" s="2" t="e">
        <f>ROW(#REF!)</f>
        <v>#REF!</v>
      </c>
      <c r="F32" s="2"/>
      <c r="H32" s="2">
        <f>ROW(H32:I32)</f>
        <v>32</v>
      </c>
      <c r="I32" s="1">
        <v>1</v>
      </c>
      <c r="J32" s="2" t="e">
        <f>ROW(INDIRECT(J32:K32))</f>
        <v>#REF!</v>
      </c>
      <c r="L32" s="2">
        <f>TYPE(INDEX(,ROW(OFFSET(INDEX(1,),,))))</f>
        <v>64</v>
      </c>
    </row>
    <row r="33" spans="1:12" x14ac:dyDescent="0.55000000000000004">
      <c r="A33" s="1" t="s">
        <v>1494</v>
      </c>
      <c r="B33" s="2">
        <f>COUNTIF(A:A,A33)-1</f>
        <v>1</v>
      </c>
      <c r="C33" s="2">
        <f>COUNTIF(A$1:A33,A33)-1</f>
        <v>0</v>
      </c>
      <c r="D33" s="2" t="str">
        <f t="shared" si="0"/>
        <v/>
      </c>
      <c r="E33" s="2">
        <f>COLUMN()</f>
        <v>5</v>
      </c>
      <c r="F33" s="2"/>
      <c r="H33" s="2"/>
      <c r="J33" s="2"/>
      <c r="L33" s="2"/>
    </row>
    <row r="34" spans="1:12" x14ac:dyDescent="0.55000000000000004">
      <c r="A34" s="1" t="s">
        <v>1494</v>
      </c>
      <c r="B34" s="2">
        <f>COUNTIF(A:A,A34)-1</f>
        <v>1</v>
      </c>
      <c r="C34" s="2">
        <f>COUNTIF(A$1:A34,A34)-1</f>
        <v>1</v>
      </c>
      <c r="D34" s="2" t="str">
        <f t="shared" si="0"/>
        <v>r</v>
      </c>
      <c r="E34" s="2" t="e">
        <f>COLUMN(#REF!)</f>
        <v>#REF!</v>
      </c>
      <c r="F34" s="2"/>
      <c r="H34" s="2">
        <f>COLUMN(H34:I34)</f>
        <v>8</v>
      </c>
      <c r="I34" s="1">
        <v>1</v>
      </c>
      <c r="J34" s="2" t="e">
        <f>COLUMN(INDIRECT(J34:K34))</f>
        <v>#REF!</v>
      </c>
      <c r="L34" s="2">
        <f>TYPE(INDEX(,COLUMN(OFFSET(INDEX(1,),,))))</f>
        <v>64</v>
      </c>
    </row>
    <row r="35" spans="1:12" x14ac:dyDescent="0.55000000000000004">
      <c r="A35" s="1" t="s">
        <v>1473</v>
      </c>
      <c r="B35" s="2">
        <f>COUNTIF(A:A,A35)-1</f>
        <v>0</v>
      </c>
      <c r="C35" s="2">
        <f>COUNTIF(A$1:A35,A35)-1</f>
        <v>0</v>
      </c>
      <c r="D35" s="2" t="str">
        <f t="shared" si="0"/>
        <v/>
      </c>
      <c r="E35" s="2" t="e">
        <f>NA()</f>
        <v>#N/A</v>
      </c>
      <c r="F35" s="2"/>
      <c r="H35" s="2"/>
      <c r="J35" s="2"/>
      <c r="L35" s="2"/>
    </row>
    <row r="36" spans="1:12" x14ac:dyDescent="0.55000000000000004">
      <c r="A36" s="1" t="s">
        <v>1495</v>
      </c>
      <c r="B36" s="2">
        <f>COUNTIF(A:A,A36)-1</f>
        <v>4</v>
      </c>
      <c r="C36" s="2">
        <f>COUNTIF(A$1:A36,A36)-1</f>
        <v>0</v>
      </c>
      <c r="D36" s="2" t="str">
        <f t="shared" si="0"/>
        <v/>
      </c>
      <c r="E36" s="2"/>
      <c r="F36" s="2"/>
      <c r="H36" s="2"/>
      <c r="J36" s="2"/>
      <c r="L36" s="2"/>
    </row>
    <row r="37" spans="1:12" x14ac:dyDescent="0.55000000000000004">
      <c r="A37" s="1" t="s">
        <v>1495</v>
      </c>
      <c r="B37" s="2">
        <f>COUNTIF(A:A,A37)-1</f>
        <v>4</v>
      </c>
      <c r="C37" s="2">
        <f>COUNTIF(A$1:A37,A37)-1</f>
        <v>1</v>
      </c>
      <c r="D37" s="2" t="str">
        <f t="shared" si="0"/>
        <v>v</v>
      </c>
      <c r="E37" s="2"/>
      <c r="F37" s="2" t="e">
        <f>NPV(+F37:G37,#REF!,#REF!,#REF!)</f>
        <v>#REF!</v>
      </c>
      <c r="H37" s="2" t="e">
        <f>NPV(H37:I37,#REF!,#REF!,#REF!)</f>
        <v>#REF!</v>
      </c>
      <c r="J37" s="2" t="e">
        <f>NPV(INDIRECT(J37:K37),#REF!,#REF!,#REF!)</f>
        <v>#REF!</v>
      </c>
      <c r="L37" s="2">
        <f>TYPE(INDEX(,NPV(OFFSET(INDEX(1,),,),#REF!,#REF!,#REF!)))</f>
        <v>64</v>
      </c>
    </row>
    <row r="38" spans="1:12" x14ac:dyDescent="0.55000000000000004">
      <c r="A38" s="1" t="s">
        <v>1495</v>
      </c>
      <c r="B38" s="2">
        <f>COUNTIF(A:A,A38)-1</f>
        <v>4</v>
      </c>
      <c r="C38" s="2">
        <f>COUNTIF(A$1:A38,A38)-1</f>
        <v>2</v>
      </c>
      <c r="D38" s="2" t="str">
        <f t="shared" si="0"/>
        <v>var</v>
      </c>
      <c r="E38" s="2" t="e">
        <f>NPV(#REF!,#REF!)</f>
        <v>#REF!</v>
      </c>
      <c r="F38" s="2" t="e">
        <f>NPV(#REF!,+F38:G38,#REF!,#REF!)</f>
        <v>#REF!</v>
      </c>
      <c r="H38" s="2" t="e">
        <f>NPV(#REF!,H38:I38,#REF!,#REF!)</f>
        <v>#REF!</v>
      </c>
      <c r="I38" s="1">
        <v>1</v>
      </c>
      <c r="J38" s="2" t="e">
        <f>NPV(#REF!,INDIRECT(J38:K38),#REF!,#REF!)</f>
        <v>#REF!</v>
      </c>
      <c r="L38" s="2">
        <f>TYPE(INDEX(,NPV(#REF!,OFFSET(INDEX(1,),,),#REF!,#REF!)))</f>
        <v>16</v>
      </c>
    </row>
    <row r="39" spans="1:12" x14ac:dyDescent="0.55000000000000004">
      <c r="A39" s="1" t="s">
        <v>1495</v>
      </c>
      <c r="B39" s="2">
        <f>COUNTIF(A:A,A39)-1</f>
        <v>4</v>
      </c>
      <c r="C39" s="2">
        <f>COUNTIF(A$1:A39,A39)-1</f>
        <v>3</v>
      </c>
      <c r="D39" s="2" t="str">
        <f t="shared" si="0"/>
        <v>var</v>
      </c>
      <c r="E39" s="2" t="e">
        <f>NPV(#REF!,#REF!,#REF!)</f>
        <v>#REF!</v>
      </c>
      <c r="F39" s="2" t="e">
        <f>NPV(#REF!,#REF!,+F39:G39,#REF!)</f>
        <v>#REF!</v>
      </c>
      <c r="H39" s="2" t="e">
        <f>NPV(#REF!,#REF!,H39:I39,#REF!)</f>
        <v>#REF!</v>
      </c>
      <c r="I39" s="1">
        <v>1</v>
      </c>
      <c r="J39" s="2" t="e">
        <f>NPV(#REF!,#REF!,INDIRECT(J39:K39),#REF!)</f>
        <v>#REF!</v>
      </c>
      <c r="L39" s="2">
        <f>TYPE(INDEX(,NPV(#REF!,#REF!,OFFSET(INDEX(1,),,),#REF!)))</f>
        <v>16</v>
      </c>
    </row>
    <row r="40" spans="1:12" x14ac:dyDescent="0.55000000000000004">
      <c r="A40" s="1" t="s">
        <v>1495</v>
      </c>
      <c r="B40" s="2">
        <f>COUNTIF(A:A,A40)-1</f>
        <v>4</v>
      </c>
      <c r="C40" s="2">
        <f>COUNTIF(A$1:A40,A40)-1</f>
        <v>4</v>
      </c>
      <c r="D40" s="2" t="str">
        <f t="shared" si="0"/>
        <v>var</v>
      </c>
      <c r="E40" s="2" t="e">
        <f>NPV(#REF!,#REF!,#REF!,#REF!)</f>
        <v>#REF!</v>
      </c>
      <c r="F40" s="2" t="e">
        <f>NPV(#REF!,#REF!,#REF!,+F40:G40)</f>
        <v>#REF!</v>
      </c>
      <c r="H40" s="2" t="e">
        <f>NPV(#REF!,#REF!,#REF!,H40:I40)</f>
        <v>#REF!</v>
      </c>
      <c r="I40" s="1">
        <v>1</v>
      </c>
      <c r="J40" s="2" t="e">
        <f>NPV(#REF!,#REF!,#REF!,INDIRECT(J40:K40))</f>
        <v>#REF!</v>
      </c>
      <c r="L40" s="2">
        <f>TYPE(INDEX(,NPV(#REF!,#REF!,#REF!,OFFSET(INDEX(1,),,))))</f>
        <v>16</v>
      </c>
    </row>
    <row r="41" spans="1:12" x14ac:dyDescent="0.55000000000000004">
      <c r="A41" s="1" t="s">
        <v>1496</v>
      </c>
      <c r="B41" s="2">
        <f>COUNTIF(A:A,A41)-1</f>
        <v>3</v>
      </c>
      <c r="C41" s="2">
        <f>COUNTIF(A$1:A41,A41)-1</f>
        <v>0</v>
      </c>
      <c r="D41" s="2" t="str">
        <f t="shared" si="0"/>
        <v/>
      </c>
      <c r="E41" s="2"/>
      <c r="F41" s="2"/>
      <c r="H41" s="2"/>
      <c r="J41" s="2"/>
      <c r="L41" s="2"/>
    </row>
    <row r="42" spans="1:12" x14ac:dyDescent="0.55000000000000004">
      <c r="A42" s="1" t="s">
        <v>1496</v>
      </c>
      <c r="B42" s="2">
        <f>COUNTIF(A:A,A42)-1</f>
        <v>3</v>
      </c>
      <c r="C42" s="2">
        <f>COUNTIF(A$1:A42,A42)-1</f>
        <v>1</v>
      </c>
      <c r="D42" s="2" t="str">
        <f t="shared" si="0"/>
        <v>var</v>
      </c>
      <c r="E42" s="2" t="e">
        <f>STDEV(#REF!)</f>
        <v>#REF!</v>
      </c>
      <c r="F42" s="2" t="e">
        <f>STDEV(+F42:G42,#REF!,#REF!)</f>
        <v>#REF!</v>
      </c>
      <c r="H42" s="2" t="e">
        <f>STDEV(H42:I42,#REF!,#REF!)</f>
        <v>#REF!</v>
      </c>
      <c r="I42" s="1">
        <v>1</v>
      </c>
      <c r="J42" s="2" t="e">
        <f>STDEV(INDIRECT(J42:K42),#REF!,#REF!)</f>
        <v>#REF!</v>
      </c>
      <c r="L42" s="2">
        <f>TYPE(INDEX(,STDEV(OFFSET(INDEX(1,),,),#REF!,#REF!)))</f>
        <v>16</v>
      </c>
    </row>
    <row r="43" spans="1:12" x14ac:dyDescent="0.55000000000000004">
      <c r="A43" s="1" t="s">
        <v>1496</v>
      </c>
      <c r="B43" s="2">
        <f>COUNTIF(A:A,A43)-1</f>
        <v>3</v>
      </c>
      <c r="C43" s="2">
        <f>COUNTIF(A$1:A43,A43)-1</f>
        <v>2</v>
      </c>
      <c r="D43" s="2" t="str">
        <f t="shared" si="0"/>
        <v>var</v>
      </c>
      <c r="E43" s="2" t="e">
        <f>STDEV(#REF!,#REF!)</f>
        <v>#REF!</v>
      </c>
      <c r="F43" s="2" t="e">
        <f>STDEV(#REF!,+F43:G43,#REF!)</f>
        <v>#REF!</v>
      </c>
      <c r="H43" s="2" t="e">
        <f>STDEV(#REF!,H43:I43,#REF!)</f>
        <v>#REF!</v>
      </c>
      <c r="I43" s="1">
        <v>1</v>
      </c>
      <c r="J43" s="2" t="e">
        <f>STDEV(#REF!,INDIRECT(J43:K43),#REF!)</f>
        <v>#REF!</v>
      </c>
      <c r="L43" s="2">
        <f>TYPE(INDEX(,STDEV(#REF!,OFFSET(INDEX(1,),,),#REF!)))</f>
        <v>16</v>
      </c>
    </row>
    <row r="44" spans="1:12" x14ac:dyDescent="0.55000000000000004">
      <c r="A44" s="1" t="s">
        <v>1496</v>
      </c>
      <c r="B44" s="2">
        <f>COUNTIF(A:A,A44)-1</f>
        <v>3</v>
      </c>
      <c r="C44" s="2">
        <f>COUNTIF(A$1:A44,A44)-1</f>
        <v>3</v>
      </c>
      <c r="D44" s="2" t="str">
        <f t="shared" si="0"/>
        <v>var</v>
      </c>
      <c r="E44" s="2" t="e">
        <f>STDEV(#REF!,#REF!,#REF!)</f>
        <v>#REF!</v>
      </c>
      <c r="F44" s="2" t="e">
        <f>STDEV(#REF!,#REF!,+F44:G44)</f>
        <v>#REF!</v>
      </c>
      <c r="H44" s="2" t="e">
        <f>STDEV(#REF!,#REF!,H44:I44)</f>
        <v>#REF!</v>
      </c>
      <c r="I44" s="1">
        <v>1</v>
      </c>
      <c r="J44" s="2" t="e">
        <f>STDEV(#REF!,#REF!,INDIRECT(J44:K44))</f>
        <v>#REF!</v>
      </c>
      <c r="L44" s="2">
        <f>TYPE(INDEX(,STDEV(#REF!,#REF!,OFFSET(INDEX(1,),,))))</f>
        <v>16</v>
      </c>
    </row>
    <row r="45" spans="1:12" x14ac:dyDescent="0.55000000000000004">
      <c r="A45" s="1" t="s">
        <v>1497</v>
      </c>
      <c r="B45" s="2">
        <f>COUNTIF(A:A,A45)-1</f>
        <v>2</v>
      </c>
      <c r="C45" s="2">
        <f>COUNTIF(A$1:A45,A45)-1</f>
        <v>0</v>
      </c>
      <c r="D45" s="2" t="str">
        <f t="shared" si="0"/>
        <v/>
      </c>
      <c r="E45" s="2"/>
      <c r="F45" s="2"/>
      <c r="H45" s="2"/>
      <c r="J45" s="2"/>
      <c r="L45" s="2"/>
    </row>
    <row r="46" spans="1:12" x14ac:dyDescent="0.55000000000000004">
      <c r="A46" s="1" t="s">
        <v>1497</v>
      </c>
      <c r="B46" s="2">
        <f>COUNTIF(A:A,A46)-1</f>
        <v>2</v>
      </c>
      <c r="C46" s="2">
        <f>COUNTIF(A$1:A46,A46)-1</f>
        <v>1</v>
      </c>
      <c r="D46" s="2" t="str">
        <f t="shared" si="0"/>
        <v>v</v>
      </c>
      <c r="E46" s="2" t="e">
        <f>DOLLAR(#REF!)</f>
        <v>#REF!</v>
      </c>
      <c r="F46" s="2" t="e">
        <f>DOLLAR(+F46:G46,#REF!)</f>
        <v>#REF!</v>
      </c>
      <c r="H46" s="2" t="e">
        <f>DOLLAR(H46:I46,#REF!)</f>
        <v>#REF!</v>
      </c>
      <c r="J46" s="2" t="e">
        <f>DOLLAR(INDIRECT(J46:K46),#REF!)</f>
        <v>#REF!</v>
      </c>
      <c r="L46" s="2">
        <f>TYPE(INDEX(,DOLLAR(OFFSET(INDEX(1,),,),#REF!)))</f>
        <v>64</v>
      </c>
    </row>
    <row r="47" spans="1:12" x14ac:dyDescent="0.55000000000000004">
      <c r="A47" s="1" t="s">
        <v>1497</v>
      </c>
      <c r="B47" s="2">
        <f>COUNTIF(A:A,A47)-1</f>
        <v>2</v>
      </c>
      <c r="C47" s="2">
        <f>COUNTIF(A$1:A47,A47)-1</f>
        <v>2</v>
      </c>
      <c r="D47" s="2" t="str">
        <f t="shared" si="0"/>
        <v>v</v>
      </c>
      <c r="E47" s="2" t="e">
        <f>DOLLAR(#REF!,#REF!)</f>
        <v>#REF!</v>
      </c>
      <c r="F47" s="2" t="e">
        <f>DOLLAR(#REF!,+F47:G47)</f>
        <v>#REF!</v>
      </c>
      <c r="H47" s="2" t="e">
        <f>DOLLAR(#REF!,H47:I47)</f>
        <v>#REF!</v>
      </c>
      <c r="J47" s="2" t="e">
        <f>DOLLAR(#REF!,INDIRECT(J47:K47))</f>
        <v>#REF!</v>
      </c>
      <c r="L47" s="2">
        <f>TYPE(INDEX(,DOLLAR(#REF!,OFFSET(INDEX(1,),,))))</f>
        <v>64</v>
      </c>
    </row>
    <row r="48" spans="1:12" x14ac:dyDescent="0.55000000000000004">
      <c r="A48" s="1" t="s">
        <v>1498</v>
      </c>
      <c r="B48" s="2">
        <f>COUNTIF(A:A,A48)-1</f>
        <v>3</v>
      </c>
      <c r="C48" s="2">
        <f>COUNTIF(A$1:A48,A48)-1</f>
        <v>0</v>
      </c>
      <c r="D48" s="2" t="str">
        <f t="shared" si="0"/>
        <v/>
      </c>
      <c r="E48" s="2"/>
      <c r="F48" s="2"/>
      <c r="H48" s="2"/>
      <c r="J48" s="2"/>
      <c r="L48" s="2"/>
    </row>
    <row r="49" spans="1:12" x14ac:dyDescent="0.55000000000000004">
      <c r="A49" s="1" t="s">
        <v>1498</v>
      </c>
      <c r="B49" s="2">
        <f>COUNTIF(A:A,A49)-1</f>
        <v>3</v>
      </c>
      <c r="C49" s="2">
        <f>COUNTIF(A$1:A49,A49)-1</f>
        <v>1</v>
      </c>
      <c r="D49" s="2" t="str">
        <f t="shared" si="0"/>
        <v>v</v>
      </c>
      <c r="E49" s="2" t="e">
        <f>FIXED(#REF!)</f>
        <v>#REF!</v>
      </c>
      <c r="F49" s="2" t="e">
        <f>FIXED(+F49:G49,#REF!,#REF!)</f>
        <v>#REF!</v>
      </c>
      <c r="H49" s="2" t="e">
        <f>FIXED(H49:I49,#REF!,#REF!)</f>
        <v>#REF!</v>
      </c>
      <c r="J49" s="2" t="e">
        <f>FIXED(INDIRECT(J49:K49),#REF!,#REF!)</f>
        <v>#REF!</v>
      </c>
      <c r="L49" s="2">
        <f>TYPE(INDEX(,FIXED(OFFSET(INDEX(1,),,),#REF!,#REF!)))</f>
        <v>64</v>
      </c>
    </row>
    <row r="50" spans="1:12" x14ac:dyDescent="0.55000000000000004">
      <c r="A50" s="1" t="s">
        <v>1498</v>
      </c>
      <c r="B50" s="2">
        <f>COUNTIF(A:A,A50)-1</f>
        <v>3</v>
      </c>
      <c r="C50" s="2">
        <f>COUNTIF(A$1:A50,A50)-1</f>
        <v>2</v>
      </c>
      <c r="D50" s="2" t="str">
        <f t="shared" si="0"/>
        <v>v</v>
      </c>
      <c r="E50" s="2" t="e">
        <f>FIXED(#REF!,#REF!)</f>
        <v>#REF!</v>
      </c>
      <c r="F50" s="2" t="e">
        <f>FIXED(#REF!,+F50:G50,#REF!)</f>
        <v>#REF!</v>
      </c>
      <c r="H50" s="2" t="e">
        <f>FIXED(#REF!,H50:I50,#REF!)</f>
        <v>#REF!</v>
      </c>
      <c r="J50" s="2" t="e">
        <f>FIXED(#REF!,INDIRECT(J50:K50),#REF!)</f>
        <v>#REF!</v>
      </c>
      <c r="L50" s="2">
        <f>TYPE(INDEX(,FIXED(#REF!,OFFSET(INDEX(1,),,),#REF!)))</f>
        <v>64</v>
      </c>
    </row>
    <row r="51" spans="1:12" x14ac:dyDescent="0.55000000000000004">
      <c r="A51" s="1" t="s">
        <v>1498</v>
      </c>
      <c r="B51" s="2">
        <f>COUNTIF(A:A,A51)-1</f>
        <v>3</v>
      </c>
      <c r="C51" s="2">
        <f>COUNTIF(A$1:A51,A51)-1</f>
        <v>3</v>
      </c>
      <c r="D51" s="2" t="str">
        <f t="shared" si="0"/>
        <v>v</v>
      </c>
      <c r="E51" s="2" t="e">
        <f>FIXED(#REF!,#REF!,#REF!)</f>
        <v>#REF!</v>
      </c>
      <c r="F51" s="2" t="e">
        <f>FIXED(#REF!,#REF!,+F51:G51)</f>
        <v>#REF!</v>
      </c>
      <c r="H51" s="2" t="e">
        <f>FIXED(#REF!,#REF!,H51:I51)</f>
        <v>#REF!</v>
      </c>
      <c r="J51" s="2" t="e">
        <f>FIXED(#REF!,#REF!,INDIRECT(J51:K51))</f>
        <v>#REF!</v>
      </c>
      <c r="L51" s="2">
        <f>TYPE(INDEX(,FIXED(#REF!,#REF!,OFFSET(INDEX(1,),,))))</f>
        <v>64</v>
      </c>
    </row>
    <row r="52" spans="1:12" x14ac:dyDescent="0.55000000000000004">
      <c r="A52" s="1" t="s">
        <v>1499</v>
      </c>
      <c r="B52" s="2">
        <f>COUNTIF(A:A,A52)-1</f>
        <v>1</v>
      </c>
      <c r="C52" s="2">
        <f>COUNTIF(A$1:A52,A52)-1</f>
        <v>0</v>
      </c>
      <c r="D52" s="2" t="str">
        <f t="shared" si="0"/>
        <v/>
      </c>
      <c r="E52" s="2"/>
      <c r="F52" s="2"/>
      <c r="H52" s="2"/>
      <c r="J52" s="2"/>
      <c r="L52" s="2"/>
    </row>
    <row r="53" spans="1:12" x14ac:dyDescent="0.55000000000000004">
      <c r="A53" s="1" t="s">
        <v>1499</v>
      </c>
      <c r="B53" s="2">
        <f>COUNTIF(A:A,A53)-1</f>
        <v>1</v>
      </c>
      <c r="C53" s="2">
        <f>COUNTIF(A$1:A53,A53)-1</f>
        <v>1</v>
      </c>
      <c r="D53" s="2" t="str">
        <f t="shared" si="0"/>
        <v>v</v>
      </c>
      <c r="E53" s="2" t="e">
        <f>SIN(#REF!)</f>
        <v>#REF!</v>
      </c>
      <c r="F53" s="2">
        <f>SIN(+F53:G53)</f>
        <v>0</v>
      </c>
      <c r="H53" s="2">
        <f>SIN(H53:I53)</f>
        <v>0</v>
      </c>
      <c r="J53" s="2" t="e">
        <f>SIN(INDIRECT(J53:K53))</f>
        <v>#REF!</v>
      </c>
      <c r="L53" s="2">
        <f>TYPE(INDEX(,SIN(OFFSET(INDEX(1,),,))))</f>
        <v>64</v>
      </c>
    </row>
    <row r="54" spans="1:12" x14ac:dyDescent="0.55000000000000004">
      <c r="A54" s="1" t="s">
        <v>1500</v>
      </c>
      <c r="B54" s="2">
        <f>COUNTIF(A:A,A54)-1</f>
        <v>1</v>
      </c>
      <c r="C54" s="2">
        <f>COUNTIF(A$1:A54,A54)-1</f>
        <v>0</v>
      </c>
      <c r="D54" s="2" t="str">
        <f t="shared" si="0"/>
        <v/>
      </c>
      <c r="E54" s="2"/>
      <c r="F54" s="2"/>
      <c r="H54" s="2"/>
      <c r="J54" s="2"/>
      <c r="L54" s="2"/>
    </row>
    <row r="55" spans="1:12" x14ac:dyDescent="0.55000000000000004">
      <c r="A55" s="1" t="s">
        <v>1500</v>
      </c>
      <c r="B55" s="2">
        <f>COUNTIF(A:A,A55)-1</f>
        <v>1</v>
      </c>
      <c r="C55" s="2">
        <f>COUNTIF(A$1:A55,A55)-1</f>
        <v>1</v>
      </c>
      <c r="D55" s="2" t="str">
        <f t="shared" si="0"/>
        <v>v</v>
      </c>
      <c r="E55" s="2" t="e">
        <f>COS(#REF!)</f>
        <v>#REF!</v>
      </c>
      <c r="F55" s="2">
        <f>COS(+F55:G55)</f>
        <v>1</v>
      </c>
      <c r="H55" s="2">
        <f>COS(H55:I55)</f>
        <v>1</v>
      </c>
      <c r="J55" s="2" t="e">
        <f>COS(INDIRECT(J55:K55))</f>
        <v>#REF!</v>
      </c>
      <c r="L55" s="2">
        <f>TYPE(INDEX(,COS(OFFSET(INDEX(1,),,))))</f>
        <v>64</v>
      </c>
    </row>
    <row r="56" spans="1:12" x14ac:dyDescent="0.55000000000000004">
      <c r="A56" s="1" t="s">
        <v>1501</v>
      </c>
      <c r="B56" s="2">
        <f>COUNTIF(A:A,A56)-1</f>
        <v>1</v>
      </c>
      <c r="C56" s="2">
        <f>COUNTIF(A$1:A56,A56)-1</f>
        <v>0</v>
      </c>
      <c r="D56" s="2" t="str">
        <f t="shared" si="0"/>
        <v/>
      </c>
      <c r="E56" s="2"/>
      <c r="F56" s="2"/>
      <c r="H56" s="2"/>
      <c r="J56" s="2"/>
      <c r="L56" s="2"/>
    </row>
    <row r="57" spans="1:12" x14ac:dyDescent="0.55000000000000004">
      <c r="A57" s="1" t="s">
        <v>1501</v>
      </c>
      <c r="B57" s="2">
        <f>COUNTIF(A:A,A57)-1</f>
        <v>1</v>
      </c>
      <c r="C57" s="2">
        <f>COUNTIF(A$1:A57,A57)-1</f>
        <v>1</v>
      </c>
      <c r="D57" s="2" t="str">
        <f t="shared" si="0"/>
        <v>v</v>
      </c>
      <c r="E57" s="2" t="e">
        <f>TAN(#REF!)</f>
        <v>#REF!</v>
      </c>
      <c r="F57" s="2">
        <f>TAN(+F57:G57)</f>
        <v>0</v>
      </c>
      <c r="H57" s="2">
        <f>TAN(H57:I57)</f>
        <v>0</v>
      </c>
      <c r="J57" s="2" t="e">
        <f>TAN(INDIRECT(J57:K57))</f>
        <v>#REF!</v>
      </c>
      <c r="L57" s="2">
        <f>TYPE(INDEX(,TAN(OFFSET(INDEX(1,),,))))</f>
        <v>64</v>
      </c>
    </row>
    <row r="58" spans="1:12" x14ac:dyDescent="0.55000000000000004">
      <c r="A58" s="1" t="s">
        <v>1502</v>
      </c>
      <c r="B58" s="2">
        <f>COUNTIF(A:A,A58)-1</f>
        <v>1</v>
      </c>
      <c r="C58" s="2">
        <f>COUNTIF(A$1:A58,A58)-1</f>
        <v>0</v>
      </c>
      <c r="D58" s="2" t="str">
        <f t="shared" si="0"/>
        <v/>
      </c>
      <c r="E58" s="2"/>
      <c r="F58" s="2"/>
      <c r="H58" s="2"/>
      <c r="J58" s="2"/>
      <c r="L58" s="2"/>
    </row>
    <row r="59" spans="1:12" x14ac:dyDescent="0.55000000000000004">
      <c r="A59" s="1" t="s">
        <v>1502</v>
      </c>
      <c r="B59" s="2">
        <f>COUNTIF(A:A,A59)-1</f>
        <v>1</v>
      </c>
      <c r="C59" s="2">
        <f>COUNTIF(A$1:A59,A59)-1</f>
        <v>1</v>
      </c>
      <c r="D59" s="2" t="str">
        <f t="shared" si="0"/>
        <v>v</v>
      </c>
      <c r="E59" s="2" t="e">
        <f>ATAN(#REF!)</f>
        <v>#REF!</v>
      </c>
      <c r="F59" s="2">
        <f>ATAN(+F59:G59)</f>
        <v>0</v>
      </c>
      <c r="H59" s="2">
        <f>ATAN(H59:I59)</f>
        <v>0</v>
      </c>
      <c r="J59" s="2" t="e">
        <f>ATAN(INDIRECT(J59:K59))</f>
        <v>#REF!</v>
      </c>
      <c r="L59" s="2">
        <f>TYPE(INDEX(,ATAN(OFFSET(INDEX(1,),,))))</f>
        <v>64</v>
      </c>
    </row>
    <row r="60" spans="1:12" x14ac:dyDescent="0.55000000000000004">
      <c r="A60" s="1" t="s">
        <v>1474</v>
      </c>
      <c r="B60" s="2">
        <f>COUNTIF(A:A,A60)-1</f>
        <v>0</v>
      </c>
      <c r="C60" s="2">
        <f>COUNTIF(A$1:A60,A60)-1</f>
        <v>0</v>
      </c>
      <c r="D60" s="2" t="str">
        <f t="shared" si="0"/>
        <v/>
      </c>
      <c r="E60" s="2">
        <f>PI()</f>
        <v>3.1415926535897931</v>
      </c>
      <c r="F60" s="2"/>
      <c r="H60" s="2"/>
      <c r="J60" s="2"/>
      <c r="L60" s="2"/>
    </row>
    <row r="61" spans="1:12" x14ac:dyDescent="0.55000000000000004">
      <c r="A61" s="1" t="s">
        <v>1503</v>
      </c>
      <c r="B61" s="2">
        <f>COUNTIF(A:A,A61)-1</f>
        <v>1</v>
      </c>
      <c r="C61" s="2">
        <f>COUNTIF(A$1:A61,A61)-1</f>
        <v>0</v>
      </c>
      <c r="D61" s="2" t="str">
        <f t="shared" si="0"/>
        <v/>
      </c>
      <c r="E61" s="2"/>
      <c r="F61" s="2"/>
      <c r="H61" s="2"/>
      <c r="J61" s="2"/>
      <c r="L61" s="2"/>
    </row>
    <row r="62" spans="1:12" x14ac:dyDescent="0.55000000000000004">
      <c r="A62" s="1" t="s">
        <v>1503</v>
      </c>
      <c r="B62" s="2">
        <f>COUNTIF(A:A,A62)-1</f>
        <v>1</v>
      </c>
      <c r="C62" s="2">
        <f>COUNTIF(A$1:A62,A62)-1</f>
        <v>1</v>
      </c>
      <c r="D62" s="2" t="str">
        <f t="shared" si="0"/>
        <v>v</v>
      </c>
      <c r="E62" s="2" t="e">
        <f>SQRT(#REF!)</f>
        <v>#REF!</v>
      </c>
      <c r="F62" s="2">
        <f>SQRT(+F62:G62)</f>
        <v>0</v>
      </c>
      <c r="H62" s="2">
        <f>SQRT(H62:I62)</f>
        <v>0</v>
      </c>
      <c r="J62" s="2" t="e">
        <f>SQRT(INDIRECT(J62:K62))</f>
        <v>#REF!</v>
      </c>
      <c r="L62" s="2">
        <f>TYPE(INDEX(,SQRT(OFFSET(INDEX(1,),,))))</f>
        <v>64</v>
      </c>
    </row>
    <row r="63" spans="1:12" x14ac:dyDescent="0.55000000000000004">
      <c r="A63" s="1" t="s">
        <v>1504</v>
      </c>
      <c r="B63" s="2">
        <f>COUNTIF(A:A,A63)-1</f>
        <v>1</v>
      </c>
      <c r="C63" s="2">
        <f>COUNTIF(A$1:A63,A63)-1</f>
        <v>0</v>
      </c>
      <c r="D63" s="2" t="str">
        <f t="shared" si="0"/>
        <v/>
      </c>
      <c r="E63" s="2"/>
      <c r="F63" s="2"/>
      <c r="H63" s="2"/>
      <c r="J63" s="2"/>
      <c r="L63" s="2"/>
    </row>
    <row r="64" spans="1:12" x14ac:dyDescent="0.55000000000000004">
      <c r="A64" s="1" t="s">
        <v>1504</v>
      </c>
      <c r="B64" s="2">
        <f>COUNTIF(A:A,A64)-1</f>
        <v>1</v>
      </c>
      <c r="C64" s="2">
        <f>COUNTIF(A$1:A64,A64)-1</f>
        <v>1</v>
      </c>
      <c r="D64" s="2" t="str">
        <f t="shared" si="0"/>
        <v>v</v>
      </c>
      <c r="E64" s="2" t="e">
        <f>EXP(#REF!)</f>
        <v>#REF!</v>
      </c>
      <c r="F64" s="2">
        <f>EXP(+F64:G64)</f>
        <v>1</v>
      </c>
      <c r="H64" s="2">
        <f>EXP(H64:I64)</f>
        <v>1</v>
      </c>
      <c r="J64" s="2" t="e">
        <f>EXP(INDIRECT(J64:K64))</f>
        <v>#REF!</v>
      </c>
      <c r="L64" s="2">
        <f>TYPE(INDEX(,EXP(OFFSET(INDEX(1,),,))))</f>
        <v>64</v>
      </c>
    </row>
    <row r="65" spans="1:12" x14ac:dyDescent="0.55000000000000004">
      <c r="A65" s="1" t="s">
        <v>1505</v>
      </c>
      <c r="B65" s="2">
        <f>COUNTIF(A:A,A65)-1</f>
        <v>1</v>
      </c>
      <c r="C65" s="2">
        <f>COUNTIF(A$1:A65,A65)-1</f>
        <v>0</v>
      </c>
      <c r="D65" s="2" t="str">
        <f t="shared" si="0"/>
        <v/>
      </c>
      <c r="E65" s="2"/>
      <c r="F65" s="2"/>
      <c r="H65" s="2"/>
      <c r="J65" s="2"/>
      <c r="L65" s="2"/>
    </row>
    <row r="66" spans="1:12" x14ac:dyDescent="0.55000000000000004">
      <c r="A66" s="1" t="s">
        <v>1505</v>
      </c>
      <c r="B66" s="2">
        <f>COUNTIF(A:A,A66)-1</f>
        <v>1</v>
      </c>
      <c r="C66" s="2">
        <f>COUNTIF(A$1:A66,A66)-1</f>
        <v>1</v>
      </c>
      <c r="D66" s="2" t="str">
        <f t="shared" ref="D66:D129" si="1">IF(C66&gt;0,IF(COUNTA(F66:G66)=1,"v",)&amp;IF(L66=64,,"a")&amp;IF(COUNTA(I66,K66)=1,"r",),"")</f>
        <v>v</v>
      </c>
      <c r="E66" s="2" t="e">
        <f>LN(#REF!)</f>
        <v>#REF!</v>
      </c>
      <c r="F66" s="2" t="e">
        <f>LN(+F66:G66)</f>
        <v>#NUM!</v>
      </c>
      <c r="H66" s="2" t="e">
        <f>LN(H66:I66)</f>
        <v>#NUM!</v>
      </c>
      <c r="J66" s="2" t="e">
        <f>LN(INDIRECT(J66:K66))</f>
        <v>#REF!</v>
      </c>
      <c r="L66" s="2">
        <f>TYPE(INDEX(,LN(OFFSET(INDEX(1,),,))))</f>
        <v>64</v>
      </c>
    </row>
    <row r="67" spans="1:12" x14ac:dyDescent="0.55000000000000004">
      <c r="A67" s="1" t="s">
        <v>2041</v>
      </c>
      <c r="B67" s="2">
        <f>COUNTIF(A:A,A67)-1</f>
        <v>1</v>
      </c>
      <c r="C67" s="2">
        <f>COUNTIF(A$1:A67,A67)-1</f>
        <v>0</v>
      </c>
      <c r="D67" s="2" t="str">
        <f t="shared" si="1"/>
        <v/>
      </c>
      <c r="E67" s="2"/>
      <c r="F67" s="2"/>
      <c r="H67" s="2"/>
      <c r="J67" s="2"/>
      <c r="L67" s="2"/>
    </row>
    <row r="68" spans="1:12" x14ac:dyDescent="0.55000000000000004">
      <c r="A68" s="1" t="s">
        <v>2041</v>
      </c>
      <c r="B68" s="2">
        <f>COUNTIF(A:A,A68)-1</f>
        <v>1</v>
      </c>
      <c r="C68" s="2">
        <f>COUNTIF(A$1:A68,A68)-1</f>
        <v>1</v>
      </c>
      <c r="D68" s="2" t="str">
        <f t="shared" si="1"/>
        <v>v</v>
      </c>
      <c r="E68" s="2" t="e">
        <f>LOG10(#REF!)</f>
        <v>#REF!</v>
      </c>
      <c r="F68" s="2" t="e">
        <f>LOG10(+F68:G68)</f>
        <v>#NUM!</v>
      </c>
      <c r="H68" s="2" t="e">
        <f>LOG10(H68:I68)</f>
        <v>#NUM!</v>
      </c>
      <c r="J68" s="2" t="e">
        <f>LOG10(INDIRECT(J68:K68))</f>
        <v>#REF!</v>
      </c>
      <c r="L68" s="2">
        <f>TYPE(INDEX(,LOG10(OFFSET(INDEX(1,),,))))</f>
        <v>64</v>
      </c>
    </row>
    <row r="69" spans="1:12" x14ac:dyDescent="0.55000000000000004">
      <c r="A69" s="1" t="s">
        <v>1506</v>
      </c>
      <c r="B69" s="2">
        <f>COUNTIF(A:A,A69)-1</f>
        <v>1</v>
      </c>
      <c r="C69" s="2">
        <f>COUNTIF(A$1:A69,A69)-1</f>
        <v>0</v>
      </c>
      <c r="D69" s="2" t="str">
        <f t="shared" si="1"/>
        <v/>
      </c>
      <c r="E69" s="2"/>
      <c r="F69" s="2"/>
      <c r="H69" s="2"/>
      <c r="J69" s="2"/>
      <c r="L69" s="2"/>
    </row>
    <row r="70" spans="1:12" x14ac:dyDescent="0.55000000000000004">
      <c r="A70" s="1" t="s">
        <v>1506</v>
      </c>
      <c r="B70" s="2">
        <f>COUNTIF(A:A,A70)-1</f>
        <v>1</v>
      </c>
      <c r="C70" s="2">
        <f>COUNTIF(A$1:A70,A70)-1</f>
        <v>1</v>
      </c>
      <c r="D70" s="2" t="str">
        <f t="shared" si="1"/>
        <v>v</v>
      </c>
      <c r="E70" s="2" t="e">
        <f>ABS(#REF!)</f>
        <v>#REF!</v>
      </c>
      <c r="F70" s="2">
        <f>ABS(+F70:G70)</f>
        <v>0</v>
      </c>
      <c r="H70" s="2">
        <f>ABS(H70:I70)</f>
        <v>0</v>
      </c>
      <c r="J70" s="2" t="e">
        <f>ABS(INDIRECT(J70:K70))</f>
        <v>#REF!</v>
      </c>
      <c r="L70" s="2">
        <f>TYPE(INDEX(,ABS(OFFSET(INDEX(1,),,))))</f>
        <v>64</v>
      </c>
    </row>
    <row r="71" spans="1:12" x14ac:dyDescent="0.55000000000000004">
      <c r="A71" s="1" t="s">
        <v>1507</v>
      </c>
      <c r="B71" s="2">
        <f>COUNTIF(A:A,A71)-1</f>
        <v>1</v>
      </c>
      <c r="C71" s="2">
        <f>COUNTIF(A$1:A71,A71)-1</f>
        <v>0</v>
      </c>
      <c r="D71" s="2" t="str">
        <f t="shared" si="1"/>
        <v/>
      </c>
      <c r="E71" s="2"/>
      <c r="F71" s="2"/>
      <c r="H71" s="2"/>
      <c r="J71" s="2"/>
      <c r="L71" s="2"/>
    </row>
    <row r="72" spans="1:12" x14ac:dyDescent="0.55000000000000004">
      <c r="A72" s="1" t="s">
        <v>1507</v>
      </c>
      <c r="B72" s="2">
        <f>COUNTIF(A:A,A72)-1</f>
        <v>1</v>
      </c>
      <c r="C72" s="2">
        <f>COUNTIF(A$1:A72,A72)-1</f>
        <v>1</v>
      </c>
      <c r="D72" s="2" t="str">
        <f t="shared" si="1"/>
        <v>v</v>
      </c>
      <c r="E72" s="2" t="e">
        <f>INT(#REF!)</f>
        <v>#REF!</v>
      </c>
      <c r="F72" s="2">
        <f>INT(+F72:G72)</f>
        <v>0</v>
      </c>
      <c r="H72" s="2">
        <f>INT(H72:I72)</f>
        <v>0</v>
      </c>
      <c r="J72" s="2" t="e">
        <f>INT(INDIRECT(J72:K72))</f>
        <v>#REF!</v>
      </c>
      <c r="L72" s="2">
        <f>TYPE(INDEX(,INT(OFFSET(INDEX(1,),,))))</f>
        <v>64</v>
      </c>
    </row>
    <row r="73" spans="1:12" x14ac:dyDescent="0.55000000000000004">
      <c r="A73" s="1" t="s">
        <v>1508</v>
      </c>
      <c r="B73" s="2">
        <f>COUNTIF(A:A,A73)-1</f>
        <v>1</v>
      </c>
      <c r="C73" s="2">
        <f>COUNTIF(A$1:A73,A73)-1</f>
        <v>0</v>
      </c>
      <c r="D73" s="2" t="str">
        <f t="shared" si="1"/>
        <v/>
      </c>
      <c r="E73" s="2"/>
      <c r="F73" s="2"/>
      <c r="H73" s="2"/>
      <c r="J73" s="2"/>
      <c r="L73" s="2"/>
    </row>
    <row r="74" spans="1:12" x14ac:dyDescent="0.55000000000000004">
      <c r="A74" s="1" t="s">
        <v>1508</v>
      </c>
      <c r="B74" s="2">
        <f>COUNTIF(A:A,A74)-1</f>
        <v>1</v>
      </c>
      <c r="C74" s="2">
        <f>COUNTIF(A$1:A74,A74)-1</f>
        <v>1</v>
      </c>
      <c r="D74" s="2" t="str">
        <f t="shared" si="1"/>
        <v>v</v>
      </c>
      <c r="E74" s="2" t="e">
        <f>SIGN(#REF!)</f>
        <v>#REF!</v>
      </c>
      <c r="F74" s="2">
        <f>SIGN(+F74:G74)</f>
        <v>0</v>
      </c>
      <c r="H74" s="2">
        <f>SIGN(H74:I74)</f>
        <v>0</v>
      </c>
      <c r="J74" s="2" t="e">
        <f>SIGN(INDIRECT(J74:K74))</f>
        <v>#REF!</v>
      </c>
      <c r="L74" s="2">
        <f>TYPE(INDEX(,SIGN(OFFSET(INDEX(1,),,))))</f>
        <v>64</v>
      </c>
    </row>
    <row r="75" spans="1:12" x14ac:dyDescent="0.55000000000000004">
      <c r="A75" s="1" t="s">
        <v>1509</v>
      </c>
      <c r="B75" s="2">
        <f>COUNTIF(A:A,A75)-1</f>
        <v>2</v>
      </c>
      <c r="C75" s="2">
        <f>COUNTIF(A$1:A75,A75)-1</f>
        <v>0</v>
      </c>
      <c r="D75" s="2" t="str">
        <f t="shared" si="1"/>
        <v/>
      </c>
      <c r="E75" s="2"/>
      <c r="F75" s="2"/>
      <c r="H75" s="2"/>
      <c r="J75" s="2"/>
      <c r="L75" s="2"/>
    </row>
    <row r="76" spans="1:12" x14ac:dyDescent="0.55000000000000004">
      <c r="A76" s="1" t="s">
        <v>1509</v>
      </c>
      <c r="B76" s="2">
        <f>COUNTIF(A:A,A76)-1</f>
        <v>2</v>
      </c>
      <c r="C76" s="2">
        <f>COUNTIF(A$1:A76,A76)-1</f>
        <v>1</v>
      </c>
      <c r="D76" s="2" t="str">
        <f t="shared" si="1"/>
        <v>v</v>
      </c>
      <c r="E76" s="2"/>
      <c r="F76" s="2" t="e">
        <f>ROUND(+F76:G76,#REF!)</f>
        <v>#REF!</v>
      </c>
      <c r="H76" s="2" t="e">
        <f>ROUND(H76:I76,#REF!)</f>
        <v>#REF!</v>
      </c>
      <c r="J76" s="2" t="e">
        <f>ROUND(INDIRECT(J76:K76),#REF!)</f>
        <v>#REF!</v>
      </c>
      <c r="L76" s="2">
        <f>TYPE(INDEX(,ROUND(OFFSET(INDEX(1,),,),#REF!)))</f>
        <v>64</v>
      </c>
    </row>
    <row r="77" spans="1:12" x14ac:dyDescent="0.55000000000000004">
      <c r="A77" s="1" t="s">
        <v>1509</v>
      </c>
      <c r="B77" s="2">
        <f>COUNTIF(A:A,A77)-1</f>
        <v>2</v>
      </c>
      <c r="C77" s="2">
        <f>COUNTIF(A$1:A77,A77)-1</f>
        <v>2</v>
      </c>
      <c r="D77" s="2" t="str">
        <f t="shared" si="1"/>
        <v>v</v>
      </c>
      <c r="E77" s="2" t="e">
        <f>ROUND(#REF!,#REF!)</f>
        <v>#REF!</v>
      </c>
      <c r="F77" s="2" t="e">
        <f>ROUND(#REF!,+F77:G77)</f>
        <v>#REF!</v>
      </c>
      <c r="H77" s="2" t="e">
        <f>ROUND(#REF!,H77:I77)</f>
        <v>#REF!</v>
      </c>
      <c r="J77" s="2" t="e">
        <f>ROUND(#REF!,INDIRECT(J77:K77))</f>
        <v>#REF!</v>
      </c>
      <c r="L77" s="2">
        <f>TYPE(INDEX(,ROUND(#REF!,OFFSET(INDEX(1,),,))))</f>
        <v>64</v>
      </c>
    </row>
    <row r="78" spans="1:12" x14ac:dyDescent="0.55000000000000004">
      <c r="A78" s="1" t="s">
        <v>1510</v>
      </c>
      <c r="B78" s="2">
        <f>COUNTIF(A:A,A78)-1</f>
        <v>3</v>
      </c>
      <c r="C78" s="2">
        <f>COUNTIF(A$1:A78,A78)-1</f>
        <v>0</v>
      </c>
      <c r="D78" s="2" t="str">
        <f t="shared" si="1"/>
        <v/>
      </c>
      <c r="E78" s="2"/>
      <c r="F78" s="2"/>
      <c r="H78" s="2"/>
      <c r="J78" s="2"/>
      <c r="L78" s="2"/>
    </row>
    <row r="79" spans="1:12" x14ac:dyDescent="0.55000000000000004">
      <c r="A79" s="1" t="s">
        <v>1510</v>
      </c>
      <c r="B79" s="2">
        <f>COUNTIF(A:A,A79)-1</f>
        <v>3</v>
      </c>
      <c r="C79" s="2">
        <f>COUNTIF(A$1:A79,A79)-1</f>
        <v>1</v>
      </c>
      <c r="D79" s="2" t="str">
        <f t="shared" si="1"/>
        <v>v</v>
      </c>
      <c r="E79" s="2"/>
      <c r="F79" s="2" t="e">
        <f>LOOKUP(+F79:G79,#REF!,#REF!)</f>
        <v>#REF!</v>
      </c>
      <c r="H79" s="2" t="e">
        <f>LOOKUP(H79:I79,#REF!,#REF!)</f>
        <v>#REF!</v>
      </c>
      <c r="J79" s="2" t="e">
        <f>LOOKUP(INDIRECT(J79:K79),#REF!,#REF!)</f>
        <v>#REF!</v>
      </c>
      <c r="L79" s="2">
        <f>TYPE(INDEX(,LOOKUP(OFFSET(INDEX(1,),,),#REF!,#REF!)))</f>
        <v>64</v>
      </c>
    </row>
    <row r="80" spans="1:12" x14ac:dyDescent="0.55000000000000004">
      <c r="A80" s="1" t="s">
        <v>1510</v>
      </c>
      <c r="B80" s="2">
        <f>COUNTIF(A:A,A80)-1</f>
        <v>3</v>
      </c>
      <c r="C80" s="2">
        <f>COUNTIF(A$1:A80,A80)-1</f>
        <v>2</v>
      </c>
      <c r="D80" s="2" t="str">
        <f t="shared" si="1"/>
        <v>ar</v>
      </c>
      <c r="E80" s="2" t="e">
        <f>LOOKUP(#REF!,#REF!)</f>
        <v>#REF!</v>
      </c>
      <c r="F80" s="2" t="e">
        <f>LOOKUP(#REF!,+F80:G80,#REF!)</f>
        <v>#REF!</v>
      </c>
      <c r="G80" s="1">
        <v>1</v>
      </c>
      <c r="H80" s="2" t="e">
        <f>LOOKUP(#REF!,H80:I80,#REF!)</f>
        <v>#REF!</v>
      </c>
      <c r="I80" s="1">
        <v>1</v>
      </c>
      <c r="J80" s="2" t="e">
        <f>LOOKUP(#REF!,INDIRECT(J80:K80),#REF!)</f>
        <v>#REF!</v>
      </c>
      <c r="L80" s="2">
        <f>TYPE(INDEX(,LOOKUP(#REF!,OFFSET(INDEX(1,),,),#REF!)))</f>
        <v>16</v>
      </c>
    </row>
    <row r="81" spans="1:12" x14ac:dyDescent="0.55000000000000004">
      <c r="A81" s="1" t="s">
        <v>1510</v>
      </c>
      <c r="B81" s="2">
        <f>COUNTIF(A:A,A81)-1</f>
        <v>3</v>
      </c>
      <c r="C81" s="2">
        <f>COUNTIF(A$1:A81,A81)-1</f>
        <v>3</v>
      </c>
      <c r="D81" s="2" t="str">
        <f t="shared" si="1"/>
        <v>ar</v>
      </c>
      <c r="E81" s="2" t="e">
        <f>LOOKUP(#REF!,#REF!,#REF!)</f>
        <v>#REF!</v>
      </c>
      <c r="F81" s="2" t="e">
        <f>LOOKUP(#REF!,#REF!,+F81:G81)</f>
        <v>#REF!</v>
      </c>
      <c r="G81" s="1">
        <v>1</v>
      </c>
      <c r="H81" s="2" t="e">
        <f>LOOKUP(#REF!,#REF!,H81:I81)</f>
        <v>#REF!</v>
      </c>
      <c r="I81" s="1">
        <v>1</v>
      </c>
      <c r="J81" s="2" t="e">
        <f>LOOKUP(#REF!,#REF!,INDIRECT(J81:K81))</f>
        <v>#REF!</v>
      </c>
      <c r="L81" s="2">
        <f>TYPE(INDEX(,LOOKUP(#REF!,#REF!,OFFSET(INDEX(1,),,))))</f>
        <v>16</v>
      </c>
    </row>
    <row r="82" spans="1:12" x14ac:dyDescent="0.55000000000000004">
      <c r="A82" s="1" t="s">
        <v>2042</v>
      </c>
      <c r="B82" s="2">
        <f>COUNTIF(A:A,A82)-1</f>
        <v>4</v>
      </c>
      <c r="C82" s="2">
        <f>COUNTIF(A$1:A82,A82)-1</f>
        <v>0</v>
      </c>
      <c r="D82" s="2" t="str">
        <f t="shared" si="1"/>
        <v/>
      </c>
      <c r="E82" s="2"/>
      <c r="F82" s="2"/>
      <c r="H82" s="2"/>
      <c r="J82" s="2"/>
      <c r="L82" s="2"/>
    </row>
    <row r="83" spans="1:12" x14ac:dyDescent="0.55000000000000004">
      <c r="A83" s="1" t="s">
        <v>2042</v>
      </c>
      <c r="B83" s="2">
        <f>COUNTIF(A:A,A83)-1</f>
        <v>4</v>
      </c>
      <c r="C83" s="2">
        <f>COUNTIF(A$1:A83,A83)-1</f>
        <v>1</v>
      </c>
      <c r="D83" s="2" t="str">
        <f t="shared" si="1"/>
        <v>ar</v>
      </c>
      <c r="E83" s="2"/>
      <c r="F83" s="2" t="e">
        <f>INDEX(+F83:G83,#REF!,#REF!,#REF!)</f>
        <v>#REF!</v>
      </c>
      <c r="G83" s="1">
        <v>1</v>
      </c>
      <c r="H83" s="2" t="e">
        <f>INDEX(H83:I83,#REF!,#REF!,#REF!)</f>
        <v>#REF!</v>
      </c>
      <c r="I83" s="1">
        <v>1</v>
      </c>
      <c r="J83" s="2" t="e">
        <f>INDEX(INDIRECT(J83:K83),#REF!,#REF!,#REF!)</f>
        <v>#REF!</v>
      </c>
      <c r="L83" s="2">
        <f>TYPE(INDEX(,INDEX(OFFSET(INDEX(1,),,),#REF!,#REF!,#REF!)))</f>
        <v>16</v>
      </c>
    </row>
    <row r="84" spans="1:12" x14ac:dyDescent="0.55000000000000004">
      <c r="A84" s="1" t="s">
        <v>2042</v>
      </c>
      <c r="B84" s="2">
        <f>COUNTIF(A:A,A84)-1</f>
        <v>4</v>
      </c>
      <c r="C84" s="2">
        <f>COUNTIF(A$1:A84,A84)-1</f>
        <v>2</v>
      </c>
      <c r="D84" s="2" t="str">
        <f t="shared" si="1"/>
        <v>v</v>
      </c>
      <c r="E84" s="2" t="e">
        <f>INDEX(#REF!,#REF!)</f>
        <v>#REF!</v>
      </c>
      <c r="F84" s="2" t="e">
        <f>INDEX(#REF!,+F84:G84,#REF!,#REF!)</f>
        <v>#REF!</v>
      </c>
      <c r="H84" s="2" t="e">
        <f>INDEX(#REF!,H84:I84,#REF!,#REF!)</f>
        <v>#REF!</v>
      </c>
      <c r="J84" s="2" t="e">
        <f>INDEX(#REF!,INDIRECT(J84:K84),#REF!,#REF!)</f>
        <v>#REF!</v>
      </c>
      <c r="L84" s="2">
        <f>TYPE(INDEX(,INDEX(#REF!,OFFSET(INDEX(1,),,),#REF!,#REF!)))</f>
        <v>64</v>
      </c>
    </row>
    <row r="85" spans="1:12" x14ac:dyDescent="0.55000000000000004">
      <c r="A85" s="1" t="s">
        <v>2042</v>
      </c>
      <c r="B85" s="2">
        <f>COUNTIF(A:A,A85)-1</f>
        <v>4</v>
      </c>
      <c r="C85" s="2">
        <f>COUNTIF(A$1:A85,A85)-1</f>
        <v>3</v>
      </c>
      <c r="D85" s="2" t="str">
        <f t="shared" si="1"/>
        <v>v</v>
      </c>
      <c r="E85" s="2" t="e">
        <f>INDEX(#REF!,#REF!,#REF!)</f>
        <v>#REF!</v>
      </c>
      <c r="F85" s="2" t="e">
        <f>INDEX(#REF!,#REF!,+F85:G85,#REF!)</f>
        <v>#REF!</v>
      </c>
      <c r="H85" s="2" t="e">
        <f>INDEX(#REF!,#REF!,H85:I85,#REF!)</f>
        <v>#REF!</v>
      </c>
      <c r="J85" s="2" t="e">
        <f>INDEX(#REF!,#REF!,INDIRECT(J85:K85),#REF!)</f>
        <v>#REF!</v>
      </c>
      <c r="L85" s="2">
        <f>TYPE(INDEX(,INDEX(#REF!,#REF!,OFFSET(INDEX(1,),,),#REF!)))</f>
        <v>64</v>
      </c>
    </row>
    <row r="86" spans="1:12" x14ac:dyDescent="0.55000000000000004">
      <c r="A86" s="1" t="s">
        <v>2042</v>
      </c>
      <c r="B86" s="2">
        <f>COUNTIF(A:A,A86)-1</f>
        <v>4</v>
      </c>
      <c r="C86" s="2">
        <f>COUNTIF(A$1:A86,A86)-1</f>
        <v>4</v>
      </c>
      <c r="D86" s="2" t="str">
        <f t="shared" si="1"/>
        <v>v</v>
      </c>
      <c r="E86" s="2" t="e">
        <f>INDEX(#REF!,#REF!,#REF!,#REF!)</f>
        <v>#REF!</v>
      </c>
      <c r="F86" s="2" t="e">
        <f>INDEX(#REF!,#REF!,#REF!,+F86:G86)</f>
        <v>#REF!</v>
      </c>
      <c r="H86" s="2" t="e">
        <f>INDEX(#REF!,#REF!,#REF!,H86:I86)</f>
        <v>#REF!</v>
      </c>
      <c r="J86" s="2" t="e">
        <f>INDEX(#REF!,#REF!,#REF!,INDIRECT(J86:K86))</f>
        <v>#REF!</v>
      </c>
      <c r="L86" s="2">
        <f>TYPE(INDEX(,INDEX(#REF!,#REF!,#REF!,OFFSET(INDEX(1,),,))))</f>
        <v>64</v>
      </c>
    </row>
    <row r="87" spans="1:12" x14ac:dyDescent="0.55000000000000004">
      <c r="A87" s="1" t="s">
        <v>1511</v>
      </c>
      <c r="B87" s="2">
        <f>COUNTIF(A:A,A87)-1</f>
        <v>2</v>
      </c>
      <c r="C87" s="2">
        <f>COUNTIF(A$1:A87,A87)-1</f>
        <v>0</v>
      </c>
      <c r="D87" s="2" t="str">
        <f t="shared" si="1"/>
        <v/>
      </c>
      <c r="E87" s="2"/>
      <c r="F87" s="2"/>
      <c r="H87" s="2"/>
      <c r="J87" s="2"/>
      <c r="L87" s="2"/>
    </row>
    <row r="88" spans="1:12" x14ac:dyDescent="0.55000000000000004">
      <c r="A88" s="1" t="s">
        <v>1511</v>
      </c>
      <c r="B88" s="2">
        <f>COUNTIF(A:A,A88)-1</f>
        <v>2</v>
      </c>
      <c r="C88" s="2">
        <f>COUNTIF(A$1:A88,A88)-1</f>
        <v>1</v>
      </c>
      <c r="D88" s="2" t="str">
        <f t="shared" si="1"/>
        <v>v</v>
      </c>
      <c r="E88" s="2"/>
      <c r="F88" s="2" t="e">
        <f>REPT(+F88:G88,#REF!)</f>
        <v>#REF!</v>
      </c>
      <c r="H88" s="2" t="e">
        <f>REPT(H88:I88,#REF!)</f>
        <v>#REF!</v>
      </c>
      <c r="J88" s="2" t="e">
        <f>REPT(INDIRECT(J88:K88),#REF!)</f>
        <v>#REF!</v>
      </c>
      <c r="L88" s="2">
        <f>TYPE(INDEX(,REPT(OFFSET(INDEX(1,),,),#REF!)))</f>
        <v>64</v>
      </c>
    </row>
    <row r="89" spans="1:12" x14ac:dyDescent="0.55000000000000004">
      <c r="A89" s="1" t="s">
        <v>1511</v>
      </c>
      <c r="B89" s="2">
        <f>COUNTIF(A:A,A89)-1</f>
        <v>2</v>
      </c>
      <c r="C89" s="2">
        <f>COUNTIF(A$1:A89,A89)-1</f>
        <v>2</v>
      </c>
      <c r="D89" s="2" t="str">
        <f t="shared" si="1"/>
        <v>v</v>
      </c>
      <c r="E89" s="2" t="e">
        <f>REPT(#REF!,#REF!)</f>
        <v>#REF!</v>
      </c>
      <c r="F89" s="2" t="e">
        <f>REPT(#REF!,+F89:G89)</f>
        <v>#REF!</v>
      </c>
      <c r="H89" s="2" t="e">
        <f>REPT(#REF!,H89:I89)</f>
        <v>#REF!</v>
      </c>
      <c r="J89" s="2" t="e">
        <f>REPT(#REF!,INDIRECT(J89:K89))</f>
        <v>#REF!</v>
      </c>
      <c r="L89" s="2">
        <f>TYPE(INDEX(,REPT(#REF!,OFFSET(INDEX(1,),,))))</f>
        <v>64</v>
      </c>
    </row>
    <row r="90" spans="1:12" x14ac:dyDescent="0.55000000000000004">
      <c r="A90" s="1" t="s">
        <v>1512</v>
      </c>
      <c r="B90" s="2">
        <f>COUNTIF(A:A,A90)-1</f>
        <v>3</v>
      </c>
      <c r="C90" s="2">
        <f>COUNTIF(A$1:A90,A90)-1</f>
        <v>0</v>
      </c>
      <c r="D90" s="2" t="str">
        <f t="shared" si="1"/>
        <v/>
      </c>
      <c r="E90" s="2"/>
      <c r="F90" s="2"/>
      <c r="H90" s="2"/>
      <c r="J90" s="2"/>
      <c r="L90" s="2"/>
    </row>
    <row r="91" spans="1:12" x14ac:dyDescent="0.55000000000000004">
      <c r="A91" s="1" t="s">
        <v>1512</v>
      </c>
      <c r="B91" s="2">
        <f>COUNTIF(A:A,A91)-1</f>
        <v>3</v>
      </c>
      <c r="C91" s="2">
        <f>COUNTIF(A$1:A91,A91)-1</f>
        <v>1</v>
      </c>
      <c r="D91" s="2" t="str">
        <f t="shared" si="1"/>
        <v>v</v>
      </c>
      <c r="E91" s="2"/>
      <c r="F91" s="2" t="e">
        <f>MID(+F91:G91,#REF!,#REF!)</f>
        <v>#REF!</v>
      </c>
      <c r="H91" s="2" t="e">
        <f>MID(H91:I91,#REF!,#REF!)</f>
        <v>#REF!</v>
      </c>
      <c r="J91" s="2" t="e">
        <f>MID(INDIRECT(J91:K91),#REF!,#REF!)</f>
        <v>#REF!</v>
      </c>
      <c r="L91" s="2">
        <f>TYPE(INDEX(,MID(OFFSET(INDEX(1,),,),#REF!,#REF!)))</f>
        <v>64</v>
      </c>
    </row>
    <row r="92" spans="1:12" x14ac:dyDescent="0.55000000000000004">
      <c r="A92" s="1" t="s">
        <v>1512</v>
      </c>
      <c r="B92" s="2">
        <f>COUNTIF(A:A,A92)-1</f>
        <v>3</v>
      </c>
      <c r="C92" s="2">
        <f>COUNTIF(A$1:A92,A92)-1</f>
        <v>2</v>
      </c>
      <c r="D92" s="2" t="str">
        <f t="shared" si="1"/>
        <v>v</v>
      </c>
      <c r="E92" s="2"/>
      <c r="F92" s="2" t="e">
        <f>MID(#REF!,+F92:G92,#REF!)</f>
        <v>#REF!</v>
      </c>
      <c r="H92" s="2" t="e">
        <f>MID(#REF!,H92:I92,#REF!)</f>
        <v>#REF!</v>
      </c>
      <c r="J92" s="2" t="e">
        <f>MID(#REF!,INDIRECT(J92:K92),#REF!)</f>
        <v>#REF!</v>
      </c>
      <c r="L92" s="2">
        <f>TYPE(INDEX(,MID(#REF!,OFFSET(INDEX(1,),,),#REF!)))</f>
        <v>64</v>
      </c>
    </row>
    <row r="93" spans="1:12" x14ac:dyDescent="0.55000000000000004">
      <c r="A93" s="1" t="s">
        <v>1512</v>
      </c>
      <c r="B93" s="2">
        <f>COUNTIF(A:A,A93)-1</f>
        <v>3</v>
      </c>
      <c r="C93" s="2">
        <f>COUNTIF(A$1:A93,A93)-1</f>
        <v>3</v>
      </c>
      <c r="D93" s="2" t="str">
        <f t="shared" si="1"/>
        <v>v</v>
      </c>
      <c r="E93" s="2" t="e">
        <f>MID(#REF!,#REF!,#REF!)</f>
        <v>#REF!</v>
      </c>
      <c r="F93" s="2" t="e">
        <f>MID(#REF!,#REF!,+F93:G93)</f>
        <v>#REF!</v>
      </c>
      <c r="H93" s="2" t="e">
        <f>MID(#REF!,#REF!,H93:I93)</f>
        <v>#REF!</v>
      </c>
      <c r="J93" s="2" t="e">
        <f>MID(#REF!,#REF!,INDIRECT(J93:K93))</f>
        <v>#REF!</v>
      </c>
      <c r="L93" s="2">
        <f>TYPE(INDEX(,MID(#REF!,#REF!,OFFSET(INDEX(1,),,))))</f>
        <v>64</v>
      </c>
    </row>
    <row r="94" spans="1:12" x14ac:dyDescent="0.55000000000000004">
      <c r="A94" s="1" t="s">
        <v>1513</v>
      </c>
      <c r="B94" s="2">
        <f>COUNTIF(A:A,A94)-1</f>
        <v>1</v>
      </c>
      <c r="C94" s="2">
        <f>COUNTIF(A$1:A94,A94)-1</f>
        <v>0</v>
      </c>
      <c r="D94" s="2" t="str">
        <f t="shared" si="1"/>
        <v/>
      </c>
      <c r="E94" s="2"/>
      <c r="F94" s="2"/>
      <c r="H94" s="2"/>
      <c r="J94" s="2"/>
      <c r="L94" s="2"/>
    </row>
    <row r="95" spans="1:12" x14ac:dyDescent="0.55000000000000004">
      <c r="A95" s="1" t="s">
        <v>1513</v>
      </c>
      <c r="B95" s="2">
        <f>COUNTIF(A:A,A95)-1</f>
        <v>1</v>
      </c>
      <c r="C95" s="2">
        <f>COUNTIF(A$1:A95,A95)-1</f>
        <v>1</v>
      </c>
      <c r="D95" s="2" t="str">
        <f t="shared" si="1"/>
        <v>v</v>
      </c>
      <c r="E95" s="2" t="e">
        <f>LEN(#REF!)</f>
        <v>#REF!</v>
      </c>
      <c r="F95" s="2">
        <f>LEN(+F95:G95)</f>
        <v>1</v>
      </c>
      <c r="H95" s="2">
        <f>LEN(H95:I95)</f>
        <v>1</v>
      </c>
      <c r="J95" s="2" t="e">
        <f>LEN(INDIRECT(J95:K95))</f>
        <v>#REF!</v>
      </c>
      <c r="L95" s="2">
        <f>TYPE(INDEX(,LEN(OFFSET(INDEX(1,),,))))</f>
        <v>64</v>
      </c>
    </row>
    <row r="96" spans="1:12" x14ac:dyDescent="0.55000000000000004">
      <c r="A96" s="1" t="s">
        <v>0</v>
      </c>
      <c r="B96" s="2">
        <f>COUNTIF(A:A,A96)-1</f>
        <v>1</v>
      </c>
      <c r="C96" s="2">
        <f>COUNTIF(A$1:A96,A96)-1</f>
        <v>0</v>
      </c>
      <c r="D96" s="2" t="str">
        <f t="shared" si="1"/>
        <v/>
      </c>
      <c r="E96" s="2"/>
      <c r="F96" s="2"/>
      <c r="H96" s="2"/>
      <c r="J96" s="2"/>
      <c r="L96" s="2"/>
    </row>
    <row r="97" spans="1:12" x14ac:dyDescent="0.55000000000000004">
      <c r="A97" s="1" t="s">
        <v>0</v>
      </c>
      <c r="B97" s="2">
        <f>COUNTIF(A:A,A97)-1</f>
        <v>1</v>
      </c>
      <c r="C97" s="2">
        <f>COUNTIF(A$1:A97,A97)-1</f>
        <v>1</v>
      </c>
      <c r="D97" s="2" t="str">
        <f t="shared" si="1"/>
        <v>v</v>
      </c>
      <c r="E97" s="2" t="e">
        <f>VALUE(#REF!)</f>
        <v>#REF!</v>
      </c>
      <c r="F97" s="2">
        <f>VALUE(+F97:G97)</f>
        <v>0</v>
      </c>
      <c r="H97" s="2">
        <f>VALUE(H97:I97)</f>
        <v>0</v>
      </c>
      <c r="J97" s="2" t="e">
        <f>VALUE(INDIRECT(J97:K97))</f>
        <v>#REF!</v>
      </c>
      <c r="L97" s="2">
        <f>TYPE(INDEX(,VALUE(OFFSET(INDEX(1,),,))))</f>
        <v>64</v>
      </c>
    </row>
    <row r="98" spans="1:12" x14ac:dyDescent="0.55000000000000004">
      <c r="A98" s="1" t="s">
        <v>2043</v>
      </c>
      <c r="B98" s="2">
        <f>COUNTIF(A:A,A98)-1</f>
        <v>-1</v>
      </c>
      <c r="C98" s="2">
        <f>COUNTIF(A$1:A98,A98)-1</f>
        <v>-1</v>
      </c>
      <c r="D98" s="2" t="str">
        <f t="shared" si="1"/>
        <v/>
      </c>
      <c r="E98" s="2"/>
      <c r="F98" s="2"/>
      <c r="H98" s="2"/>
      <c r="J98" s="2"/>
      <c r="L98" s="2" t="e">
        <v>#VALUE!</v>
      </c>
    </row>
    <row r="99" spans="1:12" x14ac:dyDescent="0.55000000000000004">
      <c r="A99" s="1" t="s">
        <v>2044</v>
      </c>
      <c r="B99" s="2">
        <f>COUNTIF(A:A,A99)-1</f>
        <v>-1</v>
      </c>
      <c r="C99" s="2">
        <f>COUNTIF(A$1:A99,A99)-1</f>
        <v>-1</v>
      </c>
      <c r="D99" s="2" t="str">
        <f t="shared" si="1"/>
        <v/>
      </c>
      <c r="E99" s="2"/>
      <c r="F99" s="2"/>
      <c r="H99" s="2"/>
      <c r="J99" s="2"/>
      <c r="L99" s="2" t="e">
        <v>#VALUE!</v>
      </c>
    </row>
    <row r="100" spans="1:12" x14ac:dyDescent="0.55000000000000004">
      <c r="A100" s="1" t="s">
        <v>1514</v>
      </c>
      <c r="B100" s="2">
        <f>COUNTIF(A:A,A100)-1</f>
        <v>3</v>
      </c>
      <c r="C100" s="2">
        <f>COUNTIF(A$1:A100,A100)-1</f>
        <v>0</v>
      </c>
      <c r="D100" s="2" t="str">
        <f t="shared" si="1"/>
        <v/>
      </c>
      <c r="E100" s="2"/>
      <c r="F100" s="2"/>
      <c r="H100" s="2"/>
      <c r="J100" s="2"/>
      <c r="L100" s="2"/>
    </row>
    <row r="101" spans="1:12" x14ac:dyDescent="0.55000000000000004">
      <c r="A101" s="1" t="s">
        <v>1514</v>
      </c>
      <c r="B101" s="2">
        <f>COUNTIF(A:A,A101)-1</f>
        <v>3</v>
      </c>
      <c r="C101" s="2">
        <f>COUNTIF(A$1:A101,A101)-1</f>
        <v>1</v>
      </c>
      <c r="D101" s="2" t="str">
        <f t="shared" si="1"/>
        <v>var</v>
      </c>
      <c r="E101" s="2" t="e">
        <f>AND(#REF!)</f>
        <v>#REF!</v>
      </c>
      <c r="F101" s="2" t="e">
        <f>AND(+F101:G101,#REF!,#REF!)</f>
        <v>#REF!</v>
      </c>
      <c r="H101" s="2" t="e">
        <f>AND(H101:I101,#REF!,#REF!)</f>
        <v>#REF!</v>
      </c>
      <c r="I101" s="1">
        <v>1</v>
      </c>
      <c r="J101" s="2" t="e">
        <f>AND(INDIRECT(J101:K101),#REF!,#REF!)</f>
        <v>#REF!</v>
      </c>
      <c r="L101" s="2">
        <f>TYPE(INDEX(,AND(OFFSET(INDEX(1,),,),#REF!,#REF!)))</f>
        <v>16</v>
      </c>
    </row>
    <row r="102" spans="1:12" x14ac:dyDescent="0.55000000000000004">
      <c r="A102" s="1" t="s">
        <v>1514</v>
      </c>
      <c r="B102" s="2">
        <f>COUNTIF(A:A,A102)-1</f>
        <v>3</v>
      </c>
      <c r="C102" s="2">
        <f>COUNTIF(A$1:A102,A102)-1</f>
        <v>2</v>
      </c>
      <c r="D102" s="2" t="str">
        <f t="shared" si="1"/>
        <v>var</v>
      </c>
      <c r="E102" s="2" t="e">
        <f>AND(#REF!,#REF!)</f>
        <v>#REF!</v>
      </c>
      <c r="F102" s="2" t="e">
        <f>AND(#REF!,+F102:G102,#REF!)</f>
        <v>#REF!</v>
      </c>
      <c r="H102" s="2" t="e">
        <f>AND(#REF!,H102:I102,#REF!)</f>
        <v>#REF!</v>
      </c>
      <c r="I102" s="1">
        <v>1</v>
      </c>
      <c r="J102" s="2" t="e">
        <f>AND(#REF!,INDIRECT(J102:K102),#REF!)</f>
        <v>#REF!</v>
      </c>
      <c r="L102" s="2">
        <f>TYPE(INDEX(,AND(#REF!,OFFSET(INDEX(1,),,),#REF!)))</f>
        <v>16</v>
      </c>
    </row>
    <row r="103" spans="1:12" x14ac:dyDescent="0.55000000000000004">
      <c r="A103" s="1" t="s">
        <v>1514</v>
      </c>
      <c r="B103" s="2">
        <f>COUNTIF(A:A,A103)-1</f>
        <v>3</v>
      </c>
      <c r="C103" s="2">
        <f>COUNTIF(A$1:A103,A103)-1</f>
        <v>3</v>
      </c>
      <c r="D103" s="2" t="str">
        <f t="shared" si="1"/>
        <v>var</v>
      </c>
      <c r="E103" s="2" t="e">
        <f>AND(#REF!,#REF!,#REF!)</f>
        <v>#REF!</v>
      </c>
      <c r="F103" s="2" t="e">
        <f>AND(#REF!,#REF!,+F103:G103)</f>
        <v>#REF!</v>
      </c>
      <c r="H103" s="2" t="e">
        <f>AND(#REF!,#REF!,H103:I103)</f>
        <v>#REF!</v>
      </c>
      <c r="I103" s="1">
        <v>1</v>
      </c>
      <c r="J103" s="2" t="e">
        <f>AND(#REF!,#REF!,INDIRECT(J103:K103))</f>
        <v>#REF!</v>
      </c>
      <c r="L103" s="2">
        <f>TYPE(INDEX(,AND(#REF!,#REF!,OFFSET(INDEX(1,),,))))</f>
        <v>16</v>
      </c>
    </row>
    <row r="104" spans="1:12" x14ac:dyDescent="0.55000000000000004">
      <c r="A104" s="1" t="s">
        <v>1515</v>
      </c>
      <c r="B104" s="2">
        <f>COUNTIF(A:A,A104)-1</f>
        <v>3</v>
      </c>
      <c r="C104" s="2">
        <f>COUNTIF(A$1:A104,A104)-1</f>
        <v>0</v>
      </c>
      <c r="D104" s="2" t="str">
        <f t="shared" si="1"/>
        <v/>
      </c>
      <c r="E104" s="2"/>
      <c r="F104" s="2"/>
      <c r="H104" s="2"/>
      <c r="J104" s="2"/>
      <c r="L104" s="2"/>
    </row>
    <row r="105" spans="1:12" x14ac:dyDescent="0.55000000000000004">
      <c r="A105" s="1" t="s">
        <v>1515</v>
      </c>
      <c r="B105" s="2">
        <f>COUNTIF(A:A,A105)-1</f>
        <v>3</v>
      </c>
      <c r="C105" s="2">
        <f>COUNTIF(A$1:A105,A105)-1</f>
        <v>1</v>
      </c>
      <c r="D105" s="2" t="str">
        <f t="shared" si="1"/>
        <v>var</v>
      </c>
      <c r="E105" s="2" t="e">
        <f>OR(#REF!)</f>
        <v>#REF!</v>
      </c>
      <c r="F105" s="2" t="e">
        <f>OR(+F105:G105,#REF!,#REF!)</f>
        <v>#REF!</v>
      </c>
      <c r="H105" s="2" t="e">
        <f>OR(H105:I105,#REF!,#REF!)</f>
        <v>#REF!</v>
      </c>
      <c r="I105" s="1">
        <v>1</v>
      </c>
      <c r="J105" s="2" t="e">
        <f>OR(INDIRECT(J105:K105),#REF!,#REF!)</f>
        <v>#REF!</v>
      </c>
      <c r="L105" s="2">
        <f>TYPE(INDEX(,OR(OFFSET(INDEX(1,),,),#REF!,#REF!)))</f>
        <v>16</v>
      </c>
    </row>
    <row r="106" spans="1:12" x14ac:dyDescent="0.55000000000000004">
      <c r="A106" s="1" t="s">
        <v>1515</v>
      </c>
      <c r="B106" s="2">
        <f>COUNTIF(A:A,A106)-1</f>
        <v>3</v>
      </c>
      <c r="C106" s="2">
        <f>COUNTIF(A$1:A106,A106)-1</f>
        <v>2</v>
      </c>
      <c r="D106" s="2" t="str">
        <f t="shared" si="1"/>
        <v>var</v>
      </c>
      <c r="E106" s="2" t="e">
        <f>OR(#REF!,#REF!)</f>
        <v>#REF!</v>
      </c>
      <c r="F106" s="2" t="e">
        <f>OR(#REF!,+F106:G106,#REF!)</f>
        <v>#REF!</v>
      </c>
      <c r="H106" s="2" t="e">
        <f>OR(#REF!,H106:I106,#REF!)</f>
        <v>#REF!</v>
      </c>
      <c r="I106" s="1">
        <v>1</v>
      </c>
      <c r="J106" s="2" t="e">
        <f>OR(#REF!,INDIRECT(J106:K106),#REF!)</f>
        <v>#REF!</v>
      </c>
      <c r="L106" s="2">
        <f>TYPE(INDEX(,OR(#REF!,OFFSET(INDEX(1,),,),#REF!)))</f>
        <v>16</v>
      </c>
    </row>
    <row r="107" spans="1:12" x14ac:dyDescent="0.55000000000000004">
      <c r="A107" s="1" t="s">
        <v>1515</v>
      </c>
      <c r="B107" s="2">
        <f>COUNTIF(A:A,A107)-1</f>
        <v>3</v>
      </c>
      <c r="C107" s="2">
        <f>COUNTIF(A$1:A107,A107)-1</f>
        <v>3</v>
      </c>
      <c r="D107" s="2" t="str">
        <f t="shared" si="1"/>
        <v>var</v>
      </c>
      <c r="E107" s="2" t="e">
        <f>OR(#REF!,#REF!,#REF!)</f>
        <v>#REF!</v>
      </c>
      <c r="F107" s="2" t="e">
        <f>OR(#REF!,#REF!,+F107:G107)</f>
        <v>#REF!</v>
      </c>
      <c r="H107" s="2" t="e">
        <f>OR(#REF!,#REF!,H107:I107)</f>
        <v>#REF!</v>
      </c>
      <c r="I107" s="1">
        <v>1</v>
      </c>
      <c r="J107" s="2" t="e">
        <f>OR(#REF!,#REF!,INDIRECT(J107:K107))</f>
        <v>#REF!</v>
      </c>
      <c r="L107" s="2">
        <f>TYPE(INDEX(,OR(#REF!,#REF!,OFFSET(INDEX(1,),,))))</f>
        <v>16</v>
      </c>
    </row>
    <row r="108" spans="1:12" x14ac:dyDescent="0.55000000000000004">
      <c r="A108" s="1" t="s">
        <v>1516</v>
      </c>
      <c r="B108" s="2">
        <f>COUNTIF(A:A,A108)-1</f>
        <v>1</v>
      </c>
      <c r="C108" s="2">
        <f>COUNTIF(A$1:A108,A108)-1</f>
        <v>0</v>
      </c>
      <c r="D108" s="2" t="str">
        <f t="shared" si="1"/>
        <v/>
      </c>
      <c r="E108" s="2"/>
      <c r="F108" s="2"/>
      <c r="H108" s="2"/>
      <c r="J108" s="2"/>
      <c r="L108" s="2"/>
    </row>
    <row r="109" spans="1:12" x14ac:dyDescent="0.55000000000000004">
      <c r="A109" s="1" t="s">
        <v>1516</v>
      </c>
      <c r="B109" s="2">
        <f>COUNTIF(A:A,A109)-1</f>
        <v>1</v>
      </c>
      <c r="C109" s="2">
        <f>COUNTIF(A$1:A109,A109)-1</f>
        <v>1</v>
      </c>
      <c r="D109" s="2" t="str">
        <f t="shared" si="1"/>
        <v>v</v>
      </c>
      <c r="E109" s="2" t="e">
        <f>NOT(#REF!)</f>
        <v>#REF!</v>
      </c>
      <c r="F109" s="2" t="b">
        <f>NOT(+F109:G109)</f>
        <v>1</v>
      </c>
      <c r="H109" s="2" t="b">
        <f>NOT(H109:I109)</f>
        <v>1</v>
      </c>
      <c r="J109" s="2" t="e">
        <f>NOT(INDIRECT(J109:K109))</f>
        <v>#REF!</v>
      </c>
      <c r="L109" s="2">
        <f>TYPE(INDEX(,NOT(OFFSET(INDEX(1,),,))))</f>
        <v>64</v>
      </c>
    </row>
    <row r="110" spans="1:12" x14ac:dyDescent="0.55000000000000004">
      <c r="A110" s="1" t="s">
        <v>1517</v>
      </c>
      <c r="B110" s="2">
        <f>COUNTIF(A:A,A110)-1</f>
        <v>2</v>
      </c>
      <c r="C110" s="2">
        <f>COUNTIF(A$1:A110,A110)-1</f>
        <v>0</v>
      </c>
      <c r="D110" s="2" t="str">
        <f t="shared" si="1"/>
        <v/>
      </c>
      <c r="E110" s="2"/>
      <c r="F110" s="2"/>
      <c r="H110" s="2"/>
      <c r="J110" s="2"/>
      <c r="L110" s="2"/>
    </row>
    <row r="111" spans="1:12" x14ac:dyDescent="0.55000000000000004">
      <c r="A111" s="1" t="s">
        <v>1517</v>
      </c>
      <c r="B111" s="2">
        <f>COUNTIF(A:A,A111)-1</f>
        <v>2</v>
      </c>
      <c r="C111" s="2">
        <f>COUNTIF(A$1:A111,A111)-1</f>
        <v>1</v>
      </c>
      <c r="D111" s="2" t="str">
        <f t="shared" si="1"/>
        <v>v</v>
      </c>
      <c r="E111" s="2"/>
      <c r="F111" s="2" t="e">
        <f>MOD(+F111:G111,#REF!)</f>
        <v>#REF!</v>
      </c>
      <c r="H111" s="2" t="e">
        <f>MOD(H111:I111,#REF!)</f>
        <v>#REF!</v>
      </c>
      <c r="J111" s="2" t="e">
        <f>MOD(INDIRECT(J111:K111),#REF!)</f>
        <v>#REF!</v>
      </c>
      <c r="L111" s="2">
        <f>TYPE(INDEX(,MOD(OFFSET(INDEX(1,),,),#REF!)))</f>
        <v>64</v>
      </c>
    </row>
    <row r="112" spans="1:12" x14ac:dyDescent="0.55000000000000004">
      <c r="A112" s="1" t="s">
        <v>1517</v>
      </c>
      <c r="B112" s="2">
        <f>COUNTIF(A:A,A112)-1</f>
        <v>2</v>
      </c>
      <c r="C112" s="2">
        <f>COUNTIF(A$1:A112,A112)-1</f>
        <v>2</v>
      </c>
      <c r="D112" s="2" t="str">
        <f t="shared" si="1"/>
        <v>v</v>
      </c>
      <c r="E112" s="2" t="e">
        <f>MOD(#REF!,#REF!)</f>
        <v>#REF!</v>
      </c>
      <c r="F112" s="2" t="e">
        <f>MOD(#REF!,+F112:G112)</f>
        <v>#REF!</v>
      </c>
      <c r="H112" s="2" t="e">
        <f>MOD(#REF!,H112:I112)</f>
        <v>#REF!</v>
      </c>
      <c r="J112" s="2" t="e">
        <f>MOD(#REF!,INDIRECT(J112:K112))</f>
        <v>#REF!</v>
      </c>
      <c r="L112" s="2">
        <f>TYPE(INDEX(,MOD(#REF!,OFFSET(INDEX(1,),,))))</f>
        <v>64</v>
      </c>
    </row>
    <row r="113" spans="1:12" x14ac:dyDescent="0.55000000000000004">
      <c r="A113" s="1" t="s">
        <v>1518</v>
      </c>
      <c r="B113" s="2">
        <f>COUNTIF(A:A,A113)-1</f>
        <v>3</v>
      </c>
      <c r="C113" s="2">
        <f>COUNTIF(A$1:A113,A113)-1</f>
        <v>0</v>
      </c>
      <c r="D113" s="2" t="str">
        <f t="shared" si="1"/>
        <v/>
      </c>
      <c r="E113" s="2"/>
      <c r="F113" s="2"/>
      <c r="H113" s="2"/>
      <c r="J113" s="2"/>
      <c r="L113" s="2"/>
    </row>
    <row r="114" spans="1:12" x14ac:dyDescent="0.55000000000000004">
      <c r="A114" s="1" t="s">
        <v>1518</v>
      </c>
      <c r="B114" s="2">
        <f>COUNTIF(A:A,A114)-1</f>
        <v>3</v>
      </c>
      <c r="C114" s="2">
        <f>COUNTIF(A$1:A114,A114)-1</f>
        <v>1</v>
      </c>
      <c r="D114" s="2" t="str">
        <f t="shared" si="1"/>
        <v>r</v>
      </c>
      <c r="E114" s="2"/>
      <c r="F114" s="2"/>
      <c r="H114" s="2" t="e">
        <f>DCOUNT(H114:I114,#REF!,#REF!)</f>
        <v>#REF!</v>
      </c>
      <c r="I114" s="1">
        <v>1</v>
      </c>
      <c r="J114" s="2" t="e">
        <f>DCOUNT(INDIRECT(J114:K114),#REF!,#REF!)</f>
        <v>#REF!</v>
      </c>
      <c r="L114" s="2">
        <f>TYPE(INDEX(,DCOUNT(OFFSET(INDEX(1,),,),#REF!,#REF!)))</f>
        <v>64</v>
      </c>
    </row>
    <row r="115" spans="1:12" x14ac:dyDescent="0.55000000000000004">
      <c r="A115" s="1" t="s">
        <v>1518</v>
      </c>
      <c r="B115" s="2">
        <f>COUNTIF(A:A,A115)-1</f>
        <v>3</v>
      </c>
      <c r="C115" s="2">
        <f>COUNTIF(A$1:A115,A115)-1</f>
        <v>2</v>
      </c>
      <c r="D115" s="2" t="str">
        <f t="shared" si="1"/>
        <v>vr</v>
      </c>
      <c r="E115" s="2"/>
      <c r="F115" s="2" t="e">
        <f>DCOUNT(#REF!,+F115:G115,#REF!)</f>
        <v>#REF!</v>
      </c>
      <c r="H115" s="2" t="e">
        <f>DCOUNT(#REF!,H115:I115,#REF!)</f>
        <v>#REF!</v>
      </c>
      <c r="I115" s="1">
        <v>1</v>
      </c>
      <c r="J115" s="2" t="e">
        <f>DCOUNT(#REF!,INDIRECT(J115:K115),#REF!)</f>
        <v>#REF!</v>
      </c>
      <c r="L115" s="2">
        <f>TYPE(INDEX(,DCOUNT(#REF!,OFFSET(INDEX(1,),,),#REF!)))</f>
        <v>64</v>
      </c>
    </row>
    <row r="116" spans="1:12" x14ac:dyDescent="0.55000000000000004">
      <c r="A116" s="1" t="s">
        <v>1518</v>
      </c>
      <c r="B116" s="2">
        <f>COUNTIF(A:A,A116)-1</f>
        <v>3</v>
      </c>
      <c r="C116" s="2">
        <f>COUNTIF(A$1:A116,A116)-1</f>
        <v>3</v>
      </c>
      <c r="D116" s="2" t="str">
        <f t="shared" si="1"/>
        <v>vr</v>
      </c>
      <c r="E116" s="2" t="e">
        <f>DCOUNT(#REF!,#REF!,#REF!)</f>
        <v>#REF!</v>
      </c>
      <c r="F116" s="2" t="e">
        <f>DCOUNT(#REF!,#REF!,+F116:G116)</f>
        <v>#REF!</v>
      </c>
      <c r="H116" s="2" t="e">
        <f>DCOUNT(#REF!,#REF!,H116:I116)</f>
        <v>#REF!</v>
      </c>
      <c r="I116" s="1">
        <v>1</v>
      </c>
      <c r="J116" s="2" t="e">
        <f>DCOUNT(#REF!,#REF!,INDIRECT(J116:K116))</f>
        <v>#REF!</v>
      </c>
      <c r="L116" s="2">
        <f>TYPE(INDEX(,DCOUNT(#REF!,#REF!,OFFSET(INDEX(1,),,))))</f>
        <v>64</v>
      </c>
    </row>
    <row r="117" spans="1:12" x14ac:dyDescent="0.55000000000000004">
      <c r="A117" s="1" t="s">
        <v>1519</v>
      </c>
      <c r="B117" s="2">
        <f>COUNTIF(A:A,A117)-1</f>
        <v>3</v>
      </c>
      <c r="C117" s="2">
        <f>COUNTIF(A$1:A117,A117)-1</f>
        <v>0</v>
      </c>
      <c r="D117" s="2" t="str">
        <f t="shared" si="1"/>
        <v/>
      </c>
      <c r="E117" s="2"/>
      <c r="F117" s="2"/>
      <c r="H117" s="2"/>
      <c r="J117" s="2"/>
      <c r="L117" s="2"/>
    </row>
    <row r="118" spans="1:12" x14ac:dyDescent="0.55000000000000004">
      <c r="A118" s="1" t="s">
        <v>1519</v>
      </c>
      <c r="B118" s="2">
        <f>COUNTIF(A:A,A118)-1</f>
        <v>3</v>
      </c>
      <c r="C118" s="2">
        <f>COUNTIF(A$1:A118,A118)-1</f>
        <v>1</v>
      </c>
      <c r="D118" s="2" t="str">
        <f t="shared" si="1"/>
        <v>r</v>
      </c>
      <c r="E118" s="2"/>
      <c r="F118" s="2"/>
      <c r="H118" s="2" t="e">
        <f>DSUM(H118:I118,#REF!,#REF!)</f>
        <v>#REF!</v>
      </c>
      <c r="I118" s="1">
        <v>1</v>
      </c>
      <c r="J118" s="2" t="e">
        <f>DSUM(INDIRECT(J118:K118),#REF!,#REF!)</f>
        <v>#REF!</v>
      </c>
      <c r="L118" s="2">
        <f>TYPE(INDEX(,DSUM(OFFSET(INDEX(1,),,),#REF!,#REF!)))</f>
        <v>64</v>
      </c>
    </row>
    <row r="119" spans="1:12" x14ac:dyDescent="0.55000000000000004">
      <c r="A119" s="1" t="s">
        <v>1519</v>
      </c>
      <c r="B119" s="2">
        <f>COUNTIF(A:A,A119)-1</f>
        <v>3</v>
      </c>
      <c r="C119" s="2">
        <f>COUNTIF(A$1:A119,A119)-1</f>
        <v>2</v>
      </c>
      <c r="D119" s="2" t="str">
        <f t="shared" si="1"/>
        <v>vr</v>
      </c>
      <c r="E119" s="2"/>
      <c r="F119" s="2" t="e">
        <f>DSUM(#REF!,+F119:G119,#REF!)</f>
        <v>#REF!</v>
      </c>
      <c r="H119" s="2" t="e">
        <f>DSUM(#REF!,H119:I119,#REF!)</f>
        <v>#REF!</v>
      </c>
      <c r="I119" s="1">
        <v>1</v>
      </c>
      <c r="J119" s="2" t="e">
        <f>DSUM(#REF!,INDIRECT(J119:K119),#REF!)</f>
        <v>#REF!</v>
      </c>
      <c r="L119" s="2">
        <f>TYPE(INDEX(,DSUM(#REF!,OFFSET(INDEX(1,),,),#REF!)))</f>
        <v>64</v>
      </c>
    </row>
    <row r="120" spans="1:12" x14ac:dyDescent="0.55000000000000004">
      <c r="A120" s="1" t="s">
        <v>1519</v>
      </c>
      <c r="B120" s="2">
        <f>COUNTIF(A:A,A120)-1</f>
        <v>3</v>
      </c>
      <c r="C120" s="2">
        <f>COUNTIF(A$1:A120,A120)-1</f>
        <v>3</v>
      </c>
      <c r="D120" s="2" t="str">
        <f t="shared" si="1"/>
        <v>vr</v>
      </c>
      <c r="E120" s="2" t="e">
        <f>DSUM(#REF!,#REF!,#REF!)</f>
        <v>#REF!</v>
      </c>
      <c r="F120" s="2" t="e">
        <f>DSUM(#REF!,#REF!,+F120:G120)</f>
        <v>#REF!</v>
      </c>
      <c r="H120" s="2" t="e">
        <f>DSUM(#REF!,#REF!,H120:I120)</f>
        <v>#REF!</v>
      </c>
      <c r="I120" s="1">
        <v>1</v>
      </c>
      <c r="J120" s="2" t="e">
        <f>DSUM(#REF!,#REF!,INDIRECT(J120:K120))</f>
        <v>#REF!</v>
      </c>
      <c r="L120" s="2">
        <f>TYPE(INDEX(,DSUM(#REF!,#REF!,OFFSET(INDEX(1,),,))))</f>
        <v>64</v>
      </c>
    </row>
    <row r="121" spans="1:12" x14ac:dyDescent="0.55000000000000004">
      <c r="A121" s="1" t="s">
        <v>1520</v>
      </c>
      <c r="B121" s="2">
        <f>COUNTIF(A:A,A121)-1</f>
        <v>3</v>
      </c>
      <c r="C121" s="2">
        <f>COUNTIF(A$1:A121,A121)-1</f>
        <v>0</v>
      </c>
      <c r="D121" s="2" t="str">
        <f t="shared" si="1"/>
        <v/>
      </c>
      <c r="E121" s="2"/>
      <c r="F121" s="2"/>
      <c r="H121" s="2"/>
      <c r="J121" s="2"/>
      <c r="L121" s="2"/>
    </row>
    <row r="122" spans="1:12" x14ac:dyDescent="0.55000000000000004">
      <c r="A122" s="1" t="s">
        <v>1520</v>
      </c>
      <c r="B122" s="2">
        <f>COUNTIF(A:A,A122)-1</f>
        <v>3</v>
      </c>
      <c r="C122" s="2">
        <f>COUNTIF(A$1:A122,A122)-1</f>
        <v>1</v>
      </c>
      <c r="D122" s="2" t="str">
        <f t="shared" si="1"/>
        <v>r</v>
      </c>
      <c r="E122" s="2"/>
      <c r="F122" s="2"/>
      <c r="H122" s="2" t="e">
        <f>DAVERAGE(H122:I122,#REF!,#REF!)</f>
        <v>#REF!</v>
      </c>
      <c r="I122" s="1">
        <v>1</v>
      </c>
      <c r="J122" s="2" t="e">
        <f>DAVERAGE(INDIRECT(J122:K122),#REF!,#REF!)</f>
        <v>#REF!</v>
      </c>
      <c r="L122" s="2">
        <f>TYPE(INDEX(,DAVERAGE(OFFSET(INDEX(1,),,),#REF!,#REF!)))</f>
        <v>64</v>
      </c>
    </row>
    <row r="123" spans="1:12" x14ac:dyDescent="0.55000000000000004">
      <c r="A123" s="1" t="s">
        <v>1520</v>
      </c>
      <c r="B123" s="2">
        <f>COUNTIF(A:A,A123)-1</f>
        <v>3</v>
      </c>
      <c r="C123" s="2">
        <f>COUNTIF(A$1:A123,A123)-1</f>
        <v>2</v>
      </c>
      <c r="D123" s="2" t="str">
        <f t="shared" si="1"/>
        <v>vr</v>
      </c>
      <c r="E123" s="2"/>
      <c r="F123" s="2" t="e">
        <f>DAVERAGE(#REF!,+F123:G123,#REF!)</f>
        <v>#REF!</v>
      </c>
      <c r="H123" s="2" t="e">
        <f>DAVERAGE(#REF!,H123:I123,#REF!)</f>
        <v>#REF!</v>
      </c>
      <c r="I123" s="1">
        <v>1</v>
      </c>
      <c r="J123" s="2" t="e">
        <f>DAVERAGE(#REF!,INDIRECT(J123:K123),#REF!)</f>
        <v>#REF!</v>
      </c>
      <c r="L123" s="2">
        <f>TYPE(INDEX(,DAVERAGE(#REF!,OFFSET(INDEX(1,),,),#REF!)))</f>
        <v>64</v>
      </c>
    </row>
    <row r="124" spans="1:12" x14ac:dyDescent="0.55000000000000004">
      <c r="A124" s="1" t="s">
        <v>1520</v>
      </c>
      <c r="B124" s="2">
        <f>COUNTIF(A:A,A124)-1</f>
        <v>3</v>
      </c>
      <c r="C124" s="2">
        <f>COUNTIF(A$1:A124,A124)-1</f>
        <v>3</v>
      </c>
      <c r="D124" s="2" t="str">
        <f t="shared" si="1"/>
        <v>vr</v>
      </c>
      <c r="E124" s="2" t="e">
        <f>DAVERAGE(#REF!,#REF!,#REF!)</f>
        <v>#REF!</v>
      </c>
      <c r="F124" s="2" t="e">
        <f>DAVERAGE(#REF!,#REF!,+F124:G124)</f>
        <v>#REF!</v>
      </c>
      <c r="H124" s="2" t="e">
        <f>DAVERAGE(#REF!,#REF!,H124:I124)</f>
        <v>#REF!</v>
      </c>
      <c r="I124" s="1">
        <v>1</v>
      </c>
      <c r="J124" s="2" t="e">
        <f>DAVERAGE(#REF!,#REF!,INDIRECT(J124:K124))</f>
        <v>#REF!</v>
      </c>
      <c r="L124" s="2">
        <f>TYPE(INDEX(,DAVERAGE(#REF!,#REF!,OFFSET(INDEX(1,),,))))</f>
        <v>64</v>
      </c>
    </row>
    <row r="125" spans="1:12" x14ac:dyDescent="0.55000000000000004">
      <c r="A125" s="1" t="s">
        <v>1521</v>
      </c>
      <c r="B125" s="2">
        <f>COUNTIF(A:A,A125)-1</f>
        <v>3</v>
      </c>
      <c r="C125" s="2">
        <f>COUNTIF(A$1:A125,A125)-1</f>
        <v>0</v>
      </c>
      <c r="D125" s="2" t="str">
        <f t="shared" si="1"/>
        <v/>
      </c>
      <c r="E125" s="2"/>
      <c r="F125" s="2"/>
      <c r="H125" s="2"/>
      <c r="J125" s="2"/>
      <c r="L125" s="2"/>
    </row>
    <row r="126" spans="1:12" x14ac:dyDescent="0.55000000000000004">
      <c r="A126" s="1" t="s">
        <v>1521</v>
      </c>
      <c r="B126" s="2">
        <f>COUNTIF(A:A,A126)-1</f>
        <v>3</v>
      </c>
      <c r="C126" s="2">
        <f>COUNTIF(A$1:A126,A126)-1</f>
        <v>1</v>
      </c>
      <c r="D126" s="2" t="str">
        <f t="shared" si="1"/>
        <v>r</v>
      </c>
      <c r="E126" s="2"/>
      <c r="F126" s="2"/>
      <c r="H126" s="2" t="e">
        <f>DMIN(H126:I126,#REF!,#REF!)</f>
        <v>#REF!</v>
      </c>
      <c r="I126" s="1">
        <v>1</v>
      </c>
      <c r="J126" s="2" t="e">
        <f>DMIN(INDIRECT(J126:K126),#REF!,#REF!)</f>
        <v>#REF!</v>
      </c>
      <c r="L126" s="2">
        <f>TYPE(INDEX(,DMIN(OFFSET(INDEX(1,),,),#REF!,#REF!)))</f>
        <v>64</v>
      </c>
    </row>
    <row r="127" spans="1:12" x14ac:dyDescent="0.55000000000000004">
      <c r="A127" s="1" t="s">
        <v>1521</v>
      </c>
      <c r="B127" s="2">
        <f>COUNTIF(A:A,A127)-1</f>
        <v>3</v>
      </c>
      <c r="C127" s="2">
        <f>COUNTIF(A$1:A127,A127)-1</f>
        <v>2</v>
      </c>
      <c r="D127" s="2" t="str">
        <f t="shared" si="1"/>
        <v>vr</v>
      </c>
      <c r="E127" s="2"/>
      <c r="F127" s="2" t="e">
        <f>DMIN(#REF!,+F127:G127,#REF!)</f>
        <v>#REF!</v>
      </c>
      <c r="H127" s="2" t="e">
        <f>DMIN(#REF!,H127:I127,#REF!)</f>
        <v>#REF!</v>
      </c>
      <c r="I127" s="1">
        <v>1</v>
      </c>
      <c r="J127" s="2" t="e">
        <f>DMIN(#REF!,INDIRECT(J127:K127),#REF!)</f>
        <v>#REF!</v>
      </c>
      <c r="L127" s="2">
        <f>TYPE(INDEX(,DMIN(#REF!,OFFSET(INDEX(1,),,),#REF!)))</f>
        <v>64</v>
      </c>
    </row>
    <row r="128" spans="1:12" x14ac:dyDescent="0.55000000000000004">
      <c r="A128" s="1" t="s">
        <v>1521</v>
      </c>
      <c r="B128" s="2">
        <f>COUNTIF(A:A,A128)-1</f>
        <v>3</v>
      </c>
      <c r="C128" s="2">
        <f>COUNTIF(A$1:A128,A128)-1</f>
        <v>3</v>
      </c>
      <c r="D128" s="2" t="str">
        <f t="shared" si="1"/>
        <v>vr</v>
      </c>
      <c r="E128" s="2" t="e">
        <f>DMIN(#REF!,#REF!,#REF!)</f>
        <v>#REF!</v>
      </c>
      <c r="F128" s="2" t="e">
        <f>DMIN(#REF!,#REF!,+F128:G128)</f>
        <v>#REF!</v>
      </c>
      <c r="H128" s="2" t="e">
        <f>DMIN(#REF!,#REF!,H128:I128)</f>
        <v>#REF!</v>
      </c>
      <c r="I128" s="1">
        <v>1</v>
      </c>
      <c r="J128" s="2" t="e">
        <f>DMIN(#REF!,#REF!,INDIRECT(J128:K128))</f>
        <v>#REF!</v>
      </c>
      <c r="L128" s="2">
        <f>TYPE(INDEX(,DMIN(#REF!,#REF!,OFFSET(INDEX(1,),,))))</f>
        <v>64</v>
      </c>
    </row>
    <row r="129" spans="1:12" x14ac:dyDescent="0.55000000000000004">
      <c r="A129" s="1" t="s">
        <v>1522</v>
      </c>
      <c r="B129" s="2">
        <f>COUNTIF(A:A,A129)-1</f>
        <v>3</v>
      </c>
      <c r="C129" s="2">
        <f>COUNTIF(A$1:A129,A129)-1</f>
        <v>0</v>
      </c>
      <c r="D129" s="2" t="str">
        <f t="shared" si="1"/>
        <v/>
      </c>
      <c r="E129" s="2"/>
      <c r="F129" s="2"/>
      <c r="H129" s="2"/>
      <c r="J129" s="2"/>
      <c r="L129" s="2"/>
    </row>
    <row r="130" spans="1:12" x14ac:dyDescent="0.55000000000000004">
      <c r="A130" s="1" t="s">
        <v>1522</v>
      </c>
      <c r="B130" s="2">
        <f>COUNTIF(A:A,A130)-1</f>
        <v>3</v>
      </c>
      <c r="C130" s="2">
        <f>COUNTIF(A$1:A130,A130)-1</f>
        <v>1</v>
      </c>
      <c r="D130" s="2" t="str">
        <f t="shared" ref="D130:D193" si="2">IF(C130&gt;0,IF(COUNTA(F130:G130)=1,"v",)&amp;IF(L130=64,,"a")&amp;IF(COUNTA(I130,K130)=1,"r",),"")</f>
        <v>r</v>
      </c>
      <c r="E130" s="2"/>
      <c r="F130" s="2"/>
      <c r="H130" s="2" t="e">
        <f>DMAX(H130:I130,#REF!,#REF!)</f>
        <v>#REF!</v>
      </c>
      <c r="I130" s="1">
        <v>1</v>
      </c>
      <c r="J130" s="2" t="e">
        <f>DMAX(INDIRECT(J130:K130),#REF!,#REF!)</f>
        <v>#REF!</v>
      </c>
      <c r="L130" s="2">
        <f>TYPE(INDEX(,DMAX(OFFSET(INDEX(1,),,),#REF!,#REF!)))</f>
        <v>64</v>
      </c>
    </row>
    <row r="131" spans="1:12" x14ac:dyDescent="0.55000000000000004">
      <c r="A131" s="1" t="s">
        <v>1522</v>
      </c>
      <c r="B131" s="2">
        <f>COUNTIF(A:A,A131)-1</f>
        <v>3</v>
      </c>
      <c r="C131" s="2">
        <f>COUNTIF(A$1:A131,A131)-1</f>
        <v>2</v>
      </c>
      <c r="D131" s="2" t="str">
        <f t="shared" si="2"/>
        <v>vr</v>
      </c>
      <c r="E131" s="2"/>
      <c r="F131" s="2" t="e">
        <f>DMAX(#REF!,+F131:G131,#REF!)</f>
        <v>#REF!</v>
      </c>
      <c r="H131" s="2" t="e">
        <f>DMAX(#REF!,H131:I131,#REF!)</f>
        <v>#REF!</v>
      </c>
      <c r="I131" s="1">
        <v>1</v>
      </c>
      <c r="J131" s="2" t="e">
        <f>DMAX(#REF!,INDIRECT(J131:K131),#REF!)</f>
        <v>#REF!</v>
      </c>
      <c r="L131" s="2">
        <f>TYPE(INDEX(,DMAX(#REF!,OFFSET(INDEX(1,),,),#REF!)))</f>
        <v>64</v>
      </c>
    </row>
    <row r="132" spans="1:12" x14ac:dyDescent="0.55000000000000004">
      <c r="A132" s="1" t="s">
        <v>1522</v>
      </c>
      <c r="B132" s="2">
        <f>COUNTIF(A:A,A132)-1</f>
        <v>3</v>
      </c>
      <c r="C132" s="2">
        <f>COUNTIF(A$1:A132,A132)-1</f>
        <v>3</v>
      </c>
      <c r="D132" s="2" t="str">
        <f t="shared" si="2"/>
        <v>vr</v>
      </c>
      <c r="E132" s="2" t="e">
        <f>DMAX(#REF!,#REF!,#REF!)</f>
        <v>#REF!</v>
      </c>
      <c r="F132" s="2" t="e">
        <f>DMAX(#REF!,#REF!,+F132:G132)</f>
        <v>#REF!</v>
      </c>
      <c r="H132" s="2" t="e">
        <f>DMAX(#REF!,#REF!,H132:I132)</f>
        <v>#REF!</v>
      </c>
      <c r="I132" s="1">
        <v>1</v>
      </c>
      <c r="J132" s="2" t="e">
        <f>DMAX(#REF!,#REF!,INDIRECT(J132:K132))</f>
        <v>#REF!</v>
      </c>
      <c r="L132" s="2">
        <f>TYPE(INDEX(,DMAX(#REF!,#REF!,OFFSET(INDEX(1,),,))))</f>
        <v>64</v>
      </c>
    </row>
    <row r="133" spans="1:12" x14ac:dyDescent="0.55000000000000004">
      <c r="A133" s="1" t="s">
        <v>1523</v>
      </c>
      <c r="B133" s="2">
        <f>COUNTIF(A:A,A133)-1</f>
        <v>3</v>
      </c>
      <c r="C133" s="2">
        <f>COUNTIF(A$1:A133,A133)-1</f>
        <v>0</v>
      </c>
      <c r="D133" s="2" t="str">
        <f t="shared" si="2"/>
        <v/>
      </c>
      <c r="E133" s="2"/>
      <c r="F133" s="2"/>
      <c r="H133" s="2"/>
      <c r="J133" s="2"/>
      <c r="L133" s="2"/>
    </row>
    <row r="134" spans="1:12" x14ac:dyDescent="0.55000000000000004">
      <c r="A134" s="1" t="s">
        <v>1523</v>
      </c>
      <c r="B134" s="2">
        <f>COUNTIF(A:A,A134)-1</f>
        <v>3</v>
      </c>
      <c r="C134" s="2">
        <f>COUNTIF(A$1:A134,A134)-1</f>
        <v>1</v>
      </c>
      <c r="D134" s="2" t="str">
        <f t="shared" si="2"/>
        <v>r</v>
      </c>
      <c r="E134" s="2"/>
      <c r="F134" s="2"/>
      <c r="H134" s="2" t="e">
        <f>DSTDEV(H134:I134,#REF!,#REF!)</f>
        <v>#REF!</v>
      </c>
      <c r="I134" s="1">
        <v>1</v>
      </c>
      <c r="J134" s="2" t="e">
        <f>DSTDEV(INDIRECT(J134:K134),#REF!,#REF!)</f>
        <v>#REF!</v>
      </c>
      <c r="L134" s="2">
        <f>TYPE(INDEX(,DSTDEV(OFFSET(INDEX(1,),,),#REF!,#REF!)))</f>
        <v>64</v>
      </c>
    </row>
    <row r="135" spans="1:12" x14ac:dyDescent="0.55000000000000004">
      <c r="A135" s="1" t="s">
        <v>1523</v>
      </c>
      <c r="B135" s="2">
        <f>COUNTIF(A:A,A135)-1</f>
        <v>3</v>
      </c>
      <c r="C135" s="2">
        <f>COUNTIF(A$1:A135,A135)-1</f>
        <v>2</v>
      </c>
      <c r="D135" s="2" t="str">
        <f t="shared" si="2"/>
        <v>vr</v>
      </c>
      <c r="E135" s="2"/>
      <c r="F135" s="2" t="e">
        <f>DSTDEV(#REF!,+F135:G135,#REF!)</f>
        <v>#REF!</v>
      </c>
      <c r="H135" s="2" t="e">
        <f>DSTDEV(#REF!,H135:I135,#REF!)</f>
        <v>#REF!</v>
      </c>
      <c r="I135" s="1">
        <v>1</v>
      </c>
      <c r="J135" s="2" t="e">
        <f>DSTDEV(#REF!,INDIRECT(J135:K135),#REF!)</f>
        <v>#REF!</v>
      </c>
      <c r="L135" s="2">
        <f>TYPE(INDEX(,DSTDEV(#REF!,OFFSET(INDEX(1,),,),#REF!)))</f>
        <v>64</v>
      </c>
    </row>
    <row r="136" spans="1:12" x14ac:dyDescent="0.55000000000000004">
      <c r="A136" s="1" t="s">
        <v>1523</v>
      </c>
      <c r="B136" s="2">
        <f>COUNTIF(A:A,A136)-1</f>
        <v>3</v>
      </c>
      <c r="C136" s="2">
        <f>COUNTIF(A$1:A136,A136)-1</f>
        <v>3</v>
      </c>
      <c r="D136" s="2" t="str">
        <f t="shared" si="2"/>
        <v>vr</v>
      </c>
      <c r="E136" s="2" t="e">
        <f>DSTDEV(#REF!,#REF!,#REF!)</f>
        <v>#REF!</v>
      </c>
      <c r="F136" s="2" t="e">
        <f>DSTDEV(#REF!,#REF!,+F136:G136)</f>
        <v>#REF!</v>
      </c>
      <c r="H136" s="2" t="e">
        <f>DSTDEV(#REF!,#REF!,H136:I136)</f>
        <v>#REF!</v>
      </c>
      <c r="I136" s="1">
        <v>1</v>
      </c>
      <c r="J136" s="2" t="e">
        <f>DSTDEV(#REF!,#REF!,INDIRECT(J136:K136))</f>
        <v>#REF!</v>
      </c>
      <c r="L136" s="2">
        <f>TYPE(INDEX(,DSTDEV(#REF!,#REF!,OFFSET(INDEX(1,),,))))</f>
        <v>64</v>
      </c>
    </row>
    <row r="137" spans="1:12" x14ac:dyDescent="0.55000000000000004">
      <c r="A137" s="1" t="s">
        <v>1524</v>
      </c>
      <c r="B137" s="2">
        <f>COUNTIF(A:A,A137)-1</f>
        <v>3</v>
      </c>
      <c r="C137" s="2">
        <f>COUNTIF(A$1:A137,A137)-1</f>
        <v>0</v>
      </c>
      <c r="D137" s="2" t="str">
        <f t="shared" si="2"/>
        <v/>
      </c>
      <c r="E137" s="2"/>
      <c r="F137" s="2"/>
      <c r="H137" s="2"/>
      <c r="J137" s="2"/>
      <c r="L137" s="2"/>
    </row>
    <row r="138" spans="1:12" x14ac:dyDescent="0.55000000000000004">
      <c r="A138" s="1" t="s">
        <v>1524</v>
      </c>
      <c r="B138" s="2">
        <f>COUNTIF(A:A,A138)-1</f>
        <v>3</v>
      </c>
      <c r="C138" s="2">
        <f>COUNTIF(A$1:A138,A138)-1</f>
        <v>1</v>
      </c>
      <c r="D138" s="2" t="str">
        <f t="shared" si="2"/>
        <v>var</v>
      </c>
      <c r="E138" s="2" t="e">
        <f>VAR(#REF!)</f>
        <v>#REF!</v>
      </c>
      <c r="F138" s="2" t="e">
        <f>VAR(+F138:G138,#REF!,#REF!)</f>
        <v>#REF!</v>
      </c>
      <c r="H138" s="2" t="e">
        <f>VAR(H138:I138,#REF!,#REF!)</f>
        <v>#REF!</v>
      </c>
      <c r="I138" s="1">
        <v>1</v>
      </c>
      <c r="J138" s="2" t="e">
        <f>VAR(INDIRECT(J138:K138),#REF!,#REF!)</f>
        <v>#REF!</v>
      </c>
      <c r="L138" s="2">
        <f>TYPE(INDEX(,VAR(OFFSET(INDEX(1,),,),#REF!,#REF!)))</f>
        <v>16</v>
      </c>
    </row>
    <row r="139" spans="1:12" x14ac:dyDescent="0.55000000000000004">
      <c r="A139" s="1" t="s">
        <v>1524</v>
      </c>
      <c r="B139" s="2">
        <f>COUNTIF(A:A,A139)-1</f>
        <v>3</v>
      </c>
      <c r="C139" s="2">
        <f>COUNTIF(A$1:A139,A139)-1</f>
        <v>2</v>
      </c>
      <c r="D139" s="2" t="str">
        <f t="shared" si="2"/>
        <v>var</v>
      </c>
      <c r="E139" s="2" t="e">
        <f>VAR(#REF!,#REF!)</f>
        <v>#REF!</v>
      </c>
      <c r="F139" s="2" t="e">
        <f>VAR(#REF!,+F139:G139,#REF!)</f>
        <v>#REF!</v>
      </c>
      <c r="H139" s="2" t="e">
        <f>VAR(#REF!,H139:I139,#REF!)</f>
        <v>#REF!</v>
      </c>
      <c r="I139" s="1">
        <v>1</v>
      </c>
      <c r="J139" s="2" t="e">
        <f>VAR(#REF!,INDIRECT(J139:K139),#REF!)</f>
        <v>#REF!</v>
      </c>
      <c r="L139" s="2">
        <f>TYPE(INDEX(,VAR(#REF!,OFFSET(INDEX(1,),,),#REF!)))</f>
        <v>16</v>
      </c>
    </row>
    <row r="140" spans="1:12" x14ac:dyDescent="0.55000000000000004">
      <c r="A140" s="1" t="s">
        <v>1524</v>
      </c>
      <c r="B140" s="2">
        <f>COUNTIF(A:A,A140)-1</f>
        <v>3</v>
      </c>
      <c r="C140" s="2">
        <f>COUNTIF(A$1:A140,A140)-1</f>
        <v>3</v>
      </c>
      <c r="D140" s="2" t="str">
        <f t="shared" si="2"/>
        <v>var</v>
      </c>
      <c r="E140" s="2" t="e">
        <f>VAR(#REF!,#REF!,#REF!)</f>
        <v>#REF!</v>
      </c>
      <c r="F140" s="2" t="e">
        <f>VAR(#REF!,#REF!,+F140:G140)</f>
        <v>#REF!</v>
      </c>
      <c r="H140" s="2" t="e">
        <f>VAR(#REF!,#REF!,H140:I140)</f>
        <v>#REF!</v>
      </c>
      <c r="I140" s="1">
        <v>1</v>
      </c>
      <c r="J140" s="2" t="e">
        <f>VAR(#REF!,#REF!,INDIRECT(J140:K140))</f>
        <v>#REF!</v>
      </c>
      <c r="L140" s="2">
        <f>TYPE(INDEX(,VAR(#REF!,#REF!,OFFSET(INDEX(1,),,))))</f>
        <v>16</v>
      </c>
    </row>
    <row r="141" spans="1:12" x14ac:dyDescent="0.55000000000000004">
      <c r="A141" s="1" t="s">
        <v>1525</v>
      </c>
      <c r="B141" s="2">
        <f>COUNTIF(A:A,A141)-1</f>
        <v>3</v>
      </c>
      <c r="C141" s="2">
        <f>COUNTIF(A$1:A141,A141)-1</f>
        <v>0</v>
      </c>
      <c r="D141" s="2" t="str">
        <f t="shared" si="2"/>
        <v/>
      </c>
      <c r="E141" s="2"/>
      <c r="F141" s="2"/>
      <c r="H141" s="2"/>
      <c r="J141" s="2"/>
      <c r="L141" s="2"/>
    </row>
    <row r="142" spans="1:12" x14ac:dyDescent="0.55000000000000004">
      <c r="A142" s="1" t="s">
        <v>1525</v>
      </c>
      <c r="B142" s="2">
        <f>COUNTIF(A:A,A142)-1</f>
        <v>3</v>
      </c>
      <c r="C142" s="2">
        <f>COUNTIF(A$1:A142,A142)-1</f>
        <v>1</v>
      </c>
      <c r="D142" s="2" t="str">
        <f t="shared" si="2"/>
        <v>r</v>
      </c>
      <c r="E142" s="2"/>
      <c r="F142" s="2"/>
      <c r="H142" s="2" t="e">
        <f>DVAR(H142:I142,#REF!,#REF!)</f>
        <v>#REF!</v>
      </c>
      <c r="I142" s="1">
        <v>1</v>
      </c>
      <c r="J142" s="2" t="e">
        <f>DVAR(INDIRECT(J142:K142),#REF!,#REF!)</f>
        <v>#REF!</v>
      </c>
      <c r="L142" s="2">
        <f>TYPE(INDEX(,DVAR(OFFSET(INDEX(1,),,),#REF!,#REF!)))</f>
        <v>64</v>
      </c>
    </row>
    <row r="143" spans="1:12" x14ac:dyDescent="0.55000000000000004">
      <c r="A143" s="1" t="s">
        <v>1525</v>
      </c>
      <c r="B143" s="2">
        <f>COUNTIF(A:A,A143)-1</f>
        <v>3</v>
      </c>
      <c r="C143" s="2">
        <f>COUNTIF(A$1:A143,A143)-1</f>
        <v>2</v>
      </c>
      <c r="D143" s="2" t="str">
        <f t="shared" si="2"/>
        <v>vr</v>
      </c>
      <c r="E143" s="2"/>
      <c r="F143" s="2" t="e">
        <f>DVAR(#REF!,+F143:G143,#REF!)</f>
        <v>#REF!</v>
      </c>
      <c r="H143" s="2" t="e">
        <f>DVAR(#REF!,H143:I143,#REF!)</f>
        <v>#REF!</v>
      </c>
      <c r="I143" s="1">
        <v>1</v>
      </c>
      <c r="J143" s="2" t="e">
        <f>DVAR(#REF!,INDIRECT(J143:K143),#REF!)</f>
        <v>#REF!</v>
      </c>
      <c r="L143" s="2">
        <f>TYPE(INDEX(,DVAR(#REF!,OFFSET(INDEX(1,),,),#REF!)))</f>
        <v>64</v>
      </c>
    </row>
    <row r="144" spans="1:12" x14ac:dyDescent="0.55000000000000004">
      <c r="A144" s="1" t="s">
        <v>1525</v>
      </c>
      <c r="B144" s="2">
        <f>COUNTIF(A:A,A144)-1</f>
        <v>3</v>
      </c>
      <c r="C144" s="2">
        <f>COUNTIF(A$1:A144,A144)-1</f>
        <v>3</v>
      </c>
      <c r="D144" s="2" t="str">
        <f t="shared" si="2"/>
        <v>vr</v>
      </c>
      <c r="E144" s="2" t="e">
        <f>DVAR(#REF!,#REF!,#REF!)</f>
        <v>#REF!</v>
      </c>
      <c r="F144" s="2" t="e">
        <f>DVAR(#REF!,#REF!,+F144:G144)</f>
        <v>#REF!</v>
      </c>
      <c r="H144" s="2" t="e">
        <f>DVAR(#REF!,#REF!,H144:I144)</f>
        <v>#REF!</v>
      </c>
      <c r="I144" s="1">
        <v>1</v>
      </c>
      <c r="J144" s="2" t="e">
        <f>DVAR(#REF!,#REF!,INDIRECT(J144:K144))</f>
        <v>#REF!</v>
      </c>
      <c r="L144" s="2">
        <f>TYPE(INDEX(,DVAR(#REF!,#REF!,OFFSET(INDEX(1,),,))))</f>
        <v>64</v>
      </c>
    </row>
    <row r="145" spans="1:12" x14ac:dyDescent="0.55000000000000004">
      <c r="A145" s="1" t="s">
        <v>1198</v>
      </c>
      <c r="B145" s="2">
        <f>COUNTIF(A:A,A145)-1</f>
        <v>2</v>
      </c>
      <c r="C145" s="2">
        <f>COUNTIF(A$1:A145,A145)-1</f>
        <v>0</v>
      </c>
      <c r="D145" s="2" t="str">
        <f t="shared" si="2"/>
        <v/>
      </c>
      <c r="E145" s="2"/>
      <c r="F145" s="2"/>
      <c r="H145" s="2"/>
      <c r="J145" s="2"/>
      <c r="L145" s="2"/>
    </row>
    <row r="146" spans="1:12" x14ac:dyDescent="0.55000000000000004">
      <c r="A146" s="1" t="s">
        <v>1198</v>
      </c>
      <c r="B146" s="2">
        <f>COUNTIF(A:A,A146)-1</f>
        <v>2</v>
      </c>
      <c r="C146" s="2">
        <f>COUNTIF(A$1:A146,A146)-1</f>
        <v>1</v>
      </c>
      <c r="D146" s="2" t="str">
        <f t="shared" si="2"/>
        <v>v</v>
      </c>
      <c r="E146" s="2"/>
      <c r="F146" s="2" t="e">
        <f>TEXT(+F146:G146,#REF!)</f>
        <v>#REF!</v>
      </c>
      <c r="H146" s="2" t="e">
        <f>TEXT(H146:I146,#REF!)</f>
        <v>#REF!</v>
      </c>
      <c r="J146" s="2" t="e">
        <f>TEXT(INDIRECT(J146:K146),#REF!)</f>
        <v>#REF!</v>
      </c>
      <c r="L146" s="2">
        <f>TYPE(INDEX(,TEXT(OFFSET(INDEX(1,),,),#REF!)))</f>
        <v>64</v>
      </c>
    </row>
    <row r="147" spans="1:12" x14ac:dyDescent="0.55000000000000004">
      <c r="A147" s="1" t="s">
        <v>1198</v>
      </c>
      <c r="B147" s="2">
        <f>COUNTIF(A:A,A147)-1</f>
        <v>2</v>
      </c>
      <c r="C147" s="2">
        <f>COUNTIF(A$1:A147,A147)-1</f>
        <v>2</v>
      </c>
      <c r="D147" s="2" t="str">
        <f t="shared" si="2"/>
        <v>v</v>
      </c>
      <c r="E147" s="2" t="e">
        <f>TEXT(#REF!,#REF!)</f>
        <v>#REF!</v>
      </c>
      <c r="F147" s="2" t="e">
        <f>TEXT(#REF!,+F147:G147)</f>
        <v>#REF!</v>
      </c>
      <c r="H147" s="2" t="e">
        <f>TEXT(#REF!,H147:I147)</f>
        <v>#REF!</v>
      </c>
      <c r="J147" s="2" t="e">
        <f>TEXT(#REF!,INDIRECT(J147:K147))</f>
        <v>#REF!</v>
      </c>
      <c r="L147" s="2">
        <f>TYPE(INDEX(,TEXT(#REF!,OFFSET(INDEX(1,),,))))</f>
        <v>64</v>
      </c>
    </row>
    <row r="148" spans="1:12" x14ac:dyDescent="0.55000000000000004">
      <c r="A148" s="1" t="s">
        <v>1526</v>
      </c>
      <c r="B148" s="2">
        <f>COUNTIF(A:A,A148)-1</f>
        <v>4</v>
      </c>
      <c r="C148" s="2">
        <f>COUNTIF(A$1:A148,A148)-1</f>
        <v>0</v>
      </c>
      <c r="D148" s="2" t="str">
        <f t="shared" si="2"/>
        <v/>
      </c>
      <c r="E148" s="2"/>
      <c r="F148" s="2"/>
      <c r="H148" s="2"/>
      <c r="J148" s="2"/>
      <c r="L148" s="2"/>
    </row>
    <row r="149" spans="1:12" x14ac:dyDescent="0.55000000000000004">
      <c r="A149" s="1" t="s">
        <v>1526</v>
      </c>
      <c r="B149" s="2">
        <f>COUNTIF(A:A,A149)-1</f>
        <v>4</v>
      </c>
      <c r="C149" s="2">
        <f>COUNTIF(A$1:A149,A149)-1</f>
        <v>1</v>
      </c>
      <c r="D149" s="2" t="str">
        <f t="shared" si="2"/>
        <v>ar</v>
      </c>
      <c r="E149" s="2" t="e">
        <f>LINEST(#REF!)</f>
        <v>#REF!</v>
      </c>
      <c r="F149" s="2" t="e">
        <f>LINEST(+F149:G149,#REF!,#REF!,#REF!)</f>
        <v>#REF!</v>
      </c>
      <c r="G149" s="1">
        <v>1</v>
      </c>
      <c r="H149" s="2" t="e">
        <f>LINEST(H149:I149,#REF!,#REF!,#REF!)</f>
        <v>#REF!</v>
      </c>
      <c r="I149" s="1">
        <v>1</v>
      </c>
      <c r="J149" s="2" t="e">
        <f>LINEST(INDIRECT(J149:K149),#REF!,#REF!,#REF!)</f>
        <v>#REF!</v>
      </c>
      <c r="L149" s="2">
        <f>TYPE(INDEX(,LINEST(OFFSET(INDEX(1,),,),#REF!,#REF!,#REF!)))</f>
        <v>16</v>
      </c>
    </row>
    <row r="150" spans="1:12" x14ac:dyDescent="0.55000000000000004">
      <c r="A150" s="1" t="s">
        <v>1526</v>
      </c>
      <c r="B150" s="2">
        <f>COUNTIF(A:A,A150)-1</f>
        <v>4</v>
      </c>
      <c r="C150" s="2">
        <f>COUNTIF(A$1:A150,A150)-1</f>
        <v>2</v>
      </c>
      <c r="D150" s="2" t="str">
        <f t="shared" si="2"/>
        <v>ar</v>
      </c>
      <c r="E150" s="2" t="e">
        <f>LINEST(#REF!,#REF!)</f>
        <v>#REF!</v>
      </c>
      <c r="F150" s="2" t="e">
        <f>LINEST(#REF!,+F150:G150,#REF!,#REF!)</f>
        <v>#REF!</v>
      </c>
      <c r="G150" s="1">
        <v>1</v>
      </c>
      <c r="H150" s="2" t="e">
        <f>LINEST(#REF!,H150:I150,#REF!,#REF!)</f>
        <v>#REF!</v>
      </c>
      <c r="I150" s="1">
        <v>1</v>
      </c>
      <c r="J150" s="2" t="e">
        <f>LINEST(#REF!,INDIRECT(J150:K150),#REF!,#REF!)</f>
        <v>#REF!</v>
      </c>
      <c r="L150" s="2">
        <f>TYPE(INDEX(,LINEST(#REF!,OFFSET(INDEX(1,),,),#REF!,#REF!)))</f>
        <v>16</v>
      </c>
    </row>
    <row r="151" spans="1:12" x14ac:dyDescent="0.55000000000000004">
      <c r="A151" s="1" t="s">
        <v>1526</v>
      </c>
      <c r="B151" s="2">
        <f>COUNTIF(A:A,A151)-1</f>
        <v>4</v>
      </c>
      <c r="C151" s="2">
        <f>COUNTIF(A$1:A151,A151)-1</f>
        <v>3</v>
      </c>
      <c r="D151" s="2" t="str">
        <f t="shared" si="2"/>
        <v>vr</v>
      </c>
      <c r="E151" s="2" t="e">
        <f>LINEST(#REF!,#REF!,#REF!)</f>
        <v>#REF!</v>
      </c>
      <c r="F151" s="2" t="e">
        <f>LINEST(#REF!,#REF!,+F151:G151,#REF!)</f>
        <v>#REF!</v>
      </c>
      <c r="H151" s="2" t="e">
        <f>LINEST(#REF!,#REF!,H151:I151,#REF!)</f>
        <v>#REF!</v>
      </c>
      <c r="I151" s="1">
        <v>1</v>
      </c>
      <c r="J151" s="2" t="e">
        <f>LINEST(#REF!,#REF!,INDIRECT(J151:K151),#REF!)</f>
        <v>#REF!</v>
      </c>
      <c r="L151" s="2">
        <f>TYPE(INDEX(,LINEST(#REF!,#REF!,OFFSET(INDEX(1,),,),#REF!)))</f>
        <v>64</v>
      </c>
    </row>
    <row r="152" spans="1:12" x14ac:dyDescent="0.55000000000000004">
      <c r="A152" s="1" t="s">
        <v>1526</v>
      </c>
      <c r="B152" s="2">
        <f>COUNTIF(A:A,A152)-1</f>
        <v>4</v>
      </c>
      <c r="C152" s="2">
        <f>COUNTIF(A$1:A152,A152)-1</f>
        <v>4</v>
      </c>
      <c r="D152" s="2" t="str">
        <f t="shared" si="2"/>
        <v>vr</v>
      </c>
      <c r="E152" s="2" t="e">
        <f>LINEST(#REF!,#REF!,#REF!,#REF!)</f>
        <v>#REF!</v>
      </c>
      <c r="F152" s="2" t="e">
        <f>LINEST(#REF!,#REF!,#REF!,+F152:G152)</f>
        <v>#REF!</v>
      </c>
      <c r="H152" s="2" t="e">
        <f>LINEST(#REF!,#REF!,#REF!,H152:I152)</f>
        <v>#REF!</v>
      </c>
      <c r="I152" s="1">
        <v>1</v>
      </c>
      <c r="J152" s="2" t="e">
        <f>LINEST(#REF!,#REF!,#REF!,INDIRECT(J152:K152))</f>
        <v>#REF!</v>
      </c>
      <c r="L152" s="2">
        <f>TYPE(INDEX(,LINEST(#REF!,#REF!,#REF!,OFFSET(INDEX(1,),,))))</f>
        <v>64</v>
      </c>
    </row>
    <row r="153" spans="1:12" x14ac:dyDescent="0.55000000000000004">
      <c r="A153" s="1" t="s">
        <v>1527</v>
      </c>
      <c r="B153" s="2">
        <f>COUNTIF(A:A,A153)-1</f>
        <v>4</v>
      </c>
      <c r="C153" s="2">
        <f>COUNTIF(A$1:A153,A153)-1</f>
        <v>0</v>
      </c>
      <c r="D153" s="2" t="str">
        <f t="shared" si="2"/>
        <v/>
      </c>
      <c r="E153" s="2"/>
      <c r="F153" s="2"/>
      <c r="H153" s="2"/>
      <c r="J153" s="2"/>
      <c r="L153" s="2"/>
    </row>
    <row r="154" spans="1:12" x14ac:dyDescent="0.55000000000000004">
      <c r="A154" s="1" t="s">
        <v>1527</v>
      </c>
      <c r="B154" s="2">
        <f>COUNTIF(A:A,A154)-1</f>
        <v>4</v>
      </c>
      <c r="C154" s="2">
        <f>COUNTIF(A$1:A154,A154)-1</f>
        <v>1</v>
      </c>
      <c r="D154" s="2" t="str">
        <f t="shared" si="2"/>
        <v>ar</v>
      </c>
      <c r="E154" s="2" t="e">
        <f>TREND(#REF!)</f>
        <v>#REF!</v>
      </c>
      <c r="F154" s="2" t="e">
        <f>TREND(+F154:G154,#REF!,#REF!,#REF!)</f>
        <v>#REF!</v>
      </c>
      <c r="G154" s="1">
        <v>1</v>
      </c>
      <c r="H154" s="2" t="e">
        <f>TREND(H154:I154,#REF!,#REF!,#REF!)</f>
        <v>#REF!</v>
      </c>
      <c r="I154" s="1">
        <v>1</v>
      </c>
      <c r="J154" s="2" t="e">
        <f>TREND(INDIRECT(J154:K154),#REF!,#REF!,#REF!)</f>
        <v>#REF!</v>
      </c>
      <c r="L154" s="2">
        <f>TYPE(INDEX(,TREND(OFFSET(INDEX(1,),,),#REF!,#REF!,#REF!)))</f>
        <v>16</v>
      </c>
    </row>
    <row r="155" spans="1:12" x14ac:dyDescent="0.55000000000000004">
      <c r="A155" s="1" t="s">
        <v>1527</v>
      </c>
      <c r="B155" s="2">
        <f>COUNTIF(A:A,A155)-1</f>
        <v>4</v>
      </c>
      <c r="C155" s="2">
        <f>COUNTIF(A$1:A155,A155)-1</f>
        <v>2</v>
      </c>
      <c r="D155" s="2" t="str">
        <f t="shared" si="2"/>
        <v>ar</v>
      </c>
      <c r="E155" s="2" t="e">
        <f>TREND(#REF!,#REF!)</f>
        <v>#REF!</v>
      </c>
      <c r="F155" s="2" t="e">
        <f>TREND(#REF!,+F155:G155,#REF!,#REF!)</f>
        <v>#REF!</v>
      </c>
      <c r="G155" s="1">
        <v>1</v>
      </c>
      <c r="H155" s="2" t="e">
        <f>TREND(#REF!,H155:I155,#REF!,#REF!)</f>
        <v>#REF!</v>
      </c>
      <c r="I155" s="1">
        <v>1</v>
      </c>
      <c r="J155" s="2" t="e">
        <f>TREND(#REF!,INDIRECT(J155:K155),#REF!,#REF!)</f>
        <v>#REF!</v>
      </c>
      <c r="L155" s="2">
        <f>TYPE(INDEX(,TREND(#REF!,OFFSET(INDEX(1,),,),#REF!,#REF!)))</f>
        <v>16</v>
      </c>
    </row>
    <row r="156" spans="1:12" x14ac:dyDescent="0.55000000000000004">
      <c r="A156" s="1" t="s">
        <v>1527</v>
      </c>
      <c r="B156" s="2">
        <f>COUNTIF(A:A,A156)-1</f>
        <v>4</v>
      </c>
      <c r="C156" s="2">
        <f>COUNTIF(A$1:A156,A156)-1</f>
        <v>3</v>
      </c>
      <c r="D156" s="2" t="str">
        <f t="shared" si="2"/>
        <v>ar</v>
      </c>
      <c r="E156" s="2" t="e">
        <f>TREND(#REF!,#REF!,#REF!)</f>
        <v>#REF!</v>
      </c>
      <c r="F156" s="2" t="e">
        <f>TREND(#REF!,#REF!,+F156:G156,#REF!)</f>
        <v>#REF!</v>
      </c>
      <c r="G156" s="1">
        <v>1</v>
      </c>
      <c r="H156" s="2" t="e">
        <f>TREND(#REF!,#REF!,H156:I156,#REF!)</f>
        <v>#REF!</v>
      </c>
      <c r="I156" s="1">
        <v>1</v>
      </c>
      <c r="J156" s="2" t="e">
        <f>TREND(#REF!,#REF!,INDIRECT(J156:K156),#REF!)</f>
        <v>#REF!</v>
      </c>
      <c r="L156" s="2">
        <f>TYPE(INDEX(,TREND(#REF!,#REF!,OFFSET(INDEX(1,),,),#REF!)))</f>
        <v>16</v>
      </c>
    </row>
    <row r="157" spans="1:12" x14ac:dyDescent="0.55000000000000004">
      <c r="A157" s="1" t="s">
        <v>1527</v>
      </c>
      <c r="B157" s="2">
        <f>COUNTIF(A:A,A157)-1</f>
        <v>4</v>
      </c>
      <c r="C157" s="2">
        <f>COUNTIF(A$1:A157,A157)-1</f>
        <v>4</v>
      </c>
      <c r="D157" s="2" t="str">
        <f t="shared" si="2"/>
        <v>vr</v>
      </c>
      <c r="E157" s="2" t="e">
        <f>TREND(#REF!,#REF!,#REF!,#REF!)</f>
        <v>#REF!</v>
      </c>
      <c r="F157" s="2" t="e">
        <f>TREND(#REF!,#REF!,#REF!,+F157:G157)</f>
        <v>#REF!</v>
      </c>
      <c r="H157" s="2" t="e">
        <f>TREND(#REF!,#REF!,#REF!,H157:I157)</f>
        <v>#REF!</v>
      </c>
      <c r="I157" s="1">
        <v>1</v>
      </c>
      <c r="J157" s="2" t="e">
        <f>TREND(#REF!,#REF!,#REF!,INDIRECT(J157:K157))</f>
        <v>#REF!</v>
      </c>
      <c r="L157" s="2">
        <f>TYPE(INDEX(,TREND(#REF!,#REF!,#REF!,OFFSET(INDEX(1,),,))))</f>
        <v>64</v>
      </c>
    </row>
    <row r="158" spans="1:12" x14ac:dyDescent="0.55000000000000004">
      <c r="A158" s="1" t="s">
        <v>1528</v>
      </c>
      <c r="B158" s="2">
        <f>COUNTIF(A:A,A158)-1</f>
        <v>4</v>
      </c>
      <c r="C158" s="2">
        <f>COUNTIF(A$1:A158,A158)-1</f>
        <v>0</v>
      </c>
      <c r="D158" s="2" t="str">
        <f t="shared" si="2"/>
        <v/>
      </c>
      <c r="E158" s="2"/>
      <c r="F158" s="2"/>
      <c r="H158" s="2"/>
      <c r="J158" s="2"/>
      <c r="L158" s="2"/>
    </row>
    <row r="159" spans="1:12" x14ac:dyDescent="0.55000000000000004">
      <c r="A159" s="1" t="s">
        <v>1528</v>
      </c>
      <c r="B159" s="2">
        <f>COUNTIF(A:A,A159)-1</f>
        <v>4</v>
      </c>
      <c r="C159" s="2">
        <f>COUNTIF(A$1:A159,A159)-1</f>
        <v>1</v>
      </c>
      <c r="D159" s="2" t="str">
        <f t="shared" si="2"/>
        <v>ar</v>
      </c>
      <c r="E159" s="2" t="e">
        <f>LOGEST(#REF!)</f>
        <v>#REF!</v>
      </c>
      <c r="F159" s="2" t="e">
        <f>LOGEST(+F159:G159,#REF!,#REF!,#REF!)</f>
        <v>#REF!</v>
      </c>
      <c r="G159" s="1">
        <v>1</v>
      </c>
      <c r="H159" s="2" t="e">
        <f>LOGEST(H159:I159,#REF!,#REF!,#REF!)</f>
        <v>#REF!</v>
      </c>
      <c r="I159" s="1">
        <v>1</v>
      </c>
      <c r="J159" s="2" t="e">
        <f>LOGEST(INDIRECT(J159:K159),#REF!,#REF!,#REF!)</f>
        <v>#REF!</v>
      </c>
      <c r="L159" s="2">
        <f>TYPE(INDEX(,LOGEST(OFFSET(INDEX(1,),,),#REF!,#REF!,#REF!)))</f>
        <v>16</v>
      </c>
    </row>
    <row r="160" spans="1:12" x14ac:dyDescent="0.55000000000000004">
      <c r="A160" s="1" t="s">
        <v>1528</v>
      </c>
      <c r="B160" s="2">
        <f>COUNTIF(A:A,A160)-1</f>
        <v>4</v>
      </c>
      <c r="C160" s="2">
        <f>COUNTIF(A$1:A160,A160)-1</f>
        <v>2</v>
      </c>
      <c r="D160" s="2" t="str">
        <f t="shared" si="2"/>
        <v>ar</v>
      </c>
      <c r="E160" s="2" t="e">
        <f>LOGEST(#REF!,#REF!)</f>
        <v>#REF!</v>
      </c>
      <c r="F160" s="2" t="e">
        <f>LOGEST(#REF!,+F160:G160,#REF!,#REF!)</f>
        <v>#REF!</v>
      </c>
      <c r="G160" s="1">
        <v>1</v>
      </c>
      <c r="H160" s="2" t="e">
        <f>LOGEST(#REF!,H160:I160,#REF!,#REF!)</f>
        <v>#REF!</v>
      </c>
      <c r="I160" s="1">
        <v>1</v>
      </c>
      <c r="J160" s="2" t="e">
        <f>LOGEST(#REF!,INDIRECT(J160:K160),#REF!,#REF!)</f>
        <v>#REF!</v>
      </c>
      <c r="L160" s="2">
        <f>TYPE(INDEX(,LOGEST(#REF!,OFFSET(INDEX(1,),,),#REF!,#REF!)))</f>
        <v>16</v>
      </c>
    </row>
    <row r="161" spans="1:12" x14ac:dyDescent="0.55000000000000004">
      <c r="A161" s="1" t="s">
        <v>1528</v>
      </c>
      <c r="B161" s="2">
        <f>COUNTIF(A:A,A161)-1</f>
        <v>4</v>
      </c>
      <c r="C161" s="2">
        <f>COUNTIF(A$1:A161,A161)-1</f>
        <v>3</v>
      </c>
      <c r="D161" s="2" t="str">
        <f t="shared" si="2"/>
        <v>vr</v>
      </c>
      <c r="E161" s="2" t="e">
        <f>LOGEST(#REF!,#REF!,#REF!)</f>
        <v>#REF!</v>
      </c>
      <c r="F161" s="2" t="e">
        <f>LOGEST(#REF!,#REF!,+F161:G161,#REF!)</f>
        <v>#REF!</v>
      </c>
      <c r="H161" s="2" t="e">
        <f>LOGEST(#REF!,#REF!,H161:I161,#REF!)</f>
        <v>#REF!</v>
      </c>
      <c r="I161" s="1">
        <v>1</v>
      </c>
      <c r="J161" s="2" t="e">
        <f>LOGEST(#REF!,#REF!,INDIRECT(J161:K161),#REF!)</f>
        <v>#REF!</v>
      </c>
      <c r="L161" s="2">
        <f>TYPE(INDEX(,LOGEST(#REF!,#REF!,OFFSET(INDEX(1,),,),#REF!)))</f>
        <v>64</v>
      </c>
    </row>
    <row r="162" spans="1:12" x14ac:dyDescent="0.55000000000000004">
      <c r="A162" s="1" t="s">
        <v>1528</v>
      </c>
      <c r="B162" s="2">
        <f>COUNTIF(A:A,A162)-1</f>
        <v>4</v>
      </c>
      <c r="C162" s="2">
        <f>COUNTIF(A$1:A162,A162)-1</f>
        <v>4</v>
      </c>
      <c r="D162" s="2" t="str">
        <f t="shared" si="2"/>
        <v>vr</v>
      </c>
      <c r="E162" s="2" t="e">
        <f>LOGEST(#REF!,#REF!,#REF!,#REF!)</f>
        <v>#REF!</v>
      </c>
      <c r="F162" s="2" t="e">
        <f>LOGEST(#REF!,#REF!,#REF!,+F162:G162)</f>
        <v>#REF!</v>
      </c>
      <c r="H162" s="2" t="e">
        <f>LOGEST(#REF!,#REF!,#REF!,H162:I162)</f>
        <v>#REF!</v>
      </c>
      <c r="I162" s="1">
        <v>1</v>
      </c>
      <c r="J162" s="2" t="e">
        <f>LOGEST(#REF!,#REF!,#REF!,INDIRECT(J162:K162))</f>
        <v>#REF!</v>
      </c>
      <c r="L162" s="2">
        <f>TYPE(INDEX(,LOGEST(#REF!,#REF!,#REF!,OFFSET(INDEX(1,),,))))</f>
        <v>64</v>
      </c>
    </row>
    <row r="163" spans="1:12" x14ac:dyDescent="0.55000000000000004">
      <c r="A163" s="1" t="s">
        <v>1529</v>
      </c>
      <c r="B163" s="2">
        <f>COUNTIF(A:A,A163)-1</f>
        <v>4</v>
      </c>
      <c r="C163" s="2">
        <f>COUNTIF(A$1:A163,A163)-1</f>
        <v>0</v>
      </c>
      <c r="D163" s="2" t="str">
        <f t="shared" si="2"/>
        <v/>
      </c>
      <c r="E163" s="2"/>
      <c r="F163" s="2"/>
      <c r="H163" s="2"/>
      <c r="J163" s="2"/>
      <c r="L163" s="2"/>
    </row>
    <row r="164" spans="1:12" x14ac:dyDescent="0.55000000000000004">
      <c r="A164" s="1" t="s">
        <v>1529</v>
      </c>
      <c r="B164" s="2">
        <f>COUNTIF(A:A,A164)-1</f>
        <v>4</v>
      </c>
      <c r="C164" s="2">
        <f>COUNTIF(A$1:A164,A164)-1</f>
        <v>1</v>
      </c>
      <c r="D164" s="2" t="str">
        <f t="shared" si="2"/>
        <v>ar</v>
      </c>
      <c r="E164" s="2" t="e">
        <f>GROWTH(#REF!)</f>
        <v>#REF!</v>
      </c>
      <c r="F164" s="2" t="e">
        <f>GROWTH(+F164:G164,#REF!,#REF!,#REF!)</f>
        <v>#REF!</v>
      </c>
      <c r="G164" s="1">
        <v>1</v>
      </c>
      <c r="H164" s="2" t="e">
        <f>GROWTH(H164:I164,#REF!,#REF!,#REF!)</f>
        <v>#REF!</v>
      </c>
      <c r="I164" s="1">
        <v>1</v>
      </c>
      <c r="J164" s="2" t="e">
        <f>GROWTH(INDIRECT(J164:K164),#REF!,#REF!,#REF!)</f>
        <v>#REF!</v>
      </c>
      <c r="L164" s="2">
        <f>TYPE(INDEX(,GROWTH(OFFSET(INDEX(1,),,),#REF!,#REF!,#REF!)))</f>
        <v>16</v>
      </c>
    </row>
    <row r="165" spans="1:12" x14ac:dyDescent="0.55000000000000004">
      <c r="A165" s="1" t="s">
        <v>1529</v>
      </c>
      <c r="B165" s="2">
        <f>COUNTIF(A:A,A165)-1</f>
        <v>4</v>
      </c>
      <c r="C165" s="2">
        <f>COUNTIF(A$1:A165,A165)-1</f>
        <v>2</v>
      </c>
      <c r="D165" s="2" t="str">
        <f t="shared" si="2"/>
        <v>ar</v>
      </c>
      <c r="E165" s="2" t="e">
        <f>GROWTH(#REF!,#REF!)</f>
        <v>#REF!</v>
      </c>
      <c r="F165" s="2" t="e">
        <f>GROWTH(#REF!,+F165:G165,#REF!,#REF!)</f>
        <v>#REF!</v>
      </c>
      <c r="G165" s="1">
        <v>1</v>
      </c>
      <c r="H165" s="2" t="e">
        <f>GROWTH(#REF!,H165:I165,#REF!,#REF!)</f>
        <v>#REF!</v>
      </c>
      <c r="I165" s="1">
        <v>1</v>
      </c>
      <c r="J165" s="2" t="e">
        <f>GROWTH(#REF!,INDIRECT(J165:K165),#REF!,#REF!)</f>
        <v>#REF!</v>
      </c>
      <c r="L165" s="2">
        <f>TYPE(INDEX(,GROWTH(#REF!,OFFSET(INDEX(1,),,),#REF!,#REF!)))</f>
        <v>16</v>
      </c>
    </row>
    <row r="166" spans="1:12" x14ac:dyDescent="0.55000000000000004">
      <c r="A166" s="1" t="s">
        <v>1529</v>
      </c>
      <c r="B166" s="2">
        <f>COUNTIF(A:A,A166)-1</f>
        <v>4</v>
      </c>
      <c r="C166" s="2">
        <f>COUNTIF(A$1:A166,A166)-1</f>
        <v>3</v>
      </c>
      <c r="D166" s="2" t="str">
        <f t="shared" si="2"/>
        <v>ar</v>
      </c>
      <c r="E166" s="2" t="e">
        <f>GROWTH(#REF!,#REF!,#REF!)</f>
        <v>#REF!</v>
      </c>
      <c r="F166" s="2" t="e">
        <f>GROWTH(#REF!,#REF!,+F166:G166,#REF!)</f>
        <v>#REF!</v>
      </c>
      <c r="G166" s="1">
        <v>1</v>
      </c>
      <c r="H166" s="2" t="e">
        <f>GROWTH(#REF!,#REF!,H166:I166,#REF!)</f>
        <v>#REF!</v>
      </c>
      <c r="I166" s="1">
        <v>1</v>
      </c>
      <c r="J166" s="2" t="e">
        <f>GROWTH(#REF!,#REF!,INDIRECT(J166:K166),#REF!)</f>
        <v>#REF!</v>
      </c>
      <c r="L166" s="2">
        <f>TYPE(INDEX(,GROWTH(#REF!,#REF!,OFFSET(INDEX(1,),,),#REF!)))</f>
        <v>16</v>
      </c>
    </row>
    <row r="167" spans="1:12" x14ac:dyDescent="0.55000000000000004">
      <c r="A167" s="1" t="s">
        <v>1529</v>
      </c>
      <c r="B167" s="2">
        <f>COUNTIF(A:A,A167)-1</f>
        <v>4</v>
      </c>
      <c r="C167" s="2">
        <f>COUNTIF(A$1:A167,A167)-1</f>
        <v>4</v>
      </c>
      <c r="D167" s="2" t="str">
        <f t="shared" si="2"/>
        <v>vr</v>
      </c>
      <c r="E167" s="2" t="e">
        <f>GROWTH(#REF!,#REF!,#REF!,#REF!)</f>
        <v>#REF!</v>
      </c>
      <c r="F167" s="2" t="e">
        <f>GROWTH(#REF!,#REF!,#REF!,+F167:G167)</f>
        <v>#REF!</v>
      </c>
      <c r="H167" s="2" t="e">
        <f>GROWTH(#REF!,#REF!,#REF!,H167:I167)</f>
        <v>#REF!</v>
      </c>
      <c r="I167" s="1">
        <v>1</v>
      </c>
      <c r="J167" s="2" t="e">
        <f>GROWTH(#REF!,#REF!,#REF!,INDIRECT(J167:K167))</f>
        <v>#REF!</v>
      </c>
      <c r="L167" s="2">
        <f>TYPE(INDEX(,GROWTH(#REF!,#REF!,#REF!,OFFSET(INDEX(1,),,))))</f>
        <v>64</v>
      </c>
    </row>
    <row r="168" spans="1:12" x14ac:dyDescent="0.55000000000000004">
      <c r="A168" s="1" t="s">
        <v>1530</v>
      </c>
      <c r="B168" s="2">
        <f>COUNTIF(A:A,A168)-1</f>
        <v>1</v>
      </c>
      <c r="C168" s="2">
        <f>COUNTIF(A$1:A168,A168)-1</f>
        <v>0</v>
      </c>
      <c r="D168" s="2" t="str">
        <f t="shared" si="2"/>
        <v/>
      </c>
      <c r="E168" s="2"/>
      <c r="F168" s="2"/>
      <c r="H168" s="2"/>
      <c r="J168" s="2"/>
      <c r="L168" s="2"/>
    </row>
    <row r="169" spans="1:12" x14ac:dyDescent="0.55000000000000004">
      <c r="A169" s="1" t="s">
        <v>1530</v>
      </c>
      <c r="B169" s="2">
        <f>COUNTIF(A:A,A169)-1</f>
        <v>1</v>
      </c>
      <c r="C169" s="2">
        <f>COUNTIF(A$1:A169,A169)-1</f>
        <v>1</v>
      </c>
      <c r="D169" s="2" t="str">
        <f t="shared" si="2"/>
        <v>r</v>
      </c>
      <c r="E169" s="2" t="b">
        <f>GOTO(#REF!)</f>
        <v>0</v>
      </c>
      <c r="F169" s="2"/>
      <c r="H169" s="2" t="b">
        <f>GOTO(H169:I169)</f>
        <v>0</v>
      </c>
      <c r="I169" s="1">
        <v>1</v>
      </c>
      <c r="J169" s="2" t="b">
        <f>GOTO(INDIRECT(J169:K169))</f>
        <v>0</v>
      </c>
      <c r="L169" s="2">
        <f>TYPE(INDEX(,GOTO(OFFSET(INDEX(1,),,))))</f>
        <v>64</v>
      </c>
    </row>
    <row r="170" spans="1:12" x14ac:dyDescent="0.55000000000000004">
      <c r="A170" s="1" t="s">
        <v>1531</v>
      </c>
      <c r="B170" s="2">
        <f>COUNTIF(A:A,A170)-1</f>
        <v>1</v>
      </c>
      <c r="C170" s="2">
        <f>COUNTIF(A$1:A170,A170)-1</f>
        <v>0</v>
      </c>
      <c r="D170" s="2" t="str">
        <f t="shared" si="2"/>
        <v/>
      </c>
      <c r="E170" s="2" t="b">
        <f>HALT()</f>
        <v>0</v>
      </c>
      <c r="F170" s="2"/>
      <c r="H170" s="2"/>
      <c r="J170" s="2"/>
      <c r="L170" s="2"/>
    </row>
    <row r="171" spans="1:12" x14ac:dyDescent="0.55000000000000004">
      <c r="A171" s="1" t="s">
        <v>1531</v>
      </c>
      <c r="B171" s="2">
        <f>COUNTIF(A:A,A171)-1</f>
        <v>1</v>
      </c>
      <c r="C171" s="2">
        <f>COUNTIF(A$1:A171,A171)-1</f>
        <v>1</v>
      </c>
      <c r="D171" s="2" t="str">
        <f t="shared" si="2"/>
        <v>v</v>
      </c>
      <c r="E171" s="2" t="b">
        <f>HALT(#REF!)</f>
        <v>0</v>
      </c>
      <c r="F171" s="2" t="b">
        <f>HALT(+F171:G171)</f>
        <v>0</v>
      </c>
      <c r="H171" s="2" t="b">
        <f>HALT(H171:I171)</f>
        <v>0</v>
      </c>
      <c r="J171" s="2" t="b">
        <f>HALT(INDIRECT(J171:K171))</f>
        <v>0</v>
      </c>
      <c r="L171" s="2">
        <f>TYPE(INDEX(,HALT(OFFSET(INDEX(1,),,))))</f>
        <v>64</v>
      </c>
    </row>
    <row r="172" spans="1:12" x14ac:dyDescent="0.55000000000000004">
      <c r="A172" s="1" t="s">
        <v>2045</v>
      </c>
      <c r="B172" s="2">
        <f>COUNTIF(A:A,A172)-1</f>
        <v>1</v>
      </c>
      <c r="C172" s="2">
        <f>COUNTIF(A$1:A172,A172)-1</f>
        <v>0</v>
      </c>
      <c r="D172" s="2" t="str">
        <f t="shared" si="2"/>
        <v/>
      </c>
      <c r="E172" s="2" t="b">
        <f>RETURN()</f>
        <v>0</v>
      </c>
      <c r="F172" s="2"/>
      <c r="H172" s="2"/>
      <c r="J172" s="2"/>
      <c r="L172" s="2"/>
    </row>
    <row r="173" spans="1:12" x14ac:dyDescent="0.55000000000000004">
      <c r="A173" s="1" t="s">
        <v>2045</v>
      </c>
      <c r="B173" s="2">
        <f>COUNTIF(A:A,A173)-1</f>
        <v>1</v>
      </c>
      <c r="C173" s="2">
        <f>COUNTIF(A$1:A173,A173)-1</f>
        <v>1</v>
      </c>
      <c r="D173" s="2" t="str">
        <f t="shared" si="2"/>
        <v>var</v>
      </c>
      <c r="E173" s="2" t="b">
        <f>RETURN(#REF!)</f>
        <v>0</v>
      </c>
      <c r="F173" s="2" t="b">
        <f>RETURN(+F173:G173)</f>
        <v>0</v>
      </c>
      <c r="H173" s="2" t="b">
        <f>RETURN(H173:I173)</f>
        <v>0</v>
      </c>
      <c r="I173" s="1">
        <v>1</v>
      </c>
      <c r="J173" s="2" t="b">
        <f>RETURN(INDIRECT(J173:K173))</f>
        <v>0</v>
      </c>
      <c r="L173" s="2">
        <f>TYPE(INDEX(,RETURN(OFFSET(INDEX(1,),,))))</f>
        <v>16</v>
      </c>
    </row>
    <row r="174" spans="1:12" x14ac:dyDescent="0.55000000000000004">
      <c r="A174" s="1" t="s">
        <v>1532</v>
      </c>
      <c r="B174" s="2">
        <f>COUNTIF(A:A,A174)-1</f>
        <v>5</v>
      </c>
      <c r="C174" s="2">
        <f>COUNTIF(A$1:A174,A174)-1</f>
        <v>0</v>
      </c>
      <c r="D174" s="2" t="str">
        <f t="shared" si="2"/>
        <v/>
      </c>
      <c r="E174" s="2"/>
      <c r="F174" s="2"/>
      <c r="H174" s="2"/>
      <c r="J174" s="2"/>
      <c r="L174" s="2"/>
    </row>
    <row r="175" spans="1:12" x14ac:dyDescent="0.55000000000000004">
      <c r="A175" s="1" t="s">
        <v>1532</v>
      </c>
      <c r="B175" s="2">
        <f>COUNTIF(A:A,A175)-1</f>
        <v>5</v>
      </c>
      <c r="C175" s="2">
        <f>COUNTIF(A$1:A175,A175)-1</f>
        <v>1</v>
      </c>
      <c r="D175" s="2" t="str">
        <f t="shared" si="2"/>
        <v>v</v>
      </c>
      <c r="E175" s="2"/>
      <c r="F175" s="2" t="e">
        <f>PV(+F175:G175,#REF!,#REF!,#REF!,#REF!)</f>
        <v>#REF!</v>
      </c>
      <c r="H175" s="2" t="e">
        <f>PV(H175:I175,#REF!,#REF!,#REF!,#REF!)</f>
        <v>#REF!</v>
      </c>
      <c r="J175" s="2" t="e">
        <f>PV(INDIRECT(J175:K175),#REF!,#REF!,#REF!,#REF!)</f>
        <v>#REF!</v>
      </c>
      <c r="L175" s="2">
        <f>TYPE(INDEX(,PV(OFFSET(INDEX(1,),,),#REF!,#REF!,#REF!,#REF!)))</f>
        <v>64</v>
      </c>
    </row>
    <row r="176" spans="1:12" x14ac:dyDescent="0.55000000000000004">
      <c r="A176" s="1" t="s">
        <v>1532</v>
      </c>
      <c r="B176" s="2">
        <f>COUNTIF(A:A,A176)-1</f>
        <v>5</v>
      </c>
      <c r="C176" s="2">
        <f>COUNTIF(A$1:A176,A176)-1</f>
        <v>2</v>
      </c>
      <c r="D176" s="2" t="str">
        <f t="shared" si="2"/>
        <v>v</v>
      </c>
      <c r="E176" s="2"/>
      <c r="F176" s="2" t="e">
        <f>PV(#REF!,+F176:G176,#REF!,#REF!,#REF!)</f>
        <v>#REF!</v>
      </c>
      <c r="H176" s="2" t="e">
        <f>PV(#REF!,H176:I176,#REF!,#REF!,#REF!)</f>
        <v>#REF!</v>
      </c>
      <c r="J176" s="2" t="e">
        <f>PV(#REF!,INDIRECT(J176:K176),#REF!,#REF!,#REF!)</f>
        <v>#REF!</v>
      </c>
      <c r="L176" s="2">
        <f>TYPE(INDEX(,PV(#REF!,OFFSET(INDEX(1,),,),#REF!,#REF!,#REF!)))</f>
        <v>64</v>
      </c>
    </row>
    <row r="177" spans="1:12" x14ac:dyDescent="0.55000000000000004">
      <c r="A177" s="1" t="s">
        <v>1532</v>
      </c>
      <c r="B177" s="2">
        <f>COUNTIF(A:A,A177)-1</f>
        <v>5</v>
      </c>
      <c r="C177" s="2">
        <f>COUNTIF(A$1:A177,A177)-1</f>
        <v>3</v>
      </c>
      <c r="D177" s="2" t="str">
        <f t="shared" si="2"/>
        <v>v</v>
      </c>
      <c r="E177" s="2" t="e">
        <f>PV(#REF!,#REF!,#REF!)</f>
        <v>#REF!</v>
      </c>
      <c r="F177" s="2" t="e">
        <f>PV(#REF!,#REF!,+F177:G177,#REF!,#REF!)</f>
        <v>#REF!</v>
      </c>
      <c r="H177" s="2" t="e">
        <f>PV(#REF!,#REF!,H177:I177,#REF!,#REF!)</f>
        <v>#REF!</v>
      </c>
      <c r="J177" s="2" t="e">
        <f>PV(#REF!,#REF!,INDIRECT(J177:K177),#REF!,#REF!)</f>
        <v>#REF!</v>
      </c>
      <c r="L177" s="2">
        <f>TYPE(INDEX(,PV(#REF!,#REF!,OFFSET(INDEX(1,),,),#REF!,#REF!)))</f>
        <v>64</v>
      </c>
    </row>
    <row r="178" spans="1:12" x14ac:dyDescent="0.55000000000000004">
      <c r="A178" s="1" t="s">
        <v>1532</v>
      </c>
      <c r="B178" s="2">
        <f>COUNTIF(A:A,A178)-1</f>
        <v>5</v>
      </c>
      <c r="C178" s="2">
        <f>COUNTIF(A$1:A178,A178)-1</f>
        <v>4</v>
      </c>
      <c r="D178" s="2" t="str">
        <f t="shared" si="2"/>
        <v>v</v>
      </c>
      <c r="E178" s="2" t="e">
        <f>PV(#REF!,#REF!,#REF!,#REF!)</f>
        <v>#REF!</v>
      </c>
      <c r="F178" s="2" t="e">
        <f>PV(#REF!,#REF!,#REF!,+F178:G178,#REF!)</f>
        <v>#REF!</v>
      </c>
      <c r="H178" s="2" t="e">
        <f>PV(#REF!,#REF!,#REF!,H178:I178,#REF!)</f>
        <v>#REF!</v>
      </c>
      <c r="J178" s="2" t="e">
        <f>PV(#REF!,#REF!,#REF!,INDIRECT(J178:K178),#REF!)</f>
        <v>#REF!</v>
      </c>
      <c r="L178" s="2">
        <f>TYPE(INDEX(,PV(#REF!,#REF!,#REF!,OFFSET(INDEX(1,),,),#REF!)))</f>
        <v>64</v>
      </c>
    </row>
    <row r="179" spans="1:12" x14ac:dyDescent="0.55000000000000004">
      <c r="A179" s="1" t="s">
        <v>1532</v>
      </c>
      <c r="B179" s="2">
        <f>COUNTIF(A:A,A179)-1</f>
        <v>5</v>
      </c>
      <c r="C179" s="2">
        <f>COUNTIF(A$1:A179,A179)-1</f>
        <v>5</v>
      </c>
      <c r="D179" s="2" t="str">
        <f t="shared" si="2"/>
        <v>v</v>
      </c>
      <c r="E179" s="2" t="e">
        <f>PV(#REF!,#REF!,#REF!,#REF!,#REF!)</f>
        <v>#REF!</v>
      </c>
      <c r="F179" s="2" t="e">
        <f>PV(#REF!,#REF!,#REF!,#REF!,+F179:G179)</f>
        <v>#REF!</v>
      </c>
      <c r="H179" s="2" t="e">
        <f>PV(#REF!,#REF!,#REF!,#REF!,H179:I179)</f>
        <v>#REF!</v>
      </c>
      <c r="J179" s="2" t="e">
        <f>PV(#REF!,#REF!,#REF!,#REF!,INDIRECT(J179:K179))</f>
        <v>#REF!</v>
      </c>
      <c r="L179" s="2">
        <f>TYPE(INDEX(,PV(#REF!,#REF!,#REF!,#REF!,OFFSET(INDEX(1,),,))))</f>
        <v>64</v>
      </c>
    </row>
    <row r="180" spans="1:12" x14ac:dyDescent="0.55000000000000004">
      <c r="A180" s="1" t="s">
        <v>1533</v>
      </c>
      <c r="B180" s="2">
        <f>COUNTIF(A:A,A180)-1</f>
        <v>5</v>
      </c>
      <c r="C180" s="2">
        <f>COUNTIF(A$1:A180,A180)-1</f>
        <v>0</v>
      </c>
      <c r="D180" s="2" t="str">
        <f t="shared" si="2"/>
        <v/>
      </c>
      <c r="E180" s="2"/>
      <c r="F180" s="2"/>
      <c r="H180" s="2"/>
      <c r="J180" s="2"/>
      <c r="L180" s="2"/>
    </row>
    <row r="181" spans="1:12" x14ac:dyDescent="0.55000000000000004">
      <c r="A181" s="1" t="s">
        <v>1533</v>
      </c>
      <c r="B181" s="2">
        <f>COUNTIF(A:A,A181)-1</f>
        <v>5</v>
      </c>
      <c r="C181" s="2">
        <f>COUNTIF(A$1:A181,A181)-1</f>
        <v>1</v>
      </c>
      <c r="D181" s="2" t="str">
        <f t="shared" si="2"/>
        <v>v</v>
      </c>
      <c r="E181" s="2"/>
      <c r="F181" s="2" t="e">
        <f>FV(+F181:G181,#REF!,#REF!,#REF!,#REF!)</f>
        <v>#REF!</v>
      </c>
      <c r="H181" s="2" t="e">
        <f>FV(H181:I181,#REF!,#REF!,#REF!,#REF!)</f>
        <v>#REF!</v>
      </c>
      <c r="J181" s="2" t="e">
        <f>FV(INDIRECT(J181:K181),#REF!,#REF!,#REF!,#REF!)</f>
        <v>#REF!</v>
      </c>
      <c r="L181" s="2">
        <f>TYPE(INDEX(,FV(OFFSET(INDEX(1,),,),#REF!,#REF!,#REF!,#REF!)))</f>
        <v>64</v>
      </c>
    </row>
    <row r="182" spans="1:12" x14ac:dyDescent="0.55000000000000004">
      <c r="A182" s="1" t="s">
        <v>1533</v>
      </c>
      <c r="B182" s="2">
        <f>COUNTIF(A:A,A182)-1</f>
        <v>5</v>
      </c>
      <c r="C182" s="2">
        <f>COUNTIF(A$1:A182,A182)-1</f>
        <v>2</v>
      </c>
      <c r="D182" s="2" t="str">
        <f t="shared" si="2"/>
        <v>v</v>
      </c>
      <c r="E182" s="2"/>
      <c r="F182" s="2" t="e">
        <f>FV(#REF!,+F182:G182,#REF!,#REF!,#REF!)</f>
        <v>#REF!</v>
      </c>
      <c r="H182" s="2" t="e">
        <f>FV(#REF!,H182:I182,#REF!,#REF!,#REF!)</f>
        <v>#REF!</v>
      </c>
      <c r="J182" s="2" t="e">
        <f>FV(#REF!,INDIRECT(J182:K182),#REF!,#REF!,#REF!)</f>
        <v>#REF!</v>
      </c>
      <c r="L182" s="2">
        <f>TYPE(INDEX(,FV(#REF!,OFFSET(INDEX(1,),,),#REF!,#REF!,#REF!)))</f>
        <v>64</v>
      </c>
    </row>
    <row r="183" spans="1:12" x14ac:dyDescent="0.55000000000000004">
      <c r="A183" s="1" t="s">
        <v>1533</v>
      </c>
      <c r="B183" s="2">
        <f>COUNTIF(A:A,A183)-1</f>
        <v>5</v>
      </c>
      <c r="C183" s="2">
        <f>COUNTIF(A$1:A183,A183)-1</f>
        <v>3</v>
      </c>
      <c r="D183" s="2" t="str">
        <f t="shared" si="2"/>
        <v>v</v>
      </c>
      <c r="E183" s="2" t="e">
        <f>FV(#REF!,#REF!,#REF!)</f>
        <v>#REF!</v>
      </c>
      <c r="F183" s="2" t="e">
        <f>FV(#REF!,#REF!,+F183:G183,#REF!,#REF!)</f>
        <v>#REF!</v>
      </c>
      <c r="H183" s="2" t="e">
        <f>FV(#REF!,#REF!,H183:I183,#REF!,#REF!)</f>
        <v>#REF!</v>
      </c>
      <c r="J183" s="2" t="e">
        <f>FV(#REF!,#REF!,INDIRECT(J183:K183),#REF!,#REF!)</f>
        <v>#REF!</v>
      </c>
      <c r="L183" s="2">
        <f>TYPE(INDEX(,FV(#REF!,#REF!,OFFSET(INDEX(1,),,),#REF!,#REF!)))</f>
        <v>64</v>
      </c>
    </row>
    <row r="184" spans="1:12" x14ac:dyDescent="0.55000000000000004">
      <c r="A184" s="1" t="s">
        <v>1533</v>
      </c>
      <c r="B184" s="2">
        <f>COUNTIF(A:A,A184)-1</f>
        <v>5</v>
      </c>
      <c r="C184" s="2">
        <f>COUNTIF(A$1:A184,A184)-1</f>
        <v>4</v>
      </c>
      <c r="D184" s="2" t="str">
        <f t="shared" si="2"/>
        <v>v</v>
      </c>
      <c r="E184" s="2" t="e">
        <f>FV(#REF!,#REF!,#REF!,#REF!)</f>
        <v>#REF!</v>
      </c>
      <c r="F184" s="2" t="e">
        <f>FV(#REF!,#REF!,#REF!,+F184:G184,#REF!)</f>
        <v>#REF!</v>
      </c>
      <c r="H184" s="2" t="e">
        <f>FV(#REF!,#REF!,#REF!,H184:I184,#REF!)</f>
        <v>#REF!</v>
      </c>
      <c r="J184" s="2" t="e">
        <f>FV(#REF!,#REF!,#REF!,INDIRECT(J184:K184),#REF!)</f>
        <v>#REF!</v>
      </c>
      <c r="L184" s="2">
        <f>TYPE(INDEX(,FV(#REF!,#REF!,#REF!,OFFSET(INDEX(1,),,),#REF!)))</f>
        <v>64</v>
      </c>
    </row>
    <row r="185" spans="1:12" x14ac:dyDescent="0.55000000000000004">
      <c r="A185" s="1" t="s">
        <v>1533</v>
      </c>
      <c r="B185" s="2">
        <f>COUNTIF(A:A,A185)-1</f>
        <v>5</v>
      </c>
      <c r="C185" s="2">
        <f>COUNTIF(A$1:A185,A185)-1</f>
        <v>5</v>
      </c>
      <c r="D185" s="2" t="str">
        <f t="shared" si="2"/>
        <v>v</v>
      </c>
      <c r="E185" s="2" t="e">
        <f>FV(#REF!,#REF!,#REF!,#REF!,#REF!)</f>
        <v>#REF!</v>
      </c>
      <c r="F185" s="2" t="e">
        <f>FV(#REF!,#REF!,#REF!,#REF!,+F185:G185)</f>
        <v>#REF!</v>
      </c>
      <c r="H185" s="2" t="e">
        <f>FV(#REF!,#REF!,#REF!,#REF!,H185:I185)</f>
        <v>#REF!</v>
      </c>
      <c r="J185" s="2" t="e">
        <f>FV(#REF!,#REF!,#REF!,#REF!,INDIRECT(J185:K185))</f>
        <v>#REF!</v>
      </c>
      <c r="L185" s="2">
        <f>TYPE(INDEX(,FV(#REF!,#REF!,#REF!,#REF!,OFFSET(INDEX(1,),,))))</f>
        <v>64</v>
      </c>
    </row>
    <row r="186" spans="1:12" x14ac:dyDescent="0.55000000000000004">
      <c r="A186" s="1" t="s">
        <v>1534</v>
      </c>
      <c r="B186" s="2">
        <f>COUNTIF(A:A,A186)-1</f>
        <v>5</v>
      </c>
      <c r="C186" s="2">
        <f>COUNTIF(A$1:A186,A186)-1</f>
        <v>0</v>
      </c>
      <c r="D186" s="2" t="str">
        <f t="shared" si="2"/>
        <v/>
      </c>
      <c r="E186" s="2"/>
      <c r="F186" s="2"/>
      <c r="H186" s="2"/>
      <c r="J186" s="2"/>
      <c r="L186" s="2"/>
    </row>
    <row r="187" spans="1:12" x14ac:dyDescent="0.55000000000000004">
      <c r="A187" s="1" t="s">
        <v>1534</v>
      </c>
      <c r="B187" s="2">
        <f>COUNTIF(A:A,A187)-1</f>
        <v>5</v>
      </c>
      <c r="C187" s="2">
        <f>COUNTIF(A$1:A187,A187)-1</f>
        <v>1</v>
      </c>
      <c r="D187" s="2" t="str">
        <f t="shared" si="2"/>
        <v>v</v>
      </c>
      <c r="E187" s="2"/>
      <c r="F187" s="2" t="e">
        <f>NPER(+F187:G187,#REF!,#REF!,#REF!,#REF!)</f>
        <v>#REF!</v>
      </c>
      <c r="H187" s="2" t="e">
        <f>NPER(H187:I187,#REF!,#REF!,#REF!,#REF!)</f>
        <v>#REF!</v>
      </c>
      <c r="J187" s="2" t="e">
        <f>NPER(INDIRECT(J187:K187),#REF!,#REF!,#REF!,#REF!)</f>
        <v>#REF!</v>
      </c>
      <c r="L187" s="2">
        <f>TYPE(INDEX(,NPER(OFFSET(INDEX(1,),,),#REF!,#REF!,#REF!,#REF!)))</f>
        <v>64</v>
      </c>
    </row>
    <row r="188" spans="1:12" x14ac:dyDescent="0.55000000000000004">
      <c r="A188" s="1" t="s">
        <v>1534</v>
      </c>
      <c r="B188" s="2">
        <f>COUNTIF(A:A,A188)-1</f>
        <v>5</v>
      </c>
      <c r="C188" s="2">
        <f>COUNTIF(A$1:A188,A188)-1</f>
        <v>2</v>
      </c>
      <c r="D188" s="2" t="str">
        <f t="shared" si="2"/>
        <v>v</v>
      </c>
      <c r="E188" s="2"/>
      <c r="F188" s="2" t="e">
        <f>NPER(#REF!,+F188:G188,#REF!,#REF!,#REF!)</f>
        <v>#REF!</v>
      </c>
      <c r="H188" s="2" t="e">
        <f>NPER(#REF!,H188:I188,#REF!,#REF!,#REF!)</f>
        <v>#REF!</v>
      </c>
      <c r="J188" s="2" t="e">
        <f>NPER(#REF!,INDIRECT(J188:K188),#REF!,#REF!,#REF!)</f>
        <v>#REF!</v>
      </c>
      <c r="L188" s="2">
        <f>TYPE(INDEX(,NPER(#REF!,OFFSET(INDEX(1,),,),#REF!,#REF!,#REF!)))</f>
        <v>64</v>
      </c>
    </row>
    <row r="189" spans="1:12" x14ac:dyDescent="0.55000000000000004">
      <c r="A189" s="1" t="s">
        <v>1534</v>
      </c>
      <c r="B189" s="2">
        <f>COUNTIF(A:A,A189)-1</f>
        <v>5</v>
      </c>
      <c r="C189" s="2">
        <f>COUNTIF(A$1:A189,A189)-1</f>
        <v>3</v>
      </c>
      <c r="D189" s="2" t="str">
        <f t="shared" si="2"/>
        <v>v</v>
      </c>
      <c r="E189" s="2" t="e">
        <f>NPER(#REF!,#REF!,#REF!)</f>
        <v>#REF!</v>
      </c>
      <c r="F189" s="2" t="e">
        <f>NPER(#REF!,#REF!,+F189:G189,#REF!,#REF!)</f>
        <v>#REF!</v>
      </c>
      <c r="H189" s="2" t="e">
        <f>NPER(#REF!,#REF!,H189:I189,#REF!,#REF!)</f>
        <v>#REF!</v>
      </c>
      <c r="J189" s="2" t="e">
        <f>NPER(#REF!,#REF!,INDIRECT(J189:K189),#REF!,#REF!)</f>
        <v>#REF!</v>
      </c>
      <c r="L189" s="2">
        <f>TYPE(INDEX(,NPER(#REF!,#REF!,OFFSET(INDEX(1,),,),#REF!,#REF!)))</f>
        <v>64</v>
      </c>
    </row>
    <row r="190" spans="1:12" x14ac:dyDescent="0.55000000000000004">
      <c r="A190" s="1" t="s">
        <v>1534</v>
      </c>
      <c r="B190" s="2">
        <f>COUNTIF(A:A,A190)-1</f>
        <v>5</v>
      </c>
      <c r="C190" s="2">
        <f>COUNTIF(A$1:A190,A190)-1</f>
        <v>4</v>
      </c>
      <c r="D190" s="2" t="str">
        <f t="shared" si="2"/>
        <v>v</v>
      </c>
      <c r="E190" s="2" t="e">
        <f>NPER(#REF!,#REF!,#REF!,#REF!)</f>
        <v>#REF!</v>
      </c>
      <c r="F190" s="2" t="e">
        <f>NPER(#REF!,#REF!,#REF!,+F190:G190,#REF!)</f>
        <v>#REF!</v>
      </c>
      <c r="H190" s="2" t="e">
        <f>NPER(#REF!,#REF!,#REF!,H190:I190,#REF!)</f>
        <v>#REF!</v>
      </c>
      <c r="J190" s="2" t="e">
        <f>NPER(#REF!,#REF!,#REF!,INDIRECT(J190:K190),#REF!)</f>
        <v>#REF!</v>
      </c>
      <c r="L190" s="2">
        <f>TYPE(INDEX(,NPER(#REF!,#REF!,#REF!,OFFSET(INDEX(1,),,),#REF!)))</f>
        <v>64</v>
      </c>
    </row>
    <row r="191" spans="1:12" x14ac:dyDescent="0.55000000000000004">
      <c r="A191" s="1" t="s">
        <v>1534</v>
      </c>
      <c r="B191" s="2">
        <f>COUNTIF(A:A,A191)-1</f>
        <v>5</v>
      </c>
      <c r="C191" s="2">
        <f>COUNTIF(A$1:A191,A191)-1</f>
        <v>5</v>
      </c>
      <c r="D191" s="2" t="str">
        <f t="shared" si="2"/>
        <v>v</v>
      </c>
      <c r="E191" s="2" t="e">
        <f>NPER(#REF!,#REF!,#REF!,#REF!,#REF!)</f>
        <v>#REF!</v>
      </c>
      <c r="F191" s="2" t="e">
        <f>NPER(#REF!,#REF!,#REF!,#REF!,+F191:G191)</f>
        <v>#REF!</v>
      </c>
      <c r="H191" s="2" t="e">
        <f>NPER(#REF!,#REF!,#REF!,#REF!,H191:I191)</f>
        <v>#REF!</v>
      </c>
      <c r="J191" s="2" t="e">
        <f>NPER(#REF!,#REF!,#REF!,#REF!,INDIRECT(J191:K191))</f>
        <v>#REF!</v>
      </c>
      <c r="L191" s="2">
        <f>TYPE(INDEX(,NPER(#REF!,#REF!,#REF!,#REF!,OFFSET(INDEX(1,),,))))</f>
        <v>64</v>
      </c>
    </row>
    <row r="192" spans="1:12" x14ac:dyDescent="0.55000000000000004">
      <c r="A192" s="1" t="s">
        <v>1535</v>
      </c>
      <c r="B192" s="2">
        <f>COUNTIF(A:A,A192)-1</f>
        <v>5</v>
      </c>
      <c r="C192" s="2">
        <f>COUNTIF(A$1:A192,A192)-1</f>
        <v>0</v>
      </c>
      <c r="D192" s="2" t="str">
        <f t="shared" si="2"/>
        <v/>
      </c>
      <c r="E192" s="2"/>
      <c r="F192" s="2"/>
      <c r="H192" s="2"/>
      <c r="J192" s="2"/>
      <c r="L192" s="2"/>
    </row>
    <row r="193" spans="1:12" x14ac:dyDescent="0.55000000000000004">
      <c r="A193" s="1" t="s">
        <v>1535</v>
      </c>
      <c r="B193" s="2">
        <f>COUNTIF(A:A,A193)-1</f>
        <v>5</v>
      </c>
      <c r="C193" s="2">
        <f>COUNTIF(A$1:A193,A193)-1</f>
        <v>1</v>
      </c>
      <c r="D193" s="2" t="str">
        <f t="shared" si="2"/>
        <v>v</v>
      </c>
      <c r="E193" s="2"/>
      <c r="F193" s="2" t="e">
        <f>PMT(+F193:G193,#REF!,#REF!,#REF!,#REF!)</f>
        <v>#REF!</v>
      </c>
      <c r="H193" s="2" t="e">
        <f>PMT(H193:I193,#REF!,#REF!,#REF!,#REF!)</f>
        <v>#REF!</v>
      </c>
      <c r="J193" s="2" t="e">
        <f>PMT(INDIRECT(J193:K193),#REF!,#REF!,#REF!,#REF!)</f>
        <v>#REF!</v>
      </c>
      <c r="L193" s="2">
        <f>TYPE(INDEX(,PMT(OFFSET(INDEX(1,),,),#REF!,#REF!,#REF!,#REF!)))</f>
        <v>64</v>
      </c>
    </row>
    <row r="194" spans="1:12" x14ac:dyDescent="0.55000000000000004">
      <c r="A194" s="1" t="s">
        <v>1535</v>
      </c>
      <c r="B194" s="2">
        <f>COUNTIF(A:A,A194)-1</f>
        <v>5</v>
      </c>
      <c r="C194" s="2">
        <f>COUNTIF(A$1:A194,A194)-1</f>
        <v>2</v>
      </c>
      <c r="D194" s="2" t="str">
        <f t="shared" ref="D194:D257" si="3">IF(C194&gt;0,IF(COUNTA(F194:G194)=1,"v",)&amp;IF(L194=64,,"a")&amp;IF(COUNTA(I194,K194)=1,"r",),"")</f>
        <v>v</v>
      </c>
      <c r="E194" s="2"/>
      <c r="F194" s="2" t="e">
        <f>PMT(#REF!,+F194:G194,#REF!,#REF!,#REF!)</f>
        <v>#REF!</v>
      </c>
      <c r="H194" s="2" t="e">
        <f>PMT(#REF!,H194:I194,#REF!,#REF!,#REF!)</f>
        <v>#REF!</v>
      </c>
      <c r="J194" s="2" t="e">
        <f>PMT(#REF!,INDIRECT(J194:K194),#REF!,#REF!,#REF!)</f>
        <v>#REF!</v>
      </c>
      <c r="L194" s="2">
        <f>TYPE(INDEX(,PMT(#REF!,OFFSET(INDEX(1,),,),#REF!,#REF!,#REF!)))</f>
        <v>64</v>
      </c>
    </row>
    <row r="195" spans="1:12" x14ac:dyDescent="0.55000000000000004">
      <c r="A195" s="1" t="s">
        <v>1535</v>
      </c>
      <c r="B195" s="2">
        <f>COUNTIF(A:A,A195)-1</f>
        <v>5</v>
      </c>
      <c r="C195" s="2">
        <f>COUNTIF(A$1:A195,A195)-1</f>
        <v>3</v>
      </c>
      <c r="D195" s="2" t="str">
        <f t="shared" si="3"/>
        <v>v</v>
      </c>
      <c r="E195" s="2" t="e">
        <f>PMT(#REF!,#REF!,#REF!)</f>
        <v>#REF!</v>
      </c>
      <c r="F195" s="2" t="e">
        <f>PMT(#REF!,#REF!,+F195:G195,#REF!,#REF!)</f>
        <v>#REF!</v>
      </c>
      <c r="H195" s="2" t="e">
        <f>PMT(#REF!,#REF!,H195:I195,#REF!,#REF!)</f>
        <v>#REF!</v>
      </c>
      <c r="J195" s="2" t="e">
        <f>PMT(#REF!,#REF!,INDIRECT(J195:K195),#REF!,#REF!)</f>
        <v>#REF!</v>
      </c>
      <c r="L195" s="2">
        <f>TYPE(INDEX(,PMT(#REF!,#REF!,OFFSET(INDEX(1,),,),#REF!,#REF!)))</f>
        <v>64</v>
      </c>
    </row>
    <row r="196" spans="1:12" x14ac:dyDescent="0.55000000000000004">
      <c r="A196" s="1" t="s">
        <v>1535</v>
      </c>
      <c r="B196" s="2">
        <f>COUNTIF(A:A,A196)-1</f>
        <v>5</v>
      </c>
      <c r="C196" s="2">
        <f>COUNTIF(A$1:A196,A196)-1</f>
        <v>4</v>
      </c>
      <c r="D196" s="2" t="str">
        <f t="shared" si="3"/>
        <v>v</v>
      </c>
      <c r="E196" s="2" t="e">
        <f>PMT(#REF!,#REF!,#REF!,#REF!)</f>
        <v>#REF!</v>
      </c>
      <c r="F196" s="2" t="e">
        <f>PMT(#REF!,#REF!,#REF!,+F196:G196,#REF!)</f>
        <v>#REF!</v>
      </c>
      <c r="H196" s="2" t="e">
        <f>PMT(#REF!,#REF!,#REF!,H196:I196,#REF!)</f>
        <v>#REF!</v>
      </c>
      <c r="J196" s="2" t="e">
        <f>PMT(#REF!,#REF!,#REF!,INDIRECT(J196:K196),#REF!)</f>
        <v>#REF!</v>
      </c>
      <c r="L196" s="2">
        <f>TYPE(INDEX(,PMT(#REF!,#REF!,#REF!,OFFSET(INDEX(1,),,),#REF!)))</f>
        <v>64</v>
      </c>
    </row>
    <row r="197" spans="1:12" x14ac:dyDescent="0.55000000000000004">
      <c r="A197" s="1" t="s">
        <v>1535</v>
      </c>
      <c r="B197" s="2">
        <f>COUNTIF(A:A,A197)-1</f>
        <v>5</v>
      </c>
      <c r="C197" s="2">
        <f>COUNTIF(A$1:A197,A197)-1</f>
        <v>5</v>
      </c>
      <c r="D197" s="2" t="str">
        <f t="shared" si="3"/>
        <v>v</v>
      </c>
      <c r="E197" s="2" t="e">
        <f>PMT(#REF!,#REF!,#REF!,#REF!,#REF!)</f>
        <v>#REF!</v>
      </c>
      <c r="F197" s="2" t="e">
        <f>PMT(#REF!,#REF!,#REF!,#REF!,+F197:G197)</f>
        <v>#REF!</v>
      </c>
      <c r="H197" s="2" t="e">
        <f>PMT(#REF!,#REF!,#REF!,#REF!,H197:I197)</f>
        <v>#REF!</v>
      </c>
      <c r="J197" s="2" t="e">
        <f>PMT(#REF!,#REF!,#REF!,#REF!,INDIRECT(J197:K197))</f>
        <v>#REF!</v>
      </c>
      <c r="L197" s="2">
        <f>TYPE(INDEX(,PMT(#REF!,#REF!,#REF!,#REF!,OFFSET(INDEX(1,),,))))</f>
        <v>64</v>
      </c>
    </row>
    <row r="198" spans="1:12" x14ac:dyDescent="0.55000000000000004">
      <c r="A198" s="1" t="s">
        <v>1536</v>
      </c>
      <c r="B198" s="2">
        <f>COUNTIF(A:A,A198)-1</f>
        <v>6</v>
      </c>
      <c r="C198" s="2">
        <f>COUNTIF(A$1:A198,A198)-1</f>
        <v>0</v>
      </c>
      <c r="D198" s="2" t="str">
        <f t="shared" si="3"/>
        <v/>
      </c>
      <c r="E198" s="2"/>
      <c r="F198" s="2"/>
      <c r="H198" s="2"/>
      <c r="J198" s="2"/>
      <c r="L198" s="2"/>
    </row>
    <row r="199" spans="1:12" x14ac:dyDescent="0.55000000000000004">
      <c r="A199" s="1" t="s">
        <v>1536</v>
      </c>
      <c r="B199" s="2">
        <f>COUNTIF(A:A,A199)-1</f>
        <v>6</v>
      </c>
      <c r="C199" s="2">
        <f>COUNTIF(A$1:A199,A199)-1</f>
        <v>1</v>
      </c>
      <c r="D199" s="2" t="str">
        <f t="shared" si="3"/>
        <v>v</v>
      </c>
      <c r="E199" s="2"/>
      <c r="F199" s="2" t="e">
        <f>RATE(+F199:G199,#REF!,#REF!,#REF!,#REF!,#REF!)</f>
        <v>#REF!</v>
      </c>
      <c r="H199" s="2" t="e">
        <f>RATE(H199:I199,#REF!,#REF!,#REF!,#REF!,#REF!)</f>
        <v>#REF!</v>
      </c>
      <c r="J199" s="2" t="e">
        <f>RATE(INDIRECT(J199:K199),#REF!,#REF!,#REF!,#REF!,#REF!)</f>
        <v>#REF!</v>
      </c>
      <c r="L199" s="2">
        <f>TYPE(INDEX(,RATE(OFFSET(INDEX(1,),,),#REF!,#REF!,#REF!,#REF!,#REF!)))</f>
        <v>64</v>
      </c>
    </row>
    <row r="200" spans="1:12" x14ac:dyDescent="0.55000000000000004">
      <c r="A200" s="1" t="s">
        <v>1536</v>
      </c>
      <c r="B200" s="2">
        <f>COUNTIF(A:A,A200)-1</f>
        <v>6</v>
      </c>
      <c r="C200" s="2">
        <f>COUNTIF(A$1:A200,A200)-1</f>
        <v>2</v>
      </c>
      <c r="D200" s="2" t="str">
        <f t="shared" si="3"/>
        <v>v</v>
      </c>
      <c r="E200" s="2"/>
      <c r="F200" s="2" t="e">
        <f>RATE(#REF!,+F200:G200,#REF!,#REF!,#REF!,#REF!)</f>
        <v>#REF!</v>
      </c>
      <c r="H200" s="2" t="e">
        <f>RATE(#REF!,H200:I200,#REF!,#REF!,#REF!,#REF!)</f>
        <v>#REF!</v>
      </c>
      <c r="J200" s="2" t="e">
        <f>RATE(#REF!,INDIRECT(J200:K200),#REF!,#REF!,#REF!,#REF!)</f>
        <v>#REF!</v>
      </c>
      <c r="L200" s="2">
        <f>TYPE(INDEX(,RATE(#REF!,OFFSET(INDEX(1,),,),#REF!,#REF!,#REF!,#REF!)))</f>
        <v>64</v>
      </c>
    </row>
    <row r="201" spans="1:12" x14ac:dyDescent="0.55000000000000004">
      <c r="A201" s="1" t="s">
        <v>1536</v>
      </c>
      <c r="B201" s="2">
        <f>COUNTIF(A:A,A201)-1</f>
        <v>6</v>
      </c>
      <c r="C201" s="2">
        <f>COUNTIF(A$1:A201,A201)-1</f>
        <v>3</v>
      </c>
      <c r="D201" s="2" t="str">
        <f t="shared" si="3"/>
        <v>v</v>
      </c>
      <c r="E201" s="2" t="e">
        <f>RATE(#REF!,#REF!,#REF!)</f>
        <v>#REF!</v>
      </c>
      <c r="F201" s="2" t="e">
        <f>RATE(#REF!,#REF!,+F201:G201,#REF!,#REF!,#REF!)</f>
        <v>#REF!</v>
      </c>
      <c r="H201" s="2" t="e">
        <f>RATE(#REF!,#REF!,H201:I201,#REF!,#REF!,#REF!)</f>
        <v>#REF!</v>
      </c>
      <c r="J201" s="2" t="e">
        <f>RATE(#REF!,#REF!,INDIRECT(J201:K201),#REF!,#REF!,#REF!)</f>
        <v>#REF!</v>
      </c>
      <c r="L201" s="2">
        <f>TYPE(INDEX(,RATE(#REF!,#REF!,OFFSET(INDEX(1,),,),#REF!,#REF!,#REF!)))</f>
        <v>64</v>
      </c>
    </row>
    <row r="202" spans="1:12" x14ac:dyDescent="0.55000000000000004">
      <c r="A202" s="1" t="s">
        <v>1536</v>
      </c>
      <c r="B202" s="2">
        <f>COUNTIF(A:A,A202)-1</f>
        <v>6</v>
      </c>
      <c r="C202" s="2">
        <f>COUNTIF(A$1:A202,A202)-1</f>
        <v>4</v>
      </c>
      <c r="D202" s="2" t="str">
        <f t="shared" si="3"/>
        <v>v</v>
      </c>
      <c r="E202" s="2" t="e">
        <f>RATE(#REF!,#REF!,#REF!,#REF!)</f>
        <v>#REF!</v>
      </c>
      <c r="F202" s="2" t="e">
        <f>RATE(#REF!,#REF!,#REF!,+F202:G202,#REF!,#REF!)</f>
        <v>#REF!</v>
      </c>
      <c r="H202" s="2" t="e">
        <f>RATE(#REF!,#REF!,#REF!,H202:I202,#REF!,#REF!)</f>
        <v>#REF!</v>
      </c>
      <c r="J202" s="2" t="e">
        <f>RATE(#REF!,#REF!,#REF!,INDIRECT(J202:K202),#REF!,#REF!)</f>
        <v>#REF!</v>
      </c>
      <c r="L202" s="2">
        <f>TYPE(INDEX(,RATE(#REF!,#REF!,#REF!,OFFSET(INDEX(1,),,),#REF!,#REF!)))</f>
        <v>64</v>
      </c>
    </row>
    <row r="203" spans="1:12" x14ac:dyDescent="0.55000000000000004">
      <c r="A203" s="1" t="s">
        <v>1536</v>
      </c>
      <c r="B203" s="2">
        <f>COUNTIF(A:A,A203)-1</f>
        <v>6</v>
      </c>
      <c r="C203" s="2">
        <f>COUNTIF(A$1:A203,A203)-1</f>
        <v>5</v>
      </c>
      <c r="D203" s="2" t="str">
        <f t="shared" si="3"/>
        <v>v</v>
      </c>
      <c r="E203" s="2" t="e">
        <f>RATE(#REF!,#REF!,#REF!,#REF!,#REF!)</f>
        <v>#REF!</v>
      </c>
      <c r="F203" s="2" t="e">
        <f>RATE(#REF!,#REF!,#REF!,#REF!,+F203:G203,#REF!)</f>
        <v>#REF!</v>
      </c>
      <c r="H203" s="2" t="e">
        <f>RATE(#REF!,#REF!,#REF!,#REF!,H203:I203,#REF!)</f>
        <v>#REF!</v>
      </c>
      <c r="J203" s="2" t="e">
        <f>RATE(#REF!,#REF!,#REF!,#REF!,INDIRECT(J203:K203),#REF!)</f>
        <v>#REF!</v>
      </c>
      <c r="L203" s="2">
        <f>TYPE(INDEX(,RATE(#REF!,#REF!,#REF!,#REF!,OFFSET(INDEX(1,),,),#REF!)))</f>
        <v>64</v>
      </c>
    </row>
    <row r="204" spans="1:12" x14ac:dyDescent="0.55000000000000004">
      <c r="A204" s="1" t="s">
        <v>1536</v>
      </c>
      <c r="B204" s="2">
        <f>COUNTIF(A:A,A204)-1</f>
        <v>6</v>
      </c>
      <c r="C204" s="2">
        <f>COUNTIF(A$1:A204,A204)-1</f>
        <v>6</v>
      </c>
      <c r="D204" s="2" t="str">
        <f t="shared" si="3"/>
        <v>v</v>
      </c>
      <c r="E204" s="2" t="e">
        <f>RATE(#REF!,#REF!,#REF!,#REF!,#REF!,#REF!)</f>
        <v>#REF!</v>
      </c>
      <c r="F204" s="2" t="e">
        <f>RATE(#REF!,#REF!,#REF!,#REF!,#REF!,+F204:G204)</f>
        <v>#REF!</v>
      </c>
      <c r="H204" s="2" t="e">
        <f>RATE(#REF!,#REF!,#REF!,#REF!,#REF!,H204:I204)</f>
        <v>#REF!</v>
      </c>
      <c r="J204" s="2" t="e">
        <f>RATE(#REF!,#REF!,#REF!,#REF!,#REF!,INDIRECT(J204:K204))</f>
        <v>#REF!</v>
      </c>
      <c r="L204" s="2">
        <f>TYPE(INDEX(,RATE(#REF!,#REF!,#REF!,#REF!,#REF!,OFFSET(INDEX(1,),,))))</f>
        <v>64</v>
      </c>
    </row>
    <row r="205" spans="1:12" x14ac:dyDescent="0.55000000000000004">
      <c r="A205" s="1" t="s">
        <v>1537</v>
      </c>
      <c r="B205" s="2">
        <f>COUNTIF(A:A,A205)-1</f>
        <v>3</v>
      </c>
      <c r="C205" s="2">
        <f>COUNTIF(A$1:A205,A205)-1</f>
        <v>0</v>
      </c>
      <c r="D205" s="2" t="str">
        <f t="shared" si="3"/>
        <v/>
      </c>
      <c r="E205" s="2"/>
      <c r="F205" s="2"/>
      <c r="H205" s="2"/>
      <c r="J205" s="2"/>
      <c r="L205" s="2"/>
    </row>
    <row r="206" spans="1:12" x14ac:dyDescent="0.55000000000000004">
      <c r="A206" s="1" t="s">
        <v>1537</v>
      </c>
      <c r="B206" s="2">
        <f>COUNTIF(A:A,A206)-1</f>
        <v>3</v>
      </c>
      <c r="C206" s="2">
        <f>COUNTIF(A$1:A206,A206)-1</f>
        <v>1</v>
      </c>
      <c r="D206" s="2" t="str">
        <f t="shared" si="3"/>
        <v>ar</v>
      </c>
      <c r="E206" s="2"/>
      <c r="F206" s="2" t="e">
        <f>MIRR(+F206:G206,#REF!,#REF!)</f>
        <v>#REF!</v>
      </c>
      <c r="G206" s="1">
        <v>1</v>
      </c>
      <c r="H206" s="2" t="e">
        <f>MIRR(H206:I206,#REF!,#REF!)</f>
        <v>#REF!</v>
      </c>
      <c r="I206" s="1">
        <v>1</v>
      </c>
      <c r="J206" s="2" t="e">
        <f>MIRR(INDIRECT(J206:K206),#REF!,#REF!)</f>
        <v>#REF!</v>
      </c>
      <c r="L206" s="2">
        <f>TYPE(INDEX(,MIRR(OFFSET(INDEX(1,),,),#REF!,#REF!)))</f>
        <v>16</v>
      </c>
    </row>
    <row r="207" spans="1:12" x14ac:dyDescent="0.55000000000000004">
      <c r="A207" s="1" t="s">
        <v>1537</v>
      </c>
      <c r="B207" s="2">
        <f>COUNTIF(A:A,A207)-1</f>
        <v>3</v>
      </c>
      <c r="C207" s="2">
        <f>COUNTIF(A$1:A207,A207)-1</f>
        <v>2</v>
      </c>
      <c r="D207" s="2" t="str">
        <f t="shared" si="3"/>
        <v>v</v>
      </c>
      <c r="E207" s="2"/>
      <c r="F207" s="2" t="e">
        <f>MIRR(#REF!,+F207:G207,#REF!)</f>
        <v>#REF!</v>
      </c>
      <c r="H207" s="2" t="e">
        <f>MIRR(#REF!,H207:I207,#REF!)</f>
        <v>#REF!</v>
      </c>
      <c r="J207" s="2" t="e">
        <f>MIRR(#REF!,INDIRECT(J207:K207),#REF!)</f>
        <v>#REF!</v>
      </c>
      <c r="L207" s="2">
        <f>TYPE(INDEX(,MIRR(#REF!,OFFSET(INDEX(1,),,),#REF!)))</f>
        <v>64</v>
      </c>
    </row>
    <row r="208" spans="1:12" x14ac:dyDescent="0.55000000000000004">
      <c r="A208" s="1" t="s">
        <v>1537</v>
      </c>
      <c r="B208" s="2">
        <f>COUNTIF(A:A,A208)-1</f>
        <v>3</v>
      </c>
      <c r="C208" s="2">
        <f>COUNTIF(A$1:A208,A208)-1</f>
        <v>3</v>
      </c>
      <c r="D208" s="2" t="str">
        <f t="shared" si="3"/>
        <v>v</v>
      </c>
      <c r="E208" s="2" t="e">
        <f>MIRR(#REF!,#REF!,#REF!)</f>
        <v>#REF!</v>
      </c>
      <c r="F208" s="2" t="e">
        <f>MIRR(#REF!,#REF!,+F208:G208)</f>
        <v>#REF!</v>
      </c>
      <c r="H208" s="2" t="e">
        <f>MIRR(#REF!,#REF!,H208:I208)</f>
        <v>#REF!</v>
      </c>
      <c r="J208" s="2" t="e">
        <f>MIRR(#REF!,#REF!,INDIRECT(J208:K208))</f>
        <v>#REF!</v>
      </c>
      <c r="L208" s="2">
        <f>TYPE(INDEX(,MIRR(#REF!,#REF!,OFFSET(INDEX(1,),,))))</f>
        <v>64</v>
      </c>
    </row>
    <row r="209" spans="1:12" x14ac:dyDescent="0.55000000000000004">
      <c r="A209" s="1" t="s">
        <v>1538</v>
      </c>
      <c r="B209" s="2">
        <f>COUNTIF(A:A,A209)-1</f>
        <v>2</v>
      </c>
      <c r="C209" s="2">
        <f>COUNTIF(A$1:A209,A209)-1</f>
        <v>0</v>
      </c>
      <c r="D209" s="2" t="str">
        <f t="shared" si="3"/>
        <v/>
      </c>
      <c r="E209" s="2"/>
      <c r="F209" s="2"/>
      <c r="H209" s="2"/>
      <c r="J209" s="2"/>
      <c r="L209" s="2"/>
    </row>
    <row r="210" spans="1:12" x14ac:dyDescent="0.55000000000000004">
      <c r="A210" s="1" t="s">
        <v>1538</v>
      </c>
      <c r="B210" s="2">
        <f>COUNTIF(A:A,A210)-1</f>
        <v>2</v>
      </c>
      <c r="C210" s="2">
        <f>COUNTIF(A$1:A210,A210)-1</f>
        <v>1</v>
      </c>
      <c r="D210" s="2" t="str">
        <f t="shared" si="3"/>
        <v>ar</v>
      </c>
      <c r="E210" s="2" t="e">
        <f>IRR(#REF!)</f>
        <v>#REF!</v>
      </c>
      <c r="F210" s="2" t="e">
        <f>IRR(+F210:G210,#REF!)</f>
        <v>#REF!</v>
      </c>
      <c r="G210" s="1">
        <v>1</v>
      </c>
      <c r="H210" s="2" t="e">
        <f>IRR(H210:I210,#REF!)</f>
        <v>#REF!</v>
      </c>
      <c r="I210" s="1">
        <v>1</v>
      </c>
      <c r="J210" s="2" t="e">
        <f>IRR(INDIRECT(J210:K210),#REF!)</f>
        <v>#REF!</v>
      </c>
      <c r="L210" s="2">
        <f>TYPE(INDEX(,IRR(OFFSET(INDEX(1,),,),#REF!)))</f>
        <v>16</v>
      </c>
    </row>
    <row r="211" spans="1:12" x14ac:dyDescent="0.55000000000000004">
      <c r="A211" s="1" t="s">
        <v>1538</v>
      </c>
      <c r="B211" s="2">
        <f>COUNTIF(A:A,A211)-1</f>
        <v>2</v>
      </c>
      <c r="C211" s="2">
        <f>COUNTIF(A$1:A211,A211)-1</f>
        <v>2</v>
      </c>
      <c r="D211" s="2" t="str">
        <f t="shared" si="3"/>
        <v>v</v>
      </c>
      <c r="E211" s="2" t="e">
        <f>IRR(#REF!,#REF!)</f>
        <v>#REF!</v>
      </c>
      <c r="F211" s="2" t="e">
        <f>IRR(#REF!,+F211:G211)</f>
        <v>#REF!</v>
      </c>
      <c r="H211" s="2" t="e">
        <f>IRR(#REF!,H211:I211)</f>
        <v>#REF!</v>
      </c>
      <c r="J211" s="2" t="e">
        <f>IRR(#REF!,INDIRECT(J211:K211))</f>
        <v>#REF!</v>
      </c>
      <c r="L211" s="2">
        <f>TYPE(INDEX(,IRR(#REF!,OFFSET(INDEX(1,),,))))</f>
        <v>64</v>
      </c>
    </row>
    <row r="212" spans="1:12" x14ac:dyDescent="0.55000000000000004">
      <c r="A212" s="1" t="s">
        <v>1475</v>
      </c>
      <c r="B212" s="2">
        <f>COUNTIF(A:A,A212)-1</f>
        <v>0</v>
      </c>
      <c r="C212" s="2">
        <f>COUNTIF(A$1:A212,A212)-1</f>
        <v>0</v>
      </c>
      <c r="D212" s="2" t="str">
        <f t="shared" si="3"/>
        <v/>
      </c>
      <c r="E212" s="2">
        <f>RAND()</f>
        <v>6.3165750777465557E-2</v>
      </c>
      <c r="F212" s="2"/>
      <c r="H212" s="2"/>
      <c r="J212" s="2"/>
      <c r="L212" s="2"/>
    </row>
    <row r="213" spans="1:12" x14ac:dyDescent="0.55000000000000004">
      <c r="A213" s="1" t="s">
        <v>1539</v>
      </c>
      <c r="B213" s="2">
        <f>COUNTIF(A:A,A213)-1</f>
        <v>3</v>
      </c>
      <c r="C213" s="2">
        <f>COUNTIF(A$1:A213,A213)-1</f>
        <v>0</v>
      </c>
      <c r="D213" s="2" t="str">
        <f t="shared" si="3"/>
        <v/>
      </c>
      <c r="E213" s="2"/>
      <c r="F213" s="2"/>
      <c r="H213" s="2"/>
      <c r="J213" s="2"/>
      <c r="L213" s="2"/>
    </row>
    <row r="214" spans="1:12" x14ac:dyDescent="0.55000000000000004">
      <c r="A214" s="1" t="s">
        <v>1539</v>
      </c>
      <c r="B214" s="2">
        <f>COUNTIF(A:A,A214)-1</f>
        <v>3</v>
      </c>
      <c r="C214" s="2">
        <f>COUNTIF(A$1:A214,A214)-1</f>
        <v>1</v>
      </c>
      <c r="D214" s="2" t="str">
        <f t="shared" si="3"/>
        <v>v</v>
      </c>
      <c r="E214" s="2"/>
      <c r="F214" s="2" t="e">
        <f>MATCH(+F214:G214,#REF!,#REF!)</f>
        <v>#REF!</v>
      </c>
      <c r="H214" s="2" t="e">
        <f>MATCH(H214:I214,#REF!,#REF!)</f>
        <v>#REF!</v>
      </c>
      <c r="J214" s="2" t="e">
        <f>MATCH(INDIRECT(J214:K214),#REF!,#REF!)</f>
        <v>#REF!</v>
      </c>
      <c r="L214" s="2">
        <f>TYPE(INDEX(,MATCH(OFFSET(INDEX(1,),,),#REF!,#REF!)))</f>
        <v>64</v>
      </c>
    </row>
    <row r="215" spans="1:12" x14ac:dyDescent="0.55000000000000004">
      <c r="A215" s="1" t="s">
        <v>1539</v>
      </c>
      <c r="B215" s="2">
        <f>COUNTIF(A:A,A215)-1</f>
        <v>3</v>
      </c>
      <c r="C215" s="2">
        <f>COUNTIF(A$1:A215,A215)-1</f>
        <v>2</v>
      </c>
      <c r="D215" s="2" t="str">
        <f t="shared" si="3"/>
        <v>var</v>
      </c>
      <c r="E215" s="2" t="e">
        <f>MATCH(#REF!,#REF!)</f>
        <v>#REF!</v>
      </c>
      <c r="F215" s="2" t="e">
        <f>MATCH(#REF!,+F215:G215,#REF!)</f>
        <v>#REF!</v>
      </c>
      <c r="H215" s="2" t="e">
        <f>MATCH(#REF!,H215:I215,#REF!)</f>
        <v>#REF!</v>
      </c>
      <c r="I215" s="1">
        <v>1</v>
      </c>
      <c r="J215" s="2" t="e">
        <f>MATCH(#REF!,INDIRECT(J215:K215),#REF!)</f>
        <v>#REF!</v>
      </c>
      <c r="L215" s="2">
        <f>TYPE(INDEX(,MATCH(#REF!,OFFSET(INDEX(1,),,),#REF!)))</f>
        <v>16</v>
      </c>
    </row>
    <row r="216" spans="1:12" x14ac:dyDescent="0.55000000000000004">
      <c r="A216" s="1" t="s">
        <v>1539</v>
      </c>
      <c r="B216" s="2">
        <f>COUNTIF(A:A,A216)-1</f>
        <v>3</v>
      </c>
      <c r="C216" s="2">
        <f>COUNTIF(A$1:A216,A216)-1</f>
        <v>3</v>
      </c>
      <c r="D216" s="2" t="str">
        <f t="shared" si="3"/>
        <v>vr</v>
      </c>
      <c r="E216" s="2" t="e">
        <f>MATCH(#REF!,#REF!,#REF!)</f>
        <v>#REF!</v>
      </c>
      <c r="F216" s="2" t="e">
        <f>MATCH(#REF!,#REF!,+F216:G216)</f>
        <v>#REF!</v>
      </c>
      <c r="H216" s="2" t="e">
        <f>MATCH(#REF!,#REF!,H216:I216)</f>
        <v>#REF!</v>
      </c>
      <c r="I216" s="1">
        <v>1</v>
      </c>
      <c r="J216" s="2" t="e">
        <f>MATCH(#REF!,#REF!,INDIRECT(J216:K216))</f>
        <v>#REF!</v>
      </c>
      <c r="L216" s="2">
        <f>TYPE(INDEX(,MATCH(#REF!,#REF!,OFFSET(INDEX(1,),,))))</f>
        <v>64</v>
      </c>
    </row>
    <row r="217" spans="1:12" x14ac:dyDescent="0.55000000000000004">
      <c r="A217" s="1" t="s">
        <v>1540</v>
      </c>
      <c r="B217" s="2">
        <f>COUNTIF(A:A,A217)-1</f>
        <v>3</v>
      </c>
      <c r="C217" s="2">
        <f>COUNTIF(A$1:A217,A217)-1</f>
        <v>0</v>
      </c>
      <c r="D217" s="2" t="str">
        <f t="shared" si="3"/>
        <v/>
      </c>
      <c r="E217" s="2"/>
      <c r="F217" s="2"/>
      <c r="H217" s="2"/>
      <c r="J217" s="2"/>
      <c r="L217" s="2"/>
    </row>
    <row r="218" spans="1:12" x14ac:dyDescent="0.55000000000000004">
      <c r="A218" s="1" t="s">
        <v>1540</v>
      </c>
      <c r="B218" s="2">
        <f>COUNTIF(A:A,A218)-1</f>
        <v>3</v>
      </c>
      <c r="C218" s="2">
        <f>COUNTIF(A$1:A218,A218)-1</f>
        <v>1</v>
      </c>
      <c r="D218" s="2" t="str">
        <f t="shared" si="3"/>
        <v>v</v>
      </c>
      <c r="E218" s="2"/>
      <c r="F218" s="2" t="e">
        <f>DATE(+F218:G218,#REF!,#REF!)</f>
        <v>#REF!</v>
      </c>
      <c r="H218" s="2" t="e">
        <f>DATE(H218:I218,#REF!,#REF!)</f>
        <v>#REF!</v>
      </c>
      <c r="J218" s="2" t="e">
        <f>DATE(INDIRECT(J218:K218),#REF!,#REF!)</f>
        <v>#REF!</v>
      </c>
      <c r="L218" s="2">
        <f>TYPE(INDEX(,DATE(OFFSET(INDEX(1,),,),#REF!,#REF!)))</f>
        <v>64</v>
      </c>
    </row>
    <row r="219" spans="1:12" x14ac:dyDescent="0.55000000000000004">
      <c r="A219" s="1" t="s">
        <v>1540</v>
      </c>
      <c r="B219" s="2">
        <f>COUNTIF(A:A,A219)-1</f>
        <v>3</v>
      </c>
      <c r="C219" s="2">
        <f>COUNTIF(A$1:A219,A219)-1</f>
        <v>2</v>
      </c>
      <c r="D219" s="2" t="str">
        <f t="shared" si="3"/>
        <v>v</v>
      </c>
      <c r="E219" s="2"/>
      <c r="F219" s="2" t="e">
        <f>DATE(#REF!,+F219:G219,#REF!)</f>
        <v>#REF!</v>
      </c>
      <c r="H219" s="2" t="e">
        <f>DATE(#REF!,H219:I219,#REF!)</f>
        <v>#REF!</v>
      </c>
      <c r="J219" s="2" t="e">
        <f>DATE(#REF!,INDIRECT(J219:K219),#REF!)</f>
        <v>#REF!</v>
      </c>
      <c r="L219" s="2">
        <f>TYPE(INDEX(,DATE(#REF!,OFFSET(INDEX(1,),,),#REF!)))</f>
        <v>64</v>
      </c>
    </row>
    <row r="220" spans="1:12" x14ac:dyDescent="0.55000000000000004">
      <c r="A220" s="1" t="s">
        <v>1540</v>
      </c>
      <c r="B220" s="2">
        <f>COUNTIF(A:A,A220)-1</f>
        <v>3</v>
      </c>
      <c r="C220" s="2">
        <f>COUNTIF(A$1:A220,A220)-1</f>
        <v>3</v>
      </c>
      <c r="D220" s="2" t="str">
        <f t="shared" si="3"/>
        <v>v</v>
      </c>
      <c r="E220" s="2" t="e">
        <f>DATE(#REF!,#REF!,#REF!)</f>
        <v>#REF!</v>
      </c>
      <c r="F220" s="2" t="e">
        <f>DATE(#REF!,#REF!,+F220:G220)</f>
        <v>#REF!</v>
      </c>
      <c r="H220" s="2" t="e">
        <f>DATE(#REF!,#REF!,H220:I220)</f>
        <v>#REF!</v>
      </c>
      <c r="J220" s="2" t="e">
        <f>DATE(#REF!,#REF!,INDIRECT(J220:K220))</f>
        <v>#REF!</v>
      </c>
      <c r="L220" s="2">
        <f>TYPE(INDEX(,DATE(#REF!,#REF!,OFFSET(INDEX(1,),,))))</f>
        <v>64</v>
      </c>
    </row>
    <row r="221" spans="1:12" x14ac:dyDescent="0.55000000000000004">
      <c r="A221" s="1" t="s">
        <v>1541</v>
      </c>
      <c r="B221" s="2">
        <f>COUNTIF(A:A,A221)-1</f>
        <v>3</v>
      </c>
      <c r="C221" s="2">
        <f>COUNTIF(A$1:A221,A221)-1</f>
        <v>0</v>
      </c>
      <c r="D221" s="2" t="str">
        <f t="shared" si="3"/>
        <v/>
      </c>
      <c r="E221" s="2"/>
      <c r="F221" s="2"/>
      <c r="H221" s="2"/>
      <c r="J221" s="2"/>
      <c r="L221" s="2"/>
    </row>
    <row r="222" spans="1:12" x14ac:dyDescent="0.55000000000000004">
      <c r="A222" s="1" t="s">
        <v>1541</v>
      </c>
      <c r="B222" s="2">
        <f>COUNTIF(A:A,A222)-1</f>
        <v>3</v>
      </c>
      <c r="C222" s="2">
        <f>COUNTIF(A$1:A222,A222)-1</f>
        <v>1</v>
      </c>
      <c r="D222" s="2" t="str">
        <f t="shared" si="3"/>
        <v>v</v>
      </c>
      <c r="E222" s="2"/>
      <c r="F222" s="2" t="e">
        <f>TIME(+F222:G222,#REF!,#REF!)</f>
        <v>#REF!</v>
      </c>
      <c r="H222" s="2" t="e">
        <f>TIME(H222:I222,#REF!,#REF!)</f>
        <v>#REF!</v>
      </c>
      <c r="J222" s="2" t="e">
        <f>TIME(INDIRECT(J222:K222),#REF!,#REF!)</f>
        <v>#REF!</v>
      </c>
      <c r="L222" s="2">
        <f>TYPE(INDEX(,TIME(OFFSET(INDEX(1,),,),#REF!,#REF!)))</f>
        <v>64</v>
      </c>
    </row>
    <row r="223" spans="1:12" x14ac:dyDescent="0.55000000000000004">
      <c r="A223" s="1" t="s">
        <v>1541</v>
      </c>
      <c r="B223" s="2">
        <f>COUNTIF(A:A,A223)-1</f>
        <v>3</v>
      </c>
      <c r="C223" s="2">
        <f>COUNTIF(A$1:A223,A223)-1</f>
        <v>2</v>
      </c>
      <c r="D223" s="2" t="str">
        <f t="shared" si="3"/>
        <v>v</v>
      </c>
      <c r="E223" s="2"/>
      <c r="F223" s="2" t="e">
        <f>TIME(#REF!,+F223:G223,#REF!)</f>
        <v>#REF!</v>
      </c>
      <c r="H223" s="2" t="e">
        <f>TIME(#REF!,H223:I223,#REF!)</f>
        <v>#REF!</v>
      </c>
      <c r="J223" s="2" t="e">
        <f>TIME(#REF!,INDIRECT(J223:K223),#REF!)</f>
        <v>#REF!</v>
      </c>
      <c r="L223" s="2">
        <f>TYPE(INDEX(,TIME(#REF!,OFFSET(INDEX(1,),,),#REF!)))</f>
        <v>64</v>
      </c>
    </row>
    <row r="224" spans="1:12" x14ac:dyDescent="0.55000000000000004">
      <c r="A224" s="1" t="s">
        <v>1541</v>
      </c>
      <c r="B224" s="2">
        <f>COUNTIF(A:A,A224)-1</f>
        <v>3</v>
      </c>
      <c r="C224" s="2">
        <f>COUNTIF(A$1:A224,A224)-1</f>
        <v>3</v>
      </c>
      <c r="D224" s="2" t="str">
        <f t="shared" si="3"/>
        <v>v</v>
      </c>
      <c r="E224" s="2" t="e">
        <f>TIME(#REF!,#REF!,#REF!)</f>
        <v>#REF!</v>
      </c>
      <c r="F224" s="2" t="e">
        <f>TIME(#REF!,#REF!,+F224:G224)</f>
        <v>#REF!</v>
      </c>
      <c r="H224" s="2" t="e">
        <f>TIME(#REF!,#REF!,H224:I224)</f>
        <v>#REF!</v>
      </c>
      <c r="J224" s="2" t="e">
        <f>TIME(#REF!,#REF!,INDIRECT(J224:K224))</f>
        <v>#REF!</v>
      </c>
      <c r="L224" s="2">
        <f>TYPE(INDEX(,TIME(#REF!,#REF!,OFFSET(INDEX(1,),,))))</f>
        <v>64</v>
      </c>
    </row>
    <row r="225" spans="1:12" x14ac:dyDescent="0.55000000000000004">
      <c r="A225" s="1" t="s">
        <v>1542</v>
      </c>
      <c r="B225" s="2">
        <f>COUNTIF(A:A,A225)-1</f>
        <v>1</v>
      </c>
      <c r="C225" s="2">
        <f>COUNTIF(A$1:A225,A225)-1</f>
        <v>0</v>
      </c>
      <c r="D225" s="2" t="str">
        <f t="shared" si="3"/>
        <v/>
      </c>
      <c r="E225" s="2"/>
      <c r="F225" s="2"/>
      <c r="H225" s="2"/>
      <c r="J225" s="2"/>
      <c r="L225" s="2"/>
    </row>
    <row r="226" spans="1:12" x14ac:dyDescent="0.55000000000000004">
      <c r="A226" s="1" t="s">
        <v>1542</v>
      </c>
      <c r="B226" s="2">
        <f>COUNTIF(A:A,A226)-1</f>
        <v>1</v>
      </c>
      <c r="C226" s="2">
        <f>COUNTIF(A$1:A226,A226)-1</f>
        <v>1</v>
      </c>
      <c r="D226" s="2" t="str">
        <f t="shared" si="3"/>
        <v>v</v>
      </c>
      <c r="E226" s="2" t="e">
        <f>DAY(#REF!)</f>
        <v>#REF!</v>
      </c>
      <c r="F226" s="2">
        <f>DAY(+F226:G226)</f>
        <v>0</v>
      </c>
      <c r="H226" s="2">
        <f>DAY(H226:I226)</f>
        <v>0</v>
      </c>
      <c r="J226" s="2" t="e">
        <f>DAY(INDIRECT(J226:K226))</f>
        <v>#REF!</v>
      </c>
      <c r="L226" s="2">
        <f>TYPE(INDEX(,DAY(OFFSET(INDEX(1,),,))))</f>
        <v>64</v>
      </c>
    </row>
    <row r="227" spans="1:12" x14ac:dyDescent="0.55000000000000004">
      <c r="A227" s="1" t="s">
        <v>1543</v>
      </c>
      <c r="B227" s="2">
        <f>COUNTIF(A:A,A227)-1</f>
        <v>1</v>
      </c>
      <c r="C227" s="2">
        <f>COUNTIF(A$1:A227,A227)-1</f>
        <v>0</v>
      </c>
      <c r="D227" s="2" t="str">
        <f t="shared" si="3"/>
        <v/>
      </c>
      <c r="E227" s="2"/>
      <c r="F227" s="2"/>
      <c r="H227" s="2"/>
      <c r="J227" s="2"/>
      <c r="L227" s="2"/>
    </row>
    <row r="228" spans="1:12" x14ac:dyDescent="0.55000000000000004">
      <c r="A228" s="1" t="s">
        <v>1543</v>
      </c>
      <c r="B228" s="2">
        <f>COUNTIF(A:A,A228)-1</f>
        <v>1</v>
      </c>
      <c r="C228" s="2">
        <f>COUNTIF(A$1:A228,A228)-1</f>
        <v>1</v>
      </c>
      <c r="D228" s="2" t="str">
        <f t="shared" si="3"/>
        <v>v</v>
      </c>
      <c r="E228" s="2" t="e">
        <f>MONTH(#REF!)</f>
        <v>#REF!</v>
      </c>
      <c r="F228" s="2">
        <f>MONTH(+F228:G228)</f>
        <v>1</v>
      </c>
      <c r="H228" s="2">
        <f>MONTH(H228:I228)</f>
        <v>1</v>
      </c>
      <c r="J228" s="2" t="e">
        <f>MONTH(INDIRECT(J228:K228))</f>
        <v>#REF!</v>
      </c>
      <c r="L228" s="2">
        <f>TYPE(INDEX(,MONTH(OFFSET(INDEX(1,),,))))</f>
        <v>64</v>
      </c>
    </row>
    <row r="229" spans="1:12" x14ac:dyDescent="0.55000000000000004">
      <c r="A229" s="1" t="s">
        <v>1544</v>
      </c>
      <c r="B229" s="2">
        <f>COUNTIF(A:A,A229)-1</f>
        <v>1</v>
      </c>
      <c r="C229" s="2">
        <f>COUNTIF(A$1:A229,A229)-1</f>
        <v>0</v>
      </c>
      <c r="D229" s="2" t="str">
        <f t="shared" si="3"/>
        <v/>
      </c>
      <c r="E229" s="2"/>
      <c r="F229" s="2"/>
      <c r="H229" s="2"/>
      <c r="J229" s="2"/>
      <c r="L229" s="2"/>
    </row>
    <row r="230" spans="1:12" x14ac:dyDescent="0.55000000000000004">
      <c r="A230" s="1" t="s">
        <v>1544</v>
      </c>
      <c r="B230" s="2">
        <f>COUNTIF(A:A,A230)-1</f>
        <v>1</v>
      </c>
      <c r="C230" s="2">
        <f>COUNTIF(A$1:A230,A230)-1</f>
        <v>1</v>
      </c>
      <c r="D230" s="2" t="str">
        <f t="shared" si="3"/>
        <v>v</v>
      </c>
      <c r="E230" s="2" t="e">
        <f>YEAR(#REF!)</f>
        <v>#REF!</v>
      </c>
      <c r="F230" s="2">
        <f>YEAR(+F230:G230)</f>
        <v>1900</v>
      </c>
      <c r="H230" s="2">
        <f>YEAR(H230:I230)</f>
        <v>1900</v>
      </c>
      <c r="J230" s="2" t="e">
        <f>YEAR(INDIRECT(J230:K230))</f>
        <v>#REF!</v>
      </c>
      <c r="L230" s="2">
        <f>TYPE(INDEX(,YEAR(OFFSET(INDEX(1,),,))))</f>
        <v>64</v>
      </c>
    </row>
    <row r="231" spans="1:12" x14ac:dyDescent="0.55000000000000004">
      <c r="A231" s="1" t="s">
        <v>1545</v>
      </c>
      <c r="B231" s="2">
        <f>COUNTIF(A:A,A231)-1</f>
        <v>2</v>
      </c>
      <c r="C231" s="2">
        <f>COUNTIF(A$1:A231,A231)-1</f>
        <v>0</v>
      </c>
      <c r="D231" s="2" t="str">
        <f t="shared" si="3"/>
        <v/>
      </c>
      <c r="E231" s="2"/>
      <c r="F231" s="2"/>
      <c r="H231" s="2"/>
      <c r="J231" s="2"/>
      <c r="L231" s="2"/>
    </row>
    <row r="232" spans="1:12" x14ac:dyDescent="0.55000000000000004">
      <c r="A232" s="1" t="s">
        <v>1545</v>
      </c>
      <c r="B232" s="2">
        <f>COUNTIF(A:A,A232)-1</f>
        <v>2</v>
      </c>
      <c r="C232" s="2">
        <f>COUNTIF(A$1:A232,A232)-1</f>
        <v>1</v>
      </c>
      <c r="D232" s="2" t="str">
        <f t="shared" si="3"/>
        <v>v</v>
      </c>
      <c r="E232" s="2" t="e">
        <f>WEEKDAY(#REF!)</f>
        <v>#REF!</v>
      </c>
      <c r="F232" s="2" t="e">
        <f>WEEKDAY(+F232:G232,#REF!)</f>
        <v>#REF!</v>
      </c>
      <c r="H232" s="2" t="e">
        <f>WEEKDAY(H232:I232,#REF!)</f>
        <v>#REF!</v>
      </c>
      <c r="J232" s="2" t="e">
        <f>WEEKDAY(INDIRECT(J232:K232),#REF!)</f>
        <v>#REF!</v>
      </c>
      <c r="L232" s="2">
        <f>TYPE(INDEX(,WEEKDAY(OFFSET(INDEX(1,),,),#REF!)))</f>
        <v>64</v>
      </c>
    </row>
    <row r="233" spans="1:12" x14ac:dyDescent="0.55000000000000004">
      <c r="A233" s="1" t="s">
        <v>1545</v>
      </c>
      <c r="B233" s="2">
        <f>COUNTIF(A:A,A233)-1</f>
        <v>2</v>
      </c>
      <c r="C233" s="2">
        <f>COUNTIF(A$1:A233,A233)-1</f>
        <v>2</v>
      </c>
      <c r="D233" s="2" t="str">
        <f t="shared" si="3"/>
        <v>v</v>
      </c>
      <c r="E233" s="2" t="e">
        <f>WEEKDAY(#REF!,#REF!)</f>
        <v>#REF!</v>
      </c>
      <c r="F233" s="2" t="e">
        <f>WEEKDAY(#REF!,+F233:G233)</f>
        <v>#REF!</v>
      </c>
      <c r="H233" s="2" t="e">
        <f>WEEKDAY(#REF!,H233:I233)</f>
        <v>#REF!</v>
      </c>
      <c r="J233" s="2" t="e">
        <f>WEEKDAY(#REF!,INDIRECT(J233:K233))</f>
        <v>#REF!</v>
      </c>
      <c r="L233" s="2">
        <f>TYPE(INDEX(,WEEKDAY(#REF!,OFFSET(INDEX(1,),,))))</f>
        <v>64</v>
      </c>
    </row>
    <row r="234" spans="1:12" x14ac:dyDescent="0.55000000000000004">
      <c r="A234" s="1" t="s">
        <v>1546</v>
      </c>
      <c r="B234" s="2">
        <f>COUNTIF(A:A,A234)-1</f>
        <v>1</v>
      </c>
      <c r="C234" s="2">
        <f>COUNTIF(A$1:A234,A234)-1</f>
        <v>0</v>
      </c>
      <c r="D234" s="2" t="str">
        <f t="shared" si="3"/>
        <v/>
      </c>
      <c r="E234" s="2"/>
      <c r="F234" s="2"/>
      <c r="H234" s="2"/>
      <c r="J234" s="2"/>
      <c r="L234" s="2"/>
    </row>
    <row r="235" spans="1:12" x14ac:dyDescent="0.55000000000000004">
      <c r="A235" s="1" t="s">
        <v>1546</v>
      </c>
      <c r="B235" s="2">
        <f>COUNTIF(A:A,A235)-1</f>
        <v>1</v>
      </c>
      <c r="C235" s="2">
        <f>COUNTIF(A$1:A235,A235)-1</f>
        <v>1</v>
      </c>
      <c r="D235" s="2" t="str">
        <f t="shared" si="3"/>
        <v>v</v>
      </c>
      <c r="E235" s="2" t="e">
        <f>HOUR(#REF!)</f>
        <v>#REF!</v>
      </c>
      <c r="F235" s="2">
        <f>HOUR(+F235:G235)</f>
        <v>0</v>
      </c>
      <c r="H235" s="2">
        <f>HOUR(H235:I235)</f>
        <v>0</v>
      </c>
      <c r="J235" s="2" t="e">
        <f>HOUR(INDIRECT(J235:K235))</f>
        <v>#REF!</v>
      </c>
      <c r="L235" s="2">
        <f>TYPE(INDEX(,HOUR(OFFSET(INDEX(1,),,))))</f>
        <v>64</v>
      </c>
    </row>
    <row r="236" spans="1:12" x14ac:dyDescent="0.55000000000000004">
      <c r="A236" s="1" t="s">
        <v>1547</v>
      </c>
      <c r="B236" s="2">
        <f>COUNTIF(A:A,A236)-1</f>
        <v>1</v>
      </c>
      <c r="C236" s="2">
        <f>COUNTIF(A$1:A236,A236)-1</f>
        <v>0</v>
      </c>
      <c r="D236" s="2" t="str">
        <f t="shared" si="3"/>
        <v/>
      </c>
      <c r="E236" s="2"/>
      <c r="F236" s="2"/>
      <c r="H236" s="2"/>
      <c r="J236" s="2"/>
      <c r="L236" s="2"/>
    </row>
    <row r="237" spans="1:12" x14ac:dyDescent="0.55000000000000004">
      <c r="A237" s="1" t="s">
        <v>1547</v>
      </c>
      <c r="B237" s="2">
        <f>COUNTIF(A:A,A237)-1</f>
        <v>1</v>
      </c>
      <c r="C237" s="2">
        <f>COUNTIF(A$1:A237,A237)-1</f>
        <v>1</v>
      </c>
      <c r="D237" s="2" t="str">
        <f t="shared" si="3"/>
        <v>v</v>
      </c>
      <c r="E237" s="2" t="e">
        <f>MINUTE(#REF!)</f>
        <v>#REF!</v>
      </c>
      <c r="F237" s="2">
        <f>MINUTE(+F237:G237)</f>
        <v>0</v>
      </c>
      <c r="H237" s="2">
        <f>MINUTE(H237:I237)</f>
        <v>0</v>
      </c>
      <c r="J237" s="2" t="e">
        <f>MINUTE(INDIRECT(J237:K237))</f>
        <v>#REF!</v>
      </c>
      <c r="L237" s="2">
        <f>TYPE(INDEX(,MINUTE(OFFSET(INDEX(1,),,))))</f>
        <v>64</v>
      </c>
    </row>
    <row r="238" spans="1:12" x14ac:dyDescent="0.55000000000000004">
      <c r="A238" s="1" t="s">
        <v>1548</v>
      </c>
      <c r="B238" s="2">
        <f>COUNTIF(A:A,A238)-1</f>
        <v>1</v>
      </c>
      <c r="C238" s="2">
        <f>COUNTIF(A$1:A238,A238)-1</f>
        <v>0</v>
      </c>
      <c r="D238" s="2" t="str">
        <f t="shared" si="3"/>
        <v/>
      </c>
      <c r="E238" s="2"/>
      <c r="F238" s="2"/>
      <c r="H238" s="2"/>
      <c r="J238" s="2"/>
      <c r="L238" s="2"/>
    </row>
    <row r="239" spans="1:12" x14ac:dyDescent="0.55000000000000004">
      <c r="A239" s="1" t="s">
        <v>1548</v>
      </c>
      <c r="B239" s="2">
        <f>COUNTIF(A:A,A239)-1</f>
        <v>1</v>
      </c>
      <c r="C239" s="2">
        <f>COUNTIF(A$1:A239,A239)-1</f>
        <v>1</v>
      </c>
      <c r="D239" s="2" t="str">
        <f t="shared" si="3"/>
        <v>v</v>
      </c>
      <c r="E239" s="2" t="e">
        <f>SECOND(#REF!)</f>
        <v>#REF!</v>
      </c>
      <c r="F239" s="2">
        <f>SECOND(+F239:G239)</f>
        <v>0</v>
      </c>
      <c r="H239" s="2">
        <f>SECOND(H239:I239)</f>
        <v>0</v>
      </c>
      <c r="J239" s="2" t="e">
        <f>SECOND(INDIRECT(J239:K239))</f>
        <v>#REF!</v>
      </c>
      <c r="L239" s="2">
        <f>TYPE(INDEX(,SECOND(OFFSET(INDEX(1,),,))))</f>
        <v>64</v>
      </c>
    </row>
    <row r="240" spans="1:12" x14ac:dyDescent="0.55000000000000004">
      <c r="A240" s="1" t="s">
        <v>1476</v>
      </c>
      <c r="B240" s="2">
        <f>COUNTIF(A:A,A240)-1</f>
        <v>0</v>
      </c>
      <c r="C240" s="2">
        <f>COUNTIF(A$1:A240,A240)-1</f>
        <v>0</v>
      </c>
      <c r="D240" s="2" t="str">
        <f t="shared" si="3"/>
        <v/>
      </c>
      <c r="E240" s="2">
        <f>NOW()</f>
        <v>42805.843045949077</v>
      </c>
      <c r="F240" s="2"/>
      <c r="H240" s="2"/>
      <c r="J240" s="2"/>
      <c r="L240" s="2"/>
    </row>
    <row r="241" spans="1:12" x14ac:dyDescent="0.55000000000000004">
      <c r="A241" s="1" t="s">
        <v>1549</v>
      </c>
      <c r="B241" s="2">
        <f>COUNTIF(A:A,A241)-1</f>
        <v>1</v>
      </c>
      <c r="C241" s="2">
        <f>COUNTIF(A$1:A241,A241)-1</f>
        <v>0</v>
      </c>
      <c r="D241" s="2" t="str">
        <f t="shared" si="3"/>
        <v/>
      </c>
      <c r="E241" s="2"/>
      <c r="F241" s="2"/>
      <c r="H241" s="2"/>
      <c r="J241" s="2"/>
      <c r="L241" s="2"/>
    </row>
    <row r="242" spans="1:12" x14ac:dyDescent="0.55000000000000004">
      <c r="A242" s="1" t="s">
        <v>1549</v>
      </c>
      <c r="B242" s="2">
        <f>COUNTIF(A:A,A242)-1</f>
        <v>1</v>
      </c>
      <c r="C242" s="2">
        <f>COUNTIF(A$1:A242,A242)-1</f>
        <v>1</v>
      </c>
      <c r="D242" s="2" t="str">
        <f t="shared" si="3"/>
        <v>r</v>
      </c>
      <c r="E242" s="2" t="e">
        <f>AREAS(#REF!)</f>
        <v>#REF!</v>
      </c>
      <c r="F242" s="2"/>
      <c r="H242" s="2">
        <f>AREAS(H242:I242)</f>
        <v>1</v>
      </c>
      <c r="I242" s="1">
        <v>1</v>
      </c>
      <c r="J242" s="2" t="e">
        <f>AREAS(INDIRECT(J242:K242))</f>
        <v>#REF!</v>
      </c>
      <c r="L242" s="2">
        <f>TYPE(INDEX(,AREAS(OFFSET(INDEX(1,),,))))</f>
        <v>64</v>
      </c>
    </row>
    <row r="243" spans="1:12" x14ac:dyDescent="0.55000000000000004">
      <c r="A243" s="1" t="s">
        <v>1550</v>
      </c>
      <c r="B243" s="2">
        <f>COUNTIF(A:A,A243)-1</f>
        <v>1</v>
      </c>
      <c r="C243" s="2">
        <f>COUNTIF(A$1:A243,A243)-1</f>
        <v>0</v>
      </c>
      <c r="D243" s="2" t="str">
        <f t="shared" si="3"/>
        <v/>
      </c>
      <c r="E243" s="2"/>
      <c r="F243" s="2"/>
      <c r="H243" s="2"/>
      <c r="J243" s="2"/>
      <c r="L243" s="2"/>
    </row>
    <row r="244" spans="1:12" x14ac:dyDescent="0.55000000000000004">
      <c r="A244" s="1" t="s">
        <v>1550</v>
      </c>
      <c r="B244" s="2">
        <f>COUNTIF(A:A,A244)-1</f>
        <v>1</v>
      </c>
      <c r="C244" s="2">
        <f>COUNTIF(A$1:A244,A244)-1</f>
        <v>1</v>
      </c>
      <c r="D244" s="2" t="str">
        <f t="shared" si="3"/>
        <v>ar</v>
      </c>
      <c r="E244" s="2" t="e">
        <f>ROWS(#REF!)</f>
        <v>#REF!</v>
      </c>
      <c r="F244" s="2">
        <f>ROWS(+F244:G244)</f>
        <v>1</v>
      </c>
      <c r="G244" s="1">
        <v>1</v>
      </c>
      <c r="H244" s="2">
        <f>ROWS(H244:I244)</f>
        <v>1</v>
      </c>
      <c r="I244" s="1">
        <v>1</v>
      </c>
      <c r="J244" s="2" t="e">
        <f>ROWS(INDIRECT(J244:K244))</f>
        <v>#REF!</v>
      </c>
      <c r="L244" s="2">
        <f>TYPE(INDEX(,ROWS(OFFSET(INDEX(1,),,))))</f>
        <v>16</v>
      </c>
    </row>
    <row r="245" spans="1:12" x14ac:dyDescent="0.55000000000000004">
      <c r="A245" s="1" t="s">
        <v>1551</v>
      </c>
      <c r="B245" s="2">
        <f>COUNTIF(A:A,A245)-1</f>
        <v>1</v>
      </c>
      <c r="C245" s="2">
        <f>COUNTIF(A$1:A245,A245)-1</f>
        <v>0</v>
      </c>
      <c r="D245" s="2" t="str">
        <f t="shared" si="3"/>
        <v/>
      </c>
      <c r="E245" s="2"/>
      <c r="F245" s="2"/>
      <c r="H245" s="2"/>
      <c r="J245" s="2"/>
      <c r="L245" s="2"/>
    </row>
    <row r="246" spans="1:12" x14ac:dyDescent="0.55000000000000004">
      <c r="A246" s="1" t="s">
        <v>1551</v>
      </c>
      <c r="B246" s="2">
        <f>COUNTIF(A:A,A246)-1</f>
        <v>1</v>
      </c>
      <c r="C246" s="2">
        <f>COUNTIF(A$1:A246,A246)-1</f>
        <v>1</v>
      </c>
      <c r="D246" s="2" t="str">
        <f t="shared" si="3"/>
        <v>ar</v>
      </c>
      <c r="E246" s="2" t="e">
        <f>COLUMNS(#REF!)</f>
        <v>#REF!</v>
      </c>
      <c r="F246" s="2">
        <f>COLUMNS(+F246:G246)</f>
        <v>2</v>
      </c>
      <c r="G246" s="1">
        <v>1</v>
      </c>
      <c r="H246" s="2">
        <f>COLUMNS(H246:I246)</f>
        <v>2</v>
      </c>
      <c r="I246" s="1">
        <v>1</v>
      </c>
      <c r="J246" s="2" t="e">
        <f>COLUMNS(INDIRECT(J246:K246))</f>
        <v>#REF!</v>
      </c>
      <c r="L246" s="2">
        <f>TYPE(INDEX(,COLUMNS(OFFSET(INDEX(1,),,))))</f>
        <v>16</v>
      </c>
    </row>
    <row r="247" spans="1:12" x14ac:dyDescent="0.55000000000000004">
      <c r="A247" s="1" t="s">
        <v>1552</v>
      </c>
      <c r="B247" s="2">
        <f>COUNTIF(A:A,A247)-1</f>
        <v>5</v>
      </c>
      <c r="C247" s="2">
        <f>COUNTIF(A$1:A247,A247)-1</f>
        <v>0</v>
      </c>
      <c r="D247" s="2" t="str">
        <f t="shared" si="3"/>
        <v/>
      </c>
      <c r="E247" s="2"/>
      <c r="F247" s="2"/>
      <c r="H247" s="2"/>
      <c r="J247" s="2"/>
      <c r="L247" s="2"/>
    </row>
    <row r="248" spans="1:12" x14ac:dyDescent="0.55000000000000004">
      <c r="A248" s="1" t="s">
        <v>1552</v>
      </c>
      <c r="B248" s="2">
        <f>COUNTIF(A:A,A248)-1</f>
        <v>5</v>
      </c>
      <c r="C248" s="2">
        <f>COUNTIF(A$1:A248,A248)-1</f>
        <v>1</v>
      </c>
      <c r="D248" s="2" t="str">
        <f t="shared" si="3"/>
        <v>r</v>
      </c>
      <c r="E248" s="2"/>
      <c r="F248" s="2"/>
      <c r="H248" s="2" t="e">
        <f>OFFSET(H248:I248,#REF!,#REF!,#REF!,#REF!)</f>
        <v>#REF!</v>
      </c>
      <c r="I248" s="1">
        <v>1</v>
      </c>
      <c r="J248" s="2" t="e">
        <f>OFFSET(INDIRECT(J248:K248),#REF!,#REF!,#REF!,#REF!)</f>
        <v>#REF!</v>
      </c>
      <c r="L248" s="2">
        <f>TYPE(INDEX(,OFFSET(OFFSET(INDEX(1,),,),#REF!,#REF!,#REF!,#REF!)))</f>
        <v>64</v>
      </c>
    </row>
    <row r="249" spans="1:12" x14ac:dyDescent="0.55000000000000004">
      <c r="A249" s="1" t="s">
        <v>1552</v>
      </c>
      <c r="B249" s="2">
        <f>COUNTIF(A:A,A249)-1</f>
        <v>5</v>
      </c>
      <c r="C249" s="2">
        <f>COUNTIF(A$1:A249,A249)-1</f>
        <v>2</v>
      </c>
      <c r="D249" s="2" t="str">
        <f t="shared" si="3"/>
        <v>v</v>
      </c>
      <c r="E249" s="2"/>
      <c r="F249" s="2" t="e">
        <f>OFFSET(#REF!,+F249:G249,#REF!,#REF!,#REF!)</f>
        <v>#REF!</v>
      </c>
      <c r="H249" s="2" t="e">
        <f>OFFSET(#REF!,H249:I249,#REF!,#REF!,#REF!)</f>
        <v>#REF!</v>
      </c>
      <c r="J249" s="2" t="e">
        <f>OFFSET(#REF!,INDIRECT(J249:K249),#REF!,#REF!,#REF!)</f>
        <v>#REF!</v>
      </c>
      <c r="L249" s="2">
        <f>TYPE(INDEX(,OFFSET(#REF!,OFFSET(INDEX(1,),,),#REF!,#REF!,#REF!)))</f>
        <v>64</v>
      </c>
    </row>
    <row r="250" spans="1:12" x14ac:dyDescent="0.55000000000000004">
      <c r="A250" s="1" t="s">
        <v>1552</v>
      </c>
      <c r="B250" s="2">
        <f>COUNTIF(A:A,A250)-1</f>
        <v>5</v>
      </c>
      <c r="C250" s="2">
        <f>COUNTIF(A$1:A250,A250)-1</f>
        <v>3</v>
      </c>
      <c r="D250" s="2" t="str">
        <f t="shared" si="3"/>
        <v>v</v>
      </c>
      <c r="E250" s="2" t="e">
        <f>OFFSET(#REF!,#REF!,#REF!)</f>
        <v>#REF!</v>
      </c>
      <c r="F250" s="2" t="e">
        <f>OFFSET(#REF!,#REF!,+F250:G250,#REF!,#REF!)</f>
        <v>#REF!</v>
      </c>
      <c r="H250" s="2" t="e">
        <f>OFFSET(#REF!,#REF!,H250:I250,#REF!,#REF!)</f>
        <v>#REF!</v>
      </c>
      <c r="J250" s="2" t="e">
        <f>OFFSET(#REF!,#REF!,INDIRECT(J250:K250),#REF!,#REF!)</f>
        <v>#REF!</v>
      </c>
      <c r="L250" s="2">
        <f>TYPE(INDEX(,OFFSET(#REF!,#REF!,OFFSET(INDEX(1,),,),#REF!,#REF!)))</f>
        <v>64</v>
      </c>
    </row>
    <row r="251" spans="1:12" x14ac:dyDescent="0.55000000000000004">
      <c r="A251" s="1" t="s">
        <v>1552</v>
      </c>
      <c r="B251" s="2">
        <f>COUNTIF(A:A,A251)-1</f>
        <v>5</v>
      </c>
      <c r="C251" s="2">
        <f>COUNTIF(A$1:A251,A251)-1</f>
        <v>4</v>
      </c>
      <c r="D251" s="2" t="str">
        <f t="shared" si="3"/>
        <v>v</v>
      </c>
      <c r="E251" s="2" t="e">
        <f>OFFSET(#REF!,#REF!,#REF!,#REF!)</f>
        <v>#REF!</v>
      </c>
      <c r="F251" s="2" t="e">
        <f>OFFSET(#REF!,#REF!,#REF!,+F251:G251,#REF!)</f>
        <v>#REF!</v>
      </c>
      <c r="H251" s="2" t="e">
        <f>OFFSET(#REF!,#REF!,#REF!,H251:I251,#REF!)</f>
        <v>#REF!</v>
      </c>
      <c r="J251" s="2" t="e">
        <f>OFFSET(#REF!,#REF!,#REF!,INDIRECT(J251:K251),#REF!)</f>
        <v>#REF!</v>
      </c>
      <c r="L251" s="2">
        <f>TYPE(INDEX(,OFFSET(#REF!,#REF!,#REF!,OFFSET(INDEX(1,),,),#REF!)))</f>
        <v>64</v>
      </c>
    </row>
    <row r="252" spans="1:12" x14ac:dyDescent="0.55000000000000004">
      <c r="A252" s="1" t="s">
        <v>1552</v>
      </c>
      <c r="B252" s="2">
        <f>COUNTIF(A:A,A252)-1</f>
        <v>5</v>
      </c>
      <c r="C252" s="2">
        <f>COUNTIF(A$1:A252,A252)-1</f>
        <v>5</v>
      </c>
      <c r="D252" s="2" t="str">
        <f t="shared" si="3"/>
        <v>v</v>
      </c>
      <c r="E252" s="2" t="e">
        <f>OFFSET(#REF!,#REF!,#REF!,#REF!,#REF!)</f>
        <v>#REF!</v>
      </c>
      <c r="F252" s="2" t="e">
        <f>OFFSET(#REF!,#REF!,#REF!,#REF!,+F252:G252)</f>
        <v>#REF!</v>
      </c>
      <c r="H252" s="2" t="e">
        <f>OFFSET(#REF!,#REF!,#REF!,#REF!,H252:I252)</f>
        <v>#REF!</v>
      </c>
      <c r="J252" s="2" t="e">
        <f>OFFSET(#REF!,#REF!,#REF!,#REF!,INDIRECT(J252:K252))</f>
        <v>#REF!</v>
      </c>
      <c r="L252" s="2">
        <f>TYPE(INDEX(,OFFSET(#REF!,#REF!,#REF!,#REF!,OFFSET(INDEX(1,),,))))</f>
        <v>64</v>
      </c>
    </row>
    <row r="253" spans="1:12" x14ac:dyDescent="0.55000000000000004">
      <c r="A253" s="1" t="s">
        <v>1553</v>
      </c>
      <c r="B253" s="2">
        <f>COUNTIF(A:A,A253)-1</f>
        <v>2</v>
      </c>
      <c r="C253" s="2">
        <f>COUNTIF(A$1:A253,A253)-1</f>
        <v>0</v>
      </c>
      <c r="D253" s="2" t="str">
        <f t="shared" si="3"/>
        <v/>
      </c>
      <c r="E253" s="2"/>
      <c r="F253" s="2"/>
      <c r="H253" s="2"/>
      <c r="J253" s="2"/>
      <c r="L253" s="2"/>
    </row>
    <row r="254" spans="1:12" x14ac:dyDescent="0.55000000000000004">
      <c r="A254" s="1" t="s">
        <v>1553</v>
      </c>
      <c r="B254" s="2">
        <f>COUNTIF(A:A,A254)-1</f>
        <v>2</v>
      </c>
      <c r="C254" s="2">
        <f>COUNTIF(A$1:A254,A254)-1</f>
        <v>1</v>
      </c>
      <c r="D254" s="2" t="str">
        <f t="shared" si="3"/>
        <v>v</v>
      </c>
      <c r="E254" s="2"/>
      <c r="F254" s="2" t="e">
        <f>ABSREF(+F254:G254,#REF!)</f>
        <v>#REF!</v>
      </c>
      <c r="H254" s="2" t="e">
        <f>ABSREF(H254:I254,#REF!)</f>
        <v>#REF!</v>
      </c>
      <c r="J254" s="2" t="e">
        <f>ABSREF(INDIRECT(J254:K254),#REF!)</f>
        <v>#REF!</v>
      </c>
      <c r="L254" s="2">
        <f>TYPE(INDEX(,ABSREF(OFFSET(INDEX(1,),,),#REF!)))</f>
        <v>64</v>
      </c>
    </row>
    <row r="255" spans="1:12" x14ac:dyDescent="0.55000000000000004">
      <c r="A255" s="1" t="s">
        <v>1553</v>
      </c>
      <c r="B255" s="2">
        <f>COUNTIF(A:A,A255)-1</f>
        <v>2</v>
      </c>
      <c r="C255" s="2">
        <f>COUNTIF(A$1:A255,A255)-1</f>
        <v>2</v>
      </c>
      <c r="D255" s="2" t="str">
        <f t="shared" si="3"/>
        <v>r</v>
      </c>
      <c r="E255" s="2" t="e">
        <f>ABSREF(#REF!,#REF!)</f>
        <v>#REF!</v>
      </c>
      <c r="F255" s="2"/>
      <c r="H255" s="2" t="e">
        <f>ABSREF(#REF!,H255:I255)</f>
        <v>#REF!</v>
      </c>
      <c r="I255" s="1">
        <v>1</v>
      </c>
      <c r="J255" s="2" t="e">
        <f>ABSREF(#REF!,INDIRECT(J255:K255))</f>
        <v>#REF!</v>
      </c>
      <c r="L255" s="2">
        <f>TYPE(INDEX(,ABSREF(#REF!,OFFSET(INDEX(1,),,))))</f>
        <v>64</v>
      </c>
    </row>
    <row r="256" spans="1:12" x14ac:dyDescent="0.55000000000000004">
      <c r="A256" s="1" t="s">
        <v>1554</v>
      </c>
      <c r="B256" s="2">
        <f>COUNTIF(A:A,A256)-1</f>
        <v>2</v>
      </c>
      <c r="C256" s="2">
        <f>COUNTIF(A$1:A256,A256)-1</f>
        <v>0</v>
      </c>
      <c r="D256" s="2" t="str">
        <f t="shared" si="3"/>
        <v/>
      </c>
      <c r="E256" s="2"/>
      <c r="F256" s="2"/>
      <c r="H256" s="2"/>
      <c r="J256" s="2"/>
      <c r="L256" s="2"/>
    </row>
    <row r="257" spans="1:12" x14ac:dyDescent="0.55000000000000004">
      <c r="A257" s="1" t="s">
        <v>1554</v>
      </c>
      <c r="B257" s="2">
        <f>COUNTIF(A:A,A257)-1</f>
        <v>2</v>
      </c>
      <c r="C257" s="2">
        <f>COUNTIF(A$1:A257,A257)-1</f>
        <v>1</v>
      </c>
      <c r="D257" s="2" t="str">
        <f t="shared" si="3"/>
        <v>r</v>
      </c>
      <c r="E257" s="2"/>
      <c r="F257" s="2"/>
      <c r="H257" s="2" t="e">
        <f>RELREF(H257:I257,#REF!)</f>
        <v>#REF!</v>
      </c>
      <c r="I257" s="1">
        <v>1</v>
      </c>
      <c r="J257" s="2" t="e">
        <f>RELREF(INDIRECT(J257:K257),#REF!)</f>
        <v>#REF!</v>
      </c>
      <c r="L257" s="2">
        <f>TYPE(INDEX(,RELREF(OFFSET(INDEX(1,),,),#REF!)))</f>
        <v>64</v>
      </c>
    </row>
    <row r="258" spans="1:12" x14ac:dyDescent="0.55000000000000004">
      <c r="A258" s="1" t="s">
        <v>1554</v>
      </c>
      <c r="B258" s="2">
        <f>COUNTIF(A:A,A258)-1</f>
        <v>2</v>
      </c>
      <c r="C258" s="2">
        <f>COUNTIF(A$1:A258,A258)-1</f>
        <v>2</v>
      </c>
      <c r="D258" s="2" t="str">
        <f t="shared" ref="D258:D321" si="4">IF(C258&gt;0,IF(COUNTA(F258:G258)=1,"v",)&amp;IF(L258=64,,"a")&amp;IF(COUNTA(I258,K258)=1,"r",),"")</f>
        <v>r</v>
      </c>
      <c r="E258" s="2" t="e">
        <f>RELREF(#REF!,#REF!)</f>
        <v>#REF!</v>
      </c>
      <c r="F258" s="2"/>
      <c r="H258" s="2" t="e">
        <f>RELREF(#REF!,H258:I258)</f>
        <v>#REF!</v>
      </c>
      <c r="I258" s="1">
        <v>1</v>
      </c>
      <c r="J258" s="2" t="e">
        <f>RELREF(#REF!,INDIRECT(J258:K258))</f>
        <v>#REF!</v>
      </c>
      <c r="L258" s="2">
        <f>TYPE(INDEX(,RELREF(#REF!,OFFSET(INDEX(1,),,))))</f>
        <v>64</v>
      </c>
    </row>
    <row r="259" spans="1:12" x14ac:dyDescent="0.55000000000000004">
      <c r="A259" s="1" t="s">
        <v>1555</v>
      </c>
      <c r="B259" s="2">
        <f>COUNTIF(A:A,A259)-1</f>
        <v>2</v>
      </c>
      <c r="C259" s="2">
        <f>COUNTIF(A$1:A259,A259)-1</f>
        <v>0</v>
      </c>
      <c r="D259" s="2" t="str">
        <f t="shared" si="4"/>
        <v/>
      </c>
      <c r="E259" s="2" t="b">
        <f>ARGUMENT()</f>
        <v>0</v>
      </c>
      <c r="F259" s="2"/>
      <c r="H259" s="2"/>
      <c r="J259" s="2"/>
      <c r="L259" s="2"/>
    </row>
    <row r="260" spans="1:12" x14ac:dyDescent="0.55000000000000004">
      <c r="A260" s="1" t="s">
        <v>1555</v>
      </c>
      <c r="B260" s="2">
        <f>COUNTIF(A:A,A260)-1</f>
        <v>2</v>
      </c>
      <c r="C260" s="2">
        <f>COUNTIF(A$1:A260,A260)-1</f>
        <v>1</v>
      </c>
      <c r="D260" s="2" t="str">
        <f t="shared" si="4"/>
        <v>v</v>
      </c>
      <c r="E260" s="2" t="e">
        <f>ARGUMENT(#REF!)</f>
        <v>#REF!</v>
      </c>
      <c r="F260" s="2" t="e">
        <f>ARGUMENT(+F260:G260,#REF!)</f>
        <v>#REF!</v>
      </c>
      <c r="H260" s="2" t="e">
        <f>ARGUMENT(H260:I260,#REF!)</f>
        <v>#REF!</v>
      </c>
      <c r="J260" s="2" t="e">
        <f>ARGUMENT(INDIRECT(J260:K260),#REF!)</f>
        <v>#REF!</v>
      </c>
      <c r="L260" s="2">
        <f>TYPE(INDEX(,ARGUMENT(OFFSET(INDEX(1,),,),#REF!)))</f>
        <v>64</v>
      </c>
    </row>
    <row r="261" spans="1:12" x14ac:dyDescent="0.55000000000000004">
      <c r="A261" s="1" t="s">
        <v>1555</v>
      </c>
      <c r="B261" s="2">
        <f>COUNTIF(A:A,A261)-1</f>
        <v>2</v>
      </c>
      <c r="C261" s="2">
        <f>COUNTIF(A$1:A261,A261)-1</f>
        <v>2</v>
      </c>
      <c r="D261" s="2" t="str">
        <f t="shared" si="4"/>
        <v>vr</v>
      </c>
      <c r="E261" s="2" t="e">
        <f>ARGUMENT(#REF!,#REF!)</f>
        <v>#REF!</v>
      </c>
      <c r="F261" s="2" t="e">
        <f>ARGUMENT(#REF!,+F261:G261)</f>
        <v>#REF!</v>
      </c>
      <c r="H261" s="2" t="e">
        <f>ARGUMENT(#REF!,H261:I261)</f>
        <v>#REF!</v>
      </c>
      <c r="I261" s="1">
        <v>1</v>
      </c>
      <c r="J261" s="2" t="e">
        <f>ARGUMENT(#REF!,INDIRECT(J261:K261))</f>
        <v>#REF!</v>
      </c>
      <c r="L261" s="2">
        <f>TYPE(INDEX(,ARGUMENT(#REF!,OFFSET(INDEX(1,),,))))</f>
        <v>64</v>
      </c>
    </row>
    <row r="262" spans="1:12" x14ac:dyDescent="0.55000000000000004">
      <c r="A262" s="1" t="s">
        <v>1556</v>
      </c>
      <c r="B262" s="2">
        <f>COUNTIF(A:A,A262)-1</f>
        <v>3</v>
      </c>
      <c r="C262" s="2">
        <f>COUNTIF(A$1:A262,A262)-1</f>
        <v>0</v>
      </c>
      <c r="D262" s="2" t="str">
        <f t="shared" si="4"/>
        <v/>
      </c>
      <c r="E262" s="2"/>
      <c r="F262" s="2"/>
      <c r="H262" s="2"/>
      <c r="J262" s="2"/>
      <c r="L262" s="2"/>
    </row>
    <row r="263" spans="1:12" x14ac:dyDescent="0.55000000000000004">
      <c r="A263" s="1" t="s">
        <v>1556</v>
      </c>
      <c r="B263" s="2">
        <f>COUNTIF(A:A,A263)-1</f>
        <v>3</v>
      </c>
      <c r="C263" s="2">
        <f>COUNTIF(A$1:A263,A263)-1</f>
        <v>1</v>
      </c>
      <c r="D263" s="2" t="str">
        <f t="shared" si="4"/>
        <v>v</v>
      </c>
      <c r="E263" s="2"/>
      <c r="F263" s="2" t="e">
        <f>SEARCH(+F263:G263,#REF!,#REF!)</f>
        <v>#REF!</v>
      </c>
      <c r="H263" s="2" t="e">
        <f>SEARCH(H263:I263,#REF!,#REF!)</f>
        <v>#REF!</v>
      </c>
      <c r="J263" s="2" t="e">
        <f>SEARCH(INDIRECT(J263:K263),#REF!,#REF!)</f>
        <v>#REF!</v>
      </c>
      <c r="L263" s="2">
        <f>TYPE(INDEX(,SEARCH(OFFSET(INDEX(1,),,),#REF!,#REF!)))</f>
        <v>64</v>
      </c>
    </row>
    <row r="264" spans="1:12" x14ac:dyDescent="0.55000000000000004">
      <c r="A264" s="1" t="s">
        <v>1556</v>
      </c>
      <c r="B264" s="2">
        <f>COUNTIF(A:A,A264)-1</f>
        <v>3</v>
      </c>
      <c r="C264" s="2">
        <f>COUNTIF(A$1:A264,A264)-1</f>
        <v>2</v>
      </c>
      <c r="D264" s="2" t="str">
        <f t="shared" si="4"/>
        <v>v</v>
      </c>
      <c r="E264" s="2" t="e">
        <f>SEARCH(#REF!,#REF!)</f>
        <v>#REF!</v>
      </c>
      <c r="F264" s="2" t="e">
        <f>SEARCH(#REF!,+F264:G264,#REF!)</f>
        <v>#REF!</v>
      </c>
      <c r="H264" s="2" t="e">
        <f>SEARCH(#REF!,H264:I264,#REF!)</f>
        <v>#REF!</v>
      </c>
      <c r="J264" s="2" t="e">
        <f>SEARCH(#REF!,INDIRECT(J264:K264),#REF!)</f>
        <v>#REF!</v>
      </c>
      <c r="L264" s="2">
        <f>TYPE(INDEX(,SEARCH(#REF!,OFFSET(INDEX(1,),,),#REF!)))</f>
        <v>64</v>
      </c>
    </row>
    <row r="265" spans="1:12" x14ac:dyDescent="0.55000000000000004">
      <c r="A265" s="1" t="s">
        <v>1556</v>
      </c>
      <c r="B265" s="2">
        <f>COUNTIF(A:A,A265)-1</f>
        <v>3</v>
      </c>
      <c r="C265" s="2">
        <f>COUNTIF(A$1:A265,A265)-1</f>
        <v>3</v>
      </c>
      <c r="D265" s="2" t="str">
        <f t="shared" si="4"/>
        <v>v</v>
      </c>
      <c r="E265" s="2" t="e">
        <f>SEARCH(#REF!,#REF!,#REF!)</f>
        <v>#REF!</v>
      </c>
      <c r="F265" s="2" t="e">
        <f>SEARCH(#REF!,#REF!,+F265:G265)</f>
        <v>#REF!</v>
      </c>
      <c r="H265" s="2" t="e">
        <f>SEARCH(#REF!,#REF!,H265:I265)</f>
        <v>#REF!</v>
      </c>
      <c r="J265" s="2" t="e">
        <f>SEARCH(#REF!,#REF!,INDIRECT(J265:K265))</f>
        <v>#REF!</v>
      </c>
      <c r="L265" s="2">
        <f>TYPE(INDEX(,SEARCH(#REF!,#REF!,OFFSET(INDEX(1,),,))))</f>
        <v>64</v>
      </c>
    </row>
    <row r="266" spans="1:12" x14ac:dyDescent="0.55000000000000004">
      <c r="A266" s="1" t="s">
        <v>1557</v>
      </c>
      <c r="B266" s="2">
        <f>COUNTIF(A:A,A266)-1</f>
        <v>1</v>
      </c>
      <c r="C266" s="2">
        <f>COUNTIF(A$1:A266,A266)-1</f>
        <v>0</v>
      </c>
      <c r="D266" s="2" t="str">
        <f t="shared" si="4"/>
        <v/>
      </c>
      <c r="E266" s="2"/>
      <c r="F266" s="2"/>
      <c r="H266" s="2"/>
      <c r="J266" s="2"/>
      <c r="L266" s="2"/>
    </row>
    <row r="267" spans="1:12" x14ac:dyDescent="0.55000000000000004">
      <c r="A267" s="1" t="s">
        <v>1557</v>
      </c>
      <c r="B267" s="2">
        <f>COUNTIF(A:A,A267)-1</f>
        <v>1</v>
      </c>
      <c r="C267" s="2">
        <f>COUNTIF(A$1:A267,A267)-1</f>
        <v>1</v>
      </c>
      <c r="D267" s="2" t="str">
        <f t="shared" si="4"/>
        <v>va</v>
      </c>
      <c r="E267" s="2" t="e">
        <f>TRANSPOSE(#REF!)</f>
        <v>#REF!</v>
      </c>
      <c r="F267" s="2">
        <f>TRANSPOSE(+F267:G267)</f>
        <v>0</v>
      </c>
      <c r="H267" s="2">
        <f>TRANSPOSE(H267:I267)</f>
        <v>0</v>
      </c>
      <c r="J267" s="2" t="e">
        <f>TRANSPOSE(INDIRECT(J267:K267))</f>
        <v>#REF!</v>
      </c>
      <c r="L267" s="2">
        <f>TYPE(INDEX(,TRANSPOSE(OFFSET(INDEX(1,),,))))</f>
        <v>16</v>
      </c>
    </row>
    <row r="268" spans="1:12" x14ac:dyDescent="0.55000000000000004">
      <c r="A268" s="1" t="s">
        <v>1558</v>
      </c>
      <c r="B268" s="2">
        <f>COUNTIF(A:A,A268)-1</f>
        <v>2</v>
      </c>
      <c r="C268" s="2">
        <f>COUNTIF(A$1:A268,A268)-1</f>
        <v>0</v>
      </c>
      <c r="D268" s="2" t="str">
        <f t="shared" si="4"/>
        <v/>
      </c>
      <c r="E268" s="2" t="b">
        <f>ERROR()</f>
        <v>0</v>
      </c>
      <c r="F268" s="2"/>
      <c r="H268" s="2"/>
      <c r="J268" s="2"/>
      <c r="L268" s="2"/>
    </row>
    <row r="269" spans="1:12" x14ac:dyDescent="0.55000000000000004">
      <c r="A269" s="1" t="s">
        <v>1558</v>
      </c>
      <c r="B269" s="2">
        <f>COUNTIF(A:A,A269)-1</f>
        <v>2</v>
      </c>
      <c r="C269" s="2">
        <f>COUNTIF(A$1:A269,A269)-1</f>
        <v>1</v>
      </c>
      <c r="D269" s="2" t="str">
        <f t="shared" si="4"/>
        <v>v</v>
      </c>
      <c r="E269" s="2" t="b">
        <f>ERROR(#REF!)</f>
        <v>0</v>
      </c>
      <c r="F269" s="2" t="b">
        <f>ERROR(+F269:G269,#REF!)</f>
        <v>0</v>
      </c>
      <c r="H269" s="2" t="b">
        <f>ERROR(H269:I269,#REF!)</f>
        <v>0</v>
      </c>
      <c r="J269" s="2" t="b">
        <f>ERROR(INDIRECT(J269:K269),#REF!)</f>
        <v>0</v>
      </c>
      <c r="L269" s="2">
        <f>TYPE(INDEX(,ERROR(OFFSET(INDEX(1,),,),#REF!)))</f>
        <v>64</v>
      </c>
    </row>
    <row r="270" spans="1:12" x14ac:dyDescent="0.55000000000000004">
      <c r="A270" s="1" t="s">
        <v>1558</v>
      </c>
      <c r="B270" s="2">
        <f>COUNTIF(A:A,A270)-1</f>
        <v>2</v>
      </c>
      <c r="C270" s="2">
        <f>COUNTIF(A$1:A270,A270)-1</f>
        <v>2</v>
      </c>
      <c r="D270" s="2" t="str">
        <f t="shared" si="4"/>
        <v>vr</v>
      </c>
      <c r="E270" s="2" t="b">
        <f>ERROR(#REF!,#REF!)</f>
        <v>0</v>
      </c>
      <c r="F270" s="2" t="b">
        <f>ERROR(#REF!,+F270:G270)</f>
        <v>0</v>
      </c>
      <c r="H270" s="2" t="b">
        <f>ERROR(#REF!,H270:I270)</f>
        <v>0</v>
      </c>
      <c r="I270" s="1">
        <v>1</v>
      </c>
      <c r="J270" s="2" t="b">
        <f>ERROR(#REF!,INDIRECT(J270:K270))</f>
        <v>0</v>
      </c>
      <c r="L270" s="2">
        <f>TYPE(INDEX(,ERROR(#REF!,OFFSET(INDEX(1,),,))))</f>
        <v>64</v>
      </c>
    </row>
    <row r="271" spans="1:12" x14ac:dyDescent="0.55000000000000004">
      <c r="A271" s="1" t="s">
        <v>1477</v>
      </c>
      <c r="B271" s="2">
        <f>COUNTIF(A:A,A271)-1</f>
        <v>0</v>
      </c>
      <c r="C271" s="2">
        <f>COUNTIF(A$1:A271,A271)-1</f>
        <v>0</v>
      </c>
      <c r="D271" s="2" t="str">
        <f t="shared" si="4"/>
        <v/>
      </c>
      <c r="E271" s="2" t="b">
        <f>STEP()</f>
        <v>0</v>
      </c>
      <c r="F271" s="2"/>
      <c r="H271" s="2"/>
      <c r="J271" s="2"/>
      <c r="L271" s="2"/>
    </row>
    <row r="272" spans="1:12" x14ac:dyDescent="0.55000000000000004">
      <c r="A272" s="1" t="s">
        <v>1559</v>
      </c>
      <c r="B272" s="2">
        <f>COUNTIF(A:A,A272)-1</f>
        <v>1</v>
      </c>
      <c r="C272" s="2">
        <f>COUNTIF(A$1:A272,A272)-1</f>
        <v>0</v>
      </c>
      <c r="D272" s="2" t="str">
        <f t="shared" si="4"/>
        <v/>
      </c>
      <c r="E272" s="2"/>
      <c r="F272" s="2"/>
      <c r="H272" s="2"/>
      <c r="J272" s="2"/>
      <c r="L272" s="2"/>
    </row>
    <row r="273" spans="1:12" x14ac:dyDescent="0.55000000000000004">
      <c r="A273" s="1" t="s">
        <v>1559</v>
      </c>
      <c r="B273" s="2">
        <f>COUNTIF(A:A,A273)-1</f>
        <v>1</v>
      </c>
      <c r="C273" s="2">
        <f>COUNTIF(A$1:A273,A273)-1</f>
        <v>1</v>
      </c>
      <c r="D273" s="2" t="str">
        <f t="shared" si="4"/>
        <v>va</v>
      </c>
      <c r="E273" s="2">
        <f>TYPE(#REF!)</f>
        <v>16</v>
      </c>
      <c r="F273" s="2">
        <f>TYPE(+F273:G273)</f>
        <v>1</v>
      </c>
      <c r="H273" s="2">
        <f>TYPE(H273:I273)</f>
        <v>1</v>
      </c>
      <c r="J273" s="2">
        <f>TYPE(INDIRECT(J273:K273))</f>
        <v>16</v>
      </c>
      <c r="L273" s="2">
        <f>TYPE(INDEX(,TYPE(OFFSET(INDEX(1,),,))))</f>
        <v>16</v>
      </c>
    </row>
    <row r="274" spans="1:12" x14ac:dyDescent="0.55000000000000004">
      <c r="A274" s="1" t="s">
        <v>1560</v>
      </c>
      <c r="B274" s="2">
        <f>COUNTIF(A:A,A274)-1</f>
        <v>1</v>
      </c>
      <c r="C274" s="2">
        <f>COUNTIF(A$1:A274,A274)-1</f>
        <v>0</v>
      </c>
      <c r="D274" s="2" t="str">
        <f t="shared" si="4"/>
        <v/>
      </c>
      <c r="E274" s="2" t="b">
        <f>ECHO()</f>
        <v>0</v>
      </c>
      <c r="F274" s="2"/>
      <c r="H274" s="2"/>
      <c r="J274" s="2"/>
      <c r="L274" s="2"/>
    </row>
    <row r="275" spans="1:12" x14ac:dyDescent="0.55000000000000004">
      <c r="A275" s="1" t="s">
        <v>1560</v>
      </c>
      <c r="B275" s="2">
        <f>COUNTIF(A:A,A275)-1</f>
        <v>1</v>
      </c>
      <c r="C275" s="2">
        <f>COUNTIF(A$1:A275,A275)-1</f>
        <v>1</v>
      </c>
      <c r="D275" s="2" t="str">
        <f t="shared" si="4"/>
        <v>v</v>
      </c>
      <c r="E275" s="2" t="b">
        <f>ECHO(#REF!)</f>
        <v>0</v>
      </c>
      <c r="F275" s="2" t="b">
        <f>ECHO(+F275:G275)</f>
        <v>0</v>
      </c>
      <c r="H275" s="2" t="b">
        <f>ECHO(H275:I275)</f>
        <v>0</v>
      </c>
      <c r="J275" s="2" t="b">
        <f>ECHO(INDIRECT(J275:K275))</f>
        <v>0</v>
      </c>
      <c r="L275" s="2">
        <f>TYPE(INDEX(,ECHO(OFFSET(INDEX(1,),,))))</f>
        <v>64</v>
      </c>
    </row>
    <row r="276" spans="1:12" x14ac:dyDescent="0.55000000000000004">
      <c r="A276" s="1" t="s">
        <v>1561</v>
      </c>
      <c r="B276" s="2">
        <f>COUNTIF(A:A,A276)-1</f>
        <v>2</v>
      </c>
      <c r="C276" s="2">
        <f>COUNTIF(A$1:A276,A276)-1</f>
        <v>0</v>
      </c>
      <c r="D276" s="2" t="str">
        <f t="shared" si="4"/>
        <v/>
      </c>
      <c r="E276" s="2"/>
      <c r="F276" s="2"/>
      <c r="H276" s="2"/>
      <c r="J276" s="2"/>
      <c r="L276" s="2"/>
    </row>
    <row r="277" spans="1:12" x14ac:dyDescent="0.55000000000000004">
      <c r="A277" s="1" t="s">
        <v>1561</v>
      </c>
      <c r="B277" s="2">
        <f>COUNTIF(A:A,A277)-1</f>
        <v>2</v>
      </c>
      <c r="C277" s="2">
        <f>COUNTIF(A$1:A277,A277)-1</f>
        <v>1</v>
      </c>
      <c r="D277" s="2" t="str">
        <f t="shared" si="4"/>
        <v>v</v>
      </c>
      <c r="E277" s="2" t="b">
        <f>SET.NAME(#REF!)</f>
        <v>0</v>
      </c>
      <c r="F277" s="2" t="b">
        <f>SET.NAME(+F277:G277,#REF!)</f>
        <v>0</v>
      </c>
      <c r="H277" s="2" t="b">
        <f>SET.NAME(H277:I277,#REF!)</f>
        <v>0</v>
      </c>
      <c r="J277" s="2" t="b">
        <f>SET.NAME(INDIRECT(J277:K277),#REF!)</f>
        <v>0</v>
      </c>
      <c r="L277" s="2">
        <f>TYPE(INDEX(,SET.NAME(OFFSET(INDEX(1,),,),#REF!)))</f>
        <v>64</v>
      </c>
    </row>
    <row r="278" spans="1:12" x14ac:dyDescent="0.55000000000000004">
      <c r="A278" s="1" t="s">
        <v>1561</v>
      </c>
      <c r="B278" s="2">
        <f>COUNTIF(A:A,A278)-1</f>
        <v>2</v>
      </c>
      <c r="C278" s="2">
        <f>COUNTIF(A$1:A278,A278)-1</f>
        <v>2</v>
      </c>
      <c r="D278" s="2" t="str">
        <f t="shared" si="4"/>
        <v>var</v>
      </c>
      <c r="E278" s="2" t="b">
        <f>SET.NAME(#REF!,#REF!)</f>
        <v>0</v>
      </c>
      <c r="F278" s="2" t="b">
        <f>SET.NAME(#REF!,+F278:G278)</f>
        <v>0</v>
      </c>
      <c r="H278" s="2" t="b">
        <f>SET.NAME(#REF!,H278:I278)</f>
        <v>0</v>
      </c>
      <c r="I278" s="1">
        <v>1</v>
      </c>
      <c r="J278" s="2" t="b">
        <f>SET.NAME(#REF!,INDIRECT(J278:K278))</f>
        <v>0</v>
      </c>
      <c r="L278" s="2">
        <f>TYPE(INDEX(,SET.NAME(#REF!,OFFSET(INDEX(1,),,))))</f>
        <v>16</v>
      </c>
    </row>
    <row r="279" spans="1:12" x14ac:dyDescent="0.55000000000000004">
      <c r="A279" s="1" t="s">
        <v>1478</v>
      </c>
      <c r="B279" s="2">
        <f>COUNTIF(A:A,A279)-1</f>
        <v>0</v>
      </c>
      <c r="C279" s="2">
        <f>COUNTIF(A$1:A279,A279)-1</f>
        <v>0</v>
      </c>
      <c r="D279" s="2" t="str">
        <f t="shared" si="4"/>
        <v/>
      </c>
      <c r="E279" s="2" t="e">
        <f>CALLER()</f>
        <v>#REF!</v>
      </c>
      <c r="F279" s="2"/>
      <c r="H279" s="2"/>
      <c r="J279" s="2"/>
      <c r="L279" s="2"/>
    </row>
    <row r="280" spans="1:12" x14ac:dyDescent="0.55000000000000004">
      <c r="A280" s="1" t="s">
        <v>1562</v>
      </c>
      <c r="B280" s="2">
        <f>COUNTIF(A:A,A280)-1</f>
        <v>1</v>
      </c>
      <c r="C280" s="2">
        <f>COUNTIF(A$1:A280,A280)-1</f>
        <v>0</v>
      </c>
      <c r="D280" s="2" t="str">
        <f t="shared" si="4"/>
        <v/>
      </c>
      <c r="E280" s="2"/>
      <c r="F280" s="2"/>
      <c r="H280" s="2"/>
      <c r="J280" s="2"/>
      <c r="L280" s="2"/>
    </row>
    <row r="281" spans="1:12" x14ac:dyDescent="0.55000000000000004">
      <c r="A281" s="1" t="s">
        <v>1562</v>
      </c>
      <c r="B281" s="2">
        <f>COUNTIF(A:A,A281)-1</f>
        <v>1</v>
      </c>
      <c r="C281" s="2">
        <f>COUNTIF(A$1:A281,A281)-1</f>
        <v>1</v>
      </c>
      <c r="D281" s="2" t="str">
        <f t="shared" si="4"/>
        <v>r</v>
      </c>
      <c r="E281" s="2" t="e">
        <f>DEREF(#REF!)</f>
        <v>#REF!</v>
      </c>
      <c r="F281" s="2"/>
      <c r="H281" s="2">
        <f>DEREF(H281:I281)</f>
        <v>0</v>
      </c>
      <c r="I281" s="1">
        <v>1</v>
      </c>
      <c r="J281" s="2" t="e">
        <f>DEREF(INDIRECT(J281:K281))</f>
        <v>#REF!</v>
      </c>
      <c r="L281" s="2">
        <f>TYPE(INDEX(,DEREF(OFFSET(INDEX(1,),,))))</f>
        <v>64</v>
      </c>
    </row>
    <row r="282" spans="1:12" x14ac:dyDescent="0.55000000000000004">
      <c r="A282" s="1" t="s">
        <v>1563</v>
      </c>
      <c r="B282" s="2">
        <f>COUNTIF(A:A,A282)-1</f>
        <v>2</v>
      </c>
      <c r="C282" s="2">
        <f>COUNTIF(A$1:A282,A282)-1</f>
        <v>0</v>
      </c>
      <c r="D282" s="2" t="str">
        <f t="shared" si="4"/>
        <v/>
      </c>
      <c r="E282" s="2" t="str">
        <f>WINDOWS()</f>
        <v>MacroFu3.xlsm</v>
      </c>
      <c r="F282" s="2"/>
      <c r="H282" s="2"/>
      <c r="J282" s="2"/>
      <c r="L282" s="2"/>
    </row>
    <row r="283" spans="1:12" x14ac:dyDescent="0.55000000000000004">
      <c r="A283" s="1" t="s">
        <v>1563</v>
      </c>
      <c r="B283" s="2">
        <f>COUNTIF(A:A,A283)-1</f>
        <v>2</v>
      </c>
      <c r="C283" s="2">
        <f>COUNTIF(A$1:A283,A283)-1</f>
        <v>1</v>
      </c>
      <c r="D283" s="2" t="str">
        <f t="shared" si="4"/>
        <v>v</v>
      </c>
      <c r="E283" s="2" t="e">
        <f>WINDOWS(#REF!)</f>
        <v>#REF!</v>
      </c>
      <c r="F283" s="2" t="e">
        <f>WINDOWS(+F283:G283,#REF!)</f>
        <v>#REF!</v>
      </c>
      <c r="H283" s="2" t="e">
        <f>WINDOWS(H283:I283,#REF!)</f>
        <v>#REF!</v>
      </c>
      <c r="J283" s="2" t="e">
        <f>WINDOWS(INDIRECT(J283:K283),#REF!)</f>
        <v>#REF!</v>
      </c>
      <c r="L283" s="2">
        <f>TYPE(INDEX(,WINDOWS(OFFSET(INDEX(1,),,),#REF!)))</f>
        <v>64</v>
      </c>
    </row>
    <row r="284" spans="1:12" x14ac:dyDescent="0.55000000000000004">
      <c r="A284" s="1" t="s">
        <v>1563</v>
      </c>
      <c r="B284" s="2">
        <f>COUNTIF(A:A,A284)-1</f>
        <v>2</v>
      </c>
      <c r="C284" s="2">
        <f>COUNTIF(A$1:A284,A284)-1</f>
        <v>2</v>
      </c>
      <c r="D284" s="2" t="str">
        <f t="shared" si="4"/>
        <v>v</v>
      </c>
      <c r="E284" s="2" t="e">
        <f>WINDOWS(#REF!,#REF!)</f>
        <v>#REF!</v>
      </c>
      <c r="F284" s="2" t="e">
        <f>WINDOWS(#REF!,+F284:G284)</f>
        <v>#REF!</v>
      </c>
      <c r="H284" s="2" t="e">
        <f>WINDOWS(#REF!,H284:I284)</f>
        <v>#REF!</v>
      </c>
      <c r="J284" s="2" t="e">
        <f>WINDOWS(#REF!,INDIRECT(J284:K284))</f>
        <v>#REF!</v>
      </c>
      <c r="L284" s="2">
        <f>TYPE(INDEX(,WINDOWS(#REF!,OFFSET(INDEX(1,),,))))</f>
        <v>64</v>
      </c>
    </row>
    <row r="285" spans="1:12" x14ac:dyDescent="0.55000000000000004">
      <c r="A285" s="1" t="s">
        <v>1479</v>
      </c>
      <c r="B285" s="2">
        <f>COUNTIF(A:A,A285)-1</f>
        <v>0</v>
      </c>
      <c r="C285" s="2">
        <f>COUNTIF(A$1:A285,A285)-1</f>
        <v>0</v>
      </c>
      <c r="D285" s="2" t="str">
        <f t="shared" si="4"/>
        <v/>
      </c>
      <c r="E285" s="2"/>
      <c r="F285" s="2"/>
      <c r="H285" s="2"/>
      <c r="J285" s="2"/>
      <c r="L285" s="2"/>
    </row>
    <row r="286" spans="1:12" x14ac:dyDescent="0.55000000000000004">
      <c r="A286" s="1" t="s">
        <v>1564</v>
      </c>
      <c r="B286" s="2">
        <f>COUNTIF(A:A,A286)-1</f>
        <v>2</v>
      </c>
      <c r="C286" s="2">
        <f>COUNTIF(A$1:A286,A286)-1</f>
        <v>0</v>
      </c>
      <c r="D286" s="2" t="str">
        <f t="shared" si="4"/>
        <v/>
      </c>
      <c r="E286" s="2" t="str">
        <f>DOCUMENTS()</f>
        <v>MacroFu3.xlsm</v>
      </c>
      <c r="F286" s="2"/>
      <c r="H286" s="2"/>
      <c r="J286" s="2"/>
      <c r="L286" s="2"/>
    </row>
    <row r="287" spans="1:12" x14ac:dyDescent="0.55000000000000004">
      <c r="A287" s="1" t="s">
        <v>1564</v>
      </c>
      <c r="B287" s="2">
        <f>COUNTIF(A:A,A287)-1</f>
        <v>2</v>
      </c>
      <c r="C287" s="2">
        <f>COUNTIF(A$1:A287,A287)-1</f>
        <v>1</v>
      </c>
      <c r="D287" s="2" t="str">
        <f t="shared" si="4"/>
        <v>v</v>
      </c>
      <c r="E287" s="2" t="e">
        <f>DOCUMENTS(#REF!)</f>
        <v>#REF!</v>
      </c>
      <c r="F287" s="2" t="e">
        <f>DOCUMENTS(+F287:G287,#REF!)</f>
        <v>#REF!</v>
      </c>
      <c r="H287" s="2" t="e">
        <f>DOCUMENTS(H287:I287,#REF!)</f>
        <v>#REF!</v>
      </c>
      <c r="J287" s="2" t="e">
        <f>DOCUMENTS(INDIRECT(J287:K287),#REF!)</f>
        <v>#REF!</v>
      </c>
      <c r="L287" s="2">
        <f>TYPE(INDEX(,DOCUMENTS(OFFSET(INDEX(1,),,),#REF!)))</f>
        <v>64</v>
      </c>
    </row>
    <row r="288" spans="1:12" x14ac:dyDescent="0.55000000000000004">
      <c r="A288" s="1" t="s">
        <v>1564</v>
      </c>
      <c r="B288" s="2">
        <f>COUNTIF(A:A,A288)-1</f>
        <v>2</v>
      </c>
      <c r="C288" s="2">
        <f>COUNTIF(A$1:A288,A288)-1</f>
        <v>2</v>
      </c>
      <c r="D288" s="2" t="str">
        <f t="shared" si="4"/>
        <v>v</v>
      </c>
      <c r="E288" s="2" t="e">
        <f>DOCUMENTS(#REF!,#REF!)</f>
        <v>#REF!</v>
      </c>
      <c r="F288" s="2" t="e">
        <f>DOCUMENTS(#REF!,+F288:G288)</f>
        <v>#REF!</v>
      </c>
      <c r="H288" s="2" t="e">
        <f>DOCUMENTS(#REF!,H288:I288)</f>
        <v>#REF!</v>
      </c>
      <c r="J288" s="2" t="e">
        <f>DOCUMENTS(#REF!,INDIRECT(J288:K288))</f>
        <v>#REF!</v>
      </c>
      <c r="L288" s="2">
        <f>TYPE(INDEX(,DOCUMENTS(#REF!,OFFSET(INDEX(1,),,))))</f>
        <v>64</v>
      </c>
    </row>
    <row r="289" spans="1:12" x14ac:dyDescent="0.55000000000000004">
      <c r="A289" s="1" t="s">
        <v>1480</v>
      </c>
      <c r="B289" s="2">
        <f>COUNTIF(A:A,A289)-1</f>
        <v>0</v>
      </c>
      <c r="C289" s="2">
        <f>COUNTIF(A$1:A289,A289)-1</f>
        <v>0</v>
      </c>
      <c r="D289" s="2" t="str">
        <f t="shared" si="4"/>
        <v/>
      </c>
      <c r="E289" s="2">
        <f>ACTIVE.CELL()</f>
        <v>0</v>
      </c>
      <c r="F289" s="2"/>
      <c r="H289" s="2"/>
      <c r="J289" s="2"/>
      <c r="L289" s="2"/>
    </row>
    <row r="290" spans="1:12" x14ac:dyDescent="0.55000000000000004">
      <c r="A290" s="1" t="s">
        <v>1481</v>
      </c>
      <c r="B290" s="2">
        <f>COUNTIF(A:A,A290)-1</f>
        <v>0</v>
      </c>
      <c r="C290" s="2">
        <f>COUNTIF(A$1:A290,A290)-1</f>
        <v>0</v>
      </c>
      <c r="D290" s="2" t="str">
        <f t="shared" si="4"/>
        <v/>
      </c>
      <c r="E290" s="2">
        <f>SELECTION()</f>
        <v>0</v>
      </c>
      <c r="F290" s="2"/>
      <c r="H290" s="2"/>
      <c r="J290" s="2"/>
      <c r="L290" s="2"/>
    </row>
    <row r="291" spans="1:12" x14ac:dyDescent="0.55000000000000004">
      <c r="A291" s="1" t="s">
        <v>1565</v>
      </c>
      <c r="B291" s="2">
        <f>COUNTIF(A:A,A291)-1</f>
        <v>1</v>
      </c>
      <c r="C291" s="2">
        <f>COUNTIF(A$1:A291,A291)-1</f>
        <v>0</v>
      </c>
      <c r="D291" s="2" t="str">
        <f t="shared" si="4"/>
        <v/>
      </c>
      <c r="E291" s="2" t="b">
        <f>RESULT()</f>
        <v>0</v>
      </c>
      <c r="F291" s="2"/>
      <c r="H291" s="2"/>
      <c r="J291" s="2"/>
      <c r="L291" s="2"/>
    </row>
    <row r="292" spans="1:12" x14ac:dyDescent="0.55000000000000004">
      <c r="A292" s="1" t="s">
        <v>1565</v>
      </c>
      <c r="B292" s="2">
        <f>COUNTIF(A:A,A292)-1</f>
        <v>1</v>
      </c>
      <c r="C292" s="2">
        <f>COUNTIF(A$1:A292,A292)-1</f>
        <v>1</v>
      </c>
      <c r="D292" s="2" t="str">
        <f t="shared" si="4"/>
        <v>v</v>
      </c>
      <c r="E292" s="2" t="b">
        <f>RESULT(#REF!)</f>
        <v>0</v>
      </c>
      <c r="F292" s="2" t="b">
        <f>RESULT(+F292:G292)</f>
        <v>0</v>
      </c>
      <c r="H292" s="2" t="b">
        <f>RESULT(H292:I292)</f>
        <v>0</v>
      </c>
      <c r="J292" s="2" t="b">
        <f>RESULT(INDIRECT(J292:K292))</f>
        <v>0</v>
      </c>
      <c r="L292" s="2">
        <f>TYPE(INDEX(,RESULT(OFFSET(INDEX(1,),,))))</f>
        <v>64</v>
      </c>
    </row>
    <row r="293" spans="1:12" x14ac:dyDescent="0.55000000000000004">
      <c r="A293" s="1" t="s">
        <v>1566</v>
      </c>
      <c r="B293" s="2">
        <f>COUNTIF(A:A,A293)-1</f>
        <v>2</v>
      </c>
      <c r="C293" s="2">
        <f>COUNTIF(A$1:A293,A293)-1</f>
        <v>0</v>
      </c>
      <c r="D293" s="2" t="str">
        <f t="shared" si="4"/>
        <v/>
      </c>
      <c r="E293" s="2"/>
      <c r="F293" s="2"/>
      <c r="H293" s="2"/>
      <c r="J293" s="2"/>
      <c r="L293" s="2"/>
    </row>
    <row r="294" spans="1:12" x14ac:dyDescent="0.55000000000000004">
      <c r="A294" s="1" t="s">
        <v>1566</v>
      </c>
      <c r="B294" s="2">
        <f>COUNTIF(A:A,A294)-1</f>
        <v>2</v>
      </c>
      <c r="C294" s="2">
        <f>COUNTIF(A$1:A294,A294)-1</f>
        <v>1</v>
      </c>
      <c r="D294" s="2" t="str">
        <f t="shared" si="4"/>
        <v>v</v>
      </c>
      <c r="E294" s="2"/>
      <c r="F294" s="2" t="e">
        <f>ATAN2(+F294:G294,#REF!)</f>
        <v>#REF!</v>
      </c>
      <c r="H294" s="2" t="e">
        <f>ATAN2(H294:I294,#REF!)</f>
        <v>#REF!</v>
      </c>
      <c r="J294" s="2" t="e">
        <f>ATAN2(INDIRECT(J294:K294),#REF!)</f>
        <v>#REF!</v>
      </c>
      <c r="L294" s="2">
        <f>TYPE(INDEX(,ATAN2(OFFSET(INDEX(1,),,),#REF!)))</f>
        <v>64</v>
      </c>
    </row>
    <row r="295" spans="1:12" x14ac:dyDescent="0.55000000000000004">
      <c r="A295" s="1" t="s">
        <v>1566</v>
      </c>
      <c r="B295" s="2">
        <f>COUNTIF(A:A,A295)-1</f>
        <v>2</v>
      </c>
      <c r="C295" s="2">
        <f>COUNTIF(A$1:A295,A295)-1</f>
        <v>2</v>
      </c>
      <c r="D295" s="2" t="str">
        <f t="shared" si="4"/>
        <v>v</v>
      </c>
      <c r="E295" s="2" t="e">
        <f>ATAN2(#REF!,#REF!)</f>
        <v>#REF!</v>
      </c>
      <c r="F295" s="2" t="e">
        <f>ATAN2(#REF!,+F295:G295)</f>
        <v>#REF!</v>
      </c>
      <c r="H295" s="2" t="e">
        <f>ATAN2(#REF!,H295:I295)</f>
        <v>#REF!</v>
      </c>
      <c r="J295" s="2" t="e">
        <f>ATAN2(#REF!,INDIRECT(J295:K295))</f>
        <v>#REF!</v>
      </c>
      <c r="L295" s="2">
        <f>TYPE(INDEX(,ATAN2(#REF!,OFFSET(INDEX(1,),,))))</f>
        <v>64</v>
      </c>
    </row>
    <row r="296" spans="1:12" x14ac:dyDescent="0.55000000000000004">
      <c r="A296" s="1" t="s">
        <v>1567</v>
      </c>
      <c r="B296" s="2">
        <f>COUNTIF(A:A,A296)-1</f>
        <v>1</v>
      </c>
      <c r="C296" s="2">
        <f>COUNTIF(A$1:A296,A296)-1</f>
        <v>0</v>
      </c>
      <c r="D296" s="2" t="str">
        <f t="shared" si="4"/>
        <v/>
      </c>
      <c r="E296" s="2"/>
      <c r="F296" s="2"/>
      <c r="H296" s="2"/>
      <c r="J296" s="2"/>
      <c r="L296" s="2"/>
    </row>
    <row r="297" spans="1:12" x14ac:dyDescent="0.55000000000000004">
      <c r="A297" s="1" t="s">
        <v>1567</v>
      </c>
      <c r="B297" s="2">
        <f>COUNTIF(A:A,A297)-1</f>
        <v>1</v>
      </c>
      <c r="C297" s="2">
        <f>COUNTIF(A$1:A297,A297)-1</f>
        <v>1</v>
      </c>
      <c r="D297" s="2" t="str">
        <f t="shared" si="4"/>
        <v>v</v>
      </c>
      <c r="E297" s="2" t="e">
        <f>ASIN(#REF!)</f>
        <v>#REF!</v>
      </c>
      <c r="F297" s="2">
        <f>ASIN(+F297:G297)</f>
        <v>0</v>
      </c>
      <c r="H297" s="2">
        <f>ASIN(H297:I297)</f>
        <v>0</v>
      </c>
      <c r="J297" s="2" t="e">
        <f>ASIN(INDIRECT(J297:K297))</f>
        <v>#REF!</v>
      </c>
      <c r="L297" s="2">
        <f>TYPE(INDEX(,ASIN(OFFSET(INDEX(1,),,))))</f>
        <v>64</v>
      </c>
    </row>
    <row r="298" spans="1:12" x14ac:dyDescent="0.55000000000000004">
      <c r="A298" s="1" t="s">
        <v>1568</v>
      </c>
      <c r="B298" s="2">
        <f>COUNTIF(A:A,A298)-1</f>
        <v>1</v>
      </c>
      <c r="C298" s="2">
        <f>COUNTIF(A$1:A298,A298)-1</f>
        <v>0</v>
      </c>
      <c r="D298" s="2" t="str">
        <f t="shared" si="4"/>
        <v/>
      </c>
      <c r="E298" s="2"/>
      <c r="F298" s="2"/>
      <c r="H298" s="2"/>
      <c r="J298" s="2"/>
      <c r="L298" s="2"/>
    </row>
    <row r="299" spans="1:12" x14ac:dyDescent="0.55000000000000004">
      <c r="A299" s="1" t="s">
        <v>1568</v>
      </c>
      <c r="B299" s="2">
        <f>COUNTIF(A:A,A299)-1</f>
        <v>1</v>
      </c>
      <c r="C299" s="2">
        <f>COUNTIF(A$1:A299,A299)-1</f>
        <v>1</v>
      </c>
      <c r="D299" s="2" t="str">
        <f t="shared" si="4"/>
        <v>v</v>
      </c>
      <c r="E299" s="2" t="e">
        <f>ACOS(#REF!)</f>
        <v>#REF!</v>
      </c>
      <c r="F299" s="2">
        <f>ACOS(+F299:G299)</f>
        <v>1.5707963267948966</v>
      </c>
      <c r="H299" s="2">
        <f>ACOS(H299:I299)</f>
        <v>1.5707963267948966</v>
      </c>
      <c r="J299" s="2" t="e">
        <f>ACOS(INDIRECT(J299:K299))</f>
        <v>#REF!</v>
      </c>
      <c r="L299" s="2">
        <f>TYPE(INDEX(,ACOS(OFFSET(INDEX(1,),,))))</f>
        <v>64</v>
      </c>
    </row>
    <row r="300" spans="1:12" x14ac:dyDescent="0.55000000000000004">
      <c r="A300" s="1" t="s">
        <v>1569</v>
      </c>
      <c r="B300" s="2">
        <f>COUNTIF(A:A,A300)-1</f>
        <v>4</v>
      </c>
      <c r="C300" s="2">
        <f>COUNTIF(A$1:A300,A300)-1</f>
        <v>0</v>
      </c>
      <c r="D300" s="2" t="str">
        <f t="shared" si="4"/>
        <v/>
      </c>
      <c r="E300" s="2"/>
      <c r="F300" s="2"/>
      <c r="H300" s="2"/>
      <c r="J300" s="2"/>
      <c r="L300" s="2"/>
    </row>
    <row r="301" spans="1:12" x14ac:dyDescent="0.55000000000000004">
      <c r="A301" s="1" t="s">
        <v>1569</v>
      </c>
      <c r="B301" s="2">
        <f>COUNTIF(A:A,A301)-1</f>
        <v>4</v>
      </c>
      <c r="C301" s="2">
        <f>COUNTIF(A$1:A301,A301)-1</f>
        <v>1</v>
      </c>
      <c r="D301" s="2" t="str">
        <f t="shared" si="4"/>
        <v>va</v>
      </c>
      <c r="E301" s="2"/>
      <c r="F301" s="2" t="e">
        <f>CHOOSE(+F301:G301,#REF!,#REF!,#REF!)</f>
        <v>#VALUE!</v>
      </c>
      <c r="H301" s="2" t="e">
        <f>CHOOSE(H301:I301,#REF!,#REF!,#REF!)</f>
        <v>#VALUE!</v>
      </c>
      <c r="J301" s="2" t="e">
        <f>CHOOSE(INDIRECT(J301:K301),#REF!,#REF!,#REF!)</f>
        <v>#REF!</v>
      </c>
      <c r="L301" s="2">
        <f>TYPE(INDEX(,CHOOSE(OFFSET(INDEX(1,),,),#REF!,#REF!,#REF!)))</f>
        <v>16</v>
      </c>
    </row>
    <row r="302" spans="1:12" x14ac:dyDescent="0.55000000000000004">
      <c r="A302" s="1" t="s">
        <v>1569</v>
      </c>
      <c r="B302" s="2">
        <f>COUNTIF(A:A,A302)-1</f>
        <v>4</v>
      </c>
      <c r="C302" s="2">
        <f>COUNTIF(A$1:A302,A302)-1</f>
        <v>2</v>
      </c>
      <c r="D302" s="2" t="str">
        <f t="shared" si="4"/>
        <v>var</v>
      </c>
      <c r="E302" s="2" t="e">
        <f>CHOOSE(#REF!,#REF!)</f>
        <v>#REF!</v>
      </c>
      <c r="F302" s="2" t="e">
        <f>CHOOSE(#REF!,+F302:G302,#REF!,#REF!)</f>
        <v>#REF!</v>
      </c>
      <c r="H302" s="2" t="e">
        <f>CHOOSE(#REF!,H302:I302,#REF!,#REF!)</f>
        <v>#REF!</v>
      </c>
      <c r="I302" s="1">
        <v>1</v>
      </c>
      <c r="J302" s="2" t="e">
        <f>CHOOSE(#REF!,INDIRECT(J302:K302),#REF!,#REF!)</f>
        <v>#REF!</v>
      </c>
      <c r="L302" s="2">
        <f>TYPE(INDEX(,CHOOSE(#REF!,OFFSET(INDEX(1,),,),#REF!,#REF!)))</f>
        <v>16</v>
      </c>
    </row>
    <row r="303" spans="1:12" x14ac:dyDescent="0.55000000000000004">
      <c r="A303" s="1" t="s">
        <v>1569</v>
      </c>
      <c r="B303" s="2">
        <f>COUNTIF(A:A,A303)-1</f>
        <v>4</v>
      </c>
      <c r="C303" s="2">
        <f>COUNTIF(A$1:A303,A303)-1</f>
        <v>3</v>
      </c>
      <c r="D303" s="2" t="str">
        <f t="shared" si="4"/>
        <v>var</v>
      </c>
      <c r="E303" s="2" t="e">
        <f>CHOOSE(#REF!,#REF!,#REF!)</f>
        <v>#REF!</v>
      </c>
      <c r="F303" s="2" t="e">
        <f>CHOOSE(#REF!,#REF!,+F303:G303,#REF!)</f>
        <v>#REF!</v>
      </c>
      <c r="H303" s="2" t="e">
        <f>CHOOSE(#REF!,#REF!,H303:I303,#REF!)</f>
        <v>#REF!</v>
      </c>
      <c r="I303" s="1">
        <v>1</v>
      </c>
      <c r="J303" s="2" t="e">
        <f>CHOOSE(#REF!,#REF!,INDIRECT(J303:K303),#REF!)</f>
        <v>#REF!</v>
      </c>
      <c r="L303" s="2">
        <f>TYPE(INDEX(,CHOOSE(#REF!,#REF!,OFFSET(INDEX(1,),,),#REF!)))</f>
        <v>16</v>
      </c>
    </row>
    <row r="304" spans="1:12" x14ac:dyDescent="0.55000000000000004">
      <c r="A304" s="1" t="s">
        <v>1569</v>
      </c>
      <c r="B304" s="2">
        <f>COUNTIF(A:A,A304)-1</f>
        <v>4</v>
      </c>
      <c r="C304" s="2">
        <f>COUNTIF(A$1:A304,A304)-1</f>
        <v>4</v>
      </c>
      <c r="D304" s="2" t="str">
        <f t="shared" si="4"/>
        <v>var</v>
      </c>
      <c r="E304" s="2" t="e">
        <f>CHOOSE(#REF!,#REF!,#REF!,#REF!)</f>
        <v>#REF!</v>
      </c>
      <c r="F304" s="2" t="e">
        <f>CHOOSE(#REF!,#REF!,#REF!,+F304:G304)</f>
        <v>#REF!</v>
      </c>
      <c r="H304" s="2" t="e">
        <f>CHOOSE(#REF!,#REF!,#REF!,H304:I304)</f>
        <v>#REF!</v>
      </c>
      <c r="I304" s="1">
        <v>1</v>
      </c>
      <c r="J304" s="2" t="e">
        <f>CHOOSE(#REF!,#REF!,#REF!,INDIRECT(J304:K304))</f>
        <v>#REF!</v>
      </c>
      <c r="L304" s="2">
        <f>TYPE(INDEX(,CHOOSE(#REF!,#REF!,#REF!,OFFSET(INDEX(1,),,))))</f>
        <v>16</v>
      </c>
    </row>
    <row r="305" spans="1:12" x14ac:dyDescent="0.55000000000000004">
      <c r="A305" s="1" t="s">
        <v>1570</v>
      </c>
      <c r="B305" s="2">
        <f>COUNTIF(A:A,A305)-1</f>
        <v>4</v>
      </c>
      <c r="C305" s="2">
        <f>COUNTIF(A$1:A305,A305)-1</f>
        <v>0</v>
      </c>
      <c r="D305" s="2" t="str">
        <f t="shared" si="4"/>
        <v/>
      </c>
      <c r="E305" s="2"/>
      <c r="F305" s="2"/>
      <c r="H305" s="2"/>
      <c r="J305" s="2"/>
      <c r="L305" s="2"/>
    </row>
    <row r="306" spans="1:12" x14ac:dyDescent="0.55000000000000004">
      <c r="A306" s="1" t="s">
        <v>1570</v>
      </c>
      <c r="B306" s="2">
        <f>COUNTIF(A:A,A306)-1</f>
        <v>4</v>
      </c>
      <c r="C306" s="2">
        <f>COUNTIF(A$1:A306,A306)-1</f>
        <v>1</v>
      </c>
      <c r="D306" s="2" t="str">
        <f t="shared" si="4"/>
        <v>v</v>
      </c>
      <c r="E306" s="2"/>
      <c r="F306" s="2" t="e">
        <f>HLOOKUP(+F306:G306,#REF!,#REF!,#REF!)</f>
        <v>#REF!</v>
      </c>
      <c r="H306" s="2" t="e">
        <f>HLOOKUP(H306:I306,#REF!,#REF!,#REF!)</f>
        <v>#REF!</v>
      </c>
      <c r="J306" s="2" t="e">
        <f>HLOOKUP(INDIRECT(J306:K306),#REF!,#REF!,#REF!)</f>
        <v>#REF!</v>
      </c>
      <c r="L306" s="2">
        <f>TYPE(INDEX(,HLOOKUP(OFFSET(INDEX(1,),,),#REF!,#REF!,#REF!)))</f>
        <v>64</v>
      </c>
    </row>
    <row r="307" spans="1:12" x14ac:dyDescent="0.55000000000000004">
      <c r="A307" s="1" t="s">
        <v>1570</v>
      </c>
      <c r="B307" s="2">
        <f>COUNTIF(A:A,A307)-1</f>
        <v>4</v>
      </c>
      <c r="C307" s="2">
        <f>COUNTIF(A$1:A307,A307)-1</f>
        <v>2</v>
      </c>
      <c r="D307" s="2" t="str">
        <f t="shared" si="4"/>
        <v>var</v>
      </c>
      <c r="E307" s="2"/>
      <c r="F307" s="2" t="e">
        <f>HLOOKUP(#REF!,+F307:G307,#REF!,#REF!)</f>
        <v>#REF!</v>
      </c>
      <c r="H307" s="2" t="e">
        <f>HLOOKUP(#REF!,H307:I307,#REF!,#REF!)</f>
        <v>#REF!</v>
      </c>
      <c r="I307" s="1">
        <v>1</v>
      </c>
      <c r="J307" s="2" t="e">
        <f>HLOOKUP(#REF!,INDIRECT(J307:K307),#REF!,#REF!)</f>
        <v>#REF!</v>
      </c>
      <c r="L307" s="2">
        <f>TYPE(INDEX(,HLOOKUP(#REF!,OFFSET(INDEX(1,),,),#REF!,#REF!)))</f>
        <v>16</v>
      </c>
    </row>
    <row r="308" spans="1:12" x14ac:dyDescent="0.55000000000000004">
      <c r="A308" s="1" t="s">
        <v>1570</v>
      </c>
      <c r="B308" s="2">
        <f>COUNTIF(A:A,A308)-1</f>
        <v>4</v>
      </c>
      <c r="C308" s="2">
        <f>COUNTIF(A$1:A308,A308)-1</f>
        <v>3</v>
      </c>
      <c r="D308" s="2" t="str">
        <f t="shared" si="4"/>
        <v>var</v>
      </c>
      <c r="E308" s="2" t="e">
        <f>HLOOKUP(#REF!,#REF!,#REF!)</f>
        <v>#REF!</v>
      </c>
      <c r="F308" s="2" t="e">
        <f>HLOOKUP(#REF!,#REF!,+F308:G308,#REF!)</f>
        <v>#REF!</v>
      </c>
      <c r="H308" s="2" t="e">
        <f>HLOOKUP(#REF!,#REF!,H308:I308,#REF!)</f>
        <v>#REF!</v>
      </c>
      <c r="I308" s="1">
        <v>1</v>
      </c>
      <c r="J308" s="2" t="e">
        <f>HLOOKUP(#REF!,#REF!,INDIRECT(J308:K308),#REF!)</f>
        <v>#REF!</v>
      </c>
      <c r="L308" s="2">
        <f>TYPE(INDEX(,HLOOKUP(#REF!,#REF!,OFFSET(INDEX(1,),,),#REF!)))</f>
        <v>16</v>
      </c>
    </row>
    <row r="309" spans="1:12" x14ac:dyDescent="0.55000000000000004">
      <c r="A309" s="1" t="s">
        <v>1570</v>
      </c>
      <c r="B309" s="2">
        <f>COUNTIF(A:A,A309)-1</f>
        <v>4</v>
      </c>
      <c r="C309" s="2">
        <f>COUNTIF(A$1:A309,A309)-1</f>
        <v>4</v>
      </c>
      <c r="D309" s="2" t="str">
        <f t="shared" si="4"/>
        <v>v</v>
      </c>
      <c r="E309" s="2" t="e">
        <f>HLOOKUP(#REF!,#REF!,#REF!,#REF!)</f>
        <v>#REF!</v>
      </c>
      <c r="F309" s="2" t="e">
        <f>HLOOKUP(#REF!,#REF!,#REF!,+F309:G309)</f>
        <v>#REF!</v>
      </c>
      <c r="H309" s="2" t="e">
        <f>HLOOKUP(#REF!,#REF!,#REF!,H309:I309)</f>
        <v>#REF!</v>
      </c>
      <c r="J309" s="2" t="e">
        <f>HLOOKUP(#REF!,#REF!,#REF!,INDIRECT(J309:K309))</f>
        <v>#REF!</v>
      </c>
      <c r="L309" s="2">
        <f>TYPE(INDEX(,HLOOKUP(#REF!,#REF!,#REF!,OFFSET(INDEX(1,),,))))</f>
        <v>64</v>
      </c>
    </row>
    <row r="310" spans="1:12" x14ac:dyDescent="0.55000000000000004">
      <c r="A310" s="1" t="s">
        <v>1571</v>
      </c>
      <c r="B310" s="2">
        <f>COUNTIF(A:A,A310)-1</f>
        <v>4</v>
      </c>
      <c r="C310" s="2">
        <f>COUNTIF(A$1:A310,A310)-1</f>
        <v>0</v>
      </c>
      <c r="D310" s="2" t="str">
        <f t="shared" si="4"/>
        <v/>
      </c>
      <c r="E310" s="2"/>
      <c r="F310" s="2"/>
      <c r="H310" s="2"/>
      <c r="J310" s="2"/>
      <c r="L310" s="2"/>
    </row>
    <row r="311" spans="1:12" x14ac:dyDescent="0.55000000000000004">
      <c r="A311" s="1" t="s">
        <v>1571</v>
      </c>
      <c r="B311" s="2">
        <f>COUNTIF(A:A,A311)-1</f>
        <v>4</v>
      </c>
      <c r="C311" s="2">
        <f>COUNTIF(A$1:A311,A311)-1</f>
        <v>1</v>
      </c>
      <c r="D311" s="2" t="str">
        <f t="shared" si="4"/>
        <v>v</v>
      </c>
      <c r="E311" s="2"/>
      <c r="F311" s="2" t="e">
        <f>VLOOKUP(+F311:G311,#REF!,#REF!,#REF!)</f>
        <v>#REF!</v>
      </c>
      <c r="H311" s="2" t="e">
        <f>VLOOKUP(H311:I311,#REF!,#REF!,#REF!)</f>
        <v>#REF!</v>
      </c>
      <c r="J311" s="2" t="e">
        <f>VLOOKUP(INDIRECT(J311:K311),#REF!,#REF!,#REF!)</f>
        <v>#REF!</v>
      </c>
      <c r="L311" s="2">
        <f>TYPE(INDEX(,VLOOKUP(OFFSET(INDEX(1,),,),#REF!,#REF!,#REF!)))</f>
        <v>64</v>
      </c>
    </row>
    <row r="312" spans="1:12" x14ac:dyDescent="0.55000000000000004">
      <c r="A312" s="1" t="s">
        <v>1571</v>
      </c>
      <c r="B312" s="2">
        <f>COUNTIF(A:A,A312)-1</f>
        <v>4</v>
      </c>
      <c r="C312" s="2">
        <f>COUNTIF(A$1:A312,A312)-1</f>
        <v>2</v>
      </c>
      <c r="D312" s="2" t="str">
        <f t="shared" si="4"/>
        <v>var</v>
      </c>
      <c r="E312" s="2"/>
      <c r="F312" s="2" t="e">
        <f>VLOOKUP(#REF!,+F312:G312,#REF!,#REF!)</f>
        <v>#REF!</v>
      </c>
      <c r="H312" s="2" t="e">
        <f>VLOOKUP(#REF!,H312:I312,#REF!,#REF!)</f>
        <v>#REF!</v>
      </c>
      <c r="I312" s="1">
        <v>1</v>
      </c>
      <c r="J312" s="2" t="e">
        <f>VLOOKUP(#REF!,INDIRECT(J312:K312),#REF!,#REF!)</f>
        <v>#REF!</v>
      </c>
      <c r="L312" s="2">
        <f>TYPE(INDEX(,VLOOKUP(#REF!,OFFSET(INDEX(1,),,),#REF!,#REF!)))</f>
        <v>16</v>
      </c>
    </row>
    <row r="313" spans="1:12" x14ac:dyDescent="0.55000000000000004">
      <c r="A313" s="1" t="s">
        <v>1571</v>
      </c>
      <c r="B313" s="2">
        <f>COUNTIF(A:A,A313)-1</f>
        <v>4</v>
      </c>
      <c r="C313" s="2">
        <f>COUNTIF(A$1:A313,A313)-1</f>
        <v>3</v>
      </c>
      <c r="D313" s="2" t="str">
        <f t="shared" si="4"/>
        <v>var</v>
      </c>
      <c r="E313" s="2" t="e">
        <f>VLOOKUP(#REF!,#REF!,#REF!)</f>
        <v>#REF!</v>
      </c>
      <c r="F313" s="2" t="e">
        <f>VLOOKUP(#REF!,#REF!,+F313:G313,#REF!)</f>
        <v>#REF!</v>
      </c>
      <c r="H313" s="2" t="e">
        <f>VLOOKUP(#REF!,#REF!,H313:I313,#REF!)</f>
        <v>#REF!</v>
      </c>
      <c r="I313" s="1">
        <v>1</v>
      </c>
      <c r="J313" s="2" t="e">
        <f>VLOOKUP(#REF!,#REF!,INDIRECT(J313:K313),#REF!)</f>
        <v>#REF!</v>
      </c>
      <c r="L313" s="2">
        <f>TYPE(INDEX(,VLOOKUP(#REF!,#REF!,OFFSET(INDEX(1,),,),#REF!)))</f>
        <v>16</v>
      </c>
    </row>
    <row r="314" spans="1:12" x14ac:dyDescent="0.55000000000000004">
      <c r="A314" s="1" t="s">
        <v>1571</v>
      </c>
      <c r="B314" s="2">
        <f>COUNTIF(A:A,A314)-1</f>
        <v>4</v>
      </c>
      <c r="C314" s="2">
        <f>COUNTIF(A$1:A314,A314)-1</f>
        <v>4</v>
      </c>
      <c r="D314" s="2" t="str">
        <f t="shared" si="4"/>
        <v>v</v>
      </c>
      <c r="E314" s="2" t="e">
        <f>VLOOKUP(#REF!,#REF!,#REF!,#REF!)</f>
        <v>#REF!</v>
      </c>
      <c r="F314" s="2" t="e">
        <f>VLOOKUP(#REF!,#REF!,#REF!,+F314:G314)</f>
        <v>#REF!</v>
      </c>
      <c r="H314" s="2" t="e">
        <f>VLOOKUP(#REF!,#REF!,#REF!,H314:I314)</f>
        <v>#REF!</v>
      </c>
      <c r="J314" s="2" t="e">
        <f>VLOOKUP(#REF!,#REF!,#REF!,INDIRECT(J314:K314))</f>
        <v>#REF!</v>
      </c>
      <c r="L314" s="2">
        <f>TYPE(INDEX(,VLOOKUP(#REF!,#REF!,#REF!,OFFSET(INDEX(1,),,))))</f>
        <v>64</v>
      </c>
    </row>
    <row r="315" spans="1:12" x14ac:dyDescent="0.55000000000000004">
      <c r="A315" s="1" t="s">
        <v>1572</v>
      </c>
      <c r="B315" s="2">
        <f>COUNTIF(A:A,A315)-1</f>
        <v>2</v>
      </c>
      <c r="C315" s="2">
        <f>COUNTIF(A$1:A315,A315)-1</f>
        <v>0</v>
      </c>
      <c r="D315" s="2" t="str">
        <f t="shared" si="4"/>
        <v/>
      </c>
      <c r="E315" s="2" t="e">
        <f>LINKS()</f>
        <v>#N/A</v>
      </c>
      <c r="F315" s="2"/>
      <c r="H315" s="2"/>
      <c r="J315" s="2"/>
      <c r="L315" s="2"/>
    </row>
    <row r="316" spans="1:12" x14ac:dyDescent="0.55000000000000004">
      <c r="A316" s="1" t="s">
        <v>1572</v>
      </c>
      <c r="B316" s="2">
        <f>COUNTIF(A:A,A316)-1</f>
        <v>2</v>
      </c>
      <c r="C316" s="2">
        <f>COUNTIF(A$1:A316,A316)-1</f>
        <v>1</v>
      </c>
      <c r="D316" s="2" t="str">
        <f t="shared" si="4"/>
        <v>v</v>
      </c>
      <c r="E316" s="2" t="e">
        <f>LINKS(#REF!)</f>
        <v>#REF!</v>
      </c>
      <c r="F316" s="2" t="e">
        <f>LINKS(+F316:G316,#REF!)</f>
        <v>#REF!</v>
      </c>
      <c r="H316" s="2" t="e">
        <f>LINKS(H316:I316,#REF!)</f>
        <v>#REF!</v>
      </c>
      <c r="J316" s="2" t="e">
        <f>LINKS(INDIRECT(J316:K316),#REF!)</f>
        <v>#REF!</v>
      </c>
      <c r="L316" s="2">
        <f>TYPE(INDEX(,LINKS(OFFSET(INDEX(1,),,),#REF!)))</f>
        <v>64</v>
      </c>
    </row>
    <row r="317" spans="1:12" x14ac:dyDescent="0.55000000000000004">
      <c r="A317" s="1" t="s">
        <v>1572</v>
      </c>
      <c r="B317" s="2">
        <f>COUNTIF(A:A,A317)-1</f>
        <v>2</v>
      </c>
      <c r="C317" s="2">
        <f>COUNTIF(A$1:A317,A317)-1</f>
        <v>2</v>
      </c>
      <c r="D317" s="2" t="str">
        <f t="shared" si="4"/>
        <v>v</v>
      </c>
      <c r="E317" s="2" t="e">
        <f>LINKS(#REF!,#REF!)</f>
        <v>#REF!</v>
      </c>
      <c r="F317" s="2" t="e">
        <f>LINKS(#REF!,+F317:G317)</f>
        <v>#REF!</v>
      </c>
      <c r="H317" s="2" t="e">
        <f>LINKS(#REF!,H317:I317)</f>
        <v>#REF!</v>
      </c>
      <c r="J317" s="2" t="e">
        <f>LINKS(#REF!,INDIRECT(J317:K317))</f>
        <v>#REF!</v>
      </c>
      <c r="L317" s="2">
        <f>TYPE(INDEX(,LINKS(#REF!,OFFSET(INDEX(1,),,))))</f>
        <v>64</v>
      </c>
    </row>
    <row r="318" spans="1:12" x14ac:dyDescent="0.55000000000000004">
      <c r="A318" s="1" t="s">
        <v>1573</v>
      </c>
      <c r="B318" s="2">
        <f>COUNTIF(A:A,A318)-1</f>
        <v>7</v>
      </c>
      <c r="C318" s="2">
        <f>COUNTIF(A$1:A318,A318)-1</f>
        <v>0</v>
      </c>
      <c r="D318" s="2" t="str">
        <f t="shared" si="4"/>
        <v/>
      </c>
      <c r="E318" s="2"/>
      <c r="F318" s="2"/>
      <c r="H318" s="2"/>
      <c r="J318" s="2"/>
      <c r="L318" s="2"/>
    </row>
    <row r="319" spans="1:12" x14ac:dyDescent="0.55000000000000004">
      <c r="A319" s="1" t="s">
        <v>1573</v>
      </c>
      <c r="B319" s="2">
        <f>COUNTIF(A:A,A319)-1</f>
        <v>7</v>
      </c>
      <c r="C319" s="2">
        <f>COUNTIF(A$1:A319,A319)-1</f>
        <v>1</v>
      </c>
      <c r="D319" s="2" t="str">
        <f t="shared" si="4"/>
        <v>v</v>
      </c>
      <c r="E319" s="2" t="e">
        <f>INPUT(#REF!)</f>
        <v>#REF!</v>
      </c>
      <c r="F319" s="2" t="e">
        <f>INPUT(+F319:G319,#REF!,#REF!,#REF!,#REF!,#REF!,#REF!)</f>
        <v>#REF!</v>
      </c>
      <c r="H319" s="2" t="e">
        <f>INPUT(H319:I319,#REF!,#REF!,#REF!,#REF!,#REF!,#REF!)</f>
        <v>#REF!</v>
      </c>
      <c r="J319" s="2" t="e">
        <f>INPUT(INDIRECT(J319:K319),#REF!,#REF!,#REF!,#REF!,#REF!,#REF!)</f>
        <v>#REF!</v>
      </c>
      <c r="L319" s="2">
        <f>TYPE(INDEX(,INPUT(OFFSET(INDEX(1,),,),#REF!,#REF!,#REF!,#REF!,#REF!,#REF!)))</f>
        <v>64</v>
      </c>
    </row>
    <row r="320" spans="1:12" x14ac:dyDescent="0.55000000000000004">
      <c r="A320" s="1" t="s">
        <v>1573</v>
      </c>
      <c r="B320" s="2">
        <f>COUNTIF(A:A,A320)-1</f>
        <v>7</v>
      </c>
      <c r="C320" s="2">
        <f>COUNTIF(A$1:A320,A320)-1</f>
        <v>2</v>
      </c>
      <c r="D320" s="2" t="str">
        <f t="shared" si="4"/>
        <v>v</v>
      </c>
      <c r="E320" s="2" t="e">
        <f>INPUT(#REF!,#REF!)</f>
        <v>#REF!</v>
      </c>
      <c r="F320" s="2" t="e">
        <f>INPUT(#REF!,+F320:G320,#REF!,#REF!,#REF!,#REF!,#REF!)</f>
        <v>#REF!</v>
      </c>
      <c r="H320" s="2" t="e">
        <f>INPUT(#REF!,H320:I320,#REF!,#REF!,#REF!,#REF!,#REF!)</f>
        <v>#REF!</v>
      </c>
      <c r="J320" s="2" t="e">
        <f>INPUT(#REF!,INDIRECT(J320:K320),#REF!,#REF!,#REF!,#REF!,#REF!)</f>
        <v>#REF!</v>
      </c>
      <c r="L320" s="2">
        <f>TYPE(INDEX(,INPUT(#REF!,OFFSET(INDEX(1,),,),#REF!,#REF!,#REF!,#REF!,#REF!)))</f>
        <v>64</v>
      </c>
    </row>
    <row r="321" spans="1:12" x14ac:dyDescent="0.55000000000000004">
      <c r="A321" s="1" t="s">
        <v>1573</v>
      </c>
      <c r="B321" s="2">
        <f>COUNTIF(A:A,A321)-1</f>
        <v>7</v>
      </c>
      <c r="C321" s="2">
        <f>COUNTIF(A$1:A321,A321)-1</f>
        <v>3</v>
      </c>
      <c r="D321" s="2" t="str">
        <f t="shared" si="4"/>
        <v>v</v>
      </c>
      <c r="E321" s="2" t="e">
        <f>INPUT(#REF!,#REF!,#REF!)</f>
        <v>#REF!</v>
      </c>
      <c r="F321" s="2" t="e">
        <f>INPUT(#REF!,#REF!,+F321:G321,#REF!,#REF!,#REF!,#REF!)</f>
        <v>#REF!</v>
      </c>
      <c r="H321" s="2" t="e">
        <f>INPUT(#REF!,#REF!,H321:I321,#REF!,#REF!,#REF!,#REF!)</f>
        <v>#REF!</v>
      </c>
      <c r="J321" s="2" t="e">
        <f>INPUT(#REF!,#REF!,INDIRECT(J321:K321),#REF!,#REF!,#REF!,#REF!)</f>
        <v>#REF!</v>
      </c>
      <c r="L321" s="2">
        <f>TYPE(INDEX(,INPUT(#REF!,#REF!,OFFSET(INDEX(1,),,),#REF!,#REF!,#REF!,#REF!)))</f>
        <v>64</v>
      </c>
    </row>
    <row r="322" spans="1:12" x14ac:dyDescent="0.55000000000000004">
      <c r="A322" s="1" t="s">
        <v>1573</v>
      </c>
      <c r="B322" s="2">
        <f>COUNTIF(A:A,A322)-1</f>
        <v>7</v>
      </c>
      <c r="C322" s="2">
        <f>COUNTIF(A$1:A322,A322)-1</f>
        <v>4</v>
      </c>
      <c r="D322" s="2" t="str">
        <f t="shared" ref="D322:D385" si="5">IF(C322&gt;0,IF(COUNTA(F322:G322)=1,"v",)&amp;IF(L322=64,,"a")&amp;IF(COUNTA(I322,K322)=1,"r",),"")</f>
        <v>v</v>
      </c>
      <c r="E322" s="2" t="e">
        <f>INPUT(#REF!,#REF!,#REF!,#REF!)</f>
        <v>#REF!</v>
      </c>
      <c r="F322" s="2" t="e">
        <f>INPUT(#REF!,#REF!,#REF!,+F322:G322,#REF!,#REF!,#REF!)</f>
        <v>#REF!</v>
      </c>
      <c r="H322" s="2" t="e">
        <f>INPUT(#REF!,#REF!,#REF!,H322:I322,#REF!,#REF!,#REF!)</f>
        <v>#REF!</v>
      </c>
      <c r="J322" s="2" t="e">
        <f>INPUT(#REF!,#REF!,#REF!,INDIRECT(J322:K322),#REF!,#REF!,#REF!)</f>
        <v>#REF!</v>
      </c>
      <c r="L322" s="2">
        <f>TYPE(INDEX(,INPUT(#REF!,#REF!,#REF!,OFFSET(INDEX(1,),,),#REF!,#REF!,#REF!)))</f>
        <v>64</v>
      </c>
    </row>
    <row r="323" spans="1:12" x14ac:dyDescent="0.55000000000000004">
      <c r="A323" s="1" t="s">
        <v>1573</v>
      </c>
      <c r="B323" s="2">
        <f>COUNTIF(A:A,A323)-1</f>
        <v>7</v>
      </c>
      <c r="C323" s="2">
        <f>COUNTIF(A$1:A323,A323)-1</f>
        <v>5</v>
      </c>
      <c r="D323" s="2" t="str">
        <f t="shared" si="5"/>
        <v>v</v>
      </c>
      <c r="E323" s="2" t="e">
        <f>INPUT(#REF!,#REF!,#REF!,#REF!,#REF!)</f>
        <v>#REF!</v>
      </c>
      <c r="F323" s="2" t="e">
        <f>INPUT(#REF!,#REF!,#REF!,#REF!,+F323:G323,#REF!,#REF!)</f>
        <v>#REF!</v>
      </c>
      <c r="H323" s="2" t="e">
        <f>INPUT(#REF!,#REF!,#REF!,#REF!,H323:I323,#REF!,#REF!)</f>
        <v>#REF!</v>
      </c>
      <c r="J323" s="2" t="e">
        <f>INPUT(#REF!,#REF!,#REF!,#REF!,INDIRECT(J323:K323),#REF!,#REF!)</f>
        <v>#REF!</v>
      </c>
      <c r="L323" s="2">
        <f>TYPE(INDEX(,INPUT(#REF!,#REF!,#REF!,#REF!,OFFSET(INDEX(1,),,),#REF!,#REF!)))</f>
        <v>64</v>
      </c>
    </row>
    <row r="324" spans="1:12" x14ac:dyDescent="0.55000000000000004">
      <c r="A324" s="1" t="s">
        <v>1573</v>
      </c>
      <c r="B324" s="2">
        <f>COUNTIF(A:A,A324)-1</f>
        <v>7</v>
      </c>
      <c r="C324" s="2">
        <f>COUNTIF(A$1:A324,A324)-1</f>
        <v>6</v>
      </c>
      <c r="D324" s="2" t="str">
        <f t="shared" si="5"/>
        <v>v</v>
      </c>
      <c r="E324" s="2" t="e">
        <f>INPUT(#REF!,#REF!,#REF!,#REF!,#REF!,#REF!)</f>
        <v>#REF!</v>
      </c>
      <c r="F324" s="2" t="e">
        <f>INPUT(#REF!,#REF!,#REF!,#REF!,#REF!,+F324:G324,#REF!)</f>
        <v>#REF!</v>
      </c>
      <c r="H324" s="2" t="e">
        <f>INPUT(#REF!,#REF!,#REF!,#REF!,#REF!,H324:I324,#REF!)</f>
        <v>#REF!</v>
      </c>
      <c r="J324" s="2" t="e">
        <f>INPUT(#REF!,#REF!,#REF!,#REF!,#REF!,INDIRECT(J324:K324),#REF!)</f>
        <v>#REF!</v>
      </c>
      <c r="L324" s="2">
        <f>TYPE(INDEX(,INPUT(#REF!,#REF!,#REF!,#REF!,#REF!,OFFSET(INDEX(1,),,),#REF!)))</f>
        <v>64</v>
      </c>
    </row>
    <row r="325" spans="1:12" x14ac:dyDescent="0.55000000000000004">
      <c r="A325" s="1" t="s">
        <v>1573</v>
      </c>
      <c r="B325" s="2">
        <f>COUNTIF(A:A,A325)-1</f>
        <v>7</v>
      </c>
      <c r="C325" s="2">
        <f>COUNTIF(A$1:A325,A325)-1</f>
        <v>7</v>
      </c>
      <c r="D325" s="2" t="str">
        <f t="shared" si="5"/>
        <v>v</v>
      </c>
      <c r="E325" s="2" t="e">
        <f>INPUT(#REF!,#REF!,#REF!,#REF!,#REF!,#REF!,#REF!)</f>
        <v>#REF!</v>
      </c>
      <c r="F325" s="2" t="e">
        <f>INPUT(#REF!,#REF!,#REF!,#REF!,#REF!,#REF!,+F325:G325)</f>
        <v>#REF!</v>
      </c>
      <c r="H325" s="2" t="e">
        <f>INPUT(#REF!,#REF!,#REF!,#REF!,#REF!,#REF!,H325:I325)</f>
        <v>#REF!</v>
      </c>
      <c r="J325" s="2" t="e">
        <f>INPUT(#REF!,#REF!,#REF!,#REF!,#REF!,#REF!,INDIRECT(J325:K325))</f>
        <v>#REF!</v>
      </c>
      <c r="L325" s="2">
        <f>TYPE(INDEX(,INPUT(#REF!,#REF!,#REF!,#REF!,#REF!,#REF!,OFFSET(INDEX(1,),,))))</f>
        <v>64</v>
      </c>
    </row>
    <row r="326" spans="1:12" x14ac:dyDescent="0.55000000000000004">
      <c r="A326" s="1" t="s">
        <v>1574</v>
      </c>
      <c r="B326" s="2">
        <f>COUNTIF(A:A,A326)-1</f>
        <v>1</v>
      </c>
      <c r="C326" s="2">
        <f>COUNTIF(A$1:A326,A326)-1</f>
        <v>0</v>
      </c>
      <c r="D326" s="2" t="str">
        <f t="shared" si="5"/>
        <v/>
      </c>
      <c r="E326" s="2"/>
      <c r="F326" s="2"/>
      <c r="H326" s="2"/>
      <c r="J326" s="2"/>
      <c r="L326" s="2"/>
    </row>
    <row r="327" spans="1:12" x14ac:dyDescent="0.55000000000000004">
      <c r="A327" s="1" t="s">
        <v>1574</v>
      </c>
      <c r="B327" s="2">
        <f>COUNTIF(A:A,A327)-1</f>
        <v>1</v>
      </c>
      <c r="C327" s="2">
        <f>COUNTIF(A$1:A327,A327)-1</f>
        <v>1</v>
      </c>
      <c r="D327" s="2" t="str">
        <f t="shared" si="5"/>
        <v>var</v>
      </c>
      <c r="E327" s="2" t="b">
        <f>ISREF(#REF!)</f>
        <v>0</v>
      </c>
      <c r="F327" s="2" t="b">
        <f>ISREF(+F327:G327)</f>
        <v>0</v>
      </c>
      <c r="H327" s="2" t="b">
        <f>ISREF(H327:I327)</f>
        <v>1</v>
      </c>
      <c r="I327" s="1">
        <v>1</v>
      </c>
      <c r="J327" s="2" t="b">
        <f>ISREF(INDIRECT(J327:K327))</f>
        <v>0</v>
      </c>
      <c r="L327" s="2">
        <f>TYPE(INDEX(,ISREF(OFFSET(INDEX(1,),,))))</f>
        <v>16</v>
      </c>
    </row>
    <row r="328" spans="1:12" x14ac:dyDescent="0.55000000000000004">
      <c r="A328" s="1" t="s">
        <v>1575</v>
      </c>
      <c r="B328" s="2">
        <f>COUNTIF(A:A,A328)-1</f>
        <v>1</v>
      </c>
      <c r="C328" s="2">
        <f>COUNTIF(A$1:A328,A328)-1</f>
        <v>0</v>
      </c>
      <c r="D328" s="2" t="str">
        <f t="shared" si="5"/>
        <v/>
      </c>
      <c r="E328" s="2"/>
      <c r="F328" s="2"/>
      <c r="H328" s="2"/>
      <c r="J328" s="2"/>
      <c r="L328" s="2"/>
    </row>
    <row r="329" spans="1:12" x14ac:dyDescent="0.55000000000000004">
      <c r="A329" s="1" t="s">
        <v>1575</v>
      </c>
      <c r="B329" s="2">
        <f>COUNTIF(A:A,A329)-1</f>
        <v>1</v>
      </c>
      <c r="C329" s="2">
        <f>COUNTIF(A$1:A329,A329)-1</f>
        <v>1</v>
      </c>
      <c r="D329" s="2" t="str">
        <f t="shared" si="5"/>
        <v>vr</v>
      </c>
      <c r="E329" s="2" t="e">
        <f>GET.FORMULA(#REF!)</f>
        <v>#REF!</v>
      </c>
      <c r="F329" s="2" t="e">
        <f>GET.FORMULA(+F329:G329)</f>
        <v>#VALUE!</v>
      </c>
      <c r="H329" s="2" t="str">
        <f>GET.FORMULA(H329:I329)</f>
        <v>=GET.FORMULA(RC:RC[1])</v>
      </c>
      <c r="I329" s="1">
        <v>1</v>
      </c>
      <c r="J329" s="2" t="e">
        <f>GET.FORMULA(INDIRECT(J329:K329))</f>
        <v>#REF!</v>
      </c>
      <c r="L329" s="2">
        <f>TYPE(INDEX(,GET.FORMULA(OFFSET(INDEX(1,),,))))</f>
        <v>64</v>
      </c>
    </row>
    <row r="330" spans="1:12" x14ac:dyDescent="0.55000000000000004">
      <c r="A330" s="1" t="s">
        <v>1576</v>
      </c>
      <c r="B330" s="2">
        <f>COUNTIF(A:A,A330)-1</f>
        <v>2</v>
      </c>
      <c r="C330" s="2">
        <f>COUNTIF(A$1:A330,A330)-1</f>
        <v>0</v>
      </c>
      <c r="D330" s="2" t="str">
        <f t="shared" si="5"/>
        <v/>
      </c>
      <c r="E330" s="2"/>
      <c r="F330" s="2"/>
      <c r="H330" s="2"/>
      <c r="J330" s="2"/>
      <c r="L330" s="2"/>
    </row>
    <row r="331" spans="1:12" x14ac:dyDescent="0.55000000000000004">
      <c r="A331" s="1" t="s">
        <v>1576</v>
      </c>
      <c r="B331" s="2">
        <f>COUNTIF(A:A,A331)-1</f>
        <v>2</v>
      </c>
      <c r="C331" s="2">
        <f>COUNTIF(A$1:A331,A331)-1</f>
        <v>1</v>
      </c>
      <c r="D331" s="2" t="str">
        <f t="shared" si="5"/>
        <v>v</v>
      </c>
      <c r="E331" s="2" t="e">
        <f>GET.NAME(#REF!)</f>
        <v>#REF!</v>
      </c>
      <c r="F331" s="2" t="e">
        <f>GET.NAME(+F331:G331,#REF!)</f>
        <v>#REF!</v>
      </c>
      <c r="H331" s="2" t="e">
        <f>GET.NAME(H331:I331,#REF!)</f>
        <v>#REF!</v>
      </c>
      <c r="J331" s="2" t="e">
        <f>GET.NAME(INDIRECT(J331:K331),#REF!)</f>
        <v>#REF!</v>
      </c>
      <c r="L331" s="2">
        <f>TYPE(INDEX(,GET.NAME(OFFSET(INDEX(1,),,),#REF!)))</f>
        <v>64</v>
      </c>
    </row>
    <row r="332" spans="1:12" x14ac:dyDescent="0.55000000000000004">
      <c r="A332" s="1" t="s">
        <v>1576</v>
      </c>
      <c r="B332" s="2">
        <f>COUNTIF(A:A,A332)-1</f>
        <v>2</v>
      </c>
      <c r="C332" s="2">
        <f>COUNTIF(A$1:A332,A332)-1</f>
        <v>2</v>
      </c>
      <c r="D332" s="2" t="str">
        <f t="shared" si="5"/>
        <v>v</v>
      </c>
      <c r="E332" s="2" t="e">
        <f>GET.NAME(#REF!,#REF!)</f>
        <v>#REF!</v>
      </c>
      <c r="F332" s="2" t="e">
        <f>GET.NAME(#REF!,+F332:G332)</f>
        <v>#REF!</v>
      </c>
      <c r="H332" s="2" t="e">
        <f>GET.NAME(#REF!,H332:I332)</f>
        <v>#REF!</v>
      </c>
      <c r="J332" s="2" t="e">
        <f>GET.NAME(#REF!,INDIRECT(J332:K332))</f>
        <v>#REF!</v>
      </c>
      <c r="L332" s="2">
        <f>TYPE(INDEX(,GET.NAME(#REF!,OFFSET(INDEX(1,),,))))</f>
        <v>64</v>
      </c>
    </row>
    <row r="333" spans="1:12" x14ac:dyDescent="0.55000000000000004">
      <c r="A333" s="1" t="s">
        <v>1577</v>
      </c>
      <c r="B333" s="2">
        <f>COUNTIF(A:A,A333)-1</f>
        <v>2</v>
      </c>
      <c r="C333" s="2">
        <f>COUNTIF(A$1:A333,A333)-1</f>
        <v>0</v>
      </c>
      <c r="D333" s="2" t="str">
        <f t="shared" si="5"/>
        <v/>
      </c>
      <c r="E333" s="2"/>
      <c r="F333" s="2"/>
      <c r="H333" s="2"/>
      <c r="J333" s="2"/>
      <c r="L333" s="2"/>
    </row>
    <row r="334" spans="1:12" x14ac:dyDescent="0.55000000000000004">
      <c r="A334" s="1" t="s">
        <v>1577</v>
      </c>
      <c r="B334" s="2">
        <f>COUNTIF(A:A,A334)-1</f>
        <v>2</v>
      </c>
      <c r="C334" s="2">
        <f>COUNTIF(A$1:A334,A334)-1</f>
        <v>1</v>
      </c>
      <c r="D334" s="2" t="str">
        <f t="shared" si="5"/>
        <v>r</v>
      </c>
      <c r="E334" s="2"/>
      <c r="F334" s="2"/>
      <c r="H334" s="2" t="b">
        <f>SET.VALUE(H334:I334,#REF!)</f>
        <v>0</v>
      </c>
      <c r="I334" s="1">
        <v>1</v>
      </c>
      <c r="J334" s="2" t="b">
        <f>SET.VALUE(INDIRECT(J334:K334),#REF!)</f>
        <v>0</v>
      </c>
      <c r="L334" s="2">
        <f>TYPE(INDEX(,SET.VALUE(OFFSET(INDEX(1,),,),#REF!)))</f>
        <v>64</v>
      </c>
    </row>
    <row r="335" spans="1:12" x14ac:dyDescent="0.55000000000000004">
      <c r="A335" s="1" t="s">
        <v>1577</v>
      </c>
      <c r="B335" s="2">
        <f>COUNTIF(A:A,A335)-1</f>
        <v>2</v>
      </c>
      <c r="C335" s="2">
        <f>COUNTIF(A$1:A335,A335)-1</f>
        <v>2</v>
      </c>
      <c r="D335" s="2" t="str">
        <f t="shared" si="5"/>
        <v>va</v>
      </c>
      <c r="E335" s="2" t="b">
        <f>SET.VALUE(#REF!,#REF!)</f>
        <v>0</v>
      </c>
      <c r="F335" s="2" t="b">
        <f>SET.VALUE(#REF!,+F335:G335)</f>
        <v>0</v>
      </c>
      <c r="H335" s="2" t="b">
        <f>SET.VALUE(#REF!,H335:I335)</f>
        <v>0</v>
      </c>
      <c r="J335" s="2" t="b">
        <f>SET.VALUE(#REF!,INDIRECT(J335:K335))</f>
        <v>0</v>
      </c>
      <c r="L335" s="2">
        <f>TYPE(INDEX(,SET.VALUE(#REF!,OFFSET(INDEX(1,),,))))</f>
        <v>16</v>
      </c>
    </row>
    <row r="336" spans="1:12" x14ac:dyDescent="0.55000000000000004">
      <c r="A336" s="1" t="s">
        <v>1578</v>
      </c>
      <c r="B336" s="2">
        <f>COUNTIF(A:A,A336)-1</f>
        <v>2</v>
      </c>
      <c r="C336" s="2">
        <f>COUNTIF(A$1:A336,A336)-1</f>
        <v>0</v>
      </c>
      <c r="D336" s="2" t="str">
        <f t="shared" si="5"/>
        <v/>
      </c>
      <c r="E336" s="2"/>
      <c r="F336" s="2"/>
      <c r="H336" s="2"/>
      <c r="J336" s="2"/>
      <c r="L336" s="2"/>
    </row>
    <row r="337" spans="1:12" x14ac:dyDescent="0.55000000000000004">
      <c r="A337" s="1" t="s">
        <v>1578</v>
      </c>
      <c r="B337" s="2">
        <f>COUNTIF(A:A,A337)-1</f>
        <v>2</v>
      </c>
      <c r="C337" s="2">
        <f>COUNTIF(A$1:A337,A337)-1</f>
        <v>1</v>
      </c>
      <c r="D337" s="2" t="str">
        <f t="shared" si="5"/>
        <v>v</v>
      </c>
      <c r="E337" s="2" t="e">
        <f>LOG(#REF!)</f>
        <v>#REF!</v>
      </c>
      <c r="F337" s="2" t="e">
        <f>LOG(+F337:G337,#REF!)</f>
        <v>#REF!</v>
      </c>
      <c r="H337" s="2" t="e">
        <f>LOG(H337:I337,#REF!)</f>
        <v>#REF!</v>
      </c>
      <c r="J337" s="2" t="e">
        <f>LOG(INDIRECT(J337:K337),#REF!)</f>
        <v>#REF!</v>
      </c>
      <c r="L337" s="2">
        <f>TYPE(INDEX(,LOG(OFFSET(INDEX(1,),,),#REF!)))</f>
        <v>64</v>
      </c>
    </row>
    <row r="338" spans="1:12" x14ac:dyDescent="0.55000000000000004">
      <c r="A338" s="1" t="s">
        <v>1578</v>
      </c>
      <c r="B338" s="2">
        <f>COUNTIF(A:A,A338)-1</f>
        <v>2</v>
      </c>
      <c r="C338" s="2">
        <f>COUNTIF(A$1:A338,A338)-1</f>
        <v>2</v>
      </c>
      <c r="D338" s="2" t="str">
        <f t="shared" si="5"/>
        <v>v</v>
      </c>
      <c r="E338" s="2" t="e">
        <f>LOG(#REF!,#REF!)</f>
        <v>#REF!</v>
      </c>
      <c r="F338" s="2" t="e">
        <f>LOG(#REF!,+F338:G338)</f>
        <v>#REF!</v>
      </c>
      <c r="H338" s="2" t="e">
        <f>LOG(#REF!,H338:I338)</f>
        <v>#REF!</v>
      </c>
      <c r="J338" s="2" t="e">
        <f>LOG(#REF!,INDIRECT(J338:K338))</f>
        <v>#REF!</v>
      </c>
      <c r="L338" s="2">
        <f>TYPE(INDEX(,LOG(#REF!,OFFSET(INDEX(1,),,))))</f>
        <v>64</v>
      </c>
    </row>
    <row r="339" spans="1:12" x14ac:dyDescent="0.55000000000000004">
      <c r="A339" s="1" t="s">
        <v>1579</v>
      </c>
      <c r="B339" s="2">
        <f>COUNTIF(A:A,A339)-1</f>
        <v>2</v>
      </c>
      <c r="C339" s="2">
        <f>COUNTIF(A$1:A339,A339)-1</f>
        <v>0</v>
      </c>
      <c r="D339" s="2" t="str">
        <f t="shared" si="5"/>
        <v/>
      </c>
      <c r="E339" s="2"/>
      <c r="F339" s="2"/>
      <c r="H339" s="2"/>
      <c r="J339" s="2"/>
      <c r="L339" s="2"/>
    </row>
    <row r="340" spans="1:12" x14ac:dyDescent="0.55000000000000004">
      <c r="A340" s="1" t="s">
        <v>1579</v>
      </c>
      <c r="B340" s="2">
        <f>COUNTIF(A:A,A340)-1</f>
        <v>2</v>
      </c>
      <c r="C340" s="2">
        <f>COUNTIF(A$1:A340,A340)-1</f>
        <v>1</v>
      </c>
      <c r="D340" s="2" t="str">
        <f t="shared" si="5"/>
        <v>v</v>
      </c>
      <c r="E340" s="2" t="e">
        <f>EXEC(#REF!)</f>
        <v>#REF!</v>
      </c>
      <c r="F340" s="2" t="e">
        <f>EXEC(+F340:G340,#REF!)</f>
        <v>#REF!</v>
      </c>
      <c r="H340" s="2" t="e">
        <f>EXEC(H340:I340,#REF!)</f>
        <v>#REF!</v>
      </c>
      <c r="J340" s="2" t="e">
        <f>EXEC(INDIRECT(J340:K340),#REF!)</f>
        <v>#REF!</v>
      </c>
      <c r="L340" s="2">
        <f>TYPE(INDEX(,EXEC(OFFSET(INDEX(1,),,),#REF!)))</f>
        <v>64</v>
      </c>
    </row>
    <row r="341" spans="1:12" x14ac:dyDescent="0.55000000000000004">
      <c r="A341" s="1" t="s">
        <v>1579</v>
      </c>
      <c r="B341" s="2">
        <f>COUNTIF(A:A,A341)-1</f>
        <v>2</v>
      </c>
      <c r="C341" s="2">
        <f>COUNTIF(A$1:A341,A341)-1</f>
        <v>2</v>
      </c>
      <c r="D341" s="2" t="str">
        <f t="shared" si="5"/>
        <v>v</v>
      </c>
      <c r="E341" s="2" t="e">
        <f>EXEC(#REF!,#REF!)</f>
        <v>#REF!</v>
      </c>
      <c r="F341" s="2" t="e">
        <f>EXEC(#REF!,+F341:G341)</f>
        <v>#REF!</v>
      </c>
      <c r="H341" s="2" t="e">
        <f>EXEC(#REF!,H341:I341)</f>
        <v>#REF!</v>
      </c>
      <c r="J341" s="2" t="e">
        <f>EXEC(#REF!,INDIRECT(J341:K341))</f>
        <v>#REF!</v>
      </c>
      <c r="L341" s="2">
        <f>TYPE(INDEX(,EXEC(#REF!,OFFSET(INDEX(1,),,))))</f>
        <v>64</v>
      </c>
    </row>
    <row r="342" spans="1:12" x14ac:dyDescent="0.55000000000000004">
      <c r="A342" s="1" t="s">
        <v>1580</v>
      </c>
      <c r="B342" s="2">
        <f>COUNTIF(A:A,A342)-1</f>
        <v>1</v>
      </c>
      <c r="C342" s="2">
        <f>COUNTIF(A$1:A342,A342)-1</f>
        <v>0</v>
      </c>
      <c r="D342" s="2" t="str">
        <f t="shared" si="5"/>
        <v/>
      </c>
      <c r="E342" s="2"/>
      <c r="F342" s="2"/>
      <c r="H342" s="2"/>
      <c r="J342" s="2"/>
      <c r="L342" s="2"/>
    </row>
    <row r="343" spans="1:12" x14ac:dyDescent="0.55000000000000004">
      <c r="A343" s="1" t="s">
        <v>1580</v>
      </c>
      <c r="B343" s="2">
        <f>COUNTIF(A:A,A343)-1</f>
        <v>1</v>
      </c>
      <c r="C343" s="2">
        <f>COUNTIF(A$1:A343,A343)-1</f>
        <v>1</v>
      </c>
      <c r="D343" s="2" t="str">
        <f t="shared" si="5"/>
        <v>v</v>
      </c>
      <c r="E343" s="2" t="e">
        <f>CHAR(#REF!)</f>
        <v>#REF!</v>
      </c>
      <c r="F343" s="2" t="e">
        <f>CHAR(+F343:G343)</f>
        <v>#VALUE!</v>
      </c>
      <c r="H343" s="2" t="e">
        <f>CHAR(H343:I343)</f>
        <v>#VALUE!</v>
      </c>
      <c r="J343" s="2" t="e">
        <f>CHAR(INDIRECT(J343:K343))</f>
        <v>#REF!</v>
      </c>
      <c r="L343" s="2">
        <f>TYPE(INDEX(,CHAR(OFFSET(INDEX(1,),,))))</f>
        <v>64</v>
      </c>
    </row>
    <row r="344" spans="1:12" x14ac:dyDescent="0.55000000000000004">
      <c r="A344" s="1" t="s">
        <v>1581</v>
      </c>
      <c r="B344" s="2">
        <f>COUNTIF(A:A,A344)-1</f>
        <v>1</v>
      </c>
      <c r="C344" s="2">
        <f>COUNTIF(A$1:A344,A344)-1</f>
        <v>0</v>
      </c>
      <c r="D344" s="2" t="str">
        <f t="shared" si="5"/>
        <v/>
      </c>
      <c r="E344" s="2"/>
      <c r="F344" s="2"/>
      <c r="H344" s="2"/>
      <c r="J344" s="2"/>
      <c r="L344" s="2"/>
    </row>
    <row r="345" spans="1:12" x14ac:dyDescent="0.55000000000000004">
      <c r="A345" s="1" t="s">
        <v>1581</v>
      </c>
      <c r="B345" s="2">
        <f>COUNTIF(A:A,A345)-1</f>
        <v>1</v>
      </c>
      <c r="C345" s="2">
        <f>COUNTIF(A$1:A345,A345)-1</f>
        <v>1</v>
      </c>
      <c r="D345" s="2" t="str">
        <f t="shared" si="5"/>
        <v>v</v>
      </c>
      <c r="E345" s="2" t="e">
        <f>LOWER(#REF!)</f>
        <v>#REF!</v>
      </c>
      <c r="F345" s="2" t="str">
        <f>LOWER(+F345:G345)</f>
        <v>0</v>
      </c>
      <c r="H345" s="2" t="str">
        <f>LOWER(H345:I345)</f>
        <v>0</v>
      </c>
      <c r="J345" s="2" t="e">
        <f>LOWER(INDIRECT(J345:K345))</f>
        <v>#REF!</v>
      </c>
      <c r="L345" s="2">
        <f>TYPE(INDEX(,LOWER(OFFSET(INDEX(1,),,))))</f>
        <v>64</v>
      </c>
    </row>
    <row r="346" spans="1:12" x14ac:dyDescent="0.55000000000000004">
      <c r="A346" s="1" t="s">
        <v>1582</v>
      </c>
      <c r="B346" s="2">
        <f>COUNTIF(A:A,A346)-1</f>
        <v>1</v>
      </c>
      <c r="C346" s="2">
        <f>COUNTIF(A$1:A346,A346)-1</f>
        <v>0</v>
      </c>
      <c r="D346" s="2" t="str">
        <f t="shared" si="5"/>
        <v/>
      </c>
      <c r="E346" s="2"/>
      <c r="F346" s="2"/>
      <c r="H346" s="2"/>
      <c r="J346" s="2"/>
      <c r="L346" s="2"/>
    </row>
    <row r="347" spans="1:12" x14ac:dyDescent="0.55000000000000004">
      <c r="A347" s="1" t="s">
        <v>1582</v>
      </c>
      <c r="B347" s="2">
        <f>COUNTIF(A:A,A347)-1</f>
        <v>1</v>
      </c>
      <c r="C347" s="2">
        <f>COUNTIF(A$1:A347,A347)-1</f>
        <v>1</v>
      </c>
      <c r="D347" s="2" t="str">
        <f t="shared" si="5"/>
        <v>v</v>
      </c>
      <c r="E347" s="2" t="e">
        <f>UPPER(#REF!)</f>
        <v>#REF!</v>
      </c>
      <c r="F347" s="2" t="str">
        <f>UPPER(+F347:G347)</f>
        <v>0</v>
      </c>
      <c r="H347" s="2" t="str">
        <f>UPPER(H347:I347)</f>
        <v>0</v>
      </c>
      <c r="J347" s="2" t="e">
        <f>UPPER(INDIRECT(J347:K347))</f>
        <v>#REF!</v>
      </c>
      <c r="L347" s="2">
        <f>TYPE(INDEX(,UPPER(OFFSET(INDEX(1,),,))))</f>
        <v>64</v>
      </c>
    </row>
    <row r="348" spans="1:12" x14ac:dyDescent="0.55000000000000004">
      <c r="A348" s="1" t="s">
        <v>1583</v>
      </c>
      <c r="B348" s="2">
        <f>COUNTIF(A:A,A348)-1</f>
        <v>1</v>
      </c>
      <c r="C348" s="2">
        <f>COUNTIF(A$1:A348,A348)-1</f>
        <v>0</v>
      </c>
      <c r="D348" s="2" t="str">
        <f t="shared" si="5"/>
        <v/>
      </c>
      <c r="E348" s="2"/>
      <c r="F348" s="2"/>
      <c r="H348" s="2"/>
      <c r="J348" s="2"/>
      <c r="L348" s="2"/>
    </row>
    <row r="349" spans="1:12" x14ac:dyDescent="0.55000000000000004">
      <c r="A349" s="1" t="s">
        <v>1583</v>
      </c>
      <c r="B349" s="2">
        <f>COUNTIF(A:A,A349)-1</f>
        <v>1</v>
      </c>
      <c r="C349" s="2">
        <f>COUNTIF(A$1:A349,A349)-1</f>
        <v>1</v>
      </c>
      <c r="D349" s="2" t="str">
        <f t="shared" si="5"/>
        <v>v</v>
      </c>
      <c r="E349" s="2" t="e">
        <f>PROPER(#REF!)</f>
        <v>#REF!</v>
      </c>
      <c r="F349" s="2" t="str">
        <f>PROPER(+F349:G349)</f>
        <v>0</v>
      </c>
      <c r="H349" s="2" t="str">
        <f>PROPER(H349:I349)</f>
        <v>0</v>
      </c>
      <c r="J349" s="2" t="e">
        <f>PROPER(INDIRECT(J349:K349))</f>
        <v>#REF!</v>
      </c>
      <c r="L349" s="2">
        <f>TYPE(INDEX(,PROPER(OFFSET(INDEX(1,),,))))</f>
        <v>64</v>
      </c>
    </row>
    <row r="350" spans="1:12" x14ac:dyDescent="0.55000000000000004">
      <c r="A350" s="1" t="s">
        <v>1584</v>
      </c>
      <c r="B350" s="2">
        <f>COUNTIF(A:A,A350)-1</f>
        <v>2</v>
      </c>
      <c r="C350" s="2">
        <f>COUNTIF(A$1:A350,A350)-1</f>
        <v>0</v>
      </c>
      <c r="D350" s="2" t="str">
        <f t="shared" si="5"/>
        <v/>
      </c>
      <c r="E350" s="2"/>
      <c r="F350" s="2"/>
      <c r="H350" s="2"/>
      <c r="J350" s="2"/>
      <c r="L350" s="2"/>
    </row>
    <row r="351" spans="1:12" x14ac:dyDescent="0.55000000000000004">
      <c r="A351" s="1" t="s">
        <v>1584</v>
      </c>
      <c r="B351" s="2">
        <f>COUNTIF(A:A,A351)-1</f>
        <v>2</v>
      </c>
      <c r="C351" s="2">
        <f>COUNTIF(A$1:A351,A351)-1</f>
        <v>1</v>
      </c>
      <c r="D351" s="2" t="str">
        <f t="shared" si="5"/>
        <v>v</v>
      </c>
      <c r="E351" s="2" t="e">
        <f>LEFT(#REF!)</f>
        <v>#REF!</v>
      </c>
      <c r="F351" s="2" t="e">
        <f>LEFT(+F351:G351,#REF!)</f>
        <v>#REF!</v>
      </c>
      <c r="H351" s="2" t="e">
        <f>LEFT(H351:I351,#REF!)</f>
        <v>#REF!</v>
      </c>
      <c r="J351" s="2" t="e">
        <f>LEFT(INDIRECT(J351:K351),#REF!)</f>
        <v>#REF!</v>
      </c>
      <c r="L351" s="2">
        <f>TYPE(INDEX(,LEFT(OFFSET(INDEX(1,),,),#REF!)))</f>
        <v>64</v>
      </c>
    </row>
    <row r="352" spans="1:12" x14ac:dyDescent="0.55000000000000004">
      <c r="A352" s="1" t="s">
        <v>1584</v>
      </c>
      <c r="B352" s="2">
        <f>COUNTIF(A:A,A352)-1</f>
        <v>2</v>
      </c>
      <c r="C352" s="2">
        <f>COUNTIF(A$1:A352,A352)-1</f>
        <v>2</v>
      </c>
      <c r="D352" s="2" t="str">
        <f t="shared" si="5"/>
        <v>v</v>
      </c>
      <c r="E352" s="2" t="e">
        <f>LEFT(#REF!,#REF!)</f>
        <v>#REF!</v>
      </c>
      <c r="F352" s="2" t="e">
        <f>LEFT(#REF!,+F352:G352)</f>
        <v>#REF!</v>
      </c>
      <c r="H352" s="2" t="e">
        <f>LEFT(#REF!,H352:I352)</f>
        <v>#REF!</v>
      </c>
      <c r="J352" s="2" t="e">
        <f>LEFT(#REF!,INDIRECT(J352:K352))</f>
        <v>#REF!</v>
      </c>
      <c r="L352" s="2">
        <f>TYPE(INDEX(,LEFT(#REF!,OFFSET(INDEX(1,),,))))</f>
        <v>64</v>
      </c>
    </row>
    <row r="353" spans="1:12" x14ac:dyDescent="0.55000000000000004">
      <c r="A353" s="1" t="s">
        <v>1585</v>
      </c>
      <c r="B353" s="2">
        <f>COUNTIF(A:A,A353)-1</f>
        <v>2</v>
      </c>
      <c r="C353" s="2">
        <f>COUNTIF(A$1:A353,A353)-1</f>
        <v>0</v>
      </c>
      <c r="D353" s="2" t="str">
        <f t="shared" si="5"/>
        <v/>
      </c>
      <c r="E353" s="2"/>
      <c r="F353" s="2"/>
      <c r="H353" s="2"/>
      <c r="J353" s="2"/>
      <c r="L353" s="2"/>
    </row>
    <row r="354" spans="1:12" x14ac:dyDescent="0.55000000000000004">
      <c r="A354" s="1" t="s">
        <v>1585</v>
      </c>
      <c r="B354" s="2">
        <f>COUNTIF(A:A,A354)-1</f>
        <v>2</v>
      </c>
      <c r="C354" s="2">
        <f>COUNTIF(A$1:A354,A354)-1</f>
        <v>1</v>
      </c>
      <c r="D354" s="2" t="str">
        <f t="shared" si="5"/>
        <v>v</v>
      </c>
      <c r="E354" s="2" t="e">
        <f>RIGHT(#REF!)</f>
        <v>#REF!</v>
      </c>
      <c r="F354" s="2" t="e">
        <f>RIGHT(+F354:G354,#REF!)</f>
        <v>#REF!</v>
      </c>
      <c r="H354" s="2" t="e">
        <f>RIGHT(H354:I354,#REF!)</f>
        <v>#REF!</v>
      </c>
      <c r="J354" s="2" t="e">
        <f>RIGHT(INDIRECT(J354:K354),#REF!)</f>
        <v>#REF!</v>
      </c>
      <c r="L354" s="2">
        <f>TYPE(INDEX(,RIGHT(OFFSET(INDEX(1,),,),#REF!)))</f>
        <v>64</v>
      </c>
    </row>
    <row r="355" spans="1:12" x14ac:dyDescent="0.55000000000000004">
      <c r="A355" s="1" t="s">
        <v>1585</v>
      </c>
      <c r="B355" s="2">
        <f>COUNTIF(A:A,A355)-1</f>
        <v>2</v>
      </c>
      <c r="C355" s="2">
        <f>COUNTIF(A$1:A355,A355)-1</f>
        <v>2</v>
      </c>
      <c r="D355" s="2" t="str">
        <f t="shared" si="5"/>
        <v>v</v>
      </c>
      <c r="E355" s="2" t="e">
        <f>RIGHT(#REF!,#REF!)</f>
        <v>#REF!</v>
      </c>
      <c r="F355" s="2" t="e">
        <f>RIGHT(#REF!,+F355:G355)</f>
        <v>#REF!</v>
      </c>
      <c r="H355" s="2" t="e">
        <f>RIGHT(#REF!,H355:I355)</f>
        <v>#REF!</v>
      </c>
      <c r="J355" s="2" t="e">
        <f>RIGHT(#REF!,INDIRECT(J355:K355))</f>
        <v>#REF!</v>
      </c>
      <c r="L355" s="2">
        <f>TYPE(INDEX(,RIGHT(#REF!,OFFSET(INDEX(1,),,))))</f>
        <v>64</v>
      </c>
    </row>
    <row r="356" spans="1:12" x14ac:dyDescent="0.55000000000000004">
      <c r="A356" s="1" t="s">
        <v>1586</v>
      </c>
      <c r="B356" s="2">
        <f>COUNTIF(A:A,A356)-1</f>
        <v>2</v>
      </c>
      <c r="C356" s="2">
        <f>COUNTIF(A$1:A356,A356)-1</f>
        <v>0</v>
      </c>
      <c r="D356" s="2" t="str">
        <f t="shared" si="5"/>
        <v/>
      </c>
      <c r="E356" s="2"/>
      <c r="F356" s="2"/>
      <c r="H356" s="2"/>
      <c r="J356" s="2"/>
      <c r="L356" s="2"/>
    </row>
    <row r="357" spans="1:12" x14ac:dyDescent="0.55000000000000004">
      <c r="A357" s="1" t="s">
        <v>1586</v>
      </c>
      <c r="B357" s="2">
        <f>COUNTIF(A:A,A357)-1</f>
        <v>2</v>
      </c>
      <c r="C357" s="2">
        <f>COUNTIF(A$1:A357,A357)-1</f>
        <v>1</v>
      </c>
      <c r="D357" s="2" t="str">
        <f t="shared" si="5"/>
        <v>v</v>
      </c>
      <c r="E357" s="2"/>
      <c r="F357" s="2" t="e">
        <f>EXACT(+F357:G357,#REF!)</f>
        <v>#REF!</v>
      </c>
      <c r="H357" s="2" t="e">
        <f>EXACT(H357:I357,#REF!)</f>
        <v>#REF!</v>
      </c>
      <c r="J357" s="2" t="e">
        <f>EXACT(INDIRECT(J357:K357),#REF!)</f>
        <v>#REF!</v>
      </c>
      <c r="L357" s="2">
        <f>TYPE(INDEX(,EXACT(OFFSET(INDEX(1,),,),#REF!)))</f>
        <v>64</v>
      </c>
    </row>
    <row r="358" spans="1:12" x14ac:dyDescent="0.55000000000000004">
      <c r="A358" s="1" t="s">
        <v>1586</v>
      </c>
      <c r="B358" s="2">
        <f>COUNTIF(A:A,A358)-1</f>
        <v>2</v>
      </c>
      <c r="C358" s="2">
        <f>COUNTIF(A$1:A358,A358)-1</f>
        <v>2</v>
      </c>
      <c r="D358" s="2" t="str">
        <f t="shared" si="5"/>
        <v>v</v>
      </c>
      <c r="E358" s="2" t="e">
        <f>EXACT(#REF!,#REF!)</f>
        <v>#REF!</v>
      </c>
      <c r="F358" s="2" t="e">
        <f>EXACT(#REF!,+F358:G358)</f>
        <v>#REF!</v>
      </c>
      <c r="H358" s="2" t="e">
        <f>EXACT(#REF!,H358:I358)</f>
        <v>#REF!</v>
      </c>
      <c r="J358" s="2" t="e">
        <f>EXACT(#REF!,INDIRECT(J358:K358))</f>
        <v>#REF!</v>
      </c>
      <c r="L358" s="2">
        <f>TYPE(INDEX(,EXACT(#REF!,OFFSET(INDEX(1,),,))))</f>
        <v>64</v>
      </c>
    </row>
    <row r="359" spans="1:12" x14ac:dyDescent="0.55000000000000004">
      <c r="A359" s="1" t="s">
        <v>1587</v>
      </c>
      <c r="B359" s="2">
        <f>COUNTIF(A:A,A359)-1</f>
        <v>1</v>
      </c>
      <c r="C359" s="2">
        <f>COUNTIF(A$1:A359,A359)-1</f>
        <v>0</v>
      </c>
      <c r="D359" s="2" t="str">
        <f t="shared" si="5"/>
        <v/>
      </c>
      <c r="E359" s="2"/>
      <c r="F359" s="2"/>
      <c r="H359" s="2"/>
      <c r="J359" s="2"/>
      <c r="L359" s="2"/>
    </row>
    <row r="360" spans="1:12" x14ac:dyDescent="0.55000000000000004">
      <c r="A360" s="1" t="s">
        <v>1587</v>
      </c>
      <c r="B360" s="2">
        <f>COUNTIF(A:A,A360)-1</f>
        <v>1</v>
      </c>
      <c r="C360" s="2">
        <f>COUNTIF(A$1:A360,A360)-1</f>
        <v>1</v>
      </c>
      <c r="D360" s="2" t="str">
        <f t="shared" si="5"/>
        <v>v</v>
      </c>
      <c r="E360" s="2" t="e">
        <f>TRIM(#REF!)</f>
        <v>#REF!</v>
      </c>
      <c r="F360" s="2" t="str">
        <f>TRIM(+F360:G360)</f>
        <v>0</v>
      </c>
      <c r="H360" s="2" t="str">
        <f>TRIM(H360:I360)</f>
        <v>0</v>
      </c>
      <c r="J360" s="2" t="e">
        <f>TRIM(INDIRECT(J360:K360))</f>
        <v>#REF!</v>
      </c>
      <c r="L360" s="2">
        <f>TYPE(INDEX(,TRIM(OFFSET(INDEX(1,),,))))</f>
        <v>64</v>
      </c>
    </row>
    <row r="361" spans="1:12" x14ac:dyDescent="0.55000000000000004">
      <c r="A361" s="1" t="s">
        <v>1588</v>
      </c>
      <c r="B361" s="2">
        <f>COUNTIF(A:A,A361)-1</f>
        <v>4</v>
      </c>
      <c r="C361" s="2">
        <f>COUNTIF(A$1:A361,A361)-1</f>
        <v>0</v>
      </c>
      <c r="D361" s="2" t="str">
        <f t="shared" si="5"/>
        <v/>
      </c>
      <c r="E361" s="2"/>
      <c r="F361" s="2"/>
      <c r="H361" s="2"/>
      <c r="J361" s="2"/>
      <c r="L361" s="2"/>
    </row>
    <row r="362" spans="1:12" x14ac:dyDescent="0.55000000000000004">
      <c r="A362" s="1" t="s">
        <v>1588</v>
      </c>
      <c r="B362" s="2">
        <f>COUNTIF(A:A,A362)-1</f>
        <v>4</v>
      </c>
      <c r="C362" s="2">
        <f>COUNTIF(A$1:A362,A362)-1</f>
        <v>1</v>
      </c>
      <c r="D362" s="2" t="str">
        <f t="shared" si="5"/>
        <v>v</v>
      </c>
      <c r="E362" s="2"/>
      <c r="F362" s="2" t="e">
        <f>REPLACE(+F362:G362,#REF!,#REF!,#REF!)</f>
        <v>#REF!</v>
      </c>
      <c r="H362" s="2" t="e">
        <f>REPLACE(H362:I362,#REF!,#REF!,#REF!)</f>
        <v>#REF!</v>
      </c>
      <c r="J362" s="2" t="e">
        <f>REPLACE(INDIRECT(J362:K362),#REF!,#REF!,#REF!)</f>
        <v>#REF!</v>
      </c>
      <c r="L362" s="2">
        <f>TYPE(INDEX(,REPLACE(OFFSET(INDEX(1,),,),#REF!,#REF!,#REF!)))</f>
        <v>64</v>
      </c>
    </row>
    <row r="363" spans="1:12" x14ac:dyDescent="0.55000000000000004">
      <c r="A363" s="1" t="s">
        <v>1588</v>
      </c>
      <c r="B363" s="2">
        <f>COUNTIF(A:A,A363)-1</f>
        <v>4</v>
      </c>
      <c r="C363" s="2">
        <f>COUNTIF(A$1:A363,A363)-1</f>
        <v>2</v>
      </c>
      <c r="D363" s="2" t="str">
        <f t="shared" si="5"/>
        <v>v</v>
      </c>
      <c r="E363" s="2"/>
      <c r="F363" s="2" t="e">
        <f>REPLACE(#REF!,+F363:G363,#REF!,#REF!)</f>
        <v>#REF!</v>
      </c>
      <c r="H363" s="2" t="e">
        <f>REPLACE(#REF!,H363:I363,#REF!,#REF!)</f>
        <v>#REF!</v>
      </c>
      <c r="J363" s="2" t="e">
        <f>REPLACE(#REF!,INDIRECT(J363:K363),#REF!,#REF!)</f>
        <v>#REF!</v>
      </c>
      <c r="L363" s="2">
        <f>TYPE(INDEX(,REPLACE(#REF!,OFFSET(INDEX(1,),,),#REF!,#REF!)))</f>
        <v>64</v>
      </c>
    </row>
    <row r="364" spans="1:12" x14ac:dyDescent="0.55000000000000004">
      <c r="A364" s="1" t="s">
        <v>1588</v>
      </c>
      <c r="B364" s="2">
        <f>COUNTIF(A:A,A364)-1</f>
        <v>4</v>
      </c>
      <c r="C364" s="2">
        <f>COUNTIF(A$1:A364,A364)-1</f>
        <v>3</v>
      </c>
      <c r="D364" s="2" t="str">
        <f t="shared" si="5"/>
        <v>v</v>
      </c>
      <c r="E364" s="2"/>
      <c r="F364" s="2" t="e">
        <f>REPLACE(#REF!,#REF!,+F364:G364,#REF!)</f>
        <v>#REF!</v>
      </c>
      <c r="H364" s="2" t="e">
        <f>REPLACE(#REF!,#REF!,H364:I364,#REF!)</f>
        <v>#REF!</v>
      </c>
      <c r="J364" s="2" t="e">
        <f>REPLACE(#REF!,#REF!,INDIRECT(J364:K364),#REF!)</f>
        <v>#REF!</v>
      </c>
      <c r="L364" s="2">
        <f>TYPE(INDEX(,REPLACE(#REF!,#REF!,OFFSET(INDEX(1,),,),#REF!)))</f>
        <v>64</v>
      </c>
    </row>
    <row r="365" spans="1:12" x14ac:dyDescent="0.55000000000000004">
      <c r="A365" s="1" t="s">
        <v>1588</v>
      </c>
      <c r="B365" s="2">
        <f>COUNTIF(A:A,A365)-1</f>
        <v>4</v>
      </c>
      <c r="C365" s="2">
        <f>COUNTIF(A$1:A365,A365)-1</f>
        <v>4</v>
      </c>
      <c r="D365" s="2" t="str">
        <f t="shared" si="5"/>
        <v>v</v>
      </c>
      <c r="E365" s="2" t="e">
        <f>REPLACE(#REF!,#REF!,#REF!,#REF!)</f>
        <v>#REF!</v>
      </c>
      <c r="F365" s="2" t="e">
        <f>REPLACE(#REF!,#REF!,#REF!,+F365:G365)</f>
        <v>#REF!</v>
      </c>
      <c r="H365" s="2" t="e">
        <f>REPLACE(#REF!,#REF!,#REF!,H365:I365)</f>
        <v>#REF!</v>
      </c>
      <c r="J365" s="2" t="e">
        <f>REPLACE(#REF!,#REF!,#REF!,INDIRECT(J365:K365))</f>
        <v>#REF!</v>
      </c>
      <c r="L365" s="2">
        <f>TYPE(INDEX(,REPLACE(#REF!,#REF!,#REF!,OFFSET(INDEX(1,),,))))</f>
        <v>64</v>
      </c>
    </row>
    <row r="366" spans="1:12" x14ac:dyDescent="0.55000000000000004">
      <c r="A366" s="1" t="s">
        <v>1589</v>
      </c>
      <c r="B366" s="2">
        <f>COUNTIF(A:A,A366)-1</f>
        <v>4</v>
      </c>
      <c r="C366" s="2">
        <f>COUNTIF(A$1:A366,A366)-1</f>
        <v>0</v>
      </c>
      <c r="D366" s="2" t="str">
        <f t="shared" si="5"/>
        <v/>
      </c>
      <c r="E366" s="2"/>
      <c r="F366" s="2"/>
      <c r="H366" s="2"/>
      <c r="J366" s="2"/>
      <c r="L366" s="2"/>
    </row>
    <row r="367" spans="1:12" x14ac:dyDescent="0.55000000000000004">
      <c r="A367" s="1" t="s">
        <v>1589</v>
      </c>
      <c r="B367" s="2">
        <f>COUNTIF(A:A,A367)-1</f>
        <v>4</v>
      </c>
      <c r="C367" s="2">
        <f>COUNTIF(A$1:A367,A367)-1</f>
        <v>1</v>
      </c>
      <c r="D367" s="2" t="str">
        <f t="shared" si="5"/>
        <v>v</v>
      </c>
      <c r="E367" s="2"/>
      <c r="F367" s="2" t="e">
        <f>SUBSTITUTE(+F367:G367,#REF!,#REF!,#REF!)</f>
        <v>#REF!</v>
      </c>
      <c r="H367" s="2" t="e">
        <f>SUBSTITUTE(H367:I367,#REF!,#REF!,#REF!)</f>
        <v>#REF!</v>
      </c>
      <c r="J367" s="2" t="e">
        <f>SUBSTITUTE(INDIRECT(J367:K367),#REF!,#REF!,#REF!)</f>
        <v>#REF!</v>
      </c>
      <c r="L367" s="2">
        <f>TYPE(INDEX(,SUBSTITUTE(OFFSET(INDEX(1,),,),#REF!,#REF!,#REF!)))</f>
        <v>64</v>
      </c>
    </row>
    <row r="368" spans="1:12" x14ac:dyDescent="0.55000000000000004">
      <c r="A368" s="1" t="s">
        <v>1589</v>
      </c>
      <c r="B368" s="2">
        <f>COUNTIF(A:A,A368)-1</f>
        <v>4</v>
      </c>
      <c r="C368" s="2">
        <f>COUNTIF(A$1:A368,A368)-1</f>
        <v>2</v>
      </c>
      <c r="D368" s="2" t="str">
        <f t="shared" si="5"/>
        <v>v</v>
      </c>
      <c r="E368" s="2"/>
      <c r="F368" s="2" t="e">
        <f>SUBSTITUTE(#REF!,+F368:G368,#REF!,#REF!)</f>
        <v>#REF!</v>
      </c>
      <c r="H368" s="2" t="e">
        <f>SUBSTITUTE(#REF!,H368:I368,#REF!,#REF!)</f>
        <v>#REF!</v>
      </c>
      <c r="J368" s="2" t="e">
        <f>SUBSTITUTE(#REF!,INDIRECT(J368:K368),#REF!,#REF!)</f>
        <v>#REF!</v>
      </c>
      <c r="L368" s="2">
        <f>TYPE(INDEX(,SUBSTITUTE(#REF!,OFFSET(INDEX(1,),,),#REF!,#REF!)))</f>
        <v>64</v>
      </c>
    </row>
    <row r="369" spans="1:12" x14ac:dyDescent="0.55000000000000004">
      <c r="A369" s="1" t="s">
        <v>1589</v>
      </c>
      <c r="B369" s="2">
        <f>COUNTIF(A:A,A369)-1</f>
        <v>4</v>
      </c>
      <c r="C369" s="2">
        <f>COUNTIF(A$1:A369,A369)-1</f>
        <v>3</v>
      </c>
      <c r="D369" s="2" t="str">
        <f t="shared" si="5"/>
        <v>v</v>
      </c>
      <c r="E369" s="2" t="e">
        <f>SUBSTITUTE(#REF!,#REF!,#REF!)</f>
        <v>#REF!</v>
      </c>
      <c r="F369" s="2" t="e">
        <f>SUBSTITUTE(#REF!,#REF!,+F369:G369,#REF!)</f>
        <v>#REF!</v>
      </c>
      <c r="H369" s="2" t="e">
        <f>SUBSTITUTE(#REF!,#REF!,H369:I369,#REF!)</f>
        <v>#REF!</v>
      </c>
      <c r="J369" s="2" t="e">
        <f>SUBSTITUTE(#REF!,#REF!,INDIRECT(J369:K369),#REF!)</f>
        <v>#REF!</v>
      </c>
      <c r="L369" s="2">
        <f>TYPE(INDEX(,SUBSTITUTE(#REF!,#REF!,OFFSET(INDEX(1,),,),#REF!)))</f>
        <v>64</v>
      </c>
    </row>
    <row r="370" spans="1:12" x14ac:dyDescent="0.55000000000000004">
      <c r="A370" s="1" t="s">
        <v>1589</v>
      </c>
      <c r="B370" s="2">
        <f>COUNTIF(A:A,A370)-1</f>
        <v>4</v>
      </c>
      <c r="C370" s="2">
        <f>COUNTIF(A$1:A370,A370)-1</f>
        <v>4</v>
      </c>
      <c r="D370" s="2" t="str">
        <f t="shared" si="5"/>
        <v>v</v>
      </c>
      <c r="E370" s="2" t="e">
        <f>SUBSTITUTE(#REF!,#REF!,#REF!,#REF!)</f>
        <v>#REF!</v>
      </c>
      <c r="F370" s="2" t="e">
        <f>SUBSTITUTE(#REF!,#REF!,#REF!,+F370:G370)</f>
        <v>#REF!</v>
      </c>
      <c r="H370" s="2" t="e">
        <f>SUBSTITUTE(#REF!,#REF!,#REF!,H370:I370)</f>
        <v>#REF!</v>
      </c>
      <c r="J370" s="2" t="e">
        <f>SUBSTITUTE(#REF!,#REF!,#REF!,INDIRECT(J370:K370))</f>
        <v>#REF!</v>
      </c>
      <c r="L370" s="2">
        <f>TYPE(INDEX(,SUBSTITUTE(#REF!,#REF!,#REF!,OFFSET(INDEX(1,),,))))</f>
        <v>64</v>
      </c>
    </row>
    <row r="371" spans="1:12" x14ac:dyDescent="0.55000000000000004">
      <c r="A371" s="1" t="s">
        <v>1590</v>
      </c>
      <c r="B371" s="2">
        <f>COUNTIF(A:A,A371)-1</f>
        <v>1</v>
      </c>
      <c r="C371" s="2">
        <f>COUNTIF(A$1:A371,A371)-1</f>
        <v>0</v>
      </c>
      <c r="D371" s="2" t="str">
        <f t="shared" si="5"/>
        <v/>
      </c>
      <c r="E371" s="2"/>
      <c r="F371" s="2"/>
      <c r="H371" s="2"/>
      <c r="J371" s="2"/>
      <c r="L371" s="2"/>
    </row>
    <row r="372" spans="1:12" x14ac:dyDescent="0.55000000000000004">
      <c r="A372" s="1" t="s">
        <v>1590</v>
      </c>
      <c r="B372" s="2">
        <f>COUNTIF(A:A,A372)-1</f>
        <v>1</v>
      </c>
      <c r="C372" s="2">
        <f>COUNTIF(A$1:A372,A372)-1</f>
        <v>1</v>
      </c>
      <c r="D372" s="2" t="str">
        <f t="shared" si="5"/>
        <v>v</v>
      </c>
      <c r="E372" s="2" t="e">
        <f>CODE(#REF!)</f>
        <v>#REF!</v>
      </c>
      <c r="F372" s="2">
        <f>CODE(+F372:G372)</f>
        <v>48</v>
      </c>
      <c r="H372" s="2">
        <f>CODE(H372:I372)</f>
        <v>48</v>
      </c>
      <c r="J372" s="2" t="e">
        <f>CODE(INDIRECT(J372:K372))</f>
        <v>#REF!</v>
      </c>
      <c r="L372" s="2">
        <f>TYPE(INDEX(,CODE(OFFSET(INDEX(1,),,))))</f>
        <v>64</v>
      </c>
    </row>
    <row r="373" spans="1:12" x14ac:dyDescent="0.55000000000000004">
      <c r="A373" s="1" t="s">
        <v>1591</v>
      </c>
      <c r="B373" s="2">
        <f>COUNTIF(A:A,A373)-1</f>
        <v>3</v>
      </c>
      <c r="C373" s="2">
        <f>COUNTIF(A$1:A373,A373)-1</f>
        <v>0</v>
      </c>
      <c r="D373" s="2" t="str">
        <f t="shared" si="5"/>
        <v/>
      </c>
      <c r="E373" s="2" t="str">
        <f>NAMES()</f>
        <v>a</v>
      </c>
      <c r="F373" s="2"/>
      <c r="H373" s="2"/>
      <c r="J373" s="2"/>
      <c r="L373" s="2"/>
    </row>
    <row r="374" spans="1:12" x14ac:dyDescent="0.55000000000000004">
      <c r="A374" s="1" t="s">
        <v>1591</v>
      </c>
      <c r="B374" s="2">
        <f>COUNTIF(A:A,A374)-1</f>
        <v>3</v>
      </c>
      <c r="C374" s="2">
        <f>COUNTIF(A$1:A374,A374)-1</f>
        <v>1</v>
      </c>
      <c r="D374" s="2" t="str">
        <f t="shared" si="5"/>
        <v>v</v>
      </c>
      <c r="E374" s="2" t="e">
        <f>NAMES(#REF!)</f>
        <v>#REF!</v>
      </c>
      <c r="F374" s="2" t="e">
        <f>NAMES(+F374:G374,#REF!,#REF!)</f>
        <v>#REF!</v>
      </c>
      <c r="H374" s="2" t="e">
        <f>NAMES(H374:I374,#REF!,#REF!)</f>
        <v>#REF!</v>
      </c>
      <c r="J374" s="2" t="e">
        <f>NAMES(INDIRECT(J374:K374),#REF!,#REF!)</f>
        <v>#REF!</v>
      </c>
      <c r="L374" s="2">
        <f>TYPE(INDEX(,NAMES(OFFSET(INDEX(1,),,),#REF!,#REF!)))</f>
        <v>64</v>
      </c>
    </row>
    <row r="375" spans="1:12" x14ac:dyDescent="0.55000000000000004">
      <c r="A375" s="1" t="s">
        <v>1591</v>
      </c>
      <c r="B375" s="2">
        <f>COUNTIF(A:A,A375)-1</f>
        <v>3</v>
      </c>
      <c r="C375" s="2">
        <f>COUNTIF(A$1:A375,A375)-1</f>
        <v>2</v>
      </c>
      <c r="D375" s="2" t="str">
        <f t="shared" si="5"/>
        <v>v</v>
      </c>
      <c r="E375" s="2" t="e">
        <f>NAMES(#REF!,#REF!)</f>
        <v>#REF!</v>
      </c>
      <c r="F375" s="2" t="e">
        <f>NAMES(#REF!,+F375:G375,#REF!)</f>
        <v>#REF!</v>
      </c>
      <c r="H375" s="2" t="e">
        <f>NAMES(#REF!,H375:I375,#REF!)</f>
        <v>#REF!</v>
      </c>
      <c r="J375" s="2" t="e">
        <f>NAMES(#REF!,INDIRECT(J375:K375),#REF!)</f>
        <v>#REF!</v>
      </c>
      <c r="L375" s="2">
        <f>TYPE(INDEX(,NAMES(#REF!,OFFSET(INDEX(1,),,),#REF!)))</f>
        <v>64</v>
      </c>
    </row>
    <row r="376" spans="1:12" x14ac:dyDescent="0.55000000000000004">
      <c r="A376" s="1" t="s">
        <v>1591</v>
      </c>
      <c r="B376" s="2">
        <f>COUNTIF(A:A,A376)-1</f>
        <v>3</v>
      </c>
      <c r="C376" s="2">
        <f>COUNTIF(A$1:A376,A376)-1</f>
        <v>3</v>
      </c>
      <c r="D376" s="2" t="str">
        <f t="shared" si="5"/>
        <v>v</v>
      </c>
      <c r="E376" s="2" t="e">
        <f>NAMES(#REF!,#REF!,#REF!)</f>
        <v>#REF!</v>
      </c>
      <c r="F376" s="2" t="e">
        <f>NAMES(#REF!,#REF!,+F376:G376)</f>
        <v>#REF!</v>
      </c>
      <c r="H376" s="2" t="e">
        <f>NAMES(#REF!,#REF!,H376:I376)</f>
        <v>#REF!</v>
      </c>
      <c r="J376" s="2" t="e">
        <f>NAMES(#REF!,#REF!,INDIRECT(J376:K376))</f>
        <v>#REF!</v>
      </c>
      <c r="L376" s="2">
        <f>TYPE(INDEX(,NAMES(#REF!,#REF!,OFFSET(INDEX(1,),,))))</f>
        <v>64</v>
      </c>
    </row>
    <row r="377" spans="1:12" x14ac:dyDescent="0.55000000000000004">
      <c r="A377" s="1" t="s">
        <v>1592</v>
      </c>
      <c r="B377" s="2">
        <f>COUNTIF(A:A,A377)-1</f>
        <v>1</v>
      </c>
      <c r="C377" s="2">
        <f>COUNTIF(A$1:A377,A377)-1</f>
        <v>0</v>
      </c>
      <c r="D377" s="2" t="str">
        <f t="shared" si="5"/>
        <v/>
      </c>
      <c r="E377" s="2" t="b">
        <f>DIRECTORY()</f>
        <v>0</v>
      </c>
      <c r="F377" s="2"/>
      <c r="H377" s="2"/>
      <c r="J377" s="2"/>
      <c r="L377" s="2"/>
    </row>
    <row r="378" spans="1:12" x14ac:dyDescent="0.55000000000000004">
      <c r="A378" s="1" t="s">
        <v>1592</v>
      </c>
      <c r="B378" s="2">
        <f>COUNTIF(A:A,A378)-1</f>
        <v>1</v>
      </c>
      <c r="C378" s="2">
        <f>COUNTIF(A$1:A378,A378)-1</f>
        <v>1</v>
      </c>
      <c r="D378" s="2" t="str">
        <f t="shared" si="5"/>
        <v>v</v>
      </c>
      <c r="E378" s="2" t="e">
        <f>DIRECTORY(#REF!)</f>
        <v>#REF!</v>
      </c>
      <c r="F378" s="2" t="b">
        <f>DIRECTORY(+F378:G378)</f>
        <v>0</v>
      </c>
      <c r="H378" s="2" t="b">
        <f>DIRECTORY(H378:I378)</f>
        <v>0</v>
      </c>
      <c r="J378" s="2" t="e">
        <f>DIRECTORY(INDIRECT(J378:K378))</f>
        <v>#REF!</v>
      </c>
      <c r="L378" s="2">
        <f>TYPE(INDEX(,DIRECTORY(OFFSET(INDEX(1,),,))))</f>
        <v>64</v>
      </c>
    </row>
    <row r="379" spans="1:12" x14ac:dyDescent="0.55000000000000004">
      <c r="A379" s="1" t="s">
        <v>1593</v>
      </c>
      <c r="B379" s="2">
        <f>COUNTIF(A:A,A379)-1</f>
        <v>3</v>
      </c>
      <c r="C379" s="2">
        <f>COUNTIF(A$1:A379,A379)-1</f>
        <v>0</v>
      </c>
      <c r="D379" s="2" t="str">
        <f t="shared" si="5"/>
        <v/>
      </c>
      <c r="E379" s="2"/>
      <c r="F379" s="2"/>
      <c r="H379" s="2"/>
      <c r="J379" s="2"/>
      <c r="L379" s="2"/>
    </row>
    <row r="380" spans="1:12" x14ac:dyDescent="0.55000000000000004">
      <c r="A380" s="1" t="s">
        <v>1593</v>
      </c>
      <c r="B380" s="2">
        <f>COUNTIF(A:A,A380)-1</f>
        <v>3</v>
      </c>
      <c r="C380" s="2">
        <f>COUNTIF(A$1:A380,A380)-1</f>
        <v>1</v>
      </c>
      <c r="D380" s="2" t="str">
        <f t="shared" si="5"/>
        <v>v</v>
      </c>
      <c r="E380" s="2"/>
      <c r="F380" s="2" t="e">
        <f>FIND(+F380:G380,#REF!,#REF!)</f>
        <v>#REF!</v>
      </c>
      <c r="H380" s="2" t="e">
        <f>FIND(H380:I380,#REF!,#REF!)</f>
        <v>#REF!</v>
      </c>
      <c r="J380" s="2" t="e">
        <f>FIND(INDIRECT(J380:K380),#REF!,#REF!)</f>
        <v>#REF!</v>
      </c>
      <c r="L380" s="2">
        <f>TYPE(INDEX(,FIND(OFFSET(INDEX(1,),,),#REF!,#REF!)))</f>
        <v>64</v>
      </c>
    </row>
    <row r="381" spans="1:12" x14ac:dyDescent="0.55000000000000004">
      <c r="A381" s="1" t="s">
        <v>1593</v>
      </c>
      <c r="B381" s="2">
        <f>COUNTIF(A:A,A381)-1</f>
        <v>3</v>
      </c>
      <c r="C381" s="2">
        <f>COUNTIF(A$1:A381,A381)-1</f>
        <v>2</v>
      </c>
      <c r="D381" s="2" t="str">
        <f t="shared" si="5"/>
        <v>v</v>
      </c>
      <c r="E381" s="2" t="e">
        <f>FIND(#REF!,#REF!)</f>
        <v>#REF!</v>
      </c>
      <c r="F381" s="2" t="e">
        <f>FIND(#REF!,+F381:G381,#REF!)</f>
        <v>#REF!</v>
      </c>
      <c r="H381" s="2" t="e">
        <f>FIND(#REF!,H381:I381,#REF!)</f>
        <v>#REF!</v>
      </c>
      <c r="J381" s="2" t="e">
        <f>FIND(#REF!,INDIRECT(J381:K381),#REF!)</f>
        <v>#REF!</v>
      </c>
      <c r="L381" s="2">
        <f>TYPE(INDEX(,FIND(#REF!,OFFSET(INDEX(1,),,),#REF!)))</f>
        <v>64</v>
      </c>
    </row>
    <row r="382" spans="1:12" x14ac:dyDescent="0.55000000000000004">
      <c r="A382" s="1" t="s">
        <v>1593</v>
      </c>
      <c r="B382" s="2">
        <f>COUNTIF(A:A,A382)-1</f>
        <v>3</v>
      </c>
      <c r="C382" s="2">
        <f>COUNTIF(A$1:A382,A382)-1</f>
        <v>3</v>
      </c>
      <c r="D382" s="2" t="str">
        <f t="shared" si="5"/>
        <v>v</v>
      </c>
      <c r="E382" s="2" t="e">
        <f>FIND(#REF!,#REF!,#REF!)</f>
        <v>#REF!</v>
      </c>
      <c r="F382" s="2" t="e">
        <f>FIND(#REF!,#REF!,+F382:G382)</f>
        <v>#REF!</v>
      </c>
      <c r="H382" s="2" t="e">
        <f>FIND(#REF!,#REF!,H382:I382)</f>
        <v>#REF!</v>
      </c>
      <c r="J382" s="2" t="e">
        <f>FIND(#REF!,#REF!,INDIRECT(J382:K382))</f>
        <v>#REF!</v>
      </c>
      <c r="L382" s="2">
        <f>TYPE(INDEX(,FIND(#REF!,#REF!,OFFSET(INDEX(1,),,))))</f>
        <v>64</v>
      </c>
    </row>
    <row r="383" spans="1:12" x14ac:dyDescent="0.55000000000000004">
      <c r="A383" s="1" t="s">
        <v>1594</v>
      </c>
      <c r="B383" s="2">
        <f>COUNTIF(A:A,A383)-1</f>
        <v>2</v>
      </c>
      <c r="C383" s="2">
        <f>COUNTIF(A$1:A383,A383)-1</f>
        <v>0</v>
      </c>
      <c r="D383" s="2" t="str">
        <f t="shared" si="5"/>
        <v/>
      </c>
      <c r="E383" s="2"/>
      <c r="F383" s="2"/>
      <c r="H383" s="2"/>
      <c r="J383" s="2"/>
      <c r="L383" s="2"/>
    </row>
    <row r="384" spans="1:12" x14ac:dyDescent="0.55000000000000004">
      <c r="A384" s="1" t="s">
        <v>1594</v>
      </c>
      <c r="B384" s="2">
        <f>COUNTIF(A:A,A384)-1</f>
        <v>2</v>
      </c>
      <c r="C384" s="2">
        <f>COUNTIF(A$1:A384,A384)-1</f>
        <v>1</v>
      </c>
      <c r="D384" s="2" t="str">
        <f t="shared" si="5"/>
        <v>v</v>
      </c>
      <c r="E384" s="2" t="e">
        <f>CELL(#REF!)</f>
        <v>#REF!</v>
      </c>
      <c r="F384" s="2" t="e">
        <f>CELL(+F384:G384,#REF!)</f>
        <v>#REF!</v>
      </c>
      <c r="H384" s="2" t="e">
        <f>CELL(H384:I384,#REF!)</f>
        <v>#REF!</v>
      </c>
      <c r="J384" s="2" t="e">
        <f>CELL(INDIRECT(J384:K384),#REF!)</f>
        <v>#REF!</v>
      </c>
      <c r="L384" s="2">
        <f>TYPE(INDEX(,CELL(OFFSET(INDEX(1,),,),#REF!)))</f>
        <v>64</v>
      </c>
    </row>
    <row r="385" spans="1:12" x14ac:dyDescent="0.55000000000000004">
      <c r="A385" s="1" t="s">
        <v>1594</v>
      </c>
      <c r="B385" s="2">
        <f>COUNTIF(A:A,A385)-1</f>
        <v>2</v>
      </c>
      <c r="C385" s="2">
        <f>COUNTIF(A$1:A385,A385)-1</f>
        <v>2</v>
      </c>
      <c r="D385" s="2" t="str">
        <f t="shared" si="5"/>
        <v>r</v>
      </c>
      <c r="E385" s="2" t="e">
        <f>CELL(#REF!,#REF!)</f>
        <v>#REF!</v>
      </c>
      <c r="F385" s="2"/>
      <c r="H385" s="2" t="e">
        <f>CELL(#REF!,H385:I385)</f>
        <v>#REF!</v>
      </c>
      <c r="I385" s="1">
        <v>1</v>
      </c>
      <c r="J385" s="2" t="e">
        <f>CELL(#REF!,INDIRECT(J385:K385))</f>
        <v>#REF!</v>
      </c>
      <c r="L385" s="2">
        <f>TYPE(INDEX(,CELL(#REF!,OFFSET(INDEX(1,),,))))</f>
        <v>64</v>
      </c>
    </row>
    <row r="386" spans="1:12" x14ac:dyDescent="0.55000000000000004">
      <c r="A386" s="1" t="s">
        <v>1595</v>
      </c>
      <c r="B386" s="2">
        <f>COUNTIF(A:A,A386)-1</f>
        <v>1</v>
      </c>
      <c r="C386" s="2">
        <f>COUNTIF(A$1:A386,A386)-1</f>
        <v>0</v>
      </c>
      <c r="D386" s="2" t="str">
        <f t="shared" ref="D386:D449" si="6">IF(C386&gt;0,IF(COUNTA(F386:G386)=1,"v",)&amp;IF(L386=64,,"a")&amp;IF(COUNTA(I386,K386)=1,"r",),"")</f>
        <v/>
      </c>
      <c r="E386" s="2"/>
      <c r="F386" s="2"/>
      <c r="H386" s="2"/>
      <c r="J386" s="2"/>
      <c r="L386" s="2"/>
    </row>
    <row r="387" spans="1:12" x14ac:dyDescent="0.55000000000000004">
      <c r="A387" s="1" t="s">
        <v>1595</v>
      </c>
      <c r="B387" s="2">
        <f>COUNTIF(A:A,A387)-1</f>
        <v>1</v>
      </c>
      <c r="C387" s="2">
        <f>COUNTIF(A$1:A387,A387)-1</f>
        <v>1</v>
      </c>
      <c r="D387" s="2" t="str">
        <f t="shared" si="6"/>
        <v>v</v>
      </c>
      <c r="E387" s="2" t="b">
        <f>ISERR(#REF!)</f>
        <v>1</v>
      </c>
      <c r="F387" s="2" t="b">
        <f>ISERR(+F387:G387)</f>
        <v>0</v>
      </c>
      <c r="H387" s="2" t="b">
        <f>ISERR(H387:I387)</f>
        <v>0</v>
      </c>
      <c r="J387" s="2" t="b">
        <f>ISERR(INDIRECT(J387:K387))</f>
        <v>1</v>
      </c>
      <c r="L387" s="2">
        <f>TYPE(INDEX(,ISERR(OFFSET(INDEX(1,),,))))</f>
        <v>64</v>
      </c>
    </row>
    <row r="388" spans="1:12" x14ac:dyDescent="0.55000000000000004">
      <c r="A388" s="1" t="s">
        <v>1596</v>
      </c>
      <c r="B388" s="2">
        <f>COUNTIF(A:A,A388)-1</f>
        <v>1</v>
      </c>
      <c r="C388" s="2">
        <f>COUNTIF(A$1:A388,A388)-1</f>
        <v>0</v>
      </c>
      <c r="D388" s="2" t="str">
        <f t="shared" si="6"/>
        <v/>
      </c>
      <c r="E388" s="2"/>
      <c r="F388" s="2"/>
      <c r="H388" s="2"/>
      <c r="J388" s="2"/>
      <c r="L388" s="2"/>
    </row>
    <row r="389" spans="1:12" x14ac:dyDescent="0.55000000000000004">
      <c r="A389" s="1" t="s">
        <v>1596</v>
      </c>
      <c r="B389" s="2">
        <f>COUNTIF(A:A,A389)-1</f>
        <v>1</v>
      </c>
      <c r="C389" s="2">
        <f>COUNTIF(A$1:A389,A389)-1</f>
        <v>1</v>
      </c>
      <c r="D389" s="2" t="str">
        <f t="shared" si="6"/>
        <v>v</v>
      </c>
      <c r="E389" s="2" t="b">
        <f>ISTEXT(#REF!)</f>
        <v>0</v>
      </c>
      <c r="F389" s="2" t="b">
        <f>ISTEXT(+F389:G389)</f>
        <v>0</v>
      </c>
      <c r="H389" s="2" t="b">
        <f>ISTEXT(H389:I389)</f>
        <v>0</v>
      </c>
      <c r="J389" s="2" t="b">
        <f>ISTEXT(INDIRECT(J389:K389))</f>
        <v>0</v>
      </c>
      <c r="L389" s="2">
        <f>TYPE(INDEX(,ISTEXT(OFFSET(INDEX(1,),,))))</f>
        <v>64</v>
      </c>
    </row>
    <row r="390" spans="1:12" x14ac:dyDescent="0.55000000000000004">
      <c r="A390" s="1" t="s">
        <v>1597</v>
      </c>
      <c r="B390" s="2">
        <f>COUNTIF(A:A,A390)-1</f>
        <v>1</v>
      </c>
      <c r="C390" s="2">
        <f>COUNTIF(A$1:A390,A390)-1</f>
        <v>0</v>
      </c>
      <c r="D390" s="2" t="str">
        <f t="shared" si="6"/>
        <v/>
      </c>
      <c r="E390" s="2"/>
      <c r="F390" s="2"/>
      <c r="H390" s="2"/>
      <c r="J390" s="2"/>
      <c r="L390" s="2"/>
    </row>
    <row r="391" spans="1:12" x14ac:dyDescent="0.55000000000000004">
      <c r="A391" s="1" t="s">
        <v>1597</v>
      </c>
      <c r="B391" s="2">
        <f>COUNTIF(A:A,A391)-1</f>
        <v>1</v>
      </c>
      <c r="C391" s="2">
        <f>COUNTIF(A$1:A391,A391)-1</f>
        <v>1</v>
      </c>
      <c r="D391" s="2" t="str">
        <f t="shared" si="6"/>
        <v>v</v>
      </c>
      <c r="E391" s="2" t="b">
        <f>ISNUMBER(#REF!)</f>
        <v>0</v>
      </c>
      <c r="F391" s="2" t="b">
        <f>ISNUMBER(+F391:G391)</f>
        <v>1</v>
      </c>
      <c r="H391" s="2" t="b">
        <f>ISNUMBER(H391:I391)</f>
        <v>1</v>
      </c>
      <c r="J391" s="2" t="b">
        <f>ISNUMBER(INDIRECT(J391:K391))</f>
        <v>0</v>
      </c>
      <c r="L391" s="2">
        <f>TYPE(INDEX(,ISNUMBER(OFFSET(INDEX(1,),,))))</f>
        <v>64</v>
      </c>
    </row>
    <row r="392" spans="1:12" x14ac:dyDescent="0.55000000000000004">
      <c r="A392" s="1" t="s">
        <v>1598</v>
      </c>
      <c r="B392" s="2">
        <f>COUNTIF(A:A,A392)-1</f>
        <v>1</v>
      </c>
      <c r="C392" s="2">
        <f>COUNTIF(A$1:A392,A392)-1</f>
        <v>0</v>
      </c>
      <c r="D392" s="2" t="str">
        <f t="shared" si="6"/>
        <v/>
      </c>
      <c r="E392" s="2"/>
      <c r="F392" s="2"/>
      <c r="H392" s="2"/>
      <c r="J392" s="2"/>
      <c r="L392" s="2"/>
    </row>
    <row r="393" spans="1:12" x14ac:dyDescent="0.55000000000000004">
      <c r="A393" s="1" t="s">
        <v>1598</v>
      </c>
      <c r="B393" s="2">
        <f>COUNTIF(A:A,A393)-1</f>
        <v>1</v>
      </c>
      <c r="C393" s="2">
        <f>COUNTIF(A$1:A393,A393)-1</f>
        <v>1</v>
      </c>
      <c r="D393" s="2" t="str">
        <f t="shared" si="6"/>
        <v>v</v>
      </c>
      <c r="E393" s="2" t="b">
        <f>ISBLANK(#REF!)</f>
        <v>0</v>
      </c>
      <c r="F393" s="2" t="b">
        <f>ISBLANK(+F393:G393)</f>
        <v>0</v>
      </c>
      <c r="H393" s="2" t="b">
        <f>ISBLANK(H393:I393)</f>
        <v>0</v>
      </c>
      <c r="J393" s="2" t="b">
        <f>ISBLANK(INDIRECT(J393:K393))</f>
        <v>0</v>
      </c>
      <c r="L393" s="2">
        <f>TYPE(INDEX(,ISBLANK(OFFSET(INDEX(1,),,))))</f>
        <v>64</v>
      </c>
    </row>
    <row r="394" spans="1:12" x14ac:dyDescent="0.55000000000000004">
      <c r="A394" s="1" t="s">
        <v>262</v>
      </c>
      <c r="B394" s="2">
        <f>COUNTIF(A:A,A394)-1</f>
        <v>1</v>
      </c>
      <c r="C394" s="2">
        <f>COUNTIF(A$1:A394,A394)-1</f>
        <v>0</v>
      </c>
      <c r="D394" s="2" t="str">
        <f t="shared" si="6"/>
        <v/>
      </c>
      <c r="E394" s="2"/>
      <c r="F394" s="2"/>
      <c r="H394" s="2"/>
      <c r="J394" s="2"/>
      <c r="L394" s="2"/>
    </row>
    <row r="395" spans="1:12" x14ac:dyDescent="0.55000000000000004">
      <c r="A395" s="1" t="s">
        <v>262</v>
      </c>
      <c r="B395" s="2">
        <f>COUNTIF(A:A,A395)-1</f>
        <v>1</v>
      </c>
      <c r="C395" s="2">
        <f>COUNTIF(A$1:A395,A395)-1</f>
        <v>1</v>
      </c>
      <c r="D395" s="2" t="str">
        <f t="shared" si="6"/>
        <v>vr</v>
      </c>
      <c r="E395" s="2" t="e">
        <f>T(#REF!)</f>
        <v>#REF!</v>
      </c>
      <c r="F395" s="2" t="str">
        <f>T(+F395:G395)</f>
        <v/>
      </c>
      <c r="H395" s="2" t="str">
        <f>T(H395:I395)</f>
        <v/>
      </c>
      <c r="I395" s="1">
        <v>1</v>
      </c>
      <c r="J395" s="2" t="e">
        <f>T(INDIRECT(J395:K395))</f>
        <v>#REF!</v>
      </c>
      <c r="L395" s="2">
        <f>TYPE(INDEX(,T(OFFSET(INDEX(1,),,))))</f>
        <v>64</v>
      </c>
    </row>
    <row r="396" spans="1:12" x14ac:dyDescent="0.55000000000000004">
      <c r="A396" s="1" t="s">
        <v>264</v>
      </c>
      <c r="B396" s="2">
        <f>COUNTIF(A:A,A396)-1</f>
        <v>1</v>
      </c>
      <c r="C396" s="2">
        <f>COUNTIF(A$1:A396,A396)-1</f>
        <v>0</v>
      </c>
      <c r="D396" s="2" t="str">
        <f t="shared" si="6"/>
        <v/>
      </c>
      <c r="E396" s="2"/>
      <c r="F396" s="2"/>
      <c r="H396" s="2"/>
      <c r="J396" s="2"/>
      <c r="L396" s="2"/>
    </row>
    <row r="397" spans="1:12" x14ac:dyDescent="0.55000000000000004">
      <c r="A397" s="1" t="s">
        <v>264</v>
      </c>
      <c r="B397" s="2">
        <f>COUNTIF(A:A,A397)-1</f>
        <v>1</v>
      </c>
      <c r="C397" s="2">
        <f>COUNTIF(A$1:A397,A397)-1</f>
        <v>1</v>
      </c>
      <c r="D397" s="2" t="str">
        <f t="shared" si="6"/>
        <v>vr</v>
      </c>
      <c r="E397" s="2" t="e">
        <f>N(#REF!)</f>
        <v>#REF!</v>
      </c>
      <c r="F397" s="2">
        <f>N(+F397:G397)</f>
        <v>0</v>
      </c>
      <c r="H397" s="2">
        <f>N(H397:I397)</f>
        <v>0</v>
      </c>
      <c r="I397" s="1">
        <v>1</v>
      </c>
      <c r="J397" s="2" t="e">
        <f>N(INDIRECT(J397:K397))</f>
        <v>#REF!</v>
      </c>
      <c r="L397" s="2">
        <f>TYPE(INDEX(,N(OFFSET(INDEX(1,),,))))</f>
        <v>64</v>
      </c>
    </row>
    <row r="398" spans="1:12" x14ac:dyDescent="0.55000000000000004">
      <c r="A398" s="1" t="s">
        <v>1599</v>
      </c>
      <c r="B398" s="2">
        <f>COUNTIF(A:A,A398)-1</f>
        <v>2</v>
      </c>
      <c r="C398" s="2">
        <f>COUNTIF(A$1:A398,A398)-1</f>
        <v>0</v>
      </c>
      <c r="D398" s="2" t="str">
        <f t="shared" si="6"/>
        <v/>
      </c>
      <c r="E398" s="2"/>
      <c r="F398" s="2"/>
      <c r="H398" s="2"/>
      <c r="J398" s="2"/>
      <c r="L398" s="2"/>
    </row>
    <row r="399" spans="1:12" x14ac:dyDescent="0.55000000000000004">
      <c r="A399" s="1" t="s">
        <v>1599</v>
      </c>
      <c r="B399" s="2">
        <f>COUNTIF(A:A,A399)-1</f>
        <v>2</v>
      </c>
      <c r="C399" s="2">
        <f>COUNTIF(A$1:A399,A399)-1</f>
        <v>1</v>
      </c>
      <c r="D399" s="2" t="str">
        <f t="shared" si="6"/>
        <v>v</v>
      </c>
      <c r="E399" s="2" t="e">
        <f>FOPEN(#REF!)</f>
        <v>#REF!</v>
      </c>
      <c r="F399" s="2" t="e">
        <f>FOPEN(+F399:G399,#REF!)</f>
        <v>#REF!</v>
      </c>
      <c r="H399" s="2" t="e">
        <f>FOPEN(H399:I399,#REF!)</f>
        <v>#REF!</v>
      </c>
      <c r="J399" s="2" t="e">
        <f>FOPEN(INDIRECT(J399:K399),#REF!)</f>
        <v>#REF!</v>
      </c>
      <c r="L399" s="2">
        <f>TYPE(INDEX(,FOPEN(OFFSET(INDEX(1,),,),#REF!)))</f>
        <v>64</v>
      </c>
    </row>
    <row r="400" spans="1:12" x14ac:dyDescent="0.55000000000000004">
      <c r="A400" s="1" t="s">
        <v>1599</v>
      </c>
      <c r="B400" s="2">
        <f>COUNTIF(A:A,A400)-1</f>
        <v>2</v>
      </c>
      <c r="C400" s="2">
        <f>COUNTIF(A$1:A400,A400)-1</f>
        <v>2</v>
      </c>
      <c r="D400" s="2" t="str">
        <f t="shared" si="6"/>
        <v>v</v>
      </c>
      <c r="E400" s="2" t="e">
        <f>FOPEN(#REF!,#REF!)</f>
        <v>#REF!</v>
      </c>
      <c r="F400" s="2" t="e">
        <f>FOPEN(#REF!,+F400:G400)</f>
        <v>#REF!</v>
      </c>
      <c r="H400" s="2" t="e">
        <f>FOPEN(#REF!,H400:I400)</f>
        <v>#REF!</v>
      </c>
      <c r="J400" s="2" t="e">
        <f>FOPEN(#REF!,INDIRECT(J400:K400))</f>
        <v>#REF!</v>
      </c>
      <c r="L400" s="2">
        <f>TYPE(INDEX(,FOPEN(#REF!,OFFSET(INDEX(1,),,))))</f>
        <v>64</v>
      </c>
    </row>
    <row r="401" spans="1:12" x14ac:dyDescent="0.55000000000000004">
      <c r="A401" s="1" t="s">
        <v>1600</v>
      </c>
      <c r="B401" s="2">
        <f>COUNTIF(A:A,A401)-1</f>
        <v>1</v>
      </c>
      <c r="C401" s="2">
        <f>COUNTIF(A$1:A401,A401)-1</f>
        <v>0</v>
      </c>
      <c r="D401" s="2" t="str">
        <f t="shared" si="6"/>
        <v/>
      </c>
      <c r="E401" s="2"/>
      <c r="F401" s="2"/>
      <c r="H401" s="2"/>
      <c r="J401" s="2"/>
      <c r="L401" s="2"/>
    </row>
    <row r="402" spans="1:12" x14ac:dyDescent="0.55000000000000004">
      <c r="A402" s="1" t="s">
        <v>1600</v>
      </c>
      <c r="B402" s="2">
        <f>COUNTIF(A:A,A402)-1</f>
        <v>1</v>
      </c>
      <c r="C402" s="2">
        <f>COUNTIF(A$1:A402,A402)-1</f>
        <v>1</v>
      </c>
      <c r="D402" s="2" t="str">
        <f t="shared" si="6"/>
        <v>v</v>
      </c>
      <c r="E402" s="2" t="e">
        <f>FCLOSE(#REF!)</f>
        <v>#REF!</v>
      </c>
      <c r="F402" s="2" t="b">
        <f>FCLOSE(+F402:G402)</f>
        <v>0</v>
      </c>
      <c r="H402" s="2" t="b">
        <f>FCLOSE(H402:I402)</f>
        <v>0</v>
      </c>
      <c r="J402" s="2" t="e">
        <f>FCLOSE(INDIRECT(J402:K402))</f>
        <v>#REF!</v>
      </c>
      <c r="L402" s="2">
        <f>TYPE(INDEX(,FCLOSE(OFFSET(INDEX(1,),,))))</f>
        <v>64</v>
      </c>
    </row>
    <row r="403" spans="1:12" x14ac:dyDescent="0.55000000000000004">
      <c r="A403" s="1" t="s">
        <v>1601</v>
      </c>
      <c r="B403" s="2">
        <f>COUNTIF(A:A,A403)-1</f>
        <v>1</v>
      </c>
      <c r="C403" s="2">
        <f>COUNTIF(A$1:A403,A403)-1</f>
        <v>0</v>
      </c>
      <c r="D403" s="2" t="str">
        <f t="shared" si="6"/>
        <v/>
      </c>
      <c r="E403" s="2"/>
      <c r="F403" s="2"/>
      <c r="H403" s="2"/>
      <c r="J403" s="2"/>
      <c r="L403" s="2"/>
    </row>
    <row r="404" spans="1:12" x14ac:dyDescent="0.55000000000000004">
      <c r="A404" s="1" t="s">
        <v>1601</v>
      </c>
      <c r="B404" s="2">
        <f>COUNTIF(A:A,A404)-1</f>
        <v>1</v>
      </c>
      <c r="C404" s="2">
        <f>COUNTIF(A$1:A404,A404)-1</f>
        <v>1</v>
      </c>
      <c r="D404" s="2" t="str">
        <f t="shared" si="6"/>
        <v>v</v>
      </c>
      <c r="E404" s="2" t="e">
        <f>FSIZE(#REF!)</f>
        <v>#REF!</v>
      </c>
      <c r="F404" s="2" t="b">
        <f>FSIZE(+F404:G404)</f>
        <v>0</v>
      </c>
      <c r="H404" s="2" t="b">
        <f>FSIZE(H404:I404)</f>
        <v>0</v>
      </c>
      <c r="J404" s="2" t="e">
        <f>FSIZE(INDIRECT(J404:K404))</f>
        <v>#REF!</v>
      </c>
      <c r="L404" s="2">
        <f>TYPE(INDEX(,FSIZE(OFFSET(INDEX(1,),,))))</f>
        <v>64</v>
      </c>
    </row>
    <row r="405" spans="1:12" x14ac:dyDescent="0.55000000000000004">
      <c r="A405" s="1" t="s">
        <v>1602</v>
      </c>
      <c r="B405" s="2">
        <f>COUNTIF(A:A,A405)-1</f>
        <v>1</v>
      </c>
      <c r="C405" s="2">
        <f>COUNTIF(A$1:A405,A405)-1</f>
        <v>0</v>
      </c>
      <c r="D405" s="2" t="str">
        <f t="shared" si="6"/>
        <v/>
      </c>
      <c r="E405" s="2"/>
      <c r="F405" s="2"/>
      <c r="H405" s="2"/>
      <c r="J405" s="2"/>
      <c r="L405" s="2"/>
    </row>
    <row r="406" spans="1:12" x14ac:dyDescent="0.55000000000000004">
      <c r="A406" s="1" t="s">
        <v>1602</v>
      </c>
      <c r="B406" s="2">
        <f>COUNTIF(A:A,A406)-1</f>
        <v>1</v>
      </c>
      <c r="C406" s="2">
        <f>COUNTIF(A$1:A406,A406)-1</f>
        <v>1</v>
      </c>
      <c r="D406" s="2" t="str">
        <f t="shared" si="6"/>
        <v>v</v>
      </c>
      <c r="E406" s="2" t="e">
        <f>FREADLN(#REF!)</f>
        <v>#REF!</v>
      </c>
      <c r="F406" s="2" t="b">
        <f>FREADLN(+F406:G406)</f>
        <v>0</v>
      </c>
      <c r="H406" s="2" t="b">
        <f>FREADLN(H406:I406)</f>
        <v>0</v>
      </c>
      <c r="J406" s="2" t="e">
        <f>FREADLN(INDIRECT(J406:K406))</f>
        <v>#REF!</v>
      </c>
      <c r="L406" s="2">
        <f>TYPE(INDEX(,FREADLN(OFFSET(INDEX(1,),,))))</f>
        <v>64</v>
      </c>
    </row>
    <row r="407" spans="1:12" x14ac:dyDescent="0.55000000000000004">
      <c r="A407" s="1" t="s">
        <v>1603</v>
      </c>
      <c r="B407" s="2">
        <f>COUNTIF(A:A,A407)-1</f>
        <v>2</v>
      </c>
      <c r="C407" s="2">
        <f>COUNTIF(A$1:A407,A407)-1</f>
        <v>0</v>
      </c>
      <c r="D407" s="2" t="str">
        <f t="shared" si="6"/>
        <v/>
      </c>
      <c r="E407" s="2"/>
      <c r="F407" s="2"/>
      <c r="H407" s="2"/>
      <c r="J407" s="2"/>
      <c r="L407" s="2"/>
    </row>
    <row r="408" spans="1:12" x14ac:dyDescent="0.55000000000000004">
      <c r="A408" s="1" t="s">
        <v>1603</v>
      </c>
      <c r="B408" s="2">
        <f>COUNTIF(A:A,A408)-1</f>
        <v>2</v>
      </c>
      <c r="C408" s="2">
        <f>COUNTIF(A$1:A408,A408)-1</f>
        <v>1</v>
      </c>
      <c r="D408" s="2" t="str">
        <f t="shared" si="6"/>
        <v>v</v>
      </c>
      <c r="E408" s="2"/>
      <c r="F408" s="2" t="e">
        <f>FREAD(+F408:G408,#REF!)</f>
        <v>#REF!</v>
      </c>
      <c r="H408" s="2" t="e">
        <f>FREAD(H408:I408,#REF!)</f>
        <v>#REF!</v>
      </c>
      <c r="J408" s="2" t="e">
        <f>FREAD(INDIRECT(J408:K408),#REF!)</f>
        <v>#REF!</v>
      </c>
      <c r="L408" s="2">
        <f>TYPE(INDEX(,FREAD(OFFSET(INDEX(1,),,),#REF!)))</f>
        <v>64</v>
      </c>
    </row>
    <row r="409" spans="1:12" x14ac:dyDescent="0.55000000000000004">
      <c r="A409" s="1" t="s">
        <v>1603</v>
      </c>
      <c r="B409" s="2">
        <f>COUNTIF(A:A,A409)-1</f>
        <v>2</v>
      </c>
      <c r="C409" s="2">
        <f>COUNTIF(A$1:A409,A409)-1</f>
        <v>2</v>
      </c>
      <c r="D409" s="2" t="str">
        <f t="shared" si="6"/>
        <v>v</v>
      </c>
      <c r="E409" s="2" t="e">
        <f>FREAD(#REF!,#REF!)</f>
        <v>#REF!</v>
      </c>
      <c r="F409" s="2" t="e">
        <f>FREAD(#REF!,+F409:G409)</f>
        <v>#REF!</v>
      </c>
      <c r="H409" s="2" t="e">
        <f>FREAD(#REF!,H409:I409)</f>
        <v>#REF!</v>
      </c>
      <c r="J409" s="2" t="e">
        <f>FREAD(#REF!,INDIRECT(J409:K409))</f>
        <v>#REF!</v>
      </c>
      <c r="L409" s="2">
        <f>TYPE(INDEX(,FREAD(#REF!,OFFSET(INDEX(1,),,))))</f>
        <v>64</v>
      </c>
    </row>
    <row r="410" spans="1:12" x14ac:dyDescent="0.55000000000000004">
      <c r="A410" s="1" t="s">
        <v>1604</v>
      </c>
      <c r="B410" s="2">
        <f>COUNTIF(A:A,A410)-1</f>
        <v>2</v>
      </c>
      <c r="C410" s="2">
        <f>COUNTIF(A$1:A410,A410)-1</f>
        <v>0</v>
      </c>
      <c r="D410" s="2" t="str">
        <f t="shared" si="6"/>
        <v/>
      </c>
      <c r="E410" s="2"/>
      <c r="F410" s="2"/>
      <c r="H410" s="2"/>
      <c r="J410" s="2"/>
      <c r="L410" s="2"/>
    </row>
    <row r="411" spans="1:12" x14ac:dyDescent="0.55000000000000004">
      <c r="A411" s="1" t="s">
        <v>1604</v>
      </c>
      <c r="B411" s="2">
        <f>COUNTIF(A:A,A411)-1</f>
        <v>2</v>
      </c>
      <c r="C411" s="2">
        <f>COUNTIF(A$1:A411,A411)-1</f>
        <v>1</v>
      </c>
      <c r="D411" s="2" t="str">
        <f t="shared" si="6"/>
        <v>v</v>
      </c>
      <c r="E411" s="2"/>
      <c r="F411" s="2" t="e">
        <f>FWRITELN(+F411:G411,#REF!)</f>
        <v>#REF!</v>
      </c>
      <c r="H411" s="2" t="e">
        <f>FWRITELN(H411:I411,#REF!)</f>
        <v>#REF!</v>
      </c>
      <c r="J411" s="2" t="e">
        <f>FWRITELN(INDIRECT(J411:K411),#REF!)</f>
        <v>#REF!</v>
      </c>
      <c r="L411" s="2">
        <f>TYPE(INDEX(,FWRITELN(OFFSET(INDEX(1,),,),#REF!)))</f>
        <v>64</v>
      </c>
    </row>
    <row r="412" spans="1:12" x14ac:dyDescent="0.55000000000000004">
      <c r="A412" s="1" t="s">
        <v>1604</v>
      </c>
      <c r="B412" s="2">
        <f>COUNTIF(A:A,A412)-1</f>
        <v>2</v>
      </c>
      <c r="C412" s="2">
        <f>COUNTIF(A$1:A412,A412)-1</f>
        <v>2</v>
      </c>
      <c r="D412" s="2" t="str">
        <f t="shared" si="6"/>
        <v>v</v>
      </c>
      <c r="E412" s="2" t="e">
        <f>FWRITELN(#REF!,#REF!)</f>
        <v>#REF!</v>
      </c>
      <c r="F412" s="2" t="e">
        <f>FWRITELN(#REF!,+F412:G412)</f>
        <v>#REF!</v>
      </c>
      <c r="H412" s="2" t="e">
        <f>FWRITELN(#REF!,H412:I412)</f>
        <v>#REF!</v>
      </c>
      <c r="J412" s="2" t="e">
        <f>FWRITELN(#REF!,INDIRECT(J412:K412))</f>
        <v>#REF!</v>
      </c>
      <c r="L412" s="2">
        <f>TYPE(INDEX(,FWRITELN(#REF!,OFFSET(INDEX(1,),,))))</f>
        <v>64</v>
      </c>
    </row>
    <row r="413" spans="1:12" x14ac:dyDescent="0.55000000000000004">
      <c r="A413" s="1" t="s">
        <v>1605</v>
      </c>
      <c r="B413" s="2">
        <f>COUNTIF(A:A,A413)-1</f>
        <v>2</v>
      </c>
      <c r="C413" s="2">
        <f>COUNTIF(A$1:A413,A413)-1</f>
        <v>0</v>
      </c>
      <c r="D413" s="2" t="str">
        <f t="shared" si="6"/>
        <v/>
      </c>
      <c r="E413" s="2"/>
      <c r="F413" s="2"/>
      <c r="H413" s="2"/>
      <c r="J413" s="2"/>
      <c r="L413" s="2"/>
    </row>
    <row r="414" spans="1:12" x14ac:dyDescent="0.55000000000000004">
      <c r="A414" s="1" t="s">
        <v>1605</v>
      </c>
      <c r="B414" s="2">
        <f>COUNTIF(A:A,A414)-1</f>
        <v>2</v>
      </c>
      <c r="C414" s="2">
        <f>COUNTIF(A$1:A414,A414)-1</f>
        <v>1</v>
      </c>
      <c r="D414" s="2" t="str">
        <f t="shared" si="6"/>
        <v>v</v>
      </c>
      <c r="E414" s="2"/>
      <c r="F414" s="2" t="e">
        <f>FWRITE(+F414:G414,#REF!)</f>
        <v>#REF!</v>
      </c>
      <c r="H414" s="2" t="e">
        <f>FWRITE(H414:I414,#REF!)</f>
        <v>#REF!</v>
      </c>
      <c r="J414" s="2" t="e">
        <f>FWRITE(INDIRECT(J414:K414),#REF!)</f>
        <v>#REF!</v>
      </c>
      <c r="L414" s="2">
        <f>TYPE(INDEX(,FWRITE(OFFSET(INDEX(1,),,),#REF!)))</f>
        <v>64</v>
      </c>
    </row>
    <row r="415" spans="1:12" x14ac:dyDescent="0.55000000000000004">
      <c r="A415" s="1" t="s">
        <v>1605</v>
      </c>
      <c r="B415" s="2">
        <f>COUNTIF(A:A,A415)-1</f>
        <v>2</v>
      </c>
      <c r="C415" s="2">
        <f>COUNTIF(A$1:A415,A415)-1</f>
        <v>2</v>
      </c>
      <c r="D415" s="2" t="str">
        <f t="shared" si="6"/>
        <v>v</v>
      </c>
      <c r="E415" s="2" t="e">
        <f>FWRITE(#REF!,#REF!)</f>
        <v>#REF!</v>
      </c>
      <c r="F415" s="2" t="e">
        <f>FWRITE(#REF!,+F415:G415)</f>
        <v>#REF!</v>
      </c>
      <c r="H415" s="2" t="e">
        <f>FWRITE(#REF!,H415:I415)</f>
        <v>#REF!</v>
      </c>
      <c r="J415" s="2" t="e">
        <f>FWRITE(#REF!,INDIRECT(J415:K415))</f>
        <v>#REF!</v>
      </c>
      <c r="L415" s="2">
        <f>TYPE(INDEX(,FWRITE(#REF!,OFFSET(INDEX(1,),,))))</f>
        <v>64</v>
      </c>
    </row>
    <row r="416" spans="1:12" x14ac:dyDescent="0.55000000000000004">
      <c r="A416" s="1" t="s">
        <v>1606</v>
      </c>
      <c r="B416" s="2">
        <f>COUNTIF(A:A,A416)-1</f>
        <v>2</v>
      </c>
      <c r="C416" s="2">
        <f>COUNTIF(A$1:A416,A416)-1</f>
        <v>0</v>
      </c>
      <c r="D416" s="2" t="str">
        <f t="shared" si="6"/>
        <v/>
      </c>
      <c r="E416" s="2"/>
      <c r="F416" s="2"/>
      <c r="H416" s="2"/>
      <c r="J416" s="2"/>
      <c r="L416" s="2"/>
    </row>
    <row r="417" spans="1:12" x14ac:dyDescent="0.55000000000000004">
      <c r="A417" s="1" t="s">
        <v>1606</v>
      </c>
      <c r="B417" s="2">
        <f>COUNTIF(A:A,A417)-1</f>
        <v>2</v>
      </c>
      <c r="C417" s="2">
        <f>COUNTIF(A$1:A417,A417)-1</f>
        <v>1</v>
      </c>
      <c r="D417" s="2" t="str">
        <f t="shared" si="6"/>
        <v>v</v>
      </c>
      <c r="E417" s="2" t="e">
        <f>FPOS(#REF!)</f>
        <v>#REF!</v>
      </c>
      <c r="F417" s="2" t="e">
        <f>FPOS(+F417:G417,#REF!)</f>
        <v>#REF!</v>
      </c>
      <c r="H417" s="2" t="e">
        <f>FPOS(H417:I417,#REF!)</f>
        <v>#REF!</v>
      </c>
      <c r="J417" s="2" t="e">
        <f>FPOS(INDIRECT(J417:K417),#REF!)</f>
        <v>#REF!</v>
      </c>
      <c r="L417" s="2">
        <f>TYPE(INDEX(,FPOS(OFFSET(INDEX(1,),,),#REF!)))</f>
        <v>64</v>
      </c>
    </row>
    <row r="418" spans="1:12" x14ac:dyDescent="0.55000000000000004">
      <c r="A418" s="1" t="s">
        <v>1606</v>
      </c>
      <c r="B418" s="2">
        <f>COUNTIF(A:A,A418)-1</f>
        <v>2</v>
      </c>
      <c r="C418" s="2">
        <f>COUNTIF(A$1:A418,A418)-1</f>
        <v>2</v>
      </c>
      <c r="D418" s="2" t="str">
        <f t="shared" si="6"/>
        <v>v</v>
      </c>
      <c r="E418" s="2" t="e">
        <f>FPOS(#REF!,#REF!)</f>
        <v>#REF!</v>
      </c>
      <c r="F418" s="2" t="e">
        <f>FPOS(#REF!,+F418:G418)</f>
        <v>#REF!</v>
      </c>
      <c r="H418" s="2" t="e">
        <f>FPOS(#REF!,H418:I418)</f>
        <v>#REF!</v>
      </c>
      <c r="J418" s="2" t="e">
        <f>FPOS(#REF!,INDIRECT(J418:K418))</f>
        <v>#REF!</v>
      </c>
      <c r="L418" s="2">
        <f>TYPE(INDEX(,FPOS(#REF!,OFFSET(INDEX(1,),,))))</f>
        <v>64</v>
      </c>
    </row>
    <row r="419" spans="1:12" x14ac:dyDescent="0.55000000000000004">
      <c r="A419" s="1" t="s">
        <v>1607</v>
      </c>
      <c r="B419" s="2">
        <f>COUNTIF(A:A,A419)-1</f>
        <v>1</v>
      </c>
      <c r="C419" s="2">
        <f>COUNTIF(A$1:A419,A419)-1</f>
        <v>0</v>
      </c>
      <c r="D419" s="2" t="str">
        <f t="shared" si="6"/>
        <v/>
      </c>
      <c r="E419" s="2"/>
      <c r="F419" s="2"/>
      <c r="H419" s="2"/>
      <c r="J419" s="2"/>
      <c r="L419" s="2"/>
    </row>
    <row r="420" spans="1:12" x14ac:dyDescent="0.55000000000000004">
      <c r="A420" s="1" t="s">
        <v>1607</v>
      </c>
      <c r="B420" s="2">
        <f>COUNTIF(A:A,A420)-1</f>
        <v>1</v>
      </c>
      <c r="C420" s="2">
        <f>COUNTIF(A$1:A420,A420)-1</f>
        <v>1</v>
      </c>
      <c r="D420" s="2" t="str">
        <f t="shared" si="6"/>
        <v>v</v>
      </c>
      <c r="E420" s="2" t="e">
        <f>DATEVALUE(#REF!)</f>
        <v>#REF!</v>
      </c>
      <c r="F420" s="2" t="e">
        <f>DATEVALUE(+F420:G420)</f>
        <v>#VALUE!</v>
      </c>
      <c r="H420" s="2" t="e">
        <f>DATEVALUE(H420:I420)</f>
        <v>#VALUE!</v>
      </c>
      <c r="J420" s="2" t="e">
        <f>DATEVALUE(INDIRECT(J420:K420))</f>
        <v>#REF!</v>
      </c>
      <c r="L420" s="2">
        <f>TYPE(INDEX(,DATEVALUE(OFFSET(INDEX(1,),,))))</f>
        <v>64</v>
      </c>
    </row>
    <row r="421" spans="1:12" x14ac:dyDescent="0.55000000000000004">
      <c r="A421" s="1" t="s">
        <v>1608</v>
      </c>
      <c r="B421" s="2">
        <f>COUNTIF(A:A,A421)-1</f>
        <v>1</v>
      </c>
      <c r="C421" s="2">
        <f>COUNTIF(A$1:A421,A421)-1</f>
        <v>0</v>
      </c>
      <c r="D421" s="2" t="str">
        <f t="shared" si="6"/>
        <v/>
      </c>
      <c r="E421" s="2"/>
      <c r="F421" s="2"/>
      <c r="H421" s="2"/>
      <c r="J421" s="2"/>
      <c r="L421" s="2"/>
    </row>
    <row r="422" spans="1:12" x14ac:dyDescent="0.55000000000000004">
      <c r="A422" s="1" t="s">
        <v>1608</v>
      </c>
      <c r="B422" s="2">
        <f>COUNTIF(A:A,A422)-1</f>
        <v>1</v>
      </c>
      <c r="C422" s="2">
        <f>COUNTIF(A$1:A422,A422)-1</f>
        <v>1</v>
      </c>
      <c r="D422" s="2" t="str">
        <f t="shared" si="6"/>
        <v>v</v>
      </c>
      <c r="E422" s="2" t="e">
        <f>TIMEVALUE(#REF!)</f>
        <v>#REF!</v>
      </c>
      <c r="F422" s="2" t="e">
        <f>TIMEVALUE(+F422:G422)</f>
        <v>#VALUE!</v>
      </c>
      <c r="H422" s="2" t="e">
        <f>TIMEVALUE(H422:I422)</f>
        <v>#VALUE!</v>
      </c>
      <c r="J422" s="2" t="e">
        <f>TIMEVALUE(INDIRECT(J422:K422))</f>
        <v>#REF!</v>
      </c>
      <c r="L422" s="2">
        <f>TYPE(INDEX(,TIMEVALUE(OFFSET(INDEX(1,),,))))</f>
        <v>64</v>
      </c>
    </row>
    <row r="423" spans="1:12" x14ac:dyDescent="0.55000000000000004">
      <c r="A423" s="1" t="s">
        <v>1609</v>
      </c>
      <c r="B423" s="2">
        <f>COUNTIF(A:A,A423)-1</f>
        <v>3</v>
      </c>
      <c r="C423" s="2">
        <f>COUNTIF(A$1:A423,A423)-1</f>
        <v>0</v>
      </c>
      <c r="D423" s="2" t="str">
        <f t="shared" si="6"/>
        <v/>
      </c>
      <c r="E423" s="2"/>
      <c r="F423" s="2"/>
      <c r="H423" s="2"/>
      <c r="J423" s="2"/>
      <c r="L423" s="2"/>
    </row>
    <row r="424" spans="1:12" x14ac:dyDescent="0.55000000000000004">
      <c r="A424" s="1" t="s">
        <v>1609</v>
      </c>
      <c r="B424" s="2">
        <f>COUNTIF(A:A,A424)-1</f>
        <v>3</v>
      </c>
      <c r="C424" s="2">
        <f>COUNTIF(A$1:A424,A424)-1</f>
        <v>1</v>
      </c>
      <c r="D424" s="2" t="str">
        <f t="shared" si="6"/>
        <v>v</v>
      </c>
      <c r="E424" s="2"/>
      <c r="F424" s="2" t="e">
        <f>SLN(+F424:G424,#REF!,#REF!)</f>
        <v>#REF!</v>
      </c>
      <c r="H424" s="2" t="e">
        <f>SLN(H424:I424,#REF!,#REF!)</f>
        <v>#REF!</v>
      </c>
      <c r="J424" s="2" t="e">
        <f>SLN(INDIRECT(J424:K424),#REF!,#REF!)</f>
        <v>#REF!</v>
      </c>
      <c r="L424" s="2">
        <f>TYPE(INDEX(,SLN(OFFSET(INDEX(1,),,),#REF!,#REF!)))</f>
        <v>64</v>
      </c>
    </row>
    <row r="425" spans="1:12" x14ac:dyDescent="0.55000000000000004">
      <c r="A425" s="1" t="s">
        <v>1609</v>
      </c>
      <c r="B425" s="2">
        <f>COUNTIF(A:A,A425)-1</f>
        <v>3</v>
      </c>
      <c r="C425" s="2">
        <f>COUNTIF(A$1:A425,A425)-1</f>
        <v>2</v>
      </c>
      <c r="D425" s="2" t="str">
        <f t="shared" si="6"/>
        <v>v</v>
      </c>
      <c r="E425" s="2"/>
      <c r="F425" s="2" t="e">
        <f>SLN(#REF!,+F425:G425,#REF!)</f>
        <v>#REF!</v>
      </c>
      <c r="H425" s="2" t="e">
        <f>SLN(#REF!,H425:I425,#REF!)</f>
        <v>#REF!</v>
      </c>
      <c r="J425" s="2" t="e">
        <f>SLN(#REF!,INDIRECT(J425:K425),#REF!)</f>
        <v>#REF!</v>
      </c>
      <c r="L425" s="2">
        <f>TYPE(INDEX(,SLN(#REF!,OFFSET(INDEX(1,),,),#REF!)))</f>
        <v>64</v>
      </c>
    </row>
    <row r="426" spans="1:12" x14ac:dyDescent="0.55000000000000004">
      <c r="A426" s="1" t="s">
        <v>1609</v>
      </c>
      <c r="B426" s="2">
        <f>COUNTIF(A:A,A426)-1</f>
        <v>3</v>
      </c>
      <c r="C426" s="2">
        <f>COUNTIF(A$1:A426,A426)-1</f>
        <v>3</v>
      </c>
      <c r="D426" s="2" t="str">
        <f t="shared" si="6"/>
        <v>v</v>
      </c>
      <c r="E426" s="2" t="e">
        <f>SLN(#REF!,#REF!,#REF!)</f>
        <v>#REF!</v>
      </c>
      <c r="F426" s="2" t="e">
        <f>SLN(#REF!,#REF!,+F426:G426)</f>
        <v>#REF!</v>
      </c>
      <c r="H426" s="2" t="e">
        <f>SLN(#REF!,#REF!,H426:I426)</f>
        <v>#REF!</v>
      </c>
      <c r="J426" s="2" t="e">
        <f>SLN(#REF!,#REF!,INDIRECT(J426:K426))</f>
        <v>#REF!</v>
      </c>
      <c r="L426" s="2">
        <f>TYPE(INDEX(,SLN(#REF!,#REF!,OFFSET(INDEX(1,),,))))</f>
        <v>64</v>
      </c>
    </row>
    <row r="427" spans="1:12" x14ac:dyDescent="0.55000000000000004">
      <c r="A427" s="1" t="s">
        <v>1610</v>
      </c>
      <c r="B427" s="2">
        <f>COUNTIF(A:A,A427)-1</f>
        <v>4</v>
      </c>
      <c r="C427" s="2">
        <f>COUNTIF(A$1:A427,A427)-1</f>
        <v>0</v>
      </c>
      <c r="D427" s="2" t="str">
        <f t="shared" si="6"/>
        <v/>
      </c>
      <c r="E427" s="2"/>
      <c r="F427" s="2"/>
      <c r="H427" s="2"/>
      <c r="J427" s="2"/>
      <c r="L427" s="2"/>
    </row>
    <row r="428" spans="1:12" x14ac:dyDescent="0.55000000000000004">
      <c r="A428" s="1" t="s">
        <v>1610</v>
      </c>
      <c r="B428" s="2">
        <f>COUNTIF(A:A,A428)-1</f>
        <v>4</v>
      </c>
      <c r="C428" s="2">
        <f>COUNTIF(A$1:A428,A428)-1</f>
        <v>1</v>
      </c>
      <c r="D428" s="2" t="str">
        <f t="shared" si="6"/>
        <v>v</v>
      </c>
      <c r="E428" s="2"/>
      <c r="F428" s="2" t="e">
        <f>SYD(+F428:G428,#REF!,#REF!,#REF!)</f>
        <v>#REF!</v>
      </c>
      <c r="H428" s="2" t="e">
        <f>SYD(H428:I428,#REF!,#REF!,#REF!)</f>
        <v>#REF!</v>
      </c>
      <c r="J428" s="2" t="e">
        <f>SYD(INDIRECT(J428:K428),#REF!,#REF!,#REF!)</f>
        <v>#REF!</v>
      </c>
      <c r="L428" s="2">
        <f>TYPE(INDEX(,SYD(OFFSET(INDEX(1,),,),#REF!,#REF!,#REF!)))</f>
        <v>64</v>
      </c>
    </row>
    <row r="429" spans="1:12" x14ac:dyDescent="0.55000000000000004">
      <c r="A429" s="1" t="s">
        <v>1610</v>
      </c>
      <c r="B429" s="2">
        <f>COUNTIF(A:A,A429)-1</f>
        <v>4</v>
      </c>
      <c r="C429" s="2">
        <f>COUNTIF(A$1:A429,A429)-1</f>
        <v>2</v>
      </c>
      <c r="D429" s="2" t="str">
        <f t="shared" si="6"/>
        <v>v</v>
      </c>
      <c r="E429" s="2"/>
      <c r="F429" s="2" t="e">
        <f>SYD(#REF!,+F429:G429,#REF!,#REF!)</f>
        <v>#REF!</v>
      </c>
      <c r="H429" s="2" t="e">
        <f>SYD(#REF!,H429:I429,#REF!,#REF!)</f>
        <v>#REF!</v>
      </c>
      <c r="J429" s="2" t="e">
        <f>SYD(#REF!,INDIRECT(J429:K429),#REF!,#REF!)</f>
        <v>#REF!</v>
      </c>
      <c r="L429" s="2">
        <f>TYPE(INDEX(,SYD(#REF!,OFFSET(INDEX(1,),,),#REF!,#REF!)))</f>
        <v>64</v>
      </c>
    </row>
    <row r="430" spans="1:12" x14ac:dyDescent="0.55000000000000004">
      <c r="A430" s="1" t="s">
        <v>1610</v>
      </c>
      <c r="B430" s="2">
        <f>COUNTIF(A:A,A430)-1</f>
        <v>4</v>
      </c>
      <c r="C430" s="2">
        <f>COUNTIF(A$1:A430,A430)-1</f>
        <v>3</v>
      </c>
      <c r="D430" s="2" t="str">
        <f t="shared" si="6"/>
        <v>v</v>
      </c>
      <c r="E430" s="2"/>
      <c r="F430" s="2" t="e">
        <f>SYD(#REF!,#REF!,+F430:G430,#REF!)</f>
        <v>#REF!</v>
      </c>
      <c r="H430" s="2" t="e">
        <f>SYD(#REF!,#REF!,H430:I430,#REF!)</f>
        <v>#REF!</v>
      </c>
      <c r="J430" s="2" t="e">
        <f>SYD(#REF!,#REF!,INDIRECT(J430:K430),#REF!)</f>
        <v>#REF!</v>
      </c>
      <c r="L430" s="2">
        <f>TYPE(INDEX(,SYD(#REF!,#REF!,OFFSET(INDEX(1,),,),#REF!)))</f>
        <v>64</v>
      </c>
    </row>
    <row r="431" spans="1:12" x14ac:dyDescent="0.55000000000000004">
      <c r="A431" s="1" t="s">
        <v>1610</v>
      </c>
      <c r="B431" s="2">
        <f>COUNTIF(A:A,A431)-1</f>
        <v>4</v>
      </c>
      <c r="C431" s="2">
        <f>COUNTIF(A$1:A431,A431)-1</f>
        <v>4</v>
      </c>
      <c r="D431" s="2" t="str">
        <f t="shared" si="6"/>
        <v>v</v>
      </c>
      <c r="E431" s="2" t="e">
        <f>SYD(#REF!,#REF!,#REF!,#REF!)</f>
        <v>#REF!</v>
      </c>
      <c r="F431" s="2" t="e">
        <f>SYD(#REF!,#REF!,#REF!,+F431:G431)</f>
        <v>#REF!</v>
      </c>
      <c r="H431" s="2" t="e">
        <f>SYD(#REF!,#REF!,#REF!,H431:I431)</f>
        <v>#REF!</v>
      </c>
      <c r="J431" s="2" t="e">
        <f>SYD(#REF!,#REF!,#REF!,INDIRECT(J431:K431))</f>
        <v>#REF!</v>
      </c>
      <c r="L431" s="2">
        <f>TYPE(INDEX(,SYD(#REF!,#REF!,#REF!,OFFSET(INDEX(1,),,))))</f>
        <v>64</v>
      </c>
    </row>
    <row r="432" spans="1:12" x14ac:dyDescent="0.55000000000000004">
      <c r="A432" s="1" t="s">
        <v>1611</v>
      </c>
      <c r="B432" s="2">
        <f>COUNTIF(A:A,A432)-1</f>
        <v>5</v>
      </c>
      <c r="C432" s="2">
        <f>COUNTIF(A$1:A432,A432)-1</f>
        <v>0</v>
      </c>
      <c r="D432" s="2" t="str">
        <f t="shared" si="6"/>
        <v/>
      </c>
      <c r="E432" s="2"/>
      <c r="F432" s="2"/>
      <c r="H432" s="2"/>
      <c r="J432" s="2"/>
      <c r="L432" s="2"/>
    </row>
    <row r="433" spans="1:12" x14ac:dyDescent="0.55000000000000004">
      <c r="A433" s="1" t="s">
        <v>1611</v>
      </c>
      <c r="B433" s="2">
        <f>COUNTIF(A:A,A433)-1</f>
        <v>5</v>
      </c>
      <c r="C433" s="2">
        <f>COUNTIF(A$1:A433,A433)-1</f>
        <v>1</v>
      </c>
      <c r="D433" s="2" t="str">
        <f t="shared" si="6"/>
        <v>v</v>
      </c>
      <c r="E433" s="2"/>
      <c r="F433" s="2" t="e">
        <f>DDB(+F433:G433,#REF!,#REF!,#REF!,#REF!)</f>
        <v>#REF!</v>
      </c>
      <c r="H433" s="2" t="e">
        <f>DDB(H433:I433,#REF!,#REF!,#REF!,#REF!)</f>
        <v>#REF!</v>
      </c>
      <c r="J433" s="2" t="e">
        <f>DDB(INDIRECT(J433:K433),#REF!,#REF!,#REF!,#REF!)</f>
        <v>#REF!</v>
      </c>
      <c r="L433" s="2">
        <f>TYPE(INDEX(,DDB(OFFSET(INDEX(1,),,),#REF!,#REF!,#REF!,#REF!)))</f>
        <v>64</v>
      </c>
    </row>
    <row r="434" spans="1:12" x14ac:dyDescent="0.55000000000000004">
      <c r="A434" s="1" t="s">
        <v>1611</v>
      </c>
      <c r="B434" s="2">
        <f>COUNTIF(A:A,A434)-1</f>
        <v>5</v>
      </c>
      <c r="C434" s="2">
        <f>COUNTIF(A$1:A434,A434)-1</f>
        <v>2</v>
      </c>
      <c r="D434" s="2" t="str">
        <f t="shared" si="6"/>
        <v>v</v>
      </c>
      <c r="E434" s="2"/>
      <c r="F434" s="2" t="e">
        <f>DDB(#REF!,+F434:G434,#REF!,#REF!,#REF!)</f>
        <v>#REF!</v>
      </c>
      <c r="H434" s="2" t="e">
        <f>DDB(#REF!,H434:I434,#REF!,#REF!,#REF!)</f>
        <v>#REF!</v>
      </c>
      <c r="J434" s="2" t="e">
        <f>DDB(#REF!,INDIRECT(J434:K434),#REF!,#REF!,#REF!)</f>
        <v>#REF!</v>
      </c>
      <c r="L434" s="2">
        <f>TYPE(INDEX(,DDB(#REF!,OFFSET(INDEX(1,),,),#REF!,#REF!,#REF!)))</f>
        <v>64</v>
      </c>
    </row>
    <row r="435" spans="1:12" x14ac:dyDescent="0.55000000000000004">
      <c r="A435" s="1" t="s">
        <v>1611</v>
      </c>
      <c r="B435" s="2">
        <f>COUNTIF(A:A,A435)-1</f>
        <v>5</v>
      </c>
      <c r="C435" s="2">
        <f>COUNTIF(A$1:A435,A435)-1</f>
        <v>3</v>
      </c>
      <c r="D435" s="2" t="str">
        <f t="shared" si="6"/>
        <v>v</v>
      </c>
      <c r="E435" s="2"/>
      <c r="F435" s="2" t="e">
        <f>DDB(#REF!,#REF!,+F435:G435,#REF!,#REF!)</f>
        <v>#REF!</v>
      </c>
      <c r="H435" s="2" t="e">
        <f>DDB(#REF!,#REF!,H435:I435,#REF!,#REF!)</f>
        <v>#REF!</v>
      </c>
      <c r="J435" s="2" t="e">
        <f>DDB(#REF!,#REF!,INDIRECT(J435:K435),#REF!,#REF!)</f>
        <v>#REF!</v>
      </c>
      <c r="L435" s="2">
        <f>TYPE(INDEX(,DDB(#REF!,#REF!,OFFSET(INDEX(1,),,),#REF!,#REF!)))</f>
        <v>64</v>
      </c>
    </row>
    <row r="436" spans="1:12" x14ac:dyDescent="0.55000000000000004">
      <c r="A436" s="1" t="s">
        <v>1611</v>
      </c>
      <c r="B436" s="2">
        <f>COUNTIF(A:A,A436)-1</f>
        <v>5</v>
      </c>
      <c r="C436" s="2">
        <f>COUNTIF(A$1:A436,A436)-1</f>
        <v>4</v>
      </c>
      <c r="D436" s="2" t="str">
        <f t="shared" si="6"/>
        <v>v</v>
      </c>
      <c r="E436" s="2" t="e">
        <f>DDB(#REF!,#REF!,#REF!,#REF!)</f>
        <v>#REF!</v>
      </c>
      <c r="F436" s="2" t="e">
        <f>DDB(#REF!,#REF!,#REF!,+F436:G436,#REF!)</f>
        <v>#REF!</v>
      </c>
      <c r="H436" s="2" t="e">
        <f>DDB(#REF!,#REF!,#REF!,H436:I436,#REF!)</f>
        <v>#REF!</v>
      </c>
      <c r="J436" s="2" t="e">
        <f>DDB(#REF!,#REF!,#REF!,INDIRECT(J436:K436),#REF!)</f>
        <v>#REF!</v>
      </c>
      <c r="L436" s="2">
        <f>TYPE(INDEX(,DDB(#REF!,#REF!,#REF!,OFFSET(INDEX(1,),,),#REF!)))</f>
        <v>64</v>
      </c>
    </row>
    <row r="437" spans="1:12" x14ac:dyDescent="0.55000000000000004">
      <c r="A437" s="1" t="s">
        <v>1611</v>
      </c>
      <c r="B437" s="2">
        <f>COUNTIF(A:A,A437)-1</f>
        <v>5</v>
      </c>
      <c r="C437" s="2">
        <f>COUNTIF(A$1:A437,A437)-1</f>
        <v>5</v>
      </c>
      <c r="D437" s="2" t="str">
        <f t="shared" si="6"/>
        <v>v</v>
      </c>
      <c r="E437" s="2" t="e">
        <f>DDB(#REF!,#REF!,#REF!,#REF!,#REF!)</f>
        <v>#REF!</v>
      </c>
      <c r="F437" s="2" t="e">
        <f>DDB(#REF!,#REF!,#REF!,#REF!,+F437:G437)</f>
        <v>#REF!</v>
      </c>
      <c r="H437" s="2" t="e">
        <f>DDB(#REF!,#REF!,#REF!,#REF!,H437:I437)</f>
        <v>#REF!</v>
      </c>
      <c r="J437" s="2" t="e">
        <f>DDB(#REF!,#REF!,#REF!,#REF!,INDIRECT(J437:K437))</f>
        <v>#REF!</v>
      </c>
      <c r="L437" s="2">
        <f>TYPE(INDEX(,DDB(#REF!,#REF!,#REF!,#REF!,OFFSET(INDEX(1,),,))))</f>
        <v>64</v>
      </c>
    </row>
    <row r="438" spans="1:12" x14ac:dyDescent="0.55000000000000004">
      <c r="A438" s="1" t="s">
        <v>1612</v>
      </c>
      <c r="B438" s="2">
        <f>COUNTIF(A:A,A438)-1</f>
        <v>3</v>
      </c>
      <c r="C438" s="2">
        <f>COUNTIF(A$1:A438,A438)-1</f>
        <v>0</v>
      </c>
      <c r="D438" s="2" t="str">
        <f t="shared" si="6"/>
        <v/>
      </c>
      <c r="E438" s="2"/>
      <c r="F438" s="2"/>
      <c r="H438" s="2"/>
      <c r="J438" s="2"/>
      <c r="L438" s="2"/>
    </row>
    <row r="439" spans="1:12" x14ac:dyDescent="0.55000000000000004">
      <c r="A439" s="1" t="s">
        <v>1612</v>
      </c>
      <c r="B439" s="2">
        <f>COUNTIF(A:A,A439)-1</f>
        <v>3</v>
      </c>
      <c r="C439" s="2">
        <f>COUNTIF(A$1:A439,A439)-1</f>
        <v>1</v>
      </c>
      <c r="D439" s="2" t="str">
        <f t="shared" si="6"/>
        <v>v</v>
      </c>
      <c r="E439" s="2" t="e">
        <f>GET.DEF(#REF!)</f>
        <v>#REF!</v>
      </c>
      <c r="F439" s="2" t="e">
        <f>GET.DEF(+F439:G439,#REF!,#REF!)</f>
        <v>#REF!</v>
      </c>
      <c r="H439" s="2" t="e">
        <f>GET.DEF(H439:I439,#REF!,#REF!)</f>
        <v>#REF!</v>
      </c>
      <c r="J439" s="2" t="e">
        <f>GET.DEF(INDIRECT(J439:K439),#REF!,#REF!)</f>
        <v>#REF!</v>
      </c>
      <c r="L439" s="2">
        <f>TYPE(INDEX(,GET.DEF(OFFSET(INDEX(1,),,),#REF!,#REF!)))</f>
        <v>64</v>
      </c>
    </row>
    <row r="440" spans="1:12" x14ac:dyDescent="0.55000000000000004">
      <c r="A440" s="1" t="s">
        <v>1612</v>
      </c>
      <c r="B440" s="2">
        <f>COUNTIF(A:A,A440)-1</f>
        <v>3</v>
      </c>
      <c r="C440" s="2">
        <f>COUNTIF(A$1:A440,A440)-1</f>
        <v>2</v>
      </c>
      <c r="D440" s="2" t="str">
        <f t="shared" si="6"/>
        <v>v</v>
      </c>
      <c r="E440" s="2" t="e">
        <f>GET.DEF(#REF!,#REF!)</f>
        <v>#REF!</v>
      </c>
      <c r="F440" s="2" t="e">
        <f>GET.DEF(#REF!,+F440:G440,#REF!)</f>
        <v>#REF!</v>
      </c>
      <c r="H440" s="2" t="e">
        <f>GET.DEF(#REF!,H440:I440,#REF!)</f>
        <v>#REF!</v>
      </c>
      <c r="J440" s="2" t="e">
        <f>GET.DEF(#REF!,INDIRECT(J440:K440),#REF!)</f>
        <v>#REF!</v>
      </c>
      <c r="L440" s="2">
        <f>TYPE(INDEX(,GET.DEF(#REF!,OFFSET(INDEX(1,),,),#REF!)))</f>
        <v>64</v>
      </c>
    </row>
    <row r="441" spans="1:12" x14ac:dyDescent="0.55000000000000004">
      <c r="A441" s="1" t="s">
        <v>1612</v>
      </c>
      <c r="B441" s="2">
        <f>COUNTIF(A:A,A441)-1</f>
        <v>3</v>
      </c>
      <c r="C441" s="2">
        <f>COUNTIF(A$1:A441,A441)-1</f>
        <v>3</v>
      </c>
      <c r="D441" s="2" t="str">
        <f t="shared" si="6"/>
        <v>v</v>
      </c>
      <c r="E441" s="2" t="e">
        <f>GET.DEF(#REF!,#REF!,#REF!)</f>
        <v>#REF!</v>
      </c>
      <c r="F441" s="2" t="e">
        <f>GET.DEF(#REF!,#REF!,+F441:G441)</f>
        <v>#REF!</v>
      </c>
      <c r="H441" s="2" t="e">
        <f>GET.DEF(#REF!,#REF!,H441:I441)</f>
        <v>#REF!</v>
      </c>
      <c r="J441" s="2" t="e">
        <f>GET.DEF(#REF!,#REF!,INDIRECT(J441:K441))</f>
        <v>#REF!</v>
      </c>
      <c r="L441" s="2">
        <f>TYPE(INDEX(,GET.DEF(#REF!,#REF!,OFFSET(INDEX(1,),,))))</f>
        <v>64</v>
      </c>
    </row>
    <row r="442" spans="1:12" x14ac:dyDescent="0.55000000000000004">
      <c r="A442" s="1" t="s">
        <v>1613</v>
      </c>
      <c r="B442" s="2">
        <f>COUNTIF(A:A,A442)-1</f>
        <v>2</v>
      </c>
      <c r="C442" s="2">
        <f>COUNTIF(A$1:A442,A442)-1</f>
        <v>0</v>
      </c>
      <c r="D442" s="2" t="str">
        <f t="shared" si="6"/>
        <v/>
      </c>
      <c r="E442" s="2"/>
      <c r="F442" s="2"/>
      <c r="H442" s="2"/>
      <c r="J442" s="2"/>
      <c r="L442" s="2"/>
    </row>
    <row r="443" spans="1:12" x14ac:dyDescent="0.55000000000000004">
      <c r="A443" s="1" t="s">
        <v>1613</v>
      </c>
      <c r="B443" s="2">
        <f>COUNTIF(A:A,A443)-1</f>
        <v>2</v>
      </c>
      <c r="C443" s="2">
        <f>COUNTIF(A$1:A443,A443)-1</f>
        <v>1</v>
      </c>
      <c r="D443" s="2" t="str">
        <f t="shared" si="6"/>
        <v>r</v>
      </c>
      <c r="E443" s="2" t="e">
        <f>REFTEXT(#REF!)</f>
        <v>#REF!</v>
      </c>
      <c r="F443" s="2"/>
      <c r="H443" s="2" t="e">
        <f>REFTEXT(H443:I443,#REF!)</f>
        <v>#REF!</v>
      </c>
      <c r="I443" s="1">
        <v>1</v>
      </c>
      <c r="J443" s="2" t="e">
        <f>REFTEXT(INDIRECT(J443:K443),#REF!)</f>
        <v>#REF!</v>
      </c>
      <c r="L443" s="2">
        <f>TYPE(INDEX(,REFTEXT(OFFSET(INDEX(1,),,),#REF!)))</f>
        <v>64</v>
      </c>
    </row>
    <row r="444" spans="1:12" x14ac:dyDescent="0.55000000000000004">
      <c r="A444" s="1" t="s">
        <v>1613</v>
      </c>
      <c r="B444" s="2">
        <f>COUNTIF(A:A,A444)-1</f>
        <v>2</v>
      </c>
      <c r="C444" s="2">
        <f>COUNTIF(A$1:A444,A444)-1</f>
        <v>2</v>
      </c>
      <c r="D444" s="2" t="str">
        <f t="shared" si="6"/>
        <v>v</v>
      </c>
      <c r="E444" s="2" t="e">
        <f>REFTEXT(#REF!,#REF!)</f>
        <v>#REF!</v>
      </c>
      <c r="F444" s="2" t="e">
        <f>REFTEXT(#REF!,+F444:G444)</f>
        <v>#REF!</v>
      </c>
      <c r="H444" s="2" t="e">
        <f>REFTEXT(#REF!,H444:I444)</f>
        <v>#REF!</v>
      </c>
      <c r="J444" s="2" t="e">
        <f>REFTEXT(#REF!,INDIRECT(J444:K444))</f>
        <v>#REF!</v>
      </c>
      <c r="L444" s="2">
        <f>TYPE(INDEX(,REFTEXT(#REF!,OFFSET(INDEX(1,),,))))</f>
        <v>64</v>
      </c>
    </row>
    <row r="445" spans="1:12" x14ac:dyDescent="0.55000000000000004">
      <c r="A445" s="1" t="s">
        <v>1614</v>
      </c>
      <c r="B445" s="2">
        <f>COUNTIF(A:A,A445)-1</f>
        <v>2</v>
      </c>
      <c r="C445" s="2">
        <f>COUNTIF(A$1:A445,A445)-1</f>
        <v>0</v>
      </c>
      <c r="D445" s="2" t="str">
        <f t="shared" si="6"/>
        <v/>
      </c>
      <c r="E445" s="2"/>
      <c r="F445" s="2"/>
      <c r="H445" s="2"/>
      <c r="J445" s="2"/>
      <c r="L445" s="2"/>
    </row>
    <row r="446" spans="1:12" x14ac:dyDescent="0.55000000000000004">
      <c r="A446" s="1" t="s">
        <v>1614</v>
      </c>
      <c r="B446" s="2">
        <f>COUNTIF(A:A,A446)-1</f>
        <v>2</v>
      </c>
      <c r="C446" s="2">
        <f>COUNTIF(A$1:A446,A446)-1</f>
        <v>1</v>
      </c>
      <c r="D446" s="2" t="str">
        <f t="shared" si="6"/>
        <v>v</v>
      </c>
      <c r="E446" s="2" t="e">
        <f>TEXTREF(#REF!)</f>
        <v>#REF!</v>
      </c>
      <c r="F446" s="2" t="e">
        <f>TEXTREF(+F446:G446,#REF!)</f>
        <v>#REF!</v>
      </c>
      <c r="H446" s="2" t="e">
        <f>TEXTREF(H446:I446,#REF!)</f>
        <v>#REF!</v>
      </c>
      <c r="J446" s="2" t="e">
        <f>TEXTREF(INDIRECT(J446:K446),#REF!)</f>
        <v>#REF!</v>
      </c>
      <c r="L446" s="2">
        <f>TYPE(INDEX(,TEXTREF(OFFSET(INDEX(1,),,),#REF!)))</f>
        <v>64</v>
      </c>
    </row>
    <row r="447" spans="1:12" x14ac:dyDescent="0.55000000000000004">
      <c r="A447" s="1" t="s">
        <v>1614</v>
      </c>
      <c r="B447" s="2">
        <f>COUNTIF(A:A,A447)-1</f>
        <v>2</v>
      </c>
      <c r="C447" s="2">
        <f>COUNTIF(A$1:A447,A447)-1</f>
        <v>2</v>
      </c>
      <c r="D447" s="2" t="str">
        <f t="shared" si="6"/>
        <v>v</v>
      </c>
      <c r="E447" s="2" t="e">
        <f>TEXTREF(#REF!,#REF!)</f>
        <v>#REF!</v>
      </c>
      <c r="F447" s="2" t="e">
        <f>TEXTREF(#REF!,+F447:G447)</f>
        <v>#REF!</v>
      </c>
      <c r="H447" s="2" t="e">
        <f>TEXTREF(#REF!,H447:I447)</f>
        <v>#REF!</v>
      </c>
      <c r="J447" s="2" t="e">
        <f>TEXTREF(#REF!,INDIRECT(J447:K447))</f>
        <v>#REF!</v>
      </c>
      <c r="L447" s="2">
        <f>TYPE(INDEX(,TEXTREF(#REF!,OFFSET(INDEX(1,),,))))</f>
        <v>64</v>
      </c>
    </row>
    <row r="448" spans="1:12" x14ac:dyDescent="0.55000000000000004">
      <c r="A448" s="1" t="s">
        <v>1615</v>
      </c>
      <c r="B448" s="2">
        <f>COUNTIF(A:A,A448)-1</f>
        <v>2</v>
      </c>
      <c r="C448" s="2">
        <f>COUNTIF(A$1:A448,A448)-1</f>
        <v>0</v>
      </c>
      <c r="D448" s="2" t="str">
        <f t="shared" si="6"/>
        <v/>
      </c>
      <c r="E448" s="2"/>
      <c r="F448" s="2"/>
      <c r="H448" s="2"/>
      <c r="J448" s="2"/>
      <c r="L448" s="2"/>
    </row>
    <row r="449" spans="1:12" x14ac:dyDescent="0.55000000000000004">
      <c r="A449" s="1" t="s">
        <v>1615</v>
      </c>
      <c r="B449" s="2">
        <f>COUNTIF(A:A,A449)-1</f>
        <v>2</v>
      </c>
      <c r="C449" s="2">
        <f>COUNTIF(A$1:A449,A449)-1</f>
        <v>1</v>
      </c>
      <c r="D449" s="2" t="str">
        <f t="shared" si="6"/>
        <v>v</v>
      </c>
      <c r="E449" s="2" t="e">
        <f>INDIRECT(#REF!)</f>
        <v>#REF!</v>
      </c>
      <c r="F449" s="2" t="e">
        <f>INDIRECT(+F449:G449,#REF!)</f>
        <v>#REF!</v>
      </c>
      <c r="H449" s="2" t="e">
        <f>INDIRECT(H449:I449,#REF!)</f>
        <v>#REF!</v>
      </c>
      <c r="J449" s="2" t="e">
        <f>INDIRECT(INDIRECT(J449:K449),#REF!)</f>
        <v>#REF!</v>
      </c>
      <c r="L449" s="2">
        <f>TYPE(INDEX(,INDIRECT(OFFSET(INDEX(1,),,),#REF!)))</f>
        <v>64</v>
      </c>
    </row>
    <row r="450" spans="1:12" x14ac:dyDescent="0.55000000000000004">
      <c r="A450" s="1" t="s">
        <v>1615</v>
      </c>
      <c r="B450" s="2">
        <f>COUNTIF(A:A,A450)-1</f>
        <v>2</v>
      </c>
      <c r="C450" s="2">
        <f>COUNTIF(A$1:A450,A450)-1</f>
        <v>2</v>
      </c>
      <c r="D450" s="2" t="str">
        <f t="shared" ref="D450:D513" si="7">IF(C450&gt;0,IF(COUNTA(F450:G450)=1,"v",)&amp;IF(L450=64,,"a")&amp;IF(COUNTA(I450,K450)=1,"r",),"")</f>
        <v>v</v>
      </c>
      <c r="E450" s="2" t="e">
        <f>INDIRECT(#REF!,#REF!)</f>
        <v>#REF!</v>
      </c>
      <c r="F450" s="2" t="e">
        <f>INDIRECT(#REF!,+F450:G450)</f>
        <v>#REF!</v>
      </c>
      <c r="H450" s="2" t="e">
        <f>INDIRECT(#REF!,H450:I450)</f>
        <v>#REF!</v>
      </c>
      <c r="J450" s="2" t="e">
        <f>INDIRECT(#REF!,INDIRECT(J450:K450))</f>
        <v>#REF!</v>
      </c>
      <c r="L450" s="2">
        <f>TYPE(INDEX(,INDIRECT(#REF!,OFFSET(INDEX(1,),,))))</f>
        <v>64</v>
      </c>
    </row>
    <row r="451" spans="1:12" x14ac:dyDescent="0.55000000000000004">
      <c r="A451" s="1" t="s">
        <v>1616</v>
      </c>
      <c r="B451" s="2">
        <f>COUNTIF(A:A,A451)-1</f>
        <v>12</v>
      </c>
      <c r="C451" s="2">
        <f>COUNTIF(A$1:A451,A451)-1</f>
        <v>0</v>
      </c>
      <c r="D451" s="2" t="str">
        <f t="shared" si="7"/>
        <v/>
      </c>
      <c r="E451" s="2"/>
      <c r="F451" s="2"/>
      <c r="H451" s="2"/>
      <c r="J451" s="2"/>
      <c r="L451" s="2"/>
    </row>
    <row r="452" spans="1:12" x14ac:dyDescent="0.55000000000000004">
      <c r="A452" s="1" t="s">
        <v>1616</v>
      </c>
      <c r="B452" s="2">
        <f>COUNTIF(A:A,A452)-1</f>
        <v>12</v>
      </c>
      <c r="C452" s="2">
        <f>COUNTIF(A$1:A452,A452)-1</f>
        <v>1</v>
      </c>
      <c r="D452" s="2" t="str">
        <f t="shared" si="7"/>
        <v>v</v>
      </c>
      <c r="E452" s="2" t="e">
        <f>REGISTER(#REF!)</f>
        <v>#REF!</v>
      </c>
      <c r="F452" s="2" t="e">
        <f>REGISTER(+F452:G452,#REF!,#REF!,#REF!,#REF!,#REF!,#REF!,#REF!,#REF!,#REF!,#REF!,#REF!)</f>
        <v>#REF!</v>
      </c>
      <c r="H452" s="2" t="e">
        <f>REGISTER(H452:I452,#REF!,#REF!,#REF!,#REF!,#REF!,#REF!,#REF!,#REF!,#REF!,#REF!,#REF!)</f>
        <v>#REF!</v>
      </c>
      <c r="J452" s="2" t="e">
        <f>REGISTER(INDIRECT(J452:K452),#REF!,#REF!,#REF!,#REF!,#REF!,#REF!,#REF!,#REF!,#REF!,#REF!,#REF!)</f>
        <v>#REF!</v>
      </c>
      <c r="L452" s="2">
        <f>TYPE(INDEX(,REGISTER(OFFSET(INDEX(1,),,),#REF!,#REF!,#REF!,#REF!,#REF!,#REF!,#REF!,#REF!,#REF!,#REF!,#REF!)))</f>
        <v>64</v>
      </c>
    </row>
    <row r="453" spans="1:12" x14ac:dyDescent="0.55000000000000004">
      <c r="A453" s="1" t="s">
        <v>1616</v>
      </c>
      <c r="B453" s="2">
        <f>COUNTIF(A:A,A453)-1</f>
        <v>12</v>
      </c>
      <c r="C453" s="2">
        <f>COUNTIF(A$1:A453,A453)-1</f>
        <v>2</v>
      </c>
      <c r="D453" s="2" t="str">
        <f t="shared" si="7"/>
        <v>v</v>
      </c>
      <c r="E453" s="2" t="e">
        <f>REGISTER(#REF!,#REF!)</f>
        <v>#REF!</v>
      </c>
      <c r="F453" s="2" t="e">
        <f>REGISTER(#REF!,+F453:G453,#REF!,#REF!,#REF!,#REF!,#REF!,#REF!,#REF!,#REF!,#REF!,#REF!)</f>
        <v>#REF!</v>
      </c>
      <c r="H453" s="2" t="e">
        <f>REGISTER(#REF!,H453:I453,#REF!,#REF!,#REF!,#REF!,#REF!,#REF!,#REF!,#REF!,#REF!,#REF!)</f>
        <v>#REF!</v>
      </c>
      <c r="J453" s="2" t="e">
        <f>REGISTER(#REF!,INDIRECT(J453:K453),#REF!,#REF!,#REF!,#REF!,#REF!,#REF!,#REF!,#REF!,#REF!,#REF!)</f>
        <v>#REF!</v>
      </c>
      <c r="L453" s="2">
        <f>TYPE(INDEX(,REGISTER(#REF!,OFFSET(INDEX(1,),,),#REF!,#REF!,#REF!,#REF!,#REF!,#REF!,#REF!,#REF!,#REF!,#REF!)))</f>
        <v>64</v>
      </c>
    </row>
    <row r="454" spans="1:12" x14ac:dyDescent="0.55000000000000004">
      <c r="A454" s="1" t="s">
        <v>1616</v>
      </c>
      <c r="B454" s="2">
        <f>COUNTIF(A:A,A454)-1</f>
        <v>12</v>
      </c>
      <c r="C454" s="2">
        <f>COUNTIF(A$1:A454,A454)-1</f>
        <v>3</v>
      </c>
      <c r="D454" s="2" t="str">
        <f t="shared" si="7"/>
        <v>v</v>
      </c>
      <c r="E454" s="2" t="e">
        <f>REGISTER(#REF!,#REF!,#REF!)</f>
        <v>#REF!</v>
      </c>
      <c r="F454" s="2" t="e">
        <f>REGISTER(#REF!,#REF!,+F454:G454,#REF!,#REF!,#REF!,#REF!,#REF!,#REF!,#REF!,#REF!,#REF!)</f>
        <v>#REF!</v>
      </c>
      <c r="H454" s="2" t="e">
        <f>REGISTER(#REF!,#REF!,H454:I454,#REF!,#REF!,#REF!,#REF!,#REF!,#REF!,#REF!,#REF!,#REF!)</f>
        <v>#REF!</v>
      </c>
      <c r="J454" s="2" t="e">
        <f>REGISTER(#REF!,#REF!,INDIRECT(J454:K454),#REF!,#REF!,#REF!,#REF!,#REF!,#REF!,#REF!,#REF!,#REF!)</f>
        <v>#REF!</v>
      </c>
      <c r="L454" s="2">
        <f>TYPE(INDEX(,REGISTER(#REF!,#REF!,OFFSET(INDEX(1,),,),#REF!,#REF!,#REF!,#REF!,#REF!,#REF!,#REF!,#REF!,#REF!)))</f>
        <v>64</v>
      </c>
    </row>
    <row r="455" spans="1:12" x14ac:dyDescent="0.55000000000000004">
      <c r="A455" s="1" t="s">
        <v>1616</v>
      </c>
      <c r="B455" s="2">
        <f>COUNTIF(A:A,A455)-1</f>
        <v>12</v>
      </c>
      <c r="C455" s="2">
        <f>COUNTIF(A$1:A455,A455)-1</f>
        <v>4</v>
      </c>
      <c r="D455" s="2" t="str">
        <f t="shared" si="7"/>
        <v>v</v>
      </c>
      <c r="E455" s="2" t="e">
        <f>REGISTER(#REF!,#REF!,#REF!,#REF!)</f>
        <v>#REF!</v>
      </c>
      <c r="F455" s="2" t="e">
        <f>REGISTER(#REF!,#REF!,#REF!,+F455:G455,#REF!,#REF!,#REF!,#REF!,#REF!,#REF!,#REF!,#REF!)</f>
        <v>#REF!</v>
      </c>
      <c r="H455" s="2" t="e">
        <f>REGISTER(#REF!,#REF!,#REF!,H455:I455,#REF!,#REF!,#REF!,#REF!,#REF!,#REF!,#REF!,#REF!)</f>
        <v>#REF!</v>
      </c>
      <c r="J455" s="2" t="e">
        <f>REGISTER(#REF!,#REF!,#REF!,INDIRECT(J455:K455),#REF!,#REF!,#REF!,#REF!,#REF!,#REF!,#REF!,#REF!)</f>
        <v>#REF!</v>
      </c>
      <c r="L455" s="2">
        <f>TYPE(INDEX(,REGISTER(#REF!,#REF!,#REF!,OFFSET(INDEX(1,),,),#REF!,#REF!,#REF!,#REF!,#REF!,#REF!,#REF!,#REF!)))</f>
        <v>64</v>
      </c>
    </row>
    <row r="456" spans="1:12" x14ac:dyDescent="0.55000000000000004">
      <c r="A456" s="1" t="s">
        <v>1616</v>
      </c>
      <c r="B456" s="2">
        <f>COUNTIF(A:A,A456)-1</f>
        <v>12</v>
      </c>
      <c r="C456" s="2">
        <f>COUNTIF(A$1:A456,A456)-1</f>
        <v>5</v>
      </c>
      <c r="D456" s="2" t="str">
        <f t="shared" si="7"/>
        <v>v</v>
      </c>
      <c r="E456" s="2" t="e">
        <f>REGISTER(#REF!,#REF!,#REF!,#REF!,#REF!)</f>
        <v>#REF!</v>
      </c>
      <c r="F456" s="2" t="e">
        <f>REGISTER(#REF!,#REF!,#REF!,#REF!,+F456:G456,#REF!,#REF!,#REF!,#REF!,#REF!,#REF!,#REF!)</f>
        <v>#REF!</v>
      </c>
      <c r="H456" s="2" t="e">
        <f>REGISTER(#REF!,#REF!,#REF!,#REF!,H456:I456,#REF!,#REF!,#REF!,#REF!,#REF!,#REF!,#REF!)</f>
        <v>#REF!</v>
      </c>
      <c r="J456" s="2" t="e">
        <f>REGISTER(#REF!,#REF!,#REF!,#REF!,INDIRECT(J456:K456),#REF!,#REF!,#REF!,#REF!,#REF!,#REF!,#REF!)</f>
        <v>#REF!</v>
      </c>
      <c r="L456" s="2">
        <f>TYPE(INDEX(,REGISTER(#REF!,#REF!,#REF!,#REF!,OFFSET(INDEX(1,),,),#REF!,#REF!,#REF!,#REF!,#REF!,#REF!,#REF!)))</f>
        <v>64</v>
      </c>
    </row>
    <row r="457" spans="1:12" x14ac:dyDescent="0.55000000000000004">
      <c r="A457" s="1" t="s">
        <v>1616</v>
      </c>
      <c r="B457" s="2">
        <f>COUNTIF(A:A,A457)-1</f>
        <v>12</v>
      </c>
      <c r="C457" s="2">
        <f>COUNTIF(A$1:A457,A457)-1</f>
        <v>6</v>
      </c>
      <c r="D457" s="2" t="str">
        <f t="shared" si="7"/>
        <v>v</v>
      </c>
      <c r="E457" s="2" t="e">
        <f>REGISTER(#REF!,#REF!,#REF!,#REF!,#REF!,#REF!)</f>
        <v>#REF!</v>
      </c>
      <c r="F457" s="2" t="e">
        <f>REGISTER(#REF!,#REF!,#REF!,#REF!,#REF!,+F457:G457,#REF!,#REF!,#REF!,#REF!,#REF!,#REF!)</f>
        <v>#REF!</v>
      </c>
      <c r="H457" s="2" t="e">
        <f>REGISTER(#REF!,#REF!,#REF!,#REF!,#REF!,H457:I457,#REF!,#REF!,#REF!,#REF!,#REF!,#REF!)</f>
        <v>#REF!</v>
      </c>
      <c r="J457" s="2" t="e">
        <f>REGISTER(#REF!,#REF!,#REF!,#REF!,#REF!,INDIRECT(J457:K457),#REF!,#REF!,#REF!,#REF!,#REF!,#REF!)</f>
        <v>#REF!</v>
      </c>
      <c r="L457" s="2">
        <f>TYPE(INDEX(,REGISTER(#REF!,#REF!,#REF!,#REF!,#REF!,OFFSET(INDEX(1,),,),#REF!,#REF!,#REF!,#REF!,#REF!,#REF!)))</f>
        <v>64</v>
      </c>
    </row>
    <row r="458" spans="1:12" x14ac:dyDescent="0.55000000000000004">
      <c r="A458" s="1" t="s">
        <v>1616</v>
      </c>
      <c r="B458" s="2">
        <f>COUNTIF(A:A,A458)-1</f>
        <v>12</v>
      </c>
      <c r="C458" s="2">
        <f>COUNTIF(A$1:A458,A458)-1</f>
        <v>7</v>
      </c>
      <c r="D458" s="2" t="str">
        <f t="shared" si="7"/>
        <v>v</v>
      </c>
      <c r="E458" s="2" t="e">
        <f>REGISTER(#REF!,#REF!,#REF!,#REF!,#REF!,#REF!,#REF!)</f>
        <v>#REF!</v>
      </c>
      <c r="F458" s="2" t="e">
        <f>REGISTER(#REF!,#REF!,#REF!,#REF!,#REF!,#REF!,+F458:G458,#REF!,#REF!,#REF!,#REF!,#REF!)</f>
        <v>#REF!</v>
      </c>
      <c r="H458" s="2" t="e">
        <f>REGISTER(#REF!,#REF!,#REF!,#REF!,#REF!,#REF!,H458:I458,#REF!,#REF!,#REF!,#REF!,#REF!)</f>
        <v>#REF!</v>
      </c>
      <c r="J458" s="2" t="e">
        <f>REGISTER(#REF!,#REF!,#REF!,#REF!,#REF!,#REF!,INDIRECT(J458:K458),#REF!,#REF!,#REF!,#REF!,#REF!)</f>
        <v>#REF!</v>
      </c>
      <c r="L458" s="2">
        <f>TYPE(INDEX(,REGISTER(#REF!,#REF!,#REF!,#REF!,#REF!,#REF!,OFFSET(INDEX(1,),,),#REF!,#REF!,#REF!,#REF!,#REF!)))</f>
        <v>64</v>
      </c>
    </row>
    <row r="459" spans="1:12" x14ac:dyDescent="0.55000000000000004">
      <c r="A459" s="1" t="s">
        <v>1616</v>
      </c>
      <c r="B459" s="2">
        <f>COUNTIF(A:A,A459)-1</f>
        <v>12</v>
      </c>
      <c r="C459" s="2">
        <f>COUNTIF(A$1:A459,A459)-1</f>
        <v>8</v>
      </c>
      <c r="D459" s="2" t="str">
        <f t="shared" si="7"/>
        <v>v</v>
      </c>
      <c r="E459" s="2" t="e">
        <f>REGISTER(#REF!,#REF!,#REF!,#REF!,#REF!,#REF!,#REF!,#REF!)</f>
        <v>#REF!</v>
      </c>
      <c r="F459" s="2" t="e">
        <f>REGISTER(#REF!,#REF!,#REF!,#REF!,#REF!,#REF!,#REF!,+F459:G459,#REF!,#REF!,#REF!,#REF!)</f>
        <v>#REF!</v>
      </c>
      <c r="H459" s="2" t="e">
        <f>REGISTER(#REF!,#REF!,#REF!,#REF!,#REF!,#REF!,#REF!,H459:I459,#REF!,#REF!,#REF!,#REF!)</f>
        <v>#REF!</v>
      </c>
      <c r="J459" s="2" t="e">
        <f>REGISTER(#REF!,#REF!,#REF!,#REF!,#REF!,#REF!,#REF!,INDIRECT(J459:K459),#REF!,#REF!,#REF!,#REF!)</f>
        <v>#REF!</v>
      </c>
      <c r="L459" s="2">
        <f>TYPE(INDEX(,REGISTER(#REF!,#REF!,#REF!,#REF!,#REF!,#REF!,#REF!,OFFSET(INDEX(1,),,),#REF!,#REF!,#REF!,#REF!)))</f>
        <v>64</v>
      </c>
    </row>
    <row r="460" spans="1:12" x14ac:dyDescent="0.55000000000000004">
      <c r="A460" s="1" t="s">
        <v>1616</v>
      </c>
      <c r="B460" s="2">
        <f>COUNTIF(A:A,A460)-1</f>
        <v>12</v>
      </c>
      <c r="C460" s="2">
        <f>COUNTIF(A$1:A460,A460)-1</f>
        <v>9</v>
      </c>
      <c r="D460" s="2" t="str">
        <f t="shared" si="7"/>
        <v>v</v>
      </c>
      <c r="E460" s="2" t="e">
        <f>REGISTER(#REF!,#REF!,#REF!,#REF!,#REF!,#REF!,#REF!,#REF!,#REF!)</f>
        <v>#REF!</v>
      </c>
      <c r="F460" s="2" t="e">
        <f>REGISTER(#REF!,#REF!,#REF!,#REF!,#REF!,#REF!,#REF!,#REF!,+F460:G460,#REF!,#REF!,#REF!)</f>
        <v>#REF!</v>
      </c>
      <c r="H460" s="2" t="e">
        <f>REGISTER(#REF!,#REF!,#REF!,#REF!,#REF!,#REF!,#REF!,#REF!,H460:I460,#REF!,#REF!,#REF!)</f>
        <v>#REF!</v>
      </c>
      <c r="J460" s="2" t="e">
        <f>REGISTER(#REF!,#REF!,#REF!,#REF!,#REF!,#REF!,#REF!,#REF!,INDIRECT(J460:K460),#REF!,#REF!,#REF!)</f>
        <v>#REF!</v>
      </c>
      <c r="L460" s="2">
        <f>TYPE(INDEX(,REGISTER(#REF!,#REF!,#REF!,#REF!,#REF!,#REF!,#REF!,#REF!,OFFSET(INDEX(1,),,),#REF!,#REF!,#REF!)))</f>
        <v>64</v>
      </c>
    </row>
    <row r="461" spans="1:12" x14ac:dyDescent="0.55000000000000004">
      <c r="A461" s="1" t="s">
        <v>1616</v>
      </c>
      <c r="B461" s="2">
        <f>COUNTIF(A:A,A461)-1</f>
        <v>12</v>
      </c>
      <c r="C461" s="2">
        <f>COUNTIF(A$1:A461,A461)-1</f>
        <v>10</v>
      </c>
      <c r="D461" s="2" t="str">
        <f t="shared" si="7"/>
        <v>v</v>
      </c>
      <c r="E461" s="2" t="e">
        <f>REGISTER(#REF!,#REF!,#REF!,#REF!,#REF!,#REF!,#REF!,#REF!,#REF!,#REF!)</f>
        <v>#REF!</v>
      </c>
      <c r="F461" s="2" t="e">
        <f>REGISTER(#REF!,#REF!,#REF!,#REF!,#REF!,#REF!,#REF!,#REF!,#REF!,+F461:G461,#REF!,#REF!)</f>
        <v>#REF!</v>
      </c>
      <c r="H461" s="2" t="e">
        <f>REGISTER(#REF!,#REF!,#REF!,#REF!,#REF!,#REF!,#REF!,#REF!,#REF!,H461:I461,#REF!,#REF!)</f>
        <v>#REF!</v>
      </c>
      <c r="J461" s="2" t="e">
        <f>REGISTER(#REF!,#REF!,#REF!,#REF!,#REF!,#REF!,#REF!,#REF!,#REF!,INDIRECT(J461:K461),#REF!,#REF!)</f>
        <v>#REF!</v>
      </c>
      <c r="L461" s="2">
        <f>TYPE(INDEX(,REGISTER(#REF!,#REF!,#REF!,#REF!,#REF!,#REF!,#REF!,#REF!,#REF!,OFFSET(INDEX(1,),,),#REF!,#REF!)))</f>
        <v>64</v>
      </c>
    </row>
    <row r="462" spans="1:12" x14ac:dyDescent="0.55000000000000004">
      <c r="A462" s="1" t="s">
        <v>1616</v>
      </c>
      <c r="B462" s="2">
        <f>COUNTIF(A:A,A462)-1</f>
        <v>12</v>
      </c>
      <c r="C462" s="2">
        <f>COUNTIF(A$1:A462,A462)-1</f>
        <v>11</v>
      </c>
      <c r="D462" s="2" t="str">
        <f t="shared" si="7"/>
        <v>v</v>
      </c>
      <c r="E462" s="2" t="e">
        <f>REGISTER(#REF!,#REF!,#REF!,#REF!,#REF!,#REF!,#REF!,#REF!,#REF!,#REF!,#REF!)</f>
        <v>#REF!</v>
      </c>
      <c r="F462" s="2" t="e">
        <f>REGISTER(#REF!,#REF!,#REF!,#REF!,#REF!,#REF!,#REF!,#REF!,#REF!,#REF!,+F462:G462,#REF!)</f>
        <v>#REF!</v>
      </c>
      <c r="H462" s="2" t="e">
        <f>REGISTER(#REF!,#REF!,#REF!,#REF!,#REF!,#REF!,#REF!,#REF!,#REF!,#REF!,H462:I462,#REF!)</f>
        <v>#REF!</v>
      </c>
      <c r="J462" s="2" t="e">
        <f>REGISTER(#REF!,#REF!,#REF!,#REF!,#REF!,#REF!,#REF!,#REF!,#REF!,#REF!,INDIRECT(J462:K462),#REF!)</f>
        <v>#REF!</v>
      </c>
      <c r="L462" s="2">
        <f>TYPE(INDEX(,REGISTER(#REF!,#REF!,#REF!,#REF!,#REF!,#REF!,#REF!,#REF!,#REF!,#REF!,OFFSET(INDEX(1,),,),#REF!)))</f>
        <v>64</v>
      </c>
    </row>
    <row r="463" spans="1:12" x14ac:dyDescent="0.55000000000000004">
      <c r="A463" s="1" t="s">
        <v>1616</v>
      </c>
      <c r="B463" s="2">
        <f>COUNTIF(A:A,A463)-1</f>
        <v>12</v>
      </c>
      <c r="C463" s="2">
        <f>COUNTIF(A$1:A463,A463)-1</f>
        <v>12</v>
      </c>
      <c r="D463" s="2" t="str">
        <f t="shared" si="7"/>
        <v>v</v>
      </c>
      <c r="E463" s="2" t="e">
        <f>REGISTER(#REF!,#REF!,#REF!,#REF!,#REF!,#REF!,#REF!,#REF!,#REF!,#REF!,#REF!,#REF!)</f>
        <v>#REF!</v>
      </c>
      <c r="F463" s="2" t="e">
        <f>REGISTER(#REF!,#REF!,#REF!,#REF!,#REF!,#REF!,#REF!,#REF!,#REF!,#REF!,#REF!,+F463:G463)</f>
        <v>#REF!</v>
      </c>
      <c r="H463" s="2" t="e">
        <f>REGISTER(#REF!,#REF!,#REF!,#REF!,#REF!,#REF!,#REF!,#REF!,#REF!,#REF!,#REF!,H463:I463)</f>
        <v>#REF!</v>
      </c>
      <c r="J463" s="2" t="e">
        <f>REGISTER(#REF!,#REF!,#REF!,#REF!,#REF!,#REF!,#REF!,#REF!,#REF!,#REF!,#REF!,INDIRECT(J463:K463))</f>
        <v>#REF!</v>
      </c>
      <c r="L463" s="2">
        <f>TYPE(INDEX(,REGISTER(#REF!,#REF!,#REF!,#REF!,#REF!,#REF!,#REF!,#REF!,#REF!,#REF!,#REF!,OFFSET(INDEX(1,),,))))</f>
        <v>64</v>
      </c>
    </row>
    <row r="464" spans="1:12" x14ac:dyDescent="0.55000000000000004">
      <c r="A464" s="1" t="s">
        <v>2046</v>
      </c>
      <c r="B464" s="2">
        <f>COUNTIF(A:A,A464)-1</f>
        <v>5</v>
      </c>
      <c r="C464" s="2">
        <f>COUNTIF(A$1:A464,A464)-1</f>
        <v>0</v>
      </c>
      <c r="D464" s="2" t="str">
        <f t="shared" si="7"/>
        <v/>
      </c>
      <c r="E464" s="2"/>
      <c r="F464" s="2"/>
      <c r="H464" s="2"/>
      <c r="J464" s="2"/>
      <c r="L464" s="2"/>
    </row>
    <row r="465" spans="1:12" x14ac:dyDescent="0.55000000000000004">
      <c r="A465" s="1" t="s">
        <v>2046</v>
      </c>
      <c r="B465" s="2">
        <f>COUNTIF(A:A,A465)-1</f>
        <v>5</v>
      </c>
      <c r="C465" s="2">
        <f>COUNTIF(A$1:A465,A465)-1</f>
        <v>1</v>
      </c>
      <c r="D465" s="2" t="str">
        <f t="shared" si="7"/>
        <v>v</v>
      </c>
      <c r="E465" s="2" t="e">
        <f>CALL(#REF!)</f>
        <v>#REF!</v>
      </c>
      <c r="F465" s="2" t="b">
        <f>CALL(+F465:G465,#REF!,#REF!,#REF!,#REF!)</f>
        <v>0</v>
      </c>
      <c r="H465" s="2" t="b">
        <f>CALL(H465:I465,#REF!,#REF!,#REF!,#REF!)</f>
        <v>0</v>
      </c>
      <c r="J465" s="2" t="e">
        <f>CALL(INDIRECT(J465:K465),#REF!,#REF!,#REF!,#REF!)</f>
        <v>#REF!</v>
      </c>
      <c r="L465" s="2">
        <f>TYPE(INDEX(,CALL(OFFSET(INDEX(1,),,),#REF!,#REF!,#REF!,#REF!)))</f>
        <v>64</v>
      </c>
    </row>
    <row r="466" spans="1:12" x14ac:dyDescent="0.55000000000000004">
      <c r="A466" s="1" t="s">
        <v>2046</v>
      </c>
      <c r="B466" s="2">
        <f>COUNTIF(A:A,A466)-1</f>
        <v>5</v>
      </c>
      <c r="C466" s="2">
        <f>COUNTIF(A$1:A466,A466)-1</f>
        <v>2</v>
      </c>
      <c r="D466" s="2" t="str">
        <f t="shared" si="7"/>
        <v>var</v>
      </c>
      <c r="E466" s="2" t="e">
        <f>CALL(#REF!,#REF!)</f>
        <v>#REF!</v>
      </c>
      <c r="F466" s="2" t="e">
        <f>CALL(#REF!,+F466:G466,#REF!,#REF!,#REF!)</f>
        <v>#REF!</v>
      </c>
      <c r="H466" s="2" t="e">
        <f>CALL(#REF!,H466:I466,#REF!,#REF!,#REF!)</f>
        <v>#REF!</v>
      </c>
      <c r="I466" s="1">
        <v>1</v>
      </c>
      <c r="J466" s="2" t="e">
        <f>CALL(#REF!,INDIRECT(J466:K466),#REF!,#REF!,#REF!)</f>
        <v>#REF!</v>
      </c>
      <c r="L466" s="2">
        <f>TYPE(INDEX(,CALL(#REF!,OFFSET(INDEX(1,),,),#REF!,#REF!,#REF!)))</f>
        <v>16</v>
      </c>
    </row>
    <row r="467" spans="1:12" x14ac:dyDescent="0.55000000000000004">
      <c r="A467" s="1" t="s">
        <v>2046</v>
      </c>
      <c r="B467" s="2">
        <f>COUNTIF(A:A,A467)-1</f>
        <v>5</v>
      </c>
      <c r="C467" s="2">
        <f>COUNTIF(A$1:A467,A467)-1</f>
        <v>3</v>
      </c>
      <c r="D467" s="2" t="str">
        <f t="shared" si="7"/>
        <v>var</v>
      </c>
      <c r="E467" s="2" t="e">
        <f>CALL(#REF!,#REF!,#REF!)</f>
        <v>#REF!</v>
      </c>
      <c r="F467" s="2" t="e">
        <f>CALL(#REF!,#REF!,+F467:G467,#REF!,#REF!)</f>
        <v>#REF!</v>
      </c>
      <c r="H467" s="2" t="e">
        <f>CALL(#REF!,#REF!,H467:I467,#REF!,#REF!)</f>
        <v>#REF!</v>
      </c>
      <c r="I467" s="1">
        <v>1</v>
      </c>
      <c r="J467" s="2" t="e">
        <f>CALL(#REF!,#REF!,INDIRECT(J467:K467),#REF!,#REF!)</f>
        <v>#REF!</v>
      </c>
      <c r="L467" s="2">
        <f>TYPE(INDEX(,CALL(#REF!,#REF!,OFFSET(INDEX(1,),,),#REF!,#REF!)))</f>
        <v>16</v>
      </c>
    </row>
    <row r="468" spans="1:12" x14ac:dyDescent="0.55000000000000004">
      <c r="A468" s="1" t="s">
        <v>2046</v>
      </c>
      <c r="B468" s="2">
        <f>COUNTIF(A:A,A468)-1</f>
        <v>5</v>
      </c>
      <c r="C468" s="2">
        <f>COUNTIF(A$1:A468,A468)-1</f>
        <v>4</v>
      </c>
      <c r="D468" s="2" t="str">
        <f t="shared" si="7"/>
        <v>var</v>
      </c>
      <c r="E468" s="2" t="e">
        <f>CALL(#REF!,#REF!,#REF!,#REF!)</f>
        <v>#REF!</v>
      </c>
      <c r="F468" s="2" t="e">
        <f>CALL(#REF!,#REF!,#REF!,+F468:G468,#REF!)</f>
        <v>#REF!</v>
      </c>
      <c r="H468" s="2" t="e">
        <f>CALL(#REF!,#REF!,#REF!,H468:I468,#REF!)</f>
        <v>#REF!</v>
      </c>
      <c r="I468" s="1">
        <v>1</v>
      </c>
      <c r="J468" s="2" t="e">
        <f>CALL(#REF!,#REF!,#REF!,INDIRECT(J468:K468),#REF!)</f>
        <v>#REF!</v>
      </c>
      <c r="L468" s="2">
        <f>TYPE(INDEX(,CALL(#REF!,#REF!,#REF!,OFFSET(INDEX(1,),,),#REF!)))</f>
        <v>16</v>
      </c>
    </row>
    <row r="469" spans="1:12" x14ac:dyDescent="0.55000000000000004">
      <c r="A469" s="1" t="s">
        <v>2046</v>
      </c>
      <c r="B469" s="2">
        <f>COUNTIF(A:A,A469)-1</f>
        <v>5</v>
      </c>
      <c r="C469" s="2">
        <f>COUNTIF(A$1:A469,A469)-1</f>
        <v>5</v>
      </c>
      <c r="D469" s="2" t="str">
        <f t="shared" si="7"/>
        <v>var</v>
      </c>
      <c r="E469" s="2" t="e">
        <f>CALL(#REF!,#REF!,#REF!,#REF!,#REF!)</f>
        <v>#REF!</v>
      </c>
      <c r="F469" s="2" t="e">
        <f>CALL(#REF!,#REF!,#REF!,#REF!,+F469:G469)</f>
        <v>#REF!</v>
      </c>
      <c r="H469" s="2" t="e">
        <f>CALL(#REF!,#REF!,#REF!,#REF!,H469:I469)</f>
        <v>#REF!</v>
      </c>
      <c r="I469" s="1">
        <v>1</v>
      </c>
      <c r="J469" s="2" t="e">
        <f>CALL(#REF!,#REF!,#REF!,#REF!,INDIRECT(J469:K469))</f>
        <v>#REF!</v>
      </c>
      <c r="L469" s="2">
        <f>TYPE(INDEX(,CALL(#REF!,#REF!,#REF!,#REF!,OFFSET(INDEX(1,),,))))</f>
        <v>16</v>
      </c>
    </row>
    <row r="470" spans="1:12" x14ac:dyDescent="0.55000000000000004">
      <c r="A470" s="1" t="s">
        <v>1617</v>
      </c>
      <c r="B470" s="2">
        <f>COUNTIF(A:A,A470)-1</f>
        <v>1</v>
      </c>
      <c r="C470" s="2">
        <f>COUNTIF(A$1:A470,A470)-1</f>
        <v>0</v>
      </c>
      <c r="D470" s="2" t="str">
        <f t="shared" si="7"/>
        <v/>
      </c>
      <c r="E470" s="2" t="b">
        <f>ADD.BAR()</f>
        <v>0</v>
      </c>
      <c r="F470" s="2"/>
      <c r="H470" s="2"/>
      <c r="J470" s="2"/>
      <c r="L470" s="2"/>
    </row>
    <row r="471" spans="1:12" x14ac:dyDescent="0.55000000000000004">
      <c r="A471" s="1" t="s">
        <v>1617</v>
      </c>
      <c r="B471" s="2">
        <f>COUNTIF(A:A,A471)-1</f>
        <v>1</v>
      </c>
      <c r="C471" s="2">
        <f>COUNTIF(A$1:A471,A471)-1</f>
        <v>1</v>
      </c>
      <c r="D471" s="2" t="str">
        <f t="shared" si="7"/>
        <v>v</v>
      </c>
      <c r="E471" s="2" t="b">
        <f>ADD.BAR(#REF!)</f>
        <v>0</v>
      </c>
      <c r="F471" s="2" t="b">
        <f>ADD.BAR(+F471:G471)</f>
        <v>0</v>
      </c>
      <c r="H471" s="2" t="b">
        <f>ADD.BAR(H471:I471)</f>
        <v>0</v>
      </c>
      <c r="J471" s="2" t="b">
        <f>ADD.BAR(INDIRECT(J471:K471))</f>
        <v>0</v>
      </c>
      <c r="L471" s="2">
        <f>TYPE(INDEX(,ADD.BAR(OFFSET(INDEX(1,),,))))</f>
        <v>64</v>
      </c>
    </row>
    <row r="472" spans="1:12" x14ac:dyDescent="0.55000000000000004">
      <c r="A472" s="1" t="s">
        <v>1618</v>
      </c>
      <c r="B472" s="2">
        <f>COUNTIF(A:A,A472)-1</f>
        <v>4</v>
      </c>
      <c r="C472" s="2">
        <f>COUNTIF(A$1:A472,A472)-1</f>
        <v>0</v>
      </c>
      <c r="D472" s="2" t="str">
        <f t="shared" si="7"/>
        <v/>
      </c>
      <c r="E472" s="2"/>
      <c r="F472" s="2"/>
      <c r="H472" s="2"/>
      <c r="J472" s="2"/>
      <c r="L472" s="2"/>
    </row>
    <row r="473" spans="1:12" x14ac:dyDescent="0.55000000000000004">
      <c r="A473" s="1" t="s">
        <v>1618</v>
      </c>
      <c r="B473" s="2">
        <f>COUNTIF(A:A,A473)-1</f>
        <v>4</v>
      </c>
      <c r="C473" s="2">
        <f>COUNTIF(A$1:A473,A473)-1</f>
        <v>1</v>
      </c>
      <c r="D473" s="2" t="str">
        <f t="shared" si="7"/>
        <v>v</v>
      </c>
      <c r="E473" s="2"/>
      <c r="F473" s="2" t="b">
        <f>ADD.MENU(+F473:G473,#REF!,#REF!,#REF!)</f>
        <v>0</v>
      </c>
      <c r="H473" s="2" t="b">
        <f>ADD.MENU(H473:I473,#REF!,#REF!,#REF!)</f>
        <v>0</v>
      </c>
      <c r="J473" s="2" t="b">
        <f>ADD.MENU(INDIRECT(J473:K473),#REF!,#REF!,#REF!)</f>
        <v>0</v>
      </c>
      <c r="L473" s="2">
        <f>TYPE(INDEX(,ADD.MENU(OFFSET(INDEX(1,),,),#REF!,#REF!,#REF!)))</f>
        <v>64</v>
      </c>
    </row>
    <row r="474" spans="1:12" x14ac:dyDescent="0.55000000000000004">
      <c r="A474" s="1" t="s">
        <v>1618</v>
      </c>
      <c r="B474" s="2">
        <f>COUNTIF(A:A,A474)-1</f>
        <v>4</v>
      </c>
      <c r="C474" s="2">
        <f>COUNTIF(A$1:A474,A474)-1</f>
        <v>2</v>
      </c>
      <c r="D474" s="2" t="str">
        <f t="shared" si="7"/>
        <v>var</v>
      </c>
      <c r="E474" s="2" t="b">
        <f>ADD.MENU(#REF!,#REF!)</f>
        <v>0</v>
      </c>
      <c r="F474" s="2" t="b">
        <f>ADD.MENU(#REF!,+F474:G474,#REF!,#REF!)</f>
        <v>0</v>
      </c>
      <c r="H474" s="2" t="b">
        <f>ADD.MENU(#REF!,H474:I474,#REF!,#REF!)</f>
        <v>0</v>
      </c>
      <c r="I474" s="1">
        <v>1</v>
      </c>
      <c r="J474" s="2" t="b">
        <f>ADD.MENU(#REF!,INDIRECT(J474:K474),#REF!,#REF!)</f>
        <v>0</v>
      </c>
      <c r="L474" s="2">
        <f>TYPE(INDEX(,ADD.MENU(#REF!,OFFSET(INDEX(1,),,),#REF!,#REF!)))</f>
        <v>16</v>
      </c>
    </row>
    <row r="475" spans="1:12" x14ac:dyDescent="0.55000000000000004">
      <c r="A475" s="1" t="s">
        <v>1618</v>
      </c>
      <c r="B475" s="2">
        <f>COUNTIF(A:A,A475)-1</f>
        <v>4</v>
      </c>
      <c r="C475" s="2">
        <f>COUNTIF(A$1:A475,A475)-1</f>
        <v>3</v>
      </c>
      <c r="D475" s="2" t="str">
        <f t="shared" si="7"/>
        <v>vr</v>
      </c>
      <c r="E475" s="2" t="b">
        <f>ADD.MENU(#REF!,#REF!,#REF!)</f>
        <v>0</v>
      </c>
      <c r="F475" s="2" t="b">
        <f>ADD.MENU(#REF!,#REF!,+F475:G475,#REF!)</f>
        <v>0</v>
      </c>
      <c r="H475" s="2" t="b">
        <f>ADD.MENU(#REF!,#REF!,H475:I475,#REF!)</f>
        <v>0</v>
      </c>
      <c r="I475" s="1">
        <v>1</v>
      </c>
      <c r="J475" s="2" t="b">
        <f>ADD.MENU(#REF!,#REF!,INDIRECT(J475:K475),#REF!)</f>
        <v>0</v>
      </c>
      <c r="L475" s="2">
        <f>TYPE(INDEX(,ADD.MENU(#REF!,#REF!,OFFSET(INDEX(1,),,),#REF!)))</f>
        <v>64</v>
      </c>
    </row>
    <row r="476" spans="1:12" x14ac:dyDescent="0.55000000000000004">
      <c r="A476" s="1" t="s">
        <v>1618</v>
      </c>
      <c r="B476" s="2">
        <f>COUNTIF(A:A,A476)-1</f>
        <v>4</v>
      </c>
      <c r="C476" s="2">
        <f>COUNTIF(A$1:A476,A476)-1</f>
        <v>4</v>
      </c>
      <c r="D476" s="2" t="str">
        <f t="shared" si="7"/>
        <v>v</v>
      </c>
      <c r="E476" s="2" t="b">
        <f>ADD.MENU(#REF!,#REF!,#REF!,#REF!)</f>
        <v>0</v>
      </c>
      <c r="F476" s="2" t="b">
        <f>ADD.MENU(#REF!,#REF!,#REF!,+F476:G476)</f>
        <v>0</v>
      </c>
      <c r="H476" s="2" t="b">
        <f>ADD.MENU(#REF!,#REF!,#REF!,H476:I476)</f>
        <v>0</v>
      </c>
      <c r="J476" s="2" t="b">
        <f>ADD.MENU(#REF!,#REF!,#REF!,INDIRECT(J476:K476))</f>
        <v>0</v>
      </c>
      <c r="L476" s="2">
        <f>TYPE(INDEX(,ADD.MENU(#REF!,#REF!,#REF!,OFFSET(INDEX(1,),,))))</f>
        <v>64</v>
      </c>
    </row>
    <row r="477" spans="1:12" x14ac:dyDescent="0.55000000000000004">
      <c r="A477" s="1" t="s">
        <v>1619</v>
      </c>
      <c r="B477" s="2">
        <f>COUNTIF(A:A,A477)-1</f>
        <v>5</v>
      </c>
      <c r="C477" s="2">
        <f>COUNTIF(A$1:A477,A477)-1</f>
        <v>0</v>
      </c>
      <c r="D477" s="2" t="str">
        <f t="shared" si="7"/>
        <v/>
      </c>
      <c r="E477" s="2"/>
      <c r="F477" s="2"/>
      <c r="H477" s="2"/>
      <c r="J477" s="2"/>
      <c r="L477" s="2"/>
    </row>
    <row r="478" spans="1:12" x14ac:dyDescent="0.55000000000000004">
      <c r="A478" s="1" t="s">
        <v>1619</v>
      </c>
      <c r="B478" s="2">
        <f>COUNTIF(A:A,A478)-1</f>
        <v>5</v>
      </c>
      <c r="C478" s="2">
        <f>COUNTIF(A$1:A478,A478)-1</f>
        <v>1</v>
      </c>
      <c r="D478" s="2" t="str">
        <f t="shared" si="7"/>
        <v>v</v>
      </c>
      <c r="E478" s="2"/>
      <c r="F478" s="2" t="b">
        <f>ADD.COMMAND(+F478:G478,#REF!,#REF!,#REF!,#REF!)</f>
        <v>0</v>
      </c>
      <c r="H478" s="2" t="b">
        <f>ADD.COMMAND(H478:I478,#REF!,#REF!,#REF!,#REF!)</f>
        <v>0</v>
      </c>
      <c r="J478" s="2" t="b">
        <f>ADD.COMMAND(INDIRECT(J478:K478),#REF!,#REF!,#REF!,#REF!)</f>
        <v>0</v>
      </c>
      <c r="L478" s="2">
        <f>TYPE(INDEX(,ADD.COMMAND(OFFSET(INDEX(1,),,),#REF!,#REF!,#REF!,#REF!)))</f>
        <v>64</v>
      </c>
    </row>
    <row r="479" spans="1:12" x14ac:dyDescent="0.55000000000000004">
      <c r="A479" s="1" t="s">
        <v>1619</v>
      </c>
      <c r="B479" s="2">
        <f>COUNTIF(A:A,A479)-1</f>
        <v>5</v>
      </c>
      <c r="C479" s="2">
        <f>COUNTIF(A$1:A479,A479)-1</f>
        <v>2</v>
      </c>
      <c r="D479" s="2" t="str">
        <f t="shared" si="7"/>
        <v>vr</v>
      </c>
      <c r="E479" s="2"/>
      <c r="F479" s="2" t="b">
        <f>ADD.COMMAND(#REF!,+F479:G479,#REF!,#REF!,#REF!)</f>
        <v>0</v>
      </c>
      <c r="H479" s="2" t="b">
        <f>ADD.COMMAND(#REF!,H479:I479,#REF!,#REF!,#REF!)</f>
        <v>0</v>
      </c>
      <c r="I479" s="1">
        <v>1</v>
      </c>
      <c r="J479" s="2" t="b">
        <f>ADD.COMMAND(#REF!,INDIRECT(J479:K479),#REF!,#REF!,#REF!)</f>
        <v>0</v>
      </c>
      <c r="L479" s="2">
        <f>TYPE(INDEX(,ADD.COMMAND(#REF!,OFFSET(INDEX(1,),,),#REF!,#REF!,#REF!)))</f>
        <v>64</v>
      </c>
    </row>
    <row r="480" spans="1:12" x14ac:dyDescent="0.55000000000000004">
      <c r="A480" s="1" t="s">
        <v>1619</v>
      </c>
      <c r="B480" s="2">
        <f>COUNTIF(A:A,A480)-1</f>
        <v>5</v>
      </c>
      <c r="C480" s="2">
        <f>COUNTIF(A$1:A480,A480)-1</f>
        <v>3</v>
      </c>
      <c r="D480" s="2" t="str">
        <f t="shared" si="7"/>
        <v>var</v>
      </c>
      <c r="E480" s="2" t="b">
        <f>ADD.COMMAND(#REF!,#REF!,#REF!)</f>
        <v>0</v>
      </c>
      <c r="F480" s="2" t="b">
        <f>ADD.COMMAND(#REF!,#REF!,+F480:G480,#REF!,#REF!)</f>
        <v>0</v>
      </c>
      <c r="H480" s="2" t="b">
        <f>ADD.COMMAND(#REF!,#REF!,H480:I480,#REF!,#REF!)</f>
        <v>0</v>
      </c>
      <c r="I480" s="1">
        <v>1</v>
      </c>
      <c r="J480" s="2" t="b">
        <f>ADD.COMMAND(#REF!,#REF!,INDIRECT(J480:K480),#REF!,#REF!)</f>
        <v>0</v>
      </c>
      <c r="L480" s="2">
        <f>TYPE(INDEX(,ADD.COMMAND(#REF!,#REF!,OFFSET(INDEX(1,),,),#REF!,#REF!)))</f>
        <v>16</v>
      </c>
    </row>
    <row r="481" spans="1:12" x14ac:dyDescent="0.55000000000000004">
      <c r="A481" s="1" t="s">
        <v>1619</v>
      </c>
      <c r="B481" s="2">
        <f>COUNTIF(A:A,A481)-1</f>
        <v>5</v>
      </c>
      <c r="C481" s="2">
        <f>COUNTIF(A$1:A481,A481)-1</f>
        <v>4</v>
      </c>
      <c r="D481" s="2" t="str">
        <f t="shared" si="7"/>
        <v>vr</v>
      </c>
      <c r="E481" s="2" t="b">
        <f>ADD.COMMAND(#REF!,#REF!,#REF!,#REF!)</f>
        <v>0</v>
      </c>
      <c r="F481" s="2" t="b">
        <f>ADD.COMMAND(#REF!,#REF!,#REF!,+F481:G481,#REF!)</f>
        <v>0</v>
      </c>
      <c r="H481" s="2" t="b">
        <f>ADD.COMMAND(#REF!,#REF!,#REF!,H481:I481,#REF!)</f>
        <v>0</v>
      </c>
      <c r="I481" s="1">
        <v>1</v>
      </c>
      <c r="J481" s="2" t="b">
        <f>ADD.COMMAND(#REF!,#REF!,#REF!,INDIRECT(J481:K481),#REF!)</f>
        <v>0</v>
      </c>
      <c r="L481" s="2">
        <f>TYPE(INDEX(,ADD.COMMAND(#REF!,#REF!,#REF!,OFFSET(INDEX(1,),,),#REF!)))</f>
        <v>64</v>
      </c>
    </row>
    <row r="482" spans="1:12" x14ac:dyDescent="0.55000000000000004">
      <c r="A482" s="1" t="s">
        <v>1619</v>
      </c>
      <c r="B482" s="2">
        <f>COUNTIF(A:A,A482)-1</f>
        <v>5</v>
      </c>
      <c r="C482" s="2">
        <f>COUNTIF(A$1:A482,A482)-1</f>
        <v>5</v>
      </c>
      <c r="D482" s="2" t="str">
        <f t="shared" si="7"/>
        <v>v</v>
      </c>
      <c r="E482" s="2" t="b">
        <f>ADD.COMMAND(#REF!,#REF!,#REF!,#REF!,#REF!)</f>
        <v>0</v>
      </c>
      <c r="F482" s="2" t="b">
        <f>ADD.COMMAND(#REF!,#REF!,#REF!,#REF!,+F482:G482)</f>
        <v>0</v>
      </c>
      <c r="H482" s="2" t="b">
        <f>ADD.COMMAND(#REF!,#REF!,#REF!,#REF!,H482:I482)</f>
        <v>0</v>
      </c>
      <c r="J482" s="2" t="b">
        <f>ADD.COMMAND(#REF!,#REF!,#REF!,#REF!,INDIRECT(J482:K482))</f>
        <v>0</v>
      </c>
      <c r="L482" s="2">
        <f>TYPE(INDEX(,ADD.COMMAND(#REF!,#REF!,#REF!,#REF!,OFFSET(INDEX(1,),,))))</f>
        <v>64</v>
      </c>
    </row>
    <row r="483" spans="1:12" x14ac:dyDescent="0.55000000000000004">
      <c r="A483" s="1" t="s">
        <v>1620</v>
      </c>
      <c r="B483" s="2">
        <f>COUNTIF(A:A,A483)-1</f>
        <v>5</v>
      </c>
      <c r="C483" s="2">
        <f>COUNTIF(A$1:A483,A483)-1</f>
        <v>0</v>
      </c>
      <c r="D483" s="2" t="str">
        <f t="shared" si="7"/>
        <v/>
      </c>
      <c r="E483" s="2"/>
      <c r="F483" s="2"/>
      <c r="H483" s="2"/>
      <c r="J483" s="2"/>
      <c r="L483" s="2"/>
    </row>
    <row r="484" spans="1:12" x14ac:dyDescent="0.55000000000000004">
      <c r="A484" s="1" t="s">
        <v>1620</v>
      </c>
      <c r="B484" s="2">
        <f>COUNTIF(A:A,A484)-1</f>
        <v>5</v>
      </c>
      <c r="C484" s="2">
        <f>COUNTIF(A$1:A484,A484)-1</f>
        <v>1</v>
      </c>
      <c r="D484" s="2" t="str">
        <f t="shared" si="7"/>
        <v>v</v>
      </c>
      <c r="E484" s="2"/>
      <c r="F484" s="2" t="b">
        <f>ENABLE.COMMAND(+F484:G484,#REF!,#REF!,#REF!,#REF!)</f>
        <v>0</v>
      </c>
      <c r="H484" s="2" t="b">
        <f>ENABLE.COMMAND(H484:I484,#REF!,#REF!,#REF!,#REF!)</f>
        <v>0</v>
      </c>
      <c r="J484" s="2" t="b">
        <f>ENABLE.COMMAND(INDIRECT(J484:K484),#REF!,#REF!,#REF!,#REF!)</f>
        <v>0</v>
      </c>
      <c r="L484" s="2">
        <f>TYPE(INDEX(,ENABLE.COMMAND(OFFSET(INDEX(1,),,),#REF!,#REF!,#REF!,#REF!)))</f>
        <v>64</v>
      </c>
    </row>
    <row r="485" spans="1:12" x14ac:dyDescent="0.55000000000000004">
      <c r="A485" s="1" t="s">
        <v>1620</v>
      </c>
      <c r="B485" s="2">
        <f>COUNTIF(A:A,A485)-1</f>
        <v>5</v>
      </c>
      <c r="C485" s="2">
        <f>COUNTIF(A$1:A485,A485)-1</f>
        <v>2</v>
      </c>
      <c r="D485" s="2" t="str">
        <f t="shared" si="7"/>
        <v>v</v>
      </c>
      <c r="E485" s="2"/>
      <c r="F485" s="2" t="b">
        <f>ENABLE.COMMAND(#REF!,+F485:G485,#REF!,#REF!,#REF!)</f>
        <v>0</v>
      </c>
      <c r="H485" s="2" t="b">
        <f>ENABLE.COMMAND(#REF!,H485:I485,#REF!,#REF!,#REF!)</f>
        <v>0</v>
      </c>
      <c r="J485" s="2" t="b">
        <f>ENABLE.COMMAND(#REF!,INDIRECT(J485:K485),#REF!,#REF!,#REF!)</f>
        <v>0</v>
      </c>
      <c r="L485" s="2">
        <f>TYPE(INDEX(,ENABLE.COMMAND(#REF!,OFFSET(INDEX(1,),,),#REF!,#REF!,#REF!)))</f>
        <v>64</v>
      </c>
    </row>
    <row r="486" spans="1:12" x14ac:dyDescent="0.55000000000000004">
      <c r="A486" s="1" t="s">
        <v>1620</v>
      </c>
      <c r="B486" s="2">
        <f>COUNTIF(A:A,A486)-1</f>
        <v>5</v>
      </c>
      <c r="C486" s="2">
        <f>COUNTIF(A$1:A486,A486)-1</f>
        <v>3</v>
      </c>
      <c r="D486" s="2" t="str">
        <f t="shared" si="7"/>
        <v>v</v>
      </c>
      <c r="E486" s="2"/>
      <c r="F486" s="2" t="b">
        <f>ENABLE.COMMAND(#REF!,#REF!,+F486:G486,#REF!,#REF!)</f>
        <v>0</v>
      </c>
      <c r="H486" s="2" t="b">
        <f>ENABLE.COMMAND(#REF!,#REF!,H486:I486,#REF!,#REF!)</f>
        <v>0</v>
      </c>
      <c r="J486" s="2" t="b">
        <f>ENABLE.COMMAND(#REF!,#REF!,INDIRECT(J486:K486),#REF!,#REF!)</f>
        <v>0</v>
      </c>
      <c r="L486" s="2">
        <f>TYPE(INDEX(,ENABLE.COMMAND(#REF!,#REF!,OFFSET(INDEX(1,),,),#REF!,#REF!)))</f>
        <v>64</v>
      </c>
    </row>
    <row r="487" spans="1:12" x14ac:dyDescent="0.55000000000000004">
      <c r="A487" s="1" t="s">
        <v>1620</v>
      </c>
      <c r="B487" s="2">
        <f>COUNTIF(A:A,A487)-1</f>
        <v>5</v>
      </c>
      <c r="C487" s="2">
        <f>COUNTIF(A$1:A487,A487)-1</f>
        <v>4</v>
      </c>
      <c r="D487" s="2" t="str">
        <f t="shared" si="7"/>
        <v>v</v>
      </c>
      <c r="E487" s="2" t="b">
        <f>ENABLE.COMMAND(#REF!,#REF!,#REF!,#REF!)</f>
        <v>0</v>
      </c>
      <c r="F487" s="2" t="b">
        <f>ENABLE.COMMAND(#REF!,#REF!,#REF!,+F487:G487,#REF!)</f>
        <v>0</v>
      </c>
      <c r="H487" s="2" t="b">
        <f>ENABLE.COMMAND(#REF!,#REF!,#REF!,H487:I487,#REF!)</f>
        <v>0</v>
      </c>
      <c r="J487" s="2" t="b">
        <f>ENABLE.COMMAND(#REF!,#REF!,#REF!,INDIRECT(J487:K487),#REF!)</f>
        <v>0</v>
      </c>
      <c r="L487" s="2">
        <f>TYPE(INDEX(,ENABLE.COMMAND(#REF!,#REF!,#REF!,OFFSET(INDEX(1,),,),#REF!)))</f>
        <v>64</v>
      </c>
    </row>
    <row r="488" spans="1:12" x14ac:dyDescent="0.55000000000000004">
      <c r="A488" s="1" t="s">
        <v>1620</v>
      </c>
      <c r="B488" s="2">
        <f>COUNTIF(A:A,A488)-1</f>
        <v>5</v>
      </c>
      <c r="C488" s="2">
        <f>COUNTIF(A$1:A488,A488)-1</f>
        <v>5</v>
      </c>
      <c r="D488" s="2" t="str">
        <f t="shared" si="7"/>
        <v>v</v>
      </c>
      <c r="E488" s="2" t="b">
        <f>ENABLE.COMMAND(#REF!,#REF!,#REF!,#REF!,#REF!)</f>
        <v>0</v>
      </c>
      <c r="F488" s="2" t="b">
        <f>ENABLE.COMMAND(#REF!,#REF!,#REF!,#REF!,+F488:G488)</f>
        <v>0</v>
      </c>
      <c r="H488" s="2" t="b">
        <f>ENABLE.COMMAND(#REF!,#REF!,#REF!,#REF!,H488:I488)</f>
        <v>0</v>
      </c>
      <c r="J488" s="2" t="b">
        <f>ENABLE.COMMAND(#REF!,#REF!,#REF!,#REF!,INDIRECT(J488:K488))</f>
        <v>0</v>
      </c>
      <c r="L488" s="2">
        <f>TYPE(INDEX(,ENABLE.COMMAND(#REF!,#REF!,#REF!,#REF!,OFFSET(INDEX(1,),,))))</f>
        <v>64</v>
      </c>
    </row>
    <row r="489" spans="1:12" x14ac:dyDescent="0.55000000000000004">
      <c r="A489" s="1" t="s">
        <v>1621</v>
      </c>
      <c r="B489" s="2">
        <f>COUNTIF(A:A,A489)-1</f>
        <v>5</v>
      </c>
      <c r="C489" s="2">
        <f>COUNTIF(A$1:A489,A489)-1</f>
        <v>0</v>
      </c>
      <c r="D489" s="2" t="str">
        <f t="shared" si="7"/>
        <v/>
      </c>
      <c r="E489" s="2"/>
      <c r="F489" s="2"/>
      <c r="H489" s="2"/>
      <c r="J489" s="2"/>
      <c r="L489" s="2"/>
    </row>
    <row r="490" spans="1:12" x14ac:dyDescent="0.55000000000000004">
      <c r="A490" s="1" t="s">
        <v>1621</v>
      </c>
      <c r="B490" s="2">
        <f>COUNTIF(A:A,A490)-1</f>
        <v>5</v>
      </c>
      <c r="C490" s="2">
        <f>COUNTIF(A$1:A490,A490)-1</f>
        <v>1</v>
      </c>
      <c r="D490" s="2" t="str">
        <f t="shared" si="7"/>
        <v>v</v>
      </c>
      <c r="E490" s="2"/>
      <c r="F490" s="2" t="b">
        <f>CHECK.COMMAND(+F490:G490,#REF!,#REF!,#REF!,#REF!)</f>
        <v>0</v>
      </c>
      <c r="H490" s="2" t="b">
        <f>CHECK.COMMAND(H490:I490,#REF!,#REF!,#REF!,#REF!)</f>
        <v>0</v>
      </c>
      <c r="J490" s="2" t="b">
        <f>CHECK.COMMAND(INDIRECT(J490:K490),#REF!,#REF!,#REF!,#REF!)</f>
        <v>0</v>
      </c>
      <c r="L490" s="2">
        <f>TYPE(INDEX(,CHECK.COMMAND(OFFSET(INDEX(1,),,),#REF!,#REF!,#REF!,#REF!)))</f>
        <v>64</v>
      </c>
    </row>
    <row r="491" spans="1:12" x14ac:dyDescent="0.55000000000000004">
      <c r="A491" s="1" t="s">
        <v>1621</v>
      </c>
      <c r="B491" s="2">
        <f>COUNTIF(A:A,A491)-1</f>
        <v>5</v>
      </c>
      <c r="C491" s="2">
        <f>COUNTIF(A$1:A491,A491)-1</f>
        <v>2</v>
      </c>
      <c r="D491" s="2" t="str">
        <f t="shared" si="7"/>
        <v>v</v>
      </c>
      <c r="E491" s="2"/>
      <c r="F491" s="2" t="b">
        <f>CHECK.COMMAND(#REF!,+F491:G491,#REF!,#REF!,#REF!)</f>
        <v>0</v>
      </c>
      <c r="H491" s="2" t="b">
        <f>CHECK.COMMAND(#REF!,H491:I491,#REF!,#REF!,#REF!)</f>
        <v>0</v>
      </c>
      <c r="J491" s="2" t="b">
        <f>CHECK.COMMAND(#REF!,INDIRECT(J491:K491),#REF!,#REF!,#REF!)</f>
        <v>0</v>
      </c>
      <c r="L491" s="2">
        <f>TYPE(INDEX(,CHECK.COMMAND(#REF!,OFFSET(INDEX(1,),,),#REF!,#REF!,#REF!)))</f>
        <v>64</v>
      </c>
    </row>
    <row r="492" spans="1:12" x14ac:dyDescent="0.55000000000000004">
      <c r="A492" s="1" t="s">
        <v>1621</v>
      </c>
      <c r="B492" s="2">
        <f>COUNTIF(A:A,A492)-1</f>
        <v>5</v>
      </c>
      <c r="C492" s="2">
        <f>COUNTIF(A$1:A492,A492)-1</f>
        <v>3</v>
      </c>
      <c r="D492" s="2" t="str">
        <f t="shared" si="7"/>
        <v>v</v>
      </c>
      <c r="E492" s="2"/>
      <c r="F492" s="2" t="b">
        <f>CHECK.COMMAND(#REF!,#REF!,+F492:G492,#REF!,#REF!)</f>
        <v>0</v>
      </c>
      <c r="H492" s="2" t="b">
        <f>CHECK.COMMAND(#REF!,#REF!,H492:I492,#REF!,#REF!)</f>
        <v>0</v>
      </c>
      <c r="J492" s="2" t="b">
        <f>CHECK.COMMAND(#REF!,#REF!,INDIRECT(J492:K492),#REF!,#REF!)</f>
        <v>0</v>
      </c>
      <c r="L492" s="2">
        <f>TYPE(INDEX(,CHECK.COMMAND(#REF!,#REF!,OFFSET(INDEX(1,),,),#REF!,#REF!)))</f>
        <v>64</v>
      </c>
    </row>
    <row r="493" spans="1:12" x14ac:dyDescent="0.55000000000000004">
      <c r="A493" s="1" t="s">
        <v>1621</v>
      </c>
      <c r="B493" s="2">
        <f>COUNTIF(A:A,A493)-1</f>
        <v>5</v>
      </c>
      <c r="C493" s="2">
        <f>COUNTIF(A$1:A493,A493)-1</f>
        <v>4</v>
      </c>
      <c r="D493" s="2" t="str">
        <f t="shared" si="7"/>
        <v>v</v>
      </c>
      <c r="E493" s="2" t="b">
        <f>CHECK.COMMAND(#REF!,#REF!,#REF!,#REF!)</f>
        <v>0</v>
      </c>
      <c r="F493" s="2" t="b">
        <f>CHECK.COMMAND(#REF!,#REF!,#REF!,+F493:G493,#REF!)</f>
        <v>0</v>
      </c>
      <c r="H493" s="2" t="b">
        <f>CHECK.COMMAND(#REF!,#REF!,#REF!,H493:I493,#REF!)</f>
        <v>0</v>
      </c>
      <c r="J493" s="2" t="b">
        <f>CHECK.COMMAND(#REF!,#REF!,#REF!,INDIRECT(J493:K493),#REF!)</f>
        <v>0</v>
      </c>
      <c r="L493" s="2">
        <f>TYPE(INDEX(,CHECK.COMMAND(#REF!,#REF!,#REF!,OFFSET(INDEX(1,),,),#REF!)))</f>
        <v>64</v>
      </c>
    </row>
    <row r="494" spans="1:12" x14ac:dyDescent="0.55000000000000004">
      <c r="A494" s="1" t="s">
        <v>1621</v>
      </c>
      <c r="B494" s="2">
        <f>COUNTIF(A:A,A494)-1</f>
        <v>5</v>
      </c>
      <c r="C494" s="2">
        <f>COUNTIF(A$1:A494,A494)-1</f>
        <v>5</v>
      </c>
      <c r="D494" s="2" t="str">
        <f t="shared" si="7"/>
        <v>v</v>
      </c>
      <c r="E494" s="2" t="b">
        <f>CHECK.COMMAND(#REF!,#REF!,#REF!,#REF!,#REF!)</f>
        <v>0</v>
      </c>
      <c r="F494" s="2" t="b">
        <f>CHECK.COMMAND(#REF!,#REF!,#REF!,#REF!,+F494:G494)</f>
        <v>0</v>
      </c>
      <c r="H494" s="2" t="b">
        <f>CHECK.COMMAND(#REF!,#REF!,#REF!,#REF!,H494:I494)</f>
        <v>0</v>
      </c>
      <c r="J494" s="2" t="b">
        <f>CHECK.COMMAND(#REF!,#REF!,#REF!,#REF!,INDIRECT(J494:K494))</f>
        <v>0</v>
      </c>
      <c r="L494" s="2">
        <f>TYPE(INDEX(,CHECK.COMMAND(#REF!,#REF!,#REF!,#REF!,OFFSET(INDEX(1,),,))))</f>
        <v>64</v>
      </c>
    </row>
    <row r="495" spans="1:12" x14ac:dyDescent="0.55000000000000004">
      <c r="A495" s="1" t="s">
        <v>1622</v>
      </c>
      <c r="B495" s="2">
        <f>COUNTIF(A:A,A495)-1</f>
        <v>5</v>
      </c>
      <c r="C495" s="2">
        <f>COUNTIF(A$1:A495,A495)-1</f>
        <v>0</v>
      </c>
      <c r="D495" s="2" t="str">
        <f t="shared" si="7"/>
        <v/>
      </c>
      <c r="E495" s="2"/>
      <c r="F495" s="2"/>
      <c r="H495" s="2"/>
      <c r="J495" s="2"/>
      <c r="L495" s="2"/>
    </row>
    <row r="496" spans="1:12" x14ac:dyDescent="0.55000000000000004">
      <c r="A496" s="1" t="s">
        <v>1622</v>
      </c>
      <c r="B496" s="2">
        <f>COUNTIF(A:A,A496)-1</f>
        <v>5</v>
      </c>
      <c r="C496" s="2">
        <f>COUNTIF(A$1:A496,A496)-1</f>
        <v>1</v>
      </c>
      <c r="D496" s="2" t="str">
        <f t="shared" si="7"/>
        <v>v</v>
      </c>
      <c r="E496" s="2"/>
      <c r="F496" s="2" t="b">
        <f>RENAME.COMMAND(+F496:G496,#REF!,#REF!,#REF!,#REF!)</f>
        <v>0</v>
      </c>
      <c r="H496" s="2" t="b">
        <f>RENAME.COMMAND(H496:I496,#REF!,#REF!,#REF!,#REF!)</f>
        <v>0</v>
      </c>
      <c r="J496" s="2" t="b">
        <f>RENAME.COMMAND(INDIRECT(J496:K496),#REF!,#REF!,#REF!,#REF!)</f>
        <v>0</v>
      </c>
      <c r="L496" s="2">
        <f>TYPE(INDEX(,RENAME.COMMAND(OFFSET(INDEX(1,),,),#REF!,#REF!,#REF!,#REF!)))</f>
        <v>64</v>
      </c>
    </row>
    <row r="497" spans="1:12" x14ac:dyDescent="0.55000000000000004">
      <c r="A497" s="1" t="s">
        <v>1622</v>
      </c>
      <c r="B497" s="2">
        <f>COUNTIF(A:A,A497)-1</f>
        <v>5</v>
      </c>
      <c r="C497" s="2">
        <f>COUNTIF(A$1:A497,A497)-1</f>
        <v>2</v>
      </c>
      <c r="D497" s="2" t="str">
        <f t="shared" si="7"/>
        <v>v</v>
      </c>
      <c r="E497" s="2"/>
      <c r="F497" s="2" t="b">
        <f>RENAME.COMMAND(#REF!,+F497:G497,#REF!,#REF!,#REF!)</f>
        <v>0</v>
      </c>
      <c r="H497" s="2" t="b">
        <f>RENAME.COMMAND(#REF!,H497:I497,#REF!,#REF!,#REF!)</f>
        <v>0</v>
      </c>
      <c r="J497" s="2" t="b">
        <f>RENAME.COMMAND(#REF!,INDIRECT(J497:K497),#REF!,#REF!,#REF!)</f>
        <v>0</v>
      </c>
      <c r="L497" s="2">
        <f>TYPE(INDEX(,RENAME.COMMAND(#REF!,OFFSET(INDEX(1,),,),#REF!,#REF!,#REF!)))</f>
        <v>64</v>
      </c>
    </row>
    <row r="498" spans="1:12" x14ac:dyDescent="0.55000000000000004">
      <c r="A498" s="1" t="s">
        <v>1622</v>
      </c>
      <c r="B498" s="2">
        <f>COUNTIF(A:A,A498)-1</f>
        <v>5</v>
      </c>
      <c r="C498" s="2">
        <f>COUNTIF(A$1:A498,A498)-1</f>
        <v>3</v>
      </c>
      <c r="D498" s="2" t="str">
        <f t="shared" si="7"/>
        <v>v</v>
      </c>
      <c r="E498" s="2"/>
      <c r="F498" s="2" t="b">
        <f>RENAME.COMMAND(#REF!,#REF!,+F498:G498,#REF!,#REF!)</f>
        <v>0</v>
      </c>
      <c r="H498" s="2" t="b">
        <f>RENAME.COMMAND(#REF!,#REF!,H498:I498,#REF!,#REF!)</f>
        <v>0</v>
      </c>
      <c r="J498" s="2" t="b">
        <f>RENAME.COMMAND(#REF!,#REF!,INDIRECT(J498:K498),#REF!,#REF!)</f>
        <v>0</v>
      </c>
      <c r="L498" s="2">
        <f>TYPE(INDEX(,RENAME.COMMAND(#REF!,#REF!,OFFSET(INDEX(1,),,),#REF!,#REF!)))</f>
        <v>64</v>
      </c>
    </row>
    <row r="499" spans="1:12" x14ac:dyDescent="0.55000000000000004">
      <c r="A499" s="1" t="s">
        <v>1622</v>
      </c>
      <c r="B499" s="2">
        <f>COUNTIF(A:A,A499)-1</f>
        <v>5</v>
      </c>
      <c r="C499" s="2">
        <f>COUNTIF(A$1:A499,A499)-1</f>
        <v>4</v>
      </c>
      <c r="D499" s="2" t="str">
        <f t="shared" si="7"/>
        <v>v</v>
      </c>
      <c r="E499" s="2" t="b">
        <f>RENAME.COMMAND(#REF!,#REF!,#REF!,#REF!)</f>
        <v>0</v>
      </c>
      <c r="F499" s="2" t="b">
        <f>RENAME.COMMAND(#REF!,#REF!,#REF!,+F499:G499,#REF!)</f>
        <v>0</v>
      </c>
      <c r="H499" s="2" t="b">
        <f>RENAME.COMMAND(#REF!,#REF!,#REF!,H499:I499,#REF!)</f>
        <v>0</v>
      </c>
      <c r="J499" s="2" t="b">
        <f>RENAME.COMMAND(#REF!,#REF!,#REF!,INDIRECT(J499:K499),#REF!)</f>
        <v>0</v>
      </c>
      <c r="L499" s="2">
        <f>TYPE(INDEX(,RENAME.COMMAND(#REF!,#REF!,#REF!,OFFSET(INDEX(1,),,),#REF!)))</f>
        <v>64</v>
      </c>
    </row>
    <row r="500" spans="1:12" x14ac:dyDescent="0.55000000000000004">
      <c r="A500" s="1" t="s">
        <v>1622</v>
      </c>
      <c r="B500" s="2">
        <f>COUNTIF(A:A,A500)-1</f>
        <v>5</v>
      </c>
      <c r="C500" s="2">
        <f>COUNTIF(A$1:A500,A500)-1</f>
        <v>5</v>
      </c>
      <c r="D500" s="2" t="str">
        <f t="shared" si="7"/>
        <v>v</v>
      </c>
      <c r="E500" s="2" t="b">
        <f>RENAME.COMMAND(#REF!,#REF!,#REF!,#REF!,#REF!)</f>
        <v>0</v>
      </c>
      <c r="F500" s="2" t="b">
        <f>RENAME.COMMAND(#REF!,#REF!,#REF!,#REF!,+F500:G500)</f>
        <v>0</v>
      </c>
      <c r="H500" s="2" t="b">
        <f>RENAME.COMMAND(#REF!,#REF!,#REF!,#REF!,H500:I500)</f>
        <v>0</v>
      </c>
      <c r="J500" s="2" t="b">
        <f>RENAME.COMMAND(#REF!,#REF!,#REF!,#REF!,INDIRECT(J500:K500))</f>
        <v>0</v>
      </c>
      <c r="L500" s="2">
        <f>TYPE(INDEX(,RENAME.COMMAND(#REF!,#REF!,#REF!,#REF!,OFFSET(INDEX(1,),,))))</f>
        <v>64</v>
      </c>
    </row>
    <row r="501" spans="1:12" x14ac:dyDescent="0.55000000000000004">
      <c r="A501" s="1" t="s">
        <v>1623</v>
      </c>
      <c r="B501" s="2">
        <f>COUNTIF(A:A,A501)-1</f>
        <v>1</v>
      </c>
      <c r="C501" s="2">
        <f>COUNTIF(A$1:A501,A501)-1</f>
        <v>0</v>
      </c>
      <c r="D501" s="2" t="str">
        <f t="shared" si="7"/>
        <v/>
      </c>
      <c r="E501" s="2" t="b">
        <f>SHOW.BAR()</f>
        <v>0</v>
      </c>
      <c r="F501" s="2"/>
      <c r="H501" s="2"/>
      <c r="J501" s="2"/>
      <c r="L501" s="2"/>
    </row>
    <row r="502" spans="1:12" x14ac:dyDescent="0.55000000000000004">
      <c r="A502" s="1" t="s">
        <v>1623</v>
      </c>
      <c r="B502" s="2">
        <f>COUNTIF(A:A,A502)-1</f>
        <v>1</v>
      </c>
      <c r="C502" s="2">
        <f>COUNTIF(A$1:A502,A502)-1</f>
        <v>1</v>
      </c>
      <c r="D502" s="2" t="str">
        <f t="shared" si="7"/>
        <v>v</v>
      </c>
      <c r="E502" s="2" t="b">
        <f>SHOW.BAR(#REF!)</f>
        <v>0</v>
      </c>
      <c r="F502" s="2" t="b">
        <f>SHOW.BAR(+F502:G502)</f>
        <v>0</v>
      </c>
      <c r="H502" s="2" t="b">
        <f>SHOW.BAR(H502:I502)</f>
        <v>0</v>
      </c>
      <c r="J502" s="2" t="b">
        <f>SHOW.BAR(INDIRECT(J502:K502))</f>
        <v>0</v>
      </c>
      <c r="L502" s="2">
        <f>TYPE(INDEX(,SHOW.BAR(OFFSET(INDEX(1,),,))))</f>
        <v>64</v>
      </c>
    </row>
    <row r="503" spans="1:12" x14ac:dyDescent="0.55000000000000004">
      <c r="A503" s="1" t="s">
        <v>1624</v>
      </c>
      <c r="B503" s="2">
        <f>COUNTIF(A:A,A503)-1</f>
        <v>3</v>
      </c>
      <c r="C503" s="2">
        <f>COUNTIF(A$1:A503,A503)-1</f>
        <v>0</v>
      </c>
      <c r="D503" s="2" t="str">
        <f t="shared" si="7"/>
        <v/>
      </c>
      <c r="E503" s="2"/>
      <c r="F503" s="2"/>
      <c r="H503" s="2"/>
      <c r="J503" s="2"/>
      <c r="L503" s="2"/>
    </row>
    <row r="504" spans="1:12" x14ac:dyDescent="0.55000000000000004">
      <c r="A504" s="1" t="s">
        <v>1624</v>
      </c>
      <c r="B504" s="2">
        <f>COUNTIF(A:A,A504)-1</f>
        <v>3</v>
      </c>
      <c r="C504" s="2">
        <f>COUNTIF(A$1:A504,A504)-1</f>
        <v>1</v>
      </c>
      <c r="D504" s="2" t="str">
        <f t="shared" si="7"/>
        <v>v</v>
      </c>
      <c r="E504" s="2"/>
      <c r="F504" s="2" t="b">
        <f>DELETE.MENU(+F504:G504,#REF!,#REF!)</f>
        <v>0</v>
      </c>
      <c r="H504" s="2" t="b">
        <f>DELETE.MENU(H504:I504,#REF!,#REF!)</f>
        <v>0</v>
      </c>
      <c r="J504" s="2" t="b">
        <f>DELETE.MENU(INDIRECT(J504:K504),#REF!,#REF!)</f>
        <v>0</v>
      </c>
      <c r="L504" s="2">
        <f>TYPE(INDEX(,DELETE.MENU(OFFSET(INDEX(1,),,),#REF!,#REF!)))</f>
        <v>64</v>
      </c>
    </row>
    <row r="505" spans="1:12" x14ac:dyDescent="0.55000000000000004">
      <c r="A505" s="1" t="s">
        <v>1624</v>
      </c>
      <c r="B505" s="2">
        <f>COUNTIF(A:A,A505)-1</f>
        <v>3</v>
      </c>
      <c r="C505" s="2">
        <f>COUNTIF(A$1:A505,A505)-1</f>
        <v>2</v>
      </c>
      <c r="D505" s="2" t="str">
        <f t="shared" si="7"/>
        <v>v</v>
      </c>
      <c r="E505" s="2" t="b">
        <f>DELETE.MENU(#REF!,#REF!)</f>
        <v>0</v>
      </c>
      <c r="F505" s="2" t="b">
        <f>DELETE.MENU(#REF!,+F505:G505,#REF!)</f>
        <v>0</v>
      </c>
      <c r="H505" s="2" t="b">
        <f>DELETE.MENU(#REF!,H505:I505,#REF!)</f>
        <v>0</v>
      </c>
      <c r="J505" s="2" t="b">
        <f>DELETE.MENU(#REF!,INDIRECT(J505:K505),#REF!)</f>
        <v>0</v>
      </c>
      <c r="L505" s="2">
        <f>TYPE(INDEX(,DELETE.MENU(#REF!,OFFSET(INDEX(1,),,),#REF!)))</f>
        <v>64</v>
      </c>
    </row>
    <row r="506" spans="1:12" x14ac:dyDescent="0.55000000000000004">
      <c r="A506" s="1" t="s">
        <v>1624</v>
      </c>
      <c r="B506" s="2">
        <f>COUNTIF(A:A,A506)-1</f>
        <v>3</v>
      </c>
      <c r="C506" s="2">
        <f>COUNTIF(A$1:A506,A506)-1</f>
        <v>3</v>
      </c>
      <c r="D506" s="2" t="str">
        <f t="shared" si="7"/>
        <v>v</v>
      </c>
      <c r="E506" s="2" t="b">
        <f>DELETE.MENU(#REF!,#REF!,#REF!)</f>
        <v>0</v>
      </c>
      <c r="F506" s="2" t="b">
        <f>DELETE.MENU(#REF!,#REF!,+F506:G506)</f>
        <v>0</v>
      </c>
      <c r="H506" s="2" t="b">
        <f>DELETE.MENU(#REF!,#REF!,H506:I506)</f>
        <v>0</v>
      </c>
      <c r="J506" s="2" t="b">
        <f>DELETE.MENU(#REF!,#REF!,INDIRECT(J506:K506))</f>
        <v>0</v>
      </c>
      <c r="L506" s="2">
        <f>TYPE(INDEX(,DELETE.MENU(#REF!,#REF!,OFFSET(INDEX(1,),,))))</f>
        <v>64</v>
      </c>
    </row>
    <row r="507" spans="1:12" x14ac:dyDescent="0.55000000000000004">
      <c r="A507" s="1" t="s">
        <v>1625</v>
      </c>
      <c r="B507" s="2">
        <f>COUNTIF(A:A,A507)-1</f>
        <v>4</v>
      </c>
      <c r="C507" s="2">
        <f>COUNTIF(A$1:A507,A507)-1</f>
        <v>0</v>
      </c>
      <c r="D507" s="2" t="str">
        <f t="shared" si="7"/>
        <v/>
      </c>
      <c r="E507" s="2"/>
      <c r="F507" s="2"/>
      <c r="H507" s="2"/>
      <c r="J507" s="2"/>
      <c r="L507" s="2"/>
    </row>
    <row r="508" spans="1:12" x14ac:dyDescent="0.55000000000000004">
      <c r="A508" s="1" t="s">
        <v>1625</v>
      </c>
      <c r="B508" s="2">
        <f>COUNTIF(A:A,A508)-1</f>
        <v>4</v>
      </c>
      <c r="C508" s="2">
        <f>COUNTIF(A$1:A508,A508)-1</f>
        <v>1</v>
      </c>
      <c r="D508" s="2" t="str">
        <f t="shared" si="7"/>
        <v>v</v>
      </c>
      <c r="E508" s="2"/>
      <c r="F508" s="2" t="b">
        <f>DELETE.COMMAND(+F508:G508,#REF!,#REF!,#REF!)</f>
        <v>0</v>
      </c>
      <c r="H508" s="2" t="b">
        <f>DELETE.COMMAND(H508:I508,#REF!,#REF!,#REF!)</f>
        <v>0</v>
      </c>
      <c r="J508" s="2" t="b">
        <f>DELETE.COMMAND(INDIRECT(J508:K508),#REF!,#REF!,#REF!)</f>
        <v>0</v>
      </c>
      <c r="L508" s="2">
        <f>TYPE(INDEX(,DELETE.COMMAND(OFFSET(INDEX(1,),,),#REF!,#REF!,#REF!)))</f>
        <v>64</v>
      </c>
    </row>
    <row r="509" spans="1:12" x14ac:dyDescent="0.55000000000000004">
      <c r="A509" s="1" t="s">
        <v>1625</v>
      </c>
      <c r="B509" s="2">
        <f>COUNTIF(A:A,A509)-1</f>
        <v>4</v>
      </c>
      <c r="C509" s="2">
        <f>COUNTIF(A$1:A509,A509)-1</f>
        <v>2</v>
      </c>
      <c r="D509" s="2" t="str">
        <f t="shared" si="7"/>
        <v>v</v>
      </c>
      <c r="E509" s="2"/>
      <c r="F509" s="2" t="b">
        <f>DELETE.COMMAND(#REF!,+F509:G509,#REF!,#REF!)</f>
        <v>0</v>
      </c>
      <c r="H509" s="2" t="b">
        <f>DELETE.COMMAND(#REF!,H509:I509,#REF!,#REF!)</f>
        <v>0</v>
      </c>
      <c r="J509" s="2" t="b">
        <f>DELETE.COMMAND(#REF!,INDIRECT(J509:K509),#REF!,#REF!)</f>
        <v>0</v>
      </c>
      <c r="L509" s="2">
        <f>TYPE(INDEX(,DELETE.COMMAND(#REF!,OFFSET(INDEX(1,),,),#REF!,#REF!)))</f>
        <v>64</v>
      </c>
    </row>
    <row r="510" spans="1:12" x14ac:dyDescent="0.55000000000000004">
      <c r="A510" s="1" t="s">
        <v>1625</v>
      </c>
      <c r="B510" s="2">
        <f>COUNTIF(A:A,A510)-1</f>
        <v>4</v>
      </c>
      <c r="C510" s="2">
        <f>COUNTIF(A$1:A510,A510)-1</f>
        <v>3</v>
      </c>
      <c r="D510" s="2" t="str">
        <f t="shared" si="7"/>
        <v>v</v>
      </c>
      <c r="E510" s="2" t="b">
        <f>DELETE.COMMAND(#REF!,#REF!,#REF!)</f>
        <v>0</v>
      </c>
      <c r="F510" s="2" t="b">
        <f>DELETE.COMMAND(#REF!,#REF!,+F510:G510,#REF!)</f>
        <v>0</v>
      </c>
      <c r="H510" s="2" t="b">
        <f>DELETE.COMMAND(#REF!,#REF!,H510:I510,#REF!)</f>
        <v>0</v>
      </c>
      <c r="J510" s="2" t="b">
        <f>DELETE.COMMAND(#REF!,#REF!,INDIRECT(J510:K510),#REF!)</f>
        <v>0</v>
      </c>
      <c r="L510" s="2">
        <f>TYPE(INDEX(,DELETE.COMMAND(#REF!,#REF!,OFFSET(INDEX(1,),,),#REF!)))</f>
        <v>64</v>
      </c>
    </row>
    <row r="511" spans="1:12" x14ac:dyDescent="0.55000000000000004">
      <c r="A511" s="1" t="s">
        <v>1625</v>
      </c>
      <c r="B511" s="2">
        <f>COUNTIF(A:A,A511)-1</f>
        <v>4</v>
      </c>
      <c r="C511" s="2">
        <f>COUNTIF(A$1:A511,A511)-1</f>
        <v>4</v>
      </c>
      <c r="D511" s="2" t="str">
        <f t="shared" si="7"/>
        <v>v</v>
      </c>
      <c r="E511" s="2" t="b">
        <f>DELETE.COMMAND(#REF!,#REF!,#REF!,#REF!)</f>
        <v>0</v>
      </c>
      <c r="F511" s="2" t="b">
        <f>DELETE.COMMAND(#REF!,#REF!,#REF!,+F511:G511)</f>
        <v>0</v>
      </c>
      <c r="H511" s="2" t="b">
        <f>DELETE.COMMAND(#REF!,#REF!,#REF!,H511:I511)</f>
        <v>0</v>
      </c>
      <c r="J511" s="2" t="b">
        <f>DELETE.COMMAND(#REF!,#REF!,#REF!,INDIRECT(J511:K511))</f>
        <v>0</v>
      </c>
      <c r="L511" s="2">
        <f>TYPE(INDEX(,DELETE.COMMAND(#REF!,#REF!,#REF!,OFFSET(INDEX(1,),,))))</f>
        <v>64</v>
      </c>
    </row>
    <row r="512" spans="1:12" x14ac:dyDescent="0.55000000000000004">
      <c r="A512" s="1" t="s">
        <v>1626</v>
      </c>
      <c r="B512" s="2">
        <f>COUNTIF(A:A,A512)-1</f>
        <v>3</v>
      </c>
      <c r="C512" s="2">
        <f>COUNTIF(A$1:A512,A512)-1</f>
        <v>0</v>
      </c>
      <c r="D512" s="2" t="str">
        <f t="shared" si="7"/>
        <v/>
      </c>
      <c r="E512" s="2"/>
      <c r="F512" s="2"/>
      <c r="H512" s="2"/>
      <c r="J512" s="2"/>
      <c r="L512" s="2"/>
    </row>
    <row r="513" spans="1:12" x14ac:dyDescent="0.55000000000000004">
      <c r="A513" s="1" t="s">
        <v>1626</v>
      </c>
      <c r="B513" s="2">
        <f>COUNTIF(A:A,A513)-1</f>
        <v>3</v>
      </c>
      <c r="C513" s="2">
        <f>COUNTIF(A$1:A513,A513)-1</f>
        <v>1</v>
      </c>
      <c r="D513" s="2" t="str">
        <f t="shared" si="7"/>
        <v>v</v>
      </c>
      <c r="E513" s="2" t="e">
        <f>GET.CHART.ITEM(#REF!)</f>
        <v>#REF!</v>
      </c>
      <c r="F513" s="2" t="e">
        <f>GET.CHART.ITEM(+F513:G513,#REF!,#REF!)</f>
        <v>#REF!</v>
      </c>
      <c r="H513" s="2" t="e">
        <f>GET.CHART.ITEM(H513:I513,#REF!,#REF!)</f>
        <v>#REF!</v>
      </c>
      <c r="J513" s="2" t="e">
        <f>GET.CHART.ITEM(INDIRECT(J513:K513),#REF!,#REF!)</f>
        <v>#REF!</v>
      </c>
      <c r="L513" s="2">
        <f>TYPE(INDEX(,GET.CHART.ITEM(OFFSET(INDEX(1,),,),#REF!,#REF!)))</f>
        <v>64</v>
      </c>
    </row>
    <row r="514" spans="1:12" x14ac:dyDescent="0.55000000000000004">
      <c r="A514" s="1" t="s">
        <v>1626</v>
      </c>
      <c r="B514" s="2">
        <f>COUNTIF(A:A,A514)-1</f>
        <v>3</v>
      </c>
      <c r="C514" s="2">
        <f>COUNTIF(A$1:A514,A514)-1</f>
        <v>2</v>
      </c>
      <c r="D514" s="2" t="str">
        <f t="shared" ref="D514:D577" si="8">IF(C514&gt;0,IF(COUNTA(F514:G514)=1,"v",)&amp;IF(L514=64,,"a")&amp;IF(COUNTA(I514,K514)=1,"r",),"")</f>
        <v>v</v>
      </c>
      <c r="E514" s="2" t="e">
        <f>GET.CHART.ITEM(#REF!,#REF!)</f>
        <v>#REF!</v>
      </c>
      <c r="F514" s="2" t="e">
        <f>GET.CHART.ITEM(#REF!,+F514:G514,#REF!)</f>
        <v>#REF!</v>
      </c>
      <c r="H514" s="2" t="e">
        <f>GET.CHART.ITEM(#REF!,H514:I514,#REF!)</f>
        <v>#REF!</v>
      </c>
      <c r="J514" s="2" t="e">
        <f>GET.CHART.ITEM(#REF!,INDIRECT(J514:K514),#REF!)</f>
        <v>#REF!</v>
      </c>
      <c r="L514" s="2">
        <f>TYPE(INDEX(,GET.CHART.ITEM(#REF!,OFFSET(INDEX(1,),,),#REF!)))</f>
        <v>64</v>
      </c>
    </row>
    <row r="515" spans="1:12" x14ac:dyDescent="0.55000000000000004">
      <c r="A515" s="1" t="s">
        <v>1626</v>
      </c>
      <c r="B515" s="2">
        <f>COUNTIF(A:A,A515)-1</f>
        <v>3</v>
      </c>
      <c r="C515" s="2">
        <f>COUNTIF(A$1:A515,A515)-1</f>
        <v>3</v>
      </c>
      <c r="D515" s="2" t="str">
        <f t="shared" si="8"/>
        <v>v</v>
      </c>
      <c r="E515" s="2" t="e">
        <f>GET.CHART.ITEM(#REF!,#REF!,#REF!)</f>
        <v>#REF!</v>
      </c>
      <c r="F515" s="2" t="e">
        <f>GET.CHART.ITEM(#REF!,#REF!,+F515:G515)</f>
        <v>#REF!</v>
      </c>
      <c r="H515" s="2" t="e">
        <f>GET.CHART.ITEM(#REF!,#REF!,H515:I515)</f>
        <v>#REF!</v>
      </c>
      <c r="J515" s="2" t="e">
        <f>GET.CHART.ITEM(#REF!,#REF!,INDIRECT(J515:K515))</f>
        <v>#REF!</v>
      </c>
      <c r="L515" s="2">
        <f>TYPE(INDEX(,GET.CHART.ITEM(#REF!,#REF!,OFFSET(INDEX(1,),,))))</f>
        <v>64</v>
      </c>
    </row>
    <row r="516" spans="1:12" x14ac:dyDescent="0.55000000000000004">
      <c r="A516" s="1" t="s">
        <v>1627</v>
      </c>
      <c r="B516" s="2">
        <f>COUNTIF(A:A,A516)-1</f>
        <v>1</v>
      </c>
      <c r="C516" s="2">
        <f>COUNTIF(A$1:A516,A516)-1</f>
        <v>0</v>
      </c>
      <c r="D516" s="2" t="str">
        <f t="shared" si="8"/>
        <v/>
      </c>
      <c r="E516" s="2"/>
      <c r="F516" s="2"/>
      <c r="H516" s="2"/>
      <c r="J516" s="2"/>
      <c r="L516" s="2"/>
    </row>
    <row r="517" spans="1:12" x14ac:dyDescent="0.55000000000000004">
      <c r="A517" s="1" t="s">
        <v>1627</v>
      </c>
      <c r="B517" s="2">
        <f>COUNTIF(A:A,A517)-1</f>
        <v>1</v>
      </c>
      <c r="C517" s="2">
        <f>COUNTIF(A$1:A517,A517)-1</f>
        <v>1</v>
      </c>
      <c r="D517" s="2" t="str">
        <f t="shared" si="8"/>
        <v>var</v>
      </c>
      <c r="E517" s="2" t="b">
        <f>DIALOG.BOX(#REF!)</f>
        <v>0</v>
      </c>
      <c r="F517" s="2" t="e">
        <f>DIALOG.BOX(+F517:G517)</f>
        <v>#VALUE!</v>
      </c>
      <c r="H517" s="2" t="b">
        <f>DIALOG.BOX(H517:I517)</f>
        <v>0</v>
      </c>
      <c r="I517" s="1">
        <v>1</v>
      </c>
      <c r="J517" s="2" t="b">
        <f>DIALOG.BOX(INDIRECT(J517:K517))</f>
        <v>0</v>
      </c>
      <c r="L517" s="2">
        <f>TYPE(INDEX(,DIALOG.BOX(OFFSET(INDEX(1,),,))))</f>
        <v>16</v>
      </c>
    </row>
    <row r="518" spans="1:12" x14ac:dyDescent="0.55000000000000004">
      <c r="A518" s="1" t="s">
        <v>1628</v>
      </c>
      <c r="B518" s="2">
        <f>COUNTIF(A:A,A518)-1</f>
        <v>1</v>
      </c>
      <c r="C518" s="2">
        <f>COUNTIF(A$1:A518,A518)-1</f>
        <v>0</v>
      </c>
      <c r="D518" s="2" t="str">
        <f t="shared" si="8"/>
        <v/>
      </c>
      <c r="E518" s="2"/>
      <c r="F518" s="2"/>
      <c r="H518" s="2"/>
      <c r="J518" s="2"/>
      <c r="L518" s="2"/>
    </row>
    <row r="519" spans="1:12" x14ac:dyDescent="0.55000000000000004">
      <c r="A519" s="1" t="s">
        <v>1628</v>
      </c>
      <c r="B519" s="2">
        <f>COUNTIF(A:A,A519)-1</f>
        <v>1</v>
      </c>
      <c r="C519" s="2">
        <f>COUNTIF(A$1:A519,A519)-1</f>
        <v>1</v>
      </c>
      <c r="D519" s="2" t="str">
        <f t="shared" si="8"/>
        <v>v</v>
      </c>
      <c r="E519" s="2" t="e">
        <f>CLEAN(#REF!)</f>
        <v>#REF!</v>
      </c>
      <c r="F519" s="2" t="str">
        <f>CLEAN(+F519:G519)</f>
        <v>0</v>
      </c>
      <c r="H519" s="2" t="str">
        <f>CLEAN(H519:I519)</f>
        <v>0</v>
      </c>
      <c r="J519" s="2" t="e">
        <f>CLEAN(INDIRECT(J519:K519))</f>
        <v>#REF!</v>
      </c>
      <c r="L519" s="2">
        <f>TYPE(INDEX(,CLEAN(OFFSET(INDEX(1,),,))))</f>
        <v>64</v>
      </c>
    </row>
    <row r="520" spans="1:12" x14ac:dyDescent="0.55000000000000004">
      <c r="A520" s="1" t="s">
        <v>1629</v>
      </c>
      <c r="B520" s="2">
        <f>COUNTIF(A:A,A520)-1</f>
        <v>1</v>
      </c>
      <c r="C520" s="2">
        <f>COUNTIF(A$1:A520,A520)-1</f>
        <v>0</v>
      </c>
      <c r="D520" s="2" t="str">
        <f t="shared" si="8"/>
        <v/>
      </c>
      <c r="E520" s="2"/>
      <c r="F520" s="2"/>
      <c r="H520" s="2"/>
      <c r="J520" s="2"/>
      <c r="L520" s="2"/>
    </row>
    <row r="521" spans="1:12" x14ac:dyDescent="0.55000000000000004">
      <c r="A521" s="1" t="s">
        <v>1629</v>
      </c>
      <c r="B521" s="2">
        <f>COUNTIF(A:A,A521)-1</f>
        <v>1</v>
      </c>
      <c r="C521" s="2">
        <f>COUNTIF(A$1:A521,A521)-1</f>
        <v>1</v>
      </c>
      <c r="D521" s="2" t="str">
        <f t="shared" si="8"/>
        <v>a</v>
      </c>
      <c r="E521" s="2" t="e">
        <f>MDETERM(#REF!)</f>
        <v>#REF!</v>
      </c>
      <c r="F521" s="2" t="e">
        <f>MDETERM(+F521:G521)</f>
        <v>#VALUE!</v>
      </c>
      <c r="G521" s="1">
        <v>1</v>
      </c>
      <c r="H521" s="2" t="e">
        <f>MDETERM(H521:I521)</f>
        <v>#VALUE!</v>
      </c>
      <c r="I521" s="1">
        <v>1</v>
      </c>
      <c r="J521" s="2" t="e">
        <f>MDETERM(INDIRECT(J521:K521))</f>
        <v>#REF!</v>
      </c>
      <c r="K521" s="1">
        <v>1</v>
      </c>
      <c r="L521" s="2">
        <f>TYPE(INDEX(,MDETERM(OFFSET(INDEX(1,),,))))</f>
        <v>16</v>
      </c>
    </row>
    <row r="522" spans="1:12" x14ac:dyDescent="0.55000000000000004">
      <c r="A522" s="1" t="s">
        <v>1630</v>
      </c>
      <c r="B522" s="2">
        <f>COUNTIF(A:A,A522)-1</f>
        <v>1</v>
      </c>
      <c r="C522" s="2">
        <f>COUNTIF(A$1:A522,A522)-1</f>
        <v>0</v>
      </c>
      <c r="D522" s="2" t="str">
        <f t="shared" si="8"/>
        <v/>
      </c>
      <c r="E522" s="2"/>
      <c r="F522" s="2"/>
      <c r="H522" s="2"/>
      <c r="J522" s="2"/>
      <c r="L522" s="2"/>
    </row>
    <row r="523" spans="1:12" x14ac:dyDescent="0.55000000000000004">
      <c r="A523" s="1" t="s">
        <v>1630</v>
      </c>
      <c r="B523" s="2">
        <f>COUNTIF(A:A,A523)-1</f>
        <v>1</v>
      </c>
      <c r="C523" s="2">
        <f>COUNTIF(A$1:A523,A523)-1</f>
        <v>1</v>
      </c>
      <c r="D523" s="2" t="str">
        <f t="shared" si="8"/>
        <v>a</v>
      </c>
      <c r="E523" s="2" t="e">
        <f>MINVERSE(#REF!)</f>
        <v>#REF!</v>
      </c>
      <c r="F523" s="2" t="e">
        <f>MINVERSE(+F523:G523)</f>
        <v>#VALUE!</v>
      </c>
      <c r="G523" s="1">
        <v>1</v>
      </c>
      <c r="H523" s="2" t="e">
        <f>MINVERSE(H523:I523)</f>
        <v>#VALUE!</v>
      </c>
      <c r="I523" s="1">
        <v>1</v>
      </c>
      <c r="J523" s="2" t="e">
        <f>MINVERSE(INDIRECT(J523:K523))</f>
        <v>#REF!</v>
      </c>
      <c r="K523" s="1">
        <v>1</v>
      </c>
      <c r="L523" s="2">
        <f>TYPE(INDEX(,MINVERSE(OFFSET(INDEX(1,),,))))</f>
        <v>16</v>
      </c>
    </row>
    <row r="524" spans="1:12" x14ac:dyDescent="0.55000000000000004">
      <c r="A524" s="1" t="s">
        <v>1631</v>
      </c>
      <c r="B524" s="2">
        <f>COUNTIF(A:A,A524)-1</f>
        <v>2</v>
      </c>
      <c r="C524" s="2">
        <f>COUNTIF(A$1:A524,A524)-1</f>
        <v>0</v>
      </c>
      <c r="D524" s="2" t="str">
        <f t="shared" si="8"/>
        <v/>
      </c>
      <c r="E524" s="2"/>
      <c r="F524" s="2"/>
      <c r="H524" s="2"/>
      <c r="J524" s="2"/>
      <c r="L524" s="2"/>
    </row>
    <row r="525" spans="1:12" x14ac:dyDescent="0.55000000000000004">
      <c r="A525" s="1" t="s">
        <v>1631</v>
      </c>
      <c r="B525" s="2">
        <f>COUNTIF(A:A,A525)-1</f>
        <v>2</v>
      </c>
      <c r="C525" s="2">
        <f>COUNTIF(A$1:A525,A525)-1</f>
        <v>1</v>
      </c>
      <c r="D525" s="2" t="str">
        <f t="shared" si="8"/>
        <v>a</v>
      </c>
      <c r="E525" s="2"/>
      <c r="F525" s="2" t="e">
        <f>MMULT(+F525:G525,#REF!)</f>
        <v>#REF!</v>
      </c>
      <c r="G525" s="1">
        <v>1</v>
      </c>
      <c r="H525" s="2" t="e">
        <f>MMULT(H525:I525,#REF!)</f>
        <v>#REF!</v>
      </c>
      <c r="I525" s="1">
        <v>1</v>
      </c>
      <c r="J525" s="2" t="e">
        <f>MMULT(INDIRECT(J525:K525),#REF!)</f>
        <v>#REF!</v>
      </c>
      <c r="K525" s="1">
        <v>1</v>
      </c>
      <c r="L525" s="2">
        <f>TYPE(INDEX(,MMULT(OFFSET(INDEX(1,),,),#REF!)))</f>
        <v>16</v>
      </c>
    </row>
    <row r="526" spans="1:12" x14ac:dyDescent="0.55000000000000004">
      <c r="A526" s="1" t="s">
        <v>1631</v>
      </c>
      <c r="B526" s="2">
        <f>COUNTIF(A:A,A526)-1</f>
        <v>2</v>
      </c>
      <c r="C526" s="2">
        <f>COUNTIF(A$1:A526,A526)-1</f>
        <v>2</v>
      </c>
      <c r="D526" s="2" t="str">
        <f t="shared" si="8"/>
        <v>a</v>
      </c>
      <c r="E526" s="2" t="e">
        <f>MMULT(#REF!,#REF!)</f>
        <v>#REF!</v>
      </c>
      <c r="F526" s="2" t="e">
        <f>MMULT(#REF!,+F526:G526)</f>
        <v>#REF!</v>
      </c>
      <c r="G526" s="1">
        <v>1</v>
      </c>
      <c r="H526" s="2" t="e">
        <f>MMULT(#REF!,H526:I526)</f>
        <v>#REF!</v>
      </c>
      <c r="I526" s="1">
        <v>1</v>
      </c>
      <c r="J526" s="2" t="e">
        <f>MMULT(#REF!,INDIRECT(J526:K526))</f>
        <v>#REF!</v>
      </c>
      <c r="K526" s="1">
        <v>1</v>
      </c>
      <c r="L526" s="2">
        <f>TYPE(INDEX(,MMULT(#REF!,OFFSET(INDEX(1,),,))))</f>
        <v>16</v>
      </c>
    </row>
    <row r="527" spans="1:12" x14ac:dyDescent="0.55000000000000004">
      <c r="A527" s="1" t="s">
        <v>1632</v>
      </c>
      <c r="B527" s="2">
        <f>COUNTIF(A:A,A527)-1</f>
        <v>1</v>
      </c>
      <c r="C527" s="2">
        <f>COUNTIF(A$1:A527,A527)-1</f>
        <v>0</v>
      </c>
      <c r="D527" s="2" t="str">
        <f t="shared" si="8"/>
        <v/>
      </c>
      <c r="E527" s="2" t="str">
        <f>FILES()</f>
        <v>Book2.xlsm</v>
      </c>
      <c r="F527" s="2"/>
      <c r="H527" s="2"/>
      <c r="J527" s="2"/>
      <c r="L527" s="2"/>
    </row>
    <row r="528" spans="1:12" x14ac:dyDescent="0.55000000000000004">
      <c r="A528" s="1" t="s">
        <v>1632</v>
      </c>
      <c r="B528" s="2">
        <f>COUNTIF(A:A,A528)-1</f>
        <v>1</v>
      </c>
      <c r="C528" s="2">
        <f>COUNTIF(A$1:A528,A528)-1</f>
        <v>1</v>
      </c>
      <c r="D528" s="2" t="str">
        <f t="shared" si="8"/>
        <v>v</v>
      </c>
      <c r="E528" s="2" t="e">
        <f>FILES(#REF!)</f>
        <v>#REF!</v>
      </c>
      <c r="F528" s="2" t="e">
        <f>FILES(+F528:G528)</f>
        <v>#N/A</v>
      </c>
      <c r="H528" s="2" t="e">
        <f>FILES(H528:I528)</f>
        <v>#N/A</v>
      </c>
      <c r="J528" s="2" t="e">
        <f>FILES(INDIRECT(J528:K528))</f>
        <v>#REF!</v>
      </c>
      <c r="L528" s="2">
        <f>TYPE(INDEX(,FILES(OFFSET(INDEX(1,),,))))</f>
        <v>64</v>
      </c>
    </row>
    <row r="529" spans="1:12" x14ac:dyDescent="0.55000000000000004">
      <c r="A529" s="1" t="s">
        <v>1633</v>
      </c>
      <c r="B529" s="2">
        <f>COUNTIF(A:A,A529)-1</f>
        <v>6</v>
      </c>
      <c r="C529" s="2">
        <f>COUNTIF(A$1:A529,A529)-1</f>
        <v>0</v>
      </c>
      <c r="D529" s="2" t="str">
        <f t="shared" si="8"/>
        <v/>
      </c>
      <c r="E529" s="2"/>
      <c r="F529" s="2"/>
      <c r="H529" s="2"/>
      <c r="J529" s="2"/>
      <c r="L529" s="2"/>
    </row>
    <row r="530" spans="1:12" x14ac:dyDescent="0.55000000000000004">
      <c r="A530" s="1" t="s">
        <v>1633</v>
      </c>
      <c r="B530" s="2">
        <f>COUNTIF(A:A,A530)-1</f>
        <v>6</v>
      </c>
      <c r="C530" s="2">
        <f>COUNTIF(A$1:A530,A530)-1</f>
        <v>1</v>
      </c>
      <c r="D530" s="2" t="str">
        <f t="shared" si="8"/>
        <v>v</v>
      </c>
      <c r="E530" s="2"/>
      <c r="F530" s="2" t="e">
        <f>IPMT(+F530:G530,#REF!,#REF!,#REF!,#REF!,#REF!)</f>
        <v>#REF!</v>
      </c>
      <c r="H530" s="2" t="e">
        <f>IPMT(H530:I530,#REF!,#REF!,#REF!,#REF!,#REF!)</f>
        <v>#REF!</v>
      </c>
      <c r="J530" s="2" t="e">
        <f>IPMT(INDIRECT(J530:K530),#REF!,#REF!,#REF!,#REF!,#REF!)</f>
        <v>#REF!</v>
      </c>
      <c r="L530" s="2">
        <f>TYPE(INDEX(,IPMT(OFFSET(INDEX(1,),,),#REF!,#REF!,#REF!,#REF!,#REF!)))</f>
        <v>64</v>
      </c>
    </row>
    <row r="531" spans="1:12" x14ac:dyDescent="0.55000000000000004">
      <c r="A531" s="1" t="s">
        <v>1633</v>
      </c>
      <c r="B531" s="2">
        <f>COUNTIF(A:A,A531)-1</f>
        <v>6</v>
      </c>
      <c r="C531" s="2">
        <f>COUNTIF(A$1:A531,A531)-1</f>
        <v>2</v>
      </c>
      <c r="D531" s="2" t="str">
        <f t="shared" si="8"/>
        <v>v</v>
      </c>
      <c r="E531" s="2"/>
      <c r="F531" s="2" t="e">
        <f>IPMT(#REF!,+F531:G531,#REF!,#REF!,#REF!,#REF!)</f>
        <v>#REF!</v>
      </c>
      <c r="H531" s="2" t="e">
        <f>IPMT(#REF!,H531:I531,#REF!,#REF!,#REF!,#REF!)</f>
        <v>#REF!</v>
      </c>
      <c r="J531" s="2" t="e">
        <f>IPMT(#REF!,INDIRECT(J531:K531),#REF!,#REF!,#REF!,#REF!)</f>
        <v>#REF!</v>
      </c>
      <c r="L531" s="2">
        <f>TYPE(INDEX(,IPMT(#REF!,OFFSET(INDEX(1,),,),#REF!,#REF!,#REF!,#REF!)))</f>
        <v>64</v>
      </c>
    </row>
    <row r="532" spans="1:12" x14ac:dyDescent="0.55000000000000004">
      <c r="A532" s="1" t="s">
        <v>1633</v>
      </c>
      <c r="B532" s="2">
        <f>COUNTIF(A:A,A532)-1</f>
        <v>6</v>
      </c>
      <c r="C532" s="2">
        <f>COUNTIF(A$1:A532,A532)-1</f>
        <v>3</v>
      </c>
      <c r="D532" s="2" t="str">
        <f t="shared" si="8"/>
        <v>v</v>
      </c>
      <c r="E532" s="2"/>
      <c r="F532" s="2" t="e">
        <f>IPMT(#REF!,#REF!,+F532:G532,#REF!,#REF!,#REF!)</f>
        <v>#REF!</v>
      </c>
      <c r="H532" s="2" t="e">
        <f>IPMT(#REF!,#REF!,H532:I532,#REF!,#REF!,#REF!)</f>
        <v>#REF!</v>
      </c>
      <c r="J532" s="2" t="e">
        <f>IPMT(#REF!,#REF!,INDIRECT(J532:K532),#REF!,#REF!,#REF!)</f>
        <v>#REF!</v>
      </c>
      <c r="L532" s="2">
        <f>TYPE(INDEX(,IPMT(#REF!,#REF!,OFFSET(INDEX(1,),,),#REF!,#REF!,#REF!)))</f>
        <v>64</v>
      </c>
    </row>
    <row r="533" spans="1:12" x14ac:dyDescent="0.55000000000000004">
      <c r="A533" s="1" t="s">
        <v>1633</v>
      </c>
      <c r="B533" s="2">
        <f>COUNTIF(A:A,A533)-1</f>
        <v>6</v>
      </c>
      <c r="C533" s="2">
        <f>COUNTIF(A$1:A533,A533)-1</f>
        <v>4</v>
      </c>
      <c r="D533" s="2" t="str">
        <f t="shared" si="8"/>
        <v>v</v>
      </c>
      <c r="E533" s="2" t="e">
        <f>IPMT(#REF!,#REF!,#REF!,#REF!)</f>
        <v>#REF!</v>
      </c>
      <c r="F533" s="2" t="e">
        <f>IPMT(#REF!,#REF!,#REF!,+F533:G533,#REF!,#REF!)</f>
        <v>#REF!</v>
      </c>
      <c r="H533" s="2" t="e">
        <f>IPMT(#REF!,#REF!,#REF!,H533:I533,#REF!,#REF!)</f>
        <v>#REF!</v>
      </c>
      <c r="J533" s="2" t="e">
        <f>IPMT(#REF!,#REF!,#REF!,INDIRECT(J533:K533),#REF!,#REF!)</f>
        <v>#REF!</v>
      </c>
      <c r="L533" s="2">
        <f>TYPE(INDEX(,IPMT(#REF!,#REF!,#REF!,OFFSET(INDEX(1,),,),#REF!,#REF!)))</f>
        <v>64</v>
      </c>
    </row>
    <row r="534" spans="1:12" x14ac:dyDescent="0.55000000000000004">
      <c r="A534" s="1" t="s">
        <v>1633</v>
      </c>
      <c r="B534" s="2">
        <f>COUNTIF(A:A,A534)-1</f>
        <v>6</v>
      </c>
      <c r="C534" s="2">
        <f>COUNTIF(A$1:A534,A534)-1</f>
        <v>5</v>
      </c>
      <c r="D534" s="2" t="str">
        <f t="shared" si="8"/>
        <v>v</v>
      </c>
      <c r="E534" s="2" t="e">
        <f>IPMT(#REF!,#REF!,#REF!,#REF!,#REF!)</f>
        <v>#REF!</v>
      </c>
      <c r="F534" s="2" t="e">
        <f>IPMT(#REF!,#REF!,#REF!,#REF!,+F534:G534,#REF!)</f>
        <v>#REF!</v>
      </c>
      <c r="H534" s="2" t="e">
        <f>IPMT(#REF!,#REF!,#REF!,#REF!,H534:I534,#REF!)</f>
        <v>#REF!</v>
      </c>
      <c r="J534" s="2" t="e">
        <f>IPMT(#REF!,#REF!,#REF!,#REF!,INDIRECT(J534:K534),#REF!)</f>
        <v>#REF!</v>
      </c>
      <c r="L534" s="2">
        <f>TYPE(INDEX(,IPMT(#REF!,#REF!,#REF!,#REF!,OFFSET(INDEX(1,),,),#REF!)))</f>
        <v>64</v>
      </c>
    </row>
    <row r="535" spans="1:12" x14ac:dyDescent="0.55000000000000004">
      <c r="A535" s="1" t="s">
        <v>1633</v>
      </c>
      <c r="B535" s="2">
        <f>COUNTIF(A:A,A535)-1</f>
        <v>6</v>
      </c>
      <c r="C535" s="2">
        <f>COUNTIF(A$1:A535,A535)-1</f>
        <v>6</v>
      </c>
      <c r="D535" s="2" t="str">
        <f t="shared" si="8"/>
        <v>v</v>
      </c>
      <c r="E535" s="2" t="e">
        <f>IPMT(#REF!,#REF!,#REF!,#REF!,#REF!,#REF!)</f>
        <v>#REF!</v>
      </c>
      <c r="F535" s="2" t="e">
        <f>IPMT(#REF!,#REF!,#REF!,#REF!,#REF!,+F535:G535)</f>
        <v>#REF!</v>
      </c>
      <c r="H535" s="2" t="e">
        <f>IPMT(#REF!,#REF!,#REF!,#REF!,#REF!,H535:I535)</f>
        <v>#REF!</v>
      </c>
      <c r="J535" s="2" t="e">
        <f>IPMT(#REF!,#REF!,#REF!,#REF!,#REF!,INDIRECT(J535:K535))</f>
        <v>#REF!</v>
      </c>
      <c r="L535" s="2">
        <f>TYPE(INDEX(,IPMT(#REF!,#REF!,#REF!,#REF!,#REF!,OFFSET(INDEX(1,),,))))</f>
        <v>64</v>
      </c>
    </row>
    <row r="536" spans="1:12" x14ac:dyDescent="0.55000000000000004">
      <c r="A536" s="1" t="s">
        <v>1634</v>
      </c>
      <c r="B536" s="2">
        <f>COUNTIF(A:A,A536)-1</f>
        <v>6</v>
      </c>
      <c r="C536" s="2">
        <f>COUNTIF(A$1:A536,A536)-1</f>
        <v>0</v>
      </c>
      <c r="D536" s="2" t="str">
        <f t="shared" si="8"/>
        <v/>
      </c>
      <c r="E536" s="2"/>
      <c r="F536" s="2"/>
      <c r="H536" s="2"/>
      <c r="J536" s="2"/>
      <c r="L536" s="2"/>
    </row>
    <row r="537" spans="1:12" x14ac:dyDescent="0.55000000000000004">
      <c r="A537" s="1" t="s">
        <v>1634</v>
      </c>
      <c r="B537" s="2">
        <f>COUNTIF(A:A,A537)-1</f>
        <v>6</v>
      </c>
      <c r="C537" s="2">
        <f>COUNTIF(A$1:A537,A537)-1</f>
        <v>1</v>
      </c>
      <c r="D537" s="2" t="str">
        <f t="shared" si="8"/>
        <v>v</v>
      </c>
      <c r="E537" s="2"/>
      <c r="F537" s="2" t="e">
        <f>PPMT(+F537:G537,#REF!,#REF!,#REF!,#REF!,#REF!)</f>
        <v>#REF!</v>
      </c>
      <c r="H537" s="2" t="e">
        <f>PPMT(H537:I537,#REF!,#REF!,#REF!,#REF!,#REF!)</f>
        <v>#REF!</v>
      </c>
      <c r="J537" s="2" t="e">
        <f>PPMT(INDIRECT(J537:K537),#REF!,#REF!,#REF!,#REF!,#REF!)</f>
        <v>#REF!</v>
      </c>
      <c r="L537" s="2">
        <f>TYPE(INDEX(,PPMT(OFFSET(INDEX(1,),,),#REF!,#REF!,#REF!,#REF!,#REF!)))</f>
        <v>64</v>
      </c>
    </row>
    <row r="538" spans="1:12" x14ac:dyDescent="0.55000000000000004">
      <c r="A538" s="1" t="s">
        <v>1634</v>
      </c>
      <c r="B538" s="2">
        <f>COUNTIF(A:A,A538)-1</f>
        <v>6</v>
      </c>
      <c r="C538" s="2">
        <f>COUNTIF(A$1:A538,A538)-1</f>
        <v>2</v>
      </c>
      <c r="D538" s="2" t="str">
        <f t="shared" si="8"/>
        <v>v</v>
      </c>
      <c r="E538" s="2"/>
      <c r="F538" s="2" t="e">
        <f>PPMT(#REF!,+F538:G538,#REF!,#REF!,#REF!,#REF!)</f>
        <v>#REF!</v>
      </c>
      <c r="H538" s="2" t="e">
        <f>PPMT(#REF!,H538:I538,#REF!,#REF!,#REF!,#REF!)</f>
        <v>#REF!</v>
      </c>
      <c r="J538" s="2" t="e">
        <f>PPMT(#REF!,INDIRECT(J538:K538),#REF!,#REF!,#REF!,#REF!)</f>
        <v>#REF!</v>
      </c>
      <c r="L538" s="2">
        <f>TYPE(INDEX(,PPMT(#REF!,OFFSET(INDEX(1,),,),#REF!,#REF!,#REF!,#REF!)))</f>
        <v>64</v>
      </c>
    </row>
    <row r="539" spans="1:12" x14ac:dyDescent="0.55000000000000004">
      <c r="A539" s="1" t="s">
        <v>1634</v>
      </c>
      <c r="B539" s="2">
        <f>COUNTIF(A:A,A539)-1</f>
        <v>6</v>
      </c>
      <c r="C539" s="2">
        <f>COUNTIF(A$1:A539,A539)-1</f>
        <v>3</v>
      </c>
      <c r="D539" s="2" t="str">
        <f t="shared" si="8"/>
        <v>v</v>
      </c>
      <c r="E539" s="2"/>
      <c r="F539" s="2" t="e">
        <f>PPMT(#REF!,#REF!,+F539:G539,#REF!,#REF!,#REF!)</f>
        <v>#REF!</v>
      </c>
      <c r="H539" s="2" t="e">
        <f>PPMT(#REF!,#REF!,H539:I539,#REF!,#REF!,#REF!)</f>
        <v>#REF!</v>
      </c>
      <c r="J539" s="2" t="e">
        <f>PPMT(#REF!,#REF!,INDIRECT(J539:K539),#REF!,#REF!,#REF!)</f>
        <v>#REF!</v>
      </c>
      <c r="L539" s="2">
        <f>TYPE(INDEX(,PPMT(#REF!,#REF!,OFFSET(INDEX(1,),,),#REF!,#REF!,#REF!)))</f>
        <v>64</v>
      </c>
    </row>
    <row r="540" spans="1:12" x14ac:dyDescent="0.55000000000000004">
      <c r="A540" s="1" t="s">
        <v>1634</v>
      </c>
      <c r="B540" s="2">
        <f>COUNTIF(A:A,A540)-1</f>
        <v>6</v>
      </c>
      <c r="C540" s="2">
        <f>COUNTIF(A$1:A540,A540)-1</f>
        <v>4</v>
      </c>
      <c r="D540" s="2" t="str">
        <f t="shared" si="8"/>
        <v>v</v>
      </c>
      <c r="E540" s="2" t="e">
        <f>PPMT(#REF!,#REF!,#REF!,#REF!)</f>
        <v>#REF!</v>
      </c>
      <c r="F540" s="2" t="e">
        <f>PPMT(#REF!,#REF!,#REF!,+F540:G540,#REF!,#REF!)</f>
        <v>#REF!</v>
      </c>
      <c r="H540" s="2" t="e">
        <f>PPMT(#REF!,#REF!,#REF!,H540:I540,#REF!,#REF!)</f>
        <v>#REF!</v>
      </c>
      <c r="J540" s="2" t="e">
        <f>PPMT(#REF!,#REF!,#REF!,INDIRECT(J540:K540),#REF!,#REF!)</f>
        <v>#REF!</v>
      </c>
      <c r="L540" s="2">
        <f>TYPE(INDEX(,PPMT(#REF!,#REF!,#REF!,OFFSET(INDEX(1,),,),#REF!,#REF!)))</f>
        <v>64</v>
      </c>
    </row>
    <row r="541" spans="1:12" x14ac:dyDescent="0.55000000000000004">
      <c r="A541" s="1" t="s">
        <v>1634</v>
      </c>
      <c r="B541" s="2">
        <f>COUNTIF(A:A,A541)-1</f>
        <v>6</v>
      </c>
      <c r="C541" s="2">
        <f>COUNTIF(A$1:A541,A541)-1</f>
        <v>5</v>
      </c>
      <c r="D541" s="2" t="str">
        <f t="shared" si="8"/>
        <v>v</v>
      </c>
      <c r="E541" s="2" t="e">
        <f>PPMT(#REF!,#REF!,#REF!,#REF!,#REF!)</f>
        <v>#REF!</v>
      </c>
      <c r="F541" s="2" t="e">
        <f>PPMT(#REF!,#REF!,#REF!,#REF!,+F541:G541,#REF!)</f>
        <v>#REF!</v>
      </c>
      <c r="H541" s="2" t="e">
        <f>PPMT(#REF!,#REF!,#REF!,#REF!,H541:I541,#REF!)</f>
        <v>#REF!</v>
      </c>
      <c r="J541" s="2" t="e">
        <f>PPMT(#REF!,#REF!,#REF!,#REF!,INDIRECT(J541:K541),#REF!)</f>
        <v>#REF!</v>
      </c>
      <c r="L541" s="2">
        <f>TYPE(INDEX(,PPMT(#REF!,#REF!,#REF!,#REF!,OFFSET(INDEX(1,),,),#REF!)))</f>
        <v>64</v>
      </c>
    </row>
    <row r="542" spans="1:12" x14ac:dyDescent="0.55000000000000004">
      <c r="A542" s="1" t="s">
        <v>1634</v>
      </c>
      <c r="B542" s="2">
        <f>COUNTIF(A:A,A542)-1</f>
        <v>6</v>
      </c>
      <c r="C542" s="2">
        <f>COUNTIF(A$1:A542,A542)-1</f>
        <v>6</v>
      </c>
      <c r="D542" s="2" t="str">
        <f t="shared" si="8"/>
        <v>v</v>
      </c>
      <c r="E542" s="2" t="e">
        <f>PPMT(#REF!,#REF!,#REF!,#REF!,#REF!,#REF!)</f>
        <v>#REF!</v>
      </c>
      <c r="F542" s="2" t="e">
        <f>PPMT(#REF!,#REF!,#REF!,#REF!,#REF!,+F542:G542)</f>
        <v>#REF!</v>
      </c>
      <c r="H542" s="2" t="e">
        <f>PPMT(#REF!,#REF!,#REF!,#REF!,#REF!,H542:I542)</f>
        <v>#REF!</v>
      </c>
      <c r="J542" s="2" t="e">
        <f>PPMT(#REF!,#REF!,#REF!,#REF!,#REF!,INDIRECT(J542:K542))</f>
        <v>#REF!</v>
      </c>
      <c r="L542" s="2">
        <f>TYPE(INDEX(,PPMT(#REF!,#REF!,#REF!,#REF!,#REF!,OFFSET(INDEX(1,),,))))</f>
        <v>64</v>
      </c>
    </row>
    <row r="543" spans="1:12" x14ac:dyDescent="0.55000000000000004">
      <c r="A543" s="1" t="s">
        <v>1635</v>
      </c>
      <c r="B543" s="2">
        <f>COUNTIF(A:A,A543)-1</f>
        <v>3</v>
      </c>
      <c r="C543" s="2">
        <f>COUNTIF(A$1:A543,A543)-1</f>
        <v>0</v>
      </c>
      <c r="D543" s="2" t="str">
        <f t="shared" si="8"/>
        <v/>
      </c>
      <c r="E543" s="2"/>
      <c r="F543" s="2"/>
      <c r="H543" s="2"/>
      <c r="J543" s="2"/>
      <c r="L543" s="2"/>
    </row>
    <row r="544" spans="1:12" x14ac:dyDescent="0.55000000000000004">
      <c r="A544" s="1" t="s">
        <v>1635</v>
      </c>
      <c r="B544" s="2">
        <f>COUNTIF(A:A,A544)-1</f>
        <v>3</v>
      </c>
      <c r="C544" s="2">
        <f>COUNTIF(A$1:A544,A544)-1</f>
        <v>1</v>
      </c>
      <c r="D544" s="2" t="str">
        <f t="shared" si="8"/>
        <v>var</v>
      </c>
      <c r="E544" s="2">
        <f>COUNTA(#REF!)</f>
        <v>1</v>
      </c>
      <c r="F544" s="2">
        <f>COUNTA(+F544:G544,#REF!,#REF!)</f>
        <v>3</v>
      </c>
      <c r="H544" s="2">
        <f>COUNTA(H544:I544,#REF!,#REF!)</f>
        <v>3</v>
      </c>
      <c r="I544" s="1">
        <v>1</v>
      </c>
      <c r="J544" s="2">
        <f>COUNTA(INDIRECT(J544:K544),#REF!,#REF!)</f>
        <v>3</v>
      </c>
      <c r="L544" s="2">
        <f>TYPE(INDEX(,COUNTA(OFFSET(INDEX(1,),,),#REF!,#REF!)))</f>
        <v>16</v>
      </c>
    </row>
    <row r="545" spans="1:12" x14ac:dyDescent="0.55000000000000004">
      <c r="A545" s="1" t="s">
        <v>1635</v>
      </c>
      <c r="B545" s="2">
        <f>COUNTIF(A:A,A545)-1</f>
        <v>3</v>
      </c>
      <c r="C545" s="2">
        <f>COUNTIF(A$1:A545,A545)-1</f>
        <v>2</v>
      </c>
      <c r="D545" s="2" t="str">
        <f t="shared" si="8"/>
        <v>var</v>
      </c>
      <c r="E545" s="2">
        <f>COUNTA(#REF!,#REF!)</f>
        <v>2</v>
      </c>
      <c r="F545" s="2">
        <f>COUNTA(#REF!,+F545:G545,#REF!)</f>
        <v>3</v>
      </c>
      <c r="H545" s="2">
        <f>COUNTA(#REF!,H545:I545,#REF!)</f>
        <v>3</v>
      </c>
      <c r="I545" s="1">
        <v>1</v>
      </c>
      <c r="J545" s="2">
        <f>COUNTA(#REF!,INDIRECT(J545:K545),#REF!)</f>
        <v>3</v>
      </c>
      <c r="L545" s="2">
        <f>TYPE(INDEX(,COUNTA(#REF!,OFFSET(INDEX(1,),,),#REF!)))</f>
        <v>16</v>
      </c>
    </row>
    <row r="546" spans="1:12" x14ac:dyDescent="0.55000000000000004">
      <c r="A546" s="1" t="s">
        <v>1635</v>
      </c>
      <c r="B546" s="2">
        <f>COUNTIF(A:A,A546)-1</f>
        <v>3</v>
      </c>
      <c r="C546" s="2">
        <f>COUNTIF(A$1:A546,A546)-1</f>
        <v>3</v>
      </c>
      <c r="D546" s="2" t="str">
        <f t="shared" si="8"/>
        <v>var</v>
      </c>
      <c r="E546" s="2">
        <f>COUNTA(#REF!,#REF!,#REF!)</f>
        <v>3</v>
      </c>
      <c r="F546" s="2">
        <f>COUNTA(#REF!,#REF!,+F546:G546)</f>
        <v>3</v>
      </c>
      <c r="H546" s="2">
        <f>COUNTA(#REF!,#REF!,H546:I546)</f>
        <v>3</v>
      </c>
      <c r="I546" s="1">
        <v>1</v>
      </c>
      <c r="J546" s="2">
        <f>COUNTA(#REF!,#REF!,INDIRECT(J546:K546))</f>
        <v>3</v>
      </c>
      <c r="L546" s="2">
        <f>TYPE(INDEX(,COUNTA(#REF!,#REF!,OFFSET(INDEX(1,),,))))</f>
        <v>16</v>
      </c>
    </row>
    <row r="547" spans="1:12" x14ac:dyDescent="0.55000000000000004">
      <c r="A547" s="1" t="s">
        <v>1636</v>
      </c>
      <c r="B547" s="2">
        <f>COUNTIF(A:A,A547)-1</f>
        <v>2</v>
      </c>
      <c r="C547" s="2">
        <f>COUNTIF(A$1:A547,A547)-1</f>
        <v>0</v>
      </c>
      <c r="D547" s="2" t="str">
        <f t="shared" si="8"/>
        <v/>
      </c>
      <c r="E547" s="2" t="b">
        <f>CANCEL.KEY()</f>
        <v>0</v>
      </c>
      <c r="F547" s="2"/>
      <c r="H547" s="2"/>
      <c r="J547" s="2"/>
      <c r="L547" s="2"/>
    </row>
    <row r="548" spans="1:12" x14ac:dyDescent="0.55000000000000004">
      <c r="A548" s="1" t="s">
        <v>1636</v>
      </c>
      <c r="B548" s="2">
        <f>COUNTIF(A:A,A548)-1</f>
        <v>2</v>
      </c>
      <c r="C548" s="2">
        <f>COUNTIF(A$1:A548,A548)-1</f>
        <v>1</v>
      </c>
      <c r="D548" s="2" t="str">
        <f t="shared" si="8"/>
        <v>v</v>
      </c>
      <c r="E548" s="2" t="b">
        <f>CANCEL.KEY(#REF!)</f>
        <v>0</v>
      </c>
      <c r="F548" s="2" t="b">
        <f>CANCEL.KEY(+F548:G548,#REF!)</f>
        <v>0</v>
      </c>
      <c r="H548" s="2" t="b">
        <f>CANCEL.KEY(H548:I548,#REF!)</f>
        <v>0</v>
      </c>
      <c r="J548" s="2" t="b">
        <f>CANCEL.KEY(INDIRECT(J548:K548),#REF!)</f>
        <v>0</v>
      </c>
      <c r="L548" s="2">
        <f>TYPE(INDEX(,CANCEL.KEY(OFFSET(INDEX(1,),,),#REF!)))</f>
        <v>64</v>
      </c>
    </row>
    <row r="549" spans="1:12" x14ac:dyDescent="0.55000000000000004">
      <c r="A549" s="1" t="s">
        <v>1636</v>
      </c>
      <c r="B549" s="2">
        <f>COUNTIF(A:A,A549)-1</f>
        <v>2</v>
      </c>
      <c r="C549" s="2">
        <f>COUNTIF(A$1:A549,A549)-1</f>
        <v>2</v>
      </c>
      <c r="D549" s="2" t="str">
        <f t="shared" si="8"/>
        <v>r</v>
      </c>
      <c r="E549" s="2" t="b">
        <f>CANCEL.KEY(#REF!,#REF!)</f>
        <v>0</v>
      </c>
      <c r="F549" s="2"/>
      <c r="H549" s="2" t="b">
        <f>CANCEL.KEY(#REF!,H549:I549)</f>
        <v>0</v>
      </c>
      <c r="I549" s="1">
        <v>1</v>
      </c>
      <c r="J549" s="2" t="b">
        <f>CANCEL.KEY(#REF!,INDIRECT(J549:K549))</f>
        <v>0</v>
      </c>
      <c r="L549" s="2">
        <f>TYPE(INDEX(,CANCEL.KEY(#REF!,OFFSET(INDEX(1,),,))))</f>
        <v>64</v>
      </c>
    </row>
    <row r="550" spans="1:12" x14ac:dyDescent="0.55000000000000004">
      <c r="A550" s="1" t="s">
        <v>2047</v>
      </c>
      <c r="B550" s="2">
        <f>COUNTIF(A:A,A550)-1</f>
        <v>4</v>
      </c>
      <c r="C550" s="2">
        <f>COUNTIF(A$1:A550,A550)-1</f>
        <v>0</v>
      </c>
      <c r="D550" s="2" t="str">
        <f t="shared" si="8"/>
        <v/>
      </c>
      <c r="E550" s="2"/>
      <c r="F550" s="2"/>
      <c r="H550" s="2"/>
      <c r="J550" s="2"/>
      <c r="L550" s="2"/>
    </row>
    <row r="551" spans="1:12" x14ac:dyDescent="0.55000000000000004">
      <c r="A551" s="1" t="s">
        <v>2047</v>
      </c>
      <c r="B551" s="2">
        <f>COUNTIF(A:A,A551)-1</f>
        <v>4</v>
      </c>
      <c r="C551" s="2">
        <f>COUNTIF(A$1:A551,A551)-1</f>
        <v>1</v>
      </c>
      <c r="D551" s="2" t="str">
        <f t="shared" si="8"/>
        <v>v</v>
      </c>
      <c r="E551" s="2"/>
      <c r="F551" s="2" t="b">
        <f>FOR(+F551:G551,#REF!,#REF!,#REF!)</f>
        <v>0</v>
      </c>
      <c r="H551" s="2" t="b">
        <f>FOR(H551:I551,#REF!,#REF!,#REF!)</f>
        <v>0</v>
      </c>
      <c r="J551" s="2" t="b">
        <f>FOR(INDIRECT(J551:K551),#REF!,#REF!,#REF!)</f>
        <v>0</v>
      </c>
      <c r="L551" s="2">
        <f>TYPE(INDEX(,FOR(OFFSET(INDEX(1,),,),#REF!,#REF!,#REF!)))</f>
        <v>64</v>
      </c>
    </row>
    <row r="552" spans="1:12" x14ac:dyDescent="0.55000000000000004">
      <c r="A552" s="1" t="s">
        <v>2047</v>
      </c>
      <c r="B552" s="2">
        <f>COUNTIF(A:A,A552)-1</f>
        <v>4</v>
      </c>
      <c r="C552" s="2">
        <f>COUNTIF(A$1:A552,A552)-1</f>
        <v>2</v>
      </c>
      <c r="D552" s="2" t="str">
        <f t="shared" si="8"/>
        <v>v</v>
      </c>
      <c r="E552" s="2"/>
      <c r="F552" s="2" t="b">
        <f>FOR(#REF!,+F552:G552,#REF!,#REF!)</f>
        <v>0</v>
      </c>
      <c r="H552" s="2" t="b">
        <f>FOR(#REF!,H552:I552,#REF!,#REF!)</f>
        <v>0</v>
      </c>
      <c r="J552" s="2" t="b">
        <f>FOR(#REF!,INDIRECT(J552:K552),#REF!,#REF!)</f>
        <v>0</v>
      </c>
      <c r="L552" s="2">
        <f>TYPE(INDEX(,FOR(#REF!,OFFSET(INDEX(1,),,),#REF!,#REF!)))</f>
        <v>64</v>
      </c>
    </row>
    <row r="553" spans="1:12" x14ac:dyDescent="0.55000000000000004">
      <c r="A553" s="1" t="s">
        <v>2047</v>
      </c>
      <c r="B553" s="2">
        <f>COUNTIF(A:A,A553)-1</f>
        <v>4</v>
      </c>
      <c r="C553" s="2">
        <f>COUNTIF(A$1:A553,A553)-1</f>
        <v>3</v>
      </c>
      <c r="D553" s="2" t="str">
        <f t="shared" si="8"/>
        <v>v</v>
      </c>
      <c r="E553" s="2" t="b">
        <f>FOR(#REF!,#REF!,#REF!)</f>
        <v>0</v>
      </c>
      <c r="F553" s="2" t="b">
        <f>FOR(#REF!,#REF!,+F553:G553,#REF!)</f>
        <v>0</v>
      </c>
      <c r="H553" s="2" t="b">
        <f>FOR(#REF!,#REF!,H553:I553,#REF!)</f>
        <v>0</v>
      </c>
      <c r="J553" s="2" t="b">
        <f>FOR(#REF!,#REF!,INDIRECT(J553:K553),#REF!)</f>
        <v>0</v>
      </c>
      <c r="L553" s="2">
        <f>TYPE(INDEX(,FOR(#REF!,#REF!,OFFSET(INDEX(1,),,),#REF!)))</f>
        <v>64</v>
      </c>
    </row>
    <row r="554" spans="1:12" x14ac:dyDescent="0.55000000000000004">
      <c r="A554" s="1" t="s">
        <v>2047</v>
      </c>
      <c r="B554" s="2">
        <f>COUNTIF(A:A,A554)-1</f>
        <v>4</v>
      </c>
      <c r="C554" s="2">
        <f>COUNTIF(A$1:A554,A554)-1</f>
        <v>4</v>
      </c>
      <c r="D554" s="2" t="str">
        <f t="shared" si="8"/>
        <v>v</v>
      </c>
      <c r="E554" s="2" t="b">
        <f>FOR(#REF!,#REF!,#REF!,#REF!)</f>
        <v>0</v>
      </c>
      <c r="F554" s="2" t="b">
        <f>FOR(#REF!,#REF!,#REF!,+F554:G554)</f>
        <v>0</v>
      </c>
      <c r="H554" s="2" t="b">
        <f>FOR(#REF!,#REF!,#REF!,H554:I554)</f>
        <v>0</v>
      </c>
      <c r="J554" s="2" t="b">
        <f>FOR(#REF!,#REF!,#REF!,INDIRECT(J554:K554))</f>
        <v>0</v>
      </c>
      <c r="L554" s="2">
        <f>TYPE(INDEX(,FOR(#REF!,#REF!,#REF!,OFFSET(INDEX(1,),,))))</f>
        <v>64</v>
      </c>
    </row>
    <row r="555" spans="1:12" x14ac:dyDescent="0.55000000000000004">
      <c r="A555" s="1" t="s">
        <v>2048</v>
      </c>
      <c r="B555" s="2">
        <f>COUNTIF(A:A,A555)-1</f>
        <v>1</v>
      </c>
      <c r="C555" s="2">
        <f>COUNTIF(A$1:A555,A555)-1</f>
        <v>0</v>
      </c>
      <c r="D555" s="2" t="str">
        <f t="shared" si="8"/>
        <v/>
      </c>
      <c r="E555" s="2"/>
      <c r="F555" s="2"/>
      <c r="H555" s="2"/>
      <c r="J555" s="2"/>
      <c r="L555" s="2"/>
    </row>
    <row r="556" spans="1:12" x14ac:dyDescent="0.55000000000000004">
      <c r="A556" s="1" t="s">
        <v>2048</v>
      </c>
      <c r="B556" s="2">
        <f>COUNTIF(A:A,A556)-1</f>
        <v>1</v>
      </c>
      <c r="C556" s="2">
        <f>COUNTIF(A$1:A556,A556)-1</f>
        <v>1</v>
      </c>
      <c r="D556" s="2" t="str">
        <f t="shared" si="8"/>
        <v>v</v>
      </c>
      <c r="E556" s="2" t="b">
        <f>WHILE(#REF!)</f>
        <v>0</v>
      </c>
      <c r="F556" s="2" t="b">
        <f>WHILE(+F556:G556)</f>
        <v>0</v>
      </c>
      <c r="H556" s="2" t="b">
        <f>WHILE(H556:I556)</f>
        <v>0</v>
      </c>
      <c r="J556" s="2" t="b">
        <f>WHILE(INDIRECT(J556:K556))</f>
        <v>0</v>
      </c>
      <c r="L556" s="2">
        <f>TYPE(INDEX(,WHILE(OFFSET(INDEX(1,),,))))</f>
        <v>64</v>
      </c>
    </row>
    <row r="557" spans="1:12" x14ac:dyDescent="0.55000000000000004">
      <c r="A557" s="1" t="s">
        <v>2049</v>
      </c>
      <c r="B557" s="2">
        <f>COUNTIF(A:A,A557)-1</f>
        <v>0</v>
      </c>
      <c r="C557" s="2">
        <f>COUNTIF(A$1:A557,A557)-1</f>
        <v>0</v>
      </c>
      <c r="D557" s="2" t="str">
        <f t="shared" si="8"/>
        <v/>
      </c>
      <c r="E557" s="2" t="b">
        <f>BREAK()</f>
        <v>0</v>
      </c>
      <c r="F557" s="2"/>
      <c r="H557" s="2"/>
      <c r="J557" s="2"/>
      <c r="L557" s="2"/>
    </row>
    <row r="558" spans="1:12" x14ac:dyDescent="0.55000000000000004">
      <c r="A558" s="1" t="s">
        <v>2050</v>
      </c>
      <c r="B558" s="2">
        <f>COUNTIF(A:A,A558)-1</f>
        <v>0</v>
      </c>
      <c r="C558" s="2">
        <f>COUNTIF(A$1:A558,A558)-1</f>
        <v>0</v>
      </c>
      <c r="D558" s="2" t="str">
        <f t="shared" si="8"/>
        <v/>
      </c>
      <c r="E558" s="2" t="b">
        <f>NEXT()</f>
        <v>0</v>
      </c>
      <c r="F558" s="2"/>
      <c r="H558" s="2"/>
      <c r="J558" s="2"/>
      <c r="L558" s="2"/>
    </row>
    <row r="559" spans="1:12" x14ac:dyDescent="0.55000000000000004">
      <c r="A559" s="1" t="s">
        <v>1637</v>
      </c>
      <c r="B559" s="2">
        <f>COUNTIF(A:A,A559)-1</f>
        <v>2</v>
      </c>
      <c r="C559" s="2">
        <f>COUNTIF(A$1:A559,A559)-1</f>
        <v>0</v>
      </c>
      <c r="D559" s="2" t="str">
        <f t="shared" si="8"/>
        <v/>
      </c>
      <c r="E559" s="2"/>
      <c r="F559" s="2"/>
      <c r="H559" s="2"/>
      <c r="J559" s="2"/>
      <c r="L559" s="2"/>
    </row>
    <row r="560" spans="1:12" x14ac:dyDescent="0.55000000000000004">
      <c r="A560" s="1" t="s">
        <v>1637</v>
      </c>
      <c r="B560" s="2">
        <f>COUNTIF(A:A,A560)-1</f>
        <v>2</v>
      </c>
      <c r="C560" s="2">
        <f>COUNTIF(A$1:A560,A560)-1</f>
        <v>1</v>
      </c>
      <c r="D560" s="2" t="str">
        <f t="shared" si="8"/>
        <v>v</v>
      </c>
      <c r="E560" s="2"/>
      <c r="F560" s="2" t="e">
        <f>INITIATE(+F560:G560,#REF!)</f>
        <v>#REF!</v>
      </c>
      <c r="H560" s="2" t="e">
        <f>INITIATE(H560:I560,#REF!)</f>
        <v>#REF!</v>
      </c>
      <c r="J560" s="2" t="e">
        <f>INITIATE(INDIRECT(J560:K560),#REF!)</f>
        <v>#REF!</v>
      </c>
      <c r="L560" s="2">
        <f>TYPE(INDEX(,INITIATE(OFFSET(INDEX(1,),,),#REF!)))</f>
        <v>64</v>
      </c>
    </row>
    <row r="561" spans="1:12" x14ac:dyDescent="0.55000000000000004">
      <c r="A561" s="1" t="s">
        <v>1637</v>
      </c>
      <c r="B561" s="2">
        <f>COUNTIF(A:A,A561)-1</f>
        <v>2</v>
      </c>
      <c r="C561" s="2">
        <f>COUNTIF(A$1:A561,A561)-1</f>
        <v>2</v>
      </c>
      <c r="D561" s="2" t="str">
        <f t="shared" si="8"/>
        <v>v</v>
      </c>
      <c r="E561" s="2" t="e">
        <f>INITIATE(#REF!,#REF!)</f>
        <v>#REF!</v>
      </c>
      <c r="F561" s="2" t="e">
        <f>INITIATE(#REF!,+F561:G561)</f>
        <v>#REF!</v>
      </c>
      <c r="H561" s="2" t="e">
        <f>INITIATE(#REF!,H561:I561)</f>
        <v>#REF!</v>
      </c>
      <c r="J561" s="2" t="e">
        <f>INITIATE(#REF!,INDIRECT(J561:K561))</f>
        <v>#REF!</v>
      </c>
      <c r="L561" s="2">
        <f>TYPE(INDEX(,INITIATE(#REF!,OFFSET(INDEX(1,),,))))</f>
        <v>64</v>
      </c>
    </row>
    <row r="562" spans="1:12" x14ac:dyDescent="0.55000000000000004">
      <c r="A562" s="1" t="s">
        <v>1638</v>
      </c>
      <c r="B562" s="2">
        <f>COUNTIF(A:A,A562)-1</f>
        <v>2</v>
      </c>
      <c r="C562" s="2">
        <f>COUNTIF(A$1:A562,A562)-1</f>
        <v>0</v>
      </c>
      <c r="D562" s="2" t="str">
        <f t="shared" si="8"/>
        <v/>
      </c>
      <c r="E562" s="2"/>
      <c r="F562" s="2"/>
      <c r="H562" s="2"/>
      <c r="J562" s="2"/>
      <c r="L562" s="2"/>
    </row>
    <row r="563" spans="1:12" x14ac:dyDescent="0.55000000000000004">
      <c r="A563" s="1" t="s">
        <v>1638</v>
      </c>
      <c r="B563" s="2">
        <f>COUNTIF(A:A,A563)-1</f>
        <v>2</v>
      </c>
      <c r="C563" s="2">
        <f>COUNTIF(A$1:A563,A563)-1</f>
        <v>1</v>
      </c>
      <c r="D563" s="2" t="str">
        <f t="shared" si="8"/>
        <v>v</v>
      </c>
      <c r="E563" s="2"/>
      <c r="F563" s="2" t="e">
        <f>REQUEST(+F563:G563,#REF!)</f>
        <v>#REF!</v>
      </c>
      <c r="H563" s="2" t="e">
        <f>REQUEST(H563:I563,#REF!)</f>
        <v>#REF!</v>
      </c>
      <c r="J563" s="2" t="e">
        <f>REQUEST(INDIRECT(J563:K563),#REF!)</f>
        <v>#REF!</v>
      </c>
      <c r="L563" s="2">
        <f>TYPE(INDEX(,REQUEST(OFFSET(INDEX(1,),,),#REF!)))</f>
        <v>64</v>
      </c>
    </row>
    <row r="564" spans="1:12" x14ac:dyDescent="0.55000000000000004">
      <c r="A564" s="1" t="s">
        <v>1638</v>
      </c>
      <c r="B564" s="2">
        <f>COUNTIF(A:A,A564)-1</f>
        <v>2</v>
      </c>
      <c r="C564" s="2">
        <f>COUNTIF(A$1:A564,A564)-1</f>
        <v>2</v>
      </c>
      <c r="D564" s="2" t="str">
        <f t="shared" si="8"/>
        <v>v</v>
      </c>
      <c r="E564" s="2" t="e">
        <f>REQUEST(#REF!,#REF!)</f>
        <v>#REF!</v>
      </c>
      <c r="F564" s="2" t="e">
        <f>REQUEST(#REF!,+F564:G564)</f>
        <v>#REF!</v>
      </c>
      <c r="H564" s="2" t="e">
        <f>REQUEST(#REF!,H564:I564)</f>
        <v>#REF!</v>
      </c>
      <c r="J564" s="2" t="e">
        <f>REQUEST(#REF!,INDIRECT(J564:K564))</f>
        <v>#REF!</v>
      </c>
      <c r="L564" s="2">
        <f>TYPE(INDEX(,REQUEST(#REF!,OFFSET(INDEX(1,),,))))</f>
        <v>64</v>
      </c>
    </row>
    <row r="565" spans="1:12" x14ac:dyDescent="0.55000000000000004">
      <c r="A565" s="1" t="s">
        <v>1639</v>
      </c>
      <c r="B565" s="2">
        <f>COUNTIF(A:A,A565)-1</f>
        <v>3</v>
      </c>
      <c r="C565" s="2">
        <f>COUNTIF(A$1:A565,A565)-1</f>
        <v>0</v>
      </c>
      <c r="D565" s="2" t="str">
        <f t="shared" si="8"/>
        <v/>
      </c>
      <c r="E565" s="2"/>
      <c r="F565" s="2"/>
      <c r="H565" s="2"/>
      <c r="J565" s="2"/>
      <c r="L565" s="2"/>
    </row>
    <row r="566" spans="1:12" x14ac:dyDescent="0.55000000000000004">
      <c r="A566" s="1" t="s">
        <v>1639</v>
      </c>
      <c r="B566" s="2">
        <f>COUNTIF(A:A,A566)-1</f>
        <v>3</v>
      </c>
      <c r="C566" s="2">
        <f>COUNTIF(A$1:A566,A566)-1</f>
        <v>1</v>
      </c>
      <c r="D566" s="2" t="str">
        <f t="shared" si="8"/>
        <v>v</v>
      </c>
      <c r="E566" s="2"/>
      <c r="F566" s="2" t="e">
        <f>POKE(+F566:G566,#REF!,#REF!)</f>
        <v>#REF!</v>
      </c>
      <c r="H566" s="2" t="e">
        <f>POKE(H566:I566,#REF!,#REF!)</f>
        <v>#REF!</v>
      </c>
      <c r="J566" s="2" t="e">
        <f>POKE(INDIRECT(J566:K566),#REF!,#REF!)</f>
        <v>#REF!</v>
      </c>
      <c r="L566" s="2">
        <f>TYPE(INDEX(,POKE(OFFSET(INDEX(1,),,),#REF!,#REF!)))</f>
        <v>64</v>
      </c>
    </row>
    <row r="567" spans="1:12" x14ac:dyDescent="0.55000000000000004">
      <c r="A567" s="1" t="s">
        <v>1639</v>
      </c>
      <c r="B567" s="2">
        <f>COUNTIF(A:A,A567)-1</f>
        <v>3</v>
      </c>
      <c r="C567" s="2">
        <f>COUNTIF(A$1:A567,A567)-1</f>
        <v>2</v>
      </c>
      <c r="D567" s="2" t="str">
        <f t="shared" si="8"/>
        <v>vr</v>
      </c>
      <c r="E567" s="2"/>
      <c r="F567" s="2" t="e">
        <f>POKE(#REF!,+F567:G567,#REF!)</f>
        <v>#REF!</v>
      </c>
      <c r="H567" s="2" t="e">
        <f>POKE(#REF!,H567:I567,#REF!)</f>
        <v>#REF!</v>
      </c>
      <c r="I567" s="1">
        <v>1</v>
      </c>
      <c r="J567" s="2" t="e">
        <f>POKE(#REF!,INDIRECT(J567:K567),#REF!)</f>
        <v>#REF!</v>
      </c>
      <c r="L567" s="2">
        <f>TYPE(INDEX(,POKE(#REF!,OFFSET(INDEX(1,),,),#REF!)))</f>
        <v>64</v>
      </c>
    </row>
    <row r="568" spans="1:12" x14ac:dyDescent="0.55000000000000004">
      <c r="A568" s="1" t="s">
        <v>1639</v>
      </c>
      <c r="B568" s="2">
        <f>COUNTIF(A:A,A568)-1</f>
        <v>3</v>
      </c>
      <c r="C568" s="2">
        <f>COUNTIF(A$1:A568,A568)-1</f>
        <v>3</v>
      </c>
      <c r="D568" s="2" t="str">
        <f t="shared" si="8"/>
        <v>vr</v>
      </c>
      <c r="E568" s="2" t="e">
        <f>POKE(#REF!,#REF!,#REF!)</f>
        <v>#REF!</v>
      </c>
      <c r="F568" s="2" t="e">
        <f>POKE(#REF!,#REF!,+F568:G568)</f>
        <v>#REF!</v>
      </c>
      <c r="H568" s="2" t="e">
        <f>POKE(#REF!,#REF!,H568:I568)</f>
        <v>#REF!</v>
      </c>
      <c r="I568" s="1">
        <v>1</v>
      </c>
      <c r="J568" s="2" t="e">
        <f>POKE(#REF!,#REF!,INDIRECT(J568:K568))</f>
        <v>#REF!</v>
      </c>
      <c r="L568" s="2">
        <f>TYPE(INDEX(,POKE(#REF!,#REF!,OFFSET(INDEX(1,),,))))</f>
        <v>64</v>
      </c>
    </row>
    <row r="569" spans="1:12" x14ac:dyDescent="0.55000000000000004">
      <c r="A569" s="1" t="s">
        <v>1640</v>
      </c>
      <c r="B569" s="2">
        <f>COUNTIF(A:A,A569)-1</f>
        <v>2</v>
      </c>
      <c r="C569" s="2">
        <f>COUNTIF(A$1:A569,A569)-1</f>
        <v>0</v>
      </c>
      <c r="D569" s="2" t="str">
        <f t="shared" si="8"/>
        <v/>
      </c>
      <c r="E569" s="2"/>
      <c r="F569" s="2"/>
      <c r="H569" s="2"/>
      <c r="J569" s="2"/>
      <c r="L569" s="2"/>
    </row>
    <row r="570" spans="1:12" x14ac:dyDescent="0.55000000000000004">
      <c r="A570" s="1" t="s">
        <v>1640</v>
      </c>
      <c r="B570" s="2">
        <f>COUNTIF(A:A,A570)-1</f>
        <v>2</v>
      </c>
      <c r="C570" s="2">
        <f>COUNTIF(A$1:A570,A570)-1</f>
        <v>1</v>
      </c>
      <c r="D570" s="2" t="str">
        <f t="shared" si="8"/>
        <v>v</v>
      </c>
      <c r="E570" s="2"/>
      <c r="F570" s="2" t="e">
        <f>EXECUTE(+F570:G570,#REF!)</f>
        <v>#REF!</v>
      </c>
      <c r="H570" s="2" t="e">
        <f>EXECUTE(H570:I570,#REF!)</f>
        <v>#REF!</v>
      </c>
      <c r="J570" s="2" t="e">
        <f>EXECUTE(INDIRECT(J570:K570),#REF!)</f>
        <v>#REF!</v>
      </c>
      <c r="L570" s="2">
        <f>TYPE(INDEX(,EXECUTE(OFFSET(INDEX(1,),,),#REF!)))</f>
        <v>64</v>
      </c>
    </row>
    <row r="571" spans="1:12" x14ac:dyDescent="0.55000000000000004">
      <c r="A571" s="1" t="s">
        <v>1640</v>
      </c>
      <c r="B571" s="2">
        <f>COUNTIF(A:A,A571)-1</f>
        <v>2</v>
      </c>
      <c r="C571" s="2">
        <f>COUNTIF(A$1:A571,A571)-1</f>
        <v>2</v>
      </c>
      <c r="D571" s="2" t="str">
        <f t="shared" si="8"/>
        <v>v</v>
      </c>
      <c r="E571" s="2" t="e">
        <f>EXECUTE(#REF!,#REF!)</f>
        <v>#REF!</v>
      </c>
      <c r="F571" s="2" t="e">
        <f>EXECUTE(#REF!,+F571:G571)</f>
        <v>#REF!</v>
      </c>
      <c r="H571" s="2" t="e">
        <f>EXECUTE(#REF!,H571:I571)</f>
        <v>#REF!</v>
      </c>
      <c r="J571" s="2" t="e">
        <f>EXECUTE(#REF!,INDIRECT(J571:K571))</f>
        <v>#REF!</v>
      </c>
      <c r="L571" s="2">
        <f>TYPE(INDEX(,EXECUTE(#REF!,OFFSET(INDEX(1,),,))))</f>
        <v>64</v>
      </c>
    </row>
    <row r="572" spans="1:12" x14ac:dyDescent="0.55000000000000004">
      <c r="A572" s="1" t="s">
        <v>1641</v>
      </c>
      <c r="B572" s="2">
        <f>COUNTIF(A:A,A572)-1</f>
        <v>1</v>
      </c>
      <c r="C572" s="2">
        <f>COUNTIF(A$1:A572,A572)-1</f>
        <v>0</v>
      </c>
      <c r="D572" s="2" t="str">
        <f t="shared" si="8"/>
        <v/>
      </c>
      <c r="E572" s="2"/>
      <c r="F572" s="2"/>
      <c r="H572" s="2"/>
      <c r="J572" s="2"/>
      <c r="L572" s="2"/>
    </row>
    <row r="573" spans="1:12" x14ac:dyDescent="0.55000000000000004">
      <c r="A573" s="1" t="s">
        <v>1641</v>
      </c>
      <c r="B573" s="2">
        <f>COUNTIF(A:A,A573)-1</f>
        <v>1</v>
      </c>
      <c r="C573" s="2">
        <f>COUNTIF(A$1:A573,A573)-1</f>
        <v>1</v>
      </c>
      <c r="D573" s="2" t="str">
        <f t="shared" si="8"/>
        <v>v</v>
      </c>
      <c r="E573" s="2" t="e">
        <f>TERMINATE(#REF!)</f>
        <v>#REF!</v>
      </c>
      <c r="F573" s="2" t="b">
        <f>TERMINATE(+F573:G573)</f>
        <v>0</v>
      </c>
      <c r="H573" s="2" t="b">
        <f>TERMINATE(H573:I573)</f>
        <v>0</v>
      </c>
      <c r="J573" s="2" t="e">
        <f>TERMINATE(INDIRECT(J573:K573))</f>
        <v>#REF!</v>
      </c>
      <c r="L573" s="2">
        <f>TYPE(INDEX(,TERMINATE(OFFSET(INDEX(1,),,))))</f>
        <v>64</v>
      </c>
    </row>
    <row r="574" spans="1:12" x14ac:dyDescent="0.55000000000000004">
      <c r="A574" s="1" t="s">
        <v>1642</v>
      </c>
      <c r="B574" s="2">
        <f>COUNTIF(A:A,A574)-1</f>
        <v>1</v>
      </c>
      <c r="C574" s="2">
        <f>COUNTIF(A$1:A574,A574)-1</f>
        <v>0</v>
      </c>
      <c r="D574" s="2" t="str">
        <f t="shared" si="8"/>
        <v/>
      </c>
      <c r="E574" s="2" t="b">
        <f>RESTART()</f>
        <v>0</v>
      </c>
      <c r="F574" s="2"/>
      <c r="H574" s="2"/>
      <c r="J574" s="2"/>
      <c r="L574" s="2"/>
    </row>
    <row r="575" spans="1:12" x14ac:dyDescent="0.55000000000000004">
      <c r="A575" s="1" t="s">
        <v>1642</v>
      </c>
      <c r="B575" s="2">
        <f>COUNTIF(A:A,A575)-1</f>
        <v>1</v>
      </c>
      <c r="C575" s="2">
        <f>COUNTIF(A$1:A575,A575)-1</f>
        <v>1</v>
      </c>
      <c r="D575" s="2" t="str">
        <f t="shared" si="8"/>
        <v>v</v>
      </c>
      <c r="E575" s="2" t="b">
        <f>RESTART(#REF!)</f>
        <v>0</v>
      </c>
      <c r="F575" s="2" t="b">
        <f>RESTART(+F575:G575)</f>
        <v>0</v>
      </c>
      <c r="H575" s="2" t="b">
        <f>RESTART(H575:I575)</f>
        <v>0</v>
      </c>
      <c r="J575" s="2" t="b">
        <f>RESTART(INDIRECT(J575:K575))</f>
        <v>0</v>
      </c>
      <c r="L575" s="2">
        <f>TYPE(INDEX(,RESTART(OFFSET(INDEX(1,),,))))</f>
        <v>64</v>
      </c>
    </row>
    <row r="576" spans="1:12" x14ac:dyDescent="0.55000000000000004">
      <c r="A576" s="1" t="s">
        <v>1643</v>
      </c>
      <c r="B576" s="2">
        <f>COUNTIF(A:A,A576)-1</f>
        <v>1</v>
      </c>
      <c r="C576" s="2">
        <f>COUNTIF(A$1:A576,A576)-1</f>
        <v>0</v>
      </c>
      <c r="D576" s="2" t="str">
        <f t="shared" si="8"/>
        <v/>
      </c>
      <c r="E576" s="2" t="b">
        <f>HELP()</f>
        <v>0</v>
      </c>
      <c r="F576" s="2"/>
      <c r="H576" s="2"/>
      <c r="J576" s="2"/>
      <c r="L576" s="2"/>
    </row>
    <row r="577" spans="1:12" x14ac:dyDescent="0.55000000000000004">
      <c r="A577" s="1" t="s">
        <v>1643</v>
      </c>
      <c r="B577" s="2">
        <f>COUNTIF(A:A,A577)-1</f>
        <v>1</v>
      </c>
      <c r="C577" s="2">
        <f>COUNTIF(A$1:A577,A577)-1</f>
        <v>1</v>
      </c>
      <c r="D577" s="2" t="str">
        <f t="shared" si="8"/>
        <v>v</v>
      </c>
      <c r="E577" s="2" t="e">
        <f>HELP(#REF!)</f>
        <v>#REF!</v>
      </c>
      <c r="F577" s="2" t="b">
        <f>HELP(+F577:G577)</f>
        <v>0</v>
      </c>
      <c r="H577" s="2" t="b">
        <f>HELP(H577:I577)</f>
        <v>0</v>
      </c>
      <c r="J577" s="2" t="e">
        <f>HELP(INDIRECT(J577:K577))</f>
        <v>#REF!</v>
      </c>
      <c r="L577" s="2">
        <f>TYPE(INDEX(,HELP(OFFSET(INDEX(1,),,))))</f>
        <v>64</v>
      </c>
    </row>
    <row r="578" spans="1:12" x14ac:dyDescent="0.55000000000000004">
      <c r="A578" s="1" t="s">
        <v>1644</v>
      </c>
      <c r="B578" s="2">
        <f>COUNTIF(A:A,A578)-1</f>
        <v>4</v>
      </c>
      <c r="C578" s="2">
        <f>COUNTIF(A$1:A578,A578)-1</f>
        <v>0</v>
      </c>
      <c r="D578" s="2" t="str">
        <f t="shared" ref="D578:D641" si="9">IF(C578&gt;0,IF(COUNTA(F578:G578)=1,"v",)&amp;IF(L578=64,,"a")&amp;IF(COUNTA(I578,K578)=1,"r",),"")</f>
        <v/>
      </c>
      <c r="E578" s="2" t="b">
        <f>GET.BAR()</f>
        <v>0</v>
      </c>
      <c r="F578" s="2"/>
      <c r="H578" s="2"/>
      <c r="J578" s="2"/>
      <c r="L578" s="2"/>
    </row>
    <row r="579" spans="1:12" x14ac:dyDescent="0.55000000000000004">
      <c r="A579" s="1" t="s">
        <v>1644</v>
      </c>
      <c r="B579" s="2">
        <f>COUNTIF(A:A,A579)-1</f>
        <v>4</v>
      </c>
      <c r="C579" s="2">
        <f>COUNTIF(A$1:A579,A579)-1</f>
        <v>1</v>
      </c>
      <c r="D579" s="2" t="str">
        <f t="shared" si="9"/>
        <v>v</v>
      </c>
      <c r="E579" s="2" t="b">
        <f>GET.BAR(#REF!)</f>
        <v>0</v>
      </c>
      <c r="F579" s="2" t="b">
        <f>GET.BAR(+F579:G579,#REF!,#REF!,#REF!)</f>
        <v>0</v>
      </c>
      <c r="H579" s="2" t="b">
        <f>GET.BAR(H579:I579,#REF!,#REF!,#REF!)</f>
        <v>0</v>
      </c>
      <c r="J579" s="2" t="b">
        <f>GET.BAR(INDIRECT(J579:K579),#REF!,#REF!,#REF!)</f>
        <v>0</v>
      </c>
      <c r="L579" s="2">
        <f>TYPE(INDEX(,GET.BAR(OFFSET(INDEX(1,),,),#REF!,#REF!,#REF!)))</f>
        <v>64</v>
      </c>
    </row>
    <row r="580" spans="1:12" x14ac:dyDescent="0.55000000000000004">
      <c r="A580" s="1" t="s">
        <v>1644</v>
      </c>
      <c r="B580" s="2">
        <f>COUNTIF(A:A,A580)-1</f>
        <v>4</v>
      </c>
      <c r="C580" s="2">
        <f>COUNTIF(A$1:A580,A580)-1</f>
        <v>2</v>
      </c>
      <c r="D580" s="2" t="str">
        <f t="shared" si="9"/>
        <v>v</v>
      </c>
      <c r="E580" s="2" t="b">
        <f>GET.BAR(#REF!,#REF!)</f>
        <v>0</v>
      </c>
      <c r="F580" s="2" t="b">
        <f>GET.BAR(#REF!,+F580:G580,#REF!,#REF!)</f>
        <v>0</v>
      </c>
      <c r="H580" s="2" t="b">
        <f>GET.BAR(#REF!,H580:I580,#REF!,#REF!)</f>
        <v>0</v>
      </c>
      <c r="J580" s="2" t="b">
        <f>GET.BAR(#REF!,INDIRECT(J580:K580),#REF!,#REF!)</f>
        <v>0</v>
      </c>
      <c r="L580" s="2">
        <f>TYPE(INDEX(,GET.BAR(#REF!,OFFSET(INDEX(1,),,),#REF!,#REF!)))</f>
        <v>64</v>
      </c>
    </row>
    <row r="581" spans="1:12" x14ac:dyDescent="0.55000000000000004">
      <c r="A581" s="1" t="s">
        <v>1644</v>
      </c>
      <c r="B581" s="2">
        <f>COUNTIF(A:A,A581)-1</f>
        <v>4</v>
      </c>
      <c r="C581" s="2">
        <f>COUNTIF(A$1:A581,A581)-1</f>
        <v>3</v>
      </c>
      <c r="D581" s="2" t="str">
        <f t="shared" si="9"/>
        <v>v</v>
      </c>
      <c r="E581" s="2" t="b">
        <f>GET.BAR(#REF!,#REF!,#REF!)</f>
        <v>0</v>
      </c>
      <c r="F581" s="2" t="b">
        <f>GET.BAR(#REF!,#REF!,+F581:G581,#REF!)</f>
        <v>0</v>
      </c>
      <c r="H581" s="2" t="b">
        <f>GET.BAR(#REF!,#REF!,H581:I581,#REF!)</f>
        <v>0</v>
      </c>
      <c r="J581" s="2" t="b">
        <f>GET.BAR(#REF!,#REF!,INDIRECT(J581:K581),#REF!)</f>
        <v>0</v>
      </c>
      <c r="L581" s="2">
        <f>TYPE(INDEX(,GET.BAR(#REF!,#REF!,OFFSET(INDEX(1,),,),#REF!)))</f>
        <v>64</v>
      </c>
    </row>
    <row r="582" spans="1:12" x14ac:dyDescent="0.55000000000000004">
      <c r="A582" s="1" t="s">
        <v>1644</v>
      </c>
      <c r="B582" s="2">
        <f>COUNTIF(A:A,A582)-1</f>
        <v>4</v>
      </c>
      <c r="C582" s="2">
        <f>COUNTIF(A$1:A582,A582)-1</f>
        <v>4</v>
      </c>
      <c r="D582" s="2" t="str">
        <f t="shared" si="9"/>
        <v>v</v>
      </c>
      <c r="E582" s="2" t="b">
        <f>GET.BAR(#REF!,#REF!,#REF!,#REF!)</f>
        <v>0</v>
      </c>
      <c r="F582" s="2" t="b">
        <f>GET.BAR(#REF!,#REF!,#REF!,+F582:G582)</f>
        <v>0</v>
      </c>
      <c r="H582" s="2" t="b">
        <f>GET.BAR(#REF!,#REF!,#REF!,H582:I582)</f>
        <v>0</v>
      </c>
      <c r="J582" s="2" t="b">
        <f>GET.BAR(#REF!,#REF!,#REF!,INDIRECT(J582:K582))</f>
        <v>0</v>
      </c>
      <c r="L582" s="2">
        <f>TYPE(INDEX(,GET.BAR(#REF!,#REF!,#REF!,OFFSET(INDEX(1,),,))))</f>
        <v>64</v>
      </c>
    </row>
    <row r="583" spans="1:12" x14ac:dyDescent="0.55000000000000004">
      <c r="A583" s="1" t="s">
        <v>1645</v>
      </c>
      <c r="B583" s="2">
        <f>COUNTIF(A:A,A583)-1</f>
        <v>3</v>
      </c>
      <c r="C583" s="2">
        <f>COUNTIF(A$1:A583,A583)-1</f>
        <v>0</v>
      </c>
      <c r="D583" s="2" t="str">
        <f t="shared" si="9"/>
        <v/>
      </c>
      <c r="E583" s="2"/>
      <c r="F583" s="2"/>
      <c r="H583" s="2"/>
      <c r="J583" s="2"/>
      <c r="L583" s="2"/>
    </row>
    <row r="584" spans="1:12" x14ac:dyDescent="0.55000000000000004">
      <c r="A584" s="1" t="s">
        <v>1645</v>
      </c>
      <c r="B584" s="2">
        <f>COUNTIF(A:A,A584)-1</f>
        <v>3</v>
      </c>
      <c r="C584" s="2">
        <f>COUNTIF(A$1:A584,A584)-1</f>
        <v>1</v>
      </c>
      <c r="D584" s="2" t="str">
        <f t="shared" si="9"/>
        <v>var</v>
      </c>
      <c r="E584" s="2" t="e">
        <f>PRODUCT(#REF!)</f>
        <v>#REF!</v>
      </c>
      <c r="F584" s="2" t="e">
        <f>PRODUCT(+F584:G584,#REF!,#REF!)</f>
        <v>#REF!</v>
      </c>
      <c r="H584" s="2" t="e">
        <f>PRODUCT(H584:I584,#REF!,#REF!)</f>
        <v>#REF!</v>
      </c>
      <c r="I584" s="1">
        <v>1</v>
      </c>
      <c r="J584" s="2" t="e">
        <f>PRODUCT(INDIRECT(J584:K584),#REF!,#REF!)</f>
        <v>#REF!</v>
      </c>
      <c r="L584" s="2">
        <f>TYPE(INDEX(,PRODUCT(OFFSET(INDEX(1,),,),#REF!,#REF!)))</f>
        <v>16</v>
      </c>
    </row>
    <row r="585" spans="1:12" x14ac:dyDescent="0.55000000000000004">
      <c r="A585" s="1" t="s">
        <v>1645</v>
      </c>
      <c r="B585" s="2">
        <f>COUNTIF(A:A,A585)-1</f>
        <v>3</v>
      </c>
      <c r="C585" s="2">
        <f>COUNTIF(A$1:A585,A585)-1</f>
        <v>2</v>
      </c>
      <c r="D585" s="2" t="str">
        <f t="shared" si="9"/>
        <v>var</v>
      </c>
      <c r="E585" s="2" t="e">
        <f>PRODUCT(#REF!,#REF!)</f>
        <v>#REF!</v>
      </c>
      <c r="F585" s="2" t="e">
        <f>PRODUCT(#REF!,+F585:G585,#REF!)</f>
        <v>#REF!</v>
      </c>
      <c r="H585" s="2" t="e">
        <f>PRODUCT(#REF!,H585:I585,#REF!)</f>
        <v>#REF!</v>
      </c>
      <c r="I585" s="1">
        <v>1</v>
      </c>
      <c r="J585" s="2" t="e">
        <f>PRODUCT(#REF!,INDIRECT(J585:K585),#REF!)</f>
        <v>#REF!</v>
      </c>
      <c r="L585" s="2">
        <f>TYPE(INDEX(,PRODUCT(#REF!,OFFSET(INDEX(1,),,),#REF!)))</f>
        <v>16</v>
      </c>
    </row>
    <row r="586" spans="1:12" x14ac:dyDescent="0.55000000000000004">
      <c r="A586" s="1" t="s">
        <v>1645</v>
      </c>
      <c r="B586" s="2">
        <f>COUNTIF(A:A,A586)-1</f>
        <v>3</v>
      </c>
      <c r="C586" s="2">
        <f>COUNTIF(A$1:A586,A586)-1</f>
        <v>3</v>
      </c>
      <c r="D586" s="2" t="str">
        <f t="shared" si="9"/>
        <v>var</v>
      </c>
      <c r="E586" s="2" t="e">
        <f>PRODUCT(#REF!,#REF!,#REF!)</f>
        <v>#REF!</v>
      </c>
      <c r="F586" s="2" t="e">
        <f>PRODUCT(#REF!,#REF!,+F586:G586)</f>
        <v>#REF!</v>
      </c>
      <c r="H586" s="2" t="e">
        <f>PRODUCT(#REF!,#REF!,H586:I586)</f>
        <v>#REF!</v>
      </c>
      <c r="I586" s="1">
        <v>1</v>
      </c>
      <c r="J586" s="2" t="e">
        <f>PRODUCT(#REF!,#REF!,INDIRECT(J586:K586))</f>
        <v>#REF!</v>
      </c>
      <c r="L586" s="2">
        <f>TYPE(INDEX(,PRODUCT(#REF!,#REF!,OFFSET(INDEX(1,),,))))</f>
        <v>16</v>
      </c>
    </row>
    <row r="587" spans="1:12" x14ac:dyDescent="0.55000000000000004">
      <c r="A587" s="1" t="s">
        <v>1646</v>
      </c>
      <c r="B587" s="2">
        <f>COUNTIF(A:A,A587)-1</f>
        <v>1</v>
      </c>
      <c r="C587" s="2">
        <f>COUNTIF(A$1:A587,A587)-1</f>
        <v>0</v>
      </c>
      <c r="D587" s="2" t="str">
        <f t="shared" si="9"/>
        <v/>
      </c>
      <c r="E587" s="2"/>
      <c r="F587" s="2"/>
      <c r="H587" s="2"/>
      <c r="J587" s="2"/>
      <c r="L587" s="2"/>
    </row>
    <row r="588" spans="1:12" x14ac:dyDescent="0.55000000000000004">
      <c r="A588" s="1" t="s">
        <v>1646</v>
      </c>
      <c r="B588" s="2">
        <f>COUNTIF(A:A,A588)-1</f>
        <v>1</v>
      </c>
      <c r="C588" s="2">
        <f>COUNTIF(A$1:A588,A588)-1</f>
        <v>1</v>
      </c>
      <c r="D588" s="2" t="str">
        <f t="shared" si="9"/>
        <v>v</v>
      </c>
      <c r="E588" s="2" t="e">
        <f>FACT(#REF!)</f>
        <v>#REF!</v>
      </c>
      <c r="F588" s="2">
        <f>FACT(+F588:G588)</f>
        <v>1</v>
      </c>
      <c r="H588" s="2">
        <f>FACT(H588:I588)</f>
        <v>1</v>
      </c>
      <c r="J588" s="2" t="e">
        <f>FACT(INDIRECT(J588:K588))</f>
        <v>#REF!</v>
      </c>
      <c r="L588" s="2">
        <f>TYPE(INDEX(,FACT(OFFSET(INDEX(1,),,))))</f>
        <v>64</v>
      </c>
    </row>
    <row r="589" spans="1:12" x14ac:dyDescent="0.55000000000000004">
      <c r="A589" s="1" t="s">
        <v>1647</v>
      </c>
      <c r="B589" s="2">
        <f>COUNTIF(A:A,A589)-1</f>
        <v>2</v>
      </c>
      <c r="C589" s="2">
        <f>COUNTIF(A$1:A589,A589)-1</f>
        <v>0</v>
      </c>
      <c r="D589" s="2" t="str">
        <f t="shared" si="9"/>
        <v/>
      </c>
      <c r="E589" s="2"/>
      <c r="F589" s="2"/>
      <c r="H589" s="2"/>
      <c r="J589" s="2"/>
      <c r="L589" s="2"/>
    </row>
    <row r="590" spans="1:12" x14ac:dyDescent="0.55000000000000004">
      <c r="A590" s="1" t="s">
        <v>1647</v>
      </c>
      <c r="B590" s="2">
        <f>COUNTIF(A:A,A590)-1</f>
        <v>2</v>
      </c>
      <c r="C590" s="2">
        <f>COUNTIF(A$1:A590,A590)-1</f>
        <v>1</v>
      </c>
      <c r="D590" s="2" t="str">
        <f t="shared" si="9"/>
        <v>v</v>
      </c>
      <c r="E590" s="2" t="e">
        <f>GET.CELL(#REF!)</f>
        <v>#REF!</v>
      </c>
      <c r="F590" s="2" t="e">
        <f>GET.CELL(+F590:G590,#REF!)</f>
        <v>#REF!</v>
      </c>
      <c r="H590" s="2" t="e">
        <f>GET.CELL(H590:I590,#REF!)</f>
        <v>#REF!</v>
      </c>
      <c r="J590" s="2" t="e">
        <f>GET.CELL(INDIRECT(J590:K590),#REF!)</f>
        <v>#REF!</v>
      </c>
      <c r="L590" s="2">
        <f>TYPE(INDEX(,GET.CELL(OFFSET(INDEX(1,),,),#REF!)))</f>
        <v>64</v>
      </c>
    </row>
    <row r="591" spans="1:12" x14ac:dyDescent="0.55000000000000004">
      <c r="A591" s="1" t="s">
        <v>1647</v>
      </c>
      <c r="B591" s="2">
        <f>COUNTIF(A:A,A591)-1</f>
        <v>2</v>
      </c>
      <c r="C591" s="2">
        <f>COUNTIF(A$1:A591,A591)-1</f>
        <v>2</v>
      </c>
      <c r="D591" s="2" t="str">
        <f t="shared" si="9"/>
        <v>r</v>
      </c>
      <c r="E591" s="2" t="e">
        <f>GET.CELL(#REF!,#REF!)</f>
        <v>#REF!</v>
      </c>
      <c r="F591" s="2"/>
      <c r="H591" s="2" t="e">
        <f>GET.CELL(#REF!,H591:I591)</f>
        <v>#REF!</v>
      </c>
      <c r="I591" s="1">
        <v>1</v>
      </c>
      <c r="J591" s="2" t="e">
        <f>GET.CELL(#REF!,INDIRECT(J591:K591))</f>
        <v>#REF!</v>
      </c>
      <c r="L591" s="2">
        <f>TYPE(INDEX(,GET.CELL(#REF!,OFFSET(INDEX(1,),,))))</f>
        <v>64</v>
      </c>
    </row>
    <row r="592" spans="1:12" x14ac:dyDescent="0.55000000000000004">
      <c r="A592" s="1" t="s">
        <v>1648</v>
      </c>
      <c r="B592" s="2">
        <f>COUNTIF(A:A,A592)-1</f>
        <v>1</v>
      </c>
      <c r="C592" s="2">
        <f>COUNTIF(A$1:A592,A592)-1</f>
        <v>0</v>
      </c>
      <c r="D592" s="2" t="str">
        <f t="shared" si="9"/>
        <v/>
      </c>
      <c r="E592" s="2"/>
      <c r="F592" s="2"/>
      <c r="H592" s="2"/>
      <c r="J592" s="2"/>
      <c r="L592" s="2"/>
    </row>
    <row r="593" spans="1:12" x14ac:dyDescent="0.55000000000000004">
      <c r="A593" s="1" t="s">
        <v>1648</v>
      </c>
      <c r="B593" s="2">
        <f>COUNTIF(A:A,A593)-1</f>
        <v>1</v>
      </c>
      <c r="C593" s="2">
        <f>COUNTIF(A$1:A593,A593)-1</f>
        <v>1</v>
      </c>
      <c r="D593" s="2" t="str">
        <f t="shared" si="9"/>
        <v>v</v>
      </c>
      <c r="E593" s="2" t="e">
        <f>GET.WORKSPACE(#REF!)</f>
        <v>#REF!</v>
      </c>
      <c r="F593" s="2" t="e">
        <f>GET.WORKSPACE(+F593:G593)</f>
        <v>#VALUE!</v>
      </c>
      <c r="H593" s="2" t="e">
        <f>GET.WORKSPACE(H593:I593)</f>
        <v>#VALUE!</v>
      </c>
      <c r="J593" s="2" t="e">
        <f>GET.WORKSPACE(INDIRECT(J593:K593))</f>
        <v>#REF!</v>
      </c>
      <c r="L593" s="2">
        <f>TYPE(INDEX(,GET.WORKSPACE(OFFSET(INDEX(1,),,))))</f>
        <v>64</v>
      </c>
    </row>
    <row r="594" spans="1:12" x14ac:dyDescent="0.55000000000000004">
      <c r="A594" s="1" t="s">
        <v>1649</v>
      </c>
      <c r="B594" s="2">
        <f>COUNTIF(A:A,A594)-1</f>
        <v>2</v>
      </c>
      <c r="C594" s="2">
        <f>COUNTIF(A$1:A594,A594)-1</f>
        <v>0</v>
      </c>
      <c r="D594" s="2" t="str">
        <f t="shared" si="9"/>
        <v/>
      </c>
      <c r="E594" s="2"/>
      <c r="F594" s="2"/>
      <c r="H594" s="2"/>
      <c r="J594" s="2"/>
      <c r="L594" s="2"/>
    </row>
    <row r="595" spans="1:12" x14ac:dyDescent="0.55000000000000004">
      <c r="A595" s="1" t="s">
        <v>1649</v>
      </c>
      <c r="B595" s="2">
        <f>COUNTIF(A:A,A595)-1</f>
        <v>2</v>
      </c>
      <c r="C595" s="2">
        <f>COUNTIF(A$1:A595,A595)-1</f>
        <v>1</v>
      </c>
      <c r="D595" s="2" t="str">
        <f t="shared" si="9"/>
        <v>v</v>
      </c>
      <c r="E595" s="2" t="e">
        <f>GET.WINDOW(#REF!)</f>
        <v>#REF!</v>
      </c>
      <c r="F595" s="2" t="e">
        <f>GET.WINDOW(+F595:G595,#REF!)</f>
        <v>#REF!</v>
      </c>
      <c r="H595" s="2" t="e">
        <f>GET.WINDOW(H595:I595,#REF!)</f>
        <v>#REF!</v>
      </c>
      <c r="J595" s="2" t="e">
        <f>GET.WINDOW(INDIRECT(J595:K595),#REF!)</f>
        <v>#REF!</v>
      </c>
      <c r="L595" s="2">
        <f>TYPE(INDEX(,GET.WINDOW(OFFSET(INDEX(1,),,),#REF!)))</f>
        <v>64</v>
      </c>
    </row>
    <row r="596" spans="1:12" x14ac:dyDescent="0.55000000000000004">
      <c r="A596" s="1" t="s">
        <v>1649</v>
      </c>
      <c r="B596" s="2">
        <f>COUNTIF(A:A,A596)-1</f>
        <v>2</v>
      </c>
      <c r="C596" s="2">
        <f>COUNTIF(A$1:A596,A596)-1</f>
        <v>2</v>
      </c>
      <c r="D596" s="2" t="str">
        <f t="shared" si="9"/>
        <v>v</v>
      </c>
      <c r="E596" s="2" t="e">
        <f>GET.WINDOW(#REF!,#REF!)</f>
        <v>#REF!</v>
      </c>
      <c r="F596" s="2" t="e">
        <f>GET.WINDOW(#REF!,+F596:G596)</f>
        <v>#REF!</v>
      </c>
      <c r="H596" s="2" t="e">
        <f>GET.WINDOW(#REF!,H596:I596)</f>
        <v>#REF!</v>
      </c>
      <c r="J596" s="2" t="e">
        <f>GET.WINDOW(#REF!,INDIRECT(J596:K596))</f>
        <v>#REF!</v>
      </c>
      <c r="L596" s="2">
        <f>TYPE(INDEX(,GET.WINDOW(#REF!,OFFSET(INDEX(1,),,))))</f>
        <v>64</v>
      </c>
    </row>
    <row r="597" spans="1:12" x14ac:dyDescent="0.55000000000000004">
      <c r="A597" s="1" t="s">
        <v>1650</v>
      </c>
      <c r="B597" s="2">
        <f>COUNTIF(A:A,A597)-1</f>
        <v>2</v>
      </c>
      <c r="C597" s="2">
        <f>COUNTIF(A$1:A597,A597)-1</f>
        <v>0</v>
      </c>
      <c r="D597" s="2" t="str">
        <f t="shared" si="9"/>
        <v/>
      </c>
      <c r="E597" s="2"/>
      <c r="F597" s="2"/>
      <c r="H597" s="2"/>
      <c r="J597" s="2"/>
      <c r="L597" s="2"/>
    </row>
    <row r="598" spans="1:12" x14ac:dyDescent="0.55000000000000004">
      <c r="A598" s="1" t="s">
        <v>1650</v>
      </c>
      <c r="B598" s="2">
        <f>COUNTIF(A:A,A598)-1</f>
        <v>2</v>
      </c>
      <c r="C598" s="2">
        <f>COUNTIF(A$1:A598,A598)-1</f>
        <v>1</v>
      </c>
      <c r="D598" s="2" t="str">
        <f t="shared" si="9"/>
        <v>v</v>
      </c>
      <c r="E598" s="2" t="e">
        <f>GET.DOCUMENT(#REF!)</f>
        <v>#REF!</v>
      </c>
      <c r="F598" s="2" t="e">
        <f>GET.DOCUMENT(+F598:G598,#REF!)</f>
        <v>#REF!</v>
      </c>
      <c r="H598" s="2" t="e">
        <f>GET.DOCUMENT(H598:I598,#REF!)</f>
        <v>#REF!</v>
      </c>
      <c r="J598" s="2" t="e">
        <f>GET.DOCUMENT(INDIRECT(J598:K598),#REF!)</f>
        <v>#REF!</v>
      </c>
      <c r="L598" s="2">
        <f>TYPE(INDEX(,GET.DOCUMENT(OFFSET(INDEX(1,),,),#REF!)))</f>
        <v>64</v>
      </c>
    </row>
    <row r="599" spans="1:12" x14ac:dyDescent="0.55000000000000004">
      <c r="A599" s="1" t="s">
        <v>1650</v>
      </c>
      <c r="B599" s="2">
        <f>COUNTIF(A:A,A599)-1</f>
        <v>2</v>
      </c>
      <c r="C599" s="2">
        <f>COUNTIF(A$1:A599,A599)-1</f>
        <v>2</v>
      </c>
      <c r="D599" s="2" t="str">
        <f t="shared" si="9"/>
        <v>v</v>
      </c>
      <c r="E599" s="2" t="e">
        <f>GET.DOCUMENT(#REF!,#REF!)</f>
        <v>#REF!</v>
      </c>
      <c r="F599" s="2" t="e">
        <f>GET.DOCUMENT(#REF!,+F599:G599)</f>
        <v>#REF!</v>
      </c>
      <c r="H599" s="2" t="e">
        <f>GET.DOCUMENT(#REF!,H599:I599)</f>
        <v>#REF!</v>
      </c>
      <c r="J599" s="2" t="e">
        <f>GET.DOCUMENT(#REF!,INDIRECT(J599:K599))</f>
        <v>#REF!</v>
      </c>
      <c r="L599" s="2">
        <f>TYPE(INDEX(,GET.DOCUMENT(#REF!,OFFSET(INDEX(1,),,))))</f>
        <v>64</v>
      </c>
    </row>
    <row r="600" spans="1:12" x14ac:dyDescent="0.55000000000000004">
      <c r="A600" s="1" t="s">
        <v>1651</v>
      </c>
      <c r="B600" s="2">
        <f>COUNTIF(A:A,A600)-1</f>
        <v>3</v>
      </c>
      <c r="C600" s="2">
        <f>COUNTIF(A$1:A600,A600)-1</f>
        <v>0</v>
      </c>
      <c r="D600" s="2" t="str">
        <f t="shared" si="9"/>
        <v/>
      </c>
      <c r="E600" s="2"/>
      <c r="F600" s="2"/>
      <c r="H600" s="2"/>
      <c r="J600" s="2"/>
      <c r="L600" s="2"/>
    </row>
    <row r="601" spans="1:12" x14ac:dyDescent="0.55000000000000004">
      <c r="A601" s="1" t="s">
        <v>1651</v>
      </c>
      <c r="B601" s="2">
        <f>COUNTIF(A:A,A601)-1</f>
        <v>3</v>
      </c>
      <c r="C601" s="2">
        <f>COUNTIF(A$1:A601,A601)-1</f>
        <v>1</v>
      </c>
      <c r="D601" s="2" t="str">
        <f t="shared" si="9"/>
        <v>r</v>
      </c>
      <c r="E601" s="2"/>
      <c r="F601" s="2"/>
      <c r="H601" s="2" t="e">
        <f>DPRODUCT(H601:I601,#REF!,#REF!)</f>
        <v>#REF!</v>
      </c>
      <c r="I601" s="1">
        <v>1</v>
      </c>
      <c r="J601" s="2" t="e">
        <f>DPRODUCT(INDIRECT(J601:K601),#REF!,#REF!)</f>
        <v>#REF!</v>
      </c>
      <c r="L601" s="2">
        <f>TYPE(INDEX(,DPRODUCT(OFFSET(INDEX(1,),,),#REF!,#REF!)))</f>
        <v>64</v>
      </c>
    </row>
    <row r="602" spans="1:12" x14ac:dyDescent="0.55000000000000004">
      <c r="A602" s="1" t="s">
        <v>1651</v>
      </c>
      <c r="B602" s="2">
        <f>COUNTIF(A:A,A602)-1</f>
        <v>3</v>
      </c>
      <c r="C602" s="2">
        <f>COUNTIF(A$1:A602,A602)-1</f>
        <v>2</v>
      </c>
      <c r="D602" s="2" t="str">
        <f t="shared" si="9"/>
        <v>vr</v>
      </c>
      <c r="E602" s="2"/>
      <c r="F602" s="2" t="e">
        <f>DPRODUCT(#REF!,+F602:G602,#REF!)</f>
        <v>#REF!</v>
      </c>
      <c r="H602" s="2" t="e">
        <f>DPRODUCT(#REF!,H602:I602,#REF!)</f>
        <v>#REF!</v>
      </c>
      <c r="I602" s="1">
        <v>1</v>
      </c>
      <c r="J602" s="2" t="e">
        <f>DPRODUCT(#REF!,INDIRECT(J602:K602),#REF!)</f>
        <v>#REF!</v>
      </c>
      <c r="L602" s="2">
        <f>TYPE(INDEX(,DPRODUCT(#REF!,OFFSET(INDEX(1,),,),#REF!)))</f>
        <v>64</v>
      </c>
    </row>
    <row r="603" spans="1:12" x14ac:dyDescent="0.55000000000000004">
      <c r="A603" s="1" t="s">
        <v>1651</v>
      </c>
      <c r="B603" s="2">
        <f>COUNTIF(A:A,A603)-1</f>
        <v>3</v>
      </c>
      <c r="C603" s="2">
        <f>COUNTIF(A$1:A603,A603)-1</f>
        <v>3</v>
      </c>
      <c r="D603" s="2" t="str">
        <f t="shared" si="9"/>
        <v>vr</v>
      </c>
      <c r="E603" s="2" t="e">
        <f>DPRODUCT(#REF!,#REF!,#REF!)</f>
        <v>#REF!</v>
      </c>
      <c r="F603" s="2" t="e">
        <f>DPRODUCT(#REF!,#REF!,+F603:G603)</f>
        <v>#REF!</v>
      </c>
      <c r="H603" s="2" t="e">
        <f>DPRODUCT(#REF!,#REF!,H603:I603)</f>
        <v>#REF!</v>
      </c>
      <c r="I603" s="1">
        <v>1</v>
      </c>
      <c r="J603" s="2" t="e">
        <f>DPRODUCT(#REF!,#REF!,INDIRECT(J603:K603))</f>
        <v>#REF!</v>
      </c>
      <c r="L603" s="2">
        <f>TYPE(INDEX(,DPRODUCT(#REF!,#REF!,OFFSET(INDEX(1,),,))))</f>
        <v>64</v>
      </c>
    </row>
    <row r="604" spans="1:12" x14ac:dyDescent="0.55000000000000004">
      <c r="A604" s="1" t="s">
        <v>1652</v>
      </c>
      <c r="B604" s="2">
        <f>COUNTIF(A:A,A604)-1</f>
        <v>1</v>
      </c>
      <c r="C604" s="2">
        <f>COUNTIF(A$1:A604,A604)-1</f>
        <v>0</v>
      </c>
      <c r="D604" s="2" t="str">
        <f t="shared" si="9"/>
        <v/>
      </c>
      <c r="E604" s="2"/>
      <c r="F604" s="2"/>
      <c r="H604" s="2"/>
      <c r="J604" s="2"/>
      <c r="L604" s="2"/>
    </row>
    <row r="605" spans="1:12" x14ac:dyDescent="0.55000000000000004">
      <c r="A605" s="1" t="s">
        <v>1652</v>
      </c>
      <c r="B605" s="2">
        <f>COUNTIF(A:A,A605)-1</f>
        <v>1</v>
      </c>
      <c r="C605" s="2">
        <f>COUNTIF(A$1:A605,A605)-1</f>
        <v>1</v>
      </c>
      <c r="D605" s="2" t="str">
        <f t="shared" si="9"/>
        <v>v</v>
      </c>
      <c r="E605" s="2" t="b">
        <f>ISNONTEXT(#REF!)</f>
        <v>1</v>
      </c>
      <c r="F605" s="2" t="b">
        <f>ISNONTEXT(+F605:G605)</f>
        <v>1</v>
      </c>
      <c r="H605" s="2" t="b">
        <f>ISNONTEXT(H605:I605)</f>
        <v>1</v>
      </c>
      <c r="J605" s="2" t="b">
        <f>ISNONTEXT(INDIRECT(J605:K605))</f>
        <v>1</v>
      </c>
      <c r="L605" s="2">
        <f>TYPE(INDEX(,ISNONTEXT(OFFSET(INDEX(1,),,))))</f>
        <v>64</v>
      </c>
    </row>
    <row r="606" spans="1:12" x14ac:dyDescent="0.55000000000000004">
      <c r="A606" s="1" t="s">
        <v>1653</v>
      </c>
      <c r="B606" s="2">
        <f>COUNTIF(A:A,A606)-1</f>
        <v>3</v>
      </c>
      <c r="C606" s="2">
        <f>COUNTIF(A$1:A606,A606)-1</f>
        <v>0</v>
      </c>
      <c r="D606" s="2" t="str">
        <f t="shared" si="9"/>
        <v/>
      </c>
      <c r="E606" s="2" t="b">
        <f>GET.NOTE()</f>
        <v>0</v>
      </c>
      <c r="F606" s="2"/>
      <c r="H606" s="2"/>
      <c r="J606" s="2"/>
      <c r="L606" s="2"/>
    </row>
    <row r="607" spans="1:12" x14ac:dyDescent="0.55000000000000004">
      <c r="A607" s="1" t="s">
        <v>1653</v>
      </c>
      <c r="B607" s="2">
        <f>COUNTIF(A:A,A607)-1</f>
        <v>3</v>
      </c>
      <c r="C607" s="2">
        <f>COUNTIF(A$1:A607,A607)-1</f>
        <v>1</v>
      </c>
      <c r="D607" s="2" t="str">
        <f t="shared" si="9"/>
        <v>vr</v>
      </c>
      <c r="E607" s="2" t="e">
        <f>GET.NOTE(#REF!)</f>
        <v>#REF!</v>
      </c>
      <c r="F607" s="2" t="e">
        <f>GET.NOTE(+F607:G607,#REF!,#REF!)</f>
        <v>#REF!</v>
      </c>
      <c r="H607" s="2" t="e">
        <f>GET.NOTE(H607:I607,#REF!,#REF!)</f>
        <v>#REF!</v>
      </c>
      <c r="I607" s="1">
        <v>1</v>
      </c>
      <c r="J607" s="2" t="e">
        <f>GET.NOTE(INDIRECT(J607:K607),#REF!,#REF!)</f>
        <v>#REF!</v>
      </c>
      <c r="L607" s="2">
        <f>TYPE(INDEX(,GET.NOTE(OFFSET(INDEX(1,),,),#REF!,#REF!)))</f>
        <v>64</v>
      </c>
    </row>
    <row r="608" spans="1:12" x14ac:dyDescent="0.55000000000000004">
      <c r="A608" s="1" t="s">
        <v>1653</v>
      </c>
      <c r="B608" s="2">
        <f>COUNTIF(A:A,A608)-1</f>
        <v>3</v>
      </c>
      <c r="C608" s="2">
        <f>COUNTIF(A$1:A608,A608)-1</f>
        <v>2</v>
      </c>
      <c r="D608" s="2" t="str">
        <f t="shared" si="9"/>
        <v>v</v>
      </c>
      <c r="E608" s="2" t="e">
        <f>GET.NOTE(#REF!,#REF!)</f>
        <v>#REF!</v>
      </c>
      <c r="F608" s="2" t="e">
        <f>GET.NOTE(#REF!,+F608:G608,#REF!)</f>
        <v>#REF!</v>
      </c>
      <c r="H608" s="2" t="e">
        <f>GET.NOTE(#REF!,H608:I608,#REF!)</f>
        <v>#REF!</v>
      </c>
      <c r="J608" s="2" t="e">
        <f>GET.NOTE(#REF!,INDIRECT(J608:K608),#REF!)</f>
        <v>#REF!</v>
      </c>
      <c r="L608" s="2">
        <f>TYPE(INDEX(,GET.NOTE(#REF!,OFFSET(INDEX(1,),,),#REF!)))</f>
        <v>64</v>
      </c>
    </row>
    <row r="609" spans="1:12" x14ac:dyDescent="0.55000000000000004">
      <c r="A609" s="1" t="s">
        <v>1653</v>
      </c>
      <c r="B609" s="2">
        <f>COUNTIF(A:A,A609)-1</f>
        <v>3</v>
      </c>
      <c r="C609" s="2">
        <f>COUNTIF(A$1:A609,A609)-1</f>
        <v>3</v>
      </c>
      <c r="D609" s="2" t="str">
        <f t="shared" si="9"/>
        <v>v</v>
      </c>
      <c r="E609" s="2" t="e">
        <f>GET.NOTE(#REF!,#REF!,#REF!)</f>
        <v>#REF!</v>
      </c>
      <c r="F609" s="2" t="e">
        <f>GET.NOTE(#REF!,#REF!,+F609:G609)</f>
        <v>#REF!</v>
      </c>
      <c r="H609" s="2" t="e">
        <f>GET.NOTE(#REF!,#REF!,H609:I609)</f>
        <v>#REF!</v>
      </c>
      <c r="J609" s="2" t="e">
        <f>GET.NOTE(#REF!,#REF!,INDIRECT(J609:K609))</f>
        <v>#REF!</v>
      </c>
      <c r="L609" s="2">
        <f>TYPE(INDEX(,GET.NOTE(#REF!,#REF!,OFFSET(INDEX(1,),,))))</f>
        <v>64</v>
      </c>
    </row>
    <row r="610" spans="1:12" x14ac:dyDescent="0.55000000000000004">
      <c r="A610" s="1" t="s">
        <v>1654</v>
      </c>
      <c r="B610" s="2">
        <f>COUNTIF(A:A,A610)-1</f>
        <v>4</v>
      </c>
      <c r="C610" s="2">
        <f>COUNTIF(A$1:A610,A610)-1</f>
        <v>0</v>
      </c>
      <c r="D610" s="2" t="str">
        <f t="shared" si="9"/>
        <v/>
      </c>
      <c r="E610" s="2" t="b">
        <f>NOTE()</f>
        <v>0</v>
      </c>
      <c r="F610" s="2"/>
      <c r="H610" s="2"/>
      <c r="J610" s="2"/>
      <c r="L610" s="2"/>
    </row>
    <row r="611" spans="1:12" x14ac:dyDescent="0.55000000000000004">
      <c r="A611" s="1" t="s">
        <v>1654</v>
      </c>
      <c r="B611" s="2">
        <f>COUNTIF(A:A,A611)-1</f>
        <v>4</v>
      </c>
      <c r="C611" s="2">
        <f>COUNTIF(A$1:A611,A611)-1</f>
        <v>1</v>
      </c>
      <c r="D611" s="2" t="str">
        <f t="shared" si="9"/>
        <v>v</v>
      </c>
      <c r="E611" s="2" t="e">
        <f>NOTE(#REF!)</f>
        <v>#REF!</v>
      </c>
      <c r="F611" s="2" t="e">
        <f>NOTE(+F611:G611,#REF!,#REF!,#REF!)</f>
        <v>#REF!</v>
      </c>
      <c r="H611" s="2" t="e">
        <f>NOTE(H611:I611,#REF!,#REF!,#REF!)</f>
        <v>#REF!</v>
      </c>
      <c r="J611" s="2" t="e">
        <f>NOTE(INDIRECT(J611:K611),#REF!,#REF!,#REF!)</f>
        <v>#REF!</v>
      </c>
      <c r="L611" s="2">
        <f>TYPE(INDEX(,NOTE(OFFSET(INDEX(1,),,),#REF!,#REF!,#REF!)))</f>
        <v>64</v>
      </c>
    </row>
    <row r="612" spans="1:12" x14ac:dyDescent="0.55000000000000004">
      <c r="A612" s="1" t="s">
        <v>1654</v>
      </c>
      <c r="B612" s="2">
        <f>COUNTIF(A:A,A612)-1</f>
        <v>4</v>
      </c>
      <c r="C612" s="2">
        <f>COUNTIF(A$1:A612,A612)-1</f>
        <v>2</v>
      </c>
      <c r="D612" s="2" t="str">
        <f t="shared" si="9"/>
        <v>vr</v>
      </c>
      <c r="E612" s="2" t="e">
        <f>NOTE(#REF!,#REF!)</f>
        <v>#REF!</v>
      </c>
      <c r="F612" s="2" t="e">
        <f>NOTE(#REF!,+F612:G612,#REF!,#REF!)</f>
        <v>#REF!</v>
      </c>
      <c r="H612" s="2" t="e">
        <f>NOTE(#REF!,H612:I612,#REF!,#REF!)</f>
        <v>#REF!</v>
      </c>
      <c r="I612" s="1">
        <v>1</v>
      </c>
      <c r="J612" s="2" t="e">
        <f>NOTE(#REF!,INDIRECT(J612:K612),#REF!,#REF!)</f>
        <v>#REF!</v>
      </c>
      <c r="L612" s="2">
        <f>TYPE(INDEX(,NOTE(#REF!,OFFSET(INDEX(1,),,),#REF!,#REF!)))</f>
        <v>64</v>
      </c>
    </row>
    <row r="613" spans="1:12" x14ac:dyDescent="0.55000000000000004">
      <c r="A613" s="1" t="s">
        <v>1654</v>
      </c>
      <c r="B613" s="2">
        <f>COUNTIF(A:A,A613)-1</f>
        <v>4</v>
      </c>
      <c r="C613" s="2">
        <f>COUNTIF(A$1:A613,A613)-1</f>
        <v>3</v>
      </c>
      <c r="D613" s="2" t="str">
        <f t="shared" si="9"/>
        <v>vr</v>
      </c>
      <c r="E613" s="2" t="e">
        <f>NOTE(#REF!,#REF!,#REF!)</f>
        <v>#REF!</v>
      </c>
      <c r="F613" s="2" t="e">
        <f>NOTE(#REF!,#REF!,+F613:G613,#REF!)</f>
        <v>#REF!</v>
      </c>
      <c r="H613" s="2" t="e">
        <f>NOTE(#REF!,#REF!,H613:I613,#REF!)</f>
        <v>#REF!</v>
      </c>
      <c r="I613" s="1">
        <v>1</v>
      </c>
      <c r="J613" s="2" t="e">
        <f>NOTE(#REF!,#REF!,INDIRECT(J613:K613),#REF!)</f>
        <v>#REF!</v>
      </c>
      <c r="L613" s="2">
        <f>TYPE(INDEX(,NOTE(#REF!,#REF!,OFFSET(INDEX(1,),,),#REF!)))</f>
        <v>64</v>
      </c>
    </row>
    <row r="614" spans="1:12" x14ac:dyDescent="0.55000000000000004">
      <c r="A614" s="1" t="s">
        <v>1654</v>
      </c>
      <c r="B614" s="2">
        <f>COUNTIF(A:A,A614)-1</f>
        <v>4</v>
      </c>
      <c r="C614" s="2">
        <f>COUNTIF(A$1:A614,A614)-1</f>
        <v>4</v>
      </c>
      <c r="D614" s="2" t="str">
        <f t="shared" si="9"/>
        <v>vr</v>
      </c>
      <c r="E614" s="2" t="e">
        <f>NOTE(#REF!,#REF!,#REF!,#REF!)</f>
        <v>#REF!</v>
      </c>
      <c r="F614" s="2" t="e">
        <f>NOTE(#REF!,#REF!,#REF!,+F614:G614)</f>
        <v>#REF!</v>
      </c>
      <c r="H614" s="2" t="e">
        <f>NOTE(#REF!,#REF!,#REF!,H614:I614)</f>
        <v>#REF!</v>
      </c>
      <c r="I614" s="1">
        <v>1</v>
      </c>
      <c r="J614" s="2" t="e">
        <f>NOTE(#REF!,#REF!,#REF!,INDIRECT(J614:K614))</f>
        <v>#REF!</v>
      </c>
      <c r="L614" s="2">
        <f>TYPE(INDEX(,NOTE(#REF!,#REF!,#REF!,OFFSET(INDEX(1,),,))))</f>
        <v>64</v>
      </c>
    </row>
    <row r="615" spans="1:12" x14ac:dyDescent="0.55000000000000004">
      <c r="A615" s="1" t="s">
        <v>1655</v>
      </c>
      <c r="B615" s="2">
        <f>COUNTIF(A:A,A615)-1</f>
        <v>3</v>
      </c>
      <c r="C615" s="2">
        <f>COUNTIF(A$1:A615,A615)-1</f>
        <v>0</v>
      </c>
      <c r="D615" s="2" t="str">
        <f t="shared" si="9"/>
        <v/>
      </c>
      <c r="E615" s="2"/>
      <c r="F615" s="2"/>
      <c r="H615" s="2"/>
      <c r="J615" s="2"/>
      <c r="L615" s="2"/>
    </row>
    <row r="616" spans="1:12" x14ac:dyDescent="0.55000000000000004">
      <c r="A616" s="1" t="s">
        <v>1655</v>
      </c>
      <c r="B616" s="2">
        <f>COUNTIF(A:A,A616)-1</f>
        <v>3</v>
      </c>
      <c r="C616" s="2">
        <f>COUNTIF(A$1:A616,A616)-1</f>
        <v>1</v>
      </c>
      <c r="D616" s="2" t="str">
        <f t="shared" si="9"/>
        <v>var</v>
      </c>
      <c r="E616" s="2" t="e">
        <f>STDEVP(#REF!)</f>
        <v>#REF!</v>
      </c>
      <c r="F616" s="2" t="e">
        <f>STDEVP(+F616:G616,#REF!,#REF!)</f>
        <v>#REF!</v>
      </c>
      <c r="H616" s="2" t="e">
        <f>STDEVP(H616:I616,#REF!,#REF!)</f>
        <v>#REF!</v>
      </c>
      <c r="I616" s="1">
        <v>1</v>
      </c>
      <c r="J616" s="2" t="e">
        <f>STDEVP(INDIRECT(J616:K616),#REF!,#REF!)</f>
        <v>#REF!</v>
      </c>
      <c r="L616" s="2">
        <f>TYPE(INDEX(,STDEVP(OFFSET(INDEX(1,),,),#REF!,#REF!)))</f>
        <v>16</v>
      </c>
    </row>
    <row r="617" spans="1:12" x14ac:dyDescent="0.55000000000000004">
      <c r="A617" s="1" t="s">
        <v>1655</v>
      </c>
      <c r="B617" s="2">
        <f>COUNTIF(A:A,A617)-1</f>
        <v>3</v>
      </c>
      <c r="C617" s="2">
        <f>COUNTIF(A$1:A617,A617)-1</f>
        <v>2</v>
      </c>
      <c r="D617" s="2" t="str">
        <f t="shared" si="9"/>
        <v>var</v>
      </c>
      <c r="E617" s="2" t="e">
        <f>STDEVP(#REF!,#REF!)</f>
        <v>#REF!</v>
      </c>
      <c r="F617" s="2" t="e">
        <f>STDEVP(#REF!,+F617:G617,#REF!)</f>
        <v>#REF!</v>
      </c>
      <c r="H617" s="2" t="e">
        <f>STDEVP(#REF!,H617:I617,#REF!)</f>
        <v>#REF!</v>
      </c>
      <c r="I617" s="1">
        <v>1</v>
      </c>
      <c r="J617" s="2" t="e">
        <f>STDEVP(#REF!,INDIRECT(J617:K617),#REF!)</f>
        <v>#REF!</v>
      </c>
      <c r="L617" s="2">
        <f>TYPE(INDEX(,STDEVP(#REF!,OFFSET(INDEX(1,),,),#REF!)))</f>
        <v>16</v>
      </c>
    </row>
    <row r="618" spans="1:12" x14ac:dyDescent="0.55000000000000004">
      <c r="A618" s="1" t="s">
        <v>1655</v>
      </c>
      <c r="B618" s="2">
        <f>COUNTIF(A:A,A618)-1</f>
        <v>3</v>
      </c>
      <c r="C618" s="2">
        <f>COUNTIF(A$1:A618,A618)-1</f>
        <v>3</v>
      </c>
      <c r="D618" s="2" t="str">
        <f t="shared" si="9"/>
        <v>var</v>
      </c>
      <c r="E618" s="2" t="e">
        <f>STDEVP(#REF!,#REF!,#REF!)</f>
        <v>#REF!</v>
      </c>
      <c r="F618" s="2" t="e">
        <f>STDEVP(#REF!,#REF!,+F618:G618)</f>
        <v>#REF!</v>
      </c>
      <c r="H618" s="2" t="e">
        <f>STDEVP(#REF!,#REF!,H618:I618)</f>
        <v>#REF!</v>
      </c>
      <c r="I618" s="1">
        <v>1</v>
      </c>
      <c r="J618" s="2" t="e">
        <f>STDEVP(#REF!,#REF!,INDIRECT(J618:K618))</f>
        <v>#REF!</v>
      </c>
      <c r="L618" s="2">
        <f>TYPE(INDEX(,STDEVP(#REF!,#REF!,OFFSET(INDEX(1,),,))))</f>
        <v>16</v>
      </c>
    </row>
    <row r="619" spans="1:12" x14ac:dyDescent="0.55000000000000004">
      <c r="A619" s="1" t="s">
        <v>1656</v>
      </c>
      <c r="B619" s="2">
        <f>COUNTIF(A:A,A619)-1</f>
        <v>3</v>
      </c>
      <c r="C619" s="2">
        <f>COUNTIF(A$1:A619,A619)-1</f>
        <v>0</v>
      </c>
      <c r="D619" s="2" t="str">
        <f t="shared" si="9"/>
        <v/>
      </c>
      <c r="E619" s="2"/>
      <c r="F619" s="2"/>
      <c r="H619" s="2"/>
      <c r="J619" s="2"/>
      <c r="L619" s="2"/>
    </row>
    <row r="620" spans="1:12" x14ac:dyDescent="0.55000000000000004">
      <c r="A620" s="1" t="s">
        <v>1656</v>
      </c>
      <c r="B620" s="2">
        <f>COUNTIF(A:A,A620)-1</f>
        <v>3</v>
      </c>
      <c r="C620" s="2">
        <f>COUNTIF(A$1:A620,A620)-1</f>
        <v>1</v>
      </c>
      <c r="D620" s="2" t="str">
        <f t="shared" si="9"/>
        <v>var</v>
      </c>
      <c r="E620" s="2" t="e">
        <f>VARP(#REF!)</f>
        <v>#REF!</v>
      </c>
      <c r="F620" s="2" t="e">
        <f>VARP(+F620:G620,#REF!,#REF!)</f>
        <v>#REF!</v>
      </c>
      <c r="H620" s="2" t="e">
        <f>VARP(H620:I620,#REF!,#REF!)</f>
        <v>#REF!</v>
      </c>
      <c r="I620" s="1">
        <v>1</v>
      </c>
      <c r="J620" s="2" t="e">
        <f>VARP(INDIRECT(J620:K620),#REF!,#REF!)</f>
        <v>#REF!</v>
      </c>
      <c r="L620" s="2">
        <f>TYPE(INDEX(,VARP(OFFSET(INDEX(1,),,),#REF!,#REF!)))</f>
        <v>16</v>
      </c>
    </row>
    <row r="621" spans="1:12" x14ac:dyDescent="0.55000000000000004">
      <c r="A621" s="1" t="s">
        <v>1656</v>
      </c>
      <c r="B621" s="2">
        <f>COUNTIF(A:A,A621)-1</f>
        <v>3</v>
      </c>
      <c r="C621" s="2">
        <f>COUNTIF(A$1:A621,A621)-1</f>
        <v>2</v>
      </c>
      <c r="D621" s="2" t="str">
        <f t="shared" si="9"/>
        <v>var</v>
      </c>
      <c r="E621" s="2" t="e">
        <f>VARP(#REF!,#REF!)</f>
        <v>#REF!</v>
      </c>
      <c r="F621" s="2" t="e">
        <f>VARP(#REF!,+F621:G621,#REF!)</f>
        <v>#REF!</v>
      </c>
      <c r="H621" s="2" t="e">
        <f>VARP(#REF!,H621:I621,#REF!)</f>
        <v>#REF!</v>
      </c>
      <c r="I621" s="1">
        <v>1</v>
      </c>
      <c r="J621" s="2" t="e">
        <f>VARP(#REF!,INDIRECT(J621:K621),#REF!)</f>
        <v>#REF!</v>
      </c>
      <c r="L621" s="2">
        <f>TYPE(INDEX(,VARP(#REF!,OFFSET(INDEX(1,),,),#REF!)))</f>
        <v>16</v>
      </c>
    </row>
    <row r="622" spans="1:12" x14ac:dyDescent="0.55000000000000004">
      <c r="A622" s="1" t="s">
        <v>1656</v>
      </c>
      <c r="B622" s="2">
        <f>COUNTIF(A:A,A622)-1</f>
        <v>3</v>
      </c>
      <c r="C622" s="2">
        <f>COUNTIF(A$1:A622,A622)-1</f>
        <v>3</v>
      </c>
      <c r="D622" s="2" t="str">
        <f t="shared" si="9"/>
        <v>var</v>
      </c>
      <c r="E622" s="2" t="e">
        <f>VARP(#REF!,#REF!,#REF!)</f>
        <v>#REF!</v>
      </c>
      <c r="F622" s="2" t="e">
        <f>VARP(#REF!,#REF!,+F622:G622)</f>
        <v>#REF!</v>
      </c>
      <c r="H622" s="2" t="e">
        <f>VARP(#REF!,#REF!,H622:I622)</f>
        <v>#REF!</v>
      </c>
      <c r="I622" s="1">
        <v>1</v>
      </c>
      <c r="J622" s="2" t="e">
        <f>VARP(#REF!,#REF!,INDIRECT(J622:K622))</f>
        <v>#REF!</v>
      </c>
      <c r="L622" s="2">
        <f>TYPE(INDEX(,VARP(#REF!,#REF!,OFFSET(INDEX(1,),,))))</f>
        <v>16</v>
      </c>
    </row>
    <row r="623" spans="1:12" x14ac:dyDescent="0.55000000000000004">
      <c r="A623" s="1" t="s">
        <v>1657</v>
      </c>
      <c r="B623" s="2">
        <f>COUNTIF(A:A,A623)-1</f>
        <v>3</v>
      </c>
      <c r="C623" s="2">
        <f>COUNTIF(A$1:A623,A623)-1</f>
        <v>0</v>
      </c>
      <c r="D623" s="2" t="str">
        <f t="shared" si="9"/>
        <v/>
      </c>
      <c r="E623" s="2"/>
      <c r="F623" s="2"/>
      <c r="H623" s="2"/>
      <c r="J623" s="2"/>
      <c r="L623" s="2"/>
    </row>
    <row r="624" spans="1:12" x14ac:dyDescent="0.55000000000000004">
      <c r="A624" s="1" t="s">
        <v>1657</v>
      </c>
      <c r="B624" s="2">
        <f>COUNTIF(A:A,A624)-1</f>
        <v>3</v>
      </c>
      <c r="C624" s="2">
        <f>COUNTIF(A$1:A624,A624)-1</f>
        <v>1</v>
      </c>
      <c r="D624" s="2" t="str">
        <f t="shared" si="9"/>
        <v>r</v>
      </c>
      <c r="E624" s="2"/>
      <c r="F624" s="2"/>
      <c r="H624" s="2" t="e">
        <f>DSTDEVP(H624:I624,#REF!,#REF!)</f>
        <v>#REF!</v>
      </c>
      <c r="I624" s="1">
        <v>1</v>
      </c>
      <c r="J624" s="2" t="e">
        <f>DSTDEVP(INDIRECT(J624:K624),#REF!,#REF!)</f>
        <v>#REF!</v>
      </c>
      <c r="L624" s="2">
        <f>TYPE(INDEX(,DSTDEVP(OFFSET(INDEX(1,),,),#REF!,#REF!)))</f>
        <v>64</v>
      </c>
    </row>
    <row r="625" spans="1:12" x14ac:dyDescent="0.55000000000000004">
      <c r="A625" s="1" t="s">
        <v>1657</v>
      </c>
      <c r="B625" s="2">
        <f>COUNTIF(A:A,A625)-1</f>
        <v>3</v>
      </c>
      <c r="C625" s="2">
        <f>COUNTIF(A$1:A625,A625)-1</f>
        <v>2</v>
      </c>
      <c r="D625" s="2" t="str">
        <f t="shared" si="9"/>
        <v>vr</v>
      </c>
      <c r="E625" s="2"/>
      <c r="F625" s="2" t="e">
        <f>DSTDEVP(#REF!,+F625:G625,#REF!)</f>
        <v>#REF!</v>
      </c>
      <c r="H625" s="2" t="e">
        <f>DSTDEVP(#REF!,H625:I625,#REF!)</f>
        <v>#REF!</v>
      </c>
      <c r="I625" s="1">
        <v>1</v>
      </c>
      <c r="J625" s="2" t="e">
        <f>DSTDEVP(#REF!,INDIRECT(J625:K625),#REF!)</f>
        <v>#REF!</v>
      </c>
      <c r="L625" s="2">
        <f>TYPE(INDEX(,DSTDEVP(#REF!,OFFSET(INDEX(1,),,),#REF!)))</f>
        <v>64</v>
      </c>
    </row>
    <row r="626" spans="1:12" x14ac:dyDescent="0.55000000000000004">
      <c r="A626" s="1" t="s">
        <v>1657</v>
      </c>
      <c r="B626" s="2">
        <f>COUNTIF(A:A,A626)-1</f>
        <v>3</v>
      </c>
      <c r="C626" s="2">
        <f>COUNTIF(A$1:A626,A626)-1</f>
        <v>3</v>
      </c>
      <c r="D626" s="2" t="str">
        <f t="shared" si="9"/>
        <v>vr</v>
      </c>
      <c r="E626" s="2" t="e">
        <f>DSTDEVP(#REF!,#REF!,#REF!)</f>
        <v>#REF!</v>
      </c>
      <c r="F626" s="2" t="e">
        <f>DSTDEVP(#REF!,#REF!,+F626:G626)</f>
        <v>#REF!</v>
      </c>
      <c r="H626" s="2" t="e">
        <f>DSTDEVP(#REF!,#REF!,H626:I626)</f>
        <v>#REF!</v>
      </c>
      <c r="I626" s="1">
        <v>1</v>
      </c>
      <c r="J626" s="2" t="e">
        <f>DSTDEVP(#REF!,#REF!,INDIRECT(J626:K626))</f>
        <v>#REF!</v>
      </c>
      <c r="L626" s="2">
        <f>TYPE(INDEX(,DSTDEVP(#REF!,#REF!,OFFSET(INDEX(1,),,))))</f>
        <v>64</v>
      </c>
    </row>
    <row r="627" spans="1:12" x14ac:dyDescent="0.55000000000000004">
      <c r="A627" s="1" t="s">
        <v>1658</v>
      </c>
      <c r="B627" s="2">
        <f>COUNTIF(A:A,A627)-1</f>
        <v>3</v>
      </c>
      <c r="C627" s="2">
        <f>COUNTIF(A$1:A627,A627)-1</f>
        <v>0</v>
      </c>
      <c r="D627" s="2" t="str">
        <f t="shared" si="9"/>
        <v/>
      </c>
      <c r="E627" s="2"/>
      <c r="F627" s="2"/>
      <c r="H627" s="2"/>
      <c r="J627" s="2"/>
      <c r="L627" s="2"/>
    </row>
    <row r="628" spans="1:12" x14ac:dyDescent="0.55000000000000004">
      <c r="A628" s="1" t="s">
        <v>1658</v>
      </c>
      <c r="B628" s="2">
        <f>COUNTIF(A:A,A628)-1</f>
        <v>3</v>
      </c>
      <c r="C628" s="2">
        <f>COUNTIF(A$1:A628,A628)-1</f>
        <v>1</v>
      </c>
      <c r="D628" s="2" t="str">
        <f t="shared" si="9"/>
        <v>r</v>
      </c>
      <c r="E628" s="2"/>
      <c r="F628" s="2"/>
      <c r="H628" s="2" t="e">
        <f>DVARP(H628:I628,#REF!,#REF!)</f>
        <v>#REF!</v>
      </c>
      <c r="I628" s="1">
        <v>1</v>
      </c>
      <c r="J628" s="2" t="e">
        <f>DVARP(INDIRECT(J628:K628),#REF!,#REF!)</f>
        <v>#REF!</v>
      </c>
      <c r="L628" s="2">
        <f>TYPE(INDEX(,DVARP(OFFSET(INDEX(1,),,),#REF!,#REF!)))</f>
        <v>64</v>
      </c>
    </row>
    <row r="629" spans="1:12" x14ac:dyDescent="0.55000000000000004">
      <c r="A629" s="1" t="s">
        <v>1658</v>
      </c>
      <c r="B629" s="2">
        <f>COUNTIF(A:A,A629)-1</f>
        <v>3</v>
      </c>
      <c r="C629" s="2">
        <f>COUNTIF(A$1:A629,A629)-1</f>
        <v>2</v>
      </c>
      <c r="D629" s="2" t="str">
        <f t="shared" si="9"/>
        <v>vr</v>
      </c>
      <c r="E629" s="2"/>
      <c r="F629" s="2" t="e">
        <f>DVARP(#REF!,+F629:G629,#REF!)</f>
        <v>#REF!</v>
      </c>
      <c r="H629" s="2" t="e">
        <f>DVARP(#REF!,H629:I629,#REF!)</f>
        <v>#REF!</v>
      </c>
      <c r="I629" s="1">
        <v>1</v>
      </c>
      <c r="J629" s="2" t="e">
        <f>DVARP(#REF!,INDIRECT(J629:K629),#REF!)</f>
        <v>#REF!</v>
      </c>
      <c r="L629" s="2">
        <f>TYPE(INDEX(,DVARP(#REF!,OFFSET(INDEX(1,),,),#REF!)))</f>
        <v>64</v>
      </c>
    </row>
    <row r="630" spans="1:12" x14ac:dyDescent="0.55000000000000004">
      <c r="A630" s="1" t="s">
        <v>1658</v>
      </c>
      <c r="B630" s="2">
        <f>COUNTIF(A:A,A630)-1</f>
        <v>3</v>
      </c>
      <c r="C630" s="2">
        <f>COUNTIF(A$1:A630,A630)-1</f>
        <v>3</v>
      </c>
      <c r="D630" s="2" t="str">
        <f t="shared" si="9"/>
        <v>vr</v>
      </c>
      <c r="E630" s="2" t="e">
        <f>DVARP(#REF!,#REF!,#REF!)</f>
        <v>#REF!</v>
      </c>
      <c r="F630" s="2" t="e">
        <f>DVARP(#REF!,#REF!,+F630:G630)</f>
        <v>#REF!</v>
      </c>
      <c r="H630" s="2" t="e">
        <f>DVARP(#REF!,#REF!,H630:I630)</f>
        <v>#REF!</v>
      </c>
      <c r="I630" s="1">
        <v>1</v>
      </c>
      <c r="J630" s="2" t="e">
        <f>DVARP(#REF!,#REF!,INDIRECT(J630:K630))</f>
        <v>#REF!</v>
      </c>
      <c r="L630" s="2">
        <f>TYPE(INDEX(,DVARP(#REF!,#REF!,OFFSET(INDEX(1,),,))))</f>
        <v>64</v>
      </c>
    </row>
    <row r="631" spans="1:12" x14ac:dyDescent="0.55000000000000004">
      <c r="A631" s="1" t="s">
        <v>1659</v>
      </c>
      <c r="B631" s="2">
        <f>COUNTIF(A:A,A631)-1</f>
        <v>2</v>
      </c>
      <c r="C631" s="2">
        <f>COUNTIF(A$1:A631,A631)-1</f>
        <v>0</v>
      </c>
      <c r="D631" s="2" t="str">
        <f t="shared" si="9"/>
        <v/>
      </c>
      <c r="E631" s="2"/>
      <c r="F631" s="2"/>
      <c r="H631" s="2"/>
      <c r="J631" s="2"/>
      <c r="L631" s="2"/>
    </row>
    <row r="632" spans="1:12" x14ac:dyDescent="0.55000000000000004">
      <c r="A632" s="1" t="s">
        <v>1659</v>
      </c>
      <c r="B632" s="2">
        <f>COUNTIF(A:A,A632)-1</f>
        <v>2</v>
      </c>
      <c r="C632" s="2">
        <f>COUNTIF(A$1:A632,A632)-1</f>
        <v>1</v>
      </c>
      <c r="D632" s="2" t="str">
        <f t="shared" si="9"/>
        <v>v</v>
      </c>
      <c r="E632" s="2" t="e">
        <f>TRUNC(#REF!)</f>
        <v>#REF!</v>
      </c>
      <c r="F632" s="2" t="e">
        <f>TRUNC(+F632:G632,#REF!)</f>
        <v>#REF!</v>
      </c>
      <c r="H632" s="2" t="e">
        <f>TRUNC(H632:I632,#REF!)</f>
        <v>#REF!</v>
      </c>
      <c r="J632" s="2" t="e">
        <f>TRUNC(INDIRECT(J632:K632),#REF!)</f>
        <v>#REF!</v>
      </c>
      <c r="L632" s="2">
        <f>TYPE(INDEX(,TRUNC(OFFSET(INDEX(1,),,),#REF!)))</f>
        <v>64</v>
      </c>
    </row>
    <row r="633" spans="1:12" x14ac:dyDescent="0.55000000000000004">
      <c r="A633" s="1" t="s">
        <v>1659</v>
      </c>
      <c r="B633" s="2">
        <f>COUNTIF(A:A,A633)-1</f>
        <v>2</v>
      </c>
      <c r="C633" s="2">
        <f>COUNTIF(A$1:A633,A633)-1</f>
        <v>2</v>
      </c>
      <c r="D633" s="2" t="str">
        <f t="shared" si="9"/>
        <v>v</v>
      </c>
      <c r="E633" s="2" t="e">
        <f>TRUNC(#REF!,#REF!)</f>
        <v>#REF!</v>
      </c>
      <c r="F633" s="2" t="e">
        <f>TRUNC(#REF!,+F633:G633)</f>
        <v>#REF!</v>
      </c>
      <c r="H633" s="2" t="e">
        <f>TRUNC(#REF!,H633:I633)</f>
        <v>#REF!</v>
      </c>
      <c r="J633" s="2" t="e">
        <f>TRUNC(#REF!,INDIRECT(J633:K633))</f>
        <v>#REF!</v>
      </c>
      <c r="L633" s="2">
        <f>TYPE(INDEX(,TRUNC(#REF!,OFFSET(INDEX(1,),,))))</f>
        <v>64</v>
      </c>
    </row>
    <row r="634" spans="1:12" x14ac:dyDescent="0.55000000000000004">
      <c r="A634" s="1" t="s">
        <v>1660</v>
      </c>
      <c r="B634" s="2">
        <f>COUNTIF(A:A,A634)-1</f>
        <v>1</v>
      </c>
      <c r="C634" s="2">
        <f>COUNTIF(A$1:A634,A634)-1</f>
        <v>0</v>
      </c>
      <c r="D634" s="2" t="str">
        <f t="shared" si="9"/>
        <v/>
      </c>
      <c r="E634" s="2"/>
      <c r="F634" s="2"/>
      <c r="H634" s="2"/>
      <c r="J634" s="2"/>
      <c r="L634" s="2"/>
    </row>
    <row r="635" spans="1:12" x14ac:dyDescent="0.55000000000000004">
      <c r="A635" s="1" t="s">
        <v>1660</v>
      </c>
      <c r="B635" s="2">
        <f>COUNTIF(A:A,A635)-1</f>
        <v>1</v>
      </c>
      <c r="C635" s="2">
        <f>COUNTIF(A$1:A635,A635)-1</f>
        <v>1</v>
      </c>
      <c r="D635" s="2" t="str">
        <f t="shared" si="9"/>
        <v>v</v>
      </c>
      <c r="E635" s="2" t="b">
        <f>ISLOGICAL(#REF!)</f>
        <v>0</v>
      </c>
      <c r="F635" s="2" t="b">
        <f>ISLOGICAL(+F635:G635)</f>
        <v>0</v>
      </c>
      <c r="H635" s="2" t="b">
        <f>ISLOGICAL(H635:I635)</f>
        <v>0</v>
      </c>
      <c r="J635" s="2" t="b">
        <f>ISLOGICAL(INDIRECT(J635:K635))</f>
        <v>0</v>
      </c>
      <c r="L635" s="2">
        <f>TYPE(INDEX(,ISLOGICAL(OFFSET(INDEX(1,),,))))</f>
        <v>64</v>
      </c>
    </row>
    <row r="636" spans="1:12" x14ac:dyDescent="0.55000000000000004">
      <c r="A636" s="1" t="s">
        <v>1661</v>
      </c>
      <c r="B636" s="2">
        <f>COUNTIF(A:A,A636)-1</f>
        <v>3</v>
      </c>
      <c r="C636" s="2">
        <f>COUNTIF(A$1:A636,A636)-1</f>
        <v>0</v>
      </c>
      <c r="D636" s="2" t="str">
        <f t="shared" si="9"/>
        <v/>
      </c>
      <c r="E636" s="2"/>
      <c r="F636" s="2"/>
      <c r="H636" s="2"/>
      <c r="J636" s="2"/>
      <c r="L636" s="2"/>
    </row>
    <row r="637" spans="1:12" x14ac:dyDescent="0.55000000000000004">
      <c r="A637" s="1" t="s">
        <v>1661</v>
      </c>
      <c r="B637" s="2">
        <f>COUNTIF(A:A,A637)-1</f>
        <v>3</v>
      </c>
      <c r="C637" s="2">
        <f>COUNTIF(A$1:A637,A637)-1</f>
        <v>1</v>
      </c>
      <c r="D637" s="2" t="str">
        <f t="shared" si="9"/>
        <v>r</v>
      </c>
      <c r="E637" s="2"/>
      <c r="F637" s="2"/>
      <c r="H637" s="2" t="e">
        <f>DCOUNTA(H637:I637,#REF!,#REF!)</f>
        <v>#REF!</v>
      </c>
      <c r="I637" s="1">
        <v>1</v>
      </c>
      <c r="J637" s="2" t="e">
        <f>DCOUNTA(INDIRECT(J637:K637),#REF!,#REF!)</f>
        <v>#REF!</v>
      </c>
      <c r="L637" s="2">
        <f>TYPE(INDEX(,DCOUNTA(OFFSET(INDEX(1,),,),#REF!,#REF!)))</f>
        <v>64</v>
      </c>
    </row>
    <row r="638" spans="1:12" x14ac:dyDescent="0.55000000000000004">
      <c r="A638" s="1" t="s">
        <v>1661</v>
      </c>
      <c r="B638" s="2">
        <f>COUNTIF(A:A,A638)-1</f>
        <v>3</v>
      </c>
      <c r="C638" s="2">
        <f>COUNTIF(A$1:A638,A638)-1</f>
        <v>2</v>
      </c>
      <c r="D638" s="2" t="str">
        <f t="shared" si="9"/>
        <v>vr</v>
      </c>
      <c r="E638" s="2"/>
      <c r="F638" s="2" t="e">
        <f>DCOUNTA(#REF!,+F638:G638,#REF!)</f>
        <v>#REF!</v>
      </c>
      <c r="H638" s="2" t="e">
        <f>DCOUNTA(#REF!,H638:I638,#REF!)</f>
        <v>#REF!</v>
      </c>
      <c r="I638" s="1">
        <v>1</v>
      </c>
      <c r="J638" s="2" t="e">
        <f>DCOUNTA(#REF!,INDIRECT(J638:K638),#REF!)</f>
        <v>#REF!</v>
      </c>
      <c r="L638" s="2">
        <f>TYPE(INDEX(,DCOUNTA(#REF!,OFFSET(INDEX(1,),,),#REF!)))</f>
        <v>64</v>
      </c>
    </row>
    <row r="639" spans="1:12" x14ac:dyDescent="0.55000000000000004">
      <c r="A639" s="1" t="s">
        <v>1661</v>
      </c>
      <c r="B639" s="2">
        <f>COUNTIF(A:A,A639)-1</f>
        <v>3</v>
      </c>
      <c r="C639" s="2">
        <f>COUNTIF(A$1:A639,A639)-1</f>
        <v>3</v>
      </c>
      <c r="D639" s="2" t="str">
        <f t="shared" si="9"/>
        <v>vr</v>
      </c>
      <c r="E639" s="2" t="e">
        <f>DCOUNTA(#REF!,#REF!,#REF!)</f>
        <v>#REF!</v>
      </c>
      <c r="F639" s="2" t="e">
        <f>DCOUNTA(#REF!,#REF!,+F639:G639)</f>
        <v>#REF!</v>
      </c>
      <c r="H639" s="2" t="e">
        <f>DCOUNTA(#REF!,#REF!,H639:I639)</f>
        <v>#REF!</v>
      </c>
      <c r="I639" s="1">
        <v>1</v>
      </c>
      <c r="J639" s="2" t="e">
        <f>DCOUNTA(#REF!,#REF!,INDIRECT(J639:K639))</f>
        <v>#REF!</v>
      </c>
      <c r="L639" s="2">
        <f>TYPE(INDEX(,DCOUNTA(#REF!,#REF!,OFFSET(INDEX(1,),,))))</f>
        <v>64</v>
      </c>
    </row>
    <row r="640" spans="1:12" x14ac:dyDescent="0.55000000000000004">
      <c r="A640" s="1" t="s">
        <v>1662</v>
      </c>
      <c r="B640" s="2">
        <f>COUNTIF(A:A,A640)-1</f>
        <v>1</v>
      </c>
      <c r="C640" s="2">
        <f>COUNTIF(A$1:A640,A640)-1</f>
        <v>0</v>
      </c>
      <c r="D640" s="2" t="str">
        <f t="shared" si="9"/>
        <v/>
      </c>
      <c r="E640" s="2"/>
      <c r="F640" s="2"/>
      <c r="H640" s="2"/>
      <c r="J640" s="2"/>
      <c r="L640" s="2"/>
    </row>
    <row r="641" spans="1:12" x14ac:dyDescent="0.55000000000000004">
      <c r="A641" s="1" t="s">
        <v>1662</v>
      </c>
      <c r="B641" s="2">
        <f>COUNTIF(A:A,A641)-1</f>
        <v>1</v>
      </c>
      <c r="C641" s="2">
        <f>COUNTIF(A$1:A641,A641)-1</f>
        <v>1</v>
      </c>
      <c r="D641" s="2" t="str">
        <f t="shared" si="9"/>
        <v>v</v>
      </c>
      <c r="E641" s="2" t="b">
        <f>DELETE.BAR(#REF!)</f>
        <v>0</v>
      </c>
      <c r="F641" s="2" t="b">
        <f>DELETE.BAR(+F641:G641)</f>
        <v>0</v>
      </c>
      <c r="H641" s="2" t="b">
        <f>DELETE.BAR(H641:I641)</f>
        <v>0</v>
      </c>
      <c r="J641" s="2" t="b">
        <f>DELETE.BAR(INDIRECT(J641:K641))</f>
        <v>0</v>
      </c>
      <c r="L641" s="2">
        <f>TYPE(INDEX(,DELETE.BAR(OFFSET(INDEX(1,),,))))</f>
        <v>64</v>
      </c>
    </row>
    <row r="642" spans="1:12" x14ac:dyDescent="0.55000000000000004">
      <c r="A642" s="1" t="s">
        <v>1663</v>
      </c>
      <c r="B642" s="2">
        <f>COUNTIF(A:A,A642)-1</f>
        <v>1</v>
      </c>
      <c r="C642" s="2">
        <f>COUNTIF(A$1:A642,A642)-1</f>
        <v>0</v>
      </c>
      <c r="D642" s="2" t="str">
        <f t="shared" ref="D642:D705" si="10">IF(C642&gt;0,IF(COUNTA(F642:G642)=1,"v",)&amp;IF(L642=64,,"a")&amp;IF(COUNTA(I642,K642)=1,"r",),"")</f>
        <v/>
      </c>
      <c r="E642" s="2"/>
      <c r="F642" s="2"/>
      <c r="H642" s="2"/>
      <c r="J642" s="2"/>
      <c r="L642" s="2"/>
    </row>
    <row r="643" spans="1:12" x14ac:dyDescent="0.55000000000000004">
      <c r="A643" s="1" t="s">
        <v>1663</v>
      </c>
      <c r="B643" s="2">
        <f>COUNTIF(A:A,A643)-1</f>
        <v>1</v>
      </c>
      <c r="C643" s="2">
        <f>COUNTIF(A$1:A643,A643)-1</f>
        <v>1</v>
      </c>
      <c r="D643" s="2" t="str">
        <f t="shared" si="10"/>
        <v>v</v>
      </c>
      <c r="E643" s="2" t="e">
        <f>UNREGISTER(#REF!)</f>
        <v>#REF!</v>
      </c>
      <c r="F643" s="2" t="b">
        <f>UNREGISTER(+F643:G643)</f>
        <v>0</v>
      </c>
      <c r="H643" s="2" t="b">
        <f>UNREGISTER(H643:I643)</f>
        <v>0</v>
      </c>
      <c r="J643" s="2" t="e">
        <f>UNREGISTER(INDIRECT(J643:K643))</f>
        <v>#REF!</v>
      </c>
      <c r="L643" s="2">
        <f>TYPE(INDEX(,UNREGISTER(OFFSET(INDEX(1,),,))))</f>
        <v>64</v>
      </c>
    </row>
    <row r="644" spans="1:12" x14ac:dyDescent="0.55000000000000004">
      <c r="A644" s="1" t="s">
        <v>1664</v>
      </c>
      <c r="B644" s="2">
        <f>COUNTIF(A:A,A644)-1</f>
        <v>2</v>
      </c>
      <c r="C644" s="2">
        <f>COUNTIF(A$1:A644,A644)-1</f>
        <v>0</v>
      </c>
      <c r="D644" s="2" t="str">
        <f t="shared" si="10"/>
        <v/>
      </c>
      <c r="E644" s="2"/>
      <c r="F644" s="2"/>
      <c r="H644" s="2"/>
      <c r="J644" s="2"/>
      <c r="L644" s="2"/>
    </row>
    <row r="645" spans="1:12" x14ac:dyDescent="0.55000000000000004">
      <c r="A645" s="1" t="s">
        <v>1664</v>
      </c>
      <c r="B645" s="2">
        <f>COUNTIF(A:A,A645)-1</f>
        <v>2</v>
      </c>
      <c r="C645" s="2">
        <f>COUNTIF(A$1:A645,A645)-1</f>
        <v>1</v>
      </c>
      <c r="D645" s="2" t="str">
        <f t="shared" si="10"/>
        <v>v</v>
      </c>
      <c r="E645" s="2" t="e">
        <f>USDOLLAR(#REF!)</f>
        <v>#REF!</v>
      </c>
      <c r="F645" s="2" t="e">
        <f>USDOLLAR(+F645:G645,#REF!)</f>
        <v>#REF!</v>
      </c>
      <c r="H645" s="2" t="e">
        <f>USDOLLAR(H645:I645,#REF!)</f>
        <v>#REF!</v>
      </c>
      <c r="J645" s="2" t="e">
        <f>USDOLLAR(INDIRECT(J645:K645),#REF!)</f>
        <v>#REF!</v>
      </c>
      <c r="L645" s="2">
        <f>TYPE(INDEX(,USDOLLAR(OFFSET(INDEX(1,),,),#REF!)))</f>
        <v>64</v>
      </c>
    </row>
    <row r="646" spans="1:12" x14ac:dyDescent="0.55000000000000004">
      <c r="A646" s="1" t="s">
        <v>1664</v>
      </c>
      <c r="B646" s="2">
        <f>COUNTIF(A:A,A646)-1</f>
        <v>2</v>
      </c>
      <c r="C646" s="2">
        <f>COUNTIF(A$1:A646,A646)-1</f>
        <v>2</v>
      </c>
      <c r="D646" s="2" t="str">
        <f t="shared" si="10"/>
        <v>v</v>
      </c>
      <c r="E646" s="2" t="e">
        <f>USDOLLAR(#REF!,#REF!)</f>
        <v>#REF!</v>
      </c>
      <c r="F646" s="2" t="e">
        <f>USDOLLAR(#REF!,+F646:G646)</f>
        <v>#REF!</v>
      </c>
      <c r="H646" s="2" t="e">
        <f>USDOLLAR(#REF!,H646:I646)</f>
        <v>#REF!</v>
      </c>
      <c r="J646" s="2" t="e">
        <f>USDOLLAR(#REF!,INDIRECT(J646:K646))</f>
        <v>#REF!</v>
      </c>
      <c r="L646" s="2">
        <f>TYPE(INDEX(,USDOLLAR(#REF!,OFFSET(INDEX(1,),,))))</f>
        <v>64</v>
      </c>
    </row>
    <row r="647" spans="1:12" x14ac:dyDescent="0.55000000000000004">
      <c r="A647" s="1" t="s">
        <v>1665</v>
      </c>
      <c r="B647" s="2">
        <f>COUNTIF(A:A,A647)-1</f>
        <v>3</v>
      </c>
      <c r="C647" s="2">
        <f>COUNTIF(A$1:A647,A647)-1</f>
        <v>0</v>
      </c>
      <c r="D647" s="2" t="str">
        <f t="shared" si="10"/>
        <v/>
      </c>
      <c r="E647" s="2"/>
      <c r="F647" s="2"/>
      <c r="H647" s="2"/>
      <c r="J647" s="2"/>
      <c r="L647" s="2"/>
    </row>
    <row r="648" spans="1:12" x14ac:dyDescent="0.55000000000000004">
      <c r="A648" s="1" t="s">
        <v>1665</v>
      </c>
      <c r="B648" s="2">
        <f>COUNTIF(A:A,A648)-1</f>
        <v>3</v>
      </c>
      <c r="C648" s="2">
        <f>COUNTIF(A$1:A648,A648)-1</f>
        <v>1</v>
      </c>
      <c r="D648" s="2" t="str">
        <f t="shared" si="10"/>
        <v>v</v>
      </c>
      <c r="E648" s="2"/>
      <c r="F648" s="2" t="e">
        <f>FINDB(+F648:G648,#REF!,#REF!)</f>
        <v>#REF!</v>
      </c>
      <c r="H648" s="2" t="e">
        <f>FINDB(H648:I648,#REF!,#REF!)</f>
        <v>#REF!</v>
      </c>
      <c r="J648" s="2" t="e">
        <f>FINDB(INDIRECT(J648:K648),#REF!,#REF!)</f>
        <v>#REF!</v>
      </c>
      <c r="L648" s="2">
        <f>TYPE(INDEX(,FINDB(OFFSET(INDEX(1,),,),#REF!,#REF!)))</f>
        <v>64</v>
      </c>
    </row>
    <row r="649" spans="1:12" x14ac:dyDescent="0.55000000000000004">
      <c r="A649" s="1" t="s">
        <v>1665</v>
      </c>
      <c r="B649" s="2">
        <f>COUNTIF(A:A,A649)-1</f>
        <v>3</v>
      </c>
      <c r="C649" s="2">
        <f>COUNTIF(A$1:A649,A649)-1</f>
        <v>2</v>
      </c>
      <c r="D649" s="2" t="str">
        <f t="shared" si="10"/>
        <v>v</v>
      </c>
      <c r="E649" s="2" t="e">
        <f>FINDB(#REF!,#REF!)</f>
        <v>#REF!</v>
      </c>
      <c r="F649" s="2" t="e">
        <f>FINDB(#REF!,+F649:G649,#REF!)</f>
        <v>#REF!</v>
      </c>
      <c r="H649" s="2" t="e">
        <f>FINDB(#REF!,H649:I649,#REF!)</f>
        <v>#REF!</v>
      </c>
      <c r="J649" s="2" t="e">
        <f>FINDB(#REF!,INDIRECT(J649:K649),#REF!)</f>
        <v>#REF!</v>
      </c>
      <c r="L649" s="2">
        <f>TYPE(INDEX(,FINDB(#REF!,OFFSET(INDEX(1,),,),#REF!)))</f>
        <v>64</v>
      </c>
    </row>
    <row r="650" spans="1:12" x14ac:dyDescent="0.55000000000000004">
      <c r="A650" s="1" t="s">
        <v>1665</v>
      </c>
      <c r="B650" s="2">
        <f>COUNTIF(A:A,A650)-1</f>
        <v>3</v>
      </c>
      <c r="C650" s="2">
        <f>COUNTIF(A$1:A650,A650)-1</f>
        <v>3</v>
      </c>
      <c r="D650" s="2" t="str">
        <f t="shared" si="10"/>
        <v>v</v>
      </c>
      <c r="E650" s="2" t="e">
        <f>FINDB(#REF!,#REF!,#REF!)</f>
        <v>#REF!</v>
      </c>
      <c r="F650" s="2" t="e">
        <f>FINDB(#REF!,#REF!,+F650:G650)</f>
        <v>#REF!</v>
      </c>
      <c r="H650" s="2" t="e">
        <f>FINDB(#REF!,#REF!,H650:I650)</f>
        <v>#REF!</v>
      </c>
      <c r="J650" s="2" t="e">
        <f>FINDB(#REF!,#REF!,INDIRECT(J650:K650))</f>
        <v>#REF!</v>
      </c>
      <c r="L650" s="2">
        <f>TYPE(INDEX(,FINDB(#REF!,#REF!,OFFSET(INDEX(1,),,))))</f>
        <v>64</v>
      </c>
    </row>
    <row r="651" spans="1:12" x14ac:dyDescent="0.55000000000000004">
      <c r="A651" s="1" t="s">
        <v>1666</v>
      </c>
      <c r="B651" s="2">
        <f>COUNTIF(A:A,A651)-1</f>
        <v>3</v>
      </c>
      <c r="C651" s="2">
        <f>COUNTIF(A$1:A651,A651)-1</f>
        <v>0</v>
      </c>
      <c r="D651" s="2" t="str">
        <f t="shared" si="10"/>
        <v/>
      </c>
      <c r="E651" s="2"/>
      <c r="F651" s="2"/>
      <c r="H651" s="2"/>
      <c r="J651" s="2"/>
      <c r="L651" s="2"/>
    </row>
    <row r="652" spans="1:12" x14ac:dyDescent="0.55000000000000004">
      <c r="A652" s="1" t="s">
        <v>1666</v>
      </c>
      <c r="B652" s="2">
        <f>COUNTIF(A:A,A652)-1</f>
        <v>3</v>
      </c>
      <c r="C652" s="2">
        <f>COUNTIF(A$1:A652,A652)-1</f>
        <v>1</v>
      </c>
      <c r="D652" s="2" t="str">
        <f t="shared" si="10"/>
        <v>v</v>
      </c>
      <c r="E652" s="2"/>
      <c r="F652" s="2" t="e">
        <f>SEARCHB(+F652:G652,#REF!,#REF!)</f>
        <v>#REF!</v>
      </c>
      <c r="H652" s="2" t="e">
        <f>SEARCHB(H652:I652,#REF!,#REF!)</f>
        <v>#REF!</v>
      </c>
      <c r="J652" s="2" t="e">
        <f>SEARCHB(INDIRECT(J652:K652),#REF!,#REF!)</f>
        <v>#REF!</v>
      </c>
      <c r="L652" s="2">
        <f>TYPE(INDEX(,SEARCHB(OFFSET(INDEX(1,),,),#REF!,#REF!)))</f>
        <v>64</v>
      </c>
    </row>
    <row r="653" spans="1:12" x14ac:dyDescent="0.55000000000000004">
      <c r="A653" s="1" t="s">
        <v>1666</v>
      </c>
      <c r="B653" s="2">
        <f>COUNTIF(A:A,A653)-1</f>
        <v>3</v>
      </c>
      <c r="C653" s="2">
        <f>COUNTIF(A$1:A653,A653)-1</f>
        <v>2</v>
      </c>
      <c r="D653" s="2" t="str">
        <f t="shared" si="10"/>
        <v>v</v>
      </c>
      <c r="E653" s="2" t="e">
        <f>SEARCHB(#REF!,#REF!)</f>
        <v>#REF!</v>
      </c>
      <c r="F653" s="2" t="e">
        <f>SEARCHB(#REF!,+F653:G653,#REF!)</f>
        <v>#REF!</v>
      </c>
      <c r="H653" s="2" t="e">
        <f>SEARCHB(#REF!,H653:I653,#REF!)</f>
        <v>#REF!</v>
      </c>
      <c r="J653" s="2" t="e">
        <f>SEARCHB(#REF!,INDIRECT(J653:K653),#REF!)</f>
        <v>#REF!</v>
      </c>
      <c r="L653" s="2">
        <f>TYPE(INDEX(,SEARCHB(#REF!,OFFSET(INDEX(1,),,),#REF!)))</f>
        <v>64</v>
      </c>
    </row>
    <row r="654" spans="1:12" x14ac:dyDescent="0.55000000000000004">
      <c r="A654" s="1" t="s">
        <v>1666</v>
      </c>
      <c r="B654" s="2">
        <f>COUNTIF(A:A,A654)-1</f>
        <v>3</v>
      </c>
      <c r="C654" s="2">
        <f>COUNTIF(A$1:A654,A654)-1</f>
        <v>3</v>
      </c>
      <c r="D654" s="2" t="str">
        <f t="shared" si="10"/>
        <v>v</v>
      </c>
      <c r="E654" s="2" t="e">
        <f>SEARCHB(#REF!,#REF!,#REF!)</f>
        <v>#REF!</v>
      </c>
      <c r="F654" s="2" t="e">
        <f>SEARCHB(#REF!,#REF!,+F654:G654)</f>
        <v>#REF!</v>
      </c>
      <c r="H654" s="2" t="e">
        <f>SEARCHB(#REF!,#REF!,H654:I654)</f>
        <v>#REF!</v>
      </c>
      <c r="J654" s="2" t="e">
        <f>SEARCHB(#REF!,#REF!,INDIRECT(J654:K654))</f>
        <v>#REF!</v>
      </c>
      <c r="L654" s="2">
        <f>TYPE(INDEX(,SEARCHB(#REF!,#REF!,OFFSET(INDEX(1,),,))))</f>
        <v>64</v>
      </c>
    </row>
    <row r="655" spans="1:12" x14ac:dyDescent="0.55000000000000004">
      <c r="A655" s="1" t="s">
        <v>1667</v>
      </c>
      <c r="B655" s="2">
        <f>COUNTIF(A:A,A655)-1</f>
        <v>4</v>
      </c>
      <c r="C655" s="2">
        <f>COUNTIF(A$1:A655,A655)-1</f>
        <v>0</v>
      </c>
      <c r="D655" s="2" t="str">
        <f t="shared" si="10"/>
        <v/>
      </c>
      <c r="E655" s="2"/>
      <c r="F655" s="2"/>
      <c r="H655" s="2"/>
      <c r="J655" s="2"/>
      <c r="L655" s="2"/>
    </row>
    <row r="656" spans="1:12" x14ac:dyDescent="0.55000000000000004">
      <c r="A656" s="1" t="s">
        <v>1667</v>
      </c>
      <c r="B656" s="2">
        <f>COUNTIF(A:A,A656)-1</f>
        <v>4</v>
      </c>
      <c r="C656" s="2">
        <f>COUNTIF(A$1:A656,A656)-1</f>
        <v>1</v>
      </c>
      <c r="D656" s="2" t="str">
        <f t="shared" si="10"/>
        <v>v</v>
      </c>
      <c r="E656" s="2"/>
      <c r="F656" s="2" t="e">
        <f>REPLACEB(+F656:G656,#REF!,#REF!,#REF!)</f>
        <v>#REF!</v>
      </c>
      <c r="H656" s="2" t="e">
        <f>REPLACEB(H656:I656,#REF!,#REF!,#REF!)</f>
        <v>#REF!</v>
      </c>
      <c r="J656" s="2" t="e">
        <f>REPLACEB(INDIRECT(J656:K656),#REF!,#REF!,#REF!)</f>
        <v>#REF!</v>
      </c>
      <c r="L656" s="2">
        <f>TYPE(INDEX(,REPLACEB(OFFSET(INDEX(1,),,),#REF!,#REF!,#REF!)))</f>
        <v>64</v>
      </c>
    </row>
    <row r="657" spans="1:12" x14ac:dyDescent="0.55000000000000004">
      <c r="A657" s="1" t="s">
        <v>1667</v>
      </c>
      <c r="B657" s="2">
        <f>COUNTIF(A:A,A657)-1</f>
        <v>4</v>
      </c>
      <c r="C657" s="2">
        <f>COUNTIF(A$1:A657,A657)-1</f>
        <v>2</v>
      </c>
      <c r="D657" s="2" t="str">
        <f t="shared" si="10"/>
        <v>v</v>
      </c>
      <c r="E657" s="2"/>
      <c r="F657" s="2" t="e">
        <f>REPLACEB(#REF!,+F657:G657,#REF!,#REF!)</f>
        <v>#REF!</v>
      </c>
      <c r="H657" s="2" t="e">
        <f>REPLACEB(#REF!,H657:I657,#REF!,#REF!)</f>
        <v>#REF!</v>
      </c>
      <c r="J657" s="2" t="e">
        <f>REPLACEB(#REF!,INDIRECT(J657:K657),#REF!,#REF!)</f>
        <v>#REF!</v>
      </c>
      <c r="L657" s="2">
        <f>TYPE(INDEX(,REPLACEB(#REF!,OFFSET(INDEX(1,),,),#REF!,#REF!)))</f>
        <v>64</v>
      </c>
    </row>
    <row r="658" spans="1:12" x14ac:dyDescent="0.55000000000000004">
      <c r="A658" s="1" t="s">
        <v>1667</v>
      </c>
      <c r="B658" s="2">
        <f>COUNTIF(A:A,A658)-1</f>
        <v>4</v>
      </c>
      <c r="C658" s="2">
        <f>COUNTIF(A$1:A658,A658)-1</f>
        <v>3</v>
      </c>
      <c r="D658" s="2" t="str">
        <f t="shared" si="10"/>
        <v>v</v>
      </c>
      <c r="E658" s="2"/>
      <c r="F658" s="2" t="e">
        <f>REPLACEB(#REF!,#REF!,+F658:G658,#REF!)</f>
        <v>#REF!</v>
      </c>
      <c r="H658" s="2" t="e">
        <f>REPLACEB(#REF!,#REF!,H658:I658,#REF!)</f>
        <v>#REF!</v>
      </c>
      <c r="J658" s="2" t="e">
        <f>REPLACEB(#REF!,#REF!,INDIRECT(J658:K658),#REF!)</f>
        <v>#REF!</v>
      </c>
      <c r="L658" s="2">
        <f>TYPE(INDEX(,REPLACEB(#REF!,#REF!,OFFSET(INDEX(1,),,),#REF!)))</f>
        <v>64</v>
      </c>
    </row>
    <row r="659" spans="1:12" x14ac:dyDescent="0.55000000000000004">
      <c r="A659" s="1" t="s">
        <v>1667</v>
      </c>
      <c r="B659" s="2">
        <f>COUNTIF(A:A,A659)-1</f>
        <v>4</v>
      </c>
      <c r="C659" s="2">
        <f>COUNTIF(A$1:A659,A659)-1</f>
        <v>4</v>
      </c>
      <c r="D659" s="2" t="str">
        <f t="shared" si="10"/>
        <v>v</v>
      </c>
      <c r="E659" s="2" t="e">
        <f>REPLACEB(#REF!,#REF!,#REF!,#REF!)</f>
        <v>#REF!</v>
      </c>
      <c r="F659" s="2" t="e">
        <f>REPLACEB(#REF!,#REF!,#REF!,+F659:G659)</f>
        <v>#REF!</v>
      </c>
      <c r="H659" s="2" t="e">
        <f>REPLACEB(#REF!,#REF!,#REF!,H659:I659)</f>
        <v>#REF!</v>
      </c>
      <c r="J659" s="2" t="e">
        <f>REPLACEB(#REF!,#REF!,#REF!,INDIRECT(J659:K659))</f>
        <v>#REF!</v>
      </c>
      <c r="L659" s="2">
        <f>TYPE(INDEX(,REPLACEB(#REF!,#REF!,#REF!,OFFSET(INDEX(1,),,))))</f>
        <v>64</v>
      </c>
    </row>
    <row r="660" spans="1:12" x14ac:dyDescent="0.55000000000000004">
      <c r="A660" s="1" t="s">
        <v>1668</v>
      </c>
      <c r="B660" s="2">
        <f>COUNTIF(A:A,A660)-1</f>
        <v>2</v>
      </c>
      <c r="C660" s="2">
        <f>COUNTIF(A$1:A660,A660)-1</f>
        <v>0</v>
      </c>
      <c r="D660" s="2" t="str">
        <f t="shared" si="10"/>
        <v/>
      </c>
      <c r="E660" s="2"/>
      <c r="F660" s="2"/>
      <c r="H660" s="2"/>
      <c r="J660" s="2"/>
      <c r="L660" s="2"/>
    </row>
    <row r="661" spans="1:12" x14ac:dyDescent="0.55000000000000004">
      <c r="A661" s="1" t="s">
        <v>1668</v>
      </c>
      <c r="B661" s="2">
        <f>COUNTIF(A:A,A661)-1</f>
        <v>2</v>
      </c>
      <c r="C661" s="2">
        <f>COUNTIF(A$1:A661,A661)-1</f>
        <v>1</v>
      </c>
      <c r="D661" s="2" t="str">
        <f t="shared" si="10"/>
        <v>v</v>
      </c>
      <c r="E661" s="2" t="e">
        <f>LEFTB(#REF!)</f>
        <v>#REF!</v>
      </c>
      <c r="F661" s="2" t="e">
        <f>LEFTB(+F661:G661,#REF!)</f>
        <v>#REF!</v>
      </c>
      <c r="H661" s="2" t="e">
        <f>LEFTB(H661:I661,#REF!)</f>
        <v>#REF!</v>
      </c>
      <c r="J661" s="2" t="e">
        <f>LEFTB(INDIRECT(J661:K661),#REF!)</f>
        <v>#REF!</v>
      </c>
      <c r="L661" s="2">
        <f>TYPE(INDEX(,LEFTB(OFFSET(INDEX(1,),,),#REF!)))</f>
        <v>64</v>
      </c>
    </row>
    <row r="662" spans="1:12" x14ac:dyDescent="0.55000000000000004">
      <c r="A662" s="1" t="s">
        <v>1668</v>
      </c>
      <c r="B662" s="2">
        <f>COUNTIF(A:A,A662)-1</f>
        <v>2</v>
      </c>
      <c r="C662" s="2">
        <f>COUNTIF(A$1:A662,A662)-1</f>
        <v>2</v>
      </c>
      <c r="D662" s="2" t="str">
        <f t="shared" si="10"/>
        <v>v</v>
      </c>
      <c r="E662" s="2" t="e">
        <f>LEFTB(#REF!,#REF!)</f>
        <v>#REF!</v>
      </c>
      <c r="F662" s="2" t="e">
        <f>LEFTB(#REF!,+F662:G662)</f>
        <v>#REF!</v>
      </c>
      <c r="H662" s="2" t="e">
        <f>LEFTB(#REF!,H662:I662)</f>
        <v>#REF!</v>
      </c>
      <c r="J662" s="2" t="e">
        <f>LEFTB(#REF!,INDIRECT(J662:K662))</f>
        <v>#REF!</v>
      </c>
      <c r="L662" s="2">
        <f>TYPE(INDEX(,LEFTB(#REF!,OFFSET(INDEX(1,),,))))</f>
        <v>64</v>
      </c>
    </row>
    <row r="663" spans="1:12" x14ac:dyDescent="0.55000000000000004">
      <c r="A663" s="1" t="s">
        <v>1669</v>
      </c>
      <c r="B663" s="2">
        <f>COUNTIF(A:A,A663)-1</f>
        <v>2</v>
      </c>
      <c r="C663" s="2">
        <f>COUNTIF(A$1:A663,A663)-1</f>
        <v>0</v>
      </c>
      <c r="D663" s="2" t="str">
        <f t="shared" si="10"/>
        <v/>
      </c>
      <c r="E663" s="2"/>
      <c r="F663" s="2"/>
      <c r="H663" s="2"/>
      <c r="J663" s="2"/>
      <c r="L663" s="2"/>
    </row>
    <row r="664" spans="1:12" x14ac:dyDescent="0.55000000000000004">
      <c r="A664" s="1" t="s">
        <v>1669</v>
      </c>
      <c r="B664" s="2">
        <f>COUNTIF(A:A,A664)-1</f>
        <v>2</v>
      </c>
      <c r="C664" s="2">
        <f>COUNTIF(A$1:A664,A664)-1</f>
        <v>1</v>
      </c>
      <c r="D664" s="2" t="str">
        <f t="shared" si="10"/>
        <v>v</v>
      </c>
      <c r="E664" s="2" t="e">
        <f>RIGHTB(#REF!)</f>
        <v>#REF!</v>
      </c>
      <c r="F664" s="2" t="e">
        <f>RIGHTB(+F664:G664,#REF!)</f>
        <v>#REF!</v>
      </c>
      <c r="H664" s="2" t="e">
        <f>RIGHTB(H664:I664,#REF!)</f>
        <v>#REF!</v>
      </c>
      <c r="J664" s="2" t="e">
        <f>RIGHTB(INDIRECT(J664:K664),#REF!)</f>
        <v>#REF!</v>
      </c>
      <c r="L664" s="2">
        <f>TYPE(INDEX(,RIGHTB(OFFSET(INDEX(1,),,),#REF!)))</f>
        <v>64</v>
      </c>
    </row>
    <row r="665" spans="1:12" x14ac:dyDescent="0.55000000000000004">
      <c r="A665" s="1" t="s">
        <v>1669</v>
      </c>
      <c r="B665" s="2">
        <f>COUNTIF(A:A,A665)-1</f>
        <v>2</v>
      </c>
      <c r="C665" s="2">
        <f>COUNTIF(A$1:A665,A665)-1</f>
        <v>2</v>
      </c>
      <c r="D665" s="2" t="str">
        <f t="shared" si="10"/>
        <v>v</v>
      </c>
      <c r="E665" s="2" t="e">
        <f>RIGHTB(#REF!,#REF!)</f>
        <v>#REF!</v>
      </c>
      <c r="F665" s="2" t="e">
        <f>RIGHTB(#REF!,+F665:G665)</f>
        <v>#REF!</v>
      </c>
      <c r="H665" s="2" t="e">
        <f>RIGHTB(#REF!,H665:I665)</f>
        <v>#REF!</v>
      </c>
      <c r="J665" s="2" t="e">
        <f>RIGHTB(#REF!,INDIRECT(J665:K665))</f>
        <v>#REF!</v>
      </c>
      <c r="L665" s="2">
        <f>TYPE(INDEX(,RIGHTB(#REF!,OFFSET(INDEX(1,),,))))</f>
        <v>64</v>
      </c>
    </row>
    <row r="666" spans="1:12" x14ac:dyDescent="0.55000000000000004">
      <c r="A666" s="1" t="s">
        <v>1670</v>
      </c>
      <c r="B666" s="2">
        <f>COUNTIF(A:A,A666)-1</f>
        <v>3</v>
      </c>
      <c r="C666" s="2">
        <f>COUNTIF(A$1:A666,A666)-1</f>
        <v>0</v>
      </c>
      <c r="D666" s="2" t="str">
        <f t="shared" si="10"/>
        <v/>
      </c>
      <c r="E666" s="2"/>
      <c r="F666" s="2"/>
      <c r="H666" s="2"/>
      <c r="J666" s="2"/>
      <c r="L666" s="2"/>
    </row>
    <row r="667" spans="1:12" x14ac:dyDescent="0.55000000000000004">
      <c r="A667" s="1" t="s">
        <v>1670</v>
      </c>
      <c r="B667" s="2">
        <f>COUNTIF(A:A,A667)-1</f>
        <v>3</v>
      </c>
      <c r="C667" s="2">
        <f>COUNTIF(A$1:A667,A667)-1</f>
        <v>1</v>
      </c>
      <c r="D667" s="2" t="str">
        <f t="shared" si="10"/>
        <v>v</v>
      </c>
      <c r="E667" s="2"/>
      <c r="F667" s="2" t="e">
        <f>MIDB(+F667:G667,#REF!,#REF!)</f>
        <v>#REF!</v>
      </c>
      <c r="H667" s="2" t="e">
        <f>MIDB(H667:I667,#REF!,#REF!)</f>
        <v>#REF!</v>
      </c>
      <c r="J667" s="2" t="e">
        <f>MIDB(INDIRECT(J667:K667),#REF!,#REF!)</f>
        <v>#REF!</v>
      </c>
      <c r="L667" s="2">
        <f>TYPE(INDEX(,MIDB(OFFSET(INDEX(1,),,),#REF!,#REF!)))</f>
        <v>64</v>
      </c>
    </row>
    <row r="668" spans="1:12" x14ac:dyDescent="0.55000000000000004">
      <c r="A668" s="1" t="s">
        <v>1670</v>
      </c>
      <c r="B668" s="2">
        <f>COUNTIF(A:A,A668)-1</f>
        <v>3</v>
      </c>
      <c r="C668" s="2">
        <f>COUNTIF(A$1:A668,A668)-1</f>
        <v>2</v>
      </c>
      <c r="D668" s="2" t="str">
        <f t="shared" si="10"/>
        <v>v</v>
      </c>
      <c r="E668" s="2"/>
      <c r="F668" s="2" t="e">
        <f>MIDB(#REF!,+F668:G668,#REF!)</f>
        <v>#REF!</v>
      </c>
      <c r="H668" s="2" t="e">
        <f>MIDB(#REF!,H668:I668,#REF!)</f>
        <v>#REF!</v>
      </c>
      <c r="J668" s="2" t="e">
        <f>MIDB(#REF!,INDIRECT(J668:K668),#REF!)</f>
        <v>#REF!</v>
      </c>
      <c r="L668" s="2">
        <f>TYPE(INDEX(,MIDB(#REF!,OFFSET(INDEX(1,),,),#REF!)))</f>
        <v>64</v>
      </c>
    </row>
    <row r="669" spans="1:12" x14ac:dyDescent="0.55000000000000004">
      <c r="A669" s="1" t="s">
        <v>1670</v>
      </c>
      <c r="B669" s="2">
        <f>COUNTIF(A:A,A669)-1</f>
        <v>3</v>
      </c>
      <c r="C669" s="2">
        <f>COUNTIF(A$1:A669,A669)-1</f>
        <v>3</v>
      </c>
      <c r="D669" s="2" t="str">
        <f t="shared" si="10"/>
        <v>v</v>
      </c>
      <c r="E669" s="2" t="e">
        <f>MIDB(#REF!,#REF!,#REF!)</f>
        <v>#REF!</v>
      </c>
      <c r="F669" s="2" t="e">
        <f>MIDB(#REF!,#REF!,+F669:G669)</f>
        <v>#REF!</v>
      </c>
      <c r="H669" s="2" t="e">
        <f>MIDB(#REF!,#REF!,H669:I669)</f>
        <v>#REF!</v>
      </c>
      <c r="J669" s="2" t="e">
        <f>MIDB(#REF!,#REF!,INDIRECT(J669:K669))</f>
        <v>#REF!</v>
      </c>
      <c r="L669" s="2">
        <f>TYPE(INDEX(,MIDB(#REF!,#REF!,OFFSET(INDEX(1,),,))))</f>
        <v>64</v>
      </c>
    </row>
    <row r="670" spans="1:12" x14ac:dyDescent="0.55000000000000004">
      <c r="A670" s="1" t="s">
        <v>1671</v>
      </c>
      <c r="B670" s="2">
        <f>COUNTIF(A:A,A670)-1</f>
        <v>1</v>
      </c>
      <c r="C670" s="2">
        <f>COUNTIF(A$1:A670,A670)-1</f>
        <v>0</v>
      </c>
      <c r="D670" s="2" t="str">
        <f t="shared" si="10"/>
        <v/>
      </c>
      <c r="E670" s="2"/>
      <c r="F670" s="2"/>
      <c r="H670" s="2"/>
      <c r="J670" s="2"/>
      <c r="L670" s="2"/>
    </row>
    <row r="671" spans="1:12" x14ac:dyDescent="0.55000000000000004">
      <c r="A671" s="1" t="s">
        <v>1671</v>
      </c>
      <c r="B671" s="2">
        <f>COUNTIF(A:A,A671)-1</f>
        <v>1</v>
      </c>
      <c r="C671" s="2">
        <f>COUNTIF(A$1:A671,A671)-1</f>
        <v>1</v>
      </c>
      <c r="D671" s="2" t="str">
        <f t="shared" si="10"/>
        <v>v</v>
      </c>
      <c r="E671" s="2" t="e">
        <f>LENB(#REF!)</f>
        <v>#REF!</v>
      </c>
      <c r="F671" s="2">
        <f>LENB(+F671:G671)</f>
        <v>1</v>
      </c>
      <c r="H671" s="2">
        <f>LENB(H671:I671)</f>
        <v>1</v>
      </c>
      <c r="J671" s="2" t="e">
        <f>LENB(INDIRECT(J671:K671))</f>
        <v>#REF!</v>
      </c>
      <c r="L671" s="2">
        <f>TYPE(INDEX(,LENB(OFFSET(INDEX(1,),,))))</f>
        <v>64</v>
      </c>
    </row>
    <row r="672" spans="1:12" x14ac:dyDescent="0.55000000000000004">
      <c r="A672" s="1" t="s">
        <v>1672</v>
      </c>
      <c r="B672" s="2">
        <f>COUNTIF(A:A,A672)-1</f>
        <v>2</v>
      </c>
      <c r="C672" s="2">
        <f>COUNTIF(A$1:A672,A672)-1</f>
        <v>0</v>
      </c>
      <c r="D672" s="2" t="str">
        <f t="shared" si="10"/>
        <v/>
      </c>
      <c r="E672" s="2"/>
      <c r="F672" s="2"/>
      <c r="H672" s="2"/>
      <c r="J672" s="2"/>
      <c r="L672" s="2"/>
    </row>
    <row r="673" spans="1:12" x14ac:dyDescent="0.55000000000000004">
      <c r="A673" s="1" t="s">
        <v>1672</v>
      </c>
      <c r="B673" s="2">
        <f>COUNTIF(A:A,A673)-1</f>
        <v>2</v>
      </c>
      <c r="C673" s="2">
        <f>COUNTIF(A$1:A673,A673)-1</f>
        <v>1</v>
      </c>
      <c r="D673" s="2" t="str">
        <f t="shared" si="10"/>
        <v>v</v>
      </c>
      <c r="E673" s="2"/>
      <c r="F673" s="2" t="e">
        <f>ROUNDUP(+F673:G673,#REF!)</f>
        <v>#REF!</v>
      </c>
      <c r="H673" s="2" t="e">
        <f>ROUNDUP(H673:I673,#REF!)</f>
        <v>#REF!</v>
      </c>
      <c r="J673" s="2" t="e">
        <f>ROUNDUP(INDIRECT(J673:K673),#REF!)</f>
        <v>#REF!</v>
      </c>
      <c r="L673" s="2">
        <f>TYPE(INDEX(,ROUNDUP(OFFSET(INDEX(1,),,),#REF!)))</f>
        <v>64</v>
      </c>
    </row>
    <row r="674" spans="1:12" x14ac:dyDescent="0.55000000000000004">
      <c r="A674" s="1" t="s">
        <v>1672</v>
      </c>
      <c r="B674" s="2">
        <f>COUNTIF(A:A,A674)-1</f>
        <v>2</v>
      </c>
      <c r="C674" s="2">
        <f>COUNTIF(A$1:A674,A674)-1</f>
        <v>2</v>
      </c>
      <c r="D674" s="2" t="str">
        <f t="shared" si="10"/>
        <v>v</v>
      </c>
      <c r="E674" s="2" t="e">
        <f>ROUNDUP(#REF!,#REF!)</f>
        <v>#REF!</v>
      </c>
      <c r="F674" s="2" t="e">
        <f>ROUNDUP(#REF!,+F674:G674)</f>
        <v>#REF!</v>
      </c>
      <c r="H674" s="2" t="e">
        <f>ROUNDUP(#REF!,H674:I674)</f>
        <v>#REF!</v>
      </c>
      <c r="J674" s="2" t="e">
        <f>ROUNDUP(#REF!,INDIRECT(J674:K674))</f>
        <v>#REF!</v>
      </c>
      <c r="L674" s="2">
        <f>TYPE(INDEX(,ROUNDUP(#REF!,OFFSET(INDEX(1,),,))))</f>
        <v>64</v>
      </c>
    </row>
    <row r="675" spans="1:12" x14ac:dyDescent="0.55000000000000004">
      <c r="A675" s="1" t="s">
        <v>1673</v>
      </c>
      <c r="B675" s="2">
        <f>COUNTIF(A:A,A675)-1</f>
        <v>2</v>
      </c>
      <c r="C675" s="2">
        <f>COUNTIF(A$1:A675,A675)-1</f>
        <v>0</v>
      </c>
      <c r="D675" s="2" t="str">
        <f t="shared" si="10"/>
        <v/>
      </c>
      <c r="E675" s="2"/>
      <c r="F675" s="2"/>
      <c r="H675" s="2"/>
      <c r="J675" s="2"/>
      <c r="L675" s="2"/>
    </row>
    <row r="676" spans="1:12" x14ac:dyDescent="0.55000000000000004">
      <c r="A676" s="1" t="s">
        <v>1673</v>
      </c>
      <c r="B676" s="2">
        <f>COUNTIF(A:A,A676)-1</f>
        <v>2</v>
      </c>
      <c r="C676" s="2">
        <f>COUNTIF(A$1:A676,A676)-1</f>
        <v>1</v>
      </c>
      <c r="D676" s="2" t="str">
        <f t="shared" si="10"/>
        <v>v</v>
      </c>
      <c r="E676" s="2"/>
      <c r="F676" s="2" t="e">
        <f>ROUNDDOWN(+F676:G676,#REF!)</f>
        <v>#REF!</v>
      </c>
      <c r="H676" s="2" t="e">
        <f>ROUNDDOWN(H676:I676,#REF!)</f>
        <v>#REF!</v>
      </c>
      <c r="J676" s="2" t="e">
        <f>ROUNDDOWN(INDIRECT(J676:K676),#REF!)</f>
        <v>#REF!</v>
      </c>
      <c r="L676" s="2">
        <f>TYPE(INDEX(,ROUNDDOWN(OFFSET(INDEX(1,),,),#REF!)))</f>
        <v>64</v>
      </c>
    </row>
    <row r="677" spans="1:12" x14ac:dyDescent="0.55000000000000004">
      <c r="A677" s="1" t="s">
        <v>1673</v>
      </c>
      <c r="B677" s="2">
        <f>COUNTIF(A:A,A677)-1</f>
        <v>2</v>
      </c>
      <c r="C677" s="2">
        <f>COUNTIF(A$1:A677,A677)-1</f>
        <v>2</v>
      </c>
      <c r="D677" s="2" t="str">
        <f t="shared" si="10"/>
        <v>v</v>
      </c>
      <c r="E677" s="2" t="e">
        <f>ROUNDDOWN(#REF!,#REF!)</f>
        <v>#REF!</v>
      </c>
      <c r="F677" s="2" t="e">
        <f>ROUNDDOWN(#REF!,+F677:G677)</f>
        <v>#REF!</v>
      </c>
      <c r="H677" s="2" t="e">
        <f>ROUNDDOWN(#REF!,H677:I677)</f>
        <v>#REF!</v>
      </c>
      <c r="J677" s="2" t="e">
        <f>ROUNDDOWN(#REF!,INDIRECT(J677:K677))</f>
        <v>#REF!</v>
      </c>
      <c r="L677" s="2">
        <f>TYPE(INDEX(,ROUNDDOWN(#REF!,OFFSET(INDEX(1,),,))))</f>
        <v>64</v>
      </c>
    </row>
    <row r="678" spans="1:12" x14ac:dyDescent="0.55000000000000004">
      <c r="A678" s="1" t="s">
        <v>1674</v>
      </c>
      <c r="B678" s="2">
        <f>COUNTIF(A:A,A678)-1</f>
        <v>1</v>
      </c>
      <c r="C678" s="2">
        <f>COUNTIF(A$1:A678,A678)-1</f>
        <v>0</v>
      </c>
      <c r="D678" s="2" t="str">
        <f t="shared" si="10"/>
        <v/>
      </c>
      <c r="E678" s="2"/>
      <c r="F678" s="2"/>
      <c r="H678" s="2"/>
      <c r="J678" s="2"/>
      <c r="L678" s="2"/>
    </row>
    <row r="679" spans="1:12" x14ac:dyDescent="0.55000000000000004">
      <c r="A679" s="1" t="s">
        <v>1674</v>
      </c>
      <c r="B679" s="2">
        <f>COUNTIF(A:A,A679)-1</f>
        <v>1</v>
      </c>
      <c r="C679" s="2">
        <f>COUNTIF(A$1:A679,A679)-1</f>
        <v>1</v>
      </c>
      <c r="D679" s="2" t="str">
        <f t="shared" si="10"/>
        <v>v</v>
      </c>
      <c r="E679" s="2" t="e">
        <f>ASC(#REF!)</f>
        <v>#REF!</v>
      </c>
      <c r="F679" s="2" t="str">
        <f>ASC(+F679:G679)</f>
        <v>0</v>
      </c>
      <c r="H679" s="2" t="str">
        <f>ASC(H679:I679)</f>
        <v>0</v>
      </c>
      <c r="J679" s="2" t="e">
        <f>ASC(INDIRECT(J679:K679))</f>
        <v>#REF!</v>
      </c>
      <c r="L679" s="2">
        <f>TYPE(INDEX(,ASC(OFFSET(INDEX(1,),,))))</f>
        <v>64</v>
      </c>
    </row>
    <row r="680" spans="1:12" x14ac:dyDescent="0.55000000000000004">
      <c r="A680" s="1" t="s">
        <v>1675</v>
      </c>
      <c r="B680" s="2">
        <f>COUNTIF(A:A,A680)-1</f>
        <v>1</v>
      </c>
      <c r="C680" s="2">
        <f>COUNTIF(A$1:A680,A680)-1</f>
        <v>0</v>
      </c>
      <c r="D680" s="2" t="str">
        <f t="shared" si="10"/>
        <v/>
      </c>
      <c r="E680" s="2"/>
      <c r="F680" s="2"/>
      <c r="H680" s="2"/>
      <c r="J680" s="2"/>
      <c r="L680" s="2"/>
    </row>
    <row r="681" spans="1:12" x14ac:dyDescent="0.55000000000000004">
      <c r="A681" s="1" t="s">
        <v>1675</v>
      </c>
      <c r="B681" s="2">
        <f>COUNTIF(A:A,A681)-1</f>
        <v>1</v>
      </c>
      <c r="C681" s="2">
        <f>COUNTIF(A$1:A681,A681)-1</f>
        <v>1</v>
      </c>
      <c r="D681" s="2" t="str">
        <f t="shared" si="10"/>
        <v>v</v>
      </c>
      <c r="E681" s="2" t="e">
        <f>DBCS(#REF!)</f>
        <v>#REF!</v>
      </c>
      <c r="F681" s="2" t="str">
        <f>DBCS(+F681:G681)</f>
        <v>0</v>
      </c>
      <c r="H681" s="2" t="str">
        <f>DBCS(H681:I681)</f>
        <v>0</v>
      </c>
      <c r="J681" s="2" t="e">
        <f>DBCS(INDIRECT(J681:K681))</f>
        <v>#REF!</v>
      </c>
      <c r="L681" s="2">
        <f>TYPE(INDEX(,DBCS(OFFSET(INDEX(1,),,))))</f>
        <v>64</v>
      </c>
    </row>
    <row r="682" spans="1:12" x14ac:dyDescent="0.55000000000000004">
      <c r="A682" s="1" t="s">
        <v>1676</v>
      </c>
      <c r="B682" s="2">
        <f>COUNTIF(A:A,A682)-1</f>
        <v>3</v>
      </c>
      <c r="C682" s="2">
        <f>COUNTIF(A$1:A682,A682)-1</f>
        <v>0</v>
      </c>
      <c r="D682" s="2" t="str">
        <f t="shared" si="10"/>
        <v/>
      </c>
      <c r="E682" s="2"/>
      <c r="F682" s="2"/>
      <c r="H682" s="2"/>
      <c r="J682" s="2"/>
      <c r="L682" s="2"/>
    </row>
    <row r="683" spans="1:12" x14ac:dyDescent="0.55000000000000004">
      <c r="A683" s="1" t="s">
        <v>1676</v>
      </c>
      <c r="B683" s="2">
        <f>COUNTIF(A:A,A683)-1</f>
        <v>3</v>
      </c>
      <c r="C683" s="2">
        <f>COUNTIF(A$1:A683,A683)-1</f>
        <v>1</v>
      </c>
      <c r="D683" s="2" t="str">
        <f t="shared" si="10"/>
        <v>v</v>
      </c>
      <c r="E683" s="2"/>
      <c r="F683" s="2" t="e">
        <f>RANK(+F683:G683,#REF!,#REF!)</f>
        <v>#REF!</v>
      </c>
      <c r="H683" s="2" t="e">
        <f>RANK(H683:I683,#REF!,#REF!)</f>
        <v>#REF!</v>
      </c>
      <c r="J683" s="2" t="e">
        <f>RANK(INDIRECT(J683:K683),#REF!,#REF!)</f>
        <v>#REF!</v>
      </c>
      <c r="L683" s="2">
        <f>TYPE(INDEX(,RANK(OFFSET(INDEX(1,),,),#REF!,#REF!)))</f>
        <v>64</v>
      </c>
    </row>
    <row r="684" spans="1:12" x14ac:dyDescent="0.55000000000000004">
      <c r="A684" s="1" t="s">
        <v>1676</v>
      </c>
      <c r="B684" s="2">
        <f>COUNTIF(A:A,A684)-1</f>
        <v>3</v>
      </c>
      <c r="C684" s="2">
        <f>COUNTIF(A$1:A684,A684)-1</f>
        <v>2</v>
      </c>
      <c r="D684" s="2" t="str">
        <f t="shared" si="10"/>
        <v>r</v>
      </c>
      <c r="E684" s="2" t="e">
        <f>RANK(#REF!,#REF!)</f>
        <v>#REF!</v>
      </c>
      <c r="F684" s="2"/>
      <c r="H684" s="2" t="e">
        <f>RANK(#REF!,H684:I684,#REF!)</f>
        <v>#REF!</v>
      </c>
      <c r="I684" s="1">
        <v>1</v>
      </c>
      <c r="J684" s="2" t="e">
        <f>RANK(#REF!,INDIRECT(J684:K684),#REF!)</f>
        <v>#REF!</v>
      </c>
      <c r="L684" s="2">
        <f>TYPE(INDEX(,RANK(#REF!,OFFSET(INDEX(1,),,),#REF!)))</f>
        <v>64</v>
      </c>
    </row>
    <row r="685" spans="1:12" x14ac:dyDescent="0.55000000000000004">
      <c r="A685" s="1" t="s">
        <v>1676</v>
      </c>
      <c r="B685" s="2">
        <f>COUNTIF(A:A,A685)-1</f>
        <v>3</v>
      </c>
      <c r="C685" s="2">
        <f>COUNTIF(A$1:A685,A685)-1</f>
        <v>3</v>
      </c>
      <c r="D685" s="2" t="str">
        <f t="shared" si="10"/>
        <v>v</v>
      </c>
      <c r="E685" s="2" t="e">
        <f>RANK(#REF!,#REF!,#REF!)</f>
        <v>#REF!</v>
      </c>
      <c r="F685" s="2" t="e">
        <f>RANK(#REF!,#REF!,+F685:G685)</f>
        <v>#REF!</v>
      </c>
      <c r="H685" s="2" t="e">
        <f>RANK(#REF!,#REF!,H685:I685)</f>
        <v>#REF!</v>
      </c>
      <c r="J685" s="2" t="e">
        <f>RANK(#REF!,#REF!,INDIRECT(J685:K685))</f>
        <v>#REF!</v>
      </c>
      <c r="L685" s="2">
        <f>TYPE(INDEX(,RANK(#REF!,#REF!,OFFSET(INDEX(1,),,))))</f>
        <v>64</v>
      </c>
    </row>
    <row r="686" spans="1:12" x14ac:dyDescent="0.55000000000000004">
      <c r="A686" s="1" t="s">
        <v>1677</v>
      </c>
      <c r="B686" s="2">
        <f>COUNTIF(A:A,A686)-1</f>
        <v>5</v>
      </c>
      <c r="C686" s="2">
        <f>COUNTIF(A$1:A686,A686)-1</f>
        <v>0</v>
      </c>
      <c r="D686" s="2" t="str">
        <f t="shared" si="10"/>
        <v/>
      </c>
      <c r="E686" s="2"/>
      <c r="F686" s="2"/>
      <c r="H686" s="2"/>
      <c r="J686" s="2"/>
      <c r="L686" s="2"/>
    </row>
    <row r="687" spans="1:12" x14ac:dyDescent="0.55000000000000004">
      <c r="A687" s="1" t="s">
        <v>1677</v>
      </c>
      <c r="B687" s="2">
        <f>COUNTIF(A:A,A687)-1</f>
        <v>5</v>
      </c>
      <c r="C687" s="2">
        <f>COUNTIF(A$1:A687,A687)-1</f>
        <v>1</v>
      </c>
      <c r="D687" s="2" t="str">
        <f t="shared" si="10"/>
        <v>v</v>
      </c>
      <c r="E687" s="2"/>
      <c r="F687" s="2" t="e">
        <f>ADDRESS(+F687:G687,#REF!,#REF!,#REF!,#REF!)</f>
        <v>#REF!</v>
      </c>
      <c r="H687" s="2" t="e">
        <f>ADDRESS(H687:I687,#REF!,#REF!,#REF!,#REF!)</f>
        <v>#REF!</v>
      </c>
      <c r="J687" s="2" t="e">
        <f>ADDRESS(INDIRECT(J687:K687),#REF!,#REF!,#REF!,#REF!)</f>
        <v>#REF!</v>
      </c>
      <c r="L687" s="2">
        <f>TYPE(INDEX(,ADDRESS(OFFSET(INDEX(1,),,),#REF!,#REF!,#REF!,#REF!)))</f>
        <v>64</v>
      </c>
    </row>
    <row r="688" spans="1:12" x14ac:dyDescent="0.55000000000000004">
      <c r="A688" s="1" t="s">
        <v>1677</v>
      </c>
      <c r="B688" s="2">
        <f>COUNTIF(A:A,A688)-1</f>
        <v>5</v>
      </c>
      <c r="C688" s="2">
        <f>COUNTIF(A$1:A688,A688)-1</f>
        <v>2</v>
      </c>
      <c r="D688" s="2" t="str">
        <f t="shared" si="10"/>
        <v>v</v>
      </c>
      <c r="E688" s="2" t="e">
        <f>ADDRESS(#REF!,#REF!)</f>
        <v>#REF!</v>
      </c>
      <c r="F688" s="2" t="e">
        <f>ADDRESS(#REF!,+F688:G688,#REF!,#REF!,#REF!)</f>
        <v>#REF!</v>
      </c>
      <c r="H688" s="2" t="e">
        <f>ADDRESS(#REF!,H688:I688,#REF!,#REF!,#REF!)</f>
        <v>#REF!</v>
      </c>
      <c r="J688" s="2" t="e">
        <f>ADDRESS(#REF!,INDIRECT(J688:K688),#REF!,#REF!,#REF!)</f>
        <v>#REF!</v>
      </c>
      <c r="L688" s="2">
        <f>TYPE(INDEX(,ADDRESS(#REF!,OFFSET(INDEX(1,),,),#REF!,#REF!,#REF!)))</f>
        <v>64</v>
      </c>
    </row>
    <row r="689" spans="1:12" x14ac:dyDescent="0.55000000000000004">
      <c r="A689" s="1" t="s">
        <v>1677</v>
      </c>
      <c r="B689" s="2">
        <f>COUNTIF(A:A,A689)-1</f>
        <v>5</v>
      </c>
      <c r="C689" s="2">
        <f>COUNTIF(A$1:A689,A689)-1</f>
        <v>3</v>
      </c>
      <c r="D689" s="2" t="str">
        <f t="shared" si="10"/>
        <v>v</v>
      </c>
      <c r="E689" s="2" t="e">
        <f>ADDRESS(#REF!,#REF!,#REF!)</f>
        <v>#REF!</v>
      </c>
      <c r="F689" s="2" t="e">
        <f>ADDRESS(#REF!,#REF!,+F689:G689,#REF!,#REF!)</f>
        <v>#REF!</v>
      </c>
      <c r="H689" s="2" t="e">
        <f>ADDRESS(#REF!,#REF!,H689:I689,#REF!,#REF!)</f>
        <v>#REF!</v>
      </c>
      <c r="J689" s="2" t="e">
        <f>ADDRESS(#REF!,#REF!,INDIRECT(J689:K689),#REF!,#REF!)</f>
        <v>#REF!</v>
      </c>
      <c r="L689" s="2">
        <f>TYPE(INDEX(,ADDRESS(#REF!,#REF!,OFFSET(INDEX(1,),,),#REF!,#REF!)))</f>
        <v>64</v>
      </c>
    </row>
    <row r="690" spans="1:12" x14ac:dyDescent="0.55000000000000004">
      <c r="A690" s="1" t="s">
        <v>1677</v>
      </c>
      <c r="B690" s="2">
        <f>COUNTIF(A:A,A690)-1</f>
        <v>5</v>
      </c>
      <c r="C690" s="2">
        <f>COUNTIF(A$1:A690,A690)-1</f>
        <v>4</v>
      </c>
      <c r="D690" s="2" t="str">
        <f t="shared" si="10"/>
        <v>v</v>
      </c>
      <c r="E690" s="2" t="e">
        <f>ADDRESS(#REF!,#REF!,#REF!,#REF!)</f>
        <v>#REF!</v>
      </c>
      <c r="F690" s="2" t="e">
        <f>ADDRESS(#REF!,#REF!,#REF!,+F690:G690,#REF!)</f>
        <v>#REF!</v>
      </c>
      <c r="H690" s="2" t="e">
        <f>ADDRESS(#REF!,#REF!,#REF!,H690:I690,#REF!)</f>
        <v>#REF!</v>
      </c>
      <c r="J690" s="2" t="e">
        <f>ADDRESS(#REF!,#REF!,#REF!,INDIRECT(J690:K690),#REF!)</f>
        <v>#REF!</v>
      </c>
      <c r="L690" s="2">
        <f>TYPE(INDEX(,ADDRESS(#REF!,#REF!,#REF!,OFFSET(INDEX(1,),,),#REF!)))</f>
        <v>64</v>
      </c>
    </row>
    <row r="691" spans="1:12" x14ac:dyDescent="0.55000000000000004">
      <c r="A691" s="1" t="s">
        <v>1677</v>
      </c>
      <c r="B691" s="2">
        <f>COUNTIF(A:A,A691)-1</f>
        <v>5</v>
      </c>
      <c r="C691" s="2">
        <f>COUNTIF(A$1:A691,A691)-1</f>
        <v>5</v>
      </c>
      <c r="D691" s="2" t="str">
        <f t="shared" si="10"/>
        <v>v</v>
      </c>
      <c r="E691" s="2" t="e">
        <f>ADDRESS(#REF!,#REF!,#REF!,#REF!,#REF!)</f>
        <v>#REF!</v>
      </c>
      <c r="F691" s="2" t="e">
        <f>ADDRESS(#REF!,#REF!,#REF!,#REF!,+F691:G691)</f>
        <v>#REF!</v>
      </c>
      <c r="H691" s="2" t="e">
        <f>ADDRESS(#REF!,#REF!,#REF!,#REF!,H691:I691)</f>
        <v>#REF!</v>
      </c>
      <c r="J691" s="2" t="e">
        <f>ADDRESS(#REF!,#REF!,#REF!,#REF!,INDIRECT(J691:K691))</f>
        <v>#REF!</v>
      </c>
      <c r="L691" s="2">
        <f>TYPE(INDEX(,ADDRESS(#REF!,#REF!,#REF!,#REF!,OFFSET(INDEX(1,),,))))</f>
        <v>64</v>
      </c>
    </row>
    <row r="692" spans="1:12" x14ac:dyDescent="0.55000000000000004">
      <c r="A692" s="1" t="s">
        <v>1678</v>
      </c>
      <c r="B692" s="2">
        <f>COUNTIF(A:A,A692)-1</f>
        <v>3</v>
      </c>
      <c r="C692" s="2">
        <f>COUNTIF(A$1:A692,A692)-1</f>
        <v>0</v>
      </c>
      <c r="D692" s="2" t="str">
        <f t="shared" si="10"/>
        <v/>
      </c>
      <c r="E692" s="2"/>
      <c r="F692" s="2"/>
      <c r="H692" s="2"/>
      <c r="J692" s="2"/>
      <c r="L692" s="2"/>
    </row>
    <row r="693" spans="1:12" x14ac:dyDescent="0.55000000000000004">
      <c r="A693" s="1" t="s">
        <v>1678</v>
      </c>
      <c r="B693" s="2">
        <f>COUNTIF(A:A,A693)-1</f>
        <v>3</v>
      </c>
      <c r="C693" s="2">
        <f>COUNTIF(A$1:A693,A693)-1</f>
        <v>1</v>
      </c>
      <c r="D693" s="2" t="str">
        <f t="shared" si="10"/>
        <v>v</v>
      </c>
      <c r="E693" s="2"/>
      <c r="F693" s="2" t="e">
        <f>DAYS360(+F693:G693,#REF!,#REF!)</f>
        <v>#REF!</v>
      </c>
      <c r="H693" s="2" t="e">
        <f>DAYS360(H693:I693,#REF!,#REF!)</f>
        <v>#REF!</v>
      </c>
      <c r="J693" s="2" t="e">
        <f>DAYS360(INDIRECT(J693:K693),#REF!,#REF!)</f>
        <v>#REF!</v>
      </c>
      <c r="L693" s="2">
        <f>TYPE(INDEX(,DAYS360(OFFSET(INDEX(1,),,),#REF!,#REF!)))</f>
        <v>64</v>
      </c>
    </row>
    <row r="694" spans="1:12" x14ac:dyDescent="0.55000000000000004">
      <c r="A694" s="1" t="s">
        <v>1678</v>
      </c>
      <c r="B694" s="2">
        <f>COUNTIF(A:A,A694)-1</f>
        <v>3</v>
      </c>
      <c r="C694" s="2">
        <f>COUNTIF(A$1:A694,A694)-1</f>
        <v>2</v>
      </c>
      <c r="D694" s="2" t="str">
        <f t="shared" si="10"/>
        <v>v</v>
      </c>
      <c r="E694" s="2" t="e">
        <f>DAYS360(#REF!,#REF!)</f>
        <v>#REF!</v>
      </c>
      <c r="F694" s="2" t="e">
        <f>DAYS360(#REF!,+F694:G694,#REF!)</f>
        <v>#REF!</v>
      </c>
      <c r="H694" s="2" t="e">
        <f>DAYS360(#REF!,H694:I694,#REF!)</f>
        <v>#REF!</v>
      </c>
      <c r="J694" s="2" t="e">
        <f>DAYS360(#REF!,INDIRECT(J694:K694),#REF!)</f>
        <v>#REF!</v>
      </c>
      <c r="L694" s="2">
        <f>TYPE(INDEX(,DAYS360(#REF!,OFFSET(INDEX(1,),,),#REF!)))</f>
        <v>64</v>
      </c>
    </row>
    <row r="695" spans="1:12" x14ac:dyDescent="0.55000000000000004">
      <c r="A695" s="1" t="s">
        <v>1678</v>
      </c>
      <c r="B695" s="2">
        <f>COUNTIF(A:A,A695)-1</f>
        <v>3</v>
      </c>
      <c r="C695" s="2">
        <f>COUNTIF(A$1:A695,A695)-1</f>
        <v>3</v>
      </c>
      <c r="D695" s="2" t="str">
        <f t="shared" si="10"/>
        <v>v</v>
      </c>
      <c r="E695" s="2" t="e">
        <f>DAYS360(#REF!,#REF!,#REF!)</f>
        <v>#REF!</v>
      </c>
      <c r="F695" s="2" t="e">
        <f>DAYS360(#REF!,#REF!,+F695:G695)</f>
        <v>#REF!</v>
      </c>
      <c r="H695" s="2" t="e">
        <f>DAYS360(#REF!,#REF!,H695:I695)</f>
        <v>#REF!</v>
      </c>
      <c r="J695" s="2" t="e">
        <f>DAYS360(#REF!,#REF!,INDIRECT(J695:K695))</f>
        <v>#REF!</v>
      </c>
      <c r="L695" s="2">
        <f>TYPE(INDEX(,DAYS360(#REF!,#REF!,OFFSET(INDEX(1,),,))))</f>
        <v>64</v>
      </c>
    </row>
    <row r="696" spans="1:12" x14ac:dyDescent="0.55000000000000004">
      <c r="A696" s="1" t="s">
        <v>1482</v>
      </c>
      <c r="B696" s="2">
        <f>COUNTIF(A:A,A696)-1</f>
        <v>0</v>
      </c>
      <c r="C696" s="2">
        <f>COUNTIF(A$1:A696,A696)-1</f>
        <v>0</v>
      </c>
      <c r="D696" s="2" t="str">
        <f t="shared" si="10"/>
        <v/>
      </c>
      <c r="E696" s="2">
        <f>TODAY()</f>
        <v>42805</v>
      </c>
      <c r="F696" s="2"/>
      <c r="H696" s="2"/>
      <c r="J696" s="2"/>
      <c r="L696" s="2"/>
    </row>
    <row r="697" spans="1:12" x14ac:dyDescent="0.55000000000000004">
      <c r="A697" s="1" t="s">
        <v>1679</v>
      </c>
      <c r="B697" s="2">
        <f>COUNTIF(A:A,A697)-1</f>
        <v>7</v>
      </c>
      <c r="C697" s="2">
        <f>COUNTIF(A$1:A697,A697)-1</f>
        <v>0</v>
      </c>
      <c r="D697" s="2" t="str">
        <f t="shared" si="10"/>
        <v/>
      </c>
      <c r="E697" s="2"/>
      <c r="F697" s="2"/>
      <c r="H697" s="2"/>
      <c r="J697" s="2"/>
      <c r="L697" s="2"/>
    </row>
    <row r="698" spans="1:12" x14ac:dyDescent="0.55000000000000004">
      <c r="A698" s="1" t="s">
        <v>1679</v>
      </c>
      <c r="B698" s="2">
        <f>COUNTIF(A:A,A698)-1</f>
        <v>7</v>
      </c>
      <c r="C698" s="2">
        <f>COUNTIF(A$1:A698,A698)-1</f>
        <v>1</v>
      </c>
      <c r="D698" s="2" t="str">
        <f t="shared" si="10"/>
        <v>v</v>
      </c>
      <c r="E698" s="2"/>
      <c r="F698" s="2" t="e">
        <f>VDB(+F698:G698,#REF!,#REF!,#REF!,#REF!,#REF!,#REF!)</f>
        <v>#REF!</v>
      </c>
      <c r="H698" s="2" t="e">
        <f>VDB(H698:I698,#REF!,#REF!,#REF!,#REF!,#REF!,#REF!)</f>
        <v>#REF!</v>
      </c>
      <c r="J698" s="2" t="e">
        <f>VDB(INDIRECT(J698:K698),#REF!,#REF!,#REF!,#REF!,#REF!,#REF!)</f>
        <v>#REF!</v>
      </c>
      <c r="L698" s="2">
        <f>TYPE(INDEX(,VDB(OFFSET(INDEX(1,),,),#REF!,#REF!,#REF!,#REF!,#REF!,#REF!)))</f>
        <v>64</v>
      </c>
    </row>
    <row r="699" spans="1:12" x14ac:dyDescent="0.55000000000000004">
      <c r="A699" s="1" t="s">
        <v>1679</v>
      </c>
      <c r="B699" s="2">
        <f>COUNTIF(A:A,A699)-1</f>
        <v>7</v>
      </c>
      <c r="C699" s="2">
        <f>COUNTIF(A$1:A699,A699)-1</f>
        <v>2</v>
      </c>
      <c r="D699" s="2" t="str">
        <f t="shared" si="10"/>
        <v>v</v>
      </c>
      <c r="E699" s="2"/>
      <c r="F699" s="2" t="e">
        <f>VDB(#REF!,+F699:G699,#REF!,#REF!,#REF!,#REF!,#REF!)</f>
        <v>#REF!</v>
      </c>
      <c r="H699" s="2" t="e">
        <f>VDB(#REF!,H699:I699,#REF!,#REF!,#REF!,#REF!,#REF!)</f>
        <v>#REF!</v>
      </c>
      <c r="J699" s="2" t="e">
        <f>VDB(#REF!,INDIRECT(J699:K699),#REF!,#REF!,#REF!,#REF!,#REF!)</f>
        <v>#REF!</v>
      </c>
      <c r="L699" s="2">
        <f>TYPE(INDEX(,VDB(#REF!,OFFSET(INDEX(1,),,),#REF!,#REF!,#REF!,#REF!,#REF!)))</f>
        <v>64</v>
      </c>
    </row>
    <row r="700" spans="1:12" x14ac:dyDescent="0.55000000000000004">
      <c r="A700" s="1" t="s">
        <v>1679</v>
      </c>
      <c r="B700" s="2">
        <f>COUNTIF(A:A,A700)-1</f>
        <v>7</v>
      </c>
      <c r="C700" s="2">
        <f>COUNTIF(A$1:A700,A700)-1</f>
        <v>3</v>
      </c>
      <c r="D700" s="2" t="str">
        <f t="shared" si="10"/>
        <v>v</v>
      </c>
      <c r="E700" s="2"/>
      <c r="F700" s="2" t="e">
        <f>VDB(#REF!,#REF!,+F700:G700,#REF!,#REF!,#REF!,#REF!)</f>
        <v>#REF!</v>
      </c>
      <c r="H700" s="2" t="e">
        <f>VDB(#REF!,#REF!,H700:I700,#REF!,#REF!,#REF!,#REF!)</f>
        <v>#REF!</v>
      </c>
      <c r="J700" s="2" t="e">
        <f>VDB(#REF!,#REF!,INDIRECT(J700:K700),#REF!,#REF!,#REF!,#REF!)</f>
        <v>#REF!</v>
      </c>
      <c r="L700" s="2">
        <f>TYPE(INDEX(,VDB(#REF!,#REF!,OFFSET(INDEX(1,),,),#REF!,#REF!,#REF!,#REF!)))</f>
        <v>64</v>
      </c>
    </row>
    <row r="701" spans="1:12" x14ac:dyDescent="0.55000000000000004">
      <c r="A701" s="1" t="s">
        <v>1679</v>
      </c>
      <c r="B701" s="2">
        <f>COUNTIF(A:A,A701)-1</f>
        <v>7</v>
      </c>
      <c r="C701" s="2">
        <f>COUNTIF(A$1:A701,A701)-1</f>
        <v>4</v>
      </c>
      <c r="D701" s="2" t="str">
        <f t="shared" si="10"/>
        <v>v</v>
      </c>
      <c r="E701" s="2"/>
      <c r="F701" s="2" t="e">
        <f>VDB(#REF!,#REF!,#REF!,+F701:G701,#REF!,#REF!,#REF!)</f>
        <v>#REF!</v>
      </c>
      <c r="H701" s="2" t="e">
        <f>VDB(#REF!,#REF!,#REF!,H701:I701,#REF!,#REF!,#REF!)</f>
        <v>#REF!</v>
      </c>
      <c r="J701" s="2" t="e">
        <f>VDB(#REF!,#REF!,#REF!,INDIRECT(J701:K701),#REF!,#REF!,#REF!)</f>
        <v>#REF!</v>
      </c>
      <c r="L701" s="2">
        <f>TYPE(INDEX(,VDB(#REF!,#REF!,#REF!,OFFSET(INDEX(1,),,),#REF!,#REF!,#REF!)))</f>
        <v>64</v>
      </c>
    </row>
    <row r="702" spans="1:12" x14ac:dyDescent="0.55000000000000004">
      <c r="A702" s="1" t="s">
        <v>1679</v>
      </c>
      <c r="B702" s="2">
        <f>COUNTIF(A:A,A702)-1</f>
        <v>7</v>
      </c>
      <c r="C702" s="2">
        <f>COUNTIF(A$1:A702,A702)-1</f>
        <v>5</v>
      </c>
      <c r="D702" s="2" t="str">
        <f t="shared" si="10"/>
        <v>v</v>
      </c>
      <c r="E702" s="2" t="e">
        <f>VDB(#REF!,#REF!,#REF!,#REF!,#REF!)</f>
        <v>#REF!</v>
      </c>
      <c r="F702" s="2" t="e">
        <f>VDB(#REF!,#REF!,#REF!,#REF!,+F702:G702,#REF!,#REF!)</f>
        <v>#REF!</v>
      </c>
      <c r="H702" s="2" t="e">
        <f>VDB(#REF!,#REF!,#REF!,#REF!,H702:I702,#REF!,#REF!)</f>
        <v>#REF!</v>
      </c>
      <c r="J702" s="2" t="e">
        <f>VDB(#REF!,#REF!,#REF!,#REF!,INDIRECT(J702:K702),#REF!,#REF!)</f>
        <v>#REF!</v>
      </c>
      <c r="L702" s="2">
        <f>TYPE(INDEX(,VDB(#REF!,#REF!,#REF!,#REF!,OFFSET(INDEX(1,),,),#REF!,#REF!)))</f>
        <v>64</v>
      </c>
    </row>
    <row r="703" spans="1:12" x14ac:dyDescent="0.55000000000000004">
      <c r="A703" s="1" t="s">
        <v>1679</v>
      </c>
      <c r="B703" s="2">
        <f>COUNTIF(A:A,A703)-1</f>
        <v>7</v>
      </c>
      <c r="C703" s="2">
        <f>COUNTIF(A$1:A703,A703)-1</f>
        <v>6</v>
      </c>
      <c r="D703" s="2" t="str">
        <f t="shared" si="10"/>
        <v>v</v>
      </c>
      <c r="E703" s="2" t="e">
        <f>VDB(#REF!,#REF!,#REF!,#REF!,#REF!,#REF!)</f>
        <v>#REF!</v>
      </c>
      <c r="F703" s="2" t="e">
        <f>VDB(#REF!,#REF!,#REF!,#REF!,#REF!,+F703:G703,#REF!)</f>
        <v>#REF!</v>
      </c>
      <c r="H703" s="2" t="e">
        <f>VDB(#REF!,#REF!,#REF!,#REF!,#REF!,H703:I703,#REF!)</f>
        <v>#REF!</v>
      </c>
      <c r="J703" s="2" t="e">
        <f>VDB(#REF!,#REF!,#REF!,#REF!,#REF!,INDIRECT(J703:K703),#REF!)</f>
        <v>#REF!</v>
      </c>
      <c r="L703" s="2">
        <f>TYPE(INDEX(,VDB(#REF!,#REF!,#REF!,#REF!,#REF!,OFFSET(INDEX(1,),,),#REF!)))</f>
        <v>64</v>
      </c>
    </row>
    <row r="704" spans="1:12" x14ac:dyDescent="0.55000000000000004">
      <c r="A704" s="1" t="s">
        <v>1679</v>
      </c>
      <c r="B704" s="2">
        <f>COUNTIF(A:A,A704)-1</f>
        <v>7</v>
      </c>
      <c r="C704" s="2">
        <f>COUNTIF(A$1:A704,A704)-1</f>
        <v>7</v>
      </c>
      <c r="D704" s="2" t="str">
        <f t="shared" si="10"/>
        <v>v</v>
      </c>
      <c r="E704" s="2" t="e">
        <f>VDB(#REF!,#REF!,#REF!,#REF!,#REF!,#REF!,#REF!)</f>
        <v>#REF!</v>
      </c>
      <c r="F704" s="2" t="e">
        <f>VDB(#REF!,#REF!,#REF!,#REF!,#REF!,#REF!,+F704:G704)</f>
        <v>#REF!</v>
      </c>
      <c r="H704" s="2" t="e">
        <f>VDB(#REF!,#REF!,#REF!,#REF!,#REF!,#REF!,H704:I704)</f>
        <v>#REF!</v>
      </c>
      <c r="J704" s="2" t="e">
        <f>VDB(#REF!,#REF!,#REF!,#REF!,#REF!,#REF!,INDIRECT(J704:K704))</f>
        <v>#REF!</v>
      </c>
      <c r="L704" s="2">
        <f>TYPE(INDEX(,VDB(#REF!,#REF!,#REF!,#REF!,#REF!,#REF!,OFFSET(INDEX(1,),,))))</f>
        <v>64</v>
      </c>
    </row>
    <row r="705" spans="1:12" x14ac:dyDescent="0.55000000000000004">
      <c r="A705" s="1" t="s">
        <v>2051</v>
      </c>
      <c r="B705" s="2">
        <f>COUNTIF(A:A,A705)-1</f>
        <v>0</v>
      </c>
      <c r="C705" s="2">
        <f>COUNTIF(A$1:A705,A705)-1</f>
        <v>0</v>
      </c>
      <c r="D705" s="2" t="str">
        <f t="shared" si="10"/>
        <v/>
      </c>
      <c r="E705" s="2" t="b">
        <f>ELSE()</f>
        <v>0</v>
      </c>
      <c r="F705" s="2"/>
      <c r="H705" s="2"/>
      <c r="J705" s="2"/>
      <c r="L705" s="2"/>
    </row>
    <row r="706" spans="1:12" x14ac:dyDescent="0.55000000000000004">
      <c r="A706" s="1" t="s">
        <v>2052</v>
      </c>
      <c r="B706" s="2">
        <f>COUNTIF(A:A,A706)-1</f>
        <v>1</v>
      </c>
      <c r="C706" s="2">
        <f>COUNTIF(A$1:A706,A706)-1</f>
        <v>0</v>
      </c>
      <c r="D706" s="2" t="str">
        <f t="shared" ref="D706:D769" si="11">IF(C706&gt;0,IF(COUNTA(F706:G706)=1,"v",)&amp;IF(L706=64,,"a")&amp;IF(COUNTA(I706,K706)=1,"r",),"")</f>
        <v/>
      </c>
      <c r="E706" s="2"/>
      <c r="F706" s="2"/>
      <c r="H706" s="2"/>
      <c r="J706" s="2"/>
      <c r="L706" s="2"/>
    </row>
    <row r="707" spans="1:12" x14ac:dyDescent="0.55000000000000004">
      <c r="A707" s="1" t="s">
        <v>2052</v>
      </c>
      <c r="B707" s="2">
        <f>COUNTIF(A:A,A707)-1</f>
        <v>1</v>
      </c>
      <c r="C707" s="2">
        <f>COUNTIF(A$1:A707,A707)-1</f>
        <v>1</v>
      </c>
      <c r="D707" s="2" t="str">
        <f t="shared" si="11"/>
        <v>v</v>
      </c>
      <c r="E707" s="2" t="b">
        <f>ELSE.IF(#REF!)</f>
        <v>0</v>
      </c>
      <c r="F707" s="2" t="b">
        <f>ELSE.IF(+F707:G707)</f>
        <v>0</v>
      </c>
      <c r="H707" s="2" t="b">
        <f>ELSE.IF(H707:I707)</f>
        <v>0</v>
      </c>
      <c r="J707" s="2" t="b">
        <f>ELSE.IF(INDIRECT(J707:K707))</f>
        <v>0</v>
      </c>
      <c r="L707" s="2">
        <f>TYPE(INDEX(,ELSE.IF(OFFSET(INDEX(1,),,))))</f>
        <v>64</v>
      </c>
    </row>
    <row r="708" spans="1:12" x14ac:dyDescent="0.55000000000000004">
      <c r="A708" s="1" t="s">
        <v>2053</v>
      </c>
      <c r="B708" s="2">
        <f>COUNTIF(A:A,A708)-1</f>
        <v>0</v>
      </c>
      <c r="C708" s="2">
        <f>COUNTIF(A$1:A708,A708)-1</f>
        <v>0</v>
      </c>
      <c r="D708" s="2" t="str">
        <f t="shared" si="11"/>
        <v/>
      </c>
      <c r="E708" s="2" t="b">
        <f>END.IF()</f>
        <v>0</v>
      </c>
      <c r="F708" s="2"/>
      <c r="H708" s="2"/>
      <c r="J708" s="2"/>
      <c r="L708" s="2"/>
    </row>
    <row r="709" spans="1:12" x14ac:dyDescent="0.55000000000000004">
      <c r="A709" s="1" t="s">
        <v>2054</v>
      </c>
      <c r="B709" s="2">
        <f>COUNTIF(A:A,A709)-1</f>
        <v>3</v>
      </c>
      <c r="C709" s="2">
        <f>COUNTIF(A$1:A709,A709)-1</f>
        <v>0</v>
      </c>
      <c r="D709" s="2" t="str">
        <f t="shared" si="11"/>
        <v/>
      </c>
      <c r="E709" s="2"/>
      <c r="F709" s="2"/>
      <c r="H709" s="2"/>
      <c r="J709" s="2"/>
      <c r="L709" s="2"/>
    </row>
    <row r="710" spans="1:12" x14ac:dyDescent="0.55000000000000004">
      <c r="A710" s="1" t="s">
        <v>2054</v>
      </c>
      <c r="B710" s="2">
        <f>COUNTIF(A:A,A710)-1</f>
        <v>3</v>
      </c>
      <c r="C710" s="2">
        <f>COUNTIF(A$1:A710,A710)-1</f>
        <v>1</v>
      </c>
      <c r="D710" s="2" t="str">
        <f t="shared" si="11"/>
        <v>v</v>
      </c>
      <c r="E710" s="2" t="b">
        <f>FOR.CELL(#REF!)</f>
        <v>0</v>
      </c>
      <c r="F710" s="2" t="b">
        <f>FOR.CELL(+F710:G710,#REF!,#REF!)</f>
        <v>0</v>
      </c>
      <c r="H710" s="2" t="b">
        <f>FOR.CELL(H710:I710,#REF!,#REF!)</f>
        <v>0</v>
      </c>
      <c r="J710" s="2" t="b">
        <f>FOR.CELL(INDIRECT(J710:K710),#REF!,#REF!)</f>
        <v>0</v>
      </c>
      <c r="L710" s="2">
        <f>TYPE(INDEX(,FOR.CELL(OFFSET(INDEX(1,),,),#REF!,#REF!)))</f>
        <v>64</v>
      </c>
    </row>
    <row r="711" spans="1:12" x14ac:dyDescent="0.55000000000000004">
      <c r="A711" s="1" t="s">
        <v>2054</v>
      </c>
      <c r="B711" s="2">
        <f>COUNTIF(A:A,A711)-1</f>
        <v>3</v>
      </c>
      <c r="C711" s="2">
        <f>COUNTIF(A$1:A711,A711)-1</f>
        <v>2</v>
      </c>
      <c r="D711" s="2" t="str">
        <f t="shared" si="11"/>
        <v>vr</v>
      </c>
      <c r="E711" s="2" t="b">
        <f>FOR.CELL(#REF!,#REF!)</f>
        <v>0</v>
      </c>
      <c r="F711" s="2" t="b">
        <f>FOR.CELL(#REF!,+F711:G711,#REF!)</f>
        <v>0</v>
      </c>
      <c r="H711" s="2" t="b">
        <f>FOR.CELL(#REF!,H711:I711,#REF!)</f>
        <v>0</v>
      </c>
      <c r="I711" s="1">
        <v>1</v>
      </c>
      <c r="J711" s="2" t="b">
        <f>FOR.CELL(#REF!,INDIRECT(J711:K711),#REF!)</f>
        <v>0</v>
      </c>
      <c r="L711" s="2">
        <f>TYPE(INDEX(,FOR.CELL(#REF!,OFFSET(INDEX(1,),,),#REF!)))</f>
        <v>64</v>
      </c>
    </row>
    <row r="712" spans="1:12" x14ac:dyDescent="0.55000000000000004">
      <c r="A712" s="1" t="s">
        <v>2054</v>
      </c>
      <c r="B712" s="2">
        <f>COUNTIF(A:A,A712)-1</f>
        <v>3</v>
      </c>
      <c r="C712" s="2">
        <f>COUNTIF(A$1:A712,A712)-1</f>
        <v>3</v>
      </c>
      <c r="D712" s="2" t="str">
        <f t="shared" si="11"/>
        <v>vr</v>
      </c>
      <c r="E712" s="2" t="b">
        <f>FOR.CELL(#REF!,#REF!,#REF!)</f>
        <v>0</v>
      </c>
      <c r="F712" s="2" t="b">
        <f>FOR.CELL(#REF!,#REF!,+F712:G712)</f>
        <v>0</v>
      </c>
      <c r="H712" s="2" t="b">
        <f>FOR.CELL(#REF!,#REF!,H712:I712)</f>
        <v>0</v>
      </c>
      <c r="I712" s="1">
        <v>1</v>
      </c>
      <c r="J712" s="2" t="b">
        <f>FOR.CELL(#REF!,#REF!,INDIRECT(J712:K712))</f>
        <v>0</v>
      </c>
      <c r="L712" s="2">
        <f>TYPE(INDEX(,FOR.CELL(#REF!,#REF!,OFFSET(INDEX(1,),,))))</f>
        <v>64</v>
      </c>
    </row>
    <row r="713" spans="1:12" x14ac:dyDescent="0.55000000000000004">
      <c r="A713" s="1" t="s">
        <v>1680</v>
      </c>
      <c r="B713" s="2">
        <f>COUNTIF(A:A,A713)-1</f>
        <v>3</v>
      </c>
      <c r="C713" s="2">
        <f>COUNTIF(A$1:A713,A713)-1</f>
        <v>0</v>
      </c>
      <c r="D713" s="2" t="str">
        <f t="shared" si="11"/>
        <v/>
      </c>
      <c r="E713" s="2"/>
      <c r="F713" s="2"/>
      <c r="H713" s="2"/>
      <c r="J713" s="2"/>
      <c r="L713" s="2"/>
    </row>
    <row r="714" spans="1:12" x14ac:dyDescent="0.55000000000000004">
      <c r="A714" s="1" t="s">
        <v>1680</v>
      </c>
      <c r="B714" s="2">
        <f>COUNTIF(A:A,A714)-1</f>
        <v>3</v>
      </c>
      <c r="C714" s="2">
        <f>COUNTIF(A$1:A714,A714)-1</f>
        <v>1</v>
      </c>
      <c r="D714" s="2" t="str">
        <f t="shared" si="11"/>
        <v>var</v>
      </c>
      <c r="E714" s="2" t="e">
        <f>MEDIAN(#REF!)</f>
        <v>#REF!</v>
      </c>
      <c r="F714" s="2" t="e">
        <f>MEDIAN(+F714:G714,#REF!,#REF!)</f>
        <v>#REF!</v>
      </c>
      <c r="H714" s="2" t="e">
        <f>MEDIAN(H714:I714,#REF!,#REF!)</f>
        <v>#REF!</v>
      </c>
      <c r="I714" s="1">
        <v>1</v>
      </c>
      <c r="J714" s="2" t="e">
        <f>MEDIAN(INDIRECT(J714:K714),#REF!,#REF!)</f>
        <v>#REF!</v>
      </c>
      <c r="L714" s="2">
        <f>TYPE(INDEX(,MEDIAN(OFFSET(INDEX(1,),,),#REF!,#REF!)))</f>
        <v>16</v>
      </c>
    </row>
    <row r="715" spans="1:12" x14ac:dyDescent="0.55000000000000004">
      <c r="A715" s="1" t="s">
        <v>1680</v>
      </c>
      <c r="B715" s="2">
        <f>COUNTIF(A:A,A715)-1</f>
        <v>3</v>
      </c>
      <c r="C715" s="2">
        <f>COUNTIF(A$1:A715,A715)-1</f>
        <v>2</v>
      </c>
      <c r="D715" s="2" t="str">
        <f t="shared" si="11"/>
        <v>var</v>
      </c>
      <c r="E715" s="2" t="e">
        <f>MEDIAN(#REF!,#REF!)</f>
        <v>#REF!</v>
      </c>
      <c r="F715" s="2" t="e">
        <f>MEDIAN(#REF!,+F715:G715,#REF!)</f>
        <v>#REF!</v>
      </c>
      <c r="H715" s="2" t="e">
        <f>MEDIAN(#REF!,H715:I715,#REF!)</f>
        <v>#REF!</v>
      </c>
      <c r="I715" s="1">
        <v>1</v>
      </c>
      <c r="J715" s="2" t="e">
        <f>MEDIAN(#REF!,INDIRECT(J715:K715),#REF!)</f>
        <v>#REF!</v>
      </c>
      <c r="L715" s="2">
        <f>TYPE(INDEX(,MEDIAN(#REF!,OFFSET(INDEX(1,),,),#REF!)))</f>
        <v>16</v>
      </c>
    </row>
    <row r="716" spans="1:12" x14ac:dyDescent="0.55000000000000004">
      <c r="A716" s="1" t="s">
        <v>1680</v>
      </c>
      <c r="B716" s="2">
        <f>COUNTIF(A:A,A716)-1</f>
        <v>3</v>
      </c>
      <c r="C716" s="2">
        <f>COUNTIF(A$1:A716,A716)-1</f>
        <v>3</v>
      </c>
      <c r="D716" s="2" t="str">
        <f t="shared" si="11"/>
        <v>var</v>
      </c>
      <c r="E716" s="2" t="e">
        <f>MEDIAN(#REF!,#REF!,#REF!)</f>
        <v>#REF!</v>
      </c>
      <c r="F716" s="2" t="e">
        <f>MEDIAN(#REF!,#REF!,+F716:G716)</f>
        <v>#REF!</v>
      </c>
      <c r="H716" s="2" t="e">
        <f>MEDIAN(#REF!,#REF!,H716:I716)</f>
        <v>#REF!</v>
      </c>
      <c r="I716" s="1">
        <v>1</v>
      </c>
      <c r="J716" s="2" t="e">
        <f>MEDIAN(#REF!,#REF!,INDIRECT(J716:K716))</f>
        <v>#REF!</v>
      </c>
      <c r="L716" s="2">
        <f>TYPE(INDEX(,MEDIAN(#REF!,#REF!,OFFSET(INDEX(1,),,))))</f>
        <v>16</v>
      </c>
    </row>
    <row r="717" spans="1:12" x14ac:dyDescent="0.55000000000000004">
      <c r="A717" s="1" t="s">
        <v>1681</v>
      </c>
      <c r="B717" s="2">
        <f>COUNTIF(A:A,A717)-1</f>
        <v>4</v>
      </c>
      <c r="C717" s="2">
        <f>COUNTIF(A$1:A717,A717)-1</f>
        <v>0</v>
      </c>
      <c r="D717" s="2" t="str">
        <f t="shared" si="11"/>
        <v/>
      </c>
      <c r="E717" s="2"/>
      <c r="F717" s="2"/>
      <c r="H717" s="2"/>
      <c r="J717" s="2"/>
      <c r="L717" s="2"/>
    </row>
    <row r="718" spans="1:12" x14ac:dyDescent="0.55000000000000004">
      <c r="A718" s="1" t="s">
        <v>1681</v>
      </c>
      <c r="B718" s="2">
        <f>COUNTIF(A:A,A718)-1</f>
        <v>4</v>
      </c>
      <c r="C718" s="2">
        <f>COUNTIF(A$1:A718,A718)-1</f>
        <v>1</v>
      </c>
      <c r="D718" s="2" t="str">
        <f t="shared" si="11"/>
        <v>a</v>
      </c>
      <c r="E718" s="2" t="e">
        <f>SUMPRODUCT(#REF!)</f>
        <v>#REF!</v>
      </c>
      <c r="F718" s="2" t="e">
        <f>SUMPRODUCT(+F718:G718,#REF!,#REF!,#REF!)</f>
        <v>#REF!</v>
      </c>
      <c r="G718" s="1">
        <v>1</v>
      </c>
      <c r="H718" s="2" t="e">
        <f>SUMPRODUCT(H718:I718,#REF!,#REF!,#REF!)</f>
        <v>#REF!</v>
      </c>
      <c r="I718" s="1">
        <v>1</v>
      </c>
      <c r="J718" s="2" t="e">
        <f>SUMPRODUCT(INDIRECT(J718:K718),#REF!,#REF!,#REF!)</f>
        <v>#REF!</v>
      </c>
      <c r="K718" s="1">
        <v>1</v>
      </c>
      <c r="L718" s="2">
        <f>TYPE(INDEX(,SUMPRODUCT(OFFSET(INDEX(1,),,),#REF!,#REF!,#REF!)))</f>
        <v>16</v>
      </c>
    </row>
    <row r="719" spans="1:12" x14ac:dyDescent="0.55000000000000004">
      <c r="A719" s="1" t="s">
        <v>1681</v>
      </c>
      <c r="B719" s="2">
        <f>COUNTIF(A:A,A719)-1</f>
        <v>4</v>
      </c>
      <c r="C719" s="2">
        <f>COUNTIF(A$1:A719,A719)-1</f>
        <v>2</v>
      </c>
      <c r="D719" s="2" t="str">
        <f t="shared" si="11"/>
        <v>a</v>
      </c>
      <c r="E719" s="2" t="e">
        <f>SUMPRODUCT(#REF!,#REF!)</f>
        <v>#REF!</v>
      </c>
      <c r="F719" s="2" t="e">
        <f>SUMPRODUCT(#REF!,+F719:G719,#REF!,#REF!)</f>
        <v>#REF!</v>
      </c>
      <c r="G719" s="1">
        <v>1</v>
      </c>
      <c r="H719" s="2" t="e">
        <f>SUMPRODUCT(#REF!,H719:I719,#REF!,#REF!)</f>
        <v>#REF!</v>
      </c>
      <c r="I719" s="1">
        <v>1</v>
      </c>
      <c r="J719" s="2" t="e">
        <f>SUMPRODUCT(#REF!,INDIRECT(J719:K719),#REF!,#REF!)</f>
        <v>#REF!</v>
      </c>
      <c r="K719" s="1">
        <v>1</v>
      </c>
      <c r="L719" s="2">
        <f>TYPE(INDEX(,SUMPRODUCT(#REF!,OFFSET(INDEX(1,),,),#REF!,#REF!)))</f>
        <v>16</v>
      </c>
    </row>
    <row r="720" spans="1:12" x14ac:dyDescent="0.55000000000000004">
      <c r="A720" s="1" t="s">
        <v>1681</v>
      </c>
      <c r="B720" s="2">
        <f>COUNTIF(A:A,A720)-1</f>
        <v>4</v>
      </c>
      <c r="C720" s="2">
        <f>COUNTIF(A$1:A720,A720)-1</f>
        <v>3</v>
      </c>
      <c r="D720" s="2" t="str">
        <f t="shared" si="11"/>
        <v>a</v>
      </c>
      <c r="E720" s="2" t="e">
        <f>SUMPRODUCT(#REF!,#REF!,#REF!)</f>
        <v>#REF!</v>
      </c>
      <c r="F720" s="2" t="e">
        <f>SUMPRODUCT(#REF!,#REF!,+F720:G720,#REF!)</f>
        <v>#REF!</v>
      </c>
      <c r="G720" s="1">
        <v>1</v>
      </c>
      <c r="H720" s="2" t="e">
        <f>SUMPRODUCT(#REF!,#REF!,H720:I720,#REF!)</f>
        <v>#REF!</v>
      </c>
      <c r="I720" s="1">
        <v>1</v>
      </c>
      <c r="J720" s="2" t="e">
        <f>SUMPRODUCT(#REF!,#REF!,INDIRECT(J720:K720),#REF!)</f>
        <v>#REF!</v>
      </c>
      <c r="K720" s="1">
        <v>1</v>
      </c>
      <c r="L720" s="2">
        <f>TYPE(INDEX(,SUMPRODUCT(#REF!,#REF!,OFFSET(INDEX(1,),,),#REF!)))</f>
        <v>16</v>
      </c>
    </row>
    <row r="721" spans="1:12" x14ac:dyDescent="0.55000000000000004">
      <c r="A721" s="1" t="s">
        <v>1681</v>
      </c>
      <c r="B721" s="2">
        <f>COUNTIF(A:A,A721)-1</f>
        <v>4</v>
      </c>
      <c r="C721" s="2">
        <f>COUNTIF(A$1:A721,A721)-1</f>
        <v>4</v>
      </c>
      <c r="D721" s="2" t="str">
        <f t="shared" si="11"/>
        <v>a</v>
      </c>
      <c r="E721" s="2" t="e">
        <f>SUMPRODUCT(#REF!,#REF!,#REF!,#REF!)</f>
        <v>#REF!</v>
      </c>
      <c r="F721" s="2" t="e">
        <f>SUMPRODUCT(#REF!,#REF!,#REF!,+F721:G721)</f>
        <v>#REF!</v>
      </c>
      <c r="G721" s="1">
        <v>1</v>
      </c>
      <c r="H721" s="2" t="e">
        <f>SUMPRODUCT(#REF!,#REF!,#REF!,H721:I721)</f>
        <v>#REF!</v>
      </c>
      <c r="I721" s="1">
        <v>1</v>
      </c>
      <c r="J721" s="2" t="e">
        <f>SUMPRODUCT(#REF!,#REF!,#REF!,INDIRECT(J721:K721))</f>
        <v>#REF!</v>
      </c>
      <c r="K721" s="1">
        <v>1</v>
      </c>
      <c r="L721" s="2">
        <f>TYPE(INDEX(,SUMPRODUCT(#REF!,#REF!,#REF!,OFFSET(INDEX(1,),,))))</f>
        <v>16</v>
      </c>
    </row>
    <row r="722" spans="1:12" x14ac:dyDescent="0.55000000000000004">
      <c r="A722" s="1" t="s">
        <v>1682</v>
      </c>
      <c r="B722" s="2">
        <f>COUNTIF(A:A,A722)-1</f>
        <v>1</v>
      </c>
      <c r="C722" s="2">
        <f>COUNTIF(A$1:A722,A722)-1</f>
        <v>0</v>
      </c>
      <c r="D722" s="2" t="str">
        <f t="shared" si="11"/>
        <v/>
      </c>
      <c r="E722" s="2"/>
      <c r="F722" s="2"/>
      <c r="H722" s="2"/>
      <c r="J722" s="2"/>
      <c r="L722" s="2"/>
    </row>
    <row r="723" spans="1:12" x14ac:dyDescent="0.55000000000000004">
      <c r="A723" s="1" t="s">
        <v>1682</v>
      </c>
      <c r="B723" s="2">
        <f>COUNTIF(A:A,A723)-1</f>
        <v>1</v>
      </c>
      <c r="C723" s="2">
        <f>COUNTIF(A$1:A723,A723)-1</f>
        <v>1</v>
      </c>
      <c r="D723" s="2" t="str">
        <f t="shared" si="11"/>
        <v>v</v>
      </c>
      <c r="E723" s="2" t="e">
        <f>SINH(#REF!)</f>
        <v>#REF!</v>
      </c>
      <c r="F723" s="2">
        <f>SINH(+F723:G723)</f>
        <v>0</v>
      </c>
      <c r="H723" s="2">
        <f>SINH(H723:I723)</f>
        <v>0</v>
      </c>
      <c r="J723" s="2" t="e">
        <f>SINH(INDIRECT(J723:K723))</f>
        <v>#REF!</v>
      </c>
      <c r="L723" s="2">
        <f>TYPE(INDEX(,SINH(OFFSET(INDEX(1,),,))))</f>
        <v>64</v>
      </c>
    </row>
    <row r="724" spans="1:12" x14ac:dyDescent="0.55000000000000004">
      <c r="A724" s="1" t="s">
        <v>1683</v>
      </c>
      <c r="B724" s="2">
        <f>COUNTIF(A:A,A724)-1</f>
        <v>1</v>
      </c>
      <c r="C724" s="2">
        <f>COUNTIF(A$1:A724,A724)-1</f>
        <v>0</v>
      </c>
      <c r="D724" s="2" t="str">
        <f t="shared" si="11"/>
        <v/>
      </c>
      <c r="E724" s="2"/>
      <c r="F724" s="2"/>
      <c r="H724" s="2"/>
      <c r="J724" s="2"/>
      <c r="L724" s="2"/>
    </row>
    <row r="725" spans="1:12" x14ac:dyDescent="0.55000000000000004">
      <c r="A725" s="1" t="s">
        <v>1683</v>
      </c>
      <c r="B725" s="2">
        <f>COUNTIF(A:A,A725)-1</f>
        <v>1</v>
      </c>
      <c r="C725" s="2">
        <f>COUNTIF(A$1:A725,A725)-1</f>
        <v>1</v>
      </c>
      <c r="D725" s="2" t="str">
        <f t="shared" si="11"/>
        <v>v</v>
      </c>
      <c r="E725" s="2" t="e">
        <f>COSH(#REF!)</f>
        <v>#REF!</v>
      </c>
      <c r="F725" s="2">
        <f>COSH(+F725:G725)</f>
        <v>1</v>
      </c>
      <c r="H725" s="2">
        <f>COSH(H725:I725)</f>
        <v>1</v>
      </c>
      <c r="J725" s="2" t="e">
        <f>COSH(INDIRECT(J725:K725))</f>
        <v>#REF!</v>
      </c>
      <c r="L725" s="2">
        <f>TYPE(INDEX(,COSH(OFFSET(INDEX(1,),,))))</f>
        <v>64</v>
      </c>
    </row>
    <row r="726" spans="1:12" x14ac:dyDescent="0.55000000000000004">
      <c r="A726" s="1" t="s">
        <v>1684</v>
      </c>
      <c r="B726" s="2">
        <f>COUNTIF(A:A,A726)-1</f>
        <v>1</v>
      </c>
      <c r="C726" s="2">
        <f>COUNTIF(A$1:A726,A726)-1</f>
        <v>0</v>
      </c>
      <c r="D726" s="2" t="str">
        <f t="shared" si="11"/>
        <v/>
      </c>
      <c r="E726" s="2"/>
      <c r="F726" s="2"/>
      <c r="H726" s="2"/>
      <c r="J726" s="2"/>
      <c r="L726" s="2"/>
    </row>
    <row r="727" spans="1:12" x14ac:dyDescent="0.55000000000000004">
      <c r="A727" s="1" t="s">
        <v>1684</v>
      </c>
      <c r="B727" s="2">
        <f>COUNTIF(A:A,A727)-1</f>
        <v>1</v>
      </c>
      <c r="C727" s="2">
        <f>COUNTIF(A$1:A727,A727)-1</f>
        <v>1</v>
      </c>
      <c r="D727" s="2" t="str">
        <f t="shared" si="11"/>
        <v>v</v>
      </c>
      <c r="E727" s="2" t="e">
        <f>TANH(#REF!)</f>
        <v>#REF!</v>
      </c>
      <c r="F727" s="2">
        <f>TANH(+F727:G727)</f>
        <v>0</v>
      </c>
      <c r="H727" s="2">
        <f>TANH(H727:I727)</f>
        <v>0</v>
      </c>
      <c r="J727" s="2" t="e">
        <f>TANH(INDIRECT(J727:K727))</f>
        <v>#REF!</v>
      </c>
      <c r="L727" s="2">
        <f>TYPE(INDEX(,TANH(OFFSET(INDEX(1,),,))))</f>
        <v>64</v>
      </c>
    </row>
    <row r="728" spans="1:12" x14ac:dyDescent="0.55000000000000004">
      <c r="A728" s="1" t="s">
        <v>1685</v>
      </c>
      <c r="B728" s="2">
        <f>COUNTIF(A:A,A728)-1</f>
        <v>1</v>
      </c>
      <c r="C728" s="2">
        <f>COUNTIF(A$1:A728,A728)-1</f>
        <v>0</v>
      </c>
      <c r="D728" s="2" t="str">
        <f t="shared" si="11"/>
        <v/>
      </c>
      <c r="E728" s="2"/>
      <c r="F728" s="2"/>
      <c r="H728" s="2"/>
      <c r="J728" s="2"/>
      <c r="L728" s="2"/>
    </row>
    <row r="729" spans="1:12" x14ac:dyDescent="0.55000000000000004">
      <c r="A729" s="1" t="s">
        <v>1685</v>
      </c>
      <c r="B729" s="2">
        <f>COUNTIF(A:A,A729)-1</f>
        <v>1</v>
      </c>
      <c r="C729" s="2">
        <f>COUNTIF(A$1:A729,A729)-1</f>
        <v>1</v>
      </c>
      <c r="D729" s="2" t="str">
        <f t="shared" si="11"/>
        <v>v</v>
      </c>
      <c r="E729" s="2" t="e">
        <f>ASINH(#REF!)</f>
        <v>#REF!</v>
      </c>
      <c r="F729" s="2">
        <f>ASINH(+F729:G729)</f>
        <v>0</v>
      </c>
      <c r="H729" s="2">
        <f>ASINH(H729:I729)</f>
        <v>0</v>
      </c>
      <c r="J729" s="2" t="e">
        <f>ASINH(INDIRECT(J729:K729))</f>
        <v>#REF!</v>
      </c>
      <c r="L729" s="2">
        <f>TYPE(INDEX(,ASINH(OFFSET(INDEX(1,),,))))</f>
        <v>64</v>
      </c>
    </row>
    <row r="730" spans="1:12" x14ac:dyDescent="0.55000000000000004">
      <c r="A730" s="1" t="s">
        <v>1686</v>
      </c>
      <c r="B730" s="2">
        <f>COUNTIF(A:A,A730)-1</f>
        <v>1</v>
      </c>
      <c r="C730" s="2">
        <f>COUNTIF(A$1:A730,A730)-1</f>
        <v>0</v>
      </c>
      <c r="D730" s="2" t="str">
        <f t="shared" si="11"/>
        <v/>
      </c>
      <c r="E730" s="2"/>
      <c r="F730" s="2"/>
      <c r="H730" s="2"/>
      <c r="J730" s="2"/>
      <c r="L730" s="2"/>
    </row>
    <row r="731" spans="1:12" x14ac:dyDescent="0.55000000000000004">
      <c r="A731" s="1" t="s">
        <v>1686</v>
      </c>
      <c r="B731" s="2">
        <f>COUNTIF(A:A,A731)-1</f>
        <v>1</v>
      </c>
      <c r="C731" s="2">
        <f>COUNTIF(A$1:A731,A731)-1</f>
        <v>1</v>
      </c>
      <c r="D731" s="2" t="str">
        <f t="shared" si="11"/>
        <v>v</v>
      </c>
      <c r="E731" s="2" t="e">
        <f>ACOSH(#REF!)</f>
        <v>#REF!</v>
      </c>
      <c r="F731" s="2" t="e">
        <f>ACOSH(+F731:G731)</f>
        <v>#NUM!</v>
      </c>
      <c r="H731" s="2" t="e">
        <f>ACOSH(H731:I731)</f>
        <v>#NUM!</v>
      </c>
      <c r="J731" s="2" t="e">
        <f>ACOSH(INDIRECT(J731:K731))</f>
        <v>#REF!</v>
      </c>
      <c r="L731" s="2">
        <f>TYPE(INDEX(,ACOSH(OFFSET(INDEX(1,),,))))</f>
        <v>64</v>
      </c>
    </row>
    <row r="732" spans="1:12" x14ac:dyDescent="0.55000000000000004">
      <c r="A732" s="1" t="s">
        <v>1687</v>
      </c>
      <c r="B732" s="2">
        <f>COUNTIF(A:A,A732)-1</f>
        <v>1</v>
      </c>
      <c r="C732" s="2">
        <f>COUNTIF(A$1:A732,A732)-1</f>
        <v>0</v>
      </c>
      <c r="D732" s="2" t="str">
        <f t="shared" si="11"/>
        <v/>
      </c>
      <c r="E732" s="2"/>
      <c r="F732" s="2"/>
      <c r="H732" s="2"/>
      <c r="J732" s="2"/>
      <c r="L732" s="2"/>
    </row>
    <row r="733" spans="1:12" x14ac:dyDescent="0.55000000000000004">
      <c r="A733" s="1" t="s">
        <v>1687</v>
      </c>
      <c r="B733" s="2">
        <f>COUNTIF(A:A,A733)-1</f>
        <v>1</v>
      </c>
      <c r="C733" s="2">
        <f>COUNTIF(A$1:A733,A733)-1</f>
        <v>1</v>
      </c>
      <c r="D733" s="2" t="str">
        <f t="shared" si="11"/>
        <v>v</v>
      </c>
      <c r="E733" s="2" t="e">
        <f>ATANH(#REF!)</f>
        <v>#REF!</v>
      </c>
      <c r="F733" s="2">
        <f>ATANH(+F733:G733)</f>
        <v>0</v>
      </c>
      <c r="H733" s="2">
        <f>ATANH(H733:I733)</f>
        <v>0</v>
      </c>
      <c r="J733" s="2" t="e">
        <f>ATANH(INDIRECT(J733:K733))</f>
        <v>#REF!</v>
      </c>
      <c r="L733" s="2">
        <f>TYPE(INDEX(,ATANH(OFFSET(INDEX(1,),,))))</f>
        <v>64</v>
      </c>
    </row>
    <row r="734" spans="1:12" x14ac:dyDescent="0.55000000000000004">
      <c r="A734" s="1" t="s">
        <v>1688</v>
      </c>
      <c r="B734" s="2">
        <f>COUNTIF(A:A,A734)-1</f>
        <v>3</v>
      </c>
      <c r="C734" s="2">
        <f>COUNTIF(A$1:A734,A734)-1</f>
        <v>0</v>
      </c>
      <c r="D734" s="2" t="str">
        <f t="shared" si="11"/>
        <v/>
      </c>
      <c r="E734" s="2"/>
      <c r="F734" s="2"/>
      <c r="H734" s="2"/>
      <c r="J734" s="2"/>
      <c r="L734" s="2"/>
    </row>
    <row r="735" spans="1:12" x14ac:dyDescent="0.55000000000000004">
      <c r="A735" s="1" t="s">
        <v>1688</v>
      </c>
      <c r="B735" s="2">
        <f>COUNTIF(A:A,A735)-1</f>
        <v>3</v>
      </c>
      <c r="C735" s="2">
        <f>COUNTIF(A$1:A735,A735)-1</f>
        <v>1</v>
      </c>
      <c r="D735" s="2" t="str">
        <f t="shared" si="11"/>
        <v>r</v>
      </c>
      <c r="E735" s="2"/>
      <c r="F735" s="2"/>
      <c r="H735" s="2" t="e">
        <f>DGET(H735:I735,#REF!,#REF!)</f>
        <v>#REF!</v>
      </c>
      <c r="I735" s="1">
        <v>1</v>
      </c>
      <c r="J735" s="2" t="e">
        <f>DGET(INDIRECT(J735:K735),#REF!,#REF!)</f>
        <v>#REF!</v>
      </c>
      <c r="L735" s="2">
        <f>TYPE(INDEX(,DGET(OFFSET(INDEX(1,),,),#REF!,#REF!)))</f>
        <v>64</v>
      </c>
    </row>
    <row r="736" spans="1:12" x14ac:dyDescent="0.55000000000000004">
      <c r="A736" s="1" t="s">
        <v>1688</v>
      </c>
      <c r="B736" s="2">
        <f>COUNTIF(A:A,A736)-1</f>
        <v>3</v>
      </c>
      <c r="C736" s="2">
        <f>COUNTIF(A$1:A736,A736)-1</f>
        <v>2</v>
      </c>
      <c r="D736" s="2" t="str">
        <f t="shared" si="11"/>
        <v>vr</v>
      </c>
      <c r="E736" s="2"/>
      <c r="F736" s="2" t="e">
        <f>DGET(#REF!,+F736:G736,#REF!)</f>
        <v>#REF!</v>
      </c>
      <c r="H736" s="2" t="e">
        <f>DGET(#REF!,H736:I736,#REF!)</f>
        <v>#REF!</v>
      </c>
      <c r="I736" s="1">
        <v>1</v>
      </c>
      <c r="J736" s="2" t="e">
        <f>DGET(#REF!,INDIRECT(J736:K736),#REF!)</f>
        <v>#REF!</v>
      </c>
      <c r="L736" s="2">
        <f>TYPE(INDEX(,DGET(#REF!,OFFSET(INDEX(1,),,),#REF!)))</f>
        <v>64</v>
      </c>
    </row>
    <row r="737" spans="1:12" x14ac:dyDescent="0.55000000000000004">
      <c r="A737" s="1" t="s">
        <v>1688</v>
      </c>
      <c r="B737" s="2">
        <f>COUNTIF(A:A,A737)-1</f>
        <v>3</v>
      </c>
      <c r="C737" s="2">
        <f>COUNTIF(A$1:A737,A737)-1</f>
        <v>3</v>
      </c>
      <c r="D737" s="2" t="str">
        <f t="shared" si="11"/>
        <v>vr</v>
      </c>
      <c r="E737" s="2" t="e">
        <f>DGET(#REF!,#REF!,#REF!)</f>
        <v>#REF!</v>
      </c>
      <c r="F737" s="2" t="e">
        <f>DGET(#REF!,#REF!,+F737:G737)</f>
        <v>#REF!</v>
      </c>
      <c r="H737" s="2" t="e">
        <f>DGET(#REF!,#REF!,H737:I737)</f>
        <v>#REF!</v>
      </c>
      <c r="I737" s="1">
        <v>1</v>
      </c>
      <c r="J737" s="2" t="e">
        <f>DGET(#REF!,#REF!,INDIRECT(J737:K737))</f>
        <v>#REF!</v>
      </c>
      <c r="L737" s="2">
        <f>TYPE(INDEX(,DGET(#REF!,#REF!,OFFSET(INDEX(1,),,))))</f>
        <v>64</v>
      </c>
    </row>
    <row r="738" spans="1:12" x14ac:dyDescent="0.55000000000000004">
      <c r="A738" s="1" t="s">
        <v>1689</v>
      </c>
      <c r="B738" s="2">
        <f>COUNTIF(A:A,A738)-1</f>
        <v>10</v>
      </c>
      <c r="C738" s="2">
        <f>COUNTIF(A$1:A738,A738)-1</f>
        <v>0</v>
      </c>
      <c r="D738" s="2" t="str">
        <f t="shared" si="11"/>
        <v/>
      </c>
      <c r="E738" s="2"/>
      <c r="F738" s="2"/>
      <c r="H738" s="2"/>
      <c r="J738" s="2"/>
      <c r="L738" s="2"/>
    </row>
    <row r="739" spans="1:12" x14ac:dyDescent="0.55000000000000004">
      <c r="A739" s="1" t="s">
        <v>1689</v>
      </c>
      <c r="B739" s="2">
        <f>COUNTIF(A:A,A739)-1</f>
        <v>10</v>
      </c>
      <c r="C739" s="2">
        <f>COUNTIF(A$1:A739,A739)-1</f>
        <v>1</v>
      </c>
      <c r="D739" s="2" t="str">
        <f t="shared" si="11"/>
        <v>v</v>
      </c>
      <c r="E739" s="2"/>
      <c r="F739" s="2" t="e">
        <f>CREATE.OBJECT(+F739:G739,#REF!,#REF!,#REF!,#REF!,#REF!,#REF!,#REF!,#REF!,#REF!)</f>
        <v>#REF!</v>
      </c>
      <c r="H739" s="2" t="e">
        <f>CREATE.OBJECT(H739:I739,#REF!,#REF!,#REF!,#REF!,#REF!,#REF!,#REF!,#REF!,#REF!)</f>
        <v>#REF!</v>
      </c>
      <c r="J739" s="2" t="e">
        <f>CREATE.OBJECT(INDIRECT(J739:K739),#REF!,#REF!,#REF!,#REF!,#REF!,#REF!,#REF!,#REF!,#REF!)</f>
        <v>#REF!</v>
      </c>
      <c r="L739" s="2">
        <f>TYPE(INDEX(,CREATE.OBJECT(OFFSET(INDEX(1,),,),#REF!,#REF!,#REF!,#REF!,#REF!,#REF!,#REF!,#REF!,#REF!)))</f>
        <v>64</v>
      </c>
    </row>
    <row r="740" spans="1:12" x14ac:dyDescent="0.55000000000000004">
      <c r="A740" s="1" t="s">
        <v>1689</v>
      </c>
      <c r="B740" s="2">
        <f>COUNTIF(A:A,A740)-1</f>
        <v>10</v>
      </c>
      <c r="C740" s="2">
        <f>COUNTIF(A$1:A740,A740)-1</f>
        <v>2</v>
      </c>
      <c r="D740" s="2" t="str">
        <f t="shared" si="11"/>
        <v>vr</v>
      </c>
      <c r="E740" s="2" t="e">
        <f>CREATE.OBJECT(#REF!,#REF!)</f>
        <v>#REF!</v>
      </c>
      <c r="F740" s="2" t="e">
        <f>CREATE.OBJECT(#REF!,+F740:G740,#REF!,#REF!,#REF!,#REF!,#REF!,#REF!,#REF!,#REF!)</f>
        <v>#REF!</v>
      </c>
      <c r="H740" s="2" t="e">
        <f>CREATE.OBJECT(#REF!,H740:I740,#REF!,#REF!,#REF!,#REF!,#REF!,#REF!,#REF!,#REF!)</f>
        <v>#REF!</v>
      </c>
      <c r="I740" s="1">
        <v>1</v>
      </c>
      <c r="J740" s="2" t="e">
        <f>CREATE.OBJECT(#REF!,INDIRECT(J740:K740),#REF!,#REF!,#REF!,#REF!,#REF!,#REF!,#REF!,#REF!)</f>
        <v>#REF!</v>
      </c>
      <c r="L740" s="2">
        <f>TYPE(INDEX(,CREATE.OBJECT(#REF!,OFFSET(INDEX(1,),,),#REF!,#REF!,#REF!,#REF!,#REF!,#REF!,#REF!,#REF!)))</f>
        <v>64</v>
      </c>
    </row>
    <row r="741" spans="1:12" x14ac:dyDescent="0.55000000000000004">
      <c r="A741" s="1" t="s">
        <v>1689</v>
      </c>
      <c r="B741" s="2">
        <f>COUNTIF(A:A,A741)-1</f>
        <v>10</v>
      </c>
      <c r="C741" s="2">
        <f>COUNTIF(A$1:A741,A741)-1</f>
        <v>3</v>
      </c>
      <c r="D741" s="2" t="str">
        <f t="shared" si="11"/>
        <v>vr</v>
      </c>
      <c r="E741" s="2" t="e">
        <f>CREATE.OBJECT(#REF!,#REF!,#REF!)</f>
        <v>#REF!</v>
      </c>
      <c r="F741" s="2" t="e">
        <f>CREATE.OBJECT(#REF!,#REF!,+F741:G741,#REF!,#REF!,#REF!,#REF!,#REF!,#REF!,#REF!)</f>
        <v>#REF!</v>
      </c>
      <c r="H741" s="2" t="e">
        <f>CREATE.OBJECT(#REF!,#REF!,H741:I741,#REF!,#REF!,#REF!,#REF!,#REF!,#REF!,#REF!)</f>
        <v>#REF!</v>
      </c>
      <c r="I741" s="1">
        <v>1</v>
      </c>
      <c r="J741" s="2" t="e">
        <f>CREATE.OBJECT(#REF!,#REF!,INDIRECT(J741:K741),#REF!,#REF!,#REF!,#REF!,#REF!,#REF!,#REF!)</f>
        <v>#REF!</v>
      </c>
      <c r="L741" s="2">
        <f>TYPE(INDEX(,CREATE.OBJECT(#REF!,#REF!,OFFSET(INDEX(1,),,),#REF!,#REF!,#REF!,#REF!,#REF!,#REF!,#REF!)))</f>
        <v>64</v>
      </c>
    </row>
    <row r="742" spans="1:12" x14ac:dyDescent="0.55000000000000004">
      <c r="A742" s="1" t="s">
        <v>1689</v>
      </c>
      <c r="B742" s="2">
        <f>COUNTIF(A:A,A742)-1</f>
        <v>10</v>
      </c>
      <c r="C742" s="2">
        <f>COUNTIF(A$1:A742,A742)-1</f>
        <v>4</v>
      </c>
      <c r="D742" s="2" t="str">
        <f t="shared" si="11"/>
        <v>vr</v>
      </c>
      <c r="E742" s="2" t="e">
        <f>CREATE.OBJECT(#REF!,#REF!,#REF!,#REF!)</f>
        <v>#REF!</v>
      </c>
      <c r="F742" s="2" t="e">
        <f>CREATE.OBJECT(#REF!,#REF!,#REF!,+F742:G742,#REF!,#REF!,#REF!,#REF!,#REF!,#REF!)</f>
        <v>#REF!</v>
      </c>
      <c r="H742" s="2" t="e">
        <f>CREATE.OBJECT(#REF!,#REF!,#REF!,H742:I742,#REF!,#REF!,#REF!,#REF!,#REF!,#REF!)</f>
        <v>#REF!</v>
      </c>
      <c r="I742" s="1">
        <v>1</v>
      </c>
      <c r="J742" s="2" t="e">
        <f>CREATE.OBJECT(#REF!,#REF!,#REF!,INDIRECT(J742:K742),#REF!,#REF!,#REF!,#REF!,#REF!,#REF!)</f>
        <v>#REF!</v>
      </c>
      <c r="L742" s="2">
        <f>TYPE(INDEX(,CREATE.OBJECT(#REF!,#REF!,#REF!,OFFSET(INDEX(1,),,),#REF!,#REF!,#REF!,#REF!,#REF!,#REF!)))</f>
        <v>64</v>
      </c>
    </row>
    <row r="743" spans="1:12" x14ac:dyDescent="0.55000000000000004">
      <c r="A743" s="1" t="s">
        <v>1689</v>
      </c>
      <c r="B743" s="2">
        <f>COUNTIF(A:A,A743)-1</f>
        <v>10</v>
      </c>
      <c r="C743" s="2">
        <f>COUNTIF(A$1:A743,A743)-1</f>
        <v>5</v>
      </c>
      <c r="D743" s="2" t="str">
        <f t="shared" si="11"/>
        <v>vr</v>
      </c>
      <c r="E743" s="2" t="e">
        <f>CREATE.OBJECT(#REF!,#REF!,#REF!,#REF!,#REF!)</f>
        <v>#REF!</v>
      </c>
      <c r="F743" s="2" t="e">
        <f>CREATE.OBJECT(#REF!,#REF!,#REF!,#REF!,+F743:G743,#REF!,#REF!,#REF!,#REF!,#REF!)</f>
        <v>#REF!</v>
      </c>
      <c r="H743" s="2" t="e">
        <f>CREATE.OBJECT(#REF!,#REF!,#REF!,#REF!,H743:I743,#REF!,#REF!,#REF!,#REF!,#REF!)</f>
        <v>#REF!</v>
      </c>
      <c r="I743" s="1">
        <v>1</v>
      </c>
      <c r="J743" s="2" t="e">
        <f>CREATE.OBJECT(#REF!,#REF!,#REF!,#REF!,INDIRECT(J743:K743),#REF!,#REF!,#REF!,#REF!,#REF!)</f>
        <v>#REF!</v>
      </c>
      <c r="L743" s="2">
        <f>TYPE(INDEX(,CREATE.OBJECT(#REF!,#REF!,#REF!,#REF!,OFFSET(INDEX(1,),,),#REF!,#REF!,#REF!,#REF!,#REF!)))</f>
        <v>64</v>
      </c>
    </row>
    <row r="744" spans="1:12" x14ac:dyDescent="0.55000000000000004">
      <c r="A744" s="1" t="s">
        <v>1689</v>
      </c>
      <c r="B744" s="2">
        <f>COUNTIF(A:A,A744)-1</f>
        <v>10</v>
      </c>
      <c r="C744" s="2">
        <f>COUNTIF(A$1:A744,A744)-1</f>
        <v>6</v>
      </c>
      <c r="D744" s="2" t="str">
        <f t="shared" si="11"/>
        <v>vr</v>
      </c>
      <c r="E744" s="2" t="e">
        <f>CREATE.OBJECT(#REF!,#REF!,#REF!,#REF!,#REF!,#REF!)</f>
        <v>#REF!</v>
      </c>
      <c r="F744" s="2" t="e">
        <f>CREATE.OBJECT(#REF!,#REF!,#REF!,#REF!,#REF!,+F744:G744,#REF!,#REF!,#REF!,#REF!)</f>
        <v>#REF!</v>
      </c>
      <c r="H744" s="2" t="e">
        <f>CREATE.OBJECT(#REF!,#REF!,#REF!,#REF!,#REF!,H744:I744,#REF!,#REF!,#REF!,#REF!)</f>
        <v>#REF!</v>
      </c>
      <c r="I744" s="1">
        <v>1</v>
      </c>
      <c r="J744" s="2" t="e">
        <f>CREATE.OBJECT(#REF!,#REF!,#REF!,#REF!,#REF!,INDIRECT(J744:K744),#REF!,#REF!,#REF!,#REF!)</f>
        <v>#REF!</v>
      </c>
      <c r="L744" s="2">
        <f>TYPE(INDEX(,CREATE.OBJECT(#REF!,#REF!,#REF!,#REF!,#REF!,OFFSET(INDEX(1,),,),#REF!,#REF!,#REF!,#REF!)))</f>
        <v>64</v>
      </c>
    </row>
    <row r="745" spans="1:12" x14ac:dyDescent="0.55000000000000004">
      <c r="A745" s="1" t="s">
        <v>1689</v>
      </c>
      <c r="B745" s="2">
        <f>COUNTIF(A:A,A745)-1</f>
        <v>10</v>
      </c>
      <c r="C745" s="2">
        <f>COUNTIF(A$1:A745,A745)-1</f>
        <v>7</v>
      </c>
      <c r="D745" s="2" t="str">
        <f t="shared" si="11"/>
        <v>vr</v>
      </c>
      <c r="E745" s="2" t="e">
        <f>CREATE.OBJECT(#REF!,#REF!,#REF!,#REF!,#REF!,#REF!,#REF!)</f>
        <v>#REF!</v>
      </c>
      <c r="F745" s="2" t="e">
        <f>CREATE.OBJECT(#REF!,#REF!,#REF!,#REF!,#REF!,#REF!,+F745:G745,#REF!,#REF!,#REF!)</f>
        <v>#REF!</v>
      </c>
      <c r="H745" s="2" t="e">
        <f>CREATE.OBJECT(#REF!,#REF!,#REF!,#REF!,#REF!,#REF!,H745:I745,#REF!,#REF!,#REF!)</f>
        <v>#REF!</v>
      </c>
      <c r="I745" s="1">
        <v>1</v>
      </c>
      <c r="J745" s="2" t="e">
        <f>CREATE.OBJECT(#REF!,#REF!,#REF!,#REF!,#REF!,#REF!,INDIRECT(J745:K745),#REF!,#REF!,#REF!)</f>
        <v>#REF!</v>
      </c>
      <c r="L745" s="2">
        <f>TYPE(INDEX(,CREATE.OBJECT(#REF!,#REF!,#REF!,#REF!,#REF!,#REF!,OFFSET(INDEX(1,),,),#REF!,#REF!,#REF!)))</f>
        <v>64</v>
      </c>
    </row>
    <row r="746" spans="1:12" x14ac:dyDescent="0.55000000000000004">
      <c r="A746" s="1" t="s">
        <v>1689</v>
      </c>
      <c r="B746" s="2">
        <f>COUNTIF(A:A,A746)-1</f>
        <v>10</v>
      </c>
      <c r="C746" s="2">
        <f>COUNTIF(A$1:A746,A746)-1</f>
        <v>8</v>
      </c>
      <c r="D746" s="2" t="str">
        <f t="shared" si="11"/>
        <v>var</v>
      </c>
      <c r="E746" s="2" t="e">
        <f>CREATE.OBJECT(#REF!,#REF!,#REF!,#REF!,#REF!,#REF!,#REF!,#REF!)</f>
        <v>#REF!</v>
      </c>
      <c r="F746" s="2" t="e">
        <f>CREATE.OBJECT(#REF!,#REF!,#REF!,#REF!,#REF!,#REF!,#REF!,+F746:G746,#REF!,#REF!)</f>
        <v>#REF!</v>
      </c>
      <c r="H746" s="2" t="e">
        <f>CREATE.OBJECT(#REF!,#REF!,#REF!,#REF!,#REF!,#REF!,#REF!,H746:I746,#REF!,#REF!)</f>
        <v>#REF!</v>
      </c>
      <c r="I746" s="1">
        <v>1</v>
      </c>
      <c r="J746" s="2" t="e">
        <f>CREATE.OBJECT(#REF!,#REF!,#REF!,#REF!,#REF!,#REF!,#REF!,INDIRECT(J746:K746),#REF!,#REF!)</f>
        <v>#REF!</v>
      </c>
      <c r="L746" s="2">
        <f>TYPE(INDEX(,CREATE.OBJECT(#REF!,#REF!,#REF!,#REF!,#REF!,#REF!,#REF!,OFFSET(INDEX(1,),,),#REF!,#REF!)))</f>
        <v>16</v>
      </c>
    </row>
    <row r="747" spans="1:12" x14ac:dyDescent="0.55000000000000004">
      <c r="A747" s="1" t="s">
        <v>1689</v>
      </c>
      <c r="B747" s="2">
        <f>COUNTIF(A:A,A747)-1</f>
        <v>10</v>
      </c>
      <c r="C747" s="2">
        <f>COUNTIF(A$1:A747,A747)-1</f>
        <v>9</v>
      </c>
      <c r="D747" s="2" t="str">
        <f t="shared" si="11"/>
        <v>vr</v>
      </c>
      <c r="E747" s="2" t="e">
        <f>CREATE.OBJECT(#REF!,#REF!,#REF!,#REF!,#REF!,#REF!,#REF!,#REF!,#REF!)</f>
        <v>#REF!</v>
      </c>
      <c r="F747" s="2" t="e">
        <f>CREATE.OBJECT(#REF!,#REF!,#REF!,#REF!,#REF!,#REF!,#REF!,#REF!,+F747:G747,#REF!)</f>
        <v>#REF!</v>
      </c>
      <c r="H747" s="2" t="e">
        <f>CREATE.OBJECT(#REF!,#REF!,#REF!,#REF!,#REF!,#REF!,#REF!,#REF!,H747:I747,#REF!)</f>
        <v>#REF!</v>
      </c>
      <c r="I747" s="1">
        <v>1</v>
      </c>
      <c r="J747" s="2" t="e">
        <f>CREATE.OBJECT(#REF!,#REF!,#REF!,#REF!,#REF!,#REF!,#REF!,#REF!,INDIRECT(J747:K747),#REF!)</f>
        <v>#REF!</v>
      </c>
      <c r="L747" s="2">
        <f>TYPE(INDEX(,CREATE.OBJECT(#REF!,#REF!,#REF!,#REF!,#REF!,#REF!,#REF!,#REF!,OFFSET(INDEX(1,),,),#REF!)))</f>
        <v>64</v>
      </c>
    </row>
    <row r="748" spans="1:12" x14ac:dyDescent="0.55000000000000004">
      <c r="A748" s="1" t="s">
        <v>1689</v>
      </c>
      <c r="B748" s="2">
        <f>COUNTIF(A:A,A748)-1</f>
        <v>10</v>
      </c>
      <c r="C748" s="2">
        <f>COUNTIF(A$1:A748,A748)-1</f>
        <v>10</v>
      </c>
      <c r="D748" s="2" t="str">
        <f t="shared" si="11"/>
        <v>vr</v>
      </c>
      <c r="E748" s="2" t="e">
        <f>CREATE.OBJECT(#REF!,#REF!,#REF!,#REF!,#REF!,#REF!,#REF!,#REF!,#REF!,#REF!)</f>
        <v>#REF!</v>
      </c>
      <c r="F748" s="2" t="e">
        <f>CREATE.OBJECT(#REF!,#REF!,#REF!,#REF!,#REF!,#REF!,#REF!,#REF!,#REF!,+F748:G748)</f>
        <v>#REF!</v>
      </c>
      <c r="H748" s="2" t="e">
        <f>CREATE.OBJECT(#REF!,#REF!,#REF!,#REF!,#REF!,#REF!,#REF!,#REF!,#REF!,H748:I748)</f>
        <v>#REF!</v>
      </c>
      <c r="I748" s="1">
        <v>1</v>
      </c>
      <c r="J748" s="2" t="e">
        <f>CREATE.OBJECT(#REF!,#REF!,#REF!,#REF!,#REF!,#REF!,#REF!,#REF!,#REF!,INDIRECT(J748:K748))</f>
        <v>#REF!</v>
      </c>
      <c r="L748" s="2">
        <f>TYPE(INDEX(,CREATE.OBJECT(#REF!,#REF!,#REF!,#REF!,#REF!,#REF!,#REF!,#REF!,#REF!,OFFSET(INDEX(1,),,))))</f>
        <v>64</v>
      </c>
    </row>
    <row r="749" spans="1:12" x14ac:dyDescent="0.55000000000000004">
      <c r="A749" s="1" t="s">
        <v>1690</v>
      </c>
      <c r="B749" s="2">
        <f>COUNTIF(A:A,A749)-1</f>
        <v>1</v>
      </c>
      <c r="C749" s="2">
        <f>COUNTIF(A$1:A749,A749)-1</f>
        <v>0</v>
      </c>
      <c r="D749" s="2" t="str">
        <f t="shared" si="11"/>
        <v/>
      </c>
      <c r="E749" s="2" t="b">
        <f>VOLATILE()</f>
        <v>0</v>
      </c>
      <c r="F749" s="2"/>
      <c r="H749" s="2"/>
      <c r="J749" s="2"/>
      <c r="L749" s="2"/>
    </row>
    <row r="750" spans="1:12" x14ac:dyDescent="0.55000000000000004">
      <c r="A750" s="1" t="s">
        <v>1690</v>
      </c>
      <c r="B750" s="2">
        <f>COUNTIF(A:A,A750)-1</f>
        <v>1</v>
      </c>
      <c r="C750" s="2">
        <f>COUNTIF(A$1:A750,A750)-1</f>
        <v>1</v>
      </c>
      <c r="D750" s="2" t="str">
        <f t="shared" si="11"/>
        <v>v</v>
      </c>
      <c r="E750" s="2" t="b">
        <f>VOLATILE(#REF!)</f>
        <v>0</v>
      </c>
      <c r="F750" s="2" t="b">
        <f>VOLATILE(+F750:G750)</f>
        <v>0</v>
      </c>
      <c r="H750" s="2" t="b">
        <f>VOLATILE(H750:I750)</f>
        <v>0</v>
      </c>
      <c r="J750" s="2" t="b">
        <f>VOLATILE(INDIRECT(J750:K750))</f>
        <v>0</v>
      </c>
      <c r="L750" s="2">
        <f>TYPE(INDEX(,VOLATILE(OFFSET(INDEX(1,),,))))</f>
        <v>64</v>
      </c>
    </row>
    <row r="751" spans="1:12" x14ac:dyDescent="0.55000000000000004">
      <c r="A751" s="1" t="s">
        <v>1483</v>
      </c>
      <c r="B751" s="2">
        <f>COUNTIF(A:A,A751)-1</f>
        <v>0</v>
      </c>
      <c r="C751" s="2">
        <f>COUNTIF(A$1:A751,A751)-1</f>
        <v>0</v>
      </c>
      <c r="D751" s="2" t="str">
        <f t="shared" si="11"/>
        <v/>
      </c>
      <c r="E751" s="2" t="e">
        <f>LAST.ERROR()</f>
        <v>#N/A</v>
      </c>
      <c r="F751" s="2"/>
      <c r="H751" s="2"/>
      <c r="J751" s="2"/>
      <c r="L751" s="2"/>
    </row>
    <row r="752" spans="1:12" x14ac:dyDescent="0.55000000000000004">
      <c r="A752" s="1" t="s">
        <v>1691</v>
      </c>
      <c r="B752" s="2">
        <f>COUNTIF(A:A,A752)-1</f>
        <v>2</v>
      </c>
      <c r="C752" s="2">
        <f>COUNTIF(A$1:A752,A752)-1</f>
        <v>0</v>
      </c>
      <c r="D752" s="2" t="str">
        <f t="shared" si="11"/>
        <v/>
      </c>
      <c r="E752" s="2" t="b">
        <f>CUSTOM.UNDO()</f>
        <v>0</v>
      </c>
      <c r="F752" s="2"/>
      <c r="H752" s="2"/>
      <c r="J752" s="2"/>
      <c r="L752" s="2"/>
    </row>
    <row r="753" spans="1:12" x14ac:dyDescent="0.55000000000000004">
      <c r="A753" s="1" t="s">
        <v>1691</v>
      </c>
      <c r="B753" s="2">
        <f>COUNTIF(A:A,A753)-1</f>
        <v>2</v>
      </c>
      <c r="C753" s="2">
        <f>COUNTIF(A$1:A753,A753)-1</f>
        <v>1</v>
      </c>
      <c r="D753" s="2" t="str">
        <f t="shared" si="11"/>
        <v>v</v>
      </c>
      <c r="E753" s="2" t="b">
        <f>CUSTOM.UNDO(#REF!)</f>
        <v>0</v>
      </c>
      <c r="F753" s="2" t="b">
        <f>CUSTOM.UNDO(+F753:G753,#REF!)</f>
        <v>0</v>
      </c>
      <c r="H753" s="2" t="b">
        <f>CUSTOM.UNDO(H753:I753,#REF!)</f>
        <v>0</v>
      </c>
      <c r="J753" s="2" t="b">
        <f>CUSTOM.UNDO(INDIRECT(J753:K753),#REF!)</f>
        <v>0</v>
      </c>
      <c r="L753" s="2">
        <f>TYPE(INDEX(,CUSTOM.UNDO(OFFSET(INDEX(1,),,),#REF!)))</f>
        <v>64</v>
      </c>
    </row>
    <row r="754" spans="1:12" x14ac:dyDescent="0.55000000000000004">
      <c r="A754" s="1" t="s">
        <v>1691</v>
      </c>
      <c r="B754" s="2">
        <f>COUNTIF(A:A,A754)-1</f>
        <v>2</v>
      </c>
      <c r="C754" s="2">
        <f>COUNTIF(A$1:A754,A754)-1</f>
        <v>2</v>
      </c>
      <c r="D754" s="2" t="str">
        <f t="shared" si="11"/>
        <v>v</v>
      </c>
      <c r="E754" s="2" t="b">
        <f>CUSTOM.UNDO(#REF!,#REF!)</f>
        <v>0</v>
      </c>
      <c r="F754" s="2" t="b">
        <f>CUSTOM.UNDO(#REF!,+F754:G754)</f>
        <v>0</v>
      </c>
      <c r="H754" s="2" t="b">
        <f>CUSTOM.UNDO(#REF!,H754:I754)</f>
        <v>0</v>
      </c>
      <c r="J754" s="2" t="b">
        <f>CUSTOM.UNDO(#REF!,INDIRECT(J754:K754))</f>
        <v>0</v>
      </c>
      <c r="L754" s="2">
        <f>TYPE(INDEX(,CUSTOM.UNDO(#REF!,OFFSET(INDEX(1,),,))))</f>
        <v>64</v>
      </c>
    </row>
    <row r="755" spans="1:12" x14ac:dyDescent="0.55000000000000004">
      <c r="A755" s="1" t="s">
        <v>1692</v>
      </c>
      <c r="B755" s="2">
        <f>COUNTIF(A:A,A755)-1</f>
        <v>3</v>
      </c>
      <c r="C755" s="2">
        <f>COUNTIF(A$1:A755,A755)-1</f>
        <v>0</v>
      </c>
      <c r="D755" s="2" t="str">
        <f t="shared" si="11"/>
        <v/>
      </c>
      <c r="E755" s="2" t="b">
        <f>CUSTOM.REPEAT()</f>
        <v>0</v>
      </c>
      <c r="F755" s="2"/>
      <c r="H755" s="2"/>
      <c r="J755" s="2"/>
      <c r="L755" s="2"/>
    </row>
    <row r="756" spans="1:12" x14ac:dyDescent="0.55000000000000004">
      <c r="A756" s="1" t="s">
        <v>1692</v>
      </c>
      <c r="B756" s="2">
        <f>COUNTIF(A:A,A756)-1</f>
        <v>3</v>
      </c>
      <c r="C756" s="2">
        <f>COUNTIF(A$1:A756,A756)-1</f>
        <v>1</v>
      </c>
      <c r="D756" s="2" t="str">
        <f t="shared" si="11"/>
        <v>v</v>
      </c>
      <c r="E756" s="2" t="b">
        <f>CUSTOM.REPEAT(#REF!)</f>
        <v>0</v>
      </c>
      <c r="F756" s="2" t="b">
        <f>CUSTOM.REPEAT(+F756:G756,#REF!,#REF!)</f>
        <v>0</v>
      </c>
      <c r="H756" s="2" t="b">
        <f>CUSTOM.REPEAT(H756:I756,#REF!,#REF!)</f>
        <v>0</v>
      </c>
      <c r="J756" s="2" t="b">
        <f>CUSTOM.REPEAT(INDIRECT(J756:K756),#REF!,#REF!)</f>
        <v>0</v>
      </c>
      <c r="L756" s="2">
        <f>TYPE(INDEX(,CUSTOM.REPEAT(OFFSET(INDEX(1,),,),#REF!,#REF!)))</f>
        <v>64</v>
      </c>
    </row>
    <row r="757" spans="1:12" x14ac:dyDescent="0.55000000000000004">
      <c r="A757" s="1" t="s">
        <v>1692</v>
      </c>
      <c r="B757" s="2">
        <f>COUNTIF(A:A,A757)-1</f>
        <v>3</v>
      </c>
      <c r="C757" s="2">
        <f>COUNTIF(A$1:A757,A757)-1</f>
        <v>2</v>
      </c>
      <c r="D757" s="2" t="str">
        <f t="shared" si="11"/>
        <v>v</v>
      </c>
      <c r="E757" s="2" t="b">
        <f>CUSTOM.REPEAT(#REF!,#REF!)</f>
        <v>0</v>
      </c>
      <c r="F757" s="2" t="b">
        <f>CUSTOM.REPEAT(#REF!,+F757:G757,#REF!)</f>
        <v>0</v>
      </c>
      <c r="H757" s="2" t="b">
        <f>CUSTOM.REPEAT(#REF!,H757:I757,#REF!)</f>
        <v>0</v>
      </c>
      <c r="J757" s="2" t="b">
        <f>CUSTOM.REPEAT(#REF!,INDIRECT(J757:K757),#REF!)</f>
        <v>0</v>
      </c>
      <c r="L757" s="2">
        <f>TYPE(INDEX(,CUSTOM.REPEAT(#REF!,OFFSET(INDEX(1,),,),#REF!)))</f>
        <v>64</v>
      </c>
    </row>
    <row r="758" spans="1:12" x14ac:dyDescent="0.55000000000000004">
      <c r="A758" s="1" t="s">
        <v>1692</v>
      </c>
      <c r="B758" s="2">
        <f>COUNTIF(A:A,A758)-1</f>
        <v>3</v>
      </c>
      <c r="C758" s="2">
        <f>COUNTIF(A$1:A758,A758)-1</f>
        <v>3</v>
      </c>
      <c r="D758" s="2" t="str">
        <f t="shared" si="11"/>
        <v>v</v>
      </c>
      <c r="E758" s="2" t="b">
        <f>CUSTOM.REPEAT(#REF!,#REF!,#REF!)</f>
        <v>0</v>
      </c>
      <c r="F758" s="2" t="b">
        <f>CUSTOM.REPEAT(#REF!,#REF!,+F758:G758)</f>
        <v>0</v>
      </c>
      <c r="H758" s="2" t="b">
        <f>CUSTOM.REPEAT(#REF!,#REF!,H758:I758)</f>
        <v>0</v>
      </c>
      <c r="J758" s="2" t="b">
        <f>CUSTOM.REPEAT(#REF!,#REF!,INDIRECT(J758:K758))</f>
        <v>0</v>
      </c>
      <c r="L758" s="2">
        <f>TYPE(INDEX(,CUSTOM.REPEAT(#REF!,#REF!,OFFSET(INDEX(1,),,))))</f>
        <v>64</v>
      </c>
    </row>
    <row r="759" spans="1:12" x14ac:dyDescent="0.55000000000000004">
      <c r="A759" s="1" t="s">
        <v>1693</v>
      </c>
      <c r="B759" s="2">
        <f>COUNTIF(A:A,A759)-1</f>
        <v>5</v>
      </c>
      <c r="C759" s="2">
        <f>COUNTIF(A$1:A759,A759)-1</f>
        <v>0</v>
      </c>
      <c r="D759" s="2" t="str">
        <f t="shared" si="11"/>
        <v/>
      </c>
      <c r="E759" s="2"/>
      <c r="F759" s="2"/>
      <c r="H759" s="2"/>
      <c r="J759" s="2"/>
      <c r="L759" s="2"/>
    </row>
    <row r="760" spans="1:12" x14ac:dyDescent="0.55000000000000004">
      <c r="A760" s="1" t="s">
        <v>1693</v>
      </c>
      <c r="B760" s="2">
        <f>COUNTIF(A:A,A760)-1</f>
        <v>5</v>
      </c>
      <c r="C760" s="2">
        <f>COUNTIF(A$1:A760,A760)-1</f>
        <v>1</v>
      </c>
      <c r="D760" s="2" t="str">
        <f t="shared" si="11"/>
        <v>v</v>
      </c>
      <c r="E760" s="2"/>
      <c r="F760" s="2" t="e">
        <f>FORMULA.CONVERT(+F760:G760,#REF!,#REF!,#REF!,#REF!)</f>
        <v>#REF!</v>
      </c>
      <c r="H760" s="2" t="e">
        <f>FORMULA.CONVERT(H760:I760,#REF!,#REF!,#REF!,#REF!)</f>
        <v>#REF!</v>
      </c>
      <c r="J760" s="2" t="e">
        <f>FORMULA.CONVERT(INDIRECT(J760:K760),#REF!,#REF!,#REF!,#REF!)</f>
        <v>#REF!</v>
      </c>
      <c r="L760" s="2">
        <f>TYPE(INDEX(,FORMULA.CONVERT(OFFSET(INDEX(1,),,),#REF!,#REF!,#REF!,#REF!)))</f>
        <v>64</v>
      </c>
    </row>
    <row r="761" spans="1:12" x14ac:dyDescent="0.55000000000000004">
      <c r="A761" s="1" t="s">
        <v>1693</v>
      </c>
      <c r="B761" s="2">
        <f>COUNTIF(A:A,A761)-1</f>
        <v>5</v>
      </c>
      <c r="C761" s="2">
        <f>COUNTIF(A$1:A761,A761)-1</f>
        <v>2</v>
      </c>
      <c r="D761" s="2" t="str">
        <f t="shared" si="11"/>
        <v>vr</v>
      </c>
      <c r="E761" s="2" t="e">
        <f>FORMULA.CONVERT(#REF!,#REF!)</f>
        <v>#REF!</v>
      </c>
      <c r="F761" s="2" t="e">
        <f>FORMULA.CONVERT(#REF!,+F761:G761,#REF!,#REF!,#REF!)</f>
        <v>#REF!</v>
      </c>
      <c r="H761" s="2" t="e">
        <f>FORMULA.CONVERT(#REF!,H761:I761,#REF!,#REF!,#REF!)</f>
        <v>#REF!</v>
      </c>
      <c r="I761" s="1">
        <v>1</v>
      </c>
      <c r="J761" s="2" t="e">
        <f>FORMULA.CONVERT(#REF!,INDIRECT(J761:K761),#REF!,#REF!,#REF!)</f>
        <v>#REF!</v>
      </c>
      <c r="L761" s="2">
        <f>TYPE(INDEX(,FORMULA.CONVERT(#REF!,OFFSET(INDEX(1,),,),#REF!,#REF!,#REF!)))</f>
        <v>64</v>
      </c>
    </row>
    <row r="762" spans="1:12" x14ac:dyDescent="0.55000000000000004">
      <c r="A762" s="1" t="s">
        <v>1693</v>
      </c>
      <c r="B762" s="2">
        <f>COUNTIF(A:A,A762)-1</f>
        <v>5</v>
      </c>
      <c r="C762" s="2">
        <f>COUNTIF(A$1:A762,A762)-1</f>
        <v>3</v>
      </c>
      <c r="D762" s="2" t="str">
        <f t="shared" si="11"/>
        <v>vr</v>
      </c>
      <c r="E762" s="2" t="e">
        <f>FORMULA.CONVERT(#REF!,#REF!,#REF!)</f>
        <v>#REF!</v>
      </c>
      <c r="F762" s="2" t="e">
        <f>FORMULA.CONVERT(#REF!,#REF!,+F762:G762,#REF!,#REF!)</f>
        <v>#REF!</v>
      </c>
      <c r="H762" s="2" t="e">
        <f>FORMULA.CONVERT(#REF!,#REF!,H762:I762,#REF!,#REF!)</f>
        <v>#REF!</v>
      </c>
      <c r="I762" s="1">
        <v>1</v>
      </c>
      <c r="J762" s="2" t="e">
        <f>FORMULA.CONVERT(#REF!,#REF!,INDIRECT(J762:K762),#REF!,#REF!)</f>
        <v>#REF!</v>
      </c>
      <c r="L762" s="2">
        <f>TYPE(INDEX(,FORMULA.CONVERT(#REF!,#REF!,OFFSET(INDEX(1,),,),#REF!,#REF!)))</f>
        <v>64</v>
      </c>
    </row>
    <row r="763" spans="1:12" x14ac:dyDescent="0.55000000000000004">
      <c r="A763" s="1" t="s">
        <v>1693</v>
      </c>
      <c r="B763" s="2">
        <f>COUNTIF(A:A,A763)-1</f>
        <v>5</v>
      </c>
      <c r="C763" s="2">
        <f>COUNTIF(A$1:A763,A763)-1</f>
        <v>4</v>
      </c>
      <c r="D763" s="2" t="str">
        <f t="shared" si="11"/>
        <v>vr</v>
      </c>
      <c r="E763" s="2" t="e">
        <f>FORMULA.CONVERT(#REF!,#REF!,#REF!,#REF!)</f>
        <v>#REF!</v>
      </c>
      <c r="F763" s="2" t="e">
        <f>FORMULA.CONVERT(#REF!,#REF!,#REF!,+F763:G763,#REF!)</f>
        <v>#REF!</v>
      </c>
      <c r="H763" s="2" t="e">
        <f>FORMULA.CONVERT(#REF!,#REF!,#REF!,H763:I763,#REF!)</f>
        <v>#REF!</v>
      </c>
      <c r="I763" s="1">
        <v>1</v>
      </c>
      <c r="J763" s="2" t="e">
        <f>FORMULA.CONVERT(#REF!,#REF!,#REF!,INDIRECT(J763:K763),#REF!)</f>
        <v>#REF!</v>
      </c>
      <c r="L763" s="2">
        <f>TYPE(INDEX(,FORMULA.CONVERT(#REF!,#REF!,#REF!,OFFSET(INDEX(1,),,),#REF!)))</f>
        <v>64</v>
      </c>
    </row>
    <row r="764" spans="1:12" x14ac:dyDescent="0.55000000000000004">
      <c r="A764" s="1" t="s">
        <v>1693</v>
      </c>
      <c r="B764" s="2">
        <f>COUNTIF(A:A,A764)-1</f>
        <v>5</v>
      </c>
      <c r="C764" s="2">
        <f>COUNTIF(A$1:A764,A764)-1</f>
        <v>5</v>
      </c>
      <c r="D764" s="2" t="str">
        <f t="shared" si="11"/>
        <v>vr</v>
      </c>
      <c r="E764" s="2" t="e">
        <f>FORMULA.CONVERT(#REF!,#REF!,#REF!,#REF!,#REF!)</f>
        <v>#REF!</v>
      </c>
      <c r="F764" s="2" t="e">
        <f>FORMULA.CONVERT(#REF!,#REF!,#REF!,#REF!,+F764:G764)</f>
        <v>#REF!</v>
      </c>
      <c r="H764" s="2" t="e">
        <f>FORMULA.CONVERT(#REF!,#REF!,#REF!,#REF!,H764:I764)</f>
        <v>#REF!</v>
      </c>
      <c r="I764" s="1">
        <v>1</v>
      </c>
      <c r="J764" s="2" t="e">
        <f>FORMULA.CONVERT(#REF!,#REF!,#REF!,#REF!,INDIRECT(J764:K764))</f>
        <v>#REF!</v>
      </c>
      <c r="L764" s="2">
        <f>TYPE(INDEX(,FORMULA.CONVERT(#REF!,#REF!,#REF!,#REF!,OFFSET(INDEX(1,),,))))</f>
        <v>64</v>
      </c>
    </row>
    <row r="765" spans="1:12" x14ac:dyDescent="0.55000000000000004">
      <c r="A765" s="1" t="s">
        <v>1694</v>
      </c>
      <c r="B765" s="2">
        <f>COUNTIF(A:A,A765)-1</f>
        <v>4</v>
      </c>
      <c r="C765" s="2">
        <f>COUNTIF(A$1:A765,A765)-1</f>
        <v>0</v>
      </c>
      <c r="D765" s="2" t="str">
        <f t="shared" si="11"/>
        <v/>
      </c>
      <c r="E765" s="2"/>
      <c r="F765" s="2"/>
      <c r="H765" s="2"/>
      <c r="J765" s="2"/>
      <c r="L765" s="2"/>
    </row>
    <row r="766" spans="1:12" x14ac:dyDescent="0.55000000000000004">
      <c r="A766" s="1" t="s">
        <v>1694</v>
      </c>
      <c r="B766" s="2">
        <f>COUNTIF(A:A,A766)-1</f>
        <v>4</v>
      </c>
      <c r="C766" s="2">
        <f>COUNTIF(A$1:A766,A766)-1</f>
        <v>1</v>
      </c>
      <c r="D766" s="2" t="str">
        <f t="shared" si="11"/>
        <v>v</v>
      </c>
      <c r="E766" s="2"/>
      <c r="F766" s="2" t="e">
        <f>GET.LINK.INFO(+F766:G766,#REF!,#REF!,#REF!)</f>
        <v>#REF!</v>
      </c>
      <c r="H766" s="2" t="e">
        <f>GET.LINK.INFO(H766:I766,#REF!,#REF!,#REF!)</f>
        <v>#REF!</v>
      </c>
      <c r="J766" s="2" t="e">
        <f>GET.LINK.INFO(INDIRECT(J766:K766),#REF!,#REF!,#REF!)</f>
        <v>#REF!</v>
      </c>
      <c r="L766" s="2">
        <f>TYPE(INDEX(,GET.LINK.INFO(OFFSET(INDEX(1,),,),#REF!,#REF!,#REF!)))</f>
        <v>64</v>
      </c>
    </row>
    <row r="767" spans="1:12" x14ac:dyDescent="0.55000000000000004">
      <c r="A767" s="1" t="s">
        <v>1694</v>
      </c>
      <c r="B767" s="2">
        <f>COUNTIF(A:A,A767)-1</f>
        <v>4</v>
      </c>
      <c r="C767" s="2">
        <f>COUNTIF(A$1:A767,A767)-1</f>
        <v>2</v>
      </c>
      <c r="D767" s="2" t="str">
        <f t="shared" si="11"/>
        <v>v</v>
      </c>
      <c r="E767" s="2" t="e">
        <f>GET.LINK.INFO(#REF!,#REF!)</f>
        <v>#REF!</v>
      </c>
      <c r="F767" s="2" t="e">
        <f>GET.LINK.INFO(#REF!,+F767:G767,#REF!,#REF!)</f>
        <v>#REF!</v>
      </c>
      <c r="H767" s="2" t="e">
        <f>GET.LINK.INFO(#REF!,H767:I767,#REF!,#REF!)</f>
        <v>#REF!</v>
      </c>
      <c r="J767" s="2" t="e">
        <f>GET.LINK.INFO(#REF!,INDIRECT(J767:K767),#REF!,#REF!)</f>
        <v>#REF!</v>
      </c>
      <c r="L767" s="2">
        <f>TYPE(INDEX(,GET.LINK.INFO(#REF!,OFFSET(INDEX(1,),,),#REF!,#REF!)))</f>
        <v>64</v>
      </c>
    </row>
    <row r="768" spans="1:12" x14ac:dyDescent="0.55000000000000004">
      <c r="A768" s="1" t="s">
        <v>1694</v>
      </c>
      <c r="B768" s="2">
        <f>COUNTIF(A:A,A768)-1</f>
        <v>4</v>
      </c>
      <c r="C768" s="2">
        <f>COUNTIF(A$1:A768,A768)-1</f>
        <v>3</v>
      </c>
      <c r="D768" s="2" t="str">
        <f t="shared" si="11"/>
        <v>v</v>
      </c>
      <c r="E768" s="2" t="e">
        <f>GET.LINK.INFO(#REF!,#REF!,#REF!)</f>
        <v>#REF!</v>
      </c>
      <c r="F768" s="2" t="e">
        <f>GET.LINK.INFO(#REF!,#REF!,+F768:G768,#REF!)</f>
        <v>#REF!</v>
      </c>
      <c r="H768" s="2" t="e">
        <f>GET.LINK.INFO(#REF!,#REF!,H768:I768,#REF!)</f>
        <v>#REF!</v>
      </c>
      <c r="J768" s="2" t="e">
        <f>GET.LINK.INFO(#REF!,#REF!,INDIRECT(J768:K768),#REF!)</f>
        <v>#REF!</v>
      </c>
      <c r="L768" s="2">
        <f>TYPE(INDEX(,GET.LINK.INFO(#REF!,#REF!,OFFSET(INDEX(1,),,),#REF!)))</f>
        <v>64</v>
      </c>
    </row>
    <row r="769" spans="1:12" x14ac:dyDescent="0.55000000000000004">
      <c r="A769" s="1" t="s">
        <v>1694</v>
      </c>
      <c r="B769" s="2">
        <f>COUNTIF(A:A,A769)-1</f>
        <v>4</v>
      </c>
      <c r="C769" s="2">
        <f>COUNTIF(A$1:A769,A769)-1</f>
        <v>4</v>
      </c>
      <c r="D769" s="2" t="str">
        <f t="shared" si="11"/>
        <v>v</v>
      </c>
      <c r="E769" s="2" t="e">
        <f>GET.LINK.INFO(#REF!,#REF!,#REF!,#REF!)</f>
        <v>#REF!</v>
      </c>
      <c r="F769" s="2" t="e">
        <f>GET.LINK.INFO(#REF!,#REF!,#REF!,+F769:G769)</f>
        <v>#REF!</v>
      </c>
      <c r="H769" s="2" t="e">
        <f>GET.LINK.INFO(#REF!,#REF!,#REF!,H769:I769)</f>
        <v>#REF!</v>
      </c>
      <c r="J769" s="2" t="e">
        <f>GET.LINK.INFO(#REF!,#REF!,#REF!,INDIRECT(J769:K769))</f>
        <v>#REF!</v>
      </c>
      <c r="L769" s="2">
        <f>TYPE(INDEX(,GET.LINK.INFO(#REF!,#REF!,#REF!,OFFSET(INDEX(1,),,))))</f>
        <v>64</v>
      </c>
    </row>
    <row r="770" spans="1:12" x14ac:dyDescent="0.55000000000000004">
      <c r="A770" s="1" t="s">
        <v>1695</v>
      </c>
      <c r="B770" s="2">
        <f>COUNTIF(A:A,A770)-1</f>
        <v>4</v>
      </c>
      <c r="C770" s="2">
        <f>COUNTIF(A$1:A770,A770)-1</f>
        <v>0</v>
      </c>
      <c r="D770" s="2" t="str">
        <f t="shared" ref="D770:D833" si="12">IF(C770&gt;0,IF(COUNTA(F770:G770)=1,"v",)&amp;IF(L770=64,,"a")&amp;IF(COUNTA(I770,K770)=1,"r",),"")</f>
        <v/>
      </c>
      <c r="E770" s="2"/>
      <c r="F770" s="2"/>
      <c r="H770" s="2"/>
      <c r="J770" s="2"/>
      <c r="L770" s="2"/>
    </row>
    <row r="771" spans="1:12" x14ac:dyDescent="0.55000000000000004">
      <c r="A771" s="1" t="s">
        <v>1695</v>
      </c>
      <c r="B771" s="2">
        <f>COUNTIF(A:A,A771)-1</f>
        <v>4</v>
      </c>
      <c r="C771" s="2">
        <f>COUNTIF(A$1:A771,A771)-1</f>
        <v>1</v>
      </c>
      <c r="D771" s="2" t="str">
        <f t="shared" si="12"/>
        <v>v</v>
      </c>
      <c r="E771" s="2" t="e">
        <f>TEXT.BOX(#REF!)</f>
        <v>#REF!</v>
      </c>
      <c r="F771" s="2" t="e">
        <f>TEXT.BOX(+F771:G771,#REF!,#REF!,#REF!)</f>
        <v>#REF!</v>
      </c>
      <c r="H771" s="2" t="e">
        <f>TEXT.BOX(H771:I771,#REF!,#REF!,#REF!)</f>
        <v>#REF!</v>
      </c>
      <c r="J771" s="2" t="e">
        <f>TEXT.BOX(INDIRECT(J771:K771),#REF!,#REF!,#REF!)</f>
        <v>#REF!</v>
      </c>
      <c r="L771" s="2">
        <f>TYPE(INDEX(,TEXT.BOX(OFFSET(INDEX(1,),,),#REF!,#REF!,#REF!)))</f>
        <v>64</v>
      </c>
    </row>
    <row r="772" spans="1:12" x14ac:dyDescent="0.55000000000000004">
      <c r="A772" s="1" t="s">
        <v>1695</v>
      </c>
      <c r="B772" s="2">
        <f>COUNTIF(A:A,A772)-1</f>
        <v>4</v>
      </c>
      <c r="C772" s="2">
        <f>COUNTIF(A$1:A772,A772)-1</f>
        <v>2</v>
      </c>
      <c r="D772" s="2" t="str">
        <f t="shared" si="12"/>
        <v>v</v>
      </c>
      <c r="E772" s="2" t="e">
        <f>TEXT.BOX(#REF!,#REF!)</f>
        <v>#REF!</v>
      </c>
      <c r="F772" s="2" t="e">
        <f>TEXT.BOX(#REF!,+F772:G772,#REF!,#REF!)</f>
        <v>#REF!</v>
      </c>
      <c r="H772" s="2" t="e">
        <f>TEXT.BOX(#REF!,H772:I772,#REF!,#REF!)</f>
        <v>#REF!</v>
      </c>
      <c r="J772" s="2" t="e">
        <f>TEXT.BOX(#REF!,INDIRECT(J772:K772),#REF!,#REF!)</f>
        <v>#REF!</v>
      </c>
      <c r="L772" s="2">
        <f>TYPE(INDEX(,TEXT.BOX(#REF!,OFFSET(INDEX(1,),,),#REF!,#REF!)))</f>
        <v>64</v>
      </c>
    </row>
    <row r="773" spans="1:12" x14ac:dyDescent="0.55000000000000004">
      <c r="A773" s="1" t="s">
        <v>1695</v>
      </c>
      <c r="B773" s="2">
        <f>COUNTIF(A:A,A773)-1</f>
        <v>4</v>
      </c>
      <c r="C773" s="2">
        <f>COUNTIF(A$1:A773,A773)-1</f>
        <v>3</v>
      </c>
      <c r="D773" s="2" t="str">
        <f t="shared" si="12"/>
        <v>v</v>
      </c>
      <c r="E773" s="2" t="e">
        <f>TEXT.BOX(#REF!,#REF!,#REF!)</f>
        <v>#REF!</v>
      </c>
      <c r="F773" s="2" t="e">
        <f>TEXT.BOX(#REF!,#REF!,+F773:G773,#REF!)</f>
        <v>#REF!</v>
      </c>
      <c r="H773" s="2" t="e">
        <f>TEXT.BOX(#REF!,#REF!,H773:I773,#REF!)</f>
        <v>#REF!</v>
      </c>
      <c r="J773" s="2" t="e">
        <f>TEXT.BOX(#REF!,#REF!,INDIRECT(J773:K773),#REF!)</f>
        <v>#REF!</v>
      </c>
      <c r="L773" s="2">
        <f>TYPE(INDEX(,TEXT.BOX(#REF!,#REF!,OFFSET(INDEX(1,),,),#REF!)))</f>
        <v>64</v>
      </c>
    </row>
    <row r="774" spans="1:12" x14ac:dyDescent="0.55000000000000004">
      <c r="A774" s="1" t="s">
        <v>1695</v>
      </c>
      <c r="B774" s="2">
        <f>COUNTIF(A:A,A774)-1</f>
        <v>4</v>
      </c>
      <c r="C774" s="2">
        <f>COUNTIF(A$1:A774,A774)-1</f>
        <v>4</v>
      </c>
      <c r="D774" s="2" t="str">
        <f t="shared" si="12"/>
        <v>v</v>
      </c>
      <c r="E774" s="2" t="e">
        <f>TEXT.BOX(#REF!,#REF!,#REF!,#REF!)</f>
        <v>#REF!</v>
      </c>
      <c r="F774" s="2" t="e">
        <f>TEXT.BOX(#REF!,#REF!,#REF!,+F774:G774)</f>
        <v>#REF!</v>
      </c>
      <c r="H774" s="2" t="e">
        <f>TEXT.BOX(#REF!,#REF!,#REF!,H774:I774)</f>
        <v>#REF!</v>
      </c>
      <c r="J774" s="2" t="e">
        <f>TEXT.BOX(#REF!,#REF!,#REF!,INDIRECT(J774:K774))</f>
        <v>#REF!</v>
      </c>
      <c r="L774" s="2">
        <f>TYPE(INDEX(,TEXT.BOX(#REF!,#REF!,#REF!,OFFSET(INDEX(1,),,))))</f>
        <v>64</v>
      </c>
    </row>
    <row r="775" spans="1:12" x14ac:dyDescent="0.55000000000000004">
      <c r="A775" s="1" t="s">
        <v>1696</v>
      </c>
      <c r="B775" s="2">
        <f>COUNTIF(A:A,A775)-1</f>
        <v>1</v>
      </c>
      <c r="C775" s="2">
        <f>COUNTIF(A$1:A775,A775)-1</f>
        <v>0</v>
      </c>
      <c r="D775" s="2" t="str">
        <f t="shared" si="12"/>
        <v/>
      </c>
      <c r="E775" s="2"/>
      <c r="F775" s="2"/>
      <c r="H775" s="2"/>
      <c r="J775" s="2"/>
      <c r="L775" s="2"/>
    </row>
    <row r="776" spans="1:12" x14ac:dyDescent="0.55000000000000004">
      <c r="A776" s="1" t="s">
        <v>1696</v>
      </c>
      <c r="B776" s="2">
        <f>COUNTIF(A:A,A776)-1</f>
        <v>1</v>
      </c>
      <c r="C776" s="2">
        <f>COUNTIF(A$1:A776,A776)-1</f>
        <v>1</v>
      </c>
      <c r="D776" s="2" t="str">
        <f t="shared" si="12"/>
        <v>v</v>
      </c>
      <c r="E776" s="2" t="e">
        <f>INFO(#REF!)</f>
        <v>#REF!</v>
      </c>
      <c r="F776" s="2" t="e">
        <f>INFO(+F776:G776)</f>
        <v>#VALUE!</v>
      </c>
      <c r="H776" s="2" t="e">
        <f>INFO(H776:I776)</f>
        <v>#VALUE!</v>
      </c>
      <c r="J776" s="2" t="e">
        <f>INFO(INDIRECT(J776:K776))</f>
        <v>#REF!</v>
      </c>
      <c r="L776" s="2">
        <f>TYPE(INDEX(,INFO(OFFSET(INDEX(1,),,))))</f>
        <v>64</v>
      </c>
    </row>
    <row r="777" spans="1:12" x14ac:dyDescent="0.55000000000000004">
      <c r="A777" s="1" t="s">
        <v>1484</v>
      </c>
      <c r="B777" s="2">
        <f>COUNTIF(A:A,A777)-1</f>
        <v>0</v>
      </c>
      <c r="C777" s="2">
        <f>COUNTIF(A$1:A777,A777)-1</f>
        <v>0</v>
      </c>
      <c r="D777" s="2" t="str">
        <f t="shared" si="12"/>
        <v/>
      </c>
      <c r="E777" s="2" t="b">
        <f>GROUP()</f>
        <v>0</v>
      </c>
      <c r="F777" s="2"/>
      <c r="H777" s="2"/>
      <c r="J777" s="2"/>
      <c r="L777" s="2"/>
    </row>
    <row r="778" spans="1:12" x14ac:dyDescent="0.55000000000000004">
      <c r="A778" s="1" t="s">
        <v>1697</v>
      </c>
      <c r="B778" s="2">
        <f>COUNTIF(A:A,A778)-1</f>
        <v>5</v>
      </c>
      <c r="C778" s="2">
        <f>COUNTIF(A$1:A778,A778)-1</f>
        <v>0</v>
      </c>
      <c r="D778" s="2" t="str">
        <f t="shared" si="12"/>
        <v/>
      </c>
      <c r="E778" s="2"/>
      <c r="F778" s="2"/>
      <c r="H778" s="2"/>
      <c r="J778" s="2"/>
      <c r="L778" s="2"/>
    </row>
    <row r="779" spans="1:12" x14ac:dyDescent="0.55000000000000004">
      <c r="A779" s="1" t="s">
        <v>1697</v>
      </c>
      <c r="B779" s="2">
        <f>COUNTIF(A:A,A779)-1</f>
        <v>5</v>
      </c>
      <c r="C779" s="2">
        <f>COUNTIF(A$1:A779,A779)-1</f>
        <v>1</v>
      </c>
      <c r="D779" s="2" t="str">
        <f t="shared" si="12"/>
        <v>v</v>
      </c>
      <c r="E779" s="2" t="e">
        <f>GET.OBJECT(#REF!)</f>
        <v>#REF!</v>
      </c>
      <c r="F779" s="2" t="e">
        <f>GET.OBJECT(+F779:G779,#REF!,#REF!,#REF!,#REF!)</f>
        <v>#REF!</v>
      </c>
      <c r="H779" s="2" t="e">
        <f>GET.OBJECT(H779:I779,#REF!,#REF!,#REF!,#REF!)</f>
        <v>#REF!</v>
      </c>
      <c r="J779" s="2" t="e">
        <f>GET.OBJECT(INDIRECT(J779:K779),#REF!,#REF!,#REF!,#REF!)</f>
        <v>#REF!</v>
      </c>
      <c r="L779" s="2">
        <f>TYPE(INDEX(,GET.OBJECT(OFFSET(INDEX(1,),,),#REF!,#REF!,#REF!,#REF!)))</f>
        <v>64</v>
      </c>
    </row>
    <row r="780" spans="1:12" x14ac:dyDescent="0.55000000000000004">
      <c r="A780" s="1" t="s">
        <v>1697</v>
      </c>
      <c r="B780" s="2">
        <f>COUNTIF(A:A,A780)-1</f>
        <v>5</v>
      </c>
      <c r="C780" s="2">
        <f>COUNTIF(A$1:A780,A780)-1</f>
        <v>2</v>
      </c>
      <c r="D780" s="2" t="str">
        <f t="shared" si="12"/>
        <v>v</v>
      </c>
      <c r="E780" s="2" t="e">
        <f>GET.OBJECT(#REF!,#REF!)</f>
        <v>#REF!</v>
      </c>
      <c r="F780" s="2" t="e">
        <f>GET.OBJECT(#REF!,+F780:G780,#REF!,#REF!,#REF!)</f>
        <v>#REF!</v>
      </c>
      <c r="H780" s="2" t="e">
        <f>GET.OBJECT(#REF!,H780:I780,#REF!,#REF!,#REF!)</f>
        <v>#REF!</v>
      </c>
      <c r="J780" s="2" t="e">
        <f>GET.OBJECT(#REF!,INDIRECT(J780:K780),#REF!,#REF!,#REF!)</f>
        <v>#REF!</v>
      </c>
      <c r="L780" s="2">
        <f>TYPE(INDEX(,GET.OBJECT(#REF!,OFFSET(INDEX(1,),,),#REF!,#REF!,#REF!)))</f>
        <v>64</v>
      </c>
    </row>
    <row r="781" spans="1:12" x14ac:dyDescent="0.55000000000000004">
      <c r="A781" s="1" t="s">
        <v>1697</v>
      </c>
      <c r="B781" s="2">
        <f>COUNTIF(A:A,A781)-1</f>
        <v>5</v>
      </c>
      <c r="C781" s="2">
        <f>COUNTIF(A$1:A781,A781)-1</f>
        <v>3</v>
      </c>
      <c r="D781" s="2" t="str">
        <f t="shared" si="12"/>
        <v>v</v>
      </c>
      <c r="E781" s="2" t="e">
        <f>GET.OBJECT(#REF!,#REF!,#REF!)</f>
        <v>#REF!</v>
      </c>
      <c r="F781" s="2" t="e">
        <f>GET.OBJECT(#REF!,#REF!,+F781:G781,#REF!,#REF!)</f>
        <v>#REF!</v>
      </c>
      <c r="H781" s="2" t="e">
        <f>GET.OBJECT(#REF!,#REF!,H781:I781,#REF!,#REF!)</f>
        <v>#REF!</v>
      </c>
      <c r="J781" s="2" t="e">
        <f>GET.OBJECT(#REF!,#REF!,INDIRECT(J781:K781),#REF!,#REF!)</f>
        <v>#REF!</v>
      </c>
      <c r="L781" s="2">
        <f>TYPE(INDEX(,GET.OBJECT(#REF!,#REF!,OFFSET(INDEX(1,),,),#REF!,#REF!)))</f>
        <v>64</v>
      </c>
    </row>
    <row r="782" spans="1:12" x14ac:dyDescent="0.55000000000000004">
      <c r="A782" s="1" t="s">
        <v>1697</v>
      </c>
      <c r="B782" s="2">
        <f>COUNTIF(A:A,A782)-1</f>
        <v>5</v>
      </c>
      <c r="C782" s="2">
        <f>COUNTIF(A$1:A782,A782)-1</f>
        <v>4</v>
      </c>
      <c r="D782" s="2" t="str">
        <f t="shared" si="12"/>
        <v>v</v>
      </c>
      <c r="E782" s="2" t="e">
        <f>GET.OBJECT(#REF!,#REF!,#REF!,#REF!)</f>
        <v>#REF!</v>
      </c>
      <c r="F782" s="2" t="e">
        <f>GET.OBJECT(#REF!,#REF!,#REF!,+F782:G782,#REF!)</f>
        <v>#REF!</v>
      </c>
      <c r="H782" s="2" t="e">
        <f>GET.OBJECT(#REF!,#REF!,#REF!,H782:I782,#REF!)</f>
        <v>#REF!</v>
      </c>
      <c r="J782" s="2" t="e">
        <f>GET.OBJECT(#REF!,#REF!,#REF!,INDIRECT(J782:K782),#REF!)</f>
        <v>#REF!</v>
      </c>
      <c r="L782" s="2">
        <f>TYPE(INDEX(,GET.OBJECT(#REF!,#REF!,#REF!,OFFSET(INDEX(1,),,),#REF!)))</f>
        <v>64</v>
      </c>
    </row>
    <row r="783" spans="1:12" x14ac:dyDescent="0.55000000000000004">
      <c r="A783" s="1" t="s">
        <v>1697</v>
      </c>
      <c r="B783" s="2">
        <f>COUNTIF(A:A,A783)-1</f>
        <v>5</v>
      </c>
      <c r="C783" s="2">
        <f>COUNTIF(A$1:A783,A783)-1</f>
        <v>5</v>
      </c>
      <c r="D783" s="2" t="str">
        <f t="shared" si="12"/>
        <v>v</v>
      </c>
      <c r="E783" s="2" t="e">
        <f>GET.OBJECT(#REF!,#REF!,#REF!,#REF!,#REF!)</f>
        <v>#REF!</v>
      </c>
      <c r="F783" s="2" t="e">
        <f>GET.OBJECT(#REF!,#REF!,#REF!,#REF!,+F783:G783)</f>
        <v>#REF!</v>
      </c>
      <c r="H783" s="2" t="e">
        <f>GET.OBJECT(#REF!,#REF!,#REF!,#REF!,H783:I783)</f>
        <v>#REF!</v>
      </c>
      <c r="J783" s="2" t="e">
        <f>GET.OBJECT(#REF!,#REF!,#REF!,#REF!,INDIRECT(J783:K783))</f>
        <v>#REF!</v>
      </c>
      <c r="L783" s="2">
        <f>TYPE(INDEX(,GET.OBJECT(#REF!,#REF!,#REF!,#REF!,OFFSET(INDEX(1,),,))))</f>
        <v>64</v>
      </c>
    </row>
    <row r="784" spans="1:12" x14ac:dyDescent="0.55000000000000004">
      <c r="A784" s="1" t="s">
        <v>1698</v>
      </c>
      <c r="B784" s="2">
        <f>COUNTIF(A:A,A784)-1</f>
        <v>5</v>
      </c>
      <c r="C784" s="2">
        <f>COUNTIF(A$1:A784,A784)-1</f>
        <v>0</v>
      </c>
      <c r="D784" s="2" t="str">
        <f t="shared" si="12"/>
        <v/>
      </c>
      <c r="E784" s="2"/>
      <c r="F784" s="2"/>
      <c r="H784" s="2"/>
      <c r="J784" s="2"/>
      <c r="L784" s="2"/>
    </row>
    <row r="785" spans="1:12" x14ac:dyDescent="0.55000000000000004">
      <c r="A785" s="1" t="s">
        <v>1698</v>
      </c>
      <c r="B785" s="2">
        <f>COUNTIF(A:A,A785)-1</f>
        <v>5</v>
      </c>
      <c r="C785" s="2">
        <f>COUNTIF(A$1:A785,A785)-1</f>
        <v>1</v>
      </c>
      <c r="D785" s="2" t="str">
        <f t="shared" si="12"/>
        <v>v</v>
      </c>
      <c r="E785" s="2"/>
      <c r="F785" s="2" t="e">
        <f>DB(+F785:G785,#REF!,#REF!,#REF!,#REF!)</f>
        <v>#REF!</v>
      </c>
      <c r="H785" s="2" t="e">
        <f>DB(H785:I785,#REF!,#REF!,#REF!,#REF!)</f>
        <v>#REF!</v>
      </c>
      <c r="J785" s="2" t="e">
        <f>DB(INDIRECT(J785:K785),#REF!,#REF!,#REF!,#REF!)</f>
        <v>#REF!</v>
      </c>
      <c r="L785" s="2">
        <f>TYPE(INDEX(,DB(OFFSET(INDEX(1,),,),#REF!,#REF!,#REF!,#REF!)))</f>
        <v>64</v>
      </c>
    </row>
    <row r="786" spans="1:12" x14ac:dyDescent="0.55000000000000004">
      <c r="A786" s="1" t="s">
        <v>1698</v>
      </c>
      <c r="B786" s="2">
        <f>COUNTIF(A:A,A786)-1</f>
        <v>5</v>
      </c>
      <c r="C786" s="2">
        <f>COUNTIF(A$1:A786,A786)-1</f>
        <v>2</v>
      </c>
      <c r="D786" s="2" t="str">
        <f t="shared" si="12"/>
        <v>v</v>
      </c>
      <c r="E786" s="2"/>
      <c r="F786" s="2" t="e">
        <f>DB(#REF!,+F786:G786,#REF!,#REF!,#REF!)</f>
        <v>#REF!</v>
      </c>
      <c r="H786" s="2" t="e">
        <f>DB(#REF!,H786:I786,#REF!,#REF!,#REF!)</f>
        <v>#REF!</v>
      </c>
      <c r="J786" s="2" t="e">
        <f>DB(#REF!,INDIRECT(J786:K786),#REF!,#REF!,#REF!)</f>
        <v>#REF!</v>
      </c>
      <c r="L786" s="2">
        <f>TYPE(INDEX(,DB(#REF!,OFFSET(INDEX(1,),,),#REF!,#REF!,#REF!)))</f>
        <v>64</v>
      </c>
    </row>
    <row r="787" spans="1:12" x14ac:dyDescent="0.55000000000000004">
      <c r="A787" s="1" t="s">
        <v>1698</v>
      </c>
      <c r="B787" s="2">
        <f>COUNTIF(A:A,A787)-1</f>
        <v>5</v>
      </c>
      <c r="C787" s="2">
        <f>COUNTIF(A$1:A787,A787)-1</f>
        <v>3</v>
      </c>
      <c r="D787" s="2" t="str">
        <f t="shared" si="12"/>
        <v>v</v>
      </c>
      <c r="E787" s="2"/>
      <c r="F787" s="2" t="e">
        <f>DB(#REF!,#REF!,+F787:G787,#REF!,#REF!)</f>
        <v>#REF!</v>
      </c>
      <c r="H787" s="2" t="e">
        <f>DB(#REF!,#REF!,H787:I787,#REF!,#REF!)</f>
        <v>#REF!</v>
      </c>
      <c r="J787" s="2" t="e">
        <f>DB(#REF!,#REF!,INDIRECT(J787:K787),#REF!,#REF!)</f>
        <v>#REF!</v>
      </c>
      <c r="L787" s="2">
        <f>TYPE(INDEX(,DB(#REF!,#REF!,OFFSET(INDEX(1,),,),#REF!,#REF!)))</f>
        <v>64</v>
      </c>
    </row>
    <row r="788" spans="1:12" x14ac:dyDescent="0.55000000000000004">
      <c r="A788" s="1" t="s">
        <v>1698</v>
      </c>
      <c r="B788" s="2">
        <f>COUNTIF(A:A,A788)-1</f>
        <v>5</v>
      </c>
      <c r="C788" s="2">
        <f>COUNTIF(A$1:A788,A788)-1</f>
        <v>4</v>
      </c>
      <c r="D788" s="2" t="str">
        <f t="shared" si="12"/>
        <v>v</v>
      </c>
      <c r="E788" s="2" t="e">
        <f>DB(#REF!,#REF!,#REF!,#REF!)</f>
        <v>#REF!</v>
      </c>
      <c r="F788" s="2" t="e">
        <f>DB(#REF!,#REF!,#REF!,+F788:G788,#REF!)</f>
        <v>#REF!</v>
      </c>
      <c r="H788" s="2" t="e">
        <f>DB(#REF!,#REF!,#REF!,H788:I788,#REF!)</f>
        <v>#REF!</v>
      </c>
      <c r="J788" s="2" t="e">
        <f>DB(#REF!,#REF!,#REF!,INDIRECT(J788:K788),#REF!)</f>
        <v>#REF!</v>
      </c>
      <c r="L788" s="2">
        <f>TYPE(INDEX(,DB(#REF!,#REF!,#REF!,OFFSET(INDEX(1,),,),#REF!)))</f>
        <v>64</v>
      </c>
    </row>
    <row r="789" spans="1:12" x14ac:dyDescent="0.55000000000000004">
      <c r="A789" s="1" t="s">
        <v>1698</v>
      </c>
      <c r="B789" s="2">
        <f>COUNTIF(A:A,A789)-1</f>
        <v>5</v>
      </c>
      <c r="C789" s="2">
        <f>COUNTIF(A$1:A789,A789)-1</f>
        <v>5</v>
      </c>
      <c r="D789" s="2" t="str">
        <f t="shared" si="12"/>
        <v>v</v>
      </c>
      <c r="E789" s="2" t="e">
        <f>DB(#REF!,#REF!,#REF!,#REF!,#REF!)</f>
        <v>#REF!</v>
      </c>
      <c r="F789" s="2" t="e">
        <f>DB(#REF!,#REF!,#REF!,#REF!,+F789:G789)</f>
        <v>#REF!</v>
      </c>
      <c r="H789" s="2" t="e">
        <f>DB(#REF!,#REF!,#REF!,#REF!,H789:I789)</f>
        <v>#REF!</v>
      </c>
      <c r="J789" s="2" t="e">
        <f>DB(#REF!,#REF!,#REF!,#REF!,INDIRECT(J789:K789))</f>
        <v>#REF!</v>
      </c>
      <c r="L789" s="2">
        <f>TYPE(INDEX(,DB(#REF!,#REF!,#REF!,#REF!,OFFSET(INDEX(1,),,))))</f>
        <v>64</v>
      </c>
    </row>
    <row r="790" spans="1:12" x14ac:dyDescent="0.55000000000000004">
      <c r="A790" s="1" t="s">
        <v>1699</v>
      </c>
      <c r="B790" s="2">
        <f>COUNTIF(A:A,A790)-1</f>
        <v>1</v>
      </c>
      <c r="C790" s="2">
        <f>COUNTIF(A$1:A790,A790)-1</f>
        <v>0</v>
      </c>
      <c r="D790" s="2" t="str">
        <f t="shared" si="12"/>
        <v/>
      </c>
      <c r="E790" s="2" t="b">
        <f>PAUSE()</f>
        <v>0</v>
      </c>
      <c r="F790" s="2"/>
      <c r="H790" s="2"/>
      <c r="J790" s="2"/>
      <c r="L790" s="2"/>
    </row>
    <row r="791" spans="1:12" x14ac:dyDescent="0.55000000000000004">
      <c r="A791" s="1" t="s">
        <v>1699</v>
      </c>
      <c r="B791" s="2">
        <f>COUNTIF(A:A,A791)-1</f>
        <v>1</v>
      </c>
      <c r="C791" s="2">
        <f>COUNTIF(A$1:A791,A791)-1</f>
        <v>1</v>
      </c>
      <c r="D791" s="2" t="str">
        <f t="shared" si="12"/>
        <v>v</v>
      </c>
      <c r="E791" s="2" t="b">
        <f>PAUSE(#REF!)</f>
        <v>0</v>
      </c>
      <c r="F791" s="2" t="b">
        <f>PAUSE(+F791:G791)</f>
        <v>0</v>
      </c>
      <c r="H791" s="2" t="b">
        <f>PAUSE(H791:I791)</f>
        <v>0</v>
      </c>
      <c r="J791" s="2" t="b">
        <f>PAUSE(INDIRECT(J791:K791))</f>
        <v>0</v>
      </c>
      <c r="L791" s="2">
        <f>TYPE(INDEX(,PAUSE(OFFSET(INDEX(1,),,))))</f>
        <v>64</v>
      </c>
    </row>
    <row r="792" spans="1:12" x14ac:dyDescent="0.55000000000000004">
      <c r="A792" s="1" t="s">
        <v>1700</v>
      </c>
      <c r="B792" s="2">
        <f>COUNTIF(A:A,A792)-1</f>
        <v>1</v>
      </c>
      <c r="C792" s="2">
        <f>COUNTIF(A$1:A792,A792)-1</f>
        <v>0</v>
      </c>
      <c r="D792" s="2" t="str">
        <f t="shared" si="12"/>
        <v/>
      </c>
      <c r="E792" s="2" t="b">
        <f>RESUME()</f>
        <v>0</v>
      </c>
      <c r="F792" s="2"/>
      <c r="H792" s="2"/>
      <c r="J792" s="2"/>
      <c r="L792" s="2"/>
    </row>
    <row r="793" spans="1:12" x14ac:dyDescent="0.55000000000000004">
      <c r="A793" s="1" t="s">
        <v>1700</v>
      </c>
      <c r="B793" s="2">
        <f>COUNTIF(A:A,A793)-1</f>
        <v>1</v>
      </c>
      <c r="C793" s="2">
        <f>COUNTIF(A$1:A793,A793)-1</f>
        <v>1</v>
      </c>
      <c r="D793" s="2" t="str">
        <f t="shared" si="12"/>
        <v>v</v>
      </c>
      <c r="E793" s="2" t="b">
        <f>RESUME(#REF!)</f>
        <v>0</v>
      </c>
      <c r="F793" s="2" t="b">
        <f>RESUME(+F793:G793)</f>
        <v>0</v>
      </c>
      <c r="H793" s="2" t="b">
        <f>RESUME(H793:I793)</f>
        <v>0</v>
      </c>
      <c r="J793" s="2" t="b">
        <f>RESUME(INDIRECT(J793:K793))</f>
        <v>0</v>
      </c>
      <c r="L793" s="2">
        <f>TYPE(INDEX(,RESUME(OFFSET(INDEX(1,),,))))</f>
        <v>64</v>
      </c>
    </row>
    <row r="794" spans="1:12" x14ac:dyDescent="0.55000000000000004">
      <c r="A794" s="1" t="s">
        <v>1701</v>
      </c>
      <c r="B794" s="2">
        <f>COUNTIF(A:A,A794)-1</f>
        <v>2</v>
      </c>
      <c r="C794" s="2">
        <f>COUNTIF(A$1:A794,A794)-1</f>
        <v>0</v>
      </c>
      <c r="D794" s="2" t="str">
        <f t="shared" si="12"/>
        <v/>
      </c>
      <c r="E794" s="2"/>
      <c r="F794" s="2"/>
      <c r="H794" s="2"/>
      <c r="J794" s="2"/>
      <c r="L794" s="2"/>
    </row>
    <row r="795" spans="1:12" x14ac:dyDescent="0.55000000000000004">
      <c r="A795" s="1" t="s">
        <v>1701</v>
      </c>
      <c r="B795" s="2">
        <f>COUNTIF(A:A,A795)-1</f>
        <v>2</v>
      </c>
      <c r="C795" s="2">
        <f>COUNTIF(A$1:A795,A795)-1</f>
        <v>1</v>
      </c>
      <c r="D795" s="2" t="str">
        <f t="shared" si="12"/>
        <v>ar</v>
      </c>
      <c r="E795" s="2"/>
      <c r="F795" s="2" t="e">
        <f>FREQUENCY(+F795:G795,#REF!)</f>
        <v>#REF!</v>
      </c>
      <c r="G795" s="1">
        <v>1</v>
      </c>
      <c r="H795" s="2" t="e">
        <f>FREQUENCY(H795:I795,#REF!)</f>
        <v>#REF!</v>
      </c>
      <c r="I795" s="1">
        <v>1</v>
      </c>
      <c r="J795" s="2" t="e">
        <f>FREQUENCY(INDIRECT(J795:K795),#REF!)</f>
        <v>#REF!</v>
      </c>
      <c r="L795" s="2">
        <f>TYPE(INDEX(,FREQUENCY(OFFSET(INDEX(1,),,),#REF!)))</f>
        <v>16</v>
      </c>
    </row>
    <row r="796" spans="1:12" x14ac:dyDescent="0.55000000000000004">
      <c r="A796" s="1" t="s">
        <v>1701</v>
      </c>
      <c r="B796" s="2">
        <f>COUNTIF(A:A,A796)-1</f>
        <v>2</v>
      </c>
      <c r="C796" s="2">
        <f>COUNTIF(A$1:A796,A796)-1</f>
        <v>2</v>
      </c>
      <c r="D796" s="2" t="str">
        <f t="shared" si="12"/>
        <v>ar</v>
      </c>
      <c r="E796" s="2" t="e">
        <f>FREQUENCY(#REF!,#REF!)</f>
        <v>#REF!</v>
      </c>
      <c r="F796" s="2" t="e">
        <f>FREQUENCY(#REF!,+F796:G796)</f>
        <v>#REF!</v>
      </c>
      <c r="G796" s="1">
        <v>1</v>
      </c>
      <c r="H796" s="2" t="e">
        <f>FREQUENCY(#REF!,H796:I796)</f>
        <v>#REF!</v>
      </c>
      <c r="I796" s="1">
        <v>1</v>
      </c>
      <c r="J796" s="2" t="e">
        <f>FREQUENCY(#REF!,INDIRECT(J796:K796))</f>
        <v>#REF!</v>
      </c>
      <c r="L796" s="2">
        <f>TYPE(INDEX(,FREQUENCY(#REF!,OFFSET(INDEX(1,),,))))</f>
        <v>16</v>
      </c>
    </row>
    <row r="797" spans="1:12" x14ac:dyDescent="0.55000000000000004">
      <c r="A797" s="1" t="s">
        <v>1702</v>
      </c>
      <c r="B797" s="2">
        <f>COUNTIF(A:A,A797)-1</f>
        <v>2</v>
      </c>
      <c r="C797" s="2">
        <f>COUNTIF(A$1:A797,A797)-1</f>
        <v>0</v>
      </c>
      <c r="D797" s="2" t="str">
        <f t="shared" si="12"/>
        <v/>
      </c>
      <c r="E797" s="2" t="b">
        <f>ADD.TOOLBAR()</f>
        <v>0</v>
      </c>
      <c r="F797" s="2"/>
      <c r="H797" s="2"/>
      <c r="J797" s="2"/>
      <c r="L797" s="2"/>
    </row>
    <row r="798" spans="1:12" x14ac:dyDescent="0.55000000000000004">
      <c r="A798" s="1" t="s">
        <v>1702</v>
      </c>
      <c r="B798" s="2">
        <f>COUNTIF(A:A,A798)-1</f>
        <v>2</v>
      </c>
      <c r="C798" s="2">
        <f>COUNTIF(A$1:A798,A798)-1</f>
        <v>1</v>
      </c>
      <c r="D798" s="2" t="str">
        <f t="shared" si="12"/>
        <v>v</v>
      </c>
      <c r="E798" s="2" t="e">
        <f>ADD.TOOLBAR(#REF!)</f>
        <v>#REF!</v>
      </c>
      <c r="F798" s="2" t="e">
        <f>ADD.TOOLBAR(+F798:G798,#REF!)</f>
        <v>#REF!</v>
      </c>
      <c r="H798" s="2" t="e">
        <f>ADD.TOOLBAR(H798:I798,#REF!)</f>
        <v>#REF!</v>
      </c>
      <c r="J798" s="2" t="e">
        <f>ADD.TOOLBAR(INDIRECT(J798:K798),#REF!)</f>
        <v>#REF!</v>
      </c>
      <c r="L798" s="2">
        <f>TYPE(INDEX(,ADD.TOOLBAR(OFFSET(INDEX(1,),,),#REF!)))</f>
        <v>64</v>
      </c>
    </row>
    <row r="799" spans="1:12" x14ac:dyDescent="0.55000000000000004">
      <c r="A799" s="1" t="s">
        <v>1702</v>
      </c>
      <c r="B799" s="2">
        <f>COUNTIF(A:A,A799)-1</f>
        <v>2</v>
      </c>
      <c r="C799" s="2">
        <f>COUNTIF(A$1:A799,A799)-1</f>
        <v>2</v>
      </c>
      <c r="D799" s="2" t="str">
        <f t="shared" si="12"/>
        <v>a</v>
      </c>
      <c r="E799" s="2" t="e">
        <f>ADD.TOOLBAR(#REF!,#REF!)</f>
        <v>#REF!</v>
      </c>
      <c r="F799" s="2" t="e">
        <f>ADD.TOOLBAR(#REF!,+F799:G799)</f>
        <v>#REF!</v>
      </c>
      <c r="G799" s="1">
        <v>1</v>
      </c>
      <c r="H799" s="2" t="e">
        <f>ADD.TOOLBAR(#REF!,H799:I799)</f>
        <v>#REF!</v>
      </c>
      <c r="I799" s="1">
        <v>1</v>
      </c>
      <c r="J799" s="2" t="e">
        <f>ADD.TOOLBAR(#REF!,INDIRECT(J799:K799))</f>
        <v>#REF!</v>
      </c>
      <c r="K799" s="1">
        <v>1</v>
      </c>
      <c r="L799" s="2">
        <f>TYPE(INDEX(,ADD.TOOLBAR(#REF!,OFFSET(INDEX(1,),,))))</f>
        <v>16</v>
      </c>
    </row>
    <row r="800" spans="1:12" x14ac:dyDescent="0.55000000000000004">
      <c r="A800" s="1" t="s">
        <v>1703</v>
      </c>
      <c r="B800" s="2">
        <f>COUNTIF(A:A,A800)-1</f>
        <v>1</v>
      </c>
      <c r="C800" s="2">
        <f>COUNTIF(A$1:A800,A800)-1</f>
        <v>0</v>
      </c>
      <c r="D800" s="2" t="str">
        <f t="shared" si="12"/>
        <v/>
      </c>
      <c r="E800" s="2"/>
      <c r="F800" s="2"/>
      <c r="H800" s="2"/>
      <c r="J800" s="2"/>
      <c r="L800" s="2"/>
    </row>
    <row r="801" spans="1:12" x14ac:dyDescent="0.55000000000000004">
      <c r="A801" s="1" t="s">
        <v>1703</v>
      </c>
      <c r="B801" s="2">
        <f>COUNTIF(A:A,A801)-1</f>
        <v>1</v>
      </c>
      <c r="C801" s="2">
        <f>COUNTIF(A$1:A801,A801)-1</f>
        <v>1</v>
      </c>
      <c r="D801" s="2" t="str">
        <f t="shared" si="12"/>
        <v>v</v>
      </c>
      <c r="E801" s="2" t="e">
        <f>DELETE.TOOLBAR(#REF!)</f>
        <v>#REF!</v>
      </c>
      <c r="F801" s="2" t="b">
        <f>DELETE.TOOLBAR(+F801:G801)</f>
        <v>0</v>
      </c>
      <c r="H801" s="2" t="b">
        <f>DELETE.TOOLBAR(H801:I801)</f>
        <v>0</v>
      </c>
      <c r="J801" s="2" t="e">
        <f>DELETE.TOOLBAR(INDIRECT(J801:K801))</f>
        <v>#REF!</v>
      </c>
      <c r="L801" s="2">
        <f>TYPE(INDEX(,DELETE.TOOLBAR(OFFSET(INDEX(1,),,))))</f>
        <v>64</v>
      </c>
    </row>
    <row r="802" spans="1:12" x14ac:dyDescent="0.55000000000000004">
      <c r="A802" s="1" t="s">
        <v>1704</v>
      </c>
      <c r="B802" s="2">
        <f>COUNTIF(A:A,A802)-1</f>
        <v>1</v>
      </c>
      <c r="C802" s="2">
        <f>COUNTIF(A$1:A802,A802)-1</f>
        <v>0</v>
      </c>
      <c r="D802" s="2" t="str">
        <f t="shared" si="12"/>
        <v/>
      </c>
      <c r="E802" s="2"/>
      <c r="F802" s="2"/>
      <c r="H802" s="2"/>
      <c r="J802" s="2"/>
      <c r="L802" s="2"/>
    </row>
    <row r="803" spans="1:12" x14ac:dyDescent="0.55000000000000004">
      <c r="A803" s="1" t="s">
        <v>1704</v>
      </c>
      <c r="B803" s="2">
        <f>COUNTIF(A:A,A803)-1</f>
        <v>1</v>
      </c>
      <c r="C803" s="2">
        <f>COUNTIF(A$1:A803,A803)-1</f>
        <v>1</v>
      </c>
      <c r="D803" s="2" t="str">
        <f t="shared" si="12"/>
        <v>v</v>
      </c>
      <c r="E803" s="2" t="e">
        <f>RESET.TOOLBAR(#REF!)</f>
        <v>#REF!</v>
      </c>
      <c r="F803" s="2" t="b">
        <f>RESET.TOOLBAR(+F803:G803)</f>
        <v>0</v>
      </c>
      <c r="H803" s="2" t="b">
        <f>RESET.TOOLBAR(H803:I803)</f>
        <v>0</v>
      </c>
      <c r="J803" s="2" t="e">
        <f>RESET.TOOLBAR(INDIRECT(J803:K803))</f>
        <v>#REF!</v>
      </c>
      <c r="L803" s="2">
        <f>TYPE(INDEX(,RESET.TOOLBAR(OFFSET(INDEX(1,),,))))</f>
        <v>64</v>
      </c>
    </row>
    <row r="804" spans="1:12" x14ac:dyDescent="0.55000000000000004">
      <c r="A804" s="1" t="s">
        <v>1705</v>
      </c>
      <c r="B804" s="2">
        <f>COUNTIF(A:A,A804)-1</f>
        <v>1</v>
      </c>
      <c r="C804" s="2">
        <f>COUNTIF(A$1:A804,A804)-1</f>
        <v>0</v>
      </c>
      <c r="D804" s="2" t="str">
        <f t="shared" si="12"/>
        <v/>
      </c>
      <c r="E804" s="2"/>
      <c r="F804" s="2"/>
      <c r="H804" s="2"/>
      <c r="J804" s="2"/>
      <c r="L804" s="2"/>
    </row>
    <row r="805" spans="1:12" x14ac:dyDescent="0.55000000000000004">
      <c r="A805" s="1" t="s">
        <v>1705</v>
      </c>
      <c r="B805" s="2">
        <f>COUNTIF(A:A,A805)-1</f>
        <v>1</v>
      </c>
      <c r="C805" s="2">
        <f>COUNTIF(A$1:A805,A805)-1</f>
        <v>1</v>
      </c>
      <c r="D805" s="2" t="str">
        <f t="shared" si="12"/>
        <v>v</v>
      </c>
      <c r="E805" s="2" t="e">
        <f>EVALUATE(#REF!)</f>
        <v>#REF!</v>
      </c>
      <c r="F805" s="2">
        <f>EVALUATE(+F805:G805)</f>
        <v>0</v>
      </c>
      <c r="H805" s="2">
        <f>EVALUATE(H805:I805)</f>
        <v>0</v>
      </c>
      <c r="J805" s="2" t="e">
        <f>EVALUATE(INDIRECT(J805:K805))</f>
        <v>#REF!</v>
      </c>
      <c r="L805" s="2">
        <f>TYPE(INDEX(,EVALUATE(OFFSET(INDEX(1,),,))))</f>
        <v>64</v>
      </c>
    </row>
    <row r="806" spans="1:12" x14ac:dyDescent="0.55000000000000004">
      <c r="A806" s="1" t="s">
        <v>1706</v>
      </c>
      <c r="B806" s="2">
        <f>COUNTIF(A:A,A806)-1</f>
        <v>2</v>
      </c>
      <c r="C806" s="2">
        <f>COUNTIF(A$1:A806,A806)-1</f>
        <v>0</v>
      </c>
      <c r="D806" s="2" t="str">
        <f t="shared" si="12"/>
        <v/>
      </c>
      <c r="E806" s="2"/>
      <c r="F806" s="2"/>
      <c r="H806" s="2"/>
      <c r="J806" s="2"/>
      <c r="L806" s="2"/>
    </row>
    <row r="807" spans="1:12" x14ac:dyDescent="0.55000000000000004">
      <c r="A807" s="1" t="s">
        <v>1706</v>
      </c>
      <c r="B807" s="2">
        <f>COUNTIF(A:A,A807)-1</f>
        <v>2</v>
      </c>
      <c r="C807" s="2">
        <f>COUNTIF(A$1:A807,A807)-1</f>
        <v>1</v>
      </c>
      <c r="D807" s="2" t="str">
        <f t="shared" si="12"/>
        <v>v</v>
      </c>
      <c r="E807" s="2" t="e">
        <f>GET.TOOLBAR(#REF!)</f>
        <v>#REF!</v>
      </c>
      <c r="F807" s="2" t="e">
        <f>GET.TOOLBAR(+F807:G807,#REF!)</f>
        <v>#REF!</v>
      </c>
      <c r="H807" s="2" t="e">
        <f>GET.TOOLBAR(H807:I807,#REF!)</f>
        <v>#REF!</v>
      </c>
      <c r="J807" s="2" t="e">
        <f>GET.TOOLBAR(INDIRECT(J807:K807),#REF!)</f>
        <v>#REF!</v>
      </c>
      <c r="L807" s="2">
        <f>TYPE(INDEX(,GET.TOOLBAR(OFFSET(INDEX(1,),,),#REF!)))</f>
        <v>64</v>
      </c>
    </row>
    <row r="808" spans="1:12" x14ac:dyDescent="0.55000000000000004">
      <c r="A808" s="1" t="s">
        <v>1706</v>
      </c>
      <c r="B808" s="2">
        <f>COUNTIF(A:A,A808)-1</f>
        <v>2</v>
      </c>
      <c r="C808" s="2">
        <f>COUNTIF(A$1:A808,A808)-1</f>
        <v>2</v>
      </c>
      <c r="D808" s="2" t="str">
        <f t="shared" si="12"/>
        <v>v</v>
      </c>
      <c r="E808" s="2" t="e">
        <f>GET.TOOLBAR(#REF!,#REF!)</f>
        <v>#REF!</v>
      </c>
      <c r="F808" s="2" t="e">
        <f>GET.TOOLBAR(#REF!,+F808:G808)</f>
        <v>#REF!</v>
      </c>
      <c r="H808" s="2" t="e">
        <f>GET.TOOLBAR(#REF!,H808:I808)</f>
        <v>#REF!</v>
      </c>
      <c r="J808" s="2" t="e">
        <f>GET.TOOLBAR(#REF!,INDIRECT(J808:K808))</f>
        <v>#REF!</v>
      </c>
      <c r="L808" s="2">
        <f>TYPE(INDEX(,GET.TOOLBAR(#REF!,OFFSET(INDEX(1,),,))))</f>
        <v>64</v>
      </c>
    </row>
    <row r="809" spans="1:12" x14ac:dyDescent="0.55000000000000004">
      <c r="A809" s="1" t="s">
        <v>1707</v>
      </c>
      <c r="B809" s="2">
        <f>COUNTIF(A:A,A809)-1</f>
        <v>3</v>
      </c>
      <c r="C809" s="2">
        <f>COUNTIF(A$1:A809,A809)-1</f>
        <v>0</v>
      </c>
      <c r="D809" s="2" t="str">
        <f t="shared" si="12"/>
        <v/>
      </c>
      <c r="E809" s="2"/>
      <c r="F809" s="2"/>
      <c r="H809" s="2"/>
      <c r="J809" s="2"/>
      <c r="L809" s="2"/>
    </row>
    <row r="810" spans="1:12" x14ac:dyDescent="0.55000000000000004">
      <c r="A810" s="1" t="s">
        <v>1707</v>
      </c>
      <c r="B810" s="2">
        <f>COUNTIF(A:A,A810)-1</f>
        <v>3</v>
      </c>
      <c r="C810" s="2">
        <f>COUNTIF(A$1:A810,A810)-1</f>
        <v>1</v>
      </c>
      <c r="D810" s="2" t="str">
        <f t="shared" si="12"/>
        <v>v</v>
      </c>
      <c r="E810" s="2" t="e">
        <f>GET.TOOL(#REF!)</f>
        <v>#REF!</v>
      </c>
      <c r="F810" s="2" t="e">
        <f>GET.TOOL(+F810:G810,#REF!,#REF!)</f>
        <v>#REF!</v>
      </c>
      <c r="H810" s="2" t="e">
        <f>GET.TOOL(H810:I810,#REF!,#REF!)</f>
        <v>#REF!</v>
      </c>
      <c r="J810" s="2" t="e">
        <f>GET.TOOL(INDIRECT(J810:K810),#REF!,#REF!)</f>
        <v>#REF!</v>
      </c>
      <c r="L810" s="2">
        <f>TYPE(INDEX(,GET.TOOL(OFFSET(INDEX(1,),,),#REF!,#REF!)))</f>
        <v>64</v>
      </c>
    </row>
    <row r="811" spans="1:12" x14ac:dyDescent="0.55000000000000004">
      <c r="A811" s="1" t="s">
        <v>1707</v>
      </c>
      <c r="B811" s="2">
        <f>COUNTIF(A:A,A811)-1</f>
        <v>3</v>
      </c>
      <c r="C811" s="2">
        <f>COUNTIF(A$1:A811,A811)-1</f>
        <v>2</v>
      </c>
      <c r="D811" s="2" t="str">
        <f t="shared" si="12"/>
        <v>v</v>
      </c>
      <c r="E811" s="2" t="e">
        <f>GET.TOOL(#REF!,#REF!)</f>
        <v>#REF!</v>
      </c>
      <c r="F811" s="2" t="e">
        <f>GET.TOOL(#REF!,+F811:G811,#REF!)</f>
        <v>#REF!</v>
      </c>
      <c r="H811" s="2" t="e">
        <f>GET.TOOL(#REF!,H811:I811,#REF!)</f>
        <v>#REF!</v>
      </c>
      <c r="J811" s="2" t="e">
        <f>GET.TOOL(#REF!,INDIRECT(J811:K811),#REF!)</f>
        <v>#REF!</v>
      </c>
      <c r="L811" s="2">
        <f>TYPE(INDEX(,GET.TOOL(#REF!,OFFSET(INDEX(1,),,),#REF!)))</f>
        <v>64</v>
      </c>
    </row>
    <row r="812" spans="1:12" x14ac:dyDescent="0.55000000000000004">
      <c r="A812" s="1" t="s">
        <v>1707</v>
      </c>
      <c r="B812" s="2">
        <f>COUNTIF(A:A,A812)-1</f>
        <v>3</v>
      </c>
      <c r="C812" s="2">
        <f>COUNTIF(A$1:A812,A812)-1</f>
        <v>3</v>
      </c>
      <c r="D812" s="2" t="str">
        <f t="shared" si="12"/>
        <v>v</v>
      </c>
      <c r="E812" s="2" t="e">
        <f>GET.TOOL(#REF!,#REF!,#REF!)</f>
        <v>#REF!</v>
      </c>
      <c r="F812" s="2" t="e">
        <f>GET.TOOL(#REF!,#REF!,+F812:G812)</f>
        <v>#REF!</v>
      </c>
      <c r="H812" s="2" t="e">
        <f>GET.TOOL(#REF!,#REF!,H812:I812)</f>
        <v>#REF!</v>
      </c>
      <c r="J812" s="2" t="e">
        <f>GET.TOOL(#REF!,#REF!,INDIRECT(J812:K812))</f>
        <v>#REF!</v>
      </c>
      <c r="L812" s="2">
        <f>TYPE(INDEX(,GET.TOOL(#REF!,#REF!,OFFSET(INDEX(1,),,))))</f>
        <v>64</v>
      </c>
    </row>
    <row r="813" spans="1:12" x14ac:dyDescent="0.55000000000000004">
      <c r="A813" s="1" t="s">
        <v>1708</v>
      </c>
      <c r="B813" s="2">
        <f>COUNTIF(A:A,A813)-1</f>
        <v>3</v>
      </c>
      <c r="C813" s="2">
        <f>COUNTIF(A$1:A813,A813)-1</f>
        <v>0</v>
      </c>
      <c r="D813" s="2" t="str">
        <f t="shared" si="12"/>
        <v/>
      </c>
      <c r="E813" s="2"/>
      <c r="F813" s="2"/>
      <c r="H813" s="2"/>
      <c r="J813" s="2"/>
      <c r="L813" s="2"/>
    </row>
    <row r="814" spans="1:12" x14ac:dyDescent="0.55000000000000004">
      <c r="A814" s="1" t="s">
        <v>1708</v>
      </c>
      <c r="B814" s="2">
        <f>COUNTIF(A:A,A814)-1</f>
        <v>3</v>
      </c>
      <c r="C814" s="2">
        <f>COUNTIF(A$1:A814,A814)-1</f>
        <v>1</v>
      </c>
      <c r="D814" s="2" t="str">
        <f t="shared" si="12"/>
        <v>v</v>
      </c>
      <c r="E814" s="2" t="e">
        <f>SPELLING.CHECK(#REF!)</f>
        <v>#REF!</v>
      </c>
      <c r="F814" s="2" t="e">
        <f>SPELLING.CHECK(+F814:G814,#REF!,#REF!)</f>
        <v>#REF!</v>
      </c>
      <c r="H814" s="2" t="e">
        <f>SPELLING.CHECK(H814:I814,#REF!,#REF!)</f>
        <v>#REF!</v>
      </c>
      <c r="J814" s="2" t="e">
        <f>SPELLING.CHECK(INDIRECT(J814:K814),#REF!,#REF!)</f>
        <v>#REF!</v>
      </c>
      <c r="L814" s="2">
        <f>TYPE(INDEX(,SPELLING.CHECK(OFFSET(INDEX(1,),,),#REF!,#REF!)))</f>
        <v>64</v>
      </c>
    </row>
    <row r="815" spans="1:12" x14ac:dyDescent="0.55000000000000004">
      <c r="A815" s="1" t="s">
        <v>1708</v>
      </c>
      <c r="B815" s="2">
        <f>COUNTIF(A:A,A815)-1</f>
        <v>3</v>
      </c>
      <c r="C815" s="2">
        <f>COUNTIF(A$1:A815,A815)-1</f>
        <v>2</v>
      </c>
      <c r="D815" s="2" t="str">
        <f t="shared" si="12"/>
        <v>v</v>
      </c>
      <c r="E815" s="2" t="e">
        <f>SPELLING.CHECK(#REF!,#REF!)</f>
        <v>#REF!</v>
      </c>
      <c r="F815" s="2" t="e">
        <f>SPELLING.CHECK(#REF!,+F815:G815,#REF!)</f>
        <v>#REF!</v>
      </c>
      <c r="H815" s="2" t="e">
        <f>SPELLING.CHECK(#REF!,H815:I815,#REF!)</f>
        <v>#REF!</v>
      </c>
      <c r="J815" s="2" t="e">
        <f>SPELLING.CHECK(#REF!,INDIRECT(J815:K815),#REF!)</f>
        <v>#REF!</v>
      </c>
      <c r="L815" s="2">
        <f>TYPE(INDEX(,SPELLING.CHECK(#REF!,OFFSET(INDEX(1,),,),#REF!)))</f>
        <v>64</v>
      </c>
    </row>
    <row r="816" spans="1:12" x14ac:dyDescent="0.55000000000000004">
      <c r="A816" s="1" t="s">
        <v>1708</v>
      </c>
      <c r="B816" s="2">
        <f>COUNTIF(A:A,A816)-1</f>
        <v>3</v>
      </c>
      <c r="C816" s="2">
        <f>COUNTIF(A$1:A816,A816)-1</f>
        <v>3</v>
      </c>
      <c r="D816" s="2" t="str">
        <f t="shared" si="12"/>
        <v>v</v>
      </c>
      <c r="E816" s="2" t="e">
        <f>SPELLING.CHECK(#REF!,#REF!,#REF!)</f>
        <v>#REF!</v>
      </c>
      <c r="F816" s="2" t="e">
        <f>SPELLING.CHECK(#REF!,#REF!,+F816:G816)</f>
        <v>#REF!</v>
      </c>
      <c r="H816" s="2" t="e">
        <f>SPELLING.CHECK(#REF!,#REF!,H816:I816)</f>
        <v>#REF!</v>
      </c>
      <c r="J816" s="2" t="e">
        <f>SPELLING.CHECK(#REF!,#REF!,INDIRECT(J816:K816))</f>
        <v>#REF!</v>
      </c>
      <c r="L816" s="2">
        <f>TYPE(INDEX(,SPELLING.CHECK(#REF!,#REF!,OFFSET(INDEX(1,),,))))</f>
        <v>64</v>
      </c>
    </row>
    <row r="817" spans="1:12" x14ac:dyDescent="0.55000000000000004">
      <c r="A817" s="1" t="s">
        <v>1709</v>
      </c>
      <c r="B817" s="2">
        <f>COUNTIF(A:A,A817)-1</f>
        <v>1</v>
      </c>
      <c r="C817" s="2">
        <f>COUNTIF(A$1:A817,A817)-1</f>
        <v>0</v>
      </c>
      <c r="D817" s="2" t="str">
        <f t="shared" si="12"/>
        <v/>
      </c>
      <c r="E817" s="2"/>
      <c r="F817" s="2"/>
      <c r="H817" s="2"/>
      <c r="J817" s="2"/>
      <c r="L817" s="2"/>
    </row>
    <row r="818" spans="1:12" x14ac:dyDescent="0.55000000000000004">
      <c r="A818" s="1" t="s">
        <v>1709</v>
      </c>
      <c r="B818" s="2">
        <f>COUNTIF(A:A,A818)-1</f>
        <v>1</v>
      </c>
      <c r="C818" s="2">
        <f>COUNTIF(A$1:A818,A818)-1</f>
        <v>1</v>
      </c>
      <c r="D818" s="2" t="str">
        <f t="shared" si="12"/>
        <v>v</v>
      </c>
      <c r="E818" s="2">
        <f>ERROR.TYPE(#REF!)</f>
        <v>4</v>
      </c>
      <c r="F818" s="2" t="e">
        <f>ERROR.TYPE(+F818:G818)</f>
        <v>#N/A</v>
      </c>
      <c r="H818" s="2" t="e">
        <f>ERROR.TYPE(H818:I818)</f>
        <v>#N/A</v>
      </c>
      <c r="J818" s="2">
        <f>ERROR.TYPE(INDIRECT(J818:K818))</f>
        <v>4</v>
      </c>
      <c r="L818" s="2">
        <f>TYPE(INDEX(,ERROR.TYPE(OFFSET(INDEX(1,),,))))</f>
        <v>64</v>
      </c>
    </row>
    <row r="819" spans="1:12" x14ac:dyDescent="0.55000000000000004">
      <c r="A819" s="1" t="s">
        <v>1710</v>
      </c>
      <c r="B819" s="2">
        <f>COUNTIF(A:A,A819)-1</f>
        <v>1</v>
      </c>
      <c r="C819" s="2">
        <f>COUNTIF(A$1:A819,A819)-1</f>
        <v>0</v>
      </c>
      <c r="D819" s="2" t="str">
        <f t="shared" si="12"/>
        <v/>
      </c>
      <c r="E819" s="2" t="b">
        <f>APP.TITLE()</f>
        <v>0</v>
      </c>
      <c r="F819" s="2"/>
      <c r="H819" s="2"/>
      <c r="J819" s="2"/>
      <c r="L819" s="2"/>
    </row>
    <row r="820" spans="1:12" x14ac:dyDescent="0.55000000000000004">
      <c r="A820" s="1" t="s">
        <v>1710</v>
      </c>
      <c r="B820" s="2">
        <f>COUNTIF(A:A,A820)-1</f>
        <v>1</v>
      </c>
      <c r="C820" s="2">
        <f>COUNTIF(A$1:A820,A820)-1</f>
        <v>1</v>
      </c>
      <c r="D820" s="2" t="str">
        <f t="shared" si="12"/>
        <v>v</v>
      </c>
      <c r="E820" s="2" t="b">
        <f>APP.TITLE(#REF!)</f>
        <v>0</v>
      </c>
      <c r="F820" s="2" t="b">
        <f>APP.TITLE(+F820:G820)</f>
        <v>0</v>
      </c>
      <c r="H820" s="2" t="b">
        <f>APP.TITLE(H820:I820)</f>
        <v>0</v>
      </c>
      <c r="J820" s="2" t="b">
        <f>APP.TITLE(INDIRECT(J820:K820))</f>
        <v>0</v>
      </c>
      <c r="L820" s="2">
        <f>TYPE(INDEX(,APP.TITLE(OFFSET(INDEX(1,),,))))</f>
        <v>64</v>
      </c>
    </row>
    <row r="821" spans="1:12" x14ac:dyDescent="0.55000000000000004">
      <c r="A821" s="1" t="s">
        <v>1711</v>
      </c>
      <c r="B821" s="2">
        <f>COUNTIF(A:A,A821)-1</f>
        <v>1</v>
      </c>
      <c r="C821" s="2">
        <f>COUNTIF(A$1:A821,A821)-1</f>
        <v>0</v>
      </c>
      <c r="D821" s="2" t="str">
        <f t="shared" si="12"/>
        <v/>
      </c>
      <c r="E821" s="2" t="b">
        <f>WINDOW.TITLE()</f>
        <v>0</v>
      </c>
      <c r="F821" s="2"/>
      <c r="H821" s="2"/>
      <c r="J821" s="2"/>
      <c r="L821" s="2"/>
    </row>
    <row r="822" spans="1:12" x14ac:dyDescent="0.55000000000000004">
      <c r="A822" s="1" t="s">
        <v>1711</v>
      </c>
      <c r="B822" s="2">
        <f>COUNTIF(A:A,A822)-1</f>
        <v>1</v>
      </c>
      <c r="C822" s="2">
        <f>COUNTIF(A$1:A822,A822)-1</f>
        <v>1</v>
      </c>
      <c r="D822" s="2" t="str">
        <f t="shared" si="12"/>
        <v>v</v>
      </c>
      <c r="E822" s="2" t="b">
        <f>WINDOW.TITLE(#REF!)</f>
        <v>0</v>
      </c>
      <c r="F822" s="2" t="b">
        <f>WINDOW.TITLE(+F822:G822)</f>
        <v>0</v>
      </c>
      <c r="H822" s="2" t="b">
        <f>WINDOW.TITLE(H822:I822)</f>
        <v>0</v>
      </c>
      <c r="J822" s="2" t="b">
        <f>WINDOW.TITLE(INDIRECT(J822:K822))</f>
        <v>0</v>
      </c>
      <c r="L822" s="2">
        <f>TYPE(INDEX(,WINDOW.TITLE(OFFSET(INDEX(1,),,))))</f>
        <v>64</v>
      </c>
    </row>
    <row r="823" spans="1:12" x14ac:dyDescent="0.55000000000000004">
      <c r="A823" s="1" t="s">
        <v>1712</v>
      </c>
      <c r="B823" s="2">
        <f>COUNTIF(A:A,A823)-1</f>
        <v>2</v>
      </c>
      <c r="C823" s="2">
        <f>COUNTIF(A$1:A823,A823)-1</f>
        <v>0</v>
      </c>
      <c r="D823" s="2" t="str">
        <f t="shared" si="12"/>
        <v/>
      </c>
      <c r="E823" s="2" t="e">
        <f>SAVE.TOOLBAR()</f>
        <v>#VALUE!</v>
      </c>
      <c r="F823" s="2"/>
      <c r="H823" s="2"/>
      <c r="J823" s="2"/>
      <c r="L823" s="2"/>
    </row>
    <row r="824" spans="1:12" x14ac:dyDescent="0.55000000000000004">
      <c r="A824" s="1" t="s">
        <v>1712</v>
      </c>
      <c r="B824" s="2">
        <f>COUNTIF(A:A,A824)-1</f>
        <v>2</v>
      </c>
      <c r="C824" s="2">
        <f>COUNTIF(A$1:A824,A824)-1</f>
        <v>1</v>
      </c>
      <c r="D824" s="2" t="str">
        <f t="shared" si="12"/>
        <v>va</v>
      </c>
      <c r="E824" s="2" t="e">
        <f>SAVE.TOOLBAR(#REF!)</f>
        <v>#REF!</v>
      </c>
      <c r="F824" s="2" t="e">
        <f>SAVE.TOOLBAR(+F824:G824,#REF!)</f>
        <v>#REF!</v>
      </c>
      <c r="H824" s="2" t="e">
        <f>SAVE.TOOLBAR(H824:I824,#REF!)</f>
        <v>#REF!</v>
      </c>
      <c r="J824" s="2" t="e">
        <f>SAVE.TOOLBAR(INDIRECT(J824:K824),#REF!)</f>
        <v>#REF!</v>
      </c>
      <c r="L824" s="2">
        <f>TYPE(INDEX(,SAVE.TOOLBAR(OFFSET(INDEX(1,),,),#REF!)))</f>
        <v>16</v>
      </c>
    </row>
    <row r="825" spans="1:12" x14ac:dyDescent="0.55000000000000004">
      <c r="A825" s="1" t="s">
        <v>1712</v>
      </c>
      <c r="B825" s="2">
        <f>COUNTIF(A:A,A825)-1</f>
        <v>2</v>
      </c>
      <c r="C825" s="2">
        <f>COUNTIF(A$1:A825,A825)-1</f>
        <v>2</v>
      </c>
      <c r="D825" s="2" t="str">
        <f t="shared" si="12"/>
        <v>v</v>
      </c>
      <c r="E825" s="2" t="e">
        <f>SAVE.TOOLBAR(#REF!,#REF!)</f>
        <v>#REF!</v>
      </c>
      <c r="F825" s="2" t="e">
        <f>SAVE.TOOLBAR(#REF!,+F825:G825)</f>
        <v>#REF!</v>
      </c>
      <c r="H825" s="2" t="e">
        <f>SAVE.TOOLBAR(#REF!,H825:I825)</f>
        <v>#REF!</v>
      </c>
      <c r="J825" s="2" t="e">
        <f>SAVE.TOOLBAR(#REF!,INDIRECT(J825:K825))</f>
        <v>#REF!</v>
      </c>
      <c r="L825" s="2">
        <f>TYPE(INDEX(,SAVE.TOOLBAR(#REF!,OFFSET(INDEX(1,),,))))</f>
        <v>64</v>
      </c>
    </row>
    <row r="826" spans="1:12" x14ac:dyDescent="0.55000000000000004">
      <c r="A826" s="1" t="s">
        <v>1713</v>
      </c>
      <c r="B826" s="2">
        <f>COUNTIF(A:A,A826)-1</f>
        <v>3</v>
      </c>
      <c r="C826" s="2">
        <f>COUNTIF(A$1:A826,A826)-1</f>
        <v>0</v>
      </c>
      <c r="D826" s="2" t="str">
        <f t="shared" si="12"/>
        <v/>
      </c>
      <c r="E826" s="2"/>
      <c r="F826" s="2"/>
      <c r="H826" s="2"/>
      <c r="J826" s="2"/>
      <c r="L826" s="2"/>
    </row>
    <row r="827" spans="1:12" x14ac:dyDescent="0.55000000000000004">
      <c r="A827" s="1" t="s">
        <v>1713</v>
      </c>
      <c r="B827" s="2">
        <f>COUNTIF(A:A,A827)-1</f>
        <v>3</v>
      </c>
      <c r="C827" s="2">
        <f>COUNTIF(A$1:A827,A827)-1</f>
        <v>1</v>
      </c>
      <c r="D827" s="2" t="str">
        <f t="shared" si="12"/>
        <v>v</v>
      </c>
      <c r="E827" s="2"/>
      <c r="F827" s="2" t="b">
        <f>ENABLE.TOOL(+F827:G827,#REF!,#REF!)</f>
        <v>0</v>
      </c>
      <c r="H827" s="2" t="b">
        <f>ENABLE.TOOL(H827:I827,#REF!,#REF!)</f>
        <v>0</v>
      </c>
      <c r="J827" s="2" t="b">
        <f>ENABLE.TOOL(INDIRECT(J827:K827),#REF!,#REF!)</f>
        <v>0</v>
      </c>
      <c r="L827" s="2">
        <f>TYPE(INDEX(,ENABLE.TOOL(OFFSET(INDEX(1,),,),#REF!,#REF!)))</f>
        <v>64</v>
      </c>
    </row>
    <row r="828" spans="1:12" x14ac:dyDescent="0.55000000000000004">
      <c r="A828" s="1" t="s">
        <v>1713</v>
      </c>
      <c r="B828" s="2">
        <f>COUNTIF(A:A,A828)-1</f>
        <v>3</v>
      </c>
      <c r="C828" s="2">
        <f>COUNTIF(A$1:A828,A828)-1</f>
        <v>2</v>
      </c>
      <c r="D828" s="2" t="str">
        <f t="shared" si="12"/>
        <v>v</v>
      </c>
      <c r="E828" s="2"/>
      <c r="F828" s="2" t="b">
        <f>ENABLE.TOOL(#REF!,+F828:G828,#REF!)</f>
        <v>0</v>
      </c>
      <c r="H828" s="2" t="b">
        <f>ENABLE.TOOL(#REF!,H828:I828,#REF!)</f>
        <v>0</v>
      </c>
      <c r="J828" s="2" t="b">
        <f>ENABLE.TOOL(#REF!,INDIRECT(J828:K828),#REF!)</f>
        <v>0</v>
      </c>
      <c r="L828" s="2">
        <f>TYPE(INDEX(,ENABLE.TOOL(#REF!,OFFSET(INDEX(1,),,),#REF!)))</f>
        <v>64</v>
      </c>
    </row>
    <row r="829" spans="1:12" x14ac:dyDescent="0.55000000000000004">
      <c r="A829" s="1" t="s">
        <v>1713</v>
      </c>
      <c r="B829" s="2">
        <f>COUNTIF(A:A,A829)-1</f>
        <v>3</v>
      </c>
      <c r="C829" s="2">
        <f>COUNTIF(A$1:A829,A829)-1</f>
        <v>3</v>
      </c>
      <c r="D829" s="2" t="str">
        <f t="shared" si="12"/>
        <v>v</v>
      </c>
      <c r="E829" s="2" t="b">
        <f>ENABLE.TOOL(#REF!,#REF!,#REF!)</f>
        <v>0</v>
      </c>
      <c r="F829" s="2" t="b">
        <f>ENABLE.TOOL(#REF!,#REF!,+F829:G829)</f>
        <v>0</v>
      </c>
      <c r="H829" s="2" t="b">
        <f>ENABLE.TOOL(#REF!,#REF!,H829:I829)</f>
        <v>0</v>
      </c>
      <c r="J829" s="2" t="b">
        <f>ENABLE.TOOL(#REF!,#REF!,INDIRECT(J829:K829))</f>
        <v>0</v>
      </c>
      <c r="L829" s="2">
        <f>TYPE(INDEX(,ENABLE.TOOL(#REF!,#REF!,OFFSET(INDEX(1,),,))))</f>
        <v>64</v>
      </c>
    </row>
    <row r="830" spans="1:12" x14ac:dyDescent="0.55000000000000004">
      <c r="A830" s="1" t="s">
        <v>1714</v>
      </c>
      <c r="B830" s="2">
        <f>COUNTIF(A:A,A830)-1</f>
        <v>3</v>
      </c>
      <c r="C830" s="2">
        <f>COUNTIF(A$1:A830,A830)-1</f>
        <v>0</v>
      </c>
      <c r="D830" s="2" t="str">
        <f t="shared" si="12"/>
        <v/>
      </c>
      <c r="E830" s="2"/>
      <c r="F830" s="2"/>
      <c r="H830" s="2"/>
      <c r="J830" s="2"/>
      <c r="L830" s="2"/>
    </row>
    <row r="831" spans="1:12" x14ac:dyDescent="0.55000000000000004">
      <c r="A831" s="1" t="s">
        <v>1714</v>
      </c>
      <c r="B831" s="2">
        <f>COUNTIF(A:A,A831)-1</f>
        <v>3</v>
      </c>
      <c r="C831" s="2">
        <f>COUNTIF(A$1:A831,A831)-1</f>
        <v>1</v>
      </c>
      <c r="D831" s="2" t="str">
        <f t="shared" si="12"/>
        <v>v</v>
      </c>
      <c r="E831" s="2"/>
      <c r="F831" s="2" t="b">
        <f>PRESS.TOOL(+F831:G831,#REF!,#REF!)</f>
        <v>0</v>
      </c>
      <c r="H831" s="2" t="b">
        <f>PRESS.TOOL(H831:I831,#REF!,#REF!)</f>
        <v>0</v>
      </c>
      <c r="J831" s="2" t="b">
        <f>PRESS.TOOL(INDIRECT(J831:K831),#REF!,#REF!)</f>
        <v>0</v>
      </c>
      <c r="L831" s="2">
        <f>TYPE(INDEX(,PRESS.TOOL(OFFSET(INDEX(1,),,),#REF!,#REF!)))</f>
        <v>64</v>
      </c>
    </row>
    <row r="832" spans="1:12" x14ac:dyDescent="0.55000000000000004">
      <c r="A832" s="1" t="s">
        <v>1714</v>
      </c>
      <c r="B832" s="2">
        <f>COUNTIF(A:A,A832)-1</f>
        <v>3</v>
      </c>
      <c r="C832" s="2">
        <f>COUNTIF(A$1:A832,A832)-1</f>
        <v>2</v>
      </c>
      <c r="D832" s="2" t="str">
        <f t="shared" si="12"/>
        <v>v</v>
      </c>
      <c r="E832" s="2"/>
      <c r="F832" s="2" t="b">
        <f>PRESS.TOOL(#REF!,+F832:G832,#REF!)</f>
        <v>0</v>
      </c>
      <c r="H832" s="2" t="b">
        <f>PRESS.TOOL(#REF!,H832:I832,#REF!)</f>
        <v>0</v>
      </c>
      <c r="J832" s="2" t="b">
        <f>PRESS.TOOL(#REF!,INDIRECT(J832:K832),#REF!)</f>
        <v>0</v>
      </c>
      <c r="L832" s="2">
        <f>TYPE(INDEX(,PRESS.TOOL(#REF!,OFFSET(INDEX(1,),,),#REF!)))</f>
        <v>64</v>
      </c>
    </row>
    <row r="833" spans="1:12" x14ac:dyDescent="0.55000000000000004">
      <c r="A833" s="1" t="s">
        <v>1714</v>
      </c>
      <c r="B833" s="2">
        <f>COUNTIF(A:A,A833)-1</f>
        <v>3</v>
      </c>
      <c r="C833" s="2">
        <f>COUNTIF(A$1:A833,A833)-1</f>
        <v>3</v>
      </c>
      <c r="D833" s="2" t="str">
        <f t="shared" si="12"/>
        <v>v</v>
      </c>
      <c r="E833" s="2" t="b">
        <f>PRESS.TOOL(#REF!,#REF!,#REF!)</f>
        <v>0</v>
      </c>
      <c r="F833" s="2" t="b">
        <f>PRESS.TOOL(#REF!,#REF!,+F833:G833)</f>
        <v>0</v>
      </c>
      <c r="H833" s="2" t="b">
        <f>PRESS.TOOL(#REF!,#REF!,H833:I833)</f>
        <v>0</v>
      </c>
      <c r="J833" s="2" t="b">
        <f>PRESS.TOOL(#REF!,#REF!,INDIRECT(J833:K833))</f>
        <v>0</v>
      </c>
      <c r="L833" s="2">
        <f>TYPE(INDEX(,PRESS.TOOL(#REF!,#REF!,OFFSET(INDEX(1,),,))))</f>
        <v>64</v>
      </c>
    </row>
    <row r="834" spans="1:12" x14ac:dyDescent="0.55000000000000004">
      <c r="A834" s="1" t="s">
        <v>1715</v>
      </c>
      <c r="B834" s="2">
        <f>COUNTIF(A:A,A834)-1</f>
        <v>3</v>
      </c>
      <c r="C834" s="2">
        <f>COUNTIF(A$1:A834,A834)-1</f>
        <v>0</v>
      </c>
      <c r="D834" s="2" t="str">
        <f t="shared" ref="D834:D897" si="13">IF(C834&gt;0,IF(COUNTA(F834:G834)=1,"v",)&amp;IF(L834=64,,"a")&amp;IF(COUNTA(I834,K834)=1,"r",),"")</f>
        <v/>
      </c>
      <c r="E834" s="2"/>
      <c r="F834" s="2"/>
      <c r="H834" s="2"/>
      <c r="J834" s="2"/>
      <c r="L834" s="2"/>
    </row>
    <row r="835" spans="1:12" x14ac:dyDescent="0.55000000000000004">
      <c r="A835" s="1" t="s">
        <v>1715</v>
      </c>
      <c r="B835" s="2">
        <f>COUNTIF(A:A,A835)-1</f>
        <v>3</v>
      </c>
      <c r="C835" s="2">
        <f>COUNTIF(A$1:A835,A835)-1</f>
        <v>1</v>
      </c>
      <c r="D835" s="2" t="str">
        <f t="shared" si="13"/>
        <v>v</v>
      </c>
      <c r="E835" s="2"/>
      <c r="F835" s="2" t="e">
        <f>REGISTER.ID(+F835:G835,#REF!,#REF!)</f>
        <v>#REF!</v>
      </c>
      <c r="H835" s="2" t="e">
        <f>REGISTER.ID(H835:I835,#REF!,#REF!)</f>
        <v>#REF!</v>
      </c>
      <c r="J835" s="2" t="e">
        <f>REGISTER.ID(INDIRECT(J835:K835),#REF!,#REF!)</f>
        <v>#REF!</v>
      </c>
      <c r="L835" s="2">
        <f>TYPE(INDEX(,REGISTER.ID(OFFSET(INDEX(1,),,),#REF!,#REF!)))</f>
        <v>64</v>
      </c>
    </row>
    <row r="836" spans="1:12" x14ac:dyDescent="0.55000000000000004">
      <c r="A836" s="1" t="s">
        <v>1715</v>
      </c>
      <c r="B836" s="2">
        <f>COUNTIF(A:A,A836)-1</f>
        <v>3</v>
      </c>
      <c r="C836" s="2">
        <f>COUNTIF(A$1:A836,A836)-1</f>
        <v>2</v>
      </c>
      <c r="D836" s="2" t="str">
        <f t="shared" si="13"/>
        <v>v</v>
      </c>
      <c r="E836" s="2" t="e">
        <f>REGISTER.ID(#REF!,#REF!)</f>
        <v>#REF!</v>
      </c>
      <c r="F836" s="2" t="e">
        <f>REGISTER.ID(#REF!,+F836:G836,#REF!)</f>
        <v>#REF!</v>
      </c>
      <c r="H836" s="2" t="e">
        <f>REGISTER.ID(#REF!,H836:I836,#REF!)</f>
        <v>#REF!</v>
      </c>
      <c r="J836" s="2" t="e">
        <f>REGISTER.ID(#REF!,INDIRECT(J836:K836),#REF!)</f>
        <v>#REF!</v>
      </c>
      <c r="L836" s="2">
        <f>TYPE(INDEX(,REGISTER.ID(#REF!,OFFSET(INDEX(1,),,),#REF!)))</f>
        <v>64</v>
      </c>
    </row>
    <row r="837" spans="1:12" x14ac:dyDescent="0.55000000000000004">
      <c r="A837" s="1" t="s">
        <v>1715</v>
      </c>
      <c r="B837" s="2">
        <f>COUNTIF(A:A,A837)-1</f>
        <v>3</v>
      </c>
      <c r="C837" s="2">
        <f>COUNTIF(A$1:A837,A837)-1</f>
        <v>3</v>
      </c>
      <c r="D837" s="2" t="str">
        <f t="shared" si="13"/>
        <v>v</v>
      </c>
      <c r="E837" s="2" t="e">
        <f>REGISTER.ID(#REF!,#REF!,#REF!)</f>
        <v>#REF!</v>
      </c>
      <c r="F837" s="2" t="e">
        <f>REGISTER.ID(#REF!,#REF!,+F837:G837)</f>
        <v>#REF!</v>
      </c>
      <c r="H837" s="2" t="e">
        <f>REGISTER.ID(#REF!,#REF!,H837:I837)</f>
        <v>#REF!</v>
      </c>
      <c r="J837" s="2" t="e">
        <f>REGISTER.ID(#REF!,#REF!,INDIRECT(J837:K837))</f>
        <v>#REF!</v>
      </c>
      <c r="L837" s="2">
        <f>TYPE(INDEX(,REGISTER.ID(#REF!,#REF!,OFFSET(INDEX(1,),,))))</f>
        <v>64</v>
      </c>
    </row>
    <row r="838" spans="1:12" x14ac:dyDescent="0.55000000000000004">
      <c r="A838" s="1" t="s">
        <v>1716</v>
      </c>
      <c r="B838" s="2">
        <f>COUNTIF(A:A,A838)-1</f>
        <v>2</v>
      </c>
      <c r="C838" s="2">
        <f>COUNTIF(A$1:A838,A838)-1</f>
        <v>0</v>
      </c>
      <c r="D838" s="2" t="str">
        <f t="shared" si="13"/>
        <v/>
      </c>
      <c r="E838" s="2"/>
      <c r="F838" s="2"/>
      <c r="H838" s="2"/>
      <c r="J838" s="2"/>
      <c r="L838" s="2"/>
    </row>
    <row r="839" spans="1:12" x14ac:dyDescent="0.55000000000000004">
      <c r="A839" s="1" t="s">
        <v>1716</v>
      </c>
      <c r="B839" s="2">
        <f>COUNTIF(A:A,A839)-1</f>
        <v>2</v>
      </c>
      <c r="C839" s="2">
        <f>COUNTIF(A$1:A839,A839)-1</f>
        <v>1</v>
      </c>
      <c r="D839" s="2" t="str">
        <f t="shared" si="13"/>
        <v>v</v>
      </c>
      <c r="E839" s="2" t="e">
        <f>GET.WORKBOOK(#REF!)</f>
        <v>#REF!</v>
      </c>
      <c r="F839" s="2" t="e">
        <f>GET.WORKBOOK(+F839:G839,#REF!)</f>
        <v>#REF!</v>
      </c>
      <c r="H839" s="2" t="e">
        <f>GET.WORKBOOK(H839:I839,#REF!)</f>
        <v>#REF!</v>
      </c>
      <c r="J839" s="2" t="e">
        <f>GET.WORKBOOK(INDIRECT(J839:K839),#REF!)</f>
        <v>#REF!</v>
      </c>
      <c r="L839" s="2">
        <f>TYPE(INDEX(,GET.WORKBOOK(OFFSET(INDEX(1,),,),#REF!)))</f>
        <v>64</v>
      </c>
    </row>
    <row r="840" spans="1:12" x14ac:dyDescent="0.55000000000000004">
      <c r="A840" s="1" t="s">
        <v>1716</v>
      </c>
      <c r="B840" s="2">
        <f>COUNTIF(A:A,A840)-1</f>
        <v>2</v>
      </c>
      <c r="C840" s="2">
        <f>COUNTIF(A$1:A840,A840)-1</f>
        <v>2</v>
      </c>
      <c r="D840" s="2" t="str">
        <f t="shared" si="13"/>
        <v>v</v>
      </c>
      <c r="E840" s="2" t="e">
        <f>GET.WORKBOOK(#REF!,#REF!)</f>
        <v>#REF!</v>
      </c>
      <c r="F840" s="2" t="e">
        <f>GET.WORKBOOK(#REF!,+F840:G840)</f>
        <v>#REF!</v>
      </c>
      <c r="H840" s="2" t="e">
        <f>GET.WORKBOOK(#REF!,H840:I840)</f>
        <v>#REF!</v>
      </c>
      <c r="J840" s="2" t="e">
        <f>GET.WORKBOOK(#REF!,INDIRECT(J840:K840))</f>
        <v>#REF!</v>
      </c>
      <c r="L840" s="2">
        <f>TYPE(INDEX(,GET.WORKBOOK(#REF!,OFFSET(INDEX(1,),,))))</f>
        <v>64</v>
      </c>
    </row>
    <row r="841" spans="1:12" x14ac:dyDescent="0.55000000000000004">
      <c r="A841" s="1" t="s">
        <v>1717</v>
      </c>
      <c r="B841" s="2">
        <f>COUNTIF(A:A,A841)-1</f>
        <v>3</v>
      </c>
      <c r="C841" s="2">
        <f>COUNTIF(A$1:A841,A841)-1</f>
        <v>0</v>
      </c>
      <c r="D841" s="2" t="str">
        <f t="shared" si="13"/>
        <v/>
      </c>
      <c r="E841" s="2"/>
      <c r="F841" s="2"/>
      <c r="H841" s="2"/>
      <c r="J841" s="2"/>
      <c r="L841" s="2"/>
    </row>
    <row r="842" spans="1:12" x14ac:dyDescent="0.55000000000000004">
      <c r="A842" s="1" t="s">
        <v>1717</v>
      </c>
      <c r="B842" s="2">
        <f>COUNTIF(A:A,A842)-1</f>
        <v>3</v>
      </c>
      <c r="C842" s="2">
        <f>COUNTIF(A$1:A842,A842)-1</f>
        <v>1</v>
      </c>
      <c r="D842" s="2" t="str">
        <f t="shared" si="13"/>
        <v>var</v>
      </c>
      <c r="E842" s="2" t="e">
        <f>AVEDEV(#REF!)</f>
        <v>#REF!</v>
      </c>
      <c r="F842" s="2" t="e">
        <f>AVEDEV(+F842:G842,#REF!,#REF!)</f>
        <v>#REF!</v>
      </c>
      <c r="H842" s="2" t="e">
        <f>AVEDEV(H842:I842,#REF!,#REF!)</f>
        <v>#REF!</v>
      </c>
      <c r="I842" s="1">
        <v>1</v>
      </c>
      <c r="J842" s="2" t="e">
        <f>AVEDEV(INDIRECT(J842:K842),#REF!,#REF!)</f>
        <v>#REF!</v>
      </c>
      <c r="L842" s="2">
        <f>TYPE(INDEX(,AVEDEV(OFFSET(INDEX(1,),,),#REF!,#REF!)))</f>
        <v>16</v>
      </c>
    </row>
    <row r="843" spans="1:12" x14ac:dyDescent="0.55000000000000004">
      <c r="A843" s="1" t="s">
        <v>1717</v>
      </c>
      <c r="B843" s="2">
        <f>COUNTIF(A:A,A843)-1</f>
        <v>3</v>
      </c>
      <c r="C843" s="2">
        <f>COUNTIF(A$1:A843,A843)-1</f>
        <v>2</v>
      </c>
      <c r="D843" s="2" t="str">
        <f t="shared" si="13"/>
        <v>var</v>
      </c>
      <c r="E843" s="2" t="e">
        <f>AVEDEV(#REF!,#REF!)</f>
        <v>#REF!</v>
      </c>
      <c r="F843" s="2" t="e">
        <f>AVEDEV(#REF!,+F843:G843,#REF!)</f>
        <v>#REF!</v>
      </c>
      <c r="H843" s="2" t="e">
        <f>AVEDEV(#REF!,H843:I843,#REF!)</f>
        <v>#REF!</v>
      </c>
      <c r="I843" s="1">
        <v>1</v>
      </c>
      <c r="J843" s="2" t="e">
        <f>AVEDEV(#REF!,INDIRECT(J843:K843),#REF!)</f>
        <v>#REF!</v>
      </c>
      <c r="L843" s="2">
        <f>TYPE(INDEX(,AVEDEV(#REF!,OFFSET(INDEX(1,),,),#REF!)))</f>
        <v>16</v>
      </c>
    </row>
    <row r="844" spans="1:12" x14ac:dyDescent="0.55000000000000004">
      <c r="A844" s="1" t="s">
        <v>1717</v>
      </c>
      <c r="B844" s="2">
        <f>COUNTIF(A:A,A844)-1</f>
        <v>3</v>
      </c>
      <c r="C844" s="2">
        <f>COUNTIF(A$1:A844,A844)-1</f>
        <v>3</v>
      </c>
      <c r="D844" s="2" t="str">
        <f t="shared" si="13"/>
        <v>var</v>
      </c>
      <c r="E844" s="2" t="e">
        <f>AVEDEV(#REF!,#REF!,#REF!)</f>
        <v>#REF!</v>
      </c>
      <c r="F844" s="2" t="e">
        <f>AVEDEV(#REF!,#REF!,+F844:G844)</f>
        <v>#REF!</v>
      </c>
      <c r="H844" s="2" t="e">
        <f>AVEDEV(#REF!,#REF!,H844:I844)</f>
        <v>#REF!</v>
      </c>
      <c r="I844" s="1">
        <v>1</v>
      </c>
      <c r="J844" s="2" t="e">
        <f>AVEDEV(#REF!,#REF!,INDIRECT(J844:K844))</f>
        <v>#REF!</v>
      </c>
      <c r="L844" s="2">
        <f>TYPE(INDEX(,AVEDEV(#REF!,#REF!,OFFSET(INDEX(1,),,))))</f>
        <v>16</v>
      </c>
    </row>
    <row r="845" spans="1:12" x14ac:dyDescent="0.55000000000000004">
      <c r="A845" s="1" t="s">
        <v>1718</v>
      </c>
      <c r="B845" s="2">
        <f>COUNTIF(A:A,A845)-1</f>
        <v>5</v>
      </c>
      <c r="C845" s="2">
        <f>COUNTIF(A$1:A845,A845)-1</f>
        <v>0</v>
      </c>
      <c r="D845" s="2" t="str">
        <f t="shared" si="13"/>
        <v/>
      </c>
      <c r="E845" s="2"/>
      <c r="F845" s="2"/>
      <c r="H845" s="2"/>
      <c r="J845" s="2"/>
      <c r="L845" s="2"/>
    </row>
    <row r="846" spans="1:12" x14ac:dyDescent="0.55000000000000004">
      <c r="A846" s="1" t="s">
        <v>1718</v>
      </c>
      <c r="B846" s="2">
        <f>COUNTIF(A:A,A846)-1</f>
        <v>5</v>
      </c>
      <c r="C846" s="2">
        <f>COUNTIF(A$1:A846,A846)-1</f>
        <v>1</v>
      </c>
      <c r="D846" s="2" t="str">
        <f t="shared" si="13"/>
        <v>v</v>
      </c>
      <c r="E846" s="2"/>
      <c r="F846" s="2" t="e">
        <f>BETADIST(+F846:G846,#REF!,#REF!,#REF!,#REF!)</f>
        <v>#REF!</v>
      </c>
      <c r="H846" s="2" t="e">
        <f>BETADIST(H846:I846,#REF!,#REF!,#REF!,#REF!)</f>
        <v>#REF!</v>
      </c>
      <c r="J846" s="2" t="e">
        <f>BETADIST(INDIRECT(J846:K846),#REF!,#REF!,#REF!,#REF!)</f>
        <v>#REF!</v>
      </c>
      <c r="L846" s="2">
        <f>TYPE(INDEX(,BETADIST(OFFSET(INDEX(1,),,),#REF!,#REF!,#REF!,#REF!)))</f>
        <v>64</v>
      </c>
    </row>
    <row r="847" spans="1:12" x14ac:dyDescent="0.55000000000000004">
      <c r="A847" s="1" t="s">
        <v>1718</v>
      </c>
      <c r="B847" s="2">
        <f>COUNTIF(A:A,A847)-1</f>
        <v>5</v>
      </c>
      <c r="C847" s="2">
        <f>COUNTIF(A$1:A847,A847)-1</f>
        <v>2</v>
      </c>
      <c r="D847" s="2" t="str">
        <f t="shared" si="13"/>
        <v>v</v>
      </c>
      <c r="E847" s="2"/>
      <c r="F847" s="2" t="e">
        <f>BETADIST(#REF!,+F847:G847,#REF!,#REF!,#REF!)</f>
        <v>#REF!</v>
      </c>
      <c r="H847" s="2" t="e">
        <f>BETADIST(#REF!,H847:I847,#REF!,#REF!,#REF!)</f>
        <v>#REF!</v>
      </c>
      <c r="J847" s="2" t="e">
        <f>BETADIST(#REF!,INDIRECT(J847:K847),#REF!,#REF!,#REF!)</f>
        <v>#REF!</v>
      </c>
      <c r="L847" s="2">
        <f>TYPE(INDEX(,BETADIST(#REF!,OFFSET(INDEX(1,),,),#REF!,#REF!,#REF!)))</f>
        <v>64</v>
      </c>
    </row>
    <row r="848" spans="1:12" x14ac:dyDescent="0.55000000000000004">
      <c r="A848" s="1" t="s">
        <v>1718</v>
      </c>
      <c r="B848" s="2">
        <f>COUNTIF(A:A,A848)-1</f>
        <v>5</v>
      </c>
      <c r="C848" s="2">
        <f>COUNTIF(A$1:A848,A848)-1</f>
        <v>3</v>
      </c>
      <c r="D848" s="2" t="str">
        <f t="shared" si="13"/>
        <v>v</v>
      </c>
      <c r="E848" s="2" t="e">
        <f>BETADIST(#REF!,#REF!,#REF!)</f>
        <v>#REF!</v>
      </c>
      <c r="F848" s="2" t="e">
        <f>BETADIST(#REF!,#REF!,+F848:G848,#REF!,#REF!)</f>
        <v>#REF!</v>
      </c>
      <c r="H848" s="2" t="e">
        <f>BETADIST(#REF!,#REF!,H848:I848,#REF!,#REF!)</f>
        <v>#REF!</v>
      </c>
      <c r="J848" s="2" t="e">
        <f>BETADIST(#REF!,#REF!,INDIRECT(J848:K848),#REF!,#REF!)</f>
        <v>#REF!</v>
      </c>
      <c r="L848" s="2">
        <f>TYPE(INDEX(,BETADIST(#REF!,#REF!,OFFSET(INDEX(1,),,),#REF!,#REF!)))</f>
        <v>64</v>
      </c>
    </row>
    <row r="849" spans="1:12" x14ac:dyDescent="0.55000000000000004">
      <c r="A849" s="1" t="s">
        <v>1718</v>
      </c>
      <c r="B849" s="2">
        <f>COUNTIF(A:A,A849)-1</f>
        <v>5</v>
      </c>
      <c r="C849" s="2">
        <f>COUNTIF(A$1:A849,A849)-1</f>
        <v>4</v>
      </c>
      <c r="D849" s="2" t="str">
        <f t="shared" si="13"/>
        <v>v</v>
      </c>
      <c r="E849" s="2" t="e">
        <f>BETADIST(#REF!,#REF!,#REF!,#REF!)</f>
        <v>#REF!</v>
      </c>
      <c r="F849" s="2" t="e">
        <f>BETADIST(#REF!,#REF!,#REF!,+F849:G849,#REF!)</f>
        <v>#REF!</v>
      </c>
      <c r="H849" s="2" t="e">
        <f>BETADIST(#REF!,#REF!,#REF!,H849:I849,#REF!)</f>
        <v>#REF!</v>
      </c>
      <c r="J849" s="2" t="e">
        <f>BETADIST(#REF!,#REF!,#REF!,INDIRECT(J849:K849),#REF!)</f>
        <v>#REF!</v>
      </c>
      <c r="L849" s="2">
        <f>TYPE(INDEX(,BETADIST(#REF!,#REF!,#REF!,OFFSET(INDEX(1,),,),#REF!)))</f>
        <v>64</v>
      </c>
    </row>
    <row r="850" spans="1:12" x14ac:dyDescent="0.55000000000000004">
      <c r="A850" s="1" t="s">
        <v>1718</v>
      </c>
      <c r="B850" s="2">
        <f>COUNTIF(A:A,A850)-1</f>
        <v>5</v>
      </c>
      <c r="C850" s="2">
        <f>COUNTIF(A$1:A850,A850)-1</f>
        <v>5</v>
      </c>
      <c r="D850" s="2" t="str">
        <f t="shared" si="13"/>
        <v>v</v>
      </c>
      <c r="E850" s="2" t="e">
        <f>BETADIST(#REF!,#REF!,#REF!,#REF!,#REF!)</f>
        <v>#REF!</v>
      </c>
      <c r="F850" s="2" t="e">
        <f>BETADIST(#REF!,#REF!,#REF!,#REF!,+F850:G850)</f>
        <v>#REF!</v>
      </c>
      <c r="H850" s="2" t="e">
        <f>BETADIST(#REF!,#REF!,#REF!,#REF!,H850:I850)</f>
        <v>#REF!</v>
      </c>
      <c r="J850" s="2" t="e">
        <f>BETADIST(#REF!,#REF!,#REF!,#REF!,INDIRECT(J850:K850))</f>
        <v>#REF!</v>
      </c>
      <c r="L850" s="2">
        <f>TYPE(INDEX(,BETADIST(#REF!,#REF!,#REF!,#REF!,OFFSET(INDEX(1,),,))))</f>
        <v>64</v>
      </c>
    </row>
    <row r="851" spans="1:12" x14ac:dyDescent="0.55000000000000004">
      <c r="A851" s="1" t="s">
        <v>1719</v>
      </c>
      <c r="B851" s="2">
        <f>COUNTIF(A:A,A851)-1</f>
        <v>1</v>
      </c>
      <c r="C851" s="2">
        <f>COUNTIF(A$1:A851,A851)-1</f>
        <v>0</v>
      </c>
      <c r="D851" s="2" t="str">
        <f t="shared" si="13"/>
        <v/>
      </c>
      <c r="E851" s="2"/>
      <c r="F851" s="2"/>
      <c r="H851" s="2"/>
      <c r="J851" s="2"/>
      <c r="L851" s="2"/>
    </row>
    <row r="852" spans="1:12" x14ac:dyDescent="0.55000000000000004">
      <c r="A852" s="1" t="s">
        <v>1719</v>
      </c>
      <c r="B852" s="2">
        <f>COUNTIF(A:A,A852)-1</f>
        <v>1</v>
      </c>
      <c r="C852" s="2">
        <f>COUNTIF(A$1:A852,A852)-1</f>
        <v>1</v>
      </c>
      <c r="D852" s="2" t="str">
        <f t="shared" si="13"/>
        <v>v</v>
      </c>
      <c r="E852" s="2" t="e">
        <f>GAMMALN(#REF!)</f>
        <v>#REF!</v>
      </c>
      <c r="F852" s="2" t="e">
        <f>GAMMALN(+F852:G852)</f>
        <v>#NUM!</v>
      </c>
      <c r="H852" s="2" t="e">
        <f>GAMMALN(H852:I852)</f>
        <v>#NUM!</v>
      </c>
      <c r="J852" s="2" t="e">
        <f>GAMMALN(INDIRECT(J852:K852))</f>
        <v>#REF!</v>
      </c>
      <c r="L852" s="2">
        <f>TYPE(INDEX(,GAMMALN(OFFSET(INDEX(1,),,))))</f>
        <v>64</v>
      </c>
    </row>
    <row r="853" spans="1:12" x14ac:dyDescent="0.55000000000000004">
      <c r="A853" s="1" t="s">
        <v>1720</v>
      </c>
      <c r="B853" s="2">
        <f>COUNTIF(A:A,A853)-1</f>
        <v>5</v>
      </c>
      <c r="C853" s="2">
        <f>COUNTIF(A$1:A853,A853)-1</f>
        <v>0</v>
      </c>
      <c r="D853" s="2" t="str">
        <f t="shared" si="13"/>
        <v/>
      </c>
      <c r="E853" s="2"/>
      <c r="F853" s="2"/>
      <c r="H853" s="2"/>
      <c r="J853" s="2"/>
      <c r="L853" s="2"/>
    </row>
    <row r="854" spans="1:12" x14ac:dyDescent="0.55000000000000004">
      <c r="A854" s="1" t="s">
        <v>1720</v>
      </c>
      <c r="B854" s="2">
        <f>COUNTIF(A:A,A854)-1</f>
        <v>5</v>
      </c>
      <c r="C854" s="2">
        <f>COUNTIF(A$1:A854,A854)-1</f>
        <v>1</v>
      </c>
      <c r="D854" s="2" t="str">
        <f t="shared" si="13"/>
        <v>v</v>
      </c>
      <c r="E854" s="2"/>
      <c r="F854" s="2" t="e">
        <f>BETAINV(+F854:G854,#REF!,#REF!,#REF!,#REF!)</f>
        <v>#REF!</v>
      </c>
      <c r="H854" s="2" t="e">
        <f>BETAINV(H854:I854,#REF!,#REF!,#REF!,#REF!)</f>
        <v>#REF!</v>
      </c>
      <c r="J854" s="2" t="e">
        <f>BETAINV(INDIRECT(J854:K854),#REF!,#REF!,#REF!,#REF!)</f>
        <v>#REF!</v>
      </c>
      <c r="L854" s="2">
        <f>TYPE(INDEX(,BETAINV(OFFSET(INDEX(1,),,),#REF!,#REF!,#REF!,#REF!)))</f>
        <v>64</v>
      </c>
    </row>
    <row r="855" spans="1:12" x14ac:dyDescent="0.55000000000000004">
      <c r="A855" s="1" t="s">
        <v>1720</v>
      </c>
      <c r="B855" s="2">
        <f>COUNTIF(A:A,A855)-1</f>
        <v>5</v>
      </c>
      <c r="C855" s="2">
        <f>COUNTIF(A$1:A855,A855)-1</f>
        <v>2</v>
      </c>
      <c r="D855" s="2" t="str">
        <f t="shared" si="13"/>
        <v>v</v>
      </c>
      <c r="E855" s="2"/>
      <c r="F855" s="2" t="e">
        <f>BETAINV(#REF!,+F855:G855,#REF!,#REF!,#REF!)</f>
        <v>#REF!</v>
      </c>
      <c r="H855" s="2" t="e">
        <f>BETAINV(#REF!,H855:I855,#REF!,#REF!,#REF!)</f>
        <v>#REF!</v>
      </c>
      <c r="J855" s="2" t="e">
        <f>BETAINV(#REF!,INDIRECT(J855:K855),#REF!,#REF!,#REF!)</f>
        <v>#REF!</v>
      </c>
      <c r="L855" s="2">
        <f>TYPE(INDEX(,BETAINV(#REF!,OFFSET(INDEX(1,),,),#REF!,#REF!,#REF!)))</f>
        <v>64</v>
      </c>
    </row>
    <row r="856" spans="1:12" x14ac:dyDescent="0.55000000000000004">
      <c r="A856" s="1" t="s">
        <v>1720</v>
      </c>
      <c r="B856" s="2">
        <f>COUNTIF(A:A,A856)-1</f>
        <v>5</v>
      </c>
      <c r="C856" s="2">
        <f>COUNTIF(A$1:A856,A856)-1</f>
        <v>3</v>
      </c>
      <c r="D856" s="2" t="str">
        <f t="shared" si="13"/>
        <v>v</v>
      </c>
      <c r="E856" s="2" t="e">
        <f>BETAINV(#REF!,#REF!,#REF!)</f>
        <v>#REF!</v>
      </c>
      <c r="F856" s="2" t="e">
        <f>BETAINV(#REF!,#REF!,+F856:G856,#REF!,#REF!)</f>
        <v>#REF!</v>
      </c>
      <c r="H856" s="2" t="e">
        <f>BETAINV(#REF!,#REF!,H856:I856,#REF!,#REF!)</f>
        <v>#REF!</v>
      </c>
      <c r="J856" s="2" t="e">
        <f>BETAINV(#REF!,#REF!,INDIRECT(J856:K856),#REF!,#REF!)</f>
        <v>#REF!</v>
      </c>
      <c r="L856" s="2">
        <f>TYPE(INDEX(,BETAINV(#REF!,#REF!,OFFSET(INDEX(1,),,),#REF!,#REF!)))</f>
        <v>64</v>
      </c>
    </row>
    <row r="857" spans="1:12" x14ac:dyDescent="0.55000000000000004">
      <c r="A857" s="1" t="s">
        <v>1720</v>
      </c>
      <c r="B857" s="2">
        <f>COUNTIF(A:A,A857)-1</f>
        <v>5</v>
      </c>
      <c r="C857" s="2">
        <f>COUNTIF(A$1:A857,A857)-1</f>
        <v>4</v>
      </c>
      <c r="D857" s="2" t="str">
        <f t="shared" si="13"/>
        <v>v</v>
      </c>
      <c r="E857" s="2" t="e">
        <f>BETAINV(#REF!,#REF!,#REF!,#REF!)</f>
        <v>#REF!</v>
      </c>
      <c r="F857" s="2" t="e">
        <f>BETAINV(#REF!,#REF!,#REF!,+F857:G857,#REF!)</f>
        <v>#REF!</v>
      </c>
      <c r="H857" s="2" t="e">
        <f>BETAINV(#REF!,#REF!,#REF!,H857:I857,#REF!)</f>
        <v>#REF!</v>
      </c>
      <c r="J857" s="2" t="e">
        <f>BETAINV(#REF!,#REF!,#REF!,INDIRECT(J857:K857),#REF!)</f>
        <v>#REF!</v>
      </c>
      <c r="L857" s="2">
        <f>TYPE(INDEX(,BETAINV(#REF!,#REF!,#REF!,OFFSET(INDEX(1,),,),#REF!)))</f>
        <v>64</v>
      </c>
    </row>
    <row r="858" spans="1:12" x14ac:dyDescent="0.55000000000000004">
      <c r="A858" s="1" t="s">
        <v>1720</v>
      </c>
      <c r="B858" s="2">
        <f>COUNTIF(A:A,A858)-1</f>
        <v>5</v>
      </c>
      <c r="C858" s="2">
        <f>COUNTIF(A$1:A858,A858)-1</f>
        <v>5</v>
      </c>
      <c r="D858" s="2" t="str">
        <f t="shared" si="13"/>
        <v>v</v>
      </c>
      <c r="E858" s="2" t="e">
        <f>BETAINV(#REF!,#REF!,#REF!,#REF!,#REF!)</f>
        <v>#REF!</v>
      </c>
      <c r="F858" s="2" t="e">
        <f>BETAINV(#REF!,#REF!,#REF!,#REF!,+F858:G858)</f>
        <v>#REF!</v>
      </c>
      <c r="H858" s="2" t="e">
        <f>BETAINV(#REF!,#REF!,#REF!,#REF!,H858:I858)</f>
        <v>#REF!</v>
      </c>
      <c r="J858" s="2" t="e">
        <f>BETAINV(#REF!,#REF!,#REF!,#REF!,INDIRECT(J858:K858))</f>
        <v>#REF!</v>
      </c>
      <c r="L858" s="2">
        <f>TYPE(INDEX(,BETAINV(#REF!,#REF!,#REF!,#REF!,OFFSET(INDEX(1,),,))))</f>
        <v>64</v>
      </c>
    </row>
    <row r="859" spans="1:12" x14ac:dyDescent="0.55000000000000004">
      <c r="A859" s="1" t="s">
        <v>1721</v>
      </c>
      <c r="B859" s="2">
        <f>COUNTIF(A:A,A859)-1</f>
        <v>4</v>
      </c>
      <c r="C859" s="2">
        <f>COUNTIF(A$1:A859,A859)-1</f>
        <v>0</v>
      </c>
      <c r="D859" s="2" t="str">
        <f t="shared" si="13"/>
        <v/>
      </c>
      <c r="E859" s="2"/>
      <c r="F859" s="2"/>
      <c r="H859" s="2"/>
      <c r="J859" s="2"/>
      <c r="L859" s="2"/>
    </row>
    <row r="860" spans="1:12" x14ac:dyDescent="0.55000000000000004">
      <c r="A860" s="1" t="s">
        <v>1721</v>
      </c>
      <c r="B860" s="2">
        <f>COUNTIF(A:A,A860)-1</f>
        <v>4</v>
      </c>
      <c r="C860" s="2">
        <f>COUNTIF(A$1:A860,A860)-1</f>
        <v>1</v>
      </c>
      <c r="D860" s="2" t="str">
        <f t="shared" si="13"/>
        <v>v</v>
      </c>
      <c r="E860" s="2"/>
      <c r="F860" s="2" t="e">
        <f>BINOMDIST(+F860:G860,#REF!,#REF!,#REF!)</f>
        <v>#REF!</v>
      </c>
      <c r="H860" s="2" t="e">
        <f>BINOMDIST(H860:I860,#REF!,#REF!,#REF!)</f>
        <v>#REF!</v>
      </c>
      <c r="J860" s="2" t="e">
        <f>BINOMDIST(INDIRECT(J860:K860),#REF!,#REF!,#REF!)</f>
        <v>#REF!</v>
      </c>
      <c r="L860" s="2">
        <f>TYPE(INDEX(,BINOMDIST(OFFSET(INDEX(1,),,),#REF!,#REF!,#REF!)))</f>
        <v>64</v>
      </c>
    </row>
    <row r="861" spans="1:12" x14ac:dyDescent="0.55000000000000004">
      <c r="A861" s="1" t="s">
        <v>1721</v>
      </c>
      <c r="B861" s="2">
        <f>COUNTIF(A:A,A861)-1</f>
        <v>4</v>
      </c>
      <c r="C861" s="2">
        <f>COUNTIF(A$1:A861,A861)-1</f>
        <v>2</v>
      </c>
      <c r="D861" s="2" t="str">
        <f t="shared" si="13"/>
        <v>v</v>
      </c>
      <c r="E861" s="2"/>
      <c r="F861" s="2" t="e">
        <f>BINOMDIST(#REF!,+F861:G861,#REF!,#REF!)</f>
        <v>#REF!</v>
      </c>
      <c r="H861" s="2" t="e">
        <f>BINOMDIST(#REF!,H861:I861,#REF!,#REF!)</f>
        <v>#REF!</v>
      </c>
      <c r="J861" s="2" t="e">
        <f>BINOMDIST(#REF!,INDIRECT(J861:K861),#REF!,#REF!)</f>
        <v>#REF!</v>
      </c>
      <c r="L861" s="2">
        <f>TYPE(INDEX(,BINOMDIST(#REF!,OFFSET(INDEX(1,),,),#REF!,#REF!)))</f>
        <v>64</v>
      </c>
    </row>
    <row r="862" spans="1:12" x14ac:dyDescent="0.55000000000000004">
      <c r="A862" s="1" t="s">
        <v>1721</v>
      </c>
      <c r="B862" s="2">
        <f>COUNTIF(A:A,A862)-1</f>
        <v>4</v>
      </c>
      <c r="C862" s="2">
        <f>COUNTIF(A$1:A862,A862)-1</f>
        <v>3</v>
      </c>
      <c r="D862" s="2" t="str">
        <f t="shared" si="13"/>
        <v>v</v>
      </c>
      <c r="E862" s="2"/>
      <c r="F862" s="2" t="e">
        <f>BINOMDIST(#REF!,#REF!,+F862:G862,#REF!)</f>
        <v>#REF!</v>
      </c>
      <c r="H862" s="2" t="e">
        <f>BINOMDIST(#REF!,#REF!,H862:I862,#REF!)</f>
        <v>#REF!</v>
      </c>
      <c r="J862" s="2" t="e">
        <f>BINOMDIST(#REF!,#REF!,INDIRECT(J862:K862),#REF!)</f>
        <v>#REF!</v>
      </c>
      <c r="L862" s="2">
        <f>TYPE(INDEX(,BINOMDIST(#REF!,#REF!,OFFSET(INDEX(1,),,),#REF!)))</f>
        <v>64</v>
      </c>
    </row>
    <row r="863" spans="1:12" x14ac:dyDescent="0.55000000000000004">
      <c r="A863" s="1" t="s">
        <v>1721</v>
      </c>
      <c r="B863" s="2">
        <f>COUNTIF(A:A,A863)-1</f>
        <v>4</v>
      </c>
      <c r="C863" s="2">
        <f>COUNTIF(A$1:A863,A863)-1</f>
        <v>4</v>
      </c>
      <c r="D863" s="2" t="str">
        <f t="shared" si="13"/>
        <v>v</v>
      </c>
      <c r="E863" s="2" t="e">
        <f>BINOMDIST(#REF!,#REF!,#REF!,#REF!)</f>
        <v>#REF!</v>
      </c>
      <c r="F863" s="2" t="e">
        <f>BINOMDIST(#REF!,#REF!,#REF!,+F863:G863)</f>
        <v>#REF!</v>
      </c>
      <c r="H863" s="2" t="e">
        <f>BINOMDIST(#REF!,#REF!,#REF!,H863:I863)</f>
        <v>#REF!</v>
      </c>
      <c r="J863" s="2" t="e">
        <f>BINOMDIST(#REF!,#REF!,#REF!,INDIRECT(J863:K863))</f>
        <v>#REF!</v>
      </c>
      <c r="L863" s="2">
        <f>TYPE(INDEX(,BINOMDIST(#REF!,#REF!,#REF!,OFFSET(INDEX(1,),,))))</f>
        <v>64</v>
      </c>
    </row>
    <row r="864" spans="1:12" x14ac:dyDescent="0.55000000000000004">
      <c r="A864" s="1" t="s">
        <v>1722</v>
      </c>
      <c r="B864" s="2">
        <f>COUNTIF(A:A,A864)-1</f>
        <v>2</v>
      </c>
      <c r="C864" s="2">
        <f>COUNTIF(A$1:A864,A864)-1</f>
        <v>0</v>
      </c>
      <c r="D864" s="2" t="str">
        <f t="shared" si="13"/>
        <v/>
      </c>
      <c r="E864" s="2"/>
      <c r="F864" s="2"/>
      <c r="H864" s="2"/>
      <c r="J864" s="2"/>
      <c r="L864" s="2"/>
    </row>
    <row r="865" spans="1:12" x14ac:dyDescent="0.55000000000000004">
      <c r="A865" s="1" t="s">
        <v>1722</v>
      </c>
      <c r="B865" s="2">
        <f>COUNTIF(A:A,A865)-1</f>
        <v>2</v>
      </c>
      <c r="C865" s="2">
        <f>COUNTIF(A$1:A865,A865)-1</f>
        <v>1</v>
      </c>
      <c r="D865" s="2" t="str">
        <f t="shared" si="13"/>
        <v>v</v>
      </c>
      <c r="E865" s="2"/>
      <c r="F865" s="2" t="e">
        <f>CHIDIST(+F865:G865,#REF!)</f>
        <v>#REF!</v>
      </c>
      <c r="H865" s="2" t="e">
        <f>CHIDIST(H865:I865,#REF!)</f>
        <v>#REF!</v>
      </c>
      <c r="J865" s="2" t="e">
        <f>CHIDIST(INDIRECT(J865:K865),#REF!)</f>
        <v>#REF!</v>
      </c>
      <c r="L865" s="2">
        <f>TYPE(INDEX(,CHIDIST(OFFSET(INDEX(1,),,),#REF!)))</f>
        <v>64</v>
      </c>
    </row>
    <row r="866" spans="1:12" x14ac:dyDescent="0.55000000000000004">
      <c r="A866" s="1" t="s">
        <v>1722</v>
      </c>
      <c r="B866" s="2">
        <f>COUNTIF(A:A,A866)-1</f>
        <v>2</v>
      </c>
      <c r="C866" s="2">
        <f>COUNTIF(A$1:A866,A866)-1</f>
        <v>2</v>
      </c>
      <c r="D866" s="2" t="str">
        <f t="shared" si="13"/>
        <v>v</v>
      </c>
      <c r="E866" s="2" t="e">
        <f>CHIDIST(#REF!,#REF!)</f>
        <v>#REF!</v>
      </c>
      <c r="F866" s="2" t="e">
        <f>CHIDIST(#REF!,+F866:G866)</f>
        <v>#REF!</v>
      </c>
      <c r="H866" s="2" t="e">
        <f>CHIDIST(#REF!,H866:I866)</f>
        <v>#REF!</v>
      </c>
      <c r="J866" s="2" t="e">
        <f>CHIDIST(#REF!,INDIRECT(J866:K866))</f>
        <v>#REF!</v>
      </c>
      <c r="L866" s="2">
        <f>TYPE(INDEX(,CHIDIST(#REF!,OFFSET(INDEX(1,),,))))</f>
        <v>64</v>
      </c>
    </row>
    <row r="867" spans="1:12" x14ac:dyDescent="0.55000000000000004">
      <c r="A867" s="1" t="s">
        <v>1723</v>
      </c>
      <c r="B867" s="2">
        <f>COUNTIF(A:A,A867)-1</f>
        <v>2</v>
      </c>
      <c r="C867" s="2">
        <f>COUNTIF(A$1:A867,A867)-1</f>
        <v>0</v>
      </c>
      <c r="D867" s="2" t="str">
        <f t="shared" si="13"/>
        <v/>
      </c>
      <c r="E867" s="2"/>
      <c r="F867" s="2"/>
      <c r="H867" s="2"/>
      <c r="J867" s="2"/>
      <c r="L867" s="2"/>
    </row>
    <row r="868" spans="1:12" x14ac:dyDescent="0.55000000000000004">
      <c r="A868" s="1" t="s">
        <v>1723</v>
      </c>
      <c r="B868" s="2">
        <f>COUNTIF(A:A,A868)-1</f>
        <v>2</v>
      </c>
      <c r="C868" s="2">
        <f>COUNTIF(A$1:A868,A868)-1</f>
        <v>1</v>
      </c>
      <c r="D868" s="2" t="str">
        <f t="shared" si="13"/>
        <v>v</v>
      </c>
      <c r="E868" s="2"/>
      <c r="F868" s="2" t="e">
        <f>CHIINV(+F868:G868,#REF!)</f>
        <v>#REF!</v>
      </c>
      <c r="H868" s="2" t="e">
        <f>CHIINV(H868:I868,#REF!)</f>
        <v>#REF!</v>
      </c>
      <c r="J868" s="2" t="e">
        <f>CHIINV(INDIRECT(J868:K868),#REF!)</f>
        <v>#REF!</v>
      </c>
      <c r="L868" s="2">
        <f>TYPE(INDEX(,CHIINV(OFFSET(INDEX(1,),,),#REF!)))</f>
        <v>64</v>
      </c>
    </row>
    <row r="869" spans="1:12" x14ac:dyDescent="0.55000000000000004">
      <c r="A869" s="1" t="s">
        <v>1723</v>
      </c>
      <c r="B869" s="2">
        <f>COUNTIF(A:A,A869)-1</f>
        <v>2</v>
      </c>
      <c r="C869" s="2">
        <f>COUNTIF(A$1:A869,A869)-1</f>
        <v>2</v>
      </c>
      <c r="D869" s="2" t="str">
        <f t="shared" si="13"/>
        <v>v</v>
      </c>
      <c r="E869" s="2" t="e">
        <f>CHIINV(#REF!,#REF!)</f>
        <v>#REF!</v>
      </c>
      <c r="F869" s="2" t="e">
        <f>CHIINV(#REF!,+F869:G869)</f>
        <v>#REF!</v>
      </c>
      <c r="H869" s="2" t="e">
        <f>CHIINV(#REF!,H869:I869)</f>
        <v>#REF!</v>
      </c>
      <c r="J869" s="2" t="e">
        <f>CHIINV(#REF!,INDIRECT(J869:K869))</f>
        <v>#REF!</v>
      </c>
      <c r="L869" s="2">
        <f>TYPE(INDEX(,CHIINV(#REF!,OFFSET(INDEX(1,),,))))</f>
        <v>64</v>
      </c>
    </row>
    <row r="870" spans="1:12" x14ac:dyDescent="0.55000000000000004">
      <c r="A870" s="1" t="s">
        <v>1724</v>
      </c>
      <c r="B870" s="2">
        <f>COUNTIF(A:A,A870)-1</f>
        <v>2</v>
      </c>
      <c r="C870" s="2">
        <f>COUNTIF(A$1:A870,A870)-1</f>
        <v>0</v>
      </c>
      <c r="D870" s="2" t="str">
        <f t="shared" si="13"/>
        <v/>
      </c>
      <c r="E870" s="2"/>
      <c r="F870" s="2"/>
      <c r="H870" s="2"/>
      <c r="J870" s="2"/>
      <c r="L870" s="2"/>
    </row>
    <row r="871" spans="1:12" x14ac:dyDescent="0.55000000000000004">
      <c r="A871" s="1" t="s">
        <v>1724</v>
      </c>
      <c r="B871" s="2">
        <f>COUNTIF(A:A,A871)-1</f>
        <v>2</v>
      </c>
      <c r="C871" s="2">
        <f>COUNTIF(A$1:A871,A871)-1</f>
        <v>1</v>
      </c>
      <c r="D871" s="2" t="str">
        <f t="shared" si="13"/>
        <v>v</v>
      </c>
      <c r="E871" s="2"/>
      <c r="F871" s="2" t="e">
        <f>COMBIN(+F871:G871,#REF!)</f>
        <v>#REF!</v>
      </c>
      <c r="H871" s="2" t="e">
        <f>COMBIN(H871:I871,#REF!)</f>
        <v>#REF!</v>
      </c>
      <c r="J871" s="2" t="e">
        <f>COMBIN(INDIRECT(J871:K871),#REF!)</f>
        <v>#REF!</v>
      </c>
      <c r="L871" s="2">
        <f>TYPE(INDEX(,COMBIN(OFFSET(INDEX(1,),,),#REF!)))</f>
        <v>64</v>
      </c>
    </row>
    <row r="872" spans="1:12" x14ac:dyDescent="0.55000000000000004">
      <c r="A872" s="1" t="s">
        <v>1724</v>
      </c>
      <c r="B872" s="2">
        <f>COUNTIF(A:A,A872)-1</f>
        <v>2</v>
      </c>
      <c r="C872" s="2">
        <f>COUNTIF(A$1:A872,A872)-1</f>
        <v>2</v>
      </c>
      <c r="D872" s="2" t="str">
        <f t="shared" si="13"/>
        <v>v</v>
      </c>
      <c r="E872" s="2" t="e">
        <f>COMBIN(#REF!,#REF!)</f>
        <v>#REF!</v>
      </c>
      <c r="F872" s="2" t="e">
        <f>COMBIN(#REF!,+F872:G872)</f>
        <v>#REF!</v>
      </c>
      <c r="H872" s="2" t="e">
        <f>COMBIN(#REF!,H872:I872)</f>
        <v>#REF!</v>
      </c>
      <c r="J872" s="2" t="e">
        <f>COMBIN(#REF!,INDIRECT(J872:K872))</f>
        <v>#REF!</v>
      </c>
      <c r="L872" s="2">
        <f>TYPE(INDEX(,COMBIN(#REF!,OFFSET(INDEX(1,),,))))</f>
        <v>64</v>
      </c>
    </row>
    <row r="873" spans="1:12" x14ac:dyDescent="0.55000000000000004">
      <c r="A873" s="1" t="s">
        <v>1725</v>
      </c>
      <c r="B873" s="2">
        <f>COUNTIF(A:A,A873)-1</f>
        <v>3</v>
      </c>
      <c r="C873" s="2">
        <f>COUNTIF(A$1:A873,A873)-1</f>
        <v>0</v>
      </c>
      <c r="D873" s="2" t="str">
        <f t="shared" si="13"/>
        <v/>
      </c>
      <c r="E873" s="2"/>
      <c r="F873" s="2"/>
      <c r="H873" s="2"/>
      <c r="J873" s="2"/>
      <c r="L873" s="2"/>
    </row>
    <row r="874" spans="1:12" x14ac:dyDescent="0.55000000000000004">
      <c r="A874" s="1" t="s">
        <v>1725</v>
      </c>
      <c r="B874" s="2">
        <f>COUNTIF(A:A,A874)-1</f>
        <v>3</v>
      </c>
      <c r="C874" s="2">
        <f>COUNTIF(A$1:A874,A874)-1</f>
        <v>1</v>
      </c>
      <c r="D874" s="2" t="str">
        <f t="shared" si="13"/>
        <v>v</v>
      </c>
      <c r="E874" s="2"/>
      <c r="F874" s="2" t="e">
        <f>CONFIDENCE(+F874:G874,#REF!,#REF!)</f>
        <v>#REF!</v>
      </c>
      <c r="H874" s="2" t="e">
        <f>CONFIDENCE(H874:I874,#REF!,#REF!)</f>
        <v>#REF!</v>
      </c>
      <c r="J874" s="2" t="e">
        <f>CONFIDENCE(INDIRECT(J874:K874),#REF!,#REF!)</f>
        <v>#REF!</v>
      </c>
      <c r="L874" s="2">
        <f>TYPE(INDEX(,CONFIDENCE(OFFSET(INDEX(1,),,),#REF!,#REF!)))</f>
        <v>64</v>
      </c>
    </row>
    <row r="875" spans="1:12" x14ac:dyDescent="0.55000000000000004">
      <c r="A875" s="1" t="s">
        <v>1725</v>
      </c>
      <c r="B875" s="2">
        <f>COUNTIF(A:A,A875)-1</f>
        <v>3</v>
      </c>
      <c r="C875" s="2">
        <f>COUNTIF(A$1:A875,A875)-1</f>
        <v>2</v>
      </c>
      <c r="D875" s="2" t="str">
        <f t="shared" si="13"/>
        <v>v</v>
      </c>
      <c r="E875" s="2"/>
      <c r="F875" s="2" t="e">
        <f>CONFIDENCE(#REF!,+F875:G875,#REF!)</f>
        <v>#REF!</v>
      </c>
      <c r="H875" s="2" t="e">
        <f>CONFIDENCE(#REF!,H875:I875,#REF!)</f>
        <v>#REF!</v>
      </c>
      <c r="J875" s="2" t="e">
        <f>CONFIDENCE(#REF!,INDIRECT(J875:K875),#REF!)</f>
        <v>#REF!</v>
      </c>
      <c r="L875" s="2">
        <f>TYPE(INDEX(,CONFIDENCE(#REF!,OFFSET(INDEX(1,),,),#REF!)))</f>
        <v>64</v>
      </c>
    </row>
    <row r="876" spans="1:12" x14ac:dyDescent="0.55000000000000004">
      <c r="A876" s="1" t="s">
        <v>1725</v>
      </c>
      <c r="B876" s="2">
        <f>COUNTIF(A:A,A876)-1</f>
        <v>3</v>
      </c>
      <c r="C876" s="2">
        <f>COUNTIF(A$1:A876,A876)-1</f>
        <v>3</v>
      </c>
      <c r="D876" s="2" t="str">
        <f t="shared" si="13"/>
        <v>v</v>
      </c>
      <c r="E876" s="2" t="e">
        <f>CONFIDENCE(#REF!,#REF!,#REF!)</f>
        <v>#REF!</v>
      </c>
      <c r="F876" s="2" t="e">
        <f>CONFIDENCE(#REF!,#REF!,+F876:G876)</f>
        <v>#REF!</v>
      </c>
      <c r="H876" s="2" t="e">
        <f>CONFIDENCE(#REF!,#REF!,H876:I876)</f>
        <v>#REF!</v>
      </c>
      <c r="J876" s="2" t="e">
        <f>CONFIDENCE(#REF!,#REF!,INDIRECT(J876:K876))</f>
        <v>#REF!</v>
      </c>
      <c r="L876" s="2">
        <f>TYPE(INDEX(,CONFIDENCE(#REF!,#REF!,OFFSET(INDEX(1,),,))))</f>
        <v>64</v>
      </c>
    </row>
    <row r="877" spans="1:12" x14ac:dyDescent="0.55000000000000004">
      <c r="A877" s="1" t="s">
        <v>1726</v>
      </c>
      <c r="B877" s="2">
        <f>COUNTIF(A:A,A877)-1</f>
        <v>3</v>
      </c>
      <c r="C877" s="2">
        <f>COUNTIF(A$1:A877,A877)-1</f>
        <v>0</v>
      </c>
      <c r="D877" s="2" t="str">
        <f t="shared" si="13"/>
        <v/>
      </c>
      <c r="E877" s="2"/>
      <c r="F877" s="2"/>
      <c r="H877" s="2"/>
      <c r="J877" s="2"/>
      <c r="L877" s="2"/>
    </row>
    <row r="878" spans="1:12" x14ac:dyDescent="0.55000000000000004">
      <c r="A878" s="1" t="s">
        <v>1726</v>
      </c>
      <c r="B878" s="2">
        <f>COUNTIF(A:A,A878)-1</f>
        <v>3</v>
      </c>
      <c r="C878" s="2">
        <f>COUNTIF(A$1:A878,A878)-1</f>
        <v>1</v>
      </c>
      <c r="D878" s="2" t="str">
        <f t="shared" si="13"/>
        <v>v</v>
      </c>
      <c r="E878" s="2"/>
      <c r="F878" s="2" t="e">
        <f>CRITBINOM(+F878:G878,#REF!,#REF!)</f>
        <v>#REF!</v>
      </c>
      <c r="H878" s="2" t="e">
        <f>CRITBINOM(H878:I878,#REF!,#REF!)</f>
        <v>#REF!</v>
      </c>
      <c r="J878" s="2" t="e">
        <f>CRITBINOM(INDIRECT(J878:K878),#REF!,#REF!)</f>
        <v>#REF!</v>
      </c>
      <c r="L878" s="2">
        <f>TYPE(INDEX(,CRITBINOM(OFFSET(INDEX(1,),,),#REF!,#REF!)))</f>
        <v>64</v>
      </c>
    </row>
    <row r="879" spans="1:12" x14ac:dyDescent="0.55000000000000004">
      <c r="A879" s="1" t="s">
        <v>1726</v>
      </c>
      <c r="B879" s="2">
        <f>COUNTIF(A:A,A879)-1</f>
        <v>3</v>
      </c>
      <c r="C879" s="2">
        <f>COUNTIF(A$1:A879,A879)-1</f>
        <v>2</v>
      </c>
      <c r="D879" s="2" t="str">
        <f t="shared" si="13"/>
        <v>v</v>
      </c>
      <c r="E879" s="2"/>
      <c r="F879" s="2" t="e">
        <f>CRITBINOM(#REF!,+F879:G879,#REF!)</f>
        <v>#REF!</v>
      </c>
      <c r="H879" s="2" t="e">
        <f>CRITBINOM(#REF!,H879:I879,#REF!)</f>
        <v>#REF!</v>
      </c>
      <c r="J879" s="2" t="e">
        <f>CRITBINOM(#REF!,INDIRECT(J879:K879),#REF!)</f>
        <v>#REF!</v>
      </c>
      <c r="L879" s="2">
        <f>TYPE(INDEX(,CRITBINOM(#REF!,OFFSET(INDEX(1,),,),#REF!)))</f>
        <v>64</v>
      </c>
    </row>
    <row r="880" spans="1:12" x14ac:dyDescent="0.55000000000000004">
      <c r="A880" s="1" t="s">
        <v>1726</v>
      </c>
      <c r="B880" s="2">
        <f>COUNTIF(A:A,A880)-1</f>
        <v>3</v>
      </c>
      <c r="C880" s="2">
        <f>COUNTIF(A$1:A880,A880)-1</f>
        <v>3</v>
      </c>
      <c r="D880" s="2" t="str">
        <f t="shared" si="13"/>
        <v>v</v>
      </c>
      <c r="E880" s="2" t="e">
        <f>CRITBINOM(#REF!,#REF!,#REF!)</f>
        <v>#REF!</v>
      </c>
      <c r="F880" s="2" t="e">
        <f>CRITBINOM(#REF!,#REF!,+F880:G880)</f>
        <v>#REF!</v>
      </c>
      <c r="H880" s="2" t="e">
        <f>CRITBINOM(#REF!,#REF!,H880:I880)</f>
        <v>#REF!</v>
      </c>
      <c r="J880" s="2" t="e">
        <f>CRITBINOM(#REF!,#REF!,INDIRECT(J880:K880))</f>
        <v>#REF!</v>
      </c>
      <c r="L880" s="2">
        <f>TYPE(INDEX(,CRITBINOM(#REF!,#REF!,OFFSET(INDEX(1,),,))))</f>
        <v>64</v>
      </c>
    </row>
    <row r="881" spans="1:12" x14ac:dyDescent="0.55000000000000004">
      <c r="A881" s="1" t="s">
        <v>1727</v>
      </c>
      <c r="B881" s="2">
        <f>COUNTIF(A:A,A881)-1</f>
        <v>1</v>
      </c>
      <c r="C881" s="2">
        <f>COUNTIF(A$1:A881,A881)-1</f>
        <v>0</v>
      </c>
      <c r="D881" s="2" t="str">
        <f t="shared" si="13"/>
        <v/>
      </c>
      <c r="E881" s="2"/>
      <c r="F881" s="2"/>
      <c r="H881" s="2"/>
      <c r="J881" s="2"/>
      <c r="L881" s="2"/>
    </row>
    <row r="882" spans="1:12" x14ac:dyDescent="0.55000000000000004">
      <c r="A882" s="1" t="s">
        <v>1727</v>
      </c>
      <c r="B882" s="2">
        <f>COUNTIF(A:A,A882)-1</f>
        <v>1</v>
      </c>
      <c r="C882" s="2">
        <f>COUNTIF(A$1:A882,A882)-1</f>
        <v>1</v>
      </c>
      <c r="D882" s="2" t="str">
        <f t="shared" si="13"/>
        <v>v</v>
      </c>
      <c r="E882" s="2" t="e">
        <f>EVEN(#REF!)</f>
        <v>#REF!</v>
      </c>
      <c r="F882" s="2">
        <f>EVEN(+F882:G882)</f>
        <v>0</v>
      </c>
      <c r="H882" s="2">
        <f>EVEN(H882:I882)</f>
        <v>0</v>
      </c>
      <c r="J882" s="2" t="e">
        <f>EVEN(INDIRECT(J882:K882))</f>
        <v>#REF!</v>
      </c>
      <c r="L882" s="2">
        <f>TYPE(INDEX(,EVEN(OFFSET(INDEX(1,),,))))</f>
        <v>64</v>
      </c>
    </row>
    <row r="883" spans="1:12" x14ac:dyDescent="0.55000000000000004">
      <c r="A883" s="1" t="s">
        <v>1728</v>
      </c>
      <c r="B883" s="2">
        <f>COUNTIF(A:A,A883)-1</f>
        <v>3</v>
      </c>
      <c r="C883" s="2">
        <f>COUNTIF(A$1:A883,A883)-1</f>
        <v>0</v>
      </c>
      <c r="D883" s="2" t="str">
        <f t="shared" si="13"/>
        <v/>
      </c>
      <c r="E883" s="2"/>
      <c r="F883" s="2"/>
      <c r="H883" s="2"/>
      <c r="J883" s="2"/>
      <c r="L883" s="2"/>
    </row>
    <row r="884" spans="1:12" x14ac:dyDescent="0.55000000000000004">
      <c r="A884" s="1" t="s">
        <v>1728</v>
      </c>
      <c r="B884" s="2">
        <f>COUNTIF(A:A,A884)-1</f>
        <v>3</v>
      </c>
      <c r="C884" s="2">
        <f>COUNTIF(A$1:A884,A884)-1</f>
        <v>1</v>
      </c>
      <c r="D884" s="2" t="str">
        <f t="shared" si="13"/>
        <v>v</v>
      </c>
      <c r="E884" s="2"/>
      <c r="F884" s="2" t="e">
        <f>EXPONDIST(+F884:G884,#REF!,#REF!)</f>
        <v>#REF!</v>
      </c>
      <c r="H884" s="2" t="e">
        <f>EXPONDIST(H884:I884,#REF!,#REF!)</f>
        <v>#REF!</v>
      </c>
      <c r="J884" s="2" t="e">
        <f>EXPONDIST(INDIRECT(J884:K884),#REF!,#REF!)</f>
        <v>#REF!</v>
      </c>
      <c r="L884" s="2">
        <f>TYPE(INDEX(,EXPONDIST(OFFSET(INDEX(1,),,),#REF!,#REF!)))</f>
        <v>64</v>
      </c>
    </row>
    <row r="885" spans="1:12" x14ac:dyDescent="0.55000000000000004">
      <c r="A885" s="1" t="s">
        <v>1728</v>
      </c>
      <c r="B885" s="2">
        <f>COUNTIF(A:A,A885)-1</f>
        <v>3</v>
      </c>
      <c r="C885" s="2">
        <f>COUNTIF(A$1:A885,A885)-1</f>
        <v>2</v>
      </c>
      <c r="D885" s="2" t="str">
        <f t="shared" si="13"/>
        <v>v</v>
      </c>
      <c r="E885" s="2"/>
      <c r="F885" s="2" t="e">
        <f>EXPONDIST(#REF!,+F885:G885,#REF!)</f>
        <v>#REF!</v>
      </c>
      <c r="H885" s="2" t="e">
        <f>EXPONDIST(#REF!,H885:I885,#REF!)</f>
        <v>#REF!</v>
      </c>
      <c r="J885" s="2" t="e">
        <f>EXPONDIST(#REF!,INDIRECT(J885:K885),#REF!)</f>
        <v>#REF!</v>
      </c>
      <c r="L885" s="2">
        <f>TYPE(INDEX(,EXPONDIST(#REF!,OFFSET(INDEX(1,),,),#REF!)))</f>
        <v>64</v>
      </c>
    </row>
    <row r="886" spans="1:12" x14ac:dyDescent="0.55000000000000004">
      <c r="A886" s="1" t="s">
        <v>1728</v>
      </c>
      <c r="B886" s="2">
        <f>COUNTIF(A:A,A886)-1</f>
        <v>3</v>
      </c>
      <c r="C886" s="2">
        <f>COUNTIF(A$1:A886,A886)-1</f>
        <v>3</v>
      </c>
      <c r="D886" s="2" t="str">
        <f t="shared" si="13"/>
        <v>v</v>
      </c>
      <c r="E886" s="2" t="e">
        <f>EXPONDIST(#REF!,#REF!,#REF!)</f>
        <v>#REF!</v>
      </c>
      <c r="F886" s="2" t="e">
        <f>EXPONDIST(#REF!,#REF!,+F886:G886)</f>
        <v>#REF!</v>
      </c>
      <c r="H886" s="2" t="e">
        <f>EXPONDIST(#REF!,#REF!,H886:I886)</f>
        <v>#REF!</v>
      </c>
      <c r="J886" s="2" t="e">
        <f>EXPONDIST(#REF!,#REF!,INDIRECT(J886:K886))</f>
        <v>#REF!</v>
      </c>
      <c r="L886" s="2">
        <f>TYPE(INDEX(,EXPONDIST(#REF!,#REF!,OFFSET(INDEX(1,),,))))</f>
        <v>64</v>
      </c>
    </row>
    <row r="887" spans="1:12" x14ac:dyDescent="0.55000000000000004">
      <c r="A887" s="1" t="s">
        <v>1729</v>
      </c>
      <c r="B887" s="2">
        <f>COUNTIF(A:A,A887)-1</f>
        <v>3</v>
      </c>
      <c r="C887" s="2">
        <f>COUNTIF(A$1:A887,A887)-1</f>
        <v>0</v>
      </c>
      <c r="D887" s="2" t="str">
        <f t="shared" si="13"/>
        <v/>
      </c>
      <c r="E887" s="2"/>
      <c r="F887" s="2"/>
      <c r="H887" s="2"/>
      <c r="J887" s="2"/>
      <c r="L887" s="2"/>
    </row>
    <row r="888" spans="1:12" x14ac:dyDescent="0.55000000000000004">
      <c r="A888" s="1" t="s">
        <v>1729</v>
      </c>
      <c r="B888" s="2">
        <f>COUNTIF(A:A,A888)-1</f>
        <v>3</v>
      </c>
      <c r="C888" s="2">
        <f>COUNTIF(A$1:A888,A888)-1</f>
        <v>1</v>
      </c>
      <c r="D888" s="2" t="str">
        <f t="shared" si="13"/>
        <v>v</v>
      </c>
      <c r="E888" s="2"/>
      <c r="F888" s="2" t="e">
        <f>FDIST(+F888:G888,#REF!,#REF!)</f>
        <v>#REF!</v>
      </c>
      <c r="H888" s="2" t="e">
        <f>FDIST(H888:I888,#REF!,#REF!)</f>
        <v>#REF!</v>
      </c>
      <c r="J888" s="2" t="e">
        <f>FDIST(INDIRECT(J888:K888),#REF!,#REF!)</f>
        <v>#REF!</v>
      </c>
      <c r="L888" s="2">
        <f>TYPE(INDEX(,FDIST(OFFSET(INDEX(1,),,),#REF!,#REF!)))</f>
        <v>64</v>
      </c>
    </row>
    <row r="889" spans="1:12" x14ac:dyDescent="0.55000000000000004">
      <c r="A889" s="1" t="s">
        <v>1729</v>
      </c>
      <c r="B889" s="2">
        <f>COUNTIF(A:A,A889)-1</f>
        <v>3</v>
      </c>
      <c r="C889" s="2">
        <f>COUNTIF(A$1:A889,A889)-1</f>
        <v>2</v>
      </c>
      <c r="D889" s="2" t="str">
        <f t="shared" si="13"/>
        <v>v</v>
      </c>
      <c r="E889" s="2"/>
      <c r="F889" s="2" t="e">
        <f>FDIST(#REF!,+F889:G889,#REF!)</f>
        <v>#REF!</v>
      </c>
      <c r="H889" s="2" t="e">
        <f>FDIST(#REF!,H889:I889,#REF!)</f>
        <v>#REF!</v>
      </c>
      <c r="J889" s="2" t="e">
        <f>FDIST(#REF!,INDIRECT(J889:K889),#REF!)</f>
        <v>#REF!</v>
      </c>
      <c r="L889" s="2">
        <f>TYPE(INDEX(,FDIST(#REF!,OFFSET(INDEX(1,),,),#REF!)))</f>
        <v>64</v>
      </c>
    </row>
    <row r="890" spans="1:12" x14ac:dyDescent="0.55000000000000004">
      <c r="A890" s="1" t="s">
        <v>1729</v>
      </c>
      <c r="B890" s="2">
        <f>COUNTIF(A:A,A890)-1</f>
        <v>3</v>
      </c>
      <c r="C890" s="2">
        <f>COUNTIF(A$1:A890,A890)-1</f>
        <v>3</v>
      </c>
      <c r="D890" s="2" t="str">
        <f t="shared" si="13"/>
        <v>v</v>
      </c>
      <c r="E890" s="2" t="e">
        <f>FDIST(#REF!,#REF!,#REF!)</f>
        <v>#REF!</v>
      </c>
      <c r="F890" s="2" t="e">
        <f>FDIST(#REF!,#REF!,+F890:G890)</f>
        <v>#REF!</v>
      </c>
      <c r="H890" s="2" t="e">
        <f>FDIST(#REF!,#REF!,H890:I890)</f>
        <v>#REF!</v>
      </c>
      <c r="J890" s="2" t="e">
        <f>FDIST(#REF!,#REF!,INDIRECT(J890:K890))</f>
        <v>#REF!</v>
      </c>
      <c r="L890" s="2">
        <f>TYPE(INDEX(,FDIST(#REF!,#REF!,OFFSET(INDEX(1,),,))))</f>
        <v>64</v>
      </c>
    </row>
    <row r="891" spans="1:12" x14ac:dyDescent="0.55000000000000004">
      <c r="A891" s="1" t="s">
        <v>1730</v>
      </c>
      <c r="B891" s="2">
        <f>COUNTIF(A:A,A891)-1</f>
        <v>3</v>
      </c>
      <c r="C891" s="2">
        <f>COUNTIF(A$1:A891,A891)-1</f>
        <v>0</v>
      </c>
      <c r="D891" s="2" t="str">
        <f t="shared" si="13"/>
        <v/>
      </c>
      <c r="E891" s="2"/>
      <c r="F891" s="2"/>
      <c r="H891" s="2"/>
      <c r="J891" s="2"/>
      <c r="L891" s="2"/>
    </row>
    <row r="892" spans="1:12" x14ac:dyDescent="0.55000000000000004">
      <c r="A892" s="1" t="s">
        <v>1730</v>
      </c>
      <c r="B892" s="2">
        <f>COUNTIF(A:A,A892)-1</f>
        <v>3</v>
      </c>
      <c r="C892" s="2">
        <f>COUNTIF(A$1:A892,A892)-1</f>
        <v>1</v>
      </c>
      <c r="D892" s="2" t="str">
        <f t="shared" si="13"/>
        <v>v</v>
      </c>
      <c r="E892" s="2"/>
      <c r="F892" s="2" t="e">
        <f>FINV(+F892:G892,#REF!,#REF!)</f>
        <v>#REF!</v>
      </c>
      <c r="H892" s="2" t="e">
        <f>FINV(H892:I892,#REF!,#REF!)</f>
        <v>#REF!</v>
      </c>
      <c r="J892" s="2" t="e">
        <f>FINV(INDIRECT(J892:K892),#REF!,#REF!)</f>
        <v>#REF!</v>
      </c>
      <c r="L892" s="2">
        <f>TYPE(INDEX(,FINV(OFFSET(INDEX(1,),,),#REF!,#REF!)))</f>
        <v>64</v>
      </c>
    </row>
    <row r="893" spans="1:12" x14ac:dyDescent="0.55000000000000004">
      <c r="A893" s="1" t="s">
        <v>1730</v>
      </c>
      <c r="B893" s="2">
        <f>COUNTIF(A:A,A893)-1</f>
        <v>3</v>
      </c>
      <c r="C893" s="2">
        <f>COUNTIF(A$1:A893,A893)-1</f>
        <v>2</v>
      </c>
      <c r="D893" s="2" t="str">
        <f t="shared" si="13"/>
        <v>v</v>
      </c>
      <c r="E893" s="2"/>
      <c r="F893" s="2" t="e">
        <f>FINV(#REF!,+F893:G893,#REF!)</f>
        <v>#REF!</v>
      </c>
      <c r="H893" s="2" t="e">
        <f>FINV(#REF!,H893:I893,#REF!)</f>
        <v>#REF!</v>
      </c>
      <c r="J893" s="2" t="e">
        <f>FINV(#REF!,INDIRECT(J893:K893),#REF!)</f>
        <v>#REF!</v>
      </c>
      <c r="L893" s="2">
        <f>TYPE(INDEX(,FINV(#REF!,OFFSET(INDEX(1,),,),#REF!)))</f>
        <v>64</v>
      </c>
    </row>
    <row r="894" spans="1:12" x14ac:dyDescent="0.55000000000000004">
      <c r="A894" s="1" t="s">
        <v>1730</v>
      </c>
      <c r="B894" s="2">
        <f>COUNTIF(A:A,A894)-1</f>
        <v>3</v>
      </c>
      <c r="C894" s="2">
        <f>COUNTIF(A$1:A894,A894)-1</f>
        <v>3</v>
      </c>
      <c r="D894" s="2" t="str">
        <f t="shared" si="13"/>
        <v>v</v>
      </c>
      <c r="E894" s="2" t="e">
        <f>FINV(#REF!,#REF!,#REF!)</f>
        <v>#REF!</v>
      </c>
      <c r="F894" s="2" t="e">
        <f>FINV(#REF!,#REF!,+F894:G894)</f>
        <v>#REF!</v>
      </c>
      <c r="H894" s="2" t="e">
        <f>FINV(#REF!,#REF!,H894:I894)</f>
        <v>#REF!</v>
      </c>
      <c r="J894" s="2" t="e">
        <f>FINV(#REF!,#REF!,INDIRECT(J894:K894))</f>
        <v>#REF!</v>
      </c>
      <c r="L894" s="2">
        <f>TYPE(INDEX(,FINV(#REF!,#REF!,OFFSET(INDEX(1,),,))))</f>
        <v>64</v>
      </c>
    </row>
    <row r="895" spans="1:12" x14ac:dyDescent="0.55000000000000004">
      <c r="A895" s="1" t="s">
        <v>1731</v>
      </c>
      <c r="B895" s="2">
        <f>COUNTIF(A:A,A895)-1</f>
        <v>1</v>
      </c>
      <c r="C895" s="2">
        <f>COUNTIF(A$1:A895,A895)-1</f>
        <v>0</v>
      </c>
      <c r="D895" s="2" t="str">
        <f t="shared" si="13"/>
        <v/>
      </c>
      <c r="E895" s="2"/>
      <c r="F895" s="2"/>
      <c r="H895" s="2"/>
      <c r="J895" s="2"/>
      <c r="L895" s="2"/>
    </row>
    <row r="896" spans="1:12" x14ac:dyDescent="0.55000000000000004">
      <c r="A896" s="1" t="s">
        <v>1731</v>
      </c>
      <c r="B896" s="2">
        <f>COUNTIF(A:A,A896)-1</f>
        <v>1</v>
      </c>
      <c r="C896" s="2">
        <f>COUNTIF(A$1:A896,A896)-1</f>
        <v>1</v>
      </c>
      <c r="D896" s="2" t="str">
        <f t="shared" si="13"/>
        <v>v</v>
      </c>
      <c r="E896" s="2" t="e">
        <f>FISHER(#REF!)</f>
        <v>#REF!</v>
      </c>
      <c r="F896" s="2">
        <f>FISHER(+F896:G896)</f>
        <v>0</v>
      </c>
      <c r="H896" s="2">
        <f>FISHER(H896:I896)</f>
        <v>0</v>
      </c>
      <c r="J896" s="2" t="e">
        <f>FISHER(INDIRECT(J896:K896))</f>
        <v>#REF!</v>
      </c>
      <c r="L896" s="2">
        <f>TYPE(INDEX(,FISHER(OFFSET(INDEX(1,),,))))</f>
        <v>64</v>
      </c>
    </row>
    <row r="897" spans="1:12" x14ac:dyDescent="0.55000000000000004">
      <c r="A897" s="1" t="s">
        <v>1732</v>
      </c>
      <c r="B897" s="2">
        <f>COUNTIF(A:A,A897)-1</f>
        <v>1</v>
      </c>
      <c r="C897" s="2">
        <f>COUNTIF(A$1:A897,A897)-1</f>
        <v>0</v>
      </c>
      <c r="D897" s="2" t="str">
        <f t="shared" si="13"/>
        <v/>
      </c>
      <c r="E897" s="2"/>
      <c r="F897" s="2"/>
      <c r="H897" s="2"/>
      <c r="J897" s="2"/>
      <c r="L897" s="2"/>
    </row>
    <row r="898" spans="1:12" x14ac:dyDescent="0.55000000000000004">
      <c r="A898" s="1" t="s">
        <v>1732</v>
      </c>
      <c r="B898" s="2">
        <f>COUNTIF(A:A,A898)-1</f>
        <v>1</v>
      </c>
      <c r="C898" s="2">
        <f>COUNTIF(A$1:A898,A898)-1</f>
        <v>1</v>
      </c>
      <c r="D898" s="2" t="str">
        <f t="shared" ref="D898:D961" si="14">IF(C898&gt;0,IF(COUNTA(F898:G898)=1,"v",)&amp;IF(L898=64,,"a")&amp;IF(COUNTA(I898,K898)=1,"r",),"")</f>
        <v>v</v>
      </c>
      <c r="E898" s="2" t="e">
        <f>FISHERINV(#REF!)</f>
        <v>#REF!</v>
      </c>
      <c r="F898" s="2">
        <f>FISHERINV(+F898:G898)</f>
        <v>0</v>
      </c>
      <c r="H898" s="2">
        <f>FISHERINV(H898:I898)</f>
        <v>0</v>
      </c>
      <c r="J898" s="2" t="e">
        <f>FISHERINV(INDIRECT(J898:K898))</f>
        <v>#REF!</v>
      </c>
      <c r="L898" s="2">
        <f>TYPE(INDEX(,FISHERINV(OFFSET(INDEX(1,),,))))</f>
        <v>64</v>
      </c>
    </row>
    <row r="899" spans="1:12" x14ac:dyDescent="0.55000000000000004">
      <c r="A899" s="1" t="s">
        <v>1733</v>
      </c>
      <c r="B899" s="2">
        <f>COUNTIF(A:A,A899)-1</f>
        <v>2</v>
      </c>
      <c r="C899" s="2">
        <f>COUNTIF(A$1:A899,A899)-1</f>
        <v>0</v>
      </c>
      <c r="D899" s="2" t="str">
        <f t="shared" si="14"/>
        <v/>
      </c>
      <c r="E899" s="2"/>
      <c r="F899" s="2"/>
      <c r="H899" s="2"/>
      <c r="J899" s="2"/>
      <c r="L899" s="2"/>
    </row>
    <row r="900" spans="1:12" x14ac:dyDescent="0.55000000000000004">
      <c r="A900" s="1" t="s">
        <v>1733</v>
      </c>
      <c r="B900" s="2">
        <f>COUNTIF(A:A,A900)-1</f>
        <v>2</v>
      </c>
      <c r="C900" s="2">
        <f>COUNTIF(A$1:A900,A900)-1</f>
        <v>1</v>
      </c>
      <c r="D900" s="2" t="str">
        <f t="shared" si="14"/>
        <v>v</v>
      </c>
      <c r="E900" s="2"/>
      <c r="F900" s="2" t="e">
        <f>FLOOR(+F900:G900,#REF!)</f>
        <v>#REF!</v>
      </c>
      <c r="H900" s="2" t="e">
        <f>FLOOR(H900:I900,#REF!)</f>
        <v>#REF!</v>
      </c>
      <c r="J900" s="2" t="e">
        <f>FLOOR(INDIRECT(J900:K900),#REF!)</f>
        <v>#REF!</v>
      </c>
      <c r="L900" s="2">
        <f>TYPE(INDEX(,FLOOR(OFFSET(INDEX(1,),,),#REF!)))</f>
        <v>64</v>
      </c>
    </row>
    <row r="901" spans="1:12" x14ac:dyDescent="0.55000000000000004">
      <c r="A901" s="1" t="s">
        <v>1733</v>
      </c>
      <c r="B901" s="2">
        <f>COUNTIF(A:A,A901)-1</f>
        <v>2</v>
      </c>
      <c r="C901" s="2">
        <f>COUNTIF(A$1:A901,A901)-1</f>
        <v>2</v>
      </c>
      <c r="D901" s="2" t="str">
        <f t="shared" si="14"/>
        <v>v</v>
      </c>
      <c r="E901" s="2" t="e">
        <f>FLOOR(#REF!,#REF!)</f>
        <v>#REF!</v>
      </c>
      <c r="F901" s="2" t="e">
        <f>FLOOR(#REF!,+F901:G901)</f>
        <v>#REF!</v>
      </c>
      <c r="H901" s="2" t="e">
        <f>FLOOR(#REF!,H901:I901)</f>
        <v>#REF!</v>
      </c>
      <c r="J901" s="2" t="e">
        <f>FLOOR(#REF!,INDIRECT(J901:K901))</f>
        <v>#REF!</v>
      </c>
      <c r="L901" s="2">
        <f>TYPE(INDEX(,FLOOR(#REF!,OFFSET(INDEX(1,),,))))</f>
        <v>64</v>
      </c>
    </row>
    <row r="902" spans="1:12" x14ac:dyDescent="0.55000000000000004">
      <c r="A902" s="1" t="s">
        <v>1734</v>
      </c>
      <c r="B902" s="2">
        <f>COUNTIF(A:A,A902)-1</f>
        <v>4</v>
      </c>
      <c r="C902" s="2">
        <f>COUNTIF(A$1:A902,A902)-1</f>
        <v>0</v>
      </c>
      <c r="D902" s="2" t="str">
        <f t="shared" si="14"/>
        <v/>
      </c>
      <c r="E902" s="2"/>
      <c r="F902" s="2"/>
      <c r="H902" s="2"/>
      <c r="J902" s="2"/>
      <c r="L902" s="2"/>
    </row>
    <row r="903" spans="1:12" x14ac:dyDescent="0.55000000000000004">
      <c r="A903" s="1" t="s">
        <v>1734</v>
      </c>
      <c r="B903" s="2">
        <f>COUNTIF(A:A,A903)-1</f>
        <v>4</v>
      </c>
      <c r="C903" s="2">
        <f>COUNTIF(A$1:A903,A903)-1</f>
        <v>1</v>
      </c>
      <c r="D903" s="2" t="str">
        <f t="shared" si="14"/>
        <v>v</v>
      </c>
      <c r="E903" s="2"/>
      <c r="F903" s="2" t="e">
        <f>GAMMADIST(+F903:G903,#REF!,#REF!,#REF!)</f>
        <v>#REF!</v>
      </c>
      <c r="H903" s="2" t="e">
        <f>GAMMADIST(H903:I903,#REF!,#REF!,#REF!)</f>
        <v>#REF!</v>
      </c>
      <c r="J903" s="2" t="e">
        <f>GAMMADIST(INDIRECT(J903:K903),#REF!,#REF!,#REF!)</f>
        <v>#REF!</v>
      </c>
      <c r="L903" s="2">
        <f>TYPE(INDEX(,GAMMADIST(OFFSET(INDEX(1,),,),#REF!,#REF!,#REF!)))</f>
        <v>64</v>
      </c>
    </row>
    <row r="904" spans="1:12" x14ac:dyDescent="0.55000000000000004">
      <c r="A904" s="1" t="s">
        <v>1734</v>
      </c>
      <c r="B904" s="2">
        <f>COUNTIF(A:A,A904)-1</f>
        <v>4</v>
      </c>
      <c r="C904" s="2">
        <f>COUNTIF(A$1:A904,A904)-1</f>
        <v>2</v>
      </c>
      <c r="D904" s="2" t="str">
        <f t="shared" si="14"/>
        <v>v</v>
      </c>
      <c r="E904" s="2"/>
      <c r="F904" s="2" t="e">
        <f>GAMMADIST(#REF!,+F904:G904,#REF!,#REF!)</f>
        <v>#REF!</v>
      </c>
      <c r="H904" s="2" t="e">
        <f>GAMMADIST(#REF!,H904:I904,#REF!,#REF!)</f>
        <v>#REF!</v>
      </c>
      <c r="J904" s="2" t="e">
        <f>GAMMADIST(#REF!,INDIRECT(J904:K904),#REF!,#REF!)</f>
        <v>#REF!</v>
      </c>
      <c r="L904" s="2">
        <f>TYPE(INDEX(,GAMMADIST(#REF!,OFFSET(INDEX(1,),,),#REF!,#REF!)))</f>
        <v>64</v>
      </c>
    </row>
    <row r="905" spans="1:12" x14ac:dyDescent="0.55000000000000004">
      <c r="A905" s="1" t="s">
        <v>1734</v>
      </c>
      <c r="B905" s="2">
        <f>COUNTIF(A:A,A905)-1</f>
        <v>4</v>
      </c>
      <c r="C905" s="2">
        <f>COUNTIF(A$1:A905,A905)-1</f>
        <v>3</v>
      </c>
      <c r="D905" s="2" t="str">
        <f t="shared" si="14"/>
        <v>v</v>
      </c>
      <c r="E905" s="2"/>
      <c r="F905" s="2" t="e">
        <f>GAMMADIST(#REF!,#REF!,+F905:G905,#REF!)</f>
        <v>#REF!</v>
      </c>
      <c r="H905" s="2" t="e">
        <f>GAMMADIST(#REF!,#REF!,H905:I905,#REF!)</f>
        <v>#REF!</v>
      </c>
      <c r="J905" s="2" t="e">
        <f>GAMMADIST(#REF!,#REF!,INDIRECT(J905:K905),#REF!)</f>
        <v>#REF!</v>
      </c>
      <c r="L905" s="2">
        <f>TYPE(INDEX(,GAMMADIST(#REF!,#REF!,OFFSET(INDEX(1,),,),#REF!)))</f>
        <v>64</v>
      </c>
    </row>
    <row r="906" spans="1:12" x14ac:dyDescent="0.55000000000000004">
      <c r="A906" s="1" t="s">
        <v>1734</v>
      </c>
      <c r="B906" s="2">
        <f>COUNTIF(A:A,A906)-1</f>
        <v>4</v>
      </c>
      <c r="C906" s="2">
        <f>COUNTIF(A$1:A906,A906)-1</f>
        <v>4</v>
      </c>
      <c r="D906" s="2" t="str">
        <f t="shared" si="14"/>
        <v>v</v>
      </c>
      <c r="E906" s="2" t="e">
        <f>GAMMADIST(#REF!,#REF!,#REF!,#REF!)</f>
        <v>#REF!</v>
      </c>
      <c r="F906" s="2" t="e">
        <f>GAMMADIST(#REF!,#REF!,#REF!,+F906:G906)</f>
        <v>#REF!</v>
      </c>
      <c r="H906" s="2" t="e">
        <f>GAMMADIST(#REF!,#REF!,#REF!,H906:I906)</f>
        <v>#REF!</v>
      </c>
      <c r="J906" s="2" t="e">
        <f>GAMMADIST(#REF!,#REF!,#REF!,INDIRECT(J906:K906))</f>
        <v>#REF!</v>
      </c>
      <c r="L906" s="2">
        <f>TYPE(INDEX(,GAMMADIST(#REF!,#REF!,#REF!,OFFSET(INDEX(1,),,))))</f>
        <v>64</v>
      </c>
    </row>
    <row r="907" spans="1:12" x14ac:dyDescent="0.55000000000000004">
      <c r="A907" s="1" t="s">
        <v>1735</v>
      </c>
      <c r="B907" s="2">
        <f>COUNTIF(A:A,A907)-1</f>
        <v>3</v>
      </c>
      <c r="C907" s="2">
        <f>COUNTIF(A$1:A907,A907)-1</f>
        <v>0</v>
      </c>
      <c r="D907" s="2" t="str">
        <f t="shared" si="14"/>
        <v/>
      </c>
      <c r="E907" s="2"/>
      <c r="F907" s="2"/>
      <c r="H907" s="2"/>
      <c r="J907" s="2"/>
      <c r="L907" s="2"/>
    </row>
    <row r="908" spans="1:12" x14ac:dyDescent="0.55000000000000004">
      <c r="A908" s="1" t="s">
        <v>1735</v>
      </c>
      <c r="B908" s="2">
        <f>COUNTIF(A:A,A908)-1</f>
        <v>3</v>
      </c>
      <c r="C908" s="2">
        <f>COUNTIF(A$1:A908,A908)-1</f>
        <v>1</v>
      </c>
      <c r="D908" s="2" t="str">
        <f t="shared" si="14"/>
        <v>v</v>
      </c>
      <c r="E908" s="2"/>
      <c r="F908" s="2" t="e">
        <f>GAMMAINV(+F908:G908,#REF!,#REF!)</f>
        <v>#REF!</v>
      </c>
      <c r="H908" s="2" t="e">
        <f>GAMMAINV(H908:I908,#REF!,#REF!)</f>
        <v>#REF!</v>
      </c>
      <c r="J908" s="2" t="e">
        <f>GAMMAINV(INDIRECT(J908:K908),#REF!,#REF!)</f>
        <v>#REF!</v>
      </c>
      <c r="L908" s="2">
        <f>TYPE(INDEX(,GAMMAINV(OFFSET(INDEX(1,),,),#REF!,#REF!)))</f>
        <v>64</v>
      </c>
    </row>
    <row r="909" spans="1:12" x14ac:dyDescent="0.55000000000000004">
      <c r="A909" s="1" t="s">
        <v>1735</v>
      </c>
      <c r="B909" s="2">
        <f>COUNTIF(A:A,A909)-1</f>
        <v>3</v>
      </c>
      <c r="C909" s="2">
        <f>COUNTIF(A$1:A909,A909)-1</f>
        <v>2</v>
      </c>
      <c r="D909" s="2" t="str">
        <f t="shared" si="14"/>
        <v>v</v>
      </c>
      <c r="E909" s="2"/>
      <c r="F909" s="2" t="e">
        <f>GAMMAINV(#REF!,+F909:G909,#REF!)</f>
        <v>#REF!</v>
      </c>
      <c r="H909" s="2" t="e">
        <f>GAMMAINV(#REF!,H909:I909,#REF!)</f>
        <v>#REF!</v>
      </c>
      <c r="J909" s="2" t="e">
        <f>GAMMAINV(#REF!,INDIRECT(J909:K909),#REF!)</f>
        <v>#REF!</v>
      </c>
      <c r="L909" s="2">
        <f>TYPE(INDEX(,GAMMAINV(#REF!,OFFSET(INDEX(1,),,),#REF!)))</f>
        <v>64</v>
      </c>
    </row>
    <row r="910" spans="1:12" x14ac:dyDescent="0.55000000000000004">
      <c r="A910" s="1" t="s">
        <v>1735</v>
      </c>
      <c r="B910" s="2">
        <f>COUNTIF(A:A,A910)-1</f>
        <v>3</v>
      </c>
      <c r="C910" s="2">
        <f>COUNTIF(A$1:A910,A910)-1</f>
        <v>3</v>
      </c>
      <c r="D910" s="2" t="str">
        <f t="shared" si="14"/>
        <v>v</v>
      </c>
      <c r="E910" s="2" t="e">
        <f>GAMMAINV(#REF!,#REF!,#REF!)</f>
        <v>#REF!</v>
      </c>
      <c r="F910" s="2" t="e">
        <f>GAMMAINV(#REF!,#REF!,+F910:G910)</f>
        <v>#REF!</v>
      </c>
      <c r="H910" s="2" t="e">
        <f>GAMMAINV(#REF!,#REF!,H910:I910)</f>
        <v>#REF!</v>
      </c>
      <c r="J910" s="2" t="e">
        <f>GAMMAINV(#REF!,#REF!,INDIRECT(J910:K910))</f>
        <v>#REF!</v>
      </c>
      <c r="L910" s="2">
        <f>TYPE(INDEX(,GAMMAINV(#REF!,#REF!,OFFSET(INDEX(1,),,))))</f>
        <v>64</v>
      </c>
    </row>
    <row r="911" spans="1:12" x14ac:dyDescent="0.55000000000000004">
      <c r="A911" s="1" t="s">
        <v>1736</v>
      </c>
      <c r="B911" s="2">
        <f>COUNTIF(A:A,A911)-1</f>
        <v>2</v>
      </c>
      <c r="C911" s="2">
        <f>COUNTIF(A$1:A911,A911)-1</f>
        <v>0</v>
      </c>
      <c r="D911" s="2" t="str">
        <f t="shared" si="14"/>
        <v/>
      </c>
      <c r="E911" s="2"/>
      <c r="F911" s="2"/>
      <c r="H911" s="2"/>
      <c r="J911" s="2"/>
      <c r="L911" s="2"/>
    </row>
    <row r="912" spans="1:12" x14ac:dyDescent="0.55000000000000004">
      <c r="A912" s="1" t="s">
        <v>1736</v>
      </c>
      <c r="B912" s="2">
        <f>COUNTIF(A:A,A912)-1</f>
        <v>2</v>
      </c>
      <c r="C912" s="2">
        <f>COUNTIF(A$1:A912,A912)-1</f>
        <v>1</v>
      </c>
      <c r="D912" s="2" t="str">
        <f t="shared" si="14"/>
        <v>v</v>
      </c>
      <c r="E912" s="2"/>
      <c r="F912" s="2" t="e">
        <f>CEILING(+F912:G912,#REF!)</f>
        <v>#REF!</v>
      </c>
      <c r="H912" s="2" t="e">
        <f>CEILING(H912:I912,#REF!)</f>
        <v>#REF!</v>
      </c>
      <c r="J912" s="2" t="e">
        <f>CEILING(INDIRECT(J912:K912),#REF!)</f>
        <v>#REF!</v>
      </c>
      <c r="L912" s="2">
        <f>TYPE(INDEX(,CEILING(OFFSET(INDEX(1,),,),#REF!)))</f>
        <v>64</v>
      </c>
    </row>
    <row r="913" spans="1:12" x14ac:dyDescent="0.55000000000000004">
      <c r="A913" s="1" t="s">
        <v>1736</v>
      </c>
      <c r="B913" s="2">
        <f>COUNTIF(A:A,A913)-1</f>
        <v>2</v>
      </c>
      <c r="C913" s="2">
        <f>COUNTIF(A$1:A913,A913)-1</f>
        <v>2</v>
      </c>
      <c r="D913" s="2" t="str">
        <f t="shared" si="14"/>
        <v>v</v>
      </c>
      <c r="E913" s="2" t="e">
        <f>CEILING(#REF!,#REF!)</f>
        <v>#REF!</v>
      </c>
      <c r="F913" s="2" t="e">
        <f>CEILING(#REF!,+F913:G913)</f>
        <v>#REF!</v>
      </c>
      <c r="H913" s="2" t="e">
        <f>CEILING(#REF!,H913:I913)</f>
        <v>#REF!</v>
      </c>
      <c r="J913" s="2" t="e">
        <f>CEILING(#REF!,INDIRECT(J913:K913))</f>
        <v>#REF!</v>
      </c>
      <c r="L913" s="2">
        <f>TYPE(INDEX(,CEILING(#REF!,OFFSET(INDEX(1,),,))))</f>
        <v>64</v>
      </c>
    </row>
    <row r="914" spans="1:12" x14ac:dyDescent="0.55000000000000004">
      <c r="A914" s="1" t="s">
        <v>1737</v>
      </c>
      <c r="B914" s="2">
        <f>COUNTIF(A:A,A914)-1</f>
        <v>4</v>
      </c>
      <c r="C914" s="2">
        <f>COUNTIF(A$1:A914,A914)-1</f>
        <v>0</v>
      </c>
      <c r="D914" s="2" t="str">
        <f t="shared" si="14"/>
        <v/>
      </c>
      <c r="E914" s="2"/>
      <c r="F914" s="2"/>
      <c r="H914" s="2"/>
      <c r="J914" s="2"/>
      <c r="L914" s="2"/>
    </row>
    <row r="915" spans="1:12" x14ac:dyDescent="0.55000000000000004">
      <c r="A915" s="1" t="s">
        <v>1737</v>
      </c>
      <c r="B915" s="2">
        <f>COUNTIF(A:A,A915)-1</f>
        <v>4</v>
      </c>
      <c r="C915" s="2">
        <f>COUNTIF(A$1:A915,A915)-1</f>
        <v>1</v>
      </c>
      <c r="D915" s="2" t="str">
        <f t="shared" si="14"/>
        <v>v</v>
      </c>
      <c r="E915" s="2"/>
      <c r="F915" s="2" t="e">
        <f>HYPGEOMDIST(+F915:G915,#REF!,#REF!,#REF!)</f>
        <v>#REF!</v>
      </c>
      <c r="H915" s="2" t="e">
        <f>HYPGEOMDIST(H915:I915,#REF!,#REF!,#REF!)</f>
        <v>#REF!</v>
      </c>
      <c r="J915" s="2" t="e">
        <f>HYPGEOMDIST(INDIRECT(J915:K915),#REF!,#REF!,#REF!)</f>
        <v>#REF!</v>
      </c>
      <c r="L915" s="2">
        <f>TYPE(INDEX(,HYPGEOMDIST(OFFSET(INDEX(1,),,),#REF!,#REF!,#REF!)))</f>
        <v>64</v>
      </c>
    </row>
    <row r="916" spans="1:12" x14ac:dyDescent="0.55000000000000004">
      <c r="A916" s="1" t="s">
        <v>1737</v>
      </c>
      <c r="B916" s="2">
        <f>COUNTIF(A:A,A916)-1</f>
        <v>4</v>
      </c>
      <c r="C916" s="2">
        <f>COUNTIF(A$1:A916,A916)-1</f>
        <v>2</v>
      </c>
      <c r="D916" s="2" t="str">
        <f t="shared" si="14"/>
        <v>v</v>
      </c>
      <c r="E916" s="2"/>
      <c r="F916" s="2" t="e">
        <f>HYPGEOMDIST(#REF!,+F916:G916,#REF!,#REF!)</f>
        <v>#REF!</v>
      </c>
      <c r="H916" s="2" t="e">
        <f>HYPGEOMDIST(#REF!,H916:I916,#REF!,#REF!)</f>
        <v>#REF!</v>
      </c>
      <c r="J916" s="2" t="e">
        <f>HYPGEOMDIST(#REF!,INDIRECT(J916:K916),#REF!,#REF!)</f>
        <v>#REF!</v>
      </c>
      <c r="L916" s="2">
        <f>TYPE(INDEX(,HYPGEOMDIST(#REF!,OFFSET(INDEX(1,),,),#REF!,#REF!)))</f>
        <v>64</v>
      </c>
    </row>
    <row r="917" spans="1:12" x14ac:dyDescent="0.55000000000000004">
      <c r="A917" s="1" t="s">
        <v>1737</v>
      </c>
      <c r="B917" s="2">
        <f>COUNTIF(A:A,A917)-1</f>
        <v>4</v>
      </c>
      <c r="C917" s="2">
        <f>COUNTIF(A$1:A917,A917)-1</f>
        <v>3</v>
      </c>
      <c r="D917" s="2" t="str">
        <f t="shared" si="14"/>
        <v>v</v>
      </c>
      <c r="E917" s="2"/>
      <c r="F917" s="2" t="e">
        <f>HYPGEOMDIST(#REF!,#REF!,+F917:G917,#REF!)</f>
        <v>#REF!</v>
      </c>
      <c r="H917" s="2" t="e">
        <f>HYPGEOMDIST(#REF!,#REF!,H917:I917,#REF!)</f>
        <v>#REF!</v>
      </c>
      <c r="J917" s="2" t="e">
        <f>HYPGEOMDIST(#REF!,#REF!,INDIRECT(J917:K917),#REF!)</f>
        <v>#REF!</v>
      </c>
      <c r="L917" s="2">
        <f>TYPE(INDEX(,HYPGEOMDIST(#REF!,#REF!,OFFSET(INDEX(1,),,),#REF!)))</f>
        <v>64</v>
      </c>
    </row>
    <row r="918" spans="1:12" x14ac:dyDescent="0.55000000000000004">
      <c r="A918" s="1" t="s">
        <v>1737</v>
      </c>
      <c r="B918" s="2">
        <f>COUNTIF(A:A,A918)-1</f>
        <v>4</v>
      </c>
      <c r="C918" s="2">
        <f>COUNTIF(A$1:A918,A918)-1</f>
        <v>4</v>
      </c>
      <c r="D918" s="2" t="str">
        <f t="shared" si="14"/>
        <v>v</v>
      </c>
      <c r="E918" s="2" t="e">
        <f>HYPGEOMDIST(#REF!,#REF!,#REF!,#REF!)</f>
        <v>#REF!</v>
      </c>
      <c r="F918" s="2" t="e">
        <f>HYPGEOMDIST(#REF!,#REF!,#REF!,+F918:G918)</f>
        <v>#REF!</v>
      </c>
      <c r="H918" s="2" t="e">
        <f>HYPGEOMDIST(#REF!,#REF!,#REF!,H918:I918)</f>
        <v>#REF!</v>
      </c>
      <c r="J918" s="2" t="e">
        <f>HYPGEOMDIST(#REF!,#REF!,#REF!,INDIRECT(J918:K918))</f>
        <v>#REF!</v>
      </c>
      <c r="L918" s="2">
        <f>TYPE(INDEX(,HYPGEOMDIST(#REF!,#REF!,#REF!,OFFSET(INDEX(1,),,))))</f>
        <v>64</v>
      </c>
    </row>
    <row r="919" spans="1:12" x14ac:dyDescent="0.55000000000000004">
      <c r="A919" s="1" t="s">
        <v>1738</v>
      </c>
      <c r="B919" s="2">
        <f>COUNTIF(A:A,A919)-1</f>
        <v>3</v>
      </c>
      <c r="C919" s="2">
        <f>COUNTIF(A$1:A919,A919)-1</f>
        <v>0</v>
      </c>
      <c r="D919" s="2" t="str">
        <f t="shared" si="14"/>
        <v/>
      </c>
      <c r="E919" s="2"/>
      <c r="F919" s="2"/>
      <c r="H919" s="2"/>
      <c r="J919" s="2"/>
      <c r="L919" s="2"/>
    </row>
    <row r="920" spans="1:12" x14ac:dyDescent="0.55000000000000004">
      <c r="A920" s="1" t="s">
        <v>1738</v>
      </c>
      <c r="B920" s="2">
        <f>COUNTIF(A:A,A920)-1</f>
        <v>3</v>
      </c>
      <c r="C920" s="2">
        <f>COUNTIF(A$1:A920,A920)-1</f>
        <v>1</v>
      </c>
      <c r="D920" s="2" t="str">
        <f t="shared" si="14"/>
        <v>v</v>
      </c>
      <c r="E920" s="2"/>
      <c r="F920" s="2" t="e">
        <f>LOGNORMDIST(+F920:G920,#REF!,#REF!)</f>
        <v>#REF!</v>
      </c>
      <c r="H920" s="2" t="e">
        <f>LOGNORMDIST(H920:I920,#REF!,#REF!)</f>
        <v>#REF!</v>
      </c>
      <c r="J920" s="2" t="e">
        <f>LOGNORMDIST(INDIRECT(J920:K920),#REF!,#REF!)</f>
        <v>#REF!</v>
      </c>
      <c r="L920" s="2">
        <f>TYPE(INDEX(,LOGNORMDIST(OFFSET(INDEX(1,),,),#REF!,#REF!)))</f>
        <v>64</v>
      </c>
    </row>
    <row r="921" spans="1:12" x14ac:dyDescent="0.55000000000000004">
      <c r="A921" s="1" t="s">
        <v>1738</v>
      </c>
      <c r="B921" s="2">
        <f>COUNTIF(A:A,A921)-1</f>
        <v>3</v>
      </c>
      <c r="C921" s="2">
        <f>COUNTIF(A$1:A921,A921)-1</f>
        <v>2</v>
      </c>
      <c r="D921" s="2" t="str">
        <f t="shared" si="14"/>
        <v>v</v>
      </c>
      <c r="E921" s="2"/>
      <c r="F921" s="2" t="e">
        <f>LOGNORMDIST(#REF!,+F921:G921,#REF!)</f>
        <v>#REF!</v>
      </c>
      <c r="H921" s="2" t="e">
        <f>LOGNORMDIST(#REF!,H921:I921,#REF!)</f>
        <v>#REF!</v>
      </c>
      <c r="J921" s="2" t="e">
        <f>LOGNORMDIST(#REF!,INDIRECT(J921:K921),#REF!)</f>
        <v>#REF!</v>
      </c>
      <c r="L921" s="2">
        <f>TYPE(INDEX(,LOGNORMDIST(#REF!,OFFSET(INDEX(1,),,),#REF!)))</f>
        <v>64</v>
      </c>
    </row>
    <row r="922" spans="1:12" x14ac:dyDescent="0.55000000000000004">
      <c r="A922" s="1" t="s">
        <v>1738</v>
      </c>
      <c r="B922" s="2">
        <f>COUNTIF(A:A,A922)-1</f>
        <v>3</v>
      </c>
      <c r="C922" s="2">
        <f>COUNTIF(A$1:A922,A922)-1</f>
        <v>3</v>
      </c>
      <c r="D922" s="2" t="str">
        <f t="shared" si="14"/>
        <v>v</v>
      </c>
      <c r="E922" s="2" t="e">
        <f>LOGNORMDIST(#REF!,#REF!,#REF!)</f>
        <v>#REF!</v>
      </c>
      <c r="F922" s="2" t="e">
        <f>LOGNORMDIST(#REF!,#REF!,+F922:G922)</f>
        <v>#REF!</v>
      </c>
      <c r="H922" s="2" t="e">
        <f>LOGNORMDIST(#REF!,#REF!,H922:I922)</f>
        <v>#REF!</v>
      </c>
      <c r="J922" s="2" t="e">
        <f>LOGNORMDIST(#REF!,#REF!,INDIRECT(J922:K922))</f>
        <v>#REF!</v>
      </c>
      <c r="L922" s="2">
        <f>TYPE(INDEX(,LOGNORMDIST(#REF!,#REF!,OFFSET(INDEX(1,),,))))</f>
        <v>64</v>
      </c>
    </row>
    <row r="923" spans="1:12" x14ac:dyDescent="0.55000000000000004">
      <c r="A923" s="1" t="s">
        <v>1739</v>
      </c>
      <c r="B923" s="2">
        <f>COUNTIF(A:A,A923)-1</f>
        <v>3</v>
      </c>
      <c r="C923" s="2">
        <f>COUNTIF(A$1:A923,A923)-1</f>
        <v>0</v>
      </c>
      <c r="D923" s="2" t="str">
        <f t="shared" si="14"/>
        <v/>
      </c>
      <c r="E923" s="2"/>
      <c r="F923" s="2"/>
      <c r="H923" s="2"/>
      <c r="J923" s="2"/>
      <c r="L923" s="2"/>
    </row>
    <row r="924" spans="1:12" x14ac:dyDescent="0.55000000000000004">
      <c r="A924" s="1" t="s">
        <v>1739</v>
      </c>
      <c r="B924" s="2">
        <f>COUNTIF(A:A,A924)-1</f>
        <v>3</v>
      </c>
      <c r="C924" s="2">
        <f>COUNTIF(A$1:A924,A924)-1</f>
        <v>1</v>
      </c>
      <c r="D924" s="2" t="str">
        <f t="shared" si="14"/>
        <v>v</v>
      </c>
      <c r="E924" s="2"/>
      <c r="F924" s="2" t="e">
        <f>LOGINV(+F924:G924,#REF!,#REF!)</f>
        <v>#REF!</v>
      </c>
      <c r="H924" s="2" t="e">
        <f>LOGINV(H924:I924,#REF!,#REF!)</f>
        <v>#REF!</v>
      </c>
      <c r="J924" s="2" t="e">
        <f>LOGINV(INDIRECT(J924:K924),#REF!,#REF!)</f>
        <v>#REF!</v>
      </c>
      <c r="L924" s="2">
        <f>TYPE(INDEX(,LOGINV(OFFSET(INDEX(1,),,),#REF!,#REF!)))</f>
        <v>64</v>
      </c>
    </row>
    <row r="925" spans="1:12" x14ac:dyDescent="0.55000000000000004">
      <c r="A925" s="1" t="s">
        <v>1739</v>
      </c>
      <c r="B925" s="2">
        <f>COUNTIF(A:A,A925)-1</f>
        <v>3</v>
      </c>
      <c r="C925" s="2">
        <f>COUNTIF(A$1:A925,A925)-1</f>
        <v>2</v>
      </c>
      <c r="D925" s="2" t="str">
        <f t="shared" si="14"/>
        <v>v</v>
      </c>
      <c r="E925" s="2"/>
      <c r="F925" s="2" t="e">
        <f>LOGINV(#REF!,+F925:G925,#REF!)</f>
        <v>#REF!</v>
      </c>
      <c r="H925" s="2" t="e">
        <f>LOGINV(#REF!,H925:I925,#REF!)</f>
        <v>#REF!</v>
      </c>
      <c r="J925" s="2" t="e">
        <f>LOGINV(#REF!,INDIRECT(J925:K925),#REF!)</f>
        <v>#REF!</v>
      </c>
      <c r="L925" s="2">
        <f>TYPE(INDEX(,LOGINV(#REF!,OFFSET(INDEX(1,),,),#REF!)))</f>
        <v>64</v>
      </c>
    </row>
    <row r="926" spans="1:12" x14ac:dyDescent="0.55000000000000004">
      <c r="A926" s="1" t="s">
        <v>1739</v>
      </c>
      <c r="B926" s="2">
        <f>COUNTIF(A:A,A926)-1</f>
        <v>3</v>
      </c>
      <c r="C926" s="2">
        <f>COUNTIF(A$1:A926,A926)-1</f>
        <v>3</v>
      </c>
      <c r="D926" s="2" t="str">
        <f t="shared" si="14"/>
        <v>v</v>
      </c>
      <c r="E926" s="2" t="e">
        <f>LOGINV(#REF!,#REF!,#REF!)</f>
        <v>#REF!</v>
      </c>
      <c r="F926" s="2" t="e">
        <f>LOGINV(#REF!,#REF!,+F926:G926)</f>
        <v>#REF!</v>
      </c>
      <c r="H926" s="2" t="e">
        <f>LOGINV(#REF!,#REF!,H926:I926)</f>
        <v>#REF!</v>
      </c>
      <c r="J926" s="2" t="e">
        <f>LOGINV(#REF!,#REF!,INDIRECT(J926:K926))</f>
        <v>#REF!</v>
      </c>
      <c r="L926" s="2">
        <f>TYPE(INDEX(,LOGINV(#REF!,#REF!,OFFSET(INDEX(1,),,))))</f>
        <v>64</v>
      </c>
    </row>
    <row r="927" spans="1:12" x14ac:dyDescent="0.55000000000000004">
      <c r="A927" s="1" t="s">
        <v>1740</v>
      </c>
      <c r="B927" s="2">
        <f>COUNTIF(A:A,A927)-1</f>
        <v>3</v>
      </c>
      <c r="C927" s="2">
        <f>COUNTIF(A$1:A927,A927)-1</f>
        <v>0</v>
      </c>
      <c r="D927" s="2" t="str">
        <f t="shared" si="14"/>
        <v/>
      </c>
      <c r="E927" s="2"/>
      <c r="F927" s="2"/>
      <c r="H927" s="2"/>
      <c r="J927" s="2"/>
      <c r="L927" s="2"/>
    </row>
    <row r="928" spans="1:12" x14ac:dyDescent="0.55000000000000004">
      <c r="A928" s="1" t="s">
        <v>1740</v>
      </c>
      <c r="B928" s="2">
        <f>COUNTIF(A:A,A928)-1</f>
        <v>3</v>
      </c>
      <c r="C928" s="2">
        <f>COUNTIF(A$1:A928,A928)-1</f>
        <v>1</v>
      </c>
      <c r="D928" s="2" t="str">
        <f t="shared" si="14"/>
        <v>v</v>
      </c>
      <c r="E928" s="2"/>
      <c r="F928" s="2" t="e">
        <f>NEGBINOMDIST(+F928:G928,#REF!,#REF!)</f>
        <v>#REF!</v>
      </c>
      <c r="H928" s="2" t="e">
        <f>NEGBINOMDIST(H928:I928,#REF!,#REF!)</f>
        <v>#REF!</v>
      </c>
      <c r="J928" s="2" t="e">
        <f>NEGBINOMDIST(INDIRECT(J928:K928),#REF!,#REF!)</f>
        <v>#REF!</v>
      </c>
      <c r="L928" s="2">
        <f>TYPE(INDEX(,NEGBINOMDIST(OFFSET(INDEX(1,),,),#REF!,#REF!)))</f>
        <v>64</v>
      </c>
    </row>
    <row r="929" spans="1:12" x14ac:dyDescent="0.55000000000000004">
      <c r="A929" s="1" t="s">
        <v>1740</v>
      </c>
      <c r="B929" s="2">
        <f>COUNTIF(A:A,A929)-1</f>
        <v>3</v>
      </c>
      <c r="C929" s="2">
        <f>COUNTIF(A$1:A929,A929)-1</f>
        <v>2</v>
      </c>
      <c r="D929" s="2" t="str">
        <f t="shared" si="14"/>
        <v>v</v>
      </c>
      <c r="E929" s="2"/>
      <c r="F929" s="2" t="e">
        <f>NEGBINOMDIST(#REF!,+F929:G929,#REF!)</f>
        <v>#REF!</v>
      </c>
      <c r="H929" s="2" t="e">
        <f>NEGBINOMDIST(#REF!,H929:I929,#REF!)</f>
        <v>#REF!</v>
      </c>
      <c r="J929" s="2" t="e">
        <f>NEGBINOMDIST(#REF!,INDIRECT(J929:K929),#REF!)</f>
        <v>#REF!</v>
      </c>
      <c r="L929" s="2">
        <f>TYPE(INDEX(,NEGBINOMDIST(#REF!,OFFSET(INDEX(1,),,),#REF!)))</f>
        <v>64</v>
      </c>
    </row>
    <row r="930" spans="1:12" x14ac:dyDescent="0.55000000000000004">
      <c r="A930" s="1" t="s">
        <v>1740</v>
      </c>
      <c r="B930" s="2">
        <f>COUNTIF(A:A,A930)-1</f>
        <v>3</v>
      </c>
      <c r="C930" s="2">
        <f>COUNTIF(A$1:A930,A930)-1</f>
        <v>3</v>
      </c>
      <c r="D930" s="2" t="str">
        <f t="shared" si="14"/>
        <v>v</v>
      </c>
      <c r="E930" s="2" t="e">
        <f>NEGBINOMDIST(#REF!,#REF!,#REF!)</f>
        <v>#REF!</v>
      </c>
      <c r="F930" s="2" t="e">
        <f>NEGBINOMDIST(#REF!,#REF!,+F930:G930)</f>
        <v>#REF!</v>
      </c>
      <c r="H930" s="2" t="e">
        <f>NEGBINOMDIST(#REF!,#REF!,H930:I930)</f>
        <v>#REF!</v>
      </c>
      <c r="J930" s="2" t="e">
        <f>NEGBINOMDIST(#REF!,#REF!,INDIRECT(J930:K930))</f>
        <v>#REF!</v>
      </c>
      <c r="L930" s="2">
        <f>TYPE(INDEX(,NEGBINOMDIST(#REF!,#REF!,OFFSET(INDEX(1,),,))))</f>
        <v>64</v>
      </c>
    </row>
    <row r="931" spans="1:12" x14ac:dyDescent="0.55000000000000004">
      <c r="A931" s="1" t="s">
        <v>1741</v>
      </c>
      <c r="B931" s="2">
        <f>COUNTIF(A:A,A931)-1</f>
        <v>4</v>
      </c>
      <c r="C931" s="2">
        <f>COUNTIF(A$1:A931,A931)-1</f>
        <v>0</v>
      </c>
      <c r="D931" s="2" t="str">
        <f t="shared" si="14"/>
        <v/>
      </c>
      <c r="E931" s="2"/>
      <c r="F931" s="2"/>
      <c r="H931" s="2"/>
      <c r="J931" s="2"/>
      <c r="L931" s="2"/>
    </row>
    <row r="932" spans="1:12" x14ac:dyDescent="0.55000000000000004">
      <c r="A932" s="1" t="s">
        <v>1741</v>
      </c>
      <c r="B932" s="2">
        <f>COUNTIF(A:A,A932)-1</f>
        <v>4</v>
      </c>
      <c r="C932" s="2">
        <f>COUNTIF(A$1:A932,A932)-1</f>
        <v>1</v>
      </c>
      <c r="D932" s="2" t="str">
        <f t="shared" si="14"/>
        <v>v</v>
      </c>
      <c r="E932" s="2"/>
      <c r="F932" s="2" t="e">
        <f>NORMDIST(+F932:G932,#REF!,#REF!,#REF!)</f>
        <v>#REF!</v>
      </c>
      <c r="H932" s="2" t="e">
        <f>NORMDIST(H932:I932,#REF!,#REF!,#REF!)</f>
        <v>#REF!</v>
      </c>
      <c r="J932" s="2" t="e">
        <f>NORMDIST(INDIRECT(J932:K932),#REF!,#REF!,#REF!)</f>
        <v>#REF!</v>
      </c>
      <c r="L932" s="2">
        <f>TYPE(INDEX(,NORMDIST(OFFSET(INDEX(1,),,),#REF!,#REF!,#REF!)))</f>
        <v>64</v>
      </c>
    </row>
    <row r="933" spans="1:12" x14ac:dyDescent="0.55000000000000004">
      <c r="A933" s="1" t="s">
        <v>1741</v>
      </c>
      <c r="B933" s="2">
        <f>COUNTIF(A:A,A933)-1</f>
        <v>4</v>
      </c>
      <c r="C933" s="2">
        <f>COUNTIF(A$1:A933,A933)-1</f>
        <v>2</v>
      </c>
      <c r="D933" s="2" t="str">
        <f t="shared" si="14"/>
        <v>v</v>
      </c>
      <c r="E933" s="2"/>
      <c r="F933" s="2" t="e">
        <f>NORMDIST(#REF!,+F933:G933,#REF!,#REF!)</f>
        <v>#REF!</v>
      </c>
      <c r="H933" s="2" t="e">
        <f>NORMDIST(#REF!,H933:I933,#REF!,#REF!)</f>
        <v>#REF!</v>
      </c>
      <c r="J933" s="2" t="e">
        <f>NORMDIST(#REF!,INDIRECT(J933:K933),#REF!,#REF!)</f>
        <v>#REF!</v>
      </c>
      <c r="L933" s="2">
        <f>TYPE(INDEX(,NORMDIST(#REF!,OFFSET(INDEX(1,),,),#REF!,#REF!)))</f>
        <v>64</v>
      </c>
    </row>
    <row r="934" spans="1:12" x14ac:dyDescent="0.55000000000000004">
      <c r="A934" s="1" t="s">
        <v>1741</v>
      </c>
      <c r="B934" s="2">
        <f>COUNTIF(A:A,A934)-1</f>
        <v>4</v>
      </c>
      <c r="C934" s="2">
        <f>COUNTIF(A$1:A934,A934)-1</f>
        <v>3</v>
      </c>
      <c r="D934" s="2" t="str">
        <f t="shared" si="14"/>
        <v>v</v>
      </c>
      <c r="E934" s="2"/>
      <c r="F934" s="2" t="e">
        <f>NORMDIST(#REF!,#REF!,+F934:G934,#REF!)</f>
        <v>#REF!</v>
      </c>
      <c r="H934" s="2" t="e">
        <f>NORMDIST(#REF!,#REF!,H934:I934,#REF!)</f>
        <v>#REF!</v>
      </c>
      <c r="J934" s="2" t="e">
        <f>NORMDIST(#REF!,#REF!,INDIRECT(J934:K934),#REF!)</f>
        <v>#REF!</v>
      </c>
      <c r="L934" s="2">
        <f>TYPE(INDEX(,NORMDIST(#REF!,#REF!,OFFSET(INDEX(1,),,),#REF!)))</f>
        <v>64</v>
      </c>
    </row>
    <row r="935" spans="1:12" x14ac:dyDescent="0.55000000000000004">
      <c r="A935" s="1" t="s">
        <v>1741</v>
      </c>
      <c r="B935" s="2">
        <f>COUNTIF(A:A,A935)-1</f>
        <v>4</v>
      </c>
      <c r="C935" s="2">
        <f>COUNTIF(A$1:A935,A935)-1</f>
        <v>4</v>
      </c>
      <c r="D935" s="2" t="str">
        <f t="shared" si="14"/>
        <v>v</v>
      </c>
      <c r="E935" s="2" t="e">
        <f>NORMDIST(#REF!,#REF!,#REF!,#REF!)</f>
        <v>#REF!</v>
      </c>
      <c r="F935" s="2" t="e">
        <f>NORMDIST(#REF!,#REF!,#REF!,+F935:G935)</f>
        <v>#REF!</v>
      </c>
      <c r="H935" s="2" t="e">
        <f>NORMDIST(#REF!,#REF!,#REF!,H935:I935)</f>
        <v>#REF!</v>
      </c>
      <c r="J935" s="2" t="e">
        <f>NORMDIST(#REF!,#REF!,#REF!,INDIRECT(J935:K935))</f>
        <v>#REF!</v>
      </c>
      <c r="L935" s="2">
        <f>TYPE(INDEX(,NORMDIST(#REF!,#REF!,#REF!,OFFSET(INDEX(1,),,))))</f>
        <v>64</v>
      </c>
    </row>
    <row r="936" spans="1:12" x14ac:dyDescent="0.55000000000000004">
      <c r="A936" s="1" t="s">
        <v>1742</v>
      </c>
      <c r="B936" s="2">
        <f>COUNTIF(A:A,A936)-1</f>
        <v>1</v>
      </c>
      <c r="C936" s="2">
        <f>COUNTIF(A$1:A936,A936)-1</f>
        <v>0</v>
      </c>
      <c r="D936" s="2" t="str">
        <f t="shared" si="14"/>
        <v/>
      </c>
      <c r="E936" s="2"/>
      <c r="F936" s="2"/>
      <c r="H936" s="2"/>
      <c r="J936" s="2"/>
      <c r="L936" s="2"/>
    </row>
    <row r="937" spans="1:12" x14ac:dyDescent="0.55000000000000004">
      <c r="A937" s="1" t="s">
        <v>1742</v>
      </c>
      <c r="B937" s="2">
        <f>COUNTIF(A:A,A937)-1</f>
        <v>1</v>
      </c>
      <c r="C937" s="2">
        <f>COUNTIF(A$1:A937,A937)-1</f>
        <v>1</v>
      </c>
      <c r="D937" s="2" t="str">
        <f t="shared" si="14"/>
        <v>v</v>
      </c>
      <c r="E937" s="2" t="e">
        <f>NORMSDIST(#REF!)</f>
        <v>#REF!</v>
      </c>
      <c r="F937" s="2">
        <f>NORMSDIST(+F937:G937)</f>
        <v>0.5</v>
      </c>
      <c r="H937" s="2">
        <f>NORMSDIST(H937:I937)</f>
        <v>0.5</v>
      </c>
      <c r="J937" s="2" t="e">
        <f>NORMSDIST(INDIRECT(J937:K937))</f>
        <v>#REF!</v>
      </c>
      <c r="L937" s="2">
        <f>TYPE(INDEX(,NORMSDIST(OFFSET(INDEX(1,),,))))</f>
        <v>64</v>
      </c>
    </row>
    <row r="938" spans="1:12" x14ac:dyDescent="0.55000000000000004">
      <c r="A938" s="1" t="s">
        <v>1743</v>
      </c>
      <c r="B938" s="2">
        <f>COUNTIF(A:A,A938)-1</f>
        <v>3</v>
      </c>
      <c r="C938" s="2">
        <f>COUNTIF(A$1:A938,A938)-1</f>
        <v>0</v>
      </c>
      <c r="D938" s="2" t="str">
        <f t="shared" si="14"/>
        <v/>
      </c>
      <c r="E938" s="2"/>
      <c r="F938" s="2"/>
      <c r="H938" s="2"/>
      <c r="J938" s="2"/>
      <c r="L938" s="2"/>
    </row>
    <row r="939" spans="1:12" x14ac:dyDescent="0.55000000000000004">
      <c r="A939" s="1" t="s">
        <v>1743</v>
      </c>
      <c r="B939" s="2">
        <f>COUNTIF(A:A,A939)-1</f>
        <v>3</v>
      </c>
      <c r="C939" s="2">
        <f>COUNTIF(A$1:A939,A939)-1</f>
        <v>1</v>
      </c>
      <c r="D939" s="2" t="str">
        <f t="shared" si="14"/>
        <v>v</v>
      </c>
      <c r="E939" s="2"/>
      <c r="F939" s="2" t="e">
        <f>NORMINV(+F939:G939,#REF!,#REF!)</f>
        <v>#REF!</v>
      </c>
      <c r="H939" s="2" t="e">
        <f>NORMINV(H939:I939,#REF!,#REF!)</f>
        <v>#REF!</v>
      </c>
      <c r="J939" s="2" t="e">
        <f>NORMINV(INDIRECT(J939:K939),#REF!,#REF!)</f>
        <v>#REF!</v>
      </c>
      <c r="L939" s="2">
        <f>TYPE(INDEX(,NORMINV(OFFSET(INDEX(1,),,),#REF!,#REF!)))</f>
        <v>64</v>
      </c>
    </row>
    <row r="940" spans="1:12" x14ac:dyDescent="0.55000000000000004">
      <c r="A940" s="1" t="s">
        <v>1743</v>
      </c>
      <c r="B940" s="2">
        <f>COUNTIF(A:A,A940)-1</f>
        <v>3</v>
      </c>
      <c r="C940" s="2">
        <f>COUNTIF(A$1:A940,A940)-1</f>
        <v>2</v>
      </c>
      <c r="D940" s="2" t="str">
        <f t="shared" si="14"/>
        <v>v</v>
      </c>
      <c r="E940" s="2"/>
      <c r="F940" s="2" t="e">
        <f>NORMINV(#REF!,+F940:G940,#REF!)</f>
        <v>#REF!</v>
      </c>
      <c r="H940" s="2" t="e">
        <f>NORMINV(#REF!,H940:I940,#REF!)</f>
        <v>#REF!</v>
      </c>
      <c r="J940" s="2" t="e">
        <f>NORMINV(#REF!,INDIRECT(J940:K940),#REF!)</f>
        <v>#REF!</v>
      </c>
      <c r="L940" s="2">
        <f>TYPE(INDEX(,NORMINV(#REF!,OFFSET(INDEX(1,),,),#REF!)))</f>
        <v>64</v>
      </c>
    </row>
    <row r="941" spans="1:12" x14ac:dyDescent="0.55000000000000004">
      <c r="A941" s="1" t="s">
        <v>1743</v>
      </c>
      <c r="B941" s="2">
        <f>COUNTIF(A:A,A941)-1</f>
        <v>3</v>
      </c>
      <c r="C941" s="2">
        <f>COUNTIF(A$1:A941,A941)-1</f>
        <v>3</v>
      </c>
      <c r="D941" s="2" t="str">
        <f t="shared" si="14"/>
        <v>v</v>
      </c>
      <c r="E941" s="2" t="e">
        <f>NORMINV(#REF!,#REF!,#REF!)</f>
        <v>#REF!</v>
      </c>
      <c r="F941" s="2" t="e">
        <f>NORMINV(#REF!,#REF!,+F941:G941)</f>
        <v>#REF!</v>
      </c>
      <c r="H941" s="2" t="e">
        <f>NORMINV(#REF!,#REF!,H941:I941)</f>
        <v>#REF!</v>
      </c>
      <c r="J941" s="2" t="e">
        <f>NORMINV(#REF!,#REF!,INDIRECT(J941:K941))</f>
        <v>#REF!</v>
      </c>
      <c r="L941" s="2">
        <f>TYPE(INDEX(,NORMINV(#REF!,#REF!,OFFSET(INDEX(1,),,))))</f>
        <v>64</v>
      </c>
    </row>
    <row r="942" spans="1:12" x14ac:dyDescent="0.55000000000000004">
      <c r="A942" s="1" t="s">
        <v>1744</v>
      </c>
      <c r="B942" s="2">
        <f>COUNTIF(A:A,A942)-1</f>
        <v>1</v>
      </c>
      <c r="C942" s="2">
        <f>COUNTIF(A$1:A942,A942)-1</f>
        <v>0</v>
      </c>
      <c r="D942" s="2" t="str">
        <f t="shared" si="14"/>
        <v/>
      </c>
      <c r="E942" s="2"/>
      <c r="F942" s="2"/>
      <c r="H942" s="2"/>
      <c r="J942" s="2"/>
      <c r="L942" s="2"/>
    </row>
    <row r="943" spans="1:12" x14ac:dyDescent="0.55000000000000004">
      <c r="A943" s="1" t="s">
        <v>1744</v>
      </c>
      <c r="B943" s="2">
        <f>COUNTIF(A:A,A943)-1</f>
        <v>1</v>
      </c>
      <c r="C943" s="2">
        <f>COUNTIF(A$1:A943,A943)-1</f>
        <v>1</v>
      </c>
      <c r="D943" s="2" t="str">
        <f t="shared" si="14"/>
        <v>v</v>
      </c>
      <c r="E943" s="2" t="e">
        <f>NORMSINV(#REF!)</f>
        <v>#REF!</v>
      </c>
      <c r="F943" s="2" t="e">
        <f>NORMSINV(+F943:G943)</f>
        <v>#NUM!</v>
      </c>
      <c r="H943" s="2" t="e">
        <f>NORMSINV(H943:I943)</f>
        <v>#NUM!</v>
      </c>
      <c r="J943" s="2" t="e">
        <f>NORMSINV(INDIRECT(J943:K943))</f>
        <v>#REF!</v>
      </c>
      <c r="L943" s="2">
        <f>TYPE(INDEX(,NORMSINV(OFFSET(INDEX(1,),,))))</f>
        <v>64</v>
      </c>
    </row>
    <row r="944" spans="1:12" x14ac:dyDescent="0.55000000000000004">
      <c r="A944" s="1" t="s">
        <v>1745</v>
      </c>
      <c r="B944" s="2">
        <f>COUNTIF(A:A,A944)-1</f>
        <v>3</v>
      </c>
      <c r="C944" s="2">
        <f>COUNTIF(A$1:A944,A944)-1</f>
        <v>0</v>
      </c>
      <c r="D944" s="2" t="str">
        <f t="shared" si="14"/>
        <v/>
      </c>
      <c r="E944" s="2"/>
      <c r="F944" s="2"/>
      <c r="H944" s="2"/>
      <c r="J944" s="2"/>
      <c r="L944" s="2"/>
    </row>
    <row r="945" spans="1:12" x14ac:dyDescent="0.55000000000000004">
      <c r="A945" s="1" t="s">
        <v>1745</v>
      </c>
      <c r="B945" s="2">
        <f>COUNTIF(A:A,A945)-1</f>
        <v>3</v>
      </c>
      <c r="C945" s="2">
        <f>COUNTIF(A$1:A945,A945)-1</f>
        <v>1</v>
      </c>
      <c r="D945" s="2" t="str">
        <f t="shared" si="14"/>
        <v>v</v>
      </c>
      <c r="E945" s="2"/>
      <c r="F945" s="2" t="e">
        <f>STANDARDIZE(+F945:G945,#REF!,#REF!)</f>
        <v>#REF!</v>
      </c>
      <c r="H945" s="2" t="e">
        <f>STANDARDIZE(H945:I945,#REF!,#REF!)</f>
        <v>#REF!</v>
      </c>
      <c r="J945" s="2" t="e">
        <f>STANDARDIZE(INDIRECT(J945:K945),#REF!,#REF!)</f>
        <v>#REF!</v>
      </c>
      <c r="L945" s="2">
        <f>TYPE(INDEX(,STANDARDIZE(OFFSET(INDEX(1,),,),#REF!,#REF!)))</f>
        <v>64</v>
      </c>
    </row>
    <row r="946" spans="1:12" x14ac:dyDescent="0.55000000000000004">
      <c r="A946" s="1" t="s">
        <v>1745</v>
      </c>
      <c r="B946" s="2">
        <f>COUNTIF(A:A,A946)-1</f>
        <v>3</v>
      </c>
      <c r="C946" s="2">
        <f>COUNTIF(A$1:A946,A946)-1</f>
        <v>2</v>
      </c>
      <c r="D946" s="2" t="str">
        <f t="shared" si="14"/>
        <v>v</v>
      </c>
      <c r="E946" s="2"/>
      <c r="F946" s="2" t="e">
        <f>STANDARDIZE(#REF!,+F946:G946,#REF!)</f>
        <v>#REF!</v>
      </c>
      <c r="H946" s="2" t="e">
        <f>STANDARDIZE(#REF!,H946:I946,#REF!)</f>
        <v>#REF!</v>
      </c>
      <c r="J946" s="2" t="e">
        <f>STANDARDIZE(#REF!,INDIRECT(J946:K946),#REF!)</f>
        <v>#REF!</v>
      </c>
      <c r="L946" s="2">
        <f>TYPE(INDEX(,STANDARDIZE(#REF!,OFFSET(INDEX(1,),,),#REF!)))</f>
        <v>64</v>
      </c>
    </row>
    <row r="947" spans="1:12" x14ac:dyDescent="0.55000000000000004">
      <c r="A947" s="1" t="s">
        <v>1745</v>
      </c>
      <c r="B947" s="2">
        <f>COUNTIF(A:A,A947)-1</f>
        <v>3</v>
      </c>
      <c r="C947" s="2">
        <f>COUNTIF(A$1:A947,A947)-1</f>
        <v>3</v>
      </c>
      <c r="D947" s="2" t="str">
        <f t="shared" si="14"/>
        <v>v</v>
      </c>
      <c r="E947" s="2" t="e">
        <f>STANDARDIZE(#REF!,#REF!,#REF!)</f>
        <v>#REF!</v>
      </c>
      <c r="F947" s="2" t="e">
        <f>STANDARDIZE(#REF!,#REF!,+F947:G947)</f>
        <v>#REF!</v>
      </c>
      <c r="H947" s="2" t="e">
        <f>STANDARDIZE(#REF!,#REF!,H947:I947)</f>
        <v>#REF!</v>
      </c>
      <c r="J947" s="2" t="e">
        <f>STANDARDIZE(#REF!,#REF!,INDIRECT(J947:K947))</f>
        <v>#REF!</v>
      </c>
      <c r="L947" s="2">
        <f>TYPE(INDEX(,STANDARDIZE(#REF!,#REF!,OFFSET(INDEX(1,),,))))</f>
        <v>64</v>
      </c>
    </row>
    <row r="948" spans="1:12" x14ac:dyDescent="0.55000000000000004">
      <c r="A948" s="1" t="s">
        <v>1746</v>
      </c>
      <c r="B948" s="2">
        <f>COUNTIF(A:A,A948)-1</f>
        <v>1</v>
      </c>
      <c r="C948" s="2">
        <f>COUNTIF(A$1:A948,A948)-1</f>
        <v>0</v>
      </c>
      <c r="D948" s="2" t="str">
        <f t="shared" si="14"/>
        <v/>
      </c>
      <c r="E948" s="2"/>
      <c r="F948" s="2"/>
      <c r="H948" s="2"/>
      <c r="J948" s="2"/>
      <c r="L948" s="2"/>
    </row>
    <row r="949" spans="1:12" x14ac:dyDescent="0.55000000000000004">
      <c r="A949" s="1" t="s">
        <v>1746</v>
      </c>
      <c r="B949" s="2">
        <f>COUNTIF(A:A,A949)-1</f>
        <v>1</v>
      </c>
      <c r="C949" s="2">
        <f>COUNTIF(A$1:A949,A949)-1</f>
        <v>1</v>
      </c>
      <c r="D949" s="2" t="str">
        <f t="shared" si="14"/>
        <v>v</v>
      </c>
      <c r="E949" s="2" t="e">
        <f>ODD(#REF!)</f>
        <v>#REF!</v>
      </c>
      <c r="F949" s="2">
        <f>ODD(+F949:G949)</f>
        <v>1</v>
      </c>
      <c r="H949" s="2">
        <f>ODD(H949:I949)</f>
        <v>1</v>
      </c>
      <c r="J949" s="2" t="e">
        <f>ODD(INDIRECT(J949:K949))</f>
        <v>#REF!</v>
      </c>
      <c r="L949" s="2">
        <f>TYPE(INDEX(,ODD(OFFSET(INDEX(1,),,))))</f>
        <v>64</v>
      </c>
    </row>
    <row r="950" spans="1:12" x14ac:dyDescent="0.55000000000000004">
      <c r="A950" s="1" t="s">
        <v>1747</v>
      </c>
      <c r="B950" s="2">
        <f>COUNTIF(A:A,A950)-1</f>
        <v>2</v>
      </c>
      <c r="C950" s="2">
        <f>COUNTIF(A$1:A950,A950)-1</f>
        <v>0</v>
      </c>
      <c r="D950" s="2" t="str">
        <f t="shared" si="14"/>
        <v/>
      </c>
      <c r="E950" s="2"/>
      <c r="F950" s="2"/>
      <c r="H950" s="2"/>
      <c r="J950" s="2"/>
      <c r="L950" s="2"/>
    </row>
    <row r="951" spans="1:12" x14ac:dyDescent="0.55000000000000004">
      <c r="A951" s="1" t="s">
        <v>1747</v>
      </c>
      <c r="B951" s="2">
        <f>COUNTIF(A:A,A951)-1</f>
        <v>2</v>
      </c>
      <c r="C951" s="2">
        <f>COUNTIF(A$1:A951,A951)-1</f>
        <v>1</v>
      </c>
      <c r="D951" s="2" t="str">
        <f t="shared" si="14"/>
        <v>v</v>
      </c>
      <c r="E951" s="2"/>
      <c r="F951" s="2" t="e">
        <f>PERMUT(+F951:G951,#REF!)</f>
        <v>#REF!</v>
      </c>
      <c r="H951" s="2" t="e">
        <f>PERMUT(H951:I951,#REF!)</f>
        <v>#REF!</v>
      </c>
      <c r="J951" s="2" t="e">
        <f>PERMUT(INDIRECT(J951:K951),#REF!)</f>
        <v>#REF!</v>
      </c>
      <c r="L951" s="2">
        <f>TYPE(INDEX(,PERMUT(OFFSET(INDEX(1,),,),#REF!)))</f>
        <v>64</v>
      </c>
    </row>
    <row r="952" spans="1:12" x14ac:dyDescent="0.55000000000000004">
      <c r="A952" s="1" t="s">
        <v>1747</v>
      </c>
      <c r="B952" s="2">
        <f>COUNTIF(A:A,A952)-1</f>
        <v>2</v>
      </c>
      <c r="C952" s="2">
        <f>COUNTIF(A$1:A952,A952)-1</f>
        <v>2</v>
      </c>
      <c r="D952" s="2" t="str">
        <f t="shared" si="14"/>
        <v>v</v>
      </c>
      <c r="E952" s="2" t="e">
        <f>PERMUT(#REF!,#REF!)</f>
        <v>#REF!</v>
      </c>
      <c r="F952" s="2" t="e">
        <f>PERMUT(#REF!,+F952:G952)</f>
        <v>#REF!</v>
      </c>
      <c r="H952" s="2" t="e">
        <f>PERMUT(#REF!,H952:I952)</f>
        <v>#REF!</v>
      </c>
      <c r="J952" s="2" t="e">
        <f>PERMUT(#REF!,INDIRECT(J952:K952))</f>
        <v>#REF!</v>
      </c>
      <c r="L952" s="2">
        <f>TYPE(INDEX(,PERMUT(#REF!,OFFSET(INDEX(1,),,))))</f>
        <v>64</v>
      </c>
    </row>
    <row r="953" spans="1:12" x14ac:dyDescent="0.55000000000000004">
      <c r="A953" s="1" t="s">
        <v>1748</v>
      </c>
      <c r="B953" s="2">
        <f>COUNTIF(A:A,A953)-1</f>
        <v>3</v>
      </c>
      <c r="C953" s="2">
        <f>COUNTIF(A$1:A953,A953)-1</f>
        <v>0</v>
      </c>
      <c r="D953" s="2" t="str">
        <f t="shared" si="14"/>
        <v/>
      </c>
      <c r="E953" s="2"/>
      <c r="F953" s="2"/>
      <c r="H953" s="2"/>
      <c r="J953" s="2"/>
      <c r="L953" s="2"/>
    </row>
    <row r="954" spans="1:12" x14ac:dyDescent="0.55000000000000004">
      <c r="A954" s="1" t="s">
        <v>1748</v>
      </c>
      <c r="B954" s="2">
        <f>COUNTIF(A:A,A954)-1</f>
        <v>3</v>
      </c>
      <c r="C954" s="2">
        <f>COUNTIF(A$1:A954,A954)-1</f>
        <v>1</v>
      </c>
      <c r="D954" s="2" t="str">
        <f t="shared" si="14"/>
        <v>v</v>
      </c>
      <c r="E954" s="2"/>
      <c r="F954" s="2" t="e">
        <f>POISSON(+F954:G954,#REF!,#REF!)</f>
        <v>#REF!</v>
      </c>
      <c r="H954" s="2" t="e">
        <f>POISSON(H954:I954,#REF!,#REF!)</f>
        <v>#REF!</v>
      </c>
      <c r="J954" s="2" t="e">
        <f>POISSON(INDIRECT(J954:K954),#REF!,#REF!)</f>
        <v>#REF!</v>
      </c>
      <c r="L954" s="2">
        <f>TYPE(INDEX(,POISSON(OFFSET(INDEX(1,),,),#REF!,#REF!)))</f>
        <v>64</v>
      </c>
    </row>
    <row r="955" spans="1:12" x14ac:dyDescent="0.55000000000000004">
      <c r="A955" s="1" t="s">
        <v>1748</v>
      </c>
      <c r="B955" s="2">
        <f>COUNTIF(A:A,A955)-1</f>
        <v>3</v>
      </c>
      <c r="C955" s="2">
        <f>COUNTIF(A$1:A955,A955)-1</f>
        <v>2</v>
      </c>
      <c r="D955" s="2" t="str">
        <f t="shared" si="14"/>
        <v>v</v>
      </c>
      <c r="E955" s="2"/>
      <c r="F955" s="2" t="e">
        <f>POISSON(#REF!,+F955:G955,#REF!)</f>
        <v>#REF!</v>
      </c>
      <c r="H955" s="2" t="e">
        <f>POISSON(#REF!,H955:I955,#REF!)</f>
        <v>#REF!</v>
      </c>
      <c r="J955" s="2" t="e">
        <f>POISSON(#REF!,INDIRECT(J955:K955),#REF!)</f>
        <v>#REF!</v>
      </c>
      <c r="L955" s="2">
        <f>TYPE(INDEX(,POISSON(#REF!,OFFSET(INDEX(1,),,),#REF!)))</f>
        <v>64</v>
      </c>
    </row>
    <row r="956" spans="1:12" x14ac:dyDescent="0.55000000000000004">
      <c r="A956" s="1" t="s">
        <v>1748</v>
      </c>
      <c r="B956" s="2">
        <f>COUNTIF(A:A,A956)-1</f>
        <v>3</v>
      </c>
      <c r="C956" s="2">
        <f>COUNTIF(A$1:A956,A956)-1</f>
        <v>3</v>
      </c>
      <c r="D956" s="2" t="str">
        <f t="shared" si="14"/>
        <v>v</v>
      </c>
      <c r="E956" s="2" t="e">
        <f>POISSON(#REF!,#REF!,#REF!)</f>
        <v>#REF!</v>
      </c>
      <c r="F956" s="2" t="e">
        <f>POISSON(#REF!,#REF!,+F956:G956)</f>
        <v>#REF!</v>
      </c>
      <c r="H956" s="2" t="e">
        <f>POISSON(#REF!,#REF!,H956:I956)</f>
        <v>#REF!</v>
      </c>
      <c r="J956" s="2" t="e">
        <f>POISSON(#REF!,#REF!,INDIRECT(J956:K956))</f>
        <v>#REF!</v>
      </c>
      <c r="L956" s="2">
        <f>TYPE(INDEX(,POISSON(#REF!,#REF!,OFFSET(INDEX(1,),,))))</f>
        <v>64</v>
      </c>
    </row>
    <row r="957" spans="1:12" x14ac:dyDescent="0.55000000000000004">
      <c r="A957" s="1" t="s">
        <v>1749</v>
      </c>
      <c r="B957" s="2">
        <f>COUNTIF(A:A,A957)-1</f>
        <v>3</v>
      </c>
      <c r="C957" s="2">
        <f>COUNTIF(A$1:A957,A957)-1</f>
        <v>0</v>
      </c>
      <c r="D957" s="2" t="str">
        <f t="shared" si="14"/>
        <v/>
      </c>
      <c r="E957" s="2"/>
      <c r="F957" s="2"/>
      <c r="H957" s="2"/>
      <c r="J957" s="2"/>
      <c r="L957" s="2"/>
    </row>
    <row r="958" spans="1:12" x14ac:dyDescent="0.55000000000000004">
      <c r="A958" s="1" t="s">
        <v>1749</v>
      </c>
      <c r="B958" s="2">
        <f>COUNTIF(A:A,A958)-1</f>
        <v>3</v>
      </c>
      <c r="C958" s="2">
        <f>COUNTIF(A$1:A958,A958)-1</f>
        <v>1</v>
      </c>
      <c r="D958" s="2" t="str">
        <f t="shared" si="14"/>
        <v>v</v>
      </c>
      <c r="E958" s="2"/>
      <c r="F958" s="2" t="e">
        <f>TDIST(+F958:G958,#REF!,#REF!)</f>
        <v>#REF!</v>
      </c>
      <c r="H958" s="2" t="e">
        <f>TDIST(H958:I958,#REF!,#REF!)</f>
        <v>#REF!</v>
      </c>
      <c r="J958" s="2" t="e">
        <f>TDIST(INDIRECT(J958:K958),#REF!,#REF!)</f>
        <v>#REF!</v>
      </c>
      <c r="L958" s="2">
        <f>TYPE(INDEX(,TDIST(OFFSET(INDEX(1,),,),#REF!,#REF!)))</f>
        <v>64</v>
      </c>
    </row>
    <row r="959" spans="1:12" x14ac:dyDescent="0.55000000000000004">
      <c r="A959" s="1" t="s">
        <v>1749</v>
      </c>
      <c r="B959" s="2">
        <f>COUNTIF(A:A,A959)-1</f>
        <v>3</v>
      </c>
      <c r="C959" s="2">
        <f>COUNTIF(A$1:A959,A959)-1</f>
        <v>2</v>
      </c>
      <c r="D959" s="2" t="str">
        <f t="shared" si="14"/>
        <v>v</v>
      </c>
      <c r="E959" s="2"/>
      <c r="F959" s="2" t="e">
        <f>TDIST(#REF!,+F959:G959,#REF!)</f>
        <v>#REF!</v>
      </c>
      <c r="H959" s="2" t="e">
        <f>TDIST(#REF!,H959:I959,#REF!)</f>
        <v>#REF!</v>
      </c>
      <c r="J959" s="2" t="e">
        <f>TDIST(#REF!,INDIRECT(J959:K959),#REF!)</f>
        <v>#REF!</v>
      </c>
      <c r="L959" s="2">
        <f>TYPE(INDEX(,TDIST(#REF!,OFFSET(INDEX(1,),,),#REF!)))</f>
        <v>64</v>
      </c>
    </row>
    <row r="960" spans="1:12" x14ac:dyDescent="0.55000000000000004">
      <c r="A960" s="1" t="s">
        <v>1749</v>
      </c>
      <c r="B960" s="2">
        <f>COUNTIF(A:A,A960)-1</f>
        <v>3</v>
      </c>
      <c r="C960" s="2">
        <f>COUNTIF(A$1:A960,A960)-1</f>
        <v>3</v>
      </c>
      <c r="D960" s="2" t="str">
        <f t="shared" si="14"/>
        <v>v</v>
      </c>
      <c r="E960" s="2" t="e">
        <f>TDIST(#REF!,#REF!,#REF!)</f>
        <v>#REF!</v>
      </c>
      <c r="F960" s="2" t="e">
        <f>TDIST(#REF!,#REF!,+F960:G960)</f>
        <v>#REF!</v>
      </c>
      <c r="H960" s="2" t="e">
        <f>TDIST(#REF!,#REF!,H960:I960)</f>
        <v>#REF!</v>
      </c>
      <c r="J960" s="2" t="e">
        <f>TDIST(#REF!,#REF!,INDIRECT(J960:K960))</f>
        <v>#REF!</v>
      </c>
      <c r="L960" s="2">
        <f>TYPE(INDEX(,TDIST(#REF!,#REF!,OFFSET(INDEX(1,),,))))</f>
        <v>64</v>
      </c>
    </row>
    <row r="961" spans="1:12" x14ac:dyDescent="0.55000000000000004">
      <c r="A961" s="1" t="s">
        <v>1750</v>
      </c>
      <c r="B961" s="2">
        <f>COUNTIF(A:A,A961)-1</f>
        <v>4</v>
      </c>
      <c r="C961" s="2">
        <f>COUNTIF(A$1:A961,A961)-1</f>
        <v>0</v>
      </c>
      <c r="D961" s="2" t="str">
        <f t="shared" si="14"/>
        <v/>
      </c>
      <c r="E961" s="2"/>
      <c r="F961" s="2"/>
      <c r="H961" s="2"/>
      <c r="J961" s="2"/>
      <c r="L961" s="2"/>
    </row>
    <row r="962" spans="1:12" x14ac:dyDescent="0.55000000000000004">
      <c r="A962" s="1" t="s">
        <v>1750</v>
      </c>
      <c r="B962" s="2">
        <f>COUNTIF(A:A,A962)-1</f>
        <v>4</v>
      </c>
      <c r="C962" s="2">
        <f>COUNTIF(A$1:A962,A962)-1</f>
        <v>1</v>
      </c>
      <c r="D962" s="2" t="str">
        <f t="shared" ref="D962:D1025" si="15">IF(C962&gt;0,IF(COUNTA(F962:G962)=1,"v",)&amp;IF(L962=64,,"a")&amp;IF(COUNTA(I962,K962)=1,"r",),"")</f>
        <v>v</v>
      </c>
      <c r="E962" s="2"/>
      <c r="F962" s="2" t="e">
        <f>WEIBULL(+F962:G962,#REF!,#REF!,#REF!)</f>
        <v>#REF!</v>
      </c>
      <c r="H962" s="2" t="e">
        <f>WEIBULL(H962:I962,#REF!,#REF!,#REF!)</f>
        <v>#REF!</v>
      </c>
      <c r="J962" s="2" t="e">
        <f>WEIBULL(INDIRECT(J962:K962),#REF!,#REF!,#REF!)</f>
        <v>#REF!</v>
      </c>
      <c r="L962" s="2">
        <f>TYPE(INDEX(,WEIBULL(OFFSET(INDEX(1,),,),#REF!,#REF!,#REF!)))</f>
        <v>64</v>
      </c>
    </row>
    <row r="963" spans="1:12" x14ac:dyDescent="0.55000000000000004">
      <c r="A963" s="1" t="s">
        <v>1750</v>
      </c>
      <c r="B963" s="2">
        <f>COUNTIF(A:A,A963)-1</f>
        <v>4</v>
      </c>
      <c r="C963" s="2">
        <f>COUNTIF(A$1:A963,A963)-1</f>
        <v>2</v>
      </c>
      <c r="D963" s="2" t="str">
        <f t="shared" si="15"/>
        <v>v</v>
      </c>
      <c r="E963" s="2"/>
      <c r="F963" s="2" t="e">
        <f>WEIBULL(#REF!,+F963:G963,#REF!,#REF!)</f>
        <v>#REF!</v>
      </c>
      <c r="H963" s="2" t="e">
        <f>WEIBULL(#REF!,H963:I963,#REF!,#REF!)</f>
        <v>#REF!</v>
      </c>
      <c r="J963" s="2" t="e">
        <f>WEIBULL(#REF!,INDIRECT(J963:K963),#REF!,#REF!)</f>
        <v>#REF!</v>
      </c>
      <c r="L963" s="2">
        <f>TYPE(INDEX(,WEIBULL(#REF!,OFFSET(INDEX(1,),,),#REF!,#REF!)))</f>
        <v>64</v>
      </c>
    </row>
    <row r="964" spans="1:12" x14ac:dyDescent="0.55000000000000004">
      <c r="A964" s="1" t="s">
        <v>1750</v>
      </c>
      <c r="B964" s="2">
        <f>COUNTIF(A:A,A964)-1</f>
        <v>4</v>
      </c>
      <c r="C964" s="2">
        <f>COUNTIF(A$1:A964,A964)-1</f>
        <v>3</v>
      </c>
      <c r="D964" s="2" t="str">
        <f t="shared" si="15"/>
        <v>v</v>
      </c>
      <c r="E964" s="2"/>
      <c r="F964" s="2" t="e">
        <f>WEIBULL(#REF!,#REF!,+F964:G964,#REF!)</f>
        <v>#REF!</v>
      </c>
      <c r="H964" s="2" t="e">
        <f>WEIBULL(#REF!,#REF!,H964:I964,#REF!)</f>
        <v>#REF!</v>
      </c>
      <c r="J964" s="2" t="e">
        <f>WEIBULL(#REF!,#REF!,INDIRECT(J964:K964),#REF!)</f>
        <v>#REF!</v>
      </c>
      <c r="L964" s="2">
        <f>TYPE(INDEX(,WEIBULL(#REF!,#REF!,OFFSET(INDEX(1,),,),#REF!)))</f>
        <v>64</v>
      </c>
    </row>
    <row r="965" spans="1:12" x14ac:dyDescent="0.55000000000000004">
      <c r="A965" s="1" t="s">
        <v>1750</v>
      </c>
      <c r="B965" s="2">
        <f>COUNTIF(A:A,A965)-1</f>
        <v>4</v>
      </c>
      <c r="C965" s="2">
        <f>COUNTIF(A$1:A965,A965)-1</f>
        <v>4</v>
      </c>
      <c r="D965" s="2" t="str">
        <f t="shared" si="15"/>
        <v>v</v>
      </c>
      <c r="E965" s="2" t="e">
        <f>WEIBULL(#REF!,#REF!,#REF!,#REF!)</f>
        <v>#REF!</v>
      </c>
      <c r="F965" s="2" t="e">
        <f>WEIBULL(#REF!,#REF!,#REF!,+F965:G965)</f>
        <v>#REF!</v>
      </c>
      <c r="H965" s="2" t="e">
        <f>WEIBULL(#REF!,#REF!,#REF!,H965:I965)</f>
        <v>#REF!</v>
      </c>
      <c r="J965" s="2" t="e">
        <f>WEIBULL(#REF!,#REF!,#REF!,INDIRECT(J965:K965))</f>
        <v>#REF!</v>
      </c>
      <c r="L965" s="2">
        <f>TYPE(INDEX(,WEIBULL(#REF!,#REF!,#REF!,OFFSET(INDEX(1,),,))))</f>
        <v>64</v>
      </c>
    </row>
    <row r="966" spans="1:12" x14ac:dyDescent="0.55000000000000004">
      <c r="A966" s="1" t="s">
        <v>1751</v>
      </c>
      <c r="B966" s="2">
        <f>COUNTIF(A:A,A966)-1</f>
        <v>2</v>
      </c>
      <c r="C966" s="2">
        <f>COUNTIF(A$1:A966,A966)-1</f>
        <v>0</v>
      </c>
      <c r="D966" s="2" t="str">
        <f t="shared" si="15"/>
        <v/>
      </c>
      <c r="E966" s="2"/>
      <c r="F966" s="2"/>
      <c r="H966" s="2"/>
      <c r="J966" s="2"/>
      <c r="L966" s="2"/>
    </row>
    <row r="967" spans="1:12" x14ac:dyDescent="0.55000000000000004">
      <c r="A967" s="1" t="s">
        <v>1751</v>
      </c>
      <c r="B967" s="2">
        <f>COUNTIF(A:A,A967)-1</f>
        <v>2</v>
      </c>
      <c r="C967" s="2">
        <f>COUNTIF(A$1:A967,A967)-1</f>
        <v>1</v>
      </c>
      <c r="D967" s="2" t="str">
        <f t="shared" si="15"/>
        <v>a</v>
      </c>
      <c r="E967" s="2"/>
      <c r="F967" s="2" t="e">
        <f>SUMXMY2(+F967:G967,#REF!)</f>
        <v>#REF!</v>
      </c>
      <c r="G967" s="1">
        <v>1</v>
      </c>
      <c r="H967" s="2" t="e">
        <f>SUMXMY2(H967:I967,#REF!)</f>
        <v>#REF!</v>
      </c>
      <c r="I967" s="1">
        <v>1</v>
      </c>
      <c r="J967" s="2" t="e">
        <f>SUMXMY2(INDIRECT(J967:K967),#REF!)</f>
        <v>#REF!</v>
      </c>
      <c r="K967" s="1">
        <v>1</v>
      </c>
      <c r="L967" s="2">
        <f>TYPE(INDEX(,SUMXMY2(OFFSET(INDEX(1,),,),#REF!)))</f>
        <v>16</v>
      </c>
    </row>
    <row r="968" spans="1:12" x14ac:dyDescent="0.55000000000000004">
      <c r="A968" s="1" t="s">
        <v>1751</v>
      </c>
      <c r="B968" s="2">
        <f>COUNTIF(A:A,A968)-1</f>
        <v>2</v>
      </c>
      <c r="C968" s="2">
        <f>COUNTIF(A$1:A968,A968)-1</f>
        <v>2</v>
      </c>
      <c r="D968" s="2" t="str">
        <f t="shared" si="15"/>
        <v>a</v>
      </c>
      <c r="E968" s="2" t="e">
        <f>SUMXMY2(#REF!,#REF!)</f>
        <v>#REF!</v>
      </c>
      <c r="F968" s="2" t="e">
        <f>SUMXMY2(#REF!,+F968:G968)</f>
        <v>#REF!</v>
      </c>
      <c r="G968" s="1">
        <v>1</v>
      </c>
      <c r="H968" s="2" t="e">
        <f>SUMXMY2(#REF!,H968:I968)</f>
        <v>#REF!</v>
      </c>
      <c r="I968" s="1">
        <v>1</v>
      </c>
      <c r="J968" s="2" t="e">
        <f>SUMXMY2(#REF!,INDIRECT(J968:K968))</f>
        <v>#REF!</v>
      </c>
      <c r="K968" s="1">
        <v>1</v>
      </c>
      <c r="L968" s="2">
        <f>TYPE(INDEX(,SUMXMY2(#REF!,OFFSET(INDEX(1,),,))))</f>
        <v>16</v>
      </c>
    </row>
    <row r="969" spans="1:12" x14ac:dyDescent="0.55000000000000004">
      <c r="A969" s="1" t="s">
        <v>2055</v>
      </c>
      <c r="B969" s="2">
        <f>COUNTIF(A:A,A969)-1</f>
        <v>2</v>
      </c>
      <c r="C969" s="2">
        <f>COUNTIF(A$1:A969,A969)-1</f>
        <v>0</v>
      </c>
      <c r="D969" s="2" t="str">
        <f t="shared" si="15"/>
        <v/>
      </c>
      <c r="E969" s="2"/>
      <c r="F969" s="2"/>
      <c r="H969" s="2"/>
      <c r="J969" s="2"/>
      <c r="L969" s="2"/>
    </row>
    <row r="970" spans="1:12" x14ac:dyDescent="0.55000000000000004">
      <c r="A970" s="1" t="s">
        <v>2055</v>
      </c>
      <c r="B970" s="2">
        <f>COUNTIF(A:A,A970)-1</f>
        <v>2</v>
      </c>
      <c r="C970" s="2">
        <f>COUNTIF(A$1:A970,A970)-1</f>
        <v>1</v>
      </c>
      <c r="D970" s="2" t="str">
        <f t="shared" si="15"/>
        <v>a</v>
      </c>
      <c r="E970" s="2"/>
      <c r="F970" s="2" t="e">
        <f>SUMX2MY2(+F970:G970,#REF!)</f>
        <v>#REF!</v>
      </c>
      <c r="G970" s="1">
        <v>1</v>
      </c>
      <c r="H970" s="2" t="e">
        <f>SUMX2MY2(H970:I970,#REF!)</f>
        <v>#REF!</v>
      </c>
      <c r="I970" s="1">
        <v>1</v>
      </c>
      <c r="J970" s="2" t="e">
        <f>SUMX2MY2(INDIRECT(J970:K970),#REF!)</f>
        <v>#REF!</v>
      </c>
      <c r="K970" s="1">
        <v>1</v>
      </c>
      <c r="L970" s="2">
        <f>TYPE(INDEX(,SUMX2MY2(OFFSET(INDEX(1,),,),#REF!)))</f>
        <v>16</v>
      </c>
    </row>
    <row r="971" spans="1:12" x14ac:dyDescent="0.55000000000000004">
      <c r="A971" s="1" t="s">
        <v>2055</v>
      </c>
      <c r="B971" s="2">
        <f>COUNTIF(A:A,A971)-1</f>
        <v>2</v>
      </c>
      <c r="C971" s="2">
        <f>COUNTIF(A$1:A971,A971)-1</f>
        <v>2</v>
      </c>
      <c r="D971" s="2" t="str">
        <f t="shared" si="15"/>
        <v>a</v>
      </c>
      <c r="E971" s="2" t="e">
        <f>SUMX2MY2(#REF!,#REF!)</f>
        <v>#REF!</v>
      </c>
      <c r="F971" s="2" t="e">
        <f>SUMX2MY2(#REF!,+F971:G971)</f>
        <v>#REF!</v>
      </c>
      <c r="G971" s="1">
        <v>1</v>
      </c>
      <c r="H971" s="2" t="e">
        <f>SUMX2MY2(#REF!,H971:I971)</f>
        <v>#REF!</v>
      </c>
      <c r="I971" s="1">
        <v>1</v>
      </c>
      <c r="J971" s="2" t="e">
        <f>SUMX2MY2(#REF!,INDIRECT(J971:K971))</f>
        <v>#REF!</v>
      </c>
      <c r="K971" s="1">
        <v>1</v>
      </c>
      <c r="L971" s="2">
        <f>TYPE(INDEX(,SUMX2MY2(#REF!,OFFSET(INDEX(1,),,))))</f>
        <v>16</v>
      </c>
    </row>
    <row r="972" spans="1:12" x14ac:dyDescent="0.55000000000000004">
      <c r="A972" s="1" t="s">
        <v>2056</v>
      </c>
      <c r="B972" s="2">
        <f>COUNTIF(A:A,A972)-1</f>
        <v>2</v>
      </c>
      <c r="C972" s="2">
        <f>COUNTIF(A$1:A972,A972)-1</f>
        <v>0</v>
      </c>
      <c r="D972" s="2" t="str">
        <f t="shared" si="15"/>
        <v/>
      </c>
      <c r="E972" s="2"/>
      <c r="F972" s="2"/>
      <c r="H972" s="2"/>
      <c r="J972" s="2"/>
      <c r="L972" s="2"/>
    </row>
    <row r="973" spans="1:12" x14ac:dyDescent="0.55000000000000004">
      <c r="A973" s="1" t="s">
        <v>2056</v>
      </c>
      <c r="B973" s="2">
        <f>COUNTIF(A:A,A973)-1</f>
        <v>2</v>
      </c>
      <c r="C973" s="2">
        <f>COUNTIF(A$1:A973,A973)-1</f>
        <v>1</v>
      </c>
      <c r="D973" s="2" t="str">
        <f t="shared" si="15"/>
        <v>a</v>
      </c>
      <c r="E973" s="2"/>
      <c r="F973" s="2" t="e">
        <f>SUMX2PY2(+F973:G973,#REF!)</f>
        <v>#REF!</v>
      </c>
      <c r="G973" s="1">
        <v>1</v>
      </c>
      <c r="H973" s="2" t="e">
        <f>SUMX2PY2(H973:I973,#REF!)</f>
        <v>#REF!</v>
      </c>
      <c r="I973" s="1">
        <v>1</v>
      </c>
      <c r="J973" s="2" t="e">
        <f>SUMX2PY2(INDIRECT(J973:K973),#REF!)</f>
        <v>#REF!</v>
      </c>
      <c r="K973" s="1">
        <v>1</v>
      </c>
      <c r="L973" s="2">
        <f>TYPE(INDEX(,SUMX2PY2(OFFSET(INDEX(1,),,),#REF!)))</f>
        <v>16</v>
      </c>
    </row>
    <row r="974" spans="1:12" x14ac:dyDescent="0.55000000000000004">
      <c r="A974" s="1" t="s">
        <v>2056</v>
      </c>
      <c r="B974" s="2">
        <f>COUNTIF(A:A,A974)-1</f>
        <v>2</v>
      </c>
      <c r="C974" s="2">
        <f>COUNTIF(A$1:A974,A974)-1</f>
        <v>2</v>
      </c>
      <c r="D974" s="2" t="str">
        <f t="shared" si="15"/>
        <v>a</v>
      </c>
      <c r="E974" s="2" t="e">
        <f>SUMX2PY2(#REF!,#REF!)</f>
        <v>#REF!</v>
      </c>
      <c r="F974" s="2" t="e">
        <f>SUMX2PY2(#REF!,+F974:G974)</f>
        <v>#REF!</v>
      </c>
      <c r="G974" s="1">
        <v>1</v>
      </c>
      <c r="H974" s="2" t="e">
        <f>SUMX2PY2(#REF!,H974:I974)</f>
        <v>#REF!</v>
      </c>
      <c r="I974" s="1">
        <v>1</v>
      </c>
      <c r="J974" s="2" t="e">
        <f>SUMX2PY2(#REF!,INDIRECT(J974:K974))</f>
        <v>#REF!</v>
      </c>
      <c r="K974" s="1">
        <v>1</v>
      </c>
      <c r="L974" s="2">
        <f>TYPE(INDEX(,SUMX2PY2(#REF!,OFFSET(INDEX(1,),,))))</f>
        <v>16</v>
      </c>
    </row>
    <row r="975" spans="1:12" x14ac:dyDescent="0.55000000000000004">
      <c r="A975" s="1" t="s">
        <v>1752</v>
      </c>
      <c r="B975" s="2">
        <f>COUNTIF(A:A,A975)-1</f>
        <v>2</v>
      </c>
      <c r="C975" s="2">
        <f>COUNTIF(A$1:A975,A975)-1</f>
        <v>0</v>
      </c>
      <c r="D975" s="2" t="str">
        <f t="shared" si="15"/>
        <v/>
      </c>
      <c r="E975" s="2"/>
      <c r="F975" s="2"/>
      <c r="H975" s="2"/>
      <c r="J975" s="2"/>
      <c r="L975" s="2"/>
    </row>
    <row r="976" spans="1:12" x14ac:dyDescent="0.55000000000000004">
      <c r="A976" s="1" t="s">
        <v>1752</v>
      </c>
      <c r="B976" s="2">
        <f>COUNTIF(A:A,A976)-1</f>
        <v>2</v>
      </c>
      <c r="C976" s="2">
        <f>COUNTIF(A$1:A976,A976)-1</f>
        <v>1</v>
      </c>
      <c r="D976" s="2" t="str">
        <f t="shared" si="15"/>
        <v>a</v>
      </c>
      <c r="E976" s="2"/>
      <c r="F976" s="2" t="e">
        <f>CHITEST(+F976:G976,#REF!)</f>
        <v>#REF!</v>
      </c>
      <c r="G976" s="1">
        <v>1</v>
      </c>
      <c r="H976" s="2" t="e">
        <f>CHITEST(H976:I976,#REF!)</f>
        <v>#REF!</v>
      </c>
      <c r="I976" s="1">
        <v>1</v>
      </c>
      <c r="J976" s="2" t="e">
        <f>CHITEST(INDIRECT(J976:K976),#REF!)</f>
        <v>#REF!</v>
      </c>
      <c r="K976" s="1">
        <v>1</v>
      </c>
      <c r="L976" s="2">
        <f>TYPE(INDEX(,CHITEST(OFFSET(INDEX(1,),,),#REF!)))</f>
        <v>16</v>
      </c>
    </row>
    <row r="977" spans="1:12" x14ac:dyDescent="0.55000000000000004">
      <c r="A977" s="1" t="s">
        <v>1752</v>
      </c>
      <c r="B977" s="2">
        <f>COUNTIF(A:A,A977)-1</f>
        <v>2</v>
      </c>
      <c r="C977" s="2">
        <f>COUNTIF(A$1:A977,A977)-1</f>
        <v>2</v>
      </c>
      <c r="D977" s="2" t="str">
        <f t="shared" si="15"/>
        <v>a</v>
      </c>
      <c r="E977" s="2" t="e">
        <f>CHITEST(#REF!,#REF!)</f>
        <v>#REF!</v>
      </c>
      <c r="F977" s="2" t="e">
        <f>CHITEST(#REF!,+F977:G977)</f>
        <v>#REF!</v>
      </c>
      <c r="G977" s="1">
        <v>1</v>
      </c>
      <c r="H977" s="2" t="e">
        <f>CHITEST(#REF!,H977:I977)</f>
        <v>#REF!</v>
      </c>
      <c r="I977" s="1">
        <v>1</v>
      </c>
      <c r="J977" s="2" t="e">
        <f>CHITEST(#REF!,INDIRECT(J977:K977))</f>
        <v>#REF!</v>
      </c>
      <c r="K977" s="1">
        <v>1</v>
      </c>
      <c r="L977" s="2">
        <f>TYPE(INDEX(,CHITEST(#REF!,OFFSET(INDEX(1,),,))))</f>
        <v>16</v>
      </c>
    </row>
    <row r="978" spans="1:12" x14ac:dyDescent="0.55000000000000004">
      <c r="A978" s="1" t="s">
        <v>1753</v>
      </c>
      <c r="B978" s="2">
        <f>COUNTIF(A:A,A978)-1</f>
        <v>2</v>
      </c>
      <c r="C978" s="2">
        <f>COUNTIF(A$1:A978,A978)-1</f>
        <v>0</v>
      </c>
      <c r="D978" s="2" t="str">
        <f t="shared" si="15"/>
        <v/>
      </c>
      <c r="E978" s="2"/>
      <c r="F978" s="2"/>
      <c r="H978" s="2"/>
      <c r="J978" s="2"/>
      <c r="L978" s="2"/>
    </row>
    <row r="979" spans="1:12" x14ac:dyDescent="0.55000000000000004">
      <c r="A979" s="1" t="s">
        <v>1753</v>
      </c>
      <c r="B979" s="2">
        <f>COUNTIF(A:A,A979)-1</f>
        <v>2</v>
      </c>
      <c r="C979" s="2">
        <f>COUNTIF(A$1:A979,A979)-1</f>
        <v>1</v>
      </c>
      <c r="D979" s="2" t="str">
        <f t="shared" si="15"/>
        <v>a</v>
      </c>
      <c r="E979" s="2"/>
      <c r="F979" s="2" t="e">
        <f>CORREL(+F979:G979,#REF!)</f>
        <v>#REF!</v>
      </c>
      <c r="G979" s="1">
        <v>1</v>
      </c>
      <c r="H979" s="2" t="e">
        <f>CORREL(H979:I979,#REF!)</f>
        <v>#REF!</v>
      </c>
      <c r="I979" s="1">
        <v>1</v>
      </c>
      <c r="J979" s="2" t="e">
        <f>CORREL(INDIRECT(J979:K979),#REF!)</f>
        <v>#REF!</v>
      </c>
      <c r="K979" s="1">
        <v>1</v>
      </c>
      <c r="L979" s="2">
        <f>TYPE(INDEX(,CORREL(OFFSET(INDEX(1,),,),#REF!)))</f>
        <v>16</v>
      </c>
    </row>
    <row r="980" spans="1:12" x14ac:dyDescent="0.55000000000000004">
      <c r="A980" s="1" t="s">
        <v>1753</v>
      </c>
      <c r="B980" s="2">
        <f>COUNTIF(A:A,A980)-1</f>
        <v>2</v>
      </c>
      <c r="C980" s="2">
        <f>COUNTIF(A$1:A980,A980)-1</f>
        <v>2</v>
      </c>
      <c r="D980" s="2" t="str">
        <f t="shared" si="15"/>
        <v>a</v>
      </c>
      <c r="E980" s="2" t="e">
        <f>CORREL(#REF!,#REF!)</f>
        <v>#REF!</v>
      </c>
      <c r="F980" s="2" t="e">
        <f>CORREL(#REF!,+F980:G980)</f>
        <v>#REF!</v>
      </c>
      <c r="G980" s="1">
        <v>1</v>
      </c>
      <c r="H980" s="2" t="e">
        <f>CORREL(#REF!,H980:I980)</f>
        <v>#REF!</v>
      </c>
      <c r="I980" s="1">
        <v>1</v>
      </c>
      <c r="J980" s="2" t="e">
        <f>CORREL(#REF!,INDIRECT(J980:K980))</f>
        <v>#REF!</v>
      </c>
      <c r="K980" s="1">
        <v>1</v>
      </c>
      <c r="L980" s="2">
        <f>TYPE(INDEX(,CORREL(#REF!,OFFSET(INDEX(1,),,))))</f>
        <v>16</v>
      </c>
    </row>
    <row r="981" spans="1:12" x14ac:dyDescent="0.55000000000000004">
      <c r="A981" s="1" t="s">
        <v>1754</v>
      </c>
      <c r="B981" s="2">
        <f>COUNTIF(A:A,A981)-1</f>
        <v>2</v>
      </c>
      <c r="C981" s="2">
        <f>COUNTIF(A$1:A981,A981)-1</f>
        <v>0</v>
      </c>
      <c r="D981" s="2" t="str">
        <f t="shared" si="15"/>
        <v/>
      </c>
      <c r="E981" s="2"/>
      <c r="F981" s="2"/>
      <c r="H981" s="2"/>
      <c r="J981" s="2"/>
      <c r="L981" s="2"/>
    </row>
    <row r="982" spans="1:12" x14ac:dyDescent="0.55000000000000004">
      <c r="A982" s="1" t="s">
        <v>1754</v>
      </c>
      <c r="B982" s="2">
        <f>COUNTIF(A:A,A982)-1</f>
        <v>2</v>
      </c>
      <c r="C982" s="2">
        <f>COUNTIF(A$1:A982,A982)-1</f>
        <v>1</v>
      </c>
      <c r="D982" s="2" t="str">
        <f t="shared" si="15"/>
        <v>a</v>
      </c>
      <c r="E982" s="2"/>
      <c r="F982" s="2" t="e">
        <f>COVAR(+F982:G982,#REF!)</f>
        <v>#REF!</v>
      </c>
      <c r="G982" s="1">
        <v>1</v>
      </c>
      <c r="H982" s="2" t="e">
        <f>COVAR(H982:I982,#REF!)</f>
        <v>#REF!</v>
      </c>
      <c r="I982" s="1">
        <v>1</v>
      </c>
      <c r="J982" s="2" t="e">
        <f>COVAR(INDIRECT(J982:K982),#REF!)</f>
        <v>#REF!</v>
      </c>
      <c r="K982" s="1">
        <v>1</v>
      </c>
      <c r="L982" s="2">
        <f>TYPE(INDEX(,COVAR(OFFSET(INDEX(1,),,),#REF!)))</f>
        <v>16</v>
      </c>
    </row>
    <row r="983" spans="1:12" x14ac:dyDescent="0.55000000000000004">
      <c r="A983" s="1" t="s">
        <v>1754</v>
      </c>
      <c r="B983" s="2">
        <f>COUNTIF(A:A,A983)-1</f>
        <v>2</v>
      </c>
      <c r="C983" s="2">
        <f>COUNTIF(A$1:A983,A983)-1</f>
        <v>2</v>
      </c>
      <c r="D983" s="2" t="str">
        <f t="shared" si="15"/>
        <v>a</v>
      </c>
      <c r="E983" s="2" t="e">
        <f>COVAR(#REF!,#REF!)</f>
        <v>#REF!</v>
      </c>
      <c r="F983" s="2" t="e">
        <f>COVAR(#REF!,+F983:G983)</f>
        <v>#REF!</v>
      </c>
      <c r="G983" s="1">
        <v>1</v>
      </c>
      <c r="H983" s="2" t="e">
        <f>COVAR(#REF!,H983:I983)</f>
        <v>#REF!</v>
      </c>
      <c r="I983" s="1">
        <v>1</v>
      </c>
      <c r="J983" s="2" t="e">
        <f>COVAR(#REF!,INDIRECT(J983:K983))</f>
        <v>#REF!</v>
      </c>
      <c r="K983" s="1">
        <v>1</v>
      </c>
      <c r="L983" s="2">
        <f>TYPE(INDEX(,COVAR(#REF!,OFFSET(INDEX(1,),,))))</f>
        <v>16</v>
      </c>
    </row>
    <row r="984" spans="1:12" x14ac:dyDescent="0.55000000000000004">
      <c r="A984" s="1" t="s">
        <v>1755</v>
      </c>
      <c r="B984" s="2">
        <f>COUNTIF(A:A,A984)-1</f>
        <v>3</v>
      </c>
      <c r="C984" s="2">
        <f>COUNTIF(A$1:A984,A984)-1</f>
        <v>0</v>
      </c>
      <c r="D984" s="2" t="str">
        <f t="shared" si="15"/>
        <v/>
      </c>
      <c r="E984" s="2"/>
      <c r="F984" s="2"/>
      <c r="H984" s="2"/>
      <c r="J984" s="2"/>
      <c r="L984" s="2"/>
    </row>
    <row r="985" spans="1:12" x14ac:dyDescent="0.55000000000000004">
      <c r="A985" s="1" t="s">
        <v>1755</v>
      </c>
      <c r="B985" s="2">
        <f>COUNTIF(A:A,A985)-1</f>
        <v>3</v>
      </c>
      <c r="C985" s="2">
        <f>COUNTIF(A$1:A985,A985)-1</f>
        <v>1</v>
      </c>
      <c r="D985" s="2" t="str">
        <f t="shared" si="15"/>
        <v>v</v>
      </c>
      <c r="E985" s="2"/>
      <c r="F985" s="2" t="e">
        <f>FORECAST(+F985:G985,#REF!,#REF!)</f>
        <v>#REF!</v>
      </c>
      <c r="H985" s="2" t="e">
        <f>FORECAST(H985:I985,#REF!,#REF!)</f>
        <v>#REF!</v>
      </c>
      <c r="J985" s="2" t="e">
        <f>FORECAST(INDIRECT(J985:K985),#REF!,#REF!)</f>
        <v>#REF!</v>
      </c>
      <c r="L985" s="2">
        <f>TYPE(INDEX(,FORECAST(OFFSET(INDEX(1,),,),#REF!,#REF!)))</f>
        <v>64</v>
      </c>
    </row>
    <row r="986" spans="1:12" x14ac:dyDescent="0.55000000000000004">
      <c r="A986" s="1" t="s">
        <v>1755</v>
      </c>
      <c r="B986" s="2">
        <f>COUNTIF(A:A,A986)-1</f>
        <v>3</v>
      </c>
      <c r="C986" s="2">
        <f>COUNTIF(A$1:A986,A986)-1</f>
        <v>2</v>
      </c>
      <c r="D986" s="2" t="str">
        <f t="shared" si="15"/>
        <v>a</v>
      </c>
      <c r="E986" s="2"/>
      <c r="F986" s="2" t="e">
        <f>FORECAST(#REF!,+F986:G986,#REF!)</f>
        <v>#REF!</v>
      </c>
      <c r="G986" s="1">
        <v>1</v>
      </c>
      <c r="H986" s="2" t="e">
        <f>FORECAST(#REF!,H986:I986,#REF!)</f>
        <v>#REF!</v>
      </c>
      <c r="I986" s="1">
        <v>1</v>
      </c>
      <c r="J986" s="2" t="e">
        <f>FORECAST(#REF!,INDIRECT(J986:K986),#REF!)</f>
        <v>#REF!</v>
      </c>
      <c r="K986" s="1">
        <v>1</v>
      </c>
      <c r="L986" s="2">
        <f>TYPE(INDEX(,FORECAST(#REF!,OFFSET(INDEX(1,),,),#REF!)))</f>
        <v>16</v>
      </c>
    </row>
    <row r="987" spans="1:12" x14ac:dyDescent="0.55000000000000004">
      <c r="A987" s="1" t="s">
        <v>1755</v>
      </c>
      <c r="B987" s="2">
        <f>COUNTIF(A:A,A987)-1</f>
        <v>3</v>
      </c>
      <c r="C987" s="2">
        <f>COUNTIF(A$1:A987,A987)-1</f>
        <v>3</v>
      </c>
      <c r="D987" s="2" t="str">
        <f t="shared" si="15"/>
        <v>a</v>
      </c>
      <c r="E987" s="2" t="e">
        <f>FORECAST(#REF!,#REF!,#REF!)</f>
        <v>#REF!</v>
      </c>
      <c r="F987" s="2" t="e">
        <f>FORECAST(#REF!,#REF!,+F987:G987)</f>
        <v>#REF!</v>
      </c>
      <c r="G987" s="1">
        <v>1</v>
      </c>
      <c r="H987" s="2" t="e">
        <f>FORECAST(#REF!,#REF!,H987:I987)</f>
        <v>#REF!</v>
      </c>
      <c r="I987" s="1">
        <v>1</v>
      </c>
      <c r="J987" s="2" t="e">
        <f>FORECAST(#REF!,#REF!,INDIRECT(J987:K987))</f>
        <v>#REF!</v>
      </c>
      <c r="K987" s="1">
        <v>1</v>
      </c>
      <c r="L987" s="2">
        <f>TYPE(INDEX(,FORECAST(#REF!,#REF!,OFFSET(INDEX(1,),,))))</f>
        <v>16</v>
      </c>
    </row>
    <row r="988" spans="1:12" x14ac:dyDescent="0.55000000000000004">
      <c r="A988" s="1" t="s">
        <v>1756</v>
      </c>
      <c r="B988" s="2">
        <f>COUNTIF(A:A,A988)-1</f>
        <v>2</v>
      </c>
      <c r="C988" s="2">
        <f>COUNTIF(A$1:A988,A988)-1</f>
        <v>0</v>
      </c>
      <c r="D988" s="2" t="str">
        <f t="shared" si="15"/>
        <v/>
      </c>
      <c r="E988" s="2"/>
      <c r="F988" s="2"/>
      <c r="H988" s="2"/>
      <c r="J988" s="2"/>
      <c r="L988" s="2"/>
    </row>
    <row r="989" spans="1:12" x14ac:dyDescent="0.55000000000000004">
      <c r="A989" s="1" t="s">
        <v>1756</v>
      </c>
      <c r="B989" s="2">
        <f>COUNTIF(A:A,A989)-1</f>
        <v>2</v>
      </c>
      <c r="C989" s="2">
        <f>COUNTIF(A$1:A989,A989)-1</f>
        <v>1</v>
      </c>
      <c r="D989" s="2" t="str">
        <f t="shared" si="15"/>
        <v>a</v>
      </c>
      <c r="E989" s="2"/>
      <c r="F989" s="2" t="e">
        <f>FTEST(+F989:G989,#REF!)</f>
        <v>#REF!</v>
      </c>
      <c r="G989" s="1">
        <v>1</v>
      </c>
      <c r="H989" s="2" t="e">
        <f>FTEST(H989:I989,#REF!)</f>
        <v>#REF!</v>
      </c>
      <c r="I989" s="1">
        <v>1</v>
      </c>
      <c r="J989" s="2" t="e">
        <f>FTEST(INDIRECT(J989:K989),#REF!)</f>
        <v>#REF!</v>
      </c>
      <c r="K989" s="1">
        <v>1</v>
      </c>
      <c r="L989" s="2">
        <f>TYPE(INDEX(,FTEST(OFFSET(INDEX(1,),,),#REF!)))</f>
        <v>16</v>
      </c>
    </row>
    <row r="990" spans="1:12" x14ac:dyDescent="0.55000000000000004">
      <c r="A990" s="1" t="s">
        <v>1756</v>
      </c>
      <c r="B990" s="2">
        <f>COUNTIF(A:A,A990)-1</f>
        <v>2</v>
      </c>
      <c r="C990" s="2">
        <f>COUNTIF(A$1:A990,A990)-1</f>
        <v>2</v>
      </c>
      <c r="D990" s="2" t="str">
        <f t="shared" si="15"/>
        <v>a</v>
      </c>
      <c r="E990" s="2" t="e">
        <f>FTEST(#REF!,#REF!)</f>
        <v>#REF!</v>
      </c>
      <c r="F990" s="2" t="e">
        <f>FTEST(#REF!,+F990:G990)</f>
        <v>#REF!</v>
      </c>
      <c r="G990" s="1">
        <v>1</v>
      </c>
      <c r="H990" s="2" t="e">
        <f>FTEST(#REF!,H990:I990)</f>
        <v>#REF!</v>
      </c>
      <c r="I990" s="1">
        <v>1</v>
      </c>
      <c r="J990" s="2" t="e">
        <f>FTEST(#REF!,INDIRECT(J990:K990))</f>
        <v>#REF!</v>
      </c>
      <c r="K990" s="1">
        <v>1</v>
      </c>
      <c r="L990" s="2">
        <f>TYPE(INDEX(,FTEST(#REF!,OFFSET(INDEX(1,),,))))</f>
        <v>16</v>
      </c>
    </row>
    <row r="991" spans="1:12" x14ac:dyDescent="0.55000000000000004">
      <c r="A991" s="1" t="s">
        <v>1757</v>
      </c>
      <c r="B991" s="2">
        <f>COUNTIF(A:A,A991)-1</f>
        <v>2</v>
      </c>
      <c r="C991" s="2">
        <f>COUNTIF(A$1:A991,A991)-1</f>
        <v>0</v>
      </c>
      <c r="D991" s="2" t="str">
        <f t="shared" si="15"/>
        <v/>
      </c>
      <c r="E991" s="2"/>
      <c r="F991" s="2"/>
      <c r="H991" s="2"/>
      <c r="J991" s="2"/>
      <c r="L991" s="2"/>
    </row>
    <row r="992" spans="1:12" x14ac:dyDescent="0.55000000000000004">
      <c r="A992" s="1" t="s">
        <v>1757</v>
      </c>
      <c r="B992" s="2">
        <f>COUNTIF(A:A,A992)-1</f>
        <v>2</v>
      </c>
      <c r="C992" s="2">
        <f>COUNTIF(A$1:A992,A992)-1</f>
        <v>1</v>
      </c>
      <c r="D992" s="2" t="str">
        <f t="shared" si="15"/>
        <v>a</v>
      </c>
      <c r="E992" s="2"/>
      <c r="F992" s="2" t="e">
        <f>INTERCEPT(+F992:G992,#REF!)</f>
        <v>#REF!</v>
      </c>
      <c r="G992" s="1">
        <v>1</v>
      </c>
      <c r="H992" s="2" t="e">
        <f>INTERCEPT(H992:I992,#REF!)</f>
        <v>#REF!</v>
      </c>
      <c r="I992" s="1">
        <v>1</v>
      </c>
      <c r="J992" s="2" t="e">
        <f>INTERCEPT(INDIRECT(J992:K992),#REF!)</f>
        <v>#REF!</v>
      </c>
      <c r="K992" s="1">
        <v>1</v>
      </c>
      <c r="L992" s="2">
        <f>TYPE(INDEX(,INTERCEPT(OFFSET(INDEX(1,),,),#REF!)))</f>
        <v>16</v>
      </c>
    </row>
    <row r="993" spans="1:12" x14ac:dyDescent="0.55000000000000004">
      <c r="A993" s="1" t="s">
        <v>1757</v>
      </c>
      <c r="B993" s="2">
        <f>COUNTIF(A:A,A993)-1</f>
        <v>2</v>
      </c>
      <c r="C993" s="2">
        <f>COUNTIF(A$1:A993,A993)-1</f>
        <v>2</v>
      </c>
      <c r="D993" s="2" t="str">
        <f t="shared" si="15"/>
        <v>a</v>
      </c>
      <c r="E993" s="2" t="e">
        <f>INTERCEPT(#REF!,#REF!)</f>
        <v>#REF!</v>
      </c>
      <c r="F993" s="2" t="e">
        <f>INTERCEPT(#REF!,+F993:G993)</f>
        <v>#REF!</v>
      </c>
      <c r="G993" s="1">
        <v>1</v>
      </c>
      <c r="H993" s="2" t="e">
        <f>INTERCEPT(#REF!,H993:I993)</f>
        <v>#REF!</v>
      </c>
      <c r="I993" s="1">
        <v>1</v>
      </c>
      <c r="J993" s="2" t="e">
        <f>INTERCEPT(#REF!,INDIRECT(J993:K993))</f>
        <v>#REF!</v>
      </c>
      <c r="K993" s="1">
        <v>1</v>
      </c>
      <c r="L993" s="2">
        <f>TYPE(INDEX(,INTERCEPT(#REF!,OFFSET(INDEX(1,),,))))</f>
        <v>16</v>
      </c>
    </row>
    <row r="994" spans="1:12" x14ac:dyDescent="0.55000000000000004">
      <c r="A994" s="1" t="s">
        <v>1758</v>
      </c>
      <c r="B994" s="2">
        <f>COUNTIF(A:A,A994)-1</f>
        <v>2</v>
      </c>
      <c r="C994" s="2">
        <f>COUNTIF(A$1:A994,A994)-1</f>
        <v>0</v>
      </c>
      <c r="D994" s="2" t="str">
        <f t="shared" si="15"/>
        <v/>
      </c>
      <c r="E994" s="2"/>
      <c r="F994" s="2"/>
      <c r="H994" s="2"/>
      <c r="J994" s="2"/>
      <c r="L994" s="2"/>
    </row>
    <row r="995" spans="1:12" x14ac:dyDescent="0.55000000000000004">
      <c r="A995" s="1" t="s">
        <v>1758</v>
      </c>
      <c r="B995" s="2">
        <f>COUNTIF(A:A,A995)-1</f>
        <v>2</v>
      </c>
      <c r="C995" s="2">
        <f>COUNTIF(A$1:A995,A995)-1</f>
        <v>1</v>
      </c>
      <c r="D995" s="2" t="str">
        <f t="shared" si="15"/>
        <v>a</v>
      </c>
      <c r="E995" s="2"/>
      <c r="F995" s="2" t="e">
        <f>PEARSON(+F995:G995,#REF!)</f>
        <v>#REF!</v>
      </c>
      <c r="G995" s="1">
        <v>1</v>
      </c>
      <c r="H995" s="2" t="e">
        <f>PEARSON(H995:I995,#REF!)</f>
        <v>#REF!</v>
      </c>
      <c r="I995" s="1">
        <v>1</v>
      </c>
      <c r="J995" s="2" t="e">
        <f>PEARSON(INDIRECT(J995:K995),#REF!)</f>
        <v>#REF!</v>
      </c>
      <c r="K995" s="1">
        <v>1</v>
      </c>
      <c r="L995" s="2">
        <f>TYPE(INDEX(,PEARSON(OFFSET(INDEX(1,),,),#REF!)))</f>
        <v>16</v>
      </c>
    </row>
    <row r="996" spans="1:12" x14ac:dyDescent="0.55000000000000004">
      <c r="A996" s="1" t="s">
        <v>1758</v>
      </c>
      <c r="B996" s="2">
        <f>COUNTIF(A:A,A996)-1</f>
        <v>2</v>
      </c>
      <c r="C996" s="2">
        <f>COUNTIF(A$1:A996,A996)-1</f>
        <v>2</v>
      </c>
      <c r="D996" s="2" t="str">
        <f t="shared" si="15"/>
        <v>a</v>
      </c>
      <c r="E996" s="2" t="e">
        <f>PEARSON(#REF!,#REF!)</f>
        <v>#REF!</v>
      </c>
      <c r="F996" s="2" t="e">
        <f>PEARSON(#REF!,+F996:G996)</f>
        <v>#REF!</v>
      </c>
      <c r="G996" s="1">
        <v>1</v>
      </c>
      <c r="H996" s="2" t="e">
        <f>PEARSON(#REF!,H996:I996)</f>
        <v>#REF!</v>
      </c>
      <c r="I996" s="1">
        <v>1</v>
      </c>
      <c r="J996" s="2" t="e">
        <f>PEARSON(#REF!,INDIRECT(J996:K996))</f>
        <v>#REF!</v>
      </c>
      <c r="K996" s="1">
        <v>1</v>
      </c>
      <c r="L996" s="2">
        <f>TYPE(INDEX(,PEARSON(#REF!,OFFSET(INDEX(1,),,))))</f>
        <v>16</v>
      </c>
    </row>
    <row r="997" spans="1:12" x14ac:dyDescent="0.55000000000000004">
      <c r="A997" s="1" t="s">
        <v>1759</v>
      </c>
      <c r="B997" s="2">
        <f>COUNTIF(A:A,A997)-1</f>
        <v>2</v>
      </c>
      <c r="C997" s="2">
        <f>COUNTIF(A$1:A997,A997)-1</f>
        <v>0</v>
      </c>
      <c r="D997" s="2" t="str">
        <f t="shared" si="15"/>
        <v/>
      </c>
      <c r="E997" s="2"/>
      <c r="F997" s="2"/>
      <c r="H997" s="2"/>
      <c r="J997" s="2"/>
      <c r="L997" s="2"/>
    </row>
    <row r="998" spans="1:12" x14ac:dyDescent="0.55000000000000004">
      <c r="A998" s="1" t="s">
        <v>1759</v>
      </c>
      <c r="B998" s="2">
        <f>COUNTIF(A:A,A998)-1</f>
        <v>2</v>
      </c>
      <c r="C998" s="2">
        <f>COUNTIF(A$1:A998,A998)-1</f>
        <v>1</v>
      </c>
      <c r="D998" s="2" t="str">
        <f t="shared" si="15"/>
        <v>a</v>
      </c>
      <c r="E998" s="2"/>
      <c r="F998" s="2" t="e">
        <f>RSQ(+F998:G998,#REF!)</f>
        <v>#REF!</v>
      </c>
      <c r="G998" s="1">
        <v>1</v>
      </c>
      <c r="H998" s="2" t="e">
        <f>RSQ(H998:I998,#REF!)</f>
        <v>#REF!</v>
      </c>
      <c r="I998" s="1">
        <v>1</v>
      </c>
      <c r="J998" s="2" t="e">
        <f>RSQ(INDIRECT(J998:K998),#REF!)</f>
        <v>#REF!</v>
      </c>
      <c r="K998" s="1">
        <v>1</v>
      </c>
      <c r="L998" s="2">
        <f>TYPE(INDEX(,RSQ(OFFSET(INDEX(1,),,),#REF!)))</f>
        <v>16</v>
      </c>
    </row>
    <row r="999" spans="1:12" x14ac:dyDescent="0.55000000000000004">
      <c r="A999" s="1" t="s">
        <v>1759</v>
      </c>
      <c r="B999" s="2">
        <f>COUNTIF(A:A,A999)-1</f>
        <v>2</v>
      </c>
      <c r="C999" s="2">
        <f>COUNTIF(A$1:A999,A999)-1</f>
        <v>2</v>
      </c>
      <c r="D999" s="2" t="str">
        <f t="shared" si="15"/>
        <v>a</v>
      </c>
      <c r="E999" s="2" t="e">
        <f>RSQ(#REF!,#REF!)</f>
        <v>#REF!</v>
      </c>
      <c r="F999" s="2" t="e">
        <f>RSQ(#REF!,+F999:G999)</f>
        <v>#REF!</v>
      </c>
      <c r="G999" s="1">
        <v>1</v>
      </c>
      <c r="H999" s="2" t="e">
        <f>RSQ(#REF!,H999:I999)</f>
        <v>#REF!</v>
      </c>
      <c r="I999" s="1">
        <v>1</v>
      </c>
      <c r="J999" s="2" t="e">
        <f>RSQ(#REF!,INDIRECT(J999:K999))</f>
        <v>#REF!</v>
      </c>
      <c r="K999" s="1">
        <v>1</v>
      </c>
      <c r="L999" s="2">
        <f>TYPE(INDEX(,RSQ(#REF!,OFFSET(INDEX(1,),,))))</f>
        <v>16</v>
      </c>
    </row>
    <row r="1000" spans="1:12" x14ac:dyDescent="0.55000000000000004">
      <c r="A1000" s="1" t="s">
        <v>1760</v>
      </c>
      <c r="B1000" s="2">
        <f>COUNTIF(A:A,A1000)-1</f>
        <v>2</v>
      </c>
      <c r="C1000" s="2">
        <f>COUNTIF(A$1:A1000,A1000)-1</f>
        <v>0</v>
      </c>
      <c r="D1000" s="2" t="str">
        <f t="shared" si="15"/>
        <v/>
      </c>
      <c r="E1000" s="2"/>
      <c r="F1000" s="2"/>
      <c r="H1000" s="2"/>
      <c r="J1000" s="2"/>
      <c r="L1000" s="2"/>
    </row>
    <row r="1001" spans="1:12" x14ac:dyDescent="0.55000000000000004">
      <c r="A1001" s="1" t="s">
        <v>1760</v>
      </c>
      <c r="B1001" s="2">
        <f>COUNTIF(A:A,A1001)-1</f>
        <v>2</v>
      </c>
      <c r="C1001" s="2">
        <f>COUNTIF(A$1:A1001,A1001)-1</f>
        <v>1</v>
      </c>
      <c r="D1001" s="2" t="str">
        <f t="shared" si="15"/>
        <v>a</v>
      </c>
      <c r="E1001" s="2"/>
      <c r="F1001" s="2" t="e">
        <f>STEYX(+F1001:G1001,#REF!)</f>
        <v>#REF!</v>
      </c>
      <c r="G1001" s="1">
        <v>1</v>
      </c>
      <c r="H1001" s="2" t="e">
        <f>STEYX(H1001:I1001,#REF!)</f>
        <v>#REF!</v>
      </c>
      <c r="I1001" s="1">
        <v>1</v>
      </c>
      <c r="J1001" s="2" t="e">
        <f>STEYX(INDIRECT(J1001:K1001),#REF!)</f>
        <v>#REF!</v>
      </c>
      <c r="K1001" s="1">
        <v>1</v>
      </c>
      <c r="L1001" s="2">
        <f>TYPE(INDEX(,STEYX(OFFSET(INDEX(1,),,),#REF!)))</f>
        <v>16</v>
      </c>
    </row>
    <row r="1002" spans="1:12" x14ac:dyDescent="0.55000000000000004">
      <c r="A1002" s="1" t="s">
        <v>1760</v>
      </c>
      <c r="B1002" s="2">
        <f>COUNTIF(A:A,A1002)-1</f>
        <v>2</v>
      </c>
      <c r="C1002" s="2">
        <f>COUNTIF(A$1:A1002,A1002)-1</f>
        <v>2</v>
      </c>
      <c r="D1002" s="2" t="str">
        <f t="shared" si="15"/>
        <v>a</v>
      </c>
      <c r="E1002" s="2" t="e">
        <f>STEYX(#REF!,#REF!)</f>
        <v>#REF!</v>
      </c>
      <c r="F1002" s="2" t="e">
        <f>STEYX(#REF!,+F1002:G1002)</f>
        <v>#REF!</v>
      </c>
      <c r="G1002" s="1">
        <v>1</v>
      </c>
      <c r="H1002" s="2" t="e">
        <f>STEYX(#REF!,H1002:I1002)</f>
        <v>#REF!</v>
      </c>
      <c r="I1002" s="1">
        <v>1</v>
      </c>
      <c r="J1002" s="2" t="e">
        <f>STEYX(#REF!,INDIRECT(J1002:K1002))</f>
        <v>#REF!</v>
      </c>
      <c r="K1002" s="1">
        <v>1</v>
      </c>
      <c r="L1002" s="2">
        <f>TYPE(INDEX(,STEYX(#REF!,OFFSET(INDEX(1,),,))))</f>
        <v>16</v>
      </c>
    </row>
    <row r="1003" spans="1:12" x14ac:dyDescent="0.55000000000000004">
      <c r="A1003" s="1" t="s">
        <v>1761</v>
      </c>
      <c r="B1003" s="2">
        <f>COUNTIF(A:A,A1003)-1</f>
        <v>2</v>
      </c>
      <c r="C1003" s="2">
        <f>COUNTIF(A$1:A1003,A1003)-1</f>
        <v>0</v>
      </c>
      <c r="D1003" s="2" t="str">
        <f t="shared" si="15"/>
        <v/>
      </c>
      <c r="E1003" s="2"/>
      <c r="F1003" s="2"/>
      <c r="H1003" s="2"/>
      <c r="J1003" s="2"/>
      <c r="L1003" s="2"/>
    </row>
    <row r="1004" spans="1:12" x14ac:dyDescent="0.55000000000000004">
      <c r="A1004" s="1" t="s">
        <v>1761</v>
      </c>
      <c r="B1004" s="2">
        <f>COUNTIF(A:A,A1004)-1</f>
        <v>2</v>
      </c>
      <c r="C1004" s="2">
        <f>COUNTIF(A$1:A1004,A1004)-1</f>
        <v>1</v>
      </c>
      <c r="D1004" s="2" t="str">
        <f t="shared" si="15"/>
        <v>a</v>
      </c>
      <c r="E1004" s="2"/>
      <c r="F1004" s="2" t="e">
        <f>SLOPE(+F1004:G1004,#REF!)</f>
        <v>#REF!</v>
      </c>
      <c r="G1004" s="1">
        <v>1</v>
      </c>
      <c r="H1004" s="2" t="e">
        <f>SLOPE(H1004:I1004,#REF!)</f>
        <v>#REF!</v>
      </c>
      <c r="I1004" s="1">
        <v>1</v>
      </c>
      <c r="J1004" s="2" t="e">
        <f>SLOPE(INDIRECT(J1004:K1004),#REF!)</f>
        <v>#REF!</v>
      </c>
      <c r="K1004" s="1">
        <v>1</v>
      </c>
      <c r="L1004" s="2">
        <f>TYPE(INDEX(,SLOPE(OFFSET(INDEX(1,),,),#REF!)))</f>
        <v>16</v>
      </c>
    </row>
    <row r="1005" spans="1:12" x14ac:dyDescent="0.55000000000000004">
      <c r="A1005" s="1" t="s">
        <v>1761</v>
      </c>
      <c r="B1005" s="2">
        <f>COUNTIF(A:A,A1005)-1</f>
        <v>2</v>
      </c>
      <c r="C1005" s="2">
        <f>COUNTIF(A$1:A1005,A1005)-1</f>
        <v>2</v>
      </c>
      <c r="D1005" s="2" t="str">
        <f t="shared" si="15"/>
        <v>a</v>
      </c>
      <c r="E1005" s="2" t="e">
        <f>SLOPE(#REF!,#REF!)</f>
        <v>#REF!</v>
      </c>
      <c r="F1005" s="2" t="e">
        <f>SLOPE(#REF!,+F1005:G1005)</f>
        <v>#REF!</v>
      </c>
      <c r="G1005" s="1">
        <v>1</v>
      </c>
      <c r="H1005" s="2" t="e">
        <f>SLOPE(#REF!,H1005:I1005)</f>
        <v>#REF!</v>
      </c>
      <c r="I1005" s="1">
        <v>1</v>
      </c>
      <c r="J1005" s="2" t="e">
        <f>SLOPE(#REF!,INDIRECT(J1005:K1005))</f>
        <v>#REF!</v>
      </c>
      <c r="K1005" s="1">
        <v>1</v>
      </c>
      <c r="L1005" s="2">
        <f>TYPE(INDEX(,SLOPE(#REF!,OFFSET(INDEX(1,),,))))</f>
        <v>16</v>
      </c>
    </row>
    <row r="1006" spans="1:12" x14ac:dyDescent="0.55000000000000004">
      <c r="A1006" s="1" t="s">
        <v>1762</v>
      </c>
      <c r="B1006" s="2">
        <f>COUNTIF(A:A,A1006)-1</f>
        <v>4</v>
      </c>
      <c r="C1006" s="2">
        <f>COUNTIF(A$1:A1006,A1006)-1</f>
        <v>0</v>
      </c>
      <c r="D1006" s="2" t="str">
        <f t="shared" si="15"/>
        <v/>
      </c>
      <c r="E1006" s="2"/>
      <c r="F1006" s="2"/>
      <c r="H1006" s="2"/>
      <c r="J1006" s="2"/>
      <c r="L1006" s="2"/>
    </row>
    <row r="1007" spans="1:12" x14ac:dyDescent="0.55000000000000004">
      <c r="A1007" s="1" t="s">
        <v>1762</v>
      </c>
      <c r="B1007" s="2">
        <f>COUNTIF(A:A,A1007)-1</f>
        <v>4</v>
      </c>
      <c r="C1007" s="2">
        <f>COUNTIF(A$1:A1007,A1007)-1</f>
        <v>1</v>
      </c>
      <c r="D1007" s="2" t="str">
        <f t="shared" si="15"/>
        <v>a</v>
      </c>
      <c r="E1007" s="2"/>
      <c r="F1007" s="2" t="e">
        <f>TTEST(+F1007:G1007,#REF!,#REF!,#REF!)</f>
        <v>#REF!</v>
      </c>
      <c r="G1007" s="1">
        <v>1</v>
      </c>
      <c r="H1007" s="2" t="e">
        <f>TTEST(H1007:I1007,#REF!,#REF!,#REF!)</f>
        <v>#REF!</v>
      </c>
      <c r="I1007" s="1">
        <v>1</v>
      </c>
      <c r="J1007" s="2" t="e">
        <f>TTEST(INDIRECT(J1007:K1007),#REF!,#REF!,#REF!)</f>
        <v>#REF!</v>
      </c>
      <c r="K1007" s="1">
        <v>1</v>
      </c>
      <c r="L1007" s="2">
        <f>TYPE(INDEX(,TTEST(OFFSET(INDEX(1,),,),#REF!,#REF!,#REF!)))</f>
        <v>16</v>
      </c>
    </row>
    <row r="1008" spans="1:12" x14ac:dyDescent="0.55000000000000004">
      <c r="A1008" s="1" t="s">
        <v>1762</v>
      </c>
      <c r="B1008" s="2">
        <f>COUNTIF(A:A,A1008)-1</f>
        <v>4</v>
      </c>
      <c r="C1008" s="2">
        <f>COUNTIF(A$1:A1008,A1008)-1</f>
        <v>2</v>
      </c>
      <c r="D1008" s="2" t="str">
        <f t="shared" si="15"/>
        <v>a</v>
      </c>
      <c r="E1008" s="2"/>
      <c r="F1008" s="2" t="e">
        <f>TTEST(#REF!,+F1008:G1008,#REF!,#REF!)</f>
        <v>#REF!</v>
      </c>
      <c r="G1008" s="1">
        <v>1</v>
      </c>
      <c r="H1008" s="2" t="e">
        <f>TTEST(#REF!,H1008:I1008,#REF!,#REF!)</f>
        <v>#REF!</v>
      </c>
      <c r="I1008" s="1">
        <v>1</v>
      </c>
      <c r="J1008" s="2" t="e">
        <f>TTEST(#REF!,INDIRECT(J1008:K1008),#REF!,#REF!)</f>
        <v>#REF!</v>
      </c>
      <c r="K1008" s="1">
        <v>1</v>
      </c>
      <c r="L1008" s="2">
        <f>TYPE(INDEX(,TTEST(#REF!,OFFSET(INDEX(1,),,),#REF!,#REF!)))</f>
        <v>16</v>
      </c>
    </row>
    <row r="1009" spans="1:12" x14ac:dyDescent="0.55000000000000004">
      <c r="A1009" s="1" t="s">
        <v>1762</v>
      </c>
      <c r="B1009" s="2">
        <f>COUNTIF(A:A,A1009)-1</f>
        <v>4</v>
      </c>
      <c r="C1009" s="2">
        <f>COUNTIF(A$1:A1009,A1009)-1</f>
        <v>3</v>
      </c>
      <c r="D1009" s="2" t="str">
        <f t="shared" si="15"/>
        <v>v</v>
      </c>
      <c r="E1009" s="2"/>
      <c r="F1009" s="2" t="e">
        <f>TTEST(#REF!,#REF!,+F1009:G1009,#REF!)</f>
        <v>#REF!</v>
      </c>
      <c r="H1009" s="2" t="e">
        <f>TTEST(#REF!,#REF!,H1009:I1009,#REF!)</f>
        <v>#REF!</v>
      </c>
      <c r="J1009" s="2" t="e">
        <f>TTEST(#REF!,#REF!,INDIRECT(J1009:K1009),#REF!)</f>
        <v>#REF!</v>
      </c>
      <c r="L1009" s="2">
        <f>TYPE(INDEX(,TTEST(#REF!,#REF!,OFFSET(INDEX(1,),,),#REF!)))</f>
        <v>64</v>
      </c>
    </row>
    <row r="1010" spans="1:12" x14ac:dyDescent="0.55000000000000004">
      <c r="A1010" s="1" t="s">
        <v>1762</v>
      </c>
      <c r="B1010" s="2">
        <f>COUNTIF(A:A,A1010)-1</f>
        <v>4</v>
      </c>
      <c r="C1010" s="2">
        <f>COUNTIF(A$1:A1010,A1010)-1</f>
        <v>4</v>
      </c>
      <c r="D1010" s="2" t="str">
        <f t="shared" si="15"/>
        <v>v</v>
      </c>
      <c r="E1010" s="2" t="e">
        <f>TTEST(#REF!,#REF!,#REF!,#REF!)</f>
        <v>#REF!</v>
      </c>
      <c r="F1010" s="2" t="e">
        <f>TTEST(#REF!,#REF!,#REF!,+F1010:G1010)</f>
        <v>#REF!</v>
      </c>
      <c r="H1010" s="2" t="e">
        <f>TTEST(#REF!,#REF!,#REF!,H1010:I1010)</f>
        <v>#REF!</v>
      </c>
      <c r="J1010" s="2" t="e">
        <f>TTEST(#REF!,#REF!,#REF!,INDIRECT(J1010:K1010))</f>
        <v>#REF!</v>
      </c>
      <c r="L1010" s="2">
        <f>TYPE(INDEX(,TTEST(#REF!,#REF!,#REF!,OFFSET(INDEX(1,),,))))</f>
        <v>64</v>
      </c>
    </row>
    <row r="1011" spans="1:12" x14ac:dyDescent="0.55000000000000004">
      <c r="A1011" s="1" t="s">
        <v>1763</v>
      </c>
      <c r="B1011" s="2">
        <f>COUNTIF(A:A,A1011)-1</f>
        <v>4</v>
      </c>
      <c r="C1011" s="2">
        <f>COUNTIF(A$1:A1011,A1011)-1</f>
        <v>0</v>
      </c>
      <c r="D1011" s="2" t="str">
        <f t="shared" si="15"/>
        <v/>
      </c>
      <c r="E1011" s="2"/>
      <c r="F1011" s="2"/>
      <c r="H1011" s="2"/>
      <c r="J1011" s="2"/>
      <c r="L1011" s="2"/>
    </row>
    <row r="1012" spans="1:12" x14ac:dyDescent="0.55000000000000004">
      <c r="A1012" s="1" t="s">
        <v>1763</v>
      </c>
      <c r="B1012" s="2">
        <f>COUNTIF(A:A,A1012)-1</f>
        <v>4</v>
      </c>
      <c r="C1012" s="2">
        <f>COUNTIF(A$1:A1012,A1012)-1</f>
        <v>1</v>
      </c>
      <c r="D1012" s="2" t="str">
        <f t="shared" si="15"/>
        <v>a</v>
      </c>
      <c r="E1012" s="2"/>
      <c r="F1012" s="2" t="e">
        <f>PROB(+F1012:G1012,#REF!,#REF!,#REF!)</f>
        <v>#REF!</v>
      </c>
      <c r="G1012" s="1">
        <v>1</v>
      </c>
      <c r="H1012" s="2" t="e">
        <f>PROB(H1012:I1012,#REF!,#REF!,#REF!)</f>
        <v>#REF!</v>
      </c>
      <c r="I1012" s="1">
        <v>1</v>
      </c>
      <c r="J1012" s="2" t="e">
        <f>PROB(INDIRECT(J1012:K1012),#REF!,#REF!,#REF!)</f>
        <v>#REF!</v>
      </c>
      <c r="K1012" s="1">
        <v>1</v>
      </c>
      <c r="L1012" s="2">
        <f>TYPE(INDEX(,PROB(OFFSET(INDEX(1,),,),#REF!,#REF!,#REF!)))</f>
        <v>16</v>
      </c>
    </row>
    <row r="1013" spans="1:12" x14ac:dyDescent="0.55000000000000004">
      <c r="A1013" s="1" t="s">
        <v>1763</v>
      </c>
      <c r="B1013" s="2">
        <f>COUNTIF(A:A,A1013)-1</f>
        <v>4</v>
      </c>
      <c r="C1013" s="2">
        <f>COUNTIF(A$1:A1013,A1013)-1</f>
        <v>2</v>
      </c>
      <c r="D1013" s="2" t="str">
        <f t="shared" si="15"/>
        <v>a</v>
      </c>
      <c r="E1013" s="2"/>
      <c r="F1013" s="2" t="e">
        <f>PROB(#REF!,+F1013:G1013,#REF!,#REF!)</f>
        <v>#REF!</v>
      </c>
      <c r="G1013" s="1">
        <v>1</v>
      </c>
      <c r="H1013" s="2" t="e">
        <f>PROB(#REF!,H1013:I1013,#REF!,#REF!)</f>
        <v>#REF!</v>
      </c>
      <c r="I1013" s="1">
        <v>1</v>
      </c>
      <c r="J1013" s="2" t="e">
        <f>PROB(#REF!,INDIRECT(J1013:K1013),#REF!,#REF!)</f>
        <v>#REF!</v>
      </c>
      <c r="K1013" s="1">
        <v>1</v>
      </c>
      <c r="L1013" s="2">
        <f>TYPE(INDEX(,PROB(#REF!,OFFSET(INDEX(1,),,),#REF!,#REF!)))</f>
        <v>16</v>
      </c>
    </row>
    <row r="1014" spans="1:12" x14ac:dyDescent="0.55000000000000004">
      <c r="A1014" s="1" t="s">
        <v>1763</v>
      </c>
      <c r="B1014" s="2">
        <f>COUNTIF(A:A,A1014)-1</f>
        <v>4</v>
      </c>
      <c r="C1014" s="2">
        <f>COUNTIF(A$1:A1014,A1014)-1</f>
        <v>3</v>
      </c>
      <c r="D1014" s="2" t="str">
        <f t="shared" si="15"/>
        <v>v</v>
      </c>
      <c r="E1014" s="2" t="e">
        <f>PROB(#REF!,#REF!,#REF!)</f>
        <v>#REF!</v>
      </c>
      <c r="F1014" s="2" t="e">
        <f>PROB(#REF!,#REF!,+F1014:G1014,#REF!)</f>
        <v>#REF!</v>
      </c>
      <c r="H1014" s="2" t="e">
        <f>PROB(#REF!,#REF!,H1014:I1014,#REF!)</f>
        <v>#REF!</v>
      </c>
      <c r="J1014" s="2" t="e">
        <f>PROB(#REF!,#REF!,INDIRECT(J1014:K1014),#REF!)</f>
        <v>#REF!</v>
      </c>
      <c r="L1014" s="2">
        <f>TYPE(INDEX(,PROB(#REF!,#REF!,OFFSET(INDEX(1,),,),#REF!)))</f>
        <v>64</v>
      </c>
    </row>
    <row r="1015" spans="1:12" x14ac:dyDescent="0.55000000000000004">
      <c r="A1015" s="1" t="s">
        <v>1763</v>
      </c>
      <c r="B1015" s="2">
        <f>COUNTIF(A:A,A1015)-1</f>
        <v>4</v>
      </c>
      <c r="C1015" s="2">
        <f>COUNTIF(A$1:A1015,A1015)-1</f>
        <v>4</v>
      </c>
      <c r="D1015" s="2" t="str">
        <f t="shared" si="15"/>
        <v>v</v>
      </c>
      <c r="E1015" s="2" t="e">
        <f>PROB(#REF!,#REF!,#REF!,#REF!)</f>
        <v>#REF!</v>
      </c>
      <c r="F1015" s="2" t="e">
        <f>PROB(#REF!,#REF!,#REF!,+F1015:G1015)</f>
        <v>#REF!</v>
      </c>
      <c r="H1015" s="2" t="e">
        <f>PROB(#REF!,#REF!,#REF!,H1015:I1015)</f>
        <v>#REF!</v>
      </c>
      <c r="J1015" s="2" t="e">
        <f>PROB(#REF!,#REF!,#REF!,INDIRECT(J1015:K1015))</f>
        <v>#REF!</v>
      </c>
      <c r="L1015" s="2">
        <f>TYPE(INDEX(,PROB(#REF!,#REF!,#REF!,OFFSET(INDEX(1,),,))))</f>
        <v>64</v>
      </c>
    </row>
    <row r="1016" spans="1:12" x14ac:dyDescent="0.55000000000000004">
      <c r="A1016" s="1" t="s">
        <v>1764</v>
      </c>
      <c r="B1016" s="2">
        <f>COUNTIF(A:A,A1016)-1</f>
        <v>3</v>
      </c>
      <c r="C1016" s="2">
        <f>COUNTIF(A$1:A1016,A1016)-1</f>
        <v>0</v>
      </c>
      <c r="D1016" s="2" t="str">
        <f t="shared" si="15"/>
        <v/>
      </c>
      <c r="E1016" s="2"/>
      <c r="F1016" s="2"/>
      <c r="H1016" s="2"/>
      <c r="J1016" s="2"/>
      <c r="L1016" s="2"/>
    </row>
    <row r="1017" spans="1:12" x14ac:dyDescent="0.55000000000000004">
      <c r="A1017" s="1" t="s">
        <v>1764</v>
      </c>
      <c r="B1017" s="2">
        <f>COUNTIF(A:A,A1017)-1</f>
        <v>3</v>
      </c>
      <c r="C1017" s="2">
        <f>COUNTIF(A$1:A1017,A1017)-1</f>
        <v>1</v>
      </c>
      <c r="D1017" s="2" t="str">
        <f t="shared" si="15"/>
        <v>var</v>
      </c>
      <c r="E1017" s="2" t="e">
        <f>DEVSQ(#REF!)</f>
        <v>#REF!</v>
      </c>
      <c r="F1017" s="2" t="e">
        <f>DEVSQ(+F1017:G1017,#REF!,#REF!)</f>
        <v>#REF!</v>
      </c>
      <c r="H1017" s="2" t="e">
        <f>DEVSQ(H1017:I1017,#REF!,#REF!)</f>
        <v>#REF!</v>
      </c>
      <c r="I1017" s="1">
        <v>1</v>
      </c>
      <c r="J1017" s="2" t="e">
        <f>DEVSQ(INDIRECT(J1017:K1017),#REF!,#REF!)</f>
        <v>#REF!</v>
      </c>
      <c r="L1017" s="2">
        <f>TYPE(INDEX(,DEVSQ(OFFSET(INDEX(1,),,),#REF!,#REF!)))</f>
        <v>16</v>
      </c>
    </row>
    <row r="1018" spans="1:12" x14ac:dyDescent="0.55000000000000004">
      <c r="A1018" s="1" t="s">
        <v>1764</v>
      </c>
      <c r="B1018" s="2">
        <f>COUNTIF(A:A,A1018)-1</f>
        <v>3</v>
      </c>
      <c r="C1018" s="2">
        <f>COUNTIF(A$1:A1018,A1018)-1</f>
        <v>2</v>
      </c>
      <c r="D1018" s="2" t="str">
        <f t="shared" si="15"/>
        <v>var</v>
      </c>
      <c r="E1018" s="2" t="e">
        <f>DEVSQ(#REF!,#REF!)</f>
        <v>#REF!</v>
      </c>
      <c r="F1018" s="2" t="e">
        <f>DEVSQ(#REF!,+F1018:G1018,#REF!)</f>
        <v>#REF!</v>
      </c>
      <c r="H1018" s="2" t="e">
        <f>DEVSQ(#REF!,H1018:I1018,#REF!)</f>
        <v>#REF!</v>
      </c>
      <c r="I1018" s="1">
        <v>1</v>
      </c>
      <c r="J1018" s="2" t="e">
        <f>DEVSQ(#REF!,INDIRECT(J1018:K1018),#REF!)</f>
        <v>#REF!</v>
      </c>
      <c r="L1018" s="2">
        <f>TYPE(INDEX(,DEVSQ(#REF!,OFFSET(INDEX(1,),,),#REF!)))</f>
        <v>16</v>
      </c>
    </row>
    <row r="1019" spans="1:12" x14ac:dyDescent="0.55000000000000004">
      <c r="A1019" s="1" t="s">
        <v>1764</v>
      </c>
      <c r="B1019" s="2">
        <f>COUNTIF(A:A,A1019)-1</f>
        <v>3</v>
      </c>
      <c r="C1019" s="2">
        <f>COUNTIF(A$1:A1019,A1019)-1</f>
        <v>3</v>
      </c>
      <c r="D1019" s="2" t="str">
        <f t="shared" si="15"/>
        <v>var</v>
      </c>
      <c r="E1019" s="2" t="e">
        <f>DEVSQ(#REF!,#REF!,#REF!)</f>
        <v>#REF!</v>
      </c>
      <c r="F1019" s="2" t="e">
        <f>DEVSQ(#REF!,#REF!,+F1019:G1019)</f>
        <v>#REF!</v>
      </c>
      <c r="H1019" s="2" t="e">
        <f>DEVSQ(#REF!,#REF!,H1019:I1019)</f>
        <v>#REF!</v>
      </c>
      <c r="I1019" s="1">
        <v>1</v>
      </c>
      <c r="J1019" s="2" t="e">
        <f>DEVSQ(#REF!,#REF!,INDIRECT(J1019:K1019))</f>
        <v>#REF!</v>
      </c>
      <c r="L1019" s="2">
        <f>TYPE(INDEX(,DEVSQ(#REF!,#REF!,OFFSET(INDEX(1,),,))))</f>
        <v>16</v>
      </c>
    </row>
    <row r="1020" spans="1:12" x14ac:dyDescent="0.55000000000000004">
      <c r="A1020" s="1" t="s">
        <v>1765</v>
      </c>
      <c r="B1020" s="2">
        <f>COUNTIF(A:A,A1020)-1</f>
        <v>3</v>
      </c>
      <c r="C1020" s="2">
        <f>COUNTIF(A$1:A1020,A1020)-1</f>
        <v>0</v>
      </c>
      <c r="D1020" s="2" t="str">
        <f t="shared" si="15"/>
        <v/>
      </c>
      <c r="E1020" s="2"/>
      <c r="F1020" s="2"/>
      <c r="H1020" s="2"/>
      <c r="J1020" s="2"/>
      <c r="L1020" s="2"/>
    </row>
    <row r="1021" spans="1:12" x14ac:dyDescent="0.55000000000000004">
      <c r="A1021" s="1" t="s">
        <v>1765</v>
      </c>
      <c r="B1021" s="2">
        <f>COUNTIF(A:A,A1021)-1</f>
        <v>3</v>
      </c>
      <c r="C1021" s="2">
        <f>COUNTIF(A$1:A1021,A1021)-1</f>
        <v>1</v>
      </c>
      <c r="D1021" s="2" t="str">
        <f t="shared" si="15"/>
        <v>var</v>
      </c>
      <c r="E1021" s="2" t="e">
        <f>GEOMEAN(#REF!)</f>
        <v>#REF!</v>
      </c>
      <c r="F1021" s="2" t="e">
        <f>GEOMEAN(+F1021:G1021,#REF!,#REF!)</f>
        <v>#REF!</v>
      </c>
      <c r="H1021" s="2" t="e">
        <f>GEOMEAN(H1021:I1021,#REF!,#REF!)</f>
        <v>#REF!</v>
      </c>
      <c r="I1021" s="1">
        <v>1</v>
      </c>
      <c r="J1021" s="2" t="e">
        <f>GEOMEAN(INDIRECT(J1021:K1021),#REF!,#REF!)</f>
        <v>#REF!</v>
      </c>
      <c r="L1021" s="2">
        <f>TYPE(INDEX(,GEOMEAN(OFFSET(INDEX(1,),,),#REF!,#REF!)))</f>
        <v>16</v>
      </c>
    </row>
    <row r="1022" spans="1:12" x14ac:dyDescent="0.55000000000000004">
      <c r="A1022" s="1" t="s">
        <v>1765</v>
      </c>
      <c r="B1022" s="2">
        <f>COUNTIF(A:A,A1022)-1</f>
        <v>3</v>
      </c>
      <c r="C1022" s="2">
        <f>COUNTIF(A$1:A1022,A1022)-1</f>
        <v>2</v>
      </c>
      <c r="D1022" s="2" t="str">
        <f t="shared" si="15"/>
        <v>var</v>
      </c>
      <c r="E1022" s="2" t="e">
        <f>GEOMEAN(#REF!,#REF!)</f>
        <v>#REF!</v>
      </c>
      <c r="F1022" s="2" t="e">
        <f>GEOMEAN(#REF!,+F1022:G1022,#REF!)</f>
        <v>#REF!</v>
      </c>
      <c r="H1022" s="2" t="e">
        <f>GEOMEAN(#REF!,H1022:I1022,#REF!)</f>
        <v>#REF!</v>
      </c>
      <c r="I1022" s="1">
        <v>1</v>
      </c>
      <c r="J1022" s="2" t="e">
        <f>GEOMEAN(#REF!,INDIRECT(J1022:K1022),#REF!)</f>
        <v>#REF!</v>
      </c>
      <c r="L1022" s="2">
        <f>TYPE(INDEX(,GEOMEAN(#REF!,OFFSET(INDEX(1,),,),#REF!)))</f>
        <v>16</v>
      </c>
    </row>
    <row r="1023" spans="1:12" x14ac:dyDescent="0.55000000000000004">
      <c r="A1023" s="1" t="s">
        <v>1765</v>
      </c>
      <c r="B1023" s="2">
        <f>COUNTIF(A:A,A1023)-1</f>
        <v>3</v>
      </c>
      <c r="C1023" s="2">
        <f>COUNTIF(A$1:A1023,A1023)-1</f>
        <v>3</v>
      </c>
      <c r="D1023" s="2" t="str">
        <f t="shared" si="15"/>
        <v>var</v>
      </c>
      <c r="E1023" s="2" t="e">
        <f>GEOMEAN(#REF!,#REF!,#REF!)</f>
        <v>#REF!</v>
      </c>
      <c r="F1023" s="2" t="e">
        <f>GEOMEAN(#REF!,#REF!,+F1023:G1023)</f>
        <v>#REF!</v>
      </c>
      <c r="H1023" s="2" t="e">
        <f>GEOMEAN(#REF!,#REF!,H1023:I1023)</f>
        <v>#REF!</v>
      </c>
      <c r="I1023" s="1">
        <v>1</v>
      </c>
      <c r="J1023" s="2" t="e">
        <f>GEOMEAN(#REF!,#REF!,INDIRECT(J1023:K1023))</f>
        <v>#REF!</v>
      </c>
      <c r="L1023" s="2">
        <f>TYPE(INDEX(,GEOMEAN(#REF!,#REF!,OFFSET(INDEX(1,),,))))</f>
        <v>16</v>
      </c>
    </row>
    <row r="1024" spans="1:12" x14ac:dyDescent="0.55000000000000004">
      <c r="A1024" s="1" t="s">
        <v>1766</v>
      </c>
      <c r="B1024" s="2">
        <f>COUNTIF(A:A,A1024)-1</f>
        <v>3</v>
      </c>
      <c r="C1024" s="2">
        <f>COUNTIF(A$1:A1024,A1024)-1</f>
        <v>0</v>
      </c>
      <c r="D1024" s="2" t="str">
        <f t="shared" si="15"/>
        <v/>
      </c>
      <c r="E1024" s="2"/>
      <c r="F1024" s="2"/>
      <c r="H1024" s="2"/>
      <c r="J1024" s="2"/>
      <c r="L1024" s="2"/>
    </row>
    <row r="1025" spans="1:12" x14ac:dyDescent="0.55000000000000004">
      <c r="A1025" s="1" t="s">
        <v>1766</v>
      </c>
      <c r="B1025" s="2">
        <f>COUNTIF(A:A,A1025)-1</f>
        <v>3</v>
      </c>
      <c r="C1025" s="2">
        <f>COUNTIF(A$1:A1025,A1025)-1</f>
        <v>1</v>
      </c>
      <c r="D1025" s="2" t="str">
        <f t="shared" si="15"/>
        <v>var</v>
      </c>
      <c r="E1025" s="2" t="e">
        <f>HARMEAN(#REF!)</f>
        <v>#REF!</v>
      </c>
      <c r="F1025" s="2" t="e">
        <f>HARMEAN(+F1025:G1025,#REF!,#REF!)</f>
        <v>#REF!</v>
      </c>
      <c r="H1025" s="2" t="e">
        <f>HARMEAN(H1025:I1025,#REF!,#REF!)</f>
        <v>#REF!</v>
      </c>
      <c r="I1025" s="1">
        <v>1</v>
      </c>
      <c r="J1025" s="2" t="e">
        <f>HARMEAN(INDIRECT(J1025:K1025),#REF!,#REF!)</f>
        <v>#REF!</v>
      </c>
      <c r="L1025" s="2">
        <f>TYPE(INDEX(,HARMEAN(OFFSET(INDEX(1,),,),#REF!,#REF!)))</f>
        <v>16</v>
      </c>
    </row>
    <row r="1026" spans="1:12" x14ac:dyDescent="0.55000000000000004">
      <c r="A1026" s="1" t="s">
        <v>1766</v>
      </c>
      <c r="B1026" s="2">
        <f>COUNTIF(A:A,A1026)-1</f>
        <v>3</v>
      </c>
      <c r="C1026" s="2">
        <f>COUNTIF(A$1:A1026,A1026)-1</f>
        <v>2</v>
      </c>
      <c r="D1026" s="2" t="str">
        <f t="shared" ref="D1026:D1089" si="16">IF(C1026&gt;0,IF(COUNTA(F1026:G1026)=1,"v",)&amp;IF(L1026=64,,"a")&amp;IF(COUNTA(I1026,K1026)=1,"r",),"")</f>
        <v>var</v>
      </c>
      <c r="E1026" s="2" t="e">
        <f>HARMEAN(#REF!,#REF!)</f>
        <v>#REF!</v>
      </c>
      <c r="F1026" s="2" t="e">
        <f>HARMEAN(#REF!,+F1026:G1026,#REF!)</f>
        <v>#REF!</v>
      </c>
      <c r="H1026" s="2" t="e">
        <f>HARMEAN(#REF!,H1026:I1026,#REF!)</f>
        <v>#REF!</v>
      </c>
      <c r="I1026" s="1">
        <v>1</v>
      </c>
      <c r="J1026" s="2" t="e">
        <f>HARMEAN(#REF!,INDIRECT(J1026:K1026),#REF!)</f>
        <v>#REF!</v>
      </c>
      <c r="L1026" s="2">
        <f>TYPE(INDEX(,HARMEAN(#REF!,OFFSET(INDEX(1,),,),#REF!)))</f>
        <v>16</v>
      </c>
    </row>
    <row r="1027" spans="1:12" x14ac:dyDescent="0.55000000000000004">
      <c r="A1027" s="1" t="s">
        <v>1766</v>
      </c>
      <c r="B1027" s="2">
        <f>COUNTIF(A:A,A1027)-1</f>
        <v>3</v>
      </c>
      <c r="C1027" s="2">
        <f>COUNTIF(A$1:A1027,A1027)-1</f>
        <v>3</v>
      </c>
      <c r="D1027" s="2" t="str">
        <f t="shared" si="16"/>
        <v>var</v>
      </c>
      <c r="E1027" s="2" t="e">
        <f>HARMEAN(#REF!,#REF!,#REF!)</f>
        <v>#REF!</v>
      </c>
      <c r="F1027" s="2" t="e">
        <f>HARMEAN(#REF!,#REF!,+F1027:G1027)</f>
        <v>#REF!</v>
      </c>
      <c r="H1027" s="2" t="e">
        <f>HARMEAN(#REF!,#REF!,H1027:I1027)</f>
        <v>#REF!</v>
      </c>
      <c r="I1027" s="1">
        <v>1</v>
      </c>
      <c r="J1027" s="2" t="e">
        <f>HARMEAN(#REF!,#REF!,INDIRECT(J1027:K1027))</f>
        <v>#REF!</v>
      </c>
      <c r="L1027" s="2">
        <f>TYPE(INDEX(,HARMEAN(#REF!,#REF!,OFFSET(INDEX(1,),,))))</f>
        <v>16</v>
      </c>
    </row>
    <row r="1028" spans="1:12" x14ac:dyDescent="0.55000000000000004">
      <c r="A1028" s="1" t="s">
        <v>1767</v>
      </c>
      <c r="B1028" s="2">
        <f>COUNTIF(A:A,A1028)-1</f>
        <v>3</v>
      </c>
      <c r="C1028" s="2">
        <f>COUNTIF(A$1:A1028,A1028)-1</f>
        <v>0</v>
      </c>
      <c r="D1028" s="2" t="str">
        <f t="shared" si="16"/>
        <v/>
      </c>
      <c r="E1028" s="2"/>
      <c r="F1028" s="2"/>
      <c r="H1028" s="2"/>
      <c r="J1028" s="2"/>
      <c r="L1028" s="2"/>
    </row>
    <row r="1029" spans="1:12" x14ac:dyDescent="0.55000000000000004">
      <c r="A1029" s="1" t="s">
        <v>1767</v>
      </c>
      <c r="B1029" s="2">
        <f>COUNTIF(A:A,A1029)-1</f>
        <v>3</v>
      </c>
      <c r="C1029" s="2">
        <f>COUNTIF(A$1:A1029,A1029)-1</f>
        <v>1</v>
      </c>
      <c r="D1029" s="2" t="str">
        <f t="shared" si="16"/>
        <v>var</v>
      </c>
      <c r="E1029" s="2" t="e">
        <f>SUMSQ(#REF!)</f>
        <v>#REF!</v>
      </c>
      <c r="F1029" s="2" t="e">
        <f>SUMSQ(+F1029:G1029,#REF!,#REF!)</f>
        <v>#REF!</v>
      </c>
      <c r="H1029" s="2" t="e">
        <f>SUMSQ(H1029:I1029,#REF!,#REF!)</f>
        <v>#REF!</v>
      </c>
      <c r="I1029" s="1">
        <v>1</v>
      </c>
      <c r="J1029" s="2" t="e">
        <f>SUMSQ(INDIRECT(J1029:K1029),#REF!,#REF!)</f>
        <v>#REF!</v>
      </c>
      <c r="L1029" s="2">
        <f>TYPE(INDEX(,SUMSQ(OFFSET(INDEX(1,),,),#REF!,#REF!)))</f>
        <v>16</v>
      </c>
    </row>
    <row r="1030" spans="1:12" x14ac:dyDescent="0.55000000000000004">
      <c r="A1030" s="1" t="s">
        <v>1767</v>
      </c>
      <c r="B1030" s="2">
        <f>COUNTIF(A:A,A1030)-1</f>
        <v>3</v>
      </c>
      <c r="C1030" s="2">
        <f>COUNTIF(A$1:A1030,A1030)-1</f>
        <v>2</v>
      </c>
      <c r="D1030" s="2" t="str">
        <f t="shared" si="16"/>
        <v>var</v>
      </c>
      <c r="E1030" s="2" t="e">
        <f>SUMSQ(#REF!,#REF!)</f>
        <v>#REF!</v>
      </c>
      <c r="F1030" s="2" t="e">
        <f>SUMSQ(#REF!,+F1030:G1030,#REF!)</f>
        <v>#REF!</v>
      </c>
      <c r="H1030" s="2" t="e">
        <f>SUMSQ(#REF!,H1030:I1030,#REF!)</f>
        <v>#REF!</v>
      </c>
      <c r="I1030" s="1">
        <v>1</v>
      </c>
      <c r="J1030" s="2" t="e">
        <f>SUMSQ(#REF!,INDIRECT(J1030:K1030),#REF!)</f>
        <v>#REF!</v>
      </c>
      <c r="L1030" s="2">
        <f>TYPE(INDEX(,SUMSQ(#REF!,OFFSET(INDEX(1,),,),#REF!)))</f>
        <v>16</v>
      </c>
    </row>
    <row r="1031" spans="1:12" x14ac:dyDescent="0.55000000000000004">
      <c r="A1031" s="1" t="s">
        <v>1767</v>
      </c>
      <c r="B1031" s="2">
        <f>COUNTIF(A:A,A1031)-1</f>
        <v>3</v>
      </c>
      <c r="C1031" s="2">
        <f>COUNTIF(A$1:A1031,A1031)-1</f>
        <v>3</v>
      </c>
      <c r="D1031" s="2" t="str">
        <f t="shared" si="16"/>
        <v>var</v>
      </c>
      <c r="E1031" s="2" t="e">
        <f>SUMSQ(#REF!,#REF!,#REF!)</f>
        <v>#REF!</v>
      </c>
      <c r="F1031" s="2" t="e">
        <f>SUMSQ(#REF!,#REF!,+F1031:G1031)</f>
        <v>#REF!</v>
      </c>
      <c r="H1031" s="2" t="e">
        <f>SUMSQ(#REF!,#REF!,H1031:I1031)</f>
        <v>#REF!</v>
      </c>
      <c r="I1031" s="1">
        <v>1</v>
      </c>
      <c r="J1031" s="2" t="e">
        <f>SUMSQ(#REF!,#REF!,INDIRECT(J1031:K1031))</f>
        <v>#REF!</v>
      </c>
      <c r="L1031" s="2">
        <f>TYPE(INDEX(,SUMSQ(#REF!,#REF!,OFFSET(INDEX(1,),,))))</f>
        <v>16</v>
      </c>
    </row>
    <row r="1032" spans="1:12" x14ac:dyDescent="0.55000000000000004">
      <c r="A1032" s="1" t="s">
        <v>1768</v>
      </c>
      <c r="B1032" s="2">
        <f>COUNTIF(A:A,A1032)-1</f>
        <v>3</v>
      </c>
      <c r="C1032" s="2">
        <f>COUNTIF(A$1:A1032,A1032)-1</f>
        <v>0</v>
      </c>
      <c r="D1032" s="2" t="str">
        <f t="shared" si="16"/>
        <v/>
      </c>
      <c r="E1032" s="2"/>
      <c r="F1032" s="2"/>
      <c r="H1032" s="2"/>
      <c r="J1032" s="2"/>
      <c r="L1032" s="2"/>
    </row>
    <row r="1033" spans="1:12" x14ac:dyDescent="0.55000000000000004">
      <c r="A1033" s="1" t="s">
        <v>1768</v>
      </c>
      <c r="B1033" s="2">
        <f>COUNTIF(A:A,A1033)-1</f>
        <v>3</v>
      </c>
      <c r="C1033" s="2">
        <f>COUNTIF(A$1:A1033,A1033)-1</f>
        <v>1</v>
      </c>
      <c r="D1033" s="2" t="str">
        <f t="shared" si="16"/>
        <v>var</v>
      </c>
      <c r="E1033" s="2" t="e">
        <f>KURT(#REF!)</f>
        <v>#REF!</v>
      </c>
      <c r="F1033" s="2" t="e">
        <f>KURT(+F1033:G1033,#REF!,#REF!)</f>
        <v>#REF!</v>
      </c>
      <c r="H1033" s="2" t="e">
        <f>KURT(H1033:I1033,#REF!,#REF!)</f>
        <v>#REF!</v>
      </c>
      <c r="I1033" s="1">
        <v>1</v>
      </c>
      <c r="J1033" s="2" t="e">
        <f>KURT(INDIRECT(J1033:K1033),#REF!,#REF!)</f>
        <v>#REF!</v>
      </c>
      <c r="L1033" s="2">
        <f>TYPE(INDEX(,KURT(OFFSET(INDEX(1,),,),#REF!,#REF!)))</f>
        <v>16</v>
      </c>
    </row>
    <row r="1034" spans="1:12" x14ac:dyDescent="0.55000000000000004">
      <c r="A1034" s="1" t="s">
        <v>1768</v>
      </c>
      <c r="B1034" s="2">
        <f>COUNTIF(A:A,A1034)-1</f>
        <v>3</v>
      </c>
      <c r="C1034" s="2">
        <f>COUNTIF(A$1:A1034,A1034)-1</f>
        <v>2</v>
      </c>
      <c r="D1034" s="2" t="str">
        <f t="shared" si="16"/>
        <v>var</v>
      </c>
      <c r="E1034" s="2" t="e">
        <f>KURT(#REF!,#REF!)</f>
        <v>#REF!</v>
      </c>
      <c r="F1034" s="2" t="e">
        <f>KURT(#REF!,+F1034:G1034,#REF!)</f>
        <v>#REF!</v>
      </c>
      <c r="H1034" s="2" t="e">
        <f>KURT(#REF!,H1034:I1034,#REF!)</f>
        <v>#REF!</v>
      </c>
      <c r="I1034" s="1">
        <v>1</v>
      </c>
      <c r="J1034" s="2" t="e">
        <f>KURT(#REF!,INDIRECT(J1034:K1034),#REF!)</f>
        <v>#REF!</v>
      </c>
      <c r="L1034" s="2">
        <f>TYPE(INDEX(,KURT(#REF!,OFFSET(INDEX(1,),,),#REF!)))</f>
        <v>16</v>
      </c>
    </row>
    <row r="1035" spans="1:12" x14ac:dyDescent="0.55000000000000004">
      <c r="A1035" s="1" t="s">
        <v>1768</v>
      </c>
      <c r="B1035" s="2">
        <f>COUNTIF(A:A,A1035)-1</f>
        <v>3</v>
      </c>
      <c r="C1035" s="2">
        <f>COUNTIF(A$1:A1035,A1035)-1</f>
        <v>3</v>
      </c>
      <c r="D1035" s="2" t="str">
        <f t="shared" si="16"/>
        <v>var</v>
      </c>
      <c r="E1035" s="2" t="e">
        <f>KURT(#REF!,#REF!,#REF!)</f>
        <v>#REF!</v>
      </c>
      <c r="F1035" s="2" t="e">
        <f>KURT(#REF!,#REF!,+F1035:G1035)</f>
        <v>#REF!</v>
      </c>
      <c r="H1035" s="2" t="e">
        <f>KURT(#REF!,#REF!,H1035:I1035)</f>
        <v>#REF!</v>
      </c>
      <c r="I1035" s="1">
        <v>1</v>
      </c>
      <c r="J1035" s="2" t="e">
        <f>KURT(#REF!,#REF!,INDIRECT(J1035:K1035))</f>
        <v>#REF!</v>
      </c>
      <c r="L1035" s="2">
        <f>TYPE(INDEX(,KURT(#REF!,#REF!,OFFSET(INDEX(1,),,))))</f>
        <v>16</v>
      </c>
    </row>
    <row r="1036" spans="1:12" x14ac:dyDescent="0.55000000000000004">
      <c r="A1036" s="1" t="s">
        <v>1769</v>
      </c>
      <c r="B1036" s="2">
        <f>COUNTIF(A:A,A1036)-1</f>
        <v>3</v>
      </c>
      <c r="C1036" s="2">
        <f>COUNTIF(A$1:A1036,A1036)-1</f>
        <v>0</v>
      </c>
      <c r="D1036" s="2" t="str">
        <f t="shared" si="16"/>
        <v/>
      </c>
      <c r="E1036" s="2"/>
      <c r="F1036" s="2"/>
      <c r="H1036" s="2"/>
      <c r="J1036" s="2"/>
      <c r="L1036" s="2"/>
    </row>
    <row r="1037" spans="1:12" x14ac:dyDescent="0.55000000000000004">
      <c r="A1037" s="1" t="s">
        <v>1769</v>
      </c>
      <c r="B1037" s="2">
        <f>COUNTIF(A:A,A1037)-1</f>
        <v>3</v>
      </c>
      <c r="C1037" s="2">
        <f>COUNTIF(A$1:A1037,A1037)-1</f>
        <v>1</v>
      </c>
      <c r="D1037" s="2" t="str">
        <f t="shared" si="16"/>
        <v>var</v>
      </c>
      <c r="E1037" s="2" t="e">
        <f>SKEW(#REF!)</f>
        <v>#REF!</v>
      </c>
      <c r="F1037" s="2" t="e">
        <f>SKEW(+F1037:G1037,#REF!,#REF!)</f>
        <v>#REF!</v>
      </c>
      <c r="H1037" s="2" t="e">
        <f>SKEW(H1037:I1037,#REF!,#REF!)</f>
        <v>#REF!</v>
      </c>
      <c r="I1037" s="1">
        <v>1</v>
      </c>
      <c r="J1037" s="2" t="e">
        <f>SKEW(INDIRECT(J1037:K1037),#REF!,#REF!)</f>
        <v>#REF!</v>
      </c>
      <c r="L1037" s="2">
        <f>TYPE(INDEX(,SKEW(OFFSET(INDEX(1,),,),#REF!,#REF!)))</f>
        <v>16</v>
      </c>
    </row>
    <row r="1038" spans="1:12" x14ac:dyDescent="0.55000000000000004">
      <c r="A1038" s="1" t="s">
        <v>1769</v>
      </c>
      <c r="B1038" s="2">
        <f>COUNTIF(A:A,A1038)-1</f>
        <v>3</v>
      </c>
      <c r="C1038" s="2">
        <f>COUNTIF(A$1:A1038,A1038)-1</f>
        <v>2</v>
      </c>
      <c r="D1038" s="2" t="str">
        <f t="shared" si="16"/>
        <v>var</v>
      </c>
      <c r="E1038" s="2" t="e">
        <f>SKEW(#REF!,#REF!)</f>
        <v>#REF!</v>
      </c>
      <c r="F1038" s="2" t="e">
        <f>SKEW(#REF!,+F1038:G1038,#REF!)</f>
        <v>#REF!</v>
      </c>
      <c r="H1038" s="2" t="e">
        <f>SKEW(#REF!,H1038:I1038,#REF!)</f>
        <v>#REF!</v>
      </c>
      <c r="I1038" s="1">
        <v>1</v>
      </c>
      <c r="J1038" s="2" t="e">
        <f>SKEW(#REF!,INDIRECT(J1038:K1038),#REF!)</f>
        <v>#REF!</v>
      </c>
      <c r="L1038" s="2">
        <f>TYPE(INDEX(,SKEW(#REF!,OFFSET(INDEX(1,),,),#REF!)))</f>
        <v>16</v>
      </c>
    </row>
    <row r="1039" spans="1:12" x14ac:dyDescent="0.55000000000000004">
      <c r="A1039" s="1" t="s">
        <v>1769</v>
      </c>
      <c r="B1039" s="2">
        <f>COUNTIF(A:A,A1039)-1</f>
        <v>3</v>
      </c>
      <c r="C1039" s="2">
        <f>COUNTIF(A$1:A1039,A1039)-1</f>
        <v>3</v>
      </c>
      <c r="D1039" s="2" t="str">
        <f t="shared" si="16"/>
        <v>var</v>
      </c>
      <c r="E1039" s="2" t="e">
        <f>SKEW(#REF!,#REF!,#REF!)</f>
        <v>#REF!</v>
      </c>
      <c r="F1039" s="2" t="e">
        <f>SKEW(#REF!,#REF!,+F1039:G1039)</f>
        <v>#REF!</v>
      </c>
      <c r="H1039" s="2" t="e">
        <f>SKEW(#REF!,#REF!,H1039:I1039)</f>
        <v>#REF!</v>
      </c>
      <c r="I1039" s="1">
        <v>1</v>
      </c>
      <c r="J1039" s="2" t="e">
        <f>SKEW(#REF!,#REF!,INDIRECT(J1039:K1039))</f>
        <v>#REF!</v>
      </c>
      <c r="L1039" s="2">
        <f>TYPE(INDEX(,SKEW(#REF!,#REF!,OFFSET(INDEX(1,),,))))</f>
        <v>16</v>
      </c>
    </row>
    <row r="1040" spans="1:12" x14ac:dyDescent="0.55000000000000004">
      <c r="A1040" s="1" t="s">
        <v>1770</v>
      </c>
      <c r="B1040" s="2">
        <f>COUNTIF(A:A,A1040)-1</f>
        <v>3</v>
      </c>
      <c r="C1040" s="2">
        <f>COUNTIF(A$1:A1040,A1040)-1</f>
        <v>0</v>
      </c>
      <c r="D1040" s="2" t="str">
        <f t="shared" si="16"/>
        <v/>
      </c>
      <c r="E1040" s="2"/>
      <c r="F1040" s="2"/>
      <c r="H1040" s="2"/>
      <c r="J1040" s="2"/>
      <c r="L1040" s="2"/>
    </row>
    <row r="1041" spans="1:12" x14ac:dyDescent="0.55000000000000004">
      <c r="A1041" s="1" t="s">
        <v>1770</v>
      </c>
      <c r="B1041" s="2">
        <f>COUNTIF(A:A,A1041)-1</f>
        <v>3</v>
      </c>
      <c r="C1041" s="2">
        <f>COUNTIF(A$1:A1041,A1041)-1</f>
        <v>1</v>
      </c>
      <c r="D1041" s="2" t="str">
        <f t="shared" si="16"/>
        <v>var</v>
      </c>
      <c r="E1041" s="2"/>
      <c r="F1041" s="2" t="e">
        <f>ZTEST(+F1041:G1041,#REF!,#REF!)</f>
        <v>#REF!</v>
      </c>
      <c r="H1041" s="2" t="e">
        <f>ZTEST(H1041:I1041,#REF!,#REF!)</f>
        <v>#REF!</v>
      </c>
      <c r="I1041" s="1">
        <v>1</v>
      </c>
      <c r="J1041" s="2" t="e">
        <f>ZTEST(INDIRECT(J1041:K1041),#REF!,#REF!)</f>
        <v>#REF!</v>
      </c>
      <c r="L1041" s="2">
        <f>TYPE(INDEX(,ZTEST(OFFSET(INDEX(1,),,),#REF!,#REF!)))</f>
        <v>16</v>
      </c>
    </row>
    <row r="1042" spans="1:12" x14ac:dyDescent="0.55000000000000004">
      <c r="A1042" s="1" t="s">
        <v>1770</v>
      </c>
      <c r="B1042" s="2">
        <f>COUNTIF(A:A,A1042)-1</f>
        <v>3</v>
      </c>
      <c r="C1042" s="2">
        <f>COUNTIF(A$1:A1042,A1042)-1</f>
        <v>2</v>
      </c>
      <c r="D1042" s="2" t="str">
        <f t="shared" si="16"/>
        <v>v</v>
      </c>
      <c r="E1042" s="2" t="e">
        <f>ZTEST(#REF!,#REF!)</f>
        <v>#REF!</v>
      </c>
      <c r="F1042" s="2" t="e">
        <f>ZTEST(#REF!,+F1042:G1042,#REF!)</f>
        <v>#REF!</v>
      </c>
      <c r="H1042" s="2" t="e">
        <f>ZTEST(#REF!,H1042:I1042,#REF!)</f>
        <v>#REF!</v>
      </c>
      <c r="J1042" s="2" t="e">
        <f>ZTEST(#REF!,INDIRECT(J1042:K1042),#REF!)</f>
        <v>#REF!</v>
      </c>
      <c r="L1042" s="2">
        <f>TYPE(INDEX(,ZTEST(#REF!,OFFSET(INDEX(1,),,),#REF!)))</f>
        <v>64</v>
      </c>
    </row>
    <row r="1043" spans="1:12" x14ac:dyDescent="0.55000000000000004">
      <c r="A1043" s="1" t="s">
        <v>1770</v>
      </c>
      <c r="B1043" s="2">
        <f>COUNTIF(A:A,A1043)-1</f>
        <v>3</v>
      </c>
      <c r="C1043" s="2">
        <f>COUNTIF(A$1:A1043,A1043)-1</f>
        <v>3</v>
      </c>
      <c r="D1043" s="2" t="str">
        <f t="shared" si="16"/>
        <v>v</v>
      </c>
      <c r="E1043" s="2" t="e">
        <f>ZTEST(#REF!,#REF!,#REF!)</f>
        <v>#REF!</v>
      </c>
      <c r="F1043" s="2" t="e">
        <f>ZTEST(#REF!,#REF!,+F1043:G1043)</f>
        <v>#REF!</v>
      </c>
      <c r="H1043" s="2" t="e">
        <f>ZTEST(#REF!,#REF!,H1043:I1043)</f>
        <v>#REF!</v>
      </c>
      <c r="J1043" s="2" t="e">
        <f>ZTEST(#REF!,#REF!,INDIRECT(J1043:K1043))</f>
        <v>#REF!</v>
      </c>
      <c r="L1043" s="2">
        <f>TYPE(INDEX(,ZTEST(#REF!,#REF!,OFFSET(INDEX(1,),,))))</f>
        <v>64</v>
      </c>
    </row>
    <row r="1044" spans="1:12" x14ac:dyDescent="0.55000000000000004">
      <c r="A1044" s="1" t="s">
        <v>1771</v>
      </c>
      <c r="B1044" s="2">
        <f>COUNTIF(A:A,A1044)-1</f>
        <v>2</v>
      </c>
      <c r="C1044" s="2">
        <f>COUNTIF(A$1:A1044,A1044)-1</f>
        <v>0</v>
      </c>
      <c r="D1044" s="2" t="str">
        <f t="shared" si="16"/>
        <v/>
      </c>
      <c r="E1044" s="2"/>
      <c r="F1044" s="2"/>
      <c r="H1044" s="2"/>
      <c r="J1044" s="2"/>
      <c r="L1044" s="2"/>
    </row>
    <row r="1045" spans="1:12" x14ac:dyDescent="0.55000000000000004">
      <c r="A1045" s="1" t="s">
        <v>1771</v>
      </c>
      <c r="B1045" s="2">
        <f>COUNTIF(A:A,A1045)-1</f>
        <v>2</v>
      </c>
      <c r="C1045" s="2">
        <f>COUNTIF(A$1:A1045,A1045)-1</f>
        <v>1</v>
      </c>
      <c r="D1045" s="2" t="str">
        <f t="shared" si="16"/>
        <v>var</v>
      </c>
      <c r="E1045" s="2"/>
      <c r="F1045" s="2" t="e">
        <f>LARGE(+F1045:G1045,#REF!)</f>
        <v>#REF!</v>
      </c>
      <c r="H1045" s="2" t="e">
        <f>LARGE(H1045:I1045,#REF!)</f>
        <v>#REF!</v>
      </c>
      <c r="I1045" s="1">
        <v>1</v>
      </c>
      <c r="J1045" s="2" t="e">
        <f>LARGE(INDIRECT(J1045:K1045),#REF!)</f>
        <v>#REF!</v>
      </c>
      <c r="L1045" s="2">
        <f>TYPE(INDEX(,LARGE(OFFSET(INDEX(1,),,),#REF!)))</f>
        <v>16</v>
      </c>
    </row>
    <row r="1046" spans="1:12" x14ac:dyDescent="0.55000000000000004">
      <c r="A1046" s="1" t="s">
        <v>1771</v>
      </c>
      <c r="B1046" s="2">
        <f>COUNTIF(A:A,A1046)-1</f>
        <v>2</v>
      </c>
      <c r="C1046" s="2">
        <f>COUNTIF(A$1:A1046,A1046)-1</f>
        <v>2</v>
      </c>
      <c r="D1046" s="2" t="str">
        <f t="shared" si="16"/>
        <v>v</v>
      </c>
      <c r="E1046" s="2" t="e">
        <f>LARGE(#REF!,#REF!)</f>
        <v>#REF!</v>
      </c>
      <c r="F1046" s="2" t="e">
        <f>LARGE(#REF!,+F1046:G1046)</f>
        <v>#REF!</v>
      </c>
      <c r="H1046" s="2" t="e">
        <f>LARGE(#REF!,H1046:I1046)</f>
        <v>#REF!</v>
      </c>
      <c r="J1046" s="2" t="e">
        <f>LARGE(#REF!,INDIRECT(J1046:K1046))</f>
        <v>#REF!</v>
      </c>
      <c r="L1046" s="2">
        <f>TYPE(INDEX(,LARGE(#REF!,OFFSET(INDEX(1,),,))))</f>
        <v>64</v>
      </c>
    </row>
    <row r="1047" spans="1:12" x14ac:dyDescent="0.55000000000000004">
      <c r="A1047" s="1" t="s">
        <v>1772</v>
      </c>
      <c r="B1047" s="2">
        <f>COUNTIF(A:A,A1047)-1</f>
        <v>2</v>
      </c>
      <c r="C1047" s="2">
        <f>COUNTIF(A$1:A1047,A1047)-1</f>
        <v>0</v>
      </c>
      <c r="D1047" s="2" t="str">
        <f t="shared" si="16"/>
        <v/>
      </c>
      <c r="E1047" s="2"/>
      <c r="F1047" s="2"/>
      <c r="H1047" s="2"/>
      <c r="J1047" s="2"/>
      <c r="L1047" s="2"/>
    </row>
    <row r="1048" spans="1:12" x14ac:dyDescent="0.55000000000000004">
      <c r="A1048" s="1" t="s">
        <v>1772</v>
      </c>
      <c r="B1048" s="2">
        <f>COUNTIF(A:A,A1048)-1</f>
        <v>2</v>
      </c>
      <c r="C1048" s="2">
        <f>COUNTIF(A$1:A1048,A1048)-1</f>
        <v>1</v>
      </c>
      <c r="D1048" s="2" t="str">
        <f t="shared" si="16"/>
        <v>var</v>
      </c>
      <c r="E1048" s="2"/>
      <c r="F1048" s="2" t="e">
        <f>SMALL(+F1048:G1048,#REF!)</f>
        <v>#REF!</v>
      </c>
      <c r="H1048" s="2" t="e">
        <f>SMALL(H1048:I1048,#REF!)</f>
        <v>#REF!</v>
      </c>
      <c r="I1048" s="1">
        <v>1</v>
      </c>
      <c r="J1048" s="2" t="e">
        <f>SMALL(INDIRECT(J1048:K1048),#REF!)</f>
        <v>#REF!</v>
      </c>
      <c r="L1048" s="2">
        <f>TYPE(INDEX(,SMALL(OFFSET(INDEX(1,),,),#REF!)))</f>
        <v>16</v>
      </c>
    </row>
    <row r="1049" spans="1:12" x14ac:dyDescent="0.55000000000000004">
      <c r="A1049" s="1" t="s">
        <v>1772</v>
      </c>
      <c r="B1049" s="2">
        <f>COUNTIF(A:A,A1049)-1</f>
        <v>2</v>
      </c>
      <c r="C1049" s="2">
        <f>COUNTIF(A$1:A1049,A1049)-1</f>
        <v>2</v>
      </c>
      <c r="D1049" s="2" t="str">
        <f t="shared" si="16"/>
        <v>v</v>
      </c>
      <c r="E1049" s="2" t="e">
        <f>SMALL(#REF!,#REF!)</f>
        <v>#REF!</v>
      </c>
      <c r="F1049" s="2" t="e">
        <f>SMALL(#REF!,+F1049:G1049)</f>
        <v>#REF!</v>
      </c>
      <c r="H1049" s="2" t="e">
        <f>SMALL(#REF!,H1049:I1049)</f>
        <v>#REF!</v>
      </c>
      <c r="J1049" s="2" t="e">
        <f>SMALL(#REF!,INDIRECT(J1049:K1049))</f>
        <v>#REF!</v>
      </c>
      <c r="L1049" s="2">
        <f>TYPE(INDEX(,SMALL(#REF!,OFFSET(INDEX(1,),,))))</f>
        <v>64</v>
      </c>
    </row>
    <row r="1050" spans="1:12" x14ac:dyDescent="0.55000000000000004">
      <c r="A1050" s="1" t="s">
        <v>1773</v>
      </c>
      <c r="B1050" s="2">
        <f>COUNTIF(A:A,A1050)-1</f>
        <v>2</v>
      </c>
      <c r="C1050" s="2">
        <f>COUNTIF(A$1:A1050,A1050)-1</f>
        <v>0</v>
      </c>
      <c r="D1050" s="2" t="str">
        <f t="shared" si="16"/>
        <v/>
      </c>
      <c r="E1050" s="2"/>
      <c r="F1050" s="2"/>
      <c r="H1050" s="2"/>
      <c r="J1050" s="2"/>
      <c r="L1050" s="2"/>
    </row>
    <row r="1051" spans="1:12" x14ac:dyDescent="0.55000000000000004">
      <c r="A1051" s="1" t="s">
        <v>1773</v>
      </c>
      <c r="B1051" s="2">
        <f>COUNTIF(A:A,A1051)-1</f>
        <v>2</v>
      </c>
      <c r="C1051" s="2">
        <f>COUNTIF(A$1:A1051,A1051)-1</f>
        <v>1</v>
      </c>
      <c r="D1051" s="2" t="str">
        <f t="shared" si="16"/>
        <v>var</v>
      </c>
      <c r="E1051" s="2"/>
      <c r="F1051" s="2" t="e">
        <f>QUARTILE(+F1051:G1051,#REF!)</f>
        <v>#REF!</v>
      </c>
      <c r="H1051" s="2" t="e">
        <f>QUARTILE(H1051:I1051,#REF!)</f>
        <v>#REF!</v>
      </c>
      <c r="I1051" s="1">
        <v>1</v>
      </c>
      <c r="J1051" s="2" t="e">
        <f>QUARTILE(INDIRECT(J1051:K1051),#REF!)</f>
        <v>#REF!</v>
      </c>
      <c r="L1051" s="2">
        <f>TYPE(INDEX(,QUARTILE(OFFSET(INDEX(1,),,),#REF!)))</f>
        <v>16</v>
      </c>
    </row>
    <row r="1052" spans="1:12" x14ac:dyDescent="0.55000000000000004">
      <c r="A1052" s="1" t="s">
        <v>1773</v>
      </c>
      <c r="B1052" s="2">
        <f>COUNTIF(A:A,A1052)-1</f>
        <v>2</v>
      </c>
      <c r="C1052" s="2">
        <f>COUNTIF(A$1:A1052,A1052)-1</f>
        <v>2</v>
      </c>
      <c r="D1052" s="2" t="str">
        <f t="shared" si="16"/>
        <v>v</v>
      </c>
      <c r="E1052" s="2" t="e">
        <f>QUARTILE(#REF!,#REF!)</f>
        <v>#REF!</v>
      </c>
      <c r="F1052" s="2" t="e">
        <f>QUARTILE(#REF!,+F1052:G1052)</f>
        <v>#REF!</v>
      </c>
      <c r="H1052" s="2" t="e">
        <f>QUARTILE(#REF!,H1052:I1052)</f>
        <v>#REF!</v>
      </c>
      <c r="J1052" s="2" t="e">
        <f>QUARTILE(#REF!,INDIRECT(J1052:K1052))</f>
        <v>#REF!</v>
      </c>
      <c r="L1052" s="2">
        <f>TYPE(INDEX(,QUARTILE(#REF!,OFFSET(INDEX(1,),,))))</f>
        <v>64</v>
      </c>
    </row>
    <row r="1053" spans="1:12" x14ac:dyDescent="0.55000000000000004">
      <c r="A1053" s="1" t="s">
        <v>1774</v>
      </c>
      <c r="B1053" s="2">
        <f>COUNTIF(A:A,A1053)-1</f>
        <v>2</v>
      </c>
      <c r="C1053" s="2">
        <f>COUNTIF(A$1:A1053,A1053)-1</f>
        <v>0</v>
      </c>
      <c r="D1053" s="2" t="str">
        <f t="shared" si="16"/>
        <v/>
      </c>
      <c r="E1053" s="2"/>
      <c r="F1053" s="2"/>
      <c r="H1053" s="2"/>
      <c r="J1053" s="2"/>
      <c r="L1053" s="2"/>
    </row>
    <row r="1054" spans="1:12" x14ac:dyDescent="0.55000000000000004">
      <c r="A1054" s="1" t="s">
        <v>1774</v>
      </c>
      <c r="B1054" s="2">
        <f>COUNTIF(A:A,A1054)-1</f>
        <v>2</v>
      </c>
      <c r="C1054" s="2">
        <f>COUNTIF(A$1:A1054,A1054)-1</f>
        <v>1</v>
      </c>
      <c r="D1054" s="2" t="str">
        <f t="shared" si="16"/>
        <v>var</v>
      </c>
      <c r="E1054" s="2"/>
      <c r="F1054" s="2" t="e">
        <f>PERCENTILE(+F1054:G1054,#REF!)</f>
        <v>#REF!</v>
      </c>
      <c r="H1054" s="2" t="e">
        <f>PERCENTILE(H1054:I1054,#REF!)</f>
        <v>#REF!</v>
      </c>
      <c r="I1054" s="1">
        <v>1</v>
      </c>
      <c r="J1054" s="2" t="e">
        <f>PERCENTILE(INDIRECT(J1054:K1054),#REF!)</f>
        <v>#REF!</v>
      </c>
      <c r="L1054" s="2">
        <f>TYPE(INDEX(,PERCENTILE(OFFSET(INDEX(1,),,),#REF!)))</f>
        <v>16</v>
      </c>
    </row>
    <row r="1055" spans="1:12" x14ac:dyDescent="0.55000000000000004">
      <c r="A1055" s="1" t="s">
        <v>1774</v>
      </c>
      <c r="B1055" s="2">
        <f>COUNTIF(A:A,A1055)-1</f>
        <v>2</v>
      </c>
      <c r="C1055" s="2">
        <f>COUNTIF(A$1:A1055,A1055)-1</f>
        <v>2</v>
      </c>
      <c r="D1055" s="2" t="str">
        <f t="shared" si="16"/>
        <v>v</v>
      </c>
      <c r="E1055" s="2" t="e">
        <f>PERCENTILE(#REF!,#REF!)</f>
        <v>#REF!</v>
      </c>
      <c r="F1055" s="2" t="e">
        <f>PERCENTILE(#REF!,+F1055:G1055)</f>
        <v>#REF!</v>
      </c>
      <c r="H1055" s="2" t="e">
        <f>PERCENTILE(#REF!,H1055:I1055)</f>
        <v>#REF!</v>
      </c>
      <c r="J1055" s="2" t="e">
        <f>PERCENTILE(#REF!,INDIRECT(J1055:K1055))</f>
        <v>#REF!</v>
      </c>
      <c r="L1055" s="2">
        <f>TYPE(INDEX(,PERCENTILE(#REF!,OFFSET(INDEX(1,),,))))</f>
        <v>64</v>
      </c>
    </row>
    <row r="1056" spans="1:12" x14ac:dyDescent="0.55000000000000004">
      <c r="A1056" s="1" t="s">
        <v>1775</v>
      </c>
      <c r="B1056" s="2">
        <f>COUNTIF(A:A,A1056)-1</f>
        <v>3</v>
      </c>
      <c r="C1056" s="2">
        <f>COUNTIF(A$1:A1056,A1056)-1</f>
        <v>0</v>
      </c>
      <c r="D1056" s="2" t="str">
        <f t="shared" si="16"/>
        <v/>
      </c>
      <c r="E1056" s="2"/>
      <c r="F1056" s="2"/>
      <c r="H1056" s="2"/>
      <c r="J1056" s="2"/>
      <c r="L1056" s="2"/>
    </row>
    <row r="1057" spans="1:12" x14ac:dyDescent="0.55000000000000004">
      <c r="A1057" s="1" t="s">
        <v>1775</v>
      </c>
      <c r="B1057" s="2">
        <f>COUNTIF(A:A,A1057)-1</f>
        <v>3</v>
      </c>
      <c r="C1057" s="2">
        <f>COUNTIF(A$1:A1057,A1057)-1</f>
        <v>1</v>
      </c>
      <c r="D1057" s="2" t="str">
        <f t="shared" si="16"/>
        <v>var</v>
      </c>
      <c r="E1057" s="2"/>
      <c r="F1057" s="2" t="e">
        <f>PERCENTRANK(+F1057:G1057,#REF!,#REF!)</f>
        <v>#REF!</v>
      </c>
      <c r="H1057" s="2" t="e">
        <f>PERCENTRANK(H1057:I1057,#REF!,#REF!)</f>
        <v>#REF!</v>
      </c>
      <c r="I1057" s="1">
        <v>1</v>
      </c>
      <c r="J1057" s="2" t="e">
        <f>PERCENTRANK(INDIRECT(J1057:K1057),#REF!,#REF!)</f>
        <v>#REF!</v>
      </c>
      <c r="L1057" s="2">
        <f>TYPE(INDEX(,PERCENTRANK(OFFSET(INDEX(1,),,),#REF!,#REF!)))</f>
        <v>16</v>
      </c>
    </row>
    <row r="1058" spans="1:12" x14ac:dyDescent="0.55000000000000004">
      <c r="A1058" s="1" t="s">
        <v>1775</v>
      </c>
      <c r="B1058" s="2">
        <f>COUNTIF(A:A,A1058)-1</f>
        <v>3</v>
      </c>
      <c r="C1058" s="2">
        <f>COUNTIF(A$1:A1058,A1058)-1</f>
        <v>2</v>
      </c>
      <c r="D1058" s="2" t="str">
        <f t="shared" si="16"/>
        <v>v</v>
      </c>
      <c r="E1058" s="2" t="e">
        <f>PERCENTRANK(#REF!,#REF!)</f>
        <v>#REF!</v>
      </c>
      <c r="F1058" s="2" t="e">
        <f>PERCENTRANK(#REF!,+F1058:G1058,#REF!)</f>
        <v>#REF!</v>
      </c>
      <c r="H1058" s="2" t="e">
        <f>PERCENTRANK(#REF!,H1058:I1058,#REF!)</f>
        <v>#REF!</v>
      </c>
      <c r="J1058" s="2" t="e">
        <f>PERCENTRANK(#REF!,INDIRECT(J1058:K1058),#REF!)</f>
        <v>#REF!</v>
      </c>
      <c r="L1058" s="2">
        <f>TYPE(INDEX(,PERCENTRANK(#REF!,OFFSET(INDEX(1,),,),#REF!)))</f>
        <v>64</v>
      </c>
    </row>
    <row r="1059" spans="1:12" x14ac:dyDescent="0.55000000000000004">
      <c r="A1059" s="1" t="s">
        <v>1775</v>
      </c>
      <c r="B1059" s="2">
        <f>COUNTIF(A:A,A1059)-1</f>
        <v>3</v>
      </c>
      <c r="C1059" s="2">
        <f>COUNTIF(A$1:A1059,A1059)-1</f>
        <v>3</v>
      </c>
      <c r="D1059" s="2" t="str">
        <f t="shared" si="16"/>
        <v>v</v>
      </c>
      <c r="E1059" s="2" t="e">
        <f>PERCENTRANK(#REF!,#REF!,#REF!)</f>
        <v>#REF!</v>
      </c>
      <c r="F1059" s="2" t="e">
        <f>PERCENTRANK(#REF!,#REF!,+F1059:G1059)</f>
        <v>#REF!</v>
      </c>
      <c r="H1059" s="2" t="e">
        <f>PERCENTRANK(#REF!,#REF!,H1059:I1059)</f>
        <v>#REF!</v>
      </c>
      <c r="J1059" s="2" t="e">
        <f>PERCENTRANK(#REF!,#REF!,INDIRECT(J1059:K1059))</f>
        <v>#REF!</v>
      </c>
      <c r="L1059" s="2">
        <f>TYPE(INDEX(,PERCENTRANK(#REF!,#REF!,OFFSET(INDEX(1,),,))))</f>
        <v>64</v>
      </c>
    </row>
    <row r="1060" spans="1:12" x14ac:dyDescent="0.55000000000000004">
      <c r="A1060" s="1" t="s">
        <v>1776</v>
      </c>
      <c r="B1060" s="2">
        <f>COUNTIF(A:A,A1060)-1</f>
        <v>3</v>
      </c>
      <c r="C1060" s="2">
        <f>COUNTIF(A$1:A1060,A1060)-1</f>
        <v>0</v>
      </c>
      <c r="D1060" s="2" t="str">
        <f t="shared" si="16"/>
        <v/>
      </c>
      <c r="E1060" s="2"/>
      <c r="F1060" s="2"/>
      <c r="H1060" s="2"/>
      <c r="J1060" s="2"/>
      <c r="L1060" s="2"/>
    </row>
    <row r="1061" spans="1:12" x14ac:dyDescent="0.55000000000000004">
      <c r="A1061" s="1" t="s">
        <v>1776</v>
      </c>
      <c r="B1061" s="2">
        <f>COUNTIF(A:A,A1061)-1</f>
        <v>3</v>
      </c>
      <c r="C1061" s="2">
        <f>COUNTIF(A$1:A1061,A1061)-1</f>
        <v>1</v>
      </c>
      <c r="D1061" s="2" t="str">
        <f t="shared" si="16"/>
        <v>a</v>
      </c>
      <c r="E1061" s="2" t="e">
        <f>MODE(#REF!)</f>
        <v>#REF!</v>
      </c>
      <c r="F1061" s="2" t="e">
        <f>MODE(+F1061:G1061,#REF!,#REF!)</f>
        <v>#REF!</v>
      </c>
      <c r="G1061" s="1">
        <v>1</v>
      </c>
      <c r="H1061" s="2" t="e">
        <f>MODE(H1061:I1061,#REF!,#REF!)</f>
        <v>#REF!</v>
      </c>
      <c r="I1061" s="1">
        <v>1</v>
      </c>
      <c r="J1061" s="2" t="e">
        <f>MODE(INDIRECT(J1061:K1061),#REF!,#REF!)</f>
        <v>#REF!</v>
      </c>
      <c r="K1061" s="1">
        <v>1</v>
      </c>
      <c r="L1061" s="2">
        <f>TYPE(INDEX(,MODE(OFFSET(INDEX(1,),,),#REF!,#REF!)))</f>
        <v>16</v>
      </c>
    </row>
    <row r="1062" spans="1:12" x14ac:dyDescent="0.55000000000000004">
      <c r="A1062" s="1" t="s">
        <v>1776</v>
      </c>
      <c r="B1062" s="2">
        <f>COUNTIF(A:A,A1062)-1</f>
        <v>3</v>
      </c>
      <c r="C1062" s="2">
        <f>COUNTIF(A$1:A1062,A1062)-1</f>
        <v>2</v>
      </c>
      <c r="D1062" s="2" t="str">
        <f t="shared" si="16"/>
        <v>a</v>
      </c>
      <c r="E1062" s="2" t="e">
        <f>MODE(#REF!,#REF!)</f>
        <v>#REF!</v>
      </c>
      <c r="F1062" s="2" t="e">
        <f>MODE(#REF!,+F1062:G1062,#REF!)</f>
        <v>#REF!</v>
      </c>
      <c r="G1062" s="1">
        <v>1</v>
      </c>
      <c r="H1062" s="2" t="e">
        <f>MODE(#REF!,H1062:I1062,#REF!)</f>
        <v>#REF!</v>
      </c>
      <c r="I1062" s="1">
        <v>1</v>
      </c>
      <c r="J1062" s="2" t="e">
        <f>MODE(#REF!,INDIRECT(J1062:K1062),#REF!)</f>
        <v>#REF!</v>
      </c>
      <c r="K1062" s="1">
        <v>1</v>
      </c>
      <c r="L1062" s="2">
        <f>TYPE(INDEX(,MODE(#REF!,OFFSET(INDEX(1,),,),#REF!)))</f>
        <v>16</v>
      </c>
    </row>
    <row r="1063" spans="1:12" x14ac:dyDescent="0.55000000000000004">
      <c r="A1063" s="1" t="s">
        <v>1776</v>
      </c>
      <c r="B1063" s="2">
        <f>COUNTIF(A:A,A1063)-1</f>
        <v>3</v>
      </c>
      <c r="C1063" s="2">
        <f>COUNTIF(A$1:A1063,A1063)-1</f>
        <v>3</v>
      </c>
      <c r="D1063" s="2" t="str">
        <f t="shared" si="16"/>
        <v>a</v>
      </c>
      <c r="E1063" s="2" t="e">
        <f>MODE(#REF!,#REF!,#REF!)</f>
        <v>#REF!</v>
      </c>
      <c r="F1063" s="2" t="e">
        <f>MODE(#REF!,#REF!,+F1063:G1063)</f>
        <v>#REF!</v>
      </c>
      <c r="G1063" s="1">
        <v>1</v>
      </c>
      <c r="H1063" s="2" t="e">
        <f>MODE(#REF!,#REF!,H1063:I1063)</f>
        <v>#REF!</v>
      </c>
      <c r="I1063" s="1">
        <v>1</v>
      </c>
      <c r="J1063" s="2" t="e">
        <f>MODE(#REF!,#REF!,INDIRECT(J1063:K1063))</f>
        <v>#REF!</v>
      </c>
      <c r="K1063" s="1">
        <v>1</v>
      </c>
      <c r="L1063" s="2">
        <f>TYPE(INDEX(,MODE(#REF!,#REF!,OFFSET(INDEX(1,),,))))</f>
        <v>16</v>
      </c>
    </row>
    <row r="1064" spans="1:12" x14ac:dyDescent="0.55000000000000004">
      <c r="A1064" s="1" t="s">
        <v>1777</v>
      </c>
      <c r="B1064" s="2">
        <f>COUNTIF(A:A,A1064)-1</f>
        <v>2</v>
      </c>
      <c r="C1064" s="2">
        <f>COUNTIF(A$1:A1064,A1064)-1</f>
        <v>0</v>
      </c>
      <c r="D1064" s="2" t="str">
        <f t="shared" si="16"/>
        <v/>
      </c>
      <c r="E1064" s="2"/>
      <c r="F1064" s="2"/>
      <c r="H1064" s="2"/>
      <c r="J1064" s="2"/>
      <c r="L1064" s="2"/>
    </row>
    <row r="1065" spans="1:12" x14ac:dyDescent="0.55000000000000004">
      <c r="A1065" s="1" t="s">
        <v>1777</v>
      </c>
      <c r="B1065" s="2">
        <f>COUNTIF(A:A,A1065)-1</f>
        <v>2</v>
      </c>
      <c r="C1065" s="2">
        <f>COUNTIF(A$1:A1065,A1065)-1</f>
        <v>1</v>
      </c>
      <c r="D1065" s="2" t="str">
        <f t="shared" si="16"/>
        <v>var</v>
      </c>
      <c r="E1065" s="2"/>
      <c r="F1065" s="2" t="e">
        <f>TRIMMEAN(+F1065:G1065,#REF!)</f>
        <v>#REF!</v>
      </c>
      <c r="H1065" s="2" t="e">
        <f>TRIMMEAN(H1065:I1065,#REF!)</f>
        <v>#REF!</v>
      </c>
      <c r="I1065" s="1">
        <v>1</v>
      </c>
      <c r="J1065" s="2" t="e">
        <f>TRIMMEAN(INDIRECT(J1065:K1065),#REF!)</f>
        <v>#REF!</v>
      </c>
      <c r="L1065" s="2">
        <f>TYPE(INDEX(,TRIMMEAN(OFFSET(INDEX(1,),,),#REF!)))</f>
        <v>16</v>
      </c>
    </row>
    <row r="1066" spans="1:12" x14ac:dyDescent="0.55000000000000004">
      <c r="A1066" s="1" t="s">
        <v>1777</v>
      </c>
      <c r="B1066" s="2">
        <f>COUNTIF(A:A,A1066)-1</f>
        <v>2</v>
      </c>
      <c r="C1066" s="2">
        <f>COUNTIF(A$1:A1066,A1066)-1</f>
        <v>2</v>
      </c>
      <c r="D1066" s="2" t="str">
        <f t="shared" si="16"/>
        <v>v</v>
      </c>
      <c r="E1066" s="2" t="e">
        <f>TRIMMEAN(#REF!,#REF!)</f>
        <v>#REF!</v>
      </c>
      <c r="F1066" s="2" t="e">
        <f>TRIMMEAN(#REF!,+F1066:G1066)</f>
        <v>#REF!</v>
      </c>
      <c r="H1066" s="2" t="e">
        <f>TRIMMEAN(#REF!,H1066:I1066)</f>
        <v>#REF!</v>
      </c>
      <c r="J1066" s="2" t="e">
        <f>TRIMMEAN(#REF!,INDIRECT(J1066:K1066))</f>
        <v>#REF!</v>
      </c>
      <c r="L1066" s="2">
        <f>TYPE(INDEX(,TRIMMEAN(#REF!,OFFSET(INDEX(1,),,))))</f>
        <v>64</v>
      </c>
    </row>
    <row r="1067" spans="1:12" x14ac:dyDescent="0.55000000000000004">
      <c r="A1067" s="1" t="s">
        <v>1778</v>
      </c>
      <c r="B1067" s="2">
        <f>COUNTIF(A:A,A1067)-1</f>
        <v>2</v>
      </c>
      <c r="C1067" s="2">
        <f>COUNTIF(A$1:A1067,A1067)-1</f>
        <v>0</v>
      </c>
      <c r="D1067" s="2" t="str">
        <f t="shared" si="16"/>
        <v/>
      </c>
      <c r="E1067" s="2"/>
      <c r="F1067" s="2"/>
      <c r="H1067" s="2"/>
      <c r="J1067" s="2"/>
      <c r="L1067" s="2"/>
    </row>
    <row r="1068" spans="1:12" x14ac:dyDescent="0.55000000000000004">
      <c r="A1068" s="1" t="s">
        <v>1778</v>
      </c>
      <c r="B1068" s="2">
        <f>COUNTIF(A:A,A1068)-1</f>
        <v>2</v>
      </c>
      <c r="C1068" s="2">
        <f>COUNTIF(A$1:A1068,A1068)-1</f>
        <v>1</v>
      </c>
      <c r="D1068" s="2" t="str">
        <f t="shared" si="16"/>
        <v>v</v>
      </c>
      <c r="E1068" s="2"/>
      <c r="F1068" s="2" t="e">
        <f>TINV(+F1068:G1068,#REF!)</f>
        <v>#REF!</v>
      </c>
      <c r="H1068" s="2" t="e">
        <f>TINV(H1068:I1068,#REF!)</f>
        <v>#REF!</v>
      </c>
      <c r="J1068" s="2" t="e">
        <f>TINV(INDIRECT(J1068:K1068),#REF!)</f>
        <v>#REF!</v>
      </c>
      <c r="L1068" s="2">
        <f>TYPE(INDEX(,TINV(OFFSET(INDEX(1,),,),#REF!)))</f>
        <v>64</v>
      </c>
    </row>
    <row r="1069" spans="1:12" x14ac:dyDescent="0.55000000000000004">
      <c r="A1069" s="1" t="s">
        <v>1778</v>
      </c>
      <c r="B1069" s="2">
        <f>COUNTIF(A:A,A1069)-1</f>
        <v>2</v>
      </c>
      <c r="C1069" s="2">
        <f>COUNTIF(A$1:A1069,A1069)-1</f>
        <v>2</v>
      </c>
      <c r="D1069" s="2" t="str">
        <f t="shared" si="16"/>
        <v>v</v>
      </c>
      <c r="E1069" s="2" t="e">
        <f>TINV(#REF!,#REF!)</f>
        <v>#REF!</v>
      </c>
      <c r="F1069" s="2" t="e">
        <f>TINV(#REF!,+F1069:G1069)</f>
        <v>#REF!</v>
      </c>
      <c r="H1069" s="2" t="e">
        <f>TINV(#REF!,H1069:I1069)</f>
        <v>#REF!</v>
      </c>
      <c r="J1069" s="2" t="e">
        <f>TINV(#REF!,INDIRECT(J1069:K1069))</f>
        <v>#REF!</v>
      </c>
      <c r="L1069" s="2">
        <f>TYPE(INDEX(,TINV(#REF!,OFFSET(INDEX(1,),,))))</f>
        <v>64</v>
      </c>
    </row>
    <row r="1070" spans="1:12" x14ac:dyDescent="0.55000000000000004">
      <c r="A1070" s="1" t="s">
        <v>1779</v>
      </c>
      <c r="B1070" s="2">
        <f>COUNTIF(A:A,A1070)-1</f>
        <v>4</v>
      </c>
      <c r="C1070" s="2">
        <f>COUNTIF(A$1:A1070,A1070)-1</f>
        <v>0</v>
      </c>
      <c r="D1070" s="2" t="str">
        <f t="shared" si="16"/>
        <v/>
      </c>
      <c r="E1070" s="2"/>
      <c r="F1070" s="2"/>
      <c r="H1070" s="2"/>
      <c r="J1070" s="2"/>
      <c r="L1070" s="2"/>
    </row>
    <row r="1071" spans="1:12" x14ac:dyDescent="0.55000000000000004">
      <c r="A1071" s="1" t="s">
        <v>1779</v>
      </c>
      <c r="B1071" s="2">
        <f>COUNTIF(A:A,A1071)-1</f>
        <v>4</v>
      </c>
      <c r="C1071" s="2">
        <f>COUNTIF(A$1:A1071,A1071)-1</f>
        <v>1</v>
      </c>
      <c r="D1071" s="2" t="str">
        <f t="shared" si="16"/>
        <v>v</v>
      </c>
      <c r="E1071" s="2"/>
      <c r="F1071" s="2" t="e">
        <f>MOVIE.COMMAND(+F1071:G1071,#REF!,#REF!,#REF!)</f>
        <v>#REF!</v>
      </c>
      <c r="H1071" s="2" t="e">
        <f>MOVIE.COMMAND(H1071:I1071,#REF!,#REF!,#REF!)</f>
        <v>#REF!</v>
      </c>
      <c r="J1071" s="2" t="e">
        <f>MOVIE.COMMAND(INDIRECT(J1071:K1071),#REF!,#REF!,#REF!)</f>
        <v>#REF!</v>
      </c>
      <c r="L1071" s="2">
        <f>TYPE(INDEX(,MOVIE.COMMAND(OFFSET(INDEX(1,),,),#REF!,#REF!,#REF!)))</f>
        <v>64</v>
      </c>
    </row>
    <row r="1072" spans="1:12" x14ac:dyDescent="0.55000000000000004">
      <c r="A1072" s="1" t="s">
        <v>1779</v>
      </c>
      <c r="B1072" s="2">
        <f>COUNTIF(A:A,A1072)-1</f>
        <v>4</v>
      </c>
      <c r="C1072" s="2">
        <f>COUNTIF(A$1:A1072,A1072)-1</f>
        <v>2</v>
      </c>
      <c r="D1072" s="2" t="str">
        <f t="shared" si="16"/>
        <v>v</v>
      </c>
      <c r="E1072" s="2"/>
      <c r="F1072" s="2" t="e">
        <f>MOVIE.COMMAND(#REF!,+F1072:G1072,#REF!,#REF!)</f>
        <v>#REF!</v>
      </c>
      <c r="H1072" s="2" t="e">
        <f>MOVIE.COMMAND(#REF!,H1072:I1072,#REF!,#REF!)</f>
        <v>#REF!</v>
      </c>
      <c r="J1072" s="2" t="e">
        <f>MOVIE.COMMAND(#REF!,INDIRECT(J1072:K1072),#REF!,#REF!)</f>
        <v>#REF!</v>
      </c>
      <c r="L1072" s="2">
        <f>TYPE(INDEX(,MOVIE.COMMAND(#REF!,OFFSET(INDEX(1,),,),#REF!,#REF!)))</f>
        <v>64</v>
      </c>
    </row>
    <row r="1073" spans="1:12" x14ac:dyDescent="0.55000000000000004">
      <c r="A1073" s="1" t="s">
        <v>1779</v>
      </c>
      <c r="B1073" s="2">
        <f>COUNTIF(A:A,A1073)-1</f>
        <v>4</v>
      </c>
      <c r="C1073" s="2">
        <f>COUNTIF(A$1:A1073,A1073)-1</f>
        <v>3</v>
      </c>
      <c r="D1073" s="2" t="str">
        <f t="shared" si="16"/>
        <v>v</v>
      </c>
      <c r="E1073" s="2" t="e">
        <f>MOVIE.COMMAND(#REF!,#REF!,#REF!)</f>
        <v>#REF!</v>
      </c>
      <c r="F1073" s="2" t="e">
        <f>MOVIE.COMMAND(#REF!,#REF!,+F1073:G1073,#REF!)</f>
        <v>#REF!</v>
      </c>
      <c r="H1073" s="2" t="e">
        <f>MOVIE.COMMAND(#REF!,#REF!,H1073:I1073,#REF!)</f>
        <v>#REF!</v>
      </c>
      <c r="J1073" s="2" t="e">
        <f>MOVIE.COMMAND(#REF!,#REF!,INDIRECT(J1073:K1073),#REF!)</f>
        <v>#REF!</v>
      </c>
      <c r="L1073" s="2">
        <f>TYPE(INDEX(,MOVIE.COMMAND(#REF!,#REF!,OFFSET(INDEX(1,),,),#REF!)))</f>
        <v>64</v>
      </c>
    </row>
    <row r="1074" spans="1:12" x14ac:dyDescent="0.55000000000000004">
      <c r="A1074" s="1" t="s">
        <v>1779</v>
      </c>
      <c r="B1074" s="2">
        <f>COUNTIF(A:A,A1074)-1</f>
        <v>4</v>
      </c>
      <c r="C1074" s="2">
        <f>COUNTIF(A$1:A1074,A1074)-1</f>
        <v>4</v>
      </c>
      <c r="D1074" s="2" t="str">
        <f t="shared" si="16"/>
        <v>v</v>
      </c>
      <c r="E1074" s="2" t="e">
        <f>MOVIE.COMMAND(#REF!,#REF!,#REF!,#REF!)</f>
        <v>#REF!</v>
      </c>
      <c r="F1074" s="2" t="e">
        <f>MOVIE.COMMAND(#REF!,#REF!,#REF!,+F1074:G1074)</f>
        <v>#REF!</v>
      </c>
      <c r="H1074" s="2" t="e">
        <f>MOVIE.COMMAND(#REF!,#REF!,#REF!,H1074:I1074)</f>
        <v>#REF!</v>
      </c>
      <c r="J1074" s="2" t="e">
        <f>MOVIE.COMMAND(#REF!,#REF!,#REF!,INDIRECT(J1074:K1074))</f>
        <v>#REF!</v>
      </c>
      <c r="L1074" s="2">
        <f>TYPE(INDEX(,MOVIE.COMMAND(#REF!,#REF!,#REF!,OFFSET(INDEX(1,),,))))</f>
        <v>64</v>
      </c>
    </row>
    <row r="1075" spans="1:12" x14ac:dyDescent="0.55000000000000004">
      <c r="A1075" s="1" t="s">
        <v>1780</v>
      </c>
      <c r="B1075" s="2">
        <f>COUNTIF(A:A,A1075)-1</f>
        <v>3</v>
      </c>
      <c r="C1075" s="2">
        <f>COUNTIF(A$1:A1075,A1075)-1</f>
        <v>0</v>
      </c>
      <c r="D1075" s="2" t="str">
        <f t="shared" si="16"/>
        <v/>
      </c>
      <c r="E1075" s="2"/>
      <c r="F1075" s="2"/>
      <c r="H1075" s="2"/>
      <c r="J1075" s="2"/>
      <c r="L1075" s="2"/>
    </row>
    <row r="1076" spans="1:12" x14ac:dyDescent="0.55000000000000004">
      <c r="A1076" s="1" t="s">
        <v>1780</v>
      </c>
      <c r="B1076" s="2">
        <f>COUNTIF(A:A,A1076)-1</f>
        <v>3</v>
      </c>
      <c r="C1076" s="2">
        <f>COUNTIF(A$1:A1076,A1076)-1</f>
        <v>1</v>
      </c>
      <c r="D1076" s="2" t="str">
        <f t="shared" si="16"/>
        <v>v</v>
      </c>
      <c r="E1076" s="2"/>
      <c r="F1076" s="2" t="e">
        <f>GET.MOVIE(+F1076:G1076,#REF!,#REF!)</f>
        <v>#REF!</v>
      </c>
      <c r="H1076" s="2" t="e">
        <f>GET.MOVIE(H1076:I1076,#REF!,#REF!)</f>
        <v>#REF!</v>
      </c>
      <c r="J1076" s="2" t="e">
        <f>GET.MOVIE(INDIRECT(J1076:K1076),#REF!,#REF!)</f>
        <v>#REF!</v>
      </c>
      <c r="L1076" s="2">
        <f>TYPE(INDEX(,GET.MOVIE(OFFSET(INDEX(1,),,),#REF!,#REF!)))</f>
        <v>64</v>
      </c>
    </row>
    <row r="1077" spans="1:12" x14ac:dyDescent="0.55000000000000004">
      <c r="A1077" s="1" t="s">
        <v>1780</v>
      </c>
      <c r="B1077" s="2">
        <f>COUNTIF(A:A,A1077)-1</f>
        <v>3</v>
      </c>
      <c r="C1077" s="2">
        <f>COUNTIF(A$1:A1077,A1077)-1</f>
        <v>2</v>
      </c>
      <c r="D1077" s="2" t="str">
        <f t="shared" si="16"/>
        <v>v</v>
      </c>
      <c r="E1077" s="2" t="e">
        <f>GET.MOVIE(#REF!,#REF!)</f>
        <v>#REF!</v>
      </c>
      <c r="F1077" s="2" t="e">
        <f>GET.MOVIE(#REF!,+F1077:G1077,#REF!)</f>
        <v>#REF!</v>
      </c>
      <c r="H1077" s="2" t="e">
        <f>GET.MOVIE(#REF!,H1077:I1077,#REF!)</f>
        <v>#REF!</v>
      </c>
      <c r="J1077" s="2" t="e">
        <f>GET.MOVIE(#REF!,INDIRECT(J1077:K1077),#REF!)</f>
        <v>#REF!</v>
      </c>
      <c r="L1077" s="2">
        <f>TYPE(INDEX(,GET.MOVIE(#REF!,OFFSET(INDEX(1,),,),#REF!)))</f>
        <v>64</v>
      </c>
    </row>
    <row r="1078" spans="1:12" x14ac:dyDescent="0.55000000000000004">
      <c r="A1078" s="1" t="s">
        <v>1780</v>
      </c>
      <c r="B1078" s="2">
        <f>COUNTIF(A:A,A1078)-1</f>
        <v>3</v>
      </c>
      <c r="C1078" s="2">
        <f>COUNTIF(A$1:A1078,A1078)-1</f>
        <v>3</v>
      </c>
      <c r="D1078" s="2" t="str">
        <f t="shared" si="16"/>
        <v>v</v>
      </c>
      <c r="E1078" s="2" t="e">
        <f>GET.MOVIE(#REF!,#REF!,#REF!)</f>
        <v>#REF!</v>
      </c>
      <c r="F1078" s="2" t="e">
        <f>GET.MOVIE(#REF!,#REF!,+F1078:G1078)</f>
        <v>#REF!</v>
      </c>
      <c r="H1078" s="2" t="e">
        <f>GET.MOVIE(#REF!,#REF!,H1078:I1078)</f>
        <v>#REF!</v>
      </c>
      <c r="J1078" s="2" t="e">
        <f>GET.MOVIE(#REF!,#REF!,INDIRECT(J1078:K1078))</f>
        <v>#REF!</v>
      </c>
      <c r="L1078" s="2">
        <f>TYPE(INDEX(,GET.MOVIE(#REF!,#REF!,OFFSET(INDEX(1,),,))))</f>
        <v>64</v>
      </c>
    </row>
    <row r="1079" spans="1:12" x14ac:dyDescent="0.55000000000000004">
      <c r="A1079" s="1" t="s">
        <v>1781</v>
      </c>
      <c r="B1079" s="2">
        <f>COUNTIF(A:A,A1079)-1</f>
        <v>3</v>
      </c>
      <c r="C1079" s="2">
        <f>COUNTIF(A$1:A1079,A1079)-1</f>
        <v>0</v>
      </c>
      <c r="D1079" s="2" t="str">
        <f t="shared" si="16"/>
        <v/>
      </c>
      <c r="E1079" s="2"/>
      <c r="F1079" s="2"/>
      <c r="H1079" s="2"/>
      <c r="J1079" s="2"/>
      <c r="L1079" s="2"/>
    </row>
    <row r="1080" spans="1:12" x14ac:dyDescent="0.55000000000000004">
      <c r="A1080" s="1" t="s">
        <v>1781</v>
      </c>
      <c r="B1080" s="2">
        <f>COUNTIF(A:A,A1080)-1</f>
        <v>3</v>
      </c>
      <c r="C1080" s="2">
        <f>COUNTIF(A$1:A1080,A1080)-1</f>
        <v>1</v>
      </c>
      <c r="D1080" s="2" t="str">
        <f t="shared" si="16"/>
        <v>v</v>
      </c>
      <c r="E1080" s="2" t="e">
        <f>CONCATENATE(#REF!)</f>
        <v>#REF!</v>
      </c>
      <c r="F1080" s="2" t="e">
        <f>CONCATENATE(+F1080:G1080,#REF!,#REF!)</f>
        <v>#REF!</v>
      </c>
      <c r="H1080" s="2" t="e">
        <f>CONCATENATE(H1080:I1080,#REF!,#REF!)</f>
        <v>#REF!</v>
      </c>
      <c r="J1080" s="2" t="e">
        <f>CONCATENATE(INDIRECT(J1080:K1080),#REF!,#REF!)</f>
        <v>#REF!</v>
      </c>
      <c r="L1080" s="2">
        <f>TYPE(INDEX(,CONCATENATE(OFFSET(INDEX(1,),,),#REF!,#REF!)))</f>
        <v>64</v>
      </c>
    </row>
    <row r="1081" spans="1:12" x14ac:dyDescent="0.55000000000000004">
      <c r="A1081" s="1" t="s">
        <v>1781</v>
      </c>
      <c r="B1081" s="2">
        <f>COUNTIF(A:A,A1081)-1</f>
        <v>3</v>
      </c>
      <c r="C1081" s="2">
        <f>COUNTIF(A$1:A1081,A1081)-1</f>
        <v>2</v>
      </c>
      <c r="D1081" s="2" t="str">
        <f t="shared" si="16"/>
        <v>v</v>
      </c>
      <c r="E1081" s="2" t="e">
        <f>CONCATENATE(#REF!,#REF!)</f>
        <v>#REF!</v>
      </c>
      <c r="F1081" s="2" t="e">
        <f>CONCATENATE(#REF!,+F1081:G1081,#REF!)</f>
        <v>#REF!</v>
      </c>
      <c r="H1081" s="2" t="e">
        <f>CONCATENATE(#REF!,H1081:I1081,#REF!)</f>
        <v>#REF!</v>
      </c>
      <c r="J1081" s="2" t="e">
        <f>CONCATENATE(#REF!,INDIRECT(J1081:K1081),#REF!)</f>
        <v>#REF!</v>
      </c>
      <c r="L1081" s="2">
        <f>TYPE(INDEX(,CONCATENATE(#REF!,OFFSET(INDEX(1,),,),#REF!)))</f>
        <v>64</v>
      </c>
    </row>
    <row r="1082" spans="1:12" x14ac:dyDescent="0.55000000000000004">
      <c r="A1082" s="1" t="s">
        <v>1781</v>
      </c>
      <c r="B1082" s="2">
        <f>COUNTIF(A:A,A1082)-1</f>
        <v>3</v>
      </c>
      <c r="C1082" s="2">
        <f>COUNTIF(A$1:A1082,A1082)-1</f>
        <v>3</v>
      </c>
      <c r="D1082" s="2" t="str">
        <f t="shared" si="16"/>
        <v>v</v>
      </c>
      <c r="E1082" s="2" t="e">
        <f>CONCATENATE(#REF!,#REF!,#REF!)</f>
        <v>#REF!</v>
      </c>
      <c r="F1082" s="2" t="e">
        <f>CONCATENATE(#REF!,#REF!,+F1082:G1082)</f>
        <v>#REF!</v>
      </c>
      <c r="H1082" s="2" t="e">
        <f>CONCATENATE(#REF!,#REF!,H1082:I1082)</f>
        <v>#REF!</v>
      </c>
      <c r="J1082" s="2" t="e">
        <f>CONCATENATE(#REF!,#REF!,INDIRECT(J1082:K1082))</f>
        <v>#REF!</v>
      </c>
      <c r="L1082" s="2">
        <f>TYPE(INDEX(,CONCATENATE(#REF!,#REF!,OFFSET(INDEX(1,),,))))</f>
        <v>64</v>
      </c>
    </row>
    <row r="1083" spans="1:12" x14ac:dyDescent="0.55000000000000004">
      <c r="A1083" s="1" t="s">
        <v>1782</v>
      </c>
      <c r="B1083" s="2">
        <f>COUNTIF(A:A,A1083)-1</f>
        <v>2</v>
      </c>
      <c r="C1083" s="2">
        <f>COUNTIF(A$1:A1083,A1083)-1</f>
        <v>0</v>
      </c>
      <c r="D1083" s="2" t="str">
        <f t="shared" si="16"/>
        <v/>
      </c>
      <c r="E1083" s="2"/>
      <c r="F1083" s="2"/>
      <c r="H1083" s="2"/>
      <c r="J1083" s="2"/>
      <c r="L1083" s="2"/>
    </row>
    <row r="1084" spans="1:12" x14ac:dyDescent="0.55000000000000004">
      <c r="A1084" s="1" t="s">
        <v>1782</v>
      </c>
      <c r="B1084" s="2">
        <f>COUNTIF(A:A,A1084)-1</f>
        <v>2</v>
      </c>
      <c r="C1084" s="2">
        <f>COUNTIF(A$1:A1084,A1084)-1</f>
        <v>1</v>
      </c>
      <c r="D1084" s="2" t="str">
        <f t="shared" si="16"/>
        <v>v</v>
      </c>
      <c r="E1084" s="2"/>
      <c r="F1084" s="2" t="e">
        <f>POWER(+F1084:G1084,#REF!)</f>
        <v>#REF!</v>
      </c>
      <c r="H1084" s="2" t="e">
        <f>POWER(H1084:I1084,#REF!)</f>
        <v>#REF!</v>
      </c>
      <c r="J1084" s="2" t="e">
        <f>POWER(INDIRECT(J1084:K1084),#REF!)</f>
        <v>#REF!</v>
      </c>
      <c r="L1084" s="2">
        <f>TYPE(INDEX(,POWER(OFFSET(INDEX(1,),,),#REF!)))</f>
        <v>64</v>
      </c>
    </row>
    <row r="1085" spans="1:12" x14ac:dyDescent="0.55000000000000004">
      <c r="A1085" s="1" t="s">
        <v>1782</v>
      </c>
      <c r="B1085" s="2">
        <f>COUNTIF(A:A,A1085)-1</f>
        <v>2</v>
      </c>
      <c r="C1085" s="2">
        <f>COUNTIF(A$1:A1085,A1085)-1</f>
        <v>2</v>
      </c>
      <c r="D1085" s="2" t="str">
        <f t="shared" si="16"/>
        <v>v</v>
      </c>
      <c r="E1085" s="2" t="e">
        <f>POWER(#REF!,#REF!)</f>
        <v>#REF!</v>
      </c>
      <c r="F1085" s="2" t="e">
        <f>POWER(#REF!,+F1085:G1085)</f>
        <v>#REF!</v>
      </c>
      <c r="H1085" s="2" t="e">
        <f>POWER(#REF!,H1085:I1085)</f>
        <v>#REF!</v>
      </c>
      <c r="J1085" s="2" t="e">
        <f>POWER(#REF!,INDIRECT(J1085:K1085))</f>
        <v>#REF!</v>
      </c>
      <c r="L1085" s="2">
        <f>TYPE(INDEX(,POWER(#REF!,OFFSET(INDEX(1,),,))))</f>
        <v>64</v>
      </c>
    </row>
    <row r="1086" spans="1:12" x14ac:dyDescent="0.55000000000000004">
      <c r="A1086" s="1" t="s">
        <v>1783</v>
      </c>
      <c r="B1086" s="2">
        <f>COUNTIF(A:A,A1086)-1</f>
        <v>9</v>
      </c>
      <c r="C1086" s="2">
        <f>COUNTIF(A$1:A1086,A1086)-1</f>
        <v>0</v>
      </c>
      <c r="D1086" s="2" t="str">
        <f t="shared" si="16"/>
        <v/>
      </c>
      <c r="E1086" s="2"/>
      <c r="F1086" s="2"/>
      <c r="H1086" s="2"/>
      <c r="J1086" s="2"/>
      <c r="L1086" s="2"/>
    </row>
    <row r="1087" spans="1:12" x14ac:dyDescent="0.55000000000000004">
      <c r="A1087" s="1" t="s">
        <v>1783</v>
      </c>
      <c r="B1087" s="2">
        <f>COUNTIF(A:A,A1087)-1</f>
        <v>9</v>
      </c>
      <c r="C1087" s="2">
        <f>COUNTIF(A$1:A1087,A1087)-1</f>
        <v>1</v>
      </c>
      <c r="D1087" s="2" t="str">
        <f t="shared" si="16"/>
        <v>v</v>
      </c>
      <c r="E1087" s="2"/>
      <c r="F1087" s="2" t="e">
        <f>PIVOT.ADD.DATA(+F1087:G1087,#REF!,#REF!,#REF!,#REF!,#REF!,#REF!,#REF!,#REF!)</f>
        <v>#REF!</v>
      </c>
      <c r="H1087" s="2" t="e">
        <f>PIVOT.ADD.DATA(H1087:I1087,#REF!,#REF!,#REF!,#REF!,#REF!,#REF!,#REF!,#REF!)</f>
        <v>#REF!</v>
      </c>
      <c r="J1087" s="2" t="e">
        <f>PIVOT.ADD.DATA(INDIRECT(J1087:K1087),#REF!,#REF!,#REF!,#REF!,#REF!,#REF!,#REF!,#REF!)</f>
        <v>#REF!</v>
      </c>
      <c r="L1087" s="2">
        <f>TYPE(INDEX(,PIVOT.ADD.DATA(OFFSET(INDEX(1,),,),#REF!,#REF!,#REF!,#REF!,#REF!,#REF!,#REF!,#REF!)))</f>
        <v>64</v>
      </c>
    </row>
    <row r="1088" spans="1:12" x14ac:dyDescent="0.55000000000000004">
      <c r="A1088" s="1" t="s">
        <v>1783</v>
      </c>
      <c r="B1088" s="2">
        <f>COUNTIF(A:A,A1088)-1</f>
        <v>9</v>
      </c>
      <c r="C1088" s="2">
        <f>COUNTIF(A$1:A1088,A1088)-1</f>
        <v>2</v>
      </c>
      <c r="D1088" s="2" t="str">
        <f t="shared" si="16"/>
        <v>v</v>
      </c>
      <c r="E1088" s="2" t="e">
        <f>PIVOT.ADD.DATA(#REF!,#REF!)</f>
        <v>#REF!</v>
      </c>
      <c r="F1088" s="2" t="e">
        <f>PIVOT.ADD.DATA(#REF!,+F1088:G1088,#REF!,#REF!,#REF!,#REF!,#REF!,#REF!,#REF!)</f>
        <v>#REF!</v>
      </c>
      <c r="H1088" s="2" t="e">
        <f>PIVOT.ADD.DATA(#REF!,H1088:I1088,#REF!,#REF!,#REF!,#REF!,#REF!,#REF!,#REF!)</f>
        <v>#REF!</v>
      </c>
      <c r="J1088" s="2" t="e">
        <f>PIVOT.ADD.DATA(#REF!,INDIRECT(J1088:K1088),#REF!,#REF!,#REF!,#REF!,#REF!,#REF!,#REF!)</f>
        <v>#REF!</v>
      </c>
      <c r="L1088" s="2">
        <f>TYPE(INDEX(,PIVOT.ADD.DATA(#REF!,OFFSET(INDEX(1,),,),#REF!,#REF!,#REF!,#REF!,#REF!,#REF!,#REF!)))</f>
        <v>64</v>
      </c>
    </row>
    <row r="1089" spans="1:12" x14ac:dyDescent="0.55000000000000004">
      <c r="A1089" s="1" t="s">
        <v>1783</v>
      </c>
      <c r="B1089" s="2">
        <f>COUNTIF(A:A,A1089)-1</f>
        <v>9</v>
      </c>
      <c r="C1089" s="2">
        <f>COUNTIF(A$1:A1089,A1089)-1</f>
        <v>3</v>
      </c>
      <c r="D1089" s="2" t="str">
        <f t="shared" si="16"/>
        <v>v</v>
      </c>
      <c r="E1089" s="2" t="e">
        <f>PIVOT.ADD.DATA(#REF!,#REF!,#REF!)</f>
        <v>#REF!</v>
      </c>
      <c r="F1089" s="2" t="e">
        <f>PIVOT.ADD.DATA(#REF!,#REF!,+F1089:G1089,#REF!,#REF!,#REF!,#REF!,#REF!,#REF!)</f>
        <v>#REF!</v>
      </c>
      <c r="H1089" s="2" t="e">
        <f>PIVOT.ADD.DATA(#REF!,#REF!,H1089:I1089,#REF!,#REF!,#REF!,#REF!,#REF!,#REF!)</f>
        <v>#REF!</v>
      </c>
      <c r="J1089" s="2" t="e">
        <f>PIVOT.ADD.DATA(#REF!,#REF!,INDIRECT(J1089:K1089),#REF!,#REF!,#REF!,#REF!,#REF!,#REF!)</f>
        <v>#REF!</v>
      </c>
      <c r="L1089" s="2">
        <f>TYPE(INDEX(,PIVOT.ADD.DATA(#REF!,#REF!,OFFSET(INDEX(1,),,),#REF!,#REF!,#REF!,#REF!,#REF!,#REF!)))</f>
        <v>64</v>
      </c>
    </row>
    <row r="1090" spans="1:12" x14ac:dyDescent="0.55000000000000004">
      <c r="A1090" s="1" t="s">
        <v>1783</v>
      </c>
      <c r="B1090" s="2">
        <f>COUNTIF(A:A,A1090)-1</f>
        <v>9</v>
      </c>
      <c r="C1090" s="2">
        <f>COUNTIF(A$1:A1090,A1090)-1</f>
        <v>4</v>
      </c>
      <c r="D1090" s="2" t="str">
        <f t="shared" ref="D1090:D1153" si="17">IF(C1090&gt;0,IF(COUNTA(F1090:G1090)=1,"v",)&amp;IF(L1090=64,,"a")&amp;IF(COUNTA(I1090,K1090)=1,"r",),"")</f>
        <v>v</v>
      </c>
      <c r="E1090" s="2" t="e">
        <f>PIVOT.ADD.DATA(#REF!,#REF!,#REF!,#REF!)</f>
        <v>#REF!</v>
      </c>
      <c r="F1090" s="2" t="e">
        <f>PIVOT.ADD.DATA(#REF!,#REF!,#REF!,+F1090:G1090,#REF!,#REF!,#REF!,#REF!,#REF!)</f>
        <v>#REF!</v>
      </c>
      <c r="H1090" s="2" t="e">
        <f>PIVOT.ADD.DATA(#REF!,#REF!,#REF!,H1090:I1090,#REF!,#REF!,#REF!,#REF!,#REF!)</f>
        <v>#REF!</v>
      </c>
      <c r="J1090" s="2" t="e">
        <f>PIVOT.ADD.DATA(#REF!,#REF!,#REF!,INDIRECT(J1090:K1090),#REF!,#REF!,#REF!,#REF!,#REF!)</f>
        <v>#REF!</v>
      </c>
      <c r="L1090" s="2">
        <f>TYPE(INDEX(,PIVOT.ADD.DATA(#REF!,#REF!,#REF!,OFFSET(INDEX(1,),,),#REF!,#REF!,#REF!,#REF!,#REF!)))</f>
        <v>64</v>
      </c>
    </row>
    <row r="1091" spans="1:12" x14ac:dyDescent="0.55000000000000004">
      <c r="A1091" s="1" t="s">
        <v>1783</v>
      </c>
      <c r="B1091" s="2">
        <f>COUNTIF(A:A,A1091)-1</f>
        <v>9</v>
      </c>
      <c r="C1091" s="2">
        <f>COUNTIF(A$1:A1091,A1091)-1</f>
        <v>5</v>
      </c>
      <c r="D1091" s="2" t="str">
        <f t="shared" si="17"/>
        <v>v</v>
      </c>
      <c r="E1091" s="2" t="e">
        <f>PIVOT.ADD.DATA(#REF!,#REF!,#REF!,#REF!,#REF!)</f>
        <v>#REF!</v>
      </c>
      <c r="F1091" s="2" t="e">
        <f>PIVOT.ADD.DATA(#REF!,#REF!,#REF!,#REF!,+F1091:G1091,#REF!,#REF!,#REF!,#REF!)</f>
        <v>#REF!</v>
      </c>
      <c r="H1091" s="2" t="e">
        <f>PIVOT.ADD.DATA(#REF!,#REF!,#REF!,#REF!,H1091:I1091,#REF!,#REF!,#REF!,#REF!)</f>
        <v>#REF!</v>
      </c>
      <c r="J1091" s="2" t="e">
        <f>PIVOT.ADD.DATA(#REF!,#REF!,#REF!,#REF!,INDIRECT(J1091:K1091),#REF!,#REF!,#REF!,#REF!)</f>
        <v>#REF!</v>
      </c>
      <c r="L1091" s="2">
        <f>TYPE(INDEX(,PIVOT.ADD.DATA(#REF!,#REF!,#REF!,#REF!,OFFSET(INDEX(1,),,),#REF!,#REF!,#REF!,#REF!)))</f>
        <v>64</v>
      </c>
    </row>
    <row r="1092" spans="1:12" x14ac:dyDescent="0.55000000000000004">
      <c r="A1092" s="1" t="s">
        <v>1783</v>
      </c>
      <c r="B1092" s="2">
        <f>COUNTIF(A:A,A1092)-1</f>
        <v>9</v>
      </c>
      <c r="C1092" s="2">
        <f>COUNTIF(A$1:A1092,A1092)-1</f>
        <v>6</v>
      </c>
      <c r="D1092" s="2" t="str">
        <f t="shared" si="17"/>
        <v>v</v>
      </c>
      <c r="E1092" s="2" t="e">
        <f>PIVOT.ADD.DATA(#REF!,#REF!,#REF!,#REF!,#REF!,#REF!)</f>
        <v>#REF!</v>
      </c>
      <c r="F1092" s="2" t="e">
        <f>PIVOT.ADD.DATA(#REF!,#REF!,#REF!,#REF!,#REF!,+F1092:G1092,#REF!,#REF!,#REF!)</f>
        <v>#REF!</v>
      </c>
      <c r="H1092" s="2" t="e">
        <f>PIVOT.ADD.DATA(#REF!,#REF!,#REF!,#REF!,#REF!,H1092:I1092,#REF!,#REF!,#REF!)</f>
        <v>#REF!</v>
      </c>
      <c r="J1092" s="2" t="e">
        <f>PIVOT.ADD.DATA(#REF!,#REF!,#REF!,#REF!,#REF!,INDIRECT(J1092:K1092),#REF!,#REF!,#REF!)</f>
        <v>#REF!</v>
      </c>
      <c r="L1092" s="2">
        <f>TYPE(INDEX(,PIVOT.ADD.DATA(#REF!,#REF!,#REF!,#REF!,#REF!,OFFSET(INDEX(1,),,),#REF!,#REF!,#REF!)))</f>
        <v>64</v>
      </c>
    </row>
    <row r="1093" spans="1:12" x14ac:dyDescent="0.55000000000000004">
      <c r="A1093" s="1" t="s">
        <v>1783</v>
      </c>
      <c r="B1093" s="2">
        <f>COUNTIF(A:A,A1093)-1</f>
        <v>9</v>
      </c>
      <c r="C1093" s="2">
        <f>COUNTIF(A$1:A1093,A1093)-1</f>
        <v>7</v>
      </c>
      <c r="D1093" s="2" t="str">
        <f t="shared" si="17"/>
        <v>v</v>
      </c>
      <c r="E1093" s="2" t="e">
        <f>PIVOT.ADD.DATA(#REF!,#REF!,#REF!,#REF!,#REF!,#REF!,#REF!)</f>
        <v>#REF!</v>
      </c>
      <c r="F1093" s="2" t="e">
        <f>PIVOT.ADD.DATA(#REF!,#REF!,#REF!,#REF!,#REF!,#REF!,+F1093:G1093,#REF!,#REF!)</f>
        <v>#REF!</v>
      </c>
      <c r="H1093" s="2" t="e">
        <f>PIVOT.ADD.DATA(#REF!,#REF!,#REF!,#REF!,#REF!,#REF!,H1093:I1093,#REF!,#REF!)</f>
        <v>#REF!</v>
      </c>
      <c r="J1093" s="2" t="e">
        <f>PIVOT.ADD.DATA(#REF!,#REF!,#REF!,#REF!,#REF!,#REF!,INDIRECT(J1093:K1093),#REF!,#REF!)</f>
        <v>#REF!</v>
      </c>
      <c r="L1093" s="2">
        <f>TYPE(INDEX(,PIVOT.ADD.DATA(#REF!,#REF!,#REF!,#REF!,#REF!,#REF!,OFFSET(INDEX(1,),,),#REF!,#REF!)))</f>
        <v>64</v>
      </c>
    </row>
    <row r="1094" spans="1:12" x14ac:dyDescent="0.55000000000000004">
      <c r="A1094" s="1" t="s">
        <v>1783</v>
      </c>
      <c r="B1094" s="2">
        <f>COUNTIF(A:A,A1094)-1</f>
        <v>9</v>
      </c>
      <c r="C1094" s="2">
        <f>COUNTIF(A$1:A1094,A1094)-1</f>
        <v>8</v>
      </c>
      <c r="D1094" s="2" t="str">
        <f t="shared" si="17"/>
        <v>v</v>
      </c>
      <c r="E1094" s="2" t="e">
        <f>PIVOT.ADD.DATA(#REF!,#REF!,#REF!,#REF!,#REF!,#REF!,#REF!,#REF!)</f>
        <v>#REF!</v>
      </c>
      <c r="F1094" s="2" t="e">
        <f>PIVOT.ADD.DATA(#REF!,#REF!,#REF!,#REF!,#REF!,#REF!,#REF!,+F1094:G1094,#REF!)</f>
        <v>#REF!</v>
      </c>
      <c r="H1094" s="2" t="e">
        <f>PIVOT.ADD.DATA(#REF!,#REF!,#REF!,#REF!,#REF!,#REF!,#REF!,H1094:I1094,#REF!)</f>
        <v>#REF!</v>
      </c>
      <c r="J1094" s="2" t="e">
        <f>PIVOT.ADD.DATA(#REF!,#REF!,#REF!,#REF!,#REF!,#REF!,#REF!,INDIRECT(J1094:K1094),#REF!)</f>
        <v>#REF!</v>
      </c>
      <c r="L1094" s="2">
        <f>TYPE(INDEX(,PIVOT.ADD.DATA(#REF!,#REF!,#REF!,#REF!,#REF!,#REF!,#REF!,OFFSET(INDEX(1,),,),#REF!)))</f>
        <v>64</v>
      </c>
    </row>
    <row r="1095" spans="1:12" x14ac:dyDescent="0.55000000000000004">
      <c r="A1095" s="1" t="s">
        <v>1783</v>
      </c>
      <c r="B1095" s="2">
        <f>COUNTIF(A:A,A1095)-1</f>
        <v>9</v>
      </c>
      <c r="C1095" s="2">
        <f>COUNTIF(A$1:A1095,A1095)-1</f>
        <v>9</v>
      </c>
      <c r="D1095" s="2" t="str">
        <f t="shared" si="17"/>
        <v>v</v>
      </c>
      <c r="E1095" s="2" t="e">
        <f>PIVOT.ADD.DATA(#REF!,#REF!,#REF!,#REF!,#REF!,#REF!,#REF!,#REF!,#REF!)</f>
        <v>#REF!</v>
      </c>
      <c r="F1095" s="2" t="e">
        <f>PIVOT.ADD.DATA(#REF!,#REF!,#REF!,#REF!,#REF!,#REF!,#REF!,#REF!,+F1095:G1095)</f>
        <v>#REF!</v>
      </c>
      <c r="H1095" s="2" t="e">
        <f>PIVOT.ADD.DATA(#REF!,#REF!,#REF!,#REF!,#REF!,#REF!,#REF!,#REF!,H1095:I1095)</f>
        <v>#REF!</v>
      </c>
      <c r="J1095" s="2" t="e">
        <f>PIVOT.ADD.DATA(#REF!,#REF!,#REF!,#REF!,#REF!,#REF!,#REF!,#REF!,INDIRECT(J1095:K1095))</f>
        <v>#REF!</v>
      </c>
      <c r="L1095" s="2">
        <f>TYPE(INDEX(,PIVOT.ADD.DATA(#REF!,#REF!,#REF!,#REF!,#REF!,#REF!,#REF!,#REF!,OFFSET(INDEX(1,),,))))</f>
        <v>64</v>
      </c>
    </row>
    <row r="1096" spans="1:12" x14ac:dyDescent="0.55000000000000004">
      <c r="A1096" s="1" t="s">
        <v>1784</v>
      </c>
      <c r="B1096" s="2">
        <f>COUNTIF(A:A,A1096)-1</f>
        <v>2</v>
      </c>
      <c r="C1096" s="2">
        <f>COUNTIF(A$1:A1096,A1096)-1</f>
        <v>0</v>
      </c>
      <c r="D1096" s="2" t="str">
        <f t="shared" si="17"/>
        <v/>
      </c>
      <c r="E1096" s="2"/>
      <c r="F1096" s="2"/>
      <c r="H1096" s="2"/>
      <c r="J1096" s="2"/>
      <c r="L1096" s="2"/>
    </row>
    <row r="1097" spans="1:12" x14ac:dyDescent="0.55000000000000004">
      <c r="A1097" s="1" t="s">
        <v>1784</v>
      </c>
      <c r="B1097" s="2">
        <f>COUNTIF(A:A,A1097)-1</f>
        <v>2</v>
      </c>
      <c r="C1097" s="2">
        <f>COUNTIF(A$1:A1097,A1097)-1</f>
        <v>1</v>
      </c>
      <c r="D1097" s="2" t="str">
        <f t="shared" si="17"/>
        <v>v</v>
      </c>
      <c r="E1097" s="2" t="e">
        <f>GET.PIVOT.TABLE(#REF!)</f>
        <v>#REF!</v>
      </c>
      <c r="F1097" s="2" t="e">
        <f>GET.PIVOT.TABLE(+F1097:G1097,#REF!)</f>
        <v>#REF!</v>
      </c>
      <c r="H1097" s="2" t="e">
        <f>GET.PIVOT.TABLE(H1097:I1097,#REF!)</f>
        <v>#REF!</v>
      </c>
      <c r="J1097" s="2" t="e">
        <f>GET.PIVOT.TABLE(INDIRECT(J1097:K1097),#REF!)</f>
        <v>#REF!</v>
      </c>
      <c r="L1097" s="2">
        <f>TYPE(INDEX(,GET.PIVOT.TABLE(OFFSET(INDEX(1,),,),#REF!)))</f>
        <v>64</v>
      </c>
    </row>
    <row r="1098" spans="1:12" x14ac:dyDescent="0.55000000000000004">
      <c r="A1098" s="1" t="s">
        <v>1784</v>
      </c>
      <c r="B1098" s="2">
        <f>COUNTIF(A:A,A1098)-1</f>
        <v>2</v>
      </c>
      <c r="C1098" s="2">
        <f>COUNTIF(A$1:A1098,A1098)-1</f>
        <v>2</v>
      </c>
      <c r="D1098" s="2" t="str">
        <f t="shared" si="17"/>
        <v>v</v>
      </c>
      <c r="E1098" s="2" t="e">
        <f>GET.PIVOT.TABLE(#REF!,#REF!)</f>
        <v>#REF!</v>
      </c>
      <c r="F1098" s="2" t="e">
        <f>GET.PIVOT.TABLE(#REF!,+F1098:G1098)</f>
        <v>#REF!</v>
      </c>
      <c r="H1098" s="2" t="e">
        <f>GET.PIVOT.TABLE(#REF!,H1098:I1098)</f>
        <v>#REF!</v>
      </c>
      <c r="J1098" s="2" t="e">
        <f>GET.PIVOT.TABLE(#REF!,INDIRECT(J1098:K1098))</f>
        <v>#REF!</v>
      </c>
      <c r="L1098" s="2">
        <f>TYPE(INDEX(,GET.PIVOT.TABLE(#REF!,OFFSET(INDEX(1,),,))))</f>
        <v>64</v>
      </c>
    </row>
    <row r="1099" spans="1:12" x14ac:dyDescent="0.55000000000000004">
      <c r="A1099" s="1" t="s">
        <v>1785</v>
      </c>
      <c r="B1099" s="2">
        <f>COUNTIF(A:A,A1099)-1</f>
        <v>3</v>
      </c>
      <c r="C1099" s="2">
        <f>COUNTIF(A$1:A1099,A1099)-1</f>
        <v>0</v>
      </c>
      <c r="D1099" s="2" t="str">
        <f t="shared" si="17"/>
        <v/>
      </c>
      <c r="E1099" s="2"/>
      <c r="F1099" s="2"/>
      <c r="H1099" s="2"/>
      <c r="J1099" s="2"/>
      <c r="L1099" s="2"/>
    </row>
    <row r="1100" spans="1:12" x14ac:dyDescent="0.55000000000000004">
      <c r="A1100" s="1" t="s">
        <v>1785</v>
      </c>
      <c r="B1100" s="2">
        <f>COUNTIF(A:A,A1100)-1</f>
        <v>3</v>
      </c>
      <c r="C1100" s="2">
        <f>COUNTIF(A$1:A1100,A1100)-1</f>
        <v>1</v>
      </c>
      <c r="D1100" s="2" t="str">
        <f t="shared" si="17"/>
        <v>v</v>
      </c>
      <c r="E1100" s="2" t="e">
        <f>GET.PIVOT.FIELD(#REF!)</f>
        <v>#REF!</v>
      </c>
      <c r="F1100" s="2" t="e">
        <f>GET.PIVOT.FIELD(+F1100:G1100,#REF!,#REF!)</f>
        <v>#REF!</v>
      </c>
      <c r="H1100" s="2" t="e">
        <f>GET.PIVOT.FIELD(H1100:I1100,#REF!,#REF!)</f>
        <v>#REF!</v>
      </c>
      <c r="J1100" s="2" t="e">
        <f>GET.PIVOT.FIELD(INDIRECT(J1100:K1100),#REF!,#REF!)</f>
        <v>#REF!</v>
      </c>
      <c r="L1100" s="2">
        <f>TYPE(INDEX(,GET.PIVOT.FIELD(OFFSET(INDEX(1,),,),#REF!,#REF!)))</f>
        <v>64</v>
      </c>
    </row>
    <row r="1101" spans="1:12" x14ac:dyDescent="0.55000000000000004">
      <c r="A1101" s="1" t="s">
        <v>1785</v>
      </c>
      <c r="B1101" s="2">
        <f>COUNTIF(A:A,A1101)-1</f>
        <v>3</v>
      </c>
      <c r="C1101" s="2">
        <f>COUNTIF(A$1:A1101,A1101)-1</f>
        <v>2</v>
      </c>
      <c r="D1101" s="2" t="str">
        <f t="shared" si="17"/>
        <v>v</v>
      </c>
      <c r="E1101" s="2" t="e">
        <f>GET.PIVOT.FIELD(#REF!,#REF!)</f>
        <v>#REF!</v>
      </c>
      <c r="F1101" s="2" t="e">
        <f>GET.PIVOT.FIELD(#REF!,+F1101:G1101,#REF!)</f>
        <v>#REF!</v>
      </c>
      <c r="H1101" s="2" t="e">
        <f>GET.PIVOT.FIELD(#REF!,H1101:I1101,#REF!)</f>
        <v>#REF!</v>
      </c>
      <c r="J1101" s="2" t="e">
        <f>GET.PIVOT.FIELD(#REF!,INDIRECT(J1101:K1101),#REF!)</f>
        <v>#REF!</v>
      </c>
      <c r="L1101" s="2">
        <f>TYPE(INDEX(,GET.PIVOT.FIELD(#REF!,OFFSET(INDEX(1,),,),#REF!)))</f>
        <v>64</v>
      </c>
    </row>
    <row r="1102" spans="1:12" x14ac:dyDescent="0.55000000000000004">
      <c r="A1102" s="1" t="s">
        <v>1785</v>
      </c>
      <c r="B1102" s="2">
        <f>COUNTIF(A:A,A1102)-1</f>
        <v>3</v>
      </c>
      <c r="C1102" s="2">
        <f>COUNTIF(A$1:A1102,A1102)-1</f>
        <v>3</v>
      </c>
      <c r="D1102" s="2" t="str">
        <f t="shared" si="17"/>
        <v>v</v>
      </c>
      <c r="E1102" s="2" t="e">
        <f>GET.PIVOT.FIELD(#REF!,#REF!,#REF!)</f>
        <v>#REF!</v>
      </c>
      <c r="F1102" s="2" t="e">
        <f>GET.PIVOT.FIELD(#REF!,#REF!,+F1102:G1102)</f>
        <v>#REF!</v>
      </c>
      <c r="H1102" s="2" t="e">
        <f>GET.PIVOT.FIELD(#REF!,#REF!,H1102:I1102)</f>
        <v>#REF!</v>
      </c>
      <c r="J1102" s="2" t="e">
        <f>GET.PIVOT.FIELD(#REF!,#REF!,INDIRECT(J1102:K1102))</f>
        <v>#REF!</v>
      </c>
      <c r="L1102" s="2">
        <f>TYPE(INDEX(,GET.PIVOT.FIELD(#REF!,#REF!,OFFSET(INDEX(1,),,))))</f>
        <v>64</v>
      </c>
    </row>
    <row r="1103" spans="1:12" x14ac:dyDescent="0.55000000000000004">
      <c r="A1103" s="1" t="s">
        <v>1786</v>
      </c>
      <c r="B1103" s="2">
        <f>COUNTIF(A:A,A1103)-1</f>
        <v>4</v>
      </c>
      <c r="C1103" s="2">
        <f>COUNTIF(A$1:A1103,A1103)-1</f>
        <v>0</v>
      </c>
      <c r="D1103" s="2" t="str">
        <f t="shared" si="17"/>
        <v/>
      </c>
      <c r="E1103" s="2"/>
      <c r="F1103" s="2"/>
      <c r="H1103" s="2"/>
      <c r="J1103" s="2"/>
      <c r="L1103" s="2"/>
    </row>
    <row r="1104" spans="1:12" x14ac:dyDescent="0.55000000000000004">
      <c r="A1104" s="1" t="s">
        <v>1786</v>
      </c>
      <c r="B1104" s="2">
        <f>COUNTIF(A:A,A1104)-1</f>
        <v>4</v>
      </c>
      <c r="C1104" s="2">
        <f>COUNTIF(A$1:A1104,A1104)-1</f>
        <v>1</v>
      </c>
      <c r="D1104" s="2" t="str">
        <f t="shared" si="17"/>
        <v>v</v>
      </c>
      <c r="E1104" s="2" t="e">
        <f>GET.PIVOT.ITEM(#REF!)</f>
        <v>#REF!</v>
      </c>
      <c r="F1104" s="2" t="e">
        <f>GET.PIVOT.ITEM(+F1104:G1104,#REF!,#REF!,#REF!)</f>
        <v>#REF!</v>
      </c>
      <c r="H1104" s="2" t="e">
        <f>GET.PIVOT.ITEM(H1104:I1104,#REF!,#REF!,#REF!)</f>
        <v>#REF!</v>
      </c>
      <c r="J1104" s="2" t="e">
        <f>GET.PIVOT.ITEM(INDIRECT(J1104:K1104),#REF!,#REF!,#REF!)</f>
        <v>#REF!</v>
      </c>
      <c r="L1104" s="2">
        <f>TYPE(INDEX(,GET.PIVOT.ITEM(OFFSET(INDEX(1,),,),#REF!,#REF!,#REF!)))</f>
        <v>64</v>
      </c>
    </row>
    <row r="1105" spans="1:12" x14ac:dyDescent="0.55000000000000004">
      <c r="A1105" s="1" t="s">
        <v>1786</v>
      </c>
      <c r="B1105" s="2">
        <f>COUNTIF(A:A,A1105)-1</f>
        <v>4</v>
      </c>
      <c r="C1105" s="2">
        <f>COUNTIF(A$1:A1105,A1105)-1</f>
        <v>2</v>
      </c>
      <c r="D1105" s="2" t="str">
        <f t="shared" si="17"/>
        <v>v</v>
      </c>
      <c r="E1105" s="2" t="e">
        <f>GET.PIVOT.ITEM(#REF!,#REF!)</f>
        <v>#REF!</v>
      </c>
      <c r="F1105" s="2" t="e">
        <f>GET.PIVOT.ITEM(#REF!,+F1105:G1105,#REF!,#REF!)</f>
        <v>#REF!</v>
      </c>
      <c r="H1105" s="2" t="e">
        <f>GET.PIVOT.ITEM(#REF!,H1105:I1105,#REF!,#REF!)</f>
        <v>#REF!</v>
      </c>
      <c r="J1105" s="2" t="e">
        <f>GET.PIVOT.ITEM(#REF!,INDIRECT(J1105:K1105),#REF!,#REF!)</f>
        <v>#REF!</v>
      </c>
      <c r="L1105" s="2">
        <f>TYPE(INDEX(,GET.PIVOT.ITEM(#REF!,OFFSET(INDEX(1,),,),#REF!,#REF!)))</f>
        <v>64</v>
      </c>
    </row>
    <row r="1106" spans="1:12" x14ac:dyDescent="0.55000000000000004">
      <c r="A1106" s="1" t="s">
        <v>1786</v>
      </c>
      <c r="B1106" s="2">
        <f>COUNTIF(A:A,A1106)-1</f>
        <v>4</v>
      </c>
      <c r="C1106" s="2">
        <f>COUNTIF(A$1:A1106,A1106)-1</f>
        <v>3</v>
      </c>
      <c r="D1106" s="2" t="str">
        <f t="shared" si="17"/>
        <v>v</v>
      </c>
      <c r="E1106" s="2" t="e">
        <f>GET.PIVOT.ITEM(#REF!,#REF!,#REF!)</f>
        <v>#REF!</v>
      </c>
      <c r="F1106" s="2" t="e">
        <f>GET.PIVOT.ITEM(#REF!,#REF!,+F1106:G1106,#REF!)</f>
        <v>#REF!</v>
      </c>
      <c r="H1106" s="2" t="e">
        <f>GET.PIVOT.ITEM(#REF!,#REF!,H1106:I1106,#REF!)</f>
        <v>#REF!</v>
      </c>
      <c r="J1106" s="2" t="e">
        <f>GET.PIVOT.ITEM(#REF!,#REF!,INDIRECT(J1106:K1106),#REF!)</f>
        <v>#REF!</v>
      </c>
      <c r="L1106" s="2">
        <f>TYPE(INDEX(,GET.PIVOT.ITEM(#REF!,#REF!,OFFSET(INDEX(1,),,),#REF!)))</f>
        <v>64</v>
      </c>
    </row>
    <row r="1107" spans="1:12" x14ac:dyDescent="0.55000000000000004">
      <c r="A1107" s="1" t="s">
        <v>1786</v>
      </c>
      <c r="B1107" s="2">
        <f>COUNTIF(A:A,A1107)-1</f>
        <v>4</v>
      </c>
      <c r="C1107" s="2">
        <f>COUNTIF(A$1:A1107,A1107)-1</f>
        <v>4</v>
      </c>
      <c r="D1107" s="2" t="str">
        <f t="shared" si="17"/>
        <v>v</v>
      </c>
      <c r="E1107" s="2" t="e">
        <f>GET.PIVOT.ITEM(#REF!,#REF!,#REF!,#REF!)</f>
        <v>#REF!</v>
      </c>
      <c r="F1107" s="2" t="e">
        <f>GET.PIVOT.ITEM(#REF!,#REF!,#REF!,+F1107:G1107)</f>
        <v>#REF!</v>
      </c>
      <c r="H1107" s="2" t="e">
        <f>GET.PIVOT.ITEM(#REF!,#REF!,#REF!,H1107:I1107)</f>
        <v>#REF!</v>
      </c>
      <c r="J1107" s="2" t="e">
        <f>GET.PIVOT.ITEM(#REF!,#REF!,#REF!,INDIRECT(J1107:K1107))</f>
        <v>#REF!</v>
      </c>
      <c r="L1107" s="2">
        <f>TYPE(INDEX(,GET.PIVOT.ITEM(#REF!,#REF!,#REF!,OFFSET(INDEX(1,),,))))</f>
        <v>64</v>
      </c>
    </row>
    <row r="1108" spans="1:12" x14ac:dyDescent="0.55000000000000004">
      <c r="A1108" s="1" t="s">
        <v>1787</v>
      </c>
      <c r="B1108" s="2">
        <f>COUNTIF(A:A,A1108)-1</f>
        <v>1</v>
      </c>
      <c r="C1108" s="2">
        <f>COUNTIF(A$1:A1108,A1108)-1</f>
        <v>0</v>
      </c>
      <c r="D1108" s="2" t="str">
        <f t="shared" si="17"/>
        <v/>
      </c>
      <c r="E1108" s="2"/>
      <c r="F1108" s="2"/>
      <c r="H1108" s="2"/>
      <c r="J1108" s="2"/>
      <c r="L1108" s="2"/>
    </row>
    <row r="1109" spans="1:12" x14ac:dyDescent="0.55000000000000004">
      <c r="A1109" s="1" t="s">
        <v>1787</v>
      </c>
      <c r="B1109" s="2">
        <f>COUNTIF(A:A,A1109)-1</f>
        <v>1</v>
      </c>
      <c r="C1109" s="2">
        <f>COUNTIF(A$1:A1109,A1109)-1</f>
        <v>1</v>
      </c>
      <c r="D1109" s="2" t="str">
        <f t="shared" si="17"/>
        <v>v</v>
      </c>
      <c r="E1109" s="2" t="e">
        <f>RADIANS(#REF!)</f>
        <v>#REF!</v>
      </c>
      <c r="F1109" s="2">
        <f>RADIANS(+F1109:G1109)</f>
        <v>0</v>
      </c>
      <c r="H1109" s="2">
        <f>RADIANS(H1109:I1109)</f>
        <v>0</v>
      </c>
      <c r="J1109" s="2" t="e">
        <f>RADIANS(INDIRECT(J1109:K1109))</f>
        <v>#REF!</v>
      </c>
      <c r="L1109" s="2">
        <f>TYPE(INDEX(,RADIANS(OFFSET(INDEX(1,),,))))</f>
        <v>64</v>
      </c>
    </row>
    <row r="1110" spans="1:12" x14ac:dyDescent="0.55000000000000004">
      <c r="A1110" s="1" t="s">
        <v>1788</v>
      </c>
      <c r="B1110" s="2">
        <f>COUNTIF(A:A,A1110)-1</f>
        <v>1</v>
      </c>
      <c r="C1110" s="2">
        <f>COUNTIF(A$1:A1110,A1110)-1</f>
        <v>0</v>
      </c>
      <c r="D1110" s="2" t="str">
        <f t="shared" si="17"/>
        <v/>
      </c>
      <c r="E1110" s="2"/>
      <c r="F1110" s="2"/>
      <c r="H1110" s="2"/>
      <c r="J1110" s="2"/>
      <c r="L1110" s="2"/>
    </row>
    <row r="1111" spans="1:12" x14ac:dyDescent="0.55000000000000004">
      <c r="A1111" s="1" t="s">
        <v>1788</v>
      </c>
      <c r="B1111" s="2">
        <f>COUNTIF(A:A,A1111)-1</f>
        <v>1</v>
      </c>
      <c r="C1111" s="2">
        <f>COUNTIF(A$1:A1111,A1111)-1</f>
        <v>1</v>
      </c>
      <c r="D1111" s="2" t="str">
        <f t="shared" si="17"/>
        <v>v</v>
      </c>
      <c r="E1111" s="2" t="e">
        <f>DEGREES(#REF!)</f>
        <v>#REF!</v>
      </c>
      <c r="F1111" s="2">
        <f>DEGREES(+F1111:G1111)</f>
        <v>0</v>
      </c>
      <c r="H1111" s="2">
        <f>DEGREES(H1111:I1111)</f>
        <v>0</v>
      </c>
      <c r="J1111" s="2" t="e">
        <f>DEGREES(INDIRECT(J1111:K1111))</f>
        <v>#REF!</v>
      </c>
      <c r="L1111" s="2">
        <f>TYPE(INDEX(,DEGREES(OFFSET(INDEX(1,),,))))</f>
        <v>64</v>
      </c>
    </row>
    <row r="1112" spans="1:12" x14ac:dyDescent="0.55000000000000004">
      <c r="A1112" s="1" t="s">
        <v>1789</v>
      </c>
      <c r="B1112" s="2">
        <f>COUNTIF(A:A,A1112)-1</f>
        <v>3</v>
      </c>
      <c r="C1112" s="2">
        <f>COUNTIF(A$1:A1112,A1112)-1</f>
        <v>0</v>
      </c>
      <c r="D1112" s="2" t="str">
        <f t="shared" si="17"/>
        <v/>
      </c>
      <c r="E1112" s="2"/>
      <c r="F1112" s="2"/>
      <c r="H1112" s="2"/>
      <c r="J1112" s="2"/>
      <c r="L1112" s="2"/>
    </row>
    <row r="1113" spans="1:12" x14ac:dyDescent="0.55000000000000004">
      <c r="A1113" s="1" t="s">
        <v>1789</v>
      </c>
      <c r="B1113" s="2">
        <f>COUNTIF(A:A,A1113)-1</f>
        <v>3</v>
      </c>
      <c r="C1113" s="2">
        <f>COUNTIF(A$1:A1113,A1113)-1</f>
        <v>1</v>
      </c>
      <c r="D1113" s="2" t="str">
        <f t="shared" si="17"/>
        <v>v</v>
      </c>
      <c r="E1113" s="2"/>
      <c r="F1113" s="2" t="e">
        <f>SUBTOTAL(+F1113:G1113,#REF!,#REF!)</f>
        <v>#REF!</v>
      </c>
      <c r="H1113" s="2" t="e">
        <f>SUBTOTAL(H1113:I1113,#REF!,#REF!)</f>
        <v>#REF!</v>
      </c>
      <c r="J1113" s="2" t="e">
        <f>SUBTOTAL(INDIRECT(J1113:K1113),#REF!,#REF!)</f>
        <v>#REF!</v>
      </c>
      <c r="L1113" s="2">
        <f>TYPE(INDEX(,SUBTOTAL(OFFSET(INDEX(1,),,),#REF!,#REF!)))</f>
        <v>64</v>
      </c>
    </row>
    <row r="1114" spans="1:12" x14ac:dyDescent="0.55000000000000004">
      <c r="A1114" s="1" t="s">
        <v>1789</v>
      </c>
      <c r="B1114" s="2">
        <f>COUNTIF(A:A,A1114)-1</f>
        <v>3</v>
      </c>
      <c r="C1114" s="2">
        <f>COUNTIF(A$1:A1114,A1114)-1</f>
        <v>2</v>
      </c>
      <c r="D1114" s="2" t="str">
        <f t="shared" si="17"/>
        <v>r</v>
      </c>
      <c r="E1114" s="2" t="e">
        <f>SUBTOTAL(#REF!,#REF!)</f>
        <v>#REF!</v>
      </c>
      <c r="F1114" s="2"/>
      <c r="H1114" s="2" t="e">
        <f>SUBTOTAL(#REF!,H1114:I1114,#REF!)</f>
        <v>#REF!</v>
      </c>
      <c r="I1114" s="1">
        <v>1</v>
      </c>
      <c r="J1114" s="2" t="e">
        <f>SUBTOTAL(#REF!,INDIRECT(J1114:K1114),#REF!)</f>
        <v>#REF!</v>
      </c>
      <c r="L1114" s="2">
        <f>TYPE(INDEX(,SUBTOTAL(#REF!,OFFSET(INDEX(1,),,),#REF!)))</f>
        <v>64</v>
      </c>
    </row>
    <row r="1115" spans="1:12" x14ac:dyDescent="0.55000000000000004">
      <c r="A1115" s="1" t="s">
        <v>1789</v>
      </c>
      <c r="B1115" s="2">
        <f>COUNTIF(A:A,A1115)-1</f>
        <v>3</v>
      </c>
      <c r="C1115" s="2">
        <f>COUNTIF(A$1:A1115,A1115)-1</f>
        <v>3</v>
      </c>
      <c r="D1115" s="2" t="str">
        <f t="shared" si="17"/>
        <v>r</v>
      </c>
      <c r="E1115" s="2" t="e">
        <f>SUBTOTAL(#REF!,#REF!,#REF!)</f>
        <v>#REF!</v>
      </c>
      <c r="F1115" s="2"/>
      <c r="H1115" s="2" t="e">
        <f>SUBTOTAL(#REF!,#REF!,H1115:I1115)</f>
        <v>#REF!</v>
      </c>
      <c r="I1115" s="1">
        <v>1</v>
      </c>
      <c r="J1115" s="2" t="e">
        <f>SUBTOTAL(#REF!,#REF!,INDIRECT(J1115:K1115))</f>
        <v>#REF!</v>
      </c>
      <c r="L1115" s="2">
        <f>TYPE(INDEX(,SUBTOTAL(#REF!,#REF!,OFFSET(INDEX(1,),,))))</f>
        <v>64</v>
      </c>
    </row>
    <row r="1116" spans="1:12" x14ac:dyDescent="0.55000000000000004">
      <c r="A1116" s="1" t="s">
        <v>1790</v>
      </c>
      <c r="B1116" s="2">
        <f>COUNTIF(A:A,A1116)-1</f>
        <v>3</v>
      </c>
      <c r="C1116" s="2">
        <f>COUNTIF(A$1:A1116,A1116)-1</f>
        <v>0</v>
      </c>
      <c r="D1116" s="2" t="str">
        <f t="shared" si="17"/>
        <v/>
      </c>
      <c r="E1116" s="2"/>
      <c r="F1116" s="2"/>
      <c r="H1116" s="2"/>
      <c r="J1116" s="2"/>
      <c r="L1116" s="2"/>
    </row>
    <row r="1117" spans="1:12" x14ac:dyDescent="0.55000000000000004">
      <c r="A1117" s="1" t="s">
        <v>1790</v>
      </c>
      <c r="B1117" s="2">
        <f>COUNTIF(A:A,A1117)-1</f>
        <v>3</v>
      </c>
      <c r="C1117" s="2">
        <f>COUNTIF(A$1:A1117,A1117)-1</f>
        <v>1</v>
      </c>
      <c r="D1117" s="2" t="str">
        <f t="shared" si="17"/>
        <v>r</v>
      </c>
      <c r="E1117" s="2"/>
      <c r="F1117" s="2"/>
      <c r="H1117" s="2" t="e">
        <f>SUMIF(H1117:I1117,#REF!,#REF!)</f>
        <v>#REF!</v>
      </c>
      <c r="I1117" s="1">
        <v>1</v>
      </c>
      <c r="J1117" s="2" t="e">
        <f>SUMIF(INDIRECT(J1117:K1117),#REF!,#REF!)</f>
        <v>#REF!</v>
      </c>
      <c r="L1117" s="2">
        <f>TYPE(INDEX(,SUMIF(OFFSET(INDEX(1,),,),#REF!,#REF!)))</f>
        <v>64</v>
      </c>
    </row>
    <row r="1118" spans="1:12" x14ac:dyDescent="0.55000000000000004">
      <c r="A1118" s="1" t="s">
        <v>1790</v>
      </c>
      <c r="B1118" s="2">
        <f>COUNTIF(A:A,A1118)-1</f>
        <v>3</v>
      </c>
      <c r="C1118" s="2">
        <f>COUNTIF(A$1:A1118,A1118)-1</f>
        <v>2</v>
      </c>
      <c r="D1118" s="2" t="str">
        <f t="shared" si="17"/>
        <v>v</v>
      </c>
      <c r="E1118" s="2" t="e">
        <f>SUMIF(#REF!,#REF!)</f>
        <v>#REF!</v>
      </c>
      <c r="F1118" s="2" t="e">
        <f>SUMIF(#REF!,+F1118:G1118,#REF!)</f>
        <v>#REF!</v>
      </c>
      <c r="H1118" s="2" t="e">
        <f>SUMIF(#REF!,H1118:I1118,#REF!)</f>
        <v>#REF!</v>
      </c>
      <c r="J1118" s="2" t="e">
        <f>SUMIF(#REF!,INDIRECT(J1118:K1118),#REF!)</f>
        <v>#REF!</v>
      </c>
      <c r="L1118" s="2">
        <f>TYPE(INDEX(,SUMIF(#REF!,OFFSET(INDEX(1,),,),#REF!)))</f>
        <v>64</v>
      </c>
    </row>
    <row r="1119" spans="1:12" x14ac:dyDescent="0.55000000000000004">
      <c r="A1119" s="1" t="s">
        <v>1790</v>
      </c>
      <c r="B1119" s="2">
        <f>COUNTIF(A:A,A1119)-1</f>
        <v>3</v>
      </c>
      <c r="C1119" s="2">
        <f>COUNTIF(A$1:A1119,A1119)-1</f>
        <v>3</v>
      </c>
      <c r="D1119" s="2" t="str">
        <f t="shared" si="17"/>
        <v>r</v>
      </c>
      <c r="E1119" s="2" t="e">
        <f>SUMIF(#REF!,#REF!,#REF!)</f>
        <v>#REF!</v>
      </c>
      <c r="F1119" s="2"/>
      <c r="H1119" s="2" t="e">
        <f>SUMIF(#REF!,#REF!,H1119:I1119)</f>
        <v>#REF!</v>
      </c>
      <c r="I1119" s="1">
        <v>1</v>
      </c>
      <c r="J1119" s="2" t="e">
        <f>SUMIF(#REF!,#REF!,INDIRECT(J1119:K1119))</f>
        <v>#REF!</v>
      </c>
      <c r="L1119" s="2">
        <f>TYPE(INDEX(,SUMIF(#REF!,#REF!,OFFSET(INDEX(1,),,))))</f>
        <v>64</v>
      </c>
    </row>
    <row r="1120" spans="1:12" x14ac:dyDescent="0.55000000000000004">
      <c r="A1120" s="1" t="s">
        <v>1791</v>
      </c>
      <c r="B1120" s="2">
        <f>COUNTIF(A:A,A1120)-1</f>
        <v>2</v>
      </c>
      <c r="C1120" s="2">
        <f>COUNTIF(A$1:A1120,A1120)-1</f>
        <v>0</v>
      </c>
      <c r="D1120" s="2" t="str">
        <f t="shared" si="17"/>
        <v/>
      </c>
      <c r="E1120" s="2"/>
      <c r="F1120" s="2"/>
      <c r="H1120" s="2"/>
      <c r="J1120" s="2"/>
      <c r="L1120" s="2"/>
    </row>
    <row r="1121" spans="1:12" x14ac:dyDescent="0.55000000000000004">
      <c r="A1121" s="1" t="s">
        <v>1791</v>
      </c>
      <c r="B1121" s="2">
        <f>COUNTIF(A:A,A1121)-1</f>
        <v>2</v>
      </c>
      <c r="C1121" s="2">
        <f>COUNTIF(A$1:A1121,A1121)-1</f>
        <v>1</v>
      </c>
      <c r="D1121" s="2" t="str">
        <f t="shared" si="17"/>
        <v>r</v>
      </c>
      <c r="E1121" s="2"/>
      <c r="F1121" s="2"/>
      <c r="H1121" s="2">
        <f>COUNTIF(H1121:I1121,#REF!)</f>
        <v>0</v>
      </c>
      <c r="I1121" s="1">
        <v>1</v>
      </c>
      <c r="J1121" s="2" t="e">
        <f>COUNTIF(INDIRECT(J1121:K1121),#REF!)</f>
        <v>#REF!</v>
      </c>
      <c r="L1121" s="2">
        <f>TYPE(INDEX(,COUNTIF(OFFSET(INDEX(1,),,),#REF!)))</f>
        <v>64</v>
      </c>
    </row>
    <row r="1122" spans="1:12" x14ac:dyDescent="0.55000000000000004">
      <c r="A1122" s="1" t="s">
        <v>1791</v>
      </c>
      <c r="B1122" s="2">
        <f>COUNTIF(A:A,A1122)-1</f>
        <v>2</v>
      </c>
      <c r="C1122" s="2">
        <f>COUNTIF(A$1:A1122,A1122)-1</f>
        <v>2</v>
      </c>
      <c r="D1122" s="2" t="str">
        <f t="shared" si="17"/>
        <v>v</v>
      </c>
      <c r="E1122" s="2" t="e">
        <f>COUNTIF(#REF!,#REF!)</f>
        <v>#REF!</v>
      </c>
      <c r="F1122" s="2" t="e">
        <f>COUNTIF(#REF!,+F1122:G1122)</f>
        <v>#REF!</v>
      </c>
      <c r="H1122" s="2" t="e">
        <f>COUNTIF(#REF!,H1122:I1122)</f>
        <v>#REF!</v>
      </c>
      <c r="J1122" s="2" t="e">
        <f>COUNTIF(#REF!,INDIRECT(J1122:K1122))</f>
        <v>#REF!</v>
      </c>
      <c r="L1122" s="2">
        <f>TYPE(INDEX(,COUNTIF(#REF!,OFFSET(INDEX(1,),,))))</f>
        <v>64</v>
      </c>
    </row>
    <row r="1123" spans="1:12" x14ac:dyDescent="0.55000000000000004">
      <c r="A1123" s="1" t="s">
        <v>1792</v>
      </c>
      <c r="B1123" s="2">
        <f>COUNTIF(A:A,A1123)-1</f>
        <v>1</v>
      </c>
      <c r="C1123" s="2">
        <f>COUNTIF(A$1:A1123,A1123)-1</f>
        <v>0</v>
      </c>
      <c r="D1123" s="2" t="str">
        <f t="shared" si="17"/>
        <v/>
      </c>
      <c r="E1123" s="2"/>
      <c r="F1123" s="2"/>
      <c r="H1123" s="2"/>
      <c r="J1123" s="2"/>
      <c r="L1123" s="2"/>
    </row>
    <row r="1124" spans="1:12" x14ac:dyDescent="0.55000000000000004">
      <c r="A1124" s="1" t="s">
        <v>1792</v>
      </c>
      <c r="B1124" s="2">
        <f>COUNTIF(A:A,A1124)-1</f>
        <v>1</v>
      </c>
      <c r="C1124" s="2">
        <f>COUNTIF(A$1:A1124,A1124)-1</f>
        <v>1</v>
      </c>
      <c r="D1124" s="2" t="str">
        <f t="shared" si="17"/>
        <v>r</v>
      </c>
      <c r="E1124" s="2" t="e">
        <f>COUNTBLANK(#REF!)</f>
        <v>#REF!</v>
      </c>
      <c r="F1124" s="2"/>
      <c r="H1124" s="2">
        <f>COUNTBLANK(H1124:I1124)</f>
        <v>1</v>
      </c>
      <c r="I1124" s="1">
        <v>1</v>
      </c>
      <c r="J1124" s="2" t="e">
        <f>COUNTBLANK(INDIRECT(J1124:K1124))</f>
        <v>#REF!</v>
      </c>
      <c r="L1124" s="2">
        <f>TYPE(INDEX(,COUNTBLANK(OFFSET(INDEX(1,),,))))</f>
        <v>64</v>
      </c>
    </row>
    <row r="1125" spans="1:12" x14ac:dyDescent="0.55000000000000004">
      <c r="A1125" s="1" t="s">
        <v>1793</v>
      </c>
      <c r="B1125" s="2">
        <f>COUNTIF(A:A,A1125)-1</f>
        <v>2</v>
      </c>
      <c r="C1125" s="2">
        <f>COUNTIF(A$1:A1125,A1125)-1</f>
        <v>0</v>
      </c>
      <c r="D1125" s="2" t="str">
        <f t="shared" si="17"/>
        <v/>
      </c>
      <c r="E1125" s="2"/>
      <c r="F1125" s="2"/>
      <c r="H1125" s="2"/>
      <c r="J1125" s="2"/>
      <c r="L1125" s="2"/>
    </row>
    <row r="1126" spans="1:12" x14ac:dyDescent="0.55000000000000004">
      <c r="A1126" s="1" t="s">
        <v>1793</v>
      </c>
      <c r="B1126" s="2">
        <f>COUNTIF(A:A,A1126)-1</f>
        <v>2</v>
      </c>
      <c r="C1126" s="2">
        <f>COUNTIF(A$1:A1126,A1126)-1</f>
        <v>1</v>
      </c>
      <c r="D1126" s="2" t="str">
        <f t="shared" si="17"/>
        <v>v</v>
      </c>
      <c r="E1126" s="2" t="e">
        <f>SCENARIO.GET(#REF!)</f>
        <v>#REF!</v>
      </c>
      <c r="F1126" s="2" t="e">
        <f>SCENARIO.GET(+F1126:G1126,#REF!)</f>
        <v>#REF!</v>
      </c>
      <c r="H1126" s="2" t="e">
        <f>SCENARIO.GET(H1126:I1126,#REF!)</f>
        <v>#REF!</v>
      </c>
      <c r="J1126" s="2" t="e">
        <f>SCENARIO.GET(INDIRECT(J1126:K1126),#REF!)</f>
        <v>#REF!</v>
      </c>
      <c r="L1126" s="2">
        <f>TYPE(INDEX(,SCENARIO.GET(OFFSET(INDEX(1,),,),#REF!)))</f>
        <v>64</v>
      </c>
    </row>
    <row r="1127" spans="1:12" x14ac:dyDescent="0.55000000000000004">
      <c r="A1127" s="1" t="s">
        <v>1793</v>
      </c>
      <c r="B1127" s="2">
        <f>COUNTIF(A:A,A1127)-1</f>
        <v>2</v>
      </c>
      <c r="C1127" s="2">
        <f>COUNTIF(A$1:A1127,A1127)-1</f>
        <v>2</v>
      </c>
      <c r="D1127" s="2" t="str">
        <f t="shared" si="17"/>
        <v>v</v>
      </c>
      <c r="E1127" s="2" t="e">
        <f>SCENARIO.GET(#REF!,#REF!)</f>
        <v>#REF!</v>
      </c>
      <c r="F1127" s="2" t="e">
        <f>SCENARIO.GET(#REF!,+F1127:G1127)</f>
        <v>#REF!</v>
      </c>
      <c r="H1127" s="2" t="e">
        <f>SCENARIO.GET(#REF!,H1127:I1127)</f>
        <v>#REF!</v>
      </c>
      <c r="J1127" s="2" t="e">
        <f>SCENARIO.GET(#REF!,INDIRECT(J1127:K1127))</f>
        <v>#REF!</v>
      </c>
      <c r="L1127" s="2">
        <f>TYPE(INDEX(,SCENARIO.GET(#REF!,OFFSET(INDEX(1,),,))))</f>
        <v>64</v>
      </c>
    </row>
    <row r="1128" spans="1:12" x14ac:dyDescent="0.55000000000000004">
      <c r="A1128" s="1" t="s">
        <v>1794</v>
      </c>
      <c r="B1128" s="2">
        <f>COUNTIF(A:A,A1128)-1</f>
        <v>1</v>
      </c>
      <c r="C1128" s="2">
        <f>COUNTIF(A$1:A1128,A1128)-1</f>
        <v>0</v>
      </c>
      <c r="D1128" s="2" t="str">
        <f t="shared" si="17"/>
        <v/>
      </c>
      <c r="E1128" s="2"/>
      <c r="F1128" s="2"/>
      <c r="H1128" s="2"/>
      <c r="J1128" s="2"/>
      <c r="L1128" s="2"/>
    </row>
    <row r="1129" spans="1:12" x14ac:dyDescent="0.55000000000000004">
      <c r="A1129" s="1" t="s">
        <v>1794</v>
      </c>
      <c r="B1129" s="2">
        <f>COUNTIF(A:A,A1129)-1</f>
        <v>1</v>
      </c>
      <c r="C1129" s="2">
        <f>COUNTIF(A$1:A1129,A1129)-1</f>
        <v>1</v>
      </c>
      <c r="D1129" s="2" t="str">
        <f t="shared" si="17"/>
        <v>va</v>
      </c>
      <c r="E1129" s="2" t="e">
        <f>OPTIONS.LISTS.GET(#REF!)</f>
        <v>#REF!</v>
      </c>
      <c r="F1129" s="2" t="b">
        <f>OPTIONS.LISTS.GET(+F1129:G1129)</f>
        <v>0</v>
      </c>
      <c r="H1129" s="2" t="b">
        <f>OPTIONS.LISTS.GET(H1129:I1129)</f>
        <v>0</v>
      </c>
      <c r="J1129" s="2" t="e">
        <f>OPTIONS.LISTS.GET(INDIRECT(J1129:K1129))</f>
        <v>#REF!</v>
      </c>
      <c r="L1129" s="2">
        <f>TYPE(INDEX(,OPTIONS.LISTS.GET(OFFSET(INDEX(1,),,))))</f>
        <v>16</v>
      </c>
    </row>
    <row r="1130" spans="1:12" x14ac:dyDescent="0.55000000000000004">
      <c r="A1130" s="1" t="s">
        <v>1795</v>
      </c>
      <c r="B1130" s="2">
        <f>COUNTIF(A:A,A1130)-1</f>
        <v>4</v>
      </c>
      <c r="C1130" s="2">
        <f>COUNTIF(A$1:A1130,A1130)-1</f>
        <v>0</v>
      </c>
      <c r="D1130" s="2" t="str">
        <f t="shared" si="17"/>
        <v/>
      </c>
      <c r="E1130" s="2"/>
      <c r="F1130" s="2"/>
      <c r="H1130" s="2"/>
      <c r="J1130" s="2"/>
      <c r="L1130" s="2"/>
    </row>
    <row r="1131" spans="1:12" x14ac:dyDescent="0.55000000000000004">
      <c r="A1131" s="1" t="s">
        <v>1795</v>
      </c>
      <c r="B1131" s="2">
        <f>COUNTIF(A:A,A1131)-1</f>
        <v>4</v>
      </c>
      <c r="C1131" s="2">
        <f>COUNTIF(A$1:A1131,A1131)-1</f>
        <v>1</v>
      </c>
      <c r="D1131" s="2" t="str">
        <f t="shared" si="17"/>
        <v>v</v>
      </c>
      <c r="E1131" s="2"/>
      <c r="F1131" s="2" t="e">
        <f>ISPMT(+F1131:G1131,#REF!,#REF!,#REF!)</f>
        <v>#REF!</v>
      </c>
      <c r="H1131" s="2" t="e">
        <f>ISPMT(H1131:I1131,#REF!,#REF!,#REF!)</f>
        <v>#REF!</v>
      </c>
      <c r="J1131" s="2" t="e">
        <f>ISPMT(INDIRECT(J1131:K1131),#REF!,#REF!,#REF!)</f>
        <v>#REF!</v>
      </c>
      <c r="L1131" s="2">
        <f>TYPE(INDEX(,ISPMT(OFFSET(INDEX(1,),,),#REF!,#REF!,#REF!)))</f>
        <v>64</v>
      </c>
    </row>
    <row r="1132" spans="1:12" x14ac:dyDescent="0.55000000000000004">
      <c r="A1132" s="1" t="s">
        <v>1795</v>
      </c>
      <c r="B1132" s="2">
        <f>COUNTIF(A:A,A1132)-1</f>
        <v>4</v>
      </c>
      <c r="C1132" s="2">
        <f>COUNTIF(A$1:A1132,A1132)-1</f>
        <v>2</v>
      </c>
      <c r="D1132" s="2" t="str">
        <f t="shared" si="17"/>
        <v>v</v>
      </c>
      <c r="E1132" s="2"/>
      <c r="F1132" s="2" t="e">
        <f>ISPMT(#REF!,+F1132:G1132,#REF!,#REF!)</f>
        <v>#REF!</v>
      </c>
      <c r="H1132" s="2" t="e">
        <f>ISPMT(#REF!,H1132:I1132,#REF!,#REF!)</f>
        <v>#REF!</v>
      </c>
      <c r="J1132" s="2" t="e">
        <f>ISPMT(#REF!,INDIRECT(J1132:K1132),#REF!,#REF!)</f>
        <v>#REF!</v>
      </c>
      <c r="L1132" s="2">
        <f>TYPE(INDEX(,ISPMT(#REF!,OFFSET(INDEX(1,),,),#REF!,#REF!)))</f>
        <v>64</v>
      </c>
    </row>
    <row r="1133" spans="1:12" x14ac:dyDescent="0.55000000000000004">
      <c r="A1133" s="1" t="s">
        <v>1795</v>
      </c>
      <c r="B1133" s="2">
        <f>COUNTIF(A:A,A1133)-1</f>
        <v>4</v>
      </c>
      <c r="C1133" s="2">
        <f>COUNTIF(A$1:A1133,A1133)-1</f>
        <v>3</v>
      </c>
      <c r="D1133" s="2" t="str">
        <f t="shared" si="17"/>
        <v>v</v>
      </c>
      <c r="E1133" s="2"/>
      <c r="F1133" s="2" t="e">
        <f>ISPMT(#REF!,#REF!,+F1133:G1133,#REF!)</f>
        <v>#REF!</v>
      </c>
      <c r="H1133" s="2" t="e">
        <f>ISPMT(#REF!,#REF!,H1133:I1133,#REF!)</f>
        <v>#REF!</v>
      </c>
      <c r="J1133" s="2" t="e">
        <f>ISPMT(#REF!,#REF!,INDIRECT(J1133:K1133),#REF!)</f>
        <v>#REF!</v>
      </c>
      <c r="L1133" s="2">
        <f>TYPE(INDEX(,ISPMT(#REF!,#REF!,OFFSET(INDEX(1,),,),#REF!)))</f>
        <v>64</v>
      </c>
    </row>
    <row r="1134" spans="1:12" x14ac:dyDescent="0.55000000000000004">
      <c r="A1134" s="1" t="s">
        <v>1795</v>
      </c>
      <c r="B1134" s="2">
        <f>COUNTIF(A:A,A1134)-1</f>
        <v>4</v>
      </c>
      <c r="C1134" s="2">
        <f>COUNTIF(A$1:A1134,A1134)-1</f>
        <v>4</v>
      </c>
      <c r="D1134" s="2" t="str">
        <f t="shared" si="17"/>
        <v>v</v>
      </c>
      <c r="E1134" s="2" t="e">
        <f>ISPMT(#REF!,#REF!,#REF!,#REF!)</f>
        <v>#REF!</v>
      </c>
      <c r="F1134" s="2" t="e">
        <f>ISPMT(#REF!,#REF!,#REF!,+F1134:G1134)</f>
        <v>#REF!</v>
      </c>
      <c r="H1134" s="2" t="e">
        <f>ISPMT(#REF!,#REF!,#REF!,H1134:I1134)</f>
        <v>#REF!</v>
      </c>
      <c r="J1134" s="2" t="e">
        <f>ISPMT(#REF!,#REF!,#REF!,INDIRECT(J1134:K1134))</f>
        <v>#REF!</v>
      </c>
      <c r="L1134" s="2">
        <f>TYPE(INDEX(,ISPMT(#REF!,#REF!,#REF!,OFFSET(INDEX(1,),,))))</f>
        <v>64</v>
      </c>
    </row>
    <row r="1135" spans="1:12" x14ac:dyDescent="0.55000000000000004">
      <c r="A1135" s="1" t="s">
        <v>2057</v>
      </c>
      <c r="B1135" s="2">
        <f>COUNTIF(A:A,A1135)-1</f>
        <v>3</v>
      </c>
      <c r="C1135" s="2">
        <f>COUNTIF(A$1:A1135,A1135)-1</f>
        <v>0</v>
      </c>
      <c r="D1135" s="2" t="str">
        <f t="shared" si="17"/>
        <v/>
      </c>
      <c r="E1135" s="2"/>
      <c r="F1135" s="2"/>
      <c r="H1135" s="2"/>
      <c r="J1135" s="2"/>
      <c r="L1135" s="2"/>
    </row>
    <row r="1136" spans="1:12" x14ac:dyDescent="0.55000000000000004">
      <c r="A1136" s="1" t="s">
        <v>2057</v>
      </c>
      <c r="B1136" s="2">
        <f>COUNTIF(A:A,A1136)-1</f>
        <v>3</v>
      </c>
      <c r="C1136" s="2">
        <f>COUNTIF(A$1:A1136,A1136)-1</f>
        <v>1</v>
      </c>
      <c r="D1136" s="2" t="str">
        <f t="shared" si="17"/>
        <v>v</v>
      </c>
      <c r="E1136" s="2"/>
      <c r="F1136" s="2" t="e">
        <f>DATEDIF(+F1136:G1136,#REF!,#REF!)</f>
        <v>#REF!</v>
      </c>
      <c r="H1136" s="2" t="e">
        <f>DATEDIF(H1136:I1136,#REF!,#REF!)</f>
        <v>#REF!</v>
      </c>
      <c r="J1136" s="2" t="e">
        <f>DATEDIF(INDIRECT(J1136:K1136),#REF!,#REF!)</f>
        <v>#REF!</v>
      </c>
      <c r="L1136" s="2">
        <f>TYPE(INDEX(,DATEDIF(OFFSET(INDEX(1,),,),#REF!,#REF!)))</f>
        <v>64</v>
      </c>
    </row>
    <row r="1137" spans="1:12" x14ac:dyDescent="0.55000000000000004">
      <c r="A1137" s="1" t="s">
        <v>2057</v>
      </c>
      <c r="B1137" s="2">
        <f>COUNTIF(A:A,A1137)-1</f>
        <v>3</v>
      </c>
      <c r="C1137" s="2">
        <f>COUNTIF(A$1:A1137,A1137)-1</f>
        <v>2</v>
      </c>
      <c r="D1137" s="2" t="str">
        <f t="shared" si="17"/>
        <v>v</v>
      </c>
      <c r="E1137" s="2"/>
      <c r="F1137" s="2" t="e">
        <f>DATEDIF(#REF!,+F1137:G1137,#REF!)</f>
        <v>#REF!</v>
      </c>
      <c r="H1137" s="2" t="e">
        <f>DATEDIF(#REF!,H1137:I1137,#REF!)</f>
        <v>#REF!</v>
      </c>
      <c r="J1137" s="2" t="e">
        <f>DATEDIF(#REF!,INDIRECT(J1137:K1137),#REF!)</f>
        <v>#REF!</v>
      </c>
      <c r="L1137" s="2">
        <f>TYPE(INDEX(,DATEDIF(#REF!,OFFSET(INDEX(1,),,),#REF!)))</f>
        <v>64</v>
      </c>
    </row>
    <row r="1138" spans="1:12" x14ac:dyDescent="0.55000000000000004">
      <c r="A1138" s="1" t="s">
        <v>2057</v>
      </c>
      <c r="B1138" s="2">
        <f>COUNTIF(A:A,A1138)-1</f>
        <v>3</v>
      </c>
      <c r="C1138" s="2">
        <f>COUNTIF(A$1:A1138,A1138)-1</f>
        <v>3</v>
      </c>
      <c r="D1138" s="2" t="str">
        <f t="shared" si="17"/>
        <v>v</v>
      </c>
      <c r="E1138" s="2" t="e">
        <f>DATEDIF(#REF!,#REF!,#REF!)</f>
        <v>#REF!</v>
      </c>
      <c r="F1138" s="2" t="e">
        <f>DATEDIF(#REF!,#REF!,+F1138:G1138)</f>
        <v>#REF!</v>
      </c>
      <c r="H1138" s="2" t="e">
        <f>DATEDIF(#REF!,#REF!,H1138:I1138)</f>
        <v>#REF!</v>
      </c>
      <c r="J1138" s="2" t="e">
        <f>DATEDIF(#REF!,#REF!,INDIRECT(J1138:K1138))</f>
        <v>#REF!</v>
      </c>
      <c r="L1138" s="2">
        <f>TYPE(INDEX(,DATEDIF(#REF!,#REF!,OFFSET(INDEX(1,),,))))</f>
        <v>64</v>
      </c>
    </row>
    <row r="1139" spans="1:12" x14ac:dyDescent="0.55000000000000004">
      <c r="A1139" s="1" t="s">
        <v>2058</v>
      </c>
      <c r="B1139" s="2">
        <f>COUNTIF(A:A,A1139)-1</f>
        <v>1</v>
      </c>
      <c r="C1139" s="2">
        <f>COUNTIF(A$1:A1139,A1139)-1</f>
        <v>0</v>
      </c>
      <c r="D1139" s="2" t="str">
        <f t="shared" si="17"/>
        <v/>
      </c>
      <c r="E1139" s="2"/>
      <c r="F1139" s="2"/>
      <c r="H1139" s="2"/>
      <c r="J1139" s="2"/>
      <c r="L1139" s="2"/>
    </row>
    <row r="1140" spans="1:12" x14ac:dyDescent="0.55000000000000004">
      <c r="A1140" s="1" t="s">
        <v>2058</v>
      </c>
      <c r="B1140" s="2">
        <f>COUNTIF(A:A,A1140)-1</f>
        <v>1</v>
      </c>
      <c r="C1140" s="2">
        <f>COUNTIF(A$1:A1140,A1140)-1</f>
        <v>1</v>
      </c>
      <c r="D1140" s="2" t="str">
        <f t="shared" si="17"/>
        <v>v</v>
      </c>
      <c r="E1140" s="2" t="e">
        <f>DATESTRING(#REF!)</f>
        <v>#REF!</v>
      </c>
      <c r="F1140" s="2" t="e">
        <f>DATESTRING(+F1140:G1140)</f>
        <v>#N/A</v>
      </c>
      <c r="H1140" s="2" t="e">
        <f>DATESTRING(H1140:I1140)</f>
        <v>#N/A</v>
      </c>
      <c r="J1140" s="2" t="e">
        <f>DATESTRING(INDIRECT(J1140:K1140))</f>
        <v>#REF!</v>
      </c>
      <c r="L1140" s="2">
        <f>TYPE(INDEX(,DATESTRING(OFFSET(INDEX(1,),,))))</f>
        <v>64</v>
      </c>
    </row>
    <row r="1141" spans="1:12" x14ac:dyDescent="0.55000000000000004">
      <c r="A1141" s="1" t="s">
        <v>2059</v>
      </c>
      <c r="B1141" s="2">
        <f>COUNTIF(A:A,A1141)-1</f>
        <v>2</v>
      </c>
      <c r="C1141" s="2">
        <f>COUNTIF(A$1:A1141,A1141)-1</f>
        <v>0</v>
      </c>
      <c r="D1141" s="2" t="str">
        <f t="shared" si="17"/>
        <v/>
      </c>
      <c r="E1141" s="2"/>
      <c r="F1141" s="2"/>
      <c r="H1141" s="2"/>
      <c r="J1141" s="2"/>
      <c r="L1141" s="2"/>
    </row>
    <row r="1142" spans="1:12" x14ac:dyDescent="0.55000000000000004">
      <c r="A1142" s="1" t="s">
        <v>2059</v>
      </c>
      <c r="B1142" s="2">
        <f>COUNTIF(A:A,A1142)-1</f>
        <v>2</v>
      </c>
      <c r="C1142" s="2">
        <f>COUNTIF(A$1:A1142,A1142)-1</f>
        <v>1</v>
      </c>
      <c r="D1142" s="2" t="str">
        <f t="shared" si="17"/>
        <v>v</v>
      </c>
      <c r="E1142" s="2"/>
      <c r="F1142" s="2" t="e">
        <f>NUMBERSTRING(+F1142:G1142,#REF!)</f>
        <v>#REF!</v>
      </c>
      <c r="H1142" s="2" t="e">
        <f>NUMBERSTRING(H1142:I1142,#REF!)</f>
        <v>#REF!</v>
      </c>
      <c r="J1142" s="2" t="e">
        <f>NUMBERSTRING(INDIRECT(J1142:K1142),#REF!)</f>
        <v>#REF!</v>
      </c>
      <c r="L1142" s="2">
        <f>TYPE(INDEX(,NUMBERSTRING(OFFSET(INDEX(1,),,),#REF!)))</f>
        <v>64</v>
      </c>
    </row>
    <row r="1143" spans="1:12" x14ac:dyDescent="0.55000000000000004">
      <c r="A1143" s="1" t="s">
        <v>2059</v>
      </c>
      <c r="B1143" s="2">
        <f>COUNTIF(A:A,A1143)-1</f>
        <v>2</v>
      </c>
      <c r="C1143" s="2">
        <f>COUNTIF(A$1:A1143,A1143)-1</f>
        <v>2</v>
      </c>
      <c r="D1143" s="2" t="str">
        <f t="shared" si="17"/>
        <v>v</v>
      </c>
      <c r="E1143" s="2" t="e">
        <f>NUMBERSTRING(#REF!,#REF!)</f>
        <v>#REF!</v>
      </c>
      <c r="F1143" s="2" t="e">
        <f>NUMBERSTRING(#REF!,+F1143:G1143)</f>
        <v>#REF!</v>
      </c>
      <c r="H1143" s="2" t="e">
        <f>NUMBERSTRING(#REF!,H1143:I1143)</f>
        <v>#REF!</v>
      </c>
      <c r="J1143" s="2" t="e">
        <f>NUMBERSTRING(#REF!,INDIRECT(J1143:K1143))</f>
        <v>#REF!</v>
      </c>
      <c r="L1143" s="2">
        <f>TYPE(INDEX(,NUMBERSTRING(#REF!,OFFSET(INDEX(1,),,))))</f>
        <v>64</v>
      </c>
    </row>
    <row r="1144" spans="1:12" x14ac:dyDescent="0.55000000000000004">
      <c r="A1144" s="1" t="s">
        <v>1796</v>
      </c>
      <c r="B1144" s="2">
        <f>COUNTIF(A:A,A1144)-1</f>
        <v>2</v>
      </c>
      <c r="C1144" s="2">
        <f>COUNTIF(A$1:A1144,A1144)-1</f>
        <v>0</v>
      </c>
      <c r="D1144" s="2" t="str">
        <f t="shared" si="17"/>
        <v/>
      </c>
      <c r="E1144" s="2"/>
      <c r="F1144" s="2"/>
      <c r="H1144" s="2"/>
      <c r="J1144" s="2"/>
      <c r="L1144" s="2"/>
    </row>
    <row r="1145" spans="1:12" x14ac:dyDescent="0.55000000000000004">
      <c r="A1145" s="1" t="s">
        <v>1796</v>
      </c>
      <c r="B1145" s="2">
        <f>COUNTIF(A:A,A1145)-1</f>
        <v>2</v>
      </c>
      <c r="C1145" s="2">
        <f>COUNTIF(A$1:A1145,A1145)-1</f>
        <v>1</v>
      </c>
      <c r="D1145" s="2" t="str">
        <f t="shared" si="17"/>
        <v>v</v>
      </c>
      <c r="E1145" s="2" t="e">
        <f>ROMAN(#REF!)</f>
        <v>#REF!</v>
      </c>
      <c r="F1145" s="2" t="e">
        <f>ROMAN(+F1145:G1145,#REF!)</f>
        <v>#REF!</v>
      </c>
      <c r="H1145" s="2" t="e">
        <f>ROMAN(H1145:I1145,#REF!)</f>
        <v>#REF!</v>
      </c>
      <c r="J1145" s="2" t="e">
        <f>ROMAN(INDIRECT(J1145:K1145),#REF!)</f>
        <v>#REF!</v>
      </c>
      <c r="L1145" s="2">
        <f>TYPE(INDEX(,ROMAN(OFFSET(INDEX(1,),,),#REF!)))</f>
        <v>64</v>
      </c>
    </row>
    <row r="1146" spans="1:12" x14ac:dyDescent="0.55000000000000004">
      <c r="A1146" s="1" t="s">
        <v>1796</v>
      </c>
      <c r="B1146" s="2">
        <f>COUNTIF(A:A,A1146)-1</f>
        <v>2</v>
      </c>
      <c r="C1146" s="2">
        <f>COUNTIF(A$1:A1146,A1146)-1</f>
        <v>2</v>
      </c>
      <c r="D1146" s="2" t="str">
        <f t="shared" si="17"/>
        <v>v</v>
      </c>
      <c r="E1146" s="2" t="e">
        <f>ROMAN(#REF!,#REF!)</f>
        <v>#REF!</v>
      </c>
      <c r="F1146" s="2" t="e">
        <f>ROMAN(#REF!,+F1146:G1146)</f>
        <v>#REF!</v>
      </c>
      <c r="H1146" s="2" t="e">
        <f>ROMAN(#REF!,H1146:I1146)</f>
        <v>#REF!</v>
      </c>
      <c r="J1146" s="2" t="e">
        <f>ROMAN(#REF!,INDIRECT(J1146:K1146))</f>
        <v>#REF!</v>
      </c>
      <c r="L1146" s="2">
        <f>TYPE(INDEX(,ROMAN(#REF!,OFFSET(INDEX(1,),,))))</f>
        <v>64</v>
      </c>
    </row>
    <row r="1147" spans="1:12" x14ac:dyDescent="0.55000000000000004">
      <c r="A1147" s="1" t="s">
        <v>1797</v>
      </c>
      <c r="B1147" s="2">
        <f>COUNTIF(A:A,A1147)-1</f>
        <v>4</v>
      </c>
      <c r="C1147" s="2">
        <f>COUNTIF(A$1:A1147,A1147)-1</f>
        <v>0</v>
      </c>
      <c r="D1147" s="2" t="str">
        <f t="shared" si="17"/>
        <v/>
      </c>
      <c r="E1147" s="2" t="b">
        <f>OPEN.DIALOG()</f>
        <v>0</v>
      </c>
      <c r="F1147" s="2"/>
      <c r="H1147" s="2"/>
      <c r="J1147" s="2"/>
      <c r="L1147" s="2"/>
    </row>
    <row r="1148" spans="1:12" x14ac:dyDescent="0.55000000000000004">
      <c r="A1148" s="1" t="s">
        <v>1797</v>
      </c>
      <c r="B1148" s="2">
        <f>COUNTIF(A:A,A1148)-1</f>
        <v>4</v>
      </c>
      <c r="C1148" s="2">
        <f>COUNTIF(A$1:A1148,A1148)-1</f>
        <v>1</v>
      </c>
      <c r="D1148" s="2" t="str">
        <f t="shared" si="17"/>
        <v>v</v>
      </c>
      <c r="E1148" s="2" t="e">
        <f>OPEN.DIALOG(#REF!)</f>
        <v>#REF!</v>
      </c>
      <c r="F1148" s="2" t="e">
        <f>OPEN.DIALOG(+F1148:G1148,#REF!,#REF!,#REF!)</f>
        <v>#REF!</v>
      </c>
      <c r="H1148" s="2" t="e">
        <f>OPEN.DIALOG(H1148:I1148,#REF!,#REF!,#REF!)</f>
        <v>#REF!</v>
      </c>
      <c r="J1148" s="2" t="e">
        <f>OPEN.DIALOG(INDIRECT(J1148:K1148),#REF!,#REF!,#REF!)</f>
        <v>#REF!</v>
      </c>
      <c r="L1148" s="2">
        <f>TYPE(INDEX(,OPEN.DIALOG(OFFSET(INDEX(1,),,),#REF!,#REF!,#REF!)))</f>
        <v>64</v>
      </c>
    </row>
    <row r="1149" spans="1:12" x14ac:dyDescent="0.55000000000000004">
      <c r="A1149" s="1" t="s">
        <v>1797</v>
      </c>
      <c r="B1149" s="2">
        <f>COUNTIF(A:A,A1149)-1</f>
        <v>4</v>
      </c>
      <c r="C1149" s="2">
        <f>COUNTIF(A$1:A1149,A1149)-1</f>
        <v>2</v>
      </c>
      <c r="D1149" s="2" t="str">
        <f t="shared" si="17"/>
        <v>v</v>
      </c>
      <c r="E1149" s="2" t="e">
        <f>OPEN.DIALOG(#REF!,#REF!)</f>
        <v>#REF!</v>
      </c>
      <c r="F1149" s="2" t="e">
        <f>OPEN.DIALOG(#REF!,+F1149:G1149,#REF!,#REF!)</f>
        <v>#REF!</v>
      </c>
      <c r="H1149" s="2" t="e">
        <f>OPEN.DIALOG(#REF!,H1149:I1149,#REF!,#REF!)</f>
        <v>#REF!</v>
      </c>
      <c r="J1149" s="2" t="e">
        <f>OPEN.DIALOG(#REF!,INDIRECT(J1149:K1149),#REF!,#REF!)</f>
        <v>#REF!</v>
      </c>
      <c r="L1149" s="2">
        <f>TYPE(INDEX(,OPEN.DIALOG(#REF!,OFFSET(INDEX(1,),,),#REF!,#REF!)))</f>
        <v>64</v>
      </c>
    </row>
    <row r="1150" spans="1:12" x14ac:dyDescent="0.55000000000000004">
      <c r="A1150" s="1" t="s">
        <v>1797</v>
      </c>
      <c r="B1150" s="2">
        <f>COUNTIF(A:A,A1150)-1</f>
        <v>4</v>
      </c>
      <c r="C1150" s="2">
        <f>COUNTIF(A$1:A1150,A1150)-1</f>
        <v>3</v>
      </c>
      <c r="D1150" s="2" t="str">
        <f t="shared" si="17"/>
        <v>v</v>
      </c>
      <c r="E1150" s="2" t="e">
        <f>OPEN.DIALOG(#REF!,#REF!,#REF!)</f>
        <v>#REF!</v>
      </c>
      <c r="F1150" s="2" t="e">
        <f>OPEN.DIALOG(#REF!,#REF!,+F1150:G1150,#REF!)</f>
        <v>#REF!</v>
      </c>
      <c r="H1150" s="2" t="e">
        <f>OPEN.DIALOG(#REF!,#REF!,H1150:I1150,#REF!)</f>
        <v>#REF!</v>
      </c>
      <c r="J1150" s="2" t="e">
        <f>OPEN.DIALOG(#REF!,#REF!,INDIRECT(J1150:K1150),#REF!)</f>
        <v>#REF!</v>
      </c>
      <c r="L1150" s="2">
        <f>TYPE(INDEX(,OPEN.DIALOG(#REF!,#REF!,OFFSET(INDEX(1,),,),#REF!)))</f>
        <v>64</v>
      </c>
    </row>
    <row r="1151" spans="1:12" x14ac:dyDescent="0.55000000000000004">
      <c r="A1151" s="1" t="s">
        <v>1797</v>
      </c>
      <c r="B1151" s="2">
        <f>COUNTIF(A:A,A1151)-1</f>
        <v>4</v>
      </c>
      <c r="C1151" s="2">
        <f>COUNTIF(A$1:A1151,A1151)-1</f>
        <v>4</v>
      </c>
      <c r="D1151" s="2" t="str">
        <f t="shared" si="17"/>
        <v>v</v>
      </c>
      <c r="E1151" s="2" t="e">
        <f>OPEN.DIALOG(#REF!,#REF!,#REF!,#REF!)</f>
        <v>#REF!</v>
      </c>
      <c r="F1151" s="2" t="e">
        <f>OPEN.DIALOG(#REF!,#REF!,#REF!,+F1151:G1151)</f>
        <v>#REF!</v>
      </c>
      <c r="H1151" s="2" t="e">
        <f>OPEN.DIALOG(#REF!,#REF!,#REF!,H1151:I1151)</f>
        <v>#REF!</v>
      </c>
      <c r="J1151" s="2" t="e">
        <f>OPEN.DIALOG(#REF!,#REF!,#REF!,INDIRECT(J1151:K1151))</f>
        <v>#REF!</v>
      </c>
      <c r="L1151" s="2">
        <f>TYPE(INDEX(,OPEN.DIALOG(#REF!,#REF!,#REF!,OFFSET(INDEX(1,),,))))</f>
        <v>64</v>
      </c>
    </row>
    <row r="1152" spans="1:12" x14ac:dyDescent="0.55000000000000004">
      <c r="A1152" s="1" t="s">
        <v>1798</v>
      </c>
      <c r="B1152" s="2">
        <f>COUNTIF(A:A,A1152)-1</f>
        <v>5</v>
      </c>
      <c r="C1152" s="2">
        <f>COUNTIF(A$1:A1152,A1152)-1</f>
        <v>0</v>
      </c>
      <c r="D1152" s="2" t="str">
        <f t="shared" si="17"/>
        <v/>
      </c>
      <c r="E1152" s="2" t="b">
        <f>SAVE.DIALOG()</f>
        <v>0</v>
      </c>
      <c r="F1152" s="2"/>
      <c r="H1152" s="2"/>
      <c r="J1152" s="2"/>
      <c r="L1152" s="2"/>
    </row>
    <row r="1153" spans="1:12" x14ac:dyDescent="0.55000000000000004">
      <c r="A1153" s="1" t="s">
        <v>1798</v>
      </c>
      <c r="B1153" s="2">
        <f>COUNTIF(A:A,A1153)-1</f>
        <v>5</v>
      </c>
      <c r="C1153" s="2">
        <f>COUNTIF(A$1:A1153,A1153)-1</f>
        <v>1</v>
      </c>
      <c r="D1153" s="2" t="str">
        <f t="shared" si="17"/>
        <v>v</v>
      </c>
      <c r="E1153" s="2" t="e">
        <f>SAVE.DIALOG(#REF!)</f>
        <v>#REF!</v>
      </c>
      <c r="F1153" s="2" t="e">
        <f>SAVE.DIALOG(+F1153:G1153,#REF!,#REF!,#REF!,#REF!)</f>
        <v>#REF!</v>
      </c>
      <c r="H1153" s="2" t="e">
        <f>SAVE.DIALOG(H1153:I1153,#REF!,#REF!,#REF!,#REF!)</f>
        <v>#REF!</v>
      </c>
      <c r="J1153" s="2" t="e">
        <f>SAVE.DIALOG(INDIRECT(J1153:K1153),#REF!,#REF!,#REF!,#REF!)</f>
        <v>#REF!</v>
      </c>
      <c r="L1153" s="2">
        <f>TYPE(INDEX(,SAVE.DIALOG(OFFSET(INDEX(1,),,),#REF!,#REF!,#REF!,#REF!)))</f>
        <v>64</v>
      </c>
    </row>
    <row r="1154" spans="1:12" x14ac:dyDescent="0.55000000000000004">
      <c r="A1154" s="1" t="s">
        <v>1798</v>
      </c>
      <c r="B1154" s="2">
        <f>COUNTIF(A:A,A1154)-1</f>
        <v>5</v>
      </c>
      <c r="C1154" s="2">
        <f>COUNTIF(A$1:A1154,A1154)-1</f>
        <v>2</v>
      </c>
      <c r="D1154" s="2" t="str">
        <f t="shared" ref="D1154:D1217" si="18">IF(C1154&gt;0,IF(COUNTA(F1154:G1154)=1,"v",)&amp;IF(L1154=64,,"a")&amp;IF(COUNTA(I1154,K1154)=1,"r",),"")</f>
        <v>v</v>
      </c>
      <c r="E1154" s="2" t="e">
        <f>SAVE.DIALOG(#REF!,#REF!)</f>
        <v>#REF!</v>
      </c>
      <c r="F1154" s="2" t="e">
        <f>SAVE.DIALOG(#REF!,+F1154:G1154,#REF!,#REF!,#REF!)</f>
        <v>#REF!</v>
      </c>
      <c r="H1154" s="2" t="e">
        <f>SAVE.DIALOG(#REF!,H1154:I1154,#REF!,#REF!,#REF!)</f>
        <v>#REF!</v>
      </c>
      <c r="J1154" s="2" t="e">
        <f>SAVE.DIALOG(#REF!,INDIRECT(J1154:K1154),#REF!,#REF!,#REF!)</f>
        <v>#REF!</v>
      </c>
      <c r="L1154" s="2">
        <f>TYPE(INDEX(,SAVE.DIALOG(#REF!,OFFSET(INDEX(1,),,),#REF!,#REF!,#REF!)))</f>
        <v>64</v>
      </c>
    </row>
    <row r="1155" spans="1:12" x14ac:dyDescent="0.55000000000000004">
      <c r="A1155" s="1" t="s">
        <v>1798</v>
      </c>
      <c r="B1155" s="2">
        <f>COUNTIF(A:A,A1155)-1</f>
        <v>5</v>
      </c>
      <c r="C1155" s="2">
        <f>COUNTIF(A$1:A1155,A1155)-1</f>
        <v>3</v>
      </c>
      <c r="D1155" s="2" t="str">
        <f t="shared" si="18"/>
        <v>v</v>
      </c>
      <c r="E1155" s="2" t="e">
        <f>SAVE.DIALOG(#REF!,#REF!,#REF!)</f>
        <v>#REF!</v>
      </c>
      <c r="F1155" s="2" t="e">
        <f>SAVE.DIALOG(#REF!,#REF!,+F1155:G1155,#REF!,#REF!)</f>
        <v>#REF!</v>
      </c>
      <c r="H1155" s="2" t="e">
        <f>SAVE.DIALOG(#REF!,#REF!,H1155:I1155,#REF!,#REF!)</f>
        <v>#REF!</v>
      </c>
      <c r="J1155" s="2" t="e">
        <f>SAVE.DIALOG(#REF!,#REF!,INDIRECT(J1155:K1155),#REF!,#REF!)</f>
        <v>#REF!</v>
      </c>
      <c r="L1155" s="2">
        <f>TYPE(INDEX(,SAVE.DIALOG(#REF!,#REF!,OFFSET(INDEX(1,),,),#REF!,#REF!)))</f>
        <v>64</v>
      </c>
    </row>
    <row r="1156" spans="1:12" x14ac:dyDescent="0.55000000000000004">
      <c r="A1156" s="1" t="s">
        <v>1798</v>
      </c>
      <c r="B1156" s="2">
        <f>COUNTIF(A:A,A1156)-1</f>
        <v>5</v>
      </c>
      <c r="C1156" s="2">
        <f>COUNTIF(A$1:A1156,A1156)-1</f>
        <v>4</v>
      </c>
      <c r="D1156" s="2" t="str">
        <f t="shared" si="18"/>
        <v>v</v>
      </c>
      <c r="E1156" s="2" t="e">
        <f>SAVE.DIALOG(#REF!,#REF!,#REF!,#REF!)</f>
        <v>#REF!</v>
      </c>
      <c r="F1156" s="2" t="e">
        <f>SAVE.DIALOG(#REF!,#REF!,#REF!,+F1156:G1156,#REF!)</f>
        <v>#REF!</v>
      </c>
      <c r="H1156" s="2" t="e">
        <f>SAVE.DIALOG(#REF!,#REF!,#REF!,H1156:I1156,#REF!)</f>
        <v>#REF!</v>
      </c>
      <c r="J1156" s="2" t="e">
        <f>SAVE.DIALOG(#REF!,#REF!,#REF!,INDIRECT(J1156:K1156),#REF!)</f>
        <v>#REF!</v>
      </c>
      <c r="L1156" s="2">
        <f>TYPE(INDEX(,SAVE.DIALOG(#REF!,#REF!,#REF!,OFFSET(INDEX(1,),,),#REF!)))</f>
        <v>64</v>
      </c>
    </row>
    <row r="1157" spans="1:12" x14ac:dyDescent="0.55000000000000004">
      <c r="A1157" s="1" t="s">
        <v>1798</v>
      </c>
      <c r="B1157" s="2">
        <f>COUNTIF(A:A,A1157)-1</f>
        <v>5</v>
      </c>
      <c r="C1157" s="2">
        <f>COUNTIF(A$1:A1157,A1157)-1</f>
        <v>5</v>
      </c>
      <c r="D1157" s="2" t="str">
        <f t="shared" si="18"/>
        <v>v</v>
      </c>
      <c r="E1157" s="2" t="e">
        <f>SAVE.DIALOG(#REF!,#REF!,#REF!,#REF!,#REF!)</f>
        <v>#REF!</v>
      </c>
      <c r="F1157" s="2" t="e">
        <f>SAVE.DIALOG(#REF!,#REF!,#REF!,#REF!,+F1157:G1157)</f>
        <v>#REF!</v>
      </c>
      <c r="H1157" s="2" t="e">
        <f>SAVE.DIALOG(#REF!,#REF!,#REF!,#REF!,H1157:I1157)</f>
        <v>#REF!</v>
      </c>
      <c r="J1157" s="2" t="e">
        <f>SAVE.DIALOG(#REF!,#REF!,#REF!,#REF!,INDIRECT(J1157:K1157))</f>
        <v>#REF!</v>
      </c>
      <c r="L1157" s="2">
        <f>TYPE(INDEX(,SAVE.DIALOG(#REF!,#REF!,#REF!,#REF!,OFFSET(INDEX(1,),,))))</f>
        <v>64</v>
      </c>
    </row>
    <row r="1158" spans="1:12" x14ac:dyDescent="0.55000000000000004">
      <c r="A1158" s="1" t="s">
        <v>1799</v>
      </c>
      <c r="B1158" s="2">
        <f>COUNTIF(A:A,A1158)-1</f>
        <v>2</v>
      </c>
      <c r="C1158" s="2">
        <f>COUNTIF(A$1:A1158,A1158)-1</f>
        <v>0</v>
      </c>
      <c r="D1158" s="2" t="str">
        <f t="shared" si="18"/>
        <v/>
      </c>
      <c r="E1158" s="2"/>
      <c r="F1158" s="2"/>
      <c r="H1158" s="2"/>
      <c r="J1158" s="2"/>
      <c r="L1158" s="2"/>
    </row>
    <row r="1159" spans="1:12" x14ac:dyDescent="0.55000000000000004">
      <c r="A1159" s="1" t="s">
        <v>1799</v>
      </c>
      <c r="B1159" s="2">
        <f>COUNTIF(A:A,A1159)-1</f>
        <v>2</v>
      </c>
      <c r="C1159" s="2">
        <f>COUNTIF(A$1:A1159,A1159)-1</f>
        <v>1</v>
      </c>
      <c r="D1159" s="2" t="str">
        <f t="shared" si="18"/>
        <v>v</v>
      </c>
      <c r="E1159" s="2" t="e">
        <f>VIEW.GET(#REF!)</f>
        <v>#REF!</v>
      </c>
      <c r="F1159" s="2" t="e">
        <f>VIEW.GET(+F1159:G1159,#REF!)</f>
        <v>#REF!</v>
      </c>
      <c r="H1159" s="2" t="e">
        <f>VIEW.GET(H1159:I1159,#REF!)</f>
        <v>#REF!</v>
      </c>
      <c r="J1159" s="2" t="e">
        <f>VIEW.GET(INDIRECT(J1159:K1159),#REF!)</f>
        <v>#REF!</v>
      </c>
      <c r="L1159" s="2">
        <f>TYPE(INDEX(,VIEW.GET(OFFSET(INDEX(1,),,),#REF!)))</f>
        <v>64</v>
      </c>
    </row>
    <row r="1160" spans="1:12" x14ac:dyDescent="0.55000000000000004">
      <c r="A1160" s="1" t="s">
        <v>1799</v>
      </c>
      <c r="B1160" s="2">
        <f>COUNTIF(A:A,A1160)-1</f>
        <v>2</v>
      </c>
      <c r="C1160" s="2">
        <f>COUNTIF(A$1:A1160,A1160)-1</f>
        <v>2</v>
      </c>
      <c r="D1160" s="2" t="str">
        <f t="shared" si="18"/>
        <v>v</v>
      </c>
      <c r="E1160" s="2" t="e">
        <f>VIEW.GET(#REF!,#REF!)</f>
        <v>#REF!</v>
      </c>
      <c r="F1160" s="2" t="e">
        <f>VIEW.GET(#REF!,+F1160:G1160)</f>
        <v>#REF!</v>
      </c>
      <c r="H1160" s="2" t="e">
        <f>VIEW.GET(#REF!,H1160:I1160)</f>
        <v>#REF!</v>
      </c>
      <c r="J1160" s="2" t="e">
        <f>VIEW.GET(#REF!,INDIRECT(J1160:K1160))</f>
        <v>#REF!</v>
      </c>
      <c r="L1160" s="2">
        <f>TYPE(INDEX(,VIEW.GET(#REF!,OFFSET(INDEX(1,),,))))</f>
        <v>64</v>
      </c>
    </row>
    <row r="1161" spans="1:12" x14ac:dyDescent="0.55000000000000004">
      <c r="A1161" s="1" t="s">
        <v>1800</v>
      </c>
      <c r="B1161" s="2">
        <f>COUNTIF(A:A,A1161)-1</f>
        <v>6</v>
      </c>
      <c r="C1161" s="2">
        <f>COUNTIF(A$1:A1161,A1161)-1</f>
        <v>0</v>
      </c>
      <c r="D1161" s="2" t="str">
        <f t="shared" si="18"/>
        <v/>
      </c>
      <c r="E1161" s="2"/>
      <c r="F1161" s="2"/>
      <c r="H1161" s="2"/>
      <c r="J1161" s="2"/>
      <c r="L1161" s="2"/>
    </row>
    <row r="1162" spans="1:12" x14ac:dyDescent="0.55000000000000004">
      <c r="A1162" s="1" t="s">
        <v>1800</v>
      </c>
      <c r="B1162" s="2">
        <f>COUNTIF(A:A,A1162)-1</f>
        <v>6</v>
      </c>
      <c r="C1162" s="2">
        <f>COUNTIF(A$1:A1162,A1162)-1</f>
        <v>1</v>
      </c>
      <c r="D1162" s="2" t="str">
        <f t="shared" si="18"/>
        <v>vr</v>
      </c>
      <c r="E1162" s="2"/>
      <c r="F1162" s="2" t="e">
        <f>GETPIVOTDATA(+F1162:G1162,#REF!,#REF!,#REF!,#REF!,#REF!)</f>
        <v>#REF!</v>
      </c>
      <c r="H1162" s="2" t="e">
        <f>GETPIVOTDATA(H1162:I1162,#REF!,#REF!,#REF!,#REF!,#REF!)</f>
        <v>#REF!</v>
      </c>
      <c r="I1162" s="1">
        <v>1</v>
      </c>
      <c r="J1162" s="2" t="e">
        <f>GETPIVOTDATA(INDIRECT(J1162:K1162),#REF!,#REF!,#REF!,#REF!,#REF!)</f>
        <v>#REF!</v>
      </c>
      <c r="L1162" s="2">
        <f>TYPE(INDEX(,GETPIVOTDATA(OFFSET(INDEX(1,),,),#REF!,#REF!,#REF!,#REF!,#REF!)))</f>
        <v>64</v>
      </c>
    </row>
    <row r="1163" spans="1:12" x14ac:dyDescent="0.55000000000000004">
      <c r="A1163" s="1" t="s">
        <v>1800</v>
      </c>
      <c r="B1163" s="2">
        <f>COUNTIF(A:A,A1163)-1</f>
        <v>6</v>
      </c>
      <c r="C1163" s="2">
        <f>COUNTIF(A$1:A1163,A1163)-1</f>
        <v>2</v>
      </c>
      <c r="D1163" s="2" t="str">
        <f t="shared" si="18"/>
        <v>vr</v>
      </c>
      <c r="E1163" s="2" t="e">
        <f>GETPIVOTDATA(#REF!,#REF!)</f>
        <v>#REF!</v>
      </c>
      <c r="F1163" s="2" t="e">
        <f>GETPIVOTDATA(#REF!,+F1163:G1163,#REF!,#REF!,#REF!,#REF!)</f>
        <v>#REF!</v>
      </c>
      <c r="H1163" s="2" t="e">
        <f>GETPIVOTDATA(#REF!,H1163:I1163,#REF!,#REF!,#REF!,#REF!)</f>
        <v>#REF!</v>
      </c>
      <c r="I1163" s="1">
        <v>1</v>
      </c>
      <c r="J1163" s="2" t="e">
        <f>GETPIVOTDATA(#REF!,INDIRECT(J1163:K1163),#REF!,#REF!,#REF!,#REF!)</f>
        <v>#REF!</v>
      </c>
      <c r="L1163" s="2">
        <f>TYPE(INDEX(,GETPIVOTDATA(#REF!,OFFSET(INDEX(1,),,),#REF!,#REF!,#REF!,#REF!)))</f>
        <v>64</v>
      </c>
    </row>
    <row r="1164" spans="1:12" x14ac:dyDescent="0.55000000000000004">
      <c r="A1164" s="1" t="s">
        <v>1800</v>
      </c>
      <c r="B1164" s="2">
        <f>COUNTIF(A:A,A1164)-1</f>
        <v>6</v>
      </c>
      <c r="C1164" s="2">
        <f>COUNTIF(A$1:A1164,A1164)-1</f>
        <v>3</v>
      </c>
      <c r="D1164" s="2" t="str">
        <f t="shared" si="18"/>
        <v>v</v>
      </c>
      <c r="E1164" s="2" t="e">
        <f>GETPIVOTDATA(#REF!,#REF!,#REF!)</f>
        <v>#REF!</v>
      </c>
      <c r="F1164" s="2" t="e">
        <f>GETPIVOTDATA(#REF!,#REF!,+F1164:G1164,#REF!,#REF!,#REF!)</f>
        <v>#REF!</v>
      </c>
      <c r="H1164" s="2" t="e">
        <f>GETPIVOTDATA(#REF!,#REF!,H1164:I1164,#REF!,#REF!,#REF!)</f>
        <v>#REF!</v>
      </c>
      <c r="J1164" s="2" t="e">
        <f>GETPIVOTDATA(#REF!,#REF!,INDIRECT(J1164:K1164),#REF!,#REF!,#REF!)</f>
        <v>#REF!</v>
      </c>
      <c r="L1164" s="2">
        <f>TYPE(INDEX(,GETPIVOTDATA(#REF!,#REF!,OFFSET(INDEX(1,),,),#REF!,#REF!,#REF!)))</f>
        <v>64</v>
      </c>
    </row>
    <row r="1165" spans="1:12" x14ac:dyDescent="0.55000000000000004">
      <c r="A1165" s="1" t="s">
        <v>1800</v>
      </c>
      <c r="B1165" s="2">
        <f>COUNTIF(A:A,A1165)-1</f>
        <v>6</v>
      </c>
      <c r="C1165" s="2">
        <f>COUNTIF(A$1:A1165,A1165)-1</f>
        <v>4</v>
      </c>
      <c r="D1165" s="2" t="str">
        <f t="shared" si="18"/>
        <v>v</v>
      </c>
      <c r="E1165" s="2" t="e">
        <f>GETPIVOTDATA(#REF!,#REF!,#REF!,#REF!)</f>
        <v>#REF!</v>
      </c>
      <c r="F1165" s="2" t="e">
        <f>GETPIVOTDATA(#REF!,#REF!,#REF!,+F1165:G1165,#REF!,#REF!)</f>
        <v>#REF!</v>
      </c>
      <c r="H1165" s="2" t="e">
        <f>GETPIVOTDATA(#REF!,#REF!,#REF!,H1165:I1165,#REF!,#REF!)</f>
        <v>#REF!</v>
      </c>
      <c r="J1165" s="2" t="e">
        <f>GETPIVOTDATA(#REF!,#REF!,#REF!,INDIRECT(J1165:K1165),#REF!,#REF!)</f>
        <v>#REF!</v>
      </c>
      <c r="L1165" s="2">
        <f>TYPE(INDEX(,GETPIVOTDATA(#REF!,#REF!,#REF!,OFFSET(INDEX(1,),,),#REF!,#REF!)))</f>
        <v>64</v>
      </c>
    </row>
    <row r="1166" spans="1:12" x14ac:dyDescent="0.55000000000000004">
      <c r="A1166" s="1" t="s">
        <v>1800</v>
      </c>
      <c r="B1166" s="2">
        <f>COUNTIF(A:A,A1166)-1</f>
        <v>6</v>
      </c>
      <c r="C1166" s="2">
        <f>COUNTIF(A$1:A1166,A1166)-1</f>
        <v>5</v>
      </c>
      <c r="D1166" s="2" t="str">
        <f t="shared" si="18"/>
        <v>v</v>
      </c>
      <c r="E1166" s="2"/>
      <c r="F1166" s="2" t="e">
        <f>GETPIVOTDATA(#REF!,#REF!,#REF!,#REF!,+F1166:G1166,#REF!)</f>
        <v>#REF!</v>
      </c>
      <c r="H1166" s="2" t="e">
        <f>GETPIVOTDATA(#REF!,#REF!,#REF!,#REF!,H1166:I1166,#REF!)</f>
        <v>#REF!</v>
      </c>
      <c r="J1166" s="2" t="e">
        <f>GETPIVOTDATA(#REF!,#REF!,#REF!,#REF!,INDIRECT(J1166:K1166),#REF!)</f>
        <v>#REF!</v>
      </c>
      <c r="L1166" s="2">
        <f>TYPE(INDEX(,GETPIVOTDATA(#REF!,#REF!,#REF!,#REF!,OFFSET(INDEX(1,),,),#REF!)))</f>
        <v>64</v>
      </c>
    </row>
    <row r="1167" spans="1:12" x14ac:dyDescent="0.55000000000000004">
      <c r="A1167" s="1" t="s">
        <v>1800</v>
      </c>
      <c r="B1167" s="2">
        <f>COUNTIF(A:A,A1167)-1</f>
        <v>6</v>
      </c>
      <c r="C1167" s="2">
        <f>COUNTIF(A$1:A1167,A1167)-1</f>
        <v>6</v>
      </c>
      <c r="D1167" s="2" t="str">
        <f t="shared" si="18"/>
        <v>v</v>
      </c>
      <c r="E1167" s="2" t="e">
        <f>GETPIVOTDATA(#REF!,#REF!,#REF!,#REF!,#REF!,#REF!)</f>
        <v>#REF!</v>
      </c>
      <c r="F1167" s="2" t="e">
        <f>GETPIVOTDATA(#REF!,#REF!,#REF!,#REF!,#REF!,+F1167:G1167)</f>
        <v>#REF!</v>
      </c>
      <c r="H1167" s="2" t="e">
        <f>GETPIVOTDATA(#REF!,#REF!,#REF!,#REF!,#REF!,H1167:I1167)</f>
        <v>#REF!</v>
      </c>
      <c r="J1167" s="2" t="e">
        <f>GETPIVOTDATA(#REF!,#REF!,#REF!,#REF!,#REF!,INDIRECT(J1167:K1167))</f>
        <v>#REF!</v>
      </c>
      <c r="L1167" s="2">
        <f>TYPE(INDEX(,GETPIVOTDATA(#REF!,#REF!,#REF!,#REF!,#REF!,OFFSET(INDEX(1,),,))))</f>
        <v>64</v>
      </c>
    </row>
    <row r="1168" spans="1:12" x14ac:dyDescent="0.55000000000000004">
      <c r="A1168" s="1" t="s">
        <v>1801</v>
      </c>
      <c r="B1168" s="2">
        <f>COUNTIF(A:A,A1168)-1</f>
        <v>2</v>
      </c>
      <c r="C1168" s="2">
        <f>COUNTIF(A$1:A1168,A1168)-1</f>
        <v>0</v>
      </c>
      <c r="D1168" s="2" t="str">
        <f t="shared" si="18"/>
        <v/>
      </c>
      <c r="E1168" s="2"/>
      <c r="F1168" s="2"/>
      <c r="H1168" s="2"/>
      <c r="J1168" s="2"/>
      <c r="L1168" s="2"/>
    </row>
    <row r="1169" spans="1:12" x14ac:dyDescent="0.55000000000000004">
      <c r="A1169" s="1" t="s">
        <v>1801</v>
      </c>
      <c r="B1169" s="2">
        <f>COUNTIF(A:A,A1169)-1</f>
        <v>2</v>
      </c>
      <c r="C1169" s="2">
        <f>COUNTIF(A$1:A1169,A1169)-1</f>
        <v>1</v>
      </c>
      <c r="D1169" s="2" t="str">
        <f t="shared" si="18"/>
        <v>v</v>
      </c>
      <c r="E1169" s="2" t="e">
        <f>HYPERLINK(#REF!)</f>
        <v>#REF!</v>
      </c>
      <c r="F1169" s="2" t="e">
        <f>HYPERLINK(+F1169:G1169,#REF!)</f>
        <v>#REF!</v>
      </c>
      <c r="H1169" s="2" t="e">
        <f>HYPERLINK(H1169:I1169,#REF!)</f>
        <v>#REF!</v>
      </c>
      <c r="J1169" s="2" t="e">
        <f>HYPERLINK(INDIRECT(J1169:K1169),#REF!)</f>
        <v>#REF!</v>
      </c>
      <c r="L1169" s="2">
        <f>TYPE(INDEX(,HYPERLINK(OFFSET(INDEX(1,),,),#REF!)))</f>
        <v>64</v>
      </c>
    </row>
    <row r="1170" spans="1:12" x14ac:dyDescent="0.55000000000000004">
      <c r="A1170" s="1" t="s">
        <v>1801</v>
      </c>
      <c r="B1170" s="2">
        <f>COUNTIF(A:A,A1170)-1</f>
        <v>2</v>
      </c>
      <c r="C1170" s="2">
        <f>COUNTIF(A$1:A1170,A1170)-1</f>
        <v>2</v>
      </c>
      <c r="D1170" s="2" t="str">
        <f t="shared" si="18"/>
        <v>va</v>
      </c>
      <c r="E1170" s="2" t="e">
        <f>HYPERLINK(#REF!,#REF!)</f>
        <v>#REF!</v>
      </c>
      <c r="F1170" s="2" t="e">
        <f>HYPERLINK(#REF!,+F1170:G1170)</f>
        <v>#REF!</v>
      </c>
      <c r="H1170" s="2" t="e">
        <f>HYPERLINK(#REF!,H1170:I1170)</f>
        <v>#REF!</v>
      </c>
      <c r="J1170" s="2" t="e">
        <f>HYPERLINK(#REF!,INDIRECT(J1170:K1170))</f>
        <v>#REF!</v>
      </c>
      <c r="L1170" s="2">
        <f>TYPE(INDEX(,HYPERLINK(#REF!,OFFSET(INDEX(1,),,))))</f>
        <v>16</v>
      </c>
    </row>
    <row r="1171" spans="1:12" x14ac:dyDescent="0.55000000000000004">
      <c r="A1171" s="1" t="s">
        <v>1802</v>
      </c>
      <c r="B1171" s="2">
        <f>COUNTIF(A:A,A1171)-1</f>
        <v>1</v>
      </c>
      <c r="C1171" s="2">
        <f>COUNTIF(A$1:A1171,A1171)-1</f>
        <v>0</v>
      </c>
      <c r="D1171" s="2" t="str">
        <f t="shared" si="18"/>
        <v/>
      </c>
      <c r="E1171" s="2"/>
      <c r="F1171" s="2"/>
      <c r="H1171" s="2"/>
      <c r="J1171" s="2"/>
      <c r="L1171" s="2"/>
    </row>
    <row r="1172" spans="1:12" x14ac:dyDescent="0.55000000000000004">
      <c r="A1172" s="1" t="s">
        <v>1802</v>
      </c>
      <c r="B1172" s="2">
        <f>COUNTIF(A:A,A1172)-1</f>
        <v>1</v>
      </c>
      <c r="C1172" s="2">
        <f>COUNTIF(A$1:A1172,A1172)-1</f>
        <v>1</v>
      </c>
      <c r="D1172" s="2" t="str">
        <f t="shared" si="18"/>
        <v>r</v>
      </c>
      <c r="E1172" s="2" t="e">
        <f>PHONETIC(#REF!)</f>
        <v>#REF!</v>
      </c>
      <c r="F1172" s="2"/>
      <c r="H1172" s="2" t="e">
        <f>PHONETIC(H1172:I1172)</f>
        <v>#N/A</v>
      </c>
      <c r="I1172" s="1">
        <v>1</v>
      </c>
      <c r="J1172" s="2" t="e">
        <f>PHONETIC(INDIRECT(J1172:K1172))</f>
        <v>#REF!</v>
      </c>
      <c r="L1172" s="2">
        <f>TYPE(INDEX(,PHONETIC(OFFSET(INDEX(1,),,))))</f>
        <v>64</v>
      </c>
    </row>
    <row r="1173" spans="1:12" x14ac:dyDescent="0.55000000000000004">
      <c r="A1173" s="1" t="s">
        <v>1803</v>
      </c>
      <c r="B1173" s="2">
        <f>COUNTIF(A:A,A1173)-1</f>
        <v>3</v>
      </c>
      <c r="C1173" s="2">
        <f>COUNTIF(A$1:A1173,A1173)-1</f>
        <v>0</v>
      </c>
      <c r="D1173" s="2" t="str">
        <f t="shared" si="18"/>
        <v/>
      </c>
      <c r="E1173" s="2"/>
      <c r="F1173" s="2"/>
      <c r="H1173" s="2"/>
      <c r="J1173" s="2"/>
      <c r="L1173" s="2"/>
    </row>
    <row r="1174" spans="1:12" x14ac:dyDescent="0.55000000000000004">
      <c r="A1174" s="1" t="s">
        <v>1803</v>
      </c>
      <c r="B1174" s="2">
        <f>COUNTIF(A:A,A1174)-1</f>
        <v>3</v>
      </c>
      <c r="C1174" s="2">
        <f>COUNTIF(A$1:A1174,A1174)-1</f>
        <v>1</v>
      </c>
      <c r="D1174" s="2" t="str">
        <f t="shared" si="18"/>
        <v>var</v>
      </c>
      <c r="E1174" s="2" t="e">
        <f>AVERAGEA(#REF!)</f>
        <v>#REF!</v>
      </c>
      <c r="F1174" s="2" t="e">
        <f>AVERAGEA(+F1174:G1174,#REF!,#REF!)</f>
        <v>#REF!</v>
      </c>
      <c r="H1174" s="2" t="e">
        <f>AVERAGEA(H1174:I1174,#REF!,#REF!)</f>
        <v>#REF!</v>
      </c>
      <c r="I1174" s="1">
        <v>1</v>
      </c>
      <c r="J1174" s="2" t="e">
        <f>AVERAGEA(INDIRECT(J1174:K1174),#REF!,#REF!)</f>
        <v>#REF!</v>
      </c>
      <c r="L1174" s="2">
        <f>TYPE(INDEX(,AVERAGEA(OFFSET(INDEX(1,),,),#REF!,#REF!)))</f>
        <v>16</v>
      </c>
    </row>
    <row r="1175" spans="1:12" x14ac:dyDescent="0.55000000000000004">
      <c r="A1175" s="1" t="s">
        <v>1803</v>
      </c>
      <c r="B1175" s="2">
        <f>COUNTIF(A:A,A1175)-1</f>
        <v>3</v>
      </c>
      <c r="C1175" s="2">
        <f>COUNTIF(A$1:A1175,A1175)-1</f>
        <v>2</v>
      </c>
      <c r="D1175" s="2" t="str">
        <f t="shared" si="18"/>
        <v>var</v>
      </c>
      <c r="E1175" s="2" t="e">
        <f>AVERAGEA(#REF!,#REF!)</f>
        <v>#REF!</v>
      </c>
      <c r="F1175" s="2" t="e">
        <f>AVERAGEA(#REF!,+F1175:G1175,#REF!)</f>
        <v>#REF!</v>
      </c>
      <c r="H1175" s="2" t="e">
        <f>AVERAGEA(#REF!,H1175:I1175,#REF!)</f>
        <v>#REF!</v>
      </c>
      <c r="I1175" s="1">
        <v>1</v>
      </c>
      <c r="J1175" s="2" t="e">
        <f>AVERAGEA(#REF!,INDIRECT(J1175:K1175),#REF!)</f>
        <v>#REF!</v>
      </c>
      <c r="L1175" s="2">
        <f>TYPE(INDEX(,AVERAGEA(#REF!,OFFSET(INDEX(1,),,),#REF!)))</f>
        <v>16</v>
      </c>
    </row>
    <row r="1176" spans="1:12" x14ac:dyDescent="0.55000000000000004">
      <c r="A1176" s="1" t="s">
        <v>1803</v>
      </c>
      <c r="B1176" s="2">
        <f>COUNTIF(A:A,A1176)-1</f>
        <v>3</v>
      </c>
      <c r="C1176" s="2">
        <f>COUNTIF(A$1:A1176,A1176)-1</f>
        <v>3</v>
      </c>
      <c r="D1176" s="2" t="str">
        <f t="shared" si="18"/>
        <v>var</v>
      </c>
      <c r="E1176" s="2" t="e">
        <f>AVERAGEA(#REF!,#REF!,#REF!)</f>
        <v>#REF!</v>
      </c>
      <c r="F1176" s="2" t="e">
        <f>AVERAGEA(#REF!,#REF!,+F1176:G1176)</f>
        <v>#REF!</v>
      </c>
      <c r="H1176" s="2" t="e">
        <f>AVERAGEA(#REF!,#REF!,H1176:I1176)</f>
        <v>#REF!</v>
      </c>
      <c r="I1176" s="1">
        <v>1</v>
      </c>
      <c r="J1176" s="2" t="e">
        <f>AVERAGEA(#REF!,#REF!,INDIRECT(J1176:K1176))</f>
        <v>#REF!</v>
      </c>
      <c r="L1176" s="2">
        <f>TYPE(INDEX(,AVERAGEA(#REF!,#REF!,OFFSET(INDEX(1,),,))))</f>
        <v>16</v>
      </c>
    </row>
    <row r="1177" spans="1:12" x14ac:dyDescent="0.55000000000000004">
      <c r="A1177" s="1" t="s">
        <v>1804</v>
      </c>
      <c r="B1177" s="2">
        <f>COUNTIF(A:A,A1177)-1</f>
        <v>3</v>
      </c>
      <c r="C1177" s="2">
        <f>COUNTIF(A$1:A1177,A1177)-1</f>
        <v>0</v>
      </c>
      <c r="D1177" s="2" t="str">
        <f t="shared" si="18"/>
        <v/>
      </c>
      <c r="E1177" s="2"/>
      <c r="F1177" s="2"/>
      <c r="H1177" s="2"/>
      <c r="J1177" s="2"/>
      <c r="L1177" s="2"/>
    </row>
    <row r="1178" spans="1:12" x14ac:dyDescent="0.55000000000000004">
      <c r="A1178" s="1" t="s">
        <v>1804</v>
      </c>
      <c r="B1178" s="2">
        <f>COUNTIF(A:A,A1178)-1</f>
        <v>3</v>
      </c>
      <c r="C1178" s="2">
        <f>COUNTIF(A$1:A1178,A1178)-1</f>
        <v>1</v>
      </c>
      <c r="D1178" s="2" t="str">
        <f t="shared" si="18"/>
        <v>var</v>
      </c>
      <c r="E1178" s="2" t="e">
        <f>MAXA(#REF!)</f>
        <v>#REF!</v>
      </c>
      <c r="F1178" s="2" t="e">
        <f>MAXA(+F1178:G1178,#REF!,#REF!)</f>
        <v>#REF!</v>
      </c>
      <c r="H1178" s="2" t="e">
        <f>MAXA(H1178:I1178,#REF!,#REF!)</f>
        <v>#REF!</v>
      </c>
      <c r="I1178" s="1">
        <v>1</v>
      </c>
      <c r="J1178" s="2" t="e">
        <f>MAXA(INDIRECT(J1178:K1178),#REF!,#REF!)</f>
        <v>#REF!</v>
      </c>
      <c r="L1178" s="2">
        <f>TYPE(INDEX(,MAXA(OFFSET(INDEX(1,),,),#REF!,#REF!)))</f>
        <v>16</v>
      </c>
    </row>
    <row r="1179" spans="1:12" x14ac:dyDescent="0.55000000000000004">
      <c r="A1179" s="1" t="s">
        <v>1804</v>
      </c>
      <c r="B1179" s="2">
        <f>COUNTIF(A:A,A1179)-1</f>
        <v>3</v>
      </c>
      <c r="C1179" s="2">
        <f>COUNTIF(A$1:A1179,A1179)-1</f>
        <v>2</v>
      </c>
      <c r="D1179" s="2" t="str">
        <f t="shared" si="18"/>
        <v>var</v>
      </c>
      <c r="E1179" s="2" t="e">
        <f>MAXA(#REF!,#REF!)</f>
        <v>#REF!</v>
      </c>
      <c r="F1179" s="2" t="e">
        <f>MAXA(#REF!,+F1179:G1179,#REF!)</f>
        <v>#REF!</v>
      </c>
      <c r="H1179" s="2" t="e">
        <f>MAXA(#REF!,H1179:I1179,#REF!)</f>
        <v>#REF!</v>
      </c>
      <c r="I1179" s="1">
        <v>1</v>
      </c>
      <c r="J1179" s="2" t="e">
        <f>MAXA(#REF!,INDIRECT(J1179:K1179),#REF!)</f>
        <v>#REF!</v>
      </c>
      <c r="L1179" s="2">
        <f>TYPE(INDEX(,MAXA(#REF!,OFFSET(INDEX(1,),,),#REF!)))</f>
        <v>16</v>
      </c>
    </row>
    <row r="1180" spans="1:12" x14ac:dyDescent="0.55000000000000004">
      <c r="A1180" s="1" t="s">
        <v>1804</v>
      </c>
      <c r="B1180" s="2">
        <f>COUNTIF(A:A,A1180)-1</f>
        <v>3</v>
      </c>
      <c r="C1180" s="2">
        <f>COUNTIF(A$1:A1180,A1180)-1</f>
        <v>3</v>
      </c>
      <c r="D1180" s="2" t="str">
        <f t="shared" si="18"/>
        <v>var</v>
      </c>
      <c r="E1180" s="2" t="e">
        <f>MAXA(#REF!,#REF!,#REF!)</f>
        <v>#REF!</v>
      </c>
      <c r="F1180" s="2" t="e">
        <f>MAXA(#REF!,#REF!,+F1180:G1180)</f>
        <v>#REF!</v>
      </c>
      <c r="H1180" s="2" t="e">
        <f>MAXA(#REF!,#REF!,H1180:I1180)</f>
        <v>#REF!</v>
      </c>
      <c r="I1180" s="1">
        <v>1</v>
      </c>
      <c r="J1180" s="2" t="e">
        <f>MAXA(#REF!,#REF!,INDIRECT(J1180:K1180))</f>
        <v>#REF!</v>
      </c>
      <c r="L1180" s="2">
        <f>TYPE(INDEX(,MAXA(#REF!,#REF!,OFFSET(INDEX(1,),,))))</f>
        <v>16</v>
      </c>
    </row>
    <row r="1181" spans="1:12" x14ac:dyDescent="0.55000000000000004">
      <c r="A1181" s="1" t="s">
        <v>1805</v>
      </c>
      <c r="B1181" s="2">
        <f>COUNTIF(A:A,A1181)-1</f>
        <v>3</v>
      </c>
      <c r="C1181" s="2">
        <f>COUNTIF(A$1:A1181,A1181)-1</f>
        <v>0</v>
      </c>
      <c r="D1181" s="2" t="str">
        <f t="shared" si="18"/>
        <v/>
      </c>
      <c r="E1181" s="2"/>
      <c r="F1181" s="2"/>
      <c r="H1181" s="2"/>
      <c r="J1181" s="2"/>
      <c r="L1181" s="2"/>
    </row>
    <row r="1182" spans="1:12" x14ac:dyDescent="0.55000000000000004">
      <c r="A1182" s="1" t="s">
        <v>1805</v>
      </c>
      <c r="B1182" s="2">
        <f>COUNTIF(A:A,A1182)-1</f>
        <v>3</v>
      </c>
      <c r="C1182" s="2">
        <f>COUNTIF(A$1:A1182,A1182)-1</f>
        <v>1</v>
      </c>
      <c r="D1182" s="2" t="str">
        <f t="shared" si="18"/>
        <v>var</v>
      </c>
      <c r="E1182" s="2" t="e">
        <f>MINA(#REF!)</f>
        <v>#REF!</v>
      </c>
      <c r="F1182" s="2" t="e">
        <f>MINA(+F1182:G1182,#REF!,#REF!)</f>
        <v>#REF!</v>
      </c>
      <c r="H1182" s="2" t="e">
        <f>MINA(H1182:I1182,#REF!,#REF!)</f>
        <v>#REF!</v>
      </c>
      <c r="I1182" s="1">
        <v>1</v>
      </c>
      <c r="J1182" s="2" t="e">
        <f>MINA(INDIRECT(J1182:K1182),#REF!,#REF!)</f>
        <v>#REF!</v>
      </c>
      <c r="L1182" s="2">
        <f>TYPE(INDEX(,MINA(OFFSET(INDEX(1,),,),#REF!,#REF!)))</f>
        <v>16</v>
      </c>
    </row>
    <row r="1183" spans="1:12" x14ac:dyDescent="0.55000000000000004">
      <c r="A1183" s="1" t="s">
        <v>1805</v>
      </c>
      <c r="B1183" s="2">
        <f>COUNTIF(A:A,A1183)-1</f>
        <v>3</v>
      </c>
      <c r="C1183" s="2">
        <f>COUNTIF(A$1:A1183,A1183)-1</f>
        <v>2</v>
      </c>
      <c r="D1183" s="2" t="str">
        <f t="shared" si="18"/>
        <v>var</v>
      </c>
      <c r="E1183" s="2" t="e">
        <f>MINA(#REF!,#REF!)</f>
        <v>#REF!</v>
      </c>
      <c r="F1183" s="2" t="e">
        <f>MINA(#REF!,+F1183:G1183,#REF!)</f>
        <v>#REF!</v>
      </c>
      <c r="H1183" s="2" t="e">
        <f>MINA(#REF!,H1183:I1183,#REF!)</f>
        <v>#REF!</v>
      </c>
      <c r="I1183" s="1">
        <v>1</v>
      </c>
      <c r="J1183" s="2" t="e">
        <f>MINA(#REF!,INDIRECT(J1183:K1183),#REF!)</f>
        <v>#REF!</v>
      </c>
      <c r="L1183" s="2">
        <f>TYPE(INDEX(,MINA(#REF!,OFFSET(INDEX(1,),,),#REF!)))</f>
        <v>16</v>
      </c>
    </row>
    <row r="1184" spans="1:12" x14ac:dyDescent="0.55000000000000004">
      <c r="A1184" s="1" t="s">
        <v>1805</v>
      </c>
      <c r="B1184" s="2">
        <f>COUNTIF(A:A,A1184)-1</f>
        <v>3</v>
      </c>
      <c r="C1184" s="2">
        <f>COUNTIF(A$1:A1184,A1184)-1</f>
        <v>3</v>
      </c>
      <c r="D1184" s="2" t="str">
        <f t="shared" si="18"/>
        <v>var</v>
      </c>
      <c r="E1184" s="2" t="e">
        <f>MINA(#REF!,#REF!,#REF!)</f>
        <v>#REF!</v>
      </c>
      <c r="F1184" s="2" t="e">
        <f>MINA(#REF!,#REF!,+F1184:G1184)</f>
        <v>#REF!</v>
      </c>
      <c r="H1184" s="2" t="e">
        <f>MINA(#REF!,#REF!,H1184:I1184)</f>
        <v>#REF!</v>
      </c>
      <c r="I1184" s="1">
        <v>1</v>
      </c>
      <c r="J1184" s="2" t="e">
        <f>MINA(#REF!,#REF!,INDIRECT(J1184:K1184))</f>
        <v>#REF!</v>
      </c>
      <c r="L1184" s="2">
        <f>TYPE(INDEX(,MINA(#REF!,#REF!,OFFSET(INDEX(1,),,))))</f>
        <v>16</v>
      </c>
    </row>
    <row r="1185" spans="1:12" x14ac:dyDescent="0.55000000000000004">
      <c r="A1185" s="1" t="s">
        <v>1806</v>
      </c>
      <c r="B1185" s="2">
        <f>COUNTIF(A:A,A1185)-1</f>
        <v>3</v>
      </c>
      <c r="C1185" s="2">
        <f>COUNTIF(A$1:A1185,A1185)-1</f>
        <v>0</v>
      </c>
      <c r="D1185" s="2" t="str">
        <f t="shared" si="18"/>
        <v/>
      </c>
      <c r="E1185" s="2"/>
      <c r="F1185" s="2"/>
      <c r="H1185" s="2"/>
      <c r="J1185" s="2"/>
      <c r="L1185" s="2"/>
    </row>
    <row r="1186" spans="1:12" x14ac:dyDescent="0.55000000000000004">
      <c r="A1186" s="1" t="s">
        <v>1806</v>
      </c>
      <c r="B1186" s="2">
        <f>COUNTIF(A:A,A1186)-1</f>
        <v>3</v>
      </c>
      <c r="C1186" s="2">
        <f>COUNTIF(A$1:A1186,A1186)-1</f>
        <v>1</v>
      </c>
      <c r="D1186" s="2" t="str">
        <f t="shared" si="18"/>
        <v>var</v>
      </c>
      <c r="E1186" s="2" t="e">
        <f>STDEVPA(#REF!)</f>
        <v>#REF!</v>
      </c>
      <c r="F1186" s="2" t="e">
        <f>STDEVPA(+F1186:G1186,#REF!,#REF!)</f>
        <v>#REF!</v>
      </c>
      <c r="H1186" s="2" t="e">
        <f>STDEVPA(H1186:I1186,#REF!,#REF!)</f>
        <v>#REF!</v>
      </c>
      <c r="I1186" s="1">
        <v>1</v>
      </c>
      <c r="J1186" s="2" t="e">
        <f>STDEVPA(INDIRECT(J1186:K1186),#REF!,#REF!)</f>
        <v>#REF!</v>
      </c>
      <c r="L1186" s="2">
        <f>TYPE(INDEX(,STDEVPA(OFFSET(INDEX(1,),,),#REF!,#REF!)))</f>
        <v>16</v>
      </c>
    </row>
    <row r="1187" spans="1:12" x14ac:dyDescent="0.55000000000000004">
      <c r="A1187" s="1" t="s">
        <v>1806</v>
      </c>
      <c r="B1187" s="2">
        <f>COUNTIF(A:A,A1187)-1</f>
        <v>3</v>
      </c>
      <c r="C1187" s="2">
        <f>COUNTIF(A$1:A1187,A1187)-1</f>
        <v>2</v>
      </c>
      <c r="D1187" s="2" t="str">
        <f t="shared" si="18"/>
        <v>var</v>
      </c>
      <c r="E1187" s="2" t="e">
        <f>STDEVPA(#REF!,#REF!)</f>
        <v>#REF!</v>
      </c>
      <c r="F1187" s="2" t="e">
        <f>STDEVPA(#REF!,+F1187:G1187,#REF!)</f>
        <v>#REF!</v>
      </c>
      <c r="H1187" s="2" t="e">
        <f>STDEVPA(#REF!,H1187:I1187,#REF!)</f>
        <v>#REF!</v>
      </c>
      <c r="I1187" s="1">
        <v>1</v>
      </c>
      <c r="J1187" s="2" t="e">
        <f>STDEVPA(#REF!,INDIRECT(J1187:K1187),#REF!)</f>
        <v>#REF!</v>
      </c>
      <c r="L1187" s="2">
        <f>TYPE(INDEX(,STDEVPA(#REF!,OFFSET(INDEX(1,),,),#REF!)))</f>
        <v>16</v>
      </c>
    </row>
    <row r="1188" spans="1:12" x14ac:dyDescent="0.55000000000000004">
      <c r="A1188" s="1" t="s">
        <v>1806</v>
      </c>
      <c r="B1188" s="2">
        <f>COUNTIF(A:A,A1188)-1</f>
        <v>3</v>
      </c>
      <c r="C1188" s="2">
        <f>COUNTIF(A$1:A1188,A1188)-1</f>
        <v>3</v>
      </c>
      <c r="D1188" s="2" t="str">
        <f t="shared" si="18"/>
        <v>var</v>
      </c>
      <c r="E1188" s="2" t="e">
        <f>STDEVPA(#REF!,#REF!,#REF!)</f>
        <v>#REF!</v>
      </c>
      <c r="F1188" s="2" t="e">
        <f>STDEVPA(#REF!,#REF!,+F1188:G1188)</f>
        <v>#REF!</v>
      </c>
      <c r="H1188" s="2" t="e">
        <f>STDEVPA(#REF!,#REF!,H1188:I1188)</f>
        <v>#REF!</v>
      </c>
      <c r="I1188" s="1">
        <v>1</v>
      </c>
      <c r="J1188" s="2" t="e">
        <f>STDEVPA(#REF!,#REF!,INDIRECT(J1188:K1188))</f>
        <v>#REF!</v>
      </c>
      <c r="L1188" s="2">
        <f>TYPE(INDEX(,STDEVPA(#REF!,#REF!,OFFSET(INDEX(1,),,))))</f>
        <v>16</v>
      </c>
    </row>
    <row r="1189" spans="1:12" x14ac:dyDescent="0.55000000000000004">
      <c r="A1189" s="1" t="s">
        <v>1807</v>
      </c>
      <c r="B1189" s="2">
        <f>COUNTIF(A:A,A1189)-1</f>
        <v>3</v>
      </c>
      <c r="C1189" s="2">
        <f>COUNTIF(A$1:A1189,A1189)-1</f>
        <v>0</v>
      </c>
      <c r="D1189" s="2" t="str">
        <f t="shared" si="18"/>
        <v/>
      </c>
      <c r="E1189" s="2"/>
      <c r="F1189" s="2"/>
      <c r="H1189" s="2"/>
      <c r="J1189" s="2"/>
      <c r="L1189" s="2"/>
    </row>
    <row r="1190" spans="1:12" x14ac:dyDescent="0.55000000000000004">
      <c r="A1190" s="1" t="s">
        <v>1807</v>
      </c>
      <c r="B1190" s="2">
        <f>COUNTIF(A:A,A1190)-1</f>
        <v>3</v>
      </c>
      <c r="C1190" s="2">
        <f>COUNTIF(A$1:A1190,A1190)-1</f>
        <v>1</v>
      </c>
      <c r="D1190" s="2" t="str">
        <f t="shared" si="18"/>
        <v>var</v>
      </c>
      <c r="E1190" s="2" t="e">
        <f>VARPA(#REF!)</f>
        <v>#REF!</v>
      </c>
      <c r="F1190" s="2" t="e">
        <f>VARPA(+F1190:G1190,#REF!,#REF!)</f>
        <v>#REF!</v>
      </c>
      <c r="H1190" s="2" t="e">
        <f>VARPA(H1190:I1190,#REF!,#REF!)</f>
        <v>#REF!</v>
      </c>
      <c r="I1190" s="1">
        <v>1</v>
      </c>
      <c r="J1190" s="2" t="e">
        <f>VARPA(INDIRECT(J1190:K1190),#REF!,#REF!)</f>
        <v>#REF!</v>
      </c>
      <c r="L1190" s="2">
        <f>TYPE(INDEX(,VARPA(OFFSET(INDEX(1,),,),#REF!,#REF!)))</f>
        <v>16</v>
      </c>
    </row>
    <row r="1191" spans="1:12" x14ac:dyDescent="0.55000000000000004">
      <c r="A1191" s="1" t="s">
        <v>1807</v>
      </c>
      <c r="B1191" s="2">
        <f>COUNTIF(A:A,A1191)-1</f>
        <v>3</v>
      </c>
      <c r="C1191" s="2">
        <f>COUNTIF(A$1:A1191,A1191)-1</f>
        <v>2</v>
      </c>
      <c r="D1191" s="2" t="str">
        <f t="shared" si="18"/>
        <v>var</v>
      </c>
      <c r="E1191" s="2" t="e">
        <f>VARPA(#REF!,#REF!)</f>
        <v>#REF!</v>
      </c>
      <c r="F1191" s="2" t="e">
        <f>VARPA(#REF!,+F1191:G1191,#REF!)</f>
        <v>#REF!</v>
      </c>
      <c r="H1191" s="2" t="e">
        <f>VARPA(#REF!,H1191:I1191,#REF!)</f>
        <v>#REF!</v>
      </c>
      <c r="I1191" s="1">
        <v>1</v>
      </c>
      <c r="J1191" s="2" t="e">
        <f>VARPA(#REF!,INDIRECT(J1191:K1191),#REF!)</f>
        <v>#REF!</v>
      </c>
      <c r="L1191" s="2">
        <f>TYPE(INDEX(,VARPA(#REF!,OFFSET(INDEX(1,),,),#REF!)))</f>
        <v>16</v>
      </c>
    </row>
    <row r="1192" spans="1:12" x14ac:dyDescent="0.55000000000000004">
      <c r="A1192" s="1" t="s">
        <v>1807</v>
      </c>
      <c r="B1192" s="2">
        <f>COUNTIF(A:A,A1192)-1</f>
        <v>3</v>
      </c>
      <c r="C1192" s="2">
        <f>COUNTIF(A$1:A1192,A1192)-1</f>
        <v>3</v>
      </c>
      <c r="D1192" s="2" t="str">
        <f t="shared" si="18"/>
        <v>var</v>
      </c>
      <c r="E1192" s="2" t="e">
        <f>VARPA(#REF!,#REF!,#REF!)</f>
        <v>#REF!</v>
      </c>
      <c r="F1192" s="2" t="e">
        <f>VARPA(#REF!,#REF!,+F1192:G1192)</f>
        <v>#REF!</v>
      </c>
      <c r="H1192" s="2" t="e">
        <f>VARPA(#REF!,#REF!,H1192:I1192)</f>
        <v>#REF!</v>
      </c>
      <c r="I1192" s="1">
        <v>1</v>
      </c>
      <c r="J1192" s="2" t="e">
        <f>VARPA(#REF!,#REF!,INDIRECT(J1192:K1192))</f>
        <v>#REF!</v>
      </c>
      <c r="L1192" s="2">
        <f>TYPE(INDEX(,VARPA(#REF!,#REF!,OFFSET(INDEX(1,),,))))</f>
        <v>16</v>
      </c>
    </row>
    <row r="1193" spans="1:12" x14ac:dyDescent="0.55000000000000004">
      <c r="A1193" s="1" t="s">
        <v>1808</v>
      </c>
      <c r="B1193" s="2">
        <f>COUNTIF(A:A,A1193)-1</f>
        <v>3</v>
      </c>
      <c r="C1193" s="2">
        <f>COUNTIF(A$1:A1193,A1193)-1</f>
        <v>0</v>
      </c>
      <c r="D1193" s="2" t="str">
        <f t="shared" si="18"/>
        <v/>
      </c>
      <c r="E1193" s="2"/>
      <c r="F1193" s="2"/>
      <c r="H1193" s="2"/>
      <c r="J1193" s="2"/>
      <c r="L1193" s="2"/>
    </row>
    <row r="1194" spans="1:12" x14ac:dyDescent="0.55000000000000004">
      <c r="A1194" s="1" t="s">
        <v>1808</v>
      </c>
      <c r="B1194" s="2">
        <f>COUNTIF(A:A,A1194)-1</f>
        <v>3</v>
      </c>
      <c r="C1194" s="2">
        <f>COUNTIF(A$1:A1194,A1194)-1</f>
        <v>1</v>
      </c>
      <c r="D1194" s="2" t="str">
        <f t="shared" si="18"/>
        <v>var</v>
      </c>
      <c r="E1194" s="2" t="e">
        <f>STDEVA(#REF!)</f>
        <v>#REF!</v>
      </c>
      <c r="F1194" s="2" t="e">
        <f>STDEVA(+F1194:G1194,#REF!,#REF!)</f>
        <v>#REF!</v>
      </c>
      <c r="H1194" s="2" t="e">
        <f>STDEVA(H1194:I1194,#REF!,#REF!)</f>
        <v>#REF!</v>
      </c>
      <c r="I1194" s="1">
        <v>1</v>
      </c>
      <c r="J1194" s="2" t="e">
        <f>STDEVA(INDIRECT(J1194:K1194),#REF!,#REF!)</f>
        <v>#REF!</v>
      </c>
      <c r="L1194" s="2">
        <f>TYPE(INDEX(,STDEVA(OFFSET(INDEX(1,),,),#REF!,#REF!)))</f>
        <v>16</v>
      </c>
    </row>
    <row r="1195" spans="1:12" x14ac:dyDescent="0.55000000000000004">
      <c r="A1195" s="1" t="s">
        <v>1808</v>
      </c>
      <c r="B1195" s="2">
        <f>COUNTIF(A:A,A1195)-1</f>
        <v>3</v>
      </c>
      <c r="C1195" s="2">
        <f>COUNTIF(A$1:A1195,A1195)-1</f>
        <v>2</v>
      </c>
      <c r="D1195" s="2" t="str">
        <f t="shared" si="18"/>
        <v>var</v>
      </c>
      <c r="E1195" s="2" t="e">
        <f>STDEVA(#REF!,#REF!)</f>
        <v>#REF!</v>
      </c>
      <c r="F1195" s="2" t="e">
        <f>STDEVA(#REF!,+F1195:G1195,#REF!)</f>
        <v>#REF!</v>
      </c>
      <c r="H1195" s="2" t="e">
        <f>STDEVA(#REF!,H1195:I1195,#REF!)</f>
        <v>#REF!</v>
      </c>
      <c r="I1195" s="1">
        <v>1</v>
      </c>
      <c r="J1195" s="2" t="e">
        <f>STDEVA(#REF!,INDIRECT(J1195:K1195),#REF!)</f>
        <v>#REF!</v>
      </c>
      <c r="L1195" s="2">
        <f>TYPE(INDEX(,STDEVA(#REF!,OFFSET(INDEX(1,),,),#REF!)))</f>
        <v>16</v>
      </c>
    </row>
    <row r="1196" spans="1:12" x14ac:dyDescent="0.55000000000000004">
      <c r="A1196" s="1" t="s">
        <v>1808</v>
      </c>
      <c r="B1196" s="2">
        <f>COUNTIF(A:A,A1196)-1</f>
        <v>3</v>
      </c>
      <c r="C1196" s="2">
        <f>COUNTIF(A$1:A1196,A1196)-1</f>
        <v>3</v>
      </c>
      <c r="D1196" s="2" t="str">
        <f t="shared" si="18"/>
        <v>var</v>
      </c>
      <c r="E1196" s="2" t="e">
        <f>STDEVA(#REF!,#REF!,#REF!)</f>
        <v>#REF!</v>
      </c>
      <c r="F1196" s="2" t="e">
        <f>STDEVA(#REF!,#REF!,+F1196:G1196)</f>
        <v>#REF!</v>
      </c>
      <c r="H1196" s="2" t="e">
        <f>STDEVA(#REF!,#REF!,H1196:I1196)</f>
        <v>#REF!</v>
      </c>
      <c r="I1196" s="1">
        <v>1</v>
      </c>
      <c r="J1196" s="2" t="e">
        <f>STDEVA(#REF!,#REF!,INDIRECT(J1196:K1196))</f>
        <v>#REF!</v>
      </c>
      <c r="L1196" s="2">
        <f>TYPE(INDEX(,STDEVA(#REF!,#REF!,OFFSET(INDEX(1,),,))))</f>
        <v>16</v>
      </c>
    </row>
    <row r="1197" spans="1:12" x14ac:dyDescent="0.55000000000000004">
      <c r="A1197" s="1" t="s">
        <v>1809</v>
      </c>
      <c r="B1197" s="2">
        <f>COUNTIF(A:A,A1197)-1</f>
        <v>3</v>
      </c>
      <c r="C1197" s="2">
        <f>COUNTIF(A$1:A1197,A1197)-1</f>
        <v>0</v>
      </c>
      <c r="D1197" s="2" t="str">
        <f t="shared" si="18"/>
        <v/>
      </c>
      <c r="E1197" s="2"/>
      <c r="F1197" s="2"/>
      <c r="H1197" s="2"/>
      <c r="J1197" s="2"/>
      <c r="L1197" s="2"/>
    </row>
    <row r="1198" spans="1:12" x14ac:dyDescent="0.55000000000000004">
      <c r="A1198" s="1" t="s">
        <v>1809</v>
      </c>
      <c r="B1198" s="2">
        <f>COUNTIF(A:A,A1198)-1</f>
        <v>3</v>
      </c>
      <c r="C1198" s="2">
        <f>COUNTIF(A$1:A1198,A1198)-1</f>
        <v>1</v>
      </c>
      <c r="D1198" s="2" t="str">
        <f t="shared" si="18"/>
        <v>var</v>
      </c>
      <c r="E1198" s="2" t="e">
        <f>VARA(#REF!)</f>
        <v>#REF!</v>
      </c>
      <c r="F1198" s="2" t="e">
        <f>VARA(+F1198:G1198,#REF!,#REF!)</f>
        <v>#REF!</v>
      </c>
      <c r="H1198" s="2" t="e">
        <f>VARA(H1198:I1198,#REF!,#REF!)</f>
        <v>#REF!</v>
      </c>
      <c r="I1198" s="1">
        <v>1</v>
      </c>
      <c r="J1198" s="2" t="e">
        <f>VARA(INDIRECT(J1198:K1198),#REF!,#REF!)</f>
        <v>#REF!</v>
      </c>
      <c r="L1198" s="2">
        <f>TYPE(INDEX(,VARA(OFFSET(INDEX(1,),,),#REF!,#REF!)))</f>
        <v>16</v>
      </c>
    </row>
    <row r="1199" spans="1:12" x14ac:dyDescent="0.55000000000000004">
      <c r="A1199" s="1" t="s">
        <v>1809</v>
      </c>
      <c r="B1199" s="2">
        <f>COUNTIF(A:A,A1199)-1</f>
        <v>3</v>
      </c>
      <c r="C1199" s="2">
        <f>COUNTIF(A$1:A1199,A1199)-1</f>
        <v>2</v>
      </c>
      <c r="D1199" s="2" t="str">
        <f t="shared" si="18"/>
        <v>var</v>
      </c>
      <c r="E1199" s="2" t="e">
        <f>VARA(#REF!,#REF!)</f>
        <v>#REF!</v>
      </c>
      <c r="F1199" s="2" t="e">
        <f>VARA(#REF!,+F1199:G1199,#REF!)</f>
        <v>#REF!</v>
      </c>
      <c r="H1199" s="2" t="e">
        <f>VARA(#REF!,H1199:I1199,#REF!)</f>
        <v>#REF!</v>
      </c>
      <c r="I1199" s="1">
        <v>1</v>
      </c>
      <c r="J1199" s="2" t="e">
        <f>VARA(#REF!,INDIRECT(J1199:K1199),#REF!)</f>
        <v>#REF!</v>
      </c>
      <c r="L1199" s="2">
        <f>TYPE(INDEX(,VARA(#REF!,OFFSET(INDEX(1,),,),#REF!)))</f>
        <v>16</v>
      </c>
    </row>
    <row r="1200" spans="1:12" x14ac:dyDescent="0.55000000000000004">
      <c r="A1200" s="1" t="s">
        <v>1809</v>
      </c>
      <c r="B1200" s="2">
        <f>COUNTIF(A:A,A1200)-1</f>
        <v>3</v>
      </c>
      <c r="C1200" s="2">
        <f>COUNTIF(A$1:A1200,A1200)-1</f>
        <v>3</v>
      </c>
      <c r="D1200" s="2" t="str">
        <f t="shared" si="18"/>
        <v>var</v>
      </c>
      <c r="E1200" s="2" t="e">
        <f>VARA(#REF!,#REF!,#REF!)</f>
        <v>#REF!</v>
      </c>
      <c r="F1200" s="2" t="e">
        <f>VARA(#REF!,#REF!,+F1200:G1200)</f>
        <v>#REF!</v>
      </c>
      <c r="H1200" s="2" t="e">
        <f>VARA(#REF!,#REF!,H1200:I1200)</f>
        <v>#REF!</v>
      </c>
      <c r="I1200" s="1">
        <v>1</v>
      </c>
      <c r="J1200" s="2" t="e">
        <f>VARA(#REF!,#REF!,INDIRECT(J1200:K1200))</f>
        <v>#REF!</v>
      </c>
      <c r="L1200" s="2">
        <f>TYPE(INDEX(,VARA(#REF!,#REF!,OFFSET(INDEX(1,),,))))</f>
        <v>16</v>
      </c>
    </row>
    <row r="1201" spans="1:12" x14ac:dyDescent="0.55000000000000004">
      <c r="A1201" s="1" t="s">
        <v>1810</v>
      </c>
      <c r="B1201" s="2">
        <f>COUNTIF(A:A,A1201)-1</f>
        <v>1</v>
      </c>
      <c r="C1201" s="2">
        <f>COUNTIF(A$1:A1201,A1201)-1</f>
        <v>0</v>
      </c>
      <c r="D1201" s="2" t="str">
        <f t="shared" si="18"/>
        <v/>
      </c>
      <c r="E1201" s="2"/>
      <c r="F1201" s="2"/>
      <c r="H1201" s="2"/>
      <c r="J1201" s="2"/>
      <c r="L1201" s="2"/>
    </row>
    <row r="1202" spans="1:12" x14ac:dyDescent="0.55000000000000004">
      <c r="A1202" s="1" t="s">
        <v>1810</v>
      </c>
      <c r="B1202" s="2">
        <f>COUNTIF(A:A,A1202)-1</f>
        <v>1</v>
      </c>
      <c r="C1202" s="2">
        <f>COUNTIF(A$1:A1202,A1202)-1</f>
        <v>1</v>
      </c>
      <c r="D1202" s="2" t="str">
        <f t="shared" si="18"/>
        <v>v</v>
      </c>
      <c r="E1202" s="2" t="e">
        <f>BAHTTEXT(#REF!)</f>
        <v>#REF!</v>
      </c>
      <c r="F1202" s="2" t="str">
        <f>BAHTTEXT(+F1202:G1202)</f>
        <v>ศูนย์บาทถ้วน</v>
      </c>
      <c r="H1202" s="2" t="str">
        <f>BAHTTEXT(H1202:I1202)</f>
        <v>ศูนย์บาทถ้วน</v>
      </c>
      <c r="J1202" s="2" t="e">
        <f>BAHTTEXT(INDIRECT(J1202:K1202))</f>
        <v>#REF!</v>
      </c>
      <c r="L1202" s="2">
        <f>TYPE(INDEX(,BAHTTEXT(OFFSET(INDEX(1,),,))))</f>
        <v>64</v>
      </c>
    </row>
    <row r="1203" spans="1:12" x14ac:dyDescent="0.55000000000000004">
      <c r="A1203" s="1" t="s">
        <v>1811</v>
      </c>
      <c r="B1203" s="2">
        <f>COUNTIF(A:A,A1203)-1</f>
        <v>1</v>
      </c>
      <c r="C1203" s="2">
        <f>COUNTIF(A$1:A1203,A1203)-1</f>
        <v>0</v>
      </c>
      <c r="D1203" s="2" t="str">
        <f t="shared" si="18"/>
        <v/>
      </c>
      <c r="E1203" s="2"/>
      <c r="F1203" s="2"/>
      <c r="H1203" s="2"/>
      <c r="J1203" s="2"/>
      <c r="L1203" s="2"/>
    </row>
    <row r="1204" spans="1:12" x14ac:dyDescent="0.55000000000000004">
      <c r="A1204" s="1" t="s">
        <v>1811</v>
      </c>
      <c r="B1204" s="2">
        <f>COUNTIF(A:A,A1204)-1</f>
        <v>1</v>
      </c>
      <c r="C1204" s="2">
        <f>COUNTIF(A$1:A1204,A1204)-1</f>
        <v>1</v>
      </c>
      <c r="D1204" s="2" t="str">
        <f t="shared" si="18"/>
        <v>v</v>
      </c>
      <c r="E1204" s="2" t="e">
        <f>THAIDAYOFWEEK(#REF!)</f>
        <v>#REF!</v>
      </c>
      <c r="F1204" s="2" t="e">
        <f>THAIDAYOFWEEK(+F1204:G1204)</f>
        <v>#VALUE!</v>
      </c>
      <c r="H1204" s="2" t="e">
        <f>THAIDAYOFWEEK(H1204:I1204)</f>
        <v>#VALUE!</v>
      </c>
      <c r="J1204" s="2" t="e">
        <f>THAIDAYOFWEEK(INDIRECT(J1204:K1204))</f>
        <v>#REF!</v>
      </c>
      <c r="L1204" s="2">
        <f>TYPE(INDEX(,THAIDAYOFWEEK(OFFSET(INDEX(1,),,))))</f>
        <v>64</v>
      </c>
    </row>
    <row r="1205" spans="1:12" x14ac:dyDescent="0.55000000000000004">
      <c r="A1205" s="1" t="s">
        <v>1812</v>
      </c>
      <c r="B1205" s="2">
        <f>COUNTIF(A:A,A1205)-1</f>
        <v>1</v>
      </c>
      <c r="C1205" s="2">
        <f>COUNTIF(A$1:A1205,A1205)-1</f>
        <v>0</v>
      </c>
      <c r="D1205" s="2" t="str">
        <f t="shared" si="18"/>
        <v/>
      </c>
      <c r="E1205" s="2"/>
      <c r="F1205" s="2"/>
      <c r="H1205" s="2"/>
      <c r="J1205" s="2"/>
      <c r="L1205" s="2"/>
    </row>
    <row r="1206" spans="1:12" x14ac:dyDescent="0.55000000000000004">
      <c r="A1206" s="1" t="s">
        <v>1812</v>
      </c>
      <c r="B1206" s="2">
        <f>COUNTIF(A:A,A1206)-1</f>
        <v>1</v>
      </c>
      <c r="C1206" s="2">
        <f>COUNTIF(A$1:A1206,A1206)-1</f>
        <v>1</v>
      </c>
      <c r="D1206" s="2" t="str">
        <f t="shared" si="18"/>
        <v>v</v>
      </c>
      <c r="E1206" s="2" t="e">
        <f>THAIDIGIT(#REF!)</f>
        <v>#REF!</v>
      </c>
      <c r="F1206" s="2" t="e">
        <f>THAIDIGIT(+F1206:G1206)</f>
        <v>#VALUE!</v>
      </c>
      <c r="H1206" s="2" t="e">
        <f>THAIDIGIT(H1206:I1206)</f>
        <v>#VALUE!</v>
      </c>
      <c r="J1206" s="2" t="e">
        <f>THAIDIGIT(INDIRECT(J1206:K1206))</f>
        <v>#REF!</v>
      </c>
      <c r="L1206" s="2">
        <f>TYPE(INDEX(,THAIDIGIT(OFFSET(INDEX(1,),,))))</f>
        <v>64</v>
      </c>
    </row>
    <row r="1207" spans="1:12" x14ac:dyDescent="0.55000000000000004">
      <c r="A1207" s="1" t="s">
        <v>1813</v>
      </c>
      <c r="B1207" s="2">
        <f>COUNTIF(A:A,A1207)-1</f>
        <v>1</v>
      </c>
      <c r="C1207" s="2">
        <f>COUNTIF(A$1:A1207,A1207)-1</f>
        <v>0</v>
      </c>
      <c r="D1207" s="2" t="str">
        <f t="shared" si="18"/>
        <v/>
      </c>
      <c r="E1207" s="2"/>
      <c r="F1207" s="2"/>
      <c r="H1207" s="2"/>
      <c r="J1207" s="2"/>
      <c r="L1207" s="2"/>
    </row>
    <row r="1208" spans="1:12" x14ac:dyDescent="0.55000000000000004">
      <c r="A1208" s="1" t="s">
        <v>1813</v>
      </c>
      <c r="B1208" s="2">
        <f>COUNTIF(A:A,A1208)-1</f>
        <v>1</v>
      </c>
      <c r="C1208" s="2">
        <f>COUNTIF(A$1:A1208,A1208)-1</f>
        <v>1</v>
      </c>
      <c r="D1208" s="2" t="str">
        <f t="shared" si="18"/>
        <v>v</v>
      </c>
      <c r="E1208" s="2" t="e">
        <f>THAIMONTHOFYEAR(#REF!)</f>
        <v>#REF!</v>
      </c>
      <c r="F1208" s="2" t="e">
        <f>THAIMONTHOFYEAR(+F1208:G1208)</f>
        <v>#VALUE!</v>
      </c>
      <c r="H1208" s="2" t="e">
        <f>THAIMONTHOFYEAR(H1208:I1208)</f>
        <v>#VALUE!</v>
      </c>
      <c r="J1208" s="2" t="e">
        <f>THAIMONTHOFYEAR(INDIRECT(J1208:K1208))</f>
        <v>#REF!</v>
      </c>
      <c r="L1208" s="2">
        <f>TYPE(INDEX(,THAIMONTHOFYEAR(OFFSET(INDEX(1,),,))))</f>
        <v>64</v>
      </c>
    </row>
    <row r="1209" spans="1:12" x14ac:dyDescent="0.55000000000000004">
      <c r="A1209" s="1" t="s">
        <v>1814</v>
      </c>
      <c r="B1209" s="2">
        <f>COUNTIF(A:A,A1209)-1</f>
        <v>1</v>
      </c>
      <c r="C1209" s="2">
        <f>COUNTIF(A$1:A1209,A1209)-1</f>
        <v>0</v>
      </c>
      <c r="D1209" s="2" t="str">
        <f t="shared" si="18"/>
        <v/>
      </c>
      <c r="E1209" s="2"/>
      <c r="F1209" s="2"/>
      <c r="H1209" s="2"/>
      <c r="J1209" s="2"/>
      <c r="L1209" s="2"/>
    </row>
    <row r="1210" spans="1:12" x14ac:dyDescent="0.55000000000000004">
      <c r="A1210" s="1" t="s">
        <v>1814</v>
      </c>
      <c r="B1210" s="2">
        <f>COUNTIF(A:A,A1210)-1</f>
        <v>1</v>
      </c>
      <c r="C1210" s="2">
        <f>COUNTIF(A$1:A1210,A1210)-1</f>
        <v>1</v>
      </c>
      <c r="D1210" s="2" t="str">
        <f t="shared" si="18"/>
        <v>v</v>
      </c>
      <c r="E1210" s="2" t="e">
        <f>THAINUMSOUND(#REF!)</f>
        <v>#REF!</v>
      </c>
      <c r="F1210" s="2" t="e">
        <f>THAINUMSOUND(+F1210:G1210)</f>
        <v>#VALUE!</v>
      </c>
      <c r="H1210" s="2" t="e">
        <f>THAINUMSOUND(H1210:I1210)</f>
        <v>#VALUE!</v>
      </c>
      <c r="J1210" s="2" t="e">
        <f>THAINUMSOUND(INDIRECT(J1210:K1210))</f>
        <v>#REF!</v>
      </c>
      <c r="L1210" s="2">
        <f>TYPE(INDEX(,THAINUMSOUND(OFFSET(INDEX(1,),,))))</f>
        <v>64</v>
      </c>
    </row>
    <row r="1211" spans="1:12" x14ac:dyDescent="0.55000000000000004">
      <c r="A1211" s="1" t="s">
        <v>1815</v>
      </c>
      <c r="B1211" s="2">
        <f>COUNTIF(A:A,A1211)-1</f>
        <v>1</v>
      </c>
      <c r="C1211" s="2">
        <f>COUNTIF(A$1:A1211,A1211)-1</f>
        <v>0</v>
      </c>
      <c r="D1211" s="2" t="str">
        <f t="shared" si="18"/>
        <v/>
      </c>
      <c r="E1211" s="2"/>
      <c r="F1211" s="2"/>
      <c r="H1211" s="2"/>
      <c r="J1211" s="2"/>
      <c r="L1211" s="2"/>
    </row>
    <row r="1212" spans="1:12" x14ac:dyDescent="0.55000000000000004">
      <c r="A1212" s="1" t="s">
        <v>1815</v>
      </c>
      <c r="B1212" s="2">
        <f>COUNTIF(A:A,A1212)-1</f>
        <v>1</v>
      </c>
      <c r="C1212" s="2">
        <f>COUNTIF(A$1:A1212,A1212)-1</f>
        <v>1</v>
      </c>
      <c r="D1212" s="2" t="str">
        <f t="shared" si="18"/>
        <v>v</v>
      </c>
      <c r="E1212" s="2" t="e">
        <f>THAINUMSTRING(#REF!)</f>
        <v>#REF!</v>
      </c>
      <c r="F1212" s="2" t="e">
        <f>THAINUMSTRING(+F1212:G1212)</f>
        <v>#VALUE!</v>
      </c>
      <c r="H1212" s="2" t="e">
        <f>THAINUMSTRING(H1212:I1212)</f>
        <v>#VALUE!</v>
      </c>
      <c r="J1212" s="2" t="e">
        <f>THAINUMSTRING(INDIRECT(J1212:K1212))</f>
        <v>#REF!</v>
      </c>
      <c r="L1212" s="2">
        <f>TYPE(INDEX(,THAINUMSTRING(OFFSET(INDEX(1,),,))))</f>
        <v>64</v>
      </c>
    </row>
    <row r="1213" spans="1:12" x14ac:dyDescent="0.55000000000000004">
      <c r="A1213" s="1" t="s">
        <v>1816</v>
      </c>
      <c r="B1213" s="2">
        <f>COUNTIF(A:A,A1213)-1</f>
        <v>1</v>
      </c>
      <c r="C1213" s="2">
        <f>COUNTIF(A$1:A1213,A1213)-1</f>
        <v>0</v>
      </c>
      <c r="D1213" s="2" t="str">
        <f t="shared" si="18"/>
        <v/>
      </c>
      <c r="E1213" s="2"/>
      <c r="F1213" s="2"/>
      <c r="H1213" s="2"/>
      <c r="J1213" s="2"/>
      <c r="L1213" s="2"/>
    </row>
    <row r="1214" spans="1:12" x14ac:dyDescent="0.55000000000000004">
      <c r="A1214" s="1" t="s">
        <v>1816</v>
      </c>
      <c r="B1214" s="2">
        <f>COUNTIF(A:A,A1214)-1</f>
        <v>1</v>
      </c>
      <c r="C1214" s="2">
        <f>COUNTIF(A$1:A1214,A1214)-1</f>
        <v>1</v>
      </c>
      <c r="D1214" s="2" t="str">
        <f t="shared" si="18"/>
        <v>v</v>
      </c>
      <c r="E1214" s="2" t="e">
        <f>THAISTRINGLENGTH(#REF!)</f>
        <v>#REF!</v>
      </c>
      <c r="F1214" s="2" t="e">
        <f>THAISTRINGLENGTH(+F1214:G1214)</f>
        <v>#VALUE!</v>
      </c>
      <c r="H1214" s="2" t="e">
        <f>THAISTRINGLENGTH(H1214:I1214)</f>
        <v>#VALUE!</v>
      </c>
      <c r="J1214" s="2" t="e">
        <f>THAISTRINGLENGTH(INDIRECT(J1214:K1214))</f>
        <v>#REF!</v>
      </c>
      <c r="L1214" s="2">
        <f>TYPE(INDEX(,THAISTRINGLENGTH(OFFSET(INDEX(1,),,))))</f>
        <v>64</v>
      </c>
    </row>
    <row r="1215" spans="1:12" x14ac:dyDescent="0.55000000000000004">
      <c r="A1215" s="1" t="s">
        <v>1817</v>
      </c>
      <c r="B1215" s="2">
        <f>COUNTIF(A:A,A1215)-1</f>
        <v>1</v>
      </c>
      <c r="C1215" s="2">
        <f>COUNTIF(A$1:A1215,A1215)-1</f>
        <v>0</v>
      </c>
      <c r="D1215" s="2" t="str">
        <f t="shared" si="18"/>
        <v/>
      </c>
      <c r="E1215" s="2"/>
      <c r="F1215" s="2"/>
      <c r="H1215" s="2"/>
      <c r="J1215" s="2"/>
      <c r="L1215" s="2"/>
    </row>
    <row r="1216" spans="1:12" x14ac:dyDescent="0.55000000000000004">
      <c r="A1216" s="1" t="s">
        <v>1817</v>
      </c>
      <c r="B1216" s="2">
        <f>COUNTIF(A:A,A1216)-1</f>
        <v>1</v>
      </c>
      <c r="C1216" s="2">
        <f>COUNTIF(A$1:A1216,A1216)-1</f>
        <v>1</v>
      </c>
      <c r="D1216" s="2" t="str">
        <f t="shared" si="18"/>
        <v>v</v>
      </c>
      <c r="E1216" s="2" t="e">
        <f>ISTHAIDIGIT(#REF!)</f>
        <v>#REF!</v>
      </c>
      <c r="F1216" s="2" t="e">
        <f>ISTHAIDIGIT(+F1216:G1216)</f>
        <v>#VALUE!</v>
      </c>
      <c r="H1216" s="2" t="e">
        <f>ISTHAIDIGIT(H1216:I1216)</f>
        <v>#VALUE!</v>
      </c>
      <c r="J1216" s="2" t="e">
        <f>ISTHAIDIGIT(INDIRECT(J1216:K1216))</f>
        <v>#REF!</v>
      </c>
      <c r="L1216" s="2">
        <f>TYPE(INDEX(,ISTHAIDIGIT(OFFSET(INDEX(1,),,))))</f>
        <v>64</v>
      </c>
    </row>
    <row r="1217" spans="1:12" x14ac:dyDescent="0.55000000000000004">
      <c r="A1217" s="1" t="s">
        <v>1818</v>
      </c>
      <c r="B1217" s="2">
        <f>COUNTIF(A:A,A1217)-1</f>
        <v>1</v>
      </c>
      <c r="C1217" s="2">
        <f>COUNTIF(A$1:A1217,A1217)-1</f>
        <v>0</v>
      </c>
      <c r="D1217" s="2" t="str">
        <f t="shared" si="18"/>
        <v/>
      </c>
      <c r="E1217" s="2"/>
      <c r="F1217" s="2"/>
      <c r="H1217" s="2"/>
      <c r="J1217" s="2"/>
      <c r="L1217" s="2"/>
    </row>
    <row r="1218" spans="1:12" x14ac:dyDescent="0.55000000000000004">
      <c r="A1218" s="1" t="s">
        <v>1818</v>
      </c>
      <c r="B1218" s="2">
        <f>COUNTIF(A:A,A1218)-1</f>
        <v>1</v>
      </c>
      <c r="C1218" s="2">
        <f>COUNTIF(A$1:A1218,A1218)-1</f>
        <v>1</v>
      </c>
      <c r="D1218" s="2" t="str">
        <f t="shared" ref="D1218:D1281" si="19">IF(C1218&gt;0,IF(COUNTA(F1218:G1218)=1,"v",)&amp;IF(L1218=64,,"a")&amp;IF(COUNTA(I1218,K1218)=1,"r",),"")</f>
        <v>v</v>
      </c>
      <c r="E1218" s="2" t="e">
        <f>ROUNDBAHTDOWN(#REF!)</f>
        <v>#REF!</v>
      </c>
      <c r="F1218" s="2" t="e">
        <f>ROUNDBAHTDOWN(+F1218:G1218)</f>
        <v>#VALUE!</v>
      </c>
      <c r="H1218" s="2" t="e">
        <f>ROUNDBAHTDOWN(H1218:I1218)</f>
        <v>#VALUE!</v>
      </c>
      <c r="J1218" s="2" t="e">
        <f>ROUNDBAHTDOWN(INDIRECT(J1218:K1218))</f>
        <v>#REF!</v>
      </c>
      <c r="L1218" s="2">
        <f>TYPE(INDEX(,ROUNDBAHTDOWN(OFFSET(INDEX(1,),,))))</f>
        <v>64</v>
      </c>
    </row>
    <row r="1219" spans="1:12" x14ac:dyDescent="0.55000000000000004">
      <c r="A1219" s="1" t="s">
        <v>1819</v>
      </c>
      <c r="B1219" s="2">
        <f>COUNTIF(A:A,A1219)-1</f>
        <v>1</v>
      </c>
      <c r="C1219" s="2">
        <f>COUNTIF(A$1:A1219,A1219)-1</f>
        <v>0</v>
      </c>
      <c r="D1219" s="2" t="str">
        <f t="shared" si="19"/>
        <v/>
      </c>
      <c r="E1219" s="2"/>
      <c r="F1219" s="2"/>
      <c r="H1219" s="2"/>
      <c r="J1219" s="2"/>
      <c r="L1219" s="2"/>
    </row>
    <row r="1220" spans="1:12" x14ac:dyDescent="0.55000000000000004">
      <c r="A1220" s="1" t="s">
        <v>1819</v>
      </c>
      <c r="B1220" s="2">
        <f>COUNTIF(A:A,A1220)-1</f>
        <v>1</v>
      </c>
      <c r="C1220" s="2">
        <f>COUNTIF(A$1:A1220,A1220)-1</f>
        <v>1</v>
      </c>
      <c r="D1220" s="2" t="str">
        <f t="shared" si="19"/>
        <v>v</v>
      </c>
      <c r="E1220" s="2" t="e">
        <f>ROUNDBAHTUP(#REF!)</f>
        <v>#REF!</v>
      </c>
      <c r="F1220" s="2" t="e">
        <f>ROUNDBAHTUP(+F1220:G1220)</f>
        <v>#VALUE!</v>
      </c>
      <c r="H1220" s="2" t="e">
        <f>ROUNDBAHTUP(H1220:I1220)</f>
        <v>#VALUE!</v>
      </c>
      <c r="J1220" s="2" t="e">
        <f>ROUNDBAHTUP(INDIRECT(J1220:K1220))</f>
        <v>#REF!</v>
      </c>
      <c r="L1220" s="2">
        <f>TYPE(INDEX(,ROUNDBAHTUP(OFFSET(INDEX(1,),,))))</f>
        <v>64</v>
      </c>
    </row>
    <row r="1221" spans="1:12" x14ac:dyDescent="0.55000000000000004">
      <c r="A1221" s="1" t="s">
        <v>1820</v>
      </c>
      <c r="B1221" s="2">
        <f>COUNTIF(A:A,A1221)-1</f>
        <v>1</v>
      </c>
      <c r="C1221" s="2">
        <f>COUNTIF(A$1:A1221,A1221)-1</f>
        <v>0</v>
      </c>
      <c r="D1221" s="2" t="str">
        <f t="shared" si="19"/>
        <v/>
      </c>
      <c r="E1221" s="2"/>
      <c r="F1221" s="2"/>
      <c r="H1221" s="2"/>
      <c r="J1221" s="2"/>
      <c r="L1221" s="2"/>
    </row>
    <row r="1222" spans="1:12" x14ac:dyDescent="0.55000000000000004">
      <c r="A1222" s="1" t="s">
        <v>1820</v>
      </c>
      <c r="B1222" s="2">
        <f>COUNTIF(A:A,A1222)-1</f>
        <v>1</v>
      </c>
      <c r="C1222" s="2">
        <f>COUNTIF(A$1:A1222,A1222)-1</f>
        <v>1</v>
      </c>
      <c r="D1222" s="2" t="str">
        <f t="shared" si="19"/>
        <v>v</v>
      </c>
      <c r="E1222" s="2" t="e">
        <f>THAIYEAR(#REF!)</f>
        <v>#REF!</v>
      </c>
      <c r="F1222" s="2" t="e">
        <f>THAIYEAR(+F1222:G1222)</f>
        <v>#VALUE!</v>
      </c>
      <c r="H1222" s="2" t="e">
        <f>THAIYEAR(H1222:I1222)</f>
        <v>#VALUE!</v>
      </c>
      <c r="J1222" s="2" t="e">
        <f>THAIYEAR(INDIRECT(J1222:K1222))</f>
        <v>#REF!</v>
      </c>
      <c r="L1222" s="2">
        <f>TYPE(INDEX(,THAIYEAR(OFFSET(INDEX(1,),,))))</f>
        <v>64</v>
      </c>
    </row>
    <row r="1223" spans="1:12" x14ac:dyDescent="0.55000000000000004">
      <c r="A1223" s="1" t="s">
        <v>1821</v>
      </c>
      <c r="B1223" s="2">
        <f>COUNTIF(A:A,A1223)-1</f>
        <v>5</v>
      </c>
      <c r="C1223" s="2">
        <f>COUNTIF(A$1:A1223,A1223)-1</f>
        <v>0</v>
      </c>
      <c r="D1223" s="2" t="str">
        <f t="shared" si="19"/>
        <v/>
      </c>
      <c r="E1223" s="2"/>
      <c r="F1223" s="2"/>
      <c r="H1223" s="2"/>
      <c r="J1223" s="2"/>
      <c r="L1223" s="2"/>
    </row>
    <row r="1224" spans="1:12" x14ac:dyDescent="0.55000000000000004">
      <c r="A1224" s="1" t="s">
        <v>1821</v>
      </c>
      <c r="B1224" s="2">
        <f>COUNTIF(A:A,A1224)-1</f>
        <v>5</v>
      </c>
      <c r="C1224" s="2">
        <f>COUNTIF(A$1:A1224,A1224)-1</f>
        <v>1</v>
      </c>
      <c r="D1224" s="2" t="str">
        <f t="shared" si="19"/>
        <v>v</v>
      </c>
      <c r="E1224" s="2"/>
      <c r="F1224" s="2" t="e">
        <f>RTD(+F1224:G1224,#REF!,#REF!,#REF!,#REF!)</f>
        <v>#REF!</v>
      </c>
      <c r="H1224" s="2" t="e">
        <f>RTD(H1224:I1224,#REF!,#REF!,#REF!,#REF!)</f>
        <v>#REF!</v>
      </c>
      <c r="J1224" s="2" t="e">
        <f>RTD(INDIRECT(J1224:K1224),#REF!,#REF!,#REF!,#REF!)</f>
        <v>#REF!</v>
      </c>
      <c r="L1224" s="2">
        <f>TYPE(INDEX(,RTD(OFFSET(INDEX(1,),,),#REF!,#REF!,#REF!,#REF!)))</f>
        <v>64</v>
      </c>
    </row>
    <row r="1225" spans="1:12" x14ac:dyDescent="0.55000000000000004">
      <c r="A1225" s="1" t="s">
        <v>1821</v>
      </c>
      <c r="B1225" s="2">
        <f>COUNTIF(A:A,A1225)-1</f>
        <v>5</v>
      </c>
      <c r="C1225" s="2">
        <f>COUNTIF(A$1:A1225,A1225)-1</f>
        <v>2</v>
      </c>
      <c r="D1225" s="2" t="str">
        <f t="shared" si="19"/>
        <v>v</v>
      </c>
      <c r="E1225" s="2"/>
      <c r="F1225" s="2" t="e">
        <f>RTD(#REF!,+F1225:G1225,#REF!,#REF!,#REF!)</f>
        <v>#REF!</v>
      </c>
      <c r="H1225" s="2" t="e">
        <f>RTD(#REF!,H1225:I1225,#REF!,#REF!,#REF!)</f>
        <v>#REF!</v>
      </c>
      <c r="J1225" s="2" t="e">
        <f>RTD(#REF!,INDIRECT(J1225:K1225),#REF!,#REF!,#REF!)</f>
        <v>#REF!</v>
      </c>
      <c r="L1225" s="2">
        <f>TYPE(INDEX(,RTD(#REF!,OFFSET(INDEX(1,),,),#REF!,#REF!,#REF!)))</f>
        <v>64</v>
      </c>
    </row>
    <row r="1226" spans="1:12" x14ac:dyDescent="0.55000000000000004">
      <c r="A1226" s="1" t="s">
        <v>1821</v>
      </c>
      <c r="B1226" s="2">
        <f>COUNTIF(A:A,A1226)-1</f>
        <v>5</v>
      </c>
      <c r="C1226" s="2">
        <f>COUNTIF(A$1:A1226,A1226)-1</f>
        <v>3</v>
      </c>
      <c r="D1226" s="2" t="str">
        <f t="shared" si="19"/>
        <v>v</v>
      </c>
      <c r="E1226" s="2" t="e">
        <f>RTD(#REF!,#REF!,#REF!)</f>
        <v>#REF!</v>
      </c>
      <c r="F1226" s="2" t="e">
        <f>RTD(#REF!,#REF!,+F1226:G1226,#REF!,#REF!)</f>
        <v>#REF!</v>
      </c>
      <c r="H1226" s="2" t="e">
        <f>RTD(#REF!,#REF!,H1226:I1226,#REF!,#REF!)</f>
        <v>#REF!</v>
      </c>
      <c r="J1226" s="2" t="e">
        <f>RTD(#REF!,#REF!,INDIRECT(J1226:K1226),#REF!,#REF!)</f>
        <v>#REF!</v>
      </c>
      <c r="L1226" s="2">
        <f>TYPE(INDEX(,RTD(#REF!,#REF!,OFFSET(INDEX(1,),,),#REF!,#REF!)))</f>
        <v>64</v>
      </c>
    </row>
    <row r="1227" spans="1:12" x14ac:dyDescent="0.55000000000000004">
      <c r="A1227" s="1" t="s">
        <v>1821</v>
      </c>
      <c r="B1227" s="2">
        <f>COUNTIF(A:A,A1227)-1</f>
        <v>5</v>
      </c>
      <c r="C1227" s="2">
        <f>COUNTIF(A$1:A1227,A1227)-1</f>
        <v>4</v>
      </c>
      <c r="D1227" s="2" t="str">
        <f t="shared" si="19"/>
        <v>v</v>
      </c>
      <c r="E1227" s="2" t="e">
        <f>RTD(#REF!,#REF!,#REF!,#REF!)</f>
        <v>#REF!</v>
      </c>
      <c r="F1227" s="2" t="e">
        <f>RTD(#REF!,#REF!,#REF!,+F1227:G1227,#REF!)</f>
        <v>#REF!</v>
      </c>
      <c r="H1227" s="2" t="e">
        <f>RTD(#REF!,#REF!,#REF!,H1227:I1227,#REF!)</f>
        <v>#REF!</v>
      </c>
      <c r="J1227" s="2" t="e">
        <f>RTD(#REF!,#REF!,#REF!,INDIRECT(J1227:K1227),#REF!)</f>
        <v>#REF!</v>
      </c>
      <c r="L1227" s="2">
        <f>TYPE(INDEX(,RTD(#REF!,#REF!,#REF!,OFFSET(INDEX(1,),,),#REF!)))</f>
        <v>64</v>
      </c>
    </row>
    <row r="1228" spans="1:12" x14ac:dyDescent="0.55000000000000004">
      <c r="A1228" s="1" t="s">
        <v>1821</v>
      </c>
      <c r="B1228" s="2">
        <f>COUNTIF(A:A,A1228)-1</f>
        <v>5</v>
      </c>
      <c r="C1228" s="2">
        <f>COUNTIF(A$1:A1228,A1228)-1</f>
        <v>5</v>
      </c>
      <c r="D1228" s="2" t="str">
        <f t="shared" si="19"/>
        <v>v</v>
      </c>
      <c r="E1228" s="2" t="e">
        <f>RTD(#REF!,#REF!,#REF!,#REF!,#REF!)</f>
        <v>#REF!</v>
      </c>
      <c r="F1228" s="2" t="e">
        <f>RTD(#REF!,#REF!,#REF!,#REF!,+F1228:G1228)</f>
        <v>#REF!</v>
      </c>
      <c r="H1228" s="2" t="e">
        <f>RTD(#REF!,#REF!,#REF!,#REF!,H1228:I1228)</f>
        <v>#REF!</v>
      </c>
      <c r="J1228" s="2" t="e">
        <f>RTD(#REF!,#REF!,#REF!,#REF!,INDIRECT(J1228:K1228))</f>
        <v>#REF!</v>
      </c>
      <c r="L1228" s="2">
        <f>TYPE(INDEX(,RTD(#REF!,#REF!,#REF!,#REF!,OFFSET(INDEX(1,),,))))</f>
        <v>64</v>
      </c>
    </row>
    <row r="1229" spans="1:12" x14ac:dyDescent="0.55000000000000004">
      <c r="A1229" s="1" t="s">
        <v>1822</v>
      </c>
      <c r="B1229" s="2">
        <f>COUNTIF(A:A,A1229)-1</f>
        <v>3</v>
      </c>
      <c r="C1229" s="2">
        <f>COUNTIF(A$1:A1229,A1229)-1</f>
        <v>0</v>
      </c>
      <c r="D1229" s="2" t="str">
        <f t="shared" si="19"/>
        <v/>
      </c>
      <c r="E1229" s="2"/>
      <c r="F1229" s="2"/>
      <c r="H1229" s="2"/>
      <c r="J1229" s="2"/>
      <c r="L1229" s="2"/>
    </row>
    <row r="1230" spans="1:12" x14ac:dyDescent="0.55000000000000004">
      <c r="A1230" s="1" t="s">
        <v>1822</v>
      </c>
      <c r="B1230" s="2">
        <f>COUNTIF(A:A,A1230)-1</f>
        <v>3</v>
      </c>
      <c r="C1230" s="2">
        <f>COUNTIF(A$1:A1230,A1230)-1</f>
        <v>1</v>
      </c>
      <c r="D1230" s="2" t="str">
        <f t="shared" si="19"/>
        <v>v</v>
      </c>
      <c r="E1230" s="2" t="e">
        <f>CUBEVALUE(#REF!)</f>
        <v>#REF!</v>
      </c>
      <c r="F1230" s="2" t="e">
        <f>CUBEVALUE(+F1230:G1230,#REF!,#REF!)</f>
        <v>#REF!</v>
      </c>
      <c r="H1230" s="2" t="e">
        <f>CUBEVALUE(H1230:I1230,#REF!,#REF!)</f>
        <v>#REF!</v>
      </c>
      <c r="J1230" s="2" t="e">
        <f>CUBEVALUE(INDIRECT(J1230:K1230),#REF!,#REF!)</f>
        <v>#REF!</v>
      </c>
      <c r="L1230" s="2">
        <f>TYPE(INDEX(,CUBEVALUE(OFFSET(INDEX(1,),,),#REF!,#REF!)))</f>
        <v>64</v>
      </c>
    </row>
    <row r="1231" spans="1:12" x14ac:dyDescent="0.55000000000000004">
      <c r="A1231" s="1" t="s">
        <v>1822</v>
      </c>
      <c r="B1231" s="2">
        <f>COUNTIF(A:A,A1231)-1</f>
        <v>3</v>
      </c>
      <c r="C1231" s="2">
        <f>COUNTIF(A$1:A1231,A1231)-1</f>
        <v>2</v>
      </c>
      <c r="D1231" s="2" t="str">
        <f t="shared" si="19"/>
        <v>var</v>
      </c>
      <c r="E1231" s="2" t="e">
        <f>CUBEVALUE(#REF!,#REF!)</f>
        <v>#REF!</v>
      </c>
      <c r="F1231" s="2" t="e">
        <f>CUBEVALUE(#REF!,+F1231:G1231,#REF!)</f>
        <v>#REF!</v>
      </c>
      <c r="H1231" s="2" t="e">
        <f>CUBEVALUE(#REF!,H1231:I1231,#REF!)</f>
        <v>#REF!</v>
      </c>
      <c r="I1231" s="1">
        <v>1</v>
      </c>
      <c r="J1231" s="2" t="e">
        <f>CUBEVALUE(#REF!,INDIRECT(J1231:K1231),#REF!)</f>
        <v>#REF!</v>
      </c>
      <c r="L1231" s="2">
        <f>TYPE(INDEX(,CUBEVALUE(#REF!,OFFSET(INDEX(1,),,),#REF!)))</f>
        <v>16</v>
      </c>
    </row>
    <row r="1232" spans="1:12" x14ac:dyDescent="0.55000000000000004">
      <c r="A1232" s="1" t="s">
        <v>1822</v>
      </c>
      <c r="B1232" s="2">
        <f>COUNTIF(A:A,A1232)-1</f>
        <v>3</v>
      </c>
      <c r="C1232" s="2">
        <f>COUNTIF(A$1:A1232,A1232)-1</f>
        <v>3</v>
      </c>
      <c r="D1232" s="2" t="str">
        <f t="shared" si="19"/>
        <v>var</v>
      </c>
      <c r="E1232" s="2" t="e">
        <f>CUBEVALUE(#REF!,#REF!,#REF!)</f>
        <v>#REF!</v>
      </c>
      <c r="F1232" s="2" t="e">
        <f>CUBEVALUE(#REF!,#REF!,+F1232:G1232)</f>
        <v>#REF!</v>
      </c>
      <c r="H1232" s="2" t="e">
        <f>CUBEVALUE(#REF!,#REF!,H1232:I1232)</f>
        <v>#REF!</v>
      </c>
      <c r="I1232" s="1">
        <v>1</v>
      </c>
      <c r="J1232" s="2" t="e">
        <f>CUBEVALUE(#REF!,#REF!,INDIRECT(J1232:K1232))</f>
        <v>#REF!</v>
      </c>
      <c r="L1232" s="2">
        <f>TYPE(INDEX(,CUBEVALUE(#REF!,#REF!,OFFSET(INDEX(1,),,))))</f>
        <v>16</v>
      </c>
    </row>
    <row r="1233" spans="1:12" x14ac:dyDescent="0.55000000000000004">
      <c r="A1233" s="1" t="s">
        <v>1823</v>
      </c>
      <c r="B1233" s="2">
        <f>COUNTIF(A:A,A1233)-1</f>
        <v>3</v>
      </c>
      <c r="C1233" s="2">
        <f>COUNTIF(A$1:A1233,A1233)-1</f>
        <v>0</v>
      </c>
      <c r="D1233" s="2" t="str">
        <f t="shared" si="19"/>
        <v/>
      </c>
      <c r="E1233" s="2"/>
      <c r="F1233" s="2"/>
      <c r="H1233" s="2"/>
      <c r="J1233" s="2"/>
      <c r="L1233" s="2"/>
    </row>
    <row r="1234" spans="1:12" x14ac:dyDescent="0.55000000000000004">
      <c r="A1234" s="1" t="s">
        <v>1823</v>
      </c>
      <c r="B1234" s="2">
        <f>COUNTIF(A:A,A1234)-1</f>
        <v>3</v>
      </c>
      <c r="C1234" s="2">
        <f>COUNTIF(A$1:A1234,A1234)-1</f>
        <v>1</v>
      </c>
      <c r="D1234" s="2" t="str">
        <f t="shared" si="19"/>
        <v>v</v>
      </c>
      <c r="E1234" s="2"/>
      <c r="F1234" s="2" t="e">
        <f>CUBEMEMBER(+F1234:G1234,#REF!,#REF!)</f>
        <v>#REF!</v>
      </c>
      <c r="H1234" s="2" t="e">
        <f>CUBEMEMBER(H1234:I1234,#REF!,#REF!)</f>
        <v>#REF!</v>
      </c>
      <c r="J1234" s="2" t="e">
        <f>CUBEMEMBER(INDIRECT(J1234:K1234),#REF!,#REF!)</f>
        <v>#REF!</v>
      </c>
      <c r="L1234" s="2">
        <f>TYPE(INDEX(,CUBEMEMBER(OFFSET(INDEX(1,),,),#REF!,#REF!)))</f>
        <v>64</v>
      </c>
    </row>
    <row r="1235" spans="1:12" x14ac:dyDescent="0.55000000000000004">
      <c r="A1235" s="1" t="s">
        <v>1823</v>
      </c>
      <c r="B1235" s="2">
        <f>COUNTIF(A:A,A1235)-1</f>
        <v>3</v>
      </c>
      <c r="C1235" s="2">
        <f>COUNTIF(A$1:A1235,A1235)-1</f>
        <v>2</v>
      </c>
      <c r="D1235" s="2" t="str">
        <f t="shared" si="19"/>
        <v>var</v>
      </c>
      <c r="E1235" s="2" t="e">
        <f>CUBEMEMBER(#REF!,#REF!)</f>
        <v>#REF!</v>
      </c>
      <c r="F1235" s="2" t="e">
        <f>CUBEMEMBER(#REF!,+F1235:G1235,#REF!)</f>
        <v>#REF!</v>
      </c>
      <c r="H1235" s="2" t="e">
        <f>CUBEMEMBER(#REF!,H1235:I1235,#REF!)</f>
        <v>#REF!</v>
      </c>
      <c r="I1235" s="1">
        <v>1</v>
      </c>
      <c r="J1235" s="2" t="e">
        <f>CUBEMEMBER(#REF!,INDIRECT(J1235:K1235),#REF!)</f>
        <v>#REF!</v>
      </c>
      <c r="L1235" s="2">
        <f>TYPE(INDEX(,CUBEMEMBER(#REF!,OFFSET(INDEX(1,),,),#REF!)))</f>
        <v>16</v>
      </c>
    </row>
    <row r="1236" spans="1:12" x14ac:dyDescent="0.55000000000000004">
      <c r="A1236" s="1" t="s">
        <v>1823</v>
      </c>
      <c r="B1236" s="2">
        <f>COUNTIF(A:A,A1236)-1</f>
        <v>3</v>
      </c>
      <c r="C1236" s="2">
        <f>COUNTIF(A$1:A1236,A1236)-1</f>
        <v>3</v>
      </c>
      <c r="D1236" s="2" t="str">
        <f t="shared" si="19"/>
        <v>v</v>
      </c>
      <c r="E1236" s="2" t="e">
        <f>CUBEMEMBER(#REF!,#REF!,#REF!)</f>
        <v>#REF!</v>
      </c>
      <c r="F1236" s="2" t="e">
        <f>CUBEMEMBER(#REF!,#REF!,+F1236:G1236)</f>
        <v>#REF!</v>
      </c>
      <c r="H1236" s="2" t="e">
        <f>CUBEMEMBER(#REF!,#REF!,H1236:I1236)</f>
        <v>#REF!</v>
      </c>
      <c r="J1236" s="2" t="e">
        <f>CUBEMEMBER(#REF!,#REF!,INDIRECT(J1236:K1236))</f>
        <v>#REF!</v>
      </c>
      <c r="L1236" s="2">
        <f>TYPE(INDEX(,CUBEMEMBER(#REF!,#REF!,OFFSET(INDEX(1,),,))))</f>
        <v>64</v>
      </c>
    </row>
    <row r="1237" spans="1:12" x14ac:dyDescent="0.55000000000000004">
      <c r="A1237" s="1" t="s">
        <v>1824</v>
      </c>
      <c r="B1237" s="2">
        <f>COUNTIF(A:A,A1237)-1</f>
        <v>3</v>
      </c>
      <c r="C1237" s="2">
        <f>COUNTIF(A$1:A1237,A1237)-1</f>
        <v>0</v>
      </c>
      <c r="D1237" s="2" t="str">
        <f t="shared" si="19"/>
        <v/>
      </c>
      <c r="E1237" s="2"/>
      <c r="F1237" s="2"/>
      <c r="H1237" s="2"/>
      <c r="J1237" s="2"/>
      <c r="L1237" s="2"/>
    </row>
    <row r="1238" spans="1:12" x14ac:dyDescent="0.55000000000000004">
      <c r="A1238" s="1" t="s">
        <v>1824</v>
      </c>
      <c r="B1238" s="2">
        <f>COUNTIF(A:A,A1238)-1</f>
        <v>3</v>
      </c>
      <c r="C1238" s="2">
        <f>COUNTIF(A$1:A1238,A1238)-1</f>
        <v>1</v>
      </c>
      <c r="D1238" s="2" t="str">
        <f t="shared" si="19"/>
        <v>v</v>
      </c>
      <c r="E1238" s="2"/>
      <c r="F1238" s="2" t="e">
        <f>CUBEMEMBERPROPERTY(+F1238:G1238,#REF!,#REF!)</f>
        <v>#REF!</v>
      </c>
      <c r="H1238" s="2" t="e">
        <f>CUBEMEMBERPROPERTY(H1238:I1238,#REF!,#REF!)</f>
        <v>#REF!</v>
      </c>
      <c r="J1238" s="2" t="e">
        <f>CUBEMEMBERPROPERTY(INDIRECT(J1238:K1238),#REF!,#REF!)</f>
        <v>#REF!</v>
      </c>
      <c r="L1238" s="2">
        <f>TYPE(INDEX(,CUBEMEMBERPROPERTY(OFFSET(INDEX(1,),,),#REF!,#REF!)))</f>
        <v>64</v>
      </c>
    </row>
    <row r="1239" spans="1:12" x14ac:dyDescent="0.55000000000000004">
      <c r="A1239" s="1" t="s">
        <v>1824</v>
      </c>
      <c r="B1239" s="2">
        <f>COUNTIF(A:A,A1239)-1</f>
        <v>3</v>
      </c>
      <c r="C1239" s="2">
        <f>COUNTIF(A$1:A1239,A1239)-1</f>
        <v>2</v>
      </c>
      <c r="D1239" s="2" t="str">
        <f t="shared" si="19"/>
        <v>v</v>
      </c>
      <c r="E1239" s="2"/>
      <c r="F1239" s="2" t="e">
        <f>CUBEMEMBERPROPERTY(#REF!,+F1239:G1239,#REF!)</f>
        <v>#REF!</v>
      </c>
      <c r="H1239" s="2" t="e">
        <f>CUBEMEMBERPROPERTY(#REF!,H1239:I1239,#REF!)</f>
        <v>#REF!</v>
      </c>
      <c r="J1239" s="2" t="e">
        <f>CUBEMEMBERPROPERTY(#REF!,INDIRECT(J1239:K1239),#REF!)</f>
        <v>#REF!</v>
      </c>
      <c r="L1239" s="2">
        <f>TYPE(INDEX(,CUBEMEMBERPROPERTY(#REF!,OFFSET(INDEX(1,),,),#REF!)))</f>
        <v>64</v>
      </c>
    </row>
    <row r="1240" spans="1:12" x14ac:dyDescent="0.55000000000000004">
      <c r="A1240" s="1" t="s">
        <v>1824</v>
      </c>
      <c r="B1240" s="2">
        <f>COUNTIF(A:A,A1240)-1</f>
        <v>3</v>
      </c>
      <c r="C1240" s="2">
        <f>COUNTIF(A$1:A1240,A1240)-1</f>
        <v>3</v>
      </c>
      <c r="D1240" s="2" t="str">
        <f t="shared" si="19"/>
        <v>v</v>
      </c>
      <c r="E1240" s="2" t="e">
        <f>CUBEMEMBERPROPERTY(#REF!,#REF!,#REF!)</f>
        <v>#REF!</v>
      </c>
      <c r="F1240" s="2" t="e">
        <f>CUBEMEMBERPROPERTY(#REF!,#REF!,+F1240:G1240)</f>
        <v>#REF!</v>
      </c>
      <c r="H1240" s="2" t="e">
        <f>CUBEMEMBERPROPERTY(#REF!,#REF!,H1240:I1240)</f>
        <v>#REF!</v>
      </c>
      <c r="J1240" s="2" t="e">
        <f>CUBEMEMBERPROPERTY(#REF!,#REF!,INDIRECT(J1240:K1240))</f>
        <v>#REF!</v>
      </c>
      <c r="L1240" s="2">
        <f>TYPE(INDEX(,CUBEMEMBERPROPERTY(#REF!,#REF!,OFFSET(INDEX(1,),,))))</f>
        <v>64</v>
      </c>
    </row>
    <row r="1241" spans="1:12" x14ac:dyDescent="0.55000000000000004">
      <c r="A1241" s="1" t="s">
        <v>1825</v>
      </c>
      <c r="B1241" s="2">
        <f>COUNTIF(A:A,A1241)-1</f>
        <v>4</v>
      </c>
      <c r="C1241" s="2">
        <f>COUNTIF(A$1:A1241,A1241)-1</f>
        <v>0</v>
      </c>
      <c r="D1241" s="2" t="str">
        <f t="shared" si="19"/>
        <v/>
      </c>
      <c r="E1241" s="2"/>
      <c r="F1241" s="2"/>
      <c r="H1241" s="2"/>
      <c r="J1241" s="2"/>
      <c r="L1241" s="2"/>
    </row>
    <row r="1242" spans="1:12" x14ac:dyDescent="0.55000000000000004">
      <c r="A1242" s="1" t="s">
        <v>1825</v>
      </c>
      <c r="B1242" s="2">
        <f>COUNTIF(A:A,A1242)-1</f>
        <v>4</v>
      </c>
      <c r="C1242" s="2">
        <f>COUNTIF(A$1:A1242,A1242)-1</f>
        <v>1</v>
      </c>
      <c r="D1242" s="2" t="str">
        <f t="shared" si="19"/>
        <v>v</v>
      </c>
      <c r="E1242" s="2"/>
      <c r="F1242" s="2" t="e">
        <f>CUBERANKEDMEMBER(+F1242:G1242,#REF!,#REF!,#REF!)</f>
        <v>#REF!</v>
      </c>
      <c r="H1242" s="2" t="e">
        <f>CUBERANKEDMEMBER(H1242:I1242,#REF!,#REF!,#REF!)</f>
        <v>#REF!</v>
      </c>
      <c r="J1242" s="2" t="e">
        <f>CUBERANKEDMEMBER(INDIRECT(J1242:K1242),#REF!,#REF!,#REF!)</f>
        <v>#REF!</v>
      </c>
      <c r="L1242" s="2">
        <f>TYPE(INDEX(,CUBERANKEDMEMBER(OFFSET(INDEX(1,),,),#REF!,#REF!,#REF!)))</f>
        <v>64</v>
      </c>
    </row>
    <row r="1243" spans="1:12" x14ac:dyDescent="0.55000000000000004">
      <c r="A1243" s="1" t="s">
        <v>1825</v>
      </c>
      <c r="B1243" s="2">
        <f>COUNTIF(A:A,A1243)-1</f>
        <v>4</v>
      </c>
      <c r="C1243" s="2">
        <f>COUNTIF(A$1:A1243,A1243)-1</f>
        <v>2</v>
      </c>
      <c r="D1243" s="2" t="str">
        <f t="shared" si="19"/>
        <v>v</v>
      </c>
      <c r="E1243" s="2"/>
      <c r="F1243" s="2" t="e">
        <f>CUBERANKEDMEMBER(#REF!,+F1243:G1243,#REF!,#REF!)</f>
        <v>#REF!</v>
      </c>
      <c r="H1243" s="2" t="e">
        <f>CUBERANKEDMEMBER(#REF!,H1243:I1243,#REF!,#REF!)</f>
        <v>#REF!</v>
      </c>
      <c r="J1243" s="2" t="e">
        <f>CUBERANKEDMEMBER(#REF!,INDIRECT(J1243:K1243),#REF!,#REF!)</f>
        <v>#REF!</v>
      </c>
      <c r="L1243" s="2">
        <f>TYPE(INDEX(,CUBERANKEDMEMBER(#REF!,OFFSET(INDEX(1,),,),#REF!,#REF!)))</f>
        <v>64</v>
      </c>
    </row>
    <row r="1244" spans="1:12" x14ac:dyDescent="0.55000000000000004">
      <c r="A1244" s="1" t="s">
        <v>1825</v>
      </c>
      <c r="B1244" s="2">
        <f>COUNTIF(A:A,A1244)-1</f>
        <v>4</v>
      </c>
      <c r="C1244" s="2">
        <f>COUNTIF(A$1:A1244,A1244)-1</f>
        <v>3</v>
      </c>
      <c r="D1244" s="2" t="str">
        <f t="shared" si="19"/>
        <v>v</v>
      </c>
      <c r="E1244" s="2" t="e">
        <f>CUBERANKEDMEMBER(#REF!,#REF!,#REF!)</f>
        <v>#REF!</v>
      </c>
      <c r="F1244" s="2" t="e">
        <f>CUBERANKEDMEMBER(#REF!,#REF!,+F1244:G1244,#REF!)</f>
        <v>#REF!</v>
      </c>
      <c r="H1244" s="2" t="e">
        <f>CUBERANKEDMEMBER(#REF!,#REF!,H1244:I1244,#REF!)</f>
        <v>#REF!</v>
      </c>
      <c r="J1244" s="2" t="e">
        <f>CUBERANKEDMEMBER(#REF!,#REF!,INDIRECT(J1244:K1244),#REF!)</f>
        <v>#REF!</v>
      </c>
      <c r="L1244" s="2">
        <f>TYPE(INDEX(,CUBERANKEDMEMBER(#REF!,#REF!,OFFSET(INDEX(1,),,),#REF!)))</f>
        <v>64</v>
      </c>
    </row>
    <row r="1245" spans="1:12" x14ac:dyDescent="0.55000000000000004">
      <c r="A1245" s="1" t="s">
        <v>1825</v>
      </c>
      <c r="B1245" s="2">
        <f>COUNTIF(A:A,A1245)-1</f>
        <v>4</v>
      </c>
      <c r="C1245" s="2">
        <f>COUNTIF(A$1:A1245,A1245)-1</f>
        <v>4</v>
      </c>
      <c r="D1245" s="2" t="str">
        <f t="shared" si="19"/>
        <v>v</v>
      </c>
      <c r="E1245" s="2" t="e">
        <f>CUBERANKEDMEMBER(#REF!,#REF!,#REF!,#REF!)</f>
        <v>#REF!</v>
      </c>
      <c r="F1245" s="2" t="e">
        <f>CUBERANKEDMEMBER(#REF!,#REF!,#REF!,+F1245:G1245)</f>
        <v>#REF!</v>
      </c>
      <c r="H1245" s="2" t="e">
        <f>CUBERANKEDMEMBER(#REF!,#REF!,#REF!,H1245:I1245)</f>
        <v>#REF!</v>
      </c>
      <c r="J1245" s="2" t="e">
        <f>CUBERANKEDMEMBER(#REF!,#REF!,#REF!,INDIRECT(J1245:K1245))</f>
        <v>#REF!</v>
      </c>
      <c r="L1245" s="2">
        <f>TYPE(INDEX(,CUBERANKEDMEMBER(#REF!,#REF!,#REF!,OFFSET(INDEX(1,),,))))</f>
        <v>64</v>
      </c>
    </row>
    <row r="1246" spans="1:12" x14ac:dyDescent="0.55000000000000004">
      <c r="A1246" s="1" t="s">
        <v>2060</v>
      </c>
      <c r="B1246" s="2">
        <f>COUNTIF(A:A,A1246)-1</f>
        <v>2</v>
      </c>
      <c r="C1246" s="2">
        <f>COUNTIF(A$1:A1246,A1246)-1</f>
        <v>0</v>
      </c>
      <c r="D1246" s="2" t="str">
        <f t="shared" si="19"/>
        <v/>
      </c>
      <c r="E1246" s="2"/>
      <c r="F1246" s="2"/>
      <c r="H1246" s="2"/>
      <c r="J1246" s="2"/>
      <c r="L1246" s="2"/>
    </row>
    <row r="1247" spans="1:12" x14ac:dyDescent="0.55000000000000004">
      <c r="A1247" s="1" t="s">
        <v>2060</v>
      </c>
      <c r="B1247" s="2">
        <f>COUNTIF(A:A,A1247)-1</f>
        <v>2</v>
      </c>
      <c r="C1247" s="2">
        <f>COUNTIF(A$1:A1247,A1247)-1</f>
        <v>1</v>
      </c>
      <c r="D1247" s="2" t="str">
        <f t="shared" si="19"/>
        <v>vr</v>
      </c>
      <c r="E1247" s="2" t="e">
        <f>HEX2BIN(#REF!)</f>
        <v>#REF!</v>
      </c>
      <c r="F1247" s="2" t="e">
        <f>HEX2BIN(+F1247:G1247,#REF!)</f>
        <v>#REF!</v>
      </c>
      <c r="H1247" s="2" t="e">
        <f>HEX2BIN(H1247:I1247,#REF!)</f>
        <v>#REF!</v>
      </c>
      <c r="I1247" s="1">
        <v>1</v>
      </c>
      <c r="J1247" s="2" t="e">
        <f>HEX2BIN(INDIRECT(J1247:K1247),#REF!)</f>
        <v>#REF!</v>
      </c>
      <c r="L1247" s="2">
        <f>TYPE(INDEX(,HEX2BIN(OFFSET(INDEX(1,),,),#REF!)))</f>
        <v>64</v>
      </c>
    </row>
    <row r="1248" spans="1:12" x14ac:dyDescent="0.55000000000000004">
      <c r="A1248" s="1" t="s">
        <v>2060</v>
      </c>
      <c r="B1248" s="2">
        <f>COUNTIF(A:A,A1248)-1</f>
        <v>2</v>
      </c>
      <c r="C1248" s="2">
        <f>COUNTIF(A$1:A1248,A1248)-1</f>
        <v>2</v>
      </c>
      <c r="D1248" s="2" t="str">
        <f t="shared" si="19"/>
        <v>vr</v>
      </c>
      <c r="E1248" s="2" t="e">
        <f>HEX2BIN(#REF!,#REF!)</f>
        <v>#REF!</v>
      </c>
      <c r="F1248" s="2" t="e">
        <f>HEX2BIN(#REF!,+F1248:G1248)</f>
        <v>#NUM!</v>
      </c>
      <c r="H1248" s="2" t="e">
        <f>HEX2BIN(#REF!,H1248:I1248)</f>
        <v>#VALUE!</v>
      </c>
      <c r="I1248" s="1">
        <v>1</v>
      </c>
      <c r="J1248" s="2" t="e">
        <f>HEX2BIN(#REF!,INDIRECT(J1248:K1248))</f>
        <v>#REF!</v>
      </c>
      <c r="L1248" s="2">
        <f>TYPE(INDEX(,HEX2BIN(#REF!,OFFSET(INDEX(1,),,))))</f>
        <v>64</v>
      </c>
    </row>
    <row r="1249" spans="1:12" x14ac:dyDescent="0.55000000000000004">
      <c r="A1249" s="1" t="s">
        <v>2061</v>
      </c>
      <c r="B1249" s="2">
        <f>COUNTIF(A:A,A1249)-1</f>
        <v>1</v>
      </c>
      <c r="C1249" s="2">
        <f>COUNTIF(A$1:A1249,A1249)-1</f>
        <v>0</v>
      </c>
      <c r="D1249" s="2" t="str">
        <f t="shared" si="19"/>
        <v/>
      </c>
      <c r="E1249" s="2"/>
      <c r="F1249" s="2"/>
      <c r="H1249" s="2"/>
      <c r="J1249" s="2"/>
      <c r="L1249" s="2"/>
    </row>
    <row r="1250" spans="1:12" x14ac:dyDescent="0.55000000000000004">
      <c r="A1250" s="1" t="s">
        <v>2061</v>
      </c>
      <c r="B1250" s="2">
        <f>COUNTIF(A:A,A1250)-1</f>
        <v>1</v>
      </c>
      <c r="C1250" s="2">
        <f>COUNTIF(A$1:A1250,A1250)-1</f>
        <v>1</v>
      </c>
      <c r="D1250" s="2" t="str">
        <f t="shared" si="19"/>
        <v>vr</v>
      </c>
      <c r="E1250" s="2" t="e">
        <f>HEX2DEC(#REF!)</f>
        <v>#REF!</v>
      </c>
      <c r="F1250" s="2">
        <f>HEX2DEC(+F1250:G1250)</f>
        <v>0</v>
      </c>
      <c r="H1250" s="2" t="e">
        <f>HEX2DEC(H1250:I1250)</f>
        <v>#VALUE!</v>
      </c>
      <c r="I1250" s="1">
        <v>1</v>
      </c>
      <c r="J1250" s="2" t="e">
        <f>HEX2DEC(INDIRECT(J1250:K1250))</f>
        <v>#REF!</v>
      </c>
      <c r="L1250" s="2">
        <f>TYPE(INDEX(,HEX2DEC(OFFSET(INDEX(1,),,))))</f>
        <v>64</v>
      </c>
    </row>
    <row r="1251" spans="1:12" x14ac:dyDescent="0.55000000000000004">
      <c r="A1251" s="1" t="s">
        <v>2062</v>
      </c>
      <c r="B1251" s="2">
        <f>COUNTIF(A:A,A1251)-1</f>
        <v>2</v>
      </c>
      <c r="C1251" s="2">
        <f>COUNTIF(A$1:A1251,A1251)-1</f>
        <v>0</v>
      </c>
      <c r="D1251" s="2" t="str">
        <f t="shared" si="19"/>
        <v/>
      </c>
      <c r="E1251" s="2"/>
      <c r="F1251" s="2"/>
      <c r="H1251" s="2"/>
      <c r="J1251" s="2"/>
      <c r="L1251" s="2"/>
    </row>
    <row r="1252" spans="1:12" x14ac:dyDescent="0.55000000000000004">
      <c r="A1252" s="1" t="s">
        <v>2062</v>
      </c>
      <c r="B1252" s="2">
        <f>COUNTIF(A:A,A1252)-1</f>
        <v>2</v>
      </c>
      <c r="C1252" s="2">
        <f>COUNTIF(A$1:A1252,A1252)-1</f>
        <v>1</v>
      </c>
      <c r="D1252" s="2" t="str">
        <f t="shared" si="19"/>
        <v>vr</v>
      </c>
      <c r="E1252" s="2" t="e">
        <f>HEX2OCT(#REF!)</f>
        <v>#REF!</v>
      </c>
      <c r="F1252" s="2" t="e">
        <f>HEX2OCT(+F1252:G1252,#REF!)</f>
        <v>#REF!</v>
      </c>
      <c r="H1252" s="2" t="e">
        <f>HEX2OCT(H1252:I1252,#REF!)</f>
        <v>#REF!</v>
      </c>
      <c r="I1252" s="1">
        <v>1</v>
      </c>
      <c r="J1252" s="2" t="e">
        <f>HEX2OCT(INDIRECT(J1252:K1252),#REF!)</f>
        <v>#REF!</v>
      </c>
      <c r="L1252" s="2">
        <f>TYPE(INDEX(,HEX2OCT(OFFSET(INDEX(1,),,),#REF!)))</f>
        <v>64</v>
      </c>
    </row>
    <row r="1253" spans="1:12" x14ac:dyDescent="0.55000000000000004">
      <c r="A1253" s="1" t="s">
        <v>2062</v>
      </c>
      <c r="B1253" s="2">
        <f>COUNTIF(A:A,A1253)-1</f>
        <v>2</v>
      </c>
      <c r="C1253" s="2">
        <f>COUNTIF(A$1:A1253,A1253)-1</f>
        <v>2</v>
      </c>
      <c r="D1253" s="2" t="str">
        <f t="shared" si="19"/>
        <v>vr</v>
      </c>
      <c r="E1253" s="2" t="e">
        <f>HEX2OCT(#REF!,#REF!)</f>
        <v>#REF!</v>
      </c>
      <c r="F1253" s="2" t="e">
        <f>HEX2OCT(#REF!,+F1253:G1253)</f>
        <v>#NUM!</v>
      </c>
      <c r="H1253" s="2" t="e">
        <f>HEX2OCT(#REF!,H1253:I1253)</f>
        <v>#VALUE!</v>
      </c>
      <c r="I1253" s="1">
        <v>1</v>
      </c>
      <c r="J1253" s="2" t="e">
        <f>HEX2OCT(#REF!,INDIRECT(J1253:K1253))</f>
        <v>#REF!</v>
      </c>
      <c r="L1253" s="2">
        <f>TYPE(INDEX(,HEX2OCT(#REF!,OFFSET(INDEX(1,),,))))</f>
        <v>64</v>
      </c>
    </row>
    <row r="1254" spans="1:12" x14ac:dyDescent="0.55000000000000004">
      <c r="A1254" s="1" t="s">
        <v>2063</v>
      </c>
      <c r="B1254" s="2">
        <f>COUNTIF(A:A,A1254)-1</f>
        <v>2</v>
      </c>
      <c r="C1254" s="2">
        <f>COUNTIF(A$1:A1254,A1254)-1</f>
        <v>0</v>
      </c>
      <c r="D1254" s="2" t="str">
        <f t="shared" si="19"/>
        <v/>
      </c>
      <c r="E1254" s="2"/>
      <c r="F1254" s="2"/>
      <c r="H1254" s="2"/>
      <c r="J1254" s="2"/>
      <c r="L1254" s="2"/>
    </row>
    <row r="1255" spans="1:12" x14ac:dyDescent="0.55000000000000004">
      <c r="A1255" s="1" t="s">
        <v>2063</v>
      </c>
      <c r="B1255" s="2">
        <f>COUNTIF(A:A,A1255)-1</f>
        <v>2</v>
      </c>
      <c r="C1255" s="2">
        <f>COUNTIF(A$1:A1255,A1255)-1</f>
        <v>1</v>
      </c>
      <c r="D1255" s="2" t="str">
        <f t="shared" si="19"/>
        <v>vr</v>
      </c>
      <c r="E1255" s="2" t="e">
        <f>DEC2BIN(#REF!)</f>
        <v>#REF!</v>
      </c>
      <c r="F1255" s="2" t="e">
        <f>DEC2BIN(+F1255:G1255,#REF!)</f>
        <v>#REF!</v>
      </c>
      <c r="H1255" s="2" t="e">
        <f>DEC2BIN(H1255:I1255,#REF!)</f>
        <v>#REF!</v>
      </c>
      <c r="I1255" s="1">
        <v>1</v>
      </c>
      <c r="J1255" s="2" t="e">
        <f>DEC2BIN(INDIRECT(J1255:K1255),#REF!)</f>
        <v>#REF!</v>
      </c>
      <c r="L1255" s="2">
        <f>TYPE(INDEX(,DEC2BIN(OFFSET(INDEX(1,),,),#REF!)))</f>
        <v>64</v>
      </c>
    </row>
    <row r="1256" spans="1:12" x14ac:dyDescent="0.55000000000000004">
      <c r="A1256" s="1" t="s">
        <v>2063</v>
      </c>
      <c r="B1256" s="2">
        <f>COUNTIF(A:A,A1256)-1</f>
        <v>2</v>
      </c>
      <c r="C1256" s="2">
        <f>COUNTIF(A$1:A1256,A1256)-1</f>
        <v>2</v>
      </c>
      <c r="D1256" s="2" t="str">
        <f t="shared" si="19"/>
        <v>vr</v>
      </c>
      <c r="E1256" s="2" t="e">
        <f>DEC2BIN(#REF!,#REF!)</f>
        <v>#REF!</v>
      </c>
      <c r="F1256" s="2" t="e">
        <f>DEC2BIN(#REF!,+F1256:G1256)</f>
        <v>#NUM!</v>
      </c>
      <c r="H1256" s="2" t="e">
        <f>DEC2BIN(#REF!,H1256:I1256)</f>
        <v>#VALUE!</v>
      </c>
      <c r="I1256" s="1">
        <v>1</v>
      </c>
      <c r="J1256" s="2" t="e">
        <f>DEC2BIN(#REF!,INDIRECT(J1256:K1256))</f>
        <v>#REF!</v>
      </c>
      <c r="L1256" s="2">
        <f>TYPE(INDEX(,DEC2BIN(#REF!,OFFSET(INDEX(1,),,))))</f>
        <v>64</v>
      </c>
    </row>
    <row r="1257" spans="1:12" x14ac:dyDescent="0.55000000000000004">
      <c r="A1257" s="1" t="s">
        <v>2064</v>
      </c>
      <c r="B1257" s="2">
        <f>COUNTIF(A:A,A1257)-1</f>
        <v>2</v>
      </c>
      <c r="C1257" s="2">
        <f>COUNTIF(A$1:A1257,A1257)-1</f>
        <v>0</v>
      </c>
      <c r="D1257" s="2" t="str">
        <f t="shared" si="19"/>
        <v/>
      </c>
      <c r="E1257" s="2"/>
      <c r="F1257" s="2"/>
      <c r="H1257" s="2"/>
      <c r="J1257" s="2"/>
      <c r="L1257" s="2"/>
    </row>
    <row r="1258" spans="1:12" x14ac:dyDescent="0.55000000000000004">
      <c r="A1258" s="1" t="s">
        <v>2064</v>
      </c>
      <c r="B1258" s="2">
        <f>COUNTIF(A:A,A1258)-1</f>
        <v>2</v>
      </c>
      <c r="C1258" s="2">
        <f>COUNTIF(A$1:A1258,A1258)-1</f>
        <v>1</v>
      </c>
      <c r="D1258" s="2" t="str">
        <f t="shared" si="19"/>
        <v>vr</v>
      </c>
      <c r="E1258" s="2" t="e">
        <f>DEC2HEX(#REF!)</f>
        <v>#REF!</v>
      </c>
      <c r="F1258" s="2" t="e">
        <f>DEC2HEX(+F1258:G1258,#REF!)</f>
        <v>#REF!</v>
      </c>
      <c r="H1258" s="2" t="e">
        <f>DEC2HEX(H1258:I1258,#REF!)</f>
        <v>#REF!</v>
      </c>
      <c r="I1258" s="1">
        <v>1</v>
      </c>
      <c r="J1258" s="2" t="e">
        <f>DEC2HEX(INDIRECT(J1258:K1258),#REF!)</f>
        <v>#REF!</v>
      </c>
      <c r="L1258" s="2">
        <f>TYPE(INDEX(,DEC2HEX(OFFSET(INDEX(1,),,),#REF!)))</f>
        <v>64</v>
      </c>
    </row>
    <row r="1259" spans="1:12" x14ac:dyDescent="0.55000000000000004">
      <c r="A1259" s="1" t="s">
        <v>2064</v>
      </c>
      <c r="B1259" s="2">
        <f>COUNTIF(A:A,A1259)-1</f>
        <v>2</v>
      </c>
      <c r="C1259" s="2">
        <f>COUNTIF(A$1:A1259,A1259)-1</f>
        <v>2</v>
      </c>
      <c r="D1259" s="2" t="str">
        <f t="shared" si="19"/>
        <v>vr</v>
      </c>
      <c r="E1259" s="2" t="e">
        <f>DEC2HEX(#REF!,#REF!)</f>
        <v>#REF!</v>
      </c>
      <c r="F1259" s="2" t="e">
        <f>DEC2HEX(#REF!,+F1259:G1259)</f>
        <v>#NUM!</v>
      </c>
      <c r="H1259" s="2" t="e">
        <f>DEC2HEX(#REF!,H1259:I1259)</f>
        <v>#VALUE!</v>
      </c>
      <c r="I1259" s="1">
        <v>1</v>
      </c>
      <c r="J1259" s="2" t="e">
        <f>DEC2HEX(#REF!,INDIRECT(J1259:K1259))</f>
        <v>#REF!</v>
      </c>
      <c r="L1259" s="2">
        <f>TYPE(INDEX(,DEC2HEX(#REF!,OFFSET(INDEX(1,),,))))</f>
        <v>64</v>
      </c>
    </row>
    <row r="1260" spans="1:12" x14ac:dyDescent="0.55000000000000004">
      <c r="A1260" s="1" t="s">
        <v>2065</v>
      </c>
      <c r="B1260" s="2">
        <f>COUNTIF(A:A,A1260)-1</f>
        <v>2</v>
      </c>
      <c r="C1260" s="2">
        <f>COUNTIF(A$1:A1260,A1260)-1</f>
        <v>0</v>
      </c>
      <c r="D1260" s="2" t="str">
        <f t="shared" si="19"/>
        <v/>
      </c>
      <c r="E1260" s="2"/>
      <c r="F1260" s="2"/>
      <c r="H1260" s="2"/>
      <c r="J1260" s="2"/>
      <c r="L1260" s="2"/>
    </row>
    <row r="1261" spans="1:12" x14ac:dyDescent="0.55000000000000004">
      <c r="A1261" s="1" t="s">
        <v>2065</v>
      </c>
      <c r="B1261" s="2">
        <f>COUNTIF(A:A,A1261)-1</f>
        <v>2</v>
      </c>
      <c r="C1261" s="2">
        <f>COUNTIF(A$1:A1261,A1261)-1</f>
        <v>1</v>
      </c>
      <c r="D1261" s="2" t="str">
        <f t="shared" si="19"/>
        <v>vr</v>
      </c>
      <c r="E1261" s="2" t="e">
        <f>DEC2OCT(#REF!)</f>
        <v>#REF!</v>
      </c>
      <c r="F1261" s="2" t="e">
        <f>DEC2OCT(+F1261:G1261,#REF!)</f>
        <v>#REF!</v>
      </c>
      <c r="H1261" s="2" t="e">
        <f>DEC2OCT(H1261:I1261,#REF!)</f>
        <v>#REF!</v>
      </c>
      <c r="I1261" s="1">
        <v>1</v>
      </c>
      <c r="J1261" s="2" t="e">
        <f>DEC2OCT(INDIRECT(J1261:K1261),#REF!)</f>
        <v>#REF!</v>
      </c>
      <c r="L1261" s="2">
        <f>TYPE(INDEX(,DEC2OCT(OFFSET(INDEX(1,),,),#REF!)))</f>
        <v>64</v>
      </c>
    </row>
    <row r="1262" spans="1:12" x14ac:dyDescent="0.55000000000000004">
      <c r="A1262" s="1" t="s">
        <v>2065</v>
      </c>
      <c r="B1262" s="2">
        <f>COUNTIF(A:A,A1262)-1</f>
        <v>2</v>
      </c>
      <c r="C1262" s="2">
        <f>COUNTIF(A$1:A1262,A1262)-1</f>
        <v>2</v>
      </c>
      <c r="D1262" s="2" t="str">
        <f t="shared" si="19"/>
        <v>vr</v>
      </c>
      <c r="E1262" s="2" t="e">
        <f>DEC2OCT(#REF!,#REF!)</f>
        <v>#REF!</v>
      </c>
      <c r="F1262" s="2" t="e">
        <f>DEC2OCT(#REF!,+F1262:G1262)</f>
        <v>#NUM!</v>
      </c>
      <c r="H1262" s="2" t="e">
        <f>DEC2OCT(#REF!,H1262:I1262)</f>
        <v>#VALUE!</v>
      </c>
      <c r="I1262" s="1">
        <v>1</v>
      </c>
      <c r="J1262" s="2" t="e">
        <f>DEC2OCT(#REF!,INDIRECT(J1262:K1262))</f>
        <v>#REF!</v>
      </c>
      <c r="L1262" s="2">
        <f>TYPE(INDEX(,DEC2OCT(#REF!,OFFSET(INDEX(1,),,))))</f>
        <v>64</v>
      </c>
    </row>
    <row r="1263" spans="1:12" x14ac:dyDescent="0.55000000000000004">
      <c r="A1263" s="1" t="s">
        <v>2066</v>
      </c>
      <c r="B1263" s="2">
        <f>COUNTIF(A:A,A1263)-1</f>
        <v>2</v>
      </c>
      <c r="C1263" s="2">
        <f>COUNTIF(A$1:A1263,A1263)-1</f>
        <v>0</v>
      </c>
      <c r="D1263" s="2" t="str">
        <f t="shared" si="19"/>
        <v/>
      </c>
      <c r="E1263" s="2"/>
      <c r="F1263" s="2"/>
      <c r="H1263" s="2"/>
      <c r="J1263" s="2"/>
      <c r="L1263" s="2"/>
    </row>
    <row r="1264" spans="1:12" x14ac:dyDescent="0.55000000000000004">
      <c r="A1264" s="1" t="s">
        <v>2066</v>
      </c>
      <c r="B1264" s="2">
        <f>COUNTIF(A:A,A1264)-1</f>
        <v>2</v>
      </c>
      <c r="C1264" s="2">
        <f>COUNTIF(A$1:A1264,A1264)-1</f>
        <v>1</v>
      </c>
      <c r="D1264" s="2" t="str">
        <f t="shared" si="19"/>
        <v>vr</v>
      </c>
      <c r="E1264" s="2" t="e">
        <f>OCT2BIN(#REF!)</f>
        <v>#REF!</v>
      </c>
      <c r="F1264" s="2" t="e">
        <f>OCT2BIN(+F1264:G1264,#REF!)</f>
        <v>#REF!</v>
      </c>
      <c r="H1264" s="2" t="e">
        <f>OCT2BIN(H1264:I1264,#REF!)</f>
        <v>#REF!</v>
      </c>
      <c r="I1264" s="1">
        <v>1</v>
      </c>
      <c r="J1264" s="2" t="e">
        <f>OCT2BIN(INDIRECT(J1264:K1264),#REF!)</f>
        <v>#REF!</v>
      </c>
      <c r="L1264" s="2">
        <f>TYPE(INDEX(,OCT2BIN(OFFSET(INDEX(1,),,),#REF!)))</f>
        <v>64</v>
      </c>
    </row>
    <row r="1265" spans="1:12" x14ac:dyDescent="0.55000000000000004">
      <c r="A1265" s="1" t="s">
        <v>2066</v>
      </c>
      <c r="B1265" s="2">
        <f>COUNTIF(A:A,A1265)-1</f>
        <v>2</v>
      </c>
      <c r="C1265" s="2">
        <f>COUNTIF(A$1:A1265,A1265)-1</f>
        <v>2</v>
      </c>
      <c r="D1265" s="2" t="str">
        <f t="shared" si="19"/>
        <v>vr</v>
      </c>
      <c r="E1265" s="2" t="e">
        <f>OCT2BIN(#REF!,#REF!)</f>
        <v>#REF!</v>
      </c>
      <c r="F1265" s="2" t="e">
        <f>OCT2BIN(#REF!,+F1265:G1265)</f>
        <v>#NUM!</v>
      </c>
      <c r="H1265" s="2" t="e">
        <f>OCT2BIN(#REF!,H1265:I1265)</f>
        <v>#VALUE!</v>
      </c>
      <c r="I1265" s="1">
        <v>1</v>
      </c>
      <c r="J1265" s="2" t="e">
        <f>OCT2BIN(#REF!,INDIRECT(J1265:K1265))</f>
        <v>#REF!</v>
      </c>
      <c r="L1265" s="2">
        <f>TYPE(INDEX(,OCT2BIN(#REF!,OFFSET(INDEX(1,),,))))</f>
        <v>64</v>
      </c>
    </row>
    <row r="1266" spans="1:12" x14ac:dyDescent="0.55000000000000004">
      <c r="A1266" s="1" t="s">
        <v>2067</v>
      </c>
      <c r="B1266" s="2">
        <f>COUNTIF(A:A,A1266)-1</f>
        <v>2</v>
      </c>
      <c r="C1266" s="2">
        <f>COUNTIF(A$1:A1266,A1266)-1</f>
        <v>0</v>
      </c>
      <c r="D1266" s="2" t="str">
        <f t="shared" si="19"/>
        <v/>
      </c>
      <c r="E1266" s="2"/>
      <c r="F1266" s="2"/>
      <c r="H1266" s="2"/>
      <c r="J1266" s="2"/>
      <c r="L1266" s="2"/>
    </row>
    <row r="1267" spans="1:12" x14ac:dyDescent="0.55000000000000004">
      <c r="A1267" s="1" t="s">
        <v>2067</v>
      </c>
      <c r="B1267" s="2">
        <f>COUNTIF(A:A,A1267)-1</f>
        <v>2</v>
      </c>
      <c r="C1267" s="2">
        <f>COUNTIF(A$1:A1267,A1267)-1</f>
        <v>1</v>
      </c>
      <c r="D1267" s="2" t="str">
        <f t="shared" si="19"/>
        <v>vr</v>
      </c>
      <c r="E1267" s="2" t="e">
        <f>OCT2HEX(#REF!)</f>
        <v>#REF!</v>
      </c>
      <c r="F1267" s="2" t="e">
        <f>OCT2HEX(+F1267:G1267,#REF!)</f>
        <v>#REF!</v>
      </c>
      <c r="H1267" s="2" t="e">
        <f>OCT2HEX(H1267:I1267,#REF!)</f>
        <v>#REF!</v>
      </c>
      <c r="I1267" s="1">
        <v>1</v>
      </c>
      <c r="J1267" s="2" t="e">
        <f>OCT2HEX(INDIRECT(J1267:K1267),#REF!)</f>
        <v>#REF!</v>
      </c>
      <c r="L1267" s="2">
        <f>TYPE(INDEX(,OCT2HEX(OFFSET(INDEX(1,),,),#REF!)))</f>
        <v>64</v>
      </c>
    </row>
    <row r="1268" spans="1:12" x14ac:dyDescent="0.55000000000000004">
      <c r="A1268" s="1" t="s">
        <v>2067</v>
      </c>
      <c r="B1268" s="2">
        <f>COUNTIF(A:A,A1268)-1</f>
        <v>2</v>
      </c>
      <c r="C1268" s="2">
        <f>COUNTIF(A$1:A1268,A1268)-1</f>
        <v>2</v>
      </c>
      <c r="D1268" s="2" t="str">
        <f t="shared" si="19"/>
        <v>vr</v>
      </c>
      <c r="E1268" s="2" t="e">
        <f>OCT2HEX(#REF!,#REF!)</f>
        <v>#REF!</v>
      </c>
      <c r="F1268" s="2" t="e">
        <f>OCT2HEX(#REF!,+F1268:G1268)</f>
        <v>#NUM!</v>
      </c>
      <c r="H1268" s="2" t="e">
        <f>OCT2HEX(#REF!,H1268:I1268)</f>
        <v>#VALUE!</v>
      </c>
      <c r="I1268" s="1">
        <v>1</v>
      </c>
      <c r="J1268" s="2" t="e">
        <f>OCT2HEX(#REF!,INDIRECT(J1268:K1268))</f>
        <v>#REF!</v>
      </c>
      <c r="L1268" s="2">
        <f>TYPE(INDEX(,OCT2HEX(#REF!,OFFSET(INDEX(1,),,))))</f>
        <v>64</v>
      </c>
    </row>
    <row r="1269" spans="1:12" x14ac:dyDescent="0.55000000000000004">
      <c r="A1269" s="1" t="s">
        <v>2068</v>
      </c>
      <c r="B1269" s="2">
        <f>COUNTIF(A:A,A1269)-1</f>
        <v>1</v>
      </c>
      <c r="C1269" s="2">
        <f>COUNTIF(A$1:A1269,A1269)-1</f>
        <v>0</v>
      </c>
      <c r="D1269" s="2" t="str">
        <f t="shared" si="19"/>
        <v/>
      </c>
      <c r="E1269" s="2"/>
      <c r="F1269" s="2"/>
      <c r="H1269" s="2"/>
      <c r="J1269" s="2"/>
      <c r="L1269" s="2"/>
    </row>
    <row r="1270" spans="1:12" x14ac:dyDescent="0.55000000000000004">
      <c r="A1270" s="1" t="s">
        <v>2068</v>
      </c>
      <c r="B1270" s="2">
        <f>COUNTIF(A:A,A1270)-1</f>
        <v>1</v>
      </c>
      <c r="C1270" s="2">
        <f>COUNTIF(A$1:A1270,A1270)-1</f>
        <v>1</v>
      </c>
      <c r="D1270" s="2" t="str">
        <f t="shared" si="19"/>
        <v>vr</v>
      </c>
      <c r="E1270" s="2" t="e">
        <f>OCT2DEC(#REF!)</f>
        <v>#REF!</v>
      </c>
      <c r="F1270" s="2">
        <f>OCT2DEC(+F1270:G1270)</f>
        <v>0</v>
      </c>
      <c r="H1270" s="2" t="e">
        <f>OCT2DEC(H1270:I1270)</f>
        <v>#VALUE!</v>
      </c>
      <c r="I1270" s="1">
        <v>1</v>
      </c>
      <c r="J1270" s="2" t="e">
        <f>OCT2DEC(INDIRECT(J1270:K1270))</f>
        <v>#REF!</v>
      </c>
      <c r="L1270" s="2">
        <f>TYPE(INDEX(,OCT2DEC(OFFSET(INDEX(1,),,))))</f>
        <v>64</v>
      </c>
    </row>
    <row r="1271" spans="1:12" x14ac:dyDescent="0.55000000000000004">
      <c r="A1271" s="1" t="s">
        <v>2069</v>
      </c>
      <c r="B1271" s="2">
        <f>COUNTIF(A:A,A1271)-1</f>
        <v>1</v>
      </c>
      <c r="C1271" s="2">
        <f>COUNTIF(A$1:A1271,A1271)-1</f>
        <v>0</v>
      </c>
      <c r="D1271" s="2" t="str">
        <f t="shared" si="19"/>
        <v/>
      </c>
      <c r="E1271" s="2"/>
      <c r="F1271" s="2"/>
      <c r="H1271" s="2"/>
      <c r="J1271" s="2"/>
      <c r="L1271" s="2"/>
    </row>
    <row r="1272" spans="1:12" x14ac:dyDescent="0.55000000000000004">
      <c r="A1272" s="1" t="s">
        <v>2069</v>
      </c>
      <c r="B1272" s="2">
        <f>COUNTIF(A:A,A1272)-1</f>
        <v>1</v>
      </c>
      <c r="C1272" s="2">
        <f>COUNTIF(A$1:A1272,A1272)-1</f>
        <v>1</v>
      </c>
      <c r="D1272" s="2" t="str">
        <f t="shared" si="19"/>
        <v>vr</v>
      </c>
      <c r="E1272" s="2" t="e">
        <f>BIN2DEC(#REF!)</f>
        <v>#REF!</v>
      </c>
      <c r="F1272" s="2">
        <f>BIN2DEC(+F1272:G1272)</f>
        <v>0</v>
      </c>
      <c r="H1272" s="2" t="e">
        <f>BIN2DEC(H1272:I1272)</f>
        <v>#VALUE!</v>
      </c>
      <c r="I1272" s="1">
        <v>1</v>
      </c>
      <c r="J1272" s="2" t="e">
        <f>BIN2DEC(INDIRECT(J1272:K1272))</f>
        <v>#REF!</v>
      </c>
      <c r="L1272" s="2">
        <f>TYPE(INDEX(,BIN2DEC(OFFSET(INDEX(1,),,))))</f>
        <v>64</v>
      </c>
    </row>
    <row r="1273" spans="1:12" x14ac:dyDescent="0.55000000000000004">
      <c r="A1273" s="1" t="s">
        <v>2070</v>
      </c>
      <c r="B1273" s="2">
        <f>COUNTIF(A:A,A1273)-1</f>
        <v>2</v>
      </c>
      <c r="C1273" s="2">
        <f>COUNTIF(A$1:A1273,A1273)-1</f>
        <v>0</v>
      </c>
      <c r="D1273" s="2" t="str">
        <f t="shared" si="19"/>
        <v/>
      </c>
      <c r="E1273" s="2"/>
      <c r="F1273" s="2"/>
      <c r="H1273" s="2"/>
      <c r="J1273" s="2"/>
      <c r="L1273" s="2"/>
    </row>
    <row r="1274" spans="1:12" x14ac:dyDescent="0.55000000000000004">
      <c r="A1274" s="1" t="s">
        <v>2070</v>
      </c>
      <c r="B1274" s="2">
        <f>COUNTIF(A:A,A1274)-1</f>
        <v>2</v>
      </c>
      <c r="C1274" s="2">
        <f>COUNTIF(A$1:A1274,A1274)-1</f>
        <v>1</v>
      </c>
      <c r="D1274" s="2" t="str">
        <f t="shared" si="19"/>
        <v>vr</v>
      </c>
      <c r="E1274" s="2" t="e">
        <f>BIN2OCT(#REF!)</f>
        <v>#REF!</v>
      </c>
      <c r="F1274" s="2" t="e">
        <f>BIN2OCT(+F1274:G1274,#REF!)</f>
        <v>#REF!</v>
      </c>
      <c r="H1274" s="2" t="e">
        <f>BIN2OCT(H1274:I1274,#REF!)</f>
        <v>#REF!</v>
      </c>
      <c r="I1274" s="1">
        <v>1</v>
      </c>
      <c r="J1274" s="2" t="e">
        <f>BIN2OCT(INDIRECT(J1274:K1274),#REF!)</f>
        <v>#REF!</v>
      </c>
      <c r="L1274" s="2">
        <f>TYPE(INDEX(,BIN2OCT(OFFSET(INDEX(1,),,),#REF!)))</f>
        <v>64</v>
      </c>
    </row>
    <row r="1275" spans="1:12" x14ac:dyDescent="0.55000000000000004">
      <c r="A1275" s="1" t="s">
        <v>2070</v>
      </c>
      <c r="B1275" s="2">
        <f>COUNTIF(A:A,A1275)-1</f>
        <v>2</v>
      </c>
      <c r="C1275" s="2">
        <f>COUNTIF(A$1:A1275,A1275)-1</f>
        <v>2</v>
      </c>
      <c r="D1275" s="2" t="str">
        <f t="shared" si="19"/>
        <v>vr</v>
      </c>
      <c r="E1275" s="2" t="e">
        <f>BIN2OCT(#REF!,#REF!)</f>
        <v>#REF!</v>
      </c>
      <c r="F1275" s="2" t="e">
        <f>BIN2OCT(#REF!,+F1275:G1275)</f>
        <v>#NUM!</v>
      </c>
      <c r="H1275" s="2" t="e">
        <f>BIN2OCT(#REF!,H1275:I1275)</f>
        <v>#VALUE!</v>
      </c>
      <c r="I1275" s="1">
        <v>1</v>
      </c>
      <c r="J1275" s="2" t="e">
        <f>BIN2OCT(#REF!,INDIRECT(J1275:K1275))</f>
        <v>#REF!</v>
      </c>
      <c r="L1275" s="2">
        <f>TYPE(INDEX(,BIN2OCT(#REF!,OFFSET(INDEX(1,),,))))</f>
        <v>64</v>
      </c>
    </row>
    <row r="1276" spans="1:12" x14ac:dyDescent="0.55000000000000004">
      <c r="A1276" s="1" t="s">
        <v>2071</v>
      </c>
      <c r="B1276" s="2">
        <f>COUNTIF(A:A,A1276)-1</f>
        <v>2</v>
      </c>
      <c r="C1276" s="2">
        <f>COUNTIF(A$1:A1276,A1276)-1</f>
        <v>0</v>
      </c>
      <c r="D1276" s="2" t="str">
        <f t="shared" si="19"/>
        <v/>
      </c>
      <c r="E1276" s="2"/>
      <c r="F1276" s="2"/>
      <c r="H1276" s="2"/>
      <c r="J1276" s="2"/>
      <c r="L1276" s="2"/>
    </row>
    <row r="1277" spans="1:12" x14ac:dyDescent="0.55000000000000004">
      <c r="A1277" s="1" t="s">
        <v>2071</v>
      </c>
      <c r="B1277" s="2">
        <f>COUNTIF(A:A,A1277)-1</f>
        <v>2</v>
      </c>
      <c r="C1277" s="2">
        <f>COUNTIF(A$1:A1277,A1277)-1</f>
        <v>1</v>
      </c>
      <c r="D1277" s="2" t="str">
        <f t="shared" si="19"/>
        <v>vr</v>
      </c>
      <c r="E1277" s="2" t="e">
        <f>BIN2HEX(#REF!)</f>
        <v>#REF!</v>
      </c>
      <c r="F1277" s="2" t="e">
        <f>BIN2HEX(+F1277:G1277,#REF!)</f>
        <v>#REF!</v>
      </c>
      <c r="H1277" s="2" t="e">
        <f>BIN2HEX(H1277:I1277,#REF!)</f>
        <v>#REF!</v>
      </c>
      <c r="I1277" s="1">
        <v>1</v>
      </c>
      <c r="J1277" s="2" t="e">
        <f>BIN2HEX(INDIRECT(J1277:K1277),#REF!)</f>
        <v>#REF!</v>
      </c>
      <c r="L1277" s="2">
        <f>TYPE(INDEX(,BIN2HEX(OFFSET(INDEX(1,),,),#REF!)))</f>
        <v>64</v>
      </c>
    </row>
    <row r="1278" spans="1:12" x14ac:dyDescent="0.55000000000000004">
      <c r="A1278" s="1" t="s">
        <v>2071</v>
      </c>
      <c r="B1278" s="2">
        <f>COUNTIF(A:A,A1278)-1</f>
        <v>2</v>
      </c>
      <c r="C1278" s="2">
        <f>COUNTIF(A$1:A1278,A1278)-1</f>
        <v>2</v>
      </c>
      <c r="D1278" s="2" t="str">
        <f t="shared" si="19"/>
        <v>vr</v>
      </c>
      <c r="E1278" s="2" t="e">
        <f>BIN2HEX(#REF!,#REF!)</f>
        <v>#REF!</v>
      </c>
      <c r="F1278" s="2" t="e">
        <f>BIN2HEX(#REF!,+F1278:G1278)</f>
        <v>#NUM!</v>
      </c>
      <c r="H1278" s="2" t="e">
        <f>BIN2HEX(#REF!,H1278:I1278)</f>
        <v>#VALUE!</v>
      </c>
      <c r="I1278" s="1">
        <v>1</v>
      </c>
      <c r="J1278" s="2" t="e">
        <f>BIN2HEX(#REF!,INDIRECT(J1278:K1278))</f>
        <v>#REF!</v>
      </c>
      <c r="L1278" s="2">
        <f>TYPE(INDEX(,BIN2HEX(#REF!,OFFSET(INDEX(1,),,))))</f>
        <v>64</v>
      </c>
    </row>
    <row r="1279" spans="1:12" x14ac:dyDescent="0.55000000000000004">
      <c r="A1279" s="1" t="s">
        <v>1826</v>
      </c>
      <c r="B1279" s="2">
        <f>COUNTIF(A:A,A1279)-1</f>
        <v>2</v>
      </c>
      <c r="C1279" s="2">
        <f>COUNTIF(A$1:A1279,A1279)-1</f>
        <v>0</v>
      </c>
      <c r="D1279" s="2" t="str">
        <f t="shared" si="19"/>
        <v/>
      </c>
      <c r="E1279" s="2"/>
      <c r="F1279" s="2"/>
      <c r="H1279" s="2"/>
      <c r="J1279" s="2"/>
      <c r="L1279" s="2"/>
    </row>
    <row r="1280" spans="1:12" x14ac:dyDescent="0.55000000000000004">
      <c r="A1280" s="1" t="s">
        <v>1826</v>
      </c>
      <c r="B1280" s="2">
        <f>COUNTIF(A:A,A1280)-1</f>
        <v>2</v>
      </c>
      <c r="C1280" s="2">
        <f>COUNTIF(A$1:A1280,A1280)-1</f>
        <v>1</v>
      </c>
      <c r="D1280" s="2" t="str">
        <f t="shared" si="19"/>
        <v>vr</v>
      </c>
      <c r="E1280" s="2"/>
      <c r="F1280" s="2" t="e">
        <f>IMSUB(+F1280:G1280,#REF!)</f>
        <v>#REF!</v>
      </c>
      <c r="H1280" s="2" t="e">
        <f>IMSUB(H1280:I1280,#REF!)</f>
        <v>#VALUE!</v>
      </c>
      <c r="I1280" s="1">
        <v>1</v>
      </c>
      <c r="J1280" s="2" t="e">
        <f>IMSUB(INDIRECT(J1280:K1280),#REF!)</f>
        <v>#REF!</v>
      </c>
      <c r="L1280" s="2">
        <f>TYPE(INDEX(,IMSUB(OFFSET(INDEX(1,),,),#REF!)))</f>
        <v>64</v>
      </c>
    </row>
    <row r="1281" spans="1:12" x14ac:dyDescent="0.55000000000000004">
      <c r="A1281" s="1" t="s">
        <v>1826</v>
      </c>
      <c r="B1281" s="2">
        <f>COUNTIF(A:A,A1281)-1</f>
        <v>2</v>
      </c>
      <c r="C1281" s="2">
        <f>COUNTIF(A$1:A1281,A1281)-1</f>
        <v>2</v>
      </c>
      <c r="D1281" s="2" t="str">
        <f t="shared" si="19"/>
        <v>vr</v>
      </c>
      <c r="E1281" s="2" t="e">
        <f>IMSUB(#REF!,#REF!)</f>
        <v>#REF!</v>
      </c>
      <c r="F1281" s="2" t="e">
        <f>IMSUB(#REF!,+F1281:G1281)</f>
        <v>#REF!</v>
      </c>
      <c r="H1281" s="2" t="e">
        <f>IMSUB(#REF!,H1281:I1281)</f>
        <v>#REF!</v>
      </c>
      <c r="I1281" s="1">
        <v>1</v>
      </c>
      <c r="J1281" s="2" t="e">
        <f>IMSUB(#REF!,INDIRECT(J1281:K1281))</f>
        <v>#REF!</v>
      </c>
      <c r="L1281" s="2">
        <f>TYPE(INDEX(,IMSUB(#REF!,OFFSET(INDEX(1,),,))))</f>
        <v>64</v>
      </c>
    </row>
    <row r="1282" spans="1:12" x14ac:dyDescent="0.55000000000000004">
      <c r="A1282" s="1" t="s">
        <v>1827</v>
      </c>
      <c r="B1282" s="2">
        <f>COUNTIF(A:A,A1282)-1</f>
        <v>2</v>
      </c>
      <c r="C1282" s="2">
        <f>COUNTIF(A$1:A1282,A1282)-1</f>
        <v>0</v>
      </c>
      <c r="D1282" s="2" t="str">
        <f t="shared" ref="D1282:D1345" si="20">IF(C1282&gt;0,IF(COUNTA(F1282:G1282)=1,"v",)&amp;IF(L1282=64,,"a")&amp;IF(COUNTA(I1282,K1282)=1,"r",),"")</f>
        <v/>
      </c>
      <c r="E1282" s="2"/>
      <c r="F1282" s="2"/>
      <c r="H1282" s="2"/>
      <c r="J1282" s="2"/>
      <c r="L1282" s="2"/>
    </row>
    <row r="1283" spans="1:12" x14ac:dyDescent="0.55000000000000004">
      <c r="A1283" s="1" t="s">
        <v>1827</v>
      </c>
      <c r="B1283" s="2">
        <f>COUNTIF(A:A,A1283)-1</f>
        <v>2</v>
      </c>
      <c r="C1283" s="2">
        <f>COUNTIF(A$1:A1283,A1283)-1</f>
        <v>1</v>
      </c>
      <c r="D1283" s="2" t="str">
        <f t="shared" si="20"/>
        <v>vr</v>
      </c>
      <c r="E1283" s="2"/>
      <c r="F1283" s="2" t="e">
        <f>IMDIV(+F1283:G1283,#REF!)</f>
        <v>#REF!</v>
      </c>
      <c r="H1283" s="2" t="e">
        <f>IMDIV(H1283:I1283,#REF!)</f>
        <v>#VALUE!</v>
      </c>
      <c r="I1283" s="1">
        <v>1</v>
      </c>
      <c r="J1283" s="2" t="e">
        <f>IMDIV(INDIRECT(J1283:K1283),#REF!)</f>
        <v>#REF!</v>
      </c>
      <c r="L1283" s="2">
        <f>TYPE(INDEX(,IMDIV(OFFSET(INDEX(1,),,),#REF!)))</f>
        <v>64</v>
      </c>
    </row>
    <row r="1284" spans="1:12" x14ac:dyDescent="0.55000000000000004">
      <c r="A1284" s="1" t="s">
        <v>1827</v>
      </c>
      <c r="B1284" s="2">
        <f>COUNTIF(A:A,A1284)-1</f>
        <v>2</v>
      </c>
      <c r="C1284" s="2">
        <f>COUNTIF(A$1:A1284,A1284)-1</f>
        <v>2</v>
      </c>
      <c r="D1284" s="2" t="str">
        <f t="shared" si="20"/>
        <v>vr</v>
      </c>
      <c r="E1284" s="2" t="e">
        <f>IMDIV(#REF!,#REF!)</f>
        <v>#REF!</v>
      </c>
      <c r="F1284" s="2" t="e">
        <f>IMDIV(#REF!,+F1284:G1284)</f>
        <v>#REF!</v>
      </c>
      <c r="H1284" s="2" t="e">
        <f>IMDIV(#REF!,H1284:I1284)</f>
        <v>#REF!</v>
      </c>
      <c r="I1284" s="1">
        <v>1</v>
      </c>
      <c r="J1284" s="2" t="e">
        <f>IMDIV(#REF!,INDIRECT(J1284:K1284))</f>
        <v>#REF!</v>
      </c>
      <c r="L1284" s="2">
        <f>TYPE(INDEX(,IMDIV(#REF!,OFFSET(INDEX(1,),,))))</f>
        <v>64</v>
      </c>
    </row>
    <row r="1285" spans="1:12" x14ac:dyDescent="0.55000000000000004">
      <c r="A1285" s="1" t="s">
        <v>1828</v>
      </c>
      <c r="B1285" s="2">
        <f>COUNTIF(A:A,A1285)-1</f>
        <v>2</v>
      </c>
      <c r="C1285" s="2">
        <f>COUNTIF(A$1:A1285,A1285)-1</f>
        <v>0</v>
      </c>
      <c r="D1285" s="2" t="str">
        <f t="shared" si="20"/>
        <v/>
      </c>
      <c r="E1285" s="2"/>
      <c r="F1285" s="2"/>
      <c r="H1285" s="2"/>
      <c r="J1285" s="2"/>
      <c r="L1285" s="2"/>
    </row>
    <row r="1286" spans="1:12" x14ac:dyDescent="0.55000000000000004">
      <c r="A1286" s="1" t="s">
        <v>1828</v>
      </c>
      <c r="B1286" s="2">
        <f>COUNTIF(A:A,A1286)-1</f>
        <v>2</v>
      </c>
      <c r="C1286" s="2">
        <f>COUNTIF(A$1:A1286,A1286)-1</f>
        <v>1</v>
      </c>
      <c r="D1286" s="2" t="str">
        <f t="shared" si="20"/>
        <v>vr</v>
      </c>
      <c r="E1286" s="2"/>
      <c r="F1286" s="2" t="e">
        <f>IMPOWER(+F1286:G1286,#REF!)</f>
        <v>#REF!</v>
      </c>
      <c r="H1286" s="2" t="e">
        <f>IMPOWER(H1286:I1286,#REF!)</f>
        <v>#VALUE!</v>
      </c>
      <c r="I1286" s="1">
        <v>1</v>
      </c>
      <c r="J1286" s="2" t="e">
        <f>IMPOWER(INDIRECT(J1286:K1286),#REF!)</f>
        <v>#REF!</v>
      </c>
      <c r="L1286" s="2">
        <f>TYPE(INDEX(,IMPOWER(OFFSET(INDEX(1,),,),#REF!)))</f>
        <v>64</v>
      </c>
    </row>
    <row r="1287" spans="1:12" x14ac:dyDescent="0.55000000000000004">
      <c r="A1287" s="1" t="s">
        <v>1828</v>
      </c>
      <c r="B1287" s="2">
        <f>COUNTIF(A:A,A1287)-1</f>
        <v>2</v>
      </c>
      <c r="C1287" s="2">
        <f>COUNTIF(A$1:A1287,A1287)-1</f>
        <v>2</v>
      </c>
      <c r="D1287" s="2" t="str">
        <f t="shared" si="20"/>
        <v>vr</v>
      </c>
      <c r="E1287" s="2" t="e">
        <f>IMPOWER(#REF!,#REF!)</f>
        <v>#REF!</v>
      </c>
      <c r="F1287" s="2" t="e">
        <f>IMPOWER(#REF!,+F1287:G1287)</f>
        <v>#REF!</v>
      </c>
      <c r="H1287" s="2" t="e">
        <f>IMPOWER(#REF!,H1287:I1287)</f>
        <v>#REF!</v>
      </c>
      <c r="I1287" s="1">
        <v>1</v>
      </c>
      <c r="J1287" s="2" t="e">
        <f>IMPOWER(#REF!,INDIRECT(J1287:K1287))</f>
        <v>#REF!</v>
      </c>
      <c r="L1287" s="2">
        <f>TYPE(INDEX(,IMPOWER(#REF!,OFFSET(INDEX(1,),,))))</f>
        <v>64</v>
      </c>
    </row>
    <row r="1288" spans="1:12" x14ac:dyDescent="0.55000000000000004">
      <c r="A1288" s="1" t="s">
        <v>1829</v>
      </c>
      <c r="B1288" s="2">
        <f>COUNTIF(A:A,A1288)-1</f>
        <v>1</v>
      </c>
      <c r="C1288" s="2">
        <f>COUNTIF(A$1:A1288,A1288)-1</f>
        <v>0</v>
      </c>
      <c r="D1288" s="2" t="str">
        <f t="shared" si="20"/>
        <v/>
      </c>
      <c r="E1288" s="2"/>
      <c r="F1288" s="2"/>
      <c r="H1288" s="2"/>
      <c r="J1288" s="2"/>
      <c r="L1288" s="2"/>
    </row>
    <row r="1289" spans="1:12" x14ac:dyDescent="0.55000000000000004">
      <c r="A1289" s="1" t="s">
        <v>1829</v>
      </c>
      <c r="B1289" s="2">
        <f>COUNTIF(A:A,A1289)-1</f>
        <v>1</v>
      </c>
      <c r="C1289" s="2">
        <f>COUNTIF(A$1:A1289,A1289)-1</f>
        <v>1</v>
      </c>
      <c r="D1289" s="2" t="str">
        <f t="shared" si="20"/>
        <v>vr</v>
      </c>
      <c r="E1289" s="2" t="e">
        <f>IMABS(#REF!)</f>
        <v>#REF!</v>
      </c>
      <c r="F1289" s="2">
        <f>IMABS(+F1289:G1289)</f>
        <v>0</v>
      </c>
      <c r="H1289" s="2" t="e">
        <f>IMABS(H1289:I1289)</f>
        <v>#VALUE!</v>
      </c>
      <c r="I1289" s="1">
        <v>1</v>
      </c>
      <c r="J1289" s="2" t="e">
        <f>IMABS(INDIRECT(J1289:K1289))</f>
        <v>#REF!</v>
      </c>
      <c r="L1289" s="2">
        <f>TYPE(INDEX(,IMABS(OFFSET(INDEX(1,),,))))</f>
        <v>64</v>
      </c>
    </row>
    <row r="1290" spans="1:12" x14ac:dyDescent="0.55000000000000004">
      <c r="A1290" s="1" t="s">
        <v>1830</v>
      </c>
      <c r="B1290" s="2">
        <f>COUNTIF(A:A,A1290)-1</f>
        <v>1</v>
      </c>
      <c r="C1290" s="2">
        <f>COUNTIF(A$1:A1290,A1290)-1</f>
        <v>0</v>
      </c>
      <c r="D1290" s="2" t="str">
        <f t="shared" si="20"/>
        <v/>
      </c>
      <c r="E1290" s="2"/>
      <c r="F1290" s="2"/>
      <c r="H1290" s="2"/>
      <c r="J1290" s="2"/>
      <c r="L1290" s="2"/>
    </row>
    <row r="1291" spans="1:12" x14ac:dyDescent="0.55000000000000004">
      <c r="A1291" s="1" t="s">
        <v>1830</v>
      </c>
      <c r="B1291" s="2">
        <f>COUNTIF(A:A,A1291)-1</f>
        <v>1</v>
      </c>
      <c r="C1291" s="2">
        <f>COUNTIF(A$1:A1291,A1291)-1</f>
        <v>1</v>
      </c>
      <c r="D1291" s="2" t="str">
        <f t="shared" si="20"/>
        <v>vr</v>
      </c>
      <c r="E1291" s="2" t="e">
        <f>IMSQRT(#REF!)</f>
        <v>#REF!</v>
      </c>
      <c r="F1291" s="2" t="str">
        <f>IMSQRT(+F1291:G1291)</f>
        <v>0</v>
      </c>
      <c r="H1291" s="2" t="e">
        <f>IMSQRT(H1291:I1291)</f>
        <v>#VALUE!</v>
      </c>
      <c r="I1291" s="1">
        <v>1</v>
      </c>
      <c r="J1291" s="2" t="e">
        <f>IMSQRT(INDIRECT(J1291:K1291))</f>
        <v>#REF!</v>
      </c>
      <c r="L1291" s="2">
        <f>TYPE(INDEX(,IMSQRT(OFFSET(INDEX(1,),,))))</f>
        <v>64</v>
      </c>
    </row>
    <row r="1292" spans="1:12" x14ac:dyDescent="0.55000000000000004">
      <c r="A1292" s="1" t="s">
        <v>1831</v>
      </c>
      <c r="B1292" s="2">
        <f>COUNTIF(A:A,A1292)-1</f>
        <v>1</v>
      </c>
      <c r="C1292" s="2">
        <f>COUNTIF(A$1:A1292,A1292)-1</f>
        <v>0</v>
      </c>
      <c r="D1292" s="2" t="str">
        <f t="shared" si="20"/>
        <v/>
      </c>
      <c r="E1292" s="2"/>
      <c r="F1292" s="2"/>
      <c r="H1292" s="2"/>
      <c r="J1292" s="2"/>
      <c r="L1292" s="2"/>
    </row>
    <row r="1293" spans="1:12" x14ac:dyDescent="0.55000000000000004">
      <c r="A1293" s="1" t="s">
        <v>1831</v>
      </c>
      <c r="B1293" s="2">
        <f>COUNTIF(A:A,A1293)-1</f>
        <v>1</v>
      </c>
      <c r="C1293" s="2">
        <f>COUNTIF(A$1:A1293,A1293)-1</f>
        <v>1</v>
      </c>
      <c r="D1293" s="2" t="str">
        <f t="shared" si="20"/>
        <v>vr</v>
      </c>
      <c r="E1293" s="2" t="e">
        <f>IMLN(#REF!)</f>
        <v>#REF!</v>
      </c>
      <c r="F1293" s="2" t="e">
        <f>IMLN(+F1293:G1293)</f>
        <v>#NUM!</v>
      </c>
      <c r="H1293" s="2" t="e">
        <f>IMLN(H1293:I1293)</f>
        <v>#VALUE!</v>
      </c>
      <c r="I1293" s="1">
        <v>1</v>
      </c>
      <c r="J1293" s="2" t="e">
        <f>IMLN(INDIRECT(J1293:K1293))</f>
        <v>#REF!</v>
      </c>
      <c r="L1293" s="2">
        <f>TYPE(INDEX(,IMLN(OFFSET(INDEX(1,),,))))</f>
        <v>64</v>
      </c>
    </row>
    <row r="1294" spans="1:12" x14ac:dyDescent="0.55000000000000004">
      <c r="A1294" s="1" t="s">
        <v>1832</v>
      </c>
      <c r="B1294" s="2">
        <f>COUNTIF(A:A,A1294)-1</f>
        <v>1</v>
      </c>
      <c r="C1294" s="2">
        <f>COUNTIF(A$1:A1294,A1294)-1</f>
        <v>0</v>
      </c>
      <c r="D1294" s="2" t="str">
        <f t="shared" si="20"/>
        <v/>
      </c>
      <c r="E1294" s="2"/>
      <c r="F1294" s="2"/>
      <c r="H1294" s="2"/>
      <c r="J1294" s="2"/>
      <c r="L1294" s="2"/>
    </row>
    <row r="1295" spans="1:12" x14ac:dyDescent="0.55000000000000004">
      <c r="A1295" s="1" t="s">
        <v>1832</v>
      </c>
      <c r="B1295" s="2">
        <f>COUNTIF(A:A,A1295)-1</f>
        <v>1</v>
      </c>
      <c r="C1295" s="2">
        <f>COUNTIF(A$1:A1295,A1295)-1</f>
        <v>1</v>
      </c>
      <c r="D1295" s="2" t="str">
        <f t="shared" si="20"/>
        <v>vr</v>
      </c>
      <c r="E1295" s="2" t="e">
        <f>IMLOG2(#REF!)</f>
        <v>#REF!</v>
      </c>
      <c r="F1295" s="2" t="e">
        <f>IMLOG2(+F1295:G1295)</f>
        <v>#NUM!</v>
      </c>
      <c r="H1295" s="2" t="e">
        <f>IMLOG2(H1295:I1295)</f>
        <v>#VALUE!</v>
      </c>
      <c r="I1295" s="1">
        <v>1</v>
      </c>
      <c r="J1295" s="2" t="e">
        <f>IMLOG2(INDIRECT(J1295:K1295))</f>
        <v>#REF!</v>
      </c>
      <c r="L1295" s="2">
        <f>TYPE(INDEX(,IMLOG2(OFFSET(INDEX(1,),,))))</f>
        <v>64</v>
      </c>
    </row>
    <row r="1296" spans="1:12" x14ac:dyDescent="0.55000000000000004">
      <c r="A1296" s="1" t="s">
        <v>1833</v>
      </c>
      <c r="B1296" s="2">
        <f>COUNTIF(A:A,A1296)-1</f>
        <v>1</v>
      </c>
      <c r="C1296" s="2">
        <f>COUNTIF(A$1:A1296,A1296)-1</f>
        <v>0</v>
      </c>
      <c r="D1296" s="2" t="str">
        <f t="shared" si="20"/>
        <v/>
      </c>
      <c r="E1296" s="2"/>
      <c r="F1296" s="2"/>
      <c r="H1296" s="2"/>
      <c r="J1296" s="2"/>
      <c r="L1296" s="2"/>
    </row>
    <row r="1297" spans="1:12" x14ac:dyDescent="0.55000000000000004">
      <c r="A1297" s="1" t="s">
        <v>1833</v>
      </c>
      <c r="B1297" s="2">
        <f>COUNTIF(A:A,A1297)-1</f>
        <v>1</v>
      </c>
      <c r="C1297" s="2">
        <f>COUNTIF(A$1:A1297,A1297)-1</f>
        <v>1</v>
      </c>
      <c r="D1297" s="2" t="str">
        <f t="shared" si="20"/>
        <v>vr</v>
      </c>
      <c r="E1297" s="2" t="e">
        <f>IMLOG10(#REF!)</f>
        <v>#REF!</v>
      </c>
      <c r="F1297" s="2" t="e">
        <f>IMLOG10(+F1297:G1297)</f>
        <v>#NUM!</v>
      </c>
      <c r="H1297" s="2" t="e">
        <f>IMLOG10(H1297:I1297)</f>
        <v>#VALUE!</v>
      </c>
      <c r="I1297" s="1">
        <v>1</v>
      </c>
      <c r="J1297" s="2" t="e">
        <f>IMLOG10(INDIRECT(J1297:K1297))</f>
        <v>#REF!</v>
      </c>
      <c r="L1297" s="2">
        <f>TYPE(INDEX(,IMLOG10(OFFSET(INDEX(1,),,))))</f>
        <v>64</v>
      </c>
    </row>
    <row r="1298" spans="1:12" x14ac:dyDescent="0.55000000000000004">
      <c r="A1298" s="1" t="s">
        <v>1834</v>
      </c>
      <c r="B1298" s="2">
        <f>COUNTIF(A:A,A1298)-1</f>
        <v>1</v>
      </c>
      <c r="C1298" s="2">
        <f>COUNTIF(A$1:A1298,A1298)-1</f>
        <v>0</v>
      </c>
      <c r="D1298" s="2" t="str">
        <f t="shared" si="20"/>
        <v/>
      </c>
      <c r="E1298" s="2"/>
      <c r="F1298" s="2"/>
      <c r="H1298" s="2"/>
      <c r="J1298" s="2"/>
      <c r="L1298" s="2"/>
    </row>
    <row r="1299" spans="1:12" x14ac:dyDescent="0.55000000000000004">
      <c r="A1299" s="1" t="s">
        <v>1834</v>
      </c>
      <c r="B1299" s="2">
        <f>COUNTIF(A:A,A1299)-1</f>
        <v>1</v>
      </c>
      <c r="C1299" s="2">
        <f>COUNTIF(A$1:A1299,A1299)-1</f>
        <v>1</v>
      </c>
      <c r="D1299" s="2" t="str">
        <f t="shared" si="20"/>
        <v>vr</v>
      </c>
      <c r="E1299" s="2" t="e">
        <f>IMSIN(#REF!)</f>
        <v>#REF!</v>
      </c>
      <c r="F1299" s="2" t="str">
        <f>IMSIN(+F1299:G1299)</f>
        <v>0</v>
      </c>
      <c r="H1299" s="2" t="e">
        <f>IMSIN(H1299:I1299)</f>
        <v>#VALUE!</v>
      </c>
      <c r="I1299" s="1">
        <v>1</v>
      </c>
      <c r="J1299" s="2" t="e">
        <f>IMSIN(INDIRECT(J1299:K1299))</f>
        <v>#REF!</v>
      </c>
      <c r="L1299" s="2">
        <f>TYPE(INDEX(,IMSIN(OFFSET(INDEX(1,),,))))</f>
        <v>64</v>
      </c>
    </row>
    <row r="1300" spans="1:12" x14ac:dyDescent="0.55000000000000004">
      <c r="A1300" s="1" t="s">
        <v>1835</v>
      </c>
      <c r="B1300" s="2">
        <f>COUNTIF(A:A,A1300)-1</f>
        <v>1</v>
      </c>
      <c r="C1300" s="2">
        <f>COUNTIF(A$1:A1300,A1300)-1</f>
        <v>0</v>
      </c>
      <c r="D1300" s="2" t="str">
        <f t="shared" si="20"/>
        <v/>
      </c>
      <c r="E1300" s="2"/>
      <c r="F1300" s="2"/>
      <c r="H1300" s="2"/>
      <c r="J1300" s="2"/>
      <c r="L1300" s="2"/>
    </row>
    <row r="1301" spans="1:12" x14ac:dyDescent="0.55000000000000004">
      <c r="A1301" s="1" t="s">
        <v>1835</v>
      </c>
      <c r="B1301" s="2">
        <f>COUNTIF(A:A,A1301)-1</f>
        <v>1</v>
      </c>
      <c r="C1301" s="2">
        <f>COUNTIF(A$1:A1301,A1301)-1</f>
        <v>1</v>
      </c>
      <c r="D1301" s="2" t="str">
        <f t="shared" si="20"/>
        <v>vr</v>
      </c>
      <c r="E1301" s="2" t="e">
        <f>IMCOS(#REF!)</f>
        <v>#REF!</v>
      </c>
      <c r="F1301" s="2" t="str">
        <f>IMCOS(+F1301:G1301)</f>
        <v>1</v>
      </c>
      <c r="H1301" s="2" t="e">
        <f>IMCOS(H1301:I1301)</f>
        <v>#VALUE!</v>
      </c>
      <c r="I1301" s="1">
        <v>1</v>
      </c>
      <c r="J1301" s="2" t="e">
        <f>IMCOS(INDIRECT(J1301:K1301))</f>
        <v>#REF!</v>
      </c>
      <c r="L1301" s="2">
        <f>TYPE(INDEX(,IMCOS(OFFSET(INDEX(1,),,))))</f>
        <v>64</v>
      </c>
    </row>
    <row r="1302" spans="1:12" x14ac:dyDescent="0.55000000000000004">
      <c r="A1302" s="1" t="s">
        <v>1836</v>
      </c>
      <c r="B1302" s="2">
        <f>COUNTIF(A:A,A1302)-1</f>
        <v>1</v>
      </c>
      <c r="C1302" s="2">
        <f>COUNTIF(A$1:A1302,A1302)-1</f>
        <v>0</v>
      </c>
      <c r="D1302" s="2" t="str">
        <f t="shared" si="20"/>
        <v/>
      </c>
      <c r="E1302" s="2"/>
      <c r="F1302" s="2"/>
      <c r="H1302" s="2"/>
      <c r="J1302" s="2"/>
      <c r="L1302" s="2"/>
    </row>
    <row r="1303" spans="1:12" x14ac:dyDescent="0.55000000000000004">
      <c r="A1303" s="1" t="s">
        <v>1836</v>
      </c>
      <c r="B1303" s="2">
        <f>COUNTIF(A:A,A1303)-1</f>
        <v>1</v>
      </c>
      <c r="C1303" s="2">
        <f>COUNTIF(A$1:A1303,A1303)-1</f>
        <v>1</v>
      </c>
      <c r="D1303" s="2" t="str">
        <f t="shared" si="20"/>
        <v>vr</v>
      </c>
      <c r="E1303" s="2" t="e">
        <f>IMEXP(#REF!)</f>
        <v>#REF!</v>
      </c>
      <c r="F1303" s="2" t="str">
        <f>IMEXP(+F1303:G1303)</f>
        <v>1</v>
      </c>
      <c r="H1303" s="2" t="e">
        <f>IMEXP(H1303:I1303)</f>
        <v>#VALUE!</v>
      </c>
      <c r="I1303" s="1">
        <v>1</v>
      </c>
      <c r="J1303" s="2" t="e">
        <f>IMEXP(INDIRECT(J1303:K1303))</f>
        <v>#REF!</v>
      </c>
      <c r="L1303" s="2">
        <f>TYPE(INDEX(,IMEXP(OFFSET(INDEX(1,),,))))</f>
        <v>64</v>
      </c>
    </row>
    <row r="1304" spans="1:12" x14ac:dyDescent="0.55000000000000004">
      <c r="A1304" s="1" t="s">
        <v>1837</v>
      </c>
      <c r="B1304" s="2">
        <f>COUNTIF(A:A,A1304)-1</f>
        <v>1</v>
      </c>
      <c r="C1304" s="2">
        <f>COUNTIF(A$1:A1304,A1304)-1</f>
        <v>0</v>
      </c>
      <c r="D1304" s="2" t="str">
        <f t="shared" si="20"/>
        <v/>
      </c>
      <c r="E1304" s="2"/>
      <c r="F1304" s="2"/>
      <c r="H1304" s="2"/>
      <c r="J1304" s="2"/>
      <c r="L1304" s="2"/>
    </row>
    <row r="1305" spans="1:12" x14ac:dyDescent="0.55000000000000004">
      <c r="A1305" s="1" t="s">
        <v>1837</v>
      </c>
      <c r="B1305" s="2">
        <f>COUNTIF(A:A,A1305)-1</f>
        <v>1</v>
      </c>
      <c r="C1305" s="2">
        <f>COUNTIF(A$1:A1305,A1305)-1</f>
        <v>1</v>
      </c>
      <c r="D1305" s="2" t="str">
        <f t="shared" si="20"/>
        <v>vr</v>
      </c>
      <c r="E1305" s="2" t="e">
        <f>IMARGUMENT(#REF!)</f>
        <v>#REF!</v>
      </c>
      <c r="F1305" s="2" t="e">
        <f>IMARGUMENT(+F1305:G1305)</f>
        <v>#DIV/0!</v>
      </c>
      <c r="H1305" s="2" t="e">
        <f>IMARGUMENT(H1305:I1305)</f>
        <v>#VALUE!</v>
      </c>
      <c r="I1305" s="1">
        <v>1</v>
      </c>
      <c r="J1305" s="2" t="e">
        <f>IMARGUMENT(INDIRECT(J1305:K1305))</f>
        <v>#REF!</v>
      </c>
      <c r="L1305" s="2">
        <f>TYPE(INDEX(,IMARGUMENT(OFFSET(INDEX(1,),,))))</f>
        <v>64</v>
      </c>
    </row>
    <row r="1306" spans="1:12" x14ac:dyDescent="0.55000000000000004">
      <c r="A1306" s="1" t="s">
        <v>1838</v>
      </c>
      <c r="B1306" s="2">
        <f>COUNTIF(A:A,A1306)-1</f>
        <v>1</v>
      </c>
      <c r="C1306" s="2">
        <f>COUNTIF(A$1:A1306,A1306)-1</f>
        <v>0</v>
      </c>
      <c r="D1306" s="2" t="str">
        <f t="shared" si="20"/>
        <v/>
      </c>
      <c r="E1306" s="2"/>
      <c r="F1306" s="2"/>
      <c r="H1306" s="2"/>
      <c r="J1306" s="2"/>
      <c r="L1306" s="2"/>
    </row>
    <row r="1307" spans="1:12" x14ac:dyDescent="0.55000000000000004">
      <c r="A1307" s="1" t="s">
        <v>1838</v>
      </c>
      <c r="B1307" s="2">
        <f>COUNTIF(A:A,A1307)-1</f>
        <v>1</v>
      </c>
      <c r="C1307" s="2">
        <f>COUNTIF(A$1:A1307,A1307)-1</f>
        <v>1</v>
      </c>
      <c r="D1307" s="2" t="str">
        <f t="shared" si="20"/>
        <v>vr</v>
      </c>
      <c r="E1307" s="2" t="e">
        <f>IMCONJUGATE(#REF!)</f>
        <v>#REF!</v>
      </c>
      <c r="F1307" s="2" t="str">
        <f>IMCONJUGATE(+F1307:G1307)</f>
        <v>0</v>
      </c>
      <c r="H1307" s="2" t="e">
        <f>IMCONJUGATE(H1307:I1307)</f>
        <v>#VALUE!</v>
      </c>
      <c r="I1307" s="1">
        <v>1</v>
      </c>
      <c r="J1307" s="2" t="e">
        <f>IMCONJUGATE(INDIRECT(J1307:K1307))</f>
        <v>#REF!</v>
      </c>
      <c r="L1307" s="2">
        <f>TYPE(INDEX(,IMCONJUGATE(OFFSET(INDEX(1,),,))))</f>
        <v>64</v>
      </c>
    </row>
    <row r="1308" spans="1:12" x14ac:dyDescent="0.55000000000000004">
      <c r="A1308" s="1" t="s">
        <v>1839</v>
      </c>
      <c r="B1308" s="2">
        <f>COUNTIF(A:A,A1308)-1</f>
        <v>1</v>
      </c>
      <c r="C1308" s="2">
        <f>COUNTIF(A$1:A1308,A1308)-1</f>
        <v>0</v>
      </c>
      <c r="D1308" s="2" t="str">
        <f t="shared" si="20"/>
        <v/>
      </c>
      <c r="E1308" s="2"/>
      <c r="F1308" s="2"/>
      <c r="H1308" s="2"/>
      <c r="J1308" s="2"/>
      <c r="L1308" s="2"/>
    </row>
    <row r="1309" spans="1:12" x14ac:dyDescent="0.55000000000000004">
      <c r="A1309" s="1" t="s">
        <v>1839</v>
      </c>
      <c r="B1309" s="2">
        <f>COUNTIF(A:A,A1309)-1</f>
        <v>1</v>
      </c>
      <c r="C1309" s="2">
        <f>COUNTIF(A$1:A1309,A1309)-1</f>
        <v>1</v>
      </c>
      <c r="D1309" s="2" t="str">
        <f t="shared" si="20"/>
        <v>vr</v>
      </c>
      <c r="E1309" s="2" t="e">
        <f>IMAGINARY(#REF!)</f>
        <v>#REF!</v>
      </c>
      <c r="F1309" s="2">
        <f>IMAGINARY(+F1309:G1309)</f>
        <v>0</v>
      </c>
      <c r="H1309" s="2" t="e">
        <f>IMAGINARY(H1309:I1309)</f>
        <v>#VALUE!</v>
      </c>
      <c r="I1309" s="1">
        <v>1</v>
      </c>
      <c r="J1309" s="2" t="e">
        <f>IMAGINARY(INDIRECT(J1309:K1309))</f>
        <v>#REF!</v>
      </c>
      <c r="L1309" s="2">
        <f>TYPE(INDEX(,IMAGINARY(OFFSET(INDEX(1,),,))))</f>
        <v>64</v>
      </c>
    </row>
    <row r="1310" spans="1:12" x14ac:dyDescent="0.55000000000000004">
      <c r="A1310" s="1" t="s">
        <v>1840</v>
      </c>
      <c r="B1310" s="2">
        <f>COUNTIF(A:A,A1310)-1</f>
        <v>1</v>
      </c>
      <c r="C1310" s="2">
        <f>COUNTIF(A$1:A1310,A1310)-1</f>
        <v>0</v>
      </c>
      <c r="D1310" s="2" t="str">
        <f t="shared" si="20"/>
        <v/>
      </c>
      <c r="E1310" s="2"/>
      <c r="F1310" s="2"/>
      <c r="H1310" s="2"/>
      <c r="J1310" s="2"/>
      <c r="L1310" s="2"/>
    </row>
    <row r="1311" spans="1:12" x14ac:dyDescent="0.55000000000000004">
      <c r="A1311" s="1" t="s">
        <v>1840</v>
      </c>
      <c r="B1311" s="2">
        <f>COUNTIF(A:A,A1311)-1</f>
        <v>1</v>
      </c>
      <c r="C1311" s="2">
        <f>COUNTIF(A$1:A1311,A1311)-1</f>
        <v>1</v>
      </c>
      <c r="D1311" s="2" t="str">
        <f t="shared" si="20"/>
        <v>vr</v>
      </c>
      <c r="E1311" s="2" t="e">
        <f>IMREAL(#REF!)</f>
        <v>#REF!</v>
      </c>
      <c r="F1311" s="2">
        <f>IMREAL(+F1311:G1311)</f>
        <v>0</v>
      </c>
      <c r="H1311" s="2" t="e">
        <f>IMREAL(H1311:I1311)</f>
        <v>#VALUE!</v>
      </c>
      <c r="I1311" s="1">
        <v>1</v>
      </c>
      <c r="J1311" s="2" t="e">
        <f>IMREAL(INDIRECT(J1311:K1311))</f>
        <v>#REF!</v>
      </c>
      <c r="L1311" s="2">
        <f>TYPE(INDEX(,IMREAL(OFFSET(INDEX(1,),,))))</f>
        <v>64</v>
      </c>
    </row>
    <row r="1312" spans="1:12" x14ac:dyDescent="0.55000000000000004">
      <c r="A1312" s="1" t="s">
        <v>1841</v>
      </c>
      <c r="B1312" s="2">
        <f>COUNTIF(A:A,A1312)-1</f>
        <v>3</v>
      </c>
      <c r="C1312" s="2">
        <f>COUNTIF(A$1:A1312,A1312)-1</f>
        <v>0</v>
      </c>
      <c r="D1312" s="2" t="str">
        <f t="shared" si="20"/>
        <v/>
      </c>
      <c r="E1312" s="2"/>
      <c r="F1312" s="2"/>
      <c r="H1312" s="2"/>
      <c r="J1312" s="2"/>
      <c r="L1312" s="2"/>
    </row>
    <row r="1313" spans="1:12" x14ac:dyDescent="0.55000000000000004">
      <c r="A1313" s="1" t="s">
        <v>1841</v>
      </c>
      <c r="B1313" s="2">
        <f>COUNTIF(A:A,A1313)-1</f>
        <v>3</v>
      </c>
      <c r="C1313" s="2">
        <f>COUNTIF(A$1:A1313,A1313)-1</f>
        <v>1</v>
      </c>
      <c r="D1313" s="2" t="str">
        <f t="shared" si="20"/>
        <v>vr</v>
      </c>
      <c r="E1313" s="2"/>
      <c r="F1313" s="2" t="e">
        <f>COMPLEX(+F1313:G1313,#REF!,#REF!)</f>
        <v>#REF!</v>
      </c>
      <c r="H1313" s="2" t="e">
        <f>COMPLEX(H1313:I1313,#REF!,#REF!)</f>
        <v>#REF!</v>
      </c>
      <c r="I1313" s="1">
        <v>1</v>
      </c>
      <c r="J1313" s="2" t="e">
        <f>COMPLEX(INDIRECT(J1313:K1313),#REF!,#REF!)</f>
        <v>#REF!</v>
      </c>
      <c r="L1313" s="2">
        <f>TYPE(INDEX(,COMPLEX(OFFSET(INDEX(1,),,),#REF!,#REF!)))</f>
        <v>64</v>
      </c>
    </row>
    <row r="1314" spans="1:12" x14ac:dyDescent="0.55000000000000004">
      <c r="A1314" s="1" t="s">
        <v>1841</v>
      </c>
      <c r="B1314" s="2">
        <f>COUNTIF(A:A,A1314)-1</f>
        <v>3</v>
      </c>
      <c r="C1314" s="2">
        <f>COUNTIF(A$1:A1314,A1314)-1</f>
        <v>2</v>
      </c>
      <c r="D1314" s="2" t="str">
        <f t="shared" si="20"/>
        <v>vr</v>
      </c>
      <c r="E1314" s="2" t="e">
        <f>COMPLEX(#REF!,#REF!)</f>
        <v>#REF!</v>
      </c>
      <c r="F1314" s="2" t="e">
        <f>COMPLEX(#REF!,+F1314:G1314,#REF!)</f>
        <v>#REF!</v>
      </c>
      <c r="H1314" s="2" t="e">
        <f>COMPLEX(#REF!,H1314:I1314,#REF!)</f>
        <v>#REF!</v>
      </c>
      <c r="I1314" s="1">
        <v>1</v>
      </c>
      <c r="J1314" s="2" t="e">
        <f>COMPLEX(#REF!,INDIRECT(J1314:K1314),#REF!)</f>
        <v>#REF!</v>
      </c>
      <c r="L1314" s="2">
        <f>TYPE(INDEX(,COMPLEX(#REF!,OFFSET(INDEX(1,),,),#REF!)))</f>
        <v>64</v>
      </c>
    </row>
    <row r="1315" spans="1:12" x14ac:dyDescent="0.55000000000000004">
      <c r="A1315" s="1" t="s">
        <v>1841</v>
      </c>
      <c r="B1315" s="2">
        <f>COUNTIF(A:A,A1315)-1</f>
        <v>3</v>
      </c>
      <c r="C1315" s="2">
        <f>COUNTIF(A$1:A1315,A1315)-1</f>
        <v>3</v>
      </c>
      <c r="D1315" s="2" t="str">
        <f t="shared" si="20"/>
        <v>vr</v>
      </c>
      <c r="E1315" s="2" t="e">
        <f>COMPLEX(#REF!,#REF!,#REF!)</f>
        <v>#REF!</v>
      </c>
      <c r="F1315" s="2" t="e">
        <f>COMPLEX(#REF!,#REF!,+F1315:G1315)</f>
        <v>#VALUE!</v>
      </c>
      <c r="H1315" s="2" t="e">
        <f>COMPLEX(#REF!,#REF!,H1315:I1315)</f>
        <v>#VALUE!</v>
      </c>
      <c r="I1315" s="1">
        <v>1</v>
      </c>
      <c r="J1315" s="2" t="e">
        <f>COMPLEX(#REF!,#REF!,INDIRECT(J1315:K1315))</f>
        <v>#REF!</v>
      </c>
      <c r="L1315" s="2">
        <f>TYPE(INDEX(,COMPLEX(#REF!,#REF!,OFFSET(INDEX(1,),,))))</f>
        <v>64</v>
      </c>
    </row>
    <row r="1316" spans="1:12" x14ac:dyDescent="0.55000000000000004">
      <c r="A1316" s="1" t="s">
        <v>1842</v>
      </c>
      <c r="B1316" s="2">
        <f>COUNTIF(A:A,A1316)-1</f>
        <v>3</v>
      </c>
      <c r="C1316" s="2">
        <f>COUNTIF(A$1:A1316,A1316)-1</f>
        <v>0</v>
      </c>
      <c r="D1316" s="2" t="str">
        <f t="shared" si="20"/>
        <v/>
      </c>
      <c r="E1316" s="2"/>
      <c r="F1316" s="2"/>
      <c r="H1316" s="2"/>
      <c r="J1316" s="2"/>
      <c r="L1316" s="2"/>
    </row>
    <row r="1317" spans="1:12" x14ac:dyDescent="0.55000000000000004">
      <c r="A1317" s="1" t="s">
        <v>1842</v>
      </c>
      <c r="B1317" s="2">
        <f>COUNTIF(A:A,A1317)-1</f>
        <v>3</v>
      </c>
      <c r="C1317" s="2">
        <f>COUNTIF(A$1:A1317,A1317)-1</f>
        <v>1</v>
      </c>
      <c r="D1317" s="2" t="str">
        <f t="shared" si="20"/>
        <v>var</v>
      </c>
      <c r="E1317" s="2" t="e">
        <f>IMSUM(#REF!)</f>
        <v>#REF!</v>
      </c>
      <c r="F1317" s="2" t="e">
        <f>IMSUM(+F1317:G1317,#REF!,#REF!)</f>
        <v>#REF!</v>
      </c>
      <c r="H1317" s="2" t="e">
        <f>IMSUM(H1317:I1317,#REF!,#REF!)</f>
        <v>#REF!</v>
      </c>
      <c r="I1317" s="1">
        <v>1</v>
      </c>
      <c r="J1317" s="2" t="e">
        <f>IMSUM(INDIRECT(J1317:K1317),#REF!,#REF!)</f>
        <v>#REF!</v>
      </c>
      <c r="L1317" s="2">
        <f>TYPE(INDEX(,IMSUM(OFFSET(INDEX(1,),,),#REF!,#REF!)))</f>
        <v>16</v>
      </c>
    </row>
    <row r="1318" spans="1:12" x14ac:dyDescent="0.55000000000000004">
      <c r="A1318" s="1" t="s">
        <v>1842</v>
      </c>
      <c r="B1318" s="2">
        <f>COUNTIF(A:A,A1318)-1</f>
        <v>3</v>
      </c>
      <c r="C1318" s="2">
        <f>COUNTIF(A$1:A1318,A1318)-1</f>
        <v>2</v>
      </c>
      <c r="D1318" s="2" t="str">
        <f t="shared" si="20"/>
        <v>var</v>
      </c>
      <c r="E1318" s="2" t="e">
        <f>IMSUM(#REF!,#REF!)</f>
        <v>#REF!</v>
      </c>
      <c r="F1318" s="2" t="e">
        <f>IMSUM(#REF!,+F1318:G1318,#REF!)</f>
        <v>#REF!</v>
      </c>
      <c r="H1318" s="2" t="e">
        <f>IMSUM(#REF!,H1318:I1318,#REF!)</f>
        <v>#REF!</v>
      </c>
      <c r="I1318" s="1">
        <v>1</v>
      </c>
      <c r="J1318" s="2" t="e">
        <f>IMSUM(#REF!,INDIRECT(J1318:K1318),#REF!)</f>
        <v>#REF!</v>
      </c>
      <c r="L1318" s="2">
        <f>TYPE(INDEX(,IMSUM(#REF!,OFFSET(INDEX(1,),,),#REF!)))</f>
        <v>16</v>
      </c>
    </row>
    <row r="1319" spans="1:12" x14ac:dyDescent="0.55000000000000004">
      <c r="A1319" s="1" t="s">
        <v>1842</v>
      </c>
      <c r="B1319" s="2">
        <f>COUNTIF(A:A,A1319)-1</f>
        <v>3</v>
      </c>
      <c r="C1319" s="2">
        <f>COUNTIF(A$1:A1319,A1319)-1</f>
        <v>3</v>
      </c>
      <c r="D1319" s="2" t="str">
        <f t="shared" si="20"/>
        <v>var</v>
      </c>
      <c r="E1319" s="2" t="e">
        <f>IMSUM(#REF!,#REF!,#REF!)</f>
        <v>#REF!</v>
      </c>
      <c r="F1319" s="2" t="e">
        <f>IMSUM(#REF!,#REF!,+F1319:G1319)</f>
        <v>#REF!</v>
      </c>
      <c r="H1319" s="2" t="e">
        <f>IMSUM(#REF!,#REF!,H1319:I1319)</f>
        <v>#REF!</v>
      </c>
      <c r="I1319" s="1">
        <v>1</v>
      </c>
      <c r="J1319" s="2" t="e">
        <f>IMSUM(#REF!,#REF!,INDIRECT(J1319:K1319))</f>
        <v>#REF!</v>
      </c>
      <c r="L1319" s="2">
        <f>TYPE(INDEX(,IMSUM(#REF!,#REF!,OFFSET(INDEX(1,),,))))</f>
        <v>16</v>
      </c>
    </row>
    <row r="1320" spans="1:12" x14ac:dyDescent="0.55000000000000004">
      <c r="A1320" s="1" t="s">
        <v>1843</v>
      </c>
      <c r="B1320" s="2">
        <f>COUNTIF(A:A,A1320)-1</f>
        <v>3</v>
      </c>
      <c r="C1320" s="2">
        <f>COUNTIF(A$1:A1320,A1320)-1</f>
        <v>0</v>
      </c>
      <c r="D1320" s="2" t="str">
        <f t="shared" si="20"/>
        <v/>
      </c>
      <c r="E1320" s="2"/>
      <c r="F1320" s="2"/>
      <c r="H1320" s="2"/>
      <c r="J1320" s="2"/>
      <c r="L1320" s="2"/>
    </row>
    <row r="1321" spans="1:12" x14ac:dyDescent="0.55000000000000004">
      <c r="A1321" s="1" t="s">
        <v>1843</v>
      </c>
      <c r="B1321" s="2">
        <f>COUNTIF(A:A,A1321)-1</f>
        <v>3</v>
      </c>
      <c r="C1321" s="2">
        <f>COUNTIF(A$1:A1321,A1321)-1</f>
        <v>1</v>
      </c>
      <c r="D1321" s="2" t="str">
        <f t="shared" si="20"/>
        <v>var</v>
      </c>
      <c r="E1321" s="2" t="e">
        <f>IMPRODUCT(#REF!)</f>
        <v>#REF!</v>
      </c>
      <c r="F1321" s="2" t="e">
        <f>IMPRODUCT(+F1321:G1321,#REF!,#REF!)</f>
        <v>#REF!</v>
      </c>
      <c r="H1321" s="2" t="e">
        <f>IMPRODUCT(H1321:I1321,#REF!,#REF!)</f>
        <v>#REF!</v>
      </c>
      <c r="I1321" s="1">
        <v>1</v>
      </c>
      <c r="J1321" s="2" t="e">
        <f>IMPRODUCT(INDIRECT(J1321:K1321),#REF!,#REF!)</f>
        <v>#REF!</v>
      </c>
      <c r="L1321" s="2">
        <f>TYPE(INDEX(,IMPRODUCT(OFFSET(INDEX(1,),,),#REF!,#REF!)))</f>
        <v>16</v>
      </c>
    </row>
    <row r="1322" spans="1:12" x14ac:dyDescent="0.55000000000000004">
      <c r="A1322" s="1" t="s">
        <v>1843</v>
      </c>
      <c r="B1322" s="2">
        <f>COUNTIF(A:A,A1322)-1</f>
        <v>3</v>
      </c>
      <c r="C1322" s="2">
        <f>COUNTIF(A$1:A1322,A1322)-1</f>
        <v>2</v>
      </c>
      <c r="D1322" s="2" t="str">
        <f t="shared" si="20"/>
        <v>var</v>
      </c>
      <c r="E1322" s="2" t="e">
        <f>IMPRODUCT(#REF!,#REF!)</f>
        <v>#REF!</v>
      </c>
      <c r="F1322" s="2" t="e">
        <f>IMPRODUCT(#REF!,+F1322:G1322,#REF!)</f>
        <v>#REF!</v>
      </c>
      <c r="H1322" s="2" t="e">
        <f>IMPRODUCT(#REF!,H1322:I1322,#REF!)</f>
        <v>#REF!</v>
      </c>
      <c r="I1322" s="1">
        <v>1</v>
      </c>
      <c r="J1322" s="2" t="e">
        <f>IMPRODUCT(#REF!,INDIRECT(J1322:K1322),#REF!)</f>
        <v>#REF!</v>
      </c>
      <c r="L1322" s="2">
        <f>TYPE(INDEX(,IMPRODUCT(#REF!,OFFSET(INDEX(1,),,),#REF!)))</f>
        <v>16</v>
      </c>
    </row>
    <row r="1323" spans="1:12" x14ac:dyDescent="0.55000000000000004">
      <c r="A1323" s="1" t="s">
        <v>1843</v>
      </c>
      <c r="B1323" s="2">
        <f>COUNTIF(A:A,A1323)-1</f>
        <v>3</v>
      </c>
      <c r="C1323" s="2">
        <f>COUNTIF(A$1:A1323,A1323)-1</f>
        <v>3</v>
      </c>
      <c r="D1323" s="2" t="str">
        <f t="shared" si="20"/>
        <v>var</v>
      </c>
      <c r="E1323" s="2" t="e">
        <f>IMPRODUCT(#REF!,#REF!,#REF!)</f>
        <v>#REF!</v>
      </c>
      <c r="F1323" s="2" t="e">
        <f>IMPRODUCT(#REF!,#REF!,+F1323:G1323)</f>
        <v>#REF!</v>
      </c>
      <c r="H1323" s="2" t="e">
        <f>IMPRODUCT(#REF!,#REF!,H1323:I1323)</f>
        <v>#REF!</v>
      </c>
      <c r="I1323" s="1">
        <v>1</v>
      </c>
      <c r="J1323" s="2" t="e">
        <f>IMPRODUCT(#REF!,#REF!,INDIRECT(J1323:K1323))</f>
        <v>#REF!</v>
      </c>
      <c r="L1323" s="2">
        <f>TYPE(INDEX(,IMPRODUCT(#REF!,#REF!,OFFSET(INDEX(1,),,))))</f>
        <v>16</v>
      </c>
    </row>
    <row r="1324" spans="1:12" x14ac:dyDescent="0.55000000000000004">
      <c r="A1324" s="1" t="s">
        <v>1844</v>
      </c>
      <c r="B1324" s="2">
        <f>COUNTIF(A:A,A1324)-1</f>
        <v>4</v>
      </c>
      <c r="C1324" s="2">
        <f>COUNTIF(A$1:A1324,A1324)-1</f>
        <v>0</v>
      </c>
      <c r="D1324" s="2" t="str">
        <f t="shared" si="20"/>
        <v/>
      </c>
      <c r="E1324" s="2"/>
      <c r="F1324" s="2"/>
      <c r="H1324" s="2"/>
      <c r="J1324" s="2"/>
      <c r="L1324" s="2"/>
    </row>
    <row r="1325" spans="1:12" x14ac:dyDescent="0.55000000000000004">
      <c r="A1325" s="1" t="s">
        <v>1844</v>
      </c>
      <c r="B1325" s="2">
        <f>COUNTIF(A:A,A1325)-1</f>
        <v>4</v>
      </c>
      <c r="C1325" s="2">
        <f>COUNTIF(A$1:A1325,A1325)-1</f>
        <v>1</v>
      </c>
      <c r="D1325" s="2" t="str">
        <f t="shared" si="20"/>
        <v>vr</v>
      </c>
      <c r="E1325" s="2"/>
      <c r="F1325" s="2" t="e">
        <f>SERIESSUM(+F1325:G1325,#REF!,#REF!,#REF!)</f>
        <v>#REF!</v>
      </c>
      <c r="H1325" s="2" t="e">
        <f>SERIESSUM(H1325:I1325,#REF!,#REF!,#REF!)</f>
        <v>#VALUE!</v>
      </c>
      <c r="I1325" s="1">
        <v>1</v>
      </c>
      <c r="J1325" s="2" t="e">
        <f>SERIESSUM(INDIRECT(J1325:K1325),#REF!,#REF!,#REF!)</f>
        <v>#REF!</v>
      </c>
      <c r="L1325" s="2">
        <f>TYPE(INDEX(,SERIESSUM(OFFSET(INDEX(1,),,),#REF!,#REF!,#REF!)))</f>
        <v>64</v>
      </c>
    </row>
    <row r="1326" spans="1:12" x14ac:dyDescent="0.55000000000000004">
      <c r="A1326" s="1" t="s">
        <v>1844</v>
      </c>
      <c r="B1326" s="2">
        <f>COUNTIF(A:A,A1326)-1</f>
        <v>4</v>
      </c>
      <c r="C1326" s="2">
        <f>COUNTIF(A$1:A1326,A1326)-1</f>
        <v>2</v>
      </c>
      <c r="D1326" s="2" t="str">
        <f t="shared" si="20"/>
        <v>vr</v>
      </c>
      <c r="E1326" s="2"/>
      <c r="F1326" s="2" t="e">
        <f>SERIESSUM(#REF!,+F1326:G1326,#REF!,#REF!)</f>
        <v>#REF!</v>
      </c>
      <c r="H1326" s="2" t="e">
        <f>SERIESSUM(#REF!,H1326:I1326,#REF!,#REF!)</f>
        <v>#REF!</v>
      </c>
      <c r="I1326" s="1">
        <v>1</v>
      </c>
      <c r="J1326" s="2" t="e">
        <f>SERIESSUM(#REF!,INDIRECT(J1326:K1326),#REF!,#REF!)</f>
        <v>#REF!</v>
      </c>
      <c r="L1326" s="2">
        <f>TYPE(INDEX(,SERIESSUM(#REF!,OFFSET(INDEX(1,),,),#REF!,#REF!)))</f>
        <v>64</v>
      </c>
    </row>
    <row r="1327" spans="1:12" x14ac:dyDescent="0.55000000000000004">
      <c r="A1327" s="1" t="s">
        <v>1844</v>
      </c>
      <c r="B1327" s="2">
        <f>COUNTIF(A:A,A1327)-1</f>
        <v>4</v>
      </c>
      <c r="C1327" s="2">
        <f>COUNTIF(A$1:A1327,A1327)-1</f>
        <v>3</v>
      </c>
      <c r="D1327" s="2" t="str">
        <f t="shared" si="20"/>
        <v>vr</v>
      </c>
      <c r="E1327" s="2"/>
      <c r="F1327" s="2" t="e">
        <f>SERIESSUM(#REF!,#REF!,+F1327:G1327,#REF!)</f>
        <v>#REF!</v>
      </c>
      <c r="H1327" s="2" t="e">
        <f>SERIESSUM(#REF!,#REF!,H1327:I1327,#REF!)</f>
        <v>#REF!</v>
      </c>
      <c r="I1327" s="1">
        <v>1</v>
      </c>
      <c r="J1327" s="2" t="e">
        <f>SERIESSUM(#REF!,#REF!,INDIRECT(J1327:K1327),#REF!)</f>
        <v>#REF!</v>
      </c>
      <c r="L1327" s="2">
        <f>TYPE(INDEX(,SERIESSUM(#REF!,#REF!,OFFSET(INDEX(1,),,),#REF!)))</f>
        <v>64</v>
      </c>
    </row>
    <row r="1328" spans="1:12" x14ac:dyDescent="0.55000000000000004">
      <c r="A1328" s="1" t="s">
        <v>1844</v>
      </c>
      <c r="B1328" s="2">
        <f>COUNTIF(A:A,A1328)-1</f>
        <v>4</v>
      </c>
      <c r="C1328" s="2">
        <f>COUNTIF(A$1:A1328,A1328)-1</f>
        <v>4</v>
      </c>
      <c r="D1328" s="2" t="str">
        <f t="shared" si="20"/>
        <v>var</v>
      </c>
      <c r="E1328" s="2" t="e">
        <f>SERIESSUM(#REF!,#REF!,#REF!,#REF!)</f>
        <v>#REF!</v>
      </c>
      <c r="F1328" s="2" t="e">
        <f>SERIESSUM(#REF!,#REF!,#REF!,+F1328:G1328)</f>
        <v>#REF!</v>
      </c>
      <c r="H1328" s="2" t="e">
        <f>SERIESSUM(#REF!,#REF!,#REF!,H1328:I1328)</f>
        <v>#REF!</v>
      </c>
      <c r="I1328" s="1">
        <v>1</v>
      </c>
      <c r="J1328" s="2" t="e">
        <f>SERIESSUM(#REF!,#REF!,#REF!,INDIRECT(J1328:K1328))</f>
        <v>#REF!</v>
      </c>
      <c r="L1328" s="2">
        <f>TYPE(INDEX(,SERIESSUM(#REF!,#REF!,#REF!,OFFSET(INDEX(1,),,))))</f>
        <v>16</v>
      </c>
    </row>
    <row r="1329" spans="1:12" x14ac:dyDescent="0.55000000000000004">
      <c r="A1329" s="1" t="s">
        <v>1845</v>
      </c>
      <c r="B1329" s="2">
        <f>COUNTIF(A:A,A1329)-1</f>
        <v>1</v>
      </c>
      <c r="C1329" s="2">
        <f>COUNTIF(A$1:A1329,A1329)-1</f>
        <v>0</v>
      </c>
      <c r="D1329" s="2" t="str">
        <f t="shared" si="20"/>
        <v/>
      </c>
      <c r="E1329" s="2"/>
      <c r="F1329" s="2"/>
      <c r="H1329" s="2"/>
      <c r="J1329" s="2"/>
      <c r="L1329" s="2"/>
    </row>
    <row r="1330" spans="1:12" x14ac:dyDescent="0.55000000000000004">
      <c r="A1330" s="1" t="s">
        <v>1845</v>
      </c>
      <c r="B1330" s="2">
        <f>COUNTIF(A:A,A1330)-1</f>
        <v>1</v>
      </c>
      <c r="C1330" s="2">
        <f>COUNTIF(A$1:A1330,A1330)-1</f>
        <v>1</v>
      </c>
      <c r="D1330" s="2" t="str">
        <f t="shared" si="20"/>
        <v>vr</v>
      </c>
      <c r="E1330" s="2" t="e">
        <f>FACTDOUBLE(#REF!)</f>
        <v>#REF!</v>
      </c>
      <c r="F1330" s="2">
        <f>FACTDOUBLE(+F1330:G1330)</f>
        <v>1</v>
      </c>
      <c r="H1330" s="2" t="e">
        <f>FACTDOUBLE(H1330:I1330)</f>
        <v>#VALUE!</v>
      </c>
      <c r="I1330" s="1">
        <v>1</v>
      </c>
      <c r="J1330" s="2" t="e">
        <f>FACTDOUBLE(INDIRECT(J1330:K1330))</f>
        <v>#REF!</v>
      </c>
      <c r="L1330" s="2">
        <f>TYPE(INDEX(,FACTDOUBLE(OFFSET(INDEX(1,),,))))</f>
        <v>64</v>
      </c>
    </row>
    <row r="1331" spans="1:12" x14ac:dyDescent="0.55000000000000004">
      <c r="A1331" s="1" t="s">
        <v>1846</v>
      </c>
      <c r="B1331" s="2">
        <f>COUNTIF(A:A,A1331)-1</f>
        <v>1</v>
      </c>
      <c r="C1331" s="2">
        <f>COUNTIF(A$1:A1331,A1331)-1</f>
        <v>0</v>
      </c>
      <c r="D1331" s="2" t="str">
        <f t="shared" si="20"/>
        <v/>
      </c>
      <c r="E1331" s="2"/>
      <c r="F1331" s="2"/>
      <c r="H1331" s="2"/>
      <c r="J1331" s="2"/>
      <c r="L1331" s="2"/>
    </row>
    <row r="1332" spans="1:12" x14ac:dyDescent="0.55000000000000004">
      <c r="A1332" s="1" t="s">
        <v>1846</v>
      </c>
      <c r="B1332" s="2">
        <f>COUNTIF(A:A,A1332)-1</f>
        <v>1</v>
      </c>
      <c r="C1332" s="2">
        <f>COUNTIF(A$1:A1332,A1332)-1</f>
        <v>1</v>
      </c>
      <c r="D1332" s="2" t="str">
        <f t="shared" si="20"/>
        <v>vr</v>
      </c>
      <c r="E1332" s="2" t="e">
        <f>SQRTPI(#REF!)</f>
        <v>#REF!</v>
      </c>
      <c r="F1332" s="2">
        <f>SQRTPI(+F1332:G1332)</f>
        <v>0</v>
      </c>
      <c r="H1332" s="2" t="e">
        <f>SQRTPI(H1332:I1332)</f>
        <v>#VALUE!</v>
      </c>
      <c r="I1332" s="1">
        <v>1</v>
      </c>
      <c r="J1332" s="2" t="e">
        <f>SQRTPI(INDIRECT(J1332:K1332))</f>
        <v>#REF!</v>
      </c>
      <c r="L1332" s="2">
        <f>TYPE(INDEX(,SQRTPI(OFFSET(INDEX(1,),,))))</f>
        <v>64</v>
      </c>
    </row>
    <row r="1333" spans="1:12" x14ac:dyDescent="0.55000000000000004">
      <c r="A1333" s="1" t="s">
        <v>1847</v>
      </c>
      <c r="B1333" s="2">
        <f>COUNTIF(A:A,A1333)-1</f>
        <v>2</v>
      </c>
      <c r="C1333" s="2">
        <f>COUNTIF(A$1:A1333,A1333)-1</f>
        <v>0</v>
      </c>
      <c r="D1333" s="2" t="str">
        <f t="shared" si="20"/>
        <v/>
      </c>
      <c r="E1333" s="2"/>
      <c r="F1333" s="2"/>
      <c r="H1333" s="2"/>
      <c r="J1333" s="2"/>
      <c r="L1333" s="2"/>
    </row>
    <row r="1334" spans="1:12" x14ac:dyDescent="0.55000000000000004">
      <c r="A1334" s="1" t="s">
        <v>1847</v>
      </c>
      <c r="B1334" s="2">
        <f>COUNTIF(A:A,A1334)-1</f>
        <v>2</v>
      </c>
      <c r="C1334" s="2">
        <f>COUNTIF(A$1:A1334,A1334)-1</f>
        <v>1</v>
      </c>
      <c r="D1334" s="2" t="str">
        <f t="shared" si="20"/>
        <v>vr</v>
      </c>
      <c r="E1334" s="2"/>
      <c r="F1334" s="2" t="e">
        <f>QUOTIENT(+F1334:G1334,#REF!)</f>
        <v>#REF!</v>
      </c>
      <c r="H1334" s="2" t="e">
        <f>QUOTIENT(H1334:I1334,#REF!)</f>
        <v>#VALUE!</v>
      </c>
      <c r="I1334" s="1">
        <v>1</v>
      </c>
      <c r="J1334" s="2" t="e">
        <f>QUOTIENT(INDIRECT(J1334:K1334),#REF!)</f>
        <v>#REF!</v>
      </c>
      <c r="L1334" s="2">
        <f>TYPE(INDEX(,QUOTIENT(OFFSET(INDEX(1,),,),#REF!)))</f>
        <v>64</v>
      </c>
    </row>
    <row r="1335" spans="1:12" x14ac:dyDescent="0.55000000000000004">
      <c r="A1335" s="1" t="s">
        <v>1847</v>
      </c>
      <c r="B1335" s="2">
        <f>COUNTIF(A:A,A1335)-1</f>
        <v>2</v>
      </c>
      <c r="C1335" s="2">
        <f>COUNTIF(A$1:A1335,A1335)-1</f>
        <v>2</v>
      </c>
      <c r="D1335" s="2" t="str">
        <f t="shared" si="20"/>
        <v>vr</v>
      </c>
      <c r="E1335" s="2" t="e">
        <f>QUOTIENT(#REF!,#REF!)</f>
        <v>#REF!</v>
      </c>
      <c r="F1335" s="2" t="e">
        <f>QUOTIENT(#REF!,+F1335:G1335)</f>
        <v>#REF!</v>
      </c>
      <c r="H1335" s="2" t="e">
        <f>QUOTIENT(#REF!,H1335:I1335)</f>
        <v>#REF!</v>
      </c>
      <c r="I1335" s="1">
        <v>1</v>
      </c>
      <c r="J1335" s="2" t="e">
        <f>QUOTIENT(#REF!,INDIRECT(J1335:K1335))</f>
        <v>#REF!</v>
      </c>
      <c r="L1335" s="2">
        <f>TYPE(INDEX(,QUOTIENT(#REF!,OFFSET(INDEX(1,),,))))</f>
        <v>64</v>
      </c>
    </row>
    <row r="1336" spans="1:12" x14ac:dyDescent="0.55000000000000004">
      <c r="A1336" s="1" t="s">
        <v>1848</v>
      </c>
      <c r="B1336" s="2">
        <f>COUNTIF(A:A,A1336)-1</f>
        <v>2</v>
      </c>
      <c r="C1336" s="2">
        <f>COUNTIF(A$1:A1336,A1336)-1</f>
        <v>0</v>
      </c>
      <c r="D1336" s="2" t="str">
        <f t="shared" si="20"/>
        <v/>
      </c>
      <c r="E1336" s="2"/>
      <c r="F1336" s="2"/>
      <c r="H1336" s="2"/>
      <c r="J1336" s="2"/>
      <c r="L1336" s="2"/>
    </row>
    <row r="1337" spans="1:12" x14ac:dyDescent="0.55000000000000004">
      <c r="A1337" s="1" t="s">
        <v>1848</v>
      </c>
      <c r="B1337" s="2">
        <f>COUNTIF(A:A,A1337)-1</f>
        <v>2</v>
      </c>
      <c r="C1337" s="2">
        <f>COUNTIF(A$1:A1337,A1337)-1</f>
        <v>1</v>
      </c>
      <c r="D1337" s="2" t="str">
        <f t="shared" si="20"/>
        <v>vr</v>
      </c>
      <c r="E1337" s="2" t="e">
        <f>DELTA(#REF!)</f>
        <v>#REF!</v>
      </c>
      <c r="F1337" s="2" t="e">
        <f>DELTA(+F1337:G1337,#REF!)</f>
        <v>#REF!</v>
      </c>
      <c r="H1337" s="2" t="e">
        <f>DELTA(H1337:I1337,#REF!)</f>
        <v>#REF!</v>
      </c>
      <c r="I1337" s="1">
        <v>1</v>
      </c>
      <c r="J1337" s="2" t="e">
        <f>DELTA(INDIRECT(J1337:K1337),#REF!)</f>
        <v>#REF!</v>
      </c>
      <c r="L1337" s="2">
        <f>TYPE(INDEX(,DELTA(OFFSET(INDEX(1,),,),#REF!)))</f>
        <v>64</v>
      </c>
    </row>
    <row r="1338" spans="1:12" x14ac:dyDescent="0.55000000000000004">
      <c r="A1338" s="1" t="s">
        <v>1848</v>
      </c>
      <c r="B1338" s="2">
        <f>COUNTIF(A:A,A1338)-1</f>
        <v>2</v>
      </c>
      <c r="C1338" s="2">
        <f>COUNTIF(A$1:A1338,A1338)-1</f>
        <v>2</v>
      </c>
      <c r="D1338" s="2" t="str">
        <f t="shared" si="20"/>
        <v>vr</v>
      </c>
      <c r="E1338" s="2" t="e">
        <f>DELTA(#REF!,#REF!)</f>
        <v>#REF!</v>
      </c>
      <c r="F1338" s="2" t="e">
        <f>DELTA(#REF!,+F1338:G1338)</f>
        <v>#REF!</v>
      </c>
      <c r="H1338" s="2" t="e">
        <f>DELTA(#REF!,H1338:I1338)</f>
        <v>#VALUE!</v>
      </c>
      <c r="I1338" s="1">
        <v>1</v>
      </c>
      <c r="J1338" s="2" t="e">
        <f>DELTA(#REF!,INDIRECT(J1338:K1338))</f>
        <v>#REF!</v>
      </c>
      <c r="L1338" s="2">
        <f>TYPE(INDEX(,DELTA(#REF!,OFFSET(INDEX(1,),,))))</f>
        <v>64</v>
      </c>
    </row>
    <row r="1339" spans="1:12" x14ac:dyDescent="0.55000000000000004">
      <c r="A1339" s="1" t="s">
        <v>1849</v>
      </c>
      <c r="B1339" s="2">
        <f>COUNTIF(A:A,A1339)-1</f>
        <v>2</v>
      </c>
      <c r="C1339" s="2">
        <f>COUNTIF(A$1:A1339,A1339)-1</f>
        <v>0</v>
      </c>
      <c r="D1339" s="2" t="str">
        <f t="shared" si="20"/>
        <v/>
      </c>
      <c r="E1339" s="2"/>
      <c r="F1339" s="2"/>
      <c r="H1339" s="2"/>
      <c r="J1339" s="2"/>
      <c r="L1339" s="2"/>
    </row>
    <row r="1340" spans="1:12" x14ac:dyDescent="0.55000000000000004">
      <c r="A1340" s="1" t="s">
        <v>1849</v>
      </c>
      <c r="B1340" s="2">
        <f>COUNTIF(A:A,A1340)-1</f>
        <v>2</v>
      </c>
      <c r="C1340" s="2">
        <f>COUNTIF(A$1:A1340,A1340)-1</f>
        <v>1</v>
      </c>
      <c r="D1340" s="2" t="str">
        <f t="shared" si="20"/>
        <v>vr</v>
      </c>
      <c r="E1340" s="2" t="e">
        <f>GESTEP(#REF!)</f>
        <v>#REF!</v>
      </c>
      <c r="F1340" s="2" t="e">
        <f>GESTEP(+F1340:G1340,#REF!)</f>
        <v>#REF!</v>
      </c>
      <c r="H1340" s="2" t="e">
        <f>GESTEP(H1340:I1340,#REF!)</f>
        <v>#REF!</v>
      </c>
      <c r="I1340" s="1">
        <v>1</v>
      </c>
      <c r="J1340" s="2" t="e">
        <f>GESTEP(INDIRECT(J1340:K1340),#REF!)</f>
        <v>#REF!</v>
      </c>
      <c r="L1340" s="2">
        <f>TYPE(INDEX(,GESTEP(OFFSET(INDEX(1,),,),#REF!)))</f>
        <v>64</v>
      </c>
    </row>
    <row r="1341" spans="1:12" x14ac:dyDescent="0.55000000000000004">
      <c r="A1341" s="1" t="s">
        <v>1849</v>
      </c>
      <c r="B1341" s="2">
        <f>COUNTIF(A:A,A1341)-1</f>
        <v>2</v>
      </c>
      <c r="C1341" s="2">
        <f>COUNTIF(A$1:A1341,A1341)-1</f>
        <v>2</v>
      </c>
      <c r="D1341" s="2" t="str">
        <f t="shared" si="20"/>
        <v>vr</v>
      </c>
      <c r="E1341" s="2" t="e">
        <f>GESTEP(#REF!,#REF!)</f>
        <v>#REF!</v>
      </c>
      <c r="F1341" s="2" t="e">
        <f>GESTEP(#REF!,+F1341:G1341)</f>
        <v>#REF!</v>
      </c>
      <c r="H1341" s="2" t="e">
        <f>GESTEP(#REF!,H1341:I1341)</f>
        <v>#VALUE!</v>
      </c>
      <c r="I1341" s="1">
        <v>1</v>
      </c>
      <c r="J1341" s="2" t="e">
        <f>GESTEP(#REF!,INDIRECT(J1341:K1341))</f>
        <v>#REF!</v>
      </c>
      <c r="L1341" s="2">
        <f>TYPE(INDEX(,GESTEP(#REF!,OFFSET(INDEX(1,),,))))</f>
        <v>64</v>
      </c>
    </row>
    <row r="1342" spans="1:12" x14ac:dyDescent="0.55000000000000004">
      <c r="A1342" s="1" t="s">
        <v>1850</v>
      </c>
      <c r="B1342" s="2">
        <f>COUNTIF(A:A,A1342)-1</f>
        <v>1</v>
      </c>
      <c r="C1342" s="2">
        <f>COUNTIF(A$1:A1342,A1342)-1</f>
        <v>0</v>
      </c>
      <c r="D1342" s="2" t="str">
        <f t="shared" si="20"/>
        <v/>
      </c>
      <c r="E1342" s="2"/>
      <c r="F1342" s="2"/>
      <c r="H1342" s="2"/>
      <c r="J1342" s="2"/>
      <c r="L1342" s="2"/>
    </row>
    <row r="1343" spans="1:12" x14ac:dyDescent="0.55000000000000004">
      <c r="A1343" s="1" t="s">
        <v>1850</v>
      </c>
      <c r="B1343" s="2">
        <f>COUNTIF(A:A,A1343)-1</f>
        <v>1</v>
      </c>
      <c r="C1343" s="2">
        <f>COUNTIF(A$1:A1343,A1343)-1</f>
        <v>1</v>
      </c>
      <c r="D1343" s="2" t="str">
        <f t="shared" si="20"/>
        <v>vr</v>
      </c>
      <c r="E1343" s="2" t="e">
        <f>ISEVEN(#REF!)</f>
        <v>#REF!</v>
      </c>
      <c r="F1343" s="2" t="b">
        <f>ISEVEN(+F1343:G1343)</f>
        <v>1</v>
      </c>
      <c r="H1343" s="2" t="e">
        <f>ISEVEN(H1343:I1343)</f>
        <v>#VALUE!</v>
      </c>
      <c r="I1343" s="1">
        <v>1</v>
      </c>
      <c r="J1343" s="2" t="e">
        <f>ISEVEN(INDIRECT(J1343:K1343))</f>
        <v>#REF!</v>
      </c>
      <c r="L1343" s="2">
        <f>TYPE(INDEX(,ISEVEN(OFFSET(INDEX(1,),,))))</f>
        <v>64</v>
      </c>
    </row>
    <row r="1344" spans="1:12" x14ac:dyDescent="0.55000000000000004">
      <c r="A1344" s="1" t="s">
        <v>1851</v>
      </c>
      <c r="B1344" s="2">
        <f>COUNTIF(A:A,A1344)-1</f>
        <v>1</v>
      </c>
      <c r="C1344" s="2">
        <f>COUNTIF(A$1:A1344,A1344)-1</f>
        <v>0</v>
      </c>
      <c r="D1344" s="2" t="str">
        <f t="shared" si="20"/>
        <v/>
      </c>
      <c r="E1344" s="2"/>
      <c r="F1344" s="2"/>
      <c r="H1344" s="2"/>
      <c r="J1344" s="2"/>
      <c r="L1344" s="2"/>
    </row>
    <row r="1345" spans="1:12" x14ac:dyDescent="0.55000000000000004">
      <c r="A1345" s="1" t="s">
        <v>1851</v>
      </c>
      <c r="B1345" s="2">
        <f>COUNTIF(A:A,A1345)-1</f>
        <v>1</v>
      </c>
      <c r="C1345" s="2">
        <f>COUNTIF(A$1:A1345,A1345)-1</f>
        <v>1</v>
      </c>
      <c r="D1345" s="2" t="str">
        <f t="shared" si="20"/>
        <v>vr</v>
      </c>
      <c r="E1345" s="2" t="e">
        <f>ISODD(#REF!)</f>
        <v>#REF!</v>
      </c>
      <c r="F1345" s="2" t="b">
        <f>ISODD(+F1345:G1345)</f>
        <v>0</v>
      </c>
      <c r="H1345" s="2" t="e">
        <f>ISODD(H1345:I1345)</f>
        <v>#VALUE!</v>
      </c>
      <c r="I1345" s="1">
        <v>1</v>
      </c>
      <c r="J1345" s="2" t="e">
        <f>ISODD(INDIRECT(J1345:K1345))</f>
        <v>#REF!</v>
      </c>
      <c r="L1345" s="2">
        <f>TYPE(INDEX(,ISODD(OFFSET(INDEX(1,),,))))</f>
        <v>64</v>
      </c>
    </row>
    <row r="1346" spans="1:12" x14ac:dyDescent="0.55000000000000004">
      <c r="A1346" s="1" t="s">
        <v>1852</v>
      </c>
      <c r="B1346" s="2">
        <f>COUNTIF(A:A,A1346)-1</f>
        <v>2</v>
      </c>
      <c r="C1346" s="2">
        <f>COUNTIF(A$1:A1346,A1346)-1</f>
        <v>0</v>
      </c>
      <c r="D1346" s="2" t="str">
        <f t="shared" ref="D1346:D1409" si="21">IF(C1346&gt;0,IF(COUNTA(F1346:G1346)=1,"v",)&amp;IF(L1346=64,,"a")&amp;IF(COUNTA(I1346,K1346)=1,"r",),"")</f>
        <v/>
      </c>
      <c r="E1346" s="2"/>
      <c r="F1346" s="2"/>
      <c r="H1346" s="2"/>
      <c r="J1346" s="2"/>
      <c r="L1346" s="2"/>
    </row>
    <row r="1347" spans="1:12" x14ac:dyDescent="0.55000000000000004">
      <c r="A1347" s="1" t="s">
        <v>1852</v>
      </c>
      <c r="B1347" s="2">
        <f>COUNTIF(A:A,A1347)-1</f>
        <v>2</v>
      </c>
      <c r="C1347" s="2">
        <f>COUNTIF(A$1:A1347,A1347)-1</f>
        <v>1</v>
      </c>
      <c r="D1347" s="2" t="str">
        <f t="shared" si="21"/>
        <v>vr</v>
      </c>
      <c r="E1347" s="2"/>
      <c r="F1347" s="2" t="e">
        <f>MROUND(+F1347:G1347,#REF!)</f>
        <v>#REF!</v>
      </c>
      <c r="H1347" s="2" t="e">
        <f>MROUND(H1347:I1347,#REF!)</f>
        <v>#VALUE!</v>
      </c>
      <c r="I1347" s="1">
        <v>1</v>
      </c>
      <c r="J1347" s="2" t="e">
        <f>MROUND(INDIRECT(J1347:K1347),#REF!)</f>
        <v>#REF!</v>
      </c>
      <c r="L1347" s="2">
        <f>TYPE(INDEX(,MROUND(OFFSET(INDEX(1,),,),#REF!)))</f>
        <v>64</v>
      </c>
    </row>
    <row r="1348" spans="1:12" x14ac:dyDescent="0.55000000000000004">
      <c r="A1348" s="1" t="s">
        <v>1852</v>
      </c>
      <c r="B1348" s="2">
        <f>COUNTIF(A:A,A1348)-1</f>
        <v>2</v>
      </c>
      <c r="C1348" s="2">
        <f>COUNTIF(A$1:A1348,A1348)-1</f>
        <v>2</v>
      </c>
      <c r="D1348" s="2" t="str">
        <f t="shared" si="21"/>
        <v>vr</v>
      </c>
      <c r="E1348" s="2" t="e">
        <f>MROUND(#REF!,#REF!)</f>
        <v>#REF!</v>
      </c>
      <c r="F1348" s="2" t="e">
        <f>MROUND(#REF!,+F1348:G1348)</f>
        <v>#REF!</v>
      </c>
      <c r="H1348" s="2" t="e">
        <f>MROUND(#REF!,H1348:I1348)</f>
        <v>#REF!</v>
      </c>
      <c r="I1348" s="1">
        <v>1</v>
      </c>
      <c r="J1348" s="2" t="e">
        <f>MROUND(#REF!,INDIRECT(J1348:K1348))</f>
        <v>#REF!</v>
      </c>
      <c r="L1348" s="2">
        <f>TYPE(INDEX(,MROUND(#REF!,OFFSET(INDEX(1,),,))))</f>
        <v>64</v>
      </c>
    </row>
    <row r="1349" spans="1:12" x14ac:dyDescent="0.55000000000000004">
      <c r="A1349" s="1" t="s">
        <v>1853</v>
      </c>
      <c r="B1349" s="2">
        <f>COUNTIF(A:A,A1349)-1</f>
        <v>2</v>
      </c>
      <c r="C1349" s="2">
        <f>COUNTIF(A$1:A1349,A1349)-1</f>
        <v>0</v>
      </c>
      <c r="D1349" s="2" t="str">
        <f t="shared" si="21"/>
        <v/>
      </c>
      <c r="E1349" s="2"/>
      <c r="F1349" s="2"/>
      <c r="H1349" s="2"/>
      <c r="J1349" s="2"/>
      <c r="L1349" s="2"/>
    </row>
    <row r="1350" spans="1:12" x14ac:dyDescent="0.55000000000000004">
      <c r="A1350" s="1" t="s">
        <v>1853</v>
      </c>
      <c r="B1350" s="2">
        <f>COUNTIF(A:A,A1350)-1</f>
        <v>2</v>
      </c>
      <c r="C1350" s="2">
        <f>COUNTIF(A$1:A1350,A1350)-1</f>
        <v>1</v>
      </c>
      <c r="D1350" s="2" t="str">
        <f t="shared" si="21"/>
        <v>vr</v>
      </c>
      <c r="E1350" s="2" t="e">
        <f>ERF(#REF!)</f>
        <v>#REF!</v>
      </c>
      <c r="F1350" s="2" t="e">
        <f>ERF(+F1350:G1350,#REF!)</f>
        <v>#REF!</v>
      </c>
      <c r="H1350" s="2" t="e">
        <f>ERF(H1350:I1350,#REF!)</f>
        <v>#VALUE!</v>
      </c>
      <c r="I1350" s="1">
        <v>1</v>
      </c>
      <c r="J1350" s="2" t="e">
        <f>ERF(INDIRECT(J1350:K1350),#REF!)</f>
        <v>#REF!</v>
      </c>
      <c r="L1350" s="2">
        <f>TYPE(INDEX(,ERF(OFFSET(INDEX(1,),,),#REF!)))</f>
        <v>64</v>
      </c>
    </row>
    <row r="1351" spans="1:12" x14ac:dyDescent="0.55000000000000004">
      <c r="A1351" s="1" t="s">
        <v>1853</v>
      </c>
      <c r="B1351" s="2">
        <f>COUNTIF(A:A,A1351)-1</f>
        <v>2</v>
      </c>
      <c r="C1351" s="2">
        <f>COUNTIF(A$1:A1351,A1351)-1</f>
        <v>2</v>
      </c>
      <c r="D1351" s="2" t="str">
        <f t="shared" si="21"/>
        <v>vr</v>
      </c>
      <c r="E1351" s="2" t="e">
        <f>ERF(#REF!,#REF!)</f>
        <v>#REF!</v>
      </c>
      <c r="F1351" s="2" t="e">
        <f>ERF(#REF!,+F1351:G1351)</f>
        <v>#REF!</v>
      </c>
      <c r="H1351" s="2" t="e">
        <f>ERF(#REF!,H1351:I1351)</f>
        <v>#REF!</v>
      </c>
      <c r="I1351" s="1">
        <v>1</v>
      </c>
      <c r="J1351" s="2" t="e">
        <f>ERF(#REF!,INDIRECT(J1351:K1351))</f>
        <v>#REF!</v>
      </c>
      <c r="L1351" s="2">
        <f>TYPE(INDEX(,ERF(#REF!,OFFSET(INDEX(1,),,))))</f>
        <v>64</v>
      </c>
    </row>
    <row r="1352" spans="1:12" x14ac:dyDescent="0.55000000000000004">
      <c r="A1352" s="1" t="s">
        <v>1854</v>
      </c>
      <c r="B1352" s="2">
        <f>COUNTIF(A:A,A1352)-1</f>
        <v>1</v>
      </c>
      <c r="C1352" s="2">
        <f>COUNTIF(A$1:A1352,A1352)-1</f>
        <v>0</v>
      </c>
      <c r="D1352" s="2" t="str">
        <f t="shared" si="21"/>
        <v/>
      </c>
      <c r="E1352" s="2"/>
      <c r="F1352" s="2"/>
      <c r="H1352" s="2"/>
      <c r="J1352" s="2"/>
      <c r="L1352" s="2"/>
    </row>
    <row r="1353" spans="1:12" x14ac:dyDescent="0.55000000000000004">
      <c r="A1353" s="1" t="s">
        <v>1854</v>
      </c>
      <c r="B1353" s="2">
        <f>COUNTIF(A:A,A1353)-1</f>
        <v>1</v>
      </c>
      <c r="C1353" s="2">
        <f>COUNTIF(A$1:A1353,A1353)-1</f>
        <v>1</v>
      </c>
      <c r="D1353" s="2" t="str">
        <f t="shared" si="21"/>
        <v>vr</v>
      </c>
      <c r="E1353" s="2" t="e">
        <f>ERFC(#REF!)</f>
        <v>#REF!</v>
      </c>
      <c r="F1353" s="2">
        <f>ERFC(+F1353:G1353)</f>
        <v>1</v>
      </c>
      <c r="H1353" s="2" t="e">
        <f>ERFC(H1353:I1353)</f>
        <v>#VALUE!</v>
      </c>
      <c r="I1353" s="1">
        <v>1</v>
      </c>
      <c r="J1353" s="2" t="e">
        <f>ERFC(INDIRECT(J1353:K1353))</f>
        <v>#REF!</v>
      </c>
      <c r="L1353" s="2">
        <f>TYPE(INDEX(,ERFC(OFFSET(INDEX(1,),,))))</f>
        <v>64</v>
      </c>
    </row>
    <row r="1354" spans="1:12" x14ac:dyDescent="0.55000000000000004">
      <c r="A1354" s="1" t="s">
        <v>1855</v>
      </c>
      <c r="B1354" s="2">
        <f>COUNTIF(A:A,A1354)-1</f>
        <v>2</v>
      </c>
      <c r="C1354" s="2">
        <f>COUNTIF(A$1:A1354,A1354)-1</f>
        <v>0</v>
      </c>
      <c r="D1354" s="2" t="str">
        <f t="shared" si="21"/>
        <v/>
      </c>
      <c r="E1354" s="2"/>
      <c r="F1354" s="2"/>
      <c r="H1354" s="2"/>
      <c r="J1354" s="2"/>
      <c r="L1354" s="2"/>
    </row>
    <row r="1355" spans="1:12" x14ac:dyDescent="0.55000000000000004">
      <c r="A1355" s="1" t="s">
        <v>1855</v>
      </c>
      <c r="B1355" s="2">
        <f>COUNTIF(A:A,A1355)-1</f>
        <v>2</v>
      </c>
      <c r="C1355" s="2">
        <f>COUNTIF(A$1:A1355,A1355)-1</f>
        <v>1</v>
      </c>
      <c r="D1355" s="2" t="str">
        <f t="shared" si="21"/>
        <v>vr</v>
      </c>
      <c r="E1355" s="2"/>
      <c r="F1355" s="2" t="e">
        <f>BESSELJ(+F1355:G1355,#REF!)</f>
        <v>#REF!</v>
      </c>
      <c r="H1355" s="2" t="e">
        <f>BESSELJ(H1355:I1355,#REF!)</f>
        <v>#VALUE!</v>
      </c>
      <c r="I1355" s="1">
        <v>1</v>
      </c>
      <c r="J1355" s="2" t="e">
        <f>BESSELJ(INDIRECT(J1355:K1355),#REF!)</f>
        <v>#REF!</v>
      </c>
      <c r="L1355" s="2">
        <f>TYPE(INDEX(,BESSELJ(OFFSET(INDEX(1,),,),#REF!)))</f>
        <v>64</v>
      </c>
    </row>
    <row r="1356" spans="1:12" x14ac:dyDescent="0.55000000000000004">
      <c r="A1356" s="1" t="s">
        <v>1855</v>
      </c>
      <c r="B1356" s="2">
        <f>COUNTIF(A:A,A1356)-1</f>
        <v>2</v>
      </c>
      <c r="C1356" s="2">
        <f>COUNTIF(A$1:A1356,A1356)-1</f>
        <v>2</v>
      </c>
      <c r="D1356" s="2" t="str">
        <f t="shared" si="21"/>
        <v>vr</v>
      </c>
      <c r="E1356" s="2" t="e">
        <f>BESSELJ(#REF!,#REF!)</f>
        <v>#REF!</v>
      </c>
      <c r="F1356" s="2" t="e">
        <f>BESSELJ(#REF!,+F1356:G1356)</f>
        <v>#REF!</v>
      </c>
      <c r="H1356" s="2" t="e">
        <f>BESSELJ(#REF!,H1356:I1356)</f>
        <v>#REF!</v>
      </c>
      <c r="I1356" s="1">
        <v>1</v>
      </c>
      <c r="J1356" s="2" t="e">
        <f>BESSELJ(#REF!,INDIRECT(J1356:K1356))</f>
        <v>#REF!</v>
      </c>
      <c r="L1356" s="2">
        <f>TYPE(INDEX(,BESSELJ(#REF!,OFFSET(INDEX(1,),,))))</f>
        <v>64</v>
      </c>
    </row>
    <row r="1357" spans="1:12" x14ac:dyDescent="0.55000000000000004">
      <c r="A1357" s="1" t="s">
        <v>1856</v>
      </c>
      <c r="B1357" s="2">
        <f>COUNTIF(A:A,A1357)-1</f>
        <v>2</v>
      </c>
      <c r="C1357" s="2">
        <f>COUNTIF(A$1:A1357,A1357)-1</f>
        <v>0</v>
      </c>
      <c r="D1357" s="2" t="str">
        <f t="shared" si="21"/>
        <v/>
      </c>
      <c r="E1357" s="2"/>
      <c r="F1357" s="2"/>
      <c r="H1357" s="2"/>
      <c r="J1357" s="2"/>
      <c r="L1357" s="2"/>
    </row>
    <row r="1358" spans="1:12" x14ac:dyDescent="0.55000000000000004">
      <c r="A1358" s="1" t="s">
        <v>1856</v>
      </c>
      <c r="B1358" s="2">
        <f>COUNTIF(A:A,A1358)-1</f>
        <v>2</v>
      </c>
      <c r="C1358" s="2">
        <f>COUNTIF(A$1:A1358,A1358)-1</f>
        <v>1</v>
      </c>
      <c r="D1358" s="2" t="str">
        <f t="shared" si="21"/>
        <v>vr</v>
      </c>
      <c r="E1358" s="2"/>
      <c r="F1358" s="2" t="e">
        <f>BESSELK(+F1358:G1358,#REF!)</f>
        <v>#REF!</v>
      </c>
      <c r="H1358" s="2" t="e">
        <f>BESSELK(H1358:I1358,#REF!)</f>
        <v>#VALUE!</v>
      </c>
      <c r="I1358" s="1">
        <v>1</v>
      </c>
      <c r="J1358" s="2" t="e">
        <f>BESSELK(INDIRECT(J1358:K1358),#REF!)</f>
        <v>#REF!</v>
      </c>
      <c r="L1358" s="2">
        <f>TYPE(INDEX(,BESSELK(OFFSET(INDEX(1,),,),#REF!)))</f>
        <v>64</v>
      </c>
    </row>
    <row r="1359" spans="1:12" x14ac:dyDescent="0.55000000000000004">
      <c r="A1359" s="1" t="s">
        <v>1856</v>
      </c>
      <c r="B1359" s="2">
        <f>COUNTIF(A:A,A1359)-1</f>
        <v>2</v>
      </c>
      <c r="C1359" s="2">
        <f>COUNTIF(A$1:A1359,A1359)-1</f>
        <v>2</v>
      </c>
      <c r="D1359" s="2" t="str">
        <f t="shared" si="21"/>
        <v>vr</v>
      </c>
      <c r="E1359" s="2" t="e">
        <f>BESSELK(#REF!,#REF!)</f>
        <v>#REF!</v>
      </c>
      <c r="F1359" s="2" t="e">
        <f>BESSELK(#REF!,+F1359:G1359)</f>
        <v>#REF!</v>
      </c>
      <c r="H1359" s="2" t="e">
        <f>BESSELK(#REF!,H1359:I1359)</f>
        <v>#REF!</v>
      </c>
      <c r="I1359" s="1">
        <v>1</v>
      </c>
      <c r="J1359" s="2" t="e">
        <f>BESSELK(#REF!,INDIRECT(J1359:K1359))</f>
        <v>#REF!</v>
      </c>
      <c r="L1359" s="2">
        <f>TYPE(INDEX(,BESSELK(#REF!,OFFSET(INDEX(1,),,))))</f>
        <v>64</v>
      </c>
    </row>
    <row r="1360" spans="1:12" x14ac:dyDescent="0.55000000000000004">
      <c r="A1360" s="1" t="s">
        <v>1857</v>
      </c>
      <c r="B1360" s="2">
        <f>COUNTIF(A:A,A1360)-1</f>
        <v>2</v>
      </c>
      <c r="C1360" s="2">
        <f>COUNTIF(A$1:A1360,A1360)-1</f>
        <v>0</v>
      </c>
      <c r="D1360" s="2" t="str">
        <f t="shared" si="21"/>
        <v/>
      </c>
      <c r="E1360" s="2"/>
      <c r="F1360" s="2"/>
      <c r="H1360" s="2"/>
      <c r="J1360" s="2"/>
      <c r="L1360" s="2"/>
    </row>
    <row r="1361" spans="1:12" x14ac:dyDescent="0.55000000000000004">
      <c r="A1361" s="1" t="s">
        <v>1857</v>
      </c>
      <c r="B1361" s="2">
        <f>COUNTIF(A:A,A1361)-1</f>
        <v>2</v>
      </c>
      <c r="C1361" s="2">
        <f>COUNTIF(A$1:A1361,A1361)-1</f>
        <v>1</v>
      </c>
      <c r="D1361" s="2" t="str">
        <f t="shared" si="21"/>
        <v>vr</v>
      </c>
      <c r="E1361" s="2"/>
      <c r="F1361" s="2" t="e">
        <f>BESSELY(+F1361:G1361,#REF!)</f>
        <v>#REF!</v>
      </c>
      <c r="H1361" s="2" t="e">
        <f>BESSELY(H1361:I1361,#REF!)</f>
        <v>#VALUE!</v>
      </c>
      <c r="I1361" s="1">
        <v>1</v>
      </c>
      <c r="J1361" s="2" t="e">
        <f>BESSELY(INDIRECT(J1361:K1361),#REF!)</f>
        <v>#REF!</v>
      </c>
      <c r="L1361" s="2">
        <f>TYPE(INDEX(,BESSELY(OFFSET(INDEX(1,),,),#REF!)))</f>
        <v>64</v>
      </c>
    </row>
    <row r="1362" spans="1:12" x14ac:dyDescent="0.55000000000000004">
      <c r="A1362" s="1" t="s">
        <v>1857</v>
      </c>
      <c r="B1362" s="2">
        <f>COUNTIF(A:A,A1362)-1</f>
        <v>2</v>
      </c>
      <c r="C1362" s="2">
        <f>COUNTIF(A$1:A1362,A1362)-1</f>
        <v>2</v>
      </c>
      <c r="D1362" s="2" t="str">
        <f t="shared" si="21"/>
        <v>vr</v>
      </c>
      <c r="E1362" s="2" t="e">
        <f>BESSELY(#REF!,#REF!)</f>
        <v>#REF!</v>
      </c>
      <c r="F1362" s="2" t="e">
        <f>BESSELY(#REF!,+F1362:G1362)</f>
        <v>#REF!</v>
      </c>
      <c r="H1362" s="2" t="e">
        <f>BESSELY(#REF!,H1362:I1362)</f>
        <v>#REF!</v>
      </c>
      <c r="I1362" s="1">
        <v>1</v>
      </c>
      <c r="J1362" s="2" t="e">
        <f>BESSELY(#REF!,INDIRECT(J1362:K1362))</f>
        <v>#REF!</v>
      </c>
      <c r="L1362" s="2">
        <f>TYPE(INDEX(,BESSELY(#REF!,OFFSET(INDEX(1,),,))))</f>
        <v>64</v>
      </c>
    </row>
    <row r="1363" spans="1:12" x14ac:dyDescent="0.55000000000000004">
      <c r="A1363" s="1" t="s">
        <v>1858</v>
      </c>
      <c r="B1363" s="2">
        <f>COUNTIF(A:A,A1363)-1</f>
        <v>2</v>
      </c>
      <c r="C1363" s="2">
        <f>COUNTIF(A$1:A1363,A1363)-1</f>
        <v>0</v>
      </c>
      <c r="D1363" s="2" t="str">
        <f t="shared" si="21"/>
        <v/>
      </c>
      <c r="E1363" s="2"/>
      <c r="F1363" s="2"/>
      <c r="H1363" s="2"/>
      <c r="J1363" s="2"/>
      <c r="L1363" s="2"/>
    </row>
    <row r="1364" spans="1:12" x14ac:dyDescent="0.55000000000000004">
      <c r="A1364" s="1" t="s">
        <v>1858</v>
      </c>
      <c r="B1364" s="2">
        <f>COUNTIF(A:A,A1364)-1</f>
        <v>2</v>
      </c>
      <c r="C1364" s="2">
        <f>COUNTIF(A$1:A1364,A1364)-1</f>
        <v>1</v>
      </c>
      <c r="D1364" s="2" t="str">
        <f t="shared" si="21"/>
        <v>vr</v>
      </c>
      <c r="E1364" s="2"/>
      <c r="F1364" s="2" t="e">
        <f>BESSELI(+F1364:G1364,#REF!)</f>
        <v>#REF!</v>
      </c>
      <c r="H1364" s="2" t="e">
        <f>BESSELI(H1364:I1364,#REF!)</f>
        <v>#VALUE!</v>
      </c>
      <c r="I1364" s="1">
        <v>1</v>
      </c>
      <c r="J1364" s="2" t="e">
        <f>BESSELI(INDIRECT(J1364:K1364),#REF!)</f>
        <v>#REF!</v>
      </c>
      <c r="L1364" s="2">
        <f>TYPE(INDEX(,BESSELI(OFFSET(INDEX(1,),,),#REF!)))</f>
        <v>64</v>
      </c>
    </row>
    <row r="1365" spans="1:12" x14ac:dyDescent="0.55000000000000004">
      <c r="A1365" s="1" t="s">
        <v>1858</v>
      </c>
      <c r="B1365" s="2">
        <f>COUNTIF(A:A,A1365)-1</f>
        <v>2</v>
      </c>
      <c r="C1365" s="2">
        <f>COUNTIF(A$1:A1365,A1365)-1</f>
        <v>2</v>
      </c>
      <c r="D1365" s="2" t="str">
        <f t="shared" si="21"/>
        <v>vr</v>
      </c>
      <c r="E1365" s="2" t="e">
        <f>BESSELI(#REF!,#REF!)</f>
        <v>#REF!</v>
      </c>
      <c r="F1365" s="2" t="e">
        <f>BESSELI(#REF!,+F1365:G1365)</f>
        <v>#REF!</v>
      </c>
      <c r="H1365" s="2" t="e">
        <f>BESSELI(#REF!,H1365:I1365)</f>
        <v>#REF!</v>
      </c>
      <c r="I1365" s="1">
        <v>1</v>
      </c>
      <c r="J1365" s="2" t="e">
        <f>BESSELI(#REF!,INDIRECT(J1365:K1365))</f>
        <v>#REF!</v>
      </c>
      <c r="L1365" s="2">
        <f>TYPE(INDEX(,BESSELI(#REF!,OFFSET(INDEX(1,),,))))</f>
        <v>64</v>
      </c>
    </row>
    <row r="1366" spans="1:12" x14ac:dyDescent="0.55000000000000004">
      <c r="A1366" s="1" t="s">
        <v>1859</v>
      </c>
      <c r="B1366" s="2">
        <f>COUNTIF(A:A,A1366)-1</f>
        <v>3</v>
      </c>
      <c r="C1366" s="2">
        <f>COUNTIF(A$1:A1366,A1366)-1</f>
        <v>0</v>
      </c>
      <c r="D1366" s="2" t="str">
        <f t="shared" si="21"/>
        <v/>
      </c>
      <c r="E1366" s="2"/>
      <c r="F1366" s="2"/>
      <c r="H1366" s="2"/>
      <c r="J1366" s="2"/>
      <c r="L1366" s="2"/>
    </row>
    <row r="1367" spans="1:12" x14ac:dyDescent="0.55000000000000004">
      <c r="A1367" s="1" t="s">
        <v>1859</v>
      </c>
      <c r="B1367" s="2">
        <f>COUNTIF(A:A,A1367)-1</f>
        <v>3</v>
      </c>
      <c r="C1367" s="2">
        <f>COUNTIF(A$1:A1367,A1367)-1</f>
        <v>1</v>
      </c>
      <c r="D1367" s="2" t="str">
        <f t="shared" si="21"/>
        <v>var</v>
      </c>
      <c r="E1367" s="2"/>
      <c r="F1367" s="2" t="e">
        <f>XIRR(+F1367:G1367,#REF!,#REF!)</f>
        <v>#REF!</v>
      </c>
      <c r="H1367" s="2" t="e">
        <f>XIRR(H1367:I1367,#REF!,#REF!)</f>
        <v>#REF!</v>
      </c>
      <c r="I1367" s="1">
        <v>1</v>
      </c>
      <c r="J1367" s="2" t="e">
        <f>XIRR(INDIRECT(J1367:K1367),#REF!,#REF!)</f>
        <v>#REF!</v>
      </c>
      <c r="L1367" s="2">
        <f>TYPE(INDEX(,XIRR(OFFSET(INDEX(1,),,),#REF!,#REF!)))</f>
        <v>16</v>
      </c>
    </row>
    <row r="1368" spans="1:12" x14ac:dyDescent="0.55000000000000004">
      <c r="A1368" s="1" t="s">
        <v>1859</v>
      </c>
      <c r="B1368" s="2">
        <f>COUNTIF(A:A,A1368)-1</f>
        <v>3</v>
      </c>
      <c r="C1368" s="2">
        <f>COUNTIF(A$1:A1368,A1368)-1</f>
        <v>2</v>
      </c>
      <c r="D1368" s="2" t="str">
        <f t="shared" si="21"/>
        <v>var</v>
      </c>
      <c r="E1368" s="2" t="e">
        <f>XIRR(#REF!,#REF!)</f>
        <v>#REF!</v>
      </c>
      <c r="F1368" s="2" t="e">
        <f>XIRR(#REF!,+F1368:G1368,#REF!)</f>
        <v>#REF!</v>
      </c>
      <c r="H1368" s="2" t="e">
        <f>XIRR(#REF!,H1368:I1368,#REF!)</f>
        <v>#REF!</v>
      </c>
      <c r="I1368" s="1">
        <v>1</v>
      </c>
      <c r="J1368" s="2" t="e">
        <f>XIRR(#REF!,INDIRECT(J1368:K1368),#REF!)</f>
        <v>#REF!</v>
      </c>
      <c r="L1368" s="2">
        <f>TYPE(INDEX(,XIRR(#REF!,OFFSET(INDEX(1,),,),#REF!)))</f>
        <v>16</v>
      </c>
    </row>
    <row r="1369" spans="1:12" x14ac:dyDescent="0.55000000000000004">
      <c r="A1369" s="1" t="s">
        <v>1859</v>
      </c>
      <c r="B1369" s="2">
        <f>COUNTIF(A:A,A1369)-1</f>
        <v>3</v>
      </c>
      <c r="C1369" s="2">
        <f>COUNTIF(A$1:A1369,A1369)-1</f>
        <v>3</v>
      </c>
      <c r="D1369" s="2" t="str">
        <f t="shared" si="21"/>
        <v>vr</v>
      </c>
      <c r="E1369" s="2" t="e">
        <f>XIRR(#REF!,#REF!,#REF!)</f>
        <v>#REF!</v>
      </c>
      <c r="F1369" s="2" t="e">
        <f>XIRR(#REF!,#REF!,+F1369:G1369)</f>
        <v>#REF!</v>
      </c>
      <c r="H1369" s="2" t="e">
        <f>XIRR(#REF!,#REF!,H1369:I1369)</f>
        <v>#VALUE!</v>
      </c>
      <c r="I1369" s="1">
        <v>1</v>
      </c>
      <c r="J1369" s="2" t="e">
        <f>XIRR(#REF!,#REF!,INDIRECT(J1369:K1369))</f>
        <v>#REF!</v>
      </c>
      <c r="L1369" s="2">
        <f>TYPE(INDEX(,XIRR(#REF!,#REF!,OFFSET(INDEX(1,),,))))</f>
        <v>64</v>
      </c>
    </row>
    <row r="1370" spans="1:12" x14ac:dyDescent="0.55000000000000004">
      <c r="A1370" s="1" t="s">
        <v>1860</v>
      </c>
      <c r="B1370" s="2">
        <f>COUNTIF(A:A,A1370)-1</f>
        <v>3</v>
      </c>
      <c r="C1370" s="2">
        <f>COUNTIF(A$1:A1370,A1370)-1</f>
        <v>0</v>
      </c>
      <c r="D1370" s="2" t="str">
        <f t="shared" si="21"/>
        <v/>
      </c>
      <c r="E1370" s="2"/>
      <c r="F1370" s="2"/>
      <c r="H1370" s="2"/>
      <c r="J1370" s="2"/>
      <c r="L1370" s="2"/>
    </row>
    <row r="1371" spans="1:12" x14ac:dyDescent="0.55000000000000004">
      <c r="A1371" s="1" t="s">
        <v>1860</v>
      </c>
      <c r="B1371" s="2">
        <f>COUNTIF(A:A,A1371)-1</f>
        <v>3</v>
      </c>
      <c r="C1371" s="2">
        <f>COUNTIF(A$1:A1371,A1371)-1</f>
        <v>1</v>
      </c>
      <c r="D1371" s="2" t="str">
        <f t="shared" si="21"/>
        <v>vr</v>
      </c>
      <c r="E1371" s="2"/>
      <c r="F1371" s="2" t="e">
        <f>XNPV(+F1371:G1371,#REF!,#REF!)</f>
        <v>#REF!</v>
      </c>
      <c r="H1371" s="2" t="e">
        <f>XNPV(H1371:I1371,#REF!,#REF!)</f>
        <v>#VALUE!</v>
      </c>
      <c r="I1371" s="1">
        <v>1</v>
      </c>
      <c r="J1371" s="2" t="e">
        <f>XNPV(INDIRECT(J1371:K1371),#REF!,#REF!)</f>
        <v>#REF!</v>
      </c>
      <c r="L1371" s="2">
        <f>TYPE(INDEX(,XNPV(OFFSET(INDEX(1,),,),#REF!,#REF!)))</f>
        <v>64</v>
      </c>
    </row>
    <row r="1372" spans="1:12" x14ac:dyDescent="0.55000000000000004">
      <c r="A1372" s="1" t="s">
        <v>1860</v>
      </c>
      <c r="B1372" s="2">
        <f>COUNTIF(A:A,A1372)-1</f>
        <v>3</v>
      </c>
      <c r="C1372" s="2">
        <f>COUNTIF(A$1:A1372,A1372)-1</f>
        <v>2</v>
      </c>
      <c r="D1372" s="2" t="str">
        <f t="shared" si="21"/>
        <v>var</v>
      </c>
      <c r="E1372" s="2"/>
      <c r="F1372" s="2" t="e">
        <f>XNPV(#REF!,+F1372:G1372,#REF!)</f>
        <v>#REF!</v>
      </c>
      <c r="H1372" s="2" t="e">
        <f>XNPV(#REF!,H1372:I1372,#REF!)</f>
        <v>#REF!</v>
      </c>
      <c r="I1372" s="1">
        <v>1</v>
      </c>
      <c r="J1372" s="2" t="e">
        <f>XNPV(#REF!,INDIRECT(J1372:K1372),#REF!)</f>
        <v>#REF!</v>
      </c>
      <c r="L1372" s="2">
        <f>TYPE(INDEX(,XNPV(#REF!,OFFSET(INDEX(1,),,),#REF!)))</f>
        <v>16</v>
      </c>
    </row>
    <row r="1373" spans="1:12" x14ac:dyDescent="0.55000000000000004">
      <c r="A1373" s="1" t="s">
        <v>1860</v>
      </c>
      <c r="B1373" s="2">
        <f>COUNTIF(A:A,A1373)-1</f>
        <v>3</v>
      </c>
      <c r="C1373" s="2">
        <f>COUNTIF(A$1:A1373,A1373)-1</f>
        <v>3</v>
      </c>
      <c r="D1373" s="2" t="str">
        <f t="shared" si="21"/>
        <v>var</v>
      </c>
      <c r="E1373" s="2" t="e">
        <f>XNPV(#REF!,#REF!,#REF!)</f>
        <v>#REF!</v>
      </c>
      <c r="F1373" s="2" t="e">
        <f>XNPV(#REF!,#REF!,+F1373:G1373)</f>
        <v>#REF!</v>
      </c>
      <c r="H1373" s="2" t="e">
        <f>XNPV(#REF!,#REF!,H1373:I1373)</f>
        <v>#REF!</v>
      </c>
      <c r="I1373" s="1">
        <v>1</v>
      </c>
      <c r="J1373" s="2" t="e">
        <f>XNPV(#REF!,#REF!,INDIRECT(J1373:K1373))</f>
        <v>#REF!</v>
      </c>
      <c r="L1373" s="2">
        <f>TYPE(INDEX(,XNPV(#REF!,#REF!,OFFSET(INDEX(1,),,))))</f>
        <v>16</v>
      </c>
    </row>
    <row r="1374" spans="1:12" x14ac:dyDescent="0.55000000000000004">
      <c r="A1374" s="1" t="s">
        <v>1861</v>
      </c>
      <c r="B1374" s="2">
        <f>COUNTIF(A:A,A1374)-1</f>
        <v>6</v>
      </c>
      <c r="C1374" s="2">
        <f>COUNTIF(A$1:A1374,A1374)-1</f>
        <v>0</v>
      </c>
      <c r="D1374" s="2" t="str">
        <f t="shared" si="21"/>
        <v/>
      </c>
      <c r="E1374" s="2"/>
      <c r="F1374" s="2"/>
      <c r="H1374" s="2"/>
      <c r="J1374" s="2"/>
      <c r="L1374" s="2"/>
    </row>
    <row r="1375" spans="1:12" x14ac:dyDescent="0.55000000000000004">
      <c r="A1375" s="1" t="s">
        <v>1861</v>
      </c>
      <c r="B1375" s="2">
        <f>COUNTIF(A:A,A1375)-1</f>
        <v>6</v>
      </c>
      <c r="C1375" s="2">
        <f>COUNTIF(A$1:A1375,A1375)-1</f>
        <v>1</v>
      </c>
      <c r="D1375" s="2" t="str">
        <f t="shared" si="21"/>
        <v>vr</v>
      </c>
      <c r="E1375" s="2"/>
      <c r="F1375" s="2" t="e">
        <f>PRICEMAT(+F1375:G1375,#REF!,#REF!,#REF!,#REF!,#REF!)</f>
        <v>#REF!</v>
      </c>
      <c r="H1375" s="2" t="e">
        <f>PRICEMAT(H1375:I1375,#REF!,#REF!,#REF!,#REF!,#REF!)</f>
        <v>#REF!</v>
      </c>
      <c r="I1375" s="1">
        <v>1</v>
      </c>
      <c r="J1375" s="2" t="e">
        <f>PRICEMAT(INDIRECT(J1375:K1375),#REF!,#REF!,#REF!,#REF!,#REF!)</f>
        <v>#REF!</v>
      </c>
      <c r="L1375" s="2">
        <f>TYPE(INDEX(,PRICEMAT(OFFSET(INDEX(1,),,),#REF!,#REF!,#REF!,#REF!,#REF!)))</f>
        <v>64</v>
      </c>
    </row>
    <row r="1376" spans="1:12" x14ac:dyDescent="0.55000000000000004">
      <c r="A1376" s="1" t="s">
        <v>1861</v>
      </c>
      <c r="B1376" s="2">
        <f>COUNTIF(A:A,A1376)-1</f>
        <v>6</v>
      </c>
      <c r="C1376" s="2">
        <f>COUNTIF(A$1:A1376,A1376)-1</f>
        <v>2</v>
      </c>
      <c r="D1376" s="2" t="str">
        <f t="shared" si="21"/>
        <v>vr</v>
      </c>
      <c r="E1376" s="2"/>
      <c r="F1376" s="2" t="e">
        <f>PRICEMAT(#REF!,+F1376:G1376,#REF!,#REF!,#REF!,#REF!)</f>
        <v>#REF!</v>
      </c>
      <c r="H1376" s="2" t="e">
        <f>PRICEMAT(#REF!,H1376:I1376,#REF!,#REF!,#REF!,#REF!)</f>
        <v>#REF!</v>
      </c>
      <c r="I1376" s="1">
        <v>1</v>
      </c>
      <c r="J1376" s="2" t="e">
        <f>PRICEMAT(#REF!,INDIRECT(J1376:K1376),#REF!,#REF!,#REF!,#REF!)</f>
        <v>#REF!</v>
      </c>
      <c r="L1376" s="2">
        <f>TYPE(INDEX(,PRICEMAT(#REF!,OFFSET(INDEX(1,),,),#REF!,#REF!,#REF!,#REF!)))</f>
        <v>64</v>
      </c>
    </row>
    <row r="1377" spans="1:12" x14ac:dyDescent="0.55000000000000004">
      <c r="A1377" s="1" t="s">
        <v>1861</v>
      </c>
      <c r="B1377" s="2">
        <f>COUNTIF(A:A,A1377)-1</f>
        <v>6</v>
      </c>
      <c r="C1377" s="2">
        <f>COUNTIF(A$1:A1377,A1377)-1</f>
        <v>3</v>
      </c>
      <c r="D1377" s="2" t="str">
        <f t="shared" si="21"/>
        <v>vr</v>
      </c>
      <c r="E1377" s="2"/>
      <c r="F1377" s="2" t="e">
        <f>PRICEMAT(#REF!,#REF!,+F1377:G1377,#REF!,#REF!,#REF!)</f>
        <v>#REF!</v>
      </c>
      <c r="H1377" s="2" t="e">
        <f>PRICEMAT(#REF!,#REF!,H1377:I1377,#REF!,#REF!,#REF!)</f>
        <v>#REF!</v>
      </c>
      <c r="I1377" s="1">
        <v>1</v>
      </c>
      <c r="J1377" s="2" t="e">
        <f>PRICEMAT(#REF!,#REF!,INDIRECT(J1377:K1377),#REF!,#REF!,#REF!)</f>
        <v>#REF!</v>
      </c>
      <c r="L1377" s="2">
        <f>TYPE(INDEX(,PRICEMAT(#REF!,#REF!,OFFSET(INDEX(1,),,),#REF!,#REF!,#REF!)))</f>
        <v>64</v>
      </c>
    </row>
    <row r="1378" spans="1:12" x14ac:dyDescent="0.55000000000000004">
      <c r="A1378" s="1" t="s">
        <v>1861</v>
      </c>
      <c r="B1378" s="2">
        <f>COUNTIF(A:A,A1378)-1</f>
        <v>6</v>
      </c>
      <c r="C1378" s="2">
        <f>COUNTIF(A$1:A1378,A1378)-1</f>
        <v>4</v>
      </c>
      <c r="D1378" s="2" t="str">
        <f t="shared" si="21"/>
        <v>vr</v>
      </c>
      <c r="E1378" s="2"/>
      <c r="F1378" s="2" t="e">
        <f>PRICEMAT(#REF!,#REF!,#REF!,+F1378:G1378,#REF!,#REF!)</f>
        <v>#REF!</v>
      </c>
      <c r="H1378" s="2" t="e">
        <f>PRICEMAT(#REF!,#REF!,#REF!,H1378:I1378,#REF!,#REF!)</f>
        <v>#REF!</v>
      </c>
      <c r="I1378" s="1">
        <v>1</v>
      </c>
      <c r="J1378" s="2" t="e">
        <f>PRICEMAT(#REF!,#REF!,#REF!,INDIRECT(J1378:K1378),#REF!,#REF!)</f>
        <v>#REF!</v>
      </c>
      <c r="L1378" s="2">
        <f>TYPE(INDEX(,PRICEMAT(#REF!,#REF!,#REF!,OFFSET(INDEX(1,),,),#REF!,#REF!)))</f>
        <v>64</v>
      </c>
    </row>
    <row r="1379" spans="1:12" x14ac:dyDescent="0.55000000000000004">
      <c r="A1379" s="1" t="s">
        <v>1861</v>
      </c>
      <c r="B1379" s="2">
        <f>COUNTIF(A:A,A1379)-1</f>
        <v>6</v>
      </c>
      <c r="C1379" s="2">
        <f>COUNTIF(A$1:A1379,A1379)-1</f>
        <v>5</v>
      </c>
      <c r="D1379" s="2" t="str">
        <f t="shared" si="21"/>
        <v>vr</v>
      </c>
      <c r="E1379" s="2" t="e">
        <f>PRICEMAT(#REF!,#REF!,#REF!,#REF!,#REF!)</f>
        <v>#REF!</v>
      </c>
      <c r="F1379" s="2" t="e">
        <f>PRICEMAT(#REF!,#REF!,#REF!,#REF!,+F1379:G1379,#REF!)</f>
        <v>#REF!</v>
      </c>
      <c r="H1379" s="2" t="e">
        <f>PRICEMAT(#REF!,#REF!,#REF!,#REF!,H1379:I1379,#REF!)</f>
        <v>#REF!</v>
      </c>
      <c r="I1379" s="1">
        <v>1</v>
      </c>
      <c r="J1379" s="2" t="e">
        <f>PRICEMAT(#REF!,#REF!,#REF!,#REF!,INDIRECT(J1379:K1379),#REF!)</f>
        <v>#REF!</v>
      </c>
      <c r="L1379" s="2">
        <f>TYPE(INDEX(,PRICEMAT(#REF!,#REF!,#REF!,#REF!,OFFSET(INDEX(1,),,),#REF!)))</f>
        <v>64</v>
      </c>
    </row>
    <row r="1380" spans="1:12" x14ac:dyDescent="0.55000000000000004">
      <c r="A1380" s="1" t="s">
        <v>1861</v>
      </c>
      <c r="B1380" s="2">
        <f>COUNTIF(A:A,A1380)-1</f>
        <v>6</v>
      </c>
      <c r="C1380" s="2">
        <f>COUNTIF(A$1:A1380,A1380)-1</f>
        <v>6</v>
      </c>
      <c r="D1380" s="2" t="str">
        <f t="shared" si="21"/>
        <v>vr</v>
      </c>
      <c r="E1380" s="2" t="e">
        <f>PRICEMAT(#REF!,#REF!,#REF!,#REF!,#REF!,#REF!)</f>
        <v>#REF!</v>
      </c>
      <c r="F1380" s="2" t="e">
        <f>PRICEMAT(#REF!,#REF!,#REF!,#REF!,#REF!,+F1380:G1380)</f>
        <v>#REF!</v>
      </c>
      <c r="H1380" s="2" t="e">
        <f>PRICEMAT(#REF!,#REF!,#REF!,#REF!,#REF!,H1380:I1380)</f>
        <v>#VALUE!</v>
      </c>
      <c r="I1380" s="1">
        <v>1</v>
      </c>
      <c r="J1380" s="2" t="e">
        <f>PRICEMAT(#REF!,#REF!,#REF!,#REF!,#REF!,INDIRECT(J1380:K1380))</f>
        <v>#REF!</v>
      </c>
      <c r="L1380" s="2">
        <f>TYPE(INDEX(,PRICEMAT(#REF!,#REF!,#REF!,#REF!,#REF!,OFFSET(INDEX(1,),,))))</f>
        <v>64</v>
      </c>
    </row>
    <row r="1381" spans="1:12" x14ac:dyDescent="0.55000000000000004">
      <c r="A1381" s="1" t="s">
        <v>1862</v>
      </c>
      <c r="B1381" s="2">
        <f>COUNTIF(A:A,A1381)-1</f>
        <v>6</v>
      </c>
      <c r="C1381" s="2">
        <f>COUNTIF(A$1:A1381,A1381)-1</f>
        <v>0</v>
      </c>
      <c r="D1381" s="2" t="str">
        <f t="shared" si="21"/>
        <v/>
      </c>
      <c r="E1381" s="2"/>
      <c r="F1381" s="2"/>
      <c r="H1381" s="2"/>
      <c r="J1381" s="2"/>
      <c r="L1381" s="2"/>
    </row>
    <row r="1382" spans="1:12" x14ac:dyDescent="0.55000000000000004">
      <c r="A1382" s="1" t="s">
        <v>1862</v>
      </c>
      <c r="B1382" s="2">
        <f>COUNTIF(A:A,A1382)-1</f>
        <v>6</v>
      </c>
      <c r="C1382" s="2">
        <f>COUNTIF(A$1:A1382,A1382)-1</f>
        <v>1</v>
      </c>
      <c r="D1382" s="2" t="str">
        <f t="shared" si="21"/>
        <v>vr</v>
      </c>
      <c r="E1382" s="2"/>
      <c r="F1382" s="2" t="e">
        <f>YIELDMAT(+F1382:G1382,#REF!,#REF!,#REF!,#REF!,#REF!)</f>
        <v>#REF!</v>
      </c>
      <c r="H1382" s="2" t="e">
        <f>YIELDMAT(H1382:I1382,#REF!,#REF!,#REF!,#REF!,#REF!)</f>
        <v>#REF!</v>
      </c>
      <c r="I1382" s="1">
        <v>1</v>
      </c>
      <c r="J1382" s="2" t="e">
        <f>YIELDMAT(INDIRECT(J1382:K1382),#REF!,#REF!,#REF!,#REF!,#REF!)</f>
        <v>#REF!</v>
      </c>
      <c r="L1382" s="2">
        <f>TYPE(INDEX(,YIELDMAT(OFFSET(INDEX(1,),,),#REF!,#REF!,#REF!,#REF!,#REF!)))</f>
        <v>64</v>
      </c>
    </row>
    <row r="1383" spans="1:12" x14ac:dyDescent="0.55000000000000004">
      <c r="A1383" s="1" t="s">
        <v>1862</v>
      </c>
      <c r="B1383" s="2">
        <f>COUNTIF(A:A,A1383)-1</f>
        <v>6</v>
      </c>
      <c r="C1383" s="2">
        <f>COUNTIF(A$1:A1383,A1383)-1</f>
        <v>2</v>
      </c>
      <c r="D1383" s="2" t="str">
        <f t="shared" si="21"/>
        <v>vr</v>
      </c>
      <c r="E1383" s="2"/>
      <c r="F1383" s="2" t="e">
        <f>YIELDMAT(#REF!,+F1383:G1383,#REF!,#REF!,#REF!,#REF!)</f>
        <v>#REF!</v>
      </c>
      <c r="H1383" s="2" t="e">
        <f>YIELDMAT(#REF!,H1383:I1383,#REF!,#REF!,#REF!,#REF!)</f>
        <v>#REF!</v>
      </c>
      <c r="I1383" s="1">
        <v>1</v>
      </c>
      <c r="J1383" s="2" t="e">
        <f>YIELDMAT(#REF!,INDIRECT(J1383:K1383),#REF!,#REF!,#REF!,#REF!)</f>
        <v>#REF!</v>
      </c>
      <c r="L1383" s="2">
        <f>TYPE(INDEX(,YIELDMAT(#REF!,OFFSET(INDEX(1,),,),#REF!,#REF!,#REF!,#REF!)))</f>
        <v>64</v>
      </c>
    </row>
    <row r="1384" spans="1:12" x14ac:dyDescent="0.55000000000000004">
      <c r="A1384" s="1" t="s">
        <v>1862</v>
      </c>
      <c r="B1384" s="2">
        <f>COUNTIF(A:A,A1384)-1</f>
        <v>6</v>
      </c>
      <c r="C1384" s="2">
        <f>COUNTIF(A$1:A1384,A1384)-1</f>
        <v>3</v>
      </c>
      <c r="D1384" s="2" t="str">
        <f t="shared" si="21"/>
        <v>vr</v>
      </c>
      <c r="E1384" s="2"/>
      <c r="F1384" s="2" t="e">
        <f>YIELDMAT(#REF!,#REF!,+F1384:G1384,#REF!,#REF!,#REF!)</f>
        <v>#REF!</v>
      </c>
      <c r="H1384" s="2" t="e">
        <f>YIELDMAT(#REF!,#REF!,H1384:I1384,#REF!,#REF!,#REF!)</f>
        <v>#REF!</v>
      </c>
      <c r="I1384" s="1">
        <v>1</v>
      </c>
      <c r="J1384" s="2" t="e">
        <f>YIELDMAT(#REF!,#REF!,INDIRECT(J1384:K1384),#REF!,#REF!,#REF!)</f>
        <v>#REF!</v>
      </c>
      <c r="L1384" s="2">
        <f>TYPE(INDEX(,YIELDMAT(#REF!,#REF!,OFFSET(INDEX(1,),,),#REF!,#REF!,#REF!)))</f>
        <v>64</v>
      </c>
    </row>
    <row r="1385" spans="1:12" x14ac:dyDescent="0.55000000000000004">
      <c r="A1385" s="1" t="s">
        <v>1862</v>
      </c>
      <c r="B1385" s="2">
        <f>COUNTIF(A:A,A1385)-1</f>
        <v>6</v>
      </c>
      <c r="C1385" s="2">
        <f>COUNTIF(A$1:A1385,A1385)-1</f>
        <v>4</v>
      </c>
      <c r="D1385" s="2" t="str">
        <f t="shared" si="21"/>
        <v>vr</v>
      </c>
      <c r="E1385" s="2"/>
      <c r="F1385" s="2" t="e">
        <f>YIELDMAT(#REF!,#REF!,#REF!,+F1385:G1385,#REF!,#REF!)</f>
        <v>#REF!</v>
      </c>
      <c r="H1385" s="2" t="e">
        <f>YIELDMAT(#REF!,#REF!,#REF!,H1385:I1385,#REF!,#REF!)</f>
        <v>#REF!</v>
      </c>
      <c r="I1385" s="1">
        <v>1</v>
      </c>
      <c r="J1385" s="2" t="e">
        <f>YIELDMAT(#REF!,#REF!,#REF!,INDIRECT(J1385:K1385),#REF!,#REF!)</f>
        <v>#REF!</v>
      </c>
      <c r="L1385" s="2">
        <f>TYPE(INDEX(,YIELDMAT(#REF!,#REF!,#REF!,OFFSET(INDEX(1,),,),#REF!,#REF!)))</f>
        <v>64</v>
      </c>
    </row>
    <row r="1386" spans="1:12" x14ac:dyDescent="0.55000000000000004">
      <c r="A1386" s="1" t="s">
        <v>1862</v>
      </c>
      <c r="B1386" s="2">
        <f>COUNTIF(A:A,A1386)-1</f>
        <v>6</v>
      </c>
      <c r="C1386" s="2">
        <f>COUNTIF(A$1:A1386,A1386)-1</f>
        <v>5</v>
      </c>
      <c r="D1386" s="2" t="str">
        <f t="shared" si="21"/>
        <v>vr</v>
      </c>
      <c r="E1386" s="2" t="e">
        <f>YIELDMAT(#REF!,#REF!,#REF!,#REF!,#REF!)</f>
        <v>#REF!</v>
      </c>
      <c r="F1386" s="2" t="e">
        <f>YIELDMAT(#REF!,#REF!,#REF!,#REF!,+F1386:G1386,#REF!)</f>
        <v>#REF!</v>
      </c>
      <c r="H1386" s="2" t="e">
        <f>YIELDMAT(#REF!,#REF!,#REF!,#REF!,H1386:I1386,#REF!)</f>
        <v>#REF!</v>
      </c>
      <c r="I1386" s="1">
        <v>1</v>
      </c>
      <c r="J1386" s="2" t="e">
        <f>YIELDMAT(#REF!,#REF!,#REF!,#REF!,INDIRECT(J1386:K1386),#REF!)</f>
        <v>#REF!</v>
      </c>
      <c r="L1386" s="2">
        <f>TYPE(INDEX(,YIELDMAT(#REF!,#REF!,#REF!,#REF!,OFFSET(INDEX(1,),,),#REF!)))</f>
        <v>64</v>
      </c>
    </row>
    <row r="1387" spans="1:12" x14ac:dyDescent="0.55000000000000004">
      <c r="A1387" s="1" t="s">
        <v>1862</v>
      </c>
      <c r="B1387" s="2">
        <f>COUNTIF(A:A,A1387)-1</f>
        <v>6</v>
      </c>
      <c r="C1387" s="2">
        <f>COUNTIF(A$1:A1387,A1387)-1</f>
        <v>6</v>
      </c>
      <c r="D1387" s="2" t="str">
        <f t="shared" si="21"/>
        <v>vr</v>
      </c>
      <c r="E1387" s="2" t="e">
        <f>YIELDMAT(#REF!,#REF!,#REF!,#REF!,#REF!,#REF!)</f>
        <v>#REF!</v>
      </c>
      <c r="F1387" s="2" t="e">
        <f>YIELDMAT(#REF!,#REF!,#REF!,#REF!,#REF!,+F1387:G1387)</f>
        <v>#REF!</v>
      </c>
      <c r="H1387" s="2" t="e">
        <f>YIELDMAT(#REF!,#REF!,#REF!,#REF!,#REF!,H1387:I1387)</f>
        <v>#VALUE!</v>
      </c>
      <c r="I1387" s="1">
        <v>1</v>
      </c>
      <c r="J1387" s="2" t="e">
        <f>YIELDMAT(#REF!,#REF!,#REF!,#REF!,#REF!,INDIRECT(J1387:K1387))</f>
        <v>#REF!</v>
      </c>
      <c r="L1387" s="2">
        <f>TYPE(INDEX(,YIELDMAT(#REF!,#REF!,#REF!,#REF!,#REF!,OFFSET(INDEX(1,),,))))</f>
        <v>64</v>
      </c>
    </row>
    <row r="1388" spans="1:12" x14ac:dyDescent="0.55000000000000004">
      <c r="A1388" s="1" t="s">
        <v>1863</v>
      </c>
      <c r="B1388" s="2">
        <f>COUNTIF(A:A,A1388)-1</f>
        <v>5</v>
      </c>
      <c r="C1388" s="2">
        <f>COUNTIF(A$1:A1388,A1388)-1</f>
        <v>0</v>
      </c>
      <c r="D1388" s="2" t="str">
        <f t="shared" si="21"/>
        <v/>
      </c>
      <c r="E1388" s="2"/>
      <c r="F1388" s="2"/>
      <c r="H1388" s="2"/>
      <c r="J1388" s="2"/>
      <c r="L1388" s="2"/>
    </row>
    <row r="1389" spans="1:12" x14ac:dyDescent="0.55000000000000004">
      <c r="A1389" s="1" t="s">
        <v>1863</v>
      </c>
      <c r="B1389" s="2">
        <f>COUNTIF(A:A,A1389)-1</f>
        <v>5</v>
      </c>
      <c r="C1389" s="2">
        <f>COUNTIF(A$1:A1389,A1389)-1</f>
        <v>1</v>
      </c>
      <c r="D1389" s="2" t="str">
        <f t="shared" si="21"/>
        <v>vr</v>
      </c>
      <c r="E1389" s="2"/>
      <c r="F1389" s="2" t="e">
        <f>INTRATE(+F1389:G1389,#REF!,#REF!,#REF!,#REF!)</f>
        <v>#REF!</v>
      </c>
      <c r="H1389" s="2" t="e">
        <f>INTRATE(H1389:I1389,#REF!,#REF!,#REF!,#REF!)</f>
        <v>#REF!</v>
      </c>
      <c r="I1389" s="1">
        <v>1</v>
      </c>
      <c r="J1389" s="2" t="e">
        <f>INTRATE(INDIRECT(J1389:K1389),#REF!,#REF!,#REF!,#REF!)</f>
        <v>#REF!</v>
      </c>
      <c r="L1389" s="2">
        <f>TYPE(INDEX(,INTRATE(OFFSET(INDEX(1,),,),#REF!,#REF!,#REF!,#REF!)))</f>
        <v>64</v>
      </c>
    </row>
    <row r="1390" spans="1:12" x14ac:dyDescent="0.55000000000000004">
      <c r="A1390" s="1" t="s">
        <v>1863</v>
      </c>
      <c r="B1390" s="2">
        <f>COUNTIF(A:A,A1390)-1</f>
        <v>5</v>
      </c>
      <c r="C1390" s="2">
        <f>COUNTIF(A$1:A1390,A1390)-1</f>
        <v>2</v>
      </c>
      <c r="D1390" s="2" t="str">
        <f t="shared" si="21"/>
        <v>vr</v>
      </c>
      <c r="E1390" s="2"/>
      <c r="F1390" s="2" t="e">
        <f>INTRATE(#REF!,+F1390:G1390,#REF!,#REF!,#REF!)</f>
        <v>#REF!</v>
      </c>
      <c r="H1390" s="2" t="e">
        <f>INTRATE(#REF!,H1390:I1390,#REF!,#REF!,#REF!)</f>
        <v>#REF!</v>
      </c>
      <c r="I1390" s="1">
        <v>1</v>
      </c>
      <c r="J1390" s="2" t="e">
        <f>INTRATE(#REF!,INDIRECT(J1390:K1390),#REF!,#REF!,#REF!)</f>
        <v>#REF!</v>
      </c>
      <c r="L1390" s="2">
        <f>TYPE(INDEX(,INTRATE(#REF!,OFFSET(INDEX(1,),,),#REF!,#REF!,#REF!)))</f>
        <v>64</v>
      </c>
    </row>
    <row r="1391" spans="1:12" x14ac:dyDescent="0.55000000000000004">
      <c r="A1391" s="1" t="s">
        <v>1863</v>
      </c>
      <c r="B1391" s="2">
        <f>COUNTIF(A:A,A1391)-1</f>
        <v>5</v>
      </c>
      <c r="C1391" s="2">
        <f>COUNTIF(A$1:A1391,A1391)-1</f>
        <v>3</v>
      </c>
      <c r="D1391" s="2" t="str">
        <f t="shared" si="21"/>
        <v>vr</v>
      </c>
      <c r="E1391" s="2"/>
      <c r="F1391" s="2" t="e">
        <f>INTRATE(#REF!,#REF!,+F1391:G1391,#REF!,#REF!)</f>
        <v>#REF!</v>
      </c>
      <c r="H1391" s="2" t="e">
        <f>INTRATE(#REF!,#REF!,H1391:I1391,#REF!,#REF!)</f>
        <v>#REF!</v>
      </c>
      <c r="I1391" s="1">
        <v>1</v>
      </c>
      <c r="J1391" s="2" t="e">
        <f>INTRATE(#REF!,#REF!,INDIRECT(J1391:K1391),#REF!,#REF!)</f>
        <v>#REF!</v>
      </c>
      <c r="L1391" s="2">
        <f>TYPE(INDEX(,INTRATE(#REF!,#REF!,OFFSET(INDEX(1,),,),#REF!,#REF!)))</f>
        <v>64</v>
      </c>
    </row>
    <row r="1392" spans="1:12" x14ac:dyDescent="0.55000000000000004">
      <c r="A1392" s="1" t="s">
        <v>1863</v>
      </c>
      <c r="B1392" s="2">
        <f>COUNTIF(A:A,A1392)-1</f>
        <v>5</v>
      </c>
      <c r="C1392" s="2">
        <f>COUNTIF(A$1:A1392,A1392)-1</f>
        <v>4</v>
      </c>
      <c r="D1392" s="2" t="str">
        <f t="shared" si="21"/>
        <v>vr</v>
      </c>
      <c r="E1392" s="2" t="e">
        <f>INTRATE(#REF!,#REF!,#REF!,#REF!)</f>
        <v>#REF!</v>
      </c>
      <c r="F1392" s="2" t="e">
        <f>INTRATE(#REF!,#REF!,#REF!,+F1392:G1392,#REF!)</f>
        <v>#REF!</v>
      </c>
      <c r="H1392" s="2" t="e">
        <f>INTRATE(#REF!,#REF!,#REF!,H1392:I1392,#REF!)</f>
        <v>#REF!</v>
      </c>
      <c r="I1392" s="1">
        <v>1</v>
      </c>
      <c r="J1392" s="2" t="e">
        <f>INTRATE(#REF!,#REF!,#REF!,INDIRECT(J1392:K1392),#REF!)</f>
        <v>#REF!</v>
      </c>
      <c r="L1392" s="2">
        <f>TYPE(INDEX(,INTRATE(#REF!,#REF!,#REF!,OFFSET(INDEX(1,),,),#REF!)))</f>
        <v>64</v>
      </c>
    </row>
    <row r="1393" spans="1:12" x14ac:dyDescent="0.55000000000000004">
      <c r="A1393" s="1" t="s">
        <v>1863</v>
      </c>
      <c r="B1393" s="2">
        <f>COUNTIF(A:A,A1393)-1</f>
        <v>5</v>
      </c>
      <c r="C1393" s="2">
        <f>COUNTIF(A$1:A1393,A1393)-1</f>
        <v>5</v>
      </c>
      <c r="D1393" s="2" t="str">
        <f t="shared" si="21"/>
        <v>vr</v>
      </c>
      <c r="E1393" s="2" t="e">
        <f>INTRATE(#REF!,#REF!,#REF!,#REF!,#REF!)</f>
        <v>#REF!</v>
      </c>
      <c r="F1393" s="2" t="e">
        <f>INTRATE(#REF!,#REF!,#REF!,#REF!,+F1393:G1393)</f>
        <v>#REF!</v>
      </c>
      <c r="H1393" s="2" t="e">
        <f>INTRATE(#REF!,#REF!,#REF!,#REF!,H1393:I1393)</f>
        <v>#VALUE!</v>
      </c>
      <c r="I1393" s="1">
        <v>1</v>
      </c>
      <c r="J1393" s="2" t="e">
        <f>INTRATE(#REF!,#REF!,#REF!,#REF!,INDIRECT(J1393:K1393))</f>
        <v>#REF!</v>
      </c>
      <c r="L1393" s="2">
        <f>TYPE(INDEX(,INTRATE(#REF!,#REF!,#REF!,#REF!,OFFSET(INDEX(1,),,))))</f>
        <v>64</v>
      </c>
    </row>
    <row r="1394" spans="1:12" x14ac:dyDescent="0.55000000000000004">
      <c r="A1394" s="1" t="s">
        <v>1864</v>
      </c>
      <c r="B1394" s="2">
        <f>COUNTIF(A:A,A1394)-1</f>
        <v>5</v>
      </c>
      <c r="C1394" s="2">
        <f>COUNTIF(A$1:A1394,A1394)-1</f>
        <v>0</v>
      </c>
      <c r="D1394" s="2" t="str">
        <f t="shared" si="21"/>
        <v/>
      </c>
      <c r="E1394" s="2"/>
      <c r="F1394" s="2"/>
      <c r="H1394" s="2"/>
      <c r="J1394" s="2"/>
      <c r="L1394" s="2"/>
    </row>
    <row r="1395" spans="1:12" x14ac:dyDescent="0.55000000000000004">
      <c r="A1395" s="1" t="s">
        <v>1864</v>
      </c>
      <c r="B1395" s="2">
        <f>COUNTIF(A:A,A1395)-1</f>
        <v>5</v>
      </c>
      <c r="C1395" s="2">
        <f>COUNTIF(A$1:A1395,A1395)-1</f>
        <v>1</v>
      </c>
      <c r="D1395" s="2" t="str">
        <f t="shared" si="21"/>
        <v>vr</v>
      </c>
      <c r="E1395" s="2"/>
      <c r="F1395" s="2" t="e">
        <f>RECEIVED(+F1395:G1395,#REF!,#REF!,#REF!,#REF!)</f>
        <v>#REF!</v>
      </c>
      <c r="H1395" s="2" t="e">
        <f>RECEIVED(H1395:I1395,#REF!,#REF!,#REF!,#REF!)</f>
        <v>#REF!</v>
      </c>
      <c r="I1395" s="1">
        <v>1</v>
      </c>
      <c r="J1395" s="2" t="e">
        <f>RECEIVED(INDIRECT(J1395:K1395),#REF!,#REF!,#REF!,#REF!)</f>
        <v>#REF!</v>
      </c>
      <c r="L1395" s="2">
        <f>TYPE(INDEX(,RECEIVED(OFFSET(INDEX(1,),,),#REF!,#REF!,#REF!,#REF!)))</f>
        <v>64</v>
      </c>
    </row>
    <row r="1396" spans="1:12" x14ac:dyDescent="0.55000000000000004">
      <c r="A1396" s="1" t="s">
        <v>1864</v>
      </c>
      <c r="B1396" s="2">
        <f>COUNTIF(A:A,A1396)-1</f>
        <v>5</v>
      </c>
      <c r="C1396" s="2">
        <f>COUNTIF(A$1:A1396,A1396)-1</f>
        <v>2</v>
      </c>
      <c r="D1396" s="2" t="str">
        <f t="shared" si="21"/>
        <v>vr</v>
      </c>
      <c r="E1396" s="2"/>
      <c r="F1396" s="2" t="e">
        <f>RECEIVED(#REF!,+F1396:G1396,#REF!,#REF!,#REF!)</f>
        <v>#REF!</v>
      </c>
      <c r="H1396" s="2" t="e">
        <f>RECEIVED(#REF!,H1396:I1396,#REF!,#REF!,#REF!)</f>
        <v>#REF!</v>
      </c>
      <c r="I1396" s="1">
        <v>1</v>
      </c>
      <c r="J1396" s="2" t="e">
        <f>RECEIVED(#REF!,INDIRECT(J1396:K1396),#REF!,#REF!,#REF!)</f>
        <v>#REF!</v>
      </c>
      <c r="L1396" s="2">
        <f>TYPE(INDEX(,RECEIVED(#REF!,OFFSET(INDEX(1,),,),#REF!,#REF!,#REF!)))</f>
        <v>64</v>
      </c>
    </row>
    <row r="1397" spans="1:12" x14ac:dyDescent="0.55000000000000004">
      <c r="A1397" s="1" t="s">
        <v>1864</v>
      </c>
      <c r="B1397" s="2">
        <f>COUNTIF(A:A,A1397)-1</f>
        <v>5</v>
      </c>
      <c r="C1397" s="2">
        <f>COUNTIF(A$1:A1397,A1397)-1</f>
        <v>3</v>
      </c>
      <c r="D1397" s="2" t="str">
        <f t="shared" si="21"/>
        <v>vr</v>
      </c>
      <c r="E1397" s="2"/>
      <c r="F1397" s="2" t="e">
        <f>RECEIVED(#REF!,#REF!,+F1397:G1397,#REF!,#REF!)</f>
        <v>#REF!</v>
      </c>
      <c r="H1397" s="2" t="e">
        <f>RECEIVED(#REF!,#REF!,H1397:I1397,#REF!,#REF!)</f>
        <v>#REF!</v>
      </c>
      <c r="I1397" s="1">
        <v>1</v>
      </c>
      <c r="J1397" s="2" t="e">
        <f>RECEIVED(#REF!,#REF!,INDIRECT(J1397:K1397),#REF!,#REF!)</f>
        <v>#REF!</v>
      </c>
      <c r="L1397" s="2">
        <f>TYPE(INDEX(,RECEIVED(#REF!,#REF!,OFFSET(INDEX(1,),,),#REF!,#REF!)))</f>
        <v>64</v>
      </c>
    </row>
    <row r="1398" spans="1:12" x14ac:dyDescent="0.55000000000000004">
      <c r="A1398" s="1" t="s">
        <v>1864</v>
      </c>
      <c r="B1398" s="2">
        <f>COUNTIF(A:A,A1398)-1</f>
        <v>5</v>
      </c>
      <c r="C1398" s="2">
        <f>COUNTIF(A$1:A1398,A1398)-1</f>
        <v>4</v>
      </c>
      <c r="D1398" s="2" t="str">
        <f t="shared" si="21"/>
        <v>vr</v>
      </c>
      <c r="E1398" s="2" t="e">
        <f>RECEIVED(#REF!,#REF!,#REF!,#REF!)</f>
        <v>#REF!</v>
      </c>
      <c r="F1398" s="2" t="e">
        <f>RECEIVED(#REF!,#REF!,#REF!,+F1398:G1398,#REF!)</f>
        <v>#REF!</v>
      </c>
      <c r="H1398" s="2" t="e">
        <f>RECEIVED(#REF!,#REF!,#REF!,H1398:I1398,#REF!)</f>
        <v>#REF!</v>
      </c>
      <c r="I1398" s="1">
        <v>1</v>
      </c>
      <c r="J1398" s="2" t="e">
        <f>RECEIVED(#REF!,#REF!,#REF!,INDIRECT(J1398:K1398),#REF!)</f>
        <v>#REF!</v>
      </c>
      <c r="L1398" s="2">
        <f>TYPE(INDEX(,RECEIVED(#REF!,#REF!,#REF!,OFFSET(INDEX(1,),,),#REF!)))</f>
        <v>64</v>
      </c>
    </row>
    <row r="1399" spans="1:12" x14ac:dyDescent="0.55000000000000004">
      <c r="A1399" s="1" t="s">
        <v>1864</v>
      </c>
      <c r="B1399" s="2">
        <f>COUNTIF(A:A,A1399)-1</f>
        <v>5</v>
      </c>
      <c r="C1399" s="2">
        <f>COUNTIF(A$1:A1399,A1399)-1</f>
        <v>5</v>
      </c>
      <c r="D1399" s="2" t="str">
        <f t="shared" si="21"/>
        <v>vr</v>
      </c>
      <c r="E1399" s="2" t="e">
        <f>RECEIVED(#REF!,#REF!,#REF!,#REF!,#REF!)</f>
        <v>#REF!</v>
      </c>
      <c r="F1399" s="2" t="e">
        <f>RECEIVED(#REF!,#REF!,#REF!,#REF!,+F1399:G1399)</f>
        <v>#REF!</v>
      </c>
      <c r="H1399" s="2" t="e">
        <f>RECEIVED(#REF!,#REF!,#REF!,#REF!,H1399:I1399)</f>
        <v>#VALUE!</v>
      </c>
      <c r="I1399" s="1">
        <v>1</v>
      </c>
      <c r="J1399" s="2" t="e">
        <f>RECEIVED(#REF!,#REF!,#REF!,#REF!,INDIRECT(J1399:K1399))</f>
        <v>#REF!</v>
      </c>
      <c r="L1399" s="2">
        <f>TYPE(INDEX(,RECEIVED(#REF!,#REF!,#REF!,#REF!,OFFSET(INDEX(1,),,))))</f>
        <v>64</v>
      </c>
    </row>
    <row r="1400" spans="1:12" x14ac:dyDescent="0.55000000000000004">
      <c r="A1400" s="1" t="s">
        <v>1865</v>
      </c>
      <c r="B1400" s="2">
        <f>COUNTIF(A:A,A1400)-1</f>
        <v>5</v>
      </c>
      <c r="C1400" s="2">
        <f>COUNTIF(A$1:A1400,A1400)-1</f>
        <v>0</v>
      </c>
      <c r="D1400" s="2" t="str">
        <f t="shared" si="21"/>
        <v/>
      </c>
      <c r="E1400" s="2"/>
      <c r="F1400" s="2"/>
      <c r="H1400" s="2"/>
      <c r="J1400" s="2"/>
      <c r="L1400" s="2"/>
    </row>
    <row r="1401" spans="1:12" x14ac:dyDescent="0.55000000000000004">
      <c r="A1401" s="1" t="s">
        <v>1865</v>
      </c>
      <c r="B1401" s="2">
        <f>COUNTIF(A:A,A1401)-1</f>
        <v>5</v>
      </c>
      <c r="C1401" s="2">
        <f>COUNTIF(A$1:A1401,A1401)-1</f>
        <v>1</v>
      </c>
      <c r="D1401" s="2" t="str">
        <f t="shared" si="21"/>
        <v>vr</v>
      </c>
      <c r="E1401" s="2"/>
      <c r="F1401" s="2" t="e">
        <f>DISC(+F1401:G1401,#REF!,#REF!,#REF!,#REF!)</f>
        <v>#REF!</v>
      </c>
      <c r="H1401" s="2" t="e">
        <f>DISC(H1401:I1401,#REF!,#REF!,#REF!,#REF!)</f>
        <v>#REF!</v>
      </c>
      <c r="I1401" s="1">
        <v>1</v>
      </c>
      <c r="J1401" s="2" t="e">
        <f>DISC(INDIRECT(J1401:K1401),#REF!,#REF!,#REF!,#REF!)</f>
        <v>#REF!</v>
      </c>
      <c r="L1401" s="2">
        <f>TYPE(INDEX(,DISC(OFFSET(INDEX(1,),,),#REF!,#REF!,#REF!,#REF!)))</f>
        <v>64</v>
      </c>
    </row>
    <row r="1402" spans="1:12" x14ac:dyDescent="0.55000000000000004">
      <c r="A1402" s="1" t="s">
        <v>1865</v>
      </c>
      <c r="B1402" s="2">
        <f>COUNTIF(A:A,A1402)-1</f>
        <v>5</v>
      </c>
      <c r="C1402" s="2">
        <f>COUNTIF(A$1:A1402,A1402)-1</f>
        <v>2</v>
      </c>
      <c r="D1402" s="2" t="str">
        <f t="shared" si="21"/>
        <v>vr</v>
      </c>
      <c r="E1402" s="2"/>
      <c r="F1402" s="2" t="e">
        <f>DISC(#REF!,+F1402:G1402,#REF!,#REF!,#REF!)</f>
        <v>#REF!</v>
      </c>
      <c r="H1402" s="2" t="e">
        <f>DISC(#REF!,H1402:I1402,#REF!,#REF!,#REF!)</f>
        <v>#REF!</v>
      </c>
      <c r="I1402" s="1">
        <v>1</v>
      </c>
      <c r="J1402" s="2" t="e">
        <f>DISC(#REF!,INDIRECT(J1402:K1402),#REF!,#REF!,#REF!)</f>
        <v>#REF!</v>
      </c>
      <c r="L1402" s="2">
        <f>TYPE(INDEX(,DISC(#REF!,OFFSET(INDEX(1,),,),#REF!,#REF!,#REF!)))</f>
        <v>64</v>
      </c>
    </row>
    <row r="1403" spans="1:12" x14ac:dyDescent="0.55000000000000004">
      <c r="A1403" s="1" t="s">
        <v>1865</v>
      </c>
      <c r="B1403" s="2">
        <f>COUNTIF(A:A,A1403)-1</f>
        <v>5</v>
      </c>
      <c r="C1403" s="2">
        <f>COUNTIF(A$1:A1403,A1403)-1</f>
        <v>3</v>
      </c>
      <c r="D1403" s="2" t="str">
        <f t="shared" si="21"/>
        <v>vr</v>
      </c>
      <c r="E1403" s="2"/>
      <c r="F1403" s="2" t="e">
        <f>DISC(#REF!,#REF!,+F1403:G1403,#REF!,#REF!)</f>
        <v>#REF!</v>
      </c>
      <c r="H1403" s="2" t="e">
        <f>DISC(#REF!,#REF!,H1403:I1403,#REF!,#REF!)</f>
        <v>#REF!</v>
      </c>
      <c r="I1403" s="1">
        <v>1</v>
      </c>
      <c r="J1403" s="2" t="e">
        <f>DISC(#REF!,#REF!,INDIRECT(J1403:K1403),#REF!,#REF!)</f>
        <v>#REF!</v>
      </c>
      <c r="L1403" s="2">
        <f>TYPE(INDEX(,DISC(#REF!,#REF!,OFFSET(INDEX(1,),,),#REF!,#REF!)))</f>
        <v>64</v>
      </c>
    </row>
    <row r="1404" spans="1:12" x14ac:dyDescent="0.55000000000000004">
      <c r="A1404" s="1" t="s">
        <v>1865</v>
      </c>
      <c r="B1404" s="2">
        <f>COUNTIF(A:A,A1404)-1</f>
        <v>5</v>
      </c>
      <c r="C1404" s="2">
        <f>COUNTIF(A$1:A1404,A1404)-1</f>
        <v>4</v>
      </c>
      <c r="D1404" s="2" t="str">
        <f t="shared" si="21"/>
        <v>vr</v>
      </c>
      <c r="E1404" s="2" t="e">
        <f>DISC(#REF!,#REF!,#REF!,#REF!)</f>
        <v>#REF!</v>
      </c>
      <c r="F1404" s="2" t="e">
        <f>DISC(#REF!,#REF!,#REF!,+F1404:G1404,#REF!)</f>
        <v>#REF!</v>
      </c>
      <c r="H1404" s="2" t="e">
        <f>DISC(#REF!,#REF!,#REF!,H1404:I1404,#REF!)</f>
        <v>#REF!</v>
      </c>
      <c r="I1404" s="1">
        <v>1</v>
      </c>
      <c r="J1404" s="2" t="e">
        <f>DISC(#REF!,#REF!,#REF!,INDIRECT(J1404:K1404),#REF!)</f>
        <v>#REF!</v>
      </c>
      <c r="L1404" s="2">
        <f>TYPE(INDEX(,DISC(#REF!,#REF!,#REF!,OFFSET(INDEX(1,),,),#REF!)))</f>
        <v>64</v>
      </c>
    </row>
    <row r="1405" spans="1:12" x14ac:dyDescent="0.55000000000000004">
      <c r="A1405" s="1" t="s">
        <v>1865</v>
      </c>
      <c r="B1405" s="2">
        <f>COUNTIF(A:A,A1405)-1</f>
        <v>5</v>
      </c>
      <c r="C1405" s="2">
        <f>COUNTIF(A$1:A1405,A1405)-1</f>
        <v>5</v>
      </c>
      <c r="D1405" s="2" t="str">
        <f t="shared" si="21"/>
        <v>vr</v>
      </c>
      <c r="E1405" s="2" t="e">
        <f>DISC(#REF!,#REF!,#REF!,#REF!,#REF!)</f>
        <v>#REF!</v>
      </c>
      <c r="F1405" s="2" t="e">
        <f>DISC(#REF!,#REF!,#REF!,#REF!,+F1405:G1405)</f>
        <v>#REF!</v>
      </c>
      <c r="H1405" s="2" t="e">
        <f>DISC(#REF!,#REF!,#REF!,#REF!,H1405:I1405)</f>
        <v>#VALUE!</v>
      </c>
      <c r="I1405" s="1">
        <v>1</v>
      </c>
      <c r="J1405" s="2" t="e">
        <f>DISC(#REF!,#REF!,#REF!,#REF!,INDIRECT(J1405:K1405))</f>
        <v>#REF!</v>
      </c>
      <c r="L1405" s="2">
        <f>TYPE(INDEX(,DISC(#REF!,#REF!,#REF!,#REF!,OFFSET(INDEX(1,),,))))</f>
        <v>64</v>
      </c>
    </row>
    <row r="1406" spans="1:12" x14ac:dyDescent="0.55000000000000004">
      <c r="A1406" s="1" t="s">
        <v>1866</v>
      </c>
      <c r="B1406" s="2">
        <f>COUNTIF(A:A,A1406)-1</f>
        <v>5</v>
      </c>
      <c r="C1406" s="2">
        <f>COUNTIF(A$1:A1406,A1406)-1</f>
        <v>0</v>
      </c>
      <c r="D1406" s="2" t="str">
        <f t="shared" si="21"/>
        <v/>
      </c>
      <c r="E1406" s="2"/>
      <c r="F1406" s="2"/>
      <c r="H1406" s="2"/>
      <c r="J1406" s="2"/>
      <c r="L1406" s="2"/>
    </row>
    <row r="1407" spans="1:12" x14ac:dyDescent="0.55000000000000004">
      <c r="A1407" s="1" t="s">
        <v>1866</v>
      </c>
      <c r="B1407" s="2">
        <f>COUNTIF(A:A,A1407)-1</f>
        <v>5</v>
      </c>
      <c r="C1407" s="2">
        <f>COUNTIF(A$1:A1407,A1407)-1</f>
        <v>1</v>
      </c>
      <c r="D1407" s="2" t="str">
        <f t="shared" si="21"/>
        <v>vr</v>
      </c>
      <c r="E1407" s="2"/>
      <c r="F1407" s="2" t="e">
        <f>PRICEDISC(+F1407:G1407,#REF!,#REF!,#REF!,#REF!)</f>
        <v>#REF!</v>
      </c>
      <c r="H1407" s="2" t="e">
        <f>PRICEDISC(H1407:I1407,#REF!,#REF!,#REF!,#REF!)</f>
        <v>#REF!</v>
      </c>
      <c r="I1407" s="1">
        <v>1</v>
      </c>
      <c r="J1407" s="2" t="e">
        <f>PRICEDISC(INDIRECT(J1407:K1407),#REF!,#REF!,#REF!,#REF!)</f>
        <v>#REF!</v>
      </c>
      <c r="L1407" s="2">
        <f>TYPE(INDEX(,PRICEDISC(OFFSET(INDEX(1,),,),#REF!,#REF!,#REF!,#REF!)))</f>
        <v>64</v>
      </c>
    </row>
    <row r="1408" spans="1:12" x14ac:dyDescent="0.55000000000000004">
      <c r="A1408" s="1" t="s">
        <v>1866</v>
      </c>
      <c r="B1408" s="2">
        <f>COUNTIF(A:A,A1408)-1</f>
        <v>5</v>
      </c>
      <c r="C1408" s="2">
        <f>COUNTIF(A$1:A1408,A1408)-1</f>
        <v>2</v>
      </c>
      <c r="D1408" s="2" t="str">
        <f t="shared" si="21"/>
        <v>vr</v>
      </c>
      <c r="E1408" s="2"/>
      <c r="F1408" s="2" t="e">
        <f>PRICEDISC(#REF!,+F1408:G1408,#REF!,#REF!,#REF!)</f>
        <v>#REF!</v>
      </c>
      <c r="H1408" s="2" t="e">
        <f>PRICEDISC(#REF!,H1408:I1408,#REF!,#REF!,#REF!)</f>
        <v>#REF!</v>
      </c>
      <c r="I1408" s="1">
        <v>1</v>
      </c>
      <c r="J1408" s="2" t="e">
        <f>PRICEDISC(#REF!,INDIRECT(J1408:K1408),#REF!,#REF!,#REF!)</f>
        <v>#REF!</v>
      </c>
      <c r="L1408" s="2">
        <f>TYPE(INDEX(,PRICEDISC(#REF!,OFFSET(INDEX(1,),,),#REF!,#REF!,#REF!)))</f>
        <v>64</v>
      </c>
    </row>
    <row r="1409" spans="1:12" x14ac:dyDescent="0.55000000000000004">
      <c r="A1409" s="1" t="s">
        <v>1866</v>
      </c>
      <c r="B1409" s="2">
        <f>COUNTIF(A:A,A1409)-1</f>
        <v>5</v>
      </c>
      <c r="C1409" s="2">
        <f>COUNTIF(A$1:A1409,A1409)-1</f>
        <v>3</v>
      </c>
      <c r="D1409" s="2" t="str">
        <f t="shared" si="21"/>
        <v>vr</v>
      </c>
      <c r="E1409" s="2"/>
      <c r="F1409" s="2" t="e">
        <f>PRICEDISC(#REF!,#REF!,+F1409:G1409,#REF!,#REF!)</f>
        <v>#REF!</v>
      </c>
      <c r="H1409" s="2" t="e">
        <f>PRICEDISC(#REF!,#REF!,H1409:I1409,#REF!,#REF!)</f>
        <v>#REF!</v>
      </c>
      <c r="I1409" s="1">
        <v>1</v>
      </c>
      <c r="J1409" s="2" t="e">
        <f>PRICEDISC(#REF!,#REF!,INDIRECT(J1409:K1409),#REF!,#REF!)</f>
        <v>#REF!</v>
      </c>
      <c r="L1409" s="2">
        <f>TYPE(INDEX(,PRICEDISC(#REF!,#REF!,OFFSET(INDEX(1,),,),#REF!,#REF!)))</f>
        <v>64</v>
      </c>
    </row>
    <row r="1410" spans="1:12" x14ac:dyDescent="0.55000000000000004">
      <c r="A1410" s="1" t="s">
        <v>1866</v>
      </c>
      <c r="B1410" s="2">
        <f>COUNTIF(A:A,A1410)-1</f>
        <v>5</v>
      </c>
      <c r="C1410" s="2">
        <f>COUNTIF(A$1:A1410,A1410)-1</f>
        <v>4</v>
      </c>
      <c r="D1410" s="2" t="str">
        <f t="shared" ref="D1410:D1473" si="22">IF(C1410&gt;0,IF(COUNTA(F1410:G1410)=1,"v",)&amp;IF(L1410=64,,"a")&amp;IF(COUNTA(I1410,K1410)=1,"r",),"")</f>
        <v>vr</v>
      </c>
      <c r="E1410" s="2" t="e">
        <f>PRICEDISC(#REF!,#REF!,#REF!,#REF!)</f>
        <v>#REF!</v>
      </c>
      <c r="F1410" s="2" t="e">
        <f>PRICEDISC(#REF!,#REF!,#REF!,+F1410:G1410,#REF!)</f>
        <v>#REF!</v>
      </c>
      <c r="H1410" s="2" t="e">
        <f>PRICEDISC(#REF!,#REF!,#REF!,H1410:I1410,#REF!)</f>
        <v>#REF!</v>
      </c>
      <c r="I1410" s="1">
        <v>1</v>
      </c>
      <c r="J1410" s="2" t="e">
        <f>PRICEDISC(#REF!,#REF!,#REF!,INDIRECT(J1410:K1410),#REF!)</f>
        <v>#REF!</v>
      </c>
      <c r="L1410" s="2">
        <f>TYPE(INDEX(,PRICEDISC(#REF!,#REF!,#REF!,OFFSET(INDEX(1,),,),#REF!)))</f>
        <v>64</v>
      </c>
    </row>
    <row r="1411" spans="1:12" x14ac:dyDescent="0.55000000000000004">
      <c r="A1411" s="1" t="s">
        <v>1866</v>
      </c>
      <c r="B1411" s="2">
        <f>COUNTIF(A:A,A1411)-1</f>
        <v>5</v>
      </c>
      <c r="C1411" s="2">
        <f>COUNTIF(A$1:A1411,A1411)-1</f>
        <v>5</v>
      </c>
      <c r="D1411" s="2" t="str">
        <f t="shared" si="22"/>
        <v>vr</v>
      </c>
      <c r="E1411" s="2" t="e">
        <f>PRICEDISC(#REF!,#REF!,#REF!,#REF!,#REF!)</f>
        <v>#REF!</v>
      </c>
      <c r="F1411" s="2" t="e">
        <f>PRICEDISC(#REF!,#REF!,#REF!,#REF!,+F1411:G1411)</f>
        <v>#REF!</v>
      </c>
      <c r="H1411" s="2" t="e">
        <f>PRICEDISC(#REF!,#REF!,#REF!,#REF!,H1411:I1411)</f>
        <v>#VALUE!</v>
      </c>
      <c r="I1411" s="1">
        <v>1</v>
      </c>
      <c r="J1411" s="2" t="e">
        <f>PRICEDISC(#REF!,#REF!,#REF!,#REF!,INDIRECT(J1411:K1411))</f>
        <v>#REF!</v>
      </c>
      <c r="L1411" s="2">
        <f>TYPE(INDEX(,PRICEDISC(#REF!,#REF!,#REF!,#REF!,OFFSET(INDEX(1,),,))))</f>
        <v>64</v>
      </c>
    </row>
    <row r="1412" spans="1:12" x14ac:dyDescent="0.55000000000000004">
      <c r="A1412" s="1" t="s">
        <v>1867</v>
      </c>
      <c r="B1412" s="2">
        <f>COUNTIF(A:A,A1412)-1</f>
        <v>5</v>
      </c>
      <c r="C1412" s="2">
        <f>COUNTIF(A$1:A1412,A1412)-1</f>
        <v>0</v>
      </c>
      <c r="D1412" s="2" t="str">
        <f t="shared" si="22"/>
        <v/>
      </c>
      <c r="E1412" s="2"/>
      <c r="F1412" s="2"/>
      <c r="H1412" s="2"/>
      <c r="J1412" s="2"/>
      <c r="L1412" s="2"/>
    </row>
    <row r="1413" spans="1:12" x14ac:dyDescent="0.55000000000000004">
      <c r="A1413" s="1" t="s">
        <v>1867</v>
      </c>
      <c r="B1413" s="2">
        <f>COUNTIF(A:A,A1413)-1</f>
        <v>5</v>
      </c>
      <c r="C1413" s="2">
        <f>COUNTIF(A$1:A1413,A1413)-1</f>
        <v>1</v>
      </c>
      <c r="D1413" s="2" t="str">
        <f t="shared" si="22"/>
        <v>vr</v>
      </c>
      <c r="E1413" s="2"/>
      <c r="F1413" s="2" t="e">
        <f>YIELDDISC(+F1413:G1413,#REF!,#REF!,#REF!,#REF!)</f>
        <v>#REF!</v>
      </c>
      <c r="H1413" s="2" t="e">
        <f>YIELDDISC(H1413:I1413,#REF!,#REF!,#REF!,#REF!)</f>
        <v>#REF!</v>
      </c>
      <c r="I1413" s="1">
        <v>1</v>
      </c>
      <c r="J1413" s="2" t="e">
        <f>YIELDDISC(INDIRECT(J1413:K1413),#REF!,#REF!,#REF!,#REF!)</f>
        <v>#REF!</v>
      </c>
      <c r="L1413" s="2">
        <f>TYPE(INDEX(,YIELDDISC(OFFSET(INDEX(1,),,),#REF!,#REF!,#REF!,#REF!)))</f>
        <v>64</v>
      </c>
    </row>
    <row r="1414" spans="1:12" x14ac:dyDescent="0.55000000000000004">
      <c r="A1414" s="1" t="s">
        <v>1867</v>
      </c>
      <c r="B1414" s="2">
        <f>COUNTIF(A:A,A1414)-1</f>
        <v>5</v>
      </c>
      <c r="C1414" s="2">
        <f>COUNTIF(A$1:A1414,A1414)-1</f>
        <v>2</v>
      </c>
      <c r="D1414" s="2" t="str">
        <f t="shared" si="22"/>
        <v>vr</v>
      </c>
      <c r="E1414" s="2"/>
      <c r="F1414" s="2" t="e">
        <f>YIELDDISC(#REF!,+F1414:G1414,#REF!,#REF!,#REF!)</f>
        <v>#REF!</v>
      </c>
      <c r="H1414" s="2" t="e">
        <f>YIELDDISC(#REF!,H1414:I1414,#REF!,#REF!,#REF!)</f>
        <v>#REF!</v>
      </c>
      <c r="I1414" s="1">
        <v>1</v>
      </c>
      <c r="J1414" s="2" t="e">
        <f>YIELDDISC(#REF!,INDIRECT(J1414:K1414),#REF!,#REF!,#REF!)</f>
        <v>#REF!</v>
      </c>
      <c r="L1414" s="2">
        <f>TYPE(INDEX(,YIELDDISC(#REF!,OFFSET(INDEX(1,),,),#REF!,#REF!,#REF!)))</f>
        <v>64</v>
      </c>
    </row>
    <row r="1415" spans="1:12" x14ac:dyDescent="0.55000000000000004">
      <c r="A1415" s="1" t="s">
        <v>1867</v>
      </c>
      <c r="B1415" s="2">
        <f>COUNTIF(A:A,A1415)-1</f>
        <v>5</v>
      </c>
      <c r="C1415" s="2">
        <f>COUNTIF(A$1:A1415,A1415)-1</f>
        <v>3</v>
      </c>
      <c r="D1415" s="2" t="str">
        <f t="shared" si="22"/>
        <v>vr</v>
      </c>
      <c r="E1415" s="2"/>
      <c r="F1415" s="2" t="e">
        <f>YIELDDISC(#REF!,#REF!,+F1415:G1415,#REF!,#REF!)</f>
        <v>#REF!</v>
      </c>
      <c r="H1415" s="2" t="e">
        <f>YIELDDISC(#REF!,#REF!,H1415:I1415,#REF!,#REF!)</f>
        <v>#REF!</v>
      </c>
      <c r="I1415" s="1">
        <v>1</v>
      </c>
      <c r="J1415" s="2" t="e">
        <f>YIELDDISC(#REF!,#REF!,INDIRECT(J1415:K1415),#REF!,#REF!)</f>
        <v>#REF!</v>
      </c>
      <c r="L1415" s="2">
        <f>TYPE(INDEX(,YIELDDISC(#REF!,#REF!,OFFSET(INDEX(1,),,),#REF!,#REF!)))</f>
        <v>64</v>
      </c>
    </row>
    <row r="1416" spans="1:12" x14ac:dyDescent="0.55000000000000004">
      <c r="A1416" s="1" t="s">
        <v>1867</v>
      </c>
      <c r="B1416" s="2">
        <f>COUNTIF(A:A,A1416)-1</f>
        <v>5</v>
      </c>
      <c r="C1416" s="2">
        <f>COUNTIF(A$1:A1416,A1416)-1</f>
        <v>4</v>
      </c>
      <c r="D1416" s="2" t="str">
        <f t="shared" si="22"/>
        <v>vr</v>
      </c>
      <c r="E1416" s="2" t="e">
        <f>YIELDDISC(#REF!,#REF!,#REF!,#REF!)</f>
        <v>#REF!</v>
      </c>
      <c r="F1416" s="2" t="e">
        <f>YIELDDISC(#REF!,#REF!,#REF!,+F1416:G1416,#REF!)</f>
        <v>#REF!</v>
      </c>
      <c r="H1416" s="2" t="e">
        <f>YIELDDISC(#REF!,#REF!,#REF!,H1416:I1416,#REF!)</f>
        <v>#REF!</v>
      </c>
      <c r="I1416" s="1">
        <v>1</v>
      </c>
      <c r="J1416" s="2" t="e">
        <f>YIELDDISC(#REF!,#REF!,#REF!,INDIRECT(J1416:K1416),#REF!)</f>
        <v>#REF!</v>
      </c>
      <c r="L1416" s="2">
        <f>TYPE(INDEX(,YIELDDISC(#REF!,#REF!,#REF!,OFFSET(INDEX(1,),,),#REF!)))</f>
        <v>64</v>
      </c>
    </row>
    <row r="1417" spans="1:12" x14ac:dyDescent="0.55000000000000004">
      <c r="A1417" s="1" t="s">
        <v>1867</v>
      </c>
      <c r="B1417" s="2">
        <f>COUNTIF(A:A,A1417)-1</f>
        <v>5</v>
      </c>
      <c r="C1417" s="2">
        <f>COUNTIF(A$1:A1417,A1417)-1</f>
        <v>5</v>
      </c>
      <c r="D1417" s="2" t="str">
        <f t="shared" si="22"/>
        <v>vr</v>
      </c>
      <c r="E1417" s="2" t="e">
        <f>YIELDDISC(#REF!,#REF!,#REF!,#REF!,#REF!)</f>
        <v>#REF!</v>
      </c>
      <c r="F1417" s="2" t="e">
        <f>YIELDDISC(#REF!,#REF!,#REF!,#REF!,+F1417:G1417)</f>
        <v>#REF!</v>
      </c>
      <c r="H1417" s="2" t="e">
        <f>YIELDDISC(#REF!,#REF!,#REF!,#REF!,H1417:I1417)</f>
        <v>#VALUE!</v>
      </c>
      <c r="I1417" s="1">
        <v>1</v>
      </c>
      <c r="J1417" s="2" t="e">
        <f>YIELDDISC(#REF!,#REF!,#REF!,#REF!,INDIRECT(J1417:K1417))</f>
        <v>#REF!</v>
      </c>
      <c r="L1417" s="2">
        <f>TYPE(INDEX(,YIELDDISC(#REF!,#REF!,#REF!,#REF!,OFFSET(INDEX(1,),,))))</f>
        <v>64</v>
      </c>
    </row>
    <row r="1418" spans="1:12" x14ac:dyDescent="0.55000000000000004">
      <c r="A1418" s="1" t="s">
        <v>1868</v>
      </c>
      <c r="B1418" s="2">
        <f>COUNTIF(A:A,A1418)-1</f>
        <v>3</v>
      </c>
      <c r="C1418" s="2">
        <f>COUNTIF(A$1:A1418,A1418)-1</f>
        <v>0</v>
      </c>
      <c r="D1418" s="2" t="str">
        <f t="shared" si="22"/>
        <v/>
      </c>
      <c r="E1418" s="2"/>
      <c r="F1418" s="2"/>
      <c r="H1418" s="2"/>
      <c r="J1418" s="2"/>
      <c r="L1418" s="2"/>
    </row>
    <row r="1419" spans="1:12" x14ac:dyDescent="0.55000000000000004">
      <c r="A1419" s="1" t="s">
        <v>1868</v>
      </c>
      <c r="B1419" s="2">
        <f>COUNTIF(A:A,A1419)-1</f>
        <v>3</v>
      </c>
      <c r="C1419" s="2">
        <f>COUNTIF(A$1:A1419,A1419)-1</f>
        <v>1</v>
      </c>
      <c r="D1419" s="2" t="str">
        <f t="shared" si="22"/>
        <v>vr</v>
      </c>
      <c r="E1419" s="2"/>
      <c r="F1419" s="2" t="e">
        <f>TBILLEQ(+F1419:G1419,#REF!,#REF!)</f>
        <v>#REF!</v>
      </c>
      <c r="H1419" s="2" t="e">
        <f>TBILLEQ(H1419:I1419,#REF!,#REF!)</f>
        <v>#VALUE!</v>
      </c>
      <c r="I1419" s="1">
        <v>1</v>
      </c>
      <c r="J1419" s="2" t="e">
        <f>TBILLEQ(INDIRECT(J1419:K1419),#REF!,#REF!)</f>
        <v>#REF!</v>
      </c>
      <c r="L1419" s="2">
        <f>TYPE(INDEX(,TBILLEQ(OFFSET(INDEX(1,),,),#REF!,#REF!)))</f>
        <v>64</v>
      </c>
    </row>
    <row r="1420" spans="1:12" x14ac:dyDescent="0.55000000000000004">
      <c r="A1420" s="1" t="s">
        <v>1868</v>
      </c>
      <c r="B1420" s="2">
        <f>COUNTIF(A:A,A1420)-1</f>
        <v>3</v>
      </c>
      <c r="C1420" s="2">
        <f>COUNTIF(A$1:A1420,A1420)-1</f>
        <v>2</v>
      </c>
      <c r="D1420" s="2" t="str">
        <f t="shared" si="22"/>
        <v>vr</v>
      </c>
      <c r="E1420" s="2"/>
      <c r="F1420" s="2" t="e">
        <f>TBILLEQ(#REF!,+F1420:G1420,#REF!)</f>
        <v>#REF!</v>
      </c>
      <c r="H1420" s="2" t="e">
        <f>TBILLEQ(#REF!,H1420:I1420,#REF!)</f>
        <v>#REF!</v>
      </c>
      <c r="I1420" s="1">
        <v>1</v>
      </c>
      <c r="J1420" s="2" t="e">
        <f>TBILLEQ(#REF!,INDIRECT(J1420:K1420),#REF!)</f>
        <v>#REF!</v>
      </c>
      <c r="L1420" s="2">
        <f>TYPE(INDEX(,TBILLEQ(#REF!,OFFSET(INDEX(1,),,),#REF!)))</f>
        <v>64</v>
      </c>
    </row>
    <row r="1421" spans="1:12" x14ac:dyDescent="0.55000000000000004">
      <c r="A1421" s="1" t="s">
        <v>1868</v>
      </c>
      <c r="B1421" s="2">
        <f>COUNTIF(A:A,A1421)-1</f>
        <v>3</v>
      </c>
      <c r="C1421" s="2">
        <f>COUNTIF(A$1:A1421,A1421)-1</f>
        <v>3</v>
      </c>
      <c r="D1421" s="2" t="str">
        <f t="shared" si="22"/>
        <v>vr</v>
      </c>
      <c r="E1421" s="2" t="e">
        <f>TBILLEQ(#REF!,#REF!,#REF!)</f>
        <v>#REF!</v>
      </c>
      <c r="F1421" s="2" t="e">
        <f>TBILLEQ(#REF!,#REF!,+F1421:G1421)</f>
        <v>#REF!</v>
      </c>
      <c r="H1421" s="2" t="e">
        <f>TBILLEQ(#REF!,#REF!,H1421:I1421)</f>
        <v>#REF!</v>
      </c>
      <c r="I1421" s="1">
        <v>1</v>
      </c>
      <c r="J1421" s="2" t="e">
        <f>TBILLEQ(#REF!,#REF!,INDIRECT(J1421:K1421))</f>
        <v>#REF!</v>
      </c>
      <c r="L1421" s="2">
        <f>TYPE(INDEX(,TBILLEQ(#REF!,#REF!,OFFSET(INDEX(1,),,))))</f>
        <v>64</v>
      </c>
    </row>
    <row r="1422" spans="1:12" x14ac:dyDescent="0.55000000000000004">
      <c r="A1422" s="1" t="s">
        <v>1869</v>
      </c>
      <c r="B1422" s="2">
        <f>COUNTIF(A:A,A1422)-1</f>
        <v>3</v>
      </c>
      <c r="C1422" s="2">
        <f>COUNTIF(A$1:A1422,A1422)-1</f>
        <v>0</v>
      </c>
      <c r="D1422" s="2" t="str">
        <f t="shared" si="22"/>
        <v/>
      </c>
      <c r="E1422" s="2"/>
      <c r="F1422" s="2"/>
      <c r="H1422" s="2"/>
      <c r="J1422" s="2"/>
      <c r="L1422" s="2"/>
    </row>
    <row r="1423" spans="1:12" x14ac:dyDescent="0.55000000000000004">
      <c r="A1423" s="1" t="s">
        <v>1869</v>
      </c>
      <c r="B1423" s="2">
        <f>COUNTIF(A:A,A1423)-1</f>
        <v>3</v>
      </c>
      <c r="C1423" s="2">
        <f>COUNTIF(A$1:A1423,A1423)-1</f>
        <v>1</v>
      </c>
      <c r="D1423" s="2" t="str">
        <f t="shared" si="22"/>
        <v>vr</v>
      </c>
      <c r="E1423" s="2"/>
      <c r="F1423" s="2" t="e">
        <f>TBILLPRICE(+F1423:G1423,#REF!,#REF!)</f>
        <v>#REF!</v>
      </c>
      <c r="H1423" s="2" t="e">
        <f>TBILLPRICE(H1423:I1423,#REF!,#REF!)</f>
        <v>#VALUE!</v>
      </c>
      <c r="I1423" s="1">
        <v>1</v>
      </c>
      <c r="J1423" s="2" t="e">
        <f>TBILLPRICE(INDIRECT(J1423:K1423),#REF!,#REF!)</f>
        <v>#REF!</v>
      </c>
      <c r="L1423" s="2">
        <f>TYPE(INDEX(,TBILLPRICE(OFFSET(INDEX(1,),,),#REF!,#REF!)))</f>
        <v>64</v>
      </c>
    </row>
    <row r="1424" spans="1:12" x14ac:dyDescent="0.55000000000000004">
      <c r="A1424" s="1" t="s">
        <v>1869</v>
      </c>
      <c r="B1424" s="2">
        <f>COUNTIF(A:A,A1424)-1</f>
        <v>3</v>
      </c>
      <c r="C1424" s="2">
        <f>COUNTIF(A$1:A1424,A1424)-1</f>
        <v>2</v>
      </c>
      <c r="D1424" s="2" t="str">
        <f t="shared" si="22"/>
        <v>vr</v>
      </c>
      <c r="E1424" s="2"/>
      <c r="F1424" s="2" t="e">
        <f>TBILLPRICE(#REF!,+F1424:G1424,#REF!)</f>
        <v>#REF!</v>
      </c>
      <c r="H1424" s="2" t="e">
        <f>TBILLPRICE(#REF!,H1424:I1424,#REF!)</f>
        <v>#REF!</v>
      </c>
      <c r="I1424" s="1">
        <v>1</v>
      </c>
      <c r="J1424" s="2" t="e">
        <f>TBILLPRICE(#REF!,INDIRECT(J1424:K1424),#REF!)</f>
        <v>#REF!</v>
      </c>
      <c r="L1424" s="2">
        <f>TYPE(INDEX(,TBILLPRICE(#REF!,OFFSET(INDEX(1,),,),#REF!)))</f>
        <v>64</v>
      </c>
    </row>
    <row r="1425" spans="1:12" x14ac:dyDescent="0.55000000000000004">
      <c r="A1425" s="1" t="s">
        <v>1869</v>
      </c>
      <c r="B1425" s="2">
        <f>COUNTIF(A:A,A1425)-1</f>
        <v>3</v>
      </c>
      <c r="C1425" s="2">
        <f>COUNTIF(A$1:A1425,A1425)-1</f>
        <v>3</v>
      </c>
      <c r="D1425" s="2" t="str">
        <f t="shared" si="22"/>
        <v>vr</v>
      </c>
      <c r="E1425" s="2" t="e">
        <f>TBILLPRICE(#REF!,#REF!,#REF!)</f>
        <v>#REF!</v>
      </c>
      <c r="F1425" s="2" t="e">
        <f>TBILLPRICE(#REF!,#REF!,+F1425:G1425)</f>
        <v>#REF!</v>
      </c>
      <c r="H1425" s="2" t="e">
        <f>TBILLPRICE(#REF!,#REF!,H1425:I1425)</f>
        <v>#REF!</v>
      </c>
      <c r="I1425" s="1">
        <v>1</v>
      </c>
      <c r="J1425" s="2" t="e">
        <f>TBILLPRICE(#REF!,#REF!,INDIRECT(J1425:K1425))</f>
        <v>#REF!</v>
      </c>
      <c r="L1425" s="2">
        <f>TYPE(INDEX(,TBILLPRICE(#REF!,#REF!,OFFSET(INDEX(1,),,))))</f>
        <v>64</v>
      </c>
    </row>
    <row r="1426" spans="1:12" x14ac:dyDescent="0.55000000000000004">
      <c r="A1426" s="1" t="s">
        <v>1870</v>
      </c>
      <c r="B1426" s="2">
        <f>COUNTIF(A:A,A1426)-1</f>
        <v>3</v>
      </c>
      <c r="C1426" s="2">
        <f>COUNTIF(A$1:A1426,A1426)-1</f>
        <v>0</v>
      </c>
      <c r="D1426" s="2" t="str">
        <f t="shared" si="22"/>
        <v/>
      </c>
      <c r="E1426" s="2"/>
      <c r="F1426" s="2"/>
      <c r="H1426" s="2"/>
      <c r="J1426" s="2"/>
      <c r="L1426" s="2"/>
    </row>
    <row r="1427" spans="1:12" x14ac:dyDescent="0.55000000000000004">
      <c r="A1427" s="1" t="s">
        <v>1870</v>
      </c>
      <c r="B1427" s="2">
        <f>COUNTIF(A:A,A1427)-1</f>
        <v>3</v>
      </c>
      <c r="C1427" s="2">
        <f>COUNTIF(A$1:A1427,A1427)-1</f>
        <v>1</v>
      </c>
      <c r="D1427" s="2" t="str">
        <f t="shared" si="22"/>
        <v>vr</v>
      </c>
      <c r="E1427" s="2"/>
      <c r="F1427" s="2" t="e">
        <f>TBILLYIELD(+F1427:G1427,#REF!,#REF!)</f>
        <v>#REF!</v>
      </c>
      <c r="H1427" s="2" t="e">
        <f>TBILLYIELD(H1427:I1427,#REF!,#REF!)</f>
        <v>#VALUE!</v>
      </c>
      <c r="I1427" s="1">
        <v>1</v>
      </c>
      <c r="J1427" s="2" t="e">
        <f>TBILLYIELD(INDIRECT(J1427:K1427),#REF!,#REF!)</f>
        <v>#REF!</v>
      </c>
      <c r="L1427" s="2">
        <f>TYPE(INDEX(,TBILLYIELD(OFFSET(INDEX(1,),,),#REF!,#REF!)))</f>
        <v>64</v>
      </c>
    </row>
    <row r="1428" spans="1:12" x14ac:dyDescent="0.55000000000000004">
      <c r="A1428" s="1" t="s">
        <v>1870</v>
      </c>
      <c r="B1428" s="2">
        <f>COUNTIF(A:A,A1428)-1</f>
        <v>3</v>
      </c>
      <c r="C1428" s="2">
        <f>COUNTIF(A$1:A1428,A1428)-1</f>
        <v>2</v>
      </c>
      <c r="D1428" s="2" t="str">
        <f t="shared" si="22"/>
        <v>vr</v>
      </c>
      <c r="E1428" s="2"/>
      <c r="F1428" s="2" t="e">
        <f>TBILLYIELD(#REF!,+F1428:G1428,#REF!)</f>
        <v>#REF!</v>
      </c>
      <c r="H1428" s="2" t="e">
        <f>TBILLYIELD(#REF!,H1428:I1428,#REF!)</f>
        <v>#REF!</v>
      </c>
      <c r="I1428" s="1">
        <v>1</v>
      </c>
      <c r="J1428" s="2" t="e">
        <f>TBILLYIELD(#REF!,INDIRECT(J1428:K1428),#REF!)</f>
        <v>#REF!</v>
      </c>
      <c r="L1428" s="2">
        <f>TYPE(INDEX(,TBILLYIELD(#REF!,OFFSET(INDEX(1,),,),#REF!)))</f>
        <v>64</v>
      </c>
    </row>
    <row r="1429" spans="1:12" x14ac:dyDescent="0.55000000000000004">
      <c r="A1429" s="1" t="s">
        <v>1870</v>
      </c>
      <c r="B1429" s="2">
        <f>COUNTIF(A:A,A1429)-1</f>
        <v>3</v>
      </c>
      <c r="C1429" s="2">
        <f>COUNTIF(A$1:A1429,A1429)-1</f>
        <v>3</v>
      </c>
      <c r="D1429" s="2" t="str">
        <f t="shared" si="22"/>
        <v>vr</v>
      </c>
      <c r="E1429" s="2" t="e">
        <f>TBILLYIELD(#REF!,#REF!,#REF!)</f>
        <v>#REF!</v>
      </c>
      <c r="F1429" s="2" t="e">
        <f>TBILLYIELD(#REF!,#REF!,+F1429:G1429)</f>
        <v>#REF!</v>
      </c>
      <c r="H1429" s="2" t="e">
        <f>TBILLYIELD(#REF!,#REF!,H1429:I1429)</f>
        <v>#REF!</v>
      </c>
      <c r="I1429" s="1">
        <v>1</v>
      </c>
      <c r="J1429" s="2" t="e">
        <f>TBILLYIELD(#REF!,#REF!,INDIRECT(J1429:K1429))</f>
        <v>#REF!</v>
      </c>
      <c r="L1429" s="2">
        <f>TYPE(INDEX(,TBILLYIELD(#REF!,#REF!,OFFSET(INDEX(1,),,))))</f>
        <v>64</v>
      </c>
    </row>
    <row r="1430" spans="1:12" x14ac:dyDescent="0.55000000000000004">
      <c r="A1430" s="1" t="s">
        <v>1871</v>
      </c>
      <c r="B1430" s="2">
        <f>COUNTIF(A:A,A1430)-1</f>
        <v>7</v>
      </c>
      <c r="C1430" s="2">
        <f>COUNTIF(A$1:A1430,A1430)-1</f>
        <v>0</v>
      </c>
      <c r="D1430" s="2" t="str">
        <f t="shared" si="22"/>
        <v/>
      </c>
      <c r="E1430" s="2"/>
      <c r="F1430" s="2"/>
      <c r="H1430" s="2"/>
      <c r="J1430" s="2"/>
      <c r="L1430" s="2"/>
    </row>
    <row r="1431" spans="1:12" x14ac:dyDescent="0.55000000000000004">
      <c r="A1431" s="1" t="s">
        <v>1871</v>
      </c>
      <c r="B1431" s="2">
        <f>COUNTIF(A:A,A1431)-1</f>
        <v>7</v>
      </c>
      <c r="C1431" s="2">
        <f>COUNTIF(A$1:A1431,A1431)-1</f>
        <v>1</v>
      </c>
      <c r="D1431" s="2" t="str">
        <f t="shared" si="22"/>
        <v>vr</v>
      </c>
      <c r="E1431" s="2"/>
      <c r="F1431" s="2" t="e">
        <f>PRICE(+F1431:G1431,#REF!,#REF!,#REF!,#REF!,#REF!,#REF!)</f>
        <v>#REF!</v>
      </c>
      <c r="H1431" s="2" t="e">
        <f>PRICE(H1431:I1431,#REF!,#REF!,#REF!,#REF!,#REF!,#REF!)</f>
        <v>#REF!</v>
      </c>
      <c r="I1431" s="1">
        <v>1</v>
      </c>
      <c r="J1431" s="2" t="e">
        <f>PRICE(INDIRECT(J1431:K1431),#REF!,#REF!,#REF!,#REF!,#REF!,#REF!)</f>
        <v>#REF!</v>
      </c>
      <c r="L1431" s="2">
        <f>TYPE(INDEX(,PRICE(OFFSET(INDEX(1,),,),#REF!,#REF!,#REF!,#REF!,#REF!,#REF!)))</f>
        <v>64</v>
      </c>
    </row>
    <row r="1432" spans="1:12" x14ac:dyDescent="0.55000000000000004">
      <c r="A1432" s="1" t="s">
        <v>1871</v>
      </c>
      <c r="B1432" s="2">
        <f>COUNTIF(A:A,A1432)-1</f>
        <v>7</v>
      </c>
      <c r="C1432" s="2">
        <f>COUNTIF(A$1:A1432,A1432)-1</f>
        <v>2</v>
      </c>
      <c r="D1432" s="2" t="str">
        <f t="shared" si="22"/>
        <v>vr</v>
      </c>
      <c r="E1432" s="2"/>
      <c r="F1432" s="2" t="e">
        <f>PRICE(#REF!,+F1432:G1432,#REF!,#REF!,#REF!,#REF!,#REF!)</f>
        <v>#REF!</v>
      </c>
      <c r="H1432" s="2" t="e">
        <f>PRICE(#REF!,H1432:I1432,#REF!,#REF!,#REF!,#REF!,#REF!)</f>
        <v>#REF!</v>
      </c>
      <c r="I1432" s="1">
        <v>1</v>
      </c>
      <c r="J1432" s="2" t="e">
        <f>PRICE(#REF!,INDIRECT(J1432:K1432),#REF!,#REF!,#REF!,#REF!,#REF!)</f>
        <v>#REF!</v>
      </c>
      <c r="L1432" s="2">
        <f>TYPE(INDEX(,PRICE(#REF!,OFFSET(INDEX(1,),,),#REF!,#REF!,#REF!,#REF!,#REF!)))</f>
        <v>64</v>
      </c>
    </row>
    <row r="1433" spans="1:12" x14ac:dyDescent="0.55000000000000004">
      <c r="A1433" s="1" t="s">
        <v>1871</v>
      </c>
      <c r="B1433" s="2">
        <f>COUNTIF(A:A,A1433)-1</f>
        <v>7</v>
      </c>
      <c r="C1433" s="2">
        <f>COUNTIF(A$1:A1433,A1433)-1</f>
        <v>3</v>
      </c>
      <c r="D1433" s="2" t="str">
        <f t="shared" si="22"/>
        <v>vr</v>
      </c>
      <c r="E1433" s="2"/>
      <c r="F1433" s="2" t="e">
        <f>PRICE(#REF!,#REF!,+F1433:G1433,#REF!,#REF!,#REF!,#REF!)</f>
        <v>#REF!</v>
      </c>
      <c r="H1433" s="2" t="e">
        <f>PRICE(#REF!,#REF!,H1433:I1433,#REF!,#REF!,#REF!,#REF!)</f>
        <v>#REF!</v>
      </c>
      <c r="I1433" s="1">
        <v>1</v>
      </c>
      <c r="J1433" s="2" t="e">
        <f>PRICE(#REF!,#REF!,INDIRECT(J1433:K1433),#REF!,#REF!,#REF!,#REF!)</f>
        <v>#REF!</v>
      </c>
      <c r="L1433" s="2">
        <f>TYPE(INDEX(,PRICE(#REF!,#REF!,OFFSET(INDEX(1,),,),#REF!,#REF!,#REF!,#REF!)))</f>
        <v>64</v>
      </c>
    </row>
    <row r="1434" spans="1:12" x14ac:dyDescent="0.55000000000000004">
      <c r="A1434" s="1" t="s">
        <v>1871</v>
      </c>
      <c r="B1434" s="2">
        <f>COUNTIF(A:A,A1434)-1</f>
        <v>7</v>
      </c>
      <c r="C1434" s="2">
        <f>COUNTIF(A$1:A1434,A1434)-1</f>
        <v>4</v>
      </c>
      <c r="D1434" s="2" t="str">
        <f t="shared" si="22"/>
        <v>vr</v>
      </c>
      <c r="E1434" s="2"/>
      <c r="F1434" s="2" t="e">
        <f>PRICE(#REF!,#REF!,#REF!,+F1434:G1434,#REF!,#REF!,#REF!)</f>
        <v>#REF!</v>
      </c>
      <c r="H1434" s="2" t="e">
        <f>PRICE(#REF!,#REF!,#REF!,H1434:I1434,#REF!,#REF!,#REF!)</f>
        <v>#REF!</v>
      </c>
      <c r="I1434" s="1">
        <v>1</v>
      </c>
      <c r="J1434" s="2" t="e">
        <f>PRICE(#REF!,#REF!,#REF!,INDIRECT(J1434:K1434),#REF!,#REF!,#REF!)</f>
        <v>#REF!</v>
      </c>
      <c r="L1434" s="2">
        <f>TYPE(INDEX(,PRICE(#REF!,#REF!,#REF!,OFFSET(INDEX(1,),,),#REF!,#REF!,#REF!)))</f>
        <v>64</v>
      </c>
    </row>
    <row r="1435" spans="1:12" x14ac:dyDescent="0.55000000000000004">
      <c r="A1435" s="1" t="s">
        <v>1871</v>
      </c>
      <c r="B1435" s="2">
        <f>COUNTIF(A:A,A1435)-1</f>
        <v>7</v>
      </c>
      <c r="C1435" s="2">
        <f>COUNTIF(A$1:A1435,A1435)-1</f>
        <v>5</v>
      </c>
      <c r="D1435" s="2" t="str">
        <f t="shared" si="22"/>
        <v>vr</v>
      </c>
      <c r="E1435" s="2"/>
      <c r="F1435" s="2" t="e">
        <f>PRICE(#REF!,#REF!,#REF!,#REF!,+F1435:G1435,#REF!,#REF!)</f>
        <v>#REF!</v>
      </c>
      <c r="H1435" s="2" t="e">
        <f>PRICE(#REF!,#REF!,#REF!,#REF!,H1435:I1435,#REF!,#REF!)</f>
        <v>#REF!</v>
      </c>
      <c r="I1435" s="1">
        <v>1</v>
      </c>
      <c r="J1435" s="2" t="e">
        <f>PRICE(#REF!,#REF!,#REF!,#REF!,INDIRECT(J1435:K1435),#REF!,#REF!)</f>
        <v>#REF!</v>
      </c>
      <c r="L1435" s="2">
        <f>TYPE(INDEX(,PRICE(#REF!,#REF!,#REF!,#REF!,OFFSET(INDEX(1,),,),#REF!,#REF!)))</f>
        <v>64</v>
      </c>
    </row>
    <row r="1436" spans="1:12" x14ac:dyDescent="0.55000000000000004">
      <c r="A1436" s="1" t="s">
        <v>1871</v>
      </c>
      <c r="B1436" s="2">
        <f>COUNTIF(A:A,A1436)-1</f>
        <v>7</v>
      </c>
      <c r="C1436" s="2">
        <f>COUNTIF(A$1:A1436,A1436)-1</f>
        <v>6</v>
      </c>
      <c r="D1436" s="2" t="str">
        <f t="shared" si="22"/>
        <v>vr</v>
      </c>
      <c r="E1436" s="2" t="e">
        <f>PRICE(#REF!,#REF!,#REF!,#REF!,#REF!,#REF!)</f>
        <v>#REF!</v>
      </c>
      <c r="F1436" s="2" t="e">
        <f>PRICE(#REF!,#REF!,#REF!,#REF!,#REF!,+F1436:G1436,#REF!)</f>
        <v>#REF!</v>
      </c>
      <c r="H1436" s="2" t="e">
        <f>PRICE(#REF!,#REF!,#REF!,#REF!,#REF!,H1436:I1436,#REF!)</f>
        <v>#REF!</v>
      </c>
      <c r="I1436" s="1">
        <v>1</v>
      </c>
      <c r="J1436" s="2" t="e">
        <f>PRICE(#REF!,#REF!,#REF!,#REF!,#REF!,INDIRECT(J1436:K1436),#REF!)</f>
        <v>#REF!</v>
      </c>
      <c r="L1436" s="2">
        <f>TYPE(INDEX(,PRICE(#REF!,#REF!,#REF!,#REF!,#REF!,OFFSET(INDEX(1,),,),#REF!)))</f>
        <v>64</v>
      </c>
    </row>
    <row r="1437" spans="1:12" x14ac:dyDescent="0.55000000000000004">
      <c r="A1437" s="1" t="s">
        <v>1871</v>
      </c>
      <c r="B1437" s="2">
        <f>COUNTIF(A:A,A1437)-1</f>
        <v>7</v>
      </c>
      <c r="C1437" s="2">
        <f>COUNTIF(A$1:A1437,A1437)-1</f>
        <v>7</v>
      </c>
      <c r="D1437" s="2" t="str">
        <f t="shared" si="22"/>
        <v>vr</v>
      </c>
      <c r="E1437" s="2" t="e">
        <f>PRICE(#REF!,#REF!,#REF!,#REF!,#REF!,#REF!,#REF!)</f>
        <v>#REF!</v>
      </c>
      <c r="F1437" s="2" t="e">
        <f>PRICE(#REF!,#REF!,#REF!,#REF!,#REF!,#REF!,+F1437:G1437)</f>
        <v>#REF!</v>
      </c>
      <c r="H1437" s="2" t="e">
        <f>PRICE(#REF!,#REF!,#REF!,#REF!,#REF!,#REF!,H1437:I1437)</f>
        <v>#VALUE!</v>
      </c>
      <c r="I1437" s="1">
        <v>1</v>
      </c>
      <c r="J1437" s="2" t="e">
        <f>PRICE(#REF!,#REF!,#REF!,#REF!,#REF!,#REF!,INDIRECT(J1437:K1437))</f>
        <v>#REF!</v>
      </c>
      <c r="L1437" s="2">
        <f>TYPE(INDEX(,PRICE(#REF!,#REF!,#REF!,#REF!,#REF!,#REF!,OFFSET(INDEX(1,),,))))</f>
        <v>64</v>
      </c>
    </row>
    <row r="1438" spans="1:12" x14ac:dyDescent="0.55000000000000004">
      <c r="A1438" s="1" t="s">
        <v>1872</v>
      </c>
      <c r="B1438" s="2">
        <f>COUNTIF(A:A,A1438)-1</f>
        <v>7</v>
      </c>
      <c r="C1438" s="2">
        <f>COUNTIF(A$1:A1438,A1438)-1</f>
        <v>0</v>
      </c>
      <c r="D1438" s="2" t="str">
        <f t="shared" si="22"/>
        <v/>
      </c>
      <c r="E1438" s="2"/>
      <c r="F1438" s="2"/>
      <c r="H1438" s="2"/>
      <c r="J1438" s="2"/>
      <c r="L1438" s="2"/>
    </row>
    <row r="1439" spans="1:12" x14ac:dyDescent="0.55000000000000004">
      <c r="A1439" s="1" t="s">
        <v>1872</v>
      </c>
      <c r="B1439" s="2">
        <f>COUNTIF(A:A,A1439)-1</f>
        <v>7</v>
      </c>
      <c r="C1439" s="2">
        <f>COUNTIF(A$1:A1439,A1439)-1</f>
        <v>1</v>
      </c>
      <c r="D1439" s="2" t="str">
        <f t="shared" si="22"/>
        <v>vr</v>
      </c>
      <c r="E1439" s="2"/>
      <c r="F1439" s="2" t="e">
        <f>YIELD(+F1439:G1439,#REF!,#REF!,#REF!,#REF!,#REF!,#REF!)</f>
        <v>#REF!</v>
      </c>
      <c r="H1439" s="2" t="e">
        <f>YIELD(H1439:I1439,#REF!,#REF!,#REF!,#REF!,#REF!,#REF!)</f>
        <v>#REF!</v>
      </c>
      <c r="I1439" s="1">
        <v>1</v>
      </c>
      <c r="J1439" s="2" t="e">
        <f>YIELD(INDIRECT(J1439:K1439),#REF!,#REF!,#REF!,#REF!,#REF!,#REF!)</f>
        <v>#REF!</v>
      </c>
      <c r="L1439" s="2">
        <f>TYPE(INDEX(,YIELD(OFFSET(INDEX(1,),,),#REF!,#REF!,#REF!,#REF!,#REF!,#REF!)))</f>
        <v>64</v>
      </c>
    </row>
    <row r="1440" spans="1:12" x14ac:dyDescent="0.55000000000000004">
      <c r="A1440" s="1" t="s">
        <v>1872</v>
      </c>
      <c r="B1440" s="2">
        <f>COUNTIF(A:A,A1440)-1</f>
        <v>7</v>
      </c>
      <c r="C1440" s="2">
        <f>COUNTIF(A$1:A1440,A1440)-1</f>
        <v>2</v>
      </c>
      <c r="D1440" s="2" t="str">
        <f t="shared" si="22"/>
        <v>vr</v>
      </c>
      <c r="E1440" s="2"/>
      <c r="F1440" s="2" t="e">
        <f>YIELD(#REF!,+F1440:G1440,#REF!,#REF!,#REF!,#REF!,#REF!)</f>
        <v>#REF!</v>
      </c>
      <c r="H1440" s="2" t="e">
        <f>YIELD(#REF!,H1440:I1440,#REF!,#REF!,#REF!,#REF!,#REF!)</f>
        <v>#REF!</v>
      </c>
      <c r="I1440" s="1">
        <v>1</v>
      </c>
      <c r="J1440" s="2" t="e">
        <f>YIELD(#REF!,INDIRECT(J1440:K1440),#REF!,#REF!,#REF!,#REF!,#REF!)</f>
        <v>#REF!</v>
      </c>
      <c r="L1440" s="2">
        <f>TYPE(INDEX(,YIELD(#REF!,OFFSET(INDEX(1,),,),#REF!,#REF!,#REF!,#REF!,#REF!)))</f>
        <v>64</v>
      </c>
    </row>
    <row r="1441" spans="1:12" x14ac:dyDescent="0.55000000000000004">
      <c r="A1441" s="1" t="s">
        <v>1872</v>
      </c>
      <c r="B1441" s="2">
        <f>COUNTIF(A:A,A1441)-1</f>
        <v>7</v>
      </c>
      <c r="C1441" s="2">
        <f>COUNTIF(A$1:A1441,A1441)-1</f>
        <v>3</v>
      </c>
      <c r="D1441" s="2" t="str">
        <f t="shared" si="22"/>
        <v>vr</v>
      </c>
      <c r="E1441" s="2"/>
      <c r="F1441" s="2" t="e">
        <f>YIELD(#REF!,#REF!,+F1441:G1441,#REF!,#REF!,#REF!,#REF!)</f>
        <v>#REF!</v>
      </c>
      <c r="H1441" s="2" t="e">
        <f>YIELD(#REF!,#REF!,H1441:I1441,#REF!,#REF!,#REF!,#REF!)</f>
        <v>#REF!</v>
      </c>
      <c r="I1441" s="1">
        <v>1</v>
      </c>
      <c r="J1441" s="2" t="e">
        <f>YIELD(#REF!,#REF!,INDIRECT(J1441:K1441),#REF!,#REF!,#REF!,#REF!)</f>
        <v>#REF!</v>
      </c>
      <c r="L1441" s="2">
        <f>TYPE(INDEX(,YIELD(#REF!,#REF!,OFFSET(INDEX(1,),,),#REF!,#REF!,#REF!,#REF!)))</f>
        <v>64</v>
      </c>
    </row>
    <row r="1442" spans="1:12" x14ac:dyDescent="0.55000000000000004">
      <c r="A1442" s="1" t="s">
        <v>1872</v>
      </c>
      <c r="B1442" s="2">
        <f>COUNTIF(A:A,A1442)-1</f>
        <v>7</v>
      </c>
      <c r="C1442" s="2">
        <f>COUNTIF(A$1:A1442,A1442)-1</f>
        <v>4</v>
      </c>
      <c r="D1442" s="2" t="str">
        <f t="shared" si="22"/>
        <v>vr</v>
      </c>
      <c r="E1442" s="2"/>
      <c r="F1442" s="2" t="e">
        <f>YIELD(#REF!,#REF!,#REF!,+F1442:G1442,#REF!,#REF!,#REF!)</f>
        <v>#REF!</v>
      </c>
      <c r="H1442" s="2" t="e">
        <f>YIELD(#REF!,#REF!,#REF!,H1442:I1442,#REF!,#REF!,#REF!)</f>
        <v>#REF!</v>
      </c>
      <c r="I1442" s="1">
        <v>1</v>
      </c>
      <c r="J1442" s="2" t="e">
        <f>YIELD(#REF!,#REF!,#REF!,INDIRECT(J1442:K1442),#REF!,#REF!,#REF!)</f>
        <v>#REF!</v>
      </c>
      <c r="L1442" s="2">
        <f>TYPE(INDEX(,YIELD(#REF!,#REF!,#REF!,OFFSET(INDEX(1,),,),#REF!,#REF!,#REF!)))</f>
        <v>64</v>
      </c>
    </row>
    <row r="1443" spans="1:12" x14ac:dyDescent="0.55000000000000004">
      <c r="A1443" s="1" t="s">
        <v>1872</v>
      </c>
      <c r="B1443" s="2">
        <f>COUNTIF(A:A,A1443)-1</f>
        <v>7</v>
      </c>
      <c r="C1443" s="2">
        <f>COUNTIF(A$1:A1443,A1443)-1</f>
        <v>5</v>
      </c>
      <c r="D1443" s="2" t="str">
        <f t="shared" si="22"/>
        <v>vr</v>
      </c>
      <c r="E1443" s="2"/>
      <c r="F1443" s="2" t="e">
        <f>YIELD(#REF!,#REF!,#REF!,#REF!,+F1443:G1443,#REF!,#REF!)</f>
        <v>#REF!</v>
      </c>
      <c r="H1443" s="2" t="e">
        <f>YIELD(#REF!,#REF!,#REF!,#REF!,H1443:I1443,#REF!,#REF!)</f>
        <v>#REF!</v>
      </c>
      <c r="I1443" s="1">
        <v>1</v>
      </c>
      <c r="J1443" s="2" t="e">
        <f>YIELD(#REF!,#REF!,#REF!,#REF!,INDIRECT(J1443:K1443),#REF!,#REF!)</f>
        <v>#REF!</v>
      </c>
      <c r="L1443" s="2">
        <f>TYPE(INDEX(,YIELD(#REF!,#REF!,#REF!,#REF!,OFFSET(INDEX(1,),,),#REF!,#REF!)))</f>
        <v>64</v>
      </c>
    </row>
    <row r="1444" spans="1:12" x14ac:dyDescent="0.55000000000000004">
      <c r="A1444" s="1" t="s">
        <v>1872</v>
      </c>
      <c r="B1444" s="2">
        <f>COUNTIF(A:A,A1444)-1</f>
        <v>7</v>
      </c>
      <c r="C1444" s="2">
        <f>COUNTIF(A$1:A1444,A1444)-1</f>
        <v>6</v>
      </c>
      <c r="D1444" s="2" t="str">
        <f t="shared" si="22"/>
        <v>vr</v>
      </c>
      <c r="E1444" s="2" t="e">
        <f>YIELD(#REF!,#REF!,#REF!,#REF!,#REF!,#REF!)</f>
        <v>#REF!</v>
      </c>
      <c r="F1444" s="2" t="e">
        <f>YIELD(#REF!,#REF!,#REF!,#REF!,#REF!,+F1444:G1444,#REF!)</f>
        <v>#REF!</v>
      </c>
      <c r="H1444" s="2" t="e">
        <f>YIELD(#REF!,#REF!,#REF!,#REF!,#REF!,H1444:I1444,#REF!)</f>
        <v>#REF!</v>
      </c>
      <c r="I1444" s="1">
        <v>1</v>
      </c>
      <c r="J1444" s="2" t="e">
        <f>YIELD(#REF!,#REF!,#REF!,#REF!,#REF!,INDIRECT(J1444:K1444),#REF!)</f>
        <v>#REF!</v>
      </c>
      <c r="L1444" s="2">
        <f>TYPE(INDEX(,YIELD(#REF!,#REF!,#REF!,#REF!,#REF!,OFFSET(INDEX(1,),,),#REF!)))</f>
        <v>64</v>
      </c>
    </row>
    <row r="1445" spans="1:12" x14ac:dyDescent="0.55000000000000004">
      <c r="A1445" s="1" t="s">
        <v>1872</v>
      </c>
      <c r="B1445" s="2">
        <f>COUNTIF(A:A,A1445)-1</f>
        <v>7</v>
      </c>
      <c r="C1445" s="2">
        <f>COUNTIF(A$1:A1445,A1445)-1</f>
        <v>7</v>
      </c>
      <c r="D1445" s="2" t="str">
        <f t="shared" si="22"/>
        <v>vr</v>
      </c>
      <c r="E1445" s="2" t="e">
        <f>YIELD(#REF!,#REF!,#REF!,#REF!,#REF!,#REF!,#REF!)</f>
        <v>#REF!</v>
      </c>
      <c r="F1445" s="2" t="e">
        <f>YIELD(#REF!,#REF!,#REF!,#REF!,#REF!,#REF!,+F1445:G1445)</f>
        <v>#REF!</v>
      </c>
      <c r="H1445" s="2" t="e">
        <f>YIELD(#REF!,#REF!,#REF!,#REF!,#REF!,#REF!,H1445:I1445)</f>
        <v>#VALUE!</v>
      </c>
      <c r="I1445" s="1">
        <v>1</v>
      </c>
      <c r="J1445" s="2" t="e">
        <f>YIELD(#REF!,#REF!,#REF!,#REF!,#REF!,#REF!,INDIRECT(J1445:K1445))</f>
        <v>#REF!</v>
      </c>
      <c r="L1445" s="2">
        <f>TYPE(INDEX(,YIELD(#REF!,#REF!,#REF!,#REF!,#REF!,#REF!,OFFSET(INDEX(1,),,))))</f>
        <v>64</v>
      </c>
    </row>
    <row r="1446" spans="1:12" x14ac:dyDescent="0.55000000000000004">
      <c r="A1446" s="1" t="s">
        <v>1873</v>
      </c>
      <c r="B1446" s="2">
        <f>COUNTIF(A:A,A1446)-1</f>
        <v>2</v>
      </c>
      <c r="C1446" s="2">
        <f>COUNTIF(A$1:A1446,A1446)-1</f>
        <v>0</v>
      </c>
      <c r="D1446" s="2" t="str">
        <f t="shared" si="22"/>
        <v/>
      </c>
      <c r="E1446" s="2"/>
      <c r="F1446" s="2"/>
      <c r="H1446" s="2"/>
      <c r="J1446" s="2"/>
      <c r="L1446" s="2"/>
    </row>
    <row r="1447" spans="1:12" x14ac:dyDescent="0.55000000000000004">
      <c r="A1447" s="1" t="s">
        <v>1873</v>
      </c>
      <c r="B1447" s="2">
        <f>COUNTIF(A:A,A1447)-1</f>
        <v>2</v>
      </c>
      <c r="C1447" s="2">
        <f>COUNTIF(A$1:A1447,A1447)-1</f>
        <v>1</v>
      </c>
      <c r="D1447" s="2" t="str">
        <f t="shared" si="22"/>
        <v>vr</v>
      </c>
      <c r="E1447" s="2"/>
      <c r="F1447" s="2" t="e">
        <f>DOLLARDE(+F1447:G1447,#REF!)</f>
        <v>#REF!</v>
      </c>
      <c r="H1447" s="2" t="e">
        <f>DOLLARDE(H1447:I1447,#REF!)</f>
        <v>#VALUE!</v>
      </c>
      <c r="I1447" s="1">
        <v>1</v>
      </c>
      <c r="J1447" s="2" t="e">
        <f>DOLLARDE(INDIRECT(J1447:K1447),#REF!)</f>
        <v>#REF!</v>
      </c>
      <c r="L1447" s="2">
        <f>TYPE(INDEX(,DOLLARDE(OFFSET(INDEX(1,),,),#REF!)))</f>
        <v>64</v>
      </c>
    </row>
    <row r="1448" spans="1:12" x14ac:dyDescent="0.55000000000000004">
      <c r="A1448" s="1" t="s">
        <v>1873</v>
      </c>
      <c r="B1448" s="2">
        <f>COUNTIF(A:A,A1448)-1</f>
        <v>2</v>
      </c>
      <c r="C1448" s="2">
        <f>COUNTIF(A$1:A1448,A1448)-1</f>
        <v>2</v>
      </c>
      <c r="D1448" s="2" t="str">
        <f t="shared" si="22"/>
        <v>vr</v>
      </c>
      <c r="E1448" s="2" t="e">
        <f>DOLLARDE(#REF!,#REF!)</f>
        <v>#REF!</v>
      </c>
      <c r="F1448" s="2" t="e">
        <f>DOLLARDE(#REF!,+F1448:G1448)</f>
        <v>#REF!</v>
      </c>
      <c r="H1448" s="2" t="e">
        <f>DOLLARDE(#REF!,H1448:I1448)</f>
        <v>#REF!</v>
      </c>
      <c r="I1448" s="1">
        <v>1</v>
      </c>
      <c r="J1448" s="2" t="e">
        <f>DOLLARDE(#REF!,INDIRECT(J1448:K1448))</f>
        <v>#REF!</v>
      </c>
      <c r="L1448" s="2">
        <f>TYPE(INDEX(,DOLLARDE(#REF!,OFFSET(INDEX(1,),,))))</f>
        <v>64</v>
      </c>
    </row>
    <row r="1449" spans="1:12" x14ac:dyDescent="0.55000000000000004">
      <c r="A1449" s="1" t="s">
        <v>1874</v>
      </c>
      <c r="B1449" s="2">
        <f>COUNTIF(A:A,A1449)-1</f>
        <v>2</v>
      </c>
      <c r="C1449" s="2">
        <f>COUNTIF(A$1:A1449,A1449)-1</f>
        <v>0</v>
      </c>
      <c r="D1449" s="2" t="str">
        <f t="shared" si="22"/>
        <v/>
      </c>
      <c r="E1449" s="2"/>
      <c r="F1449" s="2"/>
      <c r="H1449" s="2"/>
      <c r="J1449" s="2"/>
      <c r="L1449" s="2"/>
    </row>
    <row r="1450" spans="1:12" x14ac:dyDescent="0.55000000000000004">
      <c r="A1450" s="1" t="s">
        <v>1874</v>
      </c>
      <c r="B1450" s="2">
        <f>COUNTIF(A:A,A1450)-1</f>
        <v>2</v>
      </c>
      <c r="C1450" s="2">
        <f>COUNTIF(A$1:A1450,A1450)-1</f>
        <v>1</v>
      </c>
      <c r="D1450" s="2" t="str">
        <f t="shared" si="22"/>
        <v>vr</v>
      </c>
      <c r="E1450" s="2"/>
      <c r="F1450" s="2" t="e">
        <f>DOLLARFR(+F1450:G1450,#REF!)</f>
        <v>#REF!</v>
      </c>
      <c r="H1450" s="2" t="e">
        <f>DOLLARFR(H1450:I1450,#REF!)</f>
        <v>#VALUE!</v>
      </c>
      <c r="I1450" s="1">
        <v>1</v>
      </c>
      <c r="J1450" s="2" t="e">
        <f>DOLLARFR(INDIRECT(J1450:K1450),#REF!)</f>
        <v>#REF!</v>
      </c>
      <c r="L1450" s="2">
        <f>TYPE(INDEX(,DOLLARFR(OFFSET(INDEX(1,),,),#REF!)))</f>
        <v>64</v>
      </c>
    </row>
    <row r="1451" spans="1:12" x14ac:dyDescent="0.55000000000000004">
      <c r="A1451" s="1" t="s">
        <v>1874</v>
      </c>
      <c r="B1451" s="2">
        <f>COUNTIF(A:A,A1451)-1</f>
        <v>2</v>
      </c>
      <c r="C1451" s="2">
        <f>COUNTIF(A$1:A1451,A1451)-1</f>
        <v>2</v>
      </c>
      <c r="D1451" s="2" t="str">
        <f t="shared" si="22"/>
        <v>vr</v>
      </c>
      <c r="E1451" s="2" t="e">
        <f>DOLLARFR(#REF!,#REF!)</f>
        <v>#REF!</v>
      </c>
      <c r="F1451" s="2" t="e">
        <f>DOLLARFR(#REF!,+F1451:G1451)</f>
        <v>#REF!</v>
      </c>
      <c r="H1451" s="2" t="e">
        <f>DOLLARFR(#REF!,H1451:I1451)</f>
        <v>#REF!</v>
      </c>
      <c r="I1451" s="1">
        <v>1</v>
      </c>
      <c r="J1451" s="2" t="e">
        <f>DOLLARFR(#REF!,INDIRECT(J1451:K1451))</f>
        <v>#REF!</v>
      </c>
      <c r="L1451" s="2">
        <f>TYPE(INDEX(,DOLLARFR(#REF!,OFFSET(INDEX(1,),,))))</f>
        <v>64</v>
      </c>
    </row>
    <row r="1452" spans="1:12" x14ac:dyDescent="0.55000000000000004">
      <c r="A1452" s="1" t="s">
        <v>1875</v>
      </c>
      <c r="B1452" s="2">
        <f>COUNTIF(A:A,A1452)-1</f>
        <v>2</v>
      </c>
      <c r="C1452" s="2">
        <f>COUNTIF(A$1:A1452,A1452)-1</f>
        <v>0</v>
      </c>
      <c r="D1452" s="2" t="str">
        <f t="shared" si="22"/>
        <v/>
      </c>
      <c r="E1452" s="2"/>
      <c r="F1452" s="2"/>
      <c r="H1452" s="2"/>
      <c r="J1452" s="2"/>
      <c r="L1452" s="2"/>
    </row>
    <row r="1453" spans="1:12" x14ac:dyDescent="0.55000000000000004">
      <c r="A1453" s="1" t="s">
        <v>1875</v>
      </c>
      <c r="B1453" s="2">
        <f>COUNTIF(A:A,A1453)-1</f>
        <v>2</v>
      </c>
      <c r="C1453" s="2">
        <f>COUNTIF(A$1:A1453,A1453)-1</f>
        <v>1</v>
      </c>
      <c r="D1453" s="2" t="str">
        <f t="shared" si="22"/>
        <v>vr</v>
      </c>
      <c r="E1453" s="2"/>
      <c r="F1453" s="2" t="e">
        <f>NOMINAL(+F1453:G1453,#REF!)</f>
        <v>#REF!</v>
      </c>
      <c r="H1453" s="2" t="e">
        <f>NOMINAL(H1453:I1453,#REF!)</f>
        <v>#VALUE!</v>
      </c>
      <c r="I1453" s="1">
        <v>1</v>
      </c>
      <c r="J1453" s="2" t="e">
        <f>NOMINAL(INDIRECT(J1453:K1453),#REF!)</f>
        <v>#REF!</v>
      </c>
      <c r="L1453" s="2">
        <f>TYPE(INDEX(,NOMINAL(OFFSET(INDEX(1,),,),#REF!)))</f>
        <v>64</v>
      </c>
    </row>
    <row r="1454" spans="1:12" x14ac:dyDescent="0.55000000000000004">
      <c r="A1454" s="1" t="s">
        <v>1875</v>
      </c>
      <c r="B1454" s="2">
        <f>COUNTIF(A:A,A1454)-1</f>
        <v>2</v>
      </c>
      <c r="C1454" s="2">
        <f>COUNTIF(A$1:A1454,A1454)-1</f>
        <v>2</v>
      </c>
      <c r="D1454" s="2" t="str">
        <f t="shared" si="22"/>
        <v>vr</v>
      </c>
      <c r="E1454" s="2" t="e">
        <f>NOMINAL(#REF!,#REF!)</f>
        <v>#REF!</v>
      </c>
      <c r="F1454" s="2" t="e">
        <f>NOMINAL(#REF!,+F1454:G1454)</f>
        <v>#REF!</v>
      </c>
      <c r="H1454" s="2" t="e">
        <f>NOMINAL(#REF!,H1454:I1454)</f>
        <v>#REF!</v>
      </c>
      <c r="I1454" s="1">
        <v>1</v>
      </c>
      <c r="J1454" s="2" t="e">
        <f>NOMINAL(#REF!,INDIRECT(J1454:K1454))</f>
        <v>#REF!</v>
      </c>
      <c r="L1454" s="2">
        <f>TYPE(INDEX(,NOMINAL(#REF!,OFFSET(INDEX(1,),,))))</f>
        <v>64</v>
      </c>
    </row>
    <row r="1455" spans="1:12" x14ac:dyDescent="0.55000000000000004">
      <c r="A1455" s="1" t="s">
        <v>1876</v>
      </c>
      <c r="B1455" s="2">
        <f>COUNTIF(A:A,A1455)-1</f>
        <v>2</v>
      </c>
      <c r="C1455" s="2">
        <f>COUNTIF(A$1:A1455,A1455)-1</f>
        <v>0</v>
      </c>
      <c r="D1455" s="2" t="str">
        <f t="shared" si="22"/>
        <v/>
      </c>
      <c r="E1455" s="2"/>
      <c r="F1455" s="2"/>
      <c r="H1455" s="2"/>
      <c r="J1455" s="2"/>
      <c r="L1455" s="2"/>
    </row>
    <row r="1456" spans="1:12" x14ac:dyDescent="0.55000000000000004">
      <c r="A1456" s="1" t="s">
        <v>1876</v>
      </c>
      <c r="B1456" s="2">
        <f>COUNTIF(A:A,A1456)-1</f>
        <v>2</v>
      </c>
      <c r="C1456" s="2">
        <f>COUNTIF(A$1:A1456,A1456)-1</f>
        <v>1</v>
      </c>
      <c r="D1456" s="2" t="str">
        <f t="shared" si="22"/>
        <v>vr</v>
      </c>
      <c r="E1456" s="2"/>
      <c r="F1456" s="2" t="e">
        <f>EFFECT(+F1456:G1456,#REF!)</f>
        <v>#REF!</v>
      </c>
      <c r="H1456" s="2" t="e">
        <f>EFFECT(H1456:I1456,#REF!)</f>
        <v>#VALUE!</v>
      </c>
      <c r="I1456" s="1">
        <v>1</v>
      </c>
      <c r="J1456" s="2" t="e">
        <f>EFFECT(INDIRECT(J1456:K1456),#REF!)</f>
        <v>#REF!</v>
      </c>
      <c r="L1456" s="2">
        <f>TYPE(INDEX(,EFFECT(OFFSET(INDEX(1,),,),#REF!)))</f>
        <v>64</v>
      </c>
    </row>
    <row r="1457" spans="1:12" x14ac:dyDescent="0.55000000000000004">
      <c r="A1457" s="1" t="s">
        <v>1876</v>
      </c>
      <c r="B1457" s="2">
        <f>COUNTIF(A:A,A1457)-1</f>
        <v>2</v>
      </c>
      <c r="C1457" s="2">
        <f>COUNTIF(A$1:A1457,A1457)-1</f>
        <v>2</v>
      </c>
      <c r="D1457" s="2" t="str">
        <f t="shared" si="22"/>
        <v>vr</v>
      </c>
      <c r="E1457" s="2" t="e">
        <f>EFFECT(#REF!,#REF!)</f>
        <v>#REF!</v>
      </c>
      <c r="F1457" s="2" t="e">
        <f>EFFECT(#REF!,+F1457:G1457)</f>
        <v>#REF!</v>
      </c>
      <c r="H1457" s="2" t="e">
        <f>EFFECT(#REF!,H1457:I1457)</f>
        <v>#REF!</v>
      </c>
      <c r="I1457" s="1">
        <v>1</v>
      </c>
      <c r="J1457" s="2" t="e">
        <f>EFFECT(#REF!,INDIRECT(J1457:K1457))</f>
        <v>#REF!</v>
      </c>
      <c r="L1457" s="2">
        <f>TYPE(INDEX(,EFFECT(#REF!,OFFSET(INDEX(1,),,))))</f>
        <v>64</v>
      </c>
    </row>
    <row r="1458" spans="1:12" x14ac:dyDescent="0.55000000000000004">
      <c r="A1458" s="1" t="s">
        <v>1877</v>
      </c>
      <c r="B1458" s="2">
        <f>COUNTIF(A:A,A1458)-1</f>
        <v>6</v>
      </c>
      <c r="C1458" s="2">
        <f>COUNTIF(A$1:A1458,A1458)-1</f>
        <v>0</v>
      </c>
      <c r="D1458" s="2" t="str">
        <f t="shared" si="22"/>
        <v/>
      </c>
      <c r="E1458" s="2"/>
      <c r="F1458" s="2"/>
      <c r="H1458" s="2"/>
      <c r="J1458" s="2"/>
      <c r="L1458" s="2"/>
    </row>
    <row r="1459" spans="1:12" x14ac:dyDescent="0.55000000000000004">
      <c r="A1459" s="1" t="s">
        <v>1877</v>
      </c>
      <c r="B1459" s="2">
        <f>COUNTIF(A:A,A1459)-1</f>
        <v>6</v>
      </c>
      <c r="C1459" s="2">
        <f>COUNTIF(A$1:A1459,A1459)-1</f>
        <v>1</v>
      </c>
      <c r="D1459" s="2" t="str">
        <f t="shared" si="22"/>
        <v>vr</v>
      </c>
      <c r="E1459" s="2"/>
      <c r="F1459" s="2" t="e">
        <f>CUMPRINC(+F1459:G1459,#REF!,#REF!,#REF!,#REF!,#REF!)</f>
        <v>#REF!</v>
      </c>
      <c r="H1459" s="2" t="e">
        <f>CUMPRINC(H1459:I1459,#REF!,#REF!,#REF!,#REF!,#REF!)</f>
        <v>#VALUE!</v>
      </c>
      <c r="I1459" s="1">
        <v>1</v>
      </c>
      <c r="J1459" s="2" t="e">
        <f>CUMPRINC(INDIRECT(J1459:K1459),#REF!,#REF!,#REF!,#REF!,#REF!)</f>
        <v>#REF!</v>
      </c>
      <c r="L1459" s="2">
        <f>TYPE(INDEX(,CUMPRINC(OFFSET(INDEX(1,),,),#REF!,#REF!,#REF!,#REF!,#REF!)))</f>
        <v>64</v>
      </c>
    </row>
    <row r="1460" spans="1:12" x14ac:dyDescent="0.55000000000000004">
      <c r="A1460" s="1" t="s">
        <v>1877</v>
      </c>
      <c r="B1460" s="2">
        <f>COUNTIF(A:A,A1460)-1</f>
        <v>6</v>
      </c>
      <c r="C1460" s="2">
        <f>COUNTIF(A$1:A1460,A1460)-1</f>
        <v>2</v>
      </c>
      <c r="D1460" s="2" t="str">
        <f t="shared" si="22"/>
        <v>vr</v>
      </c>
      <c r="E1460" s="2"/>
      <c r="F1460" s="2" t="e">
        <f>CUMPRINC(#REF!,+F1460:G1460,#REF!,#REF!,#REF!,#REF!)</f>
        <v>#REF!</v>
      </c>
      <c r="H1460" s="2" t="e">
        <f>CUMPRINC(#REF!,H1460:I1460,#REF!,#REF!,#REF!,#REF!)</f>
        <v>#REF!</v>
      </c>
      <c r="I1460" s="1">
        <v>1</v>
      </c>
      <c r="J1460" s="2" t="e">
        <f>CUMPRINC(#REF!,INDIRECT(J1460:K1460),#REF!,#REF!,#REF!,#REF!)</f>
        <v>#REF!</v>
      </c>
      <c r="L1460" s="2">
        <f>TYPE(INDEX(,CUMPRINC(#REF!,OFFSET(INDEX(1,),,),#REF!,#REF!,#REF!,#REF!)))</f>
        <v>64</v>
      </c>
    </row>
    <row r="1461" spans="1:12" x14ac:dyDescent="0.55000000000000004">
      <c r="A1461" s="1" t="s">
        <v>1877</v>
      </c>
      <c r="B1461" s="2">
        <f>COUNTIF(A:A,A1461)-1</f>
        <v>6</v>
      </c>
      <c r="C1461" s="2">
        <f>COUNTIF(A$1:A1461,A1461)-1</f>
        <v>3</v>
      </c>
      <c r="D1461" s="2" t="str">
        <f t="shared" si="22"/>
        <v>vr</v>
      </c>
      <c r="E1461" s="2"/>
      <c r="F1461" s="2" t="e">
        <f>CUMPRINC(#REF!,#REF!,+F1461:G1461,#REF!,#REF!,#REF!)</f>
        <v>#REF!</v>
      </c>
      <c r="H1461" s="2" t="e">
        <f>CUMPRINC(#REF!,#REF!,H1461:I1461,#REF!,#REF!,#REF!)</f>
        <v>#REF!</v>
      </c>
      <c r="I1461" s="1">
        <v>1</v>
      </c>
      <c r="J1461" s="2" t="e">
        <f>CUMPRINC(#REF!,#REF!,INDIRECT(J1461:K1461),#REF!,#REF!,#REF!)</f>
        <v>#REF!</v>
      </c>
      <c r="L1461" s="2">
        <f>TYPE(INDEX(,CUMPRINC(#REF!,#REF!,OFFSET(INDEX(1,),,),#REF!,#REF!,#REF!)))</f>
        <v>64</v>
      </c>
    </row>
    <row r="1462" spans="1:12" x14ac:dyDescent="0.55000000000000004">
      <c r="A1462" s="1" t="s">
        <v>1877</v>
      </c>
      <c r="B1462" s="2">
        <f>COUNTIF(A:A,A1462)-1</f>
        <v>6</v>
      </c>
      <c r="C1462" s="2">
        <f>COUNTIF(A$1:A1462,A1462)-1</f>
        <v>4</v>
      </c>
      <c r="D1462" s="2" t="str">
        <f t="shared" si="22"/>
        <v>vr</v>
      </c>
      <c r="E1462" s="2"/>
      <c r="F1462" s="2" t="e">
        <f>CUMPRINC(#REF!,#REF!,#REF!,+F1462:G1462,#REF!,#REF!)</f>
        <v>#REF!</v>
      </c>
      <c r="H1462" s="2" t="e">
        <f>CUMPRINC(#REF!,#REF!,#REF!,H1462:I1462,#REF!,#REF!)</f>
        <v>#REF!</v>
      </c>
      <c r="I1462" s="1">
        <v>1</v>
      </c>
      <c r="J1462" s="2" t="e">
        <f>CUMPRINC(#REF!,#REF!,#REF!,INDIRECT(J1462:K1462),#REF!,#REF!)</f>
        <v>#REF!</v>
      </c>
      <c r="L1462" s="2">
        <f>TYPE(INDEX(,CUMPRINC(#REF!,#REF!,#REF!,OFFSET(INDEX(1,),,),#REF!,#REF!)))</f>
        <v>64</v>
      </c>
    </row>
    <row r="1463" spans="1:12" x14ac:dyDescent="0.55000000000000004">
      <c r="A1463" s="1" t="s">
        <v>1877</v>
      </c>
      <c r="B1463" s="2">
        <f>COUNTIF(A:A,A1463)-1</f>
        <v>6</v>
      </c>
      <c r="C1463" s="2">
        <f>COUNTIF(A$1:A1463,A1463)-1</f>
        <v>5</v>
      </c>
      <c r="D1463" s="2" t="str">
        <f t="shared" si="22"/>
        <v>vr</v>
      </c>
      <c r="E1463" s="2"/>
      <c r="F1463" s="2" t="e">
        <f>CUMPRINC(#REF!,#REF!,#REF!,#REF!,+F1463:G1463,#REF!)</f>
        <v>#REF!</v>
      </c>
      <c r="H1463" s="2" t="e">
        <f>CUMPRINC(#REF!,#REF!,#REF!,#REF!,H1463:I1463,#REF!)</f>
        <v>#REF!</v>
      </c>
      <c r="I1463" s="1">
        <v>1</v>
      </c>
      <c r="J1463" s="2" t="e">
        <f>CUMPRINC(#REF!,#REF!,#REF!,#REF!,INDIRECT(J1463:K1463),#REF!)</f>
        <v>#REF!</v>
      </c>
      <c r="L1463" s="2">
        <f>TYPE(INDEX(,CUMPRINC(#REF!,#REF!,#REF!,#REF!,OFFSET(INDEX(1,),,),#REF!)))</f>
        <v>64</v>
      </c>
    </row>
    <row r="1464" spans="1:12" x14ac:dyDescent="0.55000000000000004">
      <c r="A1464" s="1" t="s">
        <v>1877</v>
      </c>
      <c r="B1464" s="2">
        <f>COUNTIF(A:A,A1464)-1</f>
        <v>6</v>
      </c>
      <c r="C1464" s="2">
        <f>COUNTIF(A$1:A1464,A1464)-1</f>
        <v>6</v>
      </c>
      <c r="D1464" s="2" t="str">
        <f t="shared" si="22"/>
        <v>vr</v>
      </c>
      <c r="E1464" s="2" t="e">
        <f>CUMPRINC(#REF!,#REF!,#REF!,#REF!,#REF!,#REF!)</f>
        <v>#REF!</v>
      </c>
      <c r="F1464" s="2" t="e">
        <f>CUMPRINC(#REF!,#REF!,#REF!,#REF!,#REF!,+F1464:G1464)</f>
        <v>#REF!</v>
      </c>
      <c r="H1464" s="2" t="e">
        <f>CUMPRINC(#REF!,#REF!,#REF!,#REF!,#REF!,H1464:I1464)</f>
        <v>#REF!</v>
      </c>
      <c r="I1464" s="1">
        <v>1</v>
      </c>
      <c r="J1464" s="2" t="e">
        <f>CUMPRINC(#REF!,#REF!,#REF!,#REF!,#REF!,INDIRECT(J1464:K1464))</f>
        <v>#REF!</v>
      </c>
      <c r="L1464" s="2">
        <f>TYPE(INDEX(,CUMPRINC(#REF!,#REF!,#REF!,#REF!,#REF!,OFFSET(INDEX(1,),,))))</f>
        <v>64</v>
      </c>
    </row>
    <row r="1465" spans="1:12" x14ac:dyDescent="0.55000000000000004">
      <c r="A1465" s="1" t="s">
        <v>1878</v>
      </c>
      <c r="B1465" s="2">
        <f>COUNTIF(A:A,A1465)-1</f>
        <v>6</v>
      </c>
      <c r="C1465" s="2">
        <f>COUNTIF(A$1:A1465,A1465)-1</f>
        <v>0</v>
      </c>
      <c r="D1465" s="2" t="str">
        <f t="shared" si="22"/>
        <v/>
      </c>
      <c r="E1465" s="2"/>
      <c r="F1465" s="2"/>
      <c r="H1465" s="2"/>
      <c r="J1465" s="2"/>
      <c r="L1465" s="2"/>
    </row>
    <row r="1466" spans="1:12" x14ac:dyDescent="0.55000000000000004">
      <c r="A1466" s="1" t="s">
        <v>1878</v>
      </c>
      <c r="B1466" s="2">
        <f>COUNTIF(A:A,A1466)-1</f>
        <v>6</v>
      </c>
      <c r="C1466" s="2">
        <f>COUNTIF(A$1:A1466,A1466)-1</f>
        <v>1</v>
      </c>
      <c r="D1466" s="2" t="str">
        <f t="shared" si="22"/>
        <v>vr</v>
      </c>
      <c r="E1466" s="2"/>
      <c r="F1466" s="2" t="e">
        <f>CUMIPMT(+F1466:G1466,#REF!,#REF!,#REF!,#REF!,#REF!)</f>
        <v>#REF!</v>
      </c>
      <c r="H1466" s="2" t="e">
        <f>CUMIPMT(H1466:I1466,#REF!,#REF!,#REF!,#REF!,#REF!)</f>
        <v>#VALUE!</v>
      </c>
      <c r="I1466" s="1">
        <v>1</v>
      </c>
      <c r="J1466" s="2" t="e">
        <f>CUMIPMT(INDIRECT(J1466:K1466),#REF!,#REF!,#REF!,#REF!,#REF!)</f>
        <v>#REF!</v>
      </c>
      <c r="L1466" s="2">
        <f>TYPE(INDEX(,CUMIPMT(OFFSET(INDEX(1,),,),#REF!,#REF!,#REF!,#REF!,#REF!)))</f>
        <v>64</v>
      </c>
    </row>
    <row r="1467" spans="1:12" x14ac:dyDescent="0.55000000000000004">
      <c r="A1467" s="1" t="s">
        <v>1878</v>
      </c>
      <c r="B1467" s="2">
        <f>COUNTIF(A:A,A1467)-1</f>
        <v>6</v>
      </c>
      <c r="C1467" s="2">
        <f>COUNTIF(A$1:A1467,A1467)-1</f>
        <v>2</v>
      </c>
      <c r="D1467" s="2" t="str">
        <f t="shared" si="22"/>
        <v>vr</v>
      </c>
      <c r="E1467" s="2"/>
      <c r="F1467" s="2" t="e">
        <f>CUMIPMT(#REF!,+F1467:G1467,#REF!,#REF!,#REF!,#REF!)</f>
        <v>#REF!</v>
      </c>
      <c r="H1467" s="2" t="e">
        <f>CUMIPMT(#REF!,H1467:I1467,#REF!,#REF!,#REF!,#REF!)</f>
        <v>#REF!</v>
      </c>
      <c r="I1467" s="1">
        <v>1</v>
      </c>
      <c r="J1467" s="2" t="e">
        <f>CUMIPMT(#REF!,INDIRECT(J1467:K1467),#REF!,#REF!,#REF!,#REF!)</f>
        <v>#REF!</v>
      </c>
      <c r="L1467" s="2">
        <f>TYPE(INDEX(,CUMIPMT(#REF!,OFFSET(INDEX(1,),,),#REF!,#REF!,#REF!,#REF!)))</f>
        <v>64</v>
      </c>
    </row>
    <row r="1468" spans="1:12" x14ac:dyDescent="0.55000000000000004">
      <c r="A1468" s="1" t="s">
        <v>1878</v>
      </c>
      <c r="B1468" s="2">
        <f>COUNTIF(A:A,A1468)-1</f>
        <v>6</v>
      </c>
      <c r="C1468" s="2">
        <f>COUNTIF(A$1:A1468,A1468)-1</f>
        <v>3</v>
      </c>
      <c r="D1468" s="2" t="str">
        <f t="shared" si="22"/>
        <v>vr</v>
      </c>
      <c r="E1468" s="2"/>
      <c r="F1468" s="2" t="e">
        <f>CUMIPMT(#REF!,#REF!,+F1468:G1468,#REF!,#REF!,#REF!)</f>
        <v>#REF!</v>
      </c>
      <c r="H1468" s="2" t="e">
        <f>CUMIPMT(#REF!,#REF!,H1468:I1468,#REF!,#REF!,#REF!)</f>
        <v>#REF!</v>
      </c>
      <c r="I1468" s="1">
        <v>1</v>
      </c>
      <c r="J1468" s="2" t="e">
        <f>CUMIPMT(#REF!,#REF!,INDIRECT(J1468:K1468),#REF!,#REF!,#REF!)</f>
        <v>#REF!</v>
      </c>
      <c r="L1468" s="2">
        <f>TYPE(INDEX(,CUMIPMT(#REF!,#REF!,OFFSET(INDEX(1,),,),#REF!,#REF!,#REF!)))</f>
        <v>64</v>
      </c>
    </row>
    <row r="1469" spans="1:12" x14ac:dyDescent="0.55000000000000004">
      <c r="A1469" s="1" t="s">
        <v>1878</v>
      </c>
      <c r="B1469" s="2">
        <f>COUNTIF(A:A,A1469)-1</f>
        <v>6</v>
      </c>
      <c r="C1469" s="2">
        <f>COUNTIF(A$1:A1469,A1469)-1</f>
        <v>4</v>
      </c>
      <c r="D1469" s="2" t="str">
        <f t="shared" si="22"/>
        <v>vr</v>
      </c>
      <c r="E1469" s="2"/>
      <c r="F1469" s="2" t="e">
        <f>CUMIPMT(#REF!,#REF!,#REF!,+F1469:G1469,#REF!,#REF!)</f>
        <v>#REF!</v>
      </c>
      <c r="H1469" s="2" t="e">
        <f>CUMIPMT(#REF!,#REF!,#REF!,H1469:I1469,#REF!,#REF!)</f>
        <v>#REF!</v>
      </c>
      <c r="I1469" s="1">
        <v>1</v>
      </c>
      <c r="J1469" s="2" t="e">
        <f>CUMIPMT(#REF!,#REF!,#REF!,INDIRECT(J1469:K1469),#REF!,#REF!)</f>
        <v>#REF!</v>
      </c>
      <c r="L1469" s="2">
        <f>TYPE(INDEX(,CUMIPMT(#REF!,#REF!,#REF!,OFFSET(INDEX(1,),,),#REF!,#REF!)))</f>
        <v>64</v>
      </c>
    </row>
    <row r="1470" spans="1:12" x14ac:dyDescent="0.55000000000000004">
      <c r="A1470" s="1" t="s">
        <v>1878</v>
      </c>
      <c r="B1470" s="2">
        <f>COUNTIF(A:A,A1470)-1</f>
        <v>6</v>
      </c>
      <c r="C1470" s="2">
        <f>COUNTIF(A$1:A1470,A1470)-1</f>
        <v>5</v>
      </c>
      <c r="D1470" s="2" t="str">
        <f t="shared" si="22"/>
        <v>vr</v>
      </c>
      <c r="E1470" s="2"/>
      <c r="F1470" s="2" t="e">
        <f>CUMIPMT(#REF!,#REF!,#REF!,#REF!,+F1470:G1470,#REF!)</f>
        <v>#REF!</v>
      </c>
      <c r="H1470" s="2" t="e">
        <f>CUMIPMT(#REF!,#REF!,#REF!,#REF!,H1470:I1470,#REF!)</f>
        <v>#REF!</v>
      </c>
      <c r="I1470" s="1">
        <v>1</v>
      </c>
      <c r="J1470" s="2" t="e">
        <f>CUMIPMT(#REF!,#REF!,#REF!,#REF!,INDIRECT(J1470:K1470),#REF!)</f>
        <v>#REF!</v>
      </c>
      <c r="L1470" s="2">
        <f>TYPE(INDEX(,CUMIPMT(#REF!,#REF!,#REF!,#REF!,OFFSET(INDEX(1,),,),#REF!)))</f>
        <v>64</v>
      </c>
    </row>
    <row r="1471" spans="1:12" x14ac:dyDescent="0.55000000000000004">
      <c r="A1471" s="1" t="s">
        <v>1878</v>
      </c>
      <c r="B1471" s="2">
        <f>COUNTIF(A:A,A1471)-1</f>
        <v>6</v>
      </c>
      <c r="C1471" s="2">
        <f>COUNTIF(A$1:A1471,A1471)-1</f>
        <v>6</v>
      </c>
      <c r="D1471" s="2" t="str">
        <f t="shared" si="22"/>
        <v>vr</v>
      </c>
      <c r="E1471" s="2" t="e">
        <f>CUMIPMT(#REF!,#REF!,#REF!,#REF!,#REF!,#REF!)</f>
        <v>#REF!</v>
      </c>
      <c r="F1471" s="2" t="e">
        <f>CUMIPMT(#REF!,#REF!,#REF!,#REF!,#REF!,+F1471:G1471)</f>
        <v>#REF!</v>
      </c>
      <c r="H1471" s="2" t="e">
        <f>CUMIPMT(#REF!,#REF!,#REF!,#REF!,#REF!,H1471:I1471)</f>
        <v>#REF!</v>
      </c>
      <c r="I1471" s="1">
        <v>1</v>
      </c>
      <c r="J1471" s="2" t="e">
        <f>CUMIPMT(#REF!,#REF!,#REF!,#REF!,#REF!,INDIRECT(J1471:K1471))</f>
        <v>#REF!</v>
      </c>
      <c r="L1471" s="2">
        <f>TYPE(INDEX(,CUMIPMT(#REF!,#REF!,#REF!,#REF!,#REF!,OFFSET(INDEX(1,),,))))</f>
        <v>64</v>
      </c>
    </row>
    <row r="1472" spans="1:12" x14ac:dyDescent="0.55000000000000004">
      <c r="A1472" s="1" t="s">
        <v>1879</v>
      </c>
      <c r="B1472" s="2">
        <f>COUNTIF(A:A,A1472)-1</f>
        <v>2</v>
      </c>
      <c r="C1472" s="2">
        <f>COUNTIF(A$1:A1472,A1472)-1</f>
        <v>0</v>
      </c>
      <c r="D1472" s="2" t="str">
        <f t="shared" si="22"/>
        <v/>
      </c>
      <c r="E1472" s="2"/>
      <c r="F1472" s="2"/>
      <c r="H1472" s="2"/>
      <c r="J1472" s="2"/>
      <c r="L1472" s="2"/>
    </row>
    <row r="1473" spans="1:12" x14ac:dyDescent="0.55000000000000004">
      <c r="A1473" s="1" t="s">
        <v>1879</v>
      </c>
      <c r="B1473" s="2">
        <f>COUNTIF(A:A,A1473)-1</f>
        <v>2</v>
      </c>
      <c r="C1473" s="2">
        <f>COUNTIF(A$1:A1473,A1473)-1</f>
        <v>1</v>
      </c>
      <c r="D1473" s="2" t="str">
        <f t="shared" si="22"/>
        <v>vr</v>
      </c>
      <c r="E1473" s="2"/>
      <c r="F1473" s="2" t="e">
        <f>EDATE(+F1473:G1473,#REF!)</f>
        <v>#REF!</v>
      </c>
      <c r="H1473" s="2" t="e">
        <f>EDATE(H1473:I1473,#REF!)</f>
        <v>#VALUE!</v>
      </c>
      <c r="I1473" s="1">
        <v>1</v>
      </c>
      <c r="J1473" s="2" t="e">
        <f>EDATE(INDIRECT(J1473:K1473),#REF!)</f>
        <v>#REF!</v>
      </c>
      <c r="L1473" s="2">
        <f>TYPE(INDEX(,EDATE(OFFSET(INDEX(1,),,),#REF!)))</f>
        <v>64</v>
      </c>
    </row>
    <row r="1474" spans="1:12" x14ac:dyDescent="0.55000000000000004">
      <c r="A1474" s="1" t="s">
        <v>1879</v>
      </c>
      <c r="B1474" s="2">
        <f>COUNTIF(A:A,A1474)-1</f>
        <v>2</v>
      </c>
      <c r="C1474" s="2">
        <f>COUNTIF(A$1:A1474,A1474)-1</f>
        <v>2</v>
      </c>
      <c r="D1474" s="2" t="str">
        <f t="shared" ref="D1474:D1537" si="23">IF(C1474&gt;0,IF(COUNTA(F1474:G1474)=1,"v",)&amp;IF(L1474=64,,"a")&amp;IF(COUNTA(I1474,K1474)=1,"r",),"")</f>
        <v>vr</v>
      </c>
      <c r="E1474" s="2" t="e">
        <f>EDATE(#REF!,#REF!)</f>
        <v>#REF!</v>
      </c>
      <c r="F1474" s="2" t="e">
        <f>EDATE(#REF!,+F1474:G1474)</f>
        <v>#REF!</v>
      </c>
      <c r="H1474" s="2" t="e">
        <f>EDATE(#REF!,H1474:I1474)</f>
        <v>#REF!</v>
      </c>
      <c r="I1474" s="1">
        <v>1</v>
      </c>
      <c r="J1474" s="2" t="e">
        <f>EDATE(#REF!,INDIRECT(J1474:K1474))</f>
        <v>#REF!</v>
      </c>
      <c r="L1474" s="2">
        <f>TYPE(INDEX(,EDATE(#REF!,OFFSET(INDEX(1,),,))))</f>
        <v>64</v>
      </c>
    </row>
    <row r="1475" spans="1:12" x14ac:dyDescent="0.55000000000000004">
      <c r="A1475" s="1" t="s">
        <v>1880</v>
      </c>
      <c r="B1475" s="2">
        <f>COUNTIF(A:A,A1475)-1</f>
        <v>2</v>
      </c>
      <c r="C1475" s="2">
        <f>COUNTIF(A$1:A1475,A1475)-1</f>
        <v>0</v>
      </c>
      <c r="D1475" s="2" t="str">
        <f t="shared" si="23"/>
        <v/>
      </c>
      <c r="E1475" s="2"/>
      <c r="F1475" s="2"/>
      <c r="H1475" s="2"/>
      <c r="J1475" s="2"/>
      <c r="L1475" s="2"/>
    </row>
    <row r="1476" spans="1:12" x14ac:dyDescent="0.55000000000000004">
      <c r="A1476" s="1" t="s">
        <v>1880</v>
      </c>
      <c r="B1476" s="2">
        <f>COUNTIF(A:A,A1476)-1</f>
        <v>2</v>
      </c>
      <c r="C1476" s="2">
        <f>COUNTIF(A$1:A1476,A1476)-1</f>
        <v>1</v>
      </c>
      <c r="D1476" s="2" t="str">
        <f t="shared" si="23"/>
        <v>vr</v>
      </c>
      <c r="E1476" s="2"/>
      <c r="F1476" s="2" t="e">
        <f>EOMONTH(+F1476:G1476,#REF!)</f>
        <v>#REF!</v>
      </c>
      <c r="H1476" s="2" t="e">
        <f>EOMONTH(H1476:I1476,#REF!)</f>
        <v>#VALUE!</v>
      </c>
      <c r="I1476" s="1">
        <v>1</v>
      </c>
      <c r="J1476" s="2" t="e">
        <f>EOMONTH(INDIRECT(J1476:K1476),#REF!)</f>
        <v>#REF!</v>
      </c>
      <c r="L1476" s="2">
        <f>TYPE(INDEX(,EOMONTH(OFFSET(INDEX(1,),,),#REF!)))</f>
        <v>64</v>
      </c>
    </row>
    <row r="1477" spans="1:12" x14ac:dyDescent="0.55000000000000004">
      <c r="A1477" s="1" t="s">
        <v>1880</v>
      </c>
      <c r="B1477" s="2">
        <f>COUNTIF(A:A,A1477)-1</f>
        <v>2</v>
      </c>
      <c r="C1477" s="2">
        <f>COUNTIF(A$1:A1477,A1477)-1</f>
        <v>2</v>
      </c>
      <c r="D1477" s="2" t="str">
        <f t="shared" si="23"/>
        <v>vr</v>
      </c>
      <c r="E1477" s="2" t="e">
        <f>EOMONTH(#REF!,#REF!)</f>
        <v>#REF!</v>
      </c>
      <c r="F1477" s="2" t="e">
        <f>EOMONTH(#REF!,+F1477:G1477)</f>
        <v>#REF!</v>
      </c>
      <c r="H1477" s="2" t="e">
        <f>EOMONTH(#REF!,H1477:I1477)</f>
        <v>#REF!</v>
      </c>
      <c r="I1477" s="1">
        <v>1</v>
      </c>
      <c r="J1477" s="2" t="e">
        <f>EOMONTH(#REF!,INDIRECT(J1477:K1477))</f>
        <v>#REF!</v>
      </c>
      <c r="L1477" s="2">
        <f>TYPE(INDEX(,EOMONTH(#REF!,OFFSET(INDEX(1,),,))))</f>
        <v>64</v>
      </c>
    </row>
    <row r="1478" spans="1:12" x14ac:dyDescent="0.55000000000000004">
      <c r="A1478" s="1" t="s">
        <v>1881</v>
      </c>
      <c r="B1478" s="2">
        <f>COUNTIF(A:A,A1478)-1</f>
        <v>3</v>
      </c>
      <c r="C1478" s="2">
        <f>COUNTIF(A$1:A1478,A1478)-1</f>
        <v>0</v>
      </c>
      <c r="D1478" s="2" t="str">
        <f t="shared" si="23"/>
        <v/>
      </c>
      <c r="E1478" s="2"/>
      <c r="F1478" s="2"/>
      <c r="H1478" s="2"/>
      <c r="J1478" s="2"/>
      <c r="L1478" s="2"/>
    </row>
    <row r="1479" spans="1:12" x14ac:dyDescent="0.55000000000000004">
      <c r="A1479" s="1" t="s">
        <v>1881</v>
      </c>
      <c r="B1479" s="2">
        <f>COUNTIF(A:A,A1479)-1</f>
        <v>3</v>
      </c>
      <c r="C1479" s="2">
        <f>COUNTIF(A$1:A1479,A1479)-1</f>
        <v>1</v>
      </c>
      <c r="D1479" s="2" t="str">
        <f t="shared" si="23"/>
        <v>vr</v>
      </c>
      <c r="E1479" s="2"/>
      <c r="F1479" s="2" t="e">
        <f>YEARFRAC(+F1479:G1479,#REF!,#REF!)</f>
        <v>#REF!</v>
      </c>
      <c r="H1479" s="2" t="e">
        <f>YEARFRAC(H1479:I1479,#REF!,#REF!)</f>
        <v>#REF!</v>
      </c>
      <c r="I1479" s="1">
        <v>1</v>
      </c>
      <c r="J1479" s="2" t="e">
        <f>YEARFRAC(INDIRECT(J1479:K1479),#REF!,#REF!)</f>
        <v>#REF!</v>
      </c>
      <c r="L1479" s="2">
        <f>TYPE(INDEX(,YEARFRAC(OFFSET(INDEX(1,),,),#REF!,#REF!)))</f>
        <v>64</v>
      </c>
    </row>
    <row r="1480" spans="1:12" x14ac:dyDescent="0.55000000000000004">
      <c r="A1480" s="1" t="s">
        <v>1881</v>
      </c>
      <c r="B1480" s="2">
        <f>COUNTIF(A:A,A1480)-1</f>
        <v>3</v>
      </c>
      <c r="C1480" s="2">
        <f>COUNTIF(A$1:A1480,A1480)-1</f>
        <v>2</v>
      </c>
      <c r="D1480" s="2" t="str">
        <f t="shared" si="23"/>
        <v>vr</v>
      </c>
      <c r="E1480" s="2" t="e">
        <f>YEARFRAC(#REF!,#REF!)</f>
        <v>#REF!</v>
      </c>
      <c r="F1480" s="2" t="e">
        <f>YEARFRAC(#REF!,+F1480:G1480,#REF!)</f>
        <v>#REF!</v>
      </c>
      <c r="H1480" s="2" t="e">
        <f>YEARFRAC(#REF!,H1480:I1480,#REF!)</f>
        <v>#REF!</v>
      </c>
      <c r="I1480" s="1">
        <v>1</v>
      </c>
      <c r="J1480" s="2" t="e">
        <f>YEARFRAC(#REF!,INDIRECT(J1480:K1480),#REF!)</f>
        <v>#REF!</v>
      </c>
      <c r="L1480" s="2">
        <f>TYPE(INDEX(,YEARFRAC(#REF!,OFFSET(INDEX(1,),,),#REF!)))</f>
        <v>64</v>
      </c>
    </row>
    <row r="1481" spans="1:12" x14ac:dyDescent="0.55000000000000004">
      <c r="A1481" s="1" t="s">
        <v>1881</v>
      </c>
      <c r="B1481" s="2">
        <f>COUNTIF(A:A,A1481)-1</f>
        <v>3</v>
      </c>
      <c r="C1481" s="2">
        <f>COUNTIF(A$1:A1481,A1481)-1</f>
        <v>3</v>
      </c>
      <c r="D1481" s="2" t="str">
        <f t="shared" si="23"/>
        <v>vr</v>
      </c>
      <c r="E1481" s="2" t="e">
        <f>YEARFRAC(#REF!,#REF!,#REF!)</f>
        <v>#REF!</v>
      </c>
      <c r="F1481" s="2" t="e">
        <f>YEARFRAC(#REF!,#REF!,+F1481:G1481)</f>
        <v>#REF!</v>
      </c>
      <c r="H1481" s="2" t="e">
        <f>YEARFRAC(#REF!,#REF!,H1481:I1481)</f>
        <v>#VALUE!</v>
      </c>
      <c r="I1481" s="1">
        <v>1</v>
      </c>
      <c r="J1481" s="2" t="e">
        <f>YEARFRAC(#REF!,#REF!,INDIRECT(J1481:K1481))</f>
        <v>#REF!</v>
      </c>
      <c r="L1481" s="2">
        <f>TYPE(INDEX(,YEARFRAC(#REF!,#REF!,OFFSET(INDEX(1,),,))))</f>
        <v>64</v>
      </c>
    </row>
    <row r="1482" spans="1:12" x14ac:dyDescent="0.55000000000000004">
      <c r="A1482" s="1" t="s">
        <v>1882</v>
      </c>
      <c r="B1482" s="2">
        <f>COUNTIF(A:A,A1482)-1</f>
        <v>4</v>
      </c>
      <c r="C1482" s="2">
        <f>COUNTIF(A$1:A1482,A1482)-1</f>
        <v>0</v>
      </c>
      <c r="D1482" s="2" t="str">
        <f t="shared" si="23"/>
        <v/>
      </c>
      <c r="E1482" s="2"/>
      <c r="F1482" s="2"/>
      <c r="H1482" s="2"/>
      <c r="J1482" s="2"/>
      <c r="L1482" s="2"/>
    </row>
    <row r="1483" spans="1:12" x14ac:dyDescent="0.55000000000000004">
      <c r="A1483" s="1" t="s">
        <v>1882</v>
      </c>
      <c r="B1483" s="2">
        <f>COUNTIF(A:A,A1483)-1</f>
        <v>4</v>
      </c>
      <c r="C1483" s="2">
        <f>COUNTIF(A$1:A1483,A1483)-1</f>
        <v>1</v>
      </c>
      <c r="D1483" s="2" t="str">
        <f t="shared" si="23"/>
        <v>vr</v>
      </c>
      <c r="E1483" s="2"/>
      <c r="F1483" s="2" t="e">
        <f>COUPDAYBS(+F1483:G1483,#REF!,#REF!,#REF!)</f>
        <v>#REF!</v>
      </c>
      <c r="H1483" s="2" t="e">
        <f>COUPDAYBS(H1483:I1483,#REF!,#REF!,#REF!)</f>
        <v>#VALUE!</v>
      </c>
      <c r="I1483" s="1">
        <v>1</v>
      </c>
      <c r="J1483" s="2" t="e">
        <f>COUPDAYBS(INDIRECT(J1483:K1483),#REF!,#REF!,#REF!)</f>
        <v>#REF!</v>
      </c>
      <c r="L1483" s="2">
        <f>TYPE(INDEX(,COUPDAYBS(OFFSET(INDEX(1,),,),#REF!,#REF!,#REF!)))</f>
        <v>64</v>
      </c>
    </row>
    <row r="1484" spans="1:12" x14ac:dyDescent="0.55000000000000004">
      <c r="A1484" s="1" t="s">
        <v>1882</v>
      </c>
      <c r="B1484" s="2">
        <f>COUNTIF(A:A,A1484)-1</f>
        <v>4</v>
      </c>
      <c r="C1484" s="2">
        <f>COUNTIF(A$1:A1484,A1484)-1</f>
        <v>2</v>
      </c>
      <c r="D1484" s="2" t="str">
        <f t="shared" si="23"/>
        <v>vr</v>
      </c>
      <c r="E1484" s="2"/>
      <c r="F1484" s="2" t="e">
        <f>COUPDAYBS(#REF!,+F1484:G1484,#REF!,#REF!)</f>
        <v>#REF!</v>
      </c>
      <c r="H1484" s="2" t="e">
        <f>COUPDAYBS(#REF!,H1484:I1484,#REF!,#REF!)</f>
        <v>#REF!</v>
      </c>
      <c r="I1484" s="1">
        <v>1</v>
      </c>
      <c r="J1484" s="2" t="e">
        <f>COUPDAYBS(#REF!,INDIRECT(J1484:K1484),#REF!,#REF!)</f>
        <v>#REF!</v>
      </c>
      <c r="L1484" s="2">
        <f>TYPE(INDEX(,COUPDAYBS(#REF!,OFFSET(INDEX(1,),,),#REF!,#REF!)))</f>
        <v>64</v>
      </c>
    </row>
    <row r="1485" spans="1:12" x14ac:dyDescent="0.55000000000000004">
      <c r="A1485" s="1" t="s">
        <v>1882</v>
      </c>
      <c r="B1485" s="2">
        <f>COUNTIF(A:A,A1485)-1</f>
        <v>4</v>
      </c>
      <c r="C1485" s="2">
        <f>COUNTIF(A$1:A1485,A1485)-1</f>
        <v>3</v>
      </c>
      <c r="D1485" s="2" t="str">
        <f t="shared" si="23"/>
        <v>vr</v>
      </c>
      <c r="E1485" s="2" t="e">
        <f>COUPDAYBS(#REF!,#REF!,#REF!)</f>
        <v>#REF!</v>
      </c>
      <c r="F1485" s="2" t="e">
        <f>COUPDAYBS(#REF!,#REF!,+F1485:G1485,#REF!)</f>
        <v>#REF!</v>
      </c>
      <c r="H1485" s="2" t="e">
        <f>COUPDAYBS(#REF!,#REF!,H1485:I1485,#REF!)</f>
        <v>#REF!</v>
      </c>
      <c r="I1485" s="1">
        <v>1</v>
      </c>
      <c r="J1485" s="2" t="e">
        <f>COUPDAYBS(#REF!,#REF!,INDIRECT(J1485:K1485),#REF!)</f>
        <v>#REF!</v>
      </c>
      <c r="L1485" s="2">
        <f>TYPE(INDEX(,COUPDAYBS(#REF!,#REF!,OFFSET(INDEX(1,),,),#REF!)))</f>
        <v>64</v>
      </c>
    </row>
    <row r="1486" spans="1:12" x14ac:dyDescent="0.55000000000000004">
      <c r="A1486" s="1" t="s">
        <v>1882</v>
      </c>
      <c r="B1486" s="2">
        <f>COUNTIF(A:A,A1486)-1</f>
        <v>4</v>
      </c>
      <c r="C1486" s="2">
        <f>COUNTIF(A$1:A1486,A1486)-1</f>
        <v>4</v>
      </c>
      <c r="D1486" s="2" t="str">
        <f t="shared" si="23"/>
        <v>vr</v>
      </c>
      <c r="E1486" s="2" t="e">
        <f>COUPDAYBS(#REF!,#REF!,#REF!,#REF!)</f>
        <v>#REF!</v>
      </c>
      <c r="F1486" s="2" t="e">
        <f>COUPDAYBS(#REF!,#REF!,#REF!,+F1486:G1486)</f>
        <v>#REF!</v>
      </c>
      <c r="H1486" s="2" t="e">
        <f>COUPDAYBS(#REF!,#REF!,#REF!,H1486:I1486)</f>
        <v>#REF!</v>
      </c>
      <c r="I1486" s="1">
        <v>1</v>
      </c>
      <c r="J1486" s="2" t="e">
        <f>COUPDAYBS(#REF!,#REF!,#REF!,INDIRECT(J1486:K1486))</f>
        <v>#REF!</v>
      </c>
      <c r="L1486" s="2">
        <f>TYPE(INDEX(,COUPDAYBS(#REF!,#REF!,#REF!,OFFSET(INDEX(1,),,))))</f>
        <v>64</v>
      </c>
    </row>
    <row r="1487" spans="1:12" x14ac:dyDescent="0.55000000000000004">
      <c r="A1487" s="1" t="s">
        <v>1883</v>
      </c>
      <c r="B1487" s="2">
        <f>COUNTIF(A:A,A1487)-1</f>
        <v>4</v>
      </c>
      <c r="C1487" s="2">
        <f>COUNTIF(A$1:A1487,A1487)-1</f>
        <v>0</v>
      </c>
      <c r="D1487" s="2" t="str">
        <f t="shared" si="23"/>
        <v/>
      </c>
      <c r="E1487" s="2"/>
      <c r="F1487" s="2"/>
      <c r="H1487" s="2"/>
      <c r="J1487" s="2"/>
      <c r="L1487" s="2"/>
    </row>
    <row r="1488" spans="1:12" x14ac:dyDescent="0.55000000000000004">
      <c r="A1488" s="1" t="s">
        <v>1883</v>
      </c>
      <c r="B1488" s="2">
        <f>COUNTIF(A:A,A1488)-1</f>
        <v>4</v>
      </c>
      <c r="C1488" s="2">
        <f>COUNTIF(A$1:A1488,A1488)-1</f>
        <v>1</v>
      </c>
      <c r="D1488" s="2" t="str">
        <f t="shared" si="23"/>
        <v>vr</v>
      </c>
      <c r="E1488" s="2"/>
      <c r="F1488" s="2" t="e">
        <f>COUPDAYS(+F1488:G1488,#REF!,#REF!,#REF!)</f>
        <v>#REF!</v>
      </c>
      <c r="H1488" s="2" t="e">
        <f>COUPDAYS(H1488:I1488,#REF!,#REF!,#REF!)</f>
        <v>#VALUE!</v>
      </c>
      <c r="I1488" s="1">
        <v>1</v>
      </c>
      <c r="J1488" s="2" t="e">
        <f>COUPDAYS(INDIRECT(J1488:K1488),#REF!,#REF!,#REF!)</f>
        <v>#REF!</v>
      </c>
      <c r="L1488" s="2">
        <f>TYPE(INDEX(,COUPDAYS(OFFSET(INDEX(1,),,),#REF!,#REF!,#REF!)))</f>
        <v>64</v>
      </c>
    </row>
    <row r="1489" spans="1:12" x14ac:dyDescent="0.55000000000000004">
      <c r="A1489" s="1" t="s">
        <v>1883</v>
      </c>
      <c r="B1489" s="2">
        <f>COUNTIF(A:A,A1489)-1</f>
        <v>4</v>
      </c>
      <c r="C1489" s="2">
        <f>COUNTIF(A$1:A1489,A1489)-1</f>
        <v>2</v>
      </c>
      <c r="D1489" s="2" t="str">
        <f t="shared" si="23"/>
        <v>vr</v>
      </c>
      <c r="E1489" s="2"/>
      <c r="F1489" s="2" t="e">
        <f>COUPDAYS(#REF!,+F1489:G1489,#REF!,#REF!)</f>
        <v>#REF!</v>
      </c>
      <c r="H1489" s="2" t="e">
        <f>COUPDAYS(#REF!,H1489:I1489,#REF!,#REF!)</f>
        <v>#REF!</v>
      </c>
      <c r="I1489" s="1">
        <v>1</v>
      </c>
      <c r="J1489" s="2" t="e">
        <f>COUPDAYS(#REF!,INDIRECT(J1489:K1489),#REF!,#REF!)</f>
        <v>#REF!</v>
      </c>
      <c r="L1489" s="2">
        <f>TYPE(INDEX(,COUPDAYS(#REF!,OFFSET(INDEX(1,),,),#REF!,#REF!)))</f>
        <v>64</v>
      </c>
    </row>
    <row r="1490" spans="1:12" x14ac:dyDescent="0.55000000000000004">
      <c r="A1490" s="1" t="s">
        <v>1883</v>
      </c>
      <c r="B1490" s="2">
        <f>COUNTIF(A:A,A1490)-1</f>
        <v>4</v>
      </c>
      <c r="C1490" s="2">
        <f>COUNTIF(A$1:A1490,A1490)-1</f>
        <v>3</v>
      </c>
      <c r="D1490" s="2" t="str">
        <f t="shared" si="23"/>
        <v>vr</v>
      </c>
      <c r="E1490" s="2" t="e">
        <f>COUPDAYS(#REF!,#REF!,#REF!)</f>
        <v>#REF!</v>
      </c>
      <c r="F1490" s="2" t="e">
        <f>COUPDAYS(#REF!,#REF!,+F1490:G1490,#REF!)</f>
        <v>#REF!</v>
      </c>
      <c r="H1490" s="2" t="e">
        <f>COUPDAYS(#REF!,#REF!,H1490:I1490,#REF!)</f>
        <v>#REF!</v>
      </c>
      <c r="I1490" s="1">
        <v>1</v>
      </c>
      <c r="J1490" s="2" t="e">
        <f>COUPDAYS(#REF!,#REF!,INDIRECT(J1490:K1490),#REF!)</f>
        <v>#REF!</v>
      </c>
      <c r="L1490" s="2">
        <f>TYPE(INDEX(,COUPDAYS(#REF!,#REF!,OFFSET(INDEX(1,),,),#REF!)))</f>
        <v>64</v>
      </c>
    </row>
    <row r="1491" spans="1:12" x14ac:dyDescent="0.55000000000000004">
      <c r="A1491" s="1" t="s">
        <v>1883</v>
      </c>
      <c r="B1491" s="2">
        <f>COUNTIF(A:A,A1491)-1</f>
        <v>4</v>
      </c>
      <c r="C1491" s="2">
        <f>COUNTIF(A$1:A1491,A1491)-1</f>
        <v>4</v>
      </c>
      <c r="D1491" s="2" t="str">
        <f t="shared" si="23"/>
        <v>vr</v>
      </c>
      <c r="E1491" s="2" t="e">
        <f>COUPDAYS(#REF!,#REF!,#REF!,#REF!)</f>
        <v>#REF!</v>
      </c>
      <c r="F1491" s="2" t="e">
        <f>COUPDAYS(#REF!,#REF!,#REF!,+F1491:G1491)</f>
        <v>#REF!</v>
      </c>
      <c r="H1491" s="2" t="e">
        <f>COUPDAYS(#REF!,#REF!,#REF!,H1491:I1491)</f>
        <v>#REF!</v>
      </c>
      <c r="I1491" s="1">
        <v>1</v>
      </c>
      <c r="J1491" s="2" t="e">
        <f>COUPDAYS(#REF!,#REF!,#REF!,INDIRECT(J1491:K1491))</f>
        <v>#REF!</v>
      </c>
      <c r="L1491" s="2">
        <f>TYPE(INDEX(,COUPDAYS(#REF!,#REF!,#REF!,OFFSET(INDEX(1,),,))))</f>
        <v>64</v>
      </c>
    </row>
    <row r="1492" spans="1:12" x14ac:dyDescent="0.55000000000000004">
      <c r="A1492" s="1" t="s">
        <v>1884</v>
      </c>
      <c r="B1492" s="2">
        <f>COUNTIF(A:A,A1492)-1</f>
        <v>4</v>
      </c>
      <c r="C1492" s="2">
        <f>COUNTIF(A$1:A1492,A1492)-1</f>
        <v>0</v>
      </c>
      <c r="D1492" s="2" t="str">
        <f t="shared" si="23"/>
        <v/>
      </c>
      <c r="E1492" s="2"/>
      <c r="F1492" s="2"/>
      <c r="H1492" s="2"/>
      <c r="J1492" s="2"/>
      <c r="L1492" s="2"/>
    </row>
    <row r="1493" spans="1:12" x14ac:dyDescent="0.55000000000000004">
      <c r="A1493" s="1" t="s">
        <v>1884</v>
      </c>
      <c r="B1493" s="2">
        <f>COUNTIF(A:A,A1493)-1</f>
        <v>4</v>
      </c>
      <c r="C1493" s="2">
        <f>COUNTIF(A$1:A1493,A1493)-1</f>
        <v>1</v>
      </c>
      <c r="D1493" s="2" t="str">
        <f t="shared" si="23"/>
        <v>vr</v>
      </c>
      <c r="E1493" s="2"/>
      <c r="F1493" s="2" t="e">
        <f>COUPDAYSNC(+F1493:G1493,#REF!,#REF!,#REF!)</f>
        <v>#REF!</v>
      </c>
      <c r="H1493" s="2" t="e">
        <f>COUPDAYSNC(H1493:I1493,#REF!,#REF!,#REF!)</f>
        <v>#VALUE!</v>
      </c>
      <c r="I1493" s="1">
        <v>1</v>
      </c>
      <c r="J1493" s="2" t="e">
        <f>COUPDAYSNC(INDIRECT(J1493:K1493),#REF!,#REF!,#REF!)</f>
        <v>#REF!</v>
      </c>
      <c r="L1493" s="2">
        <f>TYPE(INDEX(,COUPDAYSNC(OFFSET(INDEX(1,),,),#REF!,#REF!,#REF!)))</f>
        <v>64</v>
      </c>
    </row>
    <row r="1494" spans="1:12" x14ac:dyDescent="0.55000000000000004">
      <c r="A1494" s="1" t="s">
        <v>1884</v>
      </c>
      <c r="B1494" s="2">
        <f>COUNTIF(A:A,A1494)-1</f>
        <v>4</v>
      </c>
      <c r="C1494" s="2">
        <f>COUNTIF(A$1:A1494,A1494)-1</f>
        <v>2</v>
      </c>
      <c r="D1494" s="2" t="str">
        <f t="shared" si="23"/>
        <v>vr</v>
      </c>
      <c r="E1494" s="2"/>
      <c r="F1494" s="2" t="e">
        <f>COUPDAYSNC(#REF!,+F1494:G1494,#REF!,#REF!)</f>
        <v>#REF!</v>
      </c>
      <c r="H1494" s="2" t="e">
        <f>COUPDAYSNC(#REF!,H1494:I1494,#REF!,#REF!)</f>
        <v>#REF!</v>
      </c>
      <c r="I1494" s="1">
        <v>1</v>
      </c>
      <c r="J1494" s="2" t="e">
        <f>COUPDAYSNC(#REF!,INDIRECT(J1494:K1494),#REF!,#REF!)</f>
        <v>#REF!</v>
      </c>
      <c r="L1494" s="2">
        <f>TYPE(INDEX(,COUPDAYSNC(#REF!,OFFSET(INDEX(1,),,),#REF!,#REF!)))</f>
        <v>64</v>
      </c>
    </row>
    <row r="1495" spans="1:12" x14ac:dyDescent="0.55000000000000004">
      <c r="A1495" s="1" t="s">
        <v>1884</v>
      </c>
      <c r="B1495" s="2">
        <f>COUNTIF(A:A,A1495)-1</f>
        <v>4</v>
      </c>
      <c r="C1495" s="2">
        <f>COUNTIF(A$1:A1495,A1495)-1</f>
        <v>3</v>
      </c>
      <c r="D1495" s="2" t="str">
        <f t="shared" si="23"/>
        <v>vr</v>
      </c>
      <c r="E1495" s="2" t="e">
        <f>COUPDAYSNC(#REF!,#REF!,#REF!)</f>
        <v>#REF!</v>
      </c>
      <c r="F1495" s="2" t="e">
        <f>COUPDAYSNC(#REF!,#REF!,+F1495:G1495,#REF!)</f>
        <v>#REF!</v>
      </c>
      <c r="H1495" s="2" t="e">
        <f>COUPDAYSNC(#REF!,#REF!,H1495:I1495,#REF!)</f>
        <v>#REF!</v>
      </c>
      <c r="I1495" s="1">
        <v>1</v>
      </c>
      <c r="J1495" s="2" t="e">
        <f>COUPDAYSNC(#REF!,#REF!,INDIRECT(J1495:K1495),#REF!)</f>
        <v>#REF!</v>
      </c>
      <c r="L1495" s="2">
        <f>TYPE(INDEX(,COUPDAYSNC(#REF!,#REF!,OFFSET(INDEX(1,),,),#REF!)))</f>
        <v>64</v>
      </c>
    </row>
    <row r="1496" spans="1:12" x14ac:dyDescent="0.55000000000000004">
      <c r="A1496" s="1" t="s">
        <v>1884</v>
      </c>
      <c r="B1496" s="2">
        <f>COUNTIF(A:A,A1496)-1</f>
        <v>4</v>
      </c>
      <c r="C1496" s="2">
        <f>COUNTIF(A$1:A1496,A1496)-1</f>
        <v>4</v>
      </c>
      <c r="D1496" s="2" t="str">
        <f t="shared" si="23"/>
        <v>vr</v>
      </c>
      <c r="E1496" s="2" t="e">
        <f>COUPDAYSNC(#REF!,#REF!,#REF!,#REF!)</f>
        <v>#REF!</v>
      </c>
      <c r="F1496" s="2" t="e">
        <f>COUPDAYSNC(#REF!,#REF!,#REF!,+F1496:G1496)</f>
        <v>#REF!</v>
      </c>
      <c r="H1496" s="2" t="e">
        <f>COUPDAYSNC(#REF!,#REF!,#REF!,H1496:I1496)</f>
        <v>#REF!</v>
      </c>
      <c r="I1496" s="1">
        <v>1</v>
      </c>
      <c r="J1496" s="2" t="e">
        <f>COUPDAYSNC(#REF!,#REF!,#REF!,INDIRECT(J1496:K1496))</f>
        <v>#REF!</v>
      </c>
      <c r="L1496" s="2">
        <f>TYPE(INDEX(,COUPDAYSNC(#REF!,#REF!,#REF!,OFFSET(INDEX(1,),,))))</f>
        <v>64</v>
      </c>
    </row>
    <row r="1497" spans="1:12" x14ac:dyDescent="0.55000000000000004">
      <c r="A1497" s="1" t="s">
        <v>1885</v>
      </c>
      <c r="B1497" s="2">
        <f>COUNTIF(A:A,A1497)-1</f>
        <v>4</v>
      </c>
      <c r="C1497" s="2">
        <f>COUNTIF(A$1:A1497,A1497)-1</f>
        <v>0</v>
      </c>
      <c r="D1497" s="2" t="str">
        <f t="shared" si="23"/>
        <v/>
      </c>
      <c r="E1497" s="2"/>
      <c r="F1497" s="2"/>
      <c r="H1497" s="2"/>
      <c r="J1497" s="2"/>
      <c r="L1497" s="2"/>
    </row>
    <row r="1498" spans="1:12" x14ac:dyDescent="0.55000000000000004">
      <c r="A1498" s="1" t="s">
        <v>1885</v>
      </c>
      <c r="B1498" s="2">
        <f>COUNTIF(A:A,A1498)-1</f>
        <v>4</v>
      </c>
      <c r="C1498" s="2">
        <f>COUNTIF(A$1:A1498,A1498)-1</f>
        <v>1</v>
      </c>
      <c r="D1498" s="2" t="str">
        <f t="shared" si="23"/>
        <v>vr</v>
      </c>
      <c r="E1498" s="2"/>
      <c r="F1498" s="2" t="e">
        <f>COUPNCD(+F1498:G1498,#REF!,#REF!,#REF!)</f>
        <v>#REF!</v>
      </c>
      <c r="H1498" s="2" t="e">
        <f>COUPNCD(H1498:I1498,#REF!,#REF!,#REF!)</f>
        <v>#VALUE!</v>
      </c>
      <c r="I1498" s="1">
        <v>1</v>
      </c>
      <c r="J1498" s="2" t="e">
        <f>COUPNCD(INDIRECT(J1498:K1498),#REF!,#REF!,#REF!)</f>
        <v>#REF!</v>
      </c>
      <c r="L1498" s="2">
        <f>TYPE(INDEX(,COUPNCD(OFFSET(INDEX(1,),,),#REF!,#REF!,#REF!)))</f>
        <v>64</v>
      </c>
    </row>
    <row r="1499" spans="1:12" x14ac:dyDescent="0.55000000000000004">
      <c r="A1499" s="1" t="s">
        <v>1885</v>
      </c>
      <c r="B1499" s="2">
        <f>COUNTIF(A:A,A1499)-1</f>
        <v>4</v>
      </c>
      <c r="C1499" s="2">
        <f>COUNTIF(A$1:A1499,A1499)-1</f>
        <v>2</v>
      </c>
      <c r="D1499" s="2" t="str">
        <f t="shared" si="23"/>
        <v>vr</v>
      </c>
      <c r="E1499" s="2"/>
      <c r="F1499" s="2" t="e">
        <f>COUPNCD(#REF!,+F1499:G1499,#REF!,#REF!)</f>
        <v>#REF!</v>
      </c>
      <c r="H1499" s="2" t="e">
        <f>COUPNCD(#REF!,H1499:I1499,#REF!,#REF!)</f>
        <v>#REF!</v>
      </c>
      <c r="I1499" s="1">
        <v>1</v>
      </c>
      <c r="J1499" s="2" t="e">
        <f>COUPNCD(#REF!,INDIRECT(J1499:K1499),#REF!,#REF!)</f>
        <v>#REF!</v>
      </c>
      <c r="L1499" s="2">
        <f>TYPE(INDEX(,COUPNCD(#REF!,OFFSET(INDEX(1,),,),#REF!,#REF!)))</f>
        <v>64</v>
      </c>
    </row>
    <row r="1500" spans="1:12" x14ac:dyDescent="0.55000000000000004">
      <c r="A1500" s="1" t="s">
        <v>1885</v>
      </c>
      <c r="B1500" s="2">
        <f>COUNTIF(A:A,A1500)-1</f>
        <v>4</v>
      </c>
      <c r="C1500" s="2">
        <f>COUNTIF(A$1:A1500,A1500)-1</f>
        <v>3</v>
      </c>
      <c r="D1500" s="2" t="str">
        <f t="shared" si="23"/>
        <v>vr</v>
      </c>
      <c r="E1500" s="2" t="e">
        <f>COUPNCD(#REF!,#REF!,#REF!)</f>
        <v>#REF!</v>
      </c>
      <c r="F1500" s="2" t="e">
        <f>COUPNCD(#REF!,#REF!,+F1500:G1500,#REF!)</f>
        <v>#REF!</v>
      </c>
      <c r="H1500" s="2" t="e">
        <f>COUPNCD(#REF!,#REF!,H1500:I1500,#REF!)</f>
        <v>#REF!</v>
      </c>
      <c r="I1500" s="1">
        <v>1</v>
      </c>
      <c r="J1500" s="2" t="e">
        <f>COUPNCD(#REF!,#REF!,INDIRECT(J1500:K1500),#REF!)</f>
        <v>#REF!</v>
      </c>
      <c r="L1500" s="2">
        <f>TYPE(INDEX(,COUPNCD(#REF!,#REF!,OFFSET(INDEX(1,),,),#REF!)))</f>
        <v>64</v>
      </c>
    </row>
    <row r="1501" spans="1:12" x14ac:dyDescent="0.55000000000000004">
      <c r="A1501" s="1" t="s">
        <v>1885</v>
      </c>
      <c r="B1501" s="2">
        <f>COUNTIF(A:A,A1501)-1</f>
        <v>4</v>
      </c>
      <c r="C1501" s="2">
        <f>COUNTIF(A$1:A1501,A1501)-1</f>
        <v>4</v>
      </c>
      <c r="D1501" s="2" t="str">
        <f t="shared" si="23"/>
        <v>vr</v>
      </c>
      <c r="E1501" s="2" t="e">
        <f>COUPNCD(#REF!,#REF!,#REF!,#REF!)</f>
        <v>#REF!</v>
      </c>
      <c r="F1501" s="2" t="e">
        <f>COUPNCD(#REF!,#REF!,#REF!,+F1501:G1501)</f>
        <v>#REF!</v>
      </c>
      <c r="H1501" s="2" t="e">
        <f>COUPNCD(#REF!,#REF!,#REF!,H1501:I1501)</f>
        <v>#REF!</v>
      </c>
      <c r="I1501" s="1">
        <v>1</v>
      </c>
      <c r="J1501" s="2" t="e">
        <f>COUPNCD(#REF!,#REF!,#REF!,INDIRECT(J1501:K1501))</f>
        <v>#REF!</v>
      </c>
      <c r="L1501" s="2">
        <f>TYPE(INDEX(,COUPNCD(#REF!,#REF!,#REF!,OFFSET(INDEX(1,),,))))</f>
        <v>64</v>
      </c>
    </row>
    <row r="1502" spans="1:12" x14ac:dyDescent="0.55000000000000004">
      <c r="A1502" s="1" t="s">
        <v>1886</v>
      </c>
      <c r="B1502" s="2">
        <f>COUNTIF(A:A,A1502)-1</f>
        <v>4</v>
      </c>
      <c r="C1502" s="2">
        <f>COUNTIF(A$1:A1502,A1502)-1</f>
        <v>0</v>
      </c>
      <c r="D1502" s="2" t="str">
        <f t="shared" si="23"/>
        <v/>
      </c>
      <c r="E1502" s="2"/>
      <c r="F1502" s="2"/>
      <c r="H1502" s="2"/>
      <c r="J1502" s="2"/>
      <c r="L1502" s="2"/>
    </row>
    <row r="1503" spans="1:12" x14ac:dyDescent="0.55000000000000004">
      <c r="A1503" s="1" t="s">
        <v>1886</v>
      </c>
      <c r="B1503" s="2">
        <f>COUNTIF(A:A,A1503)-1</f>
        <v>4</v>
      </c>
      <c r="C1503" s="2">
        <f>COUNTIF(A$1:A1503,A1503)-1</f>
        <v>1</v>
      </c>
      <c r="D1503" s="2" t="str">
        <f t="shared" si="23"/>
        <v>vr</v>
      </c>
      <c r="E1503" s="2"/>
      <c r="F1503" s="2" t="e">
        <f>COUPNUM(+F1503:G1503,#REF!,#REF!,#REF!)</f>
        <v>#REF!</v>
      </c>
      <c r="H1503" s="2" t="e">
        <f>COUPNUM(H1503:I1503,#REF!,#REF!,#REF!)</f>
        <v>#VALUE!</v>
      </c>
      <c r="I1503" s="1">
        <v>1</v>
      </c>
      <c r="J1503" s="2" t="e">
        <f>COUPNUM(INDIRECT(J1503:K1503),#REF!,#REF!,#REF!)</f>
        <v>#REF!</v>
      </c>
      <c r="L1503" s="2">
        <f>TYPE(INDEX(,COUPNUM(OFFSET(INDEX(1,),,),#REF!,#REF!,#REF!)))</f>
        <v>64</v>
      </c>
    </row>
    <row r="1504" spans="1:12" x14ac:dyDescent="0.55000000000000004">
      <c r="A1504" s="1" t="s">
        <v>1886</v>
      </c>
      <c r="B1504" s="2">
        <f>COUNTIF(A:A,A1504)-1</f>
        <v>4</v>
      </c>
      <c r="C1504" s="2">
        <f>COUNTIF(A$1:A1504,A1504)-1</f>
        <v>2</v>
      </c>
      <c r="D1504" s="2" t="str">
        <f t="shared" si="23"/>
        <v>vr</v>
      </c>
      <c r="E1504" s="2"/>
      <c r="F1504" s="2" t="e">
        <f>COUPNUM(#REF!,+F1504:G1504,#REF!,#REF!)</f>
        <v>#REF!</v>
      </c>
      <c r="H1504" s="2" t="e">
        <f>COUPNUM(#REF!,H1504:I1504,#REF!,#REF!)</f>
        <v>#REF!</v>
      </c>
      <c r="I1504" s="1">
        <v>1</v>
      </c>
      <c r="J1504" s="2" t="e">
        <f>COUPNUM(#REF!,INDIRECT(J1504:K1504),#REF!,#REF!)</f>
        <v>#REF!</v>
      </c>
      <c r="L1504" s="2">
        <f>TYPE(INDEX(,COUPNUM(#REF!,OFFSET(INDEX(1,),,),#REF!,#REF!)))</f>
        <v>64</v>
      </c>
    </row>
    <row r="1505" spans="1:12" x14ac:dyDescent="0.55000000000000004">
      <c r="A1505" s="1" t="s">
        <v>1886</v>
      </c>
      <c r="B1505" s="2">
        <f>COUNTIF(A:A,A1505)-1</f>
        <v>4</v>
      </c>
      <c r="C1505" s="2">
        <f>COUNTIF(A$1:A1505,A1505)-1</f>
        <v>3</v>
      </c>
      <c r="D1505" s="2" t="str">
        <f t="shared" si="23"/>
        <v>vr</v>
      </c>
      <c r="E1505" s="2" t="e">
        <f>COUPNUM(#REF!,#REF!,#REF!)</f>
        <v>#REF!</v>
      </c>
      <c r="F1505" s="2" t="e">
        <f>COUPNUM(#REF!,#REF!,+F1505:G1505,#REF!)</f>
        <v>#REF!</v>
      </c>
      <c r="H1505" s="2" t="e">
        <f>COUPNUM(#REF!,#REF!,H1505:I1505,#REF!)</f>
        <v>#REF!</v>
      </c>
      <c r="I1505" s="1">
        <v>1</v>
      </c>
      <c r="J1505" s="2" t="e">
        <f>COUPNUM(#REF!,#REF!,INDIRECT(J1505:K1505),#REF!)</f>
        <v>#REF!</v>
      </c>
      <c r="L1505" s="2">
        <f>TYPE(INDEX(,COUPNUM(#REF!,#REF!,OFFSET(INDEX(1,),,),#REF!)))</f>
        <v>64</v>
      </c>
    </row>
    <row r="1506" spans="1:12" x14ac:dyDescent="0.55000000000000004">
      <c r="A1506" s="1" t="s">
        <v>1886</v>
      </c>
      <c r="B1506" s="2">
        <f>COUNTIF(A:A,A1506)-1</f>
        <v>4</v>
      </c>
      <c r="C1506" s="2">
        <f>COUNTIF(A$1:A1506,A1506)-1</f>
        <v>4</v>
      </c>
      <c r="D1506" s="2" t="str">
        <f t="shared" si="23"/>
        <v>vr</v>
      </c>
      <c r="E1506" s="2" t="e">
        <f>COUPNUM(#REF!,#REF!,#REF!,#REF!)</f>
        <v>#REF!</v>
      </c>
      <c r="F1506" s="2" t="e">
        <f>COUPNUM(#REF!,#REF!,#REF!,+F1506:G1506)</f>
        <v>#REF!</v>
      </c>
      <c r="H1506" s="2" t="e">
        <f>COUPNUM(#REF!,#REF!,#REF!,H1506:I1506)</f>
        <v>#REF!</v>
      </c>
      <c r="I1506" s="1">
        <v>1</v>
      </c>
      <c r="J1506" s="2" t="e">
        <f>COUPNUM(#REF!,#REF!,#REF!,INDIRECT(J1506:K1506))</f>
        <v>#REF!</v>
      </c>
      <c r="L1506" s="2">
        <f>TYPE(INDEX(,COUPNUM(#REF!,#REF!,#REF!,OFFSET(INDEX(1,),,))))</f>
        <v>64</v>
      </c>
    </row>
    <row r="1507" spans="1:12" x14ac:dyDescent="0.55000000000000004">
      <c r="A1507" s="1" t="s">
        <v>1887</v>
      </c>
      <c r="B1507" s="2">
        <f>COUNTIF(A:A,A1507)-1</f>
        <v>4</v>
      </c>
      <c r="C1507" s="2">
        <f>COUNTIF(A$1:A1507,A1507)-1</f>
        <v>0</v>
      </c>
      <c r="D1507" s="2" t="str">
        <f t="shared" si="23"/>
        <v/>
      </c>
      <c r="E1507" s="2"/>
      <c r="F1507" s="2"/>
      <c r="H1507" s="2"/>
      <c r="J1507" s="2"/>
      <c r="L1507" s="2"/>
    </row>
    <row r="1508" spans="1:12" x14ac:dyDescent="0.55000000000000004">
      <c r="A1508" s="1" t="s">
        <v>1887</v>
      </c>
      <c r="B1508" s="2">
        <f>COUNTIF(A:A,A1508)-1</f>
        <v>4</v>
      </c>
      <c r="C1508" s="2">
        <f>COUNTIF(A$1:A1508,A1508)-1</f>
        <v>1</v>
      </c>
      <c r="D1508" s="2" t="str">
        <f t="shared" si="23"/>
        <v>vr</v>
      </c>
      <c r="E1508" s="2"/>
      <c r="F1508" s="2" t="e">
        <f>COUPPCD(+F1508:G1508,#REF!,#REF!,#REF!)</f>
        <v>#REF!</v>
      </c>
      <c r="H1508" s="2" t="e">
        <f>COUPPCD(H1508:I1508,#REF!,#REF!,#REF!)</f>
        <v>#VALUE!</v>
      </c>
      <c r="I1508" s="1">
        <v>1</v>
      </c>
      <c r="J1508" s="2" t="e">
        <f>COUPPCD(INDIRECT(J1508:K1508),#REF!,#REF!,#REF!)</f>
        <v>#REF!</v>
      </c>
      <c r="L1508" s="2">
        <f>TYPE(INDEX(,COUPPCD(OFFSET(INDEX(1,),,),#REF!,#REF!,#REF!)))</f>
        <v>64</v>
      </c>
    </row>
    <row r="1509" spans="1:12" x14ac:dyDescent="0.55000000000000004">
      <c r="A1509" s="1" t="s">
        <v>1887</v>
      </c>
      <c r="B1509" s="2">
        <f>COUNTIF(A:A,A1509)-1</f>
        <v>4</v>
      </c>
      <c r="C1509" s="2">
        <f>COUNTIF(A$1:A1509,A1509)-1</f>
        <v>2</v>
      </c>
      <c r="D1509" s="2" t="str">
        <f t="shared" si="23"/>
        <v>vr</v>
      </c>
      <c r="E1509" s="2"/>
      <c r="F1509" s="2" t="e">
        <f>COUPPCD(#REF!,+F1509:G1509,#REF!,#REF!)</f>
        <v>#REF!</v>
      </c>
      <c r="H1509" s="2" t="e">
        <f>COUPPCD(#REF!,H1509:I1509,#REF!,#REF!)</f>
        <v>#REF!</v>
      </c>
      <c r="I1509" s="1">
        <v>1</v>
      </c>
      <c r="J1509" s="2" t="e">
        <f>COUPPCD(#REF!,INDIRECT(J1509:K1509),#REF!,#REF!)</f>
        <v>#REF!</v>
      </c>
      <c r="L1509" s="2">
        <f>TYPE(INDEX(,COUPPCD(#REF!,OFFSET(INDEX(1,),,),#REF!,#REF!)))</f>
        <v>64</v>
      </c>
    </row>
    <row r="1510" spans="1:12" x14ac:dyDescent="0.55000000000000004">
      <c r="A1510" s="1" t="s">
        <v>1887</v>
      </c>
      <c r="B1510" s="2">
        <f>COUNTIF(A:A,A1510)-1</f>
        <v>4</v>
      </c>
      <c r="C1510" s="2">
        <f>COUNTIF(A$1:A1510,A1510)-1</f>
        <v>3</v>
      </c>
      <c r="D1510" s="2" t="str">
        <f t="shared" si="23"/>
        <v>vr</v>
      </c>
      <c r="E1510" s="2" t="e">
        <f>COUPPCD(#REF!,#REF!,#REF!)</f>
        <v>#REF!</v>
      </c>
      <c r="F1510" s="2" t="e">
        <f>COUPPCD(#REF!,#REF!,+F1510:G1510,#REF!)</f>
        <v>#REF!</v>
      </c>
      <c r="H1510" s="2" t="e">
        <f>COUPPCD(#REF!,#REF!,H1510:I1510,#REF!)</f>
        <v>#REF!</v>
      </c>
      <c r="I1510" s="1">
        <v>1</v>
      </c>
      <c r="J1510" s="2" t="e">
        <f>COUPPCD(#REF!,#REF!,INDIRECT(J1510:K1510),#REF!)</f>
        <v>#REF!</v>
      </c>
      <c r="L1510" s="2">
        <f>TYPE(INDEX(,COUPPCD(#REF!,#REF!,OFFSET(INDEX(1,),,),#REF!)))</f>
        <v>64</v>
      </c>
    </row>
    <row r="1511" spans="1:12" x14ac:dyDescent="0.55000000000000004">
      <c r="A1511" s="1" t="s">
        <v>1887</v>
      </c>
      <c r="B1511" s="2">
        <f>COUNTIF(A:A,A1511)-1</f>
        <v>4</v>
      </c>
      <c r="C1511" s="2">
        <f>COUNTIF(A$1:A1511,A1511)-1</f>
        <v>4</v>
      </c>
      <c r="D1511" s="2" t="str">
        <f t="shared" si="23"/>
        <v>vr</v>
      </c>
      <c r="E1511" s="2" t="e">
        <f>COUPPCD(#REF!,#REF!,#REF!,#REF!)</f>
        <v>#REF!</v>
      </c>
      <c r="F1511" s="2" t="e">
        <f>COUPPCD(#REF!,#REF!,#REF!,+F1511:G1511)</f>
        <v>#REF!</v>
      </c>
      <c r="H1511" s="2" t="e">
        <f>COUPPCD(#REF!,#REF!,#REF!,H1511:I1511)</f>
        <v>#REF!</v>
      </c>
      <c r="I1511" s="1">
        <v>1</v>
      </c>
      <c r="J1511" s="2" t="e">
        <f>COUPPCD(#REF!,#REF!,#REF!,INDIRECT(J1511:K1511))</f>
        <v>#REF!</v>
      </c>
      <c r="L1511" s="2">
        <f>TYPE(INDEX(,COUPPCD(#REF!,#REF!,#REF!,OFFSET(INDEX(1,),,))))</f>
        <v>64</v>
      </c>
    </row>
    <row r="1512" spans="1:12" x14ac:dyDescent="0.55000000000000004">
      <c r="A1512" s="1" t="s">
        <v>1888</v>
      </c>
      <c r="B1512" s="2">
        <f>COUNTIF(A:A,A1512)-1</f>
        <v>6</v>
      </c>
      <c r="C1512" s="2">
        <f>COUNTIF(A$1:A1512,A1512)-1</f>
        <v>0</v>
      </c>
      <c r="D1512" s="2" t="str">
        <f t="shared" si="23"/>
        <v/>
      </c>
      <c r="E1512" s="2"/>
      <c r="F1512" s="2"/>
      <c r="H1512" s="2"/>
      <c r="J1512" s="2"/>
      <c r="L1512" s="2"/>
    </row>
    <row r="1513" spans="1:12" x14ac:dyDescent="0.55000000000000004">
      <c r="A1513" s="1" t="s">
        <v>1888</v>
      </c>
      <c r="B1513" s="2">
        <f>COUNTIF(A:A,A1513)-1</f>
        <v>6</v>
      </c>
      <c r="C1513" s="2">
        <f>COUNTIF(A$1:A1513,A1513)-1</f>
        <v>1</v>
      </c>
      <c r="D1513" s="2" t="str">
        <f t="shared" si="23"/>
        <v>vr</v>
      </c>
      <c r="E1513" s="2"/>
      <c r="F1513" s="2" t="e">
        <f>DURATION(+F1513:G1513,#REF!,#REF!,#REF!,#REF!,#REF!)</f>
        <v>#REF!</v>
      </c>
      <c r="H1513" s="2" t="e">
        <f>DURATION(H1513:I1513,#REF!,#REF!,#REF!,#REF!,#REF!)</f>
        <v>#VALUE!</v>
      </c>
      <c r="I1513" s="1">
        <v>1</v>
      </c>
      <c r="J1513" s="2" t="e">
        <f>DURATION(INDIRECT(J1513:K1513),#REF!,#REF!,#REF!,#REF!,#REF!)</f>
        <v>#REF!</v>
      </c>
      <c r="L1513" s="2">
        <f>TYPE(INDEX(,DURATION(OFFSET(INDEX(1,),,),#REF!,#REF!,#REF!,#REF!,#REF!)))</f>
        <v>64</v>
      </c>
    </row>
    <row r="1514" spans="1:12" x14ac:dyDescent="0.55000000000000004">
      <c r="A1514" s="1" t="s">
        <v>1888</v>
      </c>
      <c r="B1514" s="2">
        <f>COUNTIF(A:A,A1514)-1</f>
        <v>6</v>
      </c>
      <c r="C1514" s="2">
        <f>COUNTIF(A$1:A1514,A1514)-1</f>
        <v>2</v>
      </c>
      <c r="D1514" s="2" t="str">
        <f t="shared" si="23"/>
        <v>vr</v>
      </c>
      <c r="E1514" s="2"/>
      <c r="F1514" s="2" t="e">
        <f>DURATION(#REF!,+F1514:G1514,#REF!,#REF!,#REF!,#REF!)</f>
        <v>#REF!</v>
      </c>
      <c r="H1514" s="2" t="e">
        <f>DURATION(#REF!,H1514:I1514,#REF!,#REF!,#REF!,#REF!)</f>
        <v>#REF!</v>
      </c>
      <c r="I1514" s="1">
        <v>1</v>
      </c>
      <c r="J1514" s="2" t="e">
        <f>DURATION(#REF!,INDIRECT(J1514:K1514),#REF!,#REF!,#REF!,#REF!)</f>
        <v>#REF!</v>
      </c>
      <c r="L1514" s="2">
        <f>TYPE(INDEX(,DURATION(#REF!,OFFSET(INDEX(1,),,),#REF!,#REF!,#REF!,#REF!)))</f>
        <v>64</v>
      </c>
    </row>
    <row r="1515" spans="1:12" x14ac:dyDescent="0.55000000000000004">
      <c r="A1515" s="1" t="s">
        <v>1888</v>
      </c>
      <c r="B1515" s="2">
        <f>COUNTIF(A:A,A1515)-1</f>
        <v>6</v>
      </c>
      <c r="C1515" s="2">
        <f>COUNTIF(A$1:A1515,A1515)-1</f>
        <v>3</v>
      </c>
      <c r="D1515" s="2" t="str">
        <f t="shared" si="23"/>
        <v>vr</v>
      </c>
      <c r="E1515" s="2"/>
      <c r="F1515" s="2" t="e">
        <f>DURATION(#REF!,#REF!,+F1515:G1515,#REF!,#REF!,#REF!)</f>
        <v>#REF!</v>
      </c>
      <c r="H1515" s="2" t="e">
        <f>DURATION(#REF!,#REF!,H1515:I1515,#REF!,#REF!,#REF!)</f>
        <v>#REF!</v>
      </c>
      <c r="I1515" s="1">
        <v>1</v>
      </c>
      <c r="J1515" s="2" t="e">
        <f>DURATION(#REF!,#REF!,INDIRECT(J1515:K1515),#REF!,#REF!,#REF!)</f>
        <v>#REF!</v>
      </c>
      <c r="L1515" s="2">
        <f>TYPE(INDEX(,DURATION(#REF!,#REF!,OFFSET(INDEX(1,),,),#REF!,#REF!,#REF!)))</f>
        <v>64</v>
      </c>
    </row>
    <row r="1516" spans="1:12" x14ac:dyDescent="0.55000000000000004">
      <c r="A1516" s="1" t="s">
        <v>1888</v>
      </c>
      <c r="B1516" s="2">
        <f>COUNTIF(A:A,A1516)-1</f>
        <v>6</v>
      </c>
      <c r="C1516" s="2">
        <f>COUNTIF(A$1:A1516,A1516)-1</f>
        <v>4</v>
      </c>
      <c r="D1516" s="2" t="str">
        <f t="shared" si="23"/>
        <v>vr</v>
      </c>
      <c r="E1516" s="2"/>
      <c r="F1516" s="2" t="e">
        <f>DURATION(#REF!,#REF!,#REF!,+F1516:G1516,#REF!,#REF!)</f>
        <v>#REF!</v>
      </c>
      <c r="H1516" s="2" t="e">
        <f>DURATION(#REF!,#REF!,#REF!,H1516:I1516,#REF!,#REF!)</f>
        <v>#REF!</v>
      </c>
      <c r="I1516" s="1">
        <v>1</v>
      </c>
      <c r="J1516" s="2" t="e">
        <f>DURATION(#REF!,#REF!,#REF!,INDIRECT(J1516:K1516),#REF!,#REF!)</f>
        <v>#REF!</v>
      </c>
      <c r="L1516" s="2">
        <f>TYPE(INDEX(,DURATION(#REF!,#REF!,#REF!,OFFSET(INDEX(1,),,),#REF!,#REF!)))</f>
        <v>64</v>
      </c>
    </row>
    <row r="1517" spans="1:12" x14ac:dyDescent="0.55000000000000004">
      <c r="A1517" s="1" t="s">
        <v>1888</v>
      </c>
      <c r="B1517" s="2">
        <f>COUNTIF(A:A,A1517)-1</f>
        <v>6</v>
      </c>
      <c r="C1517" s="2">
        <f>COUNTIF(A$1:A1517,A1517)-1</f>
        <v>5</v>
      </c>
      <c r="D1517" s="2" t="str">
        <f t="shared" si="23"/>
        <v>vr</v>
      </c>
      <c r="E1517" s="2" t="e">
        <f>DURATION(#REF!,#REF!,#REF!,#REF!,#REF!)</f>
        <v>#REF!</v>
      </c>
      <c r="F1517" s="2" t="e">
        <f>DURATION(#REF!,#REF!,#REF!,#REF!,+F1517:G1517,#REF!)</f>
        <v>#REF!</v>
      </c>
      <c r="H1517" s="2" t="e">
        <f>DURATION(#REF!,#REF!,#REF!,#REF!,H1517:I1517,#REF!)</f>
        <v>#REF!</v>
      </c>
      <c r="I1517" s="1">
        <v>1</v>
      </c>
      <c r="J1517" s="2" t="e">
        <f>DURATION(#REF!,#REF!,#REF!,#REF!,INDIRECT(J1517:K1517),#REF!)</f>
        <v>#REF!</v>
      </c>
      <c r="L1517" s="2">
        <f>TYPE(INDEX(,DURATION(#REF!,#REF!,#REF!,#REF!,OFFSET(INDEX(1,),,),#REF!)))</f>
        <v>64</v>
      </c>
    </row>
    <row r="1518" spans="1:12" x14ac:dyDescent="0.55000000000000004">
      <c r="A1518" s="1" t="s">
        <v>1888</v>
      </c>
      <c r="B1518" s="2">
        <f>COUNTIF(A:A,A1518)-1</f>
        <v>6</v>
      </c>
      <c r="C1518" s="2">
        <f>COUNTIF(A$1:A1518,A1518)-1</f>
        <v>6</v>
      </c>
      <c r="D1518" s="2" t="str">
        <f t="shared" si="23"/>
        <v>vr</v>
      </c>
      <c r="E1518" s="2" t="e">
        <f>DURATION(#REF!,#REF!,#REF!,#REF!,#REF!,#REF!)</f>
        <v>#REF!</v>
      </c>
      <c r="F1518" s="2" t="e">
        <f>DURATION(#REF!,#REF!,#REF!,#REF!,#REF!,+F1518:G1518)</f>
        <v>#REF!</v>
      </c>
      <c r="H1518" s="2" t="e">
        <f>DURATION(#REF!,#REF!,#REF!,#REF!,#REF!,H1518:I1518)</f>
        <v>#REF!</v>
      </c>
      <c r="I1518" s="1">
        <v>1</v>
      </c>
      <c r="J1518" s="2" t="e">
        <f>DURATION(#REF!,#REF!,#REF!,#REF!,#REF!,INDIRECT(J1518:K1518))</f>
        <v>#REF!</v>
      </c>
      <c r="L1518" s="2">
        <f>TYPE(INDEX(,DURATION(#REF!,#REF!,#REF!,#REF!,#REF!,OFFSET(INDEX(1,),,))))</f>
        <v>64</v>
      </c>
    </row>
    <row r="1519" spans="1:12" x14ac:dyDescent="0.55000000000000004">
      <c r="A1519" s="1" t="s">
        <v>1889</v>
      </c>
      <c r="B1519" s="2">
        <f>COUNTIF(A:A,A1519)-1</f>
        <v>6</v>
      </c>
      <c r="C1519" s="2">
        <f>COUNTIF(A$1:A1519,A1519)-1</f>
        <v>0</v>
      </c>
      <c r="D1519" s="2" t="str">
        <f t="shared" si="23"/>
        <v/>
      </c>
      <c r="E1519" s="2"/>
      <c r="F1519" s="2"/>
      <c r="H1519" s="2"/>
      <c r="J1519" s="2"/>
      <c r="L1519" s="2"/>
    </row>
    <row r="1520" spans="1:12" x14ac:dyDescent="0.55000000000000004">
      <c r="A1520" s="1" t="s">
        <v>1889</v>
      </c>
      <c r="B1520" s="2">
        <f>COUNTIF(A:A,A1520)-1</f>
        <v>6</v>
      </c>
      <c r="C1520" s="2">
        <f>COUNTIF(A$1:A1520,A1520)-1</f>
        <v>1</v>
      </c>
      <c r="D1520" s="2" t="str">
        <f t="shared" si="23"/>
        <v>vr</v>
      </c>
      <c r="E1520" s="2"/>
      <c r="F1520" s="2" t="e">
        <f>MDURATION(+F1520:G1520,#REF!,#REF!,#REF!,#REF!,#REF!)</f>
        <v>#REF!</v>
      </c>
      <c r="H1520" s="2" t="e">
        <f>MDURATION(H1520:I1520,#REF!,#REF!,#REF!,#REF!,#REF!)</f>
        <v>#VALUE!</v>
      </c>
      <c r="I1520" s="1">
        <v>1</v>
      </c>
      <c r="J1520" s="2" t="e">
        <f>MDURATION(INDIRECT(J1520:K1520),#REF!,#REF!,#REF!,#REF!,#REF!)</f>
        <v>#REF!</v>
      </c>
      <c r="L1520" s="2">
        <f>TYPE(INDEX(,MDURATION(OFFSET(INDEX(1,),,),#REF!,#REF!,#REF!,#REF!,#REF!)))</f>
        <v>64</v>
      </c>
    </row>
    <row r="1521" spans="1:12" x14ac:dyDescent="0.55000000000000004">
      <c r="A1521" s="1" t="s">
        <v>1889</v>
      </c>
      <c r="B1521" s="2">
        <f>COUNTIF(A:A,A1521)-1</f>
        <v>6</v>
      </c>
      <c r="C1521" s="2">
        <f>COUNTIF(A$1:A1521,A1521)-1</f>
        <v>2</v>
      </c>
      <c r="D1521" s="2" t="str">
        <f t="shared" si="23"/>
        <v>vr</v>
      </c>
      <c r="E1521" s="2"/>
      <c r="F1521" s="2" t="e">
        <f>MDURATION(#REF!,+F1521:G1521,#REF!,#REF!,#REF!,#REF!)</f>
        <v>#REF!</v>
      </c>
      <c r="H1521" s="2" t="e">
        <f>MDURATION(#REF!,H1521:I1521,#REF!,#REF!,#REF!,#REF!)</f>
        <v>#REF!</v>
      </c>
      <c r="I1521" s="1">
        <v>1</v>
      </c>
      <c r="J1521" s="2" t="e">
        <f>MDURATION(#REF!,INDIRECT(J1521:K1521),#REF!,#REF!,#REF!,#REF!)</f>
        <v>#REF!</v>
      </c>
      <c r="L1521" s="2">
        <f>TYPE(INDEX(,MDURATION(#REF!,OFFSET(INDEX(1,),,),#REF!,#REF!,#REF!,#REF!)))</f>
        <v>64</v>
      </c>
    </row>
    <row r="1522" spans="1:12" x14ac:dyDescent="0.55000000000000004">
      <c r="A1522" s="1" t="s">
        <v>1889</v>
      </c>
      <c r="B1522" s="2">
        <f>COUNTIF(A:A,A1522)-1</f>
        <v>6</v>
      </c>
      <c r="C1522" s="2">
        <f>COUNTIF(A$1:A1522,A1522)-1</f>
        <v>3</v>
      </c>
      <c r="D1522" s="2" t="str">
        <f t="shared" si="23"/>
        <v>vr</v>
      </c>
      <c r="E1522" s="2"/>
      <c r="F1522" s="2" t="e">
        <f>MDURATION(#REF!,#REF!,+F1522:G1522,#REF!,#REF!,#REF!)</f>
        <v>#REF!</v>
      </c>
      <c r="H1522" s="2" t="e">
        <f>MDURATION(#REF!,#REF!,H1522:I1522,#REF!,#REF!,#REF!)</f>
        <v>#REF!</v>
      </c>
      <c r="I1522" s="1">
        <v>1</v>
      </c>
      <c r="J1522" s="2" t="e">
        <f>MDURATION(#REF!,#REF!,INDIRECT(J1522:K1522),#REF!,#REF!,#REF!)</f>
        <v>#REF!</v>
      </c>
      <c r="L1522" s="2">
        <f>TYPE(INDEX(,MDURATION(#REF!,#REF!,OFFSET(INDEX(1,),,),#REF!,#REF!,#REF!)))</f>
        <v>64</v>
      </c>
    </row>
    <row r="1523" spans="1:12" x14ac:dyDescent="0.55000000000000004">
      <c r="A1523" s="1" t="s">
        <v>1889</v>
      </c>
      <c r="B1523" s="2">
        <f>COUNTIF(A:A,A1523)-1</f>
        <v>6</v>
      </c>
      <c r="C1523" s="2">
        <f>COUNTIF(A$1:A1523,A1523)-1</f>
        <v>4</v>
      </c>
      <c r="D1523" s="2" t="str">
        <f t="shared" si="23"/>
        <v>vr</v>
      </c>
      <c r="E1523" s="2"/>
      <c r="F1523" s="2" t="e">
        <f>MDURATION(#REF!,#REF!,#REF!,+F1523:G1523,#REF!,#REF!)</f>
        <v>#REF!</v>
      </c>
      <c r="H1523" s="2" t="e">
        <f>MDURATION(#REF!,#REF!,#REF!,H1523:I1523,#REF!,#REF!)</f>
        <v>#REF!</v>
      </c>
      <c r="I1523" s="1">
        <v>1</v>
      </c>
      <c r="J1523" s="2" t="e">
        <f>MDURATION(#REF!,#REF!,#REF!,INDIRECT(J1523:K1523),#REF!,#REF!)</f>
        <v>#REF!</v>
      </c>
      <c r="L1523" s="2">
        <f>TYPE(INDEX(,MDURATION(#REF!,#REF!,#REF!,OFFSET(INDEX(1,),,),#REF!,#REF!)))</f>
        <v>64</v>
      </c>
    </row>
    <row r="1524" spans="1:12" x14ac:dyDescent="0.55000000000000004">
      <c r="A1524" s="1" t="s">
        <v>1889</v>
      </c>
      <c r="B1524" s="2">
        <f>COUNTIF(A:A,A1524)-1</f>
        <v>6</v>
      </c>
      <c r="C1524" s="2">
        <f>COUNTIF(A$1:A1524,A1524)-1</f>
        <v>5</v>
      </c>
      <c r="D1524" s="2" t="str">
        <f t="shared" si="23"/>
        <v>vr</v>
      </c>
      <c r="E1524" s="2" t="e">
        <f>MDURATION(#REF!,#REF!,#REF!,#REF!,#REF!)</f>
        <v>#REF!</v>
      </c>
      <c r="F1524" s="2" t="e">
        <f>MDURATION(#REF!,#REF!,#REF!,#REF!,+F1524:G1524,#REF!)</f>
        <v>#REF!</v>
      </c>
      <c r="H1524" s="2" t="e">
        <f>MDURATION(#REF!,#REF!,#REF!,#REF!,H1524:I1524,#REF!)</f>
        <v>#REF!</v>
      </c>
      <c r="I1524" s="1">
        <v>1</v>
      </c>
      <c r="J1524" s="2" t="e">
        <f>MDURATION(#REF!,#REF!,#REF!,#REF!,INDIRECT(J1524:K1524),#REF!)</f>
        <v>#REF!</v>
      </c>
      <c r="L1524" s="2">
        <f>TYPE(INDEX(,MDURATION(#REF!,#REF!,#REF!,#REF!,OFFSET(INDEX(1,),,),#REF!)))</f>
        <v>64</v>
      </c>
    </row>
    <row r="1525" spans="1:12" x14ac:dyDescent="0.55000000000000004">
      <c r="A1525" s="1" t="s">
        <v>1889</v>
      </c>
      <c r="B1525" s="2">
        <f>COUNTIF(A:A,A1525)-1</f>
        <v>6</v>
      </c>
      <c r="C1525" s="2">
        <f>COUNTIF(A$1:A1525,A1525)-1</f>
        <v>6</v>
      </c>
      <c r="D1525" s="2" t="str">
        <f t="shared" si="23"/>
        <v>vr</v>
      </c>
      <c r="E1525" s="2" t="e">
        <f>MDURATION(#REF!,#REF!,#REF!,#REF!,#REF!,#REF!)</f>
        <v>#REF!</v>
      </c>
      <c r="F1525" s="2" t="e">
        <f>MDURATION(#REF!,#REF!,#REF!,#REF!,#REF!,+F1525:G1525)</f>
        <v>#REF!</v>
      </c>
      <c r="H1525" s="2" t="e">
        <f>MDURATION(#REF!,#REF!,#REF!,#REF!,#REF!,H1525:I1525)</f>
        <v>#REF!</v>
      </c>
      <c r="I1525" s="1">
        <v>1</v>
      </c>
      <c r="J1525" s="2" t="e">
        <f>MDURATION(#REF!,#REF!,#REF!,#REF!,#REF!,INDIRECT(J1525:K1525))</f>
        <v>#REF!</v>
      </c>
      <c r="L1525" s="2">
        <f>TYPE(INDEX(,MDURATION(#REF!,#REF!,#REF!,#REF!,#REF!,OFFSET(INDEX(1,),,))))</f>
        <v>64</v>
      </c>
    </row>
    <row r="1526" spans="1:12" x14ac:dyDescent="0.55000000000000004">
      <c r="A1526" s="1" t="s">
        <v>1890</v>
      </c>
      <c r="B1526" s="2">
        <f>COUNTIF(A:A,A1526)-1</f>
        <v>8</v>
      </c>
      <c r="C1526" s="2">
        <f>COUNTIF(A$1:A1526,A1526)-1</f>
        <v>0</v>
      </c>
      <c r="D1526" s="2" t="str">
        <f t="shared" si="23"/>
        <v/>
      </c>
      <c r="E1526" s="2"/>
      <c r="F1526" s="2"/>
      <c r="H1526" s="2"/>
      <c r="J1526" s="2"/>
      <c r="L1526" s="2"/>
    </row>
    <row r="1527" spans="1:12" x14ac:dyDescent="0.55000000000000004">
      <c r="A1527" s="1" t="s">
        <v>1890</v>
      </c>
      <c r="B1527" s="2">
        <f>COUNTIF(A:A,A1527)-1</f>
        <v>8</v>
      </c>
      <c r="C1527" s="2">
        <f>COUNTIF(A$1:A1527,A1527)-1</f>
        <v>1</v>
      </c>
      <c r="D1527" s="2" t="str">
        <f t="shared" si="23"/>
        <v>vr</v>
      </c>
      <c r="E1527" s="2"/>
      <c r="F1527" s="2" t="e">
        <f>ODDLPRICE(+F1527:G1527,#REF!,#REF!,#REF!,#REF!,#REF!,#REF!,#REF!)</f>
        <v>#REF!</v>
      </c>
      <c r="H1527" s="2" t="e">
        <f>ODDLPRICE(H1527:I1527,#REF!,#REF!,#REF!,#REF!,#REF!,#REF!,#REF!)</f>
        <v>#VALUE!</v>
      </c>
      <c r="I1527" s="1">
        <v>1</v>
      </c>
      <c r="J1527" s="2" t="e">
        <f>ODDLPRICE(INDIRECT(J1527:K1527),#REF!,#REF!,#REF!,#REF!,#REF!,#REF!,#REF!)</f>
        <v>#REF!</v>
      </c>
      <c r="L1527" s="2">
        <f>TYPE(INDEX(,ODDLPRICE(OFFSET(INDEX(1,),,),#REF!,#REF!,#REF!,#REF!,#REF!,#REF!,#REF!)))</f>
        <v>64</v>
      </c>
    </row>
    <row r="1528" spans="1:12" x14ac:dyDescent="0.55000000000000004">
      <c r="A1528" s="1" t="s">
        <v>1890</v>
      </c>
      <c r="B1528" s="2">
        <f>COUNTIF(A:A,A1528)-1</f>
        <v>8</v>
      </c>
      <c r="C1528" s="2">
        <f>COUNTIF(A$1:A1528,A1528)-1</f>
        <v>2</v>
      </c>
      <c r="D1528" s="2" t="str">
        <f t="shared" si="23"/>
        <v>vr</v>
      </c>
      <c r="E1528" s="2"/>
      <c r="F1528" s="2" t="e">
        <f>ODDLPRICE(#REF!,+F1528:G1528,#REF!,#REF!,#REF!,#REF!,#REF!,#REF!)</f>
        <v>#REF!</v>
      </c>
      <c r="H1528" s="2" t="e">
        <f>ODDLPRICE(#REF!,H1528:I1528,#REF!,#REF!,#REF!,#REF!,#REF!,#REF!)</f>
        <v>#REF!</v>
      </c>
      <c r="I1528" s="1">
        <v>1</v>
      </c>
      <c r="J1528" s="2" t="e">
        <f>ODDLPRICE(#REF!,INDIRECT(J1528:K1528),#REF!,#REF!,#REF!,#REF!,#REF!,#REF!)</f>
        <v>#REF!</v>
      </c>
      <c r="L1528" s="2">
        <f>TYPE(INDEX(,ODDLPRICE(#REF!,OFFSET(INDEX(1,),,),#REF!,#REF!,#REF!,#REF!,#REF!,#REF!)))</f>
        <v>64</v>
      </c>
    </row>
    <row r="1529" spans="1:12" x14ac:dyDescent="0.55000000000000004">
      <c r="A1529" s="1" t="s">
        <v>1890</v>
      </c>
      <c r="B1529" s="2">
        <f>COUNTIF(A:A,A1529)-1</f>
        <v>8</v>
      </c>
      <c r="C1529" s="2">
        <f>COUNTIF(A$1:A1529,A1529)-1</f>
        <v>3</v>
      </c>
      <c r="D1529" s="2" t="str">
        <f t="shared" si="23"/>
        <v>vr</v>
      </c>
      <c r="E1529" s="2"/>
      <c r="F1529" s="2" t="e">
        <f>ODDLPRICE(#REF!,#REF!,+F1529:G1529,#REF!,#REF!,#REF!,#REF!,#REF!)</f>
        <v>#REF!</v>
      </c>
      <c r="H1529" s="2" t="e">
        <f>ODDLPRICE(#REF!,#REF!,H1529:I1529,#REF!,#REF!,#REF!,#REF!,#REF!)</f>
        <v>#REF!</v>
      </c>
      <c r="I1529" s="1">
        <v>1</v>
      </c>
      <c r="J1529" s="2" t="e">
        <f>ODDLPRICE(#REF!,#REF!,INDIRECT(J1529:K1529),#REF!,#REF!,#REF!,#REF!,#REF!)</f>
        <v>#REF!</v>
      </c>
      <c r="L1529" s="2">
        <f>TYPE(INDEX(,ODDLPRICE(#REF!,#REF!,OFFSET(INDEX(1,),,),#REF!,#REF!,#REF!,#REF!,#REF!)))</f>
        <v>64</v>
      </c>
    </row>
    <row r="1530" spans="1:12" x14ac:dyDescent="0.55000000000000004">
      <c r="A1530" s="1" t="s">
        <v>1890</v>
      </c>
      <c r="B1530" s="2">
        <f>COUNTIF(A:A,A1530)-1</f>
        <v>8</v>
      </c>
      <c r="C1530" s="2">
        <f>COUNTIF(A$1:A1530,A1530)-1</f>
        <v>4</v>
      </c>
      <c r="D1530" s="2" t="str">
        <f t="shared" si="23"/>
        <v>vr</v>
      </c>
      <c r="E1530" s="2"/>
      <c r="F1530" s="2" t="e">
        <f>ODDLPRICE(#REF!,#REF!,#REF!,+F1530:G1530,#REF!,#REF!,#REF!,#REF!)</f>
        <v>#REF!</v>
      </c>
      <c r="H1530" s="2" t="e">
        <f>ODDLPRICE(#REF!,#REF!,#REF!,H1530:I1530,#REF!,#REF!,#REF!,#REF!)</f>
        <v>#REF!</v>
      </c>
      <c r="I1530" s="1">
        <v>1</v>
      </c>
      <c r="J1530" s="2" t="e">
        <f>ODDLPRICE(#REF!,#REF!,#REF!,INDIRECT(J1530:K1530),#REF!,#REF!,#REF!,#REF!)</f>
        <v>#REF!</v>
      </c>
      <c r="L1530" s="2">
        <f>TYPE(INDEX(,ODDLPRICE(#REF!,#REF!,#REF!,OFFSET(INDEX(1,),,),#REF!,#REF!,#REF!,#REF!)))</f>
        <v>64</v>
      </c>
    </row>
    <row r="1531" spans="1:12" x14ac:dyDescent="0.55000000000000004">
      <c r="A1531" s="1" t="s">
        <v>1890</v>
      </c>
      <c r="B1531" s="2">
        <f>COUNTIF(A:A,A1531)-1</f>
        <v>8</v>
      </c>
      <c r="C1531" s="2">
        <f>COUNTIF(A$1:A1531,A1531)-1</f>
        <v>5</v>
      </c>
      <c r="D1531" s="2" t="str">
        <f t="shared" si="23"/>
        <v>vr</v>
      </c>
      <c r="E1531" s="2"/>
      <c r="F1531" s="2" t="e">
        <f>ODDLPRICE(#REF!,#REF!,#REF!,#REF!,+F1531:G1531,#REF!,#REF!,#REF!)</f>
        <v>#REF!</v>
      </c>
      <c r="H1531" s="2" t="e">
        <f>ODDLPRICE(#REF!,#REF!,#REF!,#REF!,H1531:I1531,#REF!,#REF!,#REF!)</f>
        <v>#REF!</v>
      </c>
      <c r="I1531" s="1">
        <v>1</v>
      </c>
      <c r="J1531" s="2" t="e">
        <f>ODDLPRICE(#REF!,#REF!,#REF!,#REF!,INDIRECT(J1531:K1531),#REF!,#REF!,#REF!)</f>
        <v>#REF!</v>
      </c>
      <c r="L1531" s="2">
        <f>TYPE(INDEX(,ODDLPRICE(#REF!,#REF!,#REF!,#REF!,OFFSET(INDEX(1,),,),#REF!,#REF!,#REF!)))</f>
        <v>64</v>
      </c>
    </row>
    <row r="1532" spans="1:12" x14ac:dyDescent="0.55000000000000004">
      <c r="A1532" s="1" t="s">
        <v>1890</v>
      </c>
      <c r="B1532" s="2">
        <f>COUNTIF(A:A,A1532)-1</f>
        <v>8</v>
      </c>
      <c r="C1532" s="2">
        <f>COUNTIF(A$1:A1532,A1532)-1</f>
        <v>6</v>
      </c>
      <c r="D1532" s="2" t="str">
        <f t="shared" si="23"/>
        <v>vr</v>
      </c>
      <c r="E1532" s="2"/>
      <c r="F1532" s="2" t="e">
        <f>ODDLPRICE(#REF!,#REF!,#REF!,#REF!,#REF!,+F1532:G1532,#REF!,#REF!)</f>
        <v>#REF!</v>
      </c>
      <c r="H1532" s="2" t="e">
        <f>ODDLPRICE(#REF!,#REF!,#REF!,#REF!,#REF!,H1532:I1532,#REF!,#REF!)</f>
        <v>#REF!</v>
      </c>
      <c r="I1532" s="1">
        <v>1</v>
      </c>
      <c r="J1532" s="2" t="e">
        <f>ODDLPRICE(#REF!,#REF!,#REF!,#REF!,#REF!,INDIRECT(J1532:K1532),#REF!,#REF!)</f>
        <v>#REF!</v>
      </c>
      <c r="L1532" s="2">
        <f>TYPE(INDEX(,ODDLPRICE(#REF!,#REF!,#REF!,#REF!,#REF!,OFFSET(INDEX(1,),,),#REF!,#REF!)))</f>
        <v>64</v>
      </c>
    </row>
    <row r="1533" spans="1:12" x14ac:dyDescent="0.55000000000000004">
      <c r="A1533" s="1" t="s">
        <v>1890</v>
      </c>
      <c r="B1533" s="2">
        <f>COUNTIF(A:A,A1533)-1</f>
        <v>8</v>
      </c>
      <c r="C1533" s="2">
        <f>COUNTIF(A$1:A1533,A1533)-1</f>
        <v>7</v>
      </c>
      <c r="D1533" s="2" t="str">
        <f t="shared" si="23"/>
        <v>vr</v>
      </c>
      <c r="E1533" s="2" t="e">
        <f>ODDLPRICE(#REF!,#REF!,#REF!,#REF!,#REF!,#REF!,#REF!)</f>
        <v>#REF!</v>
      </c>
      <c r="F1533" s="2" t="e">
        <f>ODDLPRICE(#REF!,#REF!,#REF!,#REF!,#REF!,#REF!,+F1533:G1533,#REF!)</f>
        <v>#REF!</v>
      </c>
      <c r="H1533" s="2" t="e">
        <f>ODDLPRICE(#REF!,#REF!,#REF!,#REF!,#REF!,#REF!,H1533:I1533,#REF!)</f>
        <v>#REF!</v>
      </c>
      <c r="I1533" s="1">
        <v>1</v>
      </c>
      <c r="J1533" s="2" t="e">
        <f>ODDLPRICE(#REF!,#REF!,#REF!,#REF!,#REF!,#REF!,INDIRECT(J1533:K1533),#REF!)</f>
        <v>#REF!</v>
      </c>
      <c r="L1533" s="2">
        <f>TYPE(INDEX(,ODDLPRICE(#REF!,#REF!,#REF!,#REF!,#REF!,#REF!,OFFSET(INDEX(1,),,),#REF!)))</f>
        <v>64</v>
      </c>
    </row>
    <row r="1534" spans="1:12" x14ac:dyDescent="0.55000000000000004">
      <c r="A1534" s="1" t="s">
        <v>1890</v>
      </c>
      <c r="B1534" s="2">
        <f>COUNTIF(A:A,A1534)-1</f>
        <v>8</v>
      </c>
      <c r="C1534" s="2">
        <f>COUNTIF(A$1:A1534,A1534)-1</f>
        <v>8</v>
      </c>
      <c r="D1534" s="2" t="str">
        <f t="shared" si="23"/>
        <v>vr</v>
      </c>
      <c r="E1534" s="2" t="e">
        <f>ODDLPRICE(#REF!,#REF!,#REF!,#REF!,#REF!,#REF!,#REF!,#REF!)</f>
        <v>#REF!</v>
      </c>
      <c r="F1534" s="2" t="e">
        <f>ODDLPRICE(#REF!,#REF!,#REF!,#REF!,#REF!,#REF!,#REF!,+F1534:G1534)</f>
        <v>#REF!</v>
      </c>
      <c r="H1534" s="2" t="e">
        <f>ODDLPRICE(#REF!,#REF!,#REF!,#REF!,#REF!,#REF!,#REF!,H1534:I1534)</f>
        <v>#REF!</v>
      </c>
      <c r="I1534" s="1">
        <v>1</v>
      </c>
      <c r="J1534" s="2" t="e">
        <f>ODDLPRICE(#REF!,#REF!,#REF!,#REF!,#REF!,#REF!,#REF!,INDIRECT(J1534:K1534))</f>
        <v>#REF!</v>
      </c>
      <c r="L1534" s="2">
        <f>TYPE(INDEX(,ODDLPRICE(#REF!,#REF!,#REF!,#REF!,#REF!,#REF!,#REF!,OFFSET(INDEX(1,),,))))</f>
        <v>64</v>
      </c>
    </row>
    <row r="1535" spans="1:12" x14ac:dyDescent="0.55000000000000004">
      <c r="A1535" s="1" t="s">
        <v>1891</v>
      </c>
      <c r="B1535" s="2">
        <f>COUNTIF(A:A,A1535)-1</f>
        <v>8</v>
      </c>
      <c r="C1535" s="2">
        <f>COUNTIF(A$1:A1535,A1535)-1</f>
        <v>0</v>
      </c>
      <c r="D1535" s="2" t="str">
        <f t="shared" si="23"/>
        <v/>
      </c>
      <c r="E1535" s="2"/>
      <c r="F1535" s="2"/>
      <c r="H1535" s="2"/>
      <c r="J1535" s="2"/>
      <c r="L1535" s="2"/>
    </row>
    <row r="1536" spans="1:12" x14ac:dyDescent="0.55000000000000004">
      <c r="A1536" s="1" t="s">
        <v>1891</v>
      </c>
      <c r="B1536" s="2">
        <f>COUNTIF(A:A,A1536)-1</f>
        <v>8</v>
      </c>
      <c r="C1536" s="2">
        <f>COUNTIF(A$1:A1536,A1536)-1</f>
        <v>1</v>
      </c>
      <c r="D1536" s="2" t="str">
        <f t="shared" si="23"/>
        <v>vr</v>
      </c>
      <c r="E1536" s="2"/>
      <c r="F1536" s="2" t="e">
        <f>ODDLYIELD(+F1536:G1536,#REF!,#REF!,#REF!,#REF!,#REF!,#REF!,#REF!)</f>
        <v>#REF!</v>
      </c>
      <c r="H1536" s="2" t="e">
        <f>ODDLYIELD(H1536:I1536,#REF!,#REF!,#REF!,#REF!,#REF!,#REF!,#REF!)</f>
        <v>#VALUE!</v>
      </c>
      <c r="I1536" s="1">
        <v>1</v>
      </c>
      <c r="J1536" s="2" t="e">
        <f>ODDLYIELD(INDIRECT(J1536:K1536),#REF!,#REF!,#REF!,#REF!,#REF!,#REF!,#REF!)</f>
        <v>#REF!</v>
      </c>
      <c r="L1536" s="2">
        <f>TYPE(INDEX(,ODDLYIELD(OFFSET(INDEX(1,),,),#REF!,#REF!,#REF!,#REF!,#REF!,#REF!,#REF!)))</f>
        <v>64</v>
      </c>
    </row>
    <row r="1537" spans="1:12" x14ac:dyDescent="0.55000000000000004">
      <c r="A1537" s="1" t="s">
        <v>1891</v>
      </c>
      <c r="B1537" s="2">
        <f>COUNTIF(A:A,A1537)-1</f>
        <v>8</v>
      </c>
      <c r="C1537" s="2">
        <f>COUNTIF(A$1:A1537,A1537)-1</f>
        <v>2</v>
      </c>
      <c r="D1537" s="2" t="str">
        <f t="shared" si="23"/>
        <v>vr</v>
      </c>
      <c r="E1537" s="2"/>
      <c r="F1537" s="2" t="e">
        <f>ODDLYIELD(#REF!,+F1537:G1537,#REF!,#REF!,#REF!,#REF!,#REF!,#REF!)</f>
        <v>#REF!</v>
      </c>
      <c r="H1537" s="2" t="e">
        <f>ODDLYIELD(#REF!,H1537:I1537,#REF!,#REF!,#REF!,#REF!,#REF!,#REF!)</f>
        <v>#REF!</v>
      </c>
      <c r="I1537" s="1">
        <v>1</v>
      </c>
      <c r="J1537" s="2" t="e">
        <f>ODDLYIELD(#REF!,INDIRECT(J1537:K1537),#REF!,#REF!,#REF!,#REF!,#REF!,#REF!)</f>
        <v>#REF!</v>
      </c>
      <c r="L1537" s="2">
        <f>TYPE(INDEX(,ODDLYIELD(#REF!,OFFSET(INDEX(1,),,),#REF!,#REF!,#REF!,#REF!,#REF!,#REF!)))</f>
        <v>64</v>
      </c>
    </row>
    <row r="1538" spans="1:12" x14ac:dyDescent="0.55000000000000004">
      <c r="A1538" s="1" t="s">
        <v>1891</v>
      </c>
      <c r="B1538" s="2">
        <f>COUNTIF(A:A,A1538)-1</f>
        <v>8</v>
      </c>
      <c r="C1538" s="2">
        <f>COUNTIF(A$1:A1538,A1538)-1</f>
        <v>3</v>
      </c>
      <c r="D1538" s="2" t="str">
        <f t="shared" ref="D1538:D1601" si="24">IF(C1538&gt;0,IF(COUNTA(F1538:G1538)=1,"v",)&amp;IF(L1538=64,,"a")&amp;IF(COUNTA(I1538,K1538)=1,"r",),"")</f>
        <v>vr</v>
      </c>
      <c r="E1538" s="2"/>
      <c r="F1538" s="2" t="e">
        <f>ODDLYIELD(#REF!,#REF!,+F1538:G1538,#REF!,#REF!,#REF!,#REF!,#REF!)</f>
        <v>#REF!</v>
      </c>
      <c r="H1538" s="2" t="e">
        <f>ODDLYIELD(#REF!,#REF!,H1538:I1538,#REF!,#REF!,#REF!,#REF!,#REF!)</f>
        <v>#REF!</v>
      </c>
      <c r="I1538" s="1">
        <v>1</v>
      </c>
      <c r="J1538" s="2" t="e">
        <f>ODDLYIELD(#REF!,#REF!,INDIRECT(J1538:K1538),#REF!,#REF!,#REF!,#REF!,#REF!)</f>
        <v>#REF!</v>
      </c>
      <c r="L1538" s="2">
        <f>TYPE(INDEX(,ODDLYIELD(#REF!,#REF!,OFFSET(INDEX(1,),,),#REF!,#REF!,#REF!,#REF!,#REF!)))</f>
        <v>64</v>
      </c>
    </row>
    <row r="1539" spans="1:12" x14ac:dyDescent="0.55000000000000004">
      <c r="A1539" s="1" t="s">
        <v>1891</v>
      </c>
      <c r="B1539" s="2">
        <f>COUNTIF(A:A,A1539)-1</f>
        <v>8</v>
      </c>
      <c r="C1539" s="2">
        <f>COUNTIF(A$1:A1539,A1539)-1</f>
        <v>4</v>
      </c>
      <c r="D1539" s="2" t="str">
        <f t="shared" si="24"/>
        <v>vr</v>
      </c>
      <c r="E1539" s="2"/>
      <c r="F1539" s="2" t="e">
        <f>ODDLYIELD(#REF!,#REF!,#REF!,+F1539:G1539,#REF!,#REF!,#REF!,#REF!)</f>
        <v>#REF!</v>
      </c>
      <c r="H1539" s="2" t="e">
        <f>ODDLYIELD(#REF!,#REF!,#REF!,H1539:I1539,#REF!,#REF!,#REF!,#REF!)</f>
        <v>#REF!</v>
      </c>
      <c r="I1539" s="1">
        <v>1</v>
      </c>
      <c r="J1539" s="2" t="e">
        <f>ODDLYIELD(#REF!,#REF!,#REF!,INDIRECT(J1539:K1539),#REF!,#REF!,#REF!,#REF!)</f>
        <v>#REF!</v>
      </c>
      <c r="L1539" s="2">
        <f>TYPE(INDEX(,ODDLYIELD(#REF!,#REF!,#REF!,OFFSET(INDEX(1,),,),#REF!,#REF!,#REF!,#REF!)))</f>
        <v>64</v>
      </c>
    </row>
    <row r="1540" spans="1:12" x14ac:dyDescent="0.55000000000000004">
      <c r="A1540" s="1" t="s">
        <v>1891</v>
      </c>
      <c r="B1540" s="2">
        <f>COUNTIF(A:A,A1540)-1</f>
        <v>8</v>
      </c>
      <c r="C1540" s="2">
        <f>COUNTIF(A$1:A1540,A1540)-1</f>
        <v>5</v>
      </c>
      <c r="D1540" s="2" t="str">
        <f t="shared" si="24"/>
        <v>vr</v>
      </c>
      <c r="E1540" s="2"/>
      <c r="F1540" s="2" t="e">
        <f>ODDLYIELD(#REF!,#REF!,#REF!,#REF!,+F1540:G1540,#REF!,#REF!,#REF!)</f>
        <v>#REF!</v>
      </c>
      <c r="H1540" s="2" t="e">
        <f>ODDLYIELD(#REF!,#REF!,#REF!,#REF!,H1540:I1540,#REF!,#REF!,#REF!)</f>
        <v>#REF!</v>
      </c>
      <c r="I1540" s="1">
        <v>1</v>
      </c>
      <c r="J1540" s="2" t="e">
        <f>ODDLYIELD(#REF!,#REF!,#REF!,#REF!,INDIRECT(J1540:K1540),#REF!,#REF!,#REF!)</f>
        <v>#REF!</v>
      </c>
      <c r="L1540" s="2">
        <f>TYPE(INDEX(,ODDLYIELD(#REF!,#REF!,#REF!,#REF!,OFFSET(INDEX(1,),,),#REF!,#REF!,#REF!)))</f>
        <v>64</v>
      </c>
    </row>
    <row r="1541" spans="1:12" x14ac:dyDescent="0.55000000000000004">
      <c r="A1541" s="1" t="s">
        <v>1891</v>
      </c>
      <c r="B1541" s="2">
        <f>COUNTIF(A:A,A1541)-1</f>
        <v>8</v>
      </c>
      <c r="C1541" s="2">
        <f>COUNTIF(A$1:A1541,A1541)-1</f>
        <v>6</v>
      </c>
      <c r="D1541" s="2" t="str">
        <f t="shared" si="24"/>
        <v>vr</v>
      </c>
      <c r="E1541" s="2"/>
      <c r="F1541" s="2" t="e">
        <f>ODDLYIELD(#REF!,#REF!,#REF!,#REF!,#REF!,+F1541:G1541,#REF!,#REF!)</f>
        <v>#REF!</v>
      </c>
      <c r="H1541" s="2" t="e">
        <f>ODDLYIELD(#REF!,#REF!,#REF!,#REF!,#REF!,H1541:I1541,#REF!,#REF!)</f>
        <v>#REF!</v>
      </c>
      <c r="I1541" s="1">
        <v>1</v>
      </c>
      <c r="J1541" s="2" t="e">
        <f>ODDLYIELD(#REF!,#REF!,#REF!,#REF!,#REF!,INDIRECT(J1541:K1541),#REF!,#REF!)</f>
        <v>#REF!</v>
      </c>
      <c r="L1541" s="2">
        <f>TYPE(INDEX(,ODDLYIELD(#REF!,#REF!,#REF!,#REF!,#REF!,OFFSET(INDEX(1,),,),#REF!,#REF!)))</f>
        <v>64</v>
      </c>
    </row>
    <row r="1542" spans="1:12" x14ac:dyDescent="0.55000000000000004">
      <c r="A1542" s="1" t="s">
        <v>1891</v>
      </c>
      <c r="B1542" s="2">
        <f>COUNTIF(A:A,A1542)-1</f>
        <v>8</v>
      </c>
      <c r="C1542" s="2">
        <f>COUNTIF(A$1:A1542,A1542)-1</f>
        <v>7</v>
      </c>
      <c r="D1542" s="2" t="str">
        <f t="shared" si="24"/>
        <v>vr</v>
      </c>
      <c r="E1542" s="2" t="e">
        <f>ODDLYIELD(#REF!,#REF!,#REF!,#REF!,#REF!,#REF!,#REF!)</f>
        <v>#REF!</v>
      </c>
      <c r="F1542" s="2" t="e">
        <f>ODDLYIELD(#REF!,#REF!,#REF!,#REF!,#REF!,#REF!,+F1542:G1542,#REF!)</f>
        <v>#REF!</v>
      </c>
      <c r="H1542" s="2" t="e">
        <f>ODDLYIELD(#REF!,#REF!,#REF!,#REF!,#REF!,#REF!,H1542:I1542,#REF!)</f>
        <v>#REF!</v>
      </c>
      <c r="I1542" s="1">
        <v>1</v>
      </c>
      <c r="J1542" s="2" t="e">
        <f>ODDLYIELD(#REF!,#REF!,#REF!,#REF!,#REF!,#REF!,INDIRECT(J1542:K1542),#REF!)</f>
        <v>#REF!</v>
      </c>
      <c r="L1542" s="2">
        <f>TYPE(INDEX(,ODDLYIELD(#REF!,#REF!,#REF!,#REF!,#REF!,#REF!,OFFSET(INDEX(1,),,),#REF!)))</f>
        <v>64</v>
      </c>
    </row>
    <row r="1543" spans="1:12" x14ac:dyDescent="0.55000000000000004">
      <c r="A1543" s="1" t="s">
        <v>1891</v>
      </c>
      <c r="B1543" s="2">
        <f>COUNTIF(A:A,A1543)-1</f>
        <v>8</v>
      </c>
      <c r="C1543" s="2">
        <f>COUNTIF(A$1:A1543,A1543)-1</f>
        <v>8</v>
      </c>
      <c r="D1543" s="2" t="str">
        <f t="shared" si="24"/>
        <v>vr</v>
      </c>
      <c r="E1543" s="2" t="e">
        <f>ODDLYIELD(#REF!,#REF!,#REF!,#REF!,#REF!,#REF!,#REF!,#REF!)</f>
        <v>#REF!</v>
      </c>
      <c r="F1543" s="2" t="e">
        <f>ODDLYIELD(#REF!,#REF!,#REF!,#REF!,#REF!,#REF!,#REF!,+F1543:G1543)</f>
        <v>#REF!</v>
      </c>
      <c r="H1543" s="2" t="e">
        <f>ODDLYIELD(#REF!,#REF!,#REF!,#REF!,#REF!,#REF!,#REF!,H1543:I1543)</f>
        <v>#REF!</v>
      </c>
      <c r="I1543" s="1">
        <v>1</v>
      </c>
      <c r="J1543" s="2" t="e">
        <f>ODDLYIELD(#REF!,#REF!,#REF!,#REF!,#REF!,#REF!,#REF!,INDIRECT(J1543:K1543))</f>
        <v>#REF!</v>
      </c>
      <c r="L1543" s="2">
        <f>TYPE(INDEX(,ODDLYIELD(#REF!,#REF!,#REF!,#REF!,#REF!,#REF!,#REF!,OFFSET(INDEX(1,),,))))</f>
        <v>64</v>
      </c>
    </row>
    <row r="1544" spans="1:12" x14ac:dyDescent="0.55000000000000004">
      <c r="A1544" s="1" t="s">
        <v>1892</v>
      </c>
      <c r="B1544" s="2">
        <f>COUNTIF(A:A,A1544)-1</f>
        <v>9</v>
      </c>
      <c r="C1544" s="2">
        <f>COUNTIF(A$1:A1544,A1544)-1</f>
        <v>0</v>
      </c>
      <c r="D1544" s="2" t="str">
        <f t="shared" si="24"/>
        <v/>
      </c>
      <c r="E1544" s="2"/>
      <c r="F1544" s="2"/>
      <c r="H1544" s="2"/>
      <c r="J1544" s="2"/>
      <c r="L1544" s="2"/>
    </row>
    <row r="1545" spans="1:12" x14ac:dyDescent="0.55000000000000004">
      <c r="A1545" s="1" t="s">
        <v>1892</v>
      </c>
      <c r="B1545" s="2">
        <f>COUNTIF(A:A,A1545)-1</f>
        <v>9</v>
      </c>
      <c r="C1545" s="2">
        <f>COUNTIF(A$1:A1545,A1545)-1</f>
        <v>1</v>
      </c>
      <c r="D1545" s="2" t="str">
        <f t="shared" si="24"/>
        <v>vr</v>
      </c>
      <c r="E1545" s="2"/>
      <c r="F1545" s="2" t="e">
        <f>ODDFPRICE(+F1545:G1545,#REF!,#REF!,#REF!,#REF!,#REF!,#REF!,#REF!,#REF!)</f>
        <v>#REF!</v>
      </c>
      <c r="H1545" s="2" t="e">
        <f>ODDFPRICE(H1545:I1545,#REF!,#REF!,#REF!,#REF!,#REF!,#REF!,#REF!,#REF!)</f>
        <v>#VALUE!</v>
      </c>
      <c r="I1545" s="1">
        <v>1</v>
      </c>
      <c r="J1545" s="2" t="e">
        <f>ODDFPRICE(INDIRECT(J1545:K1545),#REF!,#REF!,#REF!,#REF!,#REF!,#REF!,#REF!,#REF!)</f>
        <v>#REF!</v>
      </c>
      <c r="L1545" s="2">
        <f>TYPE(INDEX(,ODDFPRICE(OFFSET(INDEX(1,),,),#REF!,#REF!,#REF!,#REF!,#REF!,#REF!,#REF!,#REF!)))</f>
        <v>64</v>
      </c>
    </row>
    <row r="1546" spans="1:12" x14ac:dyDescent="0.55000000000000004">
      <c r="A1546" s="1" t="s">
        <v>1892</v>
      </c>
      <c r="B1546" s="2">
        <f>COUNTIF(A:A,A1546)-1</f>
        <v>9</v>
      </c>
      <c r="C1546" s="2">
        <f>COUNTIF(A$1:A1546,A1546)-1</f>
        <v>2</v>
      </c>
      <c r="D1546" s="2" t="str">
        <f t="shared" si="24"/>
        <v>vr</v>
      </c>
      <c r="E1546" s="2"/>
      <c r="F1546" s="2" t="e">
        <f>ODDFPRICE(#REF!,+F1546:G1546,#REF!,#REF!,#REF!,#REF!,#REF!,#REF!,#REF!)</f>
        <v>#REF!</v>
      </c>
      <c r="H1546" s="2" t="e">
        <f>ODDFPRICE(#REF!,H1546:I1546,#REF!,#REF!,#REF!,#REF!,#REF!,#REF!,#REF!)</f>
        <v>#REF!</v>
      </c>
      <c r="I1546" s="1">
        <v>1</v>
      </c>
      <c r="J1546" s="2" t="e">
        <f>ODDFPRICE(#REF!,INDIRECT(J1546:K1546),#REF!,#REF!,#REF!,#REF!,#REF!,#REF!,#REF!)</f>
        <v>#REF!</v>
      </c>
      <c r="L1546" s="2">
        <f>TYPE(INDEX(,ODDFPRICE(#REF!,OFFSET(INDEX(1,),,),#REF!,#REF!,#REF!,#REF!,#REF!,#REF!,#REF!)))</f>
        <v>64</v>
      </c>
    </row>
    <row r="1547" spans="1:12" x14ac:dyDescent="0.55000000000000004">
      <c r="A1547" s="1" t="s">
        <v>1892</v>
      </c>
      <c r="B1547" s="2">
        <f>COUNTIF(A:A,A1547)-1</f>
        <v>9</v>
      </c>
      <c r="C1547" s="2">
        <f>COUNTIF(A$1:A1547,A1547)-1</f>
        <v>3</v>
      </c>
      <c r="D1547" s="2" t="str">
        <f t="shared" si="24"/>
        <v>vr</v>
      </c>
      <c r="E1547" s="2"/>
      <c r="F1547" s="2" t="e">
        <f>ODDFPRICE(#REF!,#REF!,+F1547:G1547,#REF!,#REF!,#REF!,#REF!,#REF!,#REF!)</f>
        <v>#REF!</v>
      </c>
      <c r="H1547" s="2" t="e">
        <f>ODDFPRICE(#REF!,#REF!,H1547:I1547,#REF!,#REF!,#REF!,#REF!,#REF!,#REF!)</f>
        <v>#REF!</v>
      </c>
      <c r="I1547" s="1">
        <v>1</v>
      </c>
      <c r="J1547" s="2" t="e">
        <f>ODDFPRICE(#REF!,#REF!,INDIRECT(J1547:K1547),#REF!,#REF!,#REF!,#REF!,#REF!,#REF!)</f>
        <v>#REF!</v>
      </c>
      <c r="L1547" s="2">
        <f>TYPE(INDEX(,ODDFPRICE(#REF!,#REF!,OFFSET(INDEX(1,),,),#REF!,#REF!,#REF!,#REF!,#REF!,#REF!)))</f>
        <v>64</v>
      </c>
    </row>
    <row r="1548" spans="1:12" x14ac:dyDescent="0.55000000000000004">
      <c r="A1548" s="1" t="s">
        <v>1892</v>
      </c>
      <c r="B1548" s="2">
        <f>COUNTIF(A:A,A1548)-1</f>
        <v>9</v>
      </c>
      <c r="C1548" s="2">
        <f>COUNTIF(A$1:A1548,A1548)-1</f>
        <v>4</v>
      </c>
      <c r="D1548" s="2" t="str">
        <f t="shared" si="24"/>
        <v>vr</v>
      </c>
      <c r="E1548" s="2"/>
      <c r="F1548" s="2" t="e">
        <f>ODDFPRICE(#REF!,#REF!,#REF!,+F1548:G1548,#REF!,#REF!,#REF!,#REF!,#REF!)</f>
        <v>#REF!</v>
      </c>
      <c r="H1548" s="2" t="e">
        <f>ODDFPRICE(#REF!,#REF!,#REF!,H1548:I1548,#REF!,#REF!,#REF!,#REF!,#REF!)</f>
        <v>#REF!</v>
      </c>
      <c r="I1548" s="1">
        <v>1</v>
      </c>
      <c r="J1548" s="2" t="e">
        <f>ODDFPRICE(#REF!,#REF!,#REF!,INDIRECT(J1548:K1548),#REF!,#REF!,#REF!,#REF!,#REF!)</f>
        <v>#REF!</v>
      </c>
      <c r="L1548" s="2">
        <f>TYPE(INDEX(,ODDFPRICE(#REF!,#REF!,#REF!,OFFSET(INDEX(1,),,),#REF!,#REF!,#REF!,#REF!,#REF!)))</f>
        <v>64</v>
      </c>
    </row>
    <row r="1549" spans="1:12" x14ac:dyDescent="0.55000000000000004">
      <c r="A1549" s="1" t="s">
        <v>1892</v>
      </c>
      <c r="B1549" s="2">
        <f>COUNTIF(A:A,A1549)-1</f>
        <v>9</v>
      </c>
      <c r="C1549" s="2">
        <f>COUNTIF(A$1:A1549,A1549)-1</f>
        <v>5</v>
      </c>
      <c r="D1549" s="2" t="str">
        <f t="shared" si="24"/>
        <v>vr</v>
      </c>
      <c r="E1549" s="2"/>
      <c r="F1549" s="2" t="e">
        <f>ODDFPRICE(#REF!,#REF!,#REF!,#REF!,+F1549:G1549,#REF!,#REF!,#REF!,#REF!)</f>
        <v>#REF!</v>
      </c>
      <c r="H1549" s="2" t="e">
        <f>ODDFPRICE(#REF!,#REF!,#REF!,#REF!,H1549:I1549,#REF!,#REF!,#REF!,#REF!)</f>
        <v>#REF!</v>
      </c>
      <c r="I1549" s="1">
        <v>1</v>
      </c>
      <c r="J1549" s="2" t="e">
        <f>ODDFPRICE(#REF!,#REF!,#REF!,#REF!,INDIRECT(J1549:K1549),#REF!,#REF!,#REF!,#REF!)</f>
        <v>#REF!</v>
      </c>
      <c r="L1549" s="2">
        <f>TYPE(INDEX(,ODDFPRICE(#REF!,#REF!,#REF!,#REF!,OFFSET(INDEX(1,),,),#REF!,#REF!,#REF!,#REF!)))</f>
        <v>64</v>
      </c>
    </row>
    <row r="1550" spans="1:12" x14ac:dyDescent="0.55000000000000004">
      <c r="A1550" s="1" t="s">
        <v>1892</v>
      </c>
      <c r="B1550" s="2">
        <f>COUNTIF(A:A,A1550)-1</f>
        <v>9</v>
      </c>
      <c r="C1550" s="2">
        <f>COUNTIF(A$1:A1550,A1550)-1</f>
        <v>6</v>
      </c>
      <c r="D1550" s="2" t="str">
        <f t="shared" si="24"/>
        <v>vr</v>
      </c>
      <c r="E1550" s="2"/>
      <c r="F1550" s="2" t="e">
        <f>ODDFPRICE(#REF!,#REF!,#REF!,#REF!,#REF!,+F1550:G1550,#REF!,#REF!,#REF!)</f>
        <v>#REF!</v>
      </c>
      <c r="H1550" s="2" t="e">
        <f>ODDFPRICE(#REF!,#REF!,#REF!,#REF!,#REF!,H1550:I1550,#REF!,#REF!,#REF!)</f>
        <v>#REF!</v>
      </c>
      <c r="I1550" s="1">
        <v>1</v>
      </c>
      <c r="J1550" s="2" t="e">
        <f>ODDFPRICE(#REF!,#REF!,#REF!,#REF!,#REF!,INDIRECT(J1550:K1550),#REF!,#REF!,#REF!)</f>
        <v>#REF!</v>
      </c>
      <c r="L1550" s="2">
        <f>TYPE(INDEX(,ODDFPRICE(#REF!,#REF!,#REF!,#REF!,#REF!,OFFSET(INDEX(1,),,),#REF!,#REF!,#REF!)))</f>
        <v>64</v>
      </c>
    </row>
    <row r="1551" spans="1:12" x14ac:dyDescent="0.55000000000000004">
      <c r="A1551" s="1" t="s">
        <v>1892</v>
      </c>
      <c r="B1551" s="2">
        <f>COUNTIF(A:A,A1551)-1</f>
        <v>9</v>
      </c>
      <c r="C1551" s="2">
        <f>COUNTIF(A$1:A1551,A1551)-1</f>
        <v>7</v>
      </c>
      <c r="D1551" s="2" t="str">
        <f t="shared" si="24"/>
        <v>vr</v>
      </c>
      <c r="E1551" s="2"/>
      <c r="F1551" s="2" t="e">
        <f>ODDFPRICE(#REF!,#REF!,#REF!,#REF!,#REF!,#REF!,+F1551:G1551,#REF!,#REF!)</f>
        <v>#REF!</v>
      </c>
      <c r="H1551" s="2" t="e">
        <f>ODDFPRICE(#REF!,#REF!,#REF!,#REF!,#REF!,#REF!,H1551:I1551,#REF!,#REF!)</f>
        <v>#REF!</v>
      </c>
      <c r="I1551" s="1">
        <v>1</v>
      </c>
      <c r="J1551" s="2" t="e">
        <f>ODDFPRICE(#REF!,#REF!,#REF!,#REF!,#REF!,#REF!,INDIRECT(J1551:K1551),#REF!,#REF!)</f>
        <v>#REF!</v>
      </c>
      <c r="L1551" s="2">
        <f>TYPE(INDEX(,ODDFPRICE(#REF!,#REF!,#REF!,#REF!,#REF!,#REF!,OFFSET(INDEX(1,),,),#REF!,#REF!)))</f>
        <v>64</v>
      </c>
    </row>
    <row r="1552" spans="1:12" x14ac:dyDescent="0.55000000000000004">
      <c r="A1552" s="1" t="s">
        <v>1892</v>
      </c>
      <c r="B1552" s="2">
        <f>COUNTIF(A:A,A1552)-1</f>
        <v>9</v>
      </c>
      <c r="C1552" s="2">
        <f>COUNTIF(A$1:A1552,A1552)-1</f>
        <v>8</v>
      </c>
      <c r="D1552" s="2" t="str">
        <f t="shared" si="24"/>
        <v>vr</v>
      </c>
      <c r="E1552" s="2" t="e">
        <f>ODDFPRICE(#REF!,#REF!,#REF!,#REF!,#REF!,#REF!,#REF!,#REF!)</f>
        <v>#REF!</v>
      </c>
      <c r="F1552" s="2" t="e">
        <f>ODDFPRICE(#REF!,#REF!,#REF!,#REF!,#REF!,#REF!,#REF!,+F1552:G1552,#REF!)</f>
        <v>#REF!</v>
      </c>
      <c r="H1552" s="2" t="e">
        <f>ODDFPRICE(#REF!,#REF!,#REF!,#REF!,#REF!,#REF!,#REF!,H1552:I1552,#REF!)</f>
        <v>#REF!</v>
      </c>
      <c r="I1552" s="1">
        <v>1</v>
      </c>
      <c r="J1552" s="2" t="e">
        <f>ODDFPRICE(#REF!,#REF!,#REF!,#REF!,#REF!,#REF!,#REF!,INDIRECT(J1552:K1552),#REF!)</f>
        <v>#REF!</v>
      </c>
      <c r="L1552" s="2">
        <f>TYPE(INDEX(,ODDFPRICE(#REF!,#REF!,#REF!,#REF!,#REF!,#REF!,#REF!,OFFSET(INDEX(1,),,),#REF!)))</f>
        <v>64</v>
      </c>
    </row>
    <row r="1553" spans="1:12" x14ac:dyDescent="0.55000000000000004">
      <c r="A1553" s="1" t="s">
        <v>1892</v>
      </c>
      <c r="B1553" s="2">
        <f>COUNTIF(A:A,A1553)-1</f>
        <v>9</v>
      </c>
      <c r="C1553" s="2">
        <f>COUNTIF(A$1:A1553,A1553)-1</f>
        <v>9</v>
      </c>
      <c r="D1553" s="2" t="str">
        <f t="shared" si="24"/>
        <v>vr</v>
      </c>
      <c r="E1553" s="2" t="e">
        <f>ODDFPRICE(#REF!,#REF!,#REF!,#REF!,#REF!,#REF!,#REF!,#REF!,#REF!)</f>
        <v>#REF!</v>
      </c>
      <c r="F1553" s="2" t="e">
        <f>ODDFPRICE(#REF!,#REF!,#REF!,#REF!,#REF!,#REF!,#REF!,#REF!,+F1553:G1553)</f>
        <v>#REF!</v>
      </c>
      <c r="H1553" s="2" t="e">
        <f>ODDFPRICE(#REF!,#REF!,#REF!,#REF!,#REF!,#REF!,#REF!,#REF!,H1553:I1553)</f>
        <v>#REF!</v>
      </c>
      <c r="I1553" s="1">
        <v>1</v>
      </c>
      <c r="J1553" s="2" t="e">
        <f>ODDFPRICE(#REF!,#REF!,#REF!,#REF!,#REF!,#REF!,#REF!,#REF!,INDIRECT(J1553:K1553))</f>
        <v>#REF!</v>
      </c>
      <c r="L1553" s="2">
        <f>TYPE(INDEX(,ODDFPRICE(#REF!,#REF!,#REF!,#REF!,#REF!,#REF!,#REF!,#REF!,OFFSET(INDEX(1,),,))))</f>
        <v>64</v>
      </c>
    </row>
    <row r="1554" spans="1:12" x14ac:dyDescent="0.55000000000000004">
      <c r="A1554" s="1" t="s">
        <v>1893</v>
      </c>
      <c r="B1554" s="2">
        <f>COUNTIF(A:A,A1554)-1</f>
        <v>9</v>
      </c>
      <c r="C1554" s="2">
        <f>COUNTIF(A$1:A1554,A1554)-1</f>
        <v>0</v>
      </c>
      <c r="D1554" s="2" t="str">
        <f t="shared" si="24"/>
        <v/>
      </c>
      <c r="E1554" s="2"/>
      <c r="F1554" s="2"/>
      <c r="H1554" s="2"/>
      <c r="J1554" s="2"/>
      <c r="L1554" s="2"/>
    </row>
    <row r="1555" spans="1:12" x14ac:dyDescent="0.55000000000000004">
      <c r="A1555" s="1" t="s">
        <v>1893</v>
      </c>
      <c r="B1555" s="2">
        <f>COUNTIF(A:A,A1555)-1</f>
        <v>9</v>
      </c>
      <c r="C1555" s="2">
        <f>COUNTIF(A$1:A1555,A1555)-1</f>
        <v>1</v>
      </c>
      <c r="D1555" s="2" t="str">
        <f t="shared" si="24"/>
        <v>vr</v>
      </c>
      <c r="E1555" s="2"/>
      <c r="F1555" s="2" t="e">
        <f>ODDFYIELD(+F1555:G1555,#REF!,#REF!,#REF!,#REF!,#REF!,#REF!,#REF!,#REF!)</f>
        <v>#REF!</v>
      </c>
      <c r="H1555" s="2" t="e">
        <f>ODDFYIELD(H1555:I1555,#REF!,#REF!,#REF!,#REF!,#REF!,#REF!,#REF!,#REF!)</f>
        <v>#VALUE!</v>
      </c>
      <c r="I1555" s="1">
        <v>1</v>
      </c>
      <c r="J1555" s="2" t="e">
        <f>ODDFYIELD(INDIRECT(J1555:K1555),#REF!,#REF!,#REF!,#REF!,#REF!,#REF!,#REF!,#REF!)</f>
        <v>#REF!</v>
      </c>
      <c r="L1555" s="2">
        <f>TYPE(INDEX(,ODDFYIELD(OFFSET(INDEX(1,),,),#REF!,#REF!,#REF!,#REF!,#REF!,#REF!,#REF!,#REF!)))</f>
        <v>64</v>
      </c>
    </row>
    <row r="1556" spans="1:12" x14ac:dyDescent="0.55000000000000004">
      <c r="A1556" s="1" t="s">
        <v>1893</v>
      </c>
      <c r="B1556" s="2">
        <f>COUNTIF(A:A,A1556)-1</f>
        <v>9</v>
      </c>
      <c r="C1556" s="2">
        <f>COUNTIF(A$1:A1556,A1556)-1</f>
        <v>2</v>
      </c>
      <c r="D1556" s="2" t="str">
        <f t="shared" si="24"/>
        <v>vr</v>
      </c>
      <c r="E1556" s="2"/>
      <c r="F1556" s="2" t="e">
        <f>ODDFYIELD(#REF!,+F1556:G1556,#REF!,#REF!,#REF!,#REF!,#REF!,#REF!,#REF!)</f>
        <v>#REF!</v>
      </c>
      <c r="H1556" s="2" t="e">
        <f>ODDFYIELD(#REF!,H1556:I1556,#REF!,#REF!,#REF!,#REF!,#REF!,#REF!,#REF!)</f>
        <v>#REF!</v>
      </c>
      <c r="I1556" s="1">
        <v>1</v>
      </c>
      <c r="J1556" s="2" t="e">
        <f>ODDFYIELD(#REF!,INDIRECT(J1556:K1556),#REF!,#REF!,#REF!,#REF!,#REF!,#REF!,#REF!)</f>
        <v>#REF!</v>
      </c>
      <c r="L1556" s="2">
        <f>TYPE(INDEX(,ODDFYIELD(#REF!,OFFSET(INDEX(1,),,),#REF!,#REF!,#REF!,#REF!,#REF!,#REF!,#REF!)))</f>
        <v>64</v>
      </c>
    </row>
    <row r="1557" spans="1:12" x14ac:dyDescent="0.55000000000000004">
      <c r="A1557" s="1" t="s">
        <v>1893</v>
      </c>
      <c r="B1557" s="2">
        <f>COUNTIF(A:A,A1557)-1</f>
        <v>9</v>
      </c>
      <c r="C1557" s="2">
        <f>COUNTIF(A$1:A1557,A1557)-1</f>
        <v>3</v>
      </c>
      <c r="D1557" s="2" t="str">
        <f t="shared" si="24"/>
        <v>vr</v>
      </c>
      <c r="E1557" s="2"/>
      <c r="F1557" s="2" t="e">
        <f>ODDFYIELD(#REF!,#REF!,+F1557:G1557,#REF!,#REF!,#REF!,#REF!,#REF!,#REF!)</f>
        <v>#REF!</v>
      </c>
      <c r="H1557" s="2" t="e">
        <f>ODDFYIELD(#REF!,#REF!,H1557:I1557,#REF!,#REF!,#REF!,#REF!,#REF!,#REF!)</f>
        <v>#REF!</v>
      </c>
      <c r="I1557" s="1">
        <v>1</v>
      </c>
      <c r="J1557" s="2" t="e">
        <f>ODDFYIELD(#REF!,#REF!,INDIRECT(J1557:K1557),#REF!,#REF!,#REF!,#REF!,#REF!,#REF!)</f>
        <v>#REF!</v>
      </c>
      <c r="L1557" s="2">
        <f>TYPE(INDEX(,ODDFYIELD(#REF!,#REF!,OFFSET(INDEX(1,),,),#REF!,#REF!,#REF!,#REF!,#REF!,#REF!)))</f>
        <v>64</v>
      </c>
    </row>
    <row r="1558" spans="1:12" x14ac:dyDescent="0.55000000000000004">
      <c r="A1558" s="1" t="s">
        <v>1893</v>
      </c>
      <c r="B1558" s="2">
        <f>COUNTIF(A:A,A1558)-1</f>
        <v>9</v>
      </c>
      <c r="C1558" s="2">
        <f>COUNTIF(A$1:A1558,A1558)-1</f>
        <v>4</v>
      </c>
      <c r="D1558" s="2" t="str">
        <f t="shared" si="24"/>
        <v>vr</v>
      </c>
      <c r="E1558" s="2"/>
      <c r="F1558" s="2" t="e">
        <f>ODDFYIELD(#REF!,#REF!,#REF!,+F1558:G1558,#REF!,#REF!,#REF!,#REF!,#REF!)</f>
        <v>#REF!</v>
      </c>
      <c r="H1558" s="2" t="e">
        <f>ODDFYIELD(#REF!,#REF!,#REF!,H1558:I1558,#REF!,#REF!,#REF!,#REF!,#REF!)</f>
        <v>#REF!</v>
      </c>
      <c r="I1558" s="1">
        <v>1</v>
      </c>
      <c r="J1558" s="2" t="e">
        <f>ODDFYIELD(#REF!,#REF!,#REF!,INDIRECT(J1558:K1558),#REF!,#REF!,#REF!,#REF!,#REF!)</f>
        <v>#REF!</v>
      </c>
      <c r="L1558" s="2">
        <f>TYPE(INDEX(,ODDFYIELD(#REF!,#REF!,#REF!,OFFSET(INDEX(1,),,),#REF!,#REF!,#REF!,#REF!,#REF!)))</f>
        <v>64</v>
      </c>
    </row>
    <row r="1559" spans="1:12" x14ac:dyDescent="0.55000000000000004">
      <c r="A1559" s="1" t="s">
        <v>1893</v>
      </c>
      <c r="B1559" s="2">
        <f>COUNTIF(A:A,A1559)-1</f>
        <v>9</v>
      </c>
      <c r="C1559" s="2">
        <f>COUNTIF(A$1:A1559,A1559)-1</f>
        <v>5</v>
      </c>
      <c r="D1559" s="2" t="str">
        <f t="shared" si="24"/>
        <v>vr</v>
      </c>
      <c r="E1559" s="2"/>
      <c r="F1559" s="2" t="e">
        <f>ODDFYIELD(#REF!,#REF!,#REF!,#REF!,+F1559:G1559,#REF!,#REF!,#REF!,#REF!)</f>
        <v>#REF!</v>
      </c>
      <c r="H1559" s="2" t="e">
        <f>ODDFYIELD(#REF!,#REF!,#REF!,#REF!,H1559:I1559,#REF!,#REF!,#REF!,#REF!)</f>
        <v>#REF!</v>
      </c>
      <c r="I1559" s="1">
        <v>1</v>
      </c>
      <c r="J1559" s="2" t="e">
        <f>ODDFYIELD(#REF!,#REF!,#REF!,#REF!,INDIRECT(J1559:K1559),#REF!,#REF!,#REF!,#REF!)</f>
        <v>#REF!</v>
      </c>
      <c r="L1559" s="2">
        <f>TYPE(INDEX(,ODDFYIELD(#REF!,#REF!,#REF!,#REF!,OFFSET(INDEX(1,),,),#REF!,#REF!,#REF!,#REF!)))</f>
        <v>64</v>
      </c>
    </row>
    <row r="1560" spans="1:12" x14ac:dyDescent="0.55000000000000004">
      <c r="A1560" s="1" t="s">
        <v>1893</v>
      </c>
      <c r="B1560" s="2">
        <f>COUNTIF(A:A,A1560)-1</f>
        <v>9</v>
      </c>
      <c r="C1560" s="2">
        <f>COUNTIF(A$1:A1560,A1560)-1</f>
        <v>6</v>
      </c>
      <c r="D1560" s="2" t="str">
        <f t="shared" si="24"/>
        <v>vr</v>
      </c>
      <c r="E1560" s="2"/>
      <c r="F1560" s="2" t="e">
        <f>ODDFYIELD(#REF!,#REF!,#REF!,#REF!,#REF!,+F1560:G1560,#REF!,#REF!,#REF!)</f>
        <v>#REF!</v>
      </c>
      <c r="H1560" s="2" t="e">
        <f>ODDFYIELD(#REF!,#REF!,#REF!,#REF!,#REF!,H1560:I1560,#REF!,#REF!,#REF!)</f>
        <v>#REF!</v>
      </c>
      <c r="I1560" s="1">
        <v>1</v>
      </c>
      <c r="J1560" s="2" t="e">
        <f>ODDFYIELD(#REF!,#REF!,#REF!,#REF!,#REF!,INDIRECT(J1560:K1560),#REF!,#REF!,#REF!)</f>
        <v>#REF!</v>
      </c>
      <c r="L1560" s="2">
        <f>TYPE(INDEX(,ODDFYIELD(#REF!,#REF!,#REF!,#REF!,#REF!,OFFSET(INDEX(1,),,),#REF!,#REF!,#REF!)))</f>
        <v>64</v>
      </c>
    </row>
    <row r="1561" spans="1:12" x14ac:dyDescent="0.55000000000000004">
      <c r="A1561" s="1" t="s">
        <v>1893</v>
      </c>
      <c r="B1561" s="2">
        <f>COUNTIF(A:A,A1561)-1</f>
        <v>9</v>
      </c>
      <c r="C1561" s="2">
        <f>COUNTIF(A$1:A1561,A1561)-1</f>
        <v>7</v>
      </c>
      <c r="D1561" s="2" t="str">
        <f t="shared" si="24"/>
        <v>vr</v>
      </c>
      <c r="E1561" s="2"/>
      <c r="F1561" s="2" t="e">
        <f>ODDFYIELD(#REF!,#REF!,#REF!,#REF!,#REF!,#REF!,+F1561:G1561,#REF!,#REF!)</f>
        <v>#REF!</v>
      </c>
      <c r="H1561" s="2" t="e">
        <f>ODDFYIELD(#REF!,#REF!,#REF!,#REF!,#REF!,#REF!,H1561:I1561,#REF!,#REF!)</f>
        <v>#REF!</v>
      </c>
      <c r="I1561" s="1">
        <v>1</v>
      </c>
      <c r="J1561" s="2" t="e">
        <f>ODDFYIELD(#REF!,#REF!,#REF!,#REF!,#REF!,#REF!,INDIRECT(J1561:K1561),#REF!,#REF!)</f>
        <v>#REF!</v>
      </c>
      <c r="L1561" s="2">
        <f>TYPE(INDEX(,ODDFYIELD(#REF!,#REF!,#REF!,#REF!,#REF!,#REF!,OFFSET(INDEX(1,),,),#REF!,#REF!)))</f>
        <v>64</v>
      </c>
    </row>
    <row r="1562" spans="1:12" x14ac:dyDescent="0.55000000000000004">
      <c r="A1562" s="1" t="s">
        <v>1893</v>
      </c>
      <c r="B1562" s="2">
        <f>COUNTIF(A:A,A1562)-1</f>
        <v>9</v>
      </c>
      <c r="C1562" s="2">
        <f>COUNTIF(A$1:A1562,A1562)-1</f>
        <v>8</v>
      </c>
      <c r="D1562" s="2" t="str">
        <f t="shared" si="24"/>
        <v>vr</v>
      </c>
      <c r="E1562" s="2" t="e">
        <f>ODDFYIELD(#REF!,#REF!,#REF!,#REF!,#REF!,#REF!,#REF!,#REF!)</f>
        <v>#REF!</v>
      </c>
      <c r="F1562" s="2" t="e">
        <f>ODDFYIELD(#REF!,#REF!,#REF!,#REF!,#REF!,#REF!,#REF!,+F1562:G1562,#REF!)</f>
        <v>#REF!</v>
      </c>
      <c r="H1562" s="2" t="e">
        <f>ODDFYIELD(#REF!,#REF!,#REF!,#REF!,#REF!,#REF!,#REF!,H1562:I1562,#REF!)</f>
        <v>#REF!</v>
      </c>
      <c r="I1562" s="1">
        <v>1</v>
      </c>
      <c r="J1562" s="2" t="e">
        <f>ODDFYIELD(#REF!,#REF!,#REF!,#REF!,#REF!,#REF!,#REF!,INDIRECT(J1562:K1562),#REF!)</f>
        <v>#REF!</v>
      </c>
      <c r="L1562" s="2">
        <f>TYPE(INDEX(,ODDFYIELD(#REF!,#REF!,#REF!,#REF!,#REF!,#REF!,#REF!,OFFSET(INDEX(1,),,),#REF!)))</f>
        <v>64</v>
      </c>
    </row>
    <row r="1563" spans="1:12" x14ac:dyDescent="0.55000000000000004">
      <c r="A1563" s="1" t="s">
        <v>1893</v>
      </c>
      <c r="B1563" s="2">
        <f>COUNTIF(A:A,A1563)-1</f>
        <v>9</v>
      </c>
      <c r="C1563" s="2">
        <f>COUNTIF(A$1:A1563,A1563)-1</f>
        <v>9</v>
      </c>
      <c r="D1563" s="2" t="str">
        <f t="shared" si="24"/>
        <v>vr</v>
      </c>
      <c r="E1563" s="2" t="e">
        <f>ODDFYIELD(#REF!,#REF!,#REF!,#REF!,#REF!,#REF!,#REF!,#REF!,#REF!)</f>
        <v>#REF!</v>
      </c>
      <c r="F1563" s="2" t="e">
        <f>ODDFYIELD(#REF!,#REF!,#REF!,#REF!,#REF!,#REF!,#REF!,#REF!,+F1563:G1563)</f>
        <v>#REF!</v>
      </c>
      <c r="H1563" s="2" t="e">
        <f>ODDFYIELD(#REF!,#REF!,#REF!,#REF!,#REF!,#REF!,#REF!,#REF!,H1563:I1563)</f>
        <v>#REF!</v>
      </c>
      <c r="I1563" s="1">
        <v>1</v>
      </c>
      <c r="J1563" s="2" t="e">
        <f>ODDFYIELD(#REF!,#REF!,#REF!,#REF!,#REF!,#REF!,#REF!,#REF!,INDIRECT(J1563:K1563))</f>
        <v>#REF!</v>
      </c>
      <c r="L1563" s="2">
        <f>TYPE(INDEX(,ODDFYIELD(#REF!,#REF!,#REF!,#REF!,#REF!,#REF!,#REF!,#REF!,OFFSET(INDEX(1,),,))))</f>
        <v>64</v>
      </c>
    </row>
    <row r="1564" spans="1:12" x14ac:dyDescent="0.55000000000000004">
      <c r="A1564" s="1" t="s">
        <v>1894</v>
      </c>
      <c r="B1564" s="2">
        <f>COUNTIF(A:A,A1564)-1</f>
        <v>2</v>
      </c>
      <c r="C1564" s="2">
        <f>COUNTIF(A$1:A1564,A1564)-1</f>
        <v>0</v>
      </c>
      <c r="D1564" s="2" t="str">
        <f t="shared" si="24"/>
        <v/>
      </c>
      <c r="E1564" s="2"/>
      <c r="F1564" s="2"/>
      <c r="H1564" s="2"/>
      <c r="J1564" s="2"/>
      <c r="L1564" s="2"/>
    </row>
    <row r="1565" spans="1:12" x14ac:dyDescent="0.55000000000000004">
      <c r="A1565" s="1" t="s">
        <v>1894</v>
      </c>
      <c r="B1565" s="2">
        <f>COUNTIF(A:A,A1565)-1</f>
        <v>2</v>
      </c>
      <c r="C1565" s="2">
        <f>COUNTIF(A$1:A1565,A1565)-1</f>
        <v>1</v>
      </c>
      <c r="D1565" s="2" t="str">
        <f t="shared" si="24"/>
        <v>vr</v>
      </c>
      <c r="E1565" s="2"/>
      <c r="F1565" s="2" t="e">
        <f>RANDBETWEEN(+F1565:G1565,#REF!)</f>
        <v>#REF!</v>
      </c>
      <c r="H1565" s="2" t="e">
        <f>RANDBETWEEN(H1565:I1565,#REF!)</f>
        <v>#REF!</v>
      </c>
      <c r="I1565" s="1">
        <v>1</v>
      </c>
      <c r="J1565" s="2" t="e">
        <f>RANDBETWEEN(INDIRECT(J1565:K1565),#REF!)</f>
        <v>#REF!</v>
      </c>
      <c r="L1565" s="2">
        <f>TYPE(INDEX(,RANDBETWEEN(OFFSET(INDEX(1,),,),#REF!)))</f>
        <v>64</v>
      </c>
    </row>
    <row r="1566" spans="1:12" x14ac:dyDescent="0.55000000000000004">
      <c r="A1566" s="1" t="s">
        <v>1894</v>
      </c>
      <c r="B1566" s="2">
        <f>COUNTIF(A:A,A1566)-1</f>
        <v>2</v>
      </c>
      <c r="C1566" s="2">
        <f>COUNTIF(A$1:A1566,A1566)-1</f>
        <v>2</v>
      </c>
      <c r="D1566" s="2" t="str">
        <f t="shared" si="24"/>
        <v>vr</v>
      </c>
      <c r="E1566" s="2" t="e">
        <f>RANDBETWEEN(#REF!,#REF!)</f>
        <v>#REF!</v>
      </c>
      <c r="F1566" s="2" t="e">
        <f>RANDBETWEEN(#REF!,+F1566:G1566)</f>
        <v>#REF!</v>
      </c>
      <c r="H1566" s="2" t="e">
        <f>RANDBETWEEN(#REF!,H1566:I1566)</f>
        <v>#VALUE!</v>
      </c>
      <c r="I1566" s="1">
        <v>1</v>
      </c>
      <c r="J1566" s="2" t="e">
        <f>RANDBETWEEN(#REF!,INDIRECT(J1566:K1566))</f>
        <v>#REF!</v>
      </c>
      <c r="L1566" s="2">
        <f>TYPE(INDEX(,RANDBETWEEN(#REF!,OFFSET(INDEX(1,),,))))</f>
        <v>64</v>
      </c>
    </row>
    <row r="1567" spans="1:12" x14ac:dyDescent="0.55000000000000004">
      <c r="A1567" s="1" t="s">
        <v>1895</v>
      </c>
      <c r="B1567" s="2">
        <f>COUNTIF(A:A,A1567)-1</f>
        <v>2</v>
      </c>
      <c r="C1567" s="2">
        <f>COUNTIF(A$1:A1567,A1567)-1</f>
        <v>0</v>
      </c>
      <c r="D1567" s="2" t="str">
        <f t="shared" si="24"/>
        <v/>
      </c>
      <c r="E1567" s="2"/>
      <c r="F1567" s="2"/>
      <c r="H1567" s="2"/>
      <c r="J1567" s="2"/>
      <c r="L1567" s="2"/>
    </row>
    <row r="1568" spans="1:12" x14ac:dyDescent="0.55000000000000004">
      <c r="A1568" s="1" t="s">
        <v>1895</v>
      </c>
      <c r="B1568" s="2">
        <f>COUNTIF(A:A,A1568)-1</f>
        <v>2</v>
      </c>
      <c r="C1568" s="2">
        <f>COUNTIF(A$1:A1568,A1568)-1</f>
        <v>1</v>
      </c>
      <c r="D1568" s="2" t="str">
        <f t="shared" si="24"/>
        <v>vr</v>
      </c>
      <c r="E1568" s="2" t="e">
        <f>WEEKNUM(#REF!)</f>
        <v>#REF!</v>
      </c>
      <c r="F1568" s="2" t="e">
        <f>WEEKNUM(+F1568:G1568,#REF!)</f>
        <v>#REF!</v>
      </c>
      <c r="H1568" s="2" t="e">
        <f>WEEKNUM(H1568:I1568,#REF!)</f>
        <v>#VALUE!</v>
      </c>
      <c r="I1568" s="1">
        <v>1</v>
      </c>
      <c r="J1568" s="2" t="e">
        <f>WEEKNUM(INDIRECT(J1568:K1568),#REF!)</f>
        <v>#REF!</v>
      </c>
      <c r="L1568" s="2">
        <f>TYPE(INDEX(,WEEKNUM(OFFSET(INDEX(1,),,),#REF!)))</f>
        <v>64</v>
      </c>
    </row>
    <row r="1569" spans="1:12" x14ac:dyDescent="0.55000000000000004">
      <c r="A1569" s="1" t="s">
        <v>1895</v>
      </c>
      <c r="B1569" s="2">
        <f>COUNTIF(A:A,A1569)-1</f>
        <v>2</v>
      </c>
      <c r="C1569" s="2">
        <f>COUNTIF(A$1:A1569,A1569)-1</f>
        <v>2</v>
      </c>
      <c r="D1569" s="2" t="str">
        <f t="shared" si="24"/>
        <v>vr</v>
      </c>
      <c r="E1569" s="2" t="e">
        <f>WEEKNUM(#REF!,#REF!)</f>
        <v>#REF!</v>
      </c>
      <c r="F1569" s="2" t="e">
        <f>WEEKNUM(#REF!,+F1569:G1569)</f>
        <v>#REF!</v>
      </c>
      <c r="H1569" s="2" t="e">
        <f>WEEKNUM(#REF!,H1569:I1569)</f>
        <v>#REF!</v>
      </c>
      <c r="I1569" s="1">
        <v>1</v>
      </c>
      <c r="J1569" s="2" t="e">
        <f>WEEKNUM(#REF!,INDIRECT(J1569:K1569))</f>
        <v>#REF!</v>
      </c>
      <c r="L1569" s="2">
        <f>TYPE(INDEX(,WEEKNUM(#REF!,OFFSET(INDEX(1,),,))))</f>
        <v>64</v>
      </c>
    </row>
    <row r="1570" spans="1:12" x14ac:dyDescent="0.55000000000000004">
      <c r="A1570" s="1" t="s">
        <v>1896</v>
      </c>
      <c r="B1570" s="2">
        <f>COUNTIF(A:A,A1570)-1</f>
        <v>7</v>
      </c>
      <c r="C1570" s="2">
        <f>COUNTIF(A$1:A1570,A1570)-1</f>
        <v>0</v>
      </c>
      <c r="D1570" s="2" t="str">
        <f t="shared" si="24"/>
        <v/>
      </c>
      <c r="E1570" s="2"/>
      <c r="F1570" s="2"/>
      <c r="H1570" s="2"/>
      <c r="J1570" s="2"/>
      <c r="L1570" s="2"/>
    </row>
    <row r="1571" spans="1:12" x14ac:dyDescent="0.55000000000000004">
      <c r="A1571" s="1" t="s">
        <v>1896</v>
      </c>
      <c r="B1571" s="2">
        <f>COUNTIF(A:A,A1571)-1</f>
        <v>7</v>
      </c>
      <c r="C1571" s="2">
        <f>COUNTIF(A$1:A1571,A1571)-1</f>
        <v>1</v>
      </c>
      <c r="D1571" s="2" t="str">
        <f t="shared" si="24"/>
        <v>vr</v>
      </c>
      <c r="E1571" s="2"/>
      <c r="F1571" s="2" t="e">
        <f>AMORDEGRC(+F1571:G1571,#REF!,#REF!,#REF!,#REF!,#REF!,#REF!)</f>
        <v>#REF!</v>
      </c>
      <c r="H1571" s="2" t="e">
        <f>AMORDEGRC(H1571:I1571,#REF!,#REF!,#REF!,#REF!,#REF!,#REF!)</f>
        <v>#VALUE!</v>
      </c>
      <c r="I1571" s="1">
        <v>1</v>
      </c>
      <c r="J1571" s="2" t="e">
        <f>AMORDEGRC(INDIRECT(J1571:K1571),#REF!,#REF!,#REF!,#REF!,#REF!,#REF!)</f>
        <v>#REF!</v>
      </c>
      <c r="L1571" s="2">
        <f>TYPE(INDEX(,AMORDEGRC(OFFSET(INDEX(1,),,),#REF!,#REF!,#REF!,#REF!,#REF!,#REF!)))</f>
        <v>64</v>
      </c>
    </row>
    <row r="1572" spans="1:12" x14ac:dyDescent="0.55000000000000004">
      <c r="A1572" s="1" t="s">
        <v>1896</v>
      </c>
      <c r="B1572" s="2">
        <f>COUNTIF(A:A,A1572)-1</f>
        <v>7</v>
      </c>
      <c r="C1572" s="2">
        <f>COUNTIF(A$1:A1572,A1572)-1</f>
        <v>2</v>
      </c>
      <c r="D1572" s="2" t="str">
        <f t="shared" si="24"/>
        <v>vr</v>
      </c>
      <c r="E1572" s="2"/>
      <c r="F1572" s="2" t="e">
        <f>AMORDEGRC(#REF!,+F1572:G1572,#REF!,#REF!,#REF!,#REF!,#REF!)</f>
        <v>#REF!</v>
      </c>
      <c r="H1572" s="2" t="e">
        <f>AMORDEGRC(#REF!,H1572:I1572,#REF!,#REF!,#REF!,#REF!,#REF!)</f>
        <v>#REF!</v>
      </c>
      <c r="I1572" s="1">
        <v>1</v>
      </c>
      <c r="J1572" s="2" t="e">
        <f>AMORDEGRC(#REF!,INDIRECT(J1572:K1572),#REF!,#REF!,#REF!,#REF!,#REF!)</f>
        <v>#REF!</v>
      </c>
      <c r="L1572" s="2">
        <f>TYPE(INDEX(,AMORDEGRC(#REF!,OFFSET(INDEX(1,),,),#REF!,#REF!,#REF!,#REF!,#REF!)))</f>
        <v>64</v>
      </c>
    </row>
    <row r="1573" spans="1:12" x14ac:dyDescent="0.55000000000000004">
      <c r="A1573" s="1" t="s">
        <v>1896</v>
      </c>
      <c r="B1573" s="2">
        <f>COUNTIF(A:A,A1573)-1</f>
        <v>7</v>
      </c>
      <c r="C1573" s="2">
        <f>COUNTIF(A$1:A1573,A1573)-1</f>
        <v>3</v>
      </c>
      <c r="D1573" s="2" t="str">
        <f t="shared" si="24"/>
        <v>vr</v>
      </c>
      <c r="E1573" s="2"/>
      <c r="F1573" s="2" t="e">
        <f>AMORDEGRC(#REF!,#REF!,+F1573:G1573,#REF!,#REF!,#REF!,#REF!)</f>
        <v>#REF!</v>
      </c>
      <c r="H1573" s="2" t="e">
        <f>AMORDEGRC(#REF!,#REF!,H1573:I1573,#REF!,#REF!,#REF!,#REF!)</f>
        <v>#REF!</v>
      </c>
      <c r="I1573" s="1">
        <v>1</v>
      </c>
      <c r="J1573" s="2" t="e">
        <f>AMORDEGRC(#REF!,#REF!,INDIRECT(J1573:K1573),#REF!,#REF!,#REF!,#REF!)</f>
        <v>#REF!</v>
      </c>
      <c r="L1573" s="2">
        <f>TYPE(INDEX(,AMORDEGRC(#REF!,#REF!,OFFSET(INDEX(1,),,),#REF!,#REF!,#REF!,#REF!)))</f>
        <v>64</v>
      </c>
    </row>
    <row r="1574" spans="1:12" x14ac:dyDescent="0.55000000000000004">
      <c r="A1574" s="1" t="s">
        <v>1896</v>
      </c>
      <c r="B1574" s="2">
        <f>COUNTIF(A:A,A1574)-1</f>
        <v>7</v>
      </c>
      <c r="C1574" s="2">
        <f>COUNTIF(A$1:A1574,A1574)-1</f>
        <v>4</v>
      </c>
      <c r="D1574" s="2" t="str">
        <f t="shared" si="24"/>
        <v>vr</v>
      </c>
      <c r="E1574" s="2"/>
      <c r="F1574" s="2" t="e">
        <f>AMORDEGRC(#REF!,#REF!,#REF!,+F1574:G1574,#REF!,#REF!,#REF!)</f>
        <v>#REF!</v>
      </c>
      <c r="H1574" s="2" t="e">
        <f>AMORDEGRC(#REF!,#REF!,#REF!,H1574:I1574,#REF!,#REF!,#REF!)</f>
        <v>#REF!</v>
      </c>
      <c r="I1574" s="1">
        <v>1</v>
      </c>
      <c r="J1574" s="2" t="e">
        <f>AMORDEGRC(#REF!,#REF!,#REF!,INDIRECT(J1574:K1574),#REF!,#REF!,#REF!)</f>
        <v>#REF!</v>
      </c>
      <c r="L1574" s="2">
        <f>TYPE(INDEX(,AMORDEGRC(#REF!,#REF!,#REF!,OFFSET(INDEX(1,),,),#REF!,#REF!,#REF!)))</f>
        <v>64</v>
      </c>
    </row>
    <row r="1575" spans="1:12" x14ac:dyDescent="0.55000000000000004">
      <c r="A1575" s="1" t="s">
        <v>1896</v>
      </c>
      <c r="B1575" s="2">
        <f>COUNTIF(A:A,A1575)-1</f>
        <v>7</v>
      </c>
      <c r="C1575" s="2">
        <f>COUNTIF(A$1:A1575,A1575)-1</f>
        <v>5</v>
      </c>
      <c r="D1575" s="2" t="str">
        <f t="shared" si="24"/>
        <v>vr</v>
      </c>
      <c r="E1575" s="2"/>
      <c r="F1575" s="2" t="e">
        <f>AMORDEGRC(#REF!,#REF!,#REF!,#REF!,+F1575:G1575,#REF!,#REF!)</f>
        <v>#REF!</v>
      </c>
      <c r="H1575" s="2" t="e">
        <f>AMORDEGRC(#REF!,#REF!,#REF!,#REF!,H1575:I1575,#REF!,#REF!)</f>
        <v>#REF!</v>
      </c>
      <c r="I1575" s="1">
        <v>1</v>
      </c>
      <c r="J1575" s="2" t="e">
        <f>AMORDEGRC(#REF!,#REF!,#REF!,#REF!,INDIRECT(J1575:K1575),#REF!,#REF!)</f>
        <v>#REF!</v>
      </c>
      <c r="L1575" s="2">
        <f>TYPE(INDEX(,AMORDEGRC(#REF!,#REF!,#REF!,#REF!,OFFSET(INDEX(1,),,),#REF!,#REF!)))</f>
        <v>64</v>
      </c>
    </row>
    <row r="1576" spans="1:12" x14ac:dyDescent="0.55000000000000004">
      <c r="A1576" s="1" t="s">
        <v>1896</v>
      </c>
      <c r="B1576" s="2">
        <f>COUNTIF(A:A,A1576)-1</f>
        <v>7</v>
      </c>
      <c r="C1576" s="2">
        <f>COUNTIF(A$1:A1576,A1576)-1</f>
        <v>6</v>
      </c>
      <c r="D1576" s="2" t="str">
        <f t="shared" si="24"/>
        <v>vr</v>
      </c>
      <c r="E1576" s="2" t="e">
        <f>AMORDEGRC(#REF!,#REF!,#REF!,#REF!,#REF!,#REF!)</f>
        <v>#REF!</v>
      </c>
      <c r="F1576" s="2" t="e">
        <f>AMORDEGRC(#REF!,#REF!,#REF!,#REF!,#REF!,+F1576:G1576,#REF!)</f>
        <v>#REF!</v>
      </c>
      <c r="H1576" s="2" t="e">
        <f>AMORDEGRC(#REF!,#REF!,#REF!,#REF!,#REF!,H1576:I1576,#REF!)</f>
        <v>#REF!</v>
      </c>
      <c r="I1576" s="1">
        <v>1</v>
      </c>
      <c r="J1576" s="2" t="e">
        <f>AMORDEGRC(#REF!,#REF!,#REF!,#REF!,#REF!,INDIRECT(J1576:K1576),#REF!)</f>
        <v>#REF!</v>
      </c>
      <c r="L1576" s="2">
        <f>TYPE(INDEX(,AMORDEGRC(#REF!,#REF!,#REF!,#REF!,#REF!,OFFSET(INDEX(1,),,),#REF!)))</f>
        <v>64</v>
      </c>
    </row>
    <row r="1577" spans="1:12" x14ac:dyDescent="0.55000000000000004">
      <c r="A1577" s="1" t="s">
        <v>1896</v>
      </c>
      <c r="B1577" s="2">
        <f>COUNTIF(A:A,A1577)-1</f>
        <v>7</v>
      </c>
      <c r="C1577" s="2">
        <f>COUNTIF(A$1:A1577,A1577)-1</f>
        <v>7</v>
      </c>
      <c r="D1577" s="2" t="str">
        <f t="shared" si="24"/>
        <v>vr</v>
      </c>
      <c r="E1577" s="2" t="e">
        <f>AMORDEGRC(#REF!,#REF!,#REF!,#REF!,#REF!,#REF!,#REF!)</f>
        <v>#REF!</v>
      </c>
      <c r="F1577" s="2" t="e">
        <f>AMORDEGRC(#REF!,#REF!,#REF!,#REF!,#REF!,#REF!,+F1577:G1577)</f>
        <v>#REF!</v>
      </c>
      <c r="H1577" s="2" t="e">
        <f>AMORDEGRC(#REF!,#REF!,#REF!,#REF!,#REF!,#REF!,H1577:I1577)</f>
        <v>#REF!</v>
      </c>
      <c r="I1577" s="1">
        <v>1</v>
      </c>
      <c r="J1577" s="2" t="e">
        <f>AMORDEGRC(#REF!,#REF!,#REF!,#REF!,#REF!,#REF!,INDIRECT(J1577:K1577))</f>
        <v>#REF!</v>
      </c>
      <c r="L1577" s="2">
        <f>TYPE(INDEX(,AMORDEGRC(#REF!,#REF!,#REF!,#REF!,#REF!,#REF!,OFFSET(INDEX(1,),,))))</f>
        <v>64</v>
      </c>
    </row>
    <row r="1578" spans="1:12" x14ac:dyDescent="0.55000000000000004">
      <c r="A1578" s="1" t="s">
        <v>1897</v>
      </c>
      <c r="B1578" s="2">
        <f>COUNTIF(A:A,A1578)-1</f>
        <v>7</v>
      </c>
      <c r="C1578" s="2">
        <f>COUNTIF(A$1:A1578,A1578)-1</f>
        <v>0</v>
      </c>
      <c r="D1578" s="2" t="str">
        <f t="shared" si="24"/>
        <v/>
      </c>
      <c r="E1578" s="2"/>
      <c r="F1578" s="2"/>
      <c r="H1578" s="2"/>
      <c r="J1578" s="2"/>
      <c r="L1578" s="2"/>
    </row>
    <row r="1579" spans="1:12" x14ac:dyDescent="0.55000000000000004">
      <c r="A1579" s="1" t="s">
        <v>1897</v>
      </c>
      <c r="B1579" s="2">
        <f>COUNTIF(A:A,A1579)-1</f>
        <v>7</v>
      </c>
      <c r="C1579" s="2">
        <f>COUNTIF(A$1:A1579,A1579)-1</f>
        <v>1</v>
      </c>
      <c r="D1579" s="2" t="str">
        <f t="shared" si="24"/>
        <v>vr</v>
      </c>
      <c r="E1579" s="2"/>
      <c r="F1579" s="2" t="e">
        <f>AMORLINC(+F1579:G1579,#REF!,#REF!,#REF!,#REF!,#REF!,#REF!)</f>
        <v>#REF!</v>
      </c>
      <c r="H1579" s="2" t="e">
        <f>AMORLINC(H1579:I1579,#REF!,#REF!,#REF!,#REF!,#REF!,#REF!)</f>
        <v>#VALUE!</v>
      </c>
      <c r="I1579" s="1">
        <v>1</v>
      </c>
      <c r="J1579" s="2" t="e">
        <f>AMORLINC(INDIRECT(J1579:K1579),#REF!,#REF!,#REF!,#REF!,#REF!,#REF!)</f>
        <v>#REF!</v>
      </c>
      <c r="L1579" s="2">
        <f>TYPE(INDEX(,AMORLINC(OFFSET(INDEX(1,),,),#REF!,#REF!,#REF!,#REF!,#REF!,#REF!)))</f>
        <v>64</v>
      </c>
    </row>
    <row r="1580" spans="1:12" x14ac:dyDescent="0.55000000000000004">
      <c r="A1580" s="1" t="s">
        <v>1897</v>
      </c>
      <c r="B1580" s="2">
        <f>COUNTIF(A:A,A1580)-1</f>
        <v>7</v>
      </c>
      <c r="C1580" s="2">
        <f>COUNTIF(A$1:A1580,A1580)-1</f>
        <v>2</v>
      </c>
      <c r="D1580" s="2" t="str">
        <f t="shared" si="24"/>
        <v>vr</v>
      </c>
      <c r="E1580" s="2"/>
      <c r="F1580" s="2" t="e">
        <f>AMORLINC(#REF!,+F1580:G1580,#REF!,#REF!,#REF!,#REF!,#REF!)</f>
        <v>#REF!</v>
      </c>
      <c r="H1580" s="2" t="e">
        <f>AMORLINC(#REF!,H1580:I1580,#REF!,#REF!,#REF!,#REF!,#REF!)</f>
        <v>#REF!</v>
      </c>
      <c r="I1580" s="1">
        <v>1</v>
      </c>
      <c r="J1580" s="2" t="e">
        <f>AMORLINC(#REF!,INDIRECT(J1580:K1580),#REF!,#REF!,#REF!,#REF!,#REF!)</f>
        <v>#REF!</v>
      </c>
      <c r="L1580" s="2">
        <f>TYPE(INDEX(,AMORLINC(#REF!,OFFSET(INDEX(1,),,),#REF!,#REF!,#REF!,#REF!,#REF!)))</f>
        <v>64</v>
      </c>
    </row>
    <row r="1581" spans="1:12" x14ac:dyDescent="0.55000000000000004">
      <c r="A1581" s="1" t="s">
        <v>1897</v>
      </c>
      <c r="B1581" s="2">
        <f>COUNTIF(A:A,A1581)-1</f>
        <v>7</v>
      </c>
      <c r="C1581" s="2">
        <f>COUNTIF(A$1:A1581,A1581)-1</f>
        <v>3</v>
      </c>
      <c r="D1581" s="2" t="str">
        <f t="shared" si="24"/>
        <v>vr</v>
      </c>
      <c r="E1581" s="2"/>
      <c r="F1581" s="2" t="e">
        <f>AMORLINC(#REF!,#REF!,+F1581:G1581,#REF!,#REF!,#REF!,#REF!)</f>
        <v>#REF!</v>
      </c>
      <c r="H1581" s="2" t="e">
        <f>AMORLINC(#REF!,#REF!,H1581:I1581,#REF!,#REF!,#REF!,#REF!)</f>
        <v>#REF!</v>
      </c>
      <c r="I1581" s="1">
        <v>1</v>
      </c>
      <c r="J1581" s="2" t="e">
        <f>AMORLINC(#REF!,#REF!,INDIRECT(J1581:K1581),#REF!,#REF!,#REF!,#REF!)</f>
        <v>#REF!</v>
      </c>
      <c r="L1581" s="2">
        <f>TYPE(INDEX(,AMORLINC(#REF!,#REF!,OFFSET(INDEX(1,),,),#REF!,#REF!,#REF!,#REF!)))</f>
        <v>64</v>
      </c>
    </row>
    <row r="1582" spans="1:12" x14ac:dyDescent="0.55000000000000004">
      <c r="A1582" s="1" t="s">
        <v>1897</v>
      </c>
      <c r="B1582" s="2">
        <f>COUNTIF(A:A,A1582)-1</f>
        <v>7</v>
      </c>
      <c r="C1582" s="2">
        <f>COUNTIF(A$1:A1582,A1582)-1</f>
        <v>4</v>
      </c>
      <c r="D1582" s="2" t="str">
        <f t="shared" si="24"/>
        <v>vr</v>
      </c>
      <c r="E1582" s="2"/>
      <c r="F1582" s="2" t="e">
        <f>AMORLINC(#REF!,#REF!,#REF!,+F1582:G1582,#REF!,#REF!,#REF!)</f>
        <v>#REF!</v>
      </c>
      <c r="H1582" s="2" t="e">
        <f>AMORLINC(#REF!,#REF!,#REF!,H1582:I1582,#REF!,#REF!,#REF!)</f>
        <v>#REF!</v>
      </c>
      <c r="I1582" s="1">
        <v>1</v>
      </c>
      <c r="J1582" s="2" t="e">
        <f>AMORLINC(#REF!,#REF!,#REF!,INDIRECT(J1582:K1582),#REF!,#REF!,#REF!)</f>
        <v>#REF!</v>
      </c>
      <c r="L1582" s="2">
        <f>TYPE(INDEX(,AMORLINC(#REF!,#REF!,#REF!,OFFSET(INDEX(1,),,),#REF!,#REF!,#REF!)))</f>
        <v>64</v>
      </c>
    </row>
    <row r="1583" spans="1:12" x14ac:dyDescent="0.55000000000000004">
      <c r="A1583" s="1" t="s">
        <v>1897</v>
      </c>
      <c r="B1583" s="2">
        <f>COUNTIF(A:A,A1583)-1</f>
        <v>7</v>
      </c>
      <c r="C1583" s="2">
        <f>COUNTIF(A$1:A1583,A1583)-1</f>
        <v>5</v>
      </c>
      <c r="D1583" s="2" t="str">
        <f t="shared" si="24"/>
        <v>vr</v>
      </c>
      <c r="E1583" s="2"/>
      <c r="F1583" s="2" t="e">
        <f>AMORLINC(#REF!,#REF!,#REF!,#REF!,+F1583:G1583,#REF!,#REF!)</f>
        <v>#REF!</v>
      </c>
      <c r="H1583" s="2" t="e">
        <f>AMORLINC(#REF!,#REF!,#REF!,#REF!,H1583:I1583,#REF!,#REF!)</f>
        <v>#REF!</v>
      </c>
      <c r="I1583" s="1">
        <v>1</v>
      </c>
      <c r="J1583" s="2" t="e">
        <f>AMORLINC(#REF!,#REF!,#REF!,#REF!,INDIRECT(J1583:K1583),#REF!,#REF!)</f>
        <v>#REF!</v>
      </c>
      <c r="L1583" s="2">
        <f>TYPE(INDEX(,AMORLINC(#REF!,#REF!,#REF!,#REF!,OFFSET(INDEX(1,),,),#REF!,#REF!)))</f>
        <v>64</v>
      </c>
    </row>
    <row r="1584" spans="1:12" x14ac:dyDescent="0.55000000000000004">
      <c r="A1584" s="1" t="s">
        <v>1897</v>
      </c>
      <c r="B1584" s="2">
        <f>COUNTIF(A:A,A1584)-1</f>
        <v>7</v>
      </c>
      <c r="C1584" s="2">
        <f>COUNTIF(A$1:A1584,A1584)-1</f>
        <v>6</v>
      </c>
      <c r="D1584" s="2" t="str">
        <f t="shared" si="24"/>
        <v>vr</v>
      </c>
      <c r="E1584" s="2" t="e">
        <f>AMORLINC(#REF!,#REF!,#REF!,#REF!,#REF!,#REF!)</f>
        <v>#REF!</v>
      </c>
      <c r="F1584" s="2" t="e">
        <f>AMORLINC(#REF!,#REF!,#REF!,#REF!,#REF!,+F1584:G1584,#REF!)</f>
        <v>#REF!</v>
      </c>
      <c r="H1584" s="2" t="e">
        <f>AMORLINC(#REF!,#REF!,#REF!,#REF!,#REF!,H1584:I1584,#REF!)</f>
        <v>#REF!</v>
      </c>
      <c r="I1584" s="1">
        <v>1</v>
      </c>
      <c r="J1584" s="2" t="e">
        <f>AMORLINC(#REF!,#REF!,#REF!,#REF!,#REF!,INDIRECT(J1584:K1584),#REF!)</f>
        <v>#REF!</v>
      </c>
      <c r="L1584" s="2">
        <f>TYPE(INDEX(,AMORLINC(#REF!,#REF!,#REF!,#REF!,#REF!,OFFSET(INDEX(1,),,),#REF!)))</f>
        <v>64</v>
      </c>
    </row>
    <row r="1585" spans="1:12" x14ac:dyDescent="0.55000000000000004">
      <c r="A1585" s="1" t="s">
        <v>1897</v>
      </c>
      <c r="B1585" s="2">
        <f>COUNTIF(A:A,A1585)-1</f>
        <v>7</v>
      </c>
      <c r="C1585" s="2">
        <f>COUNTIF(A$1:A1585,A1585)-1</f>
        <v>7</v>
      </c>
      <c r="D1585" s="2" t="str">
        <f t="shared" si="24"/>
        <v>vr</v>
      </c>
      <c r="E1585" s="2" t="e">
        <f>AMORLINC(#REF!,#REF!,#REF!,#REF!,#REF!,#REF!,#REF!)</f>
        <v>#REF!</v>
      </c>
      <c r="F1585" s="2" t="e">
        <f>AMORLINC(#REF!,#REF!,#REF!,#REF!,#REF!,#REF!,+F1585:G1585)</f>
        <v>#REF!</v>
      </c>
      <c r="H1585" s="2" t="e">
        <f>AMORLINC(#REF!,#REF!,#REF!,#REF!,#REF!,#REF!,H1585:I1585)</f>
        <v>#REF!</v>
      </c>
      <c r="I1585" s="1">
        <v>1</v>
      </c>
      <c r="J1585" s="2" t="e">
        <f>AMORLINC(#REF!,#REF!,#REF!,#REF!,#REF!,#REF!,INDIRECT(J1585:K1585))</f>
        <v>#REF!</v>
      </c>
      <c r="L1585" s="2">
        <f>TYPE(INDEX(,AMORLINC(#REF!,#REF!,#REF!,#REF!,#REF!,#REF!,OFFSET(INDEX(1,),,))))</f>
        <v>64</v>
      </c>
    </row>
    <row r="1586" spans="1:12" x14ac:dyDescent="0.55000000000000004">
      <c r="A1586" s="1" t="s">
        <v>1898</v>
      </c>
      <c r="B1586" s="2">
        <f>COUNTIF(A:A,A1586)-1</f>
        <v>3</v>
      </c>
      <c r="C1586" s="2">
        <f>COUNTIF(A$1:A1586,A1586)-1</f>
        <v>0</v>
      </c>
      <c r="D1586" s="2" t="str">
        <f t="shared" si="24"/>
        <v/>
      </c>
      <c r="E1586" s="2"/>
      <c r="F1586" s="2"/>
      <c r="H1586" s="2"/>
      <c r="J1586" s="2"/>
      <c r="L1586" s="2"/>
    </row>
    <row r="1587" spans="1:12" x14ac:dyDescent="0.55000000000000004">
      <c r="A1587" s="1" t="s">
        <v>1898</v>
      </c>
      <c r="B1587" s="2">
        <f>COUNTIF(A:A,A1587)-1</f>
        <v>3</v>
      </c>
      <c r="C1587" s="2">
        <f>COUNTIF(A$1:A1587,A1587)-1</f>
        <v>1</v>
      </c>
      <c r="D1587" s="2" t="str">
        <f t="shared" si="24"/>
        <v>vr</v>
      </c>
      <c r="E1587" s="2"/>
      <c r="F1587" s="2" t="e">
        <f>CONVERT(+F1587:G1587,#REF!,#REF!)</f>
        <v>#REF!</v>
      </c>
      <c r="H1587" s="2" t="e">
        <f>CONVERT(H1587:I1587,#REF!,#REF!)</f>
        <v>#VALUE!</v>
      </c>
      <c r="I1587" s="1">
        <v>1</v>
      </c>
      <c r="J1587" s="2" t="e">
        <f>CONVERT(INDIRECT(J1587:K1587),#REF!,#REF!)</f>
        <v>#REF!</v>
      </c>
      <c r="L1587" s="2">
        <f>TYPE(INDEX(,CONVERT(OFFSET(INDEX(1,),,),#REF!,#REF!)))</f>
        <v>64</v>
      </c>
    </row>
    <row r="1588" spans="1:12" x14ac:dyDescent="0.55000000000000004">
      <c r="A1588" s="1" t="s">
        <v>1898</v>
      </c>
      <c r="B1588" s="2">
        <f>COUNTIF(A:A,A1588)-1</f>
        <v>3</v>
      </c>
      <c r="C1588" s="2">
        <f>COUNTIF(A$1:A1588,A1588)-1</f>
        <v>2</v>
      </c>
      <c r="D1588" s="2" t="str">
        <f t="shared" si="24"/>
        <v>vr</v>
      </c>
      <c r="E1588" s="2"/>
      <c r="F1588" s="2" t="e">
        <f>CONVERT(#REF!,+F1588:G1588,#REF!)</f>
        <v>#REF!</v>
      </c>
      <c r="H1588" s="2" t="e">
        <f>CONVERT(#REF!,H1588:I1588,#REF!)</f>
        <v>#REF!</v>
      </c>
      <c r="I1588" s="1">
        <v>1</v>
      </c>
      <c r="J1588" s="2" t="e">
        <f>CONVERT(#REF!,INDIRECT(J1588:K1588),#REF!)</f>
        <v>#REF!</v>
      </c>
      <c r="L1588" s="2">
        <f>TYPE(INDEX(,CONVERT(#REF!,OFFSET(INDEX(1,),,),#REF!)))</f>
        <v>64</v>
      </c>
    </row>
    <row r="1589" spans="1:12" x14ac:dyDescent="0.55000000000000004">
      <c r="A1589" s="1" t="s">
        <v>1898</v>
      </c>
      <c r="B1589" s="2">
        <f>COUNTIF(A:A,A1589)-1</f>
        <v>3</v>
      </c>
      <c r="C1589" s="2">
        <f>COUNTIF(A$1:A1589,A1589)-1</f>
        <v>3</v>
      </c>
      <c r="D1589" s="2" t="str">
        <f t="shared" si="24"/>
        <v>vr</v>
      </c>
      <c r="E1589" s="2" t="e">
        <f>CONVERT(#REF!,#REF!,#REF!)</f>
        <v>#REF!</v>
      </c>
      <c r="F1589" s="2" t="e">
        <f>CONVERT(#REF!,#REF!,+F1589:G1589)</f>
        <v>#REF!</v>
      </c>
      <c r="H1589" s="2" t="e">
        <f>CONVERT(#REF!,#REF!,H1589:I1589)</f>
        <v>#REF!</v>
      </c>
      <c r="I1589" s="1">
        <v>1</v>
      </c>
      <c r="J1589" s="2" t="e">
        <f>CONVERT(#REF!,#REF!,INDIRECT(J1589:K1589))</f>
        <v>#REF!</v>
      </c>
      <c r="L1589" s="2">
        <f>TYPE(INDEX(,CONVERT(#REF!,#REF!,OFFSET(INDEX(1,),,))))</f>
        <v>64</v>
      </c>
    </row>
    <row r="1590" spans="1:12" x14ac:dyDescent="0.55000000000000004">
      <c r="A1590" s="1" t="s">
        <v>1899</v>
      </c>
      <c r="B1590" s="2">
        <f>COUNTIF(A:A,A1590)-1</f>
        <v>8</v>
      </c>
      <c r="C1590" s="2">
        <f>COUNTIF(A$1:A1590,A1590)-1</f>
        <v>0</v>
      </c>
      <c r="D1590" s="2" t="str">
        <f t="shared" si="24"/>
        <v/>
      </c>
      <c r="E1590" s="2"/>
      <c r="F1590" s="2"/>
      <c r="H1590" s="2"/>
      <c r="J1590" s="2"/>
      <c r="L1590" s="2"/>
    </row>
    <row r="1591" spans="1:12" x14ac:dyDescent="0.55000000000000004">
      <c r="A1591" s="1" t="s">
        <v>1899</v>
      </c>
      <c r="B1591" s="2">
        <f>COUNTIF(A:A,A1591)-1</f>
        <v>8</v>
      </c>
      <c r="C1591" s="2">
        <f>COUNTIF(A$1:A1591,A1591)-1</f>
        <v>1</v>
      </c>
      <c r="D1591" s="2" t="str">
        <f t="shared" si="24"/>
        <v>vr</v>
      </c>
      <c r="E1591" s="2"/>
      <c r="F1591" s="2" t="e">
        <f>ACCRINT(+F1591:G1591,#REF!,#REF!,#REF!,#REF!,#REF!,#REF!,#REF!)</f>
        <v>#REF!</v>
      </c>
      <c r="H1591" s="2" t="e">
        <f>ACCRINT(H1591:I1591,#REF!,#REF!,#REF!,#REF!,#REF!,#REF!,#REF!)</f>
        <v>#REF!</v>
      </c>
      <c r="I1591" s="1">
        <v>1</v>
      </c>
      <c r="J1591" s="2" t="e">
        <f>ACCRINT(INDIRECT(J1591:K1591),#REF!,#REF!,#REF!,#REF!,#REF!,#REF!,#REF!)</f>
        <v>#REF!</v>
      </c>
      <c r="L1591" s="2">
        <f>TYPE(INDEX(,ACCRINT(OFFSET(INDEX(1,),,),#REF!,#REF!,#REF!,#REF!,#REF!,#REF!,#REF!)))</f>
        <v>64</v>
      </c>
    </row>
    <row r="1592" spans="1:12" x14ac:dyDescent="0.55000000000000004">
      <c r="A1592" s="1" t="s">
        <v>1899</v>
      </c>
      <c r="B1592" s="2">
        <f>COUNTIF(A:A,A1592)-1</f>
        <v>8</v>
      </c>
      <c r="C1592" s="2">
        <f>COUNTIF(A$1:A1592,A1592)-1</f>
        <v>2</v>
      </c>
      <c r="D1592" s="2" t="str">
        <f t="shared" si="24"/>
        <v>vr</v>
      </c>
      <c r="E1592" s="2"/>
      <c r="F1592" s="2" t="e">
        <f>ACCRINT(#REF!,+F1592:G1592,#REF!,#REF!,#REF!,#REF!,#REF!,#REF!)</f>
        <v>#REF!</v>
      </c>
      <c r="H1592" s="2" t="e">
        <f>ACCRINT(#REF!,H1592:I1592,#REF!,#REF!,#REF!,#REF!,#REF!,#REF!)</f>
        <v>#REF!</v>
      </c>
      <c r="I1592" s="1">
        <v>1</v>
      </c>
      <c r="J1592" s="2" t="e">
        <f>ACCRINT(#REF!,INDIRECT(J1592:K1592),#REF!,#REF!,#REF!,#REF!,#REF!,#REF!)</f>
        <v>#REF!</v>
      </c>
      <c r="L1592" s="2">
        <f>TYPE(INDEX(,ACCRINT(#REF!,OFFSET(INDEX(1,),,),#REF!,#REF!,#REF!,#REF!,#REF!,#REF!)))</f>
        <v>64</v>
      </c>
    </row>
    <row r="1593" spans="1:12" x14ac:dyDescent="0.55000000000000004">
      <c r="A1593" s="1" t="s">
        <v>1899</v>
      </c>
      <c r="B1593" s="2">
        <f>COUNTIF(A:A,A1593)-1</f>
        <v>8</v>
      </c>
      <c r="C1593" s="2">
        <f>COUNTIF(A$1:A1593,A1593)-1</f>
        <v>3</v>
      </c>
      <c r="D1593" s="2" t="str">
        <f t="shared" si="24"/>
        <v>vr</v>
      </c>
      <c r="E1593" s="2"/>
      <c r="F1593" s="2" t="e">
        <f>ACCRINT(#REF!,#REF!,+F1593:G1593,#REF!,#REF!,#REF!,#REF!,#REF!)</f>
        <v>#REF!</v>
      </c>
      <c r="H1593" s="2" t="e">
        <f>ACCRINT(#REF!,#REF!,H1593:I1593,#REF!,#REF!,#REF!,#REF!,#REF!)</f>
        <v>#REF!</v>
      </c>
      <c r="I1593" s="1">
        <v>1</v>
      </c>
      <c r="J1593" s="2" t="e">
        <f>ACCRINT(#REF!,#REF!,INDIRECT(J1593:K1593),#REF!,#REF!,#REF!,#REF!,#REF!)</f>
        <v>#REF!</v>
      </c>
      <c r="L1593" s="2">
        <f>TYPE(INDEX(,ACCRINT(#REF!,#REF!,OFFSET(INDEX(1,),,),#REF!,#REF!,#REF!,#REF!,#REF!)))</f>
        <v>64</v>
      </c>
    </row>
    <row r="1594" spans="1:12" x14ac:dyDescent="0.55000000000000004">
      <c r="A1594" s="1" t="s">
        <v>1899</v>
      </c>
      <c r="B1594" s="2">
        <f>COUNTIF(A:A,A1594)-1</f>
        <v>8</v>
      </c>
      <c r="C1594" s="2">
        <f>COUNTIF(A$1:A1594,A1594)-1</f>
        <v>4</v>
      </c>
      <c r="D1594" s="2" t="str">
        <f t="shared" si="24"/>
        <v>vr</v>
      </c>
      <c r="E1594" s="2"/>
      <c r="F1594" s="2" t="e">
        <f>ACCRINT(#REF!,#REF!,#REF!,+F1594:G1594,#REF!,#REF!,#REF!,#REF!)</f>
        <v>#REF!</v>
      </c>
      <c r="H1594" s="2" t="e">
        <f>ACCRINT(#REF!,#REF!,#REF!,H1594:I1594,#REF!,#REF!,#REF!,#REF!)</f>
        <v>#REF!</v>
      </c>
      <c r="I1594" s="1">
        <v>1</v>
      </c>
      <c r="J1594" s="2" t="e">
        <f>ACCRINT(#REF!,#REF!,#REF!,INDIRECT(J1594:K1594),#REF!,#REF!,#REF!,#REF!)</f>
        <v>#REF!</v>
      </c>
      <c r="L1594" s="2">
        <f>TYPE(INDEX(,ACCRINT(#REF!,#REF!,#REF!,OFFSET(INDEX(1,),,),#REF!,#REF!,#REF!,#REF!)))</f>
        <v>64</v>
      </c>
    </row>
    <row r="1595" spans="1:12" x14ac:dyDescent="0.55000000000000004">
      <c r="A1595" s="1" t="s">
        <v>1899</v>
      </c>
      <c r="B1595" s="2">
        <f>COUNTIF(A:A,A1595)-1</f>
        <v>8</v>
      </c>
      <c r="C1595" s="2">
        <f>COUNTIF(A$1:A1595,A1595)-1</f>
        <v>5</v>
      </c>
      <c r="D1595" s="2" t="str">
        <f t="shared" si="24"/>
        <v>vr</v>
      </c>
      <c r="E1595" s="2"/>
      <c r="F1595" s="2" t="e">
        <f>ACCRINT(#REF!,#REF!,#REF!,#REF!,+F1595:G1595,#REF!,#REF!,#REF!)</f>
        <v>#REF!</v>
      </c>
      <c r="H1595" s="2" t="e">
        <f>ACCRINT(#REF!,#REF!,#REF!,#REF!,H1595:I1595,#REF!,#REF!,#REF!)</f>
        <v>#REF!</v>
      </c>
      <c r="I1595" s="1">
        <v>1</v>
      </c>
      <c r="J1595" s="2" t="e">
        <f>ACCRINT(#REF!,#REF!,#REF!,#REF!,INDIRECT(J1595:K1595),#REF!,#REF!,#REF!)</f>
        <v>#REF!</v>
      </c>
      <c r="L1595" s="2">
        <f>TYPE(INDEX(,ACCRINT(#REF!,#REF!,#REF!,#REF!,OFFSET(INDEX(1,),,),#REF!,#REF!,#REF!)))</f>
        <v>64</v>
      </c>
    </row>
    <row r="1596" spans="1:12" x14ac:dyDescent="0.55000000000000004">
      <c r="A1596" s="1" t="s">
        <v>1899</v>
      </c>
      <c r="B1596" s="2">
        <f>COUNTIF(A:A,A1596)-1</f>
        <v>8</v>
      </c>
      <c r="C1596" s="2">
        <f>COUNTIF(A$1:A1596,A1596)-1</f>
        <v>6</v>
      </c>
      <c r="D1596" s="2" t="str">
        <f t="shared" si="24"/>
        <v>vr</v>
      </c>
      <c r="E1596" s="2" t="e">
        <f>ACCRINT(#REF!,#REF!,#REF!,#REF!,#REF!,#REF!)</f>
        <v>#REF!</v>
      </c>
      <c r="F1596" s="2" t="e">
        <f>ACCRINT(#REF!,#REF!,#REF!,#REF!,#REF!,+F1596:G1596,#REF!,#REF!)</f>
        <v>#REF!</v>
      </c>
      <c r="H1596" s="2" t="e">
        <f>ACCRINT(#REF!,#REF!,#REF!,#REF!,#REF!,H1596:I1596,#REF!,#REF!)</f>
        <v>#REF!</v>
      </c>
      <c r="I1596" s="1">
        <v>1</v>
      </c>
      <c r="J1596" s="2" t="e">
        <f>ACCRINT(#REF!,#REF!,#REF!,#REF!,#REF!,INDIRECT(J1596:K1596),#REF!,#REF!)</f>
        <v>#REF!</v>
      </c>
      <c r="L1596" s="2">
        <f>TYPE(INDEX(,ACCRINT(#REF!,#REF!,#REF!,#REF!,#REF!,OFFSET(INDEX(1,),,),#REF!,#REF!)))</f>
        <v>64</v>
      </c>
    </row>
    <row r="1597" spans="1:12" x14ac:dyDescent="0.55000000000000004">
      <c r="A1597" s="1" t="s">
        <v>1899</v>
      </c>
      <c r="B1597" s="2">
        <f>COUNTIF(A:A,A1597)-1</f>
        <v>8</v>
      </c>
      <c r="C1597" s="2">
        <f>COUNTIF(A$1:A1597,A1597)-1</f>
        <v>7</v>
      </c>
      <c r="D1597" s="2" t="str">
        <f t="shared" si="24"/>
        <v>vr</v>
      </c>
      <c r="E1597" s="2" t="e">
        <f>ACCRINT(#REF!,#REF!,#REF!,#REF!,#REF!,#REF!,#REF!)</f>
        <v>#REF!</v>
      </c>
      <c r="F1597" s="2" t="e">
        <f>ACCRINT(#REF!,#REF!,#REF!,#REF!,#REF!,#REF!,+F1597:G1597,#REF!)</f>
        <v>#REF!</v>
      </c>
      <c r="H1597" s="2" t="e">
        <f>ACCRINT(#REF!,#REF!,#REF!,#REF!,#REF!,#REF!,H1597:I1597,#REF!)</f>
        <v>#REF!</v>
      </c>
      <c r="I1597" s="1">
        <v>1</v>
      </c>
      <c r="J1597" s="2" t="e">
        <f>ACCRINT(#REF!,#REF!,#REF!,#REF!,#REF!,#REF!,INDIRECT(J1597:K1597),#REF!)</f>
        <v>#REF!</v>
      </c>
      <c r="L1597" s="2">
        <f>TYPE(INDEX(,ACCRINT(#REF!,#REF!,#REF!,#REF!,#REF!,#REF!,OFFSET(INDEX(1,),,),#REF!)))</f>
        <v>64</v>
      </c>
    </row>
    <row r="1598" spans="1:12" x14ac:dyDescent="0.55000000000000004">
      <c r="A1598" s="1" t="s">
        <v>1899</v>
      </c>
      <c r="B1598" s="2">
        <f>COUNTIF(A:A,A1598)-1</f>
        <v>8</v>
      </c>
      <c r="C1598" s="2">
        <f>COUNTIF(A$1:A1598,A1598)-1</f>
        <v>8</v>
      </c>
      <c r="D1598" s="2" t="str">
        <f t="shared" si="24"/>
        <v>vr</v>
      </c>
      <c r="E1598" s="2" t="e">
        <f>ACCRINT(#REF!,#REF!,#REF!,#REF!,#REF!,#REF!,#REF!,#REF!)</f>
        <v>#REF!</v>
      </c>
      <c r="F1598" s="2" t="e">
        <f>ACCRINT(#REF!,#REF!,#REF!,#REF!,#REF!,#REF!,#REF!,+F1598:G1598)</f>
        <v>#REF!</v>
      </c>
      <c r="H1598" s="2" t="e">
        <f>ACCRINT(#REF!,#REF!,#REF!,#REF!,#REF!,#REF!,#REF!,H1598:I1598)</f>
        <v>#VALUE!</v>
      </c>
      <c r="I1598" s="1">
        <v>1</v>
      </c>
      <c r="J1598" s="2" t="e">
        <f>ACCRINT(#REF!,#REF!,#REF!,#REF!,#REF!,#REF!,#REF!,INDIRECT(J1598:K1598))</f>
        <v>#REF!</v>
      </c>
      <c r="L1598" s="2">
        <f>TYPE(INDEX(,ACCRINT(#REF!,#REF!,#REF!,#REF!,#REF!,#REF!,#REF!,OFFSET(INDEX(1,),,))))</f>
        <v>64</v>
      </c>
    </row>
    <row r="1599" spans="1:12" x14ac:dyDescent="0.55000000000000004">
      <c r="A1599" s="1" t="s">
        <v>1900</v>
      </c>
      <c r="B1599" s="2">
        <f>COUNTIF(A:A,A1599)-1</f>
        <v>5</v>
      </c>
      <c r="C1599" s="2">
        <f>COUNTIF(A$1:A1599,A1599)-1</f>
        <v>0</v>
      </c>
      <c r="D1599" s="2" t="str">
        <f t="shared" si="24"/>
        <v/>
      </c>
      <c r="E1599" s="2"/>
      <c r="F1599" s="2"/>
      <c r="H1599" s="2"/>
      <c r="J1599" s="2"/>
      <c r="L1599" s="2"/>
    </row>
    <row r="1600" spans="1:12" x14ac:dyDescent="0.55000000000000004">
      <c r="A1600" s="1" t="s">
        <v>1900</v>
      </c>
      <c r="B1600" s="2">
        <f>COUNTIF(A:A,A1600)-1</f>
        <v>5</v>
      </c>
      <c r="C1600" s="2">
        <f>COUNTIF(A$1:A1600,A1600)-1</f>
        <v>1</v>
      </c>
      <c r="D1600" s="2" t="str">
        <f t="shared" si="24"/>
        <v>vr</v>
      </c>
      <c r="E1600" s="2"/>
      <c r="F1600" s="2" t="e">
        <f>ACCRINTM(+F1600:G1600,#REF!,#REF!,#REF!,#REF!)</f>
        <v>#REF!</v>
      </c>
      <c r="H1600" s="2" t="e">
        <f>ACCRINTM(H1600:I1600,#REF!,#REF!,#REF!,#REF!)</f>
        <v>#VALUE!</v>
      </c>
      <c r="I1600" s="1">
        <v>1</v>
      </c>
      <c r="J1600" s="2" t="e">
        <f>ACCRINTM(INDIRECT(J1600:K1600),#REF!,#REF!,#REF!,#REF!)</f>
        <v>#REF!</v>
      </c>
      <c r="L1600" s="2">
        <f>TYPE(INDEX(,ACCRINTM(OFFSET(INDEX(1,),,),#REF!,#REF!,#REF!,#REF!)))</f>
        <v>64</v>
      </c>
    </row>
    <row r="1601" spans="1:12" x14ac:dyDescent="0.55000000000000004">
      <c r="A1601" s="1" t="s">
        <v>1900</v>
      </c>
      <c r="B1601" s="2">
        <f>COUNTIF(A:A,A1601)-1</f>
        <v>5</v>
      </c>
      <c r="C1601" s="2">
        <f>COUNTIF(A$1:A1601,A1601)-1</f>
        <v>2</v>
      </c>
      <c r="D1601" s="2" t="str">
        <f t="shared" si="24"/>
        <v>vr</v>
      </c>
      <c r="E1601" s="2"/>
      <c r="F1601" s="2" t="e">
        <f>ACCRINTM(#REF!,+F1601:G1601,#REF!,#REF!,#REF!)</f>
        <v>#REF!</v>
      </c>
      <c r="H1601" s="2" t="e">
        <f>ACCRINTM(#REF!,H1601:I1601,#REF!,#REF!,#REF!)</f>
        <v>#REF!</v>
      </c>
      <c r="I1601" s="1">
        <v>1</v>
      </c>
      <c r="J1601" s="2" t="e">
        <f>ACCRINTM(#REF!,INDIRECT(J1601:K1601),#REF!,#REF!,#REF!)</f>
        <v>#REF!</v>
      </c>
      <c r="L1601" s="2">
        <f>TYPE(INDEX(,ACCRINTM(#REF!,OFFSET(INDEX(1,),,),#REF!,#REF!,#REF!)))</f>
        <v>64</v>
      </c>
    </row>
    <row r="1602" spans="1:12" x14ac:dyDescent="0.55000000000000004">
      <c r="A1602" s="1" t="s">
        <v>1900</v>
      </c>
      <c r="B1602" s="2">
        <f>COUNTIF(A:A,A1602)-1</f>
        <v>5</v>
      </c>
      <c r="C1602" s="2">
        <f>COUNTIF(A$1:A1602,A1602)-1</f>
        <v>3</v>
      </c>
      <c r="D1602" s="2" t="str">
        <f t="shared" ref="D1602:D1665" si="25">IF(C1602&gt;0,IF(COUNTA(F1602:G1602)=1,"v",)&amp;IF(L1602=64,,"a")&amp;IF(COUNTA(I1602,K1602)=1,"r",),"")</f>
        <v>vr</v>
      </c>
      <c r="E1602" s="2"/>
      <c r="F1602" s="2" t="e">
        <f>ACCRINTM(#REF!,#REF!,+F1602:G1602,#REF!,#REF!)</f>
        <v>#REF!</v>
      </c>
      <c r="H1602" s="2" t="e">
        <f>ACCRINTM(#REF!,#REF!,H1602:I1602,#REF!,#REF!)</f>
        <v>#REF!</v>
      </c>
      <c r="I1602" s="1">
        <v>1</v>
      </c>
      <c r="J1602" s="2" t="e">
        <f>ACCRINTM(#REF!,#REF!,INDIRECT(J1602:K1602),#REF!,#REF!)</f>
        <v>#REF!</v>
      </c>
      <c r="L1602" s="2">
        <f>TYPE(INDEX(,ACCRINTM(#REF!,#REF!,OFFSET(INDEX(1,),,),#REF!,#REF!)))</f>
        <v>64</v>
      </c>
    </row>
    <row r="1603" spans="1:12" x14ac:dyDescent="0.55000000000000004">
      <c r="A1603" s="1" t="s">
        <v>1900</v>
      </c>
      <c r="B1603" s="2">
        <f>COUNTIF(A:A,A1603)-1</f>
        <v>5</v>
      </c>
      <c r="C1603" s="2">
        <f>COUNTIF(A$1:A1603,A1603)-1</f>
        <v>4</v>
      </c>
      <c r="D1603" s="2" t="str">
        <f t="shared" si="25"/>
        <v>vr</v>
      </c>
      <c r="E1603" s="2" t="e">
        <f>ACCRINTM(#REF!,#REF!,#REF!,#REF!)</f>
        <v>#REF!</v>
      </c>
      <c r="F1603" s="2" t="e">
        <f>ACCRINTM(#REF!,#REF!,#REF!,+F1603:G1603,#REF!)</f>
        <v>#REF!</v>
      </c>
      <c r="H1603" s="2" t="e">
        <f>ACCRINTM(#REF!,#REF!,#REF!,H1603:I1603,#REF!)</f>
        <v>#REF!</v>
      </c>
      <c r="I1603" s="1">
        <v>1</v>
      </c>
      <c r="J1603" s="2" t="e">
        <f>ACCRINTM(#REF!,#REF!,#REF!,INDIRECT(J1603:K1603),#REF!)</f>
        <v>#REF!</v>
      </c>
      <c r="L1603" s="2">
        <f>TYPE(INDEX(,ACCRINTM(#REF!,#REF!,#REF!,OFFSET(INDEX(1,),,),#REF!)))</f>
        <v>64</v>
      </c>
    </row>
    <row r="1604" spans="1:12" x14ac:dyDescent="0.55000000000000004">
      <c r="A1604" s="1" t="s">
        <v>1900</v>
      </c>
      <c r="B1604" s="2">
        <f>COUNTIF(A:A,A1604)-1</f>
        <v>5</v>
      </c>
      <c r="C1604" s="2">
        <f>COUNTIF(A$1:A1604,A1604)-1</f>
        <v>5</v>
      </c>
      <c r="D1604" s="2" t="str">
        <f t="shared" si="25"/>
        <v>vr</v>
      </c>
      <c r="E1604" s="2" t="e">
        <f>ACCRINTM(#REF!,#REF!,#REF!,#REF!,#REF!)</f>
        <v>#REF!</v>
      </c>
      <c r="F1604" s="2" t="e">
        <f>ACCRINTM(#REF!,#REF!,#REF!,#REF!,+F1604:G1604)</f>
        <v>#REF!</v>
      </c>
      <c r="H1604" s="2" t="e">
        <f>ACCRINTM(#REF!,#REF!,#REF!,#REF!,H1604:I1604)</f>
        <v>#REF!</v>
      </c>
      <c r="I1604" s="1">
        <v>1</v>
      </c>
      <c r="J1604" s="2" t="e">
        <f>ACCRINTM(#REF!,#REF!,#REF!,#REF!,INDIRECT(J1604:K1604))</f>
        <v>#REF!</v>
      </c>
      <c r="L1604" s="2">
        <f>TYPE(INDEX(,ACCRINTM(#REF!,#REF!,#REF!,#REF!,OFFSET(INDEX(1,),,))))</f>
        <v>64</v>
      </c>
    </row>
    <row r="1605" spans="1:12" x14ac:dyDescent="0.55000000000000004">
      <c r="A1605" s="1" t="s">
        <v>1901</v>
      </c>
      <c r="B1605" s="2">
        <f>COUNTIF(A:A,A1605)-1</f>
        <v>3</v>
      </c>
      <c r="C1605" s="2">
        <f>COUNTIF(A$1:A1605,A1605)-1</f>
        <v>0</v>
      </c>
      <c r="D1605" s="2" t="str">
        <f t="shared" si="25"/>
        <v/>
      </c>
      <c r="E1605" s="2"/>
      <c r="F1605" s="2"/>
      <c r="H1605" s="2"/>
      <c r="J1605" s="2"/>
      <c r="L1605" s="2"/>
    </row>
    <row r="1606" spans="1:12" x14ac:dyDescent="0.55000000000000004">
      <c r="A1606" s="1" t="s">
        <v>1901</v>
      </c>
      <c r="B1606" s="2">
        <f>COUNTIF(A:A,A1606)-1</f>
        <v>3</v>
      </c>
      <c r="C1606" s="2">
        <f>COUNTIF(A$1:A1606,A1606)-1</f>
        <v>1</v>
      </c>
      <c r="D1606" s="2" t="str">
        <f t="shared" si="25"/>
        <v>vr</v>
      </c>
      <c r="E1606" s="2"/>
      <c r="F1606" s="2" t="e">
        <f>WORKDAY(+F1606:G1606,#REF!,#REF!)</f>
        <v>#REF!</v>
      </c>
      <c r="H1606" s="2" t="e">
        <f>WORKDAY(H1606:I1606,#REF!,#REF!)</f>
        <v>#VALUE!</v>
      </c>
      <c r="I1606" s="1">
        <v>1</v>
      </c>
      <c r="J1606" s="2" t="e">
        <f>WORKDAY(INDIRECT(J1606:K1606),#REF!,#REF!)</f>
        <v>#REF!</v>
      </c>
      <c r="L1606" s="2">
        <f>TYPE(INDEX(,WORKDAY(OFFSET(INDEX(1,),,),#REF!,#REF!)))</f>
        <v>64</v>
      </c>
    </row>
    <row r="1607" spans="1:12" x14ac:dyDescent="0.55000000000000004">
      <c r="A1607" s="1" t="s">
        <v>1901</v>
      </c>
      <c r="B1607" s="2">
        <f>COUNTIF(A:A,A1607)-1</f>
        <v>3</v>
      </c>
      <c r="C1607" s="2">
        <f>COUNTIF(A$1:A1607,A1607)-1</f>
        <v>2</v>
      </c>
      <c r="D1607" s="2" t="str">
        <f t="shared" si="25"/>
        <v>vr</v>
      </c>
      <c r="E1607" s="2" t="e">
        <f>WORKDAY(#REF!,#REF!)</f>
        <v>#REF!</v>
      </c>
      <c r="F1607" s="2" t="e">
        <f>WORKDAY(#REF!,+F1607:G1607,#REF!)</f>
        <v>#REF!</v>
      </c>
      <c r="H1607" s="2" t="e">
        <f>WORKDAY(#REF!,H1607:I1607,#REF!)</f>
        <v>#REF!</v>
      </c>
      <c r="I1607" s="1">
        <v>1</v>
      </c>
      <c r="J1607" s="2" t="e">
        <f>WORKDAY(#REF!,INDIRECT(J1607:K1607),#REF!)</f>
        <v>#REF!</v>
      </c>
      <c r="L1607" s="2">
        <f>TYPE(INDEX(,WORKDAY(#REF!,OFFSET(INDEX(1,),,),#REF!)))</f>
        <v>64</v>
      </c>
    </row>
    <row r="1608" spans="1:12" x14ac:dyDescent="0.55000000000000004">
      <c r="A1608" s="1" t="s">
        <v>1901</v>
      </c>
      <c r="B1608" s="2">
        <f>COUNTIF(A:A,A1608)-1</f>
        <v>3</v>
      </c>
      <c r="C1608" s="2">
        <f>COUNTIF(A$1:A1608,A1608)-1</f>
        <v>3</v>
      </c>
      <c r="D1608" s="2" t="str">
        <f t="shared" si="25"/>
        <v>var</v>
      </c>
      <c r="E1608" s="2" t="e">
        <f>WORKDAY(#REF!,#REF!,#REF!)</f>
        <v>#REF!</v>
      </c>
      <c r="F1608" s="2" t="e">
        <f>WORKDAY(#REF!,#REF!,+F1608:G1608)</f>
        <v>#REF!</v>
      </c>
      <c r="H1608" s="2" t="e">
        <f>WORKDAY(#REF!,#REF!,H1608:I1608)</f>
        <v>#REF!</v>
      </c>
      <c r="I1608" s="1">
        <v>1</v>
      </c>
      <c r="J1608" s="2" t="e">
        <f>WORKDAY(#REF!,#REF!,INDIRECT(J1608:K1608))</f>
        <v>#REF!</v>
      </c>
      <c r="L1608" s="2">
        <f>TYPE(INDEX(,WORKDAY(#REF!,#REF!,OFFSET(INDEX(1,),,))))</f>
        <v>16</v>
      </c>
    </row>
    <row r="1609" spans="1:12" x14ac:dyDescent="0.55000000000000004">
      <c r="A1609" s="1" t="s">
        <v>1902</v>
      </c>
      <c r="B1609" s="2">
        <f>COUNTIF(A:A,A1609)-1</f>
        <v>3</v>
      </c>
      <c r="C1609" s="2">
        <f>COUNTIF(A$1:A1609,A1609)-1</f>
        <v>0</v>
      </c>
      <c r="D1609" s="2" t="str">
        <f t="shared" si="25"/>
        <v/>
      </c>
      <c r="E1609" s="2"/>
      <c r="F1609" s="2"/>
      <c r="H1609" s="2"/>
      <c r="J1609" s="2"/>
      <c r="L1609" s="2"/>
    </row>
    <row r="1610" spans="1:12" x14ac:dyDescent="0.55000000000000004">
      <c r="A1610" s="1" t="s">
        <v>1902</v>
      </c>
      <c r="B1610" s="2">
        <f>COUNTIF(A:A,A1610)-1</f>
        <v>3</v>
      </c>
      <c r="C1610" s="2">
        <f>COUNTIF(A$1:A1610,A1610)-1</f>
        <v>1</v>
      </c>
      <c r="D1610" s="2" t="str">
        <f t="shared" si="25"/>
        <v>vr</v>
      </c>
      <c r="E1610" s="2"/>
      <c r="F1610" s="2" t="e">
        <f>NETWORKDAYS(+F1610:G1610,#REF!,#REF!)</f>
        <v>#REF!</v>
      </c>
      <c r="H1610" s="2" t="e">
        <f>NETWORKDAYS(H1610:I1610,#REF!,#REF!)</f>
        <v>#VALUE!</v>
      </c>
      <c r="I1610" s="1">
        <v>1</v>
      </c>
      <c r="J1610" s="2" t="e">
        <f>NETWORKDAYS(INDIRECT(J1610:K1610),#REF!,#REF!)</f>
        <v>#REF!</v>
      </c>
      <c r="L1610" s="2">
        <f>TYPE(INDEX(,NETWORKDAYS(OFFSET(INDEX(1,),,),#REF!,#REF!)))</f>
        <v>64</v>
      </c>
    </row>
    <row r="1611" spans="1:12" x14ac:dyDescent="0.55000000000000004">
      <c r="A1611" s="1" t="s">
        <v>1902</v>
      </c>
      <c r="B1611" s="2">
        <f>COUNTIF(A:A,A1611)-1</f>
        <v>3</v>
      </c>
      <c r="C1611" s="2">
        <f>COUNTIF(A$1:A1611,A1611)-1</f>
        <v>2</v>
      </c>
      <c r="D1611" s="2" t="str">
        <f t="shared" si="25"/>
        <v>vr</v>
      </c>
      <c r="E1611" s="2" t="e">
        <f>NETWORKDAYS(#REF!,#REF!)</f>
        <v>#REF!</v>
      </c>
      <c r="F1611" s="2" t="e">
        <f>NETWORKDAYS(#REF!,+F1611:G1611,#REF!)</f>
        <v>#REF!</v>
      </c>
      <c r="H1611" s="2" t="e">
        <f>NETWORKDAYS(#REF!,H1611:I1611,#REF!)</f>
        <v>#REF!</v>
      </c>
      <c r="I1611" s="1">
        <v>1</v>
      </c>
      <c r="J1611" s="2" t="e">
        <f>NETWORKDAYS(#REF!,INDIRECT(J1611:K1611),#REF!)</f>
        <v>#REF!</v>
      </c>
      <c r="L1611" s="2">
        <f>TYPE(INDEX(,NETWORKDAYS(#REF!,OFFSET(INDEX(1,),,),#REF!)))</f>
        <v>64</v>
      </c>
    </row>
    <row r="1612" spans="1:12" x14ac:dyDescent="0.55000000000000004">
      <c r="A1612" s="1" t="s">
        <v>1902</v>
      </c>
      <c r="B1612" s="2">
        <f>COUNTIF(A:A,A1612)-1</f>
        <v>3</v>
      </c>
      <c r="C1612" s="2">
        <f>COUNTIF(A$1:A1612,A1612)-1</f>
        <v>3</v>
      </c>
      <c r="D1612" s="2" t="str">
        <f t="shared" si="25"/>
        <v>var</v>
      </c>
      <c r="E1612" s="2" t="e">
        <f>NETWORKDAYS(#REF!,#REF!,#REF!)</f>
        <v>#REF!</v>
      </c>
      <c r="F1612" s="2" t="e">
        <f>NETWORKDAYS(#REF!,#REF!,+F1612:G1612)</f>
        <v>#REF!</v>
      </c>
      <c r="H1612" s="2" t="e">
        <f>NETWORKDAYS(#REF!,#REF!,H1612:I1612)</f>
        <v>#REF!</v>
      </c>
      <c r="I1612" s="1">
        <v>1</v>
      </c>
      <c r="J1612" s="2" t="e">
        <f>NETWORKDAYS(#REF!,#REF!,INDIRECT(J1612:K1612))</f>
        <v>#REF!</v>
      </c>
      <c r="L1612" s="2">
        <f>TYPE(INDEX(,NETWORKDAYS(#REF!,#REF!,OFFSET(INDEX(1,),,))))</f>
        <v>16</v>
      </c>
    </row>
    <row r="1613" spans="1:12" x14ac:dyDescent="0.55000000000000004">
      <c r="A1613" s="1" t="s">
        <v>1903</v>
      </c>
      <c r="B1613" s="2">
        <f>COUNTIF(A:A,A1613)-1</f>
        <v>3</v>
      </c>
      <c r="C1613" s="2">
        <f>COUNTIF(A$1:A1613,A1613)-1</f>
        <v>0</v>
      </c>
      <c r="D1613" s="2" t="str">
        <f t="shared" si="25"/>
        <v/>
      </c>
      <c r="E1613" s="2"/>
      <c r="F1613" s="2"/>
      <c r="H1613" s="2"/>
      <c r="J1613" s="2"/>
      <c r="L1613" s="2"/>
    </row>
    <row r="1614" spans="1:12" x14ac:dyDescent="0.55000000000000004">
      <c r="A1614" s="1" t="s">
        <v>1903</v>
      </c>
      <c r="B1614" s="2">
        <f>COUNTIF(A:A,A1614)-1</f>
        <v>3</v>
      </c>
      <c r="C1614" s="2">
        <f>COUNTIF(A$1:A1614,A1614)-1</f>
        <v>1</v>
      </c>
      <c r="D1614" s="2" t="str">
        <f t="shared" si="25"/>
        <v>var</v>
      </c>
      <c r="E1614" s="2" t="e">
        <f>GCD(#REF!)</f>
        <v>#REF!</v>
      </c>
      <c r="F1614" s="2" t="e">
        <f>GCD(+F1614:G1614,#REF!,#REF!)</f>
        <v>#REF!</v>
      </c>
      <c r="H1614" s="2" t="e">
        <f>GCD(H1614:I1614,#REF!,#REF!)</f>
        <v>#REF!</v>
      </c>
      <c r="I1614" s="1">
        <v>1</v>
      </c>
      <c r="J1614" s="2" t="e">
        <f>GCD(INDIRECT(J1614:K1614),#REF!,#REF!)</f>
        <v>#REF!</v>
      </c>
      <c r="L1614" s="2">
        <f>TYPE(INDEX(,GCD(OFFSET(INDEX(1,),,),#REF!,#REF!)))</f>
        <v>16</v>
      </c>
    </row>
    <row r="1615" spans="1:12" x14ac:dyDescent="0.55000000000000004">
      <c r="A1615" s="1" t="s">
        <v>1903</v>
      </c>
      <c r="B1615" s="2">
        <f>COUNTIF(A:A,A1615)-1</f>
        <v>3</v>
      </c>
      <c r="C1615" s="2">
        <f>COUNTIF(A$1:A1615,A1615)-1</f>
        <v>2</v>
      </c>
      <c r="D1615" s="2" t="str">
        <f t="shared" si="25"/>
        <v>var</v>
      </c>
      <c r="E1615" s="2" t="e">
        <f>GCD(#REF!,#REF!)</f>
        <v>#REF!</v>
      </c>
      <c r="F1615" s="2" t="e">
        <f>GCD(#REF!,+F1615:G1615,#REF!)</f>
        <v>#REF!</v>
      </c>
      <c r="H1615" s="2" t="e">
        <f>GCD(#REF!,H1615:I1615,#REF!)</f>
        <v>#REF!</v>
      </c>
      <c r="I1615" s="1">
        <v>1</v>
      </c>
      <c r="J1615" s="2" t="e">
        <f>GCD(#REF!,INDIRECT(J1615:K1615),#REF!)</f>
        <v>#REF!</v>
      </c>
      <c r="L1615" s="2">
        <f>TYPE(INDEX(,GCD(#REF!,OFFSET(INDEX(1,),,),#REF!)))</f>
        <v>16</v>
      </c>
    </row>
    <row r="1616" spans="1:12" x14ac:dyDescent="0.55000000000000004">
      <c r="A1616" s="1" t="s">
        <v>1903</v>
      </c>
      <c r="B1616" s="2">
        <f>COUNTIF(A:A,A1616)-1</f>
        <v>3</v>
      </c>
      <c r="C1616" s="2">
        <f>COUNTIF(A$1:A1616,A1616)-1</f>
        <v>3</v>
      </c>
      <c r="D1616" s="2" t="str">
        <f t="shared" si="25"/>
        <v>var</v>
      </c>
      <c r="E1616" s="2" t="e">
        <f>GCD(#REF!,#REF!,#REF!)</f>
        <v>#REF!</v>
      </c>
      <c r="F1616" s="2" t="e">
        <f>GCD(#REF!,#REF!,+F1616:G1616)</f>
        <v>#REF!</v>
      </c>
      <c r="H1616" s="2" t="e">
        <f>GCD(#REF!,#REF!,H1616:I1616)</f>
        <v>#REF!</v>
      </c>
      <c r="I1616" s="1">
        <v>1</v>
      </c>
      <c r="J1616" s="2" t="e">
        <f>GCD(#REF!,#REF!,INDIRECT(J1616:K1616))</f>
        <v>#REF!</v>
      </c>
      <c r="L1616" s="2">
        <f>TYPE(INDEX(,GCD(#REF!,#REF!,OFFSET(INDEX(1,),,))))</f>
        <v>16</v>
      </c>
    </row>
    <row r="1617" spans="1:12" x14ac:dyDescent="0.55000000000000004">
      <c r="A1617" s="1" t="s">
        <v>1904</v>
      </c>
      <c r="B1617" s="2">
        <f>COUNTIF(A:A,A1617)-1</f>
        <v>3</v>
      </c>
      <c r="C1617" s="2">
        <f>COUNTIF(A$1:A1617,A1617)-1</f>
        <v>0</v>
      </c>
      <c r="D1617" s="2" t="str">
        <f t="shared" si="25"/>
        <v/>
      </c>
      <c r="E1617" s="2"/>
      <c r="F1617" s="2"/>
      <c r="H1617" s="2"/>
      <c r="J1617" s="2"/>
      <c r="L1617" s="2"/>
    </row>
    <row r="1618" spans="1:12" x14ac:dyDescent="0.55000000000000004">
      <c r="A1618" s="1" t="s">
        <v>1904</v>
      </c>
      <c r="B1618" s="2">
        <f>COUNTIF(A:A,A1618)-1</f>
        <v>3</v>
      </c>
      <c r="C1618" s="2">
        <f>COUNTIF(A$1:A1618,A1618)-1</f>
        <v>1</v>
      </c>
      <c r="D1618" s="2" t="str">
        <f t="shared" si="25"/>
        <v>var</v>
      </c>
      <c r="E1618" s="2" t="e">
        <f>MULTINOMIAL(#REF!)</f>
        <v>#REF!</v>
      </c>
      <c r="F1618" s="2" t="e">
        <f>MULTINOMIAL(+F1618:G1618,#REF!,#REF!)</f>
        <v>#REF!</v>
      </c>
      <c r="H1618" s="2" t="e">
        <f>MULTINOMIAL(H1618:I1618,#REF!,#REF!)</f>
        <v>#REF!</v>
      </c>
      <c r="I1618" s="1">
        <v>1</v>
      </c>
      <c r="J1618" s="2" t="e">
        <f>MULTINOMIAL(INDIRECT(J1618:K1618),#REF!,#REF!)</f>
        <v>#REF!</v>
      </c>
      <c r="L1618" s="2">
        <f>TYPE(INDEX(,MULTINOMIAL(OFFSET(INDEX(1,),,),#REF!,#REF!)))</f>
        <v>16</v>
      </c>
    </row>
    <row r="1619" spans="1:12" x14ac:dyDescent="0.55000000000000004">
      <c r="A1619" s="1" t="s">
        <v>1904</v>
      </c>
      <c r="B1619" s="2">
        <f>COUNTIF(A:A,A1619)-1</f>
        <v>3</v>
      </c>
      <c r="C1619" s="2">
        <f>COUNTIF(A$1:A1619,A1619)-1</f>
        <v>2</v>
      </c>
      <c r="D1619" s="2" t="str">
        <f t="shared" si="25"/>
        <v>var</v>
      </c>
      <c r="E1619" s="2" t="e">
        <f>MULTINOMIAL(#REF!,#REF!)</f>
        <v>#REF!</v>
      </c>
      <c r="F1619" s="2" t="e">
        <f>MULTINOMIAL(#REF!,+F1619:G1619,#REF!)</f>
        <v>#REF!</v>
      </c>
      <c r="H1619" s="2" t="e">
        <f>MULTINOMIAL(#REF!,H1619:I1619,#REF!)</f>
        <v>#REF!</v>
      </c>
      <c r="I1619" s="1">
        <v>1</v>
      </c>
      <c r="J1619" s="2" t="e">
        <f>MULTINOMIAL(#REF!,INDIRECT(J1619:K1619),#REF!)</f>
        <v>#REF!</v>
      </c>
      <c r="L1619" s="2">
        <f>TYPE(INDEX(,MULTINOMIAL(#REF!,OFFSET(INDEX(1,),,),#REF!)))</f>
        <v>16</v>
      </c>
    </row>
    <row r="1620" spans="1:12" x14ac:dyDescent="0.55000000000000004">
      <c r="A1620" s="1" t="s">
        <v>1904</v>
      </c>
      <c r="B1620" s="2">
        <f>COUNTIF(A:A,A1620)-1</f>
        <v>3</v>
      </c>
      <c r="C1620" s="2">
        <f>COUNTIF(A$1:A1620,A1620)-1</f>
        <v>3</v>
      </c>
      <c r="D1620" s="2" t="str">
        <f t="shared" si="25"/>
        <v>var</v>
      </c>
      <c r="E1620" s="2" t="e">
        <f>MULTINOMIAL(#REF!,#REF!,#REF!)</f>
        <v>#REF!</v>
      </c>
      <c r="F1620" s="2" t="e">
        <f>MULTINOMIAL(#REF!,#REF!,+F1620:G1620)</f>
        <v>#REF!</v>
      </c>
      <c r="H1620" s="2" t="e">
        <f>MULTINOMIAL(#REF!,#REF!,H1620:I1620)</f>
        <v>#REF!</v>
      </c>
      <c r="I1620" s="1">
        <v>1</v>
      </c>
      <c r="J1620" s="2" t="e">
        <f>MULTINOMIAL(#REF!,#REF!,INDIRECT(J1620:K1620))</f>
        <v>#REF!</v>
      </c>
      <c r="L1620" s="2">
        <f>TYPE(INDEX(,MULTINOMIAL(#REF!,#REF!,OFFSET(INDEX(1,),,))))</f>
        <v>16</v>
      </c>
    </row>
    <row r="1621" spans="1:12" x14ac:dyDescent="0.55000000000000004">
      <c r="A1621" s="1" t="s">
        <v>1905</v>
      </c>
      <c r="B1621" s="2">
        <f>COUNTIF(A:A,A1621)-1</f>
        <v>3</v>
      </c>
      <c r="C1621" s="2">
        <f>COUNTIF(A$1:A1621,A1621)-1</f>
        <v>0</v>
      </c>
      <c r="D1621" s="2" t="str">
        <f t="shared" si="25"/>
        <v/>
      </c>
      <c r="E1621" s="2"/>
      <c r="F1621" s="2"/>
      <c r="H1621" s="2"/>
      <c r="J1621" s="2"/>
      <c r="L1621" s="2"/>
    </row>
    <row r="1622" spans="1:12" x14ac:dyDescent="0.55000000000000004">
      <c r="A1622" s="1" t="s">
        <v>1905</v>
      </c>
      <c r="B1622" s="2">
        <f>COUNTIF(A:A,A1622)-1</f>
        <v>3</v>
      </c>
      <c r="C1622" s="2">
        <f>COUNTIF(A$1:A1622,A1622)-1</f>
        <v>1</v>
      </c>
      <c r="D1622" s="2" t="str">
        <f t="shared" si="25"/>
        <v>var</v>
      </c>
      <c r="E1622" s="2" t="e">
        <f>LCM(#REF!)</f>
        <v>#REF!</v>
      </c>
      <c r="F1622" s="2" t="e">
        <f>LCM(+F1622:G1622,#REF!,#REF!)</f>
        <v>#REF!</v>
      </c>
      <c r="H1622" s="2" t="e">
        <f>LCM(H1622:I1622,#REF!,#REF!)</f>
        <v>#REF!</v>
      </c>
      <c r="I1622" s="1">
        <v>1</v>
      </c>
      <c r="J1622" s="2" t="e">
        <f>LCM(INDIRECT(J1622:K1622),#REF!,#REF!)</f>
        <v>#REF!</v>
      </c>
      <c r="L1622" s="2">
        <f>TYPE(INDEX(,LCM(OFFSET(INDEX(1,),,),#REF!,#REF!)))</f>
        <v>16</v>
      </c>
    </row>
    <row r="1623" spans="1:12" x14ac:dyDescent="0.55000000000000004">
      <c r="A1623" s="1" t="s">
        <v>1905</v>
      </c>
      <c r="B1623" s="2">
        <f>COUNTIF(A:A,A1623)-1</f>
        <v>3</v>
      </c>
      <c r="C1623" s="2">
        <f>COUNTIF(A$1:A1623,A1623)-1</f>
        <v>2</v>
      </c>
      <c r="D1623" s="2" t="str">
        <f t="shared" si="25"/>
        <v>var</v>
      </c>
      <c r="E1623" s="2" t="e">
        <f>LCM(#REF!,#REF!)</f>
        <v>#REF!</v>
      </c>
      <c r="F1623" s="2" t="e">
        <f>LCM(#REF!,+F1623:G1623,#REF!)</f>
        <v>#REF!</v>
      </c>
      <c r="H1623" s="2" t="e">
        <f>LCM(#REF!,H1623:I1623,#REF!)</f>
        <v>#REF!</v>
      </c>
      <c r="I1623" s="1">
        <v>1</v>
      </c>
      <c r="J1623" s="2" t="e">
        <f>LCM(#REF!,INDIRECT(J1623:K1623),#REF!)</f>
        <v>#REF!</v>
      </c>
      <c r="L1623" s="2">
        <f>TYPE(INDEX(,LCM(#REF!,OFFSET(INDEX(1,),,),#REF!)))</f>
        <v>16</v>
      </c>
    </row>
    <row r="1624" spans="1:12" x14ac:dyDescent="0.55000000000000004">
      <c r="A1624" s="1" t="s">
        <v>1905</v>
      </c>
      <c r="B1624" s="2">
        <f>COUNTIF(A:A,A1624)-1</f>
        <v>3</v>
      </c>
      <c r="C1624" s="2">
        <f>COUNTIF(A$1:A1624,A1624)-1</f>
        <v>3</v>
      </c>
      <c r="D1624" s="2" t="str">
        <f t="shared" si="25"/>
        <v>var</v>
      </c>
      <c r="E1624" s="2" t="e">
        <f>LCM(#REF!,#REF!,#REF!)</f>
        <v>#REF!</v>
      </c>
      <c r="F1624" s="2" t="e">
        <f>LCM(#REF!,#REF!,+F1624:G1624)</f>
        <v>#REF!</v>
      </c>
      <c r="H1624" s="2" t="e">
        <f>LCM(#REF!,#REF!,H1624:I1624)</f>
        <v>#REF!</v>
      </c>
      <c r="I1624" s="1">
        <v>1</v>
      </c>
      <c r="J1624" s="2" t="e">
        <f>LCM(#REF!,#REF!,INDIRECT(J1624:K1624))</f>
        <v>#REF!</v>
      </c>
      <c r="L1624" s="2">
        <f>TYPE(INDEX(,LCM(#REF!,#REF!,OFFSET(INDEX(1,),,))))</f>
        <v>16</v>
      </c>
    </row>
    <row r="1625" spans="1:12" x14ac:dyDescent="0.55000000000000004">
      <c r="A1625" s="1" t="s">
        <v>1906</v>
      </c>
      <c r="B1625" s="2">
        <f>COUNTIF(A:A,A1625)-1</f>
        <v>2</v>
      </c>
      <c r="C1625" s="2">
        <f>COUNTIF(A$1:A1625,A1625)-1</f>
        <v>0</v>
      </c>
      <c r="D1625" s="2" t="str">
        <f t="shared" si="25"/>
        <v/>
      </c>
      <c r="E1625" s="2"/>
      <c r="F1625" s="2"/>
      <c r="H1625" s="2"/>
      <c r="J1625" s="2"/>
      <c r="L1625" s="2"/>
    </row>
    <row r="1626" spans="1:12" x14ac:dyDescent="0.55000000000000004">
      <c r="A1626" s="1" t="s">
        <v>1906</v>
      </c>
      <c r="B1626" s="2">
        <f>COUNTIF(A:A,A1626)-1</f>
        <v>2</v>
      </c>
      <c r="C1626" s="2">
        <f>COUNTIF(A$1:A1626,A1626)-1</f>
        <v>1</v>
      </c>
      <c r="D1626" s="2" t="str">
        <f t="shared" si="25"/>
        <v>vr</v>
      </c>
      <c r="E1626" s="2"/>
      <c r="F1626" s="2" t="e">
        <f>FVSCHEDULE(+F1626:G1626,#REF!)</f>
        <v>#REF!</v>
      </c>
      <c r="H1626" s="2" t="e">
        <f>FVSCHEDULE(H1626:I1626,#REF!)</f>
        <v>#VALUE!</v>
      </c>
      <c r="I1626" s="1">
        <v>1</v>
      </c>
      <c r="J1626" s="2" t="e">
        <f>FVSCHEDULE(INDIRECT(J1626:K1626),#REF!)</f>
        <v>#REF!</v>
      </c>
      <c r="L1626" s="2">
        <f>TYPE(INDEX(,FVSCHEDULE(OFFSET(INDEX(1,),,),#REF!)))</f>
        <v>64</v>
      </c>
    </row>
    <row r="1627" spans="1:12" x14ac:dyDescent="0.55000000000000004">
      <c r="A1627" s="1" t="s">
        <v>1906</v>
      </c>
      <c r="B1627" s="2">
        <f>COUNTIF(A:A,A1627)-1</f>
        <v>2</v>
      </c>
      <c r="C1627" s="2">
        <f>COUNTIF(A$1:A1627,A1627)-1</f>
        <v>2</v>
      </c>
      <c r="D1627" s="2" t="str">
        <f t="shared" si="25"/>
        <v>var</v>
      </c>
      <c r="E1627" s="2" t="e">
        <f>FVSCHEDULE(#REF!,#REF!)</f>
        <v>#REF!</v>
      </c>
      <c r="F1627" s="2" t="e">
        <f>FVSCHEDULE(#REF!,+F1627:G1627)</f>
        <v>#REF!</v>
      </c>
      <c r="H1627" s="2" t="e">
        <f>FVSCHEDULE(#REF!,H1627:I1627)</f>
        <v>#REF!</v>
      </c>
      <c r="I1627" s="1">
        <v>1</v>
      </c>
      <c r="J1627" s="2" t="e">
        <f>FVSCHEDULE(#REF!,INDIRECT(J1627:K1627))</f>
        <v>#REF!</v>
      </c>
      <c r="L1627" s="2">
        <f>TYPE(INDEX(,FVSCHEDULE(#REF!,OFFSET(INDEX(1,),,))))</f>
        <v>16</v>
      </c>
    </row>
    <row r="1628" spans="1:12" x14ac:dyDescent="0.55000000000000004">
      <c r="A1628" s="1" t="s">
        <v>1907</v>
      </c>
      <c r="B1628" s="2">
        <f>COUNTIF(A:A,A1628)-1</f>
        <v>4</v>
      </c>
      <c r="C1628" s="2">
        <f>COUNTIF(A$1:A1628,A1628)-1</f>
        <v>0</v>
      </c>
      <c r="D1628" s="2" t="str">
        <f t="shared" si="25"/>
        <v/>
      </c>
      <c r="E1628" s="2"/>
      <c r="F1628" s="2"/>
      <c r="H1628" s="2"/>
      <c r="J1628" s="2"/>
      <c r="L1628" s="2"/>
    </row>
    <row r="1629" spans="1:12" x14ac:dyDescent="0.55000000000000004">
      <c r="A1629" s="1" t="s">
        <v>1907</v>
      </c>
      <c r="B1629" s="2">
        <f>COUNTIF(A:A,A1629)-1</f>
        <v>4</v>
      </c>
      <c r="C1629" s="2">
        <f>COUNTIF(A$1:A1629,A1629)-1</f>
        <v>1</v>
      </c>
      <c r="D1629" s="2" t="str">
        <f t="shared" si="25"/>
        <v>v</v>
      </c>
      <c r="E1629" s="2"/>
      <c r="F1629" s="2" t="e">
        <f>CUBEKPIMEMBER(+F1629:G1629,#REF!,#REF!,#REF!)</f>
        <v>#REF!</v>
      </c>
      <c r="H1629" s="2" t="e">
        <f>CUBEKPIMEMBER(H1629:I1629,#REF!,#REF!,#REF!)</f>
        <v>#REF!</v>
      </c>
      <c r="J1629" s="2" t="e">
        <f>CUBEKPIMEMBER(INDIRECT(J1629:K1629),#REF!,#REF!,#REF!)</f>
        <v>#REF!</v>
      </c>
      <c r="L1629" s="2">
        <f>TYPE(INDEX(,CUBEKPIMEMBER(OFFSET(INDEX(1,),,),#REF!,#REF!,#REF!)))</f>
        <v>64</v>
      </c>
    </row>
    <row r="1630" spans="1:12" x14ac:dyDescent="0.55000000000000004">
      <c r="A1630" s="1" t="s">
        <v>1907</v>
      </c>
      <c r="B1630" s="2">
        <f>COUNTIF(A:A,A1630)-1</f>
        <v>4</v>
      </c>
      <c r="C1630" s="2">
        <f>COUNTIF(A$1:A1630,A1630)-1</f>
        <v>2</v>
      </c>
      <c r="D1630" s="2" t="str">
        <f t="shared" si="25"/>
        <v>v</v>
      </c>
      <c r="E1630" s="2"/>
      <c r="F1630" s="2" t="e">
        <f>CUBEKPIMEMBER(#REF!,+F1630:G1630,#REF!,#REF!)</f>
        <v>#REF!</v>
      </c>
      <c r="H1630" s="2" t="e">
        <f>CUBEKPIMEMBER(#REF!,H1630:I1630,#REF!,#REF!)</f>
        <v>#REF!</v>
      </c>
      <c r="J1630" s="2" t="e">
        <f>CUBEKPIMEMBER(#REF!,INDIRECT(J1630:K1630),#REF!,#REF!)</f>
        <v>#REF!</v>
      </c>
      <c r="L1630" s="2">
        <f>TYPE(INDEX(,CUBEKPIMEMBER(#REF!,OFFSET(INDEX(1,),,),#REF!,#REF!)))</f>
        <v>64</v>
      </c>
    </row>
    <row r="1631" spans="1:12" x14ac:dyDescent="0.55000000000000004">
      <c r="A1631" s="1" t="s">
        <v>1907</v>
      </c>
      <c r="B1631" s="2">
        <f>COUNTIF(A:A,A1631)-1</f>
        <v>4</v>
      </c>
      <c r="C1631" s="2">
        <f>COUNTIF(A$1:A1631,A1631)-1</f>
        <v>3</v>
      </c>
      <c r="D1631" s="2" t="str">
        <f t="shared" si="25"/>
        <v>v</v>
      </c>
      <c r="E1631" s="2" t="e">
        <f>CUBEKPIMEMBER(#REF!,#REF!,#REF!)</f>
        <v>#REF!</v>
      </c>
      <c r="F1631" s="2" t="e">
        <f>CUBEKPIMEMBER(#REF!,#REF!,+F1631:G1631,#REF!)</f>
        <v>#REF!</v>
      </c>
      <c r="H1631" s="2" t="e">
        <f>CUBEKPIMEMBER(#REF!,#REF!,H1631:I1631,#REF!)</f>
        <v>#REF!</v>
      </c>
      <c r="J1631" s="2" t="e">
        <f>CUBEKPIMEMBER(#REF!,#REF!,INDIRECT(J1631:K1631),#REF!)</f>
        <v>#REF!</v>
      </c>
      <c r="L1631" s="2">
        <f>TYPE(INDEX(,CUBEKPIMEMBER(#REF!,#REF!,OFFSET(INDEX(1,),,),#REF!)))</f>
        <v>64</v>
      </c>
    </row>
    <row r="1632" spans="1:12" x14ac:dyDescent="0.55000000000000004">
      <c r="A1632" s="1" t="s">
        <v>1907</v>
      </c>
      <c r="B1632" s="2">
        <f>COUNTIF(A:A,A1632)-1</f>
        <v>4</v>
      </c>
      <c r="C1632" s="2">
        <f>COUNTIF(A$1:A1632,A1632)-1</f>
        <v>4</v>
      </c>
      <c r="D1632" s="2" t="str">
        <f t="shared" si="25"/>
        <v>v</v>
      </c>
      <c r="E1632" s="2" t="e">
        <f>CUBEKPIMEMBER(#REF!,#REF!,#REF!,#REF!)</f>
        <v>#REF!</v>
      </c>
      <c r="F1632" s="2" t="e">
        <f>CUBEKPIMEMBER(#REF!,#REF!,#REF!,+F1632:G1632)</f>
        <v>#REF!</v>
      </c>
      <c r="H1632" s="2" t="e">
        <f>CUBEKPIMEMBER(#REF!,#REF!,#REF!,H1632:I1632)</f>
        <v>#REF!</v>
      </c>
      <c r="J1632" s="2" t="e">
        <f>CUBEKPIMEMBER(#REF!,#REF!,#REF!,INDIRECT(J1632:K1632))</f>
        <v>#REF!</v>
      </c>
      <c r="L1632" s="2">
        <f>TYPE(INDEX(,CUBEKPIMEMBER(#REF!,#REF!,#REF!,OFFSET(INDEX(1,),,))))</f>
        <v>64</v>
      </c>
    </row>
    <row r="1633" spans="1:12" x14ac:dyDescent="0.55000000000000004">
      <c r="A1633" s="1" t="s">
        <v>1908</v>
      </c>
      <c r="B1633" s="2">
        <f>COUNTIF(A:A,A1633)-1</f>
        <v>5</v>
      </c>
      <c r="C1633" s="2">
        <f>COUNTIF(A$1:A1633,A1633)-1</f>
        <v>0</v>
      </c>
      <c r="D1633" s="2" t="str">
        <f t="shared" si="25"/>
        <v/>
      </c>
      <c r="E1633" s="2"/>
      <c r="F1633" s="2"/>
      <c r="H1633" s="2"/>
      <c r="J1633" s="2"/>
      <c r="L1633" s="2"/>
    </row>
    <row r="1634" spans="1:12" x14ac:dyDescent="0.55000000000000004">
      <c r="A1634" s="1" t="s">
        <v>1908</v>
      </c>
      <c r="B1634" s="2">
        <f>COUNTIF(A:A,A1634)-1</f>
        <v>5</v>
      </c>
      <c r="C1634" s="2">
        <f>COUNTIF(A$1:A1634,A1634)-1</f>
        <v>1</v>
      </c>
      <c r="D1634" s="2" t="str">
        <f t="shared" si="25"/>
        <v>v</v>
      </c>
      <c r="E1634" s="2"/>
      <c r="F1634" s="2" t="e">
        <f>CUBESET(+F1634:G1634,#REF!,#REF!,#REF!,#REF!)</f>
        <v>#REF!</v>
      </c>
      <c r="H1634" s="2" t="e">
        <f>CUBESET(H1634:I1634,#REF!,#REF!,#REF!,#REF!)</f>
        <v>#REF!</v>
      </c>
      <c r="J1634" s="2" t="e">
        <f>CUBESET(INDIRECT(J1634:K1634),#REF!,#REF!,#REF!,#REF!)</f>
        <v>#REF!</v>
      </c>
      <c r="L1634" s="2">
        <f>TYPE(INDEX(,CUBESET(OFFSET(INDEX(1,),,),#REF!,#REF!,#REF!,#REF!)))</f>
        <v>64</v>
      </c>
    </row>
    <row r="1635" spans="1:12" x14ac:dyDescent="0.55000000000000004">
      <c r="A1635" s="1" t="s">
        <v>1908</v>
      </c>
      <c r="B1635" s="2">
        <f>COUNTIF(A:A,A1635)-1</f>
        <v>5</v>
      </c>
      <c r="C1635" s="2">
        <f>COUNTIF(A$1:A1635,A1635)-1</f>
        <v>2</v>
      </c>
      <c r="D1635" s="2" t="str">
        <f t="shared" si="25"/>
        <v>var</v>
      </c>
      <c r="E1635" s="2" t="e">
        <f>CUBESET(#REF!,#REF!)</f>
        <v>#REF!</v>
      </c>
      <c r="F1635" s="2" t="e">
        <f>CUBESET(#REF!,+F1635:G1635,#REF!,#REF!,#REF!)</f>
        <v>#REF!</v>
      </c>
      <c r="H1635" s="2" t="e">
        <f>CUBESET(#REF!,H1635:I1635,#REF!,#REF!,#REF!)</f>
        <v>#REF!</v>
      </c>
      <c r="I1635" s="1">
        <v>1</v>
      </c>
      <c r="J1635" s="2" t="e">
        <f>CUBESET(#REF!,INDIRECT(J1635:K1635),#REF!,#REF!,#REF!)</f>
        <v>#REF!</v>
      </c>
      <c r="L1635" s="2">
        <f>TYPE(INDEX(,CUBESET(#REF!,OFFSET(INDEX(1,),,),#REF!,#REF!,#REF!)))</f>
        <v>16</v>
      </c>
    </row>
    <row r="1636" spans="1:12" x14ac:dyDescent="0.55000000000000004">
      <c r="A1636" s="1" t="s">
        <v>1908</v>
      </c>
      <c r="B1636" s="2">
        <f>COUNTIF(A:A,A1636)-1</f>
        <v>5</v>
      </c>
      <c r="C1636" s="2">
        <f>COUNTIF(A$1:A1636,A1636)-1</f>
        <v>3</v>
      </c>
      <c r="D1636" s="2" t="str">
        <f t="shared" si="25"/>
        <v>v</v>
      </c>
      <c r="E1636" s="2" t="e">
        <f>CUBESET(#REF!,#REF!,#REF!)</f>
        <v>#REF!</v>
      </c>
      <c r="F1636" s="2" t="e">
        <f>CUBESET(#REF!,#REF!,+F1636:G1636,#REF!,#REF!)</f>
        <v>#REF!</v>
      </c>
      <c r="H1636" s="2" t="e">
        <f>CUBESET(#REF!,#REF!,H1636:I1636,#REF!,#REF!)</f>
        <v>#REF!</v>
      </c>
      <c r="J1636" s="2" t="e">
        <f>CUBESET(#REF!,#REF!,INDIRECT(J1636:K1636),#REF!,#REF!)</f>
        <v>#REF!</v>
      </c>
      <c r="L1636" s="2">
        <f>TYPE(INDEX(,CUBESET(#REF!,#REF!,OFFSET(INDEX(1,),,),#REF!,#REF!)))</f>
        <v>64</v>
      </c>
    </row>
    <row r="1637" spans="1:12" x14ac:dyDescent="0.55000000000000004">
      <c r="A1637" s="1" t="s">
        <v>1908</v>
      </c>
      <c r="B1637" s="2">
        <f>COUNTIF(A:A,A1637)-1</f>
        <v>5</v>
      </c>
      <c r="C1637" s="2">
        <f>COUNTIF(A$1:A1637,A1637)-1</f>
        <v>4</v>
      </c>
      <c r="D1637" s="2" t="str">
        <f t="shared" si="25"/>
        <v>v</v>
      </c>
      <c r="E1637" s="2" t="e">
        <f>CUBESET(#REF!,#REF!,#REF!,#REF!)</f>
        <v>#REF!</v>
      </c>
      <c r="F1637" s="2" t="e">
        <f>CUBESET(#REF!,#REF!,#REF!,+F1637:G1637,#REF!)</f>
        <v>#REF!</v>
      </c>
      <c r="H1637" s="2" t="e">
        <f>CUBESET(#REF!,#REF!,#REF!,H1637:I1637,#REF!)</f>
        <v>#REF!</v>
      </c>
      <c r="J1637" s="2" t="e">
        <f>CUBESET(#REF!,#REF!,#REF!,INDIRECT(J1637:K1637),#REF!)</f>
        <v>#REF!</v>
      </c>
      <c r="L1637" s="2">
        <f>TYPE(INDEX(,CUBESET(#REF!,#REF!,#REF!,OFFSET(INDEX(1,),,),#REF!)))</f>
        <v>64</v>
      </c>
    </row>
    <row r="1638" spans="1:12" x14ac:dyDescent="0.55000000000000004">
      <c r="A1638" s="1" t="s">
        <v>1908</v>
      </c>
      <c r="B1638" s="2">
        <f>COUNTIF(A:A,A1638)-1</f>
        <v>5</v>
      </c>
      <c r="C1638" s="2">
        <f>COUNTIF(A$1:A1638,A1638)-1</f>
        <v>5</v>
      </c>
      <c r="D1638" s="2" t="str">
        <f t="shared" si="25"/>
        <v>v</v>
      </c>
      <c r="E1638" s="2" t="e">
        <f>CUBESET(#REF!,#REF!,#REF!,#REF!,#REF!)</f>
        <v>#REF!</v>
      </c>
      <c r="F1638" s="2" t="e">
        <f>CUBESET(#REF!,#REF!,#REF!,#REF!,+F1638:G1638)</f>
        <v>#REF!</v>
      </c>
      <c r="H1638" s="2" t="e">
        <f>CUBESET(#REF!,#REF!,#REF!,#REF!,H1638:I1638)</f>
        <v>#REF!</v>
      </c>
      <c r="J1638" s="2" t="e">
        <f>CUBESET(#REF!,#REF!,#REF!,#REF!,INDIRECT(J1638:K1638))</f>
        <v>#REF!</v>
      </c>
      <c r="L1638" s="2">
        <f>TYPE(INDEX(,CUBESET(#REF!,#REF!,#REF!,#REF!,OFFSET(INDEX(1,),,))))</f>
        <v>64</v>
      </c>
    </row>
    <row r="1639" spans="1:12" x14ac:dyDescent="0.55000000000000004">
      <c r="A1639" s="1" t="s">
        <v>1909</v>
      </c>
      <c r="B1639" s="2">
        <f>COUNTIF(A:A,A1639)-1</f>
        <v>1</v>
      </c>
      <c r="C1639" s="2">
        <f>COUNTIF(A$1:A1639,A1639)-1</f>
        <v>0</v>
      </c>
      <c r="D1639" s="2" t="str">
        <f t="shared" si="25"/>
        <v/>
      </c>
      <c r="E1639" s="2"/>
      <c r="F1639" s="2"/>
      <c r="H1639" s="2"/>
      <c r="J1639" s="2"/>
      <c r="L1639" s="2"/>
    </row>
    <row r="1640" spans="1:12" x14ac:dyDescent="0.55000000000000004">
      <c r="A1640" s="1" t="s">
        <v>1909</v>
      </c>
      <c r="B1640" s="2">
        <f>COUNTIF(A:A,A1640)-1</f>
        <v>1</v>
      </c>
      <c r="C1640" s="2">
        <f>COUNTIF(A$1:A1640,A1640)-1</f>
        <v>1</v>
      </c>
      <c r="D1640" s="2" t="str">
        <f t="shared" si="25"/>
        <v>v</v>
      </c>
      <c r="E1640" s="2" t="e">
        <f>CUBESETCOUNT(#REF!)</f>
        <v>#REF!</v>
      </c>
      <c r="F1640" s="2" t="e">
        <f>CUBESETCOUNT(+F1640:G1640)</f>
        <v>#N/A</v>
      </c>
      <c r="H1640" s="2" t="e">
        <f>CUBESETCOUNT(H1640:I1640)</f>
        <v>#N/A</v>
      </c>
      <c r="J1640" s="2" t="e">
        <f>CUBESETCOUNT(INDIRECT(J1640:K1640))</f>
        <v>#REF!</v>
      </c>
      <c r="L1640" s="2">
        <f>TYPE(INDEX(,CUBESETCOUNT(OFFSET(INDEX(1,),,))))</f>
        <v>64</v>
      </c>
    </row>
    <row r="1641" spans="1:12" x14ac:dyDescent="0.55000000000000004">
      <c r="A1641" s="1" t="s">
        <v>1910</v>
      </c>
      <c r="B1641" s="2">
        <f>COUNTIF(A:A,A1641)-1</f>
        <v>2</v>
      </c>
      <c r="C1641" s="2">
        <f>COUNTIF(A$1:A1641,A1641)-1</f>
        <v>0</v>
      </c>
      <c r="D1641" s="2" t="str">
        <f t="shared" si="25"/>
        <v/>
      </c>
      <c r="E1641" s="2"/>
      <c r="F1641" s="2"/>
      <c r="H1641" s="2"/>
      <c r="J1641" s="2"/>
      <c r="L1641" s="2"/>
    </row>
    <row r="1642" spans="1:12" x14ac:dyDescent="0.55000000000000004">
      <c r="A1642" s="1" t="s">
        <v>1910</v>
      </c>
      <c r="B1642" s="2">
        <f>COUNTIF(A:A,A1642)-1</f>
        <v>2</v>
      </c>
      <c r="C1642" s="2">
        <f>COUNTIF(A$1:A1642,A1642)-1</f>
        <v>1</v>
      </c>
      <c r="D1642" s="2" t="str">
        <f t="shared" si="25"/>
        <v>va</v>
      </c>
      <c r="E1642" s="2"/>
      <c r="F1642" s="2">
        <f>IFERROR(+F1642:G1642,#REF!)</f>
        <v>0</v>
      </c>
      <c r="H1642" s="2">
        <f>IFERROR(H1642:I1642,#REF!)</f>
        <v>0</v>
      </c>
      <c r="J1642" s="2" t="e">
        <f>IFERROR(INDIRECT(J1642:K1642),#REF!)</f>
        <v>#REF!</v>
      </c>
      <c r="L1642" s="2">
        <f>TYPE(INDEX(,IFERROR(OFFSET(INDEX(1,),,),#REF!)))</f>
        <v>16</v>
      </c>
    </row>
    <row r="1643" spans="1:12" x14ac:dyDescent="0.55000000000000004">
      <c r="A1643" s="1" t="s">
        <v>1910</v>
      </c>
      <c r="B1643" s="2">
        <f>COUNTIF(A:A,A1643)-1</f>
        <v>2</v>
      </c>
      <c r="C1643" s="2">
        <f>COUNTIF(A$1:A1643,A1643)-1</f>
        <v>2</v>
      </c>
      <c r="D1643" s="2" t="str">
        <f t="shared" si="25"/>
        <v>var</v>
      </c>
      <c r="E1643" s="2" t="e">
        <f>IFERROR(#REF!,#REF!)</f>
        <v>#REF!</v>
      </c>
      <c r="F1643" s="2">
        <f>IFERROR(#REF!,+F1643:G1643)</f>
        <v>0</v>
      </c>
      <c r="H1643" s="2">
        <f>IFERROR(#REF!,H1643:I1643)</f>
        <v>0</v>
      </c>
      <c r="I1643" s="1">
        <v>1</v>
      </c>
      <c r="J1643" s="2" t="e">
        <f>IFERROR(#REF!,INDIRECT(J1643:K1643))</f>
        <v>#REF!</v>
      </c>
      <c r="L1643" s="2">
        <f>TYPE(INDEX(,IFERROR(#REF!,OFFSET(INDEX(1,),,))))</f>
        <v>16</v>
      </c>
    </row>
    <row r="1644" spans="1:12" x14ac:dyDescent="0.55000000000000004">
      <c r="A1644" s="1" t="s">
        <v>1911</v>
      </c>
      <c r="B1644" s="2">
        <f>COUNTIF(A:A,A1644)-1</f>
        <v>4</v>
      </c>
      <c r="C1644" s="2">
        <f>COUNTIF(A$1:A1644,A1644)-1</f>
        <v>0</v>
      </c>
      <c r="D1644" s="2" t="str">
        <f t="shared" si="25"/>
        <v/>
      </c>
      <c r="E1644" s="2"/>
      <c r="F1644" s="2"/>
      <c r="H1644" s="2"/>
      <c r="J1644" s="2"/>
      <c r="L1644" s="2"/>
    </row>
    <row r="1645" spans="1:12" x14ac:dyDescent="0.55000000000000004">
      <c r="A1645" s="1" t="s">
        <v>1911</v>
      </c>
      <c r="B1645" s="2">
        <f>COUNTIF(A:A,A1645)-1</f>
        <v>4</v>
      </c>
      <c r="C1645" s="2">
        <f>COUNTIF(A$1:A1645,A1645)-1</f>
        <v>1</v>
      </c>
      <c r="D1645" s="2" t="str">
        <f t="shared" si="25"/>
        <v>r</v>
      </c>
      <c r="E1645" s="2"/>
      <c r="F1645" s="2"/>
      <c r="H1645" s="2" t="e">
        <f>COUNTIFS(H1645:I1645,#REF!,#REF!,#REF!)</f>
        <v>#REF!</v>
      </c>
      <c r="I1645" s="1">
        <v>1</v>
      </c>
      <c r="J1645" s="2" t="e">
        <f>COUNTIFS(INDIRECT(J1645:K1645),#REF!,#REF!,#REF!)</f>
        <v>#REF!</v>
      </c>
      <c r="L1645" s="2">
        <f>TYPE(INDEX(,COUNTIFS(OFFSET(INDEX(1,),,),#REF!,#REF!,#REF!)))</f>
        <v>64</v>
      </c>
    </row>
    <row r="1646" spans="1:12" x14ac:dyDescent="0.55000000000000004">
      <c r="A1646" s="1" t="s">
        <v>1911</v>
      </c>
      <c r="B1646" s="2">
        <f>COUNTIF(A:A,A1646)-1</f>
        <v>4</v>
      </c>
      <c r="C1646" s="2">
        <f>COUNTIF(A$1:A1646,A1646)-1</f>
        <v>2</v>
      </c>
      <c r="D1646" s="2" t="str">
        <f t="shared" si="25"/>
        <v>v</v>
      </c>
      <c r="E1646" s="2" t="e">
        <f>COUNTIFS(#REF!,#REF!)</f>
        <v>#REF!</v>
      </c>
      <c r="F1646" s="2" t="e">
        <f>COUNTIFS(#REF!,+F1646:G1646,#REF!,#REF!)</f>
        <v>#REF!</v>
      </c>
      <c r="H1646" s="2" t="e">
        <f>COUNTIFS(#REF!,H1646:I1646,#REF!,#REF!)</f>
        <v>#REF!</v>
      </c>
      <c r="J1646" s="2" t="e">
        <f>COUNTIFS(#REF!,INDIRECT(J1646:K1646),#REF!,#REF!)</f>
        <v>#REF!</v>
      </c>
      <c r="L1646" s="2">
        <f>TYPE(INDEX(,COUNTIFS(#REF!,OFFSET(INDEX(1,),,),#REF!,#REF!)))</f>
        <v>64</v>
      </c>
    </row>
    <row r="1647" spans="1:12" x14ac:dyDescent="0.55000000000000004">
      <c r="A1647" s="1" t="s">
        <v>1911</v>
      </c>
      <c r="B1647" s="2">
        <f>COUNTIF(A:A,A1647)-1</f>
        <v>4</v>
      </c>
      <c r="C1647" s="2">
        <f>COUNTIF(A$1:A1647,A1647)-1</f>
        <v>3</v>
      </c>
      <c r="D1647" s="2" t="str">
        <f t="shared" si="25"/>
        <v>r</v>
      </c>
      <c r="E1647" s="2"/>
      <c r="F1647" s="2"/>
      <c r="H1647" s="2" t="e">
        <f>COUNTIFS(#REF!,#REF!,H1647:I1647,#REF!)</f>
        <v>#REF!</v>
      </c>
      <c r="I1647" s="1">
        <v>1</v>
      </c>
      <c r="J1647" s="2" t="e">
        <f>COUNTIFS(#REF!,#REF!,INDIRECT(J1647:K1647),#REF!)</f>
        <v>#REF!</v>
      </c>
      <c r="L1647" s="2">
        <f>TYPE(INDEX(,COUNTIFS(#REF!,#REF!,OFFSET(INDEX(1,),,),#REF!)))</f>
        <v>64</v>
      </c>
    </row>
    <row r="1648" spans="1:12" x14ac:dyDescent="0.55000000000000004">
      <c r="A1648" s="1" t="s">
        <v>1911</v>
      </c>
      <c r="B1648" s="2">
        <f>COUNTIF(A:A,A1648)-1</f>
        <v>4</v>
      </c>
      <c r="C1648" s="2">
        <f>COUNTIF(A$1:A1648,A1648)-1</f>
        <v>4</v>
      </c>
      <c r="D1648" s="2" t="str">
        <f t="shared" si="25"/>
        <v>v</v>
      </c>
      <c r="E1648" s="2" t="e">
        <f>COUNTIFS(#REF!,#REF!,#REF!,#REF!)</f>
        <v>#REF!</v>
      </c>
      <c r="F1648" s="2" t="e">
        <f>COUNTIFS(#REF!,#REF!,#REF!,+F1648:G1648)</f>
        <v>#REF!</v>
      </c>
      <c r="H1648" s="2" t="e">
        <f>COUNTIFS(#REF!,#REF!,#REF!,H1648:I1648)</f>
        <v>#REF!</v>
      </c>
      <c r="J1648" s="2" t="e">
        <f>COUNTIFS(#REF!,#REF!,#REF!,INDIRECT(J1648:K1648))</f>
        <v>#REF!</v>
      </c>
      <c r="L1648" s="2">
        <f>TYPE(INDEX(,COUNTIFS(#REF!,#REF!,#REF!,OFFSET(INDEX(1,),,))))</f>
        <v>64</v>
      </c>
    </row>
    <row r="1649" spans="1:12" x14ac:dyDescent="0.55000000000000004">
      <c r="A1649" s="1" t="s">
        <v>1912</v>
      </c>
      <c r="B1649" s="2">
        <f>COUNTIF(A:A,A1649)-1</f>
        <v>5</v>
      </c>
      <c r="C1649" s="2">
        <f>COUNTIF(A$1:A1649,A1649)-1</f>
        <v>0</v>
      </c>
      <c r="D1649" s="2" t="str">
        <f t="shared" si="25"/>
        <v/>
      </c>
      <c r="E1649" s="2"/>
      <c r="F1649" s="2"/>
      <c r="H1649" s="2"/>
      <c r="J1649" s="2"/>
      <c r="L1649" s="2"/>
    </row>
    <row r="1650" spans="1:12" x14ac:dyDescent="0.55000000000000004">
      <c r="A1650" s="1" t="s">
        <v>1912</v>
      </c>
      <c r="B1650" s="2">
        <f>COUNTIF(A:A,A1650)-1</f>
        <v>5</v>
      </c>
      <c r="C1650" s="2">
        <f>COUNTIF(A$1:A1650,A1650)-1</f>
        <v>1</v>
      </c>
      <c r="D1650" s="2" t="str">
        <f t="shared" si="25"/>
        <v>r</v>
      </c>
      <c r="E1650" s="2"/>
      <c r="F1650" s="2"/>
      <c r="H1650" s="2" t="e">
        <f>SUMIFS(H1650:I1650,#REF!,#REF!,#REF!,#REF!)</f>
        <v>#REF!</v>
      </c>
      <c r="I1650" s="1">
        <v>1</v>
      </c>
      <c r="J1650" s="2" t="e">
        <f>SUMIFS(INDIRECT(J1650:K1650),#REF!,#REF!,#REF!,#REF!)</f>
        <v>#REF!</v>
      </c>
      <c r="L1650" s="2">
        <f>TYPE(INDEX(,SUMIFS(OFFSET(INDEX(1,),,),#REF!,#REF!,#REF!,#REF!)))</f>
        <v>64</v>
      </c>
    </row>
    <row r="1651" spans="1:12" x14ac:dyDescent="0.55000000000000004">
      <c r="A1651" s="1" t="s">
        <v>1912</v>
      </c>
      <c r="B1651" s="2">
        <f>COUNTIF(A:A,A1651)-1</f>
        <v>5</v>
      </c>
      <c r="C1651" s="2">
        <f>COUNTIF(A$1:A1651,A1651)-1</f>
        <v>2</v>
      </c>
      <c r="D1651" s="2" t="str">
        <f t="shared" si="25"/>
        <v>r</v>
      </c>
      <c r="E1651" s="2"/>
      <c r="F1651" s="2"/>
      <c r="H1651" s="2" t="e">
        <f>SUMIFS(#REF!,H1651:I1651,#REF!,#REF!,#REF!)</f>
        <v>#REF!</v>
      </c>
      <c r="I1651" s="1">
        <v>1</v>
      </c>
      <c r="J1651" s="2" t="e">
        <f>SUMIFS(#REF!,INDIRECT(J1651:K1651),#REF!,#REF!,#REF!)</f>
        <v>#REF!</v>
      </c>
      <c r="L1651" s="2">
        <f>TYPE(INDEX(,SUMIFS(#REF!,OFFSET(INDEX(1,),,),#REF!,#REF!,#REF!)))</f>
        <v>64</v>
      </c>
    </row>
    <row r="1652" spans="1:12" x14ac:dyDescent="0.55000000000000004">
      <c r="A1652" s="1" t="s">
        <v>1912</v>
      </c>
      <c r="B1652" s="2">
        <f>COUNTIF(A:A,A1652)-1</f>
        <v>5</v>
      </c>
      <c r="C1652" s="2">
        <f>COUNTIF(A$1:A1652,A1652)-1</f>
        <v>3</v>
      </c>
      <c r="D1652" s="2" t="str">
        <f t="shared" si="25"/>
        <v>v</v>
      </c>
      <c r="E1652" s="2" t="e">
        <f>SUMIFS(#REF!,#REF!,#REF!)</f>
        <v>#REF!</v>
      </c>
      <c r="F1652" s="2" t="e">
        <f>SUMIFS(#REF!,#REF!,+F1652:G1652,#REF!,#REF!)</f>
        <v>#REF!</v>
      </c>
      <c r="H1652" s="2" t="e">
        <f>SUMIFS(#REF!,#REF!,H1652:I1652,#REF!,#REF!)</f>
        <v>#REF!</v>
      </c>
      <c r="J1652" s="2" t="e">
        <f>SUMIFS(#REF!,#REF!,INDIRECT(J1652:K1652),#REF!,#REF!)</f>
        <v>#REF!</v>
      </c>
      <c r="L1652" s="2">
        <f>TYPE(INDEX(,SUMIFS(#REF!,#REF!,OFFSET(INDEX(1,),,),#REF!,#REF!)))</f>
        <v>64</v>
      </c>
    </row>
    <row r="1653" spans="1:12" x14ac:dyDescent="0.55000000000000004">
      <c r="A1653" s="1" t="s">
        <v>1912</v>
      </c>
      <c r="B1653" s="2">
        <f>COUNTIF(A:A,A1653)-1</f>
        <v>5</v>
      </c>
      <c r="C1653" s="2">
        <f>COUNTIF(A$1:A1653,A1653)-1</f>
        <v>4</v>
      </c>
      <c r="D1653" s="2" t="str">
        <f t="shared" si="25"/>
        <v>r</v>
      </c>
      <c r="E1653" s="2"/>
      <c r="F1653" s="2"/>
      <c r="H1653" s="2" t="e">
        <f>SUMIFS(#REF!,#REF!,#REF!,H1653:I1653,#REF!)</f>
        <v>#REF!</v>
      </c>
      <c r="I1653" s="1">
        <v>1</v>
      </c>
      <c r="J1653" s="2" t="e">
        <f>SUMIFS(#REF!,#REF!,#REF!,INDIRECT(J1653:K1653),#REF!)</f>
        <v>#REF!</v>
      </c>
      <c r="L1653" s="2">
        <f>TYPE(INDEX(,SUMIFS(#REF!,#REF!,#REF!,OFFSET(INDEX(1,),,),#REF!)))</f>
        <v>64</v>
      </c>
    </row>
    <row r="1654" spans="1:12" x14ac:dyDescent="0.55000000000000004">
      <c r="A1654" s="1" t="s">
        <v>1912</v>
      </c>
      <c r="B1654" s="2">
        <f>COUNTIF(A:A,A1654)-1</f>
        <v>5</v>
      </c>
      <c r="C1654" s="2">
        <f>COUNTIF(A$1:A1654,A1654)-1</f>
        <v>5</v>
      </c>
      <c r="D1654" s="2" t="str">
        <f t="shared" si="25"/>
        <v>v</v>
      </c>
      <c r="E1654" s="2" t="e">
        <f>SUMIFS(#REF!,#REF!,#REF!,#REF!,#REF!)</f>
        <v>#REF!</v>
      </c>
      <c r="F1654" s="2" t="e">
        <f>SUMIFS(#REF!,#REF!,#REF!,#REF!,+F1654:G1654)</f>
        <v>#REF!</v>
      </c>
      <c r="H1654" s="2" t="e">
        <f>SUMIFS(#REF!,#REF!,#REF!,#REF!,H1654:I1654)</f>
        <v>#REF!</v>
      </c>
      <c r="J1654" s="2" t="e">
        <f>SUMIFS(#REF!,#REF!,#REF!,#REF!,INDIRECT(J1654:K1654))</f>
        <v>#REF!</v>
      </c>
      <c r="L1654" s="2">
        <f>TYPE(INDEX(,SUMIFS(#REF!,#REF!,#REF!,#REF!,OFFSET(INDEX(1,),,))))</f>
        <v>64</v>
      </c>
    </row>
    <row r="1655" spans="1:12" x14ac:dyDescent="0.55000000000000004">
      <c r="A1655" s="1" t="s">
        <v>1913</v>
      </c>
      <c r="B1655" s="2">
        <f>COUNTIF(A:A,A1655)-1</f>
        <v>3</v>
      </c>
      <c r="C1655" s="2">
        <f>COUNTIF(A$1:A1655,A1655)-1</f>
        <v>0</v>
      </c>
      <c r="D1655" s="2" t="str">
        <f t="shared" si="25"/>
        <v/>
      </c>
      <c r="E1655" s="2"/>
      <c r="F1655" s="2"/>
      <c r="H1655" s="2"/>
      <c r="J1655" s="2"/>
      <c r="L1655" s="2"/>
    </row>
    <row r="1656" spans="1:12" x14ac:dyDescent="0.55000000000000004">
      <c r="A1656" s="1" t="s">
        <v>1913</v>
      </c>
      <c r="B1656" s="2">
        <f>COUNTIF(A:A,A1656)-1</f>
        <v>3</v>
      </c>
      <c r="C1656" s="2">
        <f>COUNTIF(A$1:A1656,A1656)-1</f>
        <v>1</v>
      </c>
      <c r="D1656" s="2" t="str">
        <f t="shared" si="25"/>
        <v>r</v>
      </c>
      <c r="E1656" s="2"/>
      <c r="F1656" s="2"/>
      <c r="H1656" s="2" t="e">
        <f>AVERAGEIF(H1656:I1656,#REF!,#REF!)</f>
        <v>#REF!</v>
      </c>
      <c r="I1656" s="1">
        <v>1</v>
      </c>
      <c r="J1656" s="2" t="e">
        <f>AVERAGEIF(INDIRECT(J1656:K1656),#REF!,#REF!)</f>
        <v>#REF!</v>
      </c>
      <c r="L1656" s="2">
        <f>TYPE(INDEX(,AVERAGEIF(OFFSET(INDEX(1,),,),#REF!,#REF!)))</f>
        <v>64</v>
      </c>
    </row>
    <row r="1657" spans="1:12" x14ac:dyDescent="0.55000000000000004">
      <c r="A1657" s="1" t="s">
        <v>1913</v>
      </c>
      <c r="B1657" s="2">
        <f>COUNTIF(A:A,A1657)-1</f>
        <v>3</v>
      </c>
      <c r="C1657" s="2">
        <f>COUNTIF(A$1:A1657,A1657)-1</f>
        <v>2</v>
      </c>
      <c r="D1657" s="2" t="str">
        <f t="shared" si="25"/>
        <v>v</v>
      </c>
      <c r="E1657" s="2" t="e">
        <f>AVERAGEIF(#REF!,#REF!)</f>
        <v>#REF!</v>
      </c>
      <c r="F1657" s="2" t="e">
        <f>AVERAGEIF(#REF!,+F1657:G1657,#REF!)</f>
        <v>#REF!</v>
      </c>
      <c r="H1657" s="2" t="e">
        <f>AVERAGEIF(#REF!,H1657:I1657,#REF!)</f>
        <v>#REF!</v>
      </c>
      <c r="J1657" s="2" t="e">
        <f>AVERAGEIF(#REF!,INDIRECT(J1657:K1657),#REF!)</f>
        <v>#REF!</v>
      </c>
      <c r="L1657" s="2">
        <f>TYPE(INDEX(,AVERAGEIF(#REF!,OFFSET(INDEX(1,),,),#REF!)))</f>
        <v>64</v>
      </c>
    </row>
    <row r="1658" spans="1:12" x14ac:dyDescent="0.55000000000000004">
      <c r="A1658" s="1" t="s">
        <v>1913</v>
      </c>
      <c r="B1658" s="2">
        <f>COUNTIF(A:A,A1658)-1</f>
        <v>3</v>
      </c>
      <c r="C1658" s="2">
        <f>COUNTIF(A$1:A1658,A1658)-1</f>
        <v>3</v>
      </c>
      <c r="D1658" s="2" t="str">
        <f t="shared" si="25"/>
        <v>r</v>
      </c>
      <c r="E1658" s="2" t="e">
        <f>AVERAGEIF(#REF!,#REF!,#REF!)</f>
        <v>#REF!</v>
      </c>
      <c r="F1658" s="2"/>
      <c r="H1658" s="2" t="e">
        <f>AVERAGEIF(#REF!,#REF!,H1658:I1658)</f>
        <v>#REF!</v>
      </c>
      <c r="I1658" s="1">
        <v>1</v>
      </c>
      <c r="J1658" s="2" t="e">
        <f>AVERAGEIF(#REF!,#REF!,INDIRECT(J1658:K1658))</f>
        <v>#REF!</v>
      </c>
      <c r="L1658" s="2">
        <f>TYPE(INDEX(,AVERAGEIF(#REF!,#REF!,OFFSET(INDEX(1,),,))))</f>
        <v>64</v>
      </c>
    </row>
    <row r="1659" spans="1:12" x14ac:dyDescent="0.55000000000000004">
      <c r="A1659" s="1" t="s">
        <v>1914</v>
      </c>
      <c r="B1659" s="2">
        <f>COUNTIF(A:A,A1659)-1</f>
        <v>5</v>
      </c>
      <c r="C1659" s="2">
        <f>COUNTIF(A$1:A1659,A1659)-1</f>
        <v>0</v>
      </c>
      <c r="D1659" s="2" t="str">
        <f t="shared" si="25"/>
        <v/>
      </c>
      <c r="E1659" s="2"/>
      <c r="F1659" s="2"/>
      <c r="H1659" s="2"/>
      <c r="J1659" s="2"/>
      <c r="L1659" s="2"/>
    </row>
    <row r="1660" spans="1:12" x14ac:dyDescent="0.55000000000000004">
      <c r="A1660" s="1" t="s">
        <v>1914</v>
      </c>
      <c r="B1660" s="2">
        <f>COUNTIF(A:A,A1660)-1</f>
        <v>5</v>
      </c>
      <c r="C1660" s="2">
        <f>COUNTIF(A$1:A1660,A1660)-1</f>
        <v>1</v>
      </c>
      <c r="D1660" s="2" t="str">
        <f t="shared" si="25"/>
        <v>r</v>
      </c>
      <c r="E1660" s="2"/>
      <c r="F1660" s="2"/>
      <c r="H1660" s="2" t="e">
        <f>AVERAGEIFS(H1660:I1660,#REF!,#REF!,#REF!,#REF!)</f>
        <v>#REF!</v>
      </c>
      <c r="I1660" s="1">
        <v>1</v>
      </c>
      <c r="J1660" s="2" t="e">
        <f>AVERAGEIFS(INDIRECT(J1660:K1660),#REF!,#REF!,#REF!,#REF!)</f>
        <v>#REF!</v>
      </c>
      <c r="L1660" s="2">
        <f>TYPE(INDEX(,AVERAGEIFS(OFFSET(INDEX(1,),,),#REF!,#REF!,#REF!,#REF!)))</f>
        <v>64</v>
      </c>
    </row>
    <row r="1661" spans="1:12" x14ac:dyDescent="0.55000000000000004">
      <c r="A1661" s="1" t="s">
        <v>1914</v>
      </c>
      <c r="B1661" s="2">
        <f>COUNTIF(A:A,A1661)-1</f>
        <v>5</v>
      </c>
      <c r="C1661" s="2">
        <f>COUNTIF(A$1:A1661,A1661)-1</f>
        <v>2</v>
      </c>
      <c r="D1661" s="2" t="str">
        <f t="shared" si="25"/>
        <v>r</v>
      </c>
      <c r="E1661" s="2"/>
      <c r="F1661" s="2"/>
      <c r="H1661" s="2" t="e">
        <f>AVERAGEIFS(#REF!,H1661:I1661,#REF!,#REF!,#REF!)</f>
        <v>#REF!</v>
      </c>
      <c r="I1661" s="1">
        <v>1</v>
      </c>
      <c r="J1661" s="2" t="e">
        <f>AVERAGEIFS(#REF!,INDIRECT(J1661:K1661),#REF!,#REF!,#REF!)</f>
        <v>#REF!</v>
      </c>
      <c r="L1661" s="2">
        <f>TYPE(INDEX(,AVERAGEIFS(#REF!,OFFSET(INDEX(1,),,),#REF!,#REF!,#REF!)))</f>
        <v>64</v>
      </c>
    </row>
    <row r="1662" spans="1:12" x14ac:dyDescent="0.55000000000000004">
      <c r="A1662" s="1" t="s">
        <v>1914</v>
      </c>
      <c r="B1662" s="2">
        <f>COUNTIF(A:A,A1662)-1</f>
        <v>5</v>
      </c>
      <c r="C1662" s="2">
        <f>COUNTIF(A$1:A1662,A1662)-1</f>
        <v>3</v>
      </c>
      <c r="D1662" s="2" t="str">
        <f t="shared" si="25"/>
        <v>v</v>
      </c>
      <c r="E1662" s="2" t="e">
        <f>AVERAGEIFS(#REF!,#REF!,#REF!)</f>
        <v>#REF!</v>
      </c>
      <c r="F1662" s="2" t="e">
        <f>AVERAGEIFS(#REF!,#REF!,+F1662:G1662,#REF!,#REF!)</f>
        <v>#REF!</v>
      </c>
      <c r="H1662" s="2" t="e">
        <f>AVERAGEIFS(#REF!,#REF!,H1662:I1662,#REF!,#REF!)</f>
        <v>#REF!</v>
      </c>
      <c r="J1662" s="2" t="e">
        <f>AVERAGEIFS(#REF!,#REF!,INDIRECT(J1662:K1662),#REF!,#REF!)</f>
        <v>#REF!</v>
      </c>
      <c r="L1662" s="2">
        <f>TYPE(INDEX(,AVERAGEIFS(#REF!,#REF!,OFFSET(INDEX(1,),,),#REF!,#REF!)))</f>
        <v>64</v>
      </c>
    </row>
    <row r="1663" spans="1:12" x14ac:dyDescent="0.55000000000000004">
      <c r="A1663" s="1" t="s">
        <v>1914</v>
      </c>
      <c r="B1663" s="2">
        <f>COUNTIF(A:A,A1663)-1</f>
        <v>5</v>
      </c>
      <c r="C1663" s="2">
        <f>COUNTIF(A$1:A1663,A1663)-1</f>
        <v>4</v>
      </c>
      <c r="D1663" s="2" t="str">
        <f t="shared" si="25"/>
        <v>r</v>
      </c>
      <c r="E1663" s="2"/>
      <c r="F1663" s="2"/>
      <c r="H1663" s="2" t="e">
        <f>AVERAGEIFS(#REF!,#REF!,#REF!,H1663:I1663,#REF!)</f>
        <v>#REF!</v>
      </c>
      <c r="I1663" s="1">
        <v>1</v>
      </c>
      <c r="J1663" s="2" t="e">
        <f>AVERAGEIFS(#REF!,#REF!,#REF!,INDIRECT(J1663:K1663),#REF!)</f>
        <v>#REF!</v>
      </c>
      <c r="L1663" s="2">
        <f>TYPE(INDEX(,AVERAGEIFS(#REF!,#REF!,#REF!,OFFSET(INDEX(1,),,),#REF!)))</f>
        <v>64</v>
      </c>
    </row>
    <row r="1664" spans="1:12" x14ac:dyDescent="0.55000000000000004">
      <c r="A1664" s="1" t="s">
        <v>1914</v>
      </c>
      <c r="B1664" s="2">
        <f>COUNTIF(A:A,A1664)-1</f>
        <v>5</v>
      </c>
      <c r="C1664" s="2">
        <f>COUNTIF(A$1:A1664,A1664)-1</f>
        <v>5</v>
      </c>
      <c r="D1664" s="2" t="str">
        <f t="shared" si="25"/>
        <v>v</v>
      </c>
      <c r="E1664" s="2" t="e">
        <f>AVERAGEIFS(#REF!,#REF!,#REF!,#REF!,#REF!)</f>
        <v>#REF!</v>
      </c>
      <c r="F1664" s="2" t="e">
        <f>AVERAGEIFS(#REF!,#REF!,#REF!,#REF!,+F1664:G1664)</f>
        <v>#REF!</v>
      </c>
      <c r="H1664" s="2" t="e">
        <f>AVERAGEIFS(#REF!,#REF!,#REF!,#REF!,H1664:I1664)</f>
        <v>#REF!</v>
      </c>
      <c r="J1664" s="2" t="e">
        <f>AVERAGEIFS(#REF!,#REF!,#REF!,#REF!,INDIRECT(J1664:K1664))</f>
        <v>#REF!</v>
      </c>
      <c r="L1664" s="2">
        <f>TYPE(INDEX(,AVERAGEIFS(#REF!,#REF!,#REF!,#REF!,OFFSET(INDEX(1,),,))))</f>
        <v>64</v>
      </c>
    </row>
    <row r="1665" spans="1:12" x14ac:dyDescent="0.55000000000000004">
      <c r="A1665" s="1" t="s">
        <v>1915</v>
      </c>
      <c r="B1665" s="2">
        <f>COUNTIF(A:A,A1665)-1</f>
        <v>6</v>
      </c>
      <c r="C1665" s="2">
        <f>COUNTIF(A$1:A1665,A1665)-1</f>
        <v>0</v>
      </c>
      <c r="D1665" s="2" t="str">
        <f t="shared" si="25"/>
        <v/>
      </c>
      <c r="E1665" s="2"/>
      <c r="F1665" s="2"/>
      <c r="H1665" s="2"/>
      <c r="J1665" s="2"/>
      <c r="L1665" s="2"/>
    </row>
    <row r="1666" spans="1:12" x14ac:dyDescent="0.55000000000000004">
      <c r="A1666" s="1" t="s">
        <v>1915</v>
      </c>
      <c r="B1666" s="2">
        <f>COUNTIF(A:A,A1666)-1</f>
        <v>6</v>
      </c>
      <c r="C1666" s="2">
        <f>COUNTIF(A$1:A1666,A1666)-1</f>
        <v>1</v>
      </c>
      <c r="D1666" s="2" t="str">
        <f t="shared" ref="D1666:D1729" si="26">IF(C1666&gt;0,IF(COUNTA(F1666:G1666)=1,"v",)&amp;IF(L1666=64,,"a")&amp;IF(COUNTA(I1666,K1666)=1,"r",),"")</f>
        <v>v</v>
      </c>
      <c r="E1666" s="2"/>
      <c r="F1666" s="2" t="e">
        <f>_xlfn.AGGREGATE(+F1666:G1666,#REF!,#REF!,#REF!,#REF!,#REF!)</f>
        <v>#REF!</v>
      </c>
      <c r="H1666" s="2" t="e">
        <f>_xlfn.AGGREGATE(H1666:I1666,#REF!,#REF!,#REF!,#REF!,#REF!)</f>
        <v>#REF!</v>
      </c>
      <c r="J1666" s="2" t="e">
        <f>_xlfn.AGGREGATE(INDIRECT(J1666:K1666),#REF!,#REF!,#REF!,#REF!,#REF!)</f>
        <v>#REF!</v>
      </c>
      <c r="L1666" s="2">
        <f>TYPE(INDEX(,_xlfn.AGGREGATE(OFFSET(INDEX(1,),,),#REF!,#REF!,#REF!,#REF!,#REF!)))</f>
        <v>64</v>
      </c>
    </row>
    <row r="1667" spans="1:12" x14ac:dyDescent="0.55000000000000004">
      <c r="A1667" s="1" t="s">
        <v>1915</v>
      </c>
      <c r="B1667" s="2">
        <f>COUNTIF(A:A,A1667)-1</f>
        <v>6</v>
      </c>
      <c r="C1667" s="2">
        <f>COUNTIF(A$1:A1667,A1667)-1</f>
        <v>2</v>
      </c>
      <c r="D1667" s="2" t="str">
        <f t="shared" si="26"/>
        <v>v</v>
      </c>
      <c r="E1667" s="2"/>
      <c r="F1667" s="2" t="e">
        <f>_xlfn.AGGREGATE(#REF!,+F1667:G1667,#REF!,#REF!,#REF!,#REF!)</f>
        <v>#REF!</v>
      </c>
      <c r="H1667" s="2" t="e">
        <f>_xlfn.AGGREGATE(#REF!,H1667:I1667,#REF!,#REF!,#REF!,#REF!)</f>
        <v>#REF!</v>
      </c>
      <c r="J1667" s="2" t="e">
        <f>_xlfn.AGGREGATE(#REF!,INDIRECT(J1667:K1667),#REF!,#REF!,#REF!,#REF!)</f>
        <v>#REF!</v>
      </c>
      <c r="L1667" s="2">
        <f>TYPE(INDEX(,_xlfn.AGGREGATE(#REF!,OFFSET(INDEX(1,),,),#REF!,#REF!,#REF!,#REF!)))</f>
        <v>64</v>
      </c>
    </row>
    <row r="1668" spans="1:12" x14ac:dyDescent="0.55000000000000004">
      <c r="A1668" s="1" t="s">
        <v>1915</v>
      </c>
      <c r="B1668" s="2">
        <f>COUNTIF(A:A,A1668)-1</f>
        <v>6</v>
      </c>
      <c r="C1668" s="2">
        <f>COUNTIF(A$1:A1668,A1668)-1</f>
        <v>3</v>
      </c>
      <c r="D1668" s="2" t="str">
        <f t="shared" si="26"/>
        <v>ar</v>
      </c>
      <c r="E1668" s="2" t="e">
        <f>_xlfn.AGGREGATE(#REF!,#REF!,#REF!)</f>
        <v>#REF!</v>
      </c>
      <c r="F1668" s="2" t="e">
        <f>_xlfn.AGGREGATE(#REF!,#REF!,+F1668:G1668,#REF!,#REF!,#REF!)</f>
        <v>#REF!</v>
      </c>
      <c r="G1668" s="1">
        <v>1</v>
      </c>
      <c r="H1668" s="2" t="e">
        <f>_xlfn.AGGREGATE(#REF!,#REF!,H1668:I1668,#REF!,#REF!,#REF!)</f>
        <v>#REF!</v>
      </c>
      <c r="I1668" s="1">
        <v>1</v>
      </c>
      <c r="J1668" s="2" t="e">
        <f>_xlfn.AGGREGATE(#REF!,#REF!,INDIRECT(J1668:K1668),#REF!,#REF!,#REF!)</f>
        <v>#REF!</v>
      </c>
      <c r="L1668" s="2">
        <f>TYPE(INDEX(,_xlfn.AGGREGATE(#REF!,#REF!,OFFSET(INDEX(1,),,),#REF!,#REF!,#REF!)))</f>
        <v>16</v>
      </c>
    </row>
    <row r="1669" spans="1:12" x14ac:dyDescent="0.55000000000000004">
      <c r="A1669" s="1" t="s">
        <v>1915</v>
      </c>
      <c r="B1669" s="2">
        <f>COUNTIF(A:A,A1669)-1</f>
        <v>6</v>
      </c>
      <c r="C1669" s="2">
        <f>COUNTIF(A$1:A1669,A1669)-1</f>
        <v>4</v>
      </c>
      <c r="D1669" s="2" t="str">
        <f t="shared" si="26"/>
        <v>vr</v>
      </c>
      <c r="E1669" s="2" t="e">
        <f>_xlfn.AGGREGATE(#REF!,#REF!,#REF!,#REF!)</f>
        <v>#REF!</v>
      </c>
      <c r="F1669" s="2" t="e">
        <f>_xlfn.AGGREGATE(#REF!,#REF!,#REF!,+F1669:G1669,#REF!,#REF!)</f>
        <v>#REF!</v>
      </c>
      <c r="H1669" s="2" t="e">
        <f>_xlfn.AGGREGATE(#REF!,#REF!,#REF!,H1669:I1669,#REF!,#REF!)</f>
        <v>#REF!</v>
      </c>
      <c r="I1669" s="1">
        <v>1</v>
      </c>
      <c r="J1669" s="2" t="e">
        <f>_xlfn.AGGREGATE(#REF!,#REF!,#REF!,INDIRECT(J1669:K1669),#REF!,#REF!)</f>
        <v>#REF!</v>
      </c>
      <c r="L1669" s="2">
        <f>TYPE(INDEX(,_xlfn.AGGREGATE(#REF!,#REF!,#REF!,OFFSET(INDEX(1,),,),#REF!,#REF!)))</f>
        <v>64</v>
      </c>
    </row>
    <row r="1670" spans="1:12" x14ac:dyDescent="0.55000000000000004">
      <c r="A1670" s="1" t="s">
        <v>1915</v>
      </c>
      <c r="B1670" s="2">
        <f>COUNTIF(A:A,A1670)-1</f>
        <v>6</v>
      </c>
      <c r="C1670" s="2">
        <f>COUNTIF(A$1:A1670,A1670)-1</f>
        <v>5</v>
      </c>
      <c r="D1670" s="2" t="str">
        <f t="shared" si="26"/>
        <v>r</v>
      </c>
      <c r="E1670" s="2" t="e">
        <f>_xlfn.AGGREGATE(#REF!,#REF!,#REF!,#REF!,#REF!)</f>
        <v>#REF!</v>
      </c>
      <c r="F1670" s="2"/>
      <c r="H1670" s="2" t="e">
        <f>_xlfn.AGGREGATE(#REF!,#REF!,#REF!,#REF!,H1670:I1670,#REF!)</f>
        <v>#REF!</v>
      </c>
      <c r="I1670" s="1">
        <v>1</v>
      </c>
      <c r="J1670" s="2" t="e">
        <f>_xlfn.AGGREGATE(#REF!,#REF!,#REF!,#REF!,INDIRECT(J1670:K1670),#REF!)</f>
        <v>#REF!</v>
      </c>
      <c r="L1670" s="2">
        <f>TYPE(INDEX(,_xlfn.AGGREGATE(#REF!,#REF!,#REF!,#REF!,OFFSET(INDEX(1,),,),#REF!)))</f>
        <v>64</v>
      </c>
    </row>
    <row r="1671" spans="1:12" x14ac:dyDescent="0.55000000000000004">
      <c r="A1671" s="1" t="s">
        <v>1915</v>
      </c>
      <c r="B1671" s="2">
        <f t="shared" ref="B1671" si="27">COUNTIF(A:A,A1671)-1</f>
        <v>6</v>
      </c>
      <c r="C1671" s="2">
        <f>COUNTIF(A$1:A1671,A1671)-1</f>
        <v>6</v>
      </c>
      <c r="D1671" s="2" t="str">
        <f t="shared" si="26"/>
        <v>r</v>
      </c>
      <c r="E1671" s="2" t="e">
        <f>_xlfn.AGGREGATE(#REF!,#REF!,#REF!,#REF!,#REF!,#REF!)</f>
        <v>#REF!</v>
      </c>
      <c r="F1671" s="2"/>
      <c r="H1671" s="2" t="e">
        <f>_xlfn.AGGREGATE(#REF!,#REF!,#REF!,#REF!,#REF!,H1671:I1671)</f>
        <v>#REF!</v>
      </c>
      <c r="I1671" s="1">
        <v>1</v>
      </c>
      <c r="J1671" s="2" t="e">
        <f>_xlfn.AGGREGATE(#REF!,#REF!,#REF!,#REF!,#REF!,INDIRECT(J1671:K1671))</f>
        <v>#REF!</v>
      </c>
      <c r="L1671" s="2">
        <f>TYPE(INDEX(,_xlfn.AGGREGATE(#REF!,#REF!,#REF!,#REF!,#REF!,OFFSET(INDEX(1,),,))))</f>
        <v>64</v>
      </c>
    </row>
    <row r="1672" spans="1:12" x14ac:dyDescent="0.55000000000000004">
      <c r="A1672" s="1" t="s">
        <v>2072</v>
      </c>
      <c r="B1672" s="2">
        <f>COUNTIF(A:A,A1672)-1</f>
        <v>4</v>
      </c>
      <c r="C1672" s="2">
        <f>COUNTIF(A$1:A1672,A1672)-1</f>
        <v>0</v>
      </c>
      <c r="D1672" s="2" t="str">
        <f t="shared" si="26"/>
        <v/>
      </c>
      <c r="E1672" s="2"/>
      <c r="F1672" s="2"/>
      <c r="H1672" s="2"/>
      <c r="J1672" s="2"/>
      <c r="L1672" s="2"/>
    </row>
    <row r="1673" spans="1:12" x14ac:dyDescent="0.55000000000000004">
      <c r="A1673" s="1" t="s">
        <v>2072</v>
      </c>
      <c r="B1673" s="2">
        <f>COUNTIF(A:A,A1673)-1</f>
        <v>4</v>
      </c>
      <c r="C1673" s="2">
        <f>COUNTIF(A$1:A1673,A1673)-1</f>
        <v>1</v>
      </c>
      <c r="D1673" s="2" t="str">
        <f t="shared" si="26"/>
        <v>v</v>
      </c>
      <c r="E1673" s="2"/>
      <c r="F1673" s="2" t="e">
        <f>_xlfn.BINOM.DIST(+F1673:G1673,#REF!,#REF!,#REF!)</f>
        <v>#REF!</v>
      </c>
      <c r="H1673" s="2" t="e">
        <f>_xlfn.BINOM.DIST(H1673:I1673,#REF!,#REF!,#REF!)</f>
        <v>#REF!</v>
      </c>
      <c r="J1673" s="2" t="e">
        <f>_xlfn.BINOM.DIST(INDIRECT(J1673:K1673),#REF!,#REF!,#REF!)</f>
        <v>#REF!</v>
      </c>
      <c r="L1673" s="2">
        <f>TYPE(INDEX(,_xlfn.BINOM.DIST(OFFSET(INDEX(1,),,),#REF!,#REF!,#REF!)))</f>
        <v>64</v>
      </c>
    </row>
    <row r="1674" spans="1:12" x14ac:dyDescent="0.55000000000000004">
      <c r="A1674" s="1" t="s">
        <v>2072</v>
      </c>
      <c r="B1674" s="2">
        <f>COUNTIF(A:A,A1674)-1</f>
        <v>4</v>
      </c>
      <c r="C1674" s="2">
        <f>COUNTIF(A$1:A1674,A1674)-1</f>
        <v>2</v>
      </c>
      <c r="D1674" s="2" t="str">
        <f t="shared" si="26"/>
        <v>v</v>
      </c>
      <c r="E1674" s="2"/>
      <c r="F1674" s="2" t="e">
        <f>_xlfn.BINOM.DIST(#REF!,+F1674:G1674,#REF!,#REF!)</f>
        <v>#REF!</v>
      </c>
      <c r="H1674" s="2" t="e">
        <f>_xlfn.BINOM.DIST(#REF!,H1674:I1674,#REF!,#REF!)</f>
        <v>#REF!</v>
      </c>
      <c r="J1674" s="2" t="e">
        <f>_xlfn.BINOM.DIST(#REF!,INDIRECT(J1674:K1674),#REF!,#REF!)</f>
        <v>#REF!</v>
      </c>
      <c r="L1674" s="2">
        <f>TYPE(INDEX(,_xlfn.BINOM.DIST(#REF!,OFFSET(INDEX(1,),,),#REF!,#REF!)))</f>
        <v>64</v>
      </c>
    </row>
    <row r="1675" spans="1:12" x14ac:dyDescent="0.55000000000000004">
      <c r="A1675" s="1" t="s">
        <v>2072</v>
      </c>
      <c r="B1675" s="2">
        <f>COUNTIF(A:A,A1675)-1</f>
        <v>4</v>
      </c>
      <c r="C1675" s="2">
        <f>COUNTIF(A$1:A1675,A1675)-1</f>
        <v>3</v>
      </c>
      <c r="D1675" s="2" t="str">
        <f t="shared" si="26"/>
        <v>v</v>
      </c>
      <c r="E1675" s="2"/>
      <c r="F1675" s="2" t="e">
        <f>_xlfn.BINOM.DIST(#REF!,#REF!,+F1675:G1675,#REF!)</f>
        <v>#REF!</v>
      </c>
      <c r="H1675" s="2" t="e">
        <f>_xlfn.BINOM.DIST(#REF!,#REF!,H1675:I1675,#REF!)</f>
        <v>#REF!</v>
      </c>
      <c r="J1675" s="2" t="e">
        <f>_xlfn.BINOM.DIST(#REF!,#REF!,INDIRECT(J1675:K1675),#REF!)</f>
        <v>#REF!</v>
      </c>
      <c r="L1675" s="2">
        <f>TYPE(INDEX(,_xlfn.BINOM.DIST(#REF!,#REF!,OFFSET(INDEX(1,),,),#REF!)))</f>
        <v>64</v>
      </c>
    </row>
    <row r="1676" spans="1:12" x14ac:dyDescent="0.55000000000000004">
      <c r="A1676" s="1" t="s">
        <v>2072</v>
      </c>
      <c r="B1676" s="2">
        <f>COUNTIF(A:A,A1676)-1</f>
        <v>4</v>
      </c>
      <c r="C1676" s="2">
        <f>COUNTIF(A$1:A1676,A1676)-1</f>
        <v>4</v>
      </c>
      <c r="D1676" s="2" t="str">
        <f t="shared" si="26"/>
        <v>v</v>
      </c>
      <c r="E1676" s="2" t="e">
        <f>_xlfn.BINOM.DIST(#REF!,#REF!,#REF!,#REF!)</f>
        <v>#REF!</v>
      </c>
      <c r="F1676" s="2" t="e">
        <f>_xlfn.BINOM.DIST(#REF!,#REF!,#REF!,+F1676:G1676)</f>
        <v>#REF!</v>
      </c>
      <c r="H1676" s="2" t="e">
        <f>_xlfn.BINOM.DIST(#REF!,#REF!,#REF!,H1676:I1676)</f>
        <v>#REF!</v>
      </c>
      <c r="J1676" s="2" t="e">
        <f>_xlfn.BINOM.DIST(#REF!,#REF!,#REF!,INDIRECT(J1676:K1676))</f>
        <v>#REF!</v>
      </c>
      <c r="L1676" s="2">
        <f>TYPE(INDEX(,_xlfn.BINOM.DIST(#REF!,#REF!,#REF!,OFFSET(INDEX(1,),,))))</f>
        <v>64</v>
      </c>
    </row>
    <row r="1677" spans="1:12" x14ac:dyDescent="0.55000000000000004">
      <c r="A1677" s="1" t="s">
        <v>2073</v>
      </c>
      <c r="B1677" s="2">
        <f>COUNTIF(A:A,A1677)-1</f>
        <v>3</v>
      </c>
      <c r="C1677" s="2">
        <f>COUNTIF(A$1:A1677,A1677)-1</f>
        <v>0</v>
      </c>
      <c r="D1677" s="2" t="str">
        <f t="shared" si="26"/>
        <v/>
      </c>
      <c r="E1677" s="2"/>
      <c r="F1677" s="2"/>
      <c r="H1677" s="2"/>
      <c r="J1677" s="2"/>
      <c r="L1677" s="2"/>
    </row>
    <row r="1678" spans="1:12" x14ac:dyDescent="0.55000000000000004">
      <c r="A1678" s="1" t="s">
        <v>2073</v>
      </c>
      <c r="B1678" s="2">
        <f>COUNTIF(A:A,A1678)-1</f>
        <v>3</v>
      </c>
      <c r="C1678" s="2">
        <f>COUNTIF(A$1:A1678,A1678)-1</f>
        <v>1</v>
      </c>
      <c r="D1678" s="2" t="str">
        <f t="shared" si="26"/>
        <v>v</v>
      </c>
      <c r="E1678" s="2"/>
      <c r="F1678" s="2" t="e">
        <f>_xlfn.BINOM.INV(+F1678:G1678,#REF!,#REF!)</f>
        <v>#REF!</v>
      </c>
      <c r="H1678" s="2" t="e">
        <f>_xlfn.BINOM.INV(H1678:I1678,#REF!,#REF!)</f>
        <v>#REF!</v>
      </c>
      <c r="J1678" s="2" t="e">
        <f>_xlfn.BINOM.INV(INDIRECT(J1678:K1678),#REF!,#REF!)</f>
        <v>#REF!</v>
      </c>
      <c r="L1678" s="2">
        <f>TYPE(INDEX(,_xlfn.BINOM.INV(OFFSET(INDEX(1,),,),#REF!,#REF!)))</f>
        <v>64</v>
      </c>
    </row>
    <row r="1679" spans="1:12" x14ac:dyDescent="0.55000000000000004">
      <c r="A1679" s="1" t="s">
        <v>2073</v>
      </c>
      <c r="B1679" s="2">
        <f>COUNTIF(A:A,A1679)-1</f>
        <v>3</v>
      </c>
      <c r="C1679" s="2">
        <f>COUNTIF(A$1:A1679,A1679)-1</f>
        <v>2</v>
      </c>
      <c r="D1679" s="2" t="str">
        <f t="shared" si="26"/>
        <v>v</v>
      </c>
      <c r="E1679" s="2"/>
      <c r="F1679" s="2" t="e">
        <f>_xlfn.BINOM.INV(#REF!,+F1679:G1679,#REF!)</f>
        <v>#REF!</v>
      </c>
      <c r="H1679" s="2" t="e">
        <f>_xlfn.BINOM.INV(#REF!,H1679:I1679,#REF!)</f>
        <v>#REF!</v>
      </c>
      <c r="J1679" s="2" t="e">
        <f>_xlfn.BINOM.INV(#REF!,INDIRECT(J1679:K1679),#REF!)</f>
        <v>#REF!</v>
      </c>
      <c r="L1679" s="2">
        <f>TYPE(INDEX(,_xlfn.BINOM.INV(#REF!,OFFSET(INDEX(1,),,),#REF!)))</f>
        <v>64</v>
      </c>
    </row>
    <row r="1680" spans="1:12" x14ac:dyDescent="0.55000000000000004">
      <c r="A1680" s="1" t="s">
        <v>2073</v>
      </c>
      <c r="B1680" s="2">
        <f>COUNTIF(A:A,A1680)-1</f>
        <v>3</v>
      </c>
      <c r="C1680" s="2">
        <f>COUNTIF(A$1:A1680,A1680)-1</f>
        <v>3</v>
      </c>
      <c r="D1680" s="2" t="str">
        <f t="shared" si="26"/>
        <v>v</v>
      </c>
      <c r="E1680" s="2" t="e">
        <f>_xlfn.BINOM.INV(#REF!,#REF!,#REF!)</f>
        <v>#REF!</v>
      </c>
      <c r="F1680" s="2" t="e">
        <f>_xlfn.BINOM.INV(#REF!,#REF!,+F1680:G1680)</f>
        <v>#REF!</v>
      </c>
      <c r="H1680" s="2" t="e">
        <f>_xlfn.BINOM.INV(#REF!,#REF!,H1680:I1680)</f>
        <v>#REF!</v>
      </c>
      <c r="J1680" s="2" t="e">
        <f>_xlfn.BINOM.INV(#REF!,#REF!,INDIRECT(J1680:K1680))</f>
        <v>#REF!</v>
      </c>
      <c r="L1680" s="2">
        <f>TYPE(INDEX(,_xlfn.BINOM.INV(#REF!,#REF!,OFFSET(INDEX(1,),,))))</f>
        <v>64</v>
      </c>
    </row>
    <row r="1681" spans="1:12" x14ac:dyDescent="0.55000000000000004">
      <c r="A1681" s="1" t="s">
        <v>2074</v>
      </c>
      <c r="B1681" s="2">
        <f>COUNTIF(A:A,A1681)-1</f>
        <v>3</v>
      </c>
      <c r="C1681" s="2">
        <f>COUNTIF(A$1:A1681,A1681)-1</f>
        <v>0</v>
      </c>
      <c r="D1681" s="2" t="str">
        <f t="shared" si="26"/>
        <v/>
      </c>
      <c r="E1681" s="2"/>
      <c r="F1681" s="2"/>
      <c r="H1681" s="2"/>
      <c r="J1681" s="2"/>
      <c r="L1681" s="2"/>
    </row>
    <row r="1682" spans="1:12" x14ac:dyDescent="0.55000000000000004">
      <c r="A1682" s="1" t="s">
        <v>2074</v>
      </c>
      <c r="B1682" s="2">
        <f>COUNTIF(A:A,A1682)-1</f>
        <v>3</v>
      </c>
      <c r="C1682" s="2">
        <f>COUNTIF(A$1:A1682,A1682)-1</f>
        <v>1</v>
      </c>
      <c r="D1682" s="2" t="str">
        <f t="shared" si="26"/>
        <v>v</v>
      </c>
      <c r="E1682" s="2"/>
      <c r="F1682" s="2" t="e">
        <f>_xlfn.CONFIDENCE.NORM(+F1682:G1682,#REF!,#REF!)</f>
        <v>#REF!</v>
      </c>
      <c r="H1682" s="2" t="e">
        <f>_xlfn.CONFIDENCE.NORM(H1682:I1682,#REF!,#REF!)</f>
        <v>#REF!</v>
      </c>
      <c r="J1682" s="2" t="e">
        <f>_xlfn.CONFIDENCE.NORM(INDIRECT(J1682:K1682),#REF!,#REF!)</f>
        <v>#REF!</v>
      </c>
      <c r="L1682" s="2">
        <f>TYPE(INDEX(,_xlfn.CONFIDENCE.NORM(OFFSET(INDEX(1,),,),#REF!,#REF!)))</f>
        <v>64</v>
      </c>
    </row>
    <row r="1683" spans="1:12" x14ac:dyDescent="0.55000000000000004">
      <c r="A1683" s="1" t="s">
        <v>2074</v>
      </c>
      <c r="B1683" s="2">
        <f>COUNTIF(A:A,A1683)-1</f>
        <v>3</v>
      </c>
      <c r="C1683" s="2">
        <f>COUNTIF(A$1:A1683,A1683)-1</f>
        <v>2</v>
      </c>
      <c r="D1683" s="2" t="str">
        <f t="shared" si="26"/>
        <v>v</v>
      </c>
      <c r="E1683" s="2"/>
      <c r="F1683" s="2" t="e">
        <f>_xlfn.CONFIDENCE.NORM(#REF!,+F1683:G1683,#REF!)</f>
        <v>#REF!</v>
      </c>
      <c r="H1683" s="2" t="e">
        <f>_xlfn.CONFIDENCE.NORM(#REF!,H1683:I1683,#REF!)</f>
        <v>#REF!</v>
      </c>
      <c r="J1683" s="2" t="e">
        <f>_xlfn.CONFIDENCE.NORM(#REF!,INDIRECT(J1683:K1683),#REF!)</f>
        <v>#REF!</v>
      </c>
      <c r="L1683" s="2">
        <f>TYPE(INDEX(,_xlfn.CONFIDENCE.NORM(#REF!,OFFSET(INDEX(1,),,),#REF!)))</f>
        <v>64</v>
      </c>
    </row>
    <row r="1684" spans="1:12" x14ac:dyDescent="0.55000000000000004">
      <c r="A1684" s="1" t="s">
        <v>2074</v>
      </c>
      <c r="B1684" s="2">
        <f>COUNTIF(A:A,A1684)-1</f>
        <v>3</v>
      </c>
      <c r="C1684" s="2">
        <f>COUNTIF(A$1:A1684,A1684)-1</f>
        <v>3</v>
      </c>
      <c r="D1684" s="2" t="str">
        <f t="shared" si="26"/>
        <v>v</v>
      </c>
      <c r="E1684" s="2" t="e">
        <f>_xlfn.CONFIDENCE.NORM(#REF!,#REF!,#REF!)</f>
        <v>#REF!</v>
      </c>
      <c r="F1684" s="2" t="e">
        <f>_xlfn.CONFIDENCE.NORM(#REF!,#REF!,+F1684:G1684)</f>
        <v>#REF!</v>
      </c>
      <c r="H1684" s="2" t="e">
        <f>_xlfn.CONFIDENCE.NORM(#REF!,#REF!,H1684:I1684)</f>
        <v>#REF!</v>
      </c>
      <c r="J1684" s="2" t="e">
        <f>_xlfn.CONFIDENCE.NORM(#REF!,#REF!,INDIRECT(J1684:K1684))</f>
        <v>#REF!</v>
      </c>
      <c r="L1684" s="2">
        <f>TYPE(INDEX(,_xlfn.CONFIDENCE.NORM(#REF!,#REF!,OFFSET(INDEX(1,),,))))</f>
        <v>64</v>
      </c>
    </row>
    <row r="1685" spans="1:12" x14ac:dyDescent="0.55000000000000004">
      <c r="A1685" s="1" t="s">
        <v>2075</v>
      </c>
      <c r="B1685" s="2">
        <f>COUNTIF(A:A,A1685)-1</f>
        <v>3</v>
      </c>
      <c r="C1685" s="2">
        <f>COUNTIF(A$1:A1685,A1685)-1</f>
        <v>0</v>
      </c>
      <c r="D1685" s="2" t="str">
        <f t="shared" si="26"/>
        <v/>
      </c>
      <c r="E1685" s="2"/>
      <c r="F1685" s="2"/>
      <c r="H1685" s="2"/>
      <c r="J1685" s="2"/>
      <c r="L1685" s="2"/>
    </row>
    <row r="1686" spans="1:12" x14ac:dyDescent="0.55000000000000004">
      <c r="A1686" s="1" t="s">
        <v>2075</v>
      </c>
      <c r="B1686" s="2">
        <f>COUNTIF(A:A,A1686)-1</f>
        <v>3</v>
      </c>
      <c r="C1686" s="2">
        <f>COUNTIF(A$1:A1686,A1686)-1</f>
        <v>1</v>
      </c>
      <c r="D1686" s="2" t="str">
        <f t="shared" si="26"/>
        <v>v</v>
      </c>
      <c r="E1686" s="2"/>
      <c r="F1686" s="2" t="e">
        <f>_xlfn.CONFIDENCE.T(+F1686:G1686,#REF!,#REF!)</f>
        <v>#REF!</v>
      </c>
      <c r="H1686" s="2" t="e">
        <f>_xlfn.CONFIDENCE.T(H1686:I1686,#REF!,#REF!)</f>
        <v>#REF!</v>
      </c>
      <c r="J1686" s="2" t="e">
        <f>_xlfn.CONFIDENCE.T(INDIRECT(J1686:K1686),#REF!,#REF!)</f>
        <v>#REF!</v>
      </c>
      <c r="L1686" s="2">
        <f>TYPE(INDEX(,_xlfn.CONFIDENCE.T(OFFSET(INDEX(1,),,),#REF!,#REF!)))</f>
        <v>64</v>
      </c>
    </row>
    <row r="1687" spans="1:12" x14ac:dyDescent="0.55000000000000004">
      <c r="A1687" s="1" t="s">
        <v>2075</v>
      </c>
      <c r="B1687" s="2">
        <f>COUNTIF(A:A,A1687)-1</f>
        <v>3</v>
      </c>
      <c r="C1687" s="2">
        <f>COUNTIF(A$1:A1687,A1687)-1</f>
        <v>2</v>
      </c>
      <c r="D1687" s="2" t="str">
        <f t="shared" si="26"/>
        <v>v</v>
      </c>
      <c r="E1687" s="2"/>
      <c r="F1687" s="2" t="e">
        <f>_xlfn.CONFIDENCE.T(#REF!,+F1687:G1687,#REF!)</f>
        <v>#REF!</v>
      </c>
      <c r="H1687" s="2" t="e">
        <f>_xlfn.CONFIDENCE.T(#REF!,H1687:I1687,#REF!)</f>
        <v>#REF!</v>
      </c>
      <c r="J1687" s="2" t="e">
        <f>_xlfn.CONFIDENCE.T(#REF!,INDIRECT(J1687:K1687),#REF!)</f>
        <v>#REF!</v>
      </c>
      <c r="L1687" s="2">
        <f>TYPE(INDEX(,_xlfn.CONFIDENCE.T(#REF!,OFFSET(INDEX(1,),,),#REF!)))</f>
        <v>64</v>
      </c>
    </row>
    <row r="1688" spans="1:12" x14ac:dyDescent="0.55000000000000004">
      <c r="A1688" s="1" t="s">
        <v>2075</v>
      </c>
      <c r="B1688" s="2">
        <f>COUNTIF(A:A,A1688)-1</f>
        <v>3</v>
      </c>
      <c r="C1688" s="2">
        <f>COUNTIF(A$1:A1688,A1688)-1</f>
        <v>3</v>
      </c>
      <c r="D1688" s="2" t="str">
        <f t="shared" si="26"/>
        <v>v</v>
      </c>
      <c r="E1688" s="2" t="e">
        <f>_xlfn.CONFIDENCE.T(#REF!,#REF!,#REF!)</f>
        <v>#REF!</v>
      </c>
      <c r="F1688" s="2" t="e">
        <f>_xlfn.CONFIDENCE.T(#REF!,#REF!,+F1688:G1688)</f>
        <v>#REF!</v>
      </c>
      <c r="H1688" s="2" t="e">
        <f>_xlfn.CONFIDENCE.T(#REF!,#REF!,H1688:I1688)</f>
        <v>#REF!</v>
      </c>
      <c r="J1688" s="2" t="e">
        <f>_xlfn.CONFIDENCE.T(#REF!,#REF!,INDIRECT(J1688:K1688))</f>
        <v>#REF!</v>
      </c>
      <c r="L1688" s="2">
        <f>TYPE(INDEX(,_xlfn.CONFIDENCE.T(#REF!,#REF!,OFFSET(INDEX(1,),,))))</f>
        <v>64</v>
      </c>
    </row>
    <row r="1689" spans="1:12" x14ac:dyDescent="0.55000000000000004">
      <c r="A1689" s="1" t="s">
        <v>2076</v>
      </c>
      <c r="B1689" s="2">
        <f>COUNTIF(A:A,A1689)-1</f>
        <v>2</v>
      </c>
      <c r="C1689" s="2">
        <f>COUNTIF(A$1:A1689,A1689)-1</f>
        <v>0</v>
      </c>
      <c r="D1689" s="2" t="str">
        <f t="shared" si="26"/>
        <v/>
      </c>
      <c r="E1689" s="2"/>
      <c r="F1689" s="2"/>
      <c r="H1689" s="2"/>
      <c r="J1689" s="2"/>
      <c r="L1689" s="2"/>
    </row>
    <row r="1690" spans="1:12" x14ac:dyDescent="0.55000000000000004">
      <c r="A1690" s="1" t="s">
        <v>2076</v>
      </c>
      <c r="B1690" s="2">
        <f>COUNTIF(A:A,A1690)-1</f>
        <v>2</v>
      </c>
      <c r="C1690" s="2">
        <f>COUNTIF(A$1:A1690,A1690)-1</f>
        <v>1</v>
      </c>
      <c r="D1690" s="2" t="str">
        <f t="shared" si="26"/>
        <v>a</v>
      </c>
      <c r="E1690" s="2"/>
      <c r="F1690" s="2" t="e">
        <f>_xlfn.CHISQ.TEST(+F1690:G1690,#REF!)</f>
        <v>#REF!</v>
      </c>
      <c r="G1690" s="1">
        <v>1</v>
      </c>
      <c r="H1690" s="2" t="e">
        <f>_xlfn.CHISQ.TEST(H1690:I1690,#REF!)</f>
        <v>#REF!</v>
      </c>
      <c r="I1690" s="1">
        <v>1</v>
      </c>
      <c r="J1690" s="2" t="e">
        <f>_xlfn.CHISQ.TEST(INDIRECT(J1690:K1690),#REF!)</f>
        <v>#REF!</v>
      </c>
      <c r="K1690" s="1">
        <v>1</v>
      </c>
      <c r="L1690" s="2">
        <f>TYPE(INDEX(,_xlfn.CHISQ.TEST(OFFSET(INDEX(1,),,),#REF!)))</f>
        <v>16</v>
      </c>
    </row>
    <row r="1691" spans="1:12" x14ac:dyDescent="0.55000000000000004">
      <c r="A1691" s="1" t="s">
        <v>2076</v>
      </c>
      <c r="B1691" s="2">
        <f>COUNTIF(A:A,A1691)-1</f>
        <v>2</v>
      </c>
      <c r="C1691" s="2">
        <f>COUNTIF(A$1:A1691,A1691)-1</f>
        <v>2</v>
      </c>
      <c r="D1691" s="2" t="str">
        <f t="shared" si="26"/>
        <v>a</v>
      </c>
      <c r="E1691" s="2" t="e">
        <f>_xlfn.CHISQ.TEST(#REF!,#REF!)</f>
        <v>#REF!</v>
      </c>
      <c r="F1691" s="2" t="e">
        <f>_xlfn.CHISQ.TEST(#REF!,+F1691:G1691)</f>
        <v>#REF!</v>
      </c>
      <c r="G1691" s="1">
        <v>1</v>
      </c>
      <c r="H1691" s="2" t="e">
        <f>_xlfn.CHISQ.TEST(#REF!,H1691:I1691)</f>
        <v>#REF!</v>
      </c>
      <c r="I1691" s="1">
        <v>1</v>
      </c>
      <c r="J1691" s="2" t="e">
        <f>_xlfn.CHISQ.TEST(#REF!,INDIRECT(J1691:K1691))</f>
        <v>#REF!</v>
      </c>
      <c r="K1691" s="1">
        <v>1</v>
      </c>
      <c r="L1691" s="2">
        <f>TYPE(INDEX(,_xlfn.CHISQ.TEST(#REF!,OFFSET(INDEX(1,),,))))</f>
        <v>16</v>
      </c>
    </row>
    <row r="1692" spans="1:12" x14ac:dyDescent="0.55000000000000004">
      <c r="A1692" s="1" t="s">
        <v>2077</v>
      </c>
      <c r="B1692" s="2">
        <f>COUNTIF(A:A,A1692)-1</f>
        <v>2</v>
      </c>
      <c r="C1692" s="2">
        <f>COUNTIF(A$1:A1692,A1692)-1</f>
        <v>0</v>
      </c>
      <c r="D1692" s="2" t="str">
        <f t="shared" si="26"/>
        <v/>
      </c>
      <c r="E1692" s="2"/>
      <c r="F1692" s="2"/>
      <c r="H1692" s="2"/>
      <c r="J1692" s="2"/>
      <c r="L1692" s="2"/>
    </row>
    <row r="1693" spans="1:12" x14ac:dyDescent="0.55000000000000004">
      <c r="A1693" s="1" t="s">
        <v>2077</v>
      </c>
      <c r="B1693" s="2">
        <f>COUNTIF(A:A,A1693)-1</f>
        <v>2</v>
      </c>
      <c r="C1693" s="2">
        <f>COUNTIF(A$1:A1693,A1693)-1</f>
        <v>1</v>
      </c>
      <c r="D1693" s="2" t="str">
        <f t="shared" si="26"/>
        <v>a</v>
      </c>
      <c r="E1693" s="2"/>
      <c r="F1693" s="2" t="e">
        <f>_xlfn.F.TEST(+F1693:G1693,#REF!)</f>
        <v>#REF!</v>
      </c>
      <c r="G1693" s="1">
        <v>1</v>
      </c>
      <c r="H1693" s="2" t="e">
        <f>_xlfn.F.TEST(H1693:I1693,#REF!)</f>
        <v>#REF!</v>
      </c>
      <c r="I1693" s="1">
        <v>1</v>
      </c>
      <c r="J1693" s="2" t="e">
        <f>_xlfn.F.TEST(INDIRECT(J1693:K1693),#REF!)</f>
        <v>#REF!</v>
      </c>
      <c r="K1693" s="1">
        <v>1</v>
      </c>
      <c r="L1693" s="2">
        <f>TYPE(INDEX(,_xlfn.F.TEST(OFFSET(INDEX(1,),,),#REF!)))</f>
        <v>16</v>
      </c>
    </row>
    <row r="1694" spans="1:12" x14ac:dyDescent="0.55000000000000004">
      <c r="A1694" s="1" t="s">
        <v>2077</v>
      </c>
      <c r="B1694" s="2">
        <f>COUNTIF(A:A,A1694)-1</f>
        <v>2</v>
      </c>
      <c r="C1694" s="2">
        <f>COUNTIF(A$1:A1694,A1694)-1</f>
        <v>2</v>
      </c>
      <c r="D1694" s="2" t="str">
        <f t="shared" si="26"/>
        <v>a</v>
      </c>
      <c r="E1694" s="2" t="e">
        <f>_xlfn.F.TEST(#REF!,#REF!)</f>
        <v>#REF!</v>
      </c>
      <c r="F1694" s="2" t="e">
        <f>_xlfn.F.TEST(#REF!,+F1694:G1694)</f>
        <v>#REF!</v>
      </c>
      <c r="G1694" s="1">
        <v>1</v>
      </c>
      <c r="H1694" s="2" t="e">
        <f>_xlfn.F.TEST(#REF!,H1694:I1694)</f>
        <v>#REF!</v>
      </c>
      <c r="I1694" s="1">
        <v>1</v>
      </c>
      <c r="J1694" s="2" t="e">
        <f>_xlfn.F.TEST(#REF!,INDIRECT(J1694:K1694))</f>
        <v>#REF!</v>
      </c>
      <c r="K1694" s="1">
        <v>1</v>
      </c>
      <c r="L1694" s="2">
        <f>TYPE(INDEX(,_xlfn.F.TEST(#REF!,OFFSET(INDEX(1,),,))))</f>
        <v>16</v>
      </c>
    </row>
    <row r="1695" spans="1:12" x14ac:dyDescent="0.55000000000000004">
      <c r="A1695" s="1" t="s">
        <v>2078</v>
      </c>
      <c r="B1695" s="2">
        <f>COUNTIF(A:A,A1695)-1</f>
        <v>2</v>
      </c>
      <c r="C1695" s="2">
        <f>COUNTIF(A$1:A1695,A1695)-1</f>
        <v>0</v>
      </c>
      <c r="D1695" s="2" t="str">
        <f t="shared" si="26"/>
        <v/>
      </c>
      <c r="E1695" s="2"/>
      <c r="F1695" s="2"/>
      <c r="H1695" s="2"/>
      <c r="J1695" s="2"/>
      <c r="L1695" s="2"/>
    </row>
    <row r="1696" spans="1:12" x14ac:dyDescent="0.55000000000000004">
      <c r="A1696" s="1" t="s">
        <v>2078</v>
      </c>
      <c r="B1696" s="2">
        <f>COUNTIF(A:A,A1696)-1</f>
        <v>2</v>
      </c>
      <c r="C1696" s="2">
        <f>COUNTIF(A$1:A1696,A1696)-1</f>
        <v>1</v>
      </c>
      <c r="D1696" s="2" t="str">
        <f t="shared" si="26"/>
        <v>a</v>
      </c>
      <c r="E1696" s="2"/>
      <c r="F1696" s="2" t="e">
        <f>_xlfn.COVARIANCE.P(+F1696:G1696,#REF!)</f>
        <v>#REF!</v>
      </c>
      <c r="G1696" s="1">
        <v>1</v>
      </c>
      <c r="H1696" s="2" t="e">
        <f>_xlfn.COVARIANCE.P(H1696:I1696,#REF!)</f>
        <v>#REF!</v>
      </c>
      <c r="I1696" s="1">
        <v>1</v>
      </c>
      <c r="J1696" s="2" t="e">
        <f>_xlfn.COVARIANCE.P(INDIRECT(J1696:K1696),#REF!)</f>
        <v>#REF!</v>
      </c>
      <c r="K1696" s="1">
        <v>1</v>
      </c>
      <c r="L1696" s="2">
        <f>TYPE(INDEX(,_xlfn.COVARIANCE.P(OFFSET(INDEX(1,),,),#REF!)))</f>
        <v>16</v>
      </c>
    </row>
    <row r="1697" spans="1:12" x14ac:dyDescent="0.55000000000000004">
      <c r="A1697" s="1" t="s">
        <v>2078</v>
      </c>
      <c r="B1697" s="2">
        <f>COUNTIF(A:A,A1697)-1</f>
        <v>2</v>
      </c>
      <c r="C1697" s="2">
        <f>COUNTIF(A$1:A1697,A1697)-1</f>
        <v>2</v>
      </c>
      <c r="D1697" s="2" t="str">
        <f t="shared" si="26"/>
        <v>a</v>
      </c>
      <c r="E1697" s="2" t="e">
        <f>_xlfn.COVARIANCE.P(#REF!,#REF!)</f>
        <v>#REF!</v>
      </c>
      <c r="F1697" s="2" t="e">
        <f>_xlfn.COVARIANCE.P(#REF!,+F1697:G1697)</f>
        <v>#REF!</v>
      </c>
      <c r="G1697" s="1">
        <v>1</v>
      </c>
      <c r="H1697" s="2" t="e">
        <f>_xlfn.COVARIANCE.P(#REF!,H1697:I1697)</f>
        <v>#REF!</v>
      </c>
      <c r="I1697" s="1">
        <v>1</v>
      </c>
      <c r="J1697" s="2" t="e">
        <f>_xlfn.COVARIANCE.P(#REF!,INDIRECT(J1697:K1697))</f>
        <v>#REF!</v>
      </c>
      <c r="K1697" s="1">
        <v>1</v>
      </c>
      <c r="L1697" s="2">
        <f>TYPE(INDEX(,_xlfn.COVARIANCE.P(#REF!,OFFSET(INDEX(1,),,))))</f>
        <v>16</v>
      </c>
    </row>
    <row r="1698" spans="1:12" x14ac:dyDescent="0.55000000000000004">
      <c r="A1698" s="1" t="s">
        <v>2079</v>
      </c>
      <c r="B1698" s="2">
        <f>COUNTIF(A:A,A1698)-1</f>
        <v>2</v>
      </c>
      <c r="C1698" s="2">
        <f>COUNTIF(A$1:A1698,A1698)-1</f>
        <v>0</v>
      </c>
      <c r="D1698" s="2" t="str">
        <f t="shared" si="26"/>
        <v/>
      </c>
      <c r="E1698" s="2"/>
      <c r="F1698" s="2"/>
      <c r="H1698" s="2"/>
      <c r="J1698" s="2"/>
      <c r="L1698" s="2"/>
    </row>
    <row r="1699" spans="1:12" x14ac:dyDescent="0.55000000000000004">
      <c r="A1699" s="1" t="s">
        <v>2079</v>
      </c>
      <c r="B1699" s="2">
        <f>COUNTIF(A:A,A1699)-1</f>
        <v>2</v>
      </c>
      <c r="C1699" s="2">
        <f>COUNTIF(A$1:A1699,A1699)-1</f>
        <v>1</v>
      </c>
      <c r="D1699" s="2" t="str">
        <f t="shared" si="26"/>
        <v>a</v>
      </c>
      <c r="E1699" s="2"/>
      <c r="F1699" s="2" t="e">
        <f>_xlfn.COVARIANCE.S(+F1699:G1699,#REF!)</f>
        <v>#REF!</v>
      </c>
      <c r="G1699" s="1">
        <v>1</v>
      </c>
      <c r="H1699" s="2" t="e">
        <f>_xlfn.COVARIANCE.S(H1699:I1699,#REF!)</f>
        <v>#REF!</v>
      </c>
      <c r="I1699" s="1">
        <v>1</v>
      </c>
      <c r="J1699" s="2" t="e">
        <f>_xlfn.COVARIANCE.S(INDIRECT(J1699:K1699),#REF!)</f>
        <v>#REF!</v>
      </c>
      <c r="K1699" s="1">
        <v>1</v>
      </c>
      <c r="L1699" s="2">
        <f>TYPE(INDEX(,_xlfn.COVARIANCE.S(OFFSET(INDEX(1,),,),#REF!)))</f>
        <v>16</v>
      </c>
    </row>
    <row r="1700" spans="1:12" x14ac:dyDescent="0.55000000000000004">
      <c r="A1700" s="1" t="s">
        <v>2079</v>
      </c>
      <c r="B1700" s="2">
        <f>COUNTIF(A:A,A1700)-1</f>
        <v>2</v>
      </c>
      <c r="C1700" s="2">
        <f>COUNTIF(A$1:A1700,A1700)-1</f>
        <v>2</v>
      </c>
      <c r="D1700" s="2" t="str">
        <f t="shared" si="26"/>
        <v>a</v>
      </c>
      <c r="E1700" s="2" t="e">
        <f>_xlfn.COVARIANCE.S(#REF!,#REF!)</f>
        <v>#REF!</v>
      </c>
      <c r="F1700" s="2" t="e">
        <f>_xlfn.COVARIANCE.S(#REF!,+F1700:G1700)</f>
        <v>#REF!</v>
      </c>
      <c r="G1700" s="1">
        <v>1</v>
      </c>
      <c r="H1700" s="2" t="e">
        <f>_xlfn.COVARIANCE.S(#REF!,H1700:I1700)</f>
        <v>#REF!</v>
      </c>
      <c r="I1700" s="1">
        <v>1</v>
      </c>
      <c r="J1700" s="2" t="e">
        <f>_xlfn.COVARIANCE.S(#REF!,INDIRECT(J1700:K1700))</f>
        <v>#REF!</v>
      </c>
      <c r="K1700" s="1">
        <v>1</v>
      </c>
      <c r="L1700" s="2">
        <f>TYPE(INDEX(,_xlfn.COVARIANCE.S(#REF!,OFFSET(INDEX(1,),,))))</f>
        <v>16</v>
      </c>
    </row>
    <row r="1701" spans="1:12" x14ac:dyDescent="0.55000000000000004">
      <c r="A1701" s="1" t="s">
        <v>2080</v>
      </c>
      <c r="B1701" s="2">
        <f>COUNTIF(A:A,A1701)-1</f>
        <v>3</v>
      </c>
      <c r="C1701" s="2">
        <f>COUNTIF(A$1:A1701,A1701)-1</f>
        <v>0</v>
      </c>
      <c r="D1701" s="2" t="str">
        <f t="shared" si="26"/>
        <v/>
      </c>
      <c r="E1701" s="2"/>
      <c r="F1701" s="2"/>
      <c r="H1701" s="2"/>
      <c r="J1701" s="2"/>
      <c r="L1701" s="2"/>
    </row>
    <row r="1702" spans="1:12" x14ac:dyDescent="0.55000000000000004">
      <c r="A1702" s="1" t="s">
        <v>2080</v>
      </c>
      <c r="B1702" s="2">
        <f>COUNTIF(A:A,A1702)-1</f>
        <v>3</v>
      </c>
      <c r="C1702" s="2">
        <f>COUNTIF(A$1:A1702,A1702)-1</f>
        <v>1</v>
      </c>
      <c r="D1702" s="2" t="str">
        <f t="shared" si="26"/>
        <v>v</v>
      </c>
      <c r="E1702" s="2"/>
      <c r="F1702" s="2" t="e">
        <f>_xlfn.EXPON.DIST(+F1702:G1702,#REF!,#REF!)</f>
        <v>#REF!</v>
      </c>
      <c r="H1702" s="2" t="e">
        <f>_xlfn.EXPON.DIST(H1702:I1702,#REF!,#REF!)</f>
        <v>#REF!</v>
      </c>
      <c r="J1702" s="2" t="e">
        <f>_xlfn.EXPON.DIST(INDIRECT(J1702:K1702),#REF!,#REF!)</f>
        <v>#REF!</v>
      </c>
      <c r="L1702" s="2">
        <f>TYPE(INDEX(,_xlfn.EXPON.DIST(OFFSET(INDEX(1,),,),#REF!,#REF!)))</f>
        <v>64</v>
      </c>
    </row>
    <row r="1703" spans="1:12" x14ac:dyDescent="0.55000000000000004">
      <c r="A1703" s="1" t="s">
        <v>2080</v>
      </c>
      <c r="B1703" s="2">
        <f>COUNTIF(A:A,A1703)-1</f>
        <v>3</v>
      </c>
      <c r="C1703" s="2">
        <f>COUNTIF(A$1:A1703,A1703)-1</f>
        <v>2</v>
      </c>
      <c r="D1703" s="2" t="str">
        <f t="shared" si="26"/>
        <v>v</v>
      </c>
      <c r="E1703" s="2"/>
      <c r="F1703" s="2" t="e">
        <f>_xlfn.EXPON.DIST(#REF!,+F1703:G1703,#REF!)</f>
        <v>#REF!</v>
      </c>
      <c r="H1703" s="2" t="e">
        <f>_xlfn.EXPON.DIST(#REF!,H1703:I1703,#REF!)</f>
        <v>#REF!</v>
      </c>
      <c r="J1703" s="2" t="e">
        <f>_xlfn.EXPON.DIST(#REF!,INDIRECT(J1703:K1703),#REF!)</f>
        <v>#REF!</v>
      </c>
      <c r="L1703" s="2">
        <f>TYPE(INDEX(,_xlfn.EXPON.DIST(#REF!,OFFSET(INDEX(1,),,),#REF!)))</f>
        <v>64</v>
      </c>
    </row>
    <row r="1704" spans="1:12" x14ac:dyDescent="0.55000000000000004">
      <c r="A1704" s="1" t="s">
        <v>2080</v>
      </c>
      <c r="B1704" s="2">
        <f>COUNTIF(A:A,A1704)-1</f>
        <v>3</v>
      </c>
      <c r="C1704" s="2">
        <f>COUNTIF(A$1:A1704,A1704)-1</f>
        <v>3</v>
      </c>
      <c r="D1704" s="2" t="str">
        <f t="shared" si="26"/>
        <v>v</v>
      </c>
      <c r="E1704" s="2" t="e">
        <f>_xlfn.EXPON.DIST(#REF!,#REF!,#REF!)</f>
        <v>#REF!</v>
      </c>
      <c r="F1704" s="2" t="e">
        <f>_xlfn.EXPON.DIST(#REF!,#REF!,+F1704:G1704)</f>
        <v>#REF!</v>
      </c>
      <c r="H1704" s="2" t="e">
        <f>_xlfn.EXPON.DIST(#REF!,#REF!,H1704:I1704)</f>
        <v>#REF!</v>
      </c>
      <c r="J1704" s="2" t="e">
        <f>_xlfn.EXPON.DIST(#REF!,#REF!,INDIRECT(J1704:K1704))</f>
        <v>#REF!</v>
      </c>
      <c r="L1704" s="2">
        <f>TYPE(INDEX(,_xlfn.EXPON.DIST(#REF!,#REF!,OFFSET(INDEX(1,),,))))</f>
        <v>64</v>
      </c>
    </row>
    <row r="1705" spans="1:12" x14ac:dyDescent="0.55000000000000004">
      <c r="A1705" s="1" t="s">
        <v>2081</v>
      </c>
      <c r="B1705" s="2">
        <f>COUNTIF(A:A,A1705)-1</f>
        <v>4</v>
      </c>
      <c r="C1705" s="2">
        <f>COUNTIF(A$1:A1705,A1705)-1</f>
        <v>0</v>
      </c>
      <c r="D1705" s="2" t="str">
        <f t="shared" si="26"/>
        <v/>
      </c>
      <c r="E1705" s="2"/>
      <c r="F1705" s="2"/>
      <c r="H1705" s="2"/>
      <c r="J1705" s="2"/>
      <c r="L1705" s="2"/>
    </row>
    <row r="1706" spans="1:12" x14ac:dyDescent="0.55000000000000004">
      <c r="A1706" s="1" t="s">
        <v>2081</v>
      </c>
      <c r="B1706" s="2">
        <f>COUNTIF(A:A,A1706)-1</f>
        <v>4</v>
      </c>
      <c r="C1706" s="2">
        <f>COUNTIF(A$1:A1706,A1706)-1</f>
        <v>1</v>
      </c>
      <c r="D1706" s="2" t="str">
        <f t="shared" si="26"/>
        <v>v</v>
      </c>
      <c r="E1706" s="2"/>
      <c r="F1706" s="2" t="e">
        <f>_xlfn.GAMMA.DIST(+F1706:G1706,#REF!,#REF!,#REF!)</f>
        <v>#REF!</v>
      </c>
      <c r="H1706" s="2" t="e">
        <f>_xlfn.GAMMA.DIST(H1706:I1706,#REF!,#REF!,#REF!)</f>
        <v>#REF!</v>
      </c>
      <c r="J1706" s="2" t="e">
        <f>_xlfn.GAMMA.DIST(INDIRECT(J1706:K1706),#REF!,#REF!,#REF!)</f>
        <v>#REF!</v>
      </c>
      <c r="L1706" s="2">
        <f>TYPE(INDEX(,_xlfn.GAMMA.DIST(OFFSET(INDEX(1,),,),#REF!,#REF!,#REF!)))</f>
        <v>64</v>
      </c>
    </row>
    <row r="1707" spans="1:12" x14ac:dyDescent="0.55000000000000004">
      <c r="A1707" s="1" t="s">
        <v>2081</v>
      </c>
      <c r="B1707" s="2">
        <f>COUNTIF(A:A,A1707)-1</f>
        <v>4</v>
      </c>
      <c r="C1707" s="2">
        <f>COUNTIF(A$1:A1707,A1707)-1</f>
        <v>2</v>
      </c>
      <c r="D1707" s="2" t="str">
        <f t="shared" si="26"/>
        <v>v</v>
      </c>
      <c r="E1707" s="2"/>
      <c r="F1707" s="2" t="e">
        <f>_xlfn.GAMMA.DIST(#REF!,+F1707:G1707,#REF!,#REF!)</f>
        <v>#REF!</v>
      </c>
      <c r="H1707" s="2" t="e">
        <f>_xlfn.GAMMA.DIST(#REF!,H1707:I1707,#REF!,#REF!)</f>
        <v>#REF!</v>
      </c>
      <c r="J1707" s="2" t="e">
        <f>_xlfn.GAMMA.DIST(#REF!,INDIRECT(J1707:K1707),#REF!,#REF!)</f>
        <v>#REF!</v>
      </c>
      <c r="L1707" s="2">
        <f>TYPE(INDEX(,_xlfn.GAMMA.DIST(#REF!,OFFSET(INDEX(1,),,),#REF!,#REF!)))</f>
        <v>64</v>
      </c>
    </row>
    <row r="1708" spans="1:12" x14ac:dyDescent="0.55000000000000004">
      <c r="A1708" s="1" t="s">
        <v>2081</v>
      </c>
      <c r="B1708" s="2">
        <f>COUNTIF(A:A,A1708)-1</f>
        <v>4</v>
      </c>
      <c r="C1708" s="2">
        <f>COUNTIF(A$1:A1708,A1708)-1</f>
        <v>3</v>
      </c>
      <c r="D1708" s="2" t="str">
        <f t="shared" si="26"/>
        <v>v</v>
      </c>
      <c r="E1708" s="2"/>
      <c r="F1708" s="2" t="e">
        <f>_xlfn.GAMMA.DIST(#REF!,#REF!,+F1708:G1708,#REF!)</f>
        <v>#REF!</v>
      </c>
      <c r="H1708" s="2" t="e">
        <f>_xlfn.GAMMA.DIST(#REF!,#REF!,H1708:I1708,#REF!)</f>
        <v>#REF!</v>
      </c>
      <c r="J1708" s="2" t="e">
        <f>_xlfn.GAMMA.DIST(#REF!,#REF!,INDIRECT(J1708:K1708),#REF!)</f>
        <v>#REF!</v>
      </c>
      <c r="L1708" s="2">
        <f>TYPE(INDEX(,_xlfn.GAMMA.DIST(#REF!,#REF!,OFFSET(INDEX(1,),,),#REF!)))</f>
        <v>64</v>
      </c>
    </row>
    <row r="1709" spans="1:12" x14ac:dyDescent="0.55000000000000004">
      <c r="A1709" s="1" t="s">
        <v>2081</v>
      </c>
      <c r="B1709" s="2">
        <f>COUNTIF(A:A,A1709)-1</f>
        <v>4</v>
      </c>
      <c r="C1709" s="2">
        <f>COUNTIF(A$1:A1709,A1709)-1</f>
        <v>4</v>
      </c>
      <c r="D1709" s="2" t="str">
        <f t="shared" si="26"/>
        <v>v</v>
      </c>
      <c r="E1709" s="2" t="e">
        <f>_xlfn.GAMMA.DIST(#REF!,#REF!,#REF!,#REF!)</f>
        <v>#REF!</v>
      </c>
      <c r="F1709" s="2" t="e">
        <f>_xlfn.GAMMA.DIST(#REF!,#REF!,#REF!,+F1709:G1709)</f>
        <v>#REF!</v>
      </c>
      <c r="H1709" s="2" t="e">
        <f>_xlfn.GAMMA.DIST(#REF!,#REF!,#REF!,H1709:I1709)</f>
        <v>#REF!</v>
      </c>
      <c r="J1709" s="2" t="e">
        <f>_xlfn.GAMMA.DIST(#REF!,#REF!,#REF!,INDIRECT(J1709:K1709))</f>
        <v>#REF!</v>
      </c>
      <c r="L1709" s="2">
        <f>TYPE(INDEX(,_xlfn.GAMMA.DIST(#REF!,#REF!,#REF!,OFFSET(INDEX(1,),,))))</f>
        <v>64</v>
      </c>
    </row>
    <row r="1710" spans="1:12" x14ac:dyDescent="0.55000000000000004">
      <c r="A1710" s="1" t="s">
        <v>2082</v>
      </c>
      <c r="B1710" s="2">
        <f>COUNTIF(A:A,A1710)-1</f>
        <v>3</v>
      </c>
      <c r="C1710" s="2">
        <f>COUNTIF(A$1:A1710,A1710)-1</f>
        <v>0</v>
      </c>
      <c r="D1710" s="2" t="str">
        <f t="shared" si="26"/>
        <v/>
      </c>
      <c r="E1710" s="2"/>
      <c r="F1710" s="2"/>
      <c r="H1710" s="2"/>
      <c r="J1710" s="2"/>
      <c r="L1710" s="2"/>
    </row>
    <row r="1711" spans="1:12" x14ac:dyDescent="0.55000000000000004">
      <c r="A1711" s="1" t="s">
        <v>2082</v>
      </c>
      <c r="B1711" s="2">
        <f>COUNTIF(A:A,A1711)-1</f>
        <v>3</v>
      </c>
      <c r="C1711" s="2">
        <f>COUNTIF(A$1:A1711,A1711)-1</f>
        <v>1</v>
      </c>
      <c r="D1711" s="2" t="str">
        <f t="shared" si="26"/>
        <v>v</v>
      </c>
      <c r="E1711" s="2"/>
      <c r="F1711" s="2" t="e">
        <f>_xlfn.GAMMA.INV(+F1711:G1711,#REF!,#REF!)</f>
        <v>#REF!</v>
      </c>
      <c r="H1711" s="2" t="e">
        <f>_xlfn.GAMMA.INV(H1711:I1711,#REF!,#REF!)</f>
        <v>#REF!</v>
      </c>
      <c r="J1711" s="2" t="e">
        <f>_xlfn.GAMMA.INV(INDIRECT(J1711:K1711),#REF!,#REF!)</f>
        <v>#REF!</v>
      </c>
      <c r="L1711" s="2">
        <f>TYPE(INDEX(,_xlfn.GAMMA.INV(OFFSET(INDEX(1,),,),#REF!,#REF!)))</f>
        <v>64</v>
      </c>
    </row>
    <row r="1712" spans="1:12" x14ac:dyDescent="0.55000000000000004">
      <c r="A1712" s="1" t="s">
        <v>2082</v>
      </c>
      <c r="B1712" s="2">
        <f>COUNTIF(A:A,A1712)-1</f>
        <v>3</v>
      </c>
      <c r="C1712" s="2">
        <f>COUNTIF(A$1:A1712,A1712)-1</f>
        <v>2</v>
      </c>
      <c r="D1712" s="2" t="str">
        <f t="shared" si="26"/>
        <v>v</v>
      </c>
      <c r="E1712" s="2"/>
      <c r="F1712" s="2" t="e">
        <f>_xlfn.GAMMA.INV(#REF!,+F1712:G1712,#REF!)</f>
        <v>#REF!</v>
      </c>
      <c r="H1712" s="2" t="e">
        <f>_xlfn.GAMMA.INV(#REF!,H1712:I1712,#REF!)</f>
        <v>#REF!</v>
      </c>
      <c r="J1712" s="2" t="e">
        <f>_xlfn.GAMMA.INV(#REF!,INDIRECT(J1712:K1712),#REF!)</f>
        <v>#REF!</v>
      </c>
      <c r="L1712" s="2">
        <f>TYPE(INDEX(,_xlfn.GAMMA.INV(#REF!,OFFSET(INDEX(1,),,),#REF!)))</f>
        <v>64</v>
      </c>
    </row>
    <row r="1713" spans="1:12" x14ac:dyDescent="0.55000000000000004">
      <c r="A1713" s="1" t="s">
        <v>2082</v>
      </c>
      <c r="B1713" s="2">
        <f>COUNTIF(A:A,A1713)-1</f>
        <v>3</v>
      </c>
      <c r="C1713" s="2">
        <f>COUNTIF(A$1:A1713,A1713)-1</f>
        <v>3</v>
      </c>
      <c r="D1713" s="2" t="str">
        <f t="shared" si="26"/>
        <v>v</v>
      </c>
      <c r="E1713" s="2" t="e">
        <f>_xlfn.GAMMA.INV(#REF!,#REF!,#REF!)</f>
        <v>#REF!</v>
      </c>
      <c r="F1713" s="2" t="e">
        <f>_xlfn.GAMMA.INV(#REF!,#REF!,+F1713:G1713)</f>
        <v>#REF!</v>
      </c>
      <c r="H1713" s="2" t="e">
        <f>_xlfn.GAMMA.INV(#REF!,#REF!,H1713:I1713)</f>
        <v>#REF!</v>
      </c>
      <c r="J1713" s="2" t="e">
        <f>_xlfn.GAMMA.INV(#REF!,#REF!,INDIRECT(J1713:K1713))</f>
        <v>#REF!</v>
      </c>
      <c r="L1713" s="2">
        <f>TYPE(INDEX(,_xlfn.GAMMA.INV(#REF!,#REF!,OFFSET(INDEX(1,),,))))</f>
        <v>64</v>
      </c>
    </row>
    <row r="1714" spans="1:12" x14ac:dyDescent="0.55000000000000004">
      <c r="A1714" s="1" t="s">
        <v>2083</v>
      </c>
      <c r="B1714" s="2">
        <f>COUNTIF(A:A,A1714)-1</f>
        <v>3</v>
      </c>
      <c r="C1714" s="2">
        <f>COUNTIF(A$1:A1714,A1714)-1</f>
        <v>0</v>
      </c>
      <c r="D1714" s="2" t="str">
        <f t="shared" si="26"/>
        <v/>
      </c>
      <c r="E1714" s="2"/>
      <c r="F1714" s="2"/>
      <c r="H1714" s="2"/>
      <c r="J1714" s="2"/>
      <c r="L1714" s="2"/>
    </row>
    <row r="1715" spans="1:12" x14ac:dyDescent="0.55000000000000004">
      <c r="A1715" s="1" t="s">
        <v>2083</v>
      </c>
      <c r="B1715" s="2">
        <f>COUNTIF(A:A,A1715)-1</f>
        <v>3</v>
      </c>
      <c r="C1715" s="2">
        <f>COUNTIF(A$1:A1715,A1715)-1</f>
        <v>1</v>
      </c>
      <c r="D1715" s="2" t="str">
        <f t="shared" si="26"/>
        <v>a</v>
      </c>
      <c r="E1715" s="2" t="e">
        <f>_xlfn.MODE.MULT(#REF!)</f>
        <v>#REF!</v>
      </c>
      <c r="F1715" s="2" t="e">
        <f>_xlfn.MODE.MULT(+F1715:G1715,#REF!,#REF!)</f>
        <v>#REF!</v>
      </c>
      <c r="G1715" s="1">
        <v>1</v>
      </c>
      <c r="H1715" s="2" t="e">
        <f>_xlfn.MODE.MULT(H1715:I1715,#REF!,#REF!)</f>
        <v>#REF!</v>
      </c>
      <c r="I1715" s="1">
        <v>1</v>
      </c>
      <c r="J1715" s="2" t="e">
        <f>_xlfn.MODE.MULT(INDIRECT(J1715:K1715),#REF!,#REF!)</f>
        <v>#REF!</v>
      </c>
      <c r="K1715" s="1">
        <v>1</v>
      </c>
      <c r="L1715" s="2">
        <f>TYPE(INDEX(,_xlfn.MODE.MULT(OFFSET(INDEX(1,),,),#REF!,#REF!)))</f>
        <v>16</v>
      </c>
    </row>
    <row r="1716" spans="1:12" x14ac:dyDescent="0.55000000000000004">
      <c r="A1716" s="1" t="s">
        <v>2083</v>
      </c>
      <c r="B1716" s="2">
        <f>COUNTIF(A:A,A1716)-1</f>
        <v>3</v>
      </c>
      <c r="C1716" s="2">
        <f>COUNTIF(A$1:A1716,A1716)-1</f>
        <v>2</v>
      </c>
      <c r="D1716" s="2" t="str">
        <f t="shared" si="26"/>
        <v>a</v>
      </c>
      <c r="E1716" s="2" t="e">
        <f>_xlfn.MODE.MULT(#REF!,#REF!)</f>
        <v>#REF!</v>
      </c>
      <c r="F1716" s="2" t="e">
        <f>_xlfn.MODE.MULT(#REF!,+F1716:G1716,#REF!)</f>
        <v>#REF!</v>
      </c>
      <c r="G1716" s="1">
        <v>1</v>
      </c>
      <c r="H1716" s="2" t="e">
        <f>_xlfn.MODE.MULT(#REF!,H1716:I1716,#REF!)</f>
        <v>#REF!</v>
      </c>
      <c r="I1716" s="1">
        <v>1</v>
      </c>
      <c r="J1716" s="2" t="e">
        <f>_xlfn.MODE.MULT(#REF!,INDIRECT(J1716:K1716),#REF!)</f>
        <v>#REF!</v>
      </c>
      <c r="K1716" s="1">
        <v>1</v>
      </c>
      <c r="L1716" s="2">
        <f>TYPE(INDEX(,_xlfn.MODE.MULT(#REF!,OFFSET(INDEX(1,),,),#REF!)))</f>
        <v>16</v>
      </c>
    </row>
    <row r="1717" spans="1:12" x14ac:dyDescent="0.55000000000000004">
      <c r="A1717" s="1" t="s">
        <v>2083</v>
      </c>
      <c r="B1717" s="2">
        <f>COUNTIF(A:A,A1717)-1</f>
        <v>3</v>
      </c>
      <c r="C1717" s="2">
        <f>COUNTIF(A$1:A1717,A1717)-1</f>
        <v>3</v>
      </c>
      <c r="D1717" s="2" t="str">
        <f t="shared" si="26"/>
        <v>a</v>
      </c>
      <c r="E1717" s="2" t="e">
        <f>_xlfn.MODE.MULT(#REF!,#REF!,#REF!)</f>
        <v>#REF!</v>
      </c>
      <c r="F1717" s="2" t="e">
        <f>_xlfn.MODE.MULT(#REF!,#REF!,+F1717:G1717)</f>
        <v>#REF!</v>
      </c>
      <c r="G1717" s="1">
        <v>1</v>
      </c>
      <c r="H1717" s="2" t="e">
        <f>_xlfn.MODE.MULT(#REF!,#REF!,H1717:I1717)</f>
        <v>#REF!</v>
      </c>
      <c r="I1717" s="1">
        <v>1</v>
      </c>
      <c r="J1717" s="2" t="e">
        <f>_xlfn.MODE.MULT(#REF!,#REF!,INDIRECT(J1717:K1717))</f>
        <v>#REF!</v>
      </c>
      <c r="K1717" s="1">
        <v>1</v>
      </c>
      <c r="L1717" s="2">
        <f>TYPE(INDEX(,_xlfn.MODE.MULT(#REF!,#REF!,OFFSET(INDEX(1,),,))))</f>
        <v>16</v>
      </c>
    </row>
    <row r="1718" spans="1:12" x14ac:dyDescent="0.55000000000000004">
      <c r="A1718" s="1" t="s">
        <v>2084</v>
      </c>
      <c r="B1718" s="2">
        <f>COUNTIF(A:A,A1718)-1</f>
        <v>3</v>
      </c>
      <c r="C1718" s="2">
        <f>COUNTIF(A$1:A1718,A1718)-1</f>
        <v>0</v>
      </c>
      <c r="D1718" s="2" t="str">
        <f t="shared" si="26"/>
        <v/>
      </c>
      <c r="E1718" s="2"/>
      <c r="F1718" s="2"/>
      <c r="H1718" s="2"/>
      <c r="J1718" s="2"/>
      <c r="L1718" s="2"/>
    </row>
    <row r="1719" spans="1:12" x14ac:dyDescent="0.55000000000000004">
      <c r="A1719" s="1" t="s">
        <v>2084</v>
      </c>
      <c r="B1719" s="2">
        <f>COUNTIF(A:A,A1719)-1</f>
        <v>3</v>
      </c>
      <c r="C1719" s="2">
        <f>COUNTIF(A$1:A1719,A1719)-1</f>
        <v>1</v>
      </c>
      <c r="D1719" s="2" t="str">
        <f t="shared" si="26"/>
        <v>a</v>
      </c>
      <c r="E1719" s="2" t="e">
        <f>_xlfn.MODE.SNGL(#REF!)</f>
        <v>#REF!</v>
      </c>
      <c r="F1719" s="2" t="e">
        <f>_xlfn.MODE.SNGL(+F1719:G1719,#REF!,#REF!)</f>
        <v>#REF!</v>
      </c>
      <c r="G1719" s="1">
        <v>1</v>
      </c>
      <c r="H1719" s="2" t="e">
        <f>_xlfn.MODE.SNGL(H1719:I1719,#REF!,#REF!)</f>
        <v>#REF!</v>
      </c>
      <c r="I1719" s="1">
        <v>1</v>
      </c>
      <c r="J1719" s="2" t="e">
        <f>_xlfn.MODE.SNGL(INDIRECT(J1719:K1719),#REF!,#REF!)</f>
        <v>#REF!</v>
      </c>
      <c r="K1719" s="1">
        <v>1</v>
      </c>
      <c r="L1719" s="2">
        <f>TYPE(INDEX(,_xlfn.MODE.SNGL(OFFSET(INDEX(1,),,),#REF!,#REF!)))</f>
        <v>16</v>
      </c>
    </row>
    <row r="1720" spans="1:12" x14ac:dyDescent="0.55000000000000004">
      <c r="A1720" s="1" t="s">
        <v>2084</v>
      </c>
      <c r="B1720" s="2">
        <f>COUNTIF(A:A,A1720)-1</f>
        <v>3</v>
      </c>
      <c r="C1720" s="2">
        <f>COUNTIF(A$1:A1720,A1720)-1</f>
        <v>2</v>
      </c>
      <c r="D1720" s="2" t="str">
        <f t="shared" si="26"/>
        <v>a</v>
      </c>
      <c r="E1720" s="2" t="e">
        <f>_xlfn.MODE.SNGL(#REF!,#REF!)</f>
        <v>#REF!</v>
      </c>
      <c r="F1720" s="2" t="e">
        <f>_xlfn.MODE.SNGL(#REF!,+F1720:G1720,#REF!)</f>
        <v>#REF!</v>
      </c>
      <c r="G1720" s="1">
        <v>1</v>
      </c>
      <c r="H1720" s="2" t="e">
        <f>_xlfn.MODE.SNGL(#REF!,H1720:I1720,#REF!)</f>
        <v>#REF!</v>
      </c>
      <c r="I1720" s="1">
        <v>1</v>
      </c>
      <c r="J1720" s="2" t="e">
        <f>_xlfn.MODE.SNGL(#REF!,INDIRECT(J1720:K1720),#REF!)</f>
        <v>#REF!</v>
      </c>
      <c r="K1720" s="1">
        <v>1</v>
      </c>
      <c r="L1720" s="2">
        <f>TYPE(INDEX(,_xlfn.MODE.SNGL(#REF!,OFFSET(INDEX(1,),,),#REF!)))</f>
        <v>16</v>
      </c>
    </row>
    <row r="1721" spans="1:12" x14ac:dyDescent="0.55000000000000004">
      <c r="A1721" s="1" t="s">
        <v>2084</v>
      </c>
      <c r="B1721" s="2">
        <f>COUNTIF(A:A,A1721)-1</f>
        <v>3</v>
      </c>
      <c r="C1721" s="2">
        <f>COUNTIF(A$1:A1721,A1721)-1</f>
        <v>3</v>
      </c>
      <c r="D1721" s="2" t="str">
        <f t="shared" si="26"/>
        <v>a</v>
      </c>
      <c r="E1721" s="2" t="e">
        <f>_xlfn.MODE.SNGL(#REF!,#REF!,#REF!)</f>
        <v>#REF!</v>
      </c>
      <c r="F1721" s="2" t="e">
        <f>_xlfn.MODE.SNGL(#REF!,#REF!,+F1721:G1721)</f>
        <v>#REF!</v>
      </c>
      <c r="G1721" s="1">
        <v>1</v>
      </c>
      <c r="H1721" s="2" t="e">
        <f>_xlfn.MODE.SNGL(#REF!,#REF!,H1721:I1721)</f>
        <v>#REF!</v>
      </c>
      <c r="I1721" s="1">
        <v>1</v>
      </c>
      <c r="J1721" s="2" t="e">
        <f>_xlfn.MODE.SNGL(#REF!,#REF!,INDIRECT(J1721:K1721))</f>
        <v>#REF!</v>
      </c>
      <c r="K1721" s="1">
        <v>1</v>
      </c>
      <c r="L1721" s="2">
        <f>TYPE(INDEX(,_xlfn.MODE.SNGL(#REF!,#REF!,OFFSET(INDEX(1,),,))))</f>
        <v>16</v>
      </c>
    </row>
    <row r="1722" spans="1:12" x14ac:dyDescent="0.55000000000000004">
      <c r="A1722" s="1" t="s">
        <v>2085</v>
      </c>
      <c r="B1722" s="2">
        <f>COUNTIF(A:A,A1722)-1</f>
        <v>4</v>
      </c>
      <c r="C1722" s="2">
        <f>COUNTIF(A$1:A1722,A1722)-1</f>
        <v>0</v>
      </c>
      <c r="D1722" s="2" t="str">
        <f t="shared" si="26"/>
        <v/>
      </c>
      <c r="E1722" s="2"/>
      <c r="F1722" s="2"/>
      <c r="H1722" s="2"/>
      <c r="J1722" s="2"/>
      <c r="L1722" s="2"/>
    </row>
    <row r="1723" spans="1:12" x14ac:dyDescent="0.55000000000000004">
      <c r="A1723" s="1" t="s">
        <v>2085</v>
      </c>
      <c r="B1723" s="2">
        <f>COUNTIF(A:A,A1723)-1</f>
        <v>4</v>
      </c>
      <c r="C1723" s="2">
        <f>COUNTIF(A$1:A1723,A1723)-1</f>
        <v>1</v>
      </c>
      <c r="D1723" s="2" t="str">
        <f t="shared" si="26"/>
        <v>v</v>
      </c>
      <c r="E1723" s="2"/>
      <c r="F1723" s="2" t="e">
        <f>_xlfn.NORM.DIST(+F1723:G1723,#REF!,#REF!,#REF!)</f>
        <v>#REF!</v>
      </c>
      <c r="H1723" s="2" t="e">
        <f>_xlfn.NORM.DIST(H1723:I1723,#REF!,#REF!,#REF!)</f>
        <v>#REF!</v>
      </c>
      <c r="J1723" s="2" t="e">
        <f>_xlfn.NORM.DIST(INDIRECT(J1723:K1723),#REF!,#REF!,#REF!)</f>
        <v>#REF!</v>
      </c>
      <c r="L1723" s="2">
        <f>TYPE(INDEX(,_xlfn.NORM.DIST(OFFSET(INDEX(1,),,),#REF!,#REF!,#REF!)))</f>
        <v>64</v>
      </c>
    </row>
    <row r="1724" spans="1:12" x14ac:dyDescent="0.55000000000000004">
      <c r="A1724" s="1" t="s">
        <v>2085</v>
      </c>
      <c r="B1724" s="2">
        <f>COUNTIF(A:A,A1724)-1</f>
        <v>4</v>
      </c>
      <c r="C1724" s="2">
        <f>COUNTIF(A$1:A1724,A1724)-1</f>
        <v>2</v>
      </c>
      <c r="D1724" s="2" t="str">
        <f t="shared" si="26"/>
        <v>v</v>
      </c>
      <c r="E1724" s="2"/>
      <c r="F1724" s="2" t="e">
        <f>_xlfn.NORM.DIST(#REF!,+F1724:G1724,#REF!,#REF!)</f>
        <v>#REF!</v>
      </c>
      <c r="H1724" s="2" t="e">
        <f>_xlfn.NORM.DIST(#REF!,H1724:I1724,#REF!,#REF!)</f>
        <v>#REF!</v>
      </c>
      <c r="J1724" s="2" t="e">
        <f>_xlfn.NORM.DIST(#REF!,INDIRECT(J1724:K1724),#REF!,#REF!)</f>
        <v>#REF!</v>
      </c>
      <c r="L1724" s="2">
        <f>TYPE(INDEX(,_xlfn.NORM.DIST(#REF!,OFFSET(INDEX(1,),,),#REF!,#REF!)))</f>
        <v>64</v>
      </c>
    </row>
    <row r="1725" spans="1:12" x14ac:dyDescent="0.55000000000000004">
      <c r="A1725" s="1" t="s">
        <v>2085</v>
      </c>
      <c r="B1725" s="2">
        <f>COUNTIF(A:A,A1725)-1</f>
        <v>4</v>
      </c>
      <c r="C1725" s="2">
        <f>COUNTIF(A$1:A1725,A1725)-1</f>
        <v>3</v>
      </c>
      <c r="D1725" s="2" t="str">
        <f t="shared" si="26"/>
        <v>v</v>
      </c>
      <c r="E1725" s="2"/>
      <c r="F1725" s="2" t="e">
        <f>_xlfn.NORM.DIST(#REF!,#REF!,+F1725:G1725,#REF!)</f>
        <v>#REF!</v>
      </c>
      <c r="H1725" s="2" t="e">
        <f>_xlfn.NORM.DIST(#REF!,#REF!,H1725:I1725,#REF!)</f>
        <v>#REF!</v>
      </c>
      <c r="J1725" s="2" t="e">
        <f>_xlfn.NORM.DIST(#REF!,#REF!,INDIRECT(J1725:K1725),#REF!)</f>
        <v>#REF!</v>
      </c>
      <c r="L1725" s="2">
        <f>TYPE(INDEX(,_xlfn.NORM.DIST(#REF!,#REF!,OFFSET(INDEX(1,),,),#REF!)))</f>
        <v>64</v>
      </c>
    </row>
    <row r="1726" spans="1:12" x14ac:dyDescent="0.55000000000000004">
      <c r="A1726" s="1" t="s">
        <v>2085</v>
      </c>
      <c r="B1726" s="2">
        <f>COUNTIF(A:A,A1726)-1</f>
        <v>4</v>
      </c>
      <c r="C1726" s="2">
        <f>COUNTIF(A$1:A1726,A1726)-1</f>
        <v>4</v>
      </c>
      <c r="D1726" s="2" t="str">
        <f t="shared" si="26"/>
        <v>v</v>
      </c>
      <c r="E1726" s="2" t="e">
        <f>_xlfn.NORM.DIST(#REF!,#REF!,#REF!,#REF!)</f>
        <v>#REF!</v>
      </c>
      <c r="F1726" s="2" t="e">
        <f>_xlfn.NORM.DIST(#REF!,#REF!,#REF!,+F1726:G1726)</f>
        <v>#REF!</v>
      </c>
      <c r="H1726" s="2" t="e">
        <f>_xlfn.NORM.DIST(#REF!,#REF!,#REF!,H1726:I1726)</f>
        <v>#REF!</v>
      </c>
      <c r="J1726" s="2" t="e">
        <f>_xlfn.NORM.DIST(#REF!,#REF!,#REF!,INDIRECT(J1726:K1726))</f>
        <v>#REF!</v>
      </c>
      <c r="L1726" s="2">
        <f>TYPE(INDEX(,_xlfn.NORM.DIST(#REF!,#REF!,#REF!,OFFSET(INDEX(1,),,))))</f>
        <v>64</v>
      </c>
    </row>
    <row r="1727" spans="1:12" x14ac:dyDescent="0.55000000000000004">
      <c r="A1727" s="1" t="s">
        <v>2086</v>
      </c>
      <c r="B1727" s="2">
        <f>COUNTIF(A:A,A1727)-1</f>
        <v>3</v>
      </c>
      <c r="C1727" s="2">
        <f>COUNTIF(A$1:A1727,A1727)-1</f>
        <v>0</v>
      </c>
      <c r="D1727" s="2" t="str">
        <f t="shared" si="26"/>
        <v/>
      </c>
      <c r="E1727" s="2"/>
      <c r="F1727" s="2"/>
      <c r="H1727" s="2"/>
      <c r="J1727" s="2"/>
      <c r="L1727" s="2"/>
    </row>
    <row r="1728" spans="1:12" x14ac:dyDescent="0.55000000000000004">
      <c r="A1728" s="1" t="s">
        <v>2086</v>
      </c>
      <c r="B1728" s="2">
        <f>COUNTIF(A:A,A1728)-1</f>
        <v>3</v>
      </c>
      <c r="C1728" s="2">
        <f>COUNTIF(A$1:A1728,A1728)-1</f>
        <v>1</v>
      </c>
      <c r="D1728" s="2" t="str">
        <f t="shared" si="26"/>
        <v>v</v>
      </c>
      <c r="E1728" s="2"/>
      <c r="F1728" s="2" t="e">
        <f>_xlfn.NORM.INV(+F1728:G1728,#REF!,#REF!)</f>
        <v>#REF!</v>
      </c>
      <c r="H1728" s="2" t="e">
        <f>_xlfn.NORM.INV(H1728:I1728,#REF!,#REF!)</f>
        <v>#REF!</v>
      </c>
      <c r="J1728" s="2" t="e">
        <f>_xlfn.NORM.INV(INDIRECT(J1728:K1728),#REF!,#REF!)</f>
        <v>#REF!</v>
      </c>
      <c r="L1728" s="2">
        <f>TYPE(INDEX(,_xlfn.NORM.INV(OFFSET(INDEX(1,),,),#REF!,#REF!)))</f>
        <v>64</v>
      </c>
    </row>
    <row r="1729" spans="1:12" x14ac:dyDescent="0.55000000000000004">
      <c r="A1729" s="1" t="s">
        <v>2086</v>
      </c>
      <c r="B1729" s="2">
        <f>COUNTIF(A:A,A1729)-1</f>
        <v>3</v>
      </c>
      <c r="C1729" s="2">
        <f>COUNTIF(A$1:A1729,A1729)-1</f>
        <v>2</v>
      </c>
      <c r="D1729" s="2" t="str">
        <f t="shared" si="26"/>
        <v>v</v>
      </c>
      <c r="E1729" s="2"/>
      <c r="F1729" s="2" t="e">
        <f>_xlfn.NORM.INV(#REF!,+F1729:G1729,#REF!)</f>
        <v>#REF!</v>
      </c>
      <c r="H1729" s="2" t="e">
        <f>_xlfn.NORM.INV(#REF!,H1729:I1729,#REF!)</f>
        <v>#REF!</v>
      </c>
      <c r="J1729" s="2" t="e">
        <f>_xlfn.NORM.INV(#REF!,INDIRECT(J1729:K1729),#REF!)</f>
        <v>#REF!</v>
      </c>
      <c r="L1729" s="2">
        <f>TYPE(INDEX(,_xlfn.NORM.INV(#REF!,OFFSET(INDEX(1,),,),#REF!)))</f>
        <v>64</v>
      </c>
    </row>
    <row r="1730" spans="1:12" x14ac:dyDescent="0.55000000000000004">
      <c r="A1730" s="1" t="s">
        <v>2086</v>
      </c>
      <c r="B1730" s="2">
        <f>COUNTIF(A:A,A1730)-1</f>
        <v>3</v>
      </c>
      <c r="C1730" s="2">
        <f>COUNTIF(A$1:A1730,A1730)-1</f>
        <v>3</v>
      </c>
      <c r="D1730" s="2" t="str">
        <f t="shared" ref="D1730:D1793" si="28">IF(C1730&gt;0,IF(COUNTA(F1730:G1730)=1,"v",)&amp;IF(L1730=64,,"a")&amp;IF(COUNTA(I1730,K1730)=1,"r",),"")</f>
        <v>v</v>
      </c>
      <c r="E1730" s="2" t="e">
        <f>_xlfn.NORM.INV(#REF!,#REF!,#REF!)</f>
        <v>#REF!</v>
      </c>
      <c r="F1730" s="2" t="e">
        <f>_xlfn.NORM.INV(#REF!,#REF!,+F1730:G1730)</f>
        <v>#REF!</v>
      </c>
      <c r="H1730" s="2" t="e">
        <f>_xlfn.NORM.INV(#REF!,#REF!,H1730:I1730)</f>
        <v>#REF!</v>
      </c>
      <c r="J1730" s="2" t="e">
        <f>_xlfn.NORM.INV(#REF!,#REF!,INDIRECT(J1730:K1730))</f>
        <v>#REF!</v>
      </c>
      <c r="L1730" s="2">
        <f>TYPE(INDEX(,_xlfn.NORM.INV(#REF!,#REF!,OFFSET(INDEX(1,),,))))</f>
        <v>64</v>
      </c>
    </row>
    <row r="1731" spans="1:12" x14ac:dyDescent="0.55000000000000004">
      <c r="A1731" s="1" t="s">
        <v>2087</v>
      </c>
      <c r="B1731" s="2">
        <f>COUNTIF(A:A,A1731)-1</f>
        <v>2</v>
      </c>
      <c r="C1731" s="2">
        <f>COUNTIF(A$1:A1731,A1731)-1</f>
        <v>0</v>
      </c>
      <c r="D1731" s="2" t="str">
        <f t="shared" si="28"/>
        <v/>
      </c>
      <c r="E1731" s="2"/>
      <c r="F1731" s="2"/>
      <c r="H1731" s="2"/>
      <c r="J1731" s="2"/>
      <c r="L1731" s="2"/>
    </row>
    <row r="1732" spans="1:12" x14ac:dyDescent="0.55000000000000004">
      <c r="A1732" s="1" t="s">
        <v>2087</v>
      </c>
      <c r="B1732" s="2">
        <f>COUNTIF(A:A,A1732)-1</f>
        <v>2</v>
      </c>
      <c r="C1732" s="2">
        <f>COUNTIF(A$1:A1732,A1732)-1</f>
        <v>1</v>
      </c>
      <c r="D1732" s="2" t="str">
        <f t="shared" si="28"/>
        <v>var</v>
      </c>
      <c r="E1732" s="2"/>
      <c r="F1732" s="2" t="e">
        <f>_xlfn.PERCENTILE.EXC(+F1732:G1732,#REF!)</f>
        <v>#REF!</v>
      </c>
      <c r="H1732" s="2" t="e">
        <f>_xlfn.PERCENTILE.EXC(H1732:I1732,#REF!)</f>
        <v>#REF!</v>
      </c>
      <c r="I1732" s="1">
        <v>1</v>
      </c>
      <c r="J1732" s="2" t="e">
        <f>_xlfn.PERCENTILE.EXC(INDIRECT(J1732:K1732),#REF!)</f>
        <v>#REF!</v>
      </c>
      <c r="L1732" s="2">
        <f>TYPE(INDEX(,_xlfn.PERCENTILE.EXC(OFFSET(INDEX(1,),,),#REF!)))</f>
        <v>16</v>
      </c>
    </row>
    <row r="1733" spans="1:12" x14ac:dyDescent="0.55000000000000004">
      <c r="A1733" s="1" t="s">
        <v>2087</v>
      </c>
      <c r="B1733" s="2">
        <f>COUNTIF(A:A,A1733)-1</f>
        <v>2</v>
      </c>
      <c r="C1733" s="2">
        <f>COUNTIF(A$1:A1733,A1733)-1</f>
        <v>2</v>
      </c>
      <c r="D1733" s="2" t="str">
        <f t="shared" si="28"/>
        <v>v</v>
      </c>
      <c r="E1733" s="2" t="e">
        <f>_xlfn.PERCENTILE.EXC(#REF!,#REF!)</f>
        <v>#REF!</v>
      </c>
      <c r="F1733" s="2" t="e">
        <f>_xlfn.PERCENTILE.EXC(#REF!,+F1733:G1733)</f>
        <v>#REF!</v>
      </c>
      <c r="H1733" s="2" t="e">
        <f>_xlfn.PERCENTILE.EXC(#REF!,H1733:I1733)</f>
        <v>#REF!</v>
      </c>
      <c r="J1733" s="2" t="e">
        <f>_xlfn.PERCENTILE.EXC(#REF!,INDIRECT(J1733:K1733))</f>
        <v>#REF!</v>
      </c>
      <c r="L1733" s="2">
        <f>TYPE(INDEX(,_xlfn.PERCENTILE.EXC(#REF!,OFFSET(INDEX(1,),,))))</f>
        <v>64</v>
      </c>
    </row>
    <row r="1734" spans="1:12" x14ac:dyDescent="0.55000000000000004">
      <c r="A1734" s="1" t="s">
        <v>2088</v>
      </c>
      <c r="B1734" s="2">
        <f>COUNTIF(A:A,A1734)-1</f>
        <v>2</v>
      </c>
      <c r="C1734" s="2">
        <f>COUNTIF(A$1:A1734,A1734)-1</f>
        <v>0</v>
      </c>
      <c r="D1734" s="2" t="str">
        <f t="shared" si="28"/>
        <v/>
      </c>
      <c r="E1734" s="2"/>
      <c r="F1734" s="2"/>
      <c r="H1734" s="2"/>
      <c r="J1734" s="2"/>
      <c r="L1734" s="2"/>
    </row>
    <row r="1735" spans="1:12" x14ac:dyDescent="0.55000000000000004">
      <c r="A1735" s="1" t="s">
        <v>2088</v>
      </c>
      <c r="B1735" s="2">
        <f>COUNTIF(A:A,A1735)-1</f>
        <v>2</v>
      </c>
      <c r="C1735" s="2">
        <f>COUNTIF(A$1:A1735,A1735)-1</f>
        <v>1</v>
      </c>
      <c r="D1735" s="2" t="str">
        <f t="shared" si="28"/>
        <v>var</v>
      </c>
      <c r="E1735" s="2"/>
      <c r="F1735" s="2" t="e">
        <f>_xlfn.PERCENTILE.INC(+F1735:G1735,#REF!)</f>
        <v>#REF!</v>
      </c>
      <c r="H1735" s="2" t="e">
        <f>_xlfn.PERCENTILE.INC(H1735:I1735,#REF!)</f>
        <v>#REF!</v>
      </c>
      <c r="I1735" s="1">
        <v>1</v>
      </c>
      <c r="J1735" s="2" t="e">
        <f>_xlfn.PERCENTILE.INC(INDIRECT(J1735:K1735),#REF!)</f>
        <v>#REF!</v>
      </c>
      <c r="L1735" s="2">
        <f>TYPE(INDEX(,_xlfn.PERCENTILE.INC(OFFSET(INDEX(1,),,),#REF!)))</f>
        <v>16</v>
      </c>
    </row>
    <row r="1736" spans="1:12" x14ac:dyDescent="0.55000000000000004">
      <c r="A1736" s="1" t="s">
        <v>2088</v>
      </c>
      <c r="B1736" s="2">
        <f>COUNTIF(A:A,A1736)-1</f>
        <v>2</v>
      </c>
      <c r="C1736" s="2">
        <f>COUNTIF(A$1:A1736,A1736)-1</f>
        <v>2</v>
      </c>
      <c r="D1736" s="2" t="str">
        <f t="shared" si="28"/>
        <v>v</v>
      </c>
      <c r="E1736" s="2" t="e">
        <f>_xlfn.PERCENTILE.INC(#REF!,#REF!)</f>
        <v>#REF!</v>
      </c>
      <c r="F1736" s="2" t="e">
        <f>_xlfn.PERCENTILE.INC(#REF!,+F1736:G1736)</f>
        <v>#REF!</v>
      </c>
      <c r="H1736" s="2" t="e">
        <f>_xlfn.PERCENTILE.INC(#REF!,H1736:I1736)</f>
        <v>#REF!</v>
      </c>
      <c r="J1736" s="2" t="e">
        <f>_xlfn.PERCENTILE.INC(#REF!,INDIRECT(J1736:K1736))</f>
        <v>#REF!</v>
      </c>
      <c r="L1736" s="2">
        <f>TYPE(INDEX(,_xlfn.PERCENTILE.INC(#REF!,OFFSET(INDEX(1,),,))))</f>
        <v>64</v>
      </c>
    </row>
    <row r="1737" spans="1:12" x14ac:dyDescent="0.55000000000000004">
      <c r="A1737" s="1" t="s">
        <v>2089</v>
      </c>
      <c r="B1737" s="2">
        <f>COUNTIF(A:A,A1737)-1</f>
        <v>3</v>
      </c>
      <c r="C1737" s="2">
        <f>COUNTIF(A$1:A1737,A1737)-1</f>
        <v>0</v>
      </c>
      <c r="D1737" s="2" t="str">
        <f t="shared" si="28"/>
        <v/>
      </c>
      <c r="E1737" s="2"/>
      <c r="F1737" s="2"/>
      <c r="H1737" s="2"/>
      <c r="J1737" s="2"/>
      <c r="L1737" s="2"/>
    </row>
    <row r="1738" spans="1:12" x14ac:dyDescent="0.55000000000000004">
      <c r="A1738" s="1" t="s">
        <v>2089</v>
      </c>
      <c r="B1738" s="2">
        <f>COUNTIF(A:A,A1738)-1</f>
        <v>3</v>
      </c>
      <c r="C1738" s="2">
        <f>COUNTIF(A$1:A1738,A1738)-1</f>
        <v>1</v>
      </c>
      <c r="D1738" s="2" t="str">
        <f t="shared" si="28"/>
        <v>var</v>
      </c>
      <c r="E1738" s="2"/>
      <c r="F1738" s="2" t="e">
        <f>_xlfn.PERCENTRANK.EXC(+F1738:G1738,#REF!,#REF!)</f>
        <v>#REF!</v>
      </c>
      <c r="H1738" s="2" t="e">
        <f>_xlfn.PERCENTRANK.EXC(H1738:I1738,#REF!,#REF!)</f>
        <v>#REF!</v>
      </c>
      <c r="I1738" s="1">
        <v>1</v>
      </c>
      <c r="J1738" s="2" t="e">
        <f>_xlfn.PERCENTRANK.EXC(INDIRECT(J1738:K1738),#REF!,#REF!)</f>
        <v>#REF!</v>
      </c>
      <c r="L1738" s="2">
        <f>TYPE(INDEX(,_xlfn.PERCENTRANK.EXC(OFFSET(INDEX(1,),,),#REF!,#REF!)))</f>
        <v>16</v>
      </c>
    </row>
    <row r="1739" spans="1:12" x14ac:dyDescent="0.55000000000000004">
      <c r="A1739" s="1" t="s">
        <v>2089</v>
      </c>
      <c r="B1739" s="2">
        <f>COUNTIF(A:A,A1739)-1</f>
        <v>3</v>
      </c>
      <c r="C1739" s="2">
        <f>COUNTIF(A$1:A1739,A1739)-1</f>
        <v>2</v>
      </c>
      <c r="D1739" s="2" t="str">
        <f t="shared" si="28"/>
        <v>v</v>
      </c>
      <c r="E1739" s="2" t="e">
        <f>_xlfn.PERCENTRANK.EXC(#REF!,#REF!)</f>
        <v>#REF!</v>
      </c>
      <c r="F1739" s="2" t="e">
        <f>_xlfn.PERCENTRANK.EXC(#REF!,+F1739:G1739,#REF!)</f>
        <v>#REF!</v>
      </c>
      <c r="H1739" s="2" t="e">
        <f>_xlfn.PERCENTRANK.EXC(#REF!,H1739:I1739,#REF!)</f>
        <v>#REF!</v>
      </c>
      <c r="J1739" s="2" t="e">
        <f>_xlfn.PERCENTRANK.EXC(#REF!,INDIRECT(J1739:K1739),#REF!)</f>
        <v>#REF!</v>
      </c>
      <c r="L1739" s="2">
        <f>TYPE(INDEX(,_xlfn.PERCENTRANK.EXC(#REF!,OFFSET(INDEX(1,),,),#REF!)))</f>
        <v>64</v>
      </c>
    </row>
    <row r="1740" spans="1:12" x14ac:dyDescent="0.55000000000000004">
      <c r="A1740" s="1" t="s">
        <v>2089</v>
      </c>
      <c r="B1740" s="2">
        <f>COUNTIF(A:A,A1740)-1</f>
        <v>3</v>
      </c>
      <c r="C1740" s="2">
        <f>COUNTIF(A$1:A1740,A1740)-1</f>
        <v>3</v>
      </c>
      <c r="D1740" s="2" t="str">
        <f t="shared" si="28"/>
        <v>v</v>
      </c>
      <c r="E1740" s="2" t="e">
        <f>_xlfn.PERCENTRANK.EXC(#REF!,#REF!,#REF!)</f>
        <v>#REF!</v>
      </c>
      <c r="F1740" s="2" t="e">
        <f>_xlfn.PERCENTRANK.EXC(#REF!,#REF!,+F1740:G1740)</f>
        <v>#REF!</v>
      </c>
      <c r="H1740" s="2" t="e">
        <f>_xlfn.PERCENTRANK.EXC(#REF!,#REF!,H1740:I1740)</f>
        <v>#REF!</v>
      </c>
      <c r="J1740" s="2" t="e">
        <f>_xlfn.PERCENTRANK.EXC(#REF!,#REF!,INDIRECT(J1740:K1740))</f>
        <v>#REF!</v>
      </c>
      <c r="L1740" s="2">
        <f>TYPE(INDEX(,_xlfn.PERCENTRANK.EXC(#REF!,#REF!,OFFSET(INDEX(1,),,))))</f>
        <v>64</v>
      </c>
    </row>
    <row r="1741" spans="1:12" x14ac:dyDescent="0.55000000000000004">
      <c r="A1741" s="1" t="s">
        <v>2090</v>
      </c>
      <c r="B1741" s="2">
        <f>COUNTIF(A:A,A1741)-1</f>
        <v>3</v>
      </c>
      <c r="C1741" s="2">
        <f>COUNTIF(A$1:A1741,A1741)-1</f>
        <v>0</v>
      </c>
      <c r="D1741" s="2" t="str">
        <f t="shared" si="28"/>
        <v/>
      </c>
      <c r="E1741" s="2"/>
      <c r="F1741" s="2"/>
      <c r="H1741" s="2"/>
      <c r="J1741" s="2"/>
      <c r="L1741" s="2"/>
    </row>
    <row r="1742" spans="1:12" x14ac:dyDescent="0.55000000000000004">
      <c r="A1742" s="1" t="s">
        <v>2090</v>
      </c>
      <c r="B1742" s="2">
        <f>COUNTIF(A:A,A1742)-1</f>
        <v>3</v>
      </c>
      <c r="C1742" s="2">
        <f>COUNTIF(A$1:A1742,A1742)-1</f>
        <v>1</v>
      </c>
      <c r="D1742" s="2" t="str">
        <f t="shared" si="28"/>
        <v>var</v>
      </c>
      <c r="E1742" s="2"/>
      <c r="F1742" s="2" t="e">
        <f>_xlfn.PERCENTRANK.INC(+F1742:G1742,#REF!,#REF!)</f>
        <v>#REF!</v>
      </c>
      <c r="H1742" s="2" t="e">
        <f>_xlfn.PERCENTRANK.INC(H1742:I1742,#REF!,#REF!)</f>
        <v>#REF!</v>
      </c>
      <c r="I1742" s="1">
        <v>1</v>
      </c>
      <c r="J1742" s="2" t="e">
        <f>_xlfn.PERCENTRANK.INC(INDIRECT(J1742:K1742),#REF!,#REF!)</f>
        <v>#REF!</v>
      </c>
      <c r="L1742" s="2">
        <f>TYPE(INDEX(,_xlfn.PERCENTRANK.INC(OFFSET(INDEX(1,),,),#REF!,#REF!)))</f>
        <v>16</v>
      </c>
    </row>
    <row r="1743" spans="1:12" x14ac:dyDescent="0.55000000000000004">
      <c r="A1743" s="1" t="s">
        <v>2090</v>
      </c>
      <c r="B1743" s="2">
        <f>COUNTIF(A:A,A1743)-1</f>
        <v>3</v>
      </c>
      <c r="C1743" s="2">
        <f>COUNTIF(A$1:A1743,A1743)-1</f>
        <v>2</v>
      </c>
      <c r="D1743" s="2" t="str">
        <f t="shared" si="28"/>
        <v>v</v>
      </c>
      <c r="E1743" s="2" t="e">
        <f>_xlfn.PERCENTRANK.INC(#REF!,#REF!)</f>
        <v>#REF!</v>
      </c>
      <c r="F1743" s="2" t="e">
        <f>_xlfn.PERCENTRANK.INC(#REF!,+F1743:G1743,#REF!)</f>
        <v>#REF!</v>
      </c>
      <c r="H1743" s="2" t="e">
        <f>_xlfn.PERCENTRANK.INC(#REF!,H1743:I1743,#REF!)</f>
        <v>#REF!</v>
      </c>
      <c r="J1743" s="2" t="e">
        <f>_xlfn.PERCENTRANK.INC(#REF!,INDIRECT(J1743:K1743),#REF!)</f>
        <v>#REF!</v>
      </c>
      <c r="L1743" s="2">
        <f>TYPE(INDEX(,_xlfn.PERCENTRANK.INC(#REF!,OFFSET(INDEX(1,),,),#REF!)))</f>
        <v>64</v>
      </c>
    </row>
    <row r="1744" spans="1:12" x14ac:dyDescent="0.55000000000000004">
      <c r="A1744" s="1" t="s">
        <v>2090</v>
      </c>
      <c r="B1744" s="2">
        <f>COUNTIF(A:A,A1744)-1</f>
        <v>3</v>
      </c>
      <c r="C1744" s="2">
        <f>COUNTIF(A$1:A1744,A1744)-1</f>
        <v>3</v>
      </c>
      <c r="D1744" s="2" t="str">
        <f t="shared" si="28"/>
        <v>v</v>
      </c>
      <c r="E1744" s="2" t="e">
        <f>_xlfn.PERCENTRANK.INC(#REF!,#REF!,#REF!)</f>
        <v>#REF!</v>
      </c>
      <c r="F1744" s="2" t="e">
        <f>_xlfn.PERCENTRANK.INC(#REF!,#REF!,+F1744:G1744)</f>
        <v>#REF!</v>
      </c>
      <c r="H1744" s="2" t="e">
        <f>_xlfn.PERCENTRANK.INC(#REF!,#REF!,H1744:I1744)</f>
        <v>#REF!</v>
      </c>
      <c r="J1744" s="2" t="e">
        <f>_xlfn.PERCENTRANK.INC(#REF!,#REF!,INDIRECT(J1744:K1744))</f>
        <v>#REF!</v>
      </c>
      <c r="L1744" s="2">
        <f>TYPE(INDEX(,_xlfn.PERCENTRANK.INC(#REF!,#REF!,OFFSET(INDEX(1,),,))))</f>
        <v>64</v>
      </c>
    </row>
    <row r="1745" spans="1:12" x14ac:dyDescent="0.55000000000000004">
      <c r="A1745" s="1" t="s">
        <v>2091</v>
      </c>
      <c r="B1745" s="2">
        <f>COUNTIF(A:A,A1745)-1</f>
        <v>3</v>
      </c>
      <c r="C1745" s="2">
        <f>COUNTIF(A$1:A1745,A1745)-1</f>
        <v>0</v>
      </c>
      <c r="D1745" s="2" t="str">
        <f t="shared" si="28"/>
        <v/>
      </c>
      <c r="E1745" s="2"/>
      <c r="F1745" s="2"/>
      <c r="H1745" s="2"/>
      <c r="J1745" s="2"/>
      <c r="L1745" s="2"/>
    </row>
    <row r="1746" spans="1:12" x14ac:dyDescent="0.55000000000000004">
      <c r="A1746" s="1" t="s">
        <v>2091</v>
      </c>
      <c r="B1746" s="2">
        <f>COUNTIF(A:A,A1746)-1</f>
        <v>3</v>
      </c>
      <c r="C1746" s="2">
        <f>COUNTIF(A$1:A1746,A1746)-1</f>
        <v>1</v>
      </c>
      <c r="D1746" s="2" t="str">
        <f t="shared" si="28"/>
        <v>v</v>
      </c>
      <c r="E1746" s="2"/>
      <c r="F1746" s="2" t="e">
        <f>_xlfn.POISSON.DIST(+F1746:G1746,#REF!,#REF!)</f>
        <v>#REF!</v>
      </c>
      <c r="H1746" s="2" t="e">
        <f>_xlfn.POISSON.DIST(H1746:I1746,#REF!,#REF!)</f>
        <v>#REF!</v>
      </c>
      <c r="J1746" s="2" t="e">
        <f>_xlfn.POISSON.DIST(INDIRECT(J1746:K1746),#REF!,#REF!)</f>
        <v>#REF!</v>
      </c>
      <c r="L1746" s="2">
        <f>TYPE(INDEX(,_xlfn.POISSON.DIST(OFFSET(INDEX(1,),,),#REF!,#REF!)))</f>
        <v>64</v>
      </c>
    </row>
    <row r="1747" spans="1:12" x14ac:dyDescent="0.55000000000000004">
      <c r="A1747" s="1" t="s">
        <v>2091</v>
      </c>
      <c r="B1747" s="2">
        <f>COUNTIF(A:A,A1747)-1</f>
        <v>3</v>
      </c>
      <c r="C1747" s="2">
        <f>COUNTIF(A$1:A1747,A1747)-1</f>
        <v>2</v>
      </c>
      <c r="D1747" s="2" t="str">
        <f t="shared" si="28"/>
        <v>v</v>
      </c>
      <c r="E1747" s="2"/>
      <c r="F1747" s="2" t="e">
        <f>_xlfn.POISSON.DIST(#REF!,+F1747:G1747,#REF!)</f>
        <v>#REF!</v>
      </c>
      <c r="H1747" s="2" t="e">
        <f>_xlfn.POISSON.DIST(#REF!,H1747:I1747,#REF!)</f>
        <v>#REF!</v>
      </c>
      <c r="J1747" s="2" t="e">
        <f>_xlfn.POISSON.DIST(#REF!,INDIRECT(J1747:K1747),#REF!)</f>
        <v>#REF!</v>
      </c>
      <c r="L1747" s="2">
        <f>TYPE(INDEX(,_xlfn.POISSON.DIST(#REF!,OFFSET(INDEX(1,),,),#REF!)))</f>
        <v>64</v>
      </c>
    </row>
    <row r="1748" spans="1:12" x14ac:dyDescent="0.55000000000000004">
      <c r="A1748" s="1" t="s">
        <v>2091</v>
      </c>
      <c r="B1748" s="2">
        <f>COUNTIF(A:A,A1748)-1</f>
        <v>3</v>
      </c>
      <c r="C1748" s="2">
        <f>COUNTIF(A$1:A1748,A1748)-1</f>
        <v>3</v>
      </c>
      <c r="D1748" s="2" t="str">
        <f t="shared" si="28"/>
        <v>v</v>
      </c>
      <c r="E1748" s="2" t="e">
        <f>_xlfn.POISSON.DIST(#REF!,#REF!,#REF!)</f>
        <v>#REF!</v>
      </c>
      <c r="F1748" s="2" t="e">
        <f>_xlfn.POISSON.DIST(#REF!,#REF!,+F1748:G1748)</f>
        <v>#REF!</v>
      </c>
      <c r="H1748" s="2" t="e">
        <f>_xlfn.POISSON.DIST(#REF!,#REF!,H1748:I1748)</f>
        <v>#REF!</v>
      </c>
      <c r="J1748" s="2" t="e">
        <f>_xlfn.POISSON.DIST(#REF!,#REF!,INDIRECT(J1748:K1748))</f>
        <v>#REF!</v>
      </c>
      <c r="L1748" s="2">
        <f>TYPE(INDEX(,_xlfn.POISSON.DIST(#REF!,#REF!,OFFSET(INDEX(1,),,))))</f>
        <v>64</v>
      </c>
    </row>
    <row r="1749" spans="1:12" x14ac:dyDescent="0.55000000000000004">
      <c r="A1749" s="1" t="s">
        <v>2092</v>
      </c>
      <c r="B1749" s="2">
        <f>COUNTIF(A:A,A1749)-1</f>
        <v>2</v>
      </c>
      <c r="C1749" s="2">
        <f>COUNTIF(A$1:A1749,A1749)-1</f>
        <v>0</v>
      </c>
      <c r="D1749" s="2" t="str">
        <f t="shared" si="28"/>
        <v/>
      </c>
      <c r="E1749" s="2"/>
      <c r="F1749" s="2"/>
      <c r="H1749" s="2"/>
      <c r="J1749" s="2"/>
      <c r="L1749" s="2"/>
    </row>
    <row r="1750" spans="1:12" x14ac:dyDescent="0.55000000000000004">
      <c r="A1750" s="1" t="s">
        <v>2092</v>
      </c>
      <c r="B1750" s="2">
        <f>COUNTIF(A:A,A1750)-1</f>
        <v>2</v>
      </c>
      <c r="C1750" s="2">
        <f>COUNTIF(A$1:A1750,A1750)-1</f>
        <v>1</v>
      </c>
      <c r="D1750" s="2" t="str">
        <f t="shared" si="28"/>
        <v>var</v>
      </c>
      <c r="E1750" s="2"/>
      <c r="F1750" s="2" t="e">
        <f>_xlfn.QUARTILE.EXC(+F1750:G1750,#REF!)</f>
        <v>#REF!</v>
      </c>
      <c r="H1750" s="2" t="e">
        <f>_xlfn.QUARTILE.EXC(H1750:I1750,#REF!)</f>
        <v>#REF!</v>
      </c>
      <c r="I1750" s="1">
        <v>1</v>
      </c>
      <c r="J1750" s="2" t="e">
        <f>_xlfn.QUARTILE.EXC(INDIRECT(J1750:K1750),#REF!)</f>
        <v>#REF!</v>
      </c>
      <c r="L1750" s="2">
        <f>TYPE(INDEX(,_xlfn.QUARTILE.EXC(OFFSET(INDEX(1,),,),#REF!)))</f>
        <v>16</v>
      </c>
    </row>
    <row r="1751" spans="1:12" x14ac:dyDescent="0.55000000000000004">
      <c r="A1751" s="1" t="s">
        <v>2092</v>
      </c>
      <c r="B1751" s="2">
        <f>COUNTIF(A:A,A1751)-1</f>
        <v>2</v>
      </c>
      <c r="C1751" s="2">
        <f>COUNTIF(A$1:A1751,A1751)-1</f>
        <v>2</v>
      </c>
      <c r="D1751" s="2" t="str">
        <f t="shared" si="28"/>
        <v>v</v>
      </c>
      <c r="E1751" s="2" t="e">
        <f>_xlfn.QUARTILE.EXC(#REF!,#REF!)</f>
        <v>#REF!</v>
      </c>
      <c r="F1751" s="2" t="e">
        <f>_xlfn.QUARTILE.EXC(#REF!,+F1751:G1751)</f>
        <v>#REF!</v>
      </c>
      <c r="H1751" s="2" t="e">
        <f>_xlfn.QUARTILE.EXC(#REF!,H1751:I1751)</f>
        <v>#REF!</v>
      </c>
      <c r="J1751" s="2" t="e">
        <f>_xlfn.QUARTILE.EXC(#REF!,INDIRECT(J1751:K1751))</f>
        <v>#REF!</v>
      </c>
      <c r="L1751" s="2">
        <f>TYPE(INDEX(,_xlfn.QUARTILE.EXC(#REF!,OFFSET(INDEX(1,),,))))</f>
        <v>64</v>
      </c>
    </row>
    <row r="1752" spans="1:12" x14ac:dyDescent="0.55000000000000004">
      <c r="A1752" s="1" t="s">
        <v>2093</v>
      </c>
      <c r="B1752" s="2">
        <f>COUNTIF(A:A,A1752)-1</f>
        <v>2</v>
      </c>
      <c r="C1752" s="2">
        <f>COUNTIF(A$1:A1752,A1752)-1</f>
        <v>0</v>
      </c>
      <c r="D1752" s="2" t="str">
        <f t="shared" si="28"/>
        <v/>
      </c>
      <c r="E1752" s="2"/>
      <c r="F1752" s="2"/>
      <c r="H1752" s="2"/>
      <c r="J1752" s="2"/>
      <c r="L1752" s="2"/>
    </row>
    <row r="1753" spans="1:12" x14ac:dyDescent="0.55000000000000004">
      <c r="A1753" s="1" t="s">
        <v>2093</v>
      </c>
      <c r="B1753" s="2">
        <f>COUNTIF(A:A,A1753)-1</f>
        <v>2</v>
      </c>
      <c r="C1753" s="2">
        <f>COUNTIF(A$1:A1753,A1753)-1</f>
        <v>1</v>
      </c>
      <c r="D1753" s="2" t="str">
        <f t="shared" si="28"/>
        <v>var</v>
      </c>
      <c r="E1753" s="2"/>
      <c r="F1753" s="2" t="e">
        <f>_xlfn.QUARTILE.INC(+F1753:G1753,#REF!)</f>
        <v>#REF!</v>
      </c>
      <c r="H1753" s="2" t="e">
        <f>_xlfn.QUARTILE.INC(H1753:I1753,#REF!)</f>
        <v>#REF!</v>
      </c>
      <c r="I1753" s="1">
        <v>1</v>
      </c>
      <c r="J1753" s="2" t="e">
        <f>_xlfn.QUARTILE.INC(INDIRECT(J1753:K1753),#REF!)</f>
        <v>#REF!</v>
      </c>
      <c r="L1753" s="2">
        <f>TYPE(INDEX(,_xlfn.QUARTILE.INC(OFFSET(INDEX(1,),,),#REF!)))</f>
        <v>16</v>
      </c>
    </row>
    <row r="1754" spans="1:12" x14ac:dyDescent="0.55000000000000004">
      <c r="A1754" s="1" t="s">
        <v>2093</v>
      </c>
      <c r="B1754" s="2">
        <f>COUNTIF(A:A,A1754)-1</f>
        <v>2</v>
      </c>
      <c r="C1754" s="2">
        <f>COUNTIF(A$1:A1754,A1754)-1</f>
        <v>2</v>
      </c>
      <c r="D1754" s="2" t="str">
        <f t="shared" si="28"/>
        <v>v</v>
      </c>
      <c r="E1754" s="2" t="e">
        <f>_xlfn.QUARTILE.INC(#REF!,#REF!)</f>
        <v>#REF!</v>
      </c>
      <c r="F1754" s="2" t="e">
        <f>_xlfn.QUARTILE.INC(#REF!,+F1754:G1754)</f>
        <v>#REF!</v>
      </c>
      <c r="H1754" s="2" t="e">
        <f>_xlfn.QUARTILE.INC(#REF!,H1754:I1754)</f>
        <v>#REF!</v>
      </c>
      <c r="J1754" s="2" t="e">
        <f>_xlfn.QUARTILE.INC(#REF!,INDIRECT(J1754:K1754))</f>
        <v>#REF!</v>
      </c>
      <c r="L1754" s="2">
        <f>TYPE(INDEX(,_xlfn.QUARTILE.INC(#REF!,OFFSET(INDEX(1,),,))))</f>
        <v>64</v>
      </c>
    </row>
    <row r="1755" spans="1:12" x14ac:dyDescent="0.55000000000000004">
      <c r="A1755" s="1" t="s">
        <v>2094</v>
      </c>
      <c r="B1755" s="2">
        <f>COUNTIF(A:A,A1755)-1</f>
        <v>3</v>
      </c>
      <c r="C1755" s="2">
        <f>COUNTIF(A$1:A1755,A1755)-1</f>
        <v>0</v>
      </c>
      <c r="D1755" s="2" t="str">
        <f t="shared" si="28"/>
        <v/>
      </c>
      <c r="E1755" s="2"/>
      <c r="F1755" s="2"/>
      <c r="H1755" s="2"/>
      <c r="J1755" s="2"/>
      <c r="L1755" s="2"/>
    </row>
    <row r="1756" spans="1:12" x14ac:dyDescent="0.55000000000000004">
      <c r="A1756" s="1" t="s">
        <v>2094</v>
      </c>
      <c r="B1756" s="2">
        <f>COUNTIF(A:A,A1756)-1</f>
        <v>3</v>
      </c>
      <c r="C1756" s="2">
        <f>COUNTIF(A$1:A1756,A1756)-1</f>
        <v>1</v>
      </c>
      <c r="D1756" s="2" t="str">
        <f t="shared" si="28"/>
        <v>v</v>
      </c>
      <c r="E1756" s="2"/>
      <c r="F1756" s="2" t="e">
        <f>_xlfn.RANK.AVG(+F1756:G1756,#REF!,#REF!)</f>
        <v>#REF!</v>
      </c>
      <c r="H1756" s="2" t="e">
        <f>_xlfn.RANK.AVG(H1756:I1756,#REF!,#REF!)</f>
        <v>#REF!</v>
      </c>
      <c r="J1756" s="2" t="e">
        <f>_xlfn.RANK.AVG(INDIRECT(J1756:K1756),#REF!,#REF!)</f>
        <v>#REF!</v>
      </c>
      <c r="L1756" s="2">
        <f>TYPE(INDEX(,_xlfn.RANK.AVG(OFFSET(INDEX(1,),,),#REF!,#REF!)))</f>
        <v>64</v>
      </c>
    </row>
    <row r="1757" spans="1:12" x14ac:dyDescent="0.55000000000000004">
      <c r="A1757" s="1" t="s">
        <v>2094</v>
      </c>
      <c r="B1757" s="2">
        <f>COUNTIF(A:A,A1757)-1</f>
        <v>3</v>
      </c>
      <c r="C1757" s="2">
        <f>COUNTIF(A$1:A1757,A1757)-1</f>
        <v>2</v>
      </c>
      <c r="D1757" s="2" t="str">
        <f t="shared" si="28"/>
        <v>r</v>
      </c>
      <c r="E1757" s="2" t="e">
        <f>_xlfn.RANK.AVG(#REF!,#REF!)</f>
        <v>#REF!</v>
      </c>
      <c r="F1757" s="2"/>
      <c r="H1757" s="2" t="e">
        <f>_xlfn.RANK.AVG(#REF!,H1757:I1757,#REF!)</f>
        <v>#REF!</v>
      </c>
      <c r="I1757" s="1">
        <v>1</v>
      </c>
      <c r="J1757" s="2" t="e">
        <f>_xlfn.RANK.AVG(#REF!,INDIRECT(J1757:K1757),#REF!)</f>
        <v>#REF!</v>
      </c>
      <c r="L1757" s="2">
        <f>TYPE(INDEX(,_xlfn.RANK.AVG(#REF!,OFFSET(INDEX(1,),,),#REF!)))</f>
        <v>64</v>
      </c>
    </row>
    <row r="1758" spans="1:12" x14ac:dyDescent="0.55000000000000004">
      <c r="A1758" s="1" t="s">
        <v>2094</v>
      </c>
      <c r="B1758" s="2">
        <f>COUNTIF(A:A,A1758)-1</f>
        <v>3</v>
      </c>
      <c r="C1758" s="2">
        <f>COUNTIF(A$1:A1758,A1758)-1</f>
        <v>3</v>
      </c>
      <c r="D1758" s="2" t="str">
        <f t="shared" si="28"/>
        <v>v</v>
      </c>
      <c r="E1758" s="2" t="e">
        <f>_xlfn.RANK.AVG(#REF!,#REF!,#REF!)</f>
        <v>#REF!</v>
      </c>
      <c r="F1758" s="2" t="e">
        <f>_xlfn.RANK.AVG(#REF!,#REF!,+F1758:G1758)</f>
        <v>#REF!</v>
      </c>
      <c r="H1758" s="2" t="e">
        <f>_xlfn.RANK.AVG(#REF!,#REF!,H1758:I1758)</f>
        <v>#REF!</v>
      </c>
      <c r="J1758" s="2" t="e">
        <f>_xlfn.RANK.AVG(#REF!,#REF!,INDIRECT(J1758:K1758))</f>
        <v>#REF!</v>
      </c>
      <c r="L1758" s="2">
        <f>TYPE(INDEX(,_xlfn.RANK.AVG(#REF!,#REF!,OFFSET(INDEX(1,),,))))</f>
        <v>64</v>
      </c>
    </row>
    <row r="1759" spans="1:12" x14ac:dyDescent="0.55000000000000004">
      <c r="A1759" s="1" t="s">
        <v>2095</v>
      </c>
      <c r="B1759" s="2">
        <f>COUNTIF(A:A,A1759)-1</f>
        <v>3</v>
      </c>
      <c r="C1759" s="2">
        <f>COUNTIF(A$1:A1759,A1759)-1</f>
        <v>0</v>
      </c>
      <c r="D1759" s="2" t="str">
        <f t="shared" si="28"/>
        <v/>
      </c>
      <c r="E1759" s="2"/>
      <c r="F1759" s="2"/>
      <c r="H1759" s="2"/>
      <c r="J1759" s="2"/>
      <c r="L1759" s="2"/>
    </row>
    <row r="1760" spans="1:12" x14ac:dyDescent="0.55000000000000004">
      <c r="A1760" s="1" t="s">
        <v>2095</v>
      </c>
      <c r="B1760" s="2">
        <f>COUNTIF(A:A,A1760)-1</f>
        <v>3</v>
      </c>
      <c r="C1760" s="2">
        <f>COUNTIF(A$1:A1760,A1760)-1</f>
        <v>1</v>
      </c>
      <c r="D1760" s="2" t="str">
        <f t="shared" si="28"/>
        <v>v</v>
      </c>
      <c r="E1760" s="2"/>
      <c r="F1760" s="2" t="e">
        <f>_xlfn.RANK.EQ(+F1760:G1760,#REF!,#REF!)</f>
        <v>#REF!</v>
      </c>
      <c r="H1760" s="2" t="e">
        <f>_xlfn.RANK.EQ(H1760:I1760,#REF!,#REF!)</f>
        <v>#REF!</v>
      </c>
      <c r="J1760" s="2" t="e">
        <f>_xlfn.RANK.EQ(INDIRECT(J1760:K1760),#REF!,#REF!)</f>
        <v>#REF!</v>
      </c>
      <c r="L1760" s="2">
        <f>TYPE(INDEX(,_xlfn.RANK.EQ(OFFSET(INDEX(1,),,),#REF!,#REF!)))</f>
        <v>64</v>
      </c>
    </row>
    <row r="1761" spans="1:12" x14ac:dyDescent="0.55000000000000004">
      <c r="A1761" s="1" t="s">
        <v>2095</v>
      </c>
      <c r="B1761" s="2">
        <f>COUNTIF(A:A,A1761)-1</f>
        <v>3</v>
      </c>
      <c r="C1761" s="2">
        <f>COUNTIF(A$1:A1761,A1761)-1</f>
        <v>2</v>
      </c>
      <c r="D1761" s="2" t="str">
        <f t="shared" si="28"/>
        <v>r</v>
      </c>
      <c r="E1761" s="2" t="e">
        <f>_xlfn.RANK.EQ(#REF!,#REF!)</f>
        <v>#REF!</v>
      </c>
      <c r="F1761" s="2"/>
      <c r="H1761" s="2" t="e">
        <f>_xlfn.RANK.EQ(#REF!,H1761:I1761,#REF!)</f>
        <v>#REF!</v>
      </c>
      <c r="I1761" s="1">
        <v>1</v>
      </c>
      <c r="J1761" s="2" t="e">
        <f>_xlfn.RANK.EQ(#REF!,INDIRECT(J1761:K1761),#REF!)</f>
        <v>#REF!</v>
      </c>
      <c r="L1761" s="2">
        <f>TYPE(INDEX(,_xlfn.RANK.EQ(#REF!,OFFSET(INDEX(1,),,),#REF!)))</f>
        <v>64</v>
      </c>
    </row>
    <row r="1762" spans="1:12" x14ac:dyDescent="0.55000000000000004">
      <c r="A1762" s="1" t="s">
        <v>2095</v>
      </c>
      <c r="B1762" s="2">
        <f>COUNTIF(A:A,A1762)-1</f>
        <v>3</v>
      </c>
      <c r="C1762" s="2">
        <f>COUNTIF(A$1:A1762,A1762)-1</f>
        <v>3</v>
      </c>
      <c r="D1762" s="2" t="str">
        <f t="shared" si="28"/>
        <v>v</v>
      </c>
      <c r="E1762" s="2" t="e">
        <f>_xlfn.RANK.EQ(#REF!,#REF!,#REF!)</f>
        <v>#REF!</v>
      </c>
      <c r="F1762" s="2" t="e">
        <f>_xlfn.RANK.EQ(#REF!,#REF!,+F1762:G1762)</f>
        <v>#REF!</v>
      </c>
      <c r="H1762" s="2" t="e">
        <f>_xlfn.RANK.EQ(#REF!,#REF!,H1762:I1762)</f>
        <v>#REF!</v>
      </c>
      <c r="J1762" s="2" t="e">
        <f>_xlfn.RANK.EQ(#REF!,#REF!,INDIRECT(J1762:K1762))</f>
        <v>#REF!</v>
      </c>
      <c r="L1762" s="2">
        <f>TYPE(INDEX(,_xlfn.RANK.EQ(#REF!,#REF!,OFFSET(INDEX(1,),,))))</f>
        <v>64</v>
      </c>
    </row>
    <row r="1763" spans="1:12" x14ac:dyDescent="0.55000000000000004">
      <c r="A1763" s="1" t="s">
        <v>2096</v>
      </c>
      <c r="B1763" s="2">
        <f>COUNTIF(A:A,A1763)-1</f>
        <v>3</v>
      </c>
      <c r="C1763" s="2">
        <f>COUNTIF(A$1:A1763,A1763)-1</f>
        <v>0</v>
      </c>
      <c r="D1763" s="2" t="str">
        <f t="shared" si="28"/>
        <v/>
      </c>
      <c r="E1763" s="2"/>
      <c r="F1763" s="2"/>
      <c r="H1763" s="2"/>
      <c r="J1763" s="2"/>
      <c r="L1763" s="2"/>
    </row>
    <row r="1764" spans="1:12" x14ac:dyDescent="0.55000000000000004">
      <c r="A1764" s="1" t="s">
        <v>2096</v>
      </c>
      <c r="B1764" s="2">
        <f>COUNTIF(A:A,A1764)-1</f>
        <v>3</v>
      </c>
      <c r="C1764" s="2">
        <f>COUNTIF(A$1:A1764,A1764)-1</f>
        <v>1</v>
      </c>
      <c r="D1764" s="2" t="str">
        <f t="shared" si="28"/>
        <v>var</v>
      </c>
      <c r="E1764" s="2" t="e">
        <f>_xlfn.STDEV.S(#REF!)</f>
        <v>#REF!</v>
      </c>
      <c r="F1764" s="2" t="e">
        <f>_xlfn.STDEV.S(+F1764:G1764,#REF!,#REF!)</f>
        <v>#REF!</v>
      </c>
      <c r="H1764" s="2" t="e">
        <f>_xlfn.STDEV.S(H1764:I1764,#REF!,#REF!)</f>
        <v>#REF!</v>
      </c>
      <c r="I1764" s="1">
        <v>1</v>
      </c>
      <c r="J1764" s="2" t="e">
        <f>_xlfn.STDEV.S(INDIRECT(J1764:K1764),#REF!,#REF!)</f>
        <v>#REF!</v>
      </c>
      <c r="L1764" s="2">
        <f>TYPE(INDEX(,_xlfn.STDEV.S(OFFSET(INDEX(1,),,),#REF!,#REF!)))</f>
        <v>16</v>
      </c>
    </row>
    <row r="1765" spans="1:12" x14ac:dyDescent="0.55000000000000004">
      <c r="A1765" s="1" t="s">
        <v>2096</v>
      </c>
      <c r="B1765" s="2">
        <f>COUNTIF(A:A,A1765)-1</f>
        <v>3</v>
      </c>
      <c r="C1765" s="2">
        <f>COUNTIF(A$1:A1765,A1765)-1</f>
        <v>2</v>
      </c>
      <c r="D1765" s="2" t="str">
        <f t="shared" si="28"/>
        <v>var</v>
      </c>
      <c r="E1765" s="2" t="e">
        <f>_xlfn.STDEV.S(#REF!,#REF!)</f>
        <v>#REF!</v>
      </c>
      <c r="F1765" s="2" t="e">
        <f>_xlfn.STDEV.S(#REF!,+F1765:G1765,#REF!)</f>
        <v>#REF!</v>
      </c>
      <c r="H1765" s="2" t="e">
        <f>_xlfn.STDEV.S(#REF!,H1765:I1765,#REF!)</f>
        <v>#REF!</v>
      </c>
      <c r="I1765" s="1">
        <v>1</v>
      </c>
      <c r="J1765" s="2" t="e">
        <f>_xlfn.STDEV.S(#REF!,INDIRECT(J1765:K1765),#REF!)</f>
        <v>#REF!</v>
      </c>
      <c r="L1765" s="2">
        <f>TYPE(INDEX(,_xlfn.STDEV.S(#REF!,OFFSET(INDEX(1,),,),#REF!)))</f>
        <v>16</v>
      </c>
    </row>
    <row r="1766" spans="1:12" x14ac:dyDescent="0.55000000000000004">
      <c r="A1766" s="1" t="s">
        <v>2096</v>
      </c>
      <c r="B1766" s="2">
        <f>COUNTIF(A:A,A1766)-1</f>
        <v>3</v>
      </c>
      <c r="C1766" s="2">
        <f>COUNTIF(A$1:A1766,A1766)-1</f>
        <v>3</v>
      </c>
      <c r="D1766" s="2" t="str">
        <f t="shared" si="28"/>
        <v>var</v>
      </c>
      <c r="E1766" s="2" t="e">
        <f>_xlfn.STDEV.S(#REF!,#REF!,#REF!)</f>
        <v>#REF!</v>
      </c>
      <c r="F1766" s="2" t="e">
        <f>_xlfn.STDEV.S(#REF!,#REF!,+F1766:G1766)</f>
        <v>#REF!</v>
      </c>
      <c r="H1766" s="2" t="e">
        <f>_xlfn.STDEV.S(#REF!,#REF!,H1766:I1766)</f>
        <v>#REF!</v>
      </c>
      <c r="I1766" s="1">
        <v>1</v>
      </c>
      <c r="J1766" s="2" t="e">
        <f>_xlfn.STDEV.S(#REF!,#REF!,INDIRECT(J1766:K1766))</f>
        <v>#REF!</v>
      </c>
      <c r="L1766" s="2">
        <f>TYPE(INDEX(,_xlfn.STDEV.S(#REF!,#REF!,OFFSET(INDEX(1,),,))))</f>
        <v>16</v>
      </c>
    </row>
    <row r="1767" spans="1:12" x14ac:dyDescent="0.55000000000000004">
      <c r="A1767" s="1" t="s">
        <v>2097</v>
      </c>
      <c r="B1767" s="2">
        <f>COUNTIF(A:A,A1767)-1</f>
        <v>3</v>
      </c>
      <c r="C1767" s="2">
        <f>COUNTIF(A$1:A1767,A1767)-1</f>
        <v>0</v>
      </c>
      <c r="D1767" s="2" t="str">
        <f t="shared" si="28"/>
        <v/>
      </c>
      <c r="E1767" s="2"/>
      <c r="F1767" s="2"/>
      <c r="H1767" s="2"/>
      <c r="J1767" s="2"/>
      <c r="L1767" s="2"/>
    </row>
    <row r="1768" spans="1:12" x14ac:dyDescent="0.55000000000000004">
      <c r="A1768" s="1" t="s">
        <v>2097</v>
      </c>
      <c r="B1768" s="2">
        <f>COUNTIF(A:A,A1768)-1</f>
        <v>3</v>
      </c>
      <c r="C1768" s="2">
        <f>COUNTIF(A$1:A1768,A1768)-1</f>
        <v>1</v>
      </c>
      <c r="D1768" s="2" t="str">
        <f t="shared" si="28"/>
        <v>var</v>
      </c>
      <c r="E1768" s="2" t="e">
        <f>_xlfn.STDEV.P(#REF!)</f>
        <v>#REF!</v>
      </c>
      <c r="F1768" s="2" t="e">
        <f>_xlfn.STDEV.P(+F1768:G1768,#REF!,#REF!)</f>
        <v>#REF!</v>
      </c>
      <c r="H1768" s="2" t="e">
        <f>_xlfn.STDEV.P(H1768:I1768,#REF!,#REF!)</f>
        <v>#REF!</v>
      </c>
      <c r="I1768" s="1">
        <v>1</v>
      </c>
      <c r="J1768" s="2" t="e">
        <f>_xlfn.STDEV.P(INDIRECT(J1768:K1768),#REF!,#REF!)</f>
        <v>#REF!</v>
      </c>
      <c r="L1768" s="2">
        <f>TYPE(INDEX(,_xlfn.STDEV.P(OFFSET(INDEX(1,),,),#REF!,#REF!)))</f>
        <v>16</v>
      </c>
    </row>
    <row r="1769" spans="1:12" x14ac:dyDescent="0.55000000000000004">
      <c r="A1769" s="1" t="s">
        <v>2097</v>
      </c>
      <c r="B1769" s="2">
        <f>COUNTIF(A:A,A1769)-1</f>
        <v>3</v>
      </c>
      <c r="C1769" s="2">
        <f>COUNTIF(A$1:A1769,A1769)-1</f>
        <v>2</v>
      </c>
      <c r="D1769" s="2" t="str">
        <f t="shared" si="28"/>
        <v>var</v>
      </c>
      <c r="E1769" s="2" t="e">
        <f>_xlfn.STDEV.P(#REF!,#REF!)</f>
        <v>#REF!</v>
      </c>
      <c r="F1769" s="2" t="e">
        <f>_xlfn.STDEV.P(#REF!,+F1769:G1769,#REF!)</f>
        <v>#REF!</v>
      </c>
      <c r="H1769" s="2" t="e">
        <f>_xlfn.STDEV.P(#REF!,H1769:I1769,#REF!)</f>
        <v>#REF!</v>
      </c>
      <c r="I1769" s="1">
        <v>1</v>
      </c>
      <c r="J1769" s="2" t="e">
        <f>_xlfn.STDEV.P(#REF!,INDIRECT(J1769:K1769),#REF!)</f>
        <v>#REF!</v>
      </c>
      <c r="L1769" s="2">
        <f>TYPE(INDEX(,_xlfn.STDEV.P(#REF!,OFFSET(INDEX(1,),,),#REF!)))</f>
        <v>16</v>
      </c>
    </row>
    <row r="1770" spans="1:12" x14ac:dyDescent="0.55000000000000004">
      <c r="A1770" s="1" t="s">
        <v>2097</v>
      </c>
      <c r="B1770" s="2">
        <f>COUNTIF(A:A,A1770)-1</f>
        <v>3</v>
      </c>
      <c r="C1770" s="2">
        <f>COUNTIF(A$1:A1770,A1770)-1</f>
        <v>3</v>
      </c>
      <c r="D1770" s="2" t="str">
        <f t="shared" si="28"/>
        <v>var</v>
      </c>
      <c r="E1770" s="2" t="e">
        <f>_xlfn.STDEV.P(#REF!,#REF!,#REF!)</f>
        <v>#REF!</v>
      </c>
      <c r="F1770" s="2" t="e">
        <f>_xlfn.STDEV.P(#REF!,#REF!,+F1770:G1770)</f>
        <v>#REF!</v>
      </c>
      <c r="H1770" s="2" t="e">
        <f>_xlfn.STDEV.P(#REF!,#REF!,H1770:I1770)</f>
        <v>#REF!</v>
      </c>
      <c r="I1770" s="1">
        <v>1</v>
      </c>
      <c r="J1770" s="2" t="e">
        <f>_xlfn.STDEV.P(#REF!,#REF!,INDIRECT(J1770:K1770))</f>
        <v>#REF!</v>
      </c>
      <c r="L1770" s="2">
        <f>TYPE(INDEX(,_xlfn.STDEV.P(#REF!,#REF!,OFFSET(INDEX(1,),,))))</f>
        <v>16</v>
      </c>
    </row>
    <row r="1771" spans="1:12" x14ac:dyDescent="0.55000000000000004">
      <c r="A1771" s="1" t="s">
        <v>2098</v>
      </c>
      <c r="B1771" s="2">
        <f>COUNTIF(A:A,A1771)-1</f>
        <v>3</v>
      </c>
      <c r="C1771" s="2">
        <f>COUNTIF(A$1:A1771,A1771)-1</f>
        <v>0</v>
      </c>
      <c r="D1771" s="2" t="str">
        <f t="shared" si="28"/>
        <v/>
      </c>
      <c r="E1771" s="2"/>
      <c r="F1771" s="2"/>
      <c r="H1771" s="2"/>
      <c r="J1771" s="2"/>
      <c r="L1771" s="2"/>
    </row>
    <row r="1772" spans="1:12" x14ac:dyDescent="0.55000000000000004">
      <c r="A1772" s="1" t="s">
        <v>2098</v>
      </c>
      <c r="B1772" s="2">
        <f>COUNTIF(A:A,A1772)-1</f>
        <v>3</v>
      </c>
      <c r="C1772" s="2">
        <f>COUNTIF(A$1:A1772,A1772)-1</f>
        <v>1</v>
      </c>
      <c r="D1772" s="2" t="str">
        <f t="shared" si="28"/>
        <v>v</v>
      </c>
      <c r="E1772" s="2"/>
      <c r="F1772" s="2" t="e">
        <f>_xlfn.T.DIST(+F1772:G1772,#REF!,#REF!)</f>
        <v>#REF!</v>
      </c>
      <c r="H1772" s="2" t="e">
        <f>_xlfn.T.DIST(H1772:I1772,#REF!,#REF!)</f>
        <v>#REF!</v>
      </c>
      <c r="J1772" s="2" t="e">
        <f>_xlfn.T.DIST(INDIRECT(J1772:K1772),#REF!,#REF!)</f>
        <v>#REF!</v>
      </c>
      <c r="L1772" s="2">
        <f>TYPE(INDEX(,_xlfn.T.DIST(OFFSET(INDEX(1,),,),#REF!,#REF!)))</f>
        <v>64</v>
      </c>
    </row>
    <row r="1773" spans="1:12" x14ac:dyDescent="0.55000000000000004">
      <c r="A1773" s="1" t="s">
        <v>2098</v>
      </c>
      <c r="B1773" s="2">
        <f>COUNTIF(A:A,A1773)-1</f>
        <v>3</v>
      </c>
      <c r="C1773" s="2">
        <f>COUNTIF(A$1:A1773,A1773)-1</f>
        <v>2</v>
      </c>
      <c r="D1773" s="2" t="str">
        <f t="shared" si="28"/>
        <v>v</v>
      </c>
      <c r="E1773" s="2"/>
      <c r="F1773" s="2" t="e">
        <f>_xlfn.T.DIST(#REF!,+F1773:G1773,#REF!)</f>
        <v>#REF!</v>
      </c>
      <c r="H1773" s="2" t="e">
        <f>_xlfn.T.DIST(#REF!,H1773:I1773,#REF!)</f>
        <v>#REF!</v>
      </c>
      <c r="J1773" s="2" t="e">
        <f>_xlfn.T.DIST(#REF!,INDIRECT(J1773:K1773),#REF!)</f>
        <v>#REF!</v>
      </c>
      <c r="L1773" s="2">
        <f>TYPE(INDEX(,_xlfn.T.DIST(#REF!,OFFSET(INDEX(1,),,),#REF!)))</f>
        <v>64</v>
      </c>
    </row>
    <row r="1774" spans="1:12" x14ac:dyDescent="0.55000000000000004">
      <c r="A1774" s="1" t="s">
        <v>2098</v>
      </c>
      <c r="B1774" s="2">
        <f>COUNTIF(A:A,A1774)-1</f>
        <v>3</v>
      </c>
      <c r="C1774" s="2">
        <f>COUNTIF(A$1:A1774,A1774)-1</f>
        <v>3</v>
      </c>
      <c r="D1774" s="2" t="str">
        <f t="shared" si="28"/>
        <v>v</v>
      </c>
      <c r="E1774" s="2" t="e">
        <f>_xlfn.T.DIST(#REF!,#REF!,#REF!)</f>
        <v>#REF!</v>
      </c>
      <c r="F1774" s="2" t="e">
        <f>_xlfn.T.DIST(#REF!,#REF!,+F1774:G1774)</f>
        <v>#REF!</v>
      </c>
      <c r="H1774" s="2" t="e">
        <f>_xlfn.T.DIST(#REF!,#REF!,H1774:I1774)</f>
        <v>#REF!</v>
      </c>
      <c r="J1774" s="2" t="e">
        <f>_xlfn.T.DIST(#REF!,#REF!,INDIRECT(J1774:K1774))</f>
        <v>#REF!</v>
      </c>
      <c r="L1774" s="2">
        <f>TYPE(INDEX(,_xlfn.T.DIST(#REF!,#REF!,OFFSET(INDEX(1,),,))))</f>
        <v>64</v>
      </c>
    </row>
    <row r="1775" spans="1:12" x14ac:dyDescent="0.55000000000000004">
      <c r="A1775" s="1" t="s">
        <v>2099</v>
      </c>
      <c r="B1775" s="2">
        <f>COUNTIF(A:A,A1775)-1</f>
        <v>2</v>
      </c>
      <c r="C1775" s="2">
        <f>COUNTIF(A$1:A1775,A1775)-1</f>
        <v>0</v>
      </c>
      <c r="D1775" s="2" t="str">
        <f t="shared" si="28"/>
        <v/>
      </c>
      <c r="E1775" s="2"/>
      <c r="F1775" s="2"/>
      <c r="H1775" s="2"/>
      <c r="J1775" s="2"/>
      <c r="L1775" s="2"/>
    </row>
    <row r="1776" spans="1:12" x14ac:dyDescent="0.55000000000000004">
      <c r="A1776" s="1" t="s">
        <v>2099</v>
      </c>
      <c r="B1776" s="2">
        <f>COUNTIF(A:A,A1776)-1</f>
        <v>2</v>
      </c>
      <c r="C1776" s="2">
        <f>COUNTIF(A$1:A1776,A1776)-1</f>
        <v>1</v>
      </c>
      <c r="D1776" s="2" t="str">
        <f t="shared" si="28"/>
        <v>v</v>
      </c>
      <c r="E1776" s="2"/>
      <c r="F1776" s="2" t="e">
        <f>_xlfn.T.DIST.2T(+F1776:G1776,#REF!)</f>
        <v>#REF!</v>
      </c>
      <c r="H1776" s="2" t="e">
        <f>_xlfn.T.DIST.2T(H1776:I1776,#REF!)</f>
        <v>#REF!</v>
      </c>
      <c r="J1776" s="2" t="e">
        <f>_xlfn.T.DIST.2T(INDIRECT(J1776:K1776),#REF!)</f>
        <v>#REF!</v>
      </c>
      <c r="L1776" s="2">
        <f>TYPE(INDEX(,_xlfn.T.DIST.2T(OFFSET(INDEX(1,),,),#REF!)))</f>
        <v>64</v>
      </c>
    </row>
    <row r="1777" spans="1:12" x14ac:dyDescent="0.55000000000000004">
      <c r="A1777" s="1" t="s">
        <v>2099</v>
      </c>
      <c r="B1777" s="2">
        <f>COUNTIF(A:A,A1777)-1</f>
        <v>2</v>
      </c>
      <c r="C1777" s="2">
        <f>COUNTIF(A$1:A1777,A1777)-1</f>
        <v>2</v>
      </c>
      <c r="D1777" s="2" t="str">
        <f t="shared" si="28"/>
        <v>v</v>
      </c>
      <c r="E1777" s="2" t="e">
        <f>_xlfn.T.DIST.2T(#REF!,#REF!)</f>
        <v>#REF!</v>
      </c>
      <c r="F1777" s="2" t="e">
        <f>_xlfn.T.DIST.2T(#REF!,+F1777:G1777)</f>
        <v>#REF!</v>
      </c>
      <c r="H1777" s="2" t="e">
        <f>_xlfn.T.DIST.2T(#REF!,H1777:I1777)</f>
        <v>#REF!</v>
      </c>
      <c r="J1777" s="2" t="e">
        <f>_xlfn.T.DIST.2T(#REF!,INDIRECT(J1777:K1777))</f>
        <v>#REF!</v>
      </c>
      <c r="L1777" s="2">
        <f>TYPE(INDEX(,_xlfn.T.DIST.2T(#REF!,OFFSET(INDEX(1,),,))))</f>
        <v>64</v>
      </c>
    </row>
    <row r="1778" spans="1:12" x14ac:dyDescent="0.55000000000000004">
      <c r="A1778" s="1" t="s">
        <v>2100</v>
      </c>
      <c r="B1778" s="2">
        <f>COUNTIF(A:A,A1778)-1</f>
        <v>2</v>
      </c>
      <c r="C1778" s="2">
        <f>COUNTIF(A$1:A1778,A1778)-1</f>
        <v>0</v>
      </c>
      <c r="D1778" s="2" t="str">
        <f t="shared" si="28"/>
        <v/>
      </c>
      <c r="E1778" s="2"/>
      <c r="F1778" s="2"/>
      <c r="H1778" s="2"/>
      <c r="J1778" s="2"/>
      <c r="L1778" s="2"/>
    </row>
    <row r="1779" spans="1:12" x14ac:dyDescent="0.55000000000000004">
      <c r="A1779" s="1" t="s">
        <v>2100</v>
      </c>
      <c r="B1779" s="2">
        <f>COUNTIF(A:A,A1779)-1</f>
        <v>2</v>
      </c>
      <c r="C1779" s="2">
        <f>COUNTIF(A$1:A1779,A1779)-1</f>
        <v>1</v>
      </c>
      <c r="D1779" s="2" t="str">
        <f t="shared" si="28"/>
        <v>v</v>
      </c>
      <c r="E1779" s="2"/>
      <c r="F1779" s="2" t="e">
        <f>_xlfn.T.DIST.RT(+F1779:G1779,#REF!)</f>
        <v>#REF!</v>
      </c>
      <c r="H1779" s="2" t="e">
        <f>_xlfn.T.DIST.RT(H1779:I1779,#REF!)</f>
        <v>#REF!</v>
      </c>
      <c r="J1779" s="2" t="e">
        <f>_xlfn.T.DIST.RT(INDIRECT(J1779:K1779),#REF!)</f>
        <v>#REF!</v>
      </c>
      <c r="L1779" s="2">
        <f>TYPE(INDEX(,_xlfn.T.DIST.RT(OFFSET(INDEX(1,),,),#REF!)))</f>
        <v>64</v>
      </c>
    </row>
    <row r="1780" spans="1:12" x14ac:dyDescent="0.55000000000000004">
      <c r="A1780" s="1" t="s">
        <v>2100</v>
      </c>
      <c r="B1780" s="2">
        <f>COUNTIF(A:A,A1780)-1</f>
        <v>2</v>
      </c>
      <c r="C1780" s="2">
        <f>COUNTIF(A$1:A1780,A1780)-1</f>
        <v>2</v>
      </c>
      <c r="D1780" s="2" t="str">
        <f t="shared" si="28"/>
        <v>v</v>
      </c>
      <c r="E1780" s="2" t="e">
        <f>_xlfn.T.DIST.RT(#REF!,#REF!)</f>
        <v>#REF!</v>
      </c>
      <c r="F1780" s="2" t="e">
        <f>_xlfn.T.DIST.RT(#REF!,+F1780:G1780)</f>
        <v>#REF!</v>
      </c>
      <c r="H1780" s="2" t="e">
        <f>_xlfn.T.DIST.RT(#REF!,H1780:I1780)</f>
        <v>#REF!</v>
      </c>
      <c r="J1780" s="2" t="e">
        <f>_xlfn.T.DIST.RT(#REF!,INDIRECT(J1780:K1780))</f>
        <v>#REF!</v>
      </c>
      <c r="L1780" s="2">
        <f>TYPE(INDEX(,_xlfn.T.DIST.RT(#REF!,OFFSET(INDEX(1,),,))))</f>
        <v>64</v>
      </c>
    </row>
    <row r="1781" spans="1:12" x14ac:dyDescent="0.55000000000000004">
      <c r="A1781" s="1" t="s">
        <v>2101</v>
      </c>
      <c r="B1781" s="2">
        <f>COUNTIF(A:A,A1781)-1</f>
        <v>2</v>
      </c>
      <c r="C1781" s="2">
        <f>COUNTIF(A$1:A1781,A1781)-1</f>
        <v>0</v>
      </c>
      <c r="D1781" s="2" t="str">
        <f t="shared" si="28"/>
        <v/>
      </c>
      <c r="E1781" s="2"/>
      <c r="F1781" s="2"/>
      <c r="H1781" s="2"/>
      <c r="J1781" s="2"/>
      <c r="L1781" s="2"/>
    </row>
    <row r="1782" spans="1:12" x14ac:dyDescent="0.55000000000000004">
      <c r="A1782" s="1" t="s">
        <v>2101</v>
      </c>
      <c r="B1782" s="2">
        <f>COUNTIF(A:A,A1782)-1</f>
        <v>2</v>
      </c>
      <c r="C1782" s="2">
        <f>COUNTIF(A$1:A1782,A1782)-1</f>
        <v>1</v>
      </c>
      <c r="D1782" s="2" t="str">
        <f t="shared" si="28"/>
        <v>v</v>
      </c>
      <c r="E1782" s="2"/>
      <c r="F1782" s="2" t="e">
        <f>_xlfn.T.INV(+F1782:G1782,#REF!)</f>
        <v>#REF!</v>
      </c>
      <c r="H1782" s="2" t="e">
        <f>_xlfn.T.INV(H1782:I1782,#REF!)</f>
        <v>#REF!</v>
      </c>
      <c r="J1782" s="2" t="e">
        <f>_xlfn.T.INV(INDIRECT(J1782:K1782),#REF!)</f>
        <v>#REF!</v>
      </c>
      <c r="L1782" s="2">
        <f>TYPE(INDEX(,_xlfn.T.INV(OFFSET(INDEX(1,),,),#REF!)))</f>
        <v>64</v>
      </c>
    </row>
    <row r="1783" spans="1:12" x14ac:dyDescent="0.55000000000000004">
      <c r="A1783" s="1" t="s">
        <v>2101</v>
      </c>
      <c r="B1783" s="2">
        <f>COUNTIF(A:A,A1783)-1</f>
        <v>2</v>
      </c>
      <c r="C1783" s="2">
        <f>COUNTIF(A$1:A1783,A1783)-1</f>
        <v>2</v>
      </c>
      <c r="D1783" s="2" t="str">
        <f t="shared" si="28"/>
        <v>v</v>
      </c>
      <c r="E1783" s="2" t="e">
        <f>_xlfn.T.INV(#REF!,#REF!)</f>
        <v>#REF!</v>
      </c>
      <c r="F1783" s="2" t="e">
        <f>_xlfn.T.INV(#REF!,+F1783:G1783)</f>
        <v>#REF!</v>
      </c>
      <c r="H1783" s="2" t="e">
        <f>_xlfn.T.INV(#REF!,H1783:I1783)</f>
        <v>#REF!</v>
      </c>
      <c r="J1783" s="2" t="e">
        <f>_xlfn.T.INV(#REF!,INDIRECT(J1783:K1783))</f>
        <v>#REF!</v>
      </c>
      <c r="L1783" s="2">
        <f>TYPE(INDEX(,_xlfn.T.INV(#REF!,OFFSET(INDEX(1,),,))))</f>
        <v>64</v>
      </c>
    </row>
    <row r="1784" spans="1:12" x14ac:dyDescent="0.55000000000000004">
      <c r="A1784" s="1" t="s">
        <v>2102</v>
      </c>
      <c r="B1784" s="2">
        <f>COUNTIF(A:A,A1784)-1</f>
        <v>2</v>
      </c>
      <c r="C1784" s="2">
        <f>COUNTIF(A$1:A1784,A1784)-1</f>
        <v>0</v>
      </c>
      <c r="D1784" s="2" t="str">
        <f t="shared" si="28"/>
        <v/>
      </c>
      <c r="E1784" s="2"/>
      <c r="F1784" s="2"/>
      <c r="H1784" s="2"/>
      <c r="J1784" s="2"/>
      <c r="L1784" s="2"/>
    </row>
    <row r="1785" spans="1:12" x14ac:dyDescent="0.55000000000000004">
      <c r="A1785" s="1" t="s">
        <v>2102</v>
      </c>
      <c r="B1785" s="2">
        <f>COUNTIF(A:A,A1785)-1</f>
        <v>2</v>
      </c>
      <c r="C1785" s="2">
        <f>COUNTIF(A$1:A1785,A1785)-1</f>
        <v>1</v>
      </c>
      <c r="D1785" s="2" t="str">
        <f t="shared" si="28"/>
        <v>v</v>
      </c>
      <c r="E1785" s="2"/>
      <c r="F1785" s="2" t="e">
        <f>_xlfn.T.INV.2T(+F1785:G1785,#REF!)</f>
        <v>#REF!</v>
      </c>
      <c r="H1785" s="2" t="e">
        <f>_xlfn.T.INV.2T(H1785:I1785,#REF!)</f>
        <v>#REF!</v>
      </c>
      <c r="J1785" s="2" t="e">
        <f>_xlfn.T.INV.2T(INDIRECT(J1785:K1785),#REF!)</f>
        <v>#REF!</v>
      </c>
      <c r="L1785" s="2">
        <f>TYPE(INDEX(,_xlfn.T.INV.2T(OFFSET(INDEX(1,),,),#REF!)))</f>
        <v>64</v>
      </c>
    </row>
    <row r="1786" spans="1:12" x14ac:dyDescent="0.55000000000000004">
      <c r="A1786" s="1" t="s">
        <v>2102</v>
      </c>
      <c r="B1786" s="2">
        <f>COUNTIF(A:A,A1786)-1</f>
        <v>2</v>
      </c>
      <c r="C1786" s="2">
        <f>COUNTIF(A$1:A1786,A1786)-1</f>
        <v>2</v>
      </c>
      <c r="D1786" s="2" t="str">
        <f t="shared" si="28"/>
        <v>v</v>
      </c>
      <c r="E1786" s="2" t="e">
        <f>_xlfn.T.INV.2T(#REF!,#REF!)</f>
        <v>#REF!</v>
      </c>
      <c r="F1786" s="2" t="e">
        <f>_xlfn.T.INV.2T(#REF!,+F1786:G1786)</f>
        <v>#REF!</v>
      </c>
      <c r="H1786" s="2" t="e">
        <f>_xlfn.T.INV.2T(#REF!,H1786:I1786)</f>
        <v>#REF!</v>
      </c>
      <c r="J1786" s="2" t="e">
        <f>_xlfn.T.INV.2T(#REF!,INDIRECT(J1786:K1786))</f>
        <v>#REF!</v>
      </c>
      <c r="L1786" s="2">
        <f>TYPE(INDEX(,_xlfn.T.INV.2T(#REF!,OFFSET(INDEX(1,),,))))</f>
        <v>64</v>
      </c>
    </row>
    <row r="1787" spans="1:12" x14ac:dyDescent="0.55000000000000004">
      <c r="A1787" s="1" t="s">
        <v>2103</v>
      </c>
      <c r="B1787" s="2">
        <f>COUNTIF(A:A,A1787)-1</f>
        <v>3</v>
      </c>
      <c r="C1787" s="2">
        <f>COUNTIF(A$1:A1787,A1787)-1</f>
        <v>0</v>
      </c>
      <c r="D1787" s="2" t="str">
        <f t="shared" si="28"/>
        <v/>
      </c>
      <c r="E1787" s="2"/>
      <c r="F1787" s="2"/>
      <c r="H1787" s="2"/>
      <c r="J1787" s="2"/>
      <c r="L1787" s="2"/>
    </row>
    <row r="1788" spans="1:12" x14ac:dyDescent="0.55000000000000004">
      <c r="A1788" s="1" t="s">
        <v>2103</v>
      </c>
      <c r="B1788" s="2">
        <f>COUNTIF(A:A,A1788)-1</f>
        <v>3</v>
      </c>
      <c r="C1788" s="2">
        <f>COUNTIF(A$1:A1788,A1788)-1</f>
        <v>1</v>
      </c>
      <c r="D1788" s="2" t="str">
        <f t="shared" si="28"/>
        <v>var</v>
      </c>
      <c r="E1788" s="2" t="e">
        <f>_xlfn.VAR.S(#REF!)</f>
        <v>#REF!</v>
      </c>
      <c r="F1788" s="2" t="e">
        <f>_xlfn.VAR.S(+F1788:G1788,#REF!,#REF!)</f>
        <v>#REF!</v>
      </c>
      <c r="H1788" s="2" t="e">
        <f>_xlfn.VAR.S(H1788:I1788,#REF!,#REF!)</f>
        <v>#REF!</v>
      </c>
      <c r="I1788" s="1">
        <v>1</v>
      </c>
      <c r="J1788" s="2" t="e">
        <f>_xlfn.VAR.S(INDIRECT(J1788:K1788),#REF!,#REF!)</f>
        <v>#REF!</v>
      </c>
      <c r="L1788" s="2">
        <f>TYPE(INDEX(,_xlfn.VAR.S(OFFSET(INDEX(1,),,),#REF!,#REF!)))</f>
        <v>16</v>
      </c>
    </row>
    <row r="1789" spans="1:12" x14ac:dyDescent="0.55000000000000004">
      <c r="A1789" s="1" t="s">
        <v>2103</v>
      </c>
      <c r="B1789" s="2">
        <f>COUNTIF(A:A,A1789)-1</f>
        <v>3</v>
      </c>
      <c r="C1789" s="2">
        <f>COUNTIF(A$1:A1789,A1789)-1</f>
        <v>2</v>
      </c>
      <c r="D1789" s="2" t="str">
        <f t="shared" si="28"/>
        <v>var</v>
      </c>
      <c r="E1789" s="2" t="e">
        <f>_xlfn.VAR.S(#REF!,#REF!)</f>
        <v>#REF!</v>
      </c>
      <c r="F1789" s="2" t="e">
        <f>_xlfn.VAR.S(#REF!,+F1789:G1789,#REF!)</f>
        <v>#REF!</v>
      </c>
      <c r="H1789" s="2" t="e">
        <f>_xlfn.VAR.S(#REF!,H1789:I1789,#REF!)</f>
        <v>#REF!</v>
      </c>
      <c r="I1789" s="1">
        <v>1</v>
      </c>
      <c r="J1789" s="2" t="e">
        <f>_xlfn.VAR.S(#REF!,INDIRECT(J1789:K1789),#REF!)</f>
        <v>#REF!</v>
      </c>
      <c r="L1789" s="2">
        <f>TYPE(INDEX(,_xlfn.VAR.S(#REF!,OFFSET(INDEX(1,),,),#REF!)))</f>
        <v>16</v>
      </c>
    </row>
    <row r="1790" spans="1:12" x14ac:dyDescent="0.55000000000000004">
      <c r="A1790" s="1" t="s">
        <v>2103</v>
      </c>
      <c r="B1790" s="2">
        <f>COUNTIF(A:A,A1790)-1</f>
        <v>3</v>
      </c>
      <c r="C1790" s="2">
        <f>COUNTIF(A$1:A1790,A1790)-1</f>
        <v>3</v>
      </c>
      <c r="D1790" s="2" t="str">
        <f t="shared" si="28"/>
        <v>var</v>
      </c>
      <c r="E1790" s="2" t="e">
        <f>_xlfn.VAR.S(#REF!,#REF!,#REF!)</f>
        <v>#REF!</v>
      </c>
      <c r="F1790" s="2" t="e">
        <f>_xlfn.VAR.S(#REF!,#REF!,+F1790:G1790)</f>
        <v>#REF!</v>
      </c>
      <c r="H1790" s="2" t="e">
        <f>_xlfn.VAR.S(#REF!,#REF!,H1790:I1790)</f>
        <v>#REF!</v>
      </c>
      <c r="I1790" s="1">
        <v>1</v>
      </c>
      <c r="J1790" s="2" t="e">
        <f>_xlfn.VAR.S(#REF!,#REF!,INDIRECT(J1790:K1790))</f>
        <v>#REF!</v>
      </c>
      <c r="L1790" s="2">
        <f>TYPE(INDEX(,_xlfn.VAR.S(#REF!,#REF!,OFFSET(INDEX(1,),,))))</f>
        <v>16</v>
      </c>
    </row>
    <row r="1791" spans="1:12" x14ac:dyDescent="0.55000000000000004">
      <c r="A1791" s="1" t="s">
        <v>2104</v>
      </c>
      <c r="B1791" s="2">
        <f>COUNTIF(A:A,A1791)-1</f>
        <v>3</v>
      </c>
      <c r="C1791" s="2">
        <f>COUNTIF(A$1:A1791,A1791)-1</f>
        <v>0</v>
      </c>
      <c r="D1791" s="2" t="str">
        <f t="shared" si="28"/>
        <v/>
      </c>
      <c r="E1791" s="2"/>
      <c r="F1791" s="2"/>
      <c r="H1791" s="2"/>
      <c r="J1791" s="2"/>
      <c r="L1791" s="2"/>
    </row>
    <row r="1792" spans="1:12" x14ac:dyDescent="0.55000000000000004">
      <c r="A1792" s="1" t="s">
        <v>2104</v>
      </c>
      <c r="B1792" s="2">
        <f>COUNTIF(A:A,A1792)-1</f>
        <v>3</v>
      </c>
      <c r="C1792" s="2">
        <f>COUNTIF(A$1:A1792,A1792)-1</f>
        <v>1</v>
      </c>
      <c r="D1792" s="2" t="str">
        <f t="shared" si="28"/>
        <v>var</v>
      </c>
      <c r="E1792" s="2" t="e">
        <f>_xlfn.VAR.P(#REF!)</f>
        <v>#REF!</v>
      </c>
      <c r="F1792" s="2" t="e">
        <f>_xlfn.VAR.P(+F1792:G1792,#REF!,#REF!)</f>
        <v>#REF!</v>
      </c>
      <c r="H1792" s="2" t="e">
        <f>_xlfn.VAR.P(H1792:I1792,#REF!,#REF!)</f>
        <v>#REF!</v>
      </c>
      <c r="I1792" s="1">
        <v>1</v>
      </c>
      <c r="J1792" s="2" t="e">
        <f>_xlfn.VAR.P(INDIRECT(J1792:K1792),#REF!,#REF!)</f>
        <v>#REF!</v>
      </c>
      <c r="L1792" s="2">
        <f>TYPE(INDEX(,_xlfn.VAR.P(OFFSET(INDEX(1,),,),#REF!,#REF!)))</f>
        <v>16</v>
      </c>
    </row>
    <row r="1793" spans="1:12" x14ac:dyDescent="0.55000000000000004">
      <c r="A1793" s="1" t="s">
        <v>2104</v>
      </c>
      <c r="B1793" s="2">
        <f>COUNTIF(A:A,A1793)-1</f>
        <v>3</v>
      </c>
      <c r="C1793" s="2">
        <f>COUNTIF(A$1:A1793,A1793)-1</f>
        <v>2</v>
      </c>
      <c r="D1793" s="2" t="str">
        <f t="shared" si="28"/>
        <v>var</v>
      </c>
      <c r="E1793" s="2" t="e">
        <f>_xlfn.VAR.P(#REF!,#REF!)</f>
        <v>#REF!</v>
      </c>
      <c r="F1793" s="2" t="e">
        <f>_xlfn.VAR.P(#REF!,+F1793:G1793,#REF!)</f>
        <v>#REF!</v>
      </c>
      <c r="H1793" s="2" t="e">
        <f>_xlfn.VAR.P(#REF!,H1793:I1793,#REF!)</f>
        <v>#REF!</v>
      </c>
      <c r="I1793" s="1">
        <v>1</v>
      </c>
      <c r="J1793" s="2" t="e">
        <f>_xlfn.VAR.P(#REF!,INDIRECT(J1793:K1793),#REF!)</f>
        <v>#REF!</v>
      </c>
      <c r="L1793" s="2">
        <f>TYPE(INDEX(,_xlfn.VAR.P(#REF!,OFFSET(INDEX(1,),,),#REF!)))</f>
        <v>16</v>
      </c>
    </row>
    <row r="1794" spans="1:12" x14ac:dyDescent="0.55000000000000004">
      <c r="A1794" s="1" t="s">
        <v>2104</v>
      </c>
      <c r="B1794" s="2">
        <f>COUNTIF(A:A,A1794)-1</f>
        <v>3</v>
      </c>
      <c r="C1794" s="2">
        <f>COUNTIF(A$1:A1794,A1794)-1</f>
        <v>3</v>
      </c>
      <c r="D1794" s="2" t="str">
        <f t="shared" ref="D1794:D1857" si="29">IF(C1794&gt;0,IF(COUNTA(F1794:G1794)=1,"v",)&amp;IF(L1794=64,,"a")&amp;IF(COUNTA(I1794,K1794)=1,"r",),"")</f>
        <v>var</v>
      </c>
      <c r="E1794" s="2" t="e">
        <f>_xlfn.VAR.P(#REF!,#REF!,#REF!)</f>
        <v>#REF!</v>
      </c>
      <c r="F1794" s="2" t="e">
        <f>_xlfn.VAR.P(#REF!,#REF!,+F1794:G1794)</f>
        <v>#REF!</v>
      </c>
      <c r="H1794" s="2" t="e">
        <f>_xlfn.VAR.P(#REF!,#REF!,H1794:I1794)</f>
        <v>#REF!</v>
      </c>
      <c r="I1794" s="1">
        <v>1</v>
      </c>
      <c r="J1794" s="2" t="e">
        <f>_xlfn.VAR.P(#REF!,#REF!,INDIRECT(J1794:K1794))</f>
        <v>#REF!</v>
      </c>
      <c r="L1794" s="2">
        <f>TYPE(INDEX(,_xlfn.VAR.P(#REF!,#REF!,OFFSET(INDEX(1,),,))))</f>
        <v>16</v>
      </c>
    </row>
    <row r="1795" spans="1:12" x14ac:dyDescent="0.55000000000000004">
      <c r="A1795" s="1" t="s">
        <v>2105</v>
      </c>
      <c r="B1795" s="2">
        <f>COUNTIF(A:A,A1795)-1</f>
        <v>4</v>
      </c>
      <c r="C1795" s="2">
        <f>COUNTIF(A$1:A1795,A1795)-1</f>
        <v>0</v>
      </c>
      <c r="D1795" s="2" t="str">
        <f t="shared" si="29"/>
        <v/>
      </c>
      <c r="E1795" s="2"/>
      <c r="F1795" s="2"/>
      <c r="H1795" s="2"/>
      <c r="J1795" s="2"/>
      <c r="L1795" s="2"/>
    </row>
    <row r="1796" spans="1:12" x14ac:dyDescent="0.55000000000000004">
      <c r="A1796" s="1" t="s">
        <v>2105</v>
      </c>
      <c r="B1796" s="2">
        <f>COUNTIF(A:A,A1796)-1</f>
        <v>4</v>
      </c>
      <c r="C1796" s="2">
        <f>COUNTIF(A$1:A1796,A1796)-1</f>
        <v>1</v>
      </c>
      <c r="D1796" s="2" t="str">
        <f t="shared" si="29"/>
        <v>v</v>
      </c>
      <c r="E1796" s="2"/>
      <c r="F1796" s="2" t="e">
        <f>_xlfn.WEIBULL.DIST(+F1796:G1796,#REF!,#REF!,#REF!)</f>
        <v>#REF!</v>
      </c>
      <c r="H1796" s="2" t="e">
        <f>_xlfn.WEIBULL.DIST(H1796:I1796,#REF!,#REF!,#REF!)</f>
        <v>#REF!</v>
      </c>
      <c r="J1796" s="2" t="e">
        <f>_xlfn.WEIBULL.DIST(INDIRECT(J1796:K1796),#REF!,#REF!,#REF!)</f>
        <v>#REF!</v>
      </c>
      <c r="L1796" s="2">
        <f>TYPE(INDEX(,_xlfn.WEIBULL.DIST(OFFSET(INDEX(1,),,),#REF!,#REF!,#REF!)))</f>
        <v>64</v>
      </c>
    </row>
    <row r="1797" spans="1:12" x14ac:dyDescent="0.55000000000000004">
      <c r="A1797" s="1" t="s">
        <v>2105</v>
      </c>
      <c r="B1797" s="2">
        <f>COUNTIF(A:A,A1797)-1</f>
        <v>4</v>
      </c>
      <c r="C1797" s="2">
        <f>COUNTIF(A$1:A1797,A1797)-1</f>
        <v>2</v>
      </c>
      <c r="D1797" s="2" t="str">
        <f t="shared" si="29"/>
        <v>v</v>
      </c>
      <c r="E1797" s="2"/>
      <c r="F1797" s="2" t="e">
        <f>_xlfn.WEIBULL.DIST(#REF!,+F1797:G1797,#REF!,#REF!)</f>
        <v>#REF!</v>
      </c>
      <c r="H1797" s="2" t="e">
        <f>_xlfn.WEIBULL.DIST(#REF!,H1797:I1797,#REF!,#REF!)</f>
        <v>#REF!</v>
      </c>
      <c r="J1797" s="2" t="e">
        <f>_xlfn.WEIBULL.DIST(#REF!,INDIRECT(J1797:K1797),#REF!,#REF!)</f>
        <v>#REF!</v>
      </c>
      <c r="L1797" s="2">
        <f>TYPE(INDEX(,_xlfn.WEIBULL.DIST(#REF!,OFFSET(INDEX(1,),,),#REF!,#REF!)))</f>
        <v>64</v>
      </c>
    </row>
    <row r="1798" spans="1:12" x14ac:dyDescent="0.55000000000000004">
      <c r="A1798" s="1" t="s">
        <v>2105</v>
      </c>
      <c r="B1798" s="2">
        <f>COUNTIF(A:A,A1798)-1</f>
        <v>4</v>
      </c>
      <c r="C1798" s="2">
        <f>COUNTIF(A$1:A1798,A1798)-1</f>
        <v>3</v>
      </c>
      <c r="D1798" s="2" t="str">
        <f t="shared" si="29"/>
        <v>v</v>
      </c>
      <c r="E1798" s="2"/>
      <c r="F1798" s="2" t="e">
        <f>_xlfn.WEIBULL.DIST(#REF!,#REF!,+F1798:G1798,#REF!)</f>
        <v>#REF!</v>
      </c>
      <c r="H1798" s="2" t="e">
        <f>_xlfn.WEIBULL.DIST(#REF!,#REF!,H1798:I1798,#REF!)</f>
        <v>#REF!</v>
      </c>
      <c r="J1798" s="2" t="e">
        <f>_xlfn.WEIBULL.DIST(#REF!,#REF!,INDIRECT(J1798:K1798),#REF!)</f>
        <v>#REF!</v>
      </c>
      <c r="L1798" s="2">
        <f>TYPE(INDEX(,_xlfn.WEIBULL.DIST(#REF!,#REF!,OFFSET(INDEX(1,),,),#REF!)))</f>
        <v>64</v>
      </c>
    </row>
    <row r="1799" spans="1:12" x14ac:dyDescent="0.55000000000000004">
      <c r="A1799" s="1" t="s">
        <v>2105</v>
      </c>
      <c r="B1799" s="2">
        <f>COUNTIF(A:A,A1799)-1</f>
        <v>4</v>
      </c>
      <c r="C1799" s="2">
        <f>COUNTIF(A$1:A1799,A1799)-1</f>
        <v>4</v>
      </c>
      <c r="D1799" s="2" t="str">
        <f t="shared" si="29"/>
        <v>v</v>
      </c>
      <c r="E1799" s="2" t="e">
        <f>_xlfn.WEIBULL.DIST(#REF!,#REF!,#REF!,#REF!)</f>
        <v>#REF!</v>
      </c>
      <c r="F1799" s="2" t="e">
        <f>_xlfn.WEIBULL.DIST(#REF!,#REF!,#REF!,+F1799:G1799)</f>
        <v>#REF!</v>
      </c>
      <c r="H1799" s="2" t="e">
        <f>_xlfn.WEIBULL.DIST(#REF!,#REF!,#REF!,H1799:I1799)</f>
        <v>#REF!</v>
      </c>
      <c r="J1799" s="2" t="e">
        <f>_xlfn.WEIBULL.DIST(#REF!,#REF!,#REF!,INDIRECT(J1799:K1799))</f>
        <v>#REF!</v>
      </c>
      <c r="L1799" s="2">
        <f>TYPE(INDEX(,_xlfn.WEIBULL.DIST(#REF!,#REF!,#REF!,OFFSET(INDEX(1,),,))))</f>
        <v>64</v>
      </c>
    </row>
    <row r="1800" spans="1:12" x14ac:dyDescent="0.55000000000000004">
      <c r="A1800" s="1" t="s">
        <v>2106</v>
      </c>
      <c r="B1800" s="2">
        <f>COUNTIF(A:A,A1800)-1</f>
        <v>4</v>
      </c>
      <c r="C1800" s="2">
        <f>COUNTIF(A$1:A1800,A1800)-1</f>
        <v>0</v>
      </c>
      <c r="D1800" s="2" t="str">
        <f t="shared" si="29"/>
        <v/>
      </c>
      <c r="E1800" s="2"/>
      <c r="F1800" s="2"/>
      <c r="H1800" s="2"/>
      <c r="J1800" s="2"/>
      <c r="L1800" s="2"/>
    </row>
    <row r="1801" spans="1:12" x14ac:dyDescent="0.55000000000000004">
      <c r="A1801" s="1" t="s">
        <v>2106</v>
      </c>
      <c r="B1801" s="2">
        <f>COUNTIF(A:A,A1801)-1</f>
        <v>4</v>
      </c>
      <c r="C1801" s="2">
        <f>COUNTIF(A$1:A1801,A1801)-1</f>
        <v>1</v>
      </c>
      <c r="D1801" s="2" t="str">
        <f t="shared" si="29"/>
        <v>vr</v>
      </c>
      <c r="E1801" s="2"/>
      <c r="F1801" s="2" t="e">
        <f>NETWORKDAYS.INTL(+F1801:G1801,#REF!,#REF!,#REF!)</f>
        <v>#VALUE!</v>
      </c>
      <c r="H1801" s="2" t="e">
        <f>NETWORKDAYS.INTL(H1801:I1801,#REF!,#REF!,#REF!)</f>
        <v>#VALUE!</v>
      </c>
      <c r="I1801" s="1">
        <v>1</v>
      </c>
      <c r="J1801" s="2" t="e">
        <f>NETWORKDAYS.INTL(INDIRECT(J1801:K1801),#REF!,#REF!,#REF!)</f>
        <v>#VALUE!</v>
      </c>
      <c r="L1801" s="2">
        <f>TYPE(INDEX(,NETWORKDAYS.INTL(OFFSET(INDEX(1,),,),#REF!,#REF!,#REF!)))</f>
        <v>64</v>
      </c>
    </row>
    <row r="1802" spans="1:12" x14ac:dyDescent="0.55000000000000004">
      <c r="A1802" s="1" t="s">
        <v>2106</v>
      </c>
      <c r="B1802" s="2">
        <f>COUNTIF(A:A,A1802)-1</f>
        <v>4</v>
      </c>
      <c r="C1802" s="2">
        <f>COUNTIF(A$1:A1802,A1802)-1</f>
        <v>2</v>
      </c>
      <c r="D1802" s="2" t="str">
        <f t="shared" si="29"/>
        <v>vr</v>
      </c>
      <c r="E1802" s="2" t="e">
        <f>NETWORKDAYS.INTL(#REF!,#REF!)</f>
        <v>#REF!</v>
      </c>
      <c r="F1802" s="2" t="e">
        <f>NETWORKDAYS.INTL(#REF!,+F1802:G1802,#REF!,#REF!)</f>
        <v>#VALUE!</v>
      </c>
      <c r="H1802" s="2" t="e">
        <f>NETWORKDAYS.INTL(#REF!,H1802:I1802,#REF!,#REF!)</f>
        <v>#VALUE!</v>
      </c>
      <c r="I1802" s="1">
        <v>1</v>
      </c>
      <c r="J1802" s="2" t="e">
        <f>NETWORKDAYS.INTL(#REF!,INDIRECT(J1802:K1802),#REF!,#REF!)</f>
        <v>#VALUE!</v>
      </c>
      <c r="L1802" s="2">
        <f>TYPE(INDEX(,NETWORKDAYS.INTL(#REF!,OFFSET(INDEX(1,),,),#REF!,#REF!)))</f>
        <v>64</v>
      </c>
    </row>
    <row r="1803" spans="1:12" x14ac:dyDescent="0.55000000000000004">
      <c r="A1803" s="1" t="s">
        <v>2106</v>
      </c>
      <c r="B1803" s="2">
        <f>COUNTIF(A:A,A1803)-1</f>
        <v>4</v>
      </c>
      <c r="C1803" s="2">
        <f>COUNTIF(A$1:A1803,A1803)-1</f>
        <v>3</v>
      </c>
      <c r="D1803" s="2" t="str">
        <f t="shared" si="29"/>
        <v>v</v>
      </c>
      <c r="E1803" s="2" t="e">
        <f>NETWORKDAYS.INTL(#REF!,#REF!,#REF!)</f>
        <v>#VALUE!</v>
      </c>
      <c r="F1803" s="2" t="e">
        <f>NETWORKDAYS.INTL(#REF!,#REF!,+F1803:G1803,#REF!)</f>
        <v>#NUM!</v>
      </c>
      <c r="H1803" s="2" t="e">
        <f>NETWORKDAYS.INTL(#REF!,#REF!,H1803:I1803,#REF!)</f>
        <v>#NUM!</v>
      </c>
      <c r="J1803" s="2" t="e">
        <f>NETWORKDAYS.INTL(#REF!,#REF!,INDIRECT(J1803:K1803),#REF!)</f>
        <v>#VALUE!</v>
      </c>
      <c r="L1803" s="2">
        <f>TYPE(INDEX(,NETWORKDAYS.INTL(#REF!,#REF!,OFFSET(INDEX(1,),,),#REF!)))</f>
        <v>64</v>
      </c>
    </row>
    <row r="1804" spans="1:12" x14ac:dyDescent="0.55000000000000004">
      <c r="A1804" s="1" t="s">
        <v>2106</v>
      </c>
      <c r="B1804" s="2">
        <f>COUNTIF(A:A,A1804)-1</f>
        <v>4</v>
      </c>
      <c r="C1804" s="2">
        <f>COUNTIF(A$1:A1804,A1804)-1</f>
        <v>4</v>
      </c>
      <c r="D1804" s="2" t="str">
        <f t="shared" si="29"/>
        <v>var</v>
      </c>
      <c r="E1804" s="2" t="e">
        <f>NETWORKDAYS.INTL(#REF!,#REF!,#REF!,#REF!)</f>
        <v>#VALUE!</v>
      </c>
      <c r="F1804" s="2" t="e">
        <f>NETWORKDAYS.INTL(#REF!,#REF!,#REF!,+F1804:G1804)</f>
        <v>#VALUE!</v>
      </c>
      <c r="H1804" s="2" t="e">
        <f>NETWORKDAYS.INTL(#REF!,#REF!,#REF!,H1804:I1804)</f>
        <v>#VALUE!</v>
      </c>
      <c r="I1804" s="1">
        <v>1</v>
      </c>
      <c r="J1804" s="2" t="e">
        <f>NETWORKDAYS.INTL(#REF!,#REF!,#REF!,INDIRECT(J1804:K1804))</f>
        <v>#VALUE!</v>
      </c>
      <c r="L1804" s="2">
        <f>TYPE(INDEX(,NETWORKDAYS.INTL(#REF!,#REF!,#REF!,OFFSET(INDEX(1,),,))))</f>
        <v>16</v>
      </c>
    </row>
    <row r="1805" spans="1:12" x14ac:dyDescent="0.55000000000000004">
      <c r="A1805" s="1" t="s">
        <v>2107</v>
      </c>
      <c r="B1805" s="2">
        <f>COUNTIF(A:A,A1805)-1</f>
        <v>4</v>
      </c>
      <c r="C1805" s="2">
        <f>COUNTIF(A$1:A1805,A1805)-1</f>
        <v>0</v>
      </c>
      <c r="D1805" s="2" t="str">
        <f t="shared" si="29"/>
        <v/>
      </c>
      <c r="E1805" s="2"/>
      <c r="F1805" s="2"/>
      <c r="H1805" s="2"/>
      <c r="J1805" s="2"/>
      <c r="L1805" s="2"/>
    </row>
    <row r="1806" spans="1:12" x14ac:dyDescent="0.55000000000000004">
      <c r="A1806" s="1" t="s">
        <v>2107</v>
      </c>
      <c r="B1806" s="2">
        <f>COUNTIF(A:A,A1806)-1</f>
        <v>4</v>
      </c>
      <c r="C1806" s="2">
        <f>COUNTIF(A$1:A1806,A1806)-1</f>
        <v>1</v>
      </c>
      <c r="D1806" s="2" t="str">
        <f t="shared" si="29"/>
        <v>vr</v>
      </c>
      <c r="E1806" s="2"/>
      <c r="F1806" s="2" t="e">
        <f>WORKDAY.INTL(+F1806:G1806,#REF!,#REF!,#REF!)</f>
        <v>#REF!</v>
      </c>
      <c r="H1806" s="2" t="e">
        <f>WORKDAY.INTL(H1806:I1806,#REF!,#REF!,#REF!)</f>
        <v>#VALUE!</v>
      </c>
      <c r="I1806" s="1">
        <v>1</v>
      </c>
      <c r="J1806" s="2" t="e">
        <f>WORKDAY.INTL(INDIRECT(J1806:K1806),#REF!,#REF!,#REF!)</f>
        <v>#REF!</v>
      </c>
      <c r="L1806" s="2">
        <f>TYPE(INDEX(,WORKDAY.INTL(OFFSET(INDEX(1,),,),#REF!,#REF!,#REF!)))</f>
        <v>64</v>
      </c>
    </row>
    <row r="1807" spans="1:12" x14ac:dyDescent="0.55000000000000004">
      <c r="A1807" s="1" t="s">
        <v>2107</v>
      </c>
      <c r="B1807" s="2">
        <f>COUNTIF(A:A,A1807)-1</f>
        <v>4</v>
      </c>
      <c r="C1807" s="2">
        <f>COUNTIF(A$1:A1807,A1807)-1</f>
        <v>2</v>
      </c>
      <c r="D1807" s="2" t="str">
        <f t="shared" si="29"/>
        <v>vr</v>
      </c>
      <c r="E1807" s="2" t="e">
        <f>WORKDAY.INTL(#REF!,#REF!)</f>
        <v>#REF!</v>
      </c>
      <c r="F1807" s="2" t="e">
        <f>WORKDAY.INTL(#REF!,+F1807:G1807,#REF!,#REF!)</f>
        <v>#REF!</v>
      </c>
      <c r="H1807" s="2" t="e">
        <f>WORKDAY.INTL(#REF!,H1807:I1807,#REF!,#REF!)</f>
        <v>#REF!</v>
      </c>
      <c r="I1807" s="1">
        <v>1</v>
      </c>
      <c r="J1807" s="2" t="e">
        <f>WORKDAY.INTL(#REF!,INDIRECT(J1807:K1807),#REF!,#REF!)</f>
        <v>#REF!</v>
      </c>
      <c r="L1807" s="2">
        <f>TYPE(INDEX(,WORKDAY.INTL(#REF!,OFFSET(INDEX(1,),,),#REF!,#REF!)))</f>
        <v>64</v>
      </c>
    </row>
    <row r="1808" spans="1:12" x14ac:dyDescent="0.55000000000000004">
      <c r="A1808" s="1" t="s">
        <v>2107</v>
      </c>
      <c r="B1808" s="2">
        <f>COUNTIF(A:A,A1808)-1</f>
        <v>4</v>
      </c>
      <c r="C1808" s="2">
        <f>COUNTIF(A$1:A1808,A1808)-1</f>
        <v>3</v>
      </c>
      <c r="D1808" s="2" t="str">
        <f t="shared" si="29"/>
        <v>v</v>
      </c>
      <c r="E1808" s="2" t="e">
        <f>WORKDAY.INTL(#REF!,#REF!,#REF!)</f>
        <v>#REF!</v>
      </c>
      <c r="F1808" s="2" t="e">
        <f>WORKDAY.INTL(#REF!,#REF!,+F1808:G1808,#REF!)</f>
        <v>#REF!</v>
      </c>
      <c r="H1808" s="2" t="e">
        <f>WORKDAY.INTL(#REF!,#REF!,H1808:I1808,#REF!)</f>
        <v>#REF!</v>
      </c>
      <c r="J1808" s="2" t="e">
        <f>WORKDAY.INTL(#REF!,#REF!,INDIRECT(J1808:K1808),#REF!)</f>
        <v>#REF!</v>
      </c>
      <c r="L1808" s="2">
        <f>TYPE(INDEX(,WORKDAY.INTL(#REF!,#REF!,OFFSET(INDEX(1,),,),#REF!)))</f>
        <v>64</v>
      </c>
    </row>
    <row r="1809" spans="1:12" x14ac:dyDescent="0.55000000000000004">
      <c r="A1809" s="1" t="s">
        <v>2107</v>
      </c>
      <c r="B1809" s="2">
        <f>COUNTIF(A:A,A1809)-1</f>
        <v>4</v>
      </c>
      <c r="C1809" s="2">
        <f>COUNTIF(A$1:A1809,A1809)-1</f>
        <v>4</v>
      </c>
      <c r="D1809" s="2" t="str">
        <f t="shared" si="29"/>
        <v>var</v>
      </c>
      <c r="E1809" s="2" t="e">
        <f>WORKDAY.INTL(#REF!,#REF!,#REF!,#REF!)</f>
        <v>#REF!</v>
      </c>
      <c r="F1809" s="2" t="e">
        <f>WORKDAY.INTL(#REF!,#REF!,#REF!,+F1809:G1809)</f>
        <v>#REF!</v>
      </c>
      <c r="H1809" s="2" t="e">
        <f>WORKDAY.INTL(#REF!,#REF!,#REF!,H1809:I1809)</f>
        <v>#REF!</v>
      </c>
      <c r="I1809" s="1">
        <v>1</v>
      </c>
      <c r="J1809" s="2" t="e">
        <f>WORKDAY.INTL(#REF!,#REF!,#REF!,INDIRECT(J1809:K1809))</f>
        <v>#REF!</v>
      </c>
      <c r="L1809" s="2">
        <f>TYPE(INDEX(,WORKDAY.INTL(#REF!,#REF!,#REF!,OFFSET(INDEX(1,),,))))</f>
        <v>16</v>
      </c>
    </row>
    <row r="1810" spans="1:12" x14ac:dyDescent="0.55000000000000004">
      <c r="A1810" s="1" t="s">
        <v>2108</v>
      </c>
      <c r="B1810" s="2">
        <f>COUNTIF(A:A,A1810)-1</f>
        <v>2</v>
      </c>
      <c r="C1810" s="2">
        <f>COUNTIF(A$1:A1810,A1810)-1</f>
        <v>0</v>
      </c>
      <c r="D1810" s="2" t="str">
        <f t="shared" si="29"/>
        <v/>
      </c>
      <c r="E1810" s="2"/>
      <c r="F1810" s="2"/>
      <c r="H1810" s="2"/>
      <c r="J1810" s="2"/>
      <c r="L1810" s="2"/>
    </row>
    <row r="1811" spans="1:12" x14ac:dyDescent="0.55000000000000004">
      <c r="A1811" s="1" t="s">
        <v>2108</v>
      </c>
      <c r="B1811" s="2">
        <f>COUNTIF(A:A,A1811)-1</f>
        <v>2</v>
      </c>
      <c r="C1811" s="2">
        <f>COUNTIF(A$1:A1811,A1811)-1</f>
        <v>1</v>
      </c>
      <c r="D1811" s="2" t="str">
        <f t="shared" si="29"/>
        <v>v</v>
      </c>
      <c r="E1811" s="2"/>
      <c r="F1811" s="2" t="e">
        <f>ECMA.CEILING(+F1811:G1811,#REF!)</f>
        <v>#REF!</v>
      </c>
      <c r="H1811" s="2" t="e">
        <f>ECMA.CEILING(H1811:I1811,#REF!)</f>
        <v>#REF!</v>
      </c>
      <c r="J1811" s="2" t="e">
        <f>ECMA.CEILING(INDIRECT(J1811:K1811),#REF!)</f>
        <v>#REF!</v>
      </c>
      <c r="L1811" s="2">
        <f>TYPE(INDEX(,ECMA.CEILING(OFFSET(INDEX(1,),,),#REF!)))</f>
        <v>64</v>
      </c>
    </row>
    <row r="1812" spans="1:12" x14ac:dyDescent="0.55000000000000004">
      <c r="A1812" s="1" t="s">
        <v>2108</v>
      </c>
      <c r="B1812" s="2">
        <f>COUNTIF(A:A,A1812)-1</f>
        <v>2</v>
      </c>
      <c r="C1812" s="2">
        <f>COUNTIF(A$1:A1812,A1812)-1</f>
        <v>2</v>
      </c>
      <c r="D1812" s="2" t="str">
        <f t="shared" si="29"/>
        <v>v</v>
      </c>
      <c r="E1812" s="2" t="e">
        <f>ECMA.CEILING(#REF!,#REF!)</f>
        <v>#REF!</v>
      </c>
      <c r="F1812" s="2" t="e">
        <f>ECMA.CEILING(#REF!,+F1812:G1812)</f>
        <v>#REF!</v>
      </c>
      <c r="H1812" s="2" t="e">
        <f>ECMA.CEILING(#REF!,H1812:I1812)</f>
        <v>#REF!</v>
      </c>
      <c r="J1812" s="2" t="e">
        <f>ECMA.CEILING(#REF!,INDIRECT(J1812:K1812))</f>
        <v>#REF!</v>
      </c>
      <c r="L1812" s="2">
        <f>TYPE(INDEX(,ECMA.CEILING(#REF!,OFFSET(INDEX(1,),,))))</f>
        <v>64</v>
      </c>
    </row>
    <row r="1813" spans="1:12" x14ac:dyDescent="0.55000000000000004">
      <c r="A1813" s="1" t="s">
        <v>2109</v>
      </c>
      <c r="B1813" s="2">
        <f>COUNTIF(A:A,A1813)-1</f>
        <v>2</v>
      </c>
      <c r="C1813" s="2">
        <f>COUNTIF(A$1:A1813,A1813)-1</f>
        <v>0</v>
      </c>
      <c r="D1813" s="2" t="str">
        <f t="shared" si="29"/>
        <v/>
      </c>
      <c r="E1813" s="2"/>
      <c r="F1813" s="2"/>
      <c r="H1813" s="2"/>
      <c r="J1813" s="2"/>
      <c r="L1813" s="2"/>
    </row>
    <row r="1814" spans="1:12" x14ac:dyDescent="0.55000000000000004">
      <c r="A1814" s="1" t="s">
        <v>2109</v>
      </c>
      <c r="B1814" s="2">
        <f>COUNTIF(A:A,A1814)-1</f>
        <v>2</v>
      </c>
      <c r="C1814" s="2">
        <f>COUNTIF(A$1:A1814,A1814)-1</f>
        <v>1</v>
      </c>
      <c r="D1814" s="2" t="str">
        <f t="shared" si="29"/>
        <v>v</v>
      </c>
      <c r="E1814" s="2" t="e">
        <f>ISO.CEILING(#REF!)</f>
        <v>#REF!</v>
      </c>
      <c r="F1814" s="2" t="e">
        <f>ISO.CEILING(+F1814:G1814,#REF!)</f>
        <v>#REF!</v>
      </c>
      <c r="H1814" s="2" t="e">
        <f>ISO.CEILING(H1814:I1814,#REF!)</f>
        <v>#REF!</v>
      </c>
      <c r="J1814" s="2" t="e">
        <f>ISO.CEILING(INDIRECT(J1814:K1814),#REF!)</f>
        <v>#REF!</v>
      </c>
      <c r="L1814" s="2">
        <f>TYPE(INDEX(,ISO.CEILING(OFFSET(INDEX(1,),,),#REF!)))</f>
        <v>64</v>
      </c>
    </row>
    <row r="1815" spans="1:12" x14ac:dyDescent="0.55000000000000004">
      <c r="A1815" s="1" t="s">
        <v>2109</v>
      </c>
      <c r="B1815" s="2">
        <f>COUNTIF(A:A,A1815)-1</f>
        <v>2</v>
      </c>
      <c r="C1815" s="2">
        <f>COUNTIF(A$1:A1815,A1815)-1</f>
        <v>2</v>
      </c>
      <c r="D1815" s="2" t="str">
        <f t="shared" si="29"/>
        <v>v</v>
      </c>
      <c r="E1815" s="2" t="e">
        <f>ISO.CEILING(#REF!,#REF!)</f>
        <v>#REF!</v>
      </c>
      <c r="F1815" s="2" t="e">
        <f>ISO.CEILING(#REF!,+F1815:G1815)</f>
        <v>#REF!</v>
      </c>
      <c r="H1815" s="2" t="e">
        <f>ISO.CEILING(#REF!,H1815:I1815)</f>
        <v>#REF!</v>
      </c>
      <c r="J1815" s="2" t="e">
        <f>ISO.CEILING(#REF!,INDIRECT(J1815:K1815))</f>
        <v>#REF!</v>
      </c>
      <c r="L1815" s="2">
        <f>TYPE(INDEX(,ISO.CEILING(#REF!,OFFSET(INDEX(1,),,))))</f>
        <v>64</v>
      </c>
    </row>
    <row r="1816" spans="1:12" x14ac:dyDescent="0.55000000000000004">
      <c r="A1816" s="1" t="s">
        <v>2110</v>
      </c>
      <c r="B1816" s="2">
        <f>COUNTIF(A:A,A1816)-1</f>
        <v>6</v>
      </c>
      <c r="C1816" s="2">
        <f>COUNTIF(A$1:A1816,A1816)-1</f>
        <v>0</v>
      </c>
      <c r="D1816" s="2" t="str">
        <f t="shared" si="29"/>
        <v/>
      </c>
      <c r="E1816" s="2"/>
      <c r="F1816" s="2"/>
      <c r="H1816" s="2"/>
      <c r="J1816" s="2"/>
      <c r="L1816" s="2"/>
    </row>
    <row r="1817" spans="1:12" x14ac:dyDescent="0.55000000000000004">
      <c r="A1817" s="1" t="s">
        <v>2110</v>
      </c>
      <c r="B1817" s="2">
        <f>COUNTIF(A:A,A1817)-1</f>
        <v>6</v>
      </c>
      <c r="C1817" s="2">
        <f>COUNTIF(A$1:A1817,A1817)-1</f>
        <v>1</v>
      </c>
      <c r="D1817" s="2" t="str">
        <f t="shared" si="29"/>
        <v>v</v>
      </c>
      <c r="E1817" s="2"/>
      <c r="F1817" s="2" t="e">
        <f>_xlfn.BETA.DIST(+F1817:G1817,#REF!,#REF!,#REF!,#REF!,#REF!)</f>
        <v>#REF!</v>
      </c>
      <c r="H1817" s="2" t="e">
        <f>_xlfn.BETA.DIST(H1817:I1817,#REF!,#REF!,#REF!,#REF!,#REF!)</f>
        <v>#REF!</v>
      </c>
      <c r="J1817" s="2" t="e">
        <f>_xlfn.BETA.DIST(INDIRECT(J1817:K1817),#REF!,#REF!,#REF!,#REF!,#REF!)</f>
        <v>#REF!</v>
      </c>
      <c r="L1817" s="2">
        <f>TYPE(INDEX(,_xlfn.BETA.DIST(OFFSET(INDEX(1,),,),#REF!,#REF!,#REF!,#REF!,#REF!)))</f>
        <v>64</v>
      </c>
    </row>
    <row r="1818" spans="1:12" x14ac:dyDescent="0.55000000000000004">
      <c r="A1818" s="1" t="s">
        <v>2110</v>
      </c>
      <c r="B1818" s="2">
        <f>COUNTIF(A:A,A1818)-1</f>
        <v>6</v>
      </c>
      <c r="C1818" s="2">
        <f>COUNTIF(A$1:A1818,A1818)-1</f>
        <v>2</v>
      </c>
      <c r="D1818" s="2" t="str">
        <f t="shared" si="29"/>
        <v>v</v>
      </c>
      <c r="E1818" s="2"/>
      <c r="F1818" s="2" t="e">
        <f>_xlfn.BETA.DIST(#REF!,+F1818:G1818,#REF!,#REF!,#REF!,#REF!)</f>
        <v>#REF!</v>
      </c>
      <c r="H1818" s="2" t="e">
        <f>_xlfn.BETA.DIST(#REF!,H1818:I1818,#REF!,#REF!,#REF!,#REF!)</f>
        <v>#REF!</v>
      </c>
      <c r="J1818" s="2" t="e">
        <f>_xlfn.BETA.DIST(#REF!,INDIRECT(J1818:K1818),#REF!,#REF!,#REF!,#REF!)</f>
        <v>#REF!</v>
      </c>
      <c r="L1818" s="2">
        <f>TYPE(INDEX(,_xlfn.BETA.DIST(#REF!,OFFSET(INDEX(1,),,),#REF!,#REF!,#REF!,#REF!)))</f>
        <v>64</v>
      </c>
    </row>
    <row r="1819" spans="1:12" x14ac:dyDescent="0.55000000000000004">
      <c r="A1819" s="1" t="s">
        <v>2110</v>
      </c>
      <c r="B1819" s="2">
        <f>COUNTIF(A:A,A1819)-1</f>
        <v>6</v>
      </c>
      <c r="C1819" s="2">
        <f>COUNTIF(A$1:A1819,A1819)-1</f>
        <v>3</v>
      </c>
      <c r="D1819" s="2" t="str">
        <f t="shared" si="29"/>
        <v>v</v>
      </c>
      <c r="E1819" s="2"/>
      <c r="F1819" s="2" t="e">
        <f>_xlfn.BETA.DIST(#REF!,#REF!,+F1819:G1819,#REF!,#REF!,#REF!)</f>
        <v>#REF!</v>
      </c>
      <c r="H1819" s="2" t="e">
        <f>_xlfn.BETA.DIST(#REF!,#REF!,H1819:I1819,#REF!,#REF!,#REF!)</f>
        <v>#REF!</v>
      </c>
      <c r="J1819" s="2" t="e">
        <f>_xlfn.BETA.DIST(#REF!,#REF!,INDIRECT(J1819:K1819),#REF!,#REF!,#REF!)</f>
        <v>#REF!</v>
      </c>
      <c r="L1819" s="2">
        <f>TYPE(INDEX(,_xlfn.BETA.DIST(#REF!,#REF!,OFFSET(INDEX(1,),,),#REF!,#REF!,#REF!)))</f>
        <v>64</v>
      </c>
    </row>
    <row r="1820" spans="1:12" x14ac:dyDescent="0.55000000000000004">
      <c r="A1820" s="1" t="s">
        <v>2110</v>
      </c>
      <c r="B1820" s="2">
        <f>COUNTIF(A:A,A1820)-1</f>
        <v>6</v>
      </c>
      <c r="C1820" s="2">
        <f>COUNTIF(A$1:A1820,A1820)-1</f>
        <v>4</v>
      </c>
      <c r="D1820" s="2" t="str">
        <f t="shared" si="29"/>
        <v>v</v>
      </c>
      <c r="E1820" s="2" t="e">
        <f>_xlfn.BETA.DIST(#REF!,#REF!,#REF!,#REF!)</f>
        <v>#REF!</v>
      </c>
      <c r="F1820" s="2" t="e">
        <f>_xlfn.BETA.DIST(#REF!,#REF!,#REF!,+F1820:G1820,#REF!,#REF!)</f>
        <v>#REF!</v>
      </c>
      <c r="H1820" s="2" t="e">
        <f>_xlfn.BETA.DIST(#REF!,#REF!,#REF!,H1820:I1820,#REF!,#REF!)</f>
        <v>#REF!</v>
      </c>
      <c r="J1820" s="2" t="e">
        <f>_xlfn.BETA.DIST(#REF!,#REF!,#REF!,INDIRECT(J1820:K1820),#REF!,#REF!)</f>
        <v>#REF!</v>
      </c>
      <c r="L1820" s="2">
        <f>TYPE(INDEX(,_xlfn.BETA.DIST(#REF!,#REF!,#REF!,OFFSET(INDEX(1,),,),#REF!,#REF!)))</f>
        <v>64</v>
      </c>
    </row>
    <row r="1821" spans="1:12" x14ac:dyDescent="0.55000000000000004">
      <c r="A1821" s="1" t="s">
        <v>2110</v>
      </c>
      <c r="B1821" s="2">
        <f>COUNTIF(A:A,A1821)-1</f>
        <v>6</v>
      </c>
      <c r="C1821" s="2">
        <f>COUNTIF(A$1:A1821,A1821)-1</f>
        <v>5</v>
      </c>
      <c r="D1821" s="2" t="str">
        <f t="shared" si="29"/>
        <v>v</v>
      </c>
      <c r="E1821" s="2" t="e">
        <f>_xlfn.BETA.DIST(#REF!,#REF!,#REF!,#REF!,#REF!)</f>
        <v>#REF!</v>
      </c>
      <c r="F1821" s="2" t="e">
        <f>_xlfn.BETA.DIST(#REF!,#REF!,#REF!,#REF!,+F1821:G1821,#REF!)</f>
        <v>#REF!</v>
      </c>
      <c r="H1821" s="2" t="e">
        <f>_xlfn.BETA.DIST(#REF!,#REF!,#REF!,#REF!,H1821:I1821,#REF!)</f>
        <v>#REF!</v>
      </c>
      <c r="J1821" s="2" t="e">
        <f>_xlfn.BETA.DIST(#REF!,#REF!,#REF!,#REF!,INDIRECT(J1821:K1821),#REF!)</f>
        <v>#REF!</v>
      </c>
      <c r="L1821" s="2">
        <f>TYPE(INDEX(,_xlfn.BETA.DIST(#REF!,#REF!,#REF!,#REF!,OFFSET(INDEX(1,),,),#REF!)))</f>
        <v>64</v>
      </c>
    </row>
    <row r="1822" spans="1:12" x14ac:dyDescent="0.55000000000000004">
      <c r="A1822" s="1" t="s">
        <v>2110</v>
      </c>
      <c r="B1822" s="2">
        <f>COUNTIF(A:A,A1822)-1</f>
        <v>6</v>
      </c>
      <c r="C1822" s="2">
        <f>COUNTIF(A$1:A1822,A1822)-1</f>
        <v>6</v>
      </c>
      <c r="D1822" s="2" t="str">
        <f t="shared" si="29"/>
        <v>v</v>
      </c>
      <c r="E1822" s="2" t="e">
        <f>_xlfn.BETA.DIST(#REF!,#REF!,#REF!,#REF!,#REF!,#REF!)</f>
        <v>#REF!</v>
      </c>
      <c r="F1822" s="2" t="e">
        <f>_xlfn.BETA.DIST(#REF!,#REF!,#REF!,#REF!,#REF!,+F1822:G1822)</f>
        <v>#REF!</v>
      </c>
      <c r="H1822" s="2" t="e">
        <f>_xlfn.BETA.DIST(#REF!,#REF!,#REF!,#REF!,#REF!,H1822:I1822)</f>
        <v>#REF!</v>
      </c>
      <c r="J1822" s="2" t="e">
        <f>_xlfn.BETA.DIST(#REF!,#REF!,#REF!,#REF!,#REF!,INDIRECT(J1822:K1822))</f>
        <v>#REF!</v>
      </c>
      <c r="L1822" s="2">
        <f>TYPE(INDEX(,_xlfn.BETA.DIST(#REF!,#REF!,#REF!,#REF!,#REF!,OFFSET(INDEX(1,),,))))</f>
        <v>64</v>
      </c>
    </row>
    <row r="1823" spans="1:12" x14ac:dyDescent="0.55000000000000004">
      <c r="A1823" s="1" t="s">
        <v>2111</v>
      </c>
      <c r="B1823" s="2">
        <f>COUNTIF(A:A,A1823)-1</f>
        <v>5</v>
      </c>
      <c r="C1823" s="2">
        <f>COUNTIF(A$1:A1823,A1823)-1</f>
        <v>0</v>
      </c>
      <c r="D1823" s="2" t="str">
        <f t="shared" si="29"/>
        <v/>
      </c>
      <c r="E1823" s="2"/>
      <c r="F1823" s="2"/>
      <c r="H1823" s="2"/>
      <c r="J1823" s="2"/>
      <c r="L1823" s="2"/>
    </row>
    <row r="1824" spans="1:12" x14ac:dyDescent="0.55000000000000004">
      <c r="A1824" s="1" t="s">
        <v>2111</v>
      </c>
      <c r="B1824" s="2">
        <f>COUNTIF(A:A,A1824)-1</f>
        <v>5</v>
      </c>
      <c r="C1824" s="2">
        <f>COUNTIF(A$1:A1824,A1824)-1</f>
        <v>1</v>
      </c>
      <c r="D1824" s="2" t="str">
        <f t="shared" si="29"/>
        <v>v</v>
      </c>
      <c r="E1824" s="2"/>
      <c r="F1824" s="2" t="e">
        <f>_xlfn.BETA.INV(+F1824:G1824,#REF!,#REF!,#REF!,#REF!)</f>
        <v>#REF!</v>
      </c>
      <c r="H1824" s="2" t="e">
        <f>_xlfn.BETA.INV(H1824:I1824,#REF!,#REF!,#REF!,#REF!)</f>
        <v>#REF!</v>
      </c>
      <c r="J1824" s="2" t="e">
        <f>_xlfn.BETA.INV(INDIRECT(J1824:K1824),#REF!,#REF!,#REF!,#REF!)</f>
        <v>#REF!</v>
      </c>
      <c r="L1824" s="2">
        <f>TYPE(INDEX(,_xlfn.BETA.INV(OFFSET(INDEX(1,),,),#REF!,#REF!,#REF!,#REF!)))</f>
        <v>64</v>
      </c>
    </row>
    <row r="1825" spans="1:12" x14ac:dyDescent="0.55000000000000004">
      <c r="A1825" s="1" t="s">
        <v>2111</v>
      </c>
      <c r="B1825" s="2">
        <f>COUNTIF(A:A,A1825)-1</f>
        <v>5</v>
      </c>
      <c r="C1825" s="2">
        <f>COUNTIF(A$1:A1825,A1825)-1</f>
        <v>2</v>
      </c>
      <c r="D1825" s="2" t="str">
        <f t="shared" si="29"/>
        <v>v</v>
      </c>
      <c r="E1825" s="2"/>
      <c r="F1825" s="2" t="e">
        <f>_xlfn.BETA.INV(#REF!,+F1825:G1825,#REF!,#REF!,#REF!)</f>
        <v>#REF!</v>
      </c>
      <c r="H1825" s="2" t="e">
        <f>_xlfn.BETA.INV(#REF!,H1825:I1825,#REF!,#REF!,#REF!)</f>
        <v>#REF!</v>
      </c>
      <c r="J1825" s="2" t="e">
        <f>_xlfn.BETA.INV(#REF!,INDIRECT(J1825:K1825),#REF!,#REF!,#REF!)</f>
        <v>#REF!</v>
      </c>
      <c r="L1825" s="2">
        <f>TYPE(INDEX(,_xlfn.BETA.INV(#REF!,OFFSET(INDEX(1,),,),#REF!,#REF!,#REF!)))</f>
        <v>64</v>
      </c>
    </row>
    <row r="1826" spans="1:12" x14ac:dyDescent="0.55000000000000004">
      <c r="A1826" s="1" t="s">
        <v>2111</v>
      </c>
      <c r="B1826" s="2">
        <f>COUNTIF(A:A,A1826)-1</f>
        <v>5</v>
      </c>
      <c r="C1826" s="2">
        <f>COUNTIF(A$1:A1826,A1826)-1</f>
        <v>3</v>
      </c>
      <c r="D1826" s="2" t="str">
        <f t="shared" si="29"/>
        <v>v</v>
      </c>
      <c r="E1826" s="2" t="e">
        <f>_xlfn.BETA.INV(#REF!,#REF!,#REF!)</f>
        <v>#REF!</v>
      </c>
      <c r="F1826" s="2" t="e">
        <f>_xlfn.BETA.INV(#REF!,#REF!,+F1826:G1826,#REF!,#REF!)</f>
        <v>#REF!</v>
      </c>
      <c r="H1826" s="2" t="e">
        <f>_xlfn.BETA.INV(#REF!,#REF!,H1826:I1826,#REF!,#REF!)</f>
        <v>#REF!</v>
      </c>
      <c r="J1826" s="2" t="e">
        <f>_xlfn.BETA.INV(#REF!,#REF!,INDIRECT(J1826:K1826),#REF!,#REF!)</f>
        <v>#REF!</v>
      </c>
      <c r="L1826" s="2">
        <f>TYPE(INDEX(,_xlfn.BETA.INV(#REF!,#REF!,OFFSET(INDEX(1,),,),#REF!,#REF!)))</f>
        <v>64</v>
      </c>
    </row>
    <row r="1827" spans="1:12" x14ac:dyDescent="0.55000000000000004">
      <c r="A1827" s="1" t="s">
        <v>2111</v>
      </c>
      <c r="B1827" s="2">
        <f>COUNTIF(A:A,A1827)-1</f>
        <v>5</v>
      </c>
      <c r="C1827" s="2">
        <f>COUNTIF(A$1:A1827,A1827)-1</f>
        <v>4</v>
      </c>
      <c r="D1827" s="2" t="str">
        <f t="shared" si="29"/>
        <v>v</v>
      </c>
      <c r="E1827" s="2" t="e">
        <f>_xlfn.BETA.INV(#REF!,#REF!,#REF!,#REF!)</f>
        <v>#REF!</v>
      </c>
      <c r="F1827" s="2" t="e">
        <f>_xlfn.BETA.INV(#REF!,#REF!,#REF!,+F1827:G1827,#REF!)</f>
        <v>#REF!</v>
      </c>
      <c r="H1827" s="2" t="e">
        <f>_xlfn.BETA.INV(#REF!,#REF!,#REF!,H1827:I1827,#REF!)</f>
        <v>#REF!</v>
      </c>
      <c r="J1827" s="2" t="e">
        <f>_xlfn.BETA.INV(#REF!,#REF!,#REF!,INDIRECT(J1827:K1827),#REF!)</f>
        <v>#REF!</v>
      </c>
      <c r="L1827" s="2">
        <f>TYPE(INDEX(,_xlfn.BETA.INV(#REF!,#REF!,#REF!,OFFSET(INDEX(1,),,),#REF!)))</f>
        <v>64</v>
      </c>
    </row>
    <row r="1828" spans="1:12" x14ac:dyDescent="0.55000000000000004">
      <c r="A1828" s="1" t="s">
        <v>2111</v>
      </c>
      <c r="B1828" s="2">
        <f>COUNTIF(A:A,A1828)-1</f>
        <v>5</v>
      </c>
      <c r="C1828" s="2">
        <f>COUNTIF(A$1:A1828,A1828)-1</f>
        <v>5</v>
      </c>
      <c r="D1828" s="2" t="str">
        <f t="shared" si="29"/>
        <v>v</v>
      </c>
      <c r="E1828" s="2" t="e">
        <f>_xlfn.BETA.INV(#REF!,#REF!,#REF!,#REF!,#REF!)</f>
        <v>#REF!</v>
      </c>
      <c r="F1828" s="2" t="e">
        <f>_xlfn.BETA.INV(#REF!,#REF!,#REF!,#REF!,+F1828:G1828)</f>
        <v>#REF!</v>
      </c>
      <c r="H1828" s="2" t="e">
        <f>_xlfn.BETA.INV(#REF!,#REF!,#REF!,#REF!,H1828:I1828)</f>
        <v>#REF!</v>
      </c>
      <c r="J1828" s="2" t="e">
        <f>_xlfn.BETA.INV(#REF!,#REF!,#REF!,#REF!,INDIRECT(J1828:K1828))</f>
        <v>#REF!</v>
      </c>
      <c r="L1828" s="2">
        <f>TYPE(INDEX(,_xlfn.BETA.INV(#REF!,#REF!,#REF!,#REF!,OFFSET(INDEX(1,),,))))</f>
        <v>64</v>
      </c>
    </row>
    <row r="1829" spans="1:12" x14ac:dyDescent="0.55000000000000004">
      <c r="A1829" s="1" t="s">
        <v>2112</v>
      </c>
      <c r="B1829" s="2">
        <f>COUNTIF(A:A,A1829)-1</f>
        <v>3</v>
      </c>
      <c r="C1829" s="2">
        <f>COUNTIF(A$1:A1829,A1829)-1</f>
        <v>0</v>
      </c>
      <c r="D1829" s="2" t="str">
        <f t="shared" si="29"/>
        <v/>
      </c>
      <c r="E1829" s="2"/>
      <c r="F1829" s="2"/>
      <c r="H1829" s="2"/>
      <c r="J1829" s="2"/>
      <c r="L1829" s="2"/>
    </row>
    <row r="1830" spans="1:12" x14ac:dyDescent="0.55000000000000004">
      <c r="A1830" s="1" t="s">
        <v>2112</v>
      </c>
      <c r="B1830" s="2">
        <f>COUNTIF(A:A,A1830)-1</f>
        <v>3</v>
      </c>
      <c r="C1830" s="2">
        <f>COUNTIF(A$1:A1830,A1830)-1</f>
        <v>1</v>
      </c>
      <c r="D1830" s="2" t="str">
        <f t="shared" si="29"/>
        <v>v</v>
      </c>
      <c r="E1830" s="2"/>
      <c r="F1830" s="2" t="e">
        <f>_xlfn.CHISQ.DIST(+F1830:G1830,#REF!,#REF!)</f>
        <v>#REF!</v>
      </c>
      <c r="H1830" s="2" t="e">
        <f>_xlfn.CHISQ.DIST(H1830:I1830,#REF!,#REF!)</f>
        <v>#REF!</v>
      </c>
      <c r="J1830" s="2" t="e">
        <f>_xlfn.CHISQ.DIST(INDIRECT(J1830:K1830),#REF!,#REF!)</f>
        <v>#REF!</v>
      </c>
      <c r="L1830" s="2">
        <f>TYPE(INDEX(,_xlfn.CHISQ.DIST(OFFSET(INDEX(1,),,),#REF!,#REF!)))</f>
        <v>64</v>
      </c>
    </row>
    <row r="1831" spans="1:12" x14ac:dyDescent="0.55000000000000004">
      <c r="A1831" s="1" t="s">
        <v>2112</v>
      </c>
      <c r="B1831" s="2">
        <f>COUNTIF(A:A,A1831)-1</f>
        <v>3</v>
      </c>
      <c r="C1831" s="2">
        <f>COUNTIF(A$1:A1831,A1831)-1</f>
        <v>2</v>
      </c>
      <c r="D1831" s="2" t="str">
        <f t="shared" si="29"/>
        <v>v</v>
      </c>
      <c r="E1831" s="2"/>
      <c r="F1831" s="2" t="e">
        <f>_xlfn.CHISQ.DIST(#REF!,+F1831:G1831,#REF!)</f>
        <v>#REF!</v>
      </c>
      <c r="H1831" s="2" t="e">
        <f>_xlfn.CHISQ.DIST(#REF!,H1831:I1831,#REF!)</f>
        <v>#REF!</v>
      </c>
      <c r="J1831" s="2" t="e">
        <f>_xlfn.CHISQ.DIST(#REF!,INDIRECT(J1831:K1831),#REF!)</f>
        <v>#REF!</v>
      </c>
      <c r="L1831" s="2">
        <f>TYPE(INDEX(,_xlfn.CHISQ.DIST(#REF!,OFFSET(INDEX(1,),,),#REF!)))</f>
        <v>64</v>
      </c>
    </row>
    <row r="1832" spans="1:12" x14ac:dyDescent="0.55000000000000004">
      <c r="A1832" s="1" t="s">
        <v>2112</v>
      </c>
      <c r="B1832" s="2">
        <f>COUNTIF(A:A,A1832)-1</f>
        <v>3</v>
      </c>
      <c r="C1832" s="2">
        <f>COUNTIF(A$1:A1832,A1832)-1</f>
        <v>3</v>
      </c>
      <c r="D1832" s="2" t="str">
        <f t="shared" si="29"/>
        <v>v</v>
      </c>
      <c r="E1832" s="2" t="e">
        <f>_xlfn.CHISQ.DIST(#REF!,#REF!,#REF!)</f>
        <v>#REF!</v>
      </c>
      <c r="F1832" s="2" t="e">
        <f>_xlfn.CHISQ.DIST(#REF!,#REF!,+F1832:G1832)</f>
        <v>#REF!</v>
      </c>
      <c r="H1832" s="2" t="e">
        <f>_xlfn.CHISQ.DIST(#REF!,#REF!,H1832:I1832)</f>
        <v>#REF!</v>
      </c>
      <c r="J1832" s="2" t="e">
        <f>_xlfn.CHISQ.DIST(#REF!,#REF!,INDIRECT(J1832:K1832))</f>
        <v>#REF!</v>
      </c>
      <c r="L1832" s="2">
        <f>TYPE(INDEX(,_xlfn.CHISQ.DIST(#REF!,#REF!,OFFSET(INDEX(1,),,))))</f>
        <v>64</v>
      </c>
    </row>
    <row r="1833" spans="1:12" x14ac:dyDescent="0.55000000000000004">
      <c r="A1833" s="1" t="s">
        <v>2113</v>
      </c>
      <c r="B1833" s="2">
        <f>COUNTIF(A:A,A1833)-1</f>
        <v>2</v>
      </c>
      <c r="C1833" s="2">
        <f>COUNTIF(A$1:A1833,A1833)-1</f>
        <v>0</v>
      </c>
      <c r="D1833" s="2" t="str">
        <f t="shared" si="29"/>
        <v/>
      </c>
      <c r="E1833" s="2"/>
      <c r="F1833" s="2"/>
      <c r="H1833" s="2"/>
      <c r="J1833" s="2"/>
      <c r="L1833" s="2"/>
    </row>
    <row r="1834" spans="1:12" x14ac:dyDescent="0.55000000000000004">
      <c r="A1834" s="1" t="s">
        <v>2113</v>
      </c>
      <c r="B1834" s="2">
        <f>COUNTIF(A:A,A1834)-1</f>
        <v>2</v>
      </c>
      <c r="C1834" s="2">
        <f>COUNTIF(A$1:A1834,A1834)-1</f>
        <v>1</v>
      </c>
      <c r="D1834" s="2" t="str">
        <f t="shared" si="29"/>
        <v>v</v>
      </c>
      <c r="E1834" s="2"/>
      <c r="F1834" s="2" t="e">
        <f>_xlfn.CHISQ.DIST.RT(+F1834:G1834,#REF!)</f>
        <v>#REF!</v>
      </c>
      <c r="H1834" s="2" t="e">
        <f>_xlfn.CHISQ.DIST.RT(H1834:I1834,#REF!)</f>
        <v>#REF!</v>
      </c>
      <c r="J1834" s="2" t="e">
        <f>_xlfn.CHISQ.DIST.RT(INDIRECT(J1834:K1834),#REF!)</f>
        <v>#REF!</v>
      </c>
      <c r="L1834" s="2">
        <f>TYPE(INDEX(,_xlfn.CHISQ.DIST.RT(OFFSET(INDEX(1,),,),#REF!)))</f>
        <v>64</v>
      </c>
    </row>
    <row r="1835" spans="1:12" x14ac:dyDescent="0.55000000000000004">
      <c r="A1835" s="1" t="s">
        <v>2113</v>
      </c>
      <c r="B1835" s="2">
        <f>COUNTIF(A:A,A1835)-1</f>
        <v>2</v>
      </c>
      <c r="C1835" s="2">
        <f>COUNTIF(A$1:A1835,A1835)-1</f>
        <v>2</v>
      </c>
      <c r="D1835" s="2" t="str">
        <f t="shared" si="29"/>
        <v>v</v>
      </c>
      <c r="E1835" s="2" t="e">
        <f>_xlfn.CHISQ.DIST.RT(#REF!,#REF!)</f>
        <v>#REF!</v>
      </c>
      <c r="F1835" s="2" t="e">
        <f>_xlfn.CHISQ.DIST.RT(#REF!,+F1835:G1835)</f>
        <v>#REF!</v>
      </c>
      <c r="H1835" s="2" t="e">
        <f>_xlfn.CHISQ.DIST.RT(#REF!,H1835:I1835)</f>
        <v>#REF!</v>
      </c>
      <c r="J1835" s="2" t="e">
        <f>_xlfn.CHISQ.DIST.RT(#REF!,INDIRECT(J1835:K1835))</f>
        <v>#REF!</v>
      </c>
      <c r="L1835" s="2">
        <f>TYPE(INDEX(,_xlfn.CHISQ.DIST.RT(#REF!,OFFSET(INDEX(1,),,))))</f>
        <v>64</v>
      </c>
    </row>
    <row r="1836" spans="1:12" x14ac:dyDescent="0.55000000000000004">
      <c r="A1836" s="1" t="s">
        <v>2114</v>
      </c>
      <c r="B1836" s="2">
        <f>COUNTIF(A:A,A1836)-1</f>
        <v>2</v>
      </c>
      <c r="C1836" s="2">
        <f>COUNTIF(A$1:A1836,A1836)-1</f>
        <v>0</v>
      </c>
      <c r="D1836" s="2" t="str">
        <f t="shared" si="29"/>
        <v/>
      </c>
      <c r="E1836" s="2"/>
      <c r="F1836" s="2"/>
      <c r="H1836" s="2"/>
      <c r="J1836" s="2"/>
      <c r="L1836" s="2"/>
    </row>
    <row r="1837" spans="1:12" x14ac:dyDescent="0.55000000000000004">
      <c r="A1837" s="1" t="s">
        <v>2114</v>
      </c>
      <c r="B1837" s="2">
        <f>COUNTIF(A:A,A1837)-1</f>
        <v>2</v>
      </c>
      <c r="C1837" s="2">
        <f>COUNTIF(A$1:A1837,A1837)-1</f>
        <v>1</v>
      </c>
      <c r="D1837" s="2" t="str">
        <f t="shared" si="29"/>
        <v>v</v>
      </c>
      <c r="E1837" s="2"/>
      <c r="F1837" s="2" t="e">
        <f>_xlfn.CHISQ.INV(+F1837:G1837,#REF!)</f>
        <v>#REF!</v>
      </c>
      <c r="H1837" s="2" t="e">
        <f>_xlfn.CHISQ.INV(H1837:I1837,#REF!)</f>
        <v>#REF!</v>
      </c>
      <c r="J1837" s="2" t="e">
        <f>_xlfn.CHISQ.INV(INDIRECT(J1837:K1837),#REF!)</f>
        <v>#REF!</v>
      </c>
      <c r="L1837" s="2">
        <f>TYPE(INDEX(,_xlfn.CHISQ.INV(OFFSET(INDEX(1,),,),#REF!)))</f>
        <v>64</v>
      </c>
    </row>
    <row r="1838" spans="1:12" x14ac:dyDescent="0.55000000000000004">
      <c r="A1838" s="1" t="s">
        <v>2114</v>
      </c>
      <c r="B1838" s="2">
        <f>COUNTIF(A:A,A1838)-1</f>
        <v>2</v>
      </c>
      <c r="C1838" s="2">
        <f>COUNTIF(A$1:A1838,A1838)-1</f>
        <v>2</v>
      </c>
      <c r="D1838" s="2" t="str">
        <f t="shared" si="29"/>
        <v>v</v>
      </c>
      <c r="E1838" s="2" t="e">
        <f>_xlfn.CHISQ.INV(#REF!,#REF!)</f>
        <v>#REF!</v>
      </c>
      <c r="F1838" s="2" t="e">
        <f>_xlfn.CHISQ.INV(#REF!,+F1838:G1838)</f>
        <v>#REF!</v>
      </c>
      <c r="H1838" s="2" t="e">
        <f>_xlfn.CHISQ.INV(#REF!,H1838:I1838)</f>
        <v>#REF!</v>
      </c>
      <c r="J1838" s="2" t="e">
        <f>_xlfn.CHISQ.INV(#REF!,INDIRECT(J1838:K1838))</f>
        <v>#REF!</v>
      </c>
      <c r="L1838" s="2">
        <f>TYPE(INDEX(,_xlfn.CHISQ.INV(#REF!,OFFSET(INDEX(1,),,))))</f>
        <v>64</v>
      </c>
    </row>
    <row r="1839" spans="1:12" x14ac:dyDescent="0.55000000000000004">
      <c r="A1839" s="1" t="s">
        <v>2115</v>
      </c>
      <c r="B1839" s="2">
        <f>COUNTIF(A:A,A1839)-1</f>
        <v>2</v>
      </c>
      <c r="C1839" s="2">
        <f>COUNTIF(A$1:A1839,A1839)-1</f>
        <v>0</v>
      </c>
      <c r="D1839" s="2" t="str">
        <f t="shared" si="29"/>
        <v/>
      </c>
      <c r="E1839" s="2"/>
      <c r="F1839" s="2"/>
      <c r="H1839" s="2"/>
      <c r="J1839" s="2"/>
      <c r="L1839" s="2"/>
    </row>
    <row r="1840" spans="1:12" x14ac:dyDescent="0.55000000000000004">
      <c r="A1840" s="1" t="s">
        <v>2115</v>
      </c>
      <c r="B1840" s="2">
        <f>COUNTIF(A:A,A1840)-1</f>
        <v>2</v>
      </c>
      <c r="C1840" s="2">
        <f>COUNTIF(A$1:A1840,A1840)-1</f>
        <v>1</v>
      </c>
      <c r="D1840" s="2" t="str">
        <f t="shared" si="29"/>
        <v>v</v>
      </c>
      <c r="E1840" s="2"/>
      <c r="F1840" s="2" t="e">
        <f>_xlfn.CHISQ.INV.RT(+F1840:G1840,#REF!)</f>
        <v>#REF!</v>
      </c>
      <c r="H1840" s="2" t="e">
        <f>_xlfn.CHISQ.INV.RT(H1840:I1840,#REF!)</f>
        <v>#REF!</v>
      </c>
      <c r="J1840" s="2" t="e">
        <f>_xlfn.CHISQ.INV.RT(INDIRECT(J1840:K1840),#REF!)</f>
        <v>#REF!</v>
      </c>
      <c r="L1840" s="2">
        <f>TYPE(INDEX(,_xlfn.CHISQ.INV.RT(OFFSET(INDEX(1,),,),#REF!)))</f>
        <v>64</v>
      </c>
    </row>
    <row r="1841" spans="1:12" x14ac:dyDescent="0.55000000000000004">
      <c r="A1841" s="1" t="s">
        <v>2115</v>
      </c>
      <c r="B1841" s="2">
        <f>COUNTIF(A:A,A1841)-1</f>
        <v>2</v>
      </c>
      <c r="C1841" s="2">
        <f>COUNTIF(A$1:A1841,A1841)-1</f>
        <v>2</v>
      </c>
      <c r="D1841" s="2" t="str">
        <f t="shared" si="29"/>
        <v>v</v>
      </c>
      <c r="E1841" s="2" t="e">
        <f>_xlfn.CHISQ.INV.RT(#REF!,#REF!)</f>
        <v>#REF!</v>
      </c>
      <c r="F1841" s="2" t="e">
        <f>_xlfn.CHISQ.INV.RT(#REF!,+F1841:G1841)</f>
        <v>#REF!</v>
      </c>
      <c r="H1841" s="2" t="e">
        <f>_xlfn.CHISQ.INV.RT(#REF!,H1841:I1841)</f>
        <v>#REF!</v>
      </c>
      <c r="J1841" s="2" t="e">
        <f>_xlfn.CHISQ.INV.RT(#REF!,INDIRECT(J1841:K1841))</f>
        <v>#REF!</v>
      </c>
      <c r="L1841" s="2">
        <f>TYPE(INDEX(,_xlfn.CHISQ.INV.RT(#REF!,OFFSET(INDEX(1,),,))))</f>
        <v>64</v>
      </c>
    </row>
    <row r="1842" spans="1:12" x14ac:dyDescent="0.55000000000000004">
      <c r="A1842" s="1" t="s">
        <v>2116</v>
      </c>
      <c r="B1842" s="2">
        <f>COUNTIF(A:A,A1842)-1</f>
        <v>4</v>
      </c>
      <c r="C1842" s="2">
        <f>COUNTIF(A$1:A1842,A1842)-1</f>
        <v>0</v>
      </c>
      <c r="D1842" s="2" t="str">
        <f t="shared" si="29"/>
        <v/>
      </c>
      <c r="E1842" s="2"/>
      <c r="F1842" s="2"/>
      <c r="H1842" s="2"/>
      <c r="J1842" s="2"/>
      <c r="L1842" s="2"/>
    </row>
    <row r="1843" spans="1:12" x14ac:dyDescent="0.55000000000000004">
      <c r="A1843" s="1" t="s">
        <v>2116</v>
      </c>
      <c r="B1843" s="2">
        <f>COUNTIF(A:A,A1843)-1</f>
        <v>4</v>
      </c>
      <c r="C1843" s="2">
        <f>COUNTIF(A$1:A1843,A1843)-1</f>
        <v>1</v>
      </c>
      <c r="D1843" s="2" t="str">
        <f t="shared" si="29"/>
        <v>v</v>
      </c>
      <c r="E1843" s="2"/>
      <c r="F1843" s="2" t="e">
        <f>_xlfn.F.DIST(+F1843:G1843,#REF!,#REF!,#REF!)</f>
        <v>#REF!</v>
      </c>
      <c r="H1843" s="2" t="e">
        <f>_xlfn.F.DIST(H1843:I1843,#REF!,#REF!,#REF!)</f>
        <v>#REF!</v>
      </c>
      <c r="J1843" s="2" t="e">
        <f>_xlfn.F.DIST(INDIRECT(J1843:K1843),#REF!,#REF!,#REF!)</f>
        <v>#REF!</v>
      </c>
      <c r="L1843" s="2">
        <f>TYPE(INDEX(,_xlfn.F.DIST(OFFSET(INDEX(1,),,),#REF!,#REF!,#REF!)))</f>
        <v>64</v>
      </c>
    </row>
    <row r="1844" spans="1:12" x14ac:dyDescent="0.55000000000000004">
      <c r="A1844" s="1" t="s">
        <v>2116</v>
      </c>
      <c r="B1844" s="2">
        <f>COUNTIF(A:A,A1844)-1</f>
        <v>4</v>
      </c>
      <c r="C1844" s="2">
        <f>COUNTIF(A$1:A1844,A1844)-1</f>
        <v>2</v>
      </c>
      <c r="D1844" s="2" t="str">
        <f t="shared" si="29"/>
        <v>v</v>
      </c>
      <c r="E1844" s="2"/>
      <c r="F1844" s="2" t="e">
        <f>_xlfn.F.DIST(#REF!,+F1844:G1844,#REF!,#REF!)</f>
        <v>#REF!</v>
      </c>
      <c r="H1844" s="2" t="e">
        <f>_xlfn.F.DIST(#REF!,H1844:I1844,#REF!,#REF!)</f>
        <v>#REF!</v>
      </c>
      <c r="J1844" s="2" t="e">
        <f>_xlfn.F.DIST(#REF!,INDIRECT(J1844:K1844),#REF!,#REF!)</f>
        <v>#REF!</v>
      </c>
      <c r="L1844" s="2">
        <f>TYPE(INDEX(,_xlfn.F.DIST(#REF!,OFFSET(INDEX(1,),,),#REF!,#REF!)))</f>
        <v>64</v>
      </c>
    </row>
    <row r="1845" spans="1:12" x14ac:dyDescent="0.55000000000000004">
      <c r="A1845" s="1" t="s">
        <v>2116</v>
      </c>
      <c r="B1845" s="2">
        <f>COUNTIF(A:A,A1845)-1</f>
        <v>4</v>
      </c>
      <c r="C1845" s="2">
        <f>COUNTIF(A$1:A1845,A1845)-1</f>
        <v>3</v>
      </c>
      <c r="D1845" s="2" t="str">
        <f t="shared" si="29"/>
        <v>v</v>
      </c>
      <c r="E1845" s="2"/>
      <c r="F1845" s="2" t="e">
        <f>_xlfn.F.DIST(#REF!,#REF!,+F1845:G1845,#REF!)</f>
        <v>#REF!</v>
      </c>
      <c r="H1845" s="2" t="e">
        <f>_xlfn.F.DIST(#REF!,#REF!,H1845:I1845,#REF!)</f>
        <v>#REF!</v>
      </c>
      <c r="J1845" s="2" t="e">
        <f>_xlfn.F.DIST(#REF!,#REF!,INDIRECT(J1845:K1845),#REF!)</f>
        <v>#REF!</v>
      </c>
      <c r="L1845" s="2">
        <f>TYPE(INDEX(,_xlfn.F.DIST(#REF!,#REF!,OFFSET(INDEX(1,),,),#REF!)))</f>
        <v>64</v>
      </c>
    </row>
    <row r="1846" spans="1:12" x14ac:dyDescent="0.55000000000000004">
      <c r="A1846" s="1" t="s">
        <v>2116</v>
      </c>
      <c r="B1846" s="2">
        <f>COUNTIF(A:A,A1846)-1</f>
        <v>4</v>
      </c>
      <c r="C1846" s="2">
        <f>COUNTIF(A$1:A1846,A1846)-1</f>
        <v>4</v>
      </c>
      <c r="D1846" s="2" t="str">
        <f t="shared" si="29"/>
        <v>v</v>
      </c>
      <c r="E1846" s="2" t="e">
        <f>_xlfn.F.DIST(#REF!,#REF!,#REF!,#REF!)</f>
        <v>#REF!</v>
      </c>
      <c r="F1846" s="2" t="e">
        <f>_xlfn.F.DIST(#REF!,#REF!,#REF!,+F1846:G1846)</f>
        <v>#REF!</v>
      </c>
      <c r="H1846" s="2" t="e">
        <f>_xlfn.F.DIST(#REF!,#REF!,#REF!,H1846:I1846)</f>
        <v>#REF!</v>
      </c>
      <c r="J1846" s="2" t="e">
        <f>_xlfn.F.DIST(#REF!,#REF!,#REF!,INDIRECT(J1846:K1846))</f>
        <v>#REF!</v>
      </c>
      <c r="L1846" s="2">
        <f>TYPE(INDEX(,_xlfn.F.DIST(#REF!,#REF!,#REF!,OFFSET(INDEX(1,),,))))</f>
        <v>64</v>
      </c>
    </row>
    <row r="1847" spans="1:12" x14ac:dyDescent="0.55000000000000004">
      <c r="A1847" s="1" t="s">
        <v>2117</v>
      </c>
      <c r="B1847" s="2">
        <f>COUNTIF(A:A,A1847)-1</f>
        <v>3</v>
      </c>
      <c r="C1847" s="2">
        <f>COUNTIF(A$1:A1847,A1847)-1</f>
        <v>0</v>
      </c>
      <c r="D1847" s="2" t="str">
        <f t="shared" si="29"/>
        <v/>
      </c>
      <c r="E1847" s="2"/>
      <c r="F1847" s="2"/>
      <c r="H1847" s="2"/>
      <c r="J1847" s="2"/>
      <c r="L1847" s="2"/>
    </row>
    <row r="1848" spans="1:12" x14ac:dyDescent="0.55000000000000004">
      <c r="A1848" s="1" t="s">
        <v>2117</v>
      </c>
      <c r="B1848" s="2">
        <f>COUNTIF(A:A,A1848)-1</f>
        <v>3</v>
      </c>
      <c r="C1848" s="2">
        <f>COUNTIF(A$1:A1848,A1848)-1</f>
        <v>1</v>
      </c>
      <c r="D1848" s="2" t="str">
        <f t="shared" si="29"/>
        <v>v</v>
      </c>
      <c r="E1848" s="2"/>
      <c r="F1848" s="2" t="e">
        <f>_xlfn.F.DIST.RT(+F1848:G1848,#REF!,#REF!)</f>
        <v>#REF!</v>
      </c>
      <c r="H1848" s="2" t="e">
        <f>_xlfn.F.DIST.RT(H1848:I1848,#REF!,#REF!)</f>
        <v>#REF!</v>
      </c>
      <c r="J1848" s="2" t="e">
        <f>_xlfn.F.DIST.RT(INDIRECT(J1848:K1848),#REF!,#REF!)</f>
        <v>#REF!</v>
      </c>
      <c r="L1848" s="2">
        <f>TYPE(INDEX(,_xlfn.F.DIST.RT(OFFSET(INDEX(1,),,),#REF!,#REF!)))</f>
        <v>64</v>
      </c>
    </row>
    <row r="1849" spans="1:12" x14ac:dyDescent="0.55000000000000004">
      <c r="A1849" s="1" t="s">
        <v>2117</v>
      </c>
      <c r="B1849" s="2">
        <f>COUNTIF(A:A,A1849)-1</f>
        <v>3</v>
      </c>
      <c r="C1849" s="2">
        <f>COUNTIF(A$1:A1849,A1849)-1</f>
        <v>2</v>
      </c>
      <c r="D1849" s="2" t="str">
        <f t="shared" si="29"/>
        <v>v</v>
      </c>
      <c r="E1849" s="2"/>
      <c r="F1849" s="2" t="e">
        <f>_xlfn.F.DIST.RT(#REF!,+F1849:G1849,#REF!)</f>
        <v>#REF!</v>
      </c>
      <c r="H1849" s="2" t="e">
        <f>_xlfn.F.DIST.RT(#REF!,H1849:I1849,#REF!)</f>
        <v>#REF!</v>
      </c>
      <c r="J1849" s="2" t="e">
        <f>_xlfn.F.DIST.RT(#REF!,INDIRECT(J1849:K1849),#REF!)</f>
        <v>#REF!</v>
      </c>
      <c r="L1849" s="2">
        <f>TYPE(INDEX(,_xlfn.F.DIST.RT(#REF!,OFFSET(INDEX(1,),,),#REF!)))</f>
        <v>64</v>
      </c>
    </row>
    <row r="1850" spans="1:12" x14ac:dyDescent="0.55000000000000004">
      <c r="A1850" s="1" t="s">
        <v>2117</v>
      </c>
      <c r="B1850" s="2">
        <f>COUNTIF(A:A,A1850)-1</f>
        <v>3</v>
      </c>
      <c r="C1850" s="2">
        <f>COUNTIF(A$1:A1850,A1850)-1</f>
        <v>3</v>
      </c>
      <c r="D1850" s="2" t="str">
        <f t="shared" si="29"/>
        <v>v</v>
      </c>
      <c r="E1850" s="2" t="e">
        <f>_xlfn.F.DIST.RT(#REF!,#REF!,#REF!)</f>
        <v>#REF!</v>
      </c>
      <c r="F1850" s="2" t="e">
        <f>_xlfn.F.DIST.RT(#REF!,#REF!,+F1850:G1850)</f>
        <v>#REF!</v>
      </c>
      <c r="H1850" s="2" t="e">
        <f>_xlfn.F.DIST.RT(#REF!,#REF!,H1850:I1850)</f>
        <v>#REF!</v>
      </c>
      <c r="J1850" s="2" t="e">
        <f>_xlfn.F.DIST.RT(#REF!,#REF!,INDIRECT(J1850:K1850))</f>
        <v>#REF!</v>
      </c>
      <c r="L1850" s="2">
        <f>TYPE(INDEX(,_xlfn.F.DIST.RT(#REF!,#REF!,OFFSET(INDEX(1,),,))))</f>
        <v>64</v>
      </c>
    </row>
    <row r="1851" spans="1:12" x14ac:dyDescent="0.55000000000000004">
      <c r="A1851" s="1" t="s">
        <v>2118</v>
      </c>
      <c r="B1851" s="2">
        <f>COUNTIF(A:A,A1851)-1</f>
        <v>3</v>
      </c>
      <c r="C1851" s="2">
        <f>COUNTIF(A$1:A1851,A1851)-1</f>
        <v>0</v>
      </c>
      <c r="D1851" s="2" t="str">
        <f t="shared" si="29"/>
        <v/>
      </c>
      <c r="E1851" s="2"/>
      <c r="F1851" s="2"/>
      <c r="H1851" s="2"/>
      <c r="J1851" s="2"/>
      <c r="L1851" s="2"/>
    </row>
    <row r="1852" spans="1:12" x14ac:dyDescent="0.55000000000000004">
      <c r="A1852" s="1" t="s">
        <v>2118</v>
      </c>
      <c r="B1852" s="2">
        <f>COUNTIF(A:A,A1852)-1</f>
        <v>3</v>
      </c>
      <c r="C1852" s="2">
        <f>COUNTIF(A$1:A1852,A1852)-1</f>
        <v>1</v>
      </c>
      <c r="D1852" s="2" t="str">
        <f t="shared" si="29"/>
        <v>v</v>
      </c>
      <c r="E1852" s="2"/>
      <c r="F1852" s="2" t="e">
        <f>_xlfn.F.INV(+F1852:G1852,#REF!,#REF!)</f>
        <v>#REF!</v>
      </c>
      <c r="H1852" s="2" t="e">
        <f>_xlfn.F.INV(H1852:I1852,#REF!,#REF!)</f>
        <v>#REF!</v>
      </c>
      <c r="J1852" s="2" t="e">
        <f>_xlfn.F.INV(INDIRECT(J1852:K1852),#REF!,#REF!)</f>
        <v>#REF!</v>
      </c>
      <c r="L1852" s="2">
        <f>TYPE(INDEX(,_xlfn.F.INV(OFFSET(INDEX(1,),,),#REF!,#REF!)))</f>
        <v>64</v>
      </c>
    </row>
    <row r="1853" spans="1:12" x14ac:dyDescent="0.55000000000000004">
      <c r="A1853" s="1" t="s">
        <v>2118</v>
      </c>
      <c r="B1853" s="2">
        <f>COUNTIF(A:A,A1853)-1</f>
        <v>3</v>
      </c>
      <c r="C1853" s="2">
        <f>COUNTIF(A$1:A1853,A1853)-1</f>
        <v>2</v>
      </c>
      <c r="D1853" s="2" t="str">
        <f t="shared" si="29"/>
        <v>v</v>
      </c>
      <c r="E1853" s="2"/>
      <c r="F1853" s="2" t="e">
        <f>_xlfn.F.INV(#REF!,+F1853:G1853,#REF!)</f>
        <v>#REF!</v>
      </c>
      <c r="H1853" s="2" t="e">
        <f>_xlfn.F.INV(#REF!,H1853:I1853,#REF!)</f>
        <v>#REF!</v>
      </c>
      <c r="J1853" s="2" t="e">
        <f>_xlfn.F.INV(#REF!,INDIRECT(J1853:K1853),#REF!)</f>
        <v>#REF!</v>
      </c>
      <c r="L1853" s="2">
        <f>TYPE(INDEX(,_xlfn.F.INV(#REF!,OFFSET(INDEX(1,),,),#REF!)))</f>
        <v>64</v>
      </c>
    </row>
    <row r="1854" spans="1:12" x14ac:dyDescent="0.55000000000000004">
      <c r="A1854" s="1" t="s">
        <v>2118</v>
      </c>
      <c r="B1854" s="2">
        <f>COUNTIF(A:A,A1854)-1</f>
        <v>3</v>
      </c>
      <c r="C1854" s="2">
        <f>COUNTIF(A$1:A1854,A1854)-1</f>
        <v>3</v>
      </c>
      <c r="D1854" s="2" t="str">
        <f t="shared" si="29"/>
        <v>v</v>
      </c>
      <c r="E1854" s="2" t="e">
        <f>_xlfn.F.INV(#REF!,#REF!,#REF!)</f>
        <v>#REF!</v>
      </c>
      <c r="F1854" s="2" t="e">
        <f>_xlfn.F.INV(#REF!,#REF!,+F1854:G1854)</f>
        <v>#REF!</v>
      </c>
      <c r="H1854" s="2" t="e">
        <f>_xlfn.F.INV(#REF!,#REF!,H1854:I1854)</f>
        <v>#REF!</v>
      </c>
      <c r="J1854" s="2" t="e">
        <f>_xlfn.F.INV(#REF!,#REF!,INDIRECT(J1854:K1854))</f>
        <v>#REF!</v>
      </c>
      <c r="L1854" s="2">
        <f>TYPE(INDEX(,_xlfn.F.INV(#REF!,#REF!,OFFSET(INDEX(1,),,))))</f>
        <v>64</v>
      </c>
    </row>
    <row r="1855" spans="1:12" x14ac:dyDescent="0.55000000000000004">
      <c r="A1855" s="1" t="s">
        <v>2119</v>
      </c>
      <c r="B1855" s="2">
        <f>COUNTIF(A:A,A1855)-1</f>
        <v>3</v>
      </c>
      <c r="C1855" s="2">
        <f>COUNTIF(A$1:A1855,A1855)-1</f>
        <v>0</v>
      </c>
      <c r="D1855" s="2" t="str">
        <f t="shared" si="29"/>
        <v/>
      </c>
      <c r="E1855" s="2"/>
      <c r="F1855" s="2"/>
      <c r="H1855" s="2"/>
      <c r="J1855" s="2"/>
      <c r="L1855" s="2"/>
    </row>
    <row r="1856" spans="1:12" x14ac:dyDescent="0.55000000000000004">
      <c r="A1856" s="1" t="s">
        <v>2119</v>
      </c>
      <c r="B1856" s="2">
        <f>COUNTIF(A:A,A1856)-1</f>
        <v>3</v>
      </c>
      <c r="C1856" s="2">
        <f>COUNTIF(A$1:A1856,A1856)-1</f>
        <v>1</v>
      </c>
      <c r="D1856" s="2" t="str">
        <f t="shared" si="29"/>
        <v>v</v>
      </c>
      <c r="E1856" s="2"/>
      <c r="F1856" s="2" t="e">
        <f>_xlfn.F.INV.RT(+F1856:G1856,#REF!,#REF!)</f>
        <v>#REF!</v>
      </c>
      <c r="H1856" s="2" t="e">
        <f>_xlfn.F.INV.RT(H1856:I1856,#REF!,#REF!)</f>
        <v>#REF!</v>
      </c>
      <c r="J1856" s="2" t="e">
        <f>_xlfn.F.INV.RT(INDIRECT(J1856:K1856),#REF!,#REF!)</f>
        <v>#REF!</v>
      </c>
      <c r="L1856" s="2">
        <f>TYPE(INDEX(,_xlfn.F.INV.RT(OFFSET(INDEX(1,),,),#REF!,#REF!)))</f>
        <v>64</v>
      </c>
    </row>
    <row r="1857" spans="1:12" x14ac:dyDescent="0.55000000000000004">
      <c r="A1857" s="1" t="s">
        <v>2119</v>
      </c>
      <c r="B1857" s="2">
        <f>COUNTIF(A:A,A1857)-1</f>
        <v>3</v>
      </c>
      <c r="C1857" s="2">
        <f>COUNTIF(A$1:A1857,A1857)-1</f>
        <v>2</v>
      </c>
      <c r="D1857" s="2" t="str">
        <f t="shared" si="29"/>
        <v>v</v>
      </c>
      <c r="E1857" s="2"/>
      <c r="F1857" s="2" t="e">
        <f>_xlfn.F.INV.RT(#REF!,+F1857:G1857,#REF!)</f>
        <v>#REF!</v>
      </c>
      <c r="H1857" s="2" t="e">
        <f>_xlfn.F.INV.RT(#REF!,H1857:I1857,#REF!)</f>
        <v>#REF!</v>
      </c>
      <c r="J1857" s="2" t="e">
        <f>_xlfn.F.INV.RT(#REF!,INDIRECT(J1857:K1857),#REF!)</f>
        <v>#REF!</v>
      </c>
      <c r="L1857" s="2">
        <f>TYPE(INDEX(,_xlfn.F.INV.RT(#REF!,OFFSET(INDEX(1,),,),#REF!)))</f>
        <v>64</v>
      </c>
    </row>
    <row r="1858" spans="1:12" x14ac:dyDescent="0.55000000000000004">
      <c r="A1858" s="1" t="s">
        <v>2119</v>
      </c>
      <c r="B1858" s="2">
        <f>COUNTIF(A:A,A1858)-1</f>
        <v>3</v>
      </c>
      <c r="C1858" s="2">
        <f>COUNTIF(A$1:A1858,A1858)-1</f>
        <v>3</v>
      </c>
      <c r="D1858" s="2" t="str">
        <f t="shared" ref="D1858:D1921" si="30">IF(C1858&gt;0,IF(COUNTA(F1858:G1858)=1,"v",)&amp;IF(L1858=64,,"a")&amp;IF(COUNTA(I1858,K1858)=1,"r",),"")</f>
        <v>v</v>
      </c>
      <c r="E1858" s="2" t="e">
        <f>_xlfn.F.INV.RT(#REF!,#REF!,#REF!)</f>
        <v>#REF!</v>
      </c>
      <c r="F1858" s="2" t="e">
        <f>_xlfn.F.INV.RT(#REF!,#REF!,+F1858:G1858)</f>
        <v>#REF!</v>
      </c>
      <c r="H1858" s="2" t="e">
        <f>_xlfn.F.INV.RT(#REF!,#REF!,H1858:I1858)</f>
        <v>#REF!</v>
      </c>
      <c r="J1858" s="2" t="e">
        <f>_xlfn.F.INV.RT(#REF!,#REF!,INDIRECT(J1858:K1858))</f>
        <v>#REF!</v>
      </c>
      <c r="L1858" s="2">
        <f>TYPE(INDEX(,_xlfn.F.INV.RT(#REF!,#REF!,OFFSET(INDEX(1,),,))))</f>
        <v>64</v>
      </c>
    </row>
    <row r="1859" spans="1:12" x14ac:dyDescent="0.55000000000000004">
      <c r="A1859" s="1" t="s">
        <v>2120</v>
      </c>
      <c r="B1859" s="2">
        <f>COUNTIF(A:A,A1859)-1</f>
        <v>5</v>
      </c>
      <c r="C1859" s="2">
        <f>COUNTIF(A$1:A1859,A1859)-1</f>
        <v>0</v>
      </c>
      <c r="D1859" s="2" t="str">
        <f t="shared" si="30"/>
        <v/>
      </c>
      <c r="E1859" s="2"/>
      <c r="F1859" s="2"/>
      <c r="H1859" s="2"/>
      <c r="J1859" s="2"/>
      <c r="L1859" s="2"/>
    </row>
    <row r="1860" spans="1:12" x14ac:dyDescent="0.55000000000000004">
      <c r="A1860" s="1" t="s">
        <v>2120</v>
      </c>
      <c r="B1860" s="2">
        <f>COUNTIF(A:A,A1860)-1</f>
        <v>5</v>
      </c>
      <c r="C1860" s="2">
        <f>COUNTIF(A$1:A1860,A1860)-1</f>
        <v>1</v>
      </c>
      <c r="D1860" s="2" t="str">
        <f t="shared" si="30"/>
        <v>v</v>
      </c>
      <c r="E1860" s="2"/>
      <c r="F1860" s="2" t="e">
        <f>_xlfn.HYPGEOM.DIST(+F1860:G1860,#REF!,#REF!,#REF!,#REF!)</f>
        <v>#REF!</v>
      </c>
      <c r="H1860" s="2" t="e">
        <f>_xlfn.HYPGEOM.DIST(H1860:I1860,#REF!,#REF!,#REF!,#REF!)</f>
        <v>#REF!</v>
      </c>
      <c r="J1860" s="2" t="e">
        <f>_xlfn.HYPGEOM.DIST(INDIRECT(J1860:K1860),#REF!,#REF!,#REF!,#REF!)</f>
        <v>#REF!</v>
      </c>
      <c r="L1860" s="2">
        <f>TYPE(INDEX(,_xlfn.HYPGEOM.DIST(OFFSET(INDEX(1,),,),#REF!,#REF!,#REF!,#REF!)))</f>
        <v>64</v>
      </c>
    </row>
    <row r="1861" spans="1:12" x14ac:dyDescent="0.55000000000000004">
      <c r="A1861" s="1" t="s">
        <v>2120</v>
      </c>
      <c r="B1861" s="2">
        <f>COUNTIF(A:A,A1861)-1</f>
        <v>5</v>
      </c>
      <c r="C1861" s="2">
        <f>COUNTIF(A$1:A1861,A1861)-1</f>
        <v>2</v>
      </c>
      <c r="D1861" s="2" t="str">
        <f t="shared" si="30"/>
        <v>v</v>
      </c>
      <c r="E1861" s="2"/>
      <c r="F1861" s="2" t="e">
        <f>_xlfn.HYPGEOM.DIST(#REF!,+F1861:G1861,#REF!,#REF!,#REF!)</f>
        <v>#REF!</v>
      </c>
      <c r="H1861" s="2" t="e">
        <f>_xlfn.HYPGEOM.DIST(#REF!,H1861:I1861,#REF!,#REF!,#REF!)</f>
        <v>#REF!</v>
      </c>
      <c r="J1861" s="2" t="e">
        <f>_xlfn.HYPGEOM.DIST(#REF!,INDIRECT(J1861:K1861),#REF!,#REF!,#REF!)</f>
        <v>#REF!</v>
      </c>
      <c r="L1861" s="2">
        <f>TYPE(INDEX(,_xlfn.HYPGEOM.DIST(#REF!,OFFSET(INDEX(1,),,),#REF!,#REF!,#REF!)))</f>
        <v>64</v>
      </c>
    </row>
    <row r="1862" spans="1:12" x14ac:dyDescent="0.55000000000000004">
      <c r="A1862" s="1" t="s">
        <v>2120</v>
      </c>
      <c r="B1862" s="2">
        <f>COUNTIF(A:A,A1862)-1</f>
        <v>5</v>
      </c>
      <c r="C1862" s="2">
        <f>COUNTIF(A$1:A1862,A1862)-1</f>
        <v>3</v>
      </c>
      <c r="D1862" s="2" t="str">
        <f t="shared" si="30"/>
        <v>v</v>
      </c>
      <c r="E1862" s="2"/>
      <c r="F1862" s="2" t="e">
        <f>_xlfn.HYPGEOM.DIST(#REF!,#REF!,+F1862:G1862,#REF!,#REF!)</f>
        <v>#REF!</v>
      </c>
      <c r="H1862" s="2" t="e">
        <f>_xlfn.HYPGEOM.DIST(#REF!,#REF!,H1862:I1862,#REF!,#REF!)</f>
        <v>#REF!</v>
      </c>
      <c r="J1862" s="2" t="e">
        <f>_xlfn.HYPGEOM.DIST(#REF!,#REF!,INDIRECT(J1862:K1862),#REF!,#REF!)</f>
        <v>#REF!</v>
      </c>
      <c r="L1862" s="2">
        <f>TYPE(INDEX(,_xlfn.HYPGEOM.DIST(#REF!,#REF!,OFFSET(INDEX(1,),,),#REF!,#REF!)))</f>
        <v>64</v>
      </c>
    </row>
    <row r="1863" spans="1:12" x14ac:dyDescent="0.55000000000000004">
      <c r="A1863" s="1" t="s">
        <v>2120</v>
      </c>
      <c r="B1863" s="2">
        <f>COUNTIF(A:A,A1863)-1</f>
        <v>5</v>
      </c>
      <c r="C1863" s="2">
        <f>COUNTIF(A$1:A1863,A1863)-1</f>
        <v>4</v>
      </c>
      <c r="D1863" s="2" t="str">
        <f t="shared" si="30"/>
        <v>v</v>
      </c>
      <c r="E1863" s="2"/>
      <c r="F1863" s="2" t="e">
        <f>_xlfn.HYPGEOM.DIST(#REF!,#REF!,#REF!,+F1863:G1863,#REF!)</f>
        <v>#REF!</v>
      </c>
      <c r="H1863" s="2" t="e">
        <f>_xlfn.HYPGEOM.DIST(#REF!,#REF!,#REF!,H1863:I1863,#REF!)</f>
        <v>#REF!</v>
      </c>
      <c r="J1863" s="2" t="e">
        <f>_xlfn.HYPGEOM.DIST(#REF!,#REF!,#REF!,INDIRECT(J1863:K1863),#REF!)</f>
        <v>#REF!</v>
      </c>
      <c r="L1863" s="2">
        <f>TYPE(INDEX(,_xlfn.HYPGEOM.DIST(#REF!,#REF!,#REF!,OFFSET(INDEX(1,),,),#REF!)))</f>
        <v>64</v>
      </c>
    </row>
    <row r="1864" spans="1:12" x14ac:dyDescent="0.55000000000000004">
      <c r="A1864" s="1" t="s">
        <v>2120</v>
      </c>
      <c r="B1864" s="2">
        <f>COUNTIF(A:A,A1864)-1</f>
        <v>5</v>
      </c>
      <c r="C1864" s="2">
        <f>COUNTIF(A$1:A1864,A1864)-1</f>
        <v>5</v>
      </c>
      <c r="D1864" s="2" t="str">
        <f t="shared" si="30"/>
        <v>v</v>
      </c>
      <c r="E1864" s="2" t="e">
        <f>_xlfn.HYPGEOM.DIST(#REF!,#REF!,#REF!,#REF!,#REF!)</f>
        <v>#REF!</v>
      </c>
      <c r="F1864" s="2" t="e">
        <f>_xlfn.HYPGEOM.DIST(#REF!,#REF!,#REF!,#REF!,+F1864:G1864)</f>
        <v>#REF!</v>
      </c>
      <c r="H1864" s="2" t="e">
        <f>_xlfn.HYPGEOM.DIST(#REF!,#REF!,#REF!,#REF!,H1864:I1864)</f>
        <v>#REF!</v>
      </c>
      <c r="J1864" s="2" t="e">
        <f>_xlfn.HYPGEOM.DIST(#REF!,#REF!,#REF!,#REF!,INDIRECT(J1864:K1864))</f>
        <v>#REF!</v>
      </c>
      <c r="L1864" s="2">
        <f>TYPE(INDEX(,_xlfn.HYPGEOM.DIST(#REF!,#REF!,#REF!,#REF!,OFFSET(INDEX(1,),,))))</f>
        <v>64</v>
      </c>
    </row>
    <row r="1865" spans="1:12" x14ac:dyDescent="0.55000000000000004">
      <c r="A1865" s="1" t="s">
        <v>2121</v>
      </c>
      <c r="B1865" s="2">
        <f>COUNTIF(A:A,A1865)-1</f>
        <v>4</v>
      </c>
      <c r="C1865" s="2">
        <f>COUNTIF(A$1:A1865,A1865)-1</f>
        <v>0</v>
      </c>
      <c r="D1865" s="2" t="str">
        <f t="shared" si="30"/>
        <v/>
      </c>
      <c r="E1865" s="2"/>
      <c r="F1865" s="2"/>
      <c r="H1865" s="2"/>
      <c r="J1865" s="2"/>
      <c r="L1865" s="2"/>
    </row>
    <row r="1866" spans="1:12" x14ac:dyDescent="0.55000000000000004">
      <c r="A1866" s="1" t="s">
        <v>2121</v>
      </c>
      <c r="B1866" s="2">
        <f>COUNTIF(A:A,A1866)-1</f>
        <v>4</v>
      </c>
      <c r="C1866" s="2">
        <f>COUNTIF(A$1:A1866,A1866)-1</f>
        <v>1</v>
      </c>
      <c r="D1866" s="2" t="str">
        <f t="shared" si="30"/>
        <v>v</v>
      </c>
      <c r="E1866" s="2"/>
      <c r="F1866" s="2" t="e">
        <f>_xlfn.LOGNORM.DIST(+F1866:G1866,#REF!,#REF!,#REF!)</f>
        <v>#REF!</v>
      </c>
      <c r="H1866" s="2" t="e">
        <f>_xlfn.LOGNORM.DIST(H1866:I1866,#REF!,#REF!,#REF!)</f>
        <v>#REF!</v>
      </c>
      <c r="J1866" s="2" t="e">
        <f>_xlfn.LOGNORM.DIST(INDIRECT(J1866:K1866),#REF!,#REF!,#REF!)</f>
        <v>#REF!</v>
      </c>
      <c r="L1866" s="2">
        <f>TYPE(INDEX(,_xlfn.LOGNORM.DIST(OFFSET(INDEX(1,),,),#REF!,#REF!,#REF!)))</f>
        <v>64</v>
      </c>
    </row>
    <row r="1867" spans="1:12" x14ac:dyDescent="0.55000000000000004">
      <c r="A1867" s="1" t="s">
        <v>2121</v>
      </c>
      <c r="B1867" s="2">
        <f>COUNTIF(A:A,A1867)-1</f>
        <v>4</v>
      </c>
      <c r="C1867" s="2">
        <f>COUNTIF(A$1:A1867,A1867)-1</f>
        <v>2</v>
      </c>
      <c r="D1867" s="2" t="str">
        <f t="shared" si="30"/>
        <v>v</v>
      </c>
      <c r="E1867" s="2"/>
      <c r="F1867" s="2" t="e">
        <f>_xlfn.LOGNORM.DIST(#REF!,+F1867:G1867,#REF!,#REF!)</f>
        <v>#REF!</v>
      </c>
      <c r="H1867" s="2" t="e">
        <f>_xlfn.LOGNORM.DIST(#REF!,H1867:I1867,#REF!,#REF!)</f>
        <v>#REF!</v>
      </c>
      <c r="J1867" s="2" t="e">
        <f>_xlfn.LOGNORM.DIST(#REF!,INDIRECT(J1867:K1867),#REF!,#REF!)</f>
        <v>#REF!</v>
      </c>
      <c r="L1867" s="2">
        <f>TYPE(INDEX(,_xlfn.LOGNORM.DIST(#REF!,OFFSET(INDEX(1,),,),#REF!,#REF!)))</f>
        <v>64</v>
      </c>
    </row>
    <row r="1868" spans="1:12" x14ac:dyDescent="0.55000000000000004">
      <c r="A1868" s="1" t="s">
        <v>2121</v>
      </c>
      <c r="B1868" s="2">
        <f>COUNTIF(A:A,A1868)-1</f>
        <v>4</v>
      </c>
      <c r="C1868" s="2">
        <f>COUNTIF(A$1:A1868,A1868)-1</f>
        <v>3</v>
      </c>
      <c r="D1868" s="2" t="str">
        <f t="shared" si="30"/>
        <v>v</v>
      </c>
      <c r="E1868" s="2"/>
      <c r="F1868" s="2" t="e">
        <f>_xlfn.LOGNORM.DIST(#REF!,#REF!,+F1868:G1868,#REF!)</f>
        <v>#REF!</v>
      </c>
      <c r="H1868" s="2" t="e">
        <f>_xlfn.LOGNORM.DIST(#REF!,#REF!,H1868:I1868,#REF!)</f>
        <v>#REF!</v>
      </c>
      <c r="J1868" s="2" t="e">
        <f>_xlfn.LOGNORM.DIST(#REF!,#REF!,INDIRECT(J1868:K1868),#REF!)</f>
        <v>#REF!</v>
      </c>
      <c r="L1868" s="2">
        <f>TYPE(INDEX(,_xlfn.LOGNORM.DIST(#REF!,#REF!,OFFSET(INDEX(1,),,),#REF!)))</f>
        <v>64</v>
      </c>
    </row>
    <row r="1869" spans="1:12" x14ac:dyDescent="0.55000000000000004">
      <c r="A1869" s="1" t="s">
        <v>2121</v>
      </c>
      <c r="B1869" s="2">
        <f>COUNTIF(A:A,A1869)-1</f>
        <v>4</v>
      </c>
      <c r="C1869" s="2">
        <f>COUNTIF(A$1:A1869,A1869)-1</f>
        <v>4</v>
      </c>
      <c r="D1869" s="2" t="str">
        <f t="shared" si="30"/>
        <v>v</v>
      </c>
      <c r="E1869" s="2" t="e">
        <f>_xlfn.LOGNORM.DIST(#REF!,#REF!,#REF!,#REF!)</f>
        <v>#REF!</v>
      </c>
      <c r="F1869" s="2" t="e">
        <f>_xlfn.LOGNORM.DIST(#REF!,#REF!,#REF!,+F1869:G1869)</f>
        <v>#REF!</v>
      </c>
      <c r="H1869" s="2" t="e">
        <f>_xlfn.LOGNORM.DIST(#REF!,#REF!,#REF!,H1869:I1869)</f>
        <v>#REF!</v>
      </c>
      <c r="J1869" s="2" t="e">
        <f>_xlfn.LOGNORM.DIST(#REF!,#REF!,#REF!,INDIRECT(J1869:K1869))</f>
        <v>#REF!</v>
      </c>
      <c r="L1869" s="2">
        <f>TYPE(INDEX(,_xlfn.LOGNORM.DIST(#REF!,#REF!,#REF!,OFFSET(INDEX(1,),,))))</f>
        <v>64</v>
      </c>
    </row>
    <row r="1870" spans="1:12" x14ac:dyDescent="0.55000000000000004">
      <c r="A1870" s="1" t="s">
        <v>2122</v>
      </c>
      <c r="B1870" s="2">
        <f>COUNTIF(A:A,A1870)-1</f>
        <v>3</v>
      </c>
      <c r="C1870" s="2">
        <f>COUNTIF(A$1:A1870,A1870)-1</f>
        <v>0</v>
      </c>
      <c r="D1870" s="2" t="str">
        <f t="shared" si="30"/>
        <v/>
      </c>
      <c r="E1870" s="2"/>
      <c r="F1870" s="2"/>
      <c r="H1870" s="2"/>
      <c r="J1870" s="2"/>
      <c r="L1870" s="2"/>
    </row>
    <row r="1871" spans="1:12" x14ac:dyDescent="0.55000000000000004">
      <c r="A1871" s="1" t="s">
        <v>2122</v>
      </c>
      <c r="B1871" s="2">
        <f>COUNTIF(A:A,A1871)-1</f>
        <v>3</v>
      </c>
      <c r="C1871" s="2">
        <f>COUNTIF(A$1:A1871,A1871)-1</f>
        <v>1</v>
      </c>
      <c r="D1871" s="2" t="str">
        <f t="shared" si="30"/>
        <v>v</v>
      </c>
      <c r="E1871" s="2"/>
      <c r="F1871" s="2" t="e">
        <f>_xlfn.LOGNORM.INV(+F1871:G1871,#REF!,#REF!)</f>
        <v>#REF!</v>
      </c>
      <c r="H1871" s="2" t="e">
        <f>_xlfn.LOGNORM.INV(H1871:I1871,#REF!,#REF!)</f>
        <v>#REF!</v>
      </c>
      <c r="J1871" s="2" t="e">
        <f>_xlfn.LOGNORM.INV(INDIRECT(J1871:K1871),#REF!,#REF!)</f>
        <v>#REF!</v>
      </c>
      <c r="L1871" s="2">
        <f>TYPE(INDEX(,_xlfn.LOGNORM.INV(OFFSET(INDEX(1,),,),#REF!,#REF!)))</f>
        <v>64</v>
      </c>
    </row>
    <row r="1872" spans="1:12" x14ac:dyDescent="0.55000000000000004">
      <c r="A1872" s="1" t="s">
        <v>2122</v>
      </c>
      <c r="B1872" s="2">
        <f>COUNTIF(A:A,A1872)-1</f>
        <v>3</v>
      </c>
      <c r="C1872" s="2">
        <f>COUNTIF(A$1:A1872,A1872)-1</f>
        <v>2</v>
      </c>
      <c r="D1872" s="2" t="str">
        <f t="shared" si="30"/>
        <v>v</v>
      </c>
      <c r="E1872" s="2"/>
      <c r="F1872" s="2" t="e">
        <f>_xlfn.LOGNORM.INV(#REF!,+F1872:G1872,#REF!)</f>
        <v>#REF!</v>
      </c>
      <c r="H1872" s="2" t="e">
        <f>_xlfn.LOGNORM.INV(#REF!,H1872:I1872,#REF!)</f>
        <v>#REF!</v>
      </c>
      <c r="J1872" s="2" t="e">
        <f>_xlfn.LOGNORM.INV(#REF!,INDIRECT(J1872:K1872),#REF!)</f>
        <v>#REF!</v>
      </c>
      <c r="L1872" s="2">
        <f>TYPE(INDEX(,_xlfn.LOGNORM.INV(#REF!,OFFSET(INDEX(1,),,),#REF!)))</f>
        <v>64</v>
      </c>
    </row>
    <row r="1873" spans="1:12" x14ac:dyDescent="0.55000000000000004">
      <c r="A1873" s="1" t="s">
        <v>2122</v>
      </c>
      <c r="B1873" s="2">
        <f>COUNTIF(A:A,A1873)-1</f>
        <v>3</v>
      </c>
      <c r="C1873" s="2">
        <f>COUNTIF(A$1:A1873,A1873)-1</f>
        <v>3</v>
      </c>
      <c r="D1873" s="2" t="str">
        <f t="shared" si="30"/>
        <v>v</v>
      </c>
      <c r="E1873" s="2" t="e">
        <f>_xlfn.LOGNORM.INV(#REF!,#REF!,#REF!)</f>
        <v>#REF!</v>
      </c>
      <c r="F1873" s="2" t="e">
        <f>_xlfn.LOGNORM.INV(#REF!,#REF!,+F1873:G1873)</f>
        <v>#REF!</v>
      </c>
      <c r="H1873" s="2" t="e">
        <f>_xlfn.LOGNORM.INV(#REF!,#REF!,H1873:I1873)</f>
        <v>#REF!</v>
      </c>
      <c r="J1873" s="2" t="e">
        <f>_xlfn.LOGNORM.INV(#REF!,#REF!,INDIRECT(J1873:K1873))</f>
        <v>#REF!</v>
      </c>
      <c r="L1873" s="2">
        <f>TYPE(INDEX(,_xlfn.LOGNORM.INV(#REF!,#REF!,OFFSET(INDEX(1,),,))))</f>
        <v>64</v>
      </c>
    </row>
    <row r="1874" spans="1:12" x14ac:dyDescent="0.55000000000000004">
      <c r="A1874" s="1" t="s">
        <v>2123</v>
      </c>
      <c r="B1874" s="2">
        <f>COUNTIF(A:A,A1874)-1</f>
        <v>4</v>
      </c>
      <c r="C1874" s="2">
        <f>COUNTIF(A$1:A1874,A1874)-1</f>
        <v>0</v>
      </c>
      <c r="D1874" s="2" t="str">
        <f t="shared" si="30"/>
        <v/>
      </c>
      <c r="E1874" s="2"/>
      <c r="F1874" s="2"/>
      <c r="H1874" s="2"/>
      <c r="J1874" s="2"/>
      <c r="L1874" s="2"/>
    </row>
    <row r="1875" spans="1:12" x14ac:dyDescent="0.55000000000000004">
      <c r="A1875" s="1" t="s">
        <v>2123</v>
      </c>
      <c r="B1875" s="2">
        <f>COUNTIF(A:A,A1875)-1</f>
        <v>4</v>
      </c>
      <c r="C1875" s="2">
        <f>COUNTIF(A$1:A1875,A1875)-1</f>
        <v>1</v>
      </c>
      <c r="D1875" s="2" t="str">
        <f t="shared" si="30"/>
        <v>v</v>
      </c>
      <c r="E1875" s="2"/>
      <c r="F1875" s="2" t="e">
        <f>_xlfn.NEGBINOM.DIST(+F1875:G1875,#REF!,#REF!,#REF!)</f>
        <v>#REF!</v>
      </c>
      <c r="H1875" s="2" t="e">
        <f>_xlfn.NEGBINOM.DIST(H1875:I1875,#REF!,#REF!,#REF!)</f>
        <v>#REF!</v>
      </c>
      <c r="J1875" s="2" t="e">
        <f>_xlfn.NEGBINOM.DIST(INDIRECT(J1875:K1875),#REF!,#REF!,#REF!)</f>
        <v>#REF!</v>
      </c>
      <c r="L1875" s="2">
        <f>TYPE(INDEX(,_xlfn.NEGBINOM.DIST(OFFSET(INDEX(1,),,),#REF!,#REF!,#REF!)))</f>
        <v>64</v>
      </c>
    </row>
    <row r="1876" spans="1:12" x14ac:dyDescent="0.55000000000000004">
      <c r="A1876" s="1" t="s">
        <v>2123</v>
      </c>
      <c r="B1876" s="2">
        <f>COUNTIF(A:A,A1876)-1</f>
        <v>4</v>
      </c>
      <c r="C1876" s="2">
        <f>COUNTIF(A$1:A1876,A1876)-1</f>
        <v>2</v>
      </c>
      <c r="D1876" s="2" t="str">
        <f t="shared" si="30"/>
        <v>v</v>
      </c>
      <c r="E1876" s="2"/>
      <c r="F1876" s="2" t="e">
        <f>_xlfn.NEGBINOM.DIST(#REF!,+F1876:G1876,#REF!,#REF!)</f>
        <v>#REF!</v>
      </c>
      <c r="H1876" s="2" t="e">
        <f>_xlfn.NEGBINOM.DIST(#REF!,H1876:I1876,#REF!,#REF!)</f>
        <v>#REF!</v>
      </c>
      <c r="J1876" s="2" t="e">
        <f>_xlfn.NEGBINOM.DIST(#REF!,INDIRECT(J1876:K1876),#REF!,#REF!)</f>
        <v>#REF!</v>
      </c>
      <c r="L1876" s="2">
        <f>TYPE(INDEX(,_xlfn.NEGBINOM.DIST(#REF!,OFFSET(INDEX(1,),,),#REF!,#REF!)))</f>
        <v>64</v>
      </c>
    </row>
    <row r="1877" spans="1:12" x14ac:dyDescent="0.55000000000000004">
      <c r="A1877" s="1" t="s">
        <v>2123</v>
      </c>
      <c r="B1877" s="2">
        <f>COUNTIF(A:A,A1877)-1</f>
        <v>4</v>
      </c>
      <c r="C1877" s="2">
        <f>COUNTIF(A$1:A1877,A1877)-1</f>
        <v>3</v>
      </c>
      <c r="D1877" s="2" t="str">
        <f t="shared" si="30"/>
        <v>v</v>
      </c>
      <c r="E1877" s="2"/>
      <c r="F1877" s="2" t="e">
        <f>_xlfn.NEGBINOM.DIST(#REF!,#REF!,+F1877:G1877,#REF!)</f>
        <v>#REF!</v>
      </c>
      <c r="H1877" s="2" t="e">
        <f>_xlfn.NEGBINOM.DIST(#REF!,#REF!,H1877:I1877,#REF!)</f>
        <v>#REF!</v>
      </c>
      <c r="J1877" s="2" t="e">
        <f>_xlfn.NEGBINOM.DIST(#REF!,#REF!,INDIRECT(J1877:K1877),#REF!)</f>
        <v>#REF!</v>
      </c>
      <c r="L1877" s="2">
        <f>TYPE(INDEX(,_xlfn.NEGBINOM.DIST(#REF!,#REF!,OFFSET(INDEX(1,),,),#REF!)))</f>
        <v>64</v>
      </c>
    </row>
    <row r="1878" spans="1:12" x14ac:dyDescent="0.55000000000000004">
      <c r="A1878" s="1" t="s">
        <v>2123</v>
      </c>
      <c r="B1878" s="2">
        <f>COUNTIF(A:A,A1878)-1</f>
        <v>4</v>
      </c>
      <c r="C1878" s="2">
        <f>COUNTIF(A$1:A1878,A1878)-1</f>
        <v>4</v>
      </c>
      <c r="D1878" s="2" t="str">
        <f t="shared" si="30"/>
        <v>v</v>
      </c>
      <c r="E1878" s="2" t="e">
        <f>_xlfn.NEGBINOM.DIST(#REF!,#REF!,#REF!,#REF!)</f>
        <v>#REF!</v>
      </c>
      <c r="F1878" s="2" t="e">
        <f>_xlfn.NEGBINOM.DIST(#REF!,#REF!,#REF!,+F1878:G1878)</f>
        <v>#REF!</v>
      </c>
      <c r="H1878" s="2" t="e">
        <f>_xlfn.NEGBINOM.DIST(#REF!,#REF!,#REF!,H1878:I1878)</f>
        <v>#REF!</v>
      </c>
      <c r="J1878" s="2" t="e">
        <f>_xlfn.NEGBINOM.DIST(#REF!,#REF!,#REF!,INDIRECT(J1878:K1878))</f>
        <v>#REF!</v>
      </c>
      <c r="L1878" s="2">
        <f>TYPE(INDEX(,_xlfn.NEGBINOM.DIST(#REF!,#REF!,#REF!,OFFSET(INDEX(1,),,))))</f>
        <v>64</v>
      </c>
    </row>
    <row r="1879" spans="1:12" x14ac:dyDescent="0.55000000000000004">
      <c r="A1879" s="1" t="s">
        <v>2124</v>
      </c>
      <c r="B1879" s="2">
        <f>COUNTIF(A:A,A1879)-1</f>
        <v>2</v>
      </c>
      <c r="C1879" s="2">
        <f>COUNTIF(A$1:A1879,A1879)-1</f>
        <v>0</v>
      </c>
      <c r="D1879" s="2" t="str">
        <f t="shared" si="30"/>
        <v/>
      </c>
      <c r="E1879" s="2"/>
      <c r="F1879" s="2"/>
      <c r="H1879" s="2"/>
      <c r="J1879" s="2"/>
      <c r="L1879" s="2"/>
    </row>
    <row r="1880" spans="1:12" x14ac:dyDescent="0.55000000000000004">
      <c r="A1880" s="1" t="s">
        <v>2124</v>
      </c>
      <c r="B1880" s="2">
        <f>COUNTIF(A:A,A1880)-1</f>
        <v>2</v>
      </c>
      <c r="C1880" s="2">
        <f>COUNTIF(A$1:A1880,A1880)-1</f>
        <v>1</v>
      </c>
      <c r="D1880" s="2" t="str">
        <f t="shared" si="30"/>
        <v>v</v>
      </c>
      <c r="E1880" s="2"/>
      <c r="F1880" s="2" t="e">
        <f>_xlfn.NORM.S.DIST(+F1880:G1880,#REF!)</f>
        <v>#REF!</v>
      </c>
      <c r="H1880" s="2" t="e">
        <f>_xlfn.NORM.S.DIST(H1880:I1880,#REF!)</f>
        <v>#REF!</v>
      </c>
      <c r="J1880" s="2" t="e">
        <f>_xlfn.NORM.S.DIST(INDIRECT(J1880:K1880),#REF!)</f>
        <v>#REF!</v>
      </c>
      <c r="L1880" s="2">
        <f>TYPE(INDEX(,_xlfn.NORM.S.DIST(OFFSET(INDEX(1,),,),#REF!)))</f>
        <v>64</v>
      </c>
    </row>
    <row r="1881" spans="1:12" x14ac:dyDescent="0.55000000000000004">
      <c r="A1881" s="1" t="s">
        <v>2124</v>
      </c>
      <c r="B1881" s="2">
        <f>COUNTIF(A:A,A1881)-1</f>
        <v>2</v>
      </c>
      <c r="C1881" s="2">
        <f>COUNTIF(A$1:A1881,A1881)-1</f>
        <v>2</v>
      </c>
      <c r="D1881" s="2" t="str">
        <f t="shared" si="30"/>
        <v>v</v>
      </c>
      <c r="E1881" s="2" t="e">
        <f>_xlfn.NORM.S.DIST(#REF!,#REF!)</f>
        <v>#REF!</v>
      </c>
      <c r="F1881" s="2" t="e">
        <f>_xlfn.NORM.S.DIST(#REF!,+F1881:G1881)</f>
        <v>#REF!</v>
      </c>
      <c r="H1881" s="2" t="e">
        <f>_xlfn.NORM.S.DIST(#REF!,H1881:I1881)</f>
        <v>#REF!</v>
      </c>
      <c r="J1881" s="2" t="e">
        <f>_xlfn.NORM.S.DIST(#REF!,INDIRECT(J1881:K1881))</f>
        <v>#REF!</v>
      </c>
      <c r="L1881" s="2">
        <f>TYPE(INDEX(,_xlfn.NORM.S.DIST(#REF!,OFFSET(INDEX(1,),,))))</f>
        <v>64</v>
      </c>
    </row>
    <row r="1882" spans="1:12" x14ac:dyDescent="0.55000000000000004">
      <c r="A1882" s="1" t="s">
        <v>2125</v>
      </c>
      <c r="B1882" s="2">
        <f>COUNTIF(A:A,A1882)-1</f>
        <v>1</v>
      </c>
      <c r="C1882" s="2">
        <f>COUNTIF(A$1:A1882,A1882)-1</f>
        <v>0</v>
      </c>
      <c r="D1882" s="2" t="str">
        <f t="shared" si="30"/>
        <v/>
      </c>
      <c r="E1882" s="2"/>
      <c r="F1882" s="2"/>
      <c r="H1882" s="2"/>
      <c r="J1882" s="2"/>
      <c r="L1882" s="2"/>
    </row>
    <row r="1883" spans="1:12" x14ac:dyDescent="0.55000000000000004">
      <c r="A1883" s="1" t="s">
        <v>2125</v>
      </c>
      <c r="B1883" s="2">
        <f>COUNTIF(A:A,A1883)-1</f>
        <v>1</v>
      </c>
      <c r="C1883" s="2">
        <f>COUNTIF(A$1:A1883,A1883)-1</f>
        <v>1</v>
      </c>
      <c r="D1883" s="2" t="str">
        <f t="shared" si="30"/>
        <v>v</v>
      </c>
      <c r="E1883" s="2" t="e">
        <f>_xlfn.NORM.S.INV(#REF!)</f>
        <v>#REF!</v>
      </c>
      <c r="F1883" s="2" t="e">
        <f>_xlfn.NORM.S.INV(+F1883:G1883)</f>
        <v>#NUM!</v>
      </c>
      <c r="H1883" s="2" t="e">
        <f>_xlfn.NORM.S.INV(H1883:I1883)</f>
        <v>#NUM!</v>
      </c>
      <c r="J1883" s="2" t="e">
        <f>_xlfn.NORM.S.INV(INDIRECT(J1883:K1883))</f>
        <v>#REF!</v>
      </c>
      <c r="L1883" s="2">
        <f>TYPE(INDEX(,_xlfn.NORM.S.INV(OFFSET(INDEX(1,),,))))</f>
        <v>64</v>
      </c>
    </row>
    <row r="1884" spans="1:12" x14ac:dyDescent="0.55000000000000004">
      <c r="A1884" s="1" t="s">
        <v>2126</v>
      </c>
      <c r="B1884" s="2">
        <f>COUNTIF(A:A,A1884)-1</f>
        <v>4</v>
      </c>
      <c r="C1884" s="2">
        <f>COUNTIF(A$1:A1884,A1884)-1</f>
        <v>0</v>
      </c>
      <c r="D1884" s="2" t="str">
        <f t="shared" si="30"/>
        <v/>
      </c>
      <c r="E1884" s="2"/>
      <c r="F1884" s="2"/>
      <c r="H1884" s="2"/>
      <c r="J1884" s="2"/>
      <c r="L1884" s="2"/>
    </row>
    <row r="1885" spans="1:12" x14ac:dyDescent="0.55000000000000004">
      <c r="A1885" s="1" t="s">
        <v>2126</v>
      </c>
      <c r="B1885" s="2">
        <f>COUNTIF(A:A,A1885)-1</f>
        <v>4</v>
      </c>
      <c r="C1885" s="2">
        <f>COUNTIF(A$1:A1885,A1885)-1</f>
        <v>1</v>
      </c>
      <c r="D1885" s="2" t="str">
        <f t="shared" si="30"/>
        <v>a</v>
      </c>
      <c r="E1885" s="2"/>
      <c r="F1885" s="2" t="e">
        <f>_xlfn.T.TEST(+F1885:G1885,#REF!,#REF!,#REF!)</f>
        <v>#REF!</v>
      </c>
      <c r="G1885" s="1">
        <v>1</v>
      </c>
      <c r="H1885" s="2" t="e">
        <f>_xlfn.T.TEST(H1885:I1885,#REF!,#REF!,#REF!)</f>
        <v>#REF!</v>
      </c>
      <c r="I1885" s="1">
        <v>1</v>
      </c>
      <c r="J1885" s="2" t="e">
        <f>_xlfn.T.TEST(INDIRECT(J1885:K1885),#REF!,#REF!,#REF!)</f>
        <v>#REF!</v>
      </c>
      <c r="K1885" s="1">
        <v>1</v>
      </c>
      <c r="L1885" s="2">
        <f>TYPE(INDEX(,_xlfn.T.TEST(OFFSET(INDEX(1,),,),#REF!,#REF!,#REF!)))</f>
        <v>16</v>
      </c>
    </row>
    <row r="1886" spans="1:12" x14ac:dyDescent="0.55000000000000004">
      <c r="A1886" s="1" t="s">
        <v>2126</v>
      </c>
      <c r="B1886" s="2">
        <f>COUNTIF(A:A,A1886)-1</f>
        <v>4</v>
      </c>
      <c r="C1886" s="2">
        <f>COUNTIF(A$1:A1886,A1886)-1</f>
        <v>2</v>
      </c>
      <c r="D1886" s="2" t="str">
        <f t="shared" si="30"/>
        <v>a</v>
      </c>
      <c r="E1886" s="2"/>
      <c r="F1886" s="2" t="e">
        <f>_xlfn.T.TEST(#REF!,+F1886:G1886,#REF!,#REF!)</f>
        <v>#REF!</v>
      </c>
      <c r="G1886" s="1">
        <v>1</v>
      </c>
      <c r="H1886" s="2" t="e">
        <f>_xlfn.T.TEST(#REF!,H1886:I1886,#REF!,#REF!)</f>
        <v>#REF!</v>
      </c>
      <c r="I1886" s="1">
        <v>1</v>
      </c>
      <c r="J1886" s="2" t="e">
        <f>_xlfn.T.TEST(#REF!,INDIRECT(J1886:K1886),#REF!,#REF!)</f>
        <v>#REF!</v>
      </c>
      <c r="K1886" s="1">
        <v>1</v>
      </c>
      <c r="L1886" s="2">
        <f>TYPE(INDEX(,_xlfn.T.TEST(#REF!,OFFSET(INDEX(1,),,),#REF!,#REF!)))</f>
        <v>16</v>
      </c>
    </row>
    <row r="1887" spans="1:12" x14ac:dyDescent="0.55000000000000004">
      <c r="A1887" s="1" t="s">
        <v>2126</v>
      </c>
      <c r="B1887" s="2">
        <f>COUNTIF(A:A,A1887)-1</f>
        <v>4</v>
      </c>
      <c r="C1887" s="2">
        <f>COUNTIF(A$1:A1887,A1887)-1</f>
        <v>3</v>
      </c>
      <c r="D1887" s="2" t="str">
        <f t="shared" si="30"/>
        <v>v</v>
      </c>
      <c r="E1887" s="2"/>
      <c r="F1887" s="2" t="e">
        <f>_xlfn.T.TEST(#REF!,#REF!,+F1887:G1887,#REF!)</f>
        <v>#REF!</v>
      </c>
      <c r="H1887" s="2" t="e">
        <f>_xlfn.T.TEST(#REF!,#REF!,H1887:I1887,#REF!)</f>
        <v>#REF!</v>
      </c>
      <c r="J1887" s="2" t="e">
        <f>_xlfn.T.TEST(#REF!,#REF!,INDIRECT(J1887:K1887),#REF!)</f>
        <v>#REF!</v>
      </c>
      <c r="L1887" s="2">
        <f>TYPE(INDEX(,_xlfn.T.TEST(#REF!,#REF!,OFFSET(INDEX(1,),,),#REF!)))</f>
        <v>64</v>
      </c>
    </row>
    <row r="1888" spans="1:12" x14ac:dyDescent="0.55000000000000004">
      <c r="A1888" s="1" t="s">
        <v>2126</v>
      </c>
      <c r="B1888" s="2">
        <f>COUNTIF(A:A,A1888)-1</f>
        <v>4</v>
      </c>
      <c r="C1888" s="2">
        <f>COUNTIF(A$1:A1888,A1888)-1</f>
        <v>4</v>
      </c>
      <c r="D1888" s="2" t="str">
        <f t="shared" si="30"/>
        <v>v</v>
      </c>
      <c r="E1888" s="2" t="e">
        <f>_xlfn.T.TEST(#REF!,#REF!,#REF!,#REF!)</f>
        <v>#REF!</v>
      </c>
      <c r="F1888" s="2" t="e">
        <f>_xlfn.T.TEST(#REF!,#REF!,#REF!,+F1888:G1888)</f>
        <v>#REF!</v>
      </c>
      <c r="H1888" s="2" t="e">
        <f>_xlfn.T.TEST(#REF!,#REF!,#REF!,H1888:I1888)</f>
        <v>#REF!</v>
      </c>
      <c r="J1888" s="2" t="e">
        <f>_xlfn.T.TEST(#REF!,#REF!,#REF!,INDIRECT(J1888:K1888))</f>
        <v>#REF!</v>
      </c>
      <c r="L1888" s="2">
        <f>TYPE(INDEX(,_xlfn.T.TEST(#REF!,#REF!,#REF!,OFFSET(INDEX(1,),,))))</f>
        <v>64</v>
      </c>
    </row>
    <row r="1889" spans="1:12" x14ac:dyDescent="0.55000000000000004">
      <c r="A1889" s="1" t="s">
        <v>2127</v>
      </c>
      <c r="B1889" s="2">
        <f>COUNTIF(A:A,A1889)-1</f>
        <v>3</v>
      </c>
      <c r="C1889" s="2">
        <f>COUNTIF(A$1:A1889,A1889)-1</f>
        <v>0</v>
      </c>
      <c r="D1889" s="2" t="str">
        <f t="shared" si="30"/>
        <v/>
      </c>
      <c r="E1889" s="2"/>
      <c r="F1889" s="2"/>
      <c r="H1889" s="2"/>
      <c r="J1889" s="2"/>
      <c r="L1889" s="2"/>
    </row>
    <row r="1890" spans="1:12" x14ac:dyDescent="0.55000000000000004">
      <c r="A1890" s="1" t="s">
        <v>2127</v>
      </c>
      <c r="B1890" s="2">
        <f>COUNTIF(A:A,A1890)-1</f>
        <v>3</v>
      </c>
      <c r="C1890" s="2">
        <f>COUNTIF(A$1:A1890,A1890)-1</f>
        <v>1</v>
      </c>
      <c r="D1890" s="2" t="str">
        <f t="shared" si="30"/>
        <v>var</v>
      </c>
      <c r="E1890" s="2"/>
      <c r="F1890" s="2" t="e">
        <f>_xlfn.Z.TEST(+F1890:G1890,#REF!,#REF!)</f>
        <v>#REF!</v>
      </c>
      <c r="H1890" s="2" t="e">
        <f>_xlfn.Z.TEST(H1890:I1890,#REF!,#REF!)</f>
        <v>#REF!</v>
      </c>
      <c r="I1890" s="1">
        <v>1</v>
      </c>
      <c r="J1890" s="2" t="e">
        <f>_xlfn.Z.TEST(INDIRECT(J1890:K1890),#REF!,#REF!)</f>
        <v>#REF!</v>
      </c>
      <c r="L1890" s="2">
        <f>TYPE(INDEX(,_xlfn.Z.TEST(OFFSET(INDEX(1,),,),#REF!,#REF!)))</f>
        <v>16</v>
      </c>
    </row>
    <row r="1891" spans="1:12" x14ac:dyDescent="0.55000000000000004">
      <c r="A1891" s="1" t="s">
        <v>2127</v>
      </c>
      <c r="B1891" s="2">
        <f>COUNTIF(A:A,A1891)-1</f>
        <v>3</v>
      </c>
      <c r="C1891" s="2">
        <f>COUNTIF(A$1:A1891,A1891)-1</f>
        <v>2</v>
      </c>
      <c r="D1891" s="2" t="str">
        <f t="shared" si="30"/>
        <v>v</v>
      </c>
      <c r="E1891" s="2" t="e">
        <f>_xlfn.Z.TEST(#REF!,#REF!)</f>
        <v>#REF!</v>
      </c>
      <c r="F1891" s="2" t="e">
        <f>_xlfn.Z.TEST(#REF!,+F1891:G1891,#REF!)</f>
        <v>#REF!</v>
      </c>
      <c r="H1891" s="2" t="e">
        <f>_xlfn.Z.TEST(#REF!,H1891:I1891,#REF!)</f>
        <v>#REF!</v>
      </c>
      <c r="J1891" s="2" t="e">
        <f>_xlfn.Z.TEST(#REF!,INDIRECT(J1891:K1891),#REF!)</f>
        <v>#REF!</v>
      </c>
      <c r="L1891" s="2">
        <f>TYPE(INDEX(,_xlfn.Z.TEST(#REF!,OFFSET(INDEX(1,),,),#REF!)))</f>
        <v>64</v>
      </c>
    </row>
    <row r="1892" spans="1:12" x14ac:dyDescent="0.55000000000000004">
      <c r="A1892" s="1" t="s">
        <v>2127</v>
      </c>
      <c r="B1892" s="2">
        <f>COUNTIF(A:A,A1892)-1</f>
        <v>3</v>
      </c>
      <c r="C1892" s="2">
        <f>COUNTIF(A$1:A1892,A1892)-1</f>
        <v>3</v>
      </c>
      <c r="D1892" s="2" t="str">
        <f t="shared" si="30"/>
        <v>v</v>
      </c>
      <c r="E1892" s="2" t="e">
        <f>_xlfn.Z.TEST(#REF!,#REF!,#REF!)</f>
        <v>#REF!</v>
      </c>
      <c r="F1892" s="2" t="e">
        <f>_xlfn.Z.TEST(#REF!,#REF!,+F1892:G1892)</f>
        <v>#REF!</v>
      </c>
      <c r="H1892" s="2" t="e">
        <f>_xlfn.Z.TEST(#REF!,#REF!,H1892:I1892)</f>
        <v>#REF!</v>
      </c>
      <c r="J1892" s="2" t="e">
        <f>_xlfn.Z.TEST(#REF!,#REF!,INDIRECT(J1892:K1892))</f>
        <v>#REF!</v>
      </c>
      <c r="L1892" s="2">
        <f>TYPE(INDEX(,_xlfn.Z.TEST(#REF!,#REF!,OFFSET(INDEX(1,),,))))</f>
        <v>64</v>
      </c>
    </row>
    <row r="1893" spans="1:12" x14ac:dyDescent="0.55000000000000004">
      <c r="A1893" s="1" t="s">
        <v>2128</v>
      </c>
      <c r="B1893" s="2">
        <f>COUNTIF(A:A,A1893)-1</f>
        <v>1</v>
      </c>
      <c r="C1893" s="2">
        <f>COUNTIF(A$1:A1893,A1893)-1</f>
        <v>0</v>
      </c>
      <c r="D1893" s="2" t="str">
        <f t="shared" si="30"/>
        <v/>
      </c>
      <c r="E1893" s="2"/>
      <c r="F1893" s="2"/>
      <c r="H1893" s="2"/>
      <c r="J1893" s="2"/>
      <c r="L1893" s="2"/>
    </row>
    <row r="1894" spans="1:12" x14ac:dyDescent="0.55000000000000004">
      <c r="A1894" s="1" t="s">
        <v>2128</v>
      </c>
      <c r="B1894" s="2">
        <f>COUNTIF(A:A,A1894)-1</f>
        <v>1</v>
      </c>
      <c r="C1894" s="2">
        <f>COUNTIF(A$1:A1894,A1894)-1</f>
        <v>1</v>
      </c>
      <c r="D1894" s="2" t="str">
        <f t="shared" si="30"/>
        <v>vr</v>
      </c>
      <c r="E1894" s="2" t="e">
        <f>_xlfn.ERF.PRECISE(#REF!)</f>
        <v>#REF!</v>
      </c>
      <c r="F1894" s="2">
        <f>_xlfn.ERF.PRECISE(+F1894:G1894)</f>
        <v>0</v>
      </c>
      <c r="H1894" s="2" t="e">
        <f>_xlfn.ERF.PRECISE(H1894:I1894)</f>
        <v>#VALUE!</v>
      </c>
      <c r="I1894" s="1">
        <v>1</v>
      </c>
      <c r="J1894" s="2" t="e">
        <f>_xlfn.ERF.PRECISE(INDIRECT(J1894:K1894))</f>
        <v>#REF!</v>
      </c>
      <c r="L1894" s="2">
        <f>TYPE(INDEX(,_xlfn.ERF.PRECISE(OFFSET(INDEX(1,),,))))</f>
        <v>64</v>
      </c>
    </row>
    <row r="1895" spans="1:12" x14ac:dyDescent="0.55000000000000004">
      <c r="A1895" s="1" t="s">
        <v>2129</v>
      </c>
      <c r="B1895" s="2">
        <f>COUNTIF(A:A,A1895)-1</f>
        <v>1</v>
      </c>
      <c r="C1895" s="2">
        <f>COUNTIF(A$1:A1895,A1895)-1</f>
        <v>0</v>
      </c>
      <c r="D1895" s="2" t="str">
        <f t="shared" si="30"/>
        <v/>
      </c>
      <c r="E1895" s="2"/>
      <c r="F1895" s="2"/>
      <c r="H1895" s="2"/>
      <c r="J1895" s="2"/>
      <c r="L1895" s="2"/>
    </row>
    <row r="1896" spans="1:12" x14ac:dyDescent="0.55000000000000004">
      <c r="A1896" s="1" t="s">
        <v>2129</v>
      </c>
      <c r="B1896" s="2">
        <f>COUNTIF(A:A,A1896)-1</f>
        <v>1</v>
      </c>
      <c r="C1896" s="2">
        <f>COUNTIF(A$1:A1896,A1896)-1</f>
        <v>1</v>
      </c>
      <c r="D1896" s="2" t="str">
        <f t="shared" si="30"/>
        <v>vr</v>
      </c>
      <c r="E1896" s="2" t="e">
        <f>_xlfn.ERFC.PRECISE(#REF!)</f>
        <v>#REF!</v>
      </c>
      <c r="F1896" s="2">
        <f>_xlfn.ERFC.PRECISE(+F1896:G1896)</f>
        <v>1</v>
      </c>
      <c r="H1896" s="2" t="e">
        <f>_xlfn.ERFC.PRECISE(H1896:I1896)</f>
        <v>#VALUE!</v>
      </c>
      <c r="I1896" s="1">
        <v>1</v>
      </c>
      <c r="J1896" s="2" t="e">
        <f>_xlfn.ERFC.PRECISE(INDIRECT(J1896:K1896))</f>
        <v>#REF!</v>
      </c>
      <c r="L1896" s="2">
        <f>TYPE(INDEX(,_xlfn.ERFC.PRECISE(OFFSET(INDEX(1,),,))))</f>
        <v>64</v>
      </c>
    </row>
    <row r="1897" spans="1:12" x14ac:dyDescent="0.55000000000000004">
      <c r="A1897" s="1" t="s">
        <v>2130</v>
      </c>
      <c r="B1897" s="2">
        <f>COUNTIF(A:A,A1897)-1</f>
        <v>1</v>
      </c>
      <c r="C1897" s="2">
        <f>COUNTIF(A$1:A1897,A1897)-1</f>
        <v>0</v>
      </c>
      <c r="D1897" s="2" t="str">
        <f t="shared" si="30"/>
        <v/>
      </c>
      <c r="E1897" s="2"/>
      <c r="F1897" s="2"/>
      <c r="H1897" s="2"/>
      <c r="J1897" s="2"/>
      <c r="L1897" s="2"/>
    </row>
    <row r="1898" spans="1:12" x14ac:dyDescent="0.55000000000000004">
      <c r="A1898" s="1" t="s">
        <v>2130</v>
      </c>
      <c r="B1898" s="2">
        <f>COUNTIF(A:A,A1898)-1</f>
        <v>1</v>
      </c>
      <c r="C1898" s="2">
        <f>COUNTIF(A$1:A1898,A1898)-1</f>
        <v>1</v>
      </c>
      <c r="D1898" s="2" t="str">
        <f t="shared" si="30"/>
        <v>v</v>
      </c>
      <c r="E1898" s="2" t="e">
        <f>_xlfn.GAMMALN.PRECISE(#REF!)</f>
        <v>#REF!</v>
      </c>
      <c r="F1898" s="2" t="e">
        <f>_xlfn.GAMMALN.PRECISE(+F1898:G1898)</f>
        <v>#NUM!</v>
      </c>
      <c r="H1898" s="2" t="e">
        <f>_xlfn.GAMMALN.PRECISE(H1898:I1898)</f>
        <v>#NUM!</v>
      </c>
      <c r="J1898" s="2" t="e">
        <f>_xlfn.GAMMALN.PRECISE(INDIRECT(J1898:K1898))</f>
        <v>#REF!</v>
      </c>
      <c r="L1898" s="2">
        <f>TYPE(INDEX(,_xlfn.GAMMALN.PRECISE(OFFSET(INDEX(1,),,))))</f>
        <v>64</v>
      </c>
    </row>
    <row r="1899" spans="1:12" x14ac:dyDescent="0.55000000000000004">
      <c r="A1899" s="1" t="s">
        <v>2131</v>
      </c>
      <c r="B1899" s="2">
        <f>COUNTIF(A:A,A1899)-1</f>
        <v>2</v>
      </c>
      <c r="C1899" s="2">
        <f>COUNTIF(A$1:A1899,A1899)-1</f>
        <v>0</v>
      </c>
      <c r="D1899" s="2" t="str">
        <f t="shared" si="30"/>
        <v/>
      </c>
      <c r="E1899" s="2"/>
      <c r="F1899" s="2"/>
      <c r="H1899" s="2"/>
      <c r="J1899" s="2"/>
      <c r="L1899" s="2"/>
    </row>
    <row r="1900" spans="1:12" x14ac:dyDescent="0.55000000000000004">
      <c r="A1900" s="1" t="s">
        <v>2131</v>
      </c>
      <c r="B1900" s="2">
        <f>COUNTIF(A:A,A1900)-1</f>
        <v>2</v>
      </c>
      <c r="C1900" s="2">
        <f>COUNTIF(A$1:A1900,A1900)-1</f>
        <v>1</v>
      </c>
      <c r="D1900" s="2" t="str">
        <f t="shared" si="30"/>
        <v>v</v>
      </c>
      <c r="E1900" s="2" t="e">
        <f>_xlfn.CEILING.PRECISE(#REF!)</f>
        <v>#REF!</v>
      </c>
      <c r="F1900" s="2" t="e">
        <f>_xlfn.CEILING.PRECISE(+F1900:G1900,#REF!)</f>
        <v>#REF!</v>
      </c>
      <c r="H1900" s="2" t="e">
        <f>_xlfn.CEILING.PRECISE(H1900:I1900,#REF!)</f>
        <v>#REF!</v>
      </c>
      <c r="J1900" s="2" t="e">
        <f>_xlfn.CEILING.PRECISE(INDIRECT(J1900:K1900),#REF!)</f>
        <v>#REF!</v>
      </c>
      <c r="L1900" s="2">
        <f>TYPE(INDEX(,_xlfn.CEILING.PRECISE(OFFSET(INDEX(1,),,),#REF!)))</f>
        <v>64</v>
      </c>
    </row>
    <row r="1901" spans="1:12" x14ac:dyDescent="0.55000000000000004">
      <c r="A1901" s="1" t="s">
        <v>2131</v>
      </c>
      <c r="B1901" s="2">
        <f>COUNTIF(A:A,A1901)-1</f>
        <v>2</v>
      </c>
      <c r="C1901" s="2">
        <f>COUNTIF(A$1:A1901,A1901)-1</f>
        <v>2</v>
      </c>
      <c r="D1901" s="2" t="str">
        <f t="shared" si="30"/>
        <v>v</v>
      </c>
      <c r="E1901" s="2" t="e">
        <f>_xlfn.CEILING.PRECISE(#REF!,#REF!)</f>
        <v>#REF!</v>
      </c>
      <c r="F1901" s="2" t="e">
        <f>_xlfn.CEILING.PRECISE(#REF!,+F1901:G1901)</f>
        <v>#REF!</v>
      </c>
      <c r="H1901" s="2" t="e">
        <f>_xlfn.CEILING.PRECISE(#REF!,H1901:I1901)</f>
        <v>#REF!</v>
      </c>
      <c r="J1901" s="2" t="e">
        <f>_xlfn.CEILING.PRECISE(#REF!,INDIRECT(J1901:K1901))</f>
        <v>#REF!</v>
      </c>
      <c r="L1901" s="2">
        <f>TYPE(INDEX(,_xlfn.CEILING.PRECISE(#REF!,OFFSET(INDEX(1,),,))))</f>
        <v>64</v>
      </c>
    </row>
    <row r="1902" spans="1:12" x14ac:dyDescent="0.55000000000000004">
      <c r="A1902" s="1" t="s">
        <v>2132</v>
      </c>
      <c r="B1902" s="2">
        <f>COUNTIF(A:A,A1902)-1</f>
        <v>2</v>
      </c>
      <c r="C1902" s="2">
        <f>COUNTIF(A$1:A1902,A1902)-1</f>
        <v>0</v>
      </c>
      <c r="D1902" s="2" t="str">
        <f t="shared" si="30"/>
        <v/>
      </c>
      <c r="E1902" s="2"/>
      <c r="F1902" s="2"/>
      <c r="H1902" s="2"/>
      <c r="J1902" s="2"/>
      <c r="L1902" s="2"/>
    </row>
    <row r="1903" spans="1:12" x14ac:dyDescent="0.55000000000000004">
      <c r="A1903" s="1" t="s">
        <v>2132</v>
      </c>
      <c r="B1903" s="2">
        <f>COUNTIF(A:A,A1903)-1</f>
        <v>2</v>
      </c>
      <c r="C1903" s="2">
        <f>COUNTIF(A$1:A1903,A1903)-1</f>
        <v>1</v>
      </c>
      <c r="D1903" s="2" t="str">
        <f t="shared" si="30"/>
        <v>v</v>
      </c>
      <c r="E1903" s="2" t="e">
        <f>_xlfn.FLOOR.PRECISE(#REF!)</f>
        <v>#REF!</v>
      </c>
      <c r="F1903" s="2" t="e">
        <f>_xlfn.FLOOR.PRECISE(+F1903:G1903,#REF!)</f>
        <v>#REF!</v>
      </c>
      <c r="H1903" s="2" t="e">
        <f>_xlfn.FLOOR.PRECISE(H1903:I1903,#REF!)</f>
        <v>#REF!</v>
      </c>
      <c r="J1903" s="2" t="e">
        <f>_xlfn.FLOOR.PRECISE(INDIRECT(J1903:K1903),#REF!)</f>
        <v>#REF!</v>
      </c>
      <c r="L1903" s="2">
        <f>TYPE(INDEX(,_xlfn.FLOOR.PRECISE(OFFSET(INDEX(1,),,),#REF!)))</f>
        <v>64</v>
      </c>
    </row>
    <row r="1904" spans="1:12" x14ac:dyDescent="0.55000000000000004">
      <c r="A1904" s="1" t="s">
        <v>2132</v>
      </c>
      <c r="B1904" s="2">
        <f>COUNTIF(A:A,A1904)-1</f>
        <v>2</v>
      </c>
      <c r="C1904" s="2">
        <f>COUNTIF(A$1:A1904,A1904)-1</f>
        <v>2</v>
      </c>
      <c r="D1904" s="2" t="str">
        <f t="shared" si="30"/>
        <v>v</v>
      </c>
      <c r="E1904" s="2" t="e">
        <f>_xlfn.FLOOR.PRECISE(#REF!,#REF!)</f>
        <v>#REF!</v>
      </c>
      <c r="F1904" s="2" t="e">
        <f>_xlfn.FLOOR.PRECISE(#REF!,+F1904:G1904)</f>
        <v>#REF!</v>
      </c>
      <c r="H1904" s="2" t="e">
        <f>_xlfn.FLOOR.PRECISE(#REF!,H1904:I1904)</f>
        <v>#REF!</v>
      </c>
      <c r="J1904" s="2" t="e">
        <f>_xlfn.FLOOR.PRECISE(#REF!,INDIRECT(J1904:K1904))</f>
        <v>#REF!</v>
      </c>
      <c r="L1904" s="2">
        <f>TYPE(INDEX(,_xlfn.FLOOR.PRECISE(#REF!,OFFSET(INDEX(1,),,))))</f>
        <v>64</v>
      </c>
    </row>
    <row r="1905" spans="1:12" x14ac:dyDescent="0.55000000000000004">
      <c r="A1905" s="1" t="s">
        <v>2133</v>
      </c>
      <c r="B1905" s="2">
        <f>COUNTIF(A:A,A1905)-1</f>
        <v>1</v>
      </c>
      <c r="C1905" s="2">
        <f>COUNTIF(A$1:A1905,A1905)-1</f>
        <v>0</v>
      </c>
      <c r="D1905" s="2" t="str">
        <f t="shared" si="30"/>
        <v/>
      </c>
      <c r="E1905" s="2"/>
      <c r="F1905" s="2"/>
      <c r="H1905" s="2"/>
      <c r="J1905" s="2"/>
      <c r="L1905" s="2"/>
    </row>
    <row r="1906" spans="1:12" x14ac:dyDescent="0.55000000000000004">
      <c r="A1906" s="1" t="s">
        <v>2133</v>
      </c>
      <c r="B1906" s="2">
        <f>COUNTIF(A:A,A1906)-1</f>
        <v>1</v>
      </c>
      <c r="C1906" s="2">
        <f>COUNTIF(A$1:A1906,A1906)-1</f>
        <v>1</v>
      </c>
      <c r="D1906" s="2" t="str">
        <f t="shared" si="30"/>
        <v>v</v>
      </c>
      <c r="E1906" s="2" t="e">
        <f>_xlfn.ACOT(#REF!)</f>
        <v>#REF!</v>
      </c>
      <c r="F1906" s="2">
        <f>_xlfn.ACOT(+F1906:G1906)</f>
        <v>1.5707963267948966</v>
      </c>
      <c r="H1906" s="2">
        <f>_xlfn.ACOT(H1906:I1906)</f>
        <v>1.5707963267948966</v>
      </c>
      <c r="J1906" s="2" t="e">
        <f>_xlfn.ACOT(INDIRECT(J1906:K1906))</f>
        <v>#REF!</v>
      </c>
      <c r="L1906" s="2">
        <f>TYPE(INDEX(,_xlfn.ACOT(OFFSET(INDEX(1,),,))))</f>
        <v>64</v>
      </c>
    </row>
    <row r="1907" spans="1:12" x14ac:dyDescent="0.55000000000000004">
      <c r="A1907" s="1" t="s">
        <v>2134</v>
      </c>
      <c r="B1907" s="2">
        <f>COUNTIF(A:A,A1907)-1</f>
        <v>1</v>
      </c>
      <c r="C1907" s="2">
        <f>COUNTIF(A$1:A1907,A1907)-1</f>
        <v>0</v>
      </c>
      <c r="D1907" s="2" t="str">
        <f t="shared" si="30"/>
        <v/>
      </c>
      <c r="E1907" s="2"/>
      <c r="F1907" s="2"/>
      <c r="H1907" s="2"/>
      <c r="J1907" s="2"/>
      <c r="L1907" s="2"/>
    </row>
    <row r="1908" spans="1:12" x14ac:dyDescent="0.55000000000000004">
      <c r="A1908" s="1" t="s">
        <v>2134</v>
      </c>
      <c r="B1908" s="2">
        <f>COUNTIF(A:A,A1908)-1</f>
        <v>1</v>
      </c>
      <c r="C1908" s="2">
        <f>COUNTIF(A$1:A1908,A1908)-1</f>
        <v>1</v>
      </c>
      <c r="D1908" s="2" t="str">
        <f t="shared" si="30"/>
        <v>v</v>
      </c>
      <c r="E1908" s="2" t="e">
        <f>_xlfn.ACOTH(#REF!)</f>
        <v>#REF!</v>
      </c>
      <c r="F1908" s="2" t="e">
        <f>_xlfn.ACOTH(+F1908:G1908)</f>
        <v>#NUM!</v>
      </c>
      <c r="H1908" s="2" t="e">
        <f>_xlfn.ACOTH(H1908:I1908)</f>
        <v>#NUM!</v>
      </c>
      <c r="J1908" s="2" t="e">
        <f>_xlfn.ACOTH(INDIRECT(J1908:K1908))</f>
        <v>#REF!</v>
      </c>
      <c r="L1908" s="2">
        <f>TYPE(INDEX(,_xlfn.ACOTH(OFFSET(INDEX(1,),,))))</f>
        <v>64</v>
      </c>
    </row>
    <row r="1909" spans="1:12" x14ac:dyDescent="0.55000000000000004">
      <c r="A1909" s="1" t="s">
        <v>2135</v>
      </c>
      <c r="B1909" s="2">
        <f>COUNTIF(A:A,A1909)-1</f>
        <v>1</v>
      </c>
      <c r="C1909" s="2">
        <f>COUNTIF(A$1:A1909,A1909)-1</f>
        <v>0</v>
      </c>
      <c r="D1909" s="2" t="str">
        <f t="shared" si="30"/>
        <v/>
      </c>
      <c r="E1909" s="2"/>
      <c r="F1909" s="2"/>
      <c r="H1909" s="2"/>
      <c r="J1909" s="2"/>
      <c r="L1909" s="2"/>
    </row>
    <row r="1910" spans="1:12" x14ac:dyDescent="0.55000000000000004">
      <c r="A1910" s="1" t="s">
        <v>2135</v>
      </c>
      <c r="B1910" s="2">
        <f>COUNTIF(A:A,A1910)-1</f>
        <v>1</v>
      </c>
      <c r="C1910" s="2">
        <f>COUNTIF(A$1:A1910,A1910)-1</f>
        <v>1</v>
      </c>
      <c r="D1910" s="2" t="str">
        <f t="shared" si="30"/>
        <v>v</v>
      </c>
      <c r="E1910" s="2" t="e">
        <f>_xlfn.COT(#REF!)</f>
        <v>#REF!</v>
      </c>
      <c r="F1910" s="2" t="e">
        <f>_xlfn.COT(+F1910:G1910)</f>
        <v>#DIV/0!</v>
      </c>
      <c r="H1910" s="2" t="e">
        <f>_xlfn.COT(H1910:I1910)</f>
        <v>#DIV/0!</v>
      </c>
      <c r="J1910" s="2" t="e">
        <f>_xlfn.COT(INDIRECT(J1910:K1910))</f>
        <v>#REF!</v>
      </c>
      <c r="L1910" s="2">
        <f>TYPE(INDEX(,_xlfn.COT(OFFSET(INDEX(1,),,))))</f>
        <v>64</v>
      </c>
    </row>
    <row r="1911" spans="1:12" x14ac:dyDescent="0.55000000000000004">
      <c r="A1911" s="1" t="s">
        <v>2136</v>
      </c>
      <c r="B1911" s="2">
        <f>COUNTIF(A:A,A1911)-1</f>
        <v>1</v>
      </c>
      <c r="C1911" s="2">
        <f>COUNTIF(A$1:A1911,A1911)-1</f>
        <v>0</v>
      </c>
      <c r="D1911" s="2" t="str">
        <f t="shared" si="30"/>
        <v/>
      </c>
      <c r="E1911" s="2"/>
      <c r="F1911" s="2"/>
      <c r="H1911" s="2"/>
      <c r="J1911" s="2"/>
      <c r="L1911" s="2"/>
    </row>
    <row r="1912" spans="1:12" x14ac:dyDescent="0.55000000000000004">
      <c r="A1912" s="1" t="s">
        <v>2136</v>
      </c>
      <c r="B1912" s="2">
        <f>COUNTIF(A:A,A1912)-1</f>
        <v>1</v>
      </c>
      <c r="C1912" s="2">
        <f>COUNTIF(A$1:A1912,A1912)-1</f>
        <v>1</v>
      </c>
      <c r="D1912" s="2" t="str">
        <f t="shared" si="30"/>
        <v>v</v>
      </c>
      <c r="E1912" s="2" t="e">
        <f>_xlfn.COTH(#REF!)</f>
        <v>#REF!</v>
      </c>
      <c r="F1912" s="2" t="e">
        <f>_xlfn.COTH(+F1912:G1912)</f>
        <v>#DIV/0!</v>
      </c>
      <c r="H1912" s="2" t="e">
        <f>_xlfn.COTH(H1912:I1912)</f>
        <v>#DIV/0!</v>
      </c>
      <c r="J1912" s="2" t="e">
        <f>_xlfn.COTH(INDIRECT(J1912:K1912))</f>
        <v>#REF!</v>
      </c>
      <c r="L1912" s="2">
        <f>TYPE(INDEX(,_xlfn.COTH(OFFSET(INDEX(1,),,))))</f>
        <v>64</v>
      </c>
    </row>
    <row r="1913" spans="1:12" x14ac:dyDescent="0.55000000000000004">
      <c r="A1913" s="1" t="s">
        <v>2137</v>
      </c>
      <c r="B1913" s="2">
        <f>COUNTIF(A:A,A1913)-1</f>
        <v>1</v>
      </c>
      <c r="C1913" s="2">
        <f>COUNTIF(A$1:A1913,A1913)-1</f>
        <v>0</v>
      </c>
      <c r="D1913" s="2" t="str">
        <f t="shared" si="30"/>
        <v/>
      </c>
      <c r="E1913" s="2"/>
      <c r="F1913" s="2"/>
      <c r="H1913" s="2"/>
      <c r="J1913" s="2"/>
      <c r="L1913" s="2"/>
    </row>
    <row r="1914" spans="1:12" x14ac:dyDescent="0.55000000000000004">
      <c r="A1914" s="1" t="s">
        <v>2137</v>
      </c>
      <c r="B1914" s="2">
        <f>COUNTIF(A:A,A1914)-1</f>
        <v>1</v>
      </c>
      <c r="C1914" s="2">
        <f>COUNTIF(A$1:A1914,A1914)-1</f>
        <v>1</v>
      </c>
      <c r="D1914" s="2" t="str">
        <f t="shared" si="30"/>
        <v>v</v>
      </c>
      <c r="E1914" s="2" t="e">
        <f>_xlfn.CSC(#REF!)</f>
        <v>#REF!</v>
      </c>
      <c r="F1914" s="2" t="e">
        <f>_xlfn.CSC(+F1914:G1914)</f>
        <v>#DIV/0!</v>
      </c>
      <c r="H1914" s="2" t="e">
        <f>_xlfn.CSC(H1914:I1914)</f>
        <v>#DIV/0!</v>
      </c>
      <c r="J1914" s="2" t="e">
        <f>_xlfn.CSC(INDIRECT(J1914:K1914))</f>
        <v>#REF!</v>
      </c>
      <c r="L1914" s="2">
        <f>TYPE(INDEX(,_xlfn.CSC(OFFSET(INDEX(1,),,))))</f>
        <v>64</v>
      </c>
    </row>
    <row r="1915" spans="1:12" x14ac:dyDescent="0.55000000000000004">
      <c r="A1915" s="1" t="s">
        <v>2138</v>
      </c>
      <c r="B1915" s="2">
        <f>COUNTIF(A:A,A1915)-1</f>
        <v>1</v>
      </c>
      <c r="C1915" s="2">
        <f>COUNTIF(A$1:A1915,A1915)-1</f>
        <v>0</v>
      </c>
      <c r="D1915" s="2" t="str">
        <f t="shared" si="30"/>
        <v/>
      </c>
      <c r="E1915" s="2"/>
      <c r="F1915" s="2"/>
      <c r="H1915" s="2"/>
      <c r="J1915" s="2"/>
      <c r="L1915" s="2"/>
    </row>
    <row r="1916" spans="1:12" x14ac:dyDescent="0.55000000000000004">
      <c r="A1916" s="1" t="s">
        <v>2138</v>
      </c>
      <c r="B1916" s="2">
        <f>COUNTIF(A:A,A1916)-1</f>
        <v>1</v>
      </c>
      <c r="C1916" s="2">
        <f>COUNTIF(A$1:A1916,A1916)-1</f>
        <v>1</v>
      </c>
      <c r="D1916" s="2" t="str">
        <f t="shared" si="30"/>
        <v>v</v>
      </c>
      <c r="E1916" s="2" t="e">
        <f>_xlfn.CSCH(#REF!)</f>
        <v>#REF!</v>
      </c>
      <c r="F1916" s="2" t="e">
        <f>_xlfn.CSCH(+F1916:G1916)</f>
        <v>#DIV/0!</v>
      </c>
      <c r="H1916" s="2" t="e">
        <f>_xlfn.CSCH(H1916:I1916)</f>
        <v>#DIV/0!</v>
      </c>
      <c r="J1916" s="2" t="e">
        <f>_xlfn.CSCH(INDIRECT(J1916:K1916))</f>
        <v>#REF!</v>
      </c>
      <c r="L1916" s="2">
        <f>TYPE(INDEX(,_xlfn.CSCH(OFFSET(INDEX(1,),,))))</f>
        <v>64</v>
      </c>
    </row>
    <row r="1917" spans="1:12" x14ac:dyDescent="0.55000000000000004">
      <c r="A1917" s="1" t="s">
        <v>2139</v>
      </c>
      <c r="B1917" s="2">
        <f>COUNTIF(A:A,A1917)-1</f>
        <v>1</v>
      </c>
      <c r="C1917" s="2">
        <f>COUNTIF(A$1:A1917,A1917)-1</f>
        <v>0</v>
      </c>
      <c r="D1917" s="2" t="str">
        <f t="shared" si="30"/>
        <v/>
      </c>
      <c r="E1917" s="2"/>
      <c r="F1917" s="2"/>
      <c r="H1917" s="2"/>
      <c r="J1917" s="2"/>
      <c r="L1917" s="2"/>
    </row>
    <row r="1918" spans="1:12" x14ac:dyDescent="0.55000000000000004">
      <c r="A1918" s="1" t="s">
        <v>2139</v>
      </c>
      <c r="B1918" s="2">
        <f>COUNTIF(A:A,A1918)-1</f>
        <v>1</v>
      </c>
      <c r="C1918" s="2">
        <f>COUNTIF(A$1:A1918,A1918)-1</f>
        <v>1</v>
      </c>
      <c r="D1918" s="2" t="str">
        <f t="shared" si="30"/>
        <v>v</v>
      </c>
      <c r="E1918" s="2" t="e">
        <f>_xlfn.SEC(#REF!)</f>
        <v>#REF!</v>
      </c>
      <c r="F1918" s="2">
        <f>_xlfn.SEC(+F1918:G1918)</f>
        <v>1</v>
      </c>
      <c r="H1918" s="2">
        <f>_xlfn.SEC(H1918:I1918)</f>
        <v>1</v>
      </c>
      <c r="J1918" s="2" t="e">
        <f>_xlfn.SEC(INDIRECT(J1918:K1918))</f>
        <v>#REF!</v>
      </c>
      <c r="L1918" s="2">
        <f>TYPE(INDEX(,_xlfn.SEC(OFFSET(INDEX(1,),,))))</f>
        <v>64</v>
      </c>
    </row>
    <row r="1919" spans="1:12" x14ac:dyDescent="0.55000000000000004">
      <c r="A1919" s="1" t="s">
        <v>2140</v>
      </c>
      <c r="B1919" s="2">
        <f>COUNTIF(A:A,A1919)-1</f>
        <v>1</v>
      </c>
      <c r="C1919" s="2">
        <f>COUNTIF(A$1:A1919,A1919)-1</f>
        <v>0</v>
      </c>
      <c r="D1919" s="2" t="str">
        <f t="shared" si="30"/>
        <v/>
      </c>
      <c r="E1919" s="2"/>
      <c r="F1919" s="2"/>
      <c r="H1919" s="2"/>
      <c r="J1919" s="2"/>
      <c r="L1919" s="2"/>
    </row>
    <row r="1920" spans="1:12" x14ac:dyDescent="0.55000000000000004">
      <c r="A1920" s="1" t="s">
        <v>2140</v>
      </c>
      <c r="B1920" s="2">
        <f>COUNTIF(A:A,A1920)-1</f>
        <v>1</v>
      </c>
      <c r="C1920" s="2">
        <f>COUNTIF(A$1:A1920,A1920)-1</f>
        <v>1</v>
      </c>
      <c r="D1920" s="2" t="str">
        <f t="shared" si="30"/>
        <v>v</v>
      </c>
      <c r="E1920" s="2" t="e">
        <f>_xlfn.SECH(#REF!)</f>
        <v>#REF!</v>
      </c>
      <c r="F1920" s="2">
        <f>_xlfn.SECH(+F1920:G1920)</f>
        <v>1</v>
      </c>
      <c r="H1920" s="2">
        <f>_xlfn.SECH(H1920:I1920)</f>
        <v>1</v>
      </c>
      <c r="J1920" s="2" t="e">
        <f>_xlfn.SECH(INDIRECT(J1920:K1920))</f>
        <v>#REF!</v>
      </c>
      <c r="L1920" s="2">
        <f>TYPE(INDEX(,_xlfn.SECH(OFFSET(INDEX(1,),,))))</f>
        <v>64</v>
      </c>
    </row>
    <row r="1921" spans="1:12" x14ac:dyDescent="0.55000000000000004">
      <c r="A1921" s="1" t="s">
        <v>2141</v>
      </c>
      <c r="B1921" s="2">
        <f>COUNTIF(A:A,A1921)-1</f>
        <v>1</v>
      </c>
      <c r="C1921" s="2">
        <f>COUNTIF(A$1:A1921,A1921)-1</f>
        <v>0</v>
      </c>
      <c r="D1921" s="2" t="str">
        <f t="shared" si="30"/>
        <v/>
      </c>
      <c r="E1921" s="2"/>
      <c r="F1921" s="2"/>
      <c r="H1921" s="2"/>
      <c r="J1921" s="2"/>
      <c r="L1921" s="2"/>
    </row>
    <row r="1922" spans="1:12" x14ac:dyDescent="0.55000000000000004">
      <c r="A1922" s="1" t="s">
        <v>2141</v>
      </c>
      <c r="B1922" s="2">
        <f>COUNTIF(A:A,A1922)-1</f>
        <v>1</v>
      </c>
      <c r="C1922" s="2">
        <f>COUNTIF(A$1:A1922,A1922)-1</f>
        <v>1</v>
      </c>
      <c r="D1922" s="2" t="str">
        <f t="shared" ref="D1922:D1985" si="31">IF(C1922&gt;0,IF(COUNTA(F1922:G1922)=1,"v",)&amp;IF(L1922=64,,"a")&amp;IF(COUNTA(I1922,K1922)=1,"r",),"")</f>
        <v>vr</v>
      </c>
      <c r="E1922" s="2" t="e">
        <f>_xlfn.IMTAN(#REF!)</f>
        <v>#REF!</v>
      </c>
      <c r="F1922" s="2" t="str">
        <f>_xlfn.IMTAN(+F1922:G1922)</f>
        <v>0</v>
      </c>
      <c r="H1922" s="2" t="e">
        <f>_xlfn.IMTAN(H1922:I1922)</f>
        <v>#VALUE!</v>
      </c>
      <c r="I1922" s="1">
        <v>1</v>
      </c>
      <c r="J1922" s="2" t="e">
        <f>_xlfn.IMTAN(INDIRECT(J1922:K1922))</f>
        <v>#REF!</v>
      </c>
      <c r="L1922" s="2">
        <f>TYPE(INDEX(,_xlfn.IMTAN(OFFSET(INDEX(1,),,))))</f>
        <v>64</v>
      </c>
    </row>
    <row r="1923" spans="1:12" x14ac:dyDescent="0.55000000000000004">
      <c r="A1923" s="1" t="s">
        <v>2142</v>
      </c>
      <c r="B1923" s="2">
        <f>COUNTIF(A:A,A1923)-1</f>
        <v>1</v>
      </c>
      <c r="C1923" s="2">
        <f>COUNTIF(A$1:A1923,A1923)-1</f>
        <v>0</v>
      </c>
      <c r="D1923" s="2" t="str">
        <f t="shared" si="31"/>
        <v/>
      </c>
      <c r="E1923" s="2"/>
      <c r="F1923" s="2"/>
      <c r="H1923" s="2"/>
      <c r="J1923" s="2"/>
      <c r="L1923" s="2"/>
    </row>
    <row r="1924" spans="1:12" x14ac:dyDescent="0.55000000000000004">
      <c r="A1924" s="1" t="s">
        <v>2142</v>
      </c>
      <c r="B1924" s="2">
        <f>COUNTIF(A:A,A1924)-1</f>
        <v>1</v>
      </c>
      <c r="C1924" s="2">
        <f>COUNTIF(A$1:A1924,A1924)-1</f>
        <v>1</v>
      </c>
      <c r="D1924" s="2" t="str">
        <f t="shared" si="31"/>
        <v>vr</v>
      </c>
      <c r="E1924" s="2" t="e">
        <f>_xlfn.IMCOT(#REF!)</f>
        <v>#REF!</v>
      </c>
      <c r="F1924" s="2" t="e">
        <f>_xlfn.IMCOT(+F1924:G1924)</f>
        <v>#NUM!</v>
      </c>
      <c r="H1924" s="2" t="e">
        <f>_xlfn.IMCOT(H1924:I1924)</f>
        <v>#VALUE!</v>
      </c>
      <c r="I1924" s="1">
        <v>1</v>
      </c>
      <c r="J1924" s="2" t="e">
        <f>_xlfn.IMCOT(INDIRECT(J1924:K1924))</f>
        <v>#REF!</v>
      </c>
      <c r="L1924" s="2">
        <f>TYPE(INDEX(,_xlfn.IMCOT(OFFSET(INDEX(1,),,))))</f>
        <v>64</v>
      </c>
    </row>
    <row r="1925" spans="1:12" x14ac:dyDescent="0.55000000000000004">
      <c r="A1925" s="1" t="s">
        <v>2143</v>
      </c>
      <c r="B1925" s="2">
        <f>COUNTIF(A:A,A1925)-1</f>
        <v>1</v>
      </c>
      <c r="C1925" s="2">
        <f>COUNTIF(A$1:A1925,A1925)-1</f>
        <v>0</v>
      </c>
      <c r="D1925" s="2" t="str">
        <f t="shared" si="31"/>
        <v/>
      </c>
      <c r="E1925" s="2"/>
      <c r="F1925" s="2"/>
      <c r="H1925" s="2"/>
      <c r="J1925" s="2"/>
      <c r="L1925" s="2"/>
    </row>
    <row r="1926" spans="1:12" x14ac:dyDescent="0.55000000000000004">
      <c r="A1926" s="1" t="s">
        <v>2143</v>
      </c>
      <c r="B1926" s="2">
        <f>COUNTIF(A:A,A1926)-1</f>
        <v>1</v>
      </c>
      <c r="C1926" s="2">
        <f>COUNTIF(A$1:A1926,A1926)-1</f>
        <v>1</v>
      </c>
      <c r="D1926" s="2" t="str">
        <f t="shared" si="31"/>
        <v>vr</v>
      </c>
      <c r="E1926" s="2" t="e">
        <f>_xlfn.IMCSC(#REF!)</f>
        <v>#REF!</v>
      </c>
      <c r="F1926" s="2" t="e">
        <f>_xlfn.IMCSC(+F1926:G1926)</f>
        <v>#NUM!</v>
      </c>
      <c r="H1926" s="2" t="e">
        <f>_xlfn.IMCSC(H1926:I1926)</f>
        <v>#VALUE!</v>
      </c>
      <c r="I1926" s="1">
        <v>1</v>
      </c>
      <c r="J1926" s="2" t="e">
        <f>_xlfn.IMCSC(INDIRECT(J1926:K1926))</f>
        <v>#REF!</v>
      </c>
      <c r="L1926" s="2">
        <f>TYPE(INDEX(,_xlfn.IMCSC(OFFSET(INDEX(1,),,))))</f>
        <v>64</v>
      </c>
    </row>
    <row r="1927" spans="1:12" x14ac:dyDescent="0.55000000000000004">
      <c r="A1927" s="1" t="s">
        <v>2144</v>
      </c>
      <c r="B1927" s="2">
        <f>COUNTIF(A:A,A1927)-1</f>
        <v>1</v>
      </c>
      <c r="C1927" s="2">
        <f>COUNTIF(A$1:A1927,A1927)-1</f>
        <v>0</v>
      </c>
      <c r="D1927" s="2" t="str">
        <f t="shared" si="31"/>
        <v/>
      </c>
      <c r="E1927" s="2"/>
      <c r="F1927" s="2"/>
      <c r="H1927" s="2"/>
      <c r="J1927" s="2"/>
      <c r="L1927" s="2"/>
    </row>
    <row r="1928" spans="1:12" x14ac:dyDescent="0.55000000000000004">
      <c r="A1928" s="1" t="s">
        <v>2144</v>
      </c>
      <c r="B1928" s="2">
        <f>COUNTIF(A:A,A1928)-1</f>
        <v>1</v>
      </c>
      <c r="C1928" s="2">
        <f>COUNTIF(A$1:A1928,A1928)-1</f>
        <v>1</v>
      </c>
      <c r="D1928" s="2" t="str">
        <f t="shared" si="31"/>
        <v>vr</v>
      </c>
      <c r="E1928" s="2" t="e">
        <f>_xlfn.IMCSCH(#REF!)</f>
        <v>#REF!</v>
      </c>
      <c r="F1928" s="2" t="e">
        <f>_xlfn.IMCSCH(+F1928:G1928)</f>
        <v>#NUM!</v>
      </c>
      <c r="H1928" s="2" t="e">
        <f>_xlfn.IMCSCH(H1928:I1928)</f>
        <v>#VALUE!</v>
      </c>
      <c r="I1928" s="1">
        <v>1</v>
      </c>
      <c r="J1928" s="2" t="e">
        <f>_xlfn.IMCSCH(INDIRECT(J1928:K1928))</f>
        <v>#REF!</v>
      </c>
      <c r="L1928" s="2">
        <f>TYPE(INDEX(,_xlfn.IMCSCH(OFFSET(INDEX(1,),,))))</f>
        <v>64</v>
      </c>
    </row>
    <row r="1929" spans="1:12" x14ac:dyDescent="0.55000000000000004">
      <c r="A1929" s="1" t="s">
        <v>2145</v>
      </c>
      <c r="B1929" s="2">
        <f>COUNTIF(A:A,A1929)-1</f>
        <v>1</v>
      </c>
      <c r="C1929" s="2">
        <f>COUNTIF(A$1:A1929,A1929)-1</f>
        <v>0</v>
      </c>
      <c r="D1929" s="2" t="str">
        <f t="shared" si="31"/>
        <v/>
      </c>
      <c r="E1929" s="2"/>
      <c r="F1929" s="2"/>
      <c r="H1929" s="2"/>
      <c r="J1929" s="2"/>
      <c r="L1929" s="2"/>
    </row>
    <row r="1930" spans="1:12" x14ac:dyDescent="0.55000000000000004">
      <c r="A1930" s="1" t="s">
        <v>2145</v>
      </c>
      <c r="B1930" s="2">
        <f>COUNTIF(A:A,A1930)-1</f>
        <v>1</v>
      </c>
      <c r="C1930" s="2">
        <f>COUNTIF(A$1:A1930,A1930)-1</f>
        <v>1</v>
      </c>
      <c r="D1930" s="2" t="str">
        <f t="shared" si="31"/>
        <v>vr</v>
      </c>
      <c r="E1930" s="2" t="e">
        <f>_xlfn.IMSEC(#REF!)</f>
        <v>#REF!</v>
      </c>
      <c r="F1930" s="2" t="str">
        <f>_xlfn.IMSEC(+F1930:G1930)</f>
        <v>1</v>
      </c>
      <c r="H1930" s="2" t="e">
        <f>_xlfn.IMSEC(H1930:I1930)</f>
        <v>#VALUE!</v>
      </c>
      <c r="I1930" s="1">
        <v>1</v>
      </c>
      <c r="J1930" s="2" t="e">
        <f>_xlfn.IMSEC(INDIRECT(J1930:K1930))</f>
        <v>#REF!</v>
      </c>
      <c r="L1930" s="2">
        <f>TYPE(INDEX(,_xlfn.IMSEC(OFFSET(INDEX(1,),,))))</f>
        <v>64</v>
      </c>
    </row>
    <row r="1931" spans="1:12" x14ac:dyDescent="0.55000000000000004">
      <c r="A1931" s="1" t="s">
        <v>2146</v>
      </c>
      <c r="B1931" s="2">
        <f>COUNTIF(A:A,A1931)-1</f>
        <v>1</v>
      </c>
      <c r="C1931" s="2">
        <f>COUNTIF(A$1:A1931,A1931)-1</f>
        <v>0</v>
      </c>
      <c r="D1931" s="2" t="str">
        <f t="shared" si="31"/>
        <v/>
      </c>
      <c r="E1931" s="2"/>
      <c r="F1931" s="2"/>
      <c r="H1931" s="2"/>
      <c r="J1931" s="2"/>
      <c r="L1931" s="2"/>
    </row>
    <row r="1932" spans="1:12" x14ac:dyDescent="0.55000000000000004">
      <c r="A1932" s="1" t="s">
        <v>2146</v>
      </c>
      <c r="B1932" s="2">
        <f>COUNTIF(A:A,A1932)-1</f>
        <v>1</v>
      </c>
      <c r="C1932" s="2">
        <f>COUNTIF(A$1:A1932,A1932)-1</f>
        <v>1</v>
      </c>
      <c r="D1932" s="2" t="str">
        <f t="shared" si="31"/>
        <v>vr</v>
      </c>
      <c r="E1932" s="2" t="e">
        <f>_xlfn.IMSECH(#REF!)</f>
        <v>#REF!</v>
      </c>
      <c r="F1932" s="2" t="str">
        <f>_xlfn.IMSECH(+F1932:G1932)</f>
        <v>1</v>
      </c>
      <c r="H1932" s="2" t="e">
        <f>_xlfn.IMSECH(H1932:I1932)</f>
        <v>#VALUE!</v>
      </c>
      <c r="I1932" s="1">
        <v>1</v>
      </c>
      <c r="J1932" s="2" t="e">
        <f>_xlfn.IMSECH(INDIRECT(J1932:K1932))</f>
        <v>#REF!</v>
      </c>
      <c r="L1932" s="2">
        <f>TYPE(INDEX(,_xlfn.IMSECH(OFFSET(INDEX(1,),,))))</f>
        <v>64</v>
      </c>
    </row>
    <row r="1933" spans="1:12" x14ac:dyDescent="0.55000000000000004">
      <c r="A1933" s="1" t="s">
        <v>2147</v>
      </c>
      <c r="B1933" s="2">
        <f>COUNTIF(A:A,A1933)-1</f>
        <v>2</v>
      </c>
      <c r="C1933" s="2">
        <f>COUNTIF(A$1:A1933,A1933)-1</f>
        <v>0</v>
      </c>
      <c r="D1933" s="2" t="str">
        <f t="shared" si="31"/>
        <v/>
      </c>
      <c r="E1933" s="2"/>
      <c r="F1933" s="2"/>
      <c r="H1933" s="2"/>
      <c r="J1933" s="2"/>
      <c r="L1933" s="2"/>
    </row>
    <row r="1934" spans="1:12" x14ac:dyDescent="0.55000000000000004">
      <c r="A1934" s="1" t="s">
        <v>2147</v>
      </c>
      <c r="B1934" s="2">
        <f>COUNTIF(A:A,A1934)-1</f>
        <v>2</v>
      </c>
      <c r="C1934" s="2">
        <f>COUNTIF(A$1:A1934,A1934)-1</f>
        <v>1</v>
      </c>
      <c r="D1934" s="2" t="str">
        <f t="shared" si="31"/>
        <v>v</v>
      </c>
      <c r="E1934" s="2"/>
      <c r="F1934" s="2" t="e">
        <f>_xlfn.BITAND(+F1934:G1934,#REF!)</f>
        <v>#REF!</v>
      </c>
      <c r="H1934" s="2" t="e">
        <f>_xlfn.BITAND(H1934:I1934,#REF!)</f>
        <v>#REF!</v>
      </c>
      <c r="J1934" s="2" t="e">
        <f>_xlfn.BITAND(INDIRECT(J1934:K1934),#REF!)</f>
        <v>#REF!</v>
      </c>
      <c r="L1934" s="2">
        <f>TYPE(INDEX(,_xlfn.BITAND(OFFSET(INDEX(1,),,),#REF!)))</f>
        <v>64</v>
      </c>
    </row>
    <row r="1935" spans="1:12" x14ac:dyDescent="0.55000000000000004">
      <c r="A1935" s="1" t="s">
        <v>2147</v>
      </c>
      <c r="B1935" s="2">
        <f>COUNTIF(A:A,A1935)-1</f>
        <v>2</v>
      </c>
      <c r="C1935" s="2">
        <f>COUNTIF(A$1:A1935,A1935)-1</f>
        <v>2</v>
      </c>
      <c r="D1935" s="2" t="str">
        <f t="shared" si="31"/>
        <v>v</v>
      </c>
      <c r="E1935" s="2" t="e">
        <f>_xlfn.BITAND(#REF!,#REF!)</f>
        <v>#REF!</v>
      </c>
      <c r="F1935" s="2" t="e">
        <f>_xlfn.BITAND(#REF!,+F1935:G1935)</f>
        <v>#REF!</v>
      </c>
      <c r="H1935" s="2" t="e">
        <f>_xlfn.BITAND(#REF!,H1935:I1935)</f>
        <v>#REF!</v>
      </c>
      <c r="J1935" s="2" t="e">
        <f>_xlfn.BITAND(#REF!,INDIRECT(J1935:K1935))</f>
        <v>#REF!</v>
      </c>
      <c r="L1935" s="2">
        <f>TYPE(INDEX(,_xlfn.BITAND(#REF!,OFFSET(INDEX(1,),,))))</f>
        <v>64</v>
      </c>
    </row>
    <row r="1936" spans="1:12" x14ac:dyDescent="0.55000000000000004">
      <c r="A1936" s="1" t="s">
        <v>2148</v>
      </c>
      <c r="B1936" s="2">
        <f>COUNTIF(A:A,A1936)-1</f>
        <v>2</v>
      </c>
      <c r="C1936" s="2">
        <f>COUNTIF(A$1:A1936,A1936)-1</f>
        <v>0</v>
      </c>
      <c r="D1936" s="2" t="str">
        <f t="shared" si="31"/>
        <v/>
      </c>
      <c r="E1936" s="2"/>
      <c r="F1936" s="2"/>
      <c r="H1936" s="2"/>
      <c r="J1936" s="2"/>
      <c r="L1936" s="2"/>
    </row>
    <row r="1937" spans="1:12" x14ac:dyDescent="0.55000000000000004">
      <c r="A1937" s="1" t="s">
        <v>2148</v>
      </c>
      <c r="B1937" s="2">
        <f>COUNTIF(A:A,A1937)-1</f>
        <v>2</v>
      </c>
      <c r="C1937" s="2">
        <f>COUNTIF(A$1:A1937,A1937)-1</f>
        <v>1</v>
      </c>
      <c r="D1937" s="2" t="str">
        <f t="shared" si="31"/>
        <v>v</v>
      </c>
      <c r="E1937" s="2"/>
      <c r="F1937" s="2" t="e">
        <f>_xlfn.BITOR(+F1937:G1937,#REF!)</f>
        <v>#REF!</v>
      </c>
      <c r="H1937" s="2" t="e">
        <f>_xlfn.BITOR(H1937:I1937,#REF!)</f>
        <v>#REF!</v>
      </c>
      <c r="J1937" s="2" t="e">
        <f>_xlfn.BITOR(INDIRECT(J1937:K1937),#REF!)</f>
        <v>#REF!</v>
      </c>
      <c r="L1937" s="2">
        <f>TYPE(INDEX(,_xlfn.BITOR(OFFSET(INDEX(1,),,),#REF!)))</f>
        <v>64</v>
      </c>
    </row>
    <row r="1938" spans="1:12" x14ac:dyDescent="0.55000000000000004">
      <c r="A1938" s="1" t="s">
        <v>2148</v>
      </c>
      <c r="B1938" s="2">
        <f>COUNTIF(A:A,A1938)-1</f>
        <v>2</v>
      </c>
      <c r="C1938" s="2">
        <f>COUNTIF(A$1:A1938,A1938)-1</f>
        <v>2</v>
      </c>
      <c r="D1938" s="2" t="str">
        <f t="shared" si="31"/>
        <v>v</v>
      </c>
      <c r="E1938" s="2" t="e">
        <f>_xlfn.BITOR(#REF!,#REF!)</f>
        <v>#REF!</v>
      </c>
      <c r="F1938" s="2" t="e">
        <f>_xlfn.BITOR(#REF!,+F1938:G1938)</f>
        <v>#REF!</v>
      </c>
      <c r="H1938" s="2" t="e">
        <f>_xlfn.BITOR(#REF!,H1938:I1938)</f>
        <v>#REF!</v>
      </c>
      <c r="J1938" s="2" t="e">
        <f>_xlfn.BITOR(#REF!,INDIRECT(J1938:K1938))</f>
        <v>#REF!</v>
      </c>
      <c r="L1938" s="2">
        <f>TYPE(INDEX(,_xlfn.BITOR(#REF!,OFFSET(INDEX(1,),,))))</f>
        <v>64</v>
      </c>
    </row>
    <row r="1939" spans="1:12" x14ac:dyDescent="0.55000000000000004">
      <c r="A1939" s="1" t="s">
        <v>2149</v>
      </c>
      <c r="B1939" s="2">
        <f>COUNTIF(A:A,A1939)-1</f>
        <v>2</v>
      </c>
      <c r="C1939" s="2">
        <f>COUNTIF(A$1:A1939,A1939)-1</f>
        <v>0</v>
      </c>
      <c r="D1939" s="2" t="str">
        <f t="shared" si="31"/>
        <v/>
      </c>
      <c r="E1939" s="2"/>
      <c r="F1939" s="2"/>
      <c r="H1939" s="2"/>
      <c r="J1939" s="2"/>
      <c r="L1939" s="2"/>
    </row>
    <row r="1940" spans="1:12" x14ac:dyDescent="0.55000000000000004">
      <c r="A1940" s="1" t="s">
        <v>2149</v>
      </c>
      <c r="B1940" s="2">
        <f>COUNTIF(A:A,A1940)-1</f>
        <v>2</v>
      </c>
      <c r="C1940" s="2">
        <f>COUNTIF(A$1:A1940,A1940)-1</f>
        <v>1</v>
      </c>
      <c r="D1940" s="2" t="str">
        <f t="shared" si="31"/>
        <v>v</v>
      </c>
      <c r="E1940" s="2"/>
      <c r="F1940" s="2" t="e">
        <f>_xlfn.BITXOR(+F1940:G1940,#REF!)</f>
        <v>#REF!</v>
      </c>
      <c r="H1940" s="2" t="e">
        <f>_xlfn.BITXOR(H1940:I1940,#REF!)</f>
        <v>#REF!</v>
      </c>
      <c r="J1940" s="2" t="e">
        <f>_xlfn.BITXOR(INDIRECT(J1940:K1940),#REF!)</f>
        <v>#REF!</v>
      </c>
      <c r="L1940" s="2">
        <f>TYPE(INDEX(,_xlfn.BITXOR(OFFSET(INDEX(1,),,),#REF!)))</f>
        <v>64</v>
      </c>
    </row>
    <row r="1941" spans="1:12" x14ac:dyDescent="0.55000000000000004">
      <c r="A1941" s="1" t="s">
        <v>2149</v>
      </c>
      <c r="B1941" s="2">
        <f>COUNTIF(A:A,A1941)-1</f>
        <v>2</v>
      </c>
      <c r="C1941" s="2">
        <f>COUNTIF(A$1:A1941,A1941)-1</f>
        <v>2</v>
      </c>
      <c r="D1941" s="2" t="str">
        <f t="shared" si="31"/>
        <v>v</v>
      </c>
      <c r="E1941" s="2" t="e">
        <f>_xlfn.BITXOR(#REF!,#REF!)</f>
        <v>#REF!</v>
      </c>
      <c r="F1941" s="2" t="e">
        <f>_xlfn.BITXOR(#REF!,+F1941:G1941)</f>
        <v>#REF!</v>
      </c>
      <c r="H1941" s="2" t="e">
        <f>_xlfn.BITXOR(#REF!,H1941:I1941)</f>
        <v>#REF!</v>
      </c>
      <c r="J1941" s="2" t="e">
        <f>_xlfn.BITXOR(#REF!,INDIRECT(J1941:K1941))</f>
        <v>#REF!</v>
      </c>
      <c r="L1941" s="2">
        <f>TYPE(INDEX(,_xlfn.BITXOR(#REF!,OFFSET(INDEX(1,),,))))</f>
        <v>64</v>
      </c>
    </row>
    <row r="1942" spans="1:12" x14ac:dyDescent="0.55000000000000004">
      <c r="A1942" s="1" t="s">
        <v>2150</v>
      </c>
      <c r="B1942" s="2">
        <f>COUNTIF(A:A,A1942)-1</f>
        <v>2</v>
      </c>
      <c r="C1942" s="2">
        <f>COUNTIF(A$1:A1942,A1942)-1</f>
        <v>0</v>
      </c>
      <c r="D1942" s="2" t="str">
        <f t="shared" si="31"/>
        <v/>
      </c>
      <c r="E1942" s="2"/>
      <c r="F1942" s="2"/>
      <c r="H1942" s="2"/>
      <c r="J1942" s="2"/>
      <c r="L1942" s="2"/>
    </row>
    <row r="1943" spans="1:12" x14ac:dyDescent="0.55000000000000004">
      <c r="A1943" s="1" t="s">
        <v>2150</v>
      </c>
      <c r="B1943" s="2">
        <f>COUNTIF(A:A,A1943)-1</f>
        <v>2</v>
      </c>
      <c r="C1943" s="2">
        <f>COUNTIF(A$1:A1943,A1943)-1</f>
        <v>1</v>
      </c>
      <c r="D1943" s="2" t="str">
        <f t="shared" si="31"/>
        <v>v</v>
      </c>
      <c r="E1943" s="2"/>
      <c r="F1943" s="2" t="e">
        <f>_xlfn.BITLSHIFT(+F1943:G1943,#REF!)</f>
        <v>#REF!</v>
      </c>
      <c r="H1943" s="2" t="e">
        <f>_xlfn.BITLSHIFT(H1943:I1943,#REF!)</f>
        <v>#REF!</v>
      </c>
      <c r="J1943" s="2" t="e">
        <f>_xlfn.BITLSHIFT(INDIRECT(J1943:K1943),#REF!)</f>
        <v>#REF!</v>
      </c>
      <c r="L1943" s="2">
        <f>TYPE(INDEX(,_xlfn.BITLSHIFT(OFFSET(INDEX(1,),,),#REF!)))</f>
        <v>64</v>
      </c>
    </row>
    <row r="1944" spans="1:12" x14ac:dyDescent="0.55000000000000004">
      <c r="A1944" s="1" t="s">
        <v>2150</v>
      </c>
      <c r="B1944" s="2">
        <f>COUNTIF(A:A,A1944)-1</f>
        <v>2</v>
      </c>
      <c r="C1944" s="2">
        <f>COUNTIF(A$1:A1944,A1944)-1</f>
        <v>2</v>
      </c>
      <c r="D1944" s="2" t="str">
        <f t="shared" si="31"/>
        <v>v</v>
      </c>
      <c r="E1944" s="2" t="e">
        <f>_xlfn.BITLSHIFT(#REF!,#REF!)</f>
        <v>#REF!</v>
      </c>
      <c r="F1944" s="2" t="e">
        <f>_xlfn.BITLSHIFT(#REF!,+F1944:G1944)</f>
        <v>#REF!</v>
      </c>
      <c r="H1944" s="2" t="e">
        <f>_xlfn.BITLSHIFT(#REF!,H1944:I1944)</f>
        <v>#REF!</v>
      </c>
      <c r="J1944" s="2" t="e">
        <f>_xlfn.BITLSHIFT(#REF!,INDIRECT(J1944:K1944))</f>
        <v>#REF!</v>
      </c>
      <c r="L1944" s="2">
        <f>TYPE(INDEX(,_xlfn.BITLSHIFT(#REF!,OFFSET(INDEX(1,),,))))</f>
        <v>64</v>
      </c>
    </row>
    <row r="1945" spans="1:12" x14ac:dyDescent="0.55000000000000004">
      <c r="A1945" s="1" t="s">
        <v>2151</v>
      </c>
      <c r="B1945" s="2">
        <f>COUNTIF(A:A,A1945)-1</f>
        <v>2</v>
      </c>
      <c r="C1945" s="2">
        <f>COUNTIF(A$1:A1945,A1945)-1</f>
        <v>0</v>
      </c>
      <c r="D1945" s="2" t="str">
        <f t="shared" si="31"/>
        <v/>
      </c>
      <c r="E1945" s="2"/>
      <c r="F1945" s="2"/>
      <c r="H1945" s="2"/>
      <c r="J1945" s="2"/>
      <c r="L1945" s="2"/>
    </row>
    <row r="1946" spans="1:12" x14ac:dyDescent="0.55000000000000004">
      <c r="A1946" s="1" t="s">
        <v>2151</v>
      </c>
      <c r="B1946" s="2">
        <f>COUNTIF(A:A,A1946)-1</f>
        <v>2</v>
      </c>
      <c r="C1946" s="2">
        <f>COUNTIF(A$1:A1946,A1946)-1</f>
        <v>1</v>
      </c>
      <c r="D1946" s="2" t="str">
        <f t="shared" si="31"/>
        <v>v</v>
      </c>
      <c r="E1946" s="2"/>
      <c r="F1946" s="2" t="e">
        <f>_xlfn.BITRSHIFT(+F1946:G1946,#REF!)</f>
        <v>#REF!</v>
      </c>
      <c r="H1946" s="2" t="e">
        <f>_xlfn.BITRSHIFT(H1946:I1946,#REF!)</f>
        <v>#REF!</v>
      </c>
      <c r="J1946" s="2" t="e">
        <f>_xlfn.BITRSHIFT(INDIRECT(J1946:K1946),#REF!)</f>
        <v>#REF!</v>
      </c>
      <c r="L1946" s="2">
        <f>TYPE(INDEX(,_xlfn.BITRSHIFT(OFFSET(INDEX(1,),,),#REF!)))</f>
        <v>64</v>
      </c>
    </row>
    <row r="1947" spans="1:12" x14ac:dyDescent="0.55000000000000004">
      <c r="A1947" s="1" t="s">
        <v>2151</v>
      </c>
      <c r="B1947" s="2">
        <f>COUNTIF(A:A,A1947)-1</f>
        <v>2</v>
      </c>
      <c r="C1947" s="2">
        <f>COUNTIF(A$1:A1947,A1947)-1</f>
        <v>2</v>
      </c>
      <c r="D1947" s="2" t="str">
        <f t="shared" si="31"/>
        <v>v</v>
      </c>
      <c r="E1947" s="2" t="e">
        <f>_xlfn.BITRSHIFT(#REF!,#REF!)</f>
        <v>#REF!</v>
      </c>
      <c r="F1947" s="2" t="e">
        <f>_xlfn.BITRSHIFT(#REF!,+F1947:G1947)</f>
        <v>#REF!</v>
      </c>
      <c r="H1947" s="2" t="e">
        <f>_xlfn.BITRSHIFT(#REF!,H1947:I1947)</f>
        <v>#REF!</v>
      </c>
      <c r="J1947" s="2" t="e">
        <f>_xlfn.BITRSHIFT(#REF!,INDIRECT(J1947:K1947))</f>
        <v>#REF!</v>
      </c>
      <c r="L1947" s="2">
        <f>TYPE(INDEX(,_xlfn.BITRSHIFT(#REF!,OFFSET(INDEX(1,),,))))</f>
        <v>64</v>
      </c>
    </row>
    <row r="1948" spans="1:12" x14ac:dyDescent="0.55000000000000004">
      <c r="A1948" s="1" t="s">
        <v>2152</v>
      </c>
      <c r="B1948" s="2">
        <f>COUNTIF(A:A,A1948)-1</f>
        <v>2</v>
      </c>
      <c r="C1948" s="2">
        <f>COUNTIF(A$1:A1948,A1948)-1</f>
        <v>0</v>
      </c>
      <c r="D1948" s="2" t="str">
        <f t="shared" si="31"/>
        <v/>
      </c>
      <c r="E1948" s="2"/>
      <c r="F1948" s="2"/>
      <c r="H1948" s="2"/>
      <c r="J1948" s="2"/>
      <c r="L1948" s="2"/>
    </row>
    <row r="1949" spans="1:12" x14ac:dyDescent="0.55000000000000004">
      <c r="A1949" s="1" t="s">
        <v>2152</v>
      </c>
      <c r="B1949" s="2">
        <f>COUNTIF(A:A,A1949)-1</f>
        <v>2</v>
      </c>
      <c r="C1949" s="2">
        <f>COUNTIF(A$1:A1949,A1949)-1</f>
        <v>1</v>
      </c>
      <c r="D1949" s="2" t="str">
        <f t="shared" si="31"/>
        <v>v</v>
      </c>
      <c r="E1949" s="2"/>
      <c r="F1949" s="2" t="e">
        <f>_xlfn.PERMUTATIONA(+F1949:G1949,#REF!)</f>
        <v>#REF!</v>
      </c>
      <c r="H1949" s="2" t="e">
        <f>_xlfn.PERMUTATIONA(H1949:I1949,#REF!)</f>
        <v>#REF!</v>
      </c>
      <c r="J1949" s="2" t="e">
        <f>_xlfn.PERMUTATIONA(INDIRECT(J1949:K1949),#REF!)</f>
        <v>#REF!</v>
      </c>
      <c r="L1949" s="2">
        <f>TYPE(INDEX(,_xlfn.PERMUTATIONA(OFFSET(INDEX(1,),,),#REF!)))</f>
        <v>64</v>
      </c>
    </row>
    <row r="1950" spans="1:12" x14ac:dyDescent="0.55000000000000004">
      <c r="A1950" s="1" t="s">
        <v>2152</v>
      </c>
      <c r="B1950" s="2">
        <f>COUNTIF(A:A,A1950)-1</f>
        <v>2</v>
      </c>
      <c r="C1950" s="2">
        <f>COUNTIF(A$1:A1950,A1950)-1</f>
        <v>2</v>
      </c>
      <c r="D1950" s="2" t="str">
        <f t="shared" si="31"/>
        <v>v</v>
      </c>
      <c r="E1950" s="2" t="e">
        <f>_xlfn.PERMUTATIONA(#REF!,#REF!)</f>
        <v>#REF!</v>
      </c>
      <c r="F1950" s="2" t="e">
        <f>_xlfn.PERMUTATIONA(#REF!,+F1950:G1950)</f>
        <v>#REF!</v>
      </c>
      <c r="H1950" s="2" t="e">
        <f>_xlfn.PERMUTATIONA(#REF!,H1950:I1950)</f>
        <v>#REF!</v>
      </c>
      <c r="J1950" s="2" t="e">
        <f>_xlfn.PERMUTATIONA(#REF!,INDIRECT(J1950:K1950))</f>
        <v>#REF!</v>
      </c>
      <c r="L1950" s="2">
        <f>TYPE(INDEX(,_xlfn.PERMUTATIONA(#REF!,OFFSET(INDEX(1,),,))))</f>
        <v>64</v>
      </c>
    </row>
    <row r="1951" spans="1:12" x14ac:dyDescent="0.55000000000000004">
      <c r="A1951" s="1" t="s">
        <v>2153</v>
      </c>
      <c r="B1951" s="2">
        <f>COUNTIF(A:A,A1951)-1</f>
        <v>2</v>
      </c>
      <c r="C1951" s="2">
        <f>COUNTIF(A$1:A1951,A1951)-1</f>
        <v>0</v>
      </c>
      <c r="D1951" s="2" t="str">
        <f t="shared" si="31"/>
        <v/>
      </c>
      <c r="E1951" s="2"/>
      <c r="F1951" s="2"/>
      <c r="H1951" s="2"/>
      <c r="J1951" s="2"/>
      <c r="L1951" s="2"/>
    </row>
    <row r="1952" spans="1:12" x14ac:dyDescent="0.55000000000000004">
      <c r="A1952" s="1" t="s">
        <v>2153</v>
      </c>
      <c r="B1952" s="2">
        <f>COUNTIF(A:A,A1952)-1</f>
        <v>2</v>
      </c>
      <c r="C1952" s="2">
        <f>COUNTIF(A$1:A1952,A1952)-1</f>
        <v>1</v>
      </c>
      <c r="D1952" s="2" t="str">
        <f t="shared" si="31"/>
        <v>v</v>
      </c>
      <c r="E1952" s="2"/>
      <c r="F1952" s="2" t="e">
        <f>_xlfn.COMBINA(+F1952:G1952,#REF!)</f>
        <v>#REF!</v>
      </c>
      <c r="H1952" s="2" t="e">
        <f>_xlfn.COMBINA(H1952:I1952,#REF!)</f>
        <v>#REF!</v>
      </c>
      <c r="J1952" s="2" t="e">
        <f>_xlfn.COMBINA(INDIRECT(J1952:K1952),#REF!)</f>
        <v>#REF!</v>
      </c>
      <c r="L1952" s="2">
        <f>TYPE(INDEX(,_xlfn.COMBINA(OFFSET(INDEX(1,),,),#REF!)))</f>
        <v>64</v>
      </c>
    </row>
    <row r="1953" spans="1:12" x14ac:dyDescent="0.55000000000000004">
      <c r="A1953" s="1" t="s">
        <v>2153</v>
      </c>
      <c r="B1953" s="2">
        <f>COUNTIF(A:A,A1953)-1</f>
        <v>2</v>
      </c>
      <c r="C1953" s="2">
        <f>COUNTIF(A$1:A1953,A1953)-1</f>
        <v>2</v>
      </c>
      <c r="D1953" s="2" t="str">
        <f t="shared" si="31"/>
        <v>v</v>
      </c>
      <c r="E1953" s="2" t="e">
        <f>_xlfn.COMBINA(#REF!,#REF!)</f>
        <v>#REF!</v>
      </c>
      <c r="F1953" s="2" t="e">
        <f>_xlfn.COMBINA(#REF!,+F1953:G1953)</f>
        <v>#REF!</v>
      </c>
      <c r="H1953" s="2" t="e">
        <f>_xlfn.COMBINA(#REF!,H1953:I1953)</f>
        <v>#REF!</v>
      </c>
      <c r="J1953" s="2" t="e">
        <f>_xlfn.COMBINA(#REF!,INDIRECT(J1953:K1953))</f>
        <v>#REF!</v>
      </c>
      <c r="L1953" s="2">
        <f>TYPE(INDEX(,_xlfn.COMBINA(#REF!,OFFSET(INDEX(1,),,))))</f>
        <v>64</v>
      </c>
    </row>
    <row r="1954" spans="1:12" x14ac:dyDescent="0.55000000000000004">
      <c r="A1954" s="1" t="s">
        <v>2154</v>
      </c>
      <c r="B1954" s="2">
        <f>COUNTIF(A:A,A1954)-1</f>
        <v>3</v>
      </c>
      <c r="C1954" s="2">
        <f>COUNTIF(A$1:A1954,A1954)-1</f>
        <v>0</v>
      </c>
      <c r="D1954" s="2" t="str">
        <f t="shared" si="31"/>
        <v/>
      </c>
      <c r="E1954" s="2"/>
      <c r="F1954" s="2"/>
      <c r="H1954" s="2"/>
      <c r="J1954" s="2"/>
      <c r="L1954" s="2"/>
    </row>
    <row r="1955" spans="1:12" x14ac:dyDescent="0.55000000000000004">
      <c r="A1955" s="1" t="s">
        <v>2154</v>
      </c>
      <c r="B1955" s="2">
        <f>COUNTIF(A:A,A1955)-1</f>
        <v>3</v>
      </c>
      <c r="C1955" s="2">
        <f>COUNTIF(A$1:A1955,A1955)-1</f>
        <v>1</v>
      </c>
      <c r="D1955" s="2" t="str">
        <f t="shared" si="31"/>
        <v>var</v>
      </c>
      <c r="E1955" s="2" t="e">
        <f>_xlfn.XOR(#REF!)</f>
        <v>#REF!</v>
      </c>
      <c r="F1955" s="2" t="e">
        <f>_xlfn.XOR(+F1955:G1955,#REF!,#REF!)</f>
        <v>#REF!</v>
      </c>
      <c r="H1955" s="2" t="e">
        <f>_xlfn.XOR(H1955:I1955,#REF!,#REF!)</f>
        <v>#REF!</v>
      </c>
      <c r="I1955" s="1">
        <v>1</v>
      </c>
      <c r="J1955" s="2" t="e">
        <f>_xlfn.XOR(INDIRECT(J1955:K1955),#REF!,#REF!)</f>
        <v>#REF!</v>
      </c>
      <c r="L1955" s="2">
        <f>TYPE(INDEX(,_xlfn.XOR(OFFSET(INDEX(1,),,),#REF!,#REF!)))</f>
        <v>16</v>
      </c>
    </row>
    <row r="1956" spans="1:12" x14ac:dyDescent="0.55000000000000004">
      <c r="A1956" s="1" t="s">
        <v>2154</v>
      </c>
      <c r="B1956" s="2">
        <f>COUNTIF(A:A,A1956)-1</f>
        <v>3</v>
      </c>
      <c r="C1956" s="2">
        <f>COUNTIF(A$1:A1956,A1956)-1</f>
        <v>2</v>
      </c>
      <c r="D1956" s="2" t="str">
        <f t="shared" si="31"/>
        <v>var</v>
      </c>
      <c r="E1956" s="2" t="e">
        <f>_xlfn.XOR(#REF!,#REF!)</f>
        <v>#REF!</v>
      </c>
      <c r="F1956" s="2" t="e">
        <f>_xlfn.XOR(#REF!,+F1956:G1956,#REF!)</f>
        <v>#REF!</v>
      </c>
      <c r="H1956" s="2" t="e">
        <f>_xlfn.XOR(#REF!,H1956:I1956,#REF!)</f>
        <v>#REF!</v>
      </c>
      <c r="I1956" s="1">
        <v>1</v>
      </c>
      <c r="J1956" s="2" t="e">
        <f>_xlfn.XOR(#REF!,INDIRECT(J1956:K1956),#REF!)</f>
        <v>#REF!</v>
      </c>
      <c r="L1956" s="2">
        <f>TYPE(INDEX(,_xlfn.XOR(#REF!,OFFSET(INDEX(1,),,),#REF!)))</f>
        <v>16</v>
      </c>
    </row>
    <row r="1957" spans="1:12" x14ac:dyDescent="0.55000000000000004">
      <c r="A1957" s="1" t="s">
        <v>2154</v>
      </c>
      <c r="B1957" s="2">
        <f>COUNTIF(A:A,A1957)-1</f>
        <v>3</v>
      </c>
      <c r="C1957" s="2">
        <f>COUNTIF(A$1:A1957,A1957)-1</f>
        <v>3</v>
      </c>
      <c r="D1957" s="2" t="str">
        <f t="shared" si="31"/>
        <v>var</v>
      </c>
      <c r="E1957" s="2" t="e">
        <f>_xlfn.XOR(#REF!,#REF!,#REF!)</f>
        <v>#REF!</v>
      </c>
      <c r="F1957" s="2" t="e">
        <f>_xlfn.XOR(#REF!,#REF!,+F1957:G1957)</f>
        <v>#REF!</v>
      </c>
      <c r="H1957" s="2" t="e">
        <f>_xlfn.XOR(#REF!,#REF!,H1957:I1957)</f>
        <v>#REF!</v>
      </c>
      <c r="I1957" s="1">
        <v>1</v>
      </c>
      <c r="J1957" s="2" t="e">
        <f>_xlfn.XOR(#REF!,#REF!,INDIRECT(J1957:K1957))</f>
        <v>#REF!</v>
      </c>
      <c r="L1957" s="2">
        <f>TYPE(INDEX(,_xlfn.XOR(#REF!,#REF!,OFFSET(INDEX(1,),,))))</f>
        <v>16</v>
      </c>
    </row>
    <row r="1958" spans="1:12" x14ac:dyDescent="0.55000000000000004">
      <c r="A1958" s="1" t="s">
        <v>2155</v>
      </c>
      <c r="B1958" s="2">
        <f>COUNTIF(A:A,A1958)-1</f>
        <v>3</v>
      </c>
      <c r="C1958" s="2">
        <f>COUNTIF(A$1:A1958,A1958)-1</f>
        <v>0</v>
      </c>
      <c r="D1958" s="2" t="str">
        <f t="shared" si="31"/>
        <v/>
      </c>
      <c r="E1958" s="2"/>
      <c r="F1958" s="2"/>
      <c r="H1958" s="2"/>
      <c r="J1958" s="2"/>
      <c r="L1958" s="2"/>
    </row>
    <row r="1959" spans="1:12" x14ac:dyDescent="0.55000000000000004">
      <c r="A1959" s="1" t="s">
        <v>2155</v>
      </c>
      <c r="B1959" s="2">
        <f>COUNTIF(A:A,A1959)-1</f>
        <v>3</v>
      </c>
      <c r="C1959" s="2">
        <f>COUNTIF(A$1:A1959,A1959)-1</f>
        <v>1</v>
      </c>
      <c r="D1959" s="2" t="str">
        <f t="shared" si="31"/>
        <v>v</v>
      </c>
      <c r="E1959" s="2"/>
      <c r="F1959" s="2" t="e">
        <f>_xlfn.PDURATION(+F1959:G1959,#REF!,#REF!)</f>
        <v>#REF!</v>
      </c>
      <c r="H1959" s="2" t="e">
        <f>_xlfn.PDURATION(H1959:I1959,#REF!,#REF!)</f>
        <v>#REF!</v>
      </c>
      <c r="J1959" s="2" t="e">
        <f>_xlfn.PDURATION(INDIRECT(J1959:K1959),#REF!,#REF!)</f>
        <v>#REF!</v>
      </c>
      <c r="L1959" s="2">
        <f>TYPE(INDEX(,_xlfn.PDURATION(OFFSET(INDEX(1,),,),#REF!,#REF!)))</f>
        <v>64</v>
      </c>
    </row>
    <row r="1960" spans="1:12" x14ac:dyDescent="0.55000000000000004">
      <c r="A1960" s="1" t="s">
        <v>2155</v>
      </c>
      <c r="B1960" s="2">
        <f>COUNTIF(A:A,A1960)-1</f>
        <v>3</v>
      </c>
      <c r="C1960" s="2">
        <f>COUNTIF(A$1:A1960,A1960)-1</f>
        <v>2</v>
      </c>
      <c r="D1960" s="2" t="str">
        <f t="shared" si="31"/>
        <v>v</v>
      </c>
      <c r="E1960" s="2"/>
      <c r="F1960" s="2" t="e">
        <f>_xlfn.PDURATION(#REF!,+F1960:G1960,#REF!)</f>
        <v>#REF!</v>
      </c>
      <c r="H1960" s="2" t="e">
        <f>_xlfn.PDURATION(#REF!,H1960:I1960,#REF!)</f>
        <v>#REF!</v>
      </c>
      <c r="J1960" s="2" t="e">
        <f>_xlfn.PDURATION(#REF!,INDIRECT(J1960:K1960),#REF!)</f>
        <v>#REF!</v>
      </c>
      <c r="L1960" s="2">
        <f>TYPE(INDEX(,_xlfn.PDURATION(#REF!,OFFSET(INDEX(1,),,),#REF!)))</f>
        <v>64</v>
      </c>
    </row>
    <row r="1961" spans="1:12" x14ac:dyDescent="0.55000000000000004">
      <c r="A1961" s="1" t="s">
        <v>2155</v>
      </c>
      <c r="B1961" s="2">
        <f>COUNTIF(A:A,A1961)-1</f>
        <v>3</v>
      </c>
      <c r="C1961" s="2">
        <f>COUNTIF(A$1:A1961,A1961)-1</f>
        <v>3</v>
      </c>
      <c r="D1961" s="2" t="str">
        <f t="shared" si="31"/>
        <v>v</v>
      </c>
      <c r="E1961" s="2" t="e">
        <f>_xlfn.PDURATION(#REF!,#REF!,#REF!)</f>
        <v>#REF!</v>
      </c>
      <c r="F1961" s="2" t="e">
        <f>_xlfn.PDURATION(#REF!,#REF!,+F1961:G1961)</f>
        <v>#REF!</v>
      </c>
      <c r="H1961" s="2" t="e">
        <f>_xlfn.PDURATION(#REF!,#REF!,H1961:I1961)</f>
        <v>#REF!</v>
      </c>
      <c r="J1961" s="2" t="e">
        <f>_xlfn.PDURATION(#REF!,#REF!,INDIRECT(J1961:K1961))</f>
        <v>#REF!</v>
      </c>
      <c r="L1961" s="2">
        <f>TYPE(INDEX(,_xlfn.PDURATION(#REF!,#REF!,OFFSET(INDEX(1,),,))))</f>
        <v>64</v>
      </c>
    </row>
    <row r="1962" spans="1:12" x14ac:dyDescent="0.55000000000000004">
      <c r="A1962" s="1" t="s">
        <v>2156</v>
      </c>
      <c r="B1962" s="2">
        <f>COUNTIF(A:A,A1962)-1</f>
        <v>3</v>
      </c>
      <c r="C1962" s="2">
        <f>COUNTIF(A$1:A1962,A1962)-1</f>
        <v>0</v>
      </c>
      <c r="D1962" s="2" t="str">
        <f t="shared" si="31"/>
        <v/>
      </c>
      <c r="E1962" s="2"/>
      <c r="F1962" s="2"/>
      <c r="H1962" s="2"/>
      <c r="J1962" s="2"/>
      <c r="L1962" s="2"/>
    </row>
    <row r="1963" spans="1:12" x14ac:dyDescent="0.55000000000000004">
      <c r="A1963" s="1" t="s">
        <v>2156</v>
      </c>
      <c r="B1963" s="2">
        <f>COUNTIF(A:A,A1963)-1</f>
        <v>3</v>
      </c>
      <c r="C1963" s="2">
        <f>COUNTIF(A$1:A1963,A1963)-1</f>
        <v>1</v>
      </c>
      <c r="D1963" s="2" t="str">
        <f t="shared" si="31"/>
        <v>v</v>
      </c>
      <c r="E1963" s="2"/>
      <c r="F1963" s="2" t="e">
        <f>_xlfn.BASE(+F1963:G1963,#REF!,#REF!)</f>
        <v>#REF!</v>
      </c>
      <c r="H1963" s="2" t="e">
        <f>_xlfn.BASE(H1963:I1963,#REF!,#REF!)</f>
        <v>#REF!</v>
      </c>
      <c r="J1963" s="2" t="e">
        <f>_xlfn.BASE(INDIRECT(J1963:K1963),#REF!,#REF!)</f>
        <v>#REF!</v>
      </c>
      <c r="L1963" s="2">
        <f>TYPE(INDEX(,_xlfn.BASE(OFFSET(INDEX(1,),,),#REF!,#REF!)))</f>
        <v>64</v>
      </c>
    </row>
    <row r="1964" spans="1:12" x14ac:dyDescent="0.55000000000000004">
      <c r="A1964" s="1" t="s">
        <v>2156</v>
      </c>
      <c r="B1964" s="2">
        <f>COUNTIF(A:A,A1964)-1</f>
        <v>3</v>
      </c>
      <c r="C1964" s="2">
        <f>COUNTIF(A$1:A1964,A1964)-1</f>
        <v>2</v>
      </c>
      <c r="D1964" s="2" t="str">
        <f t="shared" si="31"/>
        <v>v</v>
      </c>
      <c r="E1964" s="2" t="e">
        <f>_xlfn.BASE(#REF!,#REF!)</f>
        <v>#REF!</v>
      </c>
      <c r="F1964" s="2" t="e">
        <f>_xlfn.BASE(#REF!,+F1964:G1964,#REF!)</f>
        <v>#REF!</v>
      </c>
      <c r="H1964" s="2" t="e">
        <f>_xlfn.BASE(#REF!,H1964:I1964,#REF!)</f>
        <v>#REF!</v>
      </c>
      <c r="J1964" s="2" t="e">
        <f>_xlfn.BASE(#REF!,INDIRECT(J1964:K1964),#REF!)</f>
        <v>#REF!</v>
      </c>
      <c r="L1964" s="2">
        <f>TYPE(INDEX(,_xlfn.BASE(#REF!,OFFSET(INDEX(1,),,),#REF!)))</f>
        <v>64</v>
      </c>
    </row>
    <row r="1965" spans="1:12" x14ac:dyDescent="0.55000000000000004">
      <c r="A1965" s="1" t="s">
        <v>2156</v>
      </c>
      <c r="B1965" s="2">
        <f>COUNTIF(A:A,A1965)-1</f>
        <v>3</v>
      </c>
      <c r="C1965" s="2">
        <f>COUNTIF(A$1:A1965,A1965)-1</f>
        <v>3</v>
      </c>
      <c r="D1965" s="2" t="str">
        <f t="shared" si="31"/>
        <v>v</v>
      </c>
      <c r="E1965" s="2" t="e">
        <f>_xlfn.BASE(#REF!,#REF!,#REF!)</f>
        <v>#REF!</v>
      </c>
      <c r="F1965" s="2" t="e">
        <f>_xlfn.BASE(#REF!,#REF!,+F1965:G1965)</f>
        <v>#REF!</v>
      </c>
      <c r="H1965" s="2" t="e">
        <f>_xlfn.BASE(#REF!,#REF!,H1965:I1965)</f>
        <v>#REF!</v>
      </c>
      <c r="J1965" s="2" t="e">
        <f>_xlfn.BASE(#REF!,#REF!,INDIRECT(J1965:K1965))</f>
        <v>#REF!</v>
      </c>
      <c r="L1965" s="2">
        <f>TYPE(INDEX(,_xlfn.BASE(#REF!,#REF!,OFFSET(INDEX(1,),,))))</f>
        <v>64</v>
      </c>
    </row>
    <row r="1966" spans="1:12" x14ac:dyDescent="0.55000000000000004">
      <c r="A1966" s="1" t="s">
        <v>2157</v>
      </c>
      <c r="B1966" s="2">
        <f>COUNTIF(A:A,A1966)-1</f>
        <v>2</v>
      </c>
      <c r="C1966" s="2">
        <f>COUNTIF(A$1:A1966,A1966)-1</f>
        <v>0</v>
      </c>
      <c r="D1966" s="2" t="str">
        <f t="shared" si="31"/>
        <v/>
      </c>
      <c r="E1966" s="2"/>
      <c r="F1966" s="2"/>
      <c r="H1966" s="2"/>
      <c r="J1966" s="2"/>
      <c r="L1966" s="2"/>
    </row>
    <row r="1967" spans="1:12" x14ac:dyDescent="0.55000000000000004">
      <c r="A1967" s="1" t="s">
        <v>2157</v>
      </c>
      <c r="B1967" s="2">
        <f>COUNTIF(A:A,A1967)-1</f>
        <v>2</v>
      </c>
      <c r="C1967" s="2">
        <f>COUNTIF(A$1:A1967,A1967)-1</f>
        <v>1</v>
      </c>
      <c r="D1967" s="2" t="str">
        <f t="shared" si="31"/>
        <v>v</v>
      </c>
      <c r="E1967" s="2"/>
      <c r="F1967" s="2" t="e">
        <f>_xlfn.DECIMAL(+F1967:G1967,#REF!)</f>
        <v>#REF!</v>
      </c>
      <c r="H1967" s="2" t="e">
        <f>_xlfn.DECIMAL(H1967:I1967,#REF!)</f>
        <v>#REF!</v>
      </c>
      <c r="J1967" s="2" t="e">
        <f>_xlfn.DECIMAL(INDIRECT(J1967:K1967),#REF!)</f>
        <v>#REF!</v>
      </c>
      <c r="L1967" s="2">
        <f>TYPE(INDEX(,_xlfn.DECIMAL(OFFSET(INDEX(1,),,),#REF!)))</f>
        <v>64</v>
      </c>
    </row>
    <row r="1968" spans="1:12" x14ac:dyDescent="0.55000000000000004">
      <c r="A1968" s="1" t="s">
        <v>2157</v>
      </c>
      <c r="B1968" s="2">
        <f>COUNTIF(A:A,A1968)-1</f>
        <v>2</v>
      </c>
      <c r="C1968" s="2">
        <f>COUNTIF(A$1:A1968,A1968)-1</f>
        <v>2</v>
      </c>
      <c r="D1968" s="2" t="str">
        <f t="shared" si="31"/>
        <v>v</v>
      </c>
      <c r="E1968" s="2" t="e">
        <f>_xlfn.DECIMAL(#REF!,#REF!)</f>
        <v>#REF!</v>
      </c>
      <c r="F1968" s="2" t="e">
        <f>_xlfn.DECIMAL(#REF!,+F1968:G1968)</f>
        <v>#REF!</v>
      </c>
      <c r="H1968" s="2" t="e">
        <f>_xlfn.DECIMAL(#REF!,H1968:I1968)</f>
        <v>#REF!</v>
      </c>
      <c r="J1968" s="2" t="e">
        <f>_xlfn.DECIMAL(#REF!,INDIRECT(J1968:K1968))</f>
        <v>#REF!</v>
      </c>
      <c r="L1968" s="2">
        <f>TYPE(INDEX(,_xlfn.DECIMAL(#REF!,OFFSET(INDEX(1,),,))))</f>
        <v>64</v>
      </c>
    </row>
    <row r="1969" spans="1:12" x14ac:dyDescent="0.55000000000000004">
      <c r="A1969" s="1" t="s">
        <v>2158</v>
      </c>
      <c r="B1969" s="2">
        <f>COUNTIF(A:A,A1969)-1</f>
        <v>2</v>
      </c>
      <c r="C1969" s="2">
        <f>COUNTIF(A$1:A1969,A1969)-1</f>
        <v>0</v>
      </c>
      <c r="D1969" s="2" t="str">
        <f t="shared" si="31"/>
        <v/>
      </c>
      <c r="E1969" s="2"/>
      <c r="F1969" s="2"/>
      <c r="H1969" s="2"/>
      <c r="J1969" s="2"/>
      <c r="L1969" s="2"/>
    </row>
    <row r="1970" spans="1:12" x14ac:dyDescent="0.55000000000000004">
      <c r="A1970" s="1" t="s">
        <v>2158</v>
      </c>
      <c r="B1970" s="2">
        <f>COUNTIF(A:A,A1970)-1</f>
        <v>2</v>
      </c>
      <c r="C1970" s="2">
        <f>COUNTIF(A$1:A1970,A1970)-1</f>
        <v>1</v>
      </c>
      <c r="D1970" s="2" t="str">
        <f t="shared" si="31"/>
        <v>v</v>
      </c>
      <c r="E1970" s="2"/>
      <c r="F1970" s="2" t="e">
        <f>_xlfn.DAYS(+F1970:G1970,#REF!)</f>
        <v>#REF!</v>
      </c>
      <c r="H1970" s="2" t="e">
        <f>_xlfn.DAYS(H1970:I1970,#REF!)</f>
        <v>#REF!</v>
      </c>
      <c r="J1970" s="2" t="e">
        <f>_xlfn.DAYS(INDIRECT(J1970:K1970),#REF!)</f>
        <v>#REF!</v>
      </c>
      <c r="L1970" s="2">
        <f>TYPE(INDEX(,_xlfn.DAYS(OFFSET(INDEX(1,),,),#REF!)))</f>
        <v>64</v>
      </c>
    </row>
    <row r="1971" spans="1:12" x14ac:dyDescent="0.55000000000000004">
      <c r="A1971" s="1" t="s">
        <v>2158</v>
      </c>
      <c r="B1971" s="2">
        <f>COUNTIF(A:A,A1971)-1</f>
        <v>2</v>
      </c>
      <c r="C1971" s="2">
        <f>COUNTIF(A$1:A1971,A1971)-1</f>
        <v>2</v>
      </c>
      <c r="D1971" s="2" t="str">
        <f t="shared" si="31"/>
        <v>v</v>
      </c>
      <c r="E1971" s="2" t="e">
        <f>_xlfn.DAYS(#REF!,#REF!)</f>
        <v>#REF!</v>
      </c>
      <c r="F1971" s="2" t="e">
        <f>_xlfn.DAYS(#REF!,+F1971:G1971)</f>
        <v>#REF!</v>
      </c>
      <c r="H1971" s="2" t="e">
        <f>_xlfn.DAYS(#REF!,H1971:I1971)</f>
        <v>#REF!</v>
      </c>
      <c r="J1971" s="2" t="e">
        <f>_xlfn.DAYS(#REF!,INDIRECT(J1971:K1971))</f>
        <v>#REF!</v>
      </c>
      <c r="L1971" s="2">
        <f>TYPE(INDEX(,_xlfn.DAYS(#REF!,OFFSET(INDEX(1,),,))))</f>
        <v>64</v>
      </c>
    </row>
    <row r="1972" spans="1:12" x14ac:dyDescent="0.55000000000000004">
      <c r="A1972" s="1" t="s">
        <v>2159</v>
      </c>
      <c r="B1972" s="2">
        <f>COUNTIF(A:A,A1972)-1</f>
        <v>4</v>
      </c>
      <c r="C1972" s="2">
        <f>COUNTIF(A$1:A1972,A1972)-1</f>
        <v>0</v>
      </c>
      <c r="D1972" s="2" t="str">
        <f t="shared" si="31"/>
        <v/>
      </c>
      <c r="E1972" s="2"/>
      <c r="F1972" s="2"/>
      <c r="H1972" s="2"/>
      <c r="J1972" s="2"/>
      <c r="L1972" s="2"/>
    </row>
    <row r="1973" spans="1:12" x14ac:dyDescent="0.55000000000000004">
      <c r="A1973" s="1" t="s">
        <v>2159</v>
      </c>
      <c r="B1973" s="2">
        <f>COUNTIF(A:A,A1973)-1</f>
        <v>4</v>
      </c>
      <c r="C1973" s="2">
        <f>COUNTIF(A$1:A1973,A1973)-1</f>
        <v>1</v>
      </c>
      <c r="D1973" s="2" t="str">
        <f t="shared" si="31"/>
        <v>v</v>
      </c>
      <c r="E1973" s="2"/>
      <c r="F1973" s="2" t="e">
        <f>_xlfn.BINOM.DIST.RANGE(+F1973:G1973,#REF!,#REF!,#REF!)</f>
        <v>#REF!</v>
      </c>
      <c r="H1973" s="2" t="e">
        <f>_xlfn.BINOM.DIST.RANGE(H1973:I1973,#REF!,#REF!,#REF!)</f>
        <v>#REF!</v>
      </c>
      <c r="J1973" s="2" t="e">
        <f>_xlfn.BINOM.DIST.RANGE(INDIRECT(J1973:K1973),#REF!,#REF!,#REF!)</f>
        <v>#REF!</v>
      </c>
      <c r="L1973" s="2">
        <f>TYPE(INDEX(,_xlfn.BINOM.DIST.RANGE(OFFSET(INDEX(1,),,),#REF!,#REF!,#REF!)))</f>
        <v>64</v>
      </c>
    </row>
    <row r="1974" spans="1:12" x14ac:dyDescent="0.55000000000000004">
      <c r="A1974" s="1" t="s">
        <v>2159</v>
      </c>
      <c r="B1974" s="2">
        <f>COUNTIF(A:A,A1974)-1</f>
        <v>4</v>
      </c>
      <c r="C1974" s="2">
        <f>COUNTIF(A$1:A1974,A1974)-1</f>
        <v>2</v>
      </c>
      <c r="D1974" s="2" t="str">
        <f t="shared" si="31"/>
        <v>v</v>
      </c>
      <c r="E1974" s="2"/>
      <c r="F1974" s="2" t="e">
        <f>_xlfn.BINOM.DIST.RANGE(#REF!,+F1974:G1974,#REF!,#REF!)</f>
        <v>#REF!</v>
      </c>
      <c r="H1974" s="2" t="e">
        <f>_xlfn.BINOM.DIST.RANGE(#REF!,H1974:I1974,#REF!,#REF!)</f>
        <v>#REF!</v>
      </c>
      <c r="J1974" s="2" t="e">
        <f>_xlfn.BINOM.DIST.RANGE(#REF!,INDIRECT(J1974:K1974),#REF!,#REF!)</f>
        <v>#REF!</v>
      </c>
      <c r="L1974" s="2">
        <f>TYPE(INDEX(,_xlfn.BINOM.DIST.RANGE(#REF!,OFFSET(INDEX(1,),,),#REF!,#REF!)))</f>
        <v>64</v>
      </c>
    </row>
    <row r="1975" spans="1:12" x14ac:dyDescent="0.55000000000000004">
      <c r="A1975" s="1" t="s">
        <v>2159</v>
      </c>
      <c r="B1975" s="2">
        <f>COUNTIF(A:A,A1975)-1</f>
        <v>4</v>
      </c>
      <c r="C1975" s="2">
        <f>COUNTIF(A$1:A1975,A1975)-1</f>
        <v>3</v>
      </c>
      <c r="D1975" s="2" t="str">
        <f t="shared" si="31"/>
        <v>v</v>
      </c>
      <c r="E1975" s="2" t="e">
        <f>_xlfn.BINOM.DIST.RANGE(#REF!,#REF!,#REF!)</f>
        <v>#REF!</v>
      </c>
      <c r="F1975" s="2" t="e">
        <f>_xlfn.BINOM.DIST.RANGE(#REF!,#REF!,+F1975:G1975,#REF!)</f>
        <v>#REF!</v>
      </c>
      <c r="H1975" s="2" t="e">
        <f>_xlfn.BINOM.DIST.RANGE(#REF!,#REF!,H1975:I1975,#REF!)</f>
        <v>#REF!</v>
      </c>
      <c r="J1975" s="2" t="e">
        <f>_xlfn.BINOM.DIST.RANGE(#REF!,#REF!,INDIRECT(J1975:K1975),#REF!)</f>
        <v>#REF!</v>
      </c>
      <c r="L1975" s="2">
        <f>TYPE(INDEX(,_xlfn.BINOM.DIST.RANGE(#REF!,#REF!,OFFSET(INDEX(1,),,),#REF!)))</f>
        <v>64</v>
      </c>
    </row>
    <row r="1976" spans="1:12" x14ac:dyDescent="0.55000000000000004">
      <c r="A1976" s="1" t="s">
        <v>2159</v>
      </c>
      <c r="B1976" s="2">
        <f>COUNTIF(A:A,A1976)-1</f>
        <v>4</v>
      </c>
      <c r="C1976" s="2">
        <f>COUNTIF(A$1:A1976,A1976)-1</f>
        <v>4</v>
      </c>
      <c r="D1976" s="2" t="str">
        <f t="shared" si="31"/>
        <v>v</v>
      </c>
      <c r="E1976" s="2" t="e">
        <f>_xlfn.BINOM.DIST.RANGE(#REF!,#REF!,#REF!,#REF!)</f>
        <v>#REF!</v>
      </c>
      <c r="F1976" s="2" t="e">
        <f>_xlfn.BINOM.DIST.RANGE(#REF!,#REF!,#REF!,+F1976:G1976)</f>
        <v>#REF!</v>
      </c>
      <c r="H1976" s="2" t="e">
        <f>_xlfn.BINOM.DIST.RANGE(#REF!,#REF!,#REF!,H1976:I1976)</f>
        <v>#REF!</v>
      </c>
      <c r="J1976" s="2" t="e">
        <f>_xlfn.BINOM.DIST.RANGE(#REF!,#REF!,#REF!,INDIRECT(J1976:K1976))</f>
        <v>#REF!</v>
      </c>
      <c r="L1976" s="2">
        <f>TYPE(INDEX(,_xlfn.BINOM.DIST.RANGE(#REF!,#REF!,#REF!,OFFSET(INDEX(1,),,))))</f>
        <v>64</v>
      </c>
    </row>
    <row r="1977" spans="1:12" x14ac:dyDescent="0.55000000000000004">
      <c r="A1977" s="1" t="s">
        <v>2160</v>
      </c>
      <c r="B1977" s="2">
        <f>COUNTIF(A:A,A1977)-1</f>
        <v>1</v>
      </c>
      <c r="C1977" s="2">
        <f>COUNTIF(A$1:A1977,A1977)-1</f>
        <v>0</v>
      </c>
      <c r="D1977" s="2" t="str">
        <f t="shared" si="31"/>
        <v/>
      </c>
      <c r="E1977" s="2"/>
      <c r="F1977" s="2"/>
      <c r="H1977" s="2"/>
      <c r="J1977" s="2"/>
      <c r="L1977" s="2"/>
    </row>
    <row r="1978" spans="1:12" x14ac:dyDescent="0.55000000000000004">
      <c r="A1978" s="1" t="s">
        <v>2160</v>
      </c>
      <c r="B1978" s="2">
        <f>COUNTIF(A:A,A1978)-1</f>
        <v>1</v>
      </c>
      <c r="C1978" s="2">
        <f>COUNTIF(A$1:A1978,A1978)-1</f>
        <v>1</v>
      </c>
      <c r="D1978" s="2" t="str">
        <f t="shared" si="31"/>
        <v>v</v>
      </c>
      <c r="E1978" s="2" t="e">
        <f>_xlfn.GAMMA(#REF!)</f>
        <v>#REF!</v>
      </c>
      <c r="F1978" s="2" t="e">
        <f>_xlfn.GAMMA(+F1978:G1978)</f>
        <v>#NUM!</v>
      </c>
      <c r="H1978" s="2" t="e">
        <f>_xlfn.GAMMA(H1978:I1978)</f>
        <v>#NUM!</v>
      </c>
      <c r="J1978" s="2" t="e">
        <f>_xlfn.GAMMA(INDIRECT(J1978:K1978))</f>
        <v>#REF!</v>
      </c>
      <c r="L1978" s="2">
        <f>TYPE(INDEX(,_xlfn.GAMMA(OFFSET(INDEX(1,),,))))</f>
        <v>64</v>
      </c>
    </row>
    <row r="1979" spans="1:12" x14ac:dyDescent="0.55000000000000004">
      <c r="A1979" s="1" t="s">
        <v>2161</v>
      </c>
      <c r="B1979" s="2">
        <f>COUNTIF(A:A,A1979)-1</f>
        <v>3</v>
      </c>
      <c r="C1979" s="2">
        <f>COUNTIF(A$1:A1979,A1979)-1</f>
        <v>0</v>
      </c>
      <c r="D1979" s="2" t="str">
        <f t="shared" si="31"/>
        <v/>
      </c>
      <c r="E1979" s="2"/>
      <c r="F1979" s="2"/>
      <c r="H1979" s="2"/>
      <c r="J1979" s="2"/>
      <c r="L1979" s="2"/>
    </row>
    <row r="1980" spans="1:12" x14ac:dyDescent="0.55000000000000004">
      <c r="A1980" s="1" t="s">
        <v>2161</v>
      </c>
      <c r="B1980" s="2">
        <f>COUNTIF(A:A,A1980)-1</f>
        <v>3</v>
      </c>
      <c r="C1980" s="2">
        <f>COUNTIF(A$1:A1980,A1980)-1</f>
        <v>1</v>
      </c>
      <c r="D1980" s="2" t="str">
        <f t="shared" si="31"/>
        <v>var</v>
      </c>
      <c r="E1980" s="2" t="e">
        <f>_xlfn.SKEW.P(#REF!)</f>
        <v>#REF!</v>
      </c>
      <c r="F1980" s="2" t="e">
        <f>_xlfn.SKEW.P(+F1980:G1980,#REF!,#REF!)</f>
        <v>#REF!</v>
      </c>
      <c r="H1980" s="2" t="e">
        <f>_xlfn.SKEW.P(H1980:I1980,#REF!,#REF!)</f>
        <v>#REF!</v>
      </c>
      <c r="I1980" s="1">
        <v>1</v>
      </c>
      <c r="J1980" s="2" t="e">
        <f>_xlfn.SKEW.P(INDIRECT(J1980:K1980),#REF!,#REF!)</f>
        <v>#REF!</v>
      </c>
      <c r="L1980" s="2">
        <f>TYPE(INDEX(,_xlfn.SKEW.P(OFFSET(INDEX(1,),,),#REF!,#REF!)))</f>
        <v>16</v>
      </c>
    </row>
    <row r="1981" spans="1:12" x14ac:dyDescent="0.55000000000000004">
      <c r="A1981" s="1" t="s">
        <v>2161</v>
      </c>
      <c r="B1981" s="2">
        <f>COUNTIF(A:A,A1981)-1</f>
        <v>3</v>
      </c>
      <c r="C1981" s="2">
        <f>COUNTIF(A$1:A1981,A1981)-1</f>
        <v>2</v>
      </c>
      <c r="D1981" s="2" t="str">
        <f t="shared" si="31"/>
        <v>var</v>
      </c>
      <c r="E1981" s="2" t="e">
        <f>_xlfn.SKEW.P(#REF!,#REF!)</f>
        <v>#REF!</v>
      </c>
      <c r="F1981" s="2" t="e">
        <f>_xlfn.SKEW.P(#REF!,+F1981:G1981,#REF!)</f>
        <v>#REF!</v>
      </c>
      <c r="H1981" s="2" t="e">
        <f>_xlfn.SKEW.P(#REF!,H1981:I1981,#REF!)</f>
        <v>#REF!</v>
      </c>
      <c r="I1981" s="1">
        <v>1</v>
      </c>
      <c r="J1981" s="2" t="e">
        <f>_xlfn.SKEW.P(#REF!,INDIRECT(J1981:K1981),#REF!)</f>
        <v>#REF!</v>
      </c>
      <c r="L1981" s="2">
        <f>TYPE(INDEX(,_xlfn.SKEW.P(#REF!,OFFSET(INDEX(1,),,),#REF!)))</f>
        <v>16</v>
      </c>
    </row>
    <row r="1982" spans="1:12" x14ac:dyDescent="0.55000000000000004">
      <c r="A1982" s="1" t="s">
        <v>2161</v>
      </c>
      <c r="B1982" s="2">
        <f>COUNTIF(A:A,A1982)-1</f>
        <v>3</v>
      </c>
      <c r="C1982" s="2">
        <f>COUNTIF(A$1:A1982,A1982)-1</f>
        <v>3</v>
      </c>
      <c r="D1982" s="2" t="str">
        <f t="shared" si="31"/>
        <v>var</v>
      </c>
      <c r="E1982" s="2" t="e">
        <f>_xlfn.SKEW.P(#REF!,#REF!,#REF!)</f>
        <v>#REF!</v>
      </c>
      <c r="F1982" s="2" t="e">
        <f>_xlfn.SKEW.P(#REF!,#REF!,+F1982:G1982)</f>
        <v>#REF!</v>
      </c>
      <c r="H1982" s="2" t="e">
        <f>_xlfn.SKEW.P(#REF!,#REF!,H1982:I1982)</f>
        <v>#REF!</v>
      </c>
      <c r="I1982" s="1">
        <v>1</v>
      </c>
      <c r="J1982" s="2" t="e">
        <f>_xlfn.SKEW.P(#REF!,#REF!,INDIRECT(J1982:K1982))</f>
        <v>#REF!</v>
      </c>
      <c r="L1982" s="2">
        <f>TYPE(INDEX(,_xlfn.SKEW.P(#REF!,#REF!,OFFSET(INDEX(1,),,))))</f>
        <v>16</v>
      </c>
    </row>
    <row r="1983" spans="1:12" x14ac:dyDescent="0.55000000000000004">
      <c r="A1983" s="1" t="s">
        <v>2162</v>
      </c>
      <c r="B1983" s="2">
        <f>COUNTIF(A:A,A1983)-1</f>
        <v>1</v>
      </c>
      <c r="C1983" s="2">
        <f>COUNTIF(A$1:A1983,A1983)-1</f>
        <v>0</v>
      </c>
      <c r="D1983" s="2" t="str">
        <f t="shared" si="31"/>
        <v/>
      </c>
      <c r="E1983" s="2"/>
      <c r="F1983" s="2"/>
      <c r="H1983" s="2"/>
      <c r="J1983" s="2"/>
      <c r="L1983" s="2"/>
    </row>
    <row r="1984" spans="1:12" x14ac:dyDescent="0.55000000000000004">
      <c r="A1984" s="1" t="s">
        <v>2162</v>
      </c>
      <c r="B1984" s="2">
        <f>COUNTIF(A:A,A1984)-1</f>
        <v>1</v>
      </c>
      <c r="C1984" s="2">
        <f>COUNTIF(A$1:A1984,A1984)-1</f>
        <v>1</v>
      </c>
      <c r="D1984" s="2" t="str">
        <f t="shared" si="31"/>
        <v>v</v>
      </c>
      <c r="E1984" s="2" t="e">
        <f>_xlfn.GAUSS(#REF!)</f>
        <v>#REF!</v>
      </c>
      <c r="F1984" s="2">
        <f>_xlfn.GAUSS(+F1984:G1984)</f>
        <v>0</v>
      </c>
      <c r="H1984" s="2">
        <f>_xlfn.GAUSS(H1984:I1984)</f>
        <v>0</v>
      </c>
      <c r="J1984" s="2" t="e">
        <f>_xlfn.GAUSS(INDIRECT(J1984:K1984))</f>
        <v>#REF!</v>
      </c>
      <c r="L1984" s="2">
        <f>TYPE(INDEX(,_xlfn.GAUSS(OFFSET(INDEX(1,),,))))</f>
        <v>64</v>
      </c>
    </row>
    <row r="1985" spans="1:12" x14ac:dyDescent="0.55000000000000004">
      <c r="A1985" s="1" t="s">
        <v>2163</v>
      </c>
      <c r="B1985" s="2">
        <f>COUNTIF(A:A,A1985)-1</f>
        <v>1</v>
      </c>
      <c r="C1985" s="2">
        <f>COUNTIF(A$1:A1985,A1985)-1</f>
        <v>0</v>
      </c>
      <c r="D1985" s="2" t="str">
        <f t="shared" si="31"/>
        <v/>
      </c>
      <c r="E1985" s="2"/>
      <c r="F1985" s="2"/>
      <c r="H1985" s="2"/>
      <c r="J1985" s="2"/>
      <c r="L1985" s="2"/>
    </row>
    <row r="1986" spans="1:12" x14ac:dyDescent="0.55000000000000004">
      <c r="A1986" s="1" t="s">
        <v>2163</v>
      </c>
      <c r="B1986" s="2">
        <f>COUNTIF(A:A,A1986)-1</f>
        <v>1</v>
      </c>
      <c r="C1986" s="2">
        <f>COUNTIF(A$1:A1986,A1986)-1</f>
        <v>1</v>
      </c>
      <c r="D1986" s="2" t="str">
        <f t="shared" ref="D1986:D2049" si="32">IF(C1986&gt;0,IF(COUNTA(F1986:G1986)=1,"v",)&amp;IF(L1986=64,,"a")&amp;IF(COUNTA(I1986,K1986)=1,"r",),"")</f>
        <v>v</v>
      </c>
      <c r="E1986" s="2" t="e">
        <f>_xlfn.PHI(#REF!)</f>
        <v>#REF!</v>
      </c>
      <c r="F1986" s="2">
        <f>_xlfn.PHI(+F1986:G1986)</f>
        <v>0.3989422804014327</v>
      </c>
      <c r="H1986" s="2">
        <f>_xlfn.PHI(H1986:I1986)</f>
        <v>0.3989422804014327</v>
      </c>
      <c r="J1986" s="2" t="e">
        <f>_xlfn.PHI(INDIRECT(J1986:K1986))</f>
        <v>#REF!</v>
      </c>
      <c r="L1986" s="2">
        <f>TYPE(INDEX(,_xlfn.PHI(OFFSET(INDEX(1,),,))))</f>
        <v>64</v>
      </c>
    </row>
    <row r="1987" spans="1:12" x14ac:dyDescent="0.55000000000000004">
      <c r="A1987" s="1" t="s">
        <v>2164</v>
      </c>
      <c r="B1987" s="2">
        <f>COUNTIF(A:A,A1987)-1</f>
        <v>3</v>
      </c>
      <c r="C1987" s="2">
        <f>COUNTIF(A$1:A1987,A1987)-1</f>
        <v>0</v>
      </c>
      <c r="D1987" s="2" t="str">
        <f t="shared" si="32"/>
        <v/>
      </c>
      <c r="E1987" s="2"/>
      <c r="F1987" s="2"/>
      <c r="H1987" s="2"/>
      <c r="J1987" s="2"/>
      <c r="L1987" s="2"/>
    </row>
    <row r="1988" spans="1:12" x14ac:dyDescent="0.55000000000000004">
      <c r="A1988" s="1" t="s">
        <v>2164</v>
      </c>
      <c r="B1988" s="2">
        <f>COUNTIF(A:A,A1988)-1</f>
        <v>3</v>
      </c>
      <c r="C1988" s="2">
        <f>COUNTIF(A$1:A1988,A1988)-1</f>
        <v>1</v>
      </c>
      <c r="D1988" s="2" t="str">
        <f t="shared" si="32"/>
        <v>v</v>
      </c>
      <c r="E1988" s="2"/>
      <c r="F1988" s="2" t="e">
        <f>_xlfn.RRI(+F1988:G1988,#REF!,#REF!)</f>
        <v>#REF!</v>
      </c>
      <c r="H1988" s="2" t="e">
        <f>_xlfn.RRI(H1988:I1988,#REF!,#REF!)</f>
        <v>#REF!</v>
      </c>
      <c r="J1988" s="2" t="e">
        <f>_xlfn.RRI(INDIRECT(J1988:K1988),#REF!,#REF!)</f>
        <v>#REF!</v>
      </c>
      <c r="L1988" s="2">
        <f>TYPE(INDEX(,_xlfn.RRI(OFFSET(INDEX(1,),,),#REF!,#REF!)))</f>
        <v>64</v>
      </c>
    </row>
    <row r="1989" spans="1:12" x14ac:dyDescent="0.55000000000000004">
      <c r="A1989" s="1" t="s">
        <v>2164</v>
      </c>
      <c r="B1989" s="2">
        <f>COUNTIF(A:A,A1989)-1</f>
        <v>3</v>
      </c>
      <c r="C1989" s="2">
        <f>COUNTIF(A$1:A1989,A1989)-1</f>
        <v>2</v>
      </c>
      <c r="D1989" s="2" t="str">
        <f t="shared" si="32"/>
        <v>v</v>
      </c>
      <c r="E1989" s="2"/>
      <c r="F1989" s="2" t="e">
        <f>_xlfn.RRI(#REF!,+F1989:G1989,#REF!)</f>
        <v>#REF!</v>
      </c>
      <c r="H1989" s="2" t="e">
        <f>_xlfn.RRI(#REF!,H1989:I1989,#REF!)</f>
        <v>#REF!</v>
      </c>
      <c r="J1989" s="2" t="e">
        <f>_xlfn.RRI(#REF!,INDIRECT(J1989:K1989),#REF!)</f>
        <v>#REF!</v>
      </c>
      <c r="L1989" s="2">
        <f>TYPE(INDEX(,_xlfn.RRI(#REF!,OFFSET(INDEX(1,),,),#REF!)))</f>
        <v>64</v>
      </c>
    </row>
    <row r="1990" spans="1:12" x14ac:dyDescent="0.55000000000000004">
      <c r="A1990" s="1" t="s">
        <v>2164</v>
      </c>
      <c r="B1990" s="2">
        <f>COUNTIF(A:A,A1990)-1</f>
        <v>3</v>
      </c>
      <c r="C1990" s="2">
        <f>COUNTIF(A$1:A1990,A1990)-1</f>
        <v>3</v>
      </c>
      <c r="D1990" s="2" t="str">
        <f t="shared" si="32"/>
        <v>v</v>
      </c>
      <c r="E1990" s="2" t="e">
        <f>_xlfn.RRI(#REF!,#REF!,#REF!)</f>
        <v>#REF!</v>
      </c>
      <c r="F1990" s="2" t="e">
        <f>_xlfn.RRI(#REF!,#REF!,+F1990:G1990)</f>
        <v>#REF!</v>
      </c>
      <c r="H1990" s="2" t="e">
        <f>_xlfn.RRI(#REF!,#REF!,H1990:I1990)</f>
        <v>#REF!</v>
      </c>
      <c r="J1990" s="2" t="e">
        <f>_xlfn.RRI(#REF!,#REF!,INDIRECT(J1990:K1990))</f>
        <v>#REF!</v>
      </c>
      <c r="L1990" s="2">
        <f>TYPE(INDEX(,_xlfn.RRI(#REF!,#REF!,OFFSET(INDEX(1,),,))))</f>
        <v>64</v>
      </c>
    </row>
    <row r="1991" spans="1:12" x14ac:dyDescent="0.55000000000000004">
      <c r="A1991" s="1" t="s">
        <v>2165</v>
      </c>
      <c r="B1991" s="2">
        <f>COUNTIF(A:A,A1991)-1</f>
        <v>1</v>
      </c>
      <c r="C1991" s="2">
        <f>COUNTIF(A$1:A1991,A1991)-1</f>
        <v>0</v>
      </c>
      <c r="D1991" s="2" t="str">
        <f t="shared" si="32"/>
        <v/>
      </c>
      <c r="E1991" s="2"/>
      <c r="F1991" s="2"/>
      <c r="H1991" s="2"/>
      <c r="J1991" s="2"/>
      <c r="L1991" s="2"/>
    </row>
    <row r="1992" spans="1:12" x14ac:dyDescent="0.55000000000000004">
      <c r="A1992" s="1" t="s">
        <v>2165</v>
      </c>
      <c r="B1992" s="2">
        <f>COUNTIF(A:A,A1992)-1</f>
        <v>1</v>
      </c>
      <c r="C1992" s="2">
        <f>COUNTIF(A$1:A1992,A1992)-1</f>
        <v>1</v>
      </c>
      <c r="D1992" s="2" t="str">
        <f t="shared" si="32"/>
        <v>v</v>
      </c>
      <c r="E1992" s="2" t="e">
        <f>_xlfn.UNICHAR(#REF!)</f>
        <v>#REF!</v>
      </c>
      <c r="F1992" s="2" t="e">
        <f>_xlfn.UNICHAR(+F1992:G1992)</f>
        <v>#VALUE!</v>
      </c>
      <c r="H1992" s="2" t="e">
        <f>_xlfn.UNICHAR(H1992:I1992)</f>
        <v>#VALUE!</v>
      </c>
      <c r="J1992" s="2" t="e">
        <f>_xlfn.UNICHAR(INDIRECT(J1992:K1992))</f>
        <v>#REF!</v>
      </c>
      <c r="L1992" s="2">
        <f>TYPE(INDEX(,_xlfn.UNICHAR(OFFSET(INDEX(1,),,))))</f>
        <v>64</v>
      </c>
    </row>
    <row r="1993" spans="1:12" x14ac:dyDescent="0.55000000000000004">
      <c r="A1993" s="1" t="s">
        <v>2166</v>
      </c>
      <c r="B1993" s="2">
        <f>COUNTIF(A:A,A1993)-1</f>
        <v>1</v>
      </c>
      <c r="C1993" s="2">
        <f>COUNTIF(A$1:A1993,A1993)-1</f>
        <v>0</v>
      </c>
      <c r="D1993" s="2" t="str">
        <f t="shared" si="32"/>
        <v/>
      </c>
      <c r="E1993" s="2"/>
      <c r="F1993" s="2"/>
      <c r="H1993" s="2"/>
      <c r="J1993" s="2"/>
      <c r="L1993" s="2"/>
    </row>
    <row r="1994" spans="1:12" x14ac:dyDescent="0.55000000000000004">
      <c r="A1994" s="1" t="s">
        <v>2166</v>
      </c>
      <c r="B1994" s="2">
        <f>COUNTIF(A:A,A1994)-1</f>
        <v>1</v>
      </c>
      <c r="C1994" s="2">
        <f>COUNTIF(A$1:A1994,A1994)-1</f>
        <v>1</v>
      </c>
      <c r="D1994" s="2" t="str">
        <f t="shared" si="32"/>
        <v>v</v>
      </c>
      <c r="E1994" s="2" t="e">
        <f>_xlfn.UNICODE(#REF!)</f>
        <v>#REF!</v>
      </c>
      <c r="F1994" s="2">
        <f>_xlfn.UNICODE(+F1994:G1994)</f>
        <v>48</v>
      </c>
      <c r="H1994" s="2">
        <f>_xlfn.UNICODE(H1994:I1994)</f>
        <v>48</v>
      </c>
      <c r="J1994" s="2" t="e">
        <f>_xlfn.UNICODE(INDIRECT(J1994:K1994))</f>
        <v>#REF!</v>
      </c>
      <c r="L1994" s="2">
        <f>TYPE(INDEX(,_xlfn.UNICODE(OFFSET(INDEX(1,),,))))</f>
        <v>64</v>
      </c>
    </row>
    <row r="1995" spans="1:12" x14ac:dyDescent="0.55000000000000004">
      <c r="A1995" s="1" t="s">
        <v>2167</v>
      </c>
      <c r="B1995" s="2">
        <f>COUNTIF(A:A,A1995)-1</f>
        <v>1</v>
      </c>
      <c r="C1995" s="2">
        <f>COUNTIF(A$1:A1995,A1995)-1</f>
        <v>0</v>
      </c>
      <c r="D1995" s="2" t="str">
        <f t="shared" si="32"/>
        <v/>
      </c>
      <c r="E1995" s="2"/>
      <c r="F1995" s="2"/>
      <c r="H1995" s="2"/>
      <c r="J1995" s="2"/>
      <c r="L1995" s="2"/>
    </row>
    <row r="1996" spans="1:12" x14ac:dyDescent="0.55000000000000004">
      <c r="A1996" s="1" t="s">
        <v>2167</v>
      </c>
      <c r="B1996" s="2">
        <f>COUNTIF(A:A,A1996)-1</f>
        <v>1</v>
      </c>
      <c r="C1996" s="2">
        <f>COUNTIF(A$1:A1996,A1996)-1</f>
        <v>1</v>
      </c>
      <c r="D1996" s="2" t="str">
        <f t="shared" si="32"/>
        <v>v</v>
      </c>
      <c r="E1996" s="2" t="e">
        <f>_xlfn.MUNIT(#REF!)</f>
        <v>#REF!</v>
      </c>
      <c r="F1996" s="2" t="e">
        <f>_xlfn.MUNIT(+F1996:G1996)</f>
        <v>#VALUE!</v>
      </c>
      <c r="H1996" s="2" t="e">
        <f>_xlfn.MUNIT(H1996:I1996)</f>
        <v>#VALUE!</v>
      </c>
      <c r="J1996" s="2" t="e">
        <f>_xlfn.MUNIT(INDIRECT(J1996:K1996))</f>
        <v>#REF!</v>
      </c>
      <c r="L1996" s="2">
        <f>TYPE(INDEX(,_xlfn.MUNIT(OFFSET(INDEX(1,),,))))</f>
        <v>64</v>
      </c>
    </row>
    <row r="1997" spans="1:12" x14ac:dyDescent="0.55000000000000004">
      <c r="A1997" s="1" t="s">
        <v>2168</v>
      </c>
      <c r="B1997" s="2">
        <f>COUNTIF(A:A,A1997)-1</f>
        <v>1</v>
      </c>
      <c r="C1997" s="2">
        <f>COUNTIF(A$1:A1997,A1997)-1</f>
        <v>0</v>
      </c>
      <c r="D1997" s="2" t="str">
        <f t="shared" si="32"/>
        <v/>
      </c>
      <c r="E1997" s="2"/>
      <c r="F1997" s="2"/>
      <c r="H1997" s="2"/>
      <c r="J1997" s="2"/>
      <c r="L1997" s="2"/>
    </row>
    <row r="1998" spans="1:12" x14ac:dyDescent="0.55000000000000004">
      <c r="A1998" s="1" t="s">
        <v>2168</v>
      </c>
      <c r="B1998" s="2">
        <f>COUNTIF(A:A,A1998)-1</f>
        <v>1</v>
      </c>
      <c r="C1998" s="2">
        <f>COUNTIF(A$1:A1998,A1998)-1</f>
        <v>1</v>
      </c>
      <c r="D1998" s="2" t="str">
        <f t="shared" si="32"/>
        <v>v</v>
      </c>
      <c r="E1998" s="2" t="e">
        <f>_xlfn.ARABIC(#REF!)</f>
        <v>#REF!</v>
      </c>
      <c r="F1998" s="2" t="e">
        <f>_xlfn.ARABIC(+F1998:G1998)</f>
        <v>#VALUE!</v>
      </c>
      <c r="H1998" s="2" t="e">
        <f>_xlfn.ARABIC(H1998:I1998)</f>
        <v>#VALUE!</v>
      </c>
      <c r="J1998" s="2" t="e">
        <f>_xlfn.ARABIC(INDIRECT(J1998:K1998))</f>
        <v>#REF!</v>
      </c>
      <c r="L1998" s="2">
        <f>TYPE(INDEX(,_xlfn.ARABIC(OFFSET(INDEX(1,),,))))</f>
        <v>64</v>
      </c>
    </row>
    <row r="1999" spans="1:12" x14ac:dyDescent="0.55000000000000004">
      <c r="A1999" s="1" t="s">
        <v>2169</v>
      </c>
      <c r="B1999" s="2">
        <f>COUNTIF(A:A,A1999)-1</f>
        <v>1</v>
      </c>
      <c r="C1999" s="2">
        <f>COUNTIF(A$1:A1999,A1999)-1</f>
        <v>0</v>
      </c>
      <c r="D1999" s="2" t="str">
        <f t="shared" si="32"/>
        <v/>
      </c>
      <c r="E1999" s="2"/>
      <c r="F1999" s="2"/>
      <c r="H1999" s="2"/>
      <c r="J1999" s="2"/>
      <c r="L1999" s="2"/>
    </row>
    <row r="2000" spans="1:12" x14ac:dyDescent="0.55000000000000004">
      <c r="A2000" s="1" t="s">
        <v>2169</v>
      </c>
      <c r="B2000" s="2">
        <f>COUNTIF(A:A,A2000)-1</f>
        <v>1</v>
      </c>
      <c r="C2000" s="2">
        <f>COUNTIF(A$1:A2000,A2000)-1</f>
        <v>1</v>
      </c>
      <c r="D2000" s="2" t="str">
        <f t="shared" si="32"/>
        <v>v</v>
      </c>
      <c r="E2000" s="2" t="e">
        <f>_xlfn.ISOWEEKNUM(#REF!)</f>
        <v>#REF!</v>
      </c>
      <c r="F2000" s="2">
        <f>_xlfn.ISOWEEKNUM(+F2000:G2000)</f>
        <v>52</v>
      </c>
      <c r="H2000" s="2">
        <f>_xlfn.ISOWEEKNUM(H2000:I2000)</f>
        <v>52</v>
      </c>
      <c r="J2000" s="2" t="e">
        <f>_xlfn.ISOWEEKNUM(INDIRECT(J2000:K2000))</f>
        <v>#REF!</v>
      </c>
      <c r="L2000" s="2">
        <f>TYPE(INDEX(,_xlfn.ISOWEEKNUM(OFFSET(INDEX(1,),,))))</f>
        <v>64</v>
      </c>
    </row>
    <row r="2001" spans="1:12" x14ac:dyDescent="0.55000000000000004">
      <c r="A2001" s="1" t="s">
        <v>2170</v>
      </c>
      <c r="B2001" s="2">
        <f>COUNTIF(A:A,A2001)-1</f>
        <v>3</v>
      </c>
      <c r="C2001" s="2">
        <f>COUNTIF(A$1:A2001,A2001)-1</f>
        <v>0</v>
      </c>
      <c r="D2001" s="2" t="str">
        <f t="shared" si="32"/>
        <v/>
      </c>
      <c r="E2001" s="2"/>
      <c r="F2001" s="2"/>
      <c r="H2001" s="2"/>
      <c r="J2001" s="2"/>
      <c r="L2001" s="2"/>
    </row>
    <row r="2002" spans="1:12" x14ac:dyDescent="0.55000000000000004">
      <c r="A2002" s="1" t="s">
        <v>2170</v>
      </c>
      <c r="B2002" s="2">
        <f>COUNTIF(A:A,A2002)-1</f>
        <v>3</v>
      </c>
      <c r="C2002" s="2">
        <f>COUNTIF(A$1:A2002,A2002)-1</f>
        <v>1</v>
      </c>
      <c r="D2002" s="2" t="str">
        <f t="shared" si="32"/>
        <v>v</v>
      </c>
      <c r="E2002" s="2" t="e">
        <f>_xlfn.NUMBERVALUE(#REF!)</f>
        <v>#REF!</v>
      </c>
      <c r="F2002" s="2" t="e">
        <f>_xlfn.NUMBERVALUE(+F2002:G2002,#REF!,#REF!)</f>
        <v>#REF!</v>
      </c>
      <c r="H2002" s="2" t="e">
        <f>_xlfn.NUMBERVALUE(H2002:I2002,#REF!,#REF!)</f>
        <v>#REF!</v>
      </c>
      <c r="J2002" s="2" t="e">
        <f>_xlfn.NUMBERVALUE(INDIRECT(J2002:K2002),#REF!,#REF!)</f>
        <v>#REF!</v>
      </c>
      <c r="L2002" s="2">
        <f>TYPE(INDEX(,_xlfn.NUMBERVALUE(OFFSET(INDEX(1,),,),#REF!,#REF!)))</f>
        <v>64</v>
      </c>
    </row>
    <row r="2003" spans="1:12" x14ac:dyDescent="0.55000000000000004">
      <c r="A2003" s="1" t="s">
        <v>2170</v>
      </c>
      <c r="B2003" s="2">
        <f>COUNTIF(A:A,A2003)-1</f>
        <v>3</v>
      </c>
      <c r="C2003" s="2">
        <f>COUNTIF(A$1:A2003,A2003)-1</f>
        <v>2</v>
      </c>
      <c r="D2003" s="2" t="str">
        <f t="shared" si="32"/>
        <v>v</v>
      </c>
      <c r="E2003" s="2" t="e">
        <f>_xlfn.NUMBERVALUE(#REF!,#REF!)</f>
        <v>#REF!</v>
      </c>
      <c r="F2003" s="2" t="e">
        <f>_xlfn.NUMBERVALUE(#REF!,+F2003:G2003,#REF!)</f>
        <v>#REF!</v>
      </c>
      <c r="H2003" s="2" t="e">
        <f>_xlfn.NUMBERVALUE(#REF!,H2003:I2003,#REF!)</f>
        <v>#REF!</v>
      </c>
      <c r="J2003" s="2" t="e">
        <f>_xlfn.NUMBERVALUE(#REF!,INDIRECT(J2003:K2003),#REF!)</f>
        <v>#REF!</v>
      </c>
      <c r="L2003" s="2">
        <f>TYPE(INDEX(,_xlfn.NUMBERVALUE(#REF!,OFFSET(INDEX(1,),,),#REF!)))</f>
        <v>64</v>
      </c>
    </row>
    <row r="2004" spans="1:12" x14ac:dyDescent="0.55000000000000004">
      <c r="A2004" s="1" t="s">
        <v>2170</v>
      </c>
      <c r="B2004" s="2">
        <f>COUNTIF(A:A,A2004)-1</f>
        <v>3</v>
      </c>
      <c r="C2004" s="2">
        <f>COUNTIF(A$1:A2004,A2004)-1</f>
        <v>3</v>
      </c>
      <c r="D2004" s="2" t="str">
        <f t="shared" si="32"/>
        <v>v</v>
      </c>
      <c r="E2004" s="2" t="e">
        <f>_xlfn.NUMBERVALUE(#REF!,#REF!,#REF!)</f>
        <v>#REF!</v>
      </c>
      <c r="F2004" s="2" t="e">
        <f>_xlfn.NUMBERVALUE(#REF!,#REF!,+F2004:G2004)</f>
        <v>#REF!</v>
      </c>
      <c r="H2004" s="2" t="e">
        <f>_xlfn.NUMBERVALUE(#REF!,#REF!,H2004:I2004)</f>
        <v>#REF!</v>
      </c>
      <c r="J2004" s="2" t="e">
        <f>_xlfn.NUMBERVALUE(#REF!,#REF!,INDIRECT(J2004:K2004))</f>
        <v>#REF!</v>
      </c>
      <c r="L2004" s="2">
        <f>TYPE(INDEX(,_xlfn.NUMBERVALUE(#REF!,#REF!,OFFSET(INDEX(1,),,))))</f>
        <v>64</v>
      </c>
    </row>
    <row r="2005" spans="1:12" x14ac:dyDescent="0.55000000000000004">
      <c r="A2005" s="1" t="s">
        <v>2171</v>
      </c>
      <c r="B2005" s="2">
        <f>COUNTIF(A:A,A2005)-1</f>
        <v>1</v>
      </c>
      <c r="C2005" s="2">
        <f>COUNTIF(A$1:A2005,A2005)-1</f>
        <v>0</v>
      </c>
      <c r="D2005" s="2" t="str">
        <f t="shared" si="32"/>
        <v/>
      </c>
      <c r="E2005" s="2">
        <f>_xlfn.SHEET()</f>
        <v>7</v>
      </c>
      <c r="F2005" s="2"/>
      <c r="H2005" s="2"/>
      <c r="J2005" s="2"/>
      <c r="L2005" s="2"/>
    </row>
    <row r="2006" spans="1:12" x14ac:dyDescent="0.55000000000000004">
      <c r="A2006" s="1" t="s">
        <v>2171</v>
      </c>
      <c r="B2006" s="2">
        <f>COUNTIF(A:A,A2006)-1</f>
        <v>1</v>
      </c>
      <c r="C2006" s="2">
        <f>COUNTIF(A$1:A2006,A2006)-1</f>
        <v>1</v>
      </c>
      <c r="D2006" s="2" t="str">
        <f t="shared" si="32"/>
        <v>var</v>
      </c>
      <c r="E2006" s="2" t="e">
        <f>_xlfn.SHEET(#REF!)</f>
        <v>#REF!</v>
      </c>
      <c r="F2006" s="2" t="e">
        <f>_xlfn.SHEET(+F2006:G2006)</f>
        <v>#N/A</v>
      </c>
      <c r="H2006" s="2">
        <f>_xlfn.SHEET(H2006:I2006)</f>
        <v>6</v>
      </c>
      <c r="I2006" s="1">
        <v>1</v>
      </c>
      <c r="J2006" s="2" t="e">
        <f>_xlfn.SHEET(INDIRECT(J2006:K2006))</f>
        <v>#REF!</v>
      </c>
      <c r="L2006" s="2">
        <f>TYPE(INDEX(,_xlfn.SHEET(OFFSET(INDEX(1,),,))))</f>
        <v>16</v>
      </c>
    </row>
    <row r="2007" spans="1:12" x14ac:dyDescent="0.55000000000000004">
      <c r="A2007" s="1" t="s">
        <v>2172</v>
      </c>
      <c r="B2007" s="2">
        <f>COUNTIF(A:A,A2007)-1</f>
        <v>1</v>
      </c>
      <c r="C2007" s="2">
        <f>COUNTIF(A$1:A2007,A2007)-1</f>
        <v>0</v>
      </c>
      <c r="D2007" s="2" t="str">
        <f t="shared" si="32"/>
        <v/>
      </c>
      <c r="E2007" s="2">
        <f>_xlfn.SHEETS()</f>
        <v>8</v>
      </c>
      <c r="F2007" s="2"/>
      <c r="H2007" s="2"/>
      <c r="J2007" s="2"/>
      <c r="L2007" s="2"/>
    </row>
    <row r="2008" spans="1:12" x14ac:dyDescent="0.55000000000000004">
      <c r="A2008" s="1" t="s">
        <v>2172</v>
      </c>
      <c r="B2008" s="2">
        <f>COUNTIF(A:A,A2008)-1</f>
        <v>1</v>
      </c>
      <c r="C2008" s="2">
        <f>COUNTIF(A$1:A2008,A2008)-1</f>
        <v>1</v>
      </c>
      <c r="D2008" s="2" t="str">
        <f t="shared" si="32"/>
        <v>ar</v>
      </c>
      <c r="E2008" s="2" t="e">
        <f>_xlfn.SHEETS(#REF!)</f>
        <v>#REF!</v>
      </c>
      <c r="F2008" s="2" t="e">
        <f>_xlfn.SHEETS(+F2008:G2008)</f>
        <v>#N/A</v>
      </c>
      <c r="G2008" s="1">
        <v>1</v>
      </c>
      <c r="H2008" s="2">
        <f>_xlfn.SHEETS(H2008:I2008)</f>
        <v>1</v>
      </c>
      <c r="I2008" s="1">
        <v>1</v>
      </c>
      <c r="J2008" s="2" t="e">
        <f>_xlfn.SHEETS(INDIRECT(J2008:K2008))</f>
        <v>#REF!</v>
      </c>
      <c r="L2008" s="2">
        <f>TYPE(INDEX(,_xlfn.SHEETS(OFFSET(INDEX(1,),,))))</f>
        <v>16</v>
      </c>
    </row>
    <row r="2009" spans="1:12" x14ac:dyDescent="0.55000000000000004">
      <c r="A2009" s="1" t="s">
        <v>2173</v>
      </c>
      <c r="B2009" s="2">
        <f>COUNTIF(A:A,A2009)-1</f>
        <v>1</v>
      </c>
      <c r="C2009" s="2">
        <f>COUNTIF(A$1:A2009,A2009)-1</f>
        <v>0</v>
      </c>
      <c r="D2009" s="2" t="str">
        <f t="shared" si="32"/>
        <v/>
      </c>
      <c r="E2009" s="2"/>
      <c r="F2009" s="2"/>
      <c r="H2009" s="2"/>
      <c r="J2009" s="2"/>
      <c r="L2009" s="2"/>
    </row>
    <row r="2010" spans="1:12" x14ac:dyDescent="0.55000000000000004">
      <c r="A2010" s="1" t="s">
        <v>2173</v>
      </c>
      <c r="B2010" s="2">
        <f>COUNTIF(A:A,A2010)-1</f>
        <v>1</v>
      </c>
      <c r="C2010" s="2">
        <f>COUNTIF(A$1:A2010,A2010)-1</f>
        <v>1</v>
      </c>
      <c r="D2010" s="2" t="str">
        <f t="shared" si="32"/>
        <v>r</v>
      </c>
      <c r="E2010" s="2" t="e">
        <f>_xlfn.FORMULATEXT(#REF!)</f>
        <v>#REF!</v>
      </c>
      <c r="F2010" s="2"/>
      <c r="H2010" s="2" t="str">
        <f>_xlfn.FORMULATEXT(H2010:I2010)</f>
        <v>=FORMULATEXT(H2010:I2010)</v>
      </c>
      <c r="I2010" s="1">
        <v>1</v>
      </c>
      <c r="J2010" s="2" t="e">
        <f>_xlfn.FORMULATEXT(INDIRECT(J2010:K2010))</f>
        <v>#REF!</v>
      </c>
      <c r="L2010" s="2">
        <f>TYPE(INDEX(,_xlfn.FORMULATEXT(OFFSET(INDEX(1,),,))))</f>
        <v>64</v>
      </c>
    </row>
    <row r="2011" spans="1:12" x14ac:dyDescent="0.55000000000000004">
      <c r="A2011" s="1" t="s">
        <v>2174</v>
      </c>
      <c r="B2011" s="2">
        <f>COUNTIF(A:A,A2011)-1</f>
        <v>1</v>
      </c>
      <c r="C2011" s="2">
        <f>COUNTIF(A$1:A2011,A2011)-1</f>
        <v>0</v>
      </c>
      <c r="D2011" s="2" t="str">
        <f t="shared" si="32"/>
        <v/>
      </c>
      <c r="E2011" s="2"/>
      <c r="F2011" s="2"/>
      <c r="H2011" s="2"/>
      <c r="J2011" s="2"/>
      <c r="L2011" s="2"/>
    </row>
    <row r="2012" spans="1:12" x14ac:dyDescent="0.55000000000000004">
      <c r="A2012" s="1" t="s">
        <v>2174</v>
      </c>
      <c r="B2012" s="2">
        <f>COUNTIF(A:A,A2012)-1</f>
        <v>1</v>
      </c>
      <c r="C2012" s="2">
        <f>COUNTIF(A$1:A2012,A2012)-1</f>
        <v>1</v>
      </c>
      <c r="D2012" s="2" t="str">
        <f t="shared" si="32"/>
        <v>r</v>
      </c>
      <c r="E2012" s="2" t="e">
        <f>_xlfn.ISFORMULA(#REF!)</f>
        <v>#REF!</v>
      </c>
      <c r="F2012" s="2"/>
      <c r="H2012" s="2" t="b">
        <f>_xlfn.ISFORMULA(H2012:I2012)</f>
        <v>1</v>
      </c>
      <c r="I2012" s="1">
        <v>1</v>
      </c>
      <c r="J2012" s="2" t="e">
        <f>_xlfn.ISFORMULA(INDIRECT(J2012:K2012))</f>
        <v>#REF!</v>
      </c>
      <c r="L2012" s="2">
        <f>TYPE(INDEX(,_xlfn.ISFORMULA(OFFSET(INDEX(1,),,))))</f>
        <v>64</v>
      </c>
    </row>
    <row r="2013" spans="1:12" x14ac:dyDescent="0.55000000000000004">
      <c r="A2013" s="1" t="s">
        <v>2175</v>
      </c>
      <c r="B2013" s="2">
        <f>COUNTIF(A:A,A2013)-1</f>
        <v>2</v>
      </c>
      <c r="C2013" s="2">
        <f>COUNTIF(A$1:A2013,A2013)-1</f>
        <v>0</v>
      </c>
      <c r="D2013" s="2" t="str">
        <f t="shared" si="32"/>
        <v/>
      </c>
      <c r="E2013" s="2"/>
      <c r="F2013" s="2"/>
      <c r="H2013" s="2"/>
      <c r="J2013" s="2"/>
      <c r="L2013" s="2"/>
    </row>
    <row r="2014" spans="1:12" x14ac:dyDescent="0.55000000000000004">
      <c r="A2014" s="1" t="s">
        <v>2175</v>
      </c>
      <c r="B2014" s="2">
        <f>COUNTIF(A:A,A2014)-1</f>
        <v>2</v>
      </c>
      <c r="C2014" s="2">
        <f>COUNTIF(A$1:A2014,A2014)-1</f>
        <v>1</v>
      </c>
      <c r="D2014" s="2" t="str">
        <f t="shared" si="32"/>
        <v>va</v>
      </c>
      <c r="E2014" s="2"/>
      <c r="F2014" s="2">
        <f>_xlfn.IFNA(+F2014:G2014,#REF!)</f>
        <v>0</v>
      </c>
      <c r="H2014" s="2">
        <f>_xlfn.IFNA(H2014:I2014,#REF!)</f>
        <v>0</v>
      </c>
      <c r="J2014" s="2" t="e">
        <f>_xlfn.IFNA(INDIRECT(J2014:K2014),#REF!)</f>
        <v>#REF!</v>
      </c>
      <c r="L2014" s="2">
        <f>TYPE(INDEX(,_xlfn.IFNA(OFFSET(INDEX(1,),,),#REF!)))</f>
        <v>16</v>
      </c>
    </row>
    <row r="2015" spans="1:12" x14ac:dyDescent="0.55000000000000004">
      <c r="A2015" s="1" t="s">
        <v>2175</v>
      </c>
      <c r="B2015" s="2">
        <f>COUNTIF(A:A,A2015)-1</f>
        <v>2</v>
      </c>
      <c r="C2015" s="2">
        <f>COUNTIF(A$1:A2015,A2015)-1</f>
        <v>2</v>
      </c>
      <c r="D2015" s="2" t="str">
        <f t="shared" si="32"/>
        <v>var</v>
      </c>
      <c r="E2015" s="2" t="e">
        <f>_xlfn.IFNA(#REF!,#REF!)</f>
        <v>#REF!</v>
      </c>
      <c r="F2015" s="2" t="e">
        <f>_xlfn.IFNA(#REF!,+F2015:G2015)</f>
        <v>#REF!</v>
      </c>
      <c r="H2015" s="2" t="e">
        <f>_xlfn.IFNA(#REF!,H2015:I2015)</f>
        <v>#REF!</v>
      </c>
      <c r="I2015" s="1">
        <v>1</v>
      </c>
      <c r="J2015" s="2" t="e">
        <f>_xlfn.IFNA(#REF!,INDIRECT(J2015:K2015))</f>
        <v>#REF!</v>
      </c>
      <c r="L2015" s="2">
        <f>TYPE(INDEX(,_xlfn.IFNA(#REF!,OFFSET(INDEX(1,),,))))</f>
        <v>16</v>
      </c>
    </row>
    <row r="2016" spans="1:12" x14ac:dyDescent="0.55000000000000004">
      <c r="A2016" s="1" t="s">
        <v>2176</v>
      </c>
      <c r="B2016" s="2">
        <f>COUNTIF(A:A,A2016)-1</f>
        <v>3</v>
      </c>
      <c r="C2016" s="2">
        <f>COUNTIF(A$1:A2016,A2016)-1</f>
        <v>0</v>
      </c>
      <c r="D2016" s="2" t="str">
        <f t="shared" si="32"/>
        <v/>
      </c>
      <c r="E2016" s="2"/>
      <c r="F2016" s="2"/>
      <c r="H2016" s="2"/>
      <c r="J2016" s="2"/>
      <c r="L2016" s="2"/>
    </row>
    <row r="2017" spans="1:12" x14ac:dyDescent="0.55000000000000004">
      <c r="A2017" s="1" t="s">
        <v>2176</v>
      </c>
      <c r="B2017" s="2">
        <f>COUNTIF(A:A,A2017)-1</f>
        <v>3</v>
      </c>
      <c r="C2017" s="2">
        <f>COUNTIF(A$1:A2017,A2017)-1</f>
        <v>1</v>
      </c>
      <c r="D2017" s="2" t="str">
        <f t="shared" si="32"/>
        <v>v</v>
      </c>
      <c r="E2017" s="2" t="e">
        <f>_xlfn.CEILING.MATH(#REF!)</f>
        <v>#REF!</v>
      </c>
      <c r="F2017" s="2" t="e">
        <f>_xlfn.CEILING.MATH(+F2017:G2017,#REF!,#REF!)</f>
        <v>#REF!</v>
      </c>
      <c r="H2017" s="2" t="e">
        <f>_xlfn.CEILING.MATH(H2017:I2017,#REF!,#REF!)</f>
        <v>#REF!</v>
      </c>
      <c r="J2017" s="2" t="e">
        <f>_xlfn.CEILING.MATH(INDIRECT(J2017:K2017),#REF!,#REF!)</f>
        <v>#REF!</v>
      </c>
      <c r="L2017" s="2">
        <f>TYPE(INDEX(,_xlfn.CEILING.MATH(OFFSET(INDEX(1,),,),#REF!,#REF!)))</f>
        <v>64</v>
      </c>
    </row>
    <row r="2018" spans="1:12" x14ac:dyDescent="0.55000000000000004">
      <c r="A2018" s="1" t="s">
        <v>2176</v>
      </c>
      <c r="B2018" s="2">
        <f>COUNTIF(A:A,A2018)-1</f>
        <v>3</v>
      </c>
      <c r="C2018" s="2">
        <f>COUNTIF(A$1:A2018,A2018)-1</f>
        <v>2</v>
      </c>
      <c r="D2018" s="2" t="str">
        <f t="shared" si="32"/>
        <v>v</v>
      </c>
      <c r="E2018" s="2" t="e">
        <f>_xlfn.CEILING.MATH(#REF!,#REF!)</f>
        <v>#REF!</v>
      </c>
      <c r="F2018" s="2" t="e">
        <f>_xlfn.CEILING.MATH(#REF!,+F2018:G2018,#REF!)</f>
        <v>#REF!</v>
      </c>
      <c r="H2018" s="2" t="e">
        <f>_xlfn.CEILING.MATH(#REF!,H2018:I2018,#REF!)</f>
        <v>#REF!</v>
      </c>
      <c r="J2018" s="2" t="e">
        <f>_xlfn.CEILING.MATH(#REF!,INDIRECT(J2018:K2018),#REF!)</f>
        <v>#REF!</v>
      </c>
      <c r="L2018" s="2">
        <f>TYPE(INDEX(,_xlfn.CEILING.MATH(#REF!,OFFSET(INDEX(1,),,),#REF!)))</f>
        <v>64</v>
      </c>
    </row>
    <row r="2019" spans="1:12" x14ac:dyDescent="0.55000000000000004">
      <c r="A2019" s="1" t="s">
        <v>2176</v>
      </c>
      <c r="B2019" s="2">
        <f>COUNTIF(A:A,A2019)-1</f>
        <v>3</v>
      </c>
      <c r="C2019" s="2">
        <f>COUNTIF(A$1:A2019,A2019)-1</f>
        <v>3</v>
      </c>
      <c r="D2019" s="2" t="str">
        <f t="shared" si="32"/>
        <v>v</v>
      </c>
      <c r="E2019" s="2" t="e">
        <f>_xlfn.CEILING.MATH(#REF!,#REF!,#REF!)</f>
        <v>#REF!</v>
      </c>
      <c r="F2019" s="2" t="e">
        <f>_xlfn.CEILING.MATH(#REF!,#REF!,+F2019:G2019)</f>
        <v>#REF!</v>
      </c>
      <c r="H2019" s="2" t="e">
        <f>_xlfn.CEILING.MATH(#REF!,#REF!,H2019:I2019)</f>
        <v>#REF!</v>
      </c>
      <c r="J2019" s="2" t="e">
        <f>_xlfn.CEILING.MATH(#REF!,#REF!,INDIRECT(J2019:K2019))</f>
        <v>#REF!</v>
      </c>
      <c r="L2019" s="2">
        <f>TYPE(INDEX(,_xlfn.CEILING.MATH(#REF!,#REF!,OFFSET(INDEX(1,),,))))</f>
        <v>64</v>
      </c>
    </row>
    <row r="2020" spans="1:12" x14ac:dyDescent="0.55000000000000004">
      <c r="A2020" s="1" t="s">
        <v>2177</v>
      </c>
      <c r="B2020" s="2">
        <f>COUNTIF(A:A,A2020)-1</f>
        <v>3</v>
      </c>
      <c r="C2020" s="2">
        <f>COUNTIF(A$1:A2020,A2020)-1</f>
        <v>0</v>
      </c>
      <c r="D2020" s="2" t="str">
        <f t="shared" si="32"/>
        <v/>
      </c>
      <c r="E2020" s="2"/>
      <c r="F2020" s="2"/>
      <c r="H2020" s="2"/>
      <c r="J2020" s="2"/>
      <c r="L2020" s="2"/>
    </row>
    <row r="2021" spans="1:12" x14ac:dyDescent="0.55000000000000004">
      <c r="A2021" s="1" t="s">
        <v>2177</v>
      </c>
      <c r="B2021" s="2">
        <f>COUNTIF(A:A,A2021)-1</f>
        <v>3</v>
      </c>
      <c r="C2021" s="2">
        <f>COUNTIF(A$1:A2021,A2021)-1</f>
        <v>1</v>
      </c>
      <c r="D2021" s="2" t="str">
        <f t="shared" si="32"/>
        <v>v</v>
      </c>
      <c r="E2021" s="2" t="e">
        <f>_xlfn.FLOOR.MATH(#REF!)</f>
        <v>#REF!</v>
      </c>
      <c r="F2021" s="2" t="e">
        <f>_xlfn.FLOOR.MATH(+F2021:G2021,#REF!,#REF!)</f>
        <v>#REF!</v>
      </c>
      <c r="H2021" s="2" t="e">
        <f>_xlfn.FLOOR.MATH(H2021:I2021,#REF!,#REF!)</f>
        <v>#REF!</v>
      </c>
      <c r="J2021" s="2" t="e">
        <f>_xlfn.FLOOR.MATH(INDIRECT(J2021:K2021),#REF!,#REF!)</f>
        <v>#REF!</v>
      </c>
      <c r="L2021" s="2">
        <f>TYPE(INDEX(,_xlfn.FLOOR.MATH(OFFSET(INDEX(1,),,),#REF!,#REF!)))</f>
        <v>64</v>
      </c>
    </row>
    <row r="2022" spans="1:12" x14ac:dyDescent="0.55000000000000004">
      <c r="A2022" s="1" t="s">
        <v>2177</v>
      </c>
      <c r="B2022" s="2">
        <f>COUNTIF(A:A,A2022)-1</f>
        <v>3</v>
      </c>
      <c r="C2022" s="2">
        <f>COUNTIF(A$1:A2022,A2022)-1</f>
        <v>2</v>
      </c>
      <c r="D2022" s="2" t="str">
        <f t="shared" si="32"/>
        <v>v</v>
      </c>
      <c r="E2022" s="2" t="e">
        <f>_xlfn.FLOOR.MATH(#REF!,#REF!)</f>
        <v>#REF!</v>
      </c>
      <c r="F2022" s="2" t="e">
        <f>_xlfn.FLOOR.MATH(#REF!,+F2022:G2022,#REF!)</f>
        <v>#REF!</v>
      </c>
      <c r="H2022" s="2" t="e">
        <f>_xlfn.FLOOR.MATH(#REF!,H2022:I2022,#REF!)</f>
        <v>#REF!</v>
      </c>
      <c r="J2022" s="2" t="e">
        <f>_xlfn.FLOOR.MATH(#REF!,INDIRECT(J2022:K2022),#REF!)</f>
        <v>#REF!</v>
      </c>
      <c r="L2022" s="2">
        <f>TYPE(INDEX(,_xlfn.FLOOR.MATH(#REF!,OFFSET(INDEX(1,),,),#REF!)))</f>
        <v>64</v>
      </c>
    </row>
    <row r="2023" spans="1:12" x14ac:dyDescent="0.55000000000000004">
      <c r="A2023" s="1" t="s">
        <v>2177</v>
      </c>
      <c r="B2023" s="2">
        <f>COUNTIF(A:A,A2023)-1</f>
        <v>3</v>
      </c>
      <c r="C2023" s="2">
        <f>COUNTIF(A$1:A2023,A2023)-1</f>
        <v>3</v>
      </c>
      <c r="D2023" s="2" t="str">
        <f t="shared" si="32"/>
        <v>v</v>
      </c>
      <c r="E2023" s="2" t="e">
        <f>_xlfn.FLOOR.MATH(#REF!,#REF!,#REF!)</f>
        <v>#REF!</v>
      </c>
      <c r="F2023" s="2" t="e">
        <f>_xlfn.FLOOR.MATH(#REF!,#REF!,+F2023:G2023)</f>
        <v>#REF!</v>
      </c>
      <c r="H2023" s="2" t="e">
        <f>_xlfn.FLOOR.MATH(#REF!,#REF!,H2023:I2023)</f>
        <v>#REF!</v>
      </c>
      <c r="J2023" s="2" t="e">
        <f>_xlfn.FLOOR.MATH(#REF!,#REF!,INDIRECT(J2023:K2023))</f>
        <v>#REF!</v>
      </c>
      <c r="L2023" s="2">
        <f>TYPE(INDEX(,_xlfn.FLOOR.MATH(#REF!,#REF!,OFFSET(INDEX(1,),,))))</f>
        <v>64</v>
      </c>
    </row>
    <row r="2024" spans="1:12" x14ac:dyDescent="0.55000000000000004">
      <c r="A2024" s="1" t="s">
        <v>2178</v>
      </c>
      <c r="B2024" s="2">
        <f>COUNTIF(A:A,A2024)-1</f>
        <v>1</v>
      </c>
      <c r="C2024" s="2">
        <f>COUNTIF(A$1:A2024,A2024)-1</f>
        <v>0</v>
      </c>
      <c r="D2024" s="2" t="str">
        <f t="shared" si="32"/>
        <v/>
      </c>
      <c r="E2024" s="2"/>
      <c r="F2024" s="2"/>
      <c r="H2024" s="2"/>
      <c r="J2024" s="2"/>
      <c r="L2024" s="2"/>
    </row>
    <row r="2025" spans="1:12" x14ac:dyDescent="0.55000000000000004">
      <c r="A2025" s="1" t="s">
        <v>2178</v>
      </c>
      <c r="B2025" s="2">
        <f>COUNTIF(A:A,A2025)-1</f>
        <v>1</v>
      </c>
      <c r="C2025" s="2">
        <f>COUNTIF(A$1:A2025,A2025)-1</f>
        <v>1</v>
      </c>
      <c r="D2025" s="2" t="str">
        <f t="shared" si="32"/>
        <v>vr</v>
      </c>
      <c r="E2025" s="2" t="e">
        <f>_xlfn.IMSINH(#REF!)</f>
        <v>#REF!</v>
      </c>
      <c r="F2025" s="2" t="str">
        <f>_xlfn.IMSINH(+F2025:G2025)</f>
        <v>0</v>
      </c>
      <c r="H2025" s="2" t="e">
        <f>_xlfn.IMSINH(H2025:I2025)</f>
        <v>#VALUE!</v>
      </c>
      <c r="I2025" s="1">
        <v>1</v>
      </c>
      <c r="J2025" s="2" t="e">
        <f>_xlfn.IMSINH(INDIRECT(J2025:K2025))</f>
        <v>#REF!</v>
      </c>
      <c r="L2025" s="2">
        <f>TYPE(INDEX(,_xlfn.IMSINH(OFFSET(INDEX(1,),,))))</f>
        <v>64</v>
      </c>
    </row>
    <row r="2026" spans="1:12" x14ac:dyDescent="0.55000000000000004">
      <c r="A2026" s="1" t="s">
        <v>2179</v>
      </c>
      <c r="B2026" s="2">
        <f>COUNTIF(A:A,A2026)-1</f>
        <v>1</v>
      </c>
      <c r="C2026" s="2">
        <f>COUNTIF(A$1:A2026,A2026)-1</f>
        <v>0</v>
      </c>
      <c r="D2026" s="2" t="str">
        <f t="shared" si="32"/>
        <v/>
      </c>
      <c r="E2026" s="2"/>
      <c r="F2026" s="2"/>
      <c r="H2026" s="2"/>
      <c r="J2026" s="2"/>
      <c r="L2026" s="2"/>
    </row>
    <row r="2027" spans="1:12" x14ac:dyDescent="0.55000000000000004">
      <c r="A2027" s="1" t="s">
        <v>2179</v>
      </c>
      <c r="B2027" s="2">
        <f>COUNTIF(A:A,A2027)-1</f>
        <v>1</v>
      </c>
      <c r="C2027" s="2">
        <f>COUNTIF(A$1:A2027,A2027)-1</f>
        <v>1</v>
      </c>
      <c r="D2027" s="2" t="str">
        <f t="shared" si="32"/>
        <v>vr</v>
      </c>
      <c r="E2027" s="2" t="e">
        <f>_xlfn.IMCOSH(#REF!)</f>
        <v>#REF!</v>
      </c>
      <c r="F2027" s="2" t="str">
        <f>_xlfn.IMCOSH(+F2027:G2027)</f>
        <v>1</v>
      </c>
      <c r="H2027" s="2" t="e">
        <f>_xlfn.IMCOSH(H2027:I2027)</f>
        <v>#VALUE!</v>
      </c>
      <c r="I2027" s="1">
        <v>1</v>
      </c>
      <c r="J2027" s="2" t="e">
        <f>_xlfn.IMCOSH(INDIRECT(J2027:K2027))</f>
        <v>#REF!</v>
      </c>
      <c r="L2027" s="2">
        <f>TYPE(INDEX(,_xlfn.IMCOSH(OFFSET(INDEX(1,),,))))</f>
        <v>64</v>
      </c>
    </row>
    <row r="2028" spans="1:12" x14ac:dyDescent="0.55000000000000004">
      <c r="A2028" s="1" t="s">
        <v>2180</v>
      </c>
      <c r="B2028" s="2">
        <f>COUNTIF(A:A,A2028)-1</f>
        <v>2</v>
      </c>
      <c r="C2028" s="2">
        <f>COUNTIF(A$1:A2028,A2028)-1</f>
        <v>0</v>
      </c>
      <c r="D2028" s="2" t="str">
        <f t="shared" si="32"/>
        <v/>
      </c>
      <c r="E2028" s="2"/>
      <c r="F2028" s="2"/>
      <c r="H2028" s="2"/>
      <c r="J2028" s="2"/>
      <c r="L2028" s="2"/>
    </row>
    <row r="2029" spans="1:12" x14ac:dyDescent="0.55000000000000004">
      <c r="A2029" s="1" t="s">
        <v>2180</v>
      </c>
      <c r="B2029" s="2">
        <f>COUNTIF(A:A,A2029)-1</f>
        <v>2</v>
      </c>
      <c r="C2029" s="2">
        <f>COUNTIF(A$1:A2029,A2029)-1</f>
        <v>1</v>
      </c>
      <c r="D2029" s="2" t="str">
        <f t="shared" si="32"/>
        <v>v</v>
      </c>
      <c r="E2029" s="2"/>
      <c r="F2029" s="2" t="e">
        <f>_xlfn.FILTERXML(+F2029:G2029,#REF!)</f>
        <v>#REF!</v>
      </c>
      <c r="H2029" s="2" t="e">
        <f>_xlfn.FILTERXML(H2029:I2029,#REF!)</f>
        <v>#REF!</v>
      </c>
      <c r="J2029" s="2" t="e">
        <f>_xlfn.FILTERXML(INDIRECT(J2029:K2029),#REF!)</f>
        <v>#REF!</v>
      </c>
      <c r="L2029" s="2">
        <f>TYPE(INDEX(,_xlfn.FILTERXML(OFFSET(INDEX(1,),,),#REF!)))</f>
        <v>64</v>
      </c>
    </row>
    <row r="2030" spans="1:12" x14ac:dyDescent="0.55000000000000004">
      <c r="A2030" s="1" t="s">
        <v>2180</v>
      </c>
      <c r="B2030" s="2">
        <f>COUNTIF(A:A,A2030)-1</f>
        <v>2</v>
      </c>
      <c r="C2030" s="2">
        <f>COUNTIF(A$1:A2030,A2030)-1</f>
        <v>2</v>
      </c>
      <c r="D2030" s="2" t="str">
        <f t="shared" si="32"/>
        <v>v</v>
      </c>
      <c r="E2030" s="2" t="e">
        <f>_xlfn.FILTERXML(#REF!,#REF!)</f>
        <v>#REF!</v>
      </c>
      <c r="F2030" s="2" t="e">
        <f>_xlfn.FILTERXML(#REF!,+F2030:G2030)</f>
        <v>#REF!</v>
      </c>
      <c r="H2030" s="2" t="e">
        <f>_xlfn.FILTERXML(#REF!,H2030:I2030)</f>
        <v>#REF!</v>
      </c>
      <c r="J2030" s="2" t="e">
        <f>_xlfn.FILTERXML(#REF!,INDIRECT(J2030:K2030))</f>
        <v>#REF!</v>
      </c>
      <c r="L2030" s="2">
        <f>TYPE(INDEX(,_xlfn.FILTERXML(#REF!,OFFSET(INDEX(1,),,))))</f>
        <v>64</v>
      </c>
    </row>
    <row r="2031" spans="1:12" x14ac:dyDescent="0.55000000000000004">
      <c r="A2031" s="1" t="s">
        <v>2181</v>
      </c>
      <c r="B2031" s="2">
        <f>COUNTIF(A:A,A2031)-1</f>
        <v>1</v>
      </c>
      <c r="C2031" s="2">
        <f>COUNTIF(A$1:A2031,A2031)-1</f>
        <v>0</v>
      </c>
      <c r="D2031" s="2" t="str">
        <f t="shared" si="32"/>
        <v/>
      </c>
      <c r="E2031" s="2"/>
      <c r="F2031" s="2"/>
      <c r="H2031" s="2"/>
      <c r="J2031" s="2"/>
      <c r="L2031" s="2"/>
    </row>
    <row r="2032" spans="1:12" x14ac:dyDescent="0.55000000000000004">
      <c r="A2032" s="1" t="s">
        <v>2181</v>
      </c>
      <c r="B2032" s="2">
        <f>COUNTIF(A:A,A2032)-1</f>
        <v>1</v>
      </c>
      <c r="C2032" s="2">
        <f>COUNTIF(A$1:A2032,A2032)-1</f>
        <v>1</v>
      </c>
      <c r="D2032" s="2" t="str">
        <f t="shared" si="32"/>
        <v>v</v>
      </c>
      <c r="E2032" s="2" t="e">
        <f>_xlfn.WEBSERVICE(#REF!)</f>
        <v>#REF!</v>
      </c>
      <c r="F2032" s="2" t="e">
        <f>_xlfn.WEBSERVICE(+F2032:G2032)</f>
        <v>#VALUE!</v>
      </c>
      <c r="H2032" s="2" t="e">
        <f>_xlfn.WEBSERVICE(H2032:I2032)</f>
        <v>#VALUE!</v>
      </c>
      <c r="J2032" s="2" t="e">
        <f>_xlfn.WEBSERVICE(INDIRECT(J2032:K2032))</f>
        <v>#REF!</v>
      </c>
      <c r="L2032" s="2">
        <f>TYPE(INDEX(,_xlfn.WEBSERVICE(OFFSET(INDEX(1,),,))))</f>
        <v>64</v>
      </c>
    </row>
    <row r="2033" spans="1:12" x14ac:dyDescent="0.55000000000000004">
      <c r="A2033" s="1" t="s">
        <v>2182</v>
      </c>
      <c r="B2033" s="2">
        <f>COUNTIF(A:A,A2033)-1</f>
        <v>1</v>
      </c>
      <c r="C2033" s="2">
        <f>COUNTIF(A$1:A2033,A2033)-1</f>
        <v>0</v>
      </c>
      <c r="D2033" s="2" t="str">
        <f t="shared" si="32"/>
        <v/>
      </c>
      <c r="E2033" s="2"/>
      <c r="F2033" s="2"/>
      <c r="H2033" s="2"/>
      <c r="J2033" s="2"/>
      <c r="L2033" s="2"/>
    </row>
    <row r="2034" spans="1:12" x14ac:dyDescent="0.55000000000000004">
      <c r="A2034" s="1" t="s">
        <v>2182</v>
      </c>
      <c r="B2034" s="2">
        <f>COUNTIF(A:A,A2034)-1</f>
        <v>1</v>
      </c>
      <c r="C2034" s="2">
        <f>COUNTIF(A$1:A2034,A2034)-1</f>
        <v>1</v>
      </c>
      <c r="D2034" s="2" t="str">
        <f t="shared" si="32"/>
        <v>v</v>
      </c>
      <c r="E2034" s="2" t="e">
        <f>_xlfn.ENCODEURL(#REF!)</f>
        <v>#REF!</v>
      </c>
      <c r="F2034" s="2" t="str">
        <f>_xlfn.ENCODEURL(+F2034:G2034)</f>
        <v>0</v>
      </c>
      <c r="H2034" s="2" t="str">
        <f>_xlfn.ENCODEURL(H2034:I2034)</f>
        <v>0</v>
      </c>
      <c r="J2034" s="2" t="e">
        <f>_xlfn.ENCODEURL(INDIRECT(J2034:K2034))</f>
        <v>#REF!</v>
      </c>
      <c r="L2034" s="2">
        <f>TYPE(INDEX(,_xlfn.ENCODEURL(OFFSET(INDEX(1,),,))))</f>
        <v>64</v>
      </c>
    </row>
    <row r="2035" spans="1:12" x14ac:dyDescent="0.55000000000000004">
      <c r="A2035" s="1" t="s">
        <v>2183</v>
      </c>
      <c r="B2035" s="2">
        <f>COUNTIF(A:A,A2035)-1</f>
        <v>6</v>
      </c>
      <c r="C2035" s="2">
        <f>COUNTIF(A$1:A2035,A2035)-1</f>
        <v>0</v>
      </c>
      <c r="D2035" s="2" t="str">
        <f t="shared" si="32"/>
        <v/>
      </c>
      <c r="E2035" s="2"/>
      <c r="F2035" s="2"/>
      <c r="H2035" s="2"/>
      <c r="J2035" s="2"/>
      <c r="L2035" s="2"/>
    </row>
    <row r="2036" spans="1:12" x14ac:dyDescent="0.55000000000000004">
      <c r="A2036" s="1" t="s">
        <v>2183</v>
      </c>
      <c r="B2036" s="2">
        <f>COUNTIF(A:A,A2036)-1</f>
        <v>6</v>
      </c>
      <c r="C2036" s="2">
        <f>COUNTIF(A$1:A2036,A2036)-1</f>
        <v>1</v>
      </c>
      <c r="D2036" s="2" t="str">
        <f t="shared" si="32"/>
        <v>v</v>
      </c>
      <c r="E2036" s="2"/>
      <c r="F2036" s="2" t="e">
        <f>_xlfn.FORECAST.ETS(+F2036:G2036,#REF!,#REF!,#REF!,#REF!,#REF!)</f>
        <v>#REF!</v>
      </c>
      <c r="H2036" s="2" t="e">
        <f>_xlfn.FORECAST.ETS(H2036:I2036,#REF!,#REF!,#REF!,#REF!,#REF!)</f>
        <v>#REF!</v>
      </c>
      <c r="J2036" s="2" t="e">
        <f>_xlfn.FORECAST.ETS(INDIRECT(J2036:K2036),#REF!,#REF!,#REF!,#REF!,#REF!)</f>
        <v>#REF!</v>
      </c>
      <c r="L2036" s="2">
        <f>TYPE(INDEX(,_xlfn.FORECAST.ETS(OFFSET(INDEX(1,),,),#REF!,#REF!,#REF!,#REF!,#REF!)))</f>
        <v>64</v>
      </c>
    </row>
    <row r="2037" spans="1:12" x14ac:dyDescent="0.55000000000000004">
      <c r="A2037" s="1" t="s">
        <v>2183</v>
      </c>
      <c r="B2037" s="2">
        <f>COUNTIF(A:A,A2037)-1</f>
        <v>6</v>
      </c>
      <c r="C2037" s="2">
        <f>COUNTIF(A$1:A2037,A2037)-1</f>
        <v>2</v>
      </c>
      <c r="D2037" s="2" t="str">
        <f t="shared" si="32"/>
        <v>ar</v>
      </c>
      <c r="E2037" s="2"/>
      <c r="F2037" s="2" t="e">
        <f>_xlfn.FORECAST.ETS(#REF!,+F2037:G2037,#REF!,#REF!,#REF!,#REF!)</f>
        <v>#REF!</v>
      </c>
      <c r="G2037" s="1">
        <v>1</v>
      </c>
      <c r="H2037" s="2" t="e">
        <f>_xlfn.FORECAST.ETS(#REF!,H2037:I2037,#REF!,#REF!,#REF!,#REF!)</f>
        <v>#REF!</v>
      </c>
      <c r="I2037" s="1">
        <v>1</v>
      </c>
      <c r="J2037" s="2" t="e">
        <f>_xlfn.FORECAST.ETS(#REF!,INDIRECT(J2037:K2037),#REF!,#REF!,#REF!,#REF!)</f>
        <v>#REF!</v>
      </c>
      <c r="L2037" s="2">
        <f>TYPE(INDEX(,_xlfn.FORECAST.ETS(#REF!,OFFSET(INDEX(1,),,),#REF!,#REF!,#REF!,#REF!)))</f>
        <v>16</v>
      </c>
    </row>
    <row r="2038" spans="1:12" x14ac:dyDescent="0.55000000000000004">
      <c r="A2038" s="1" t="s">
        <v>2183</v>
      </c>
      <c r="B2038" s="2">
        <f>COUNTIF(A:A,A2038)-1</f>
        <v>6</v>
      </c>
      <c r="C2038" s="2">
        <f>COUNTIF(A$1:A2038,A2038)-1</f>
        <v>3</v>
      </c>
      <c r="D2038" s="2" t="str">
        <f t="shared" si="32"/>
        <v>ar</v>
      </c>
      <c r="E2038" s="2" t="e">
        <f>_xlfn.FORECAST.ETS(#REF!,#REF!,#REF!)</f>
        <v>#REF!</v>
      </c>
      <c r="F2038" s="2" t="e">
        <f>_xlfn.FORECAST.ETS(#REF!,#REF!,+F2038:G2038,#REF!,#REF!,#REF!)</f>
        <v>#REF!</v>
      </c>
      <c r="G2038" s="1">
        <v>1</v>
      </c>
      <c r="H2038" s="2" t="e">
        <f>_xlfn.FORECAST.ETS(#REF!,#REF!,H2038:I2038,#REF!,#REF!,#REF!)</f>
        <v>#REF!</v>
      </c>
      <c r="I2038" s="1">
        <v>1</v>
      </c>
      <c r="J2038" s="2" t="e">
        <f>_xlfn.FORECAST.ETS(#REF!,#REF!,INDIRECT(J2038:K2038),#REF!,#REF!,#REF!)</f>
        <v>#REF!</v>
      </c>
      <c r="L2038" s="2">
        <f>TYPE(INDEX(,_xlfn.FORECAST.ETS(#REF!,#REF!,OFFSET(INDEX(1,),,),#REF!,#REF!,#REF!)))</f>
        <v>16</v>
      </c>
    </row>
    <row r="2039" spans="1:12" x14ac:dyDescent="0.55000000000000004">
      <c r="A2039" s="1" t="s">
        <v>2183</v>
      </c>
      <c r="B2039" s="2">
        <f>COUNTIF(A:A,A2039)-1</f>
        <v>6</v>
      </c>
      <c r="C2039" s="2">
        <f>COUNTIF(A$1:A2039,A2039)-1</f>
        <v>4</v>
      </c>
      <c r="D2039" s="2" t="str">
        <f t="shared" si="32"/>
        <v>v</v>
      </c>
      <c r="E2039" s="2" t="e">
        <f>_xlfn.FORECAST.ETS(#REF!,#REF!,#REF!,#REF!)</f>
        <v>#REF!</v>
      </c>
      <c r="F2039" s="2" t="e">
        <f>_xlfn.FORECAST.ETS(#REF!,#REF!,#REF!,+F2039:G2039,#REF!,#REF!)</f>
        <v>#REF!</v>
      </c>
      <c r="H2039" s="2" t="e">
        <f>_xlfn.FORECAST.ETS(#REF!,#REF!,#REF!,H2039:I2039,#REF!,#REF!)</f>
        <v>#REF!</v>
      </c>
      <c r="J2039" s="2" t="e">
        <f>_xlfn.FORECAST.ETS(#REF!,#REF!,#REF!,INDIRECT(J2039:K2039),#REF!,#REF!)</f>
        <v>#REF!</v>
      </c>
      <c r="L2039" s="2">
        <f>TYPE(INDEX(,_xlfn.FORECAST.ETS(#REF!,#REF!,#REF!,OFFSET(INDEX(1,),,),#REF!,#REF!)))</f>
        <v>64</v>
      </c>
    </row>
    <row r="2040" spans="1:12" x14ac:dyDescent="0.55000000000000004">
      <c r="A2040" s="1" t="s">
        <v>2183</v>
      </c>
      <c r="B2040" s="2">
        <f>COUNTIF(A:A,A2040)-1</f>
        <v>6</v>
      </c>
      <c r="C2040" s="2">
        <f>COUNTIF(A$1:A2040,A2040)-1</f>
        <v>5</v>
      </c>
      <c r="D2040" s="2" t="str">
        <f t="shared" si="32"/>
        <v>v</v>
      </c>
      <c r="E2040" s="2" t="e">
        <f>_xlfn.FORECAST.ETS(#REF!,#REF!,#REF!,#REF!,#REF!)</f>
        <v>#REF!</v>
      </c>
      <c r="F2040" s="2" t="e">
        <f>_xlfn.FORECAST.ETS(#REF!,#REF!,#REF!,#REF!,+F2040:G2040,#REF!)</f>
        <v>#REF!</v>
      </c>
      <c r="H2040" s="2" t="e">
        <f>_xlfn.FORECAST.ETS(#REF!,#REF!,#REF!,#REF!,H2040:I2040,#REF!)</f>
        <v>#REF!</v>
      </c>
      <c r="J2040" s="2" t="e">
        <f>_xlfn.FORECAST.ETS(#REF!,#REF!,#REF!,#REF!,INDIRECT(J2040:K2040),#REF!)</f>
        <v>#REF!</v>
      </c>
      <c r="L2040" s="2">
        <f>TYPE(INDEX(,_xlfn.FORECAST.ETS(#REF!,#REF!,#REF!,#REF!,OFFSET(INDEX(1,),,),#REF!)))</f>
        <v>64</v>
      </c>
    </row>
    <row r="2041" spans="1:12" x14ac:dyDescent="0.55000000000000004">
      <c r="A2041" s="1" t="s">
        <v>2183</v>
      </c>
      <c r="B2041" s="2">
        <f>COUNTIF(A:A,A2041)-1</f>
        <v>6</v>
      </c>
      <c r="C2041" s="2">
        <f>COUNTIF(A$1:A2041,A2041)-1</f>
        <v>6</v>
      </c>
      <c r="D2041" s="2" t="str">
        <f t="shared" si="32"/>
        <v>v</v>
      </c>
      <c r="E2041" s="2" t="e">
        <f>_xlfn.FORECAST.ETS(#REF!,#REF!,#REF!,#REF!,#REF!,#REF!)</f>
        <v>#REF!</v>
      </c>
      <c r="F2041" s="2" t="e">
        <f>_xlfn.FORECAST.ETS(#REF!,#REF!,#REF!,#REF!,#REF!,+F2041:G2041)</f>
        <v>#REF!</v>
      </c>
      <c r="H2041" s="2" t="e">
        <f>_xlfn.FORECAST.ETS(#REF!,#REF!,#REF!,#REF!,#REF!,H2041:I2041)</f>
        <v>#REF!</v>
      </c>
      <c r="J2041" s="2" t="e">
        <f>_xlfn.FORECAST.ETS(#REF!,#REF!,#REF!,#REF!,#REF!,INDIRECT(J2041:K2041))</f>
        <v>#REF!</v>
      </c>
      <c r="L2041" s="2">
        <f>TYPE(INDEX(,_xlfn.FORECAST.ETS(#REF!,#REF!,#REF!,#REF!,#REF!,OFFSET(INDEX(1,),,))))</f>
        <v>64</v>
      </c>
    </row>
    <row r="2042" spans="1:12" x14ac:dyDescent="0.55000000000000004">
      <c r="A2042" s="1" t="s">
        <v>2184</v>
      </c>
      <c r="B2042" s="2">
        <f>COUNTIF(A:A,A2042)-1</f>
        <v>7</v>
      </c>
      <c r="C2042" s="2">
        <f>COUNTIF(A$1:A2042,A2042)-1</f>
        <v>0</v>
      </c>
      <c r="D2042" s="2" t="str">
        <f t="shared" si="32"/>
        <v/>
      </c>
      <c r="E2042" s="2"/>
      <c r="F2042" s="2"/>
      <c r="H2042" s="2"/>
      <c r="J2042" s="2"/>
      <c r="L2042" s="2"/>
    </row>
    <row r="2043" spans="1:12" x14ac:dyDescent="0.55000000000000004">
      <c r="A2043" s="1" t="s">
        <v>2184</v>
      </c>
      <c r="B2043" s="2">
        <f>COUNTIF(A:A,A2043)-1</f>
        <v>7</v>
      </c>
      <c r="C2043" s="2">
        <f>COUNTIF(A$1:A2043,A2043)-1</f>
        <v>1</v>
      </c>
      <c r="D2043" s="2" t="str">
        <f t="shared" si="32"/>
        <v>v</v>
      </c>
      <c r="E2043" s="2"/>
      <c r="F2043" s="2" t="e">
        <f>_xlfn.FORECAST.ETS.CONFINT(+F2043:G2043,#REF!,#REF!,#REF!,#REF!,#REF!,#REF!)</f>
        <v>#REF!</v>
      </c>
      <c r="H2043" s="2" t="e">
        <f>_xlfn.FORECAST.ETS.CONFINT(H2043:I2043,#REF!,#REF!,#REF!,#REF!,#REF!,#REF!)</f>
        <v>#REF!</v>
      </c>
      <c r="J2043" s="2" t="e">
        <f>_xlfn.FORECAST.ETS.CONFINT(INDIRECT(J2043:K2043),#REF!,#REF!,#REF!,#REF!,#REF!,#REF!)</f>
        <v>#REF!</v>
      </c>
      <c r="L2043" s="2">
        <f>TYPE(INDEX(,_xlfn.FORECAST.ETS.CONFINT(OFFSET(INDEX(1,),,),#REF!,#REF!,#REF!,#REF!,#REF!,#REF!)))</f>
        <v>64</v>
      </c>
    </row>
    <row r="2044" spans="1:12" x14ac:dyDescent="0.55000000000000004">
      <c r="A2044" s="1" t="s">
        <v>2184</v>
      </c>
      <c r="B2044" s="2">
        <f>COUNTIF(A:A,A2044)-1</f>
        <v>7</v>
      </c>
      <c r="C2044" s="2">
        <f>COUNTIF(A$1:A2044,A2044)-1</f>
        <v>2</v>
      </c>
      <c r="D2044" s="2" t="str">
        <f t="shared" si="32"/>
        <v>ar</v>
      </c>
      <c r="E2044" s="2"/>
      <c r="F2044" s="2" t="e">
        <f>_xlfn.FORECAST.ETS.CONFINT(#REF!,+F2044:G2044,#REF!,#REF!,#REF!,#REF!,#REF!)</f>
        <v>#REF!</v>
      </c>
      <c r="G2044" s="1">
        <v>1</v>
      </c>
      <c r="H2044" s="2" t="e">
        <f>_xlfn.FORECAST.ETS.CONFINT(#REF!,H2044:I2044,#REF!,#REF!,#REF!,#REF!,#REF!)</f>
        <v>#REF!</v>
      </c>
      <c r="I2044" s="1">
        <v>1</v>
      </c>
      <c r="J2044" s="2" t="e">
        <f>_xlfn.FORECAST.ETS.CONFINT(#REF!,INDIRECT(J2044:K2044),#REF!,#REF!,#REF!,#REF!,#REF!)</f>
        <v>#REF!</v>
      </c>
      <c r="L2044" s="2">
        <f>TYPE(INDEX(,_xlfn.FORECAST.ETS.CONFINT(#REF!,OFFSET(INDEX(1,),,),#REF!,#REF!,#REF!,#REF!,#REF!)))</f>
        <v>16</v>
      </c>
    </row>
    <row r="2045" spans="1:12" x14ac:dyDescent="0.55000000000000004">
      <c r="A2045" s="1" t="s">
        <v>2184</v>
      </c>
      <c r="B2045" s="2">
        <f>COUNTIF(A:A,A2045)-1</f>
        <v>7</v>
      </c>
      <c r="C2045" s="2">
        <f>COUNTIF(A$1:A2045,A2045)-1</f>
        <v>3</v>
      </c>
      <c r="D2045" s="2" t="str">
        <f t="shared" si="32"/>
        <v>ar</v>
      </c>
      <c r="E2045" s="2" t="e">
        <f>_xlfn.FORECAST.ETS.CONFINT(#REF!,#REF!,#REF!)</f>
        <v>#REF!</v>
      </c>
      <c r="F2045" s="2" t="e">
        <f>_xlfn.FORECAST.ETS.CONFINT(#REF!,#REF!,+F2045:G2045,#REF!,#REF!,#REF!,#REF!)</f>
        <v>#REF!</v>
      </c>
      <c r="G2045" s="1">
        <v>1</v>
      </c>
      <c r="H2045" s="2" t="e">
        <f>_xlfn.FORECAST.ETS.CONFINT(#REF!,#REF!,H2045:I2045,#REF!,#REF!,#REF!,#REF!)</f>
        <v>#REF!</v>
      </c>
      <c r="I2045" s="1">
        <v>1</v>
      </c>
      <c r="J2045" s="2" t="e">
        <f>_xlfn.FORECAST.ETS.CONFINT(#REF!,#REF!,INDIRECT(J2045:K2045),#REF!,#REF!,#REF!,#REF!)</f>
        <v>#REF!</v>
      </c>
      <c r="L2045" s="2">
        <f>TYPE(INDEX(,_xlfn.FORECAST.ETS.CONFINT(#REF!,#REF!,OFFSET(INDEX(1,),,),#REF!,#REF!,#REF!,#REF!)))</f>
        <v>16</v>
      </c>
    </row>
    <row r="2046" spans="1:12" x14ac:dyDescent="0.55000000000000004">
      <c r="A2046" s="1" t="s">
        <v>2184</v>
      </c>
      <c r="B2046" s="2">
        <f>COUNTIF(A:A,A2046)-1</f>
        <v>7</v>
      </c>
      <c r="C2046" s="2">
        <f>COUNTIF(A$1:A2046,A2046)-1</f>
        <v>4</v>
      </c>
      <c r="D2046" s="2" t="str">
        <f t="shared" si="32"/>
        <v>v</v>
      </c>
      <c r="E2046" s="2" t="e">
        <f>_xlfn.FORECAST.ETS.CONFINT(#REF!,#REF!,#REF!,#REF!)</f>
        <v>#REF!</v>
      </c>
      <c r="F2046" s="2" t="e">
        <f>_xlfn.FORECAST.ETS.CONFINT(#REF!,#REF!,#REF!,+F2046:G2046,#REF!,#REF!,#REF!)</f>
        <v>#REF!</v>
      </c>
      <c r="H2046" s="2" t="e">
        <f>_xlfn.FORECAST.ETS.CONFINT(#REF!,#REF!,#REF!,H2046:I2046,#REF!,#REF!,#REF!)</f>
        <v>#REF!</v>
      </c>
      <c r="J2046" s="2" t="e">
        <f>_xlfn.FORECAST.ETS.CONFINT(#REF!,#REF!,#REF!,INDIRECT(J2046:K2046),#REF!,#REF!,#REF!)</f>
        <v>#REF!</v>
      </c>
      <c r="L2046" s="2">
        <f>TYPE(INDEX(,_xlfn.FORECAST.ETS.CONFINT(#REF!,#REF!,#REF!,OFFSET(INDEX(1,),,),#REF!,#REF!,#REF!)))</f>
        <v>64</v>
      </c>
    </row>
    <row r="2047" spans="1:12" x14ac:dyDescent="0.55000000000000004">
      <c r="A2047" s="1" t="s">
        <v>2184</v>
      </c>
      <c r="B2047" s="2">
        <f>COUNTIF(A:A,A2047)-1</f>
        <v>7</v>
      </c>
      <c r="C2047" s="2">
        <f>COUNTIF(A$1:A2047,A2047)-1</f>
        <v>5</v>
      </c>
      <c r="D2047" s="2" t="str">
        <f t="shared" si="32"/>
        <v>v</v>
      </c>
      <c r="E2047" s="2" t="e">
        <f>_xlfn.FORECAST.ETS.CONFINT(#REF!,#REF!,#REF!,#REF!,#REF!)</f>
        <v>#REF!</v>
      </c>
      <c r="F2047" s="2" t="e">
        <f>_xlfn.FORECAST.ETS.CONFINT(#REF!,#REF!,#REF!,#REF!,+F2047:G2047,#REF!,#REF!)</f>
        <v>#REF!</v>
      </c>
      <c r="H2047" s="2" t="e">
        <f>_xlfn.FORECAST.ETS.CONFINT(#REF!,#REF!,#REF!,#REF!,H2047:I2047,#REF!,#REF!)</f>
        <v>#REF!</v>
      </c>
      <c r="J2047" s="2" t="e">
        <f>_xlfn.FORECAST.ETS.CONFINT(#REF!,#REF!,#REF!,#REF!,INDIRECT(J2047:K2047),#REF!,#REF!)</f>
        <v>#REF!</v>
      </c>
      <c r="L2047" s="2">
        <f>TYPE(INDEX(,_xlfn.FORECAST.ETS.CONFINT(#REF!,#REF!,#REF!,#REF!,OFFSET(INDEX(1,),,),#REF!,#REF!)))</f>
        <v>64</v>
      </c>
    </row>
    <row r="2048" spans="1:12" x14ac:dyDescent="0.55000000000000004">
      <c r="A2048" s="1" t="s">
        <v>2184</v>
      </c>
      <c r="B2048" s="2">
        <f>COUNTIF(A:A,A2048)-1</f>
        <v>7</v>
      </c>
      <c r="C2048" s="2">
        <f>COUNTIF(A$1:A2048,A2048)-1</f>
        <v>6</v>
      </c>
      <c r="D2048" s="2" t="str">
        <f t="shared" si="32"/>
        <v>v</v>
      </c>
      <c r="E2048" s="2" t="e">
        <f>_xlfn.FORECAST.ETS.CONFINT(#REF!,#REF!,#REF!,#REF!,#REF!,#REF!)</f>
        <v>#REF!</v>
      </c>
      <c r="F2048" s="2" t="e">
        <f>_xlfn.FORECAST.ETS.CONFINT(#REF!,#REF!,#REF!,#REF!,#REF!,+F2048:G2048,#REF!)</f>
        <v>#REF!</v>
      </c>
      <c r="H2048" s="2" t="e">
        <f>_xlfn.FORECAST.ETS.CONFINT(#REF!,#REF!,#REF!,#REF!,#REF!,H2048:I2048,#REF!)</f>
        <v>#REF!</v>
      </c>
      <c r="J2048" s="2" t="e">
        <f>_xlfn.FORECAST.ETS.CONFINT(#REF!,#REF!,#REF!,#REF!,#REF!,INDIRECT(J2048:K2048),#REF!)</f>
        <v>#REF!</v>
      </c>
      <c r="L2048" s="2">
        <f>TYPE(INDEX(,_xlfn.FORECAST.ETS.CONFINT(#REF!,#REF!,#REF!,#REF!,#REF!,OFFSET(INDEX(1,),,),#REF!)))</f>
        <v>64</v>
      </c>
    </row>
    <row r="2049" spans="1:12" x14ac:dyDescent="0.55000000000000004">
      <c r="A2049" s="1" t="s">
        <v>2184</v>
      </c>
      <c r="B2049" s="2">
        <f>COUNTIF(A:A,A2049)-1</f>
        <v>7</v>
      </c>
      <c r="C2049" s="2">
        <f>COUNTIF(A$1:A2049,A2049)-1</f>
        <v>7</v>
      </c>
      <c r="D2049" s="2" t="str">
        <f t="shared" si="32"/>
        <v>v</v>
      </c>
      <c r="E2049" s="2" t="e">
        <f>_xlfn.FORECAST.ETS.CONFINT(#REF!,#REF!,#REF!,#REF!,#REF!,#REF!,#REF!)</f>
        <v>#REF!</v>
      </c>
      <c r="F2049" s="2" t="e">
        <f>_xlfn.FORECAST.ETS.CONFINT(#REF!,#REF!,#REF!,#REF!,#REF!,#REF!,+F2049:G2049)</f>
        <v>#REF!</v>
      </c>
      <c r="H2049" s="2" t="e">
        <f>_xlfn.FORECAST.ETS.CONFINT(#REF!,#REF!,#REF!,#REF!,#REF!,#REF!,H2049:I2049)</f>
        <v>#REF!</v>
      </c>
      <c r="J2049" s="2" t="e">
        <f>_xlfn.FORECAST.ETS.CONFINT(#REF!,#REF!,#REF!,#REF!,#REF!,#REF!,INDIRECT(J2049:K2049))</f>
        <v>#REF!</v>
      </c>
      <c r="L2049" s="2">
        <f>TYPE(INDEX(,_xlfn.FORECAST.ETS.CONFINT(#REF!,#REF!,#REF!,#REF!,#REF!,#REF!,OFFSET(INDEX(1,),,))))</f>
        <v>64</v>
      </c>
    </row>
    <row r="2050" spans="1:12" x14ac:dyDescent="0.55000000000000004">
      <c r="A2050" s="1" t="s">
        <v>2185</v>
      </c>
      <c r="B2050" s="2">
        <f>COUNTIF(A:A,A2050)-1</f>
        <v>4</v>
      </c>
      <c r="C2050" s="2">
        <f>COUNTIF(A$1:A2050,A2050)-1</f>
        <v>0</v>
      </c>
      <c r="D2050" s="2" t="str">
        <f t="shared" ref="D2050:D2113" si="33">IF(C2050&gt;0,IF(COUNTA(F2050:G2050)=1,"v",)&amp;IF(L2050=64,,"a")&amp;IF(COUNTA(I2050,K2050)=1,"r",),"")</f>
        <v/>
      </c>
      <c r="E2050" s="2"/>
      <c r="F2050" s="2"/>
      <c r="H2050" s="2"/>
      <c r="J2050" s="2"/>
      <c r="L2050" s="2"/>
    </row>
    <row r="2051" spans="1:12" x14ac:dyDescent="0.55000000000000004">
      <c r="A2051" s="1" t="s">
        <v>2185</v>
      </c>
      <c r="B2051" s="2">
        <f>COUNTIF(A:A,A2051)-1</f>
        <v>4</v>
      </c>
      <c r="C2051" s="2">
        <f>COUNTIF(A$1:A2051,A2051)-1</f>
        <v>1</v>
      </c>
      <c r="D2051" s="2" t="str">
        <f t="shared" si="33"/>
        <v>ar</v>
      </c>
      <c r="E2051" s="2"/>
      <c r="F2051" s="2" t="e">
        <f>_xlfn.FORECAST.ETS.SEASONALITY(+F2051:G2051,#REF!,#REF!,#REF!)</f>
        <v>#REF!</v>
      </c>
      <c r="G2051" s="1">
        <v>1</v>
      </c>
      <c r="H2051" s="2" t="e">
        <f>_xlfn.FORECAST.ETS.SEASONALITY(H2051:I2051,#REF!,#REF!,#REF!)</f>
        <v>#REF!</v>
      </c>
      <c r="I2051" s="1">
        <v>1</v>
      </c>
      <c r="J2051" s="2" t="e">
        <f>_xlfn.FORECAST.ETS.SEASONALITY(INDIRECT(J2051:K2051),#REF!,#REF!,#REF!)</f>
        <v>#REF!</v>
      </c>
      <c r="L2051" s="2">
        <f>TYPE(INDEX(,_xlfn.FORECAST.ETS.SEASONALITY(OFFSET(INDEX(1,),,),#REF!,#REF!,#REF!)))</f>
        <v>16</v>
      </c>
    </row>
    <row r="2052" spans="1:12" x14ac:dyDescent="0.55000000000000004">
      <c r="A2052" s="1" t="s">
        <v>2185</v>
      </c>
      <c r="B2052" s="2">
        <f>COUNTIF(A:A,A2052)-1</f>
        <v>4</v>
      </c>
      <c r="C2052" s="2">
        <f>COUNTIF(A$1:A2052,A2052)-1</f>
        <v>2</v>
      </c>
      <c r="D2052" s="2" t="str">
        <f t="shared" si="33"/>
        <v>ar</v>
      </c>
      <c r="E2052" s="2" t="e">
        <f>_xlfn.FORECAST.ETS.SEASONALITY(#REF!,#REF!)</f>
        <v>#REF!</v>
      </c>
      <c r="F2052" s="2" t="e">
        <f>_xlfn.FORECAST.ETS.SEASONALITY(#REF!,+F2052:G2052,#REF!,#REF!)</f>
        <v>#REF!</v>
      </c>
      <c r="G2052" s="1">
        <v>1</v>
      </c>
      <c r="H2052" s="2" t="e">
        <f>_xlfn.FORECAST.ETS.SEASONALITY(#REF!,H2052:I2052,#REF!,#REF!)</f>
        <v>#REF!</v>
      </c>
      <c r="I2052" s="1">
        <v>1</v>
      </c>
      <c r="J2052" s="2" t="e">
        <f>_xlfn.FORECAST.ETS.SEASONALITY(#REF!,INDIRECT(J2052:K2052),#REF!,#REF!)</f>
        <v>#REF!</v>
      </c>
      <c r="L2052" s="2">
        <f>TYPE(INDEX(,_xlfn.FORECAST.ETS.SEASONALITY(#REF!,OFFSET(INDEX(1,),,),#REF!,#REF!)))</f>
        <v>16</v>
      </c>
    </row>
    <row r="2053" spans="1:12" x14ac:dyDescent="0.55000000000000004">
      <c r="A2053" s="1" t="s">
        <v>2185</v>
      </c>
      <c r="B2053" s="2">
        <f>COUNTIF(A:A,A2053)-1</f>
        <v>4</v>
      </c>
      <c r="C2053" s="2">
        <f>COUNTIF(A$1:A2053,A2053)-1</f>
        <v>3</v>
      </c>
      <c r="D2053" s="2" t="str">
        <f t="shared" si="33"/>
        <v>v</v>
      </c>
      <c r="E2053" s="2" t="e">
        <f>_xlfn.FORECAST.ETS.SEASONALITY(#REF!,#REF!,#REF!)</f>
        <v>#REF!</v>
      </c>
      <c r="F2053" s="2" t="e">
        <f>_xlfn.FORECAST.ETS.SEASONALITY(#REF!,#REF!,+F2053:G2053,#REF!)</f>
        <v>#REF!</v>
      </c>
      <c r="H2053" s="2" t="e">
        <f>_xlfn.FORECAST.ETS.SEASONALITY(#REF!,#REF!,H2053:I2053,#REF!)</f>
        <v>#REF!</v>
      </c>
      <c r="J2053" s="2" t="e">
        <f>_xlfn.FORECAST.ETS.SEASONALITY(#REF!,#REF!,INDIRECT(J2053:K2053),#REF!)</f>
        <v>#REF!</v>
      </c>
      <c r="L2053" s="2">
        <f>TYPE(INDEX(,_xlfn.FORECAST.ETS.SEASONALITY(#REF!,#REF!,OFFSET(INDEX(1,),,),#REF!)))</f>
        <v>64</v>
      </c>
    </row>
    <row r="2054" spans="1:12" x14ac:dyDescent="0.55000000000000004">
      <c r="A2054" s="1" t="s">
        <v>2185</v>
      </c>
      <c r="B2054" s="2">
        <f>COUNTIF(A:A,A2054)-1</f>
        <v>4</v>
      </c>
      <c r="C2054" s="2">
        <f>COUNTIF(A$1:A2054,A2054)-1</f>
        <v>4</v>
      </c>
      <c r="D2054" s="2" t="str">
        <f t="shared" si="33"/>
        <v>v</v>
      </c>
      <c r="E2054" s="2" t="e">
        <f>_xlfn.FORECAST.ETS.SEASONALITY(#REF!,#REF!,#REF!,#REF!)</f>
        <v>#REF!</v>
      </c>
      <c r="F2054" s="2" t="e">
        <f>_xlfn.FORECAST.ETS.SEASONALITY(#REF!,#REF!,#REF!,+F2054:G2054)</f>
        <v>#REF!</v>
      </c>
      <c r="H2054" s="2" t="e">
        <f>_xlfn.FORECAST.ETS.SEASONALITY(#REF!,#REF!,#REF!,H2054:I2054)</f>
        <v>#REF!</v>
      </c>
      <c r="J2054" s="2" t="e">
        <f>_xlfn.FORECAST.ETS.SEASONALITY(#REF!,#REF!,#REF!,INDIRECT(J2054:K2054))</f>
        <v>#REF!</v>
      </c>
      <c r="L2054" s="2">
        <f>TYPE(INDEX(,_xlfn.FORECAST.ETS.SEASONALITY(#REF!,#REF!,#REF!,OFFSET(INDEX(1,),,))))</f>
        <v>64</v>
      </c>
    </row>
    <row r="2055" spans="1:12" x14ac:dyDescent="0.55000000000000004">
      <c r="A2055" s="1" t="s">
        <v>2186</v>
      </c>
      <c r="B2055" s="2">
        <f>COUNTIF(A:A,A2055)-1</f>
        <v>6</v>
      </c>
      <c r="C2055" s="2">
        <f>COUNTIF(A$1:A2055,A2055)-1</f>
        <v>0</v>
      </c>
      <c r="D2055" s="2" t="str">
        <f t="shared" si="33"/>
        <v/>
      </c>
      <c r="E2055" s="2"/>
      <c r="F2055" s="2"/>
      <c r="H2055" s="2"/>
      <c r="J2055" s="2"/>
      <c r="L2055" s="2"/>
    </row>
    <row r="2056" spans="1:12" x14ac:dyDescent="0.55000000000000004">
      <c r="A2056" s="1" t="s">
        <v>2186</v>
      </c>
      <c r="B2056" s="2">
        <f>COUNTIF(A:A,A2056)-1</f>
        <v>6</v>
      </c>
      <c r="C2056" s="2">
        <f>COUNTIF(A$1:A2056,A2056)-1</f>
        <v>1</v>
      </c>
      <c r="D2056" s="2" t="str">
        <f t="shared" si="33"/>
        <v>ar</v>
      </c>
      <c r="E2056" s="2"/>
      <c r="F2056" s="2" t="e">
        <f>_xlfn.FORECAST.ETS.STAT(+F2056:G2056,#REF!,#REF!,#REF!,#REF!,#REF!)</f>
        <v>#REF!</v>
      </c>
      <c r="G2056" s="1">
        <v>1</v>
      </c>
      <c r="H2056" s="2" t="e">
        <f>_xlfn.FORECAST.ETS.STAT(H2056:I2056,#REF!,#REF!,#REF!,#REF!,#REF!)</f>
        <v>#REF!</v>
      </c>
      <c r="I2056" s="1">
        <v>1</v>
      </c>
      <c r="J2056" s="2" t="e">
        <f>_xlfn.FORECAST.ETS.STAT(INDIRECT(J2056:K2056),#REF!,#REF!,#REF!,#REF!,#REF!)</f>
        <v>#REF!</v>
      </c>
      <c r="L2056" s="2">
        <f>TYPE(INDEX(,_xlfn.FORECAST.ETS.STAT(OFFSET(INDEX(1,),,),#REF!,#REF!,#REF!,#REF!,#REF!)))</f>
        <v>16</v>
      </c>
    </row>
    <row r="2057" spans="1:12" x14ac:dyDescent="0.55000000000000004">
      <c r="A2057" s="1" t="s">
        <v>2186</v>
      </c>
      <c r="B2057" s="2">
        <f>COUNTIF(A:A,A2057)-1</f>
        <v>6</v>
      </c>
      <c r="C2057" s="2">
        <f>COUNTIF(A$1:A2057,A2057)-1</f>
        <v>2</v>
      </c>
      <c r="D2057" s="2" t="str">
        <f t="shared" si="33"/>
        <v>ar</v>
      </c>
      <c r="E2057" s="2"/>
      <c r="F2057" s="2" t="e">
        <f>_xlfn.FORECAST.ETS.STAT(#REF!,+F2057:G2057,#REF!,#REF!,#REF!,#REF!)</f>
        <v>#REF!</v>
      </c>
      <c r="G2057" s="1">
        <v>1</v>
      </c>
      <c r="H2057" s="2" t="e">
        <f>_xlfn.FORECAST.ETS.STAT(#REF!,H2057:I2057,#REF!,#REF!,#REF!,#REF!)</f>
        <v>#REF!</v>
      </c>
      <c r="I2057" s="1">
        <v>1</v>
      </c>
      <c r="J2057" s="2" t="e">
        <f>_xlfn.FORECAST.ETS.STAT(#REF!,INDIRECT(J2057:K2057),#REF!,#REF!,#REF!,#REF!)</f>
        <v>#REF!</v>
      </c>
      <c r="L2057" s="2">
        <f>TYPE(INDEX(,_xlfn.FORECAST.ETS.STAT(#REF!,OFFSET(INDEX(1,),,),#REF!,#REF!,#REF!,#REF!)))</f>
        <v>16</v>
      </c>
    </row>
    <row r="2058" spans="1:12" x14ac:dyDescent="0.55000000000000004">
      <c r="A2058" s="1" t="s">
        <v>2186</v>
      </c>
      <c r="B2058" s="2">
        <f>COUNTIF(A:A,A2058)-1</f>
        <v>6</v>
      </c>
      <c r="C2058" s="2">
        <f>COUNTIF(A$1:A2058,A2058)-1</f>
        <v>3</v>
      </c>
      <c r="D2058" s="2" t="str">
        <f t="shared" si="33"/>
        <v>v</v>
      </c>
      <c r="E2058" s="2" t="e">
        <f>_xlfn.FORECAST.ETS.STAT(#REF!,#REF!,#REF!)</f>
        <v>#REF!</v>
      </c>
      <c r="F2058" s="2" t="e">
        <f>_xlfn.FORECAST.ETS.STAT(#REF!,#REF!,+F2058:G2058,#REF!,#REF!,#REF!)</f>
        <v>#REF!</v>
      </c>
      <c r="H2058" s="2" t="e">
        <f>_xlfn.FORECAST.ETS.STAT(#REF!,#REF!,H2058:I2058,#REF!,#REF!,#REF!)</f>
        <v>#REF!</v>
      </c>
      <c r="J2058" s="2" t="e">
        <f>_xlfn.FORECAST.ETS.STAT(#REF!,#REF!,INDIRECT(J2058:K2058),#REF!,#REF!,#REF!)</f>
        <v>#REF!</v>
      </c>
      <c r="L2058" s="2">
        <f>TYPE(INDEX(,_xlfn.FORECAST.ETS.STAT(#REF!,#REF!,OFFSET(INDEX(1,),,),#REF!,#REF!,#REF!)))</f>
        <v>64</v>
      </c>
    </row>
    <row r="2059" spans="1:12" x14ac:dyDescent="0.55000000000000004">
      <c r="A2059" s="1" t="s">
        <v>2186</v>
      </c>
      <c r="B2059" s="2">
        <f>COUNTIF(A:A,A2059)-1</f>
        <v>6</v>
      </c>
      <c r="C2059" s="2">
        <f>COUNTIF(A$1:A2059,A2059)-1</f>
        <v>4</v>
      </c>
      <c r="D2059" s="2" t="str">
        <f t="shared" si="33"/>
        <v>v</v>
      </c>
      <c r="E2059" s="2" t="e">
        <f>_xlfn.FORECAST.ETS.STAT(#REF!,#REF!,#REF!,#REF!)</f>
        <v>#REF!</v>
      </c>
      <c r="F2059" s="2" t="e">
        <f>_xlfn.FORECAST.ETS.STAT(#REF!,#REF!,#REF!,+F2059:G2059,#REF!,#REF!)</f>
        <v>#REF!</v>
      </c>
      <c r="H2059" s="2" t="e">
        <f>_xlfn.FORECAST.ETS.STAT(#REF!,#REF!,#REF!,H2059:I2059,#REF!,#REF!)</f>
        <v>#REF!</v>
      </c>
      <c r="J2059" s="2" t="e">
        <f>_xlfn.FORECAST.ETS.STAT(#REF!,#REF!,#REF!,INDIRECT(J2059:K2059),#REF!,#REF!)</f>
        <v>#REF!</v>
      </c>
      <c r="L2059" s="2">
        <f>TYPE(INDEX(,_xlfn.FORECAST.ETS.STAT(#REF!,#REF!,#REF!,OFFSET(INDEX(1,),,),#REF!,#REF!)))</f>
        <v>64</v>
      </c>
    </row>
    <row r="2060" spans="1:12" x14ac:dyDescent="0.55000000000000004">
      <c r="A2060" s="1" t="s">
        <v>2186</v>
      </c>
      <c r="B2060" s="2">
        <f>COUNTIF(A:A,A2060)-1</f>
        <v>6</v>
      </c>
      <c r="C2060" s="2">
        <f>COUNTIF(A$1:A2060,A2060)-1</f>
        <v>5</v>
      </c>
      <c r="D2060" s="2" t="str">
        <f t="shared" si="33"/>
        <v>v</v>
      </c>
      <c r="E2060" s="2" t="e">
        <f>_xlfn.FORECAST.ETS.STAT(#REF!,#REF!,#REF!,#REF!,#REF!)</f>
        <v>#REF!</v>
      </c>
      <c r="F2060" s="2" t="e">
        <f>_xlfn.FORECAST.ETS.STAT(#REF!,#REF!,#REF!,#REF!,+F2060:G2060,#REF!)</f>
        <v>#REF!</v>
      </c>
      <c r="H2060" s="2" t="e">
        <f>_xlfn.FORECAST.ETS.STAT(#REF!,#REF!,#REF!,#REF!,H2060:I2060,#REF!)</f>
        <v>#REF!</v>
      </c>
      <c r="J2060" s="2" t="e">
        <f>_xlfn.FORECAST.ETS.STAT(#REF!,#REF!,#REF!,#REF!,INDIRECT(J2060:K2060),#REF!)</f>
        <v>#REF!</v>
      </c>
      <c r="L2060" s="2">
        <f>TYPE(INDEX(,_xlfn.FORECAST.ETS.STAT(#REF!,#REF!,#REF!,#REF!,OFFSET(INDEX(1,),,),#REF!)))</f>
        <v>64</v>
      </c>
    </row>
    <row r="2061" spans="1:12" x14ac:dyDescent="0.55000000000000004">
      <c r="A2061" s="1" t="s">
        <v>2186</v>
      </c>
      <c r="B2061" s="2">
        <f>COUNTIF(A:A,A2061)-1</f>
        <v>6</v>
      </c>
      <c r="C2061" s="2">
        <f>COUNTIF(A$1:A2061,A2061)-1</f>
        <v>6</v>
      </c>
      <c r="D2061" s="2" t="str">
        <f t="shared" si="33"/>
        <v>v</v>
      </c>
      <c r="E2061" s="2" t="e">
        <f>_xlfn.FORECAST.ETS.STAT(#REF!,#REF!,#REF!,#REF!,#REF!,#REF!)</f>
        <v>#REF!</v>
      </c>
      <c r="F2061" s="2" t="e">
        <f>_xlfn.FORECAST.ETS.STAT(#REF!,#REF!,#REF!,#REF!,#REF!,+F2061:G2061)</f>
        <v>#REF!</v>
      </c>
      <c r="H2061" s="2" t="e">
        <f>_xlfn.FORECAST.ETS.STAT(#REF!,#REF!,#REF!,#REF!,#REF!,H2061:I2061)</f>
        <v>#REF!</v>
      </c>
      <c r="J2061" s="2" t="e">
        <f>_xlfn.FORECAST.ETS.STAT(#REF!,#REF!,#REF!,#REF!,#REF!,INDIRECT(J2061:K2061))</f>
        <v>#REF!</v>
      </c>
      <c r="L2061" s="2">
        <f>TYPE(INDEX(,_xlfn.FORECAST.ETS.STAT(#REF!,#REF!,#REF!,#REF!,#REF!,OFFSET(INDEX(1,),,))))</f>
        <v>64</v>
      </c>
    </row>
    <row r="2062" spans="1:12" x14ac:dyDescent="0.55000000000000004">
      <c r="A2062" s="1" t="s">
        <v>2187</v>
      </c>
      <c r="B2062" s="2">
        <f>COUNTIF(A:A,A2062)-1</f>
        <v>3</v>
      </c>
      <c r="C2062" s="2">
        <f>COUNTIF(A$1:A2062,A2062)-1</f>
        <v>0</v>
      </c>
      <c r="D2062" s="2" t="str">
        <f t="shared" si="33"/>
        <v/>
      </c>
      <c r="E2062" s="2"/>
      <c r="F2062" s="2"/>
      <c r="H2062" s="2"/>
      <c r="J2062" s="2"/>
      <c r="L2062" s="2"/>
    </row>
    <row r="2063" spans="1:12" x14ac:dyDescent="0.55000000000000004">
      <c r="A2063" s="1" t="s">
        <v>2187</v>
      </c>
      <c r="B2063" s="2">
        <f>COUNTIF(A:A,A2063)-1</f>
        <v>3</v>
      </c>
      <c r="C2063" s="2">
        <f>COUNTIF(A$1:A2063,A2063)-1</f>
        <v>1</v>
      </c>
      <c r="D2063" s="2" t="str">
        <f t="shared" si="33"/>
        <v>v</v>
      </c>
      <c r="E2063" s="2"/>
      <c r="F2063" s="2" t="e">
        <f>_xlfn.FORECAST.LINEAR(+F2063:G2063,#REF!,#REF!)</f>
        <v>#REF!</v>
      </c>
      <c r="H2063" s="2" t="e">
        <f>_xlfn.FORECAST.LINEAR(H2063:I2063,#REF!,#REF!)</f>
        <v>#REF!</v>
      </c>
      <c r="J2063" s="2" t="e">
        <f>_xlfn.FORECAST.LINEAR(INDIRECT(J2063:K2063),#REF!,#REF!)</f>
        <v>#REF!</v>
      </c>
      <c r="L2063" s="2">
        <f>TYPE(INDEX(,_xlfn.FORECAST.LINEAR(OFFSET(INDEX(1,),,),#REF!,#REF!)))</f>
        <v>64</v>
      </c>
    </row>
    <row r="2064" spans="1:12" x14ac:dyDescent="0.55000000000000004">
      <c r="A2064" s="1" t="s">
        <v>2187</v>
      </c>
      <c r="B2064" s="2">
        <f>COUNTIF(A:A,A2064)-1</f>
        <v>3</v>
      </c>
      <c r="C2064" s="2">
        <f>COUNTIF(A$1:A2064,A2064)-1</f>
        <v>2</v>
      </c>
      <c r="D2064" s="2" t="str">
        <f t="shared" si="33"/>
        <v>a</v>
      </c>
      <c r="E2064" s="2"/>
      <c r="F2064" s="2" t="e">
        <f>_xlfn.FORECAST.LINEAR(#REF!,+F2064:G2064,#REF!)</f>
        <v>#REF!</v>
      </c>
      <c r="G2064" s="1">
        <v>1</v>
      </c>
      <c r="H2064" s="2" t="e">
        <f>_xlfn.FORECAST.LINEAR(#REF!,H2064:I2064,#REF!)</f>
        <v>#REF!</v>
      </c>
      <c r="I2064" s="1">
        <v>1</v>
      </c>
      <c r="J2064" s="2" t="e">
        <f>_xlfn.FORECAST.LINEAR(#REF!,INDIRECT(J2064:K2064),#REF!)</f>
        <v>#REF!</v>
      </c>
      <c r="K2064" s="1">
        <v>1</v>
      </c>
      <c r="L2064" s="2">
        <f>TYPE(INDEX(,_xlfn.FORECAST.LINEAR(#REF!,OFFSET(INDEX(1,),,),#REF!)))</f>
        <v>16</v>
      </c>
    </row>
    <row r="2065" spans="1:12" x14ac:dyDescent="0.55000000000000004">
      <c r="A2065" s="1" t="s">
        <v>2187</v>
      </c>
      <c r="B2065" s="2">
        <f>COUNTIF(A:A,A2065)-1</f>
        <v>3</v>
      </c>
      <c r="C2065" s="2">
        <f>COUNTIF(A$1:A2065,A2065)-1</f>
        <v>3</v>
      </c>
      <c r="D2065" s="2" t="str">
        <f t="shared" si="33"/>
        <v>a</v>
      </c>
      <c r="E2065" s="2" t="e">
        <f>_xlfn.FORECAST.LINEAR(#REF!,#REF!,#REF!)</f>
        <v>#REF!</v>
      </c>
      <c r="F2065" s="2" t="e">
        <f>_xlfn.FORECAST.LINEAR(#REF!,#REF!,+F2065:G2065)</f>
        <v>#REF!</v>
      </c>
      <c r="G2065" s="1">
        <v>1</v>
      </c>
      <c r="H2065" s="2" t="e">
        <f>_xlfn.FORECAST.LINEAR(#REF!,#REF!,H2065:I2065)</f>
        <v>#REF!</v>
      </c>
      <c r="I2065" s="1">
        <v>1</v>
      </c>
      <c r="J2065" s="2" t="e">
        <f>_xlfn.FORECAST.LINEAR(#REF!,#REF!,INDIRECT(J2065:K2065))</f>
        <v>#REF!</v>
      </c>
      <c r="K2065" s="1">
        <v>1</v>
      </c>
      <c r="L2065" s="2">
        <f>TYPE(INDEX(,_xlfn.FORECAST.LINEAR(#REF!,#REF!,OFFSET(INDEX(1,),,))))</f>
        <v>16</v>
      </c>
    </row>
    <row r="2066" spans="1:12" x14ac:dyDescent="0.55000000000000004">
      <c r="A2066" s="1" t="s">
        <v>2188</v>
      </c>
      <c r="B2066" s="2">
        <f>COUNTIF(A:A,A2066)-1</f>
        <v>3</v>
      </c>
      <c r="C2066" s="2">
        <f>COUNTIF(A$1:A2066,A2066)-1</f>
        <v>0</v>
      </c>
      <c r="D2066" s="2" t="str">
        <f t="shared" si="33"/>
        <v/>
      </c>
      <c r="E2066" s="2" t="e">
        <f>CONCAT()</f>
        <v>#NAME?</v>
      </c>
      <c r="F2066" s="2"/>
      <c r="H2066" s="2"/>
      <c r="J2066" s="2"/>
      <c r="L2066" s="2"/>
    </row>
    <row r="2067" spans="1:12" x14ac:dyDescent="0.55000000000000004">
      <c r="A2067" s="1" t="s">
        <v>2188</v>
      </c>
      <c r="B2067" s="2">
        <f>COUNTIF(A:A,A2067)-1</f>
        <v>3</v>
      </c>
      <c r="C2067" s="2">
        <f>COUNTIF(A$1:A2067,A2067)-1</f>
        <v>1</v>
      </c>
      <c r="D2067" s="2" t="str">
        <f t="shared" si="33"/>
        <v>var</v>
      </c>
      <c r="E2067" s="2" t="e">
        <f>CONCAT(#REF!)</f>
        <v>#NAME?</v>
      </c>
      <c r="F2067" s="2" t="e">
        <f>CONCAT(+F2067:G2067,#REF!,#REF!)</f>
        <v>#NAME?</v>
      </c>
      <c r="H2067" s="2" t="e">
        <f>CONCAT(H2067:I2067,#REF!,#REF!)</f>
        <v>#NAME?</v>
      </c>
      <c r="I2067" s="1">
        <v>1</v>
      </c>
      <c r="J2067" s="2" t="e">
        <f>CONCAT(INDIRECT(J2067:K2067),#REF!,#REF!)</f>
        <v>#NAME?</v>
      </c>
      <c r="L2067" s="2">
        <f>TYPE(INDEX(,CONCAT(OFFSET(INDEX(1,),,),#REF!,#REF!)))</f>
        <v>16</v>
      </c>
    </row>
    <row r="2068" spans="1:12" x14ac:dyDescent="0.55000000000000004">
      <c r="A2068" s="1" t="s">
        <v>2188</v>
      </c>
      <c r="B2068" s="2">
        <f>COUNTIF(A:A,A2068)-1</f>
        <v>3</v>
      </c>
      <c r="C2068" s="2">
        <f>COUNTIF(A$1:A2068,A2068)-1</f>
        <v>2</v>
      </c>
      <c r="D2068" s="2" t="str">
        <f t="shared" si="33"/>
        <v>var</v>
      </c>
      <c r="E2068" s="2" t="e">
        <f>CONCAT(#REF!,#REF!)</f>
        <v>#NAME?</v>
      </c>
      <c r="F2068" s="2" t="e">
        <f>CONCAT(#REF!,+F2068:G2068,#REF!)</f>
        <v>#NAME?</v>
      </c>
      <c r="H2068" s="2" t="e">
        <f>CONCAT(#REF!,H2068:I2068,#REF!)</f>
        <v>#NAME?</v>
      </c>
      <c r="I2068" s="1">
        <v>1</v>
      </c>
      <c r="J2068" s="2" t="e">
        <f>CONCAT(#REF!,INDIRECT(J2068:K2068),#REF!)</f>
        <v>#NAME?</v>
      </c>
      <c r="L2068" s="2">
        <f>TYPE(INDEX(,CONCAT(#REF!,OFFSET(INDEX(1,),,),#REF!)))</f>
        <v>16</v>
      </c>
    </row>
    <row r="2069" spans="1:12" x14ac:dyDescent="0.55000000000000004">
      <c r="A2069" s="1" t="s">
        <v>2188</v>
      </c>
      <c r="B2069" s="2">
        <f>COUNTIF(A:A,A2069)-1</f>
        <v>3</v>
      </c>
      <c r="C2069" s="2">
        <f>COUNTIF(A$1:A2069,A2069)-1</f>
        <v>3</v>
      </c>
      <c r="D2069" s="2" t="str">
        <f t="shared" si="33"/>
        <v>var</v>
      </c>
      <c r="E2069" s="2" t="e">
        <f>CONCAT(#REF!,#REF!,#REF!)</f>
        <v>#NAME?</v>
      </c>
      <c r="F2069" s="2" t="e">
        <f>CONCAT(#REF!,#REF!,+F2069:G2069)</f>
        <v>#NAME?</v>
      </c>
      <c r="H2069" s="2" t="e">
        <f>CONCAT(#REF!,#REF!,H2069:I2069)</f>
        <v>#NAME?</v>
      </c>
      <c r="I2069" s="1">
        <v>1</v>
      </c>
      <c r="J2069" s="2" t="e">
        <f>CONCAT(#REF!,#REF!,INDIRECT(J2069:K2069))</f>
        <v>#NAME?</v>
      </c>
      <c r="L2069" s="2">
        <f>TYPE(INDEX(,CONCAT(#REF!,#REF!,OFFSET(INDEX(1,),,))))</f>
        <v>16</v>
      </c>
    </row>
    <row r="2070" spans="1:12" x14ac:dyDescent="0.55000000000000004">
      <c r="A2070" s="1" t="s">
        <v>2189</v>
      </c>
      <c r="B2070" s="2">
        <f>COUNTIF(A:A,A2070)-1</f>
        <v>3</v>
      </c>
      <c r="C2070" s="2">
        <f>COUNTIF(A$1:A2070,A2070)-1</f>
        <v>0</v>
      </c>
      <c r="D2070" s="2" t="str">
        <f t="shared" si="33"/>
        <v/>
      </c>
      <c r="E2070" s="2" t="e">
        <f>IFS()</f>
        <v>#NAME?</v>
      </c>
      <c r="F2070" s="2"/>
      <c r="H2070" s="2"/>
      <c r="J2070" s="2"/>
      <c r="L2070" s="2"/>
    </row>
    <row r="2071" spans="1:12" x14ac:dyDescent="0.55000000000000004">
      <c r="A2071" s="1" t="s">
        <v>2189</v>
      </c>
      <c r="B2071" s="2">
        <f>COUNTIF(A:A,A2071)-1</f>
        <v>3</v>
      </c>
      <c r="C2071" s="2">
        <f>COUNTIF(A$1:A2071,A2071)-1</f>
        <v>1</v>
      </c>
      <c r="D2071" s="2" t="str">
        <f t="shared" si="33"/>
        <v>var</v>
      </c>
      <c r="E2071" s="2" t="e">
        <f>IFS(#REF!)</f>
        <v>#NAME?</v>
      </c>
      <c r="F2071" s="2" t="e">
        <f>IFS(+F2071:G2071,#REF!,#REF!)</f>
        <v>#NAME?</v>
      </c>
      <c r="H2071" s="2" t="e">
        <f>IFS(H2071:I2071,#REF!,#REF!)</f>
        <v>#NAME?</v>
      </c>
      <c r="I2071" s="1">
        <v>1</v>
      </c>
      <c r="J2071" s="2" t="e">
        <f>IFS(INDIRECT(J2071:K2071),#REF!,#REF!)</f>
        <v>#NAME?</v>
      </c>
      <c r="L2071" s="2">
        <f>TYPE(INDEX(,IFS(OFFSET(INDEX(1,),,),#REF!,#REF!)))</f>
        <v>16</v>
      </c>
    </row>
    <row r="2072" spans="1:12" x14ac:dyDescent="0.55000000000000004">
      <c r="A2072" s="1" t="s">
        <v>2189</v>
      </c>
      <c r="B2072" s="2">
        <f>COUNTIF(A:A,A2072)-1</f>
        <v>3</v>
      </c>
      <c r="C2072" s="2">
        <f>COUNTIF(A$1:A2072,A2072)-1</f>
        <v>2</v>
      </c>
      <c r="D2072" s="2" t="str">
        <f t="shared" si="33"/>
        <v>var</v>
      </c>
      <c r="E2072" s="2" t="e">
        <f>IFS(#REF!,#REF!)</f>
        <v>#NAME?</v>
      </c>
      <c r="F2072" s="2" t="e">
        <f>IFS(#REF!,+F2072:G2072,#REF!)</f>
        <v>#NAME?</v>
      </c>
      <c r="H2072" s="2" t="e">
        <f>IFS(#REF!,H2072:I2072,#REF!)</f>
        <v>#NAME?</v>
      </c>
      <c r="I2072" s="1">
        <v>1</v>
      </c>
      <c r="J2072" s="2" t="e">
        <f>IFS(#REF!,INDIRECT(J2072:K2072),#REF!)</f>
        <v>#NAME?</v>
      </c>
      <c r="L2072" s="2">
        <f>TYPE(INDEX(,IFS(#REF!,OFFSET(INDEX(1,),,),#REF!)))</f>
        <v>16</v>
      </c>
    </row>
    <row r="2073" spans="1:12" x14ac:dyDescent="0.55000000000000004">
      <c r="A2073" s="1" t="s">
        <v>2189</v>
      </c>
      <c r="B2073" s="2">
        <f>COUNTIF(A:A,A2073)-1</f>
        <v>3</v>
      </c>
      <c r="C2073" s="2">
        <f>COUNTIF(A$1:A2073,A2073)-1</f>
        <v>3</v>
      </c>
      <c r="D2073" s="2" t="str">
        <f t="shared" si="33"/>
        <v>var</v>
      </c>
      <c r="E2073" s="2" t="e">
        <f>IFS(#REF!,#REF!,#REF!)</f>
        <v>#NAME?</v>
      </c>
      <c r="F2073" s="2" t="e">
        <f>IFS(#REF!,#REF!,+F2073:G2073)</f>
        <v>#NAME?</v>
      </c>
      <c r="H2073" s="2" t="e">
        <f>IFS(#REF!,#REF!,H2073:I2073)</f>
        <v>#NAME?</v>
      </c>
      <c r="I2073" s="1">
        <v>1</v>
      </c>
      <c r="J2073" s="2" t="e">
        <f>IFS(#REF!,#REF!,INDIRECT(J2073:K2073))</f>
        <v>#NAME?</v>
      </c>
      <c r="L2073" s="2">
        <f>TYPE(INDEX(,IFS(#REF!,#REF!,OFFSET(INDEX(1,),,))))</f>
        <v>16</v>
      </c>
    </row>
    <row r="2074" spans="1:12" x14ac:dyDescent="0.55000000000000004">
      <c r="A2074" s="1" t="s">
        <v>2190</v>
      </c>
      <c r="B2074" s="2">
        <f>COUNTIF(A:A,A2074)-1</f>
        <v>5</v>
      </c>
      <c r="C2074" s="2">
        <f>COUNTIF(A$1:A2074,A2074)-1</f>
        <v>0</v>
      </c>
      <c r="D2074" s="2" t="str">
        <f t="shared" si="33"/>
        <v/>
      </c>
      <c r="E2074" s="2" t="e">
        <f>MAXIFS()</f>
        <v>#NAME?</v>
      </c>
      <c r="F2074" s="2"/>
      <c r="H2074" s="2"/>
      <c r="J2074" s="2"/>
      <c r="L2074" s="2"/>
    </row>
    <row r="2075" spans="1:12" x14ac:dyDescent="0.55000000000000004">
      <c r="A2075" s="1" t="s">
        <v>2190</v>
      </c>
      <c r="B2075" s="2">
        <f>COUNTIF(A:A,A2075)-1</f>
        <v>5</v>
      </c>
      <c r="C2075" s="2">
        <f>COUNTIF(A$1:A2075,A2075)-1</f>
        <v>1</v>
      </c>
      <c r="D2075" s="2" t="str">
        <f t="shared" si="33"/>
        <v>var</v>
      </c>
      <c r="E2075" s="2" t="e">
        <f>MAXIFS(#REF!)</f>
        <v>#NAME?</v>
      </c>
      <c r="F2075" s="2" t="e">
        <f>MAXIFS(+F2075:G2075,#REF!,#REF!,#REF!,#REF!)</f>
        <v>#NAME?</v>
      </c>
      <c r="H2075" s="2" t="e">
        <f>MAXIFS(H2075:I2075,#REF!,#REF!,#REF!,#REF!)</f>
        <v>#NAME?</v>
      </c>
      <c r="I2075" s="1">
        <v>1</v>
      </c>
      <c r="J2075" s="2" t="e">
        <f>MAXIFS(INDIRECT(J2075:K2075),#REF!,#REF!,#REF!,#REF!)</f>
        <v>#NAME?</v>
      </c>
      <c r="L2075" s="2">
        <f>TYPE(INDEX(,MAXIFS(OFFSET(INDEX(1,),,),#REF!,#REF!,#REF!,#REF!)))</f>
        <v>16</v>
      </c>
    </row>
    <row r="2076" spans="1:12" x14ac:dyDescent="0.55000000000000004">
      <c r="A2076" s="1" t="s">
        <v>2190</v>
      </c>
      <c r="B2076" s="2">
        <f>COUNTIF(A:A,A2076)-1</f>
        <v>5</v>
      </c>
      <c r="C2076" s="2">
        <f>COUNTIF(A$1:A2076,A2076)-1</f>
        <v>2</v>
      </c>
      <c r="D2076" s="2" t="str">
        <f t="shared" si="33"/>
        <v>var</v>
      </c>
      <c r="E2076" s="2" t="e">
        <f>MAXIFS(#REF!,#REF!)</f>
        <v>#NAME?</v>
      </c>
      <c r="F2076" s="2" t="e">
        <f>MAXIFS(#REF!,+F2076:G2076,#REF!,#REF!,#REF!)</f>
        <v>#NAME?</v>
      </c>
      <c r="H2076" s="2" t="e">
        <f>MAXIFS(#REF!,H2076:I2076,#REF!,#REF!,#REF!)</f>
        <v>#NAME?</v>
      </c>
      <c r="I2076" s="1">
        <v>1</v>
      </c>
      <c r="J2076" s="2" t="e">
        <f>MAXIFS(#REF!,INDIRECT(J2076:K2076),#REF!,#REF!,#REF!)</f>
        <v>#NAME?</v>
      </c>
      <c r="L2076" s="2">
        <f>TYPE(INDEX(,MAXIFS(#REF!,OFFSET(INDEX(1,),,),#REF!,#REF!,#REF!)))</f>
        <v>16</v>
      </c>
    </row>
    <row r="2077" spans="1:12" x14ac:dyDescent="0.55000000000000004">
      <c r="A2077" s="1" t="s">
        <v>2190</v>
      </c>
      <c r="B2077" s="2">
        <f>COUNTIF(A:A,A2077)-1</f>
        <v>5</v>
      </c>
      <c r="C2077" s="2">
        <f>COUNTIF(A$1:A2077,A2077)-1</f>
        <v>3</v>
      </c>
      <c r="D2077" s="2" t="str">
        <f t="shared" si="33"/>
        <v>var</v>
      </c>
      <c r="E2077" s="2" t="e">
        <f>MAXIFS(#REF!,#REF!,#REF!)</f>
        <v>#NAME?</v>
      </c>
      <c r="F2077" s="2" t="e">
        <f>MAXIFS(#REF!,#REF!,+F2077:G2077,#REF!,#REF!)</f>
        <v>#NAME?</v>
      </c>
      <c r="H2077" s="2" t="e">
        <f>MAXIFS(#REF!,#REF!,H2077:I2077,#REF!,#REF!)</f>
        <v>#NAME?</v>
      </c>
      <c r="I2077" s="1">
        <v>1</v>
      </c>
      <c r="J2077" s="2" t="e">
        <f>MAXIFS(#REF!,#REF!,INDIRECT(J2077:K2077),#REF!,#REF!)</f>
        <v>#NAME?</v>
      </c>
      <c r="L2077" s="2">
        <f>TYPE(INDEX(,MAXIFS(#REF!,#REF!,OFFSET(INDEX(1,),,),#REF!,#REF!)))</f>
        <v>16</v>
      </c>
    </row>
    <row r="2078" spans="1:12" x14ac:dyDescent="0.55000000000000004">
      <c r="A2078" s="1" t="s">
        <v>2190</v>
      </c>
      <c r="B2078" s="2">
        <f>COUNTIF(A:A,A2078)-1</f>
        <v>5</v>
      </c>
      <c r="C2078" s="2">
        <f>COUNTIF(A$1:A2078,A2078)-1</f>
        <v>4</v>
      </c>
      <c r="D2078" s="2" t="str">
        <f t="shared" si="33"/>
        <v>var</v>
      </c>
      <c r="E2078" s="2" t="e">
        <f>MAXIFS(#REF!,#REF!,#REF!,#REF!)</f>
        <v>#NAME?</v>
      </c>
      <c r="F2078" s="2" t="e">
        <f>MAXIFS(#REF!,#REF!,#REF!,+F2078:G2078,#REF!)</f>
        <v>#NAME?</v>
      </c>
      <c r="H2078" s="2" t="e">
        <f>MAXIFS(#REF!,#REF!,#REF!,H2078:I2078,#REF!)</f>
        <v>#NAME?</v>
      </c>
      <c r="I2078" s="1">
        <v>1</v>
      </c>
      <c r="J2078" s="2" t="e">
        <f>MAXIFS(#REF!,#REF!,#REF!,INDIRECT(J2078:K2078),#REF!)</f>
        <v>#NAME?</v>
      </c>
      <c r="L2078" s="2">
        <f>TYPE(INDEX(,MAXIFS(#REF!,#REF!,#REF!,OFFSET(INDEX(1,),,),#REF!)))</f>
        <v>16</v>
      </c>
    </row>
    <row r="2079" spans="1:12" x14ac:dyDescent="0.55000000000000004">
      <c r="A2079" s="1" t="s">
        <v>2190</v>
      </c>
      <c r="B2079" s="2">
        <f>COUNTIF(A:A,A2079)-1</f>
        <v>5</v>
      </c>
      <c r="C2079" s="2">
        <f>COUNTIF(A$1:A2079,A2079)-1</f>
        <v>5</v>
      </c>
      <c r="D2079" s="2" t="str">
        <f t="shared" si="33"/>
        <v>var</v>
      </c>
      <c r="E2079" s="2" t="e">
        <f>MAXIFS(#REF!,#REF!,#REF!,#REF!,#REF!)</f>
        <v>#NAME?</v>
      </c>
      <c r="F2079" s="2" t="e">
        <f>MAXIFS(#REF!,#REF!,#REF!,#REF!,+F2079:G2079)</f>
        <v>#NAME?</v>
      </c>
      <c r="H2079" s="2" t="e">
        <f>MAXIFS(#REF!,#REF!,#REF!,#REF!,H2079:I2079)</f>
        <v>#NAME?</v>
      </c>
      <c r="I2079" s="1">
        <v>1</v>
      </c>
      <c r="J2079" s="2" t="e">
        <f>MAXIFS(#REF!,#REF!,#REF!,#REF!,INDIRECT(J2079:K2079))</f>
        <v>#NAME?</v>
      </c>
      <c r="L2079" s="2">
        <f>TYPE(INDEX(,MAXIFS(#REF!,#REF!,#REF!,#REF!,OFFSET(INDEX(1,),,))))</f>
        <v>16</v>
      </c>
    </row>
    <row r="2080" spans="1:12" x14ac:dyDescent="0.55000000000000004">
      <c r="A2080" s="1" t="s">
        <v>2191</v>
      </c>
      <c r="B2080" s="2">
        <f>COUNTIF(A:A,A2080)-1</f>
        <v>5</v>
      </c>
      <c r="C2080" s="2">
        <f>COUNTIF(A$1:A2080,A2080)-1</f>
        <v>0</v>
      </c>
      <c r="D2080" s="2" t="str">
        <f t="shared" si="33"/>
        <v/>
      </c>
      <c r="E2080" s="2" t="e">
        <f>MINIFS()</f>
        <v>#NAME?</v>
      </c>
      <c r="F2080" s="2"/>
      <c r="H2080" s="2"/>
      <c r="J2080" s="2"/>
      <c r="L2080" s="2"/>
    </row>
    <row r="2081" spans="1:12" x14ac:dyDescent="0.55000000000000004">
      <c r="A2081" s="1" t="s">
        <v>2191</v>
      </c>
      <c r="B2081" s="2">
        <f>COUNTIF(A:A,A2081)-1</f>
        <v>5</v>
      </c>
      <c r="C2081" s="2">
        <f>COUNTIF(A$1:A2081,A2081)-1</f>
        <v>1</v>
      </c>
      <c r="D2081" s="2" t="str">
        <f t="shared" si="33"/>
        <v>var</v>
      </c>
      <c r="E2081" s="2" t="e">
        <f>MINIFS(#REF!)</f>
        <v>#NAME?</v>
      </c>
      <c r="F2081" s="2" t="e">
        <f>MINIFS(+F2081:G2081,#REF!,#REF!,#REF!,#REF!)</f>
        <v>#NAME?</v>
      </c>
      <c r="H2081" s="2" t="e">
        <f>MINIFS(H2081:I2081,#REF!,#REF!,#REF!,#REF!)</f>
        <v>#NAME?</v>
      </c>
      <c r="I2081" s="1">
        <v>1</v>
      </c>
      <c r="J2081" s="2" t="e">
        <f>MINIFS(INDIRECT(J2081:K2081),#REF!,#REF!,#REF!,#REF!)</f>
        <v>#NAME?</v>
      </c>
      <c r="L2081" s="2">
        <f>TYPE(INDEX(,MINIFS(OFFSET(INDEX(1,),,),#REF!,#REF!,#REF!,#REF!)))</f>
        <v>16</v>
      </c>
    </row>
    <row r="2082" spans="1:12" x14ac:dyDescent="0.55000000000000004">
      <c r="A2082" s="1" t="s">
        <v>2191</v>
      </c>
      <c r="B2082" s="2">
        <f>COUNTIF(A:A,A2082)-1</f>
        <v>5</v>
      </c>
      <c r="C2082" s="2">
        <f>COUNTIF(A$1:A2082,A2082)-1</f>
        <v>2</v>
      </c>
      <c r="D2082" s="2" t="str">
        <f t="shared" si="33"/>
        <v>var</v>
      </c>
      <c r="E2082" s="2" t="e">
        <f>MINIFS(#REF!,#REF!)</f>
        <v>#NAME?</v>
      </c>
      <c r="F2082" s="2" t="e">
        <f>MINIFS(#REF!,+F2082:G2082,#REF!,#REF!,#REF!)</f>
        <v>#NAME?</v>
      </c>
      <c r="H2082" s="2" t="e">
        <f>MINIFS(#REF!,H2082:I2082,#REF!,#REF!,#REF!)</f>
        <v>#NAME?</v>
      </c>
      <c r="I2082" s="1">
        <v>1</v>
      </c>
      <c r="J2082" s="2" t="e">
        <f>MINIFS(#REF!,INDIRECT(J2082:K2082),#REF!,#REF!,#REF!)</f>
        <v>#NAME?</v>
      </c>
      <c r="L2082" s="2">
        <f>TYPE(INDEX(,MINIFS(#REF!,OFFSET(INDEX(1,),,),#REF!,#REF!,#REF!)))</f>
        <v>16</v>
      </c>
    </row>
    <row r="2083" spans="1:12" x14ac:dyDescent="0.55000000000000004">
      <c r="A2083" s="1" t="s">
        <v>2191</v>
      </c>
      <c r="B2083" s="2">
        <f>COUNTIF(A:A,A2083)-1</f>
        <v>5</v>
      </c>
      <c r="C2083" s="2">
        <f>COUNTIF(A$1:A2083,A2083)-1</f>
        <v>3</v>
      </c>
      <c r="D2083" s="2" t="str">
        <f t="shared" si="33"/>
        <v>var</v>
      </c>
      <c r="E2083" s="2" t="e">
        <f>MINIFS(#REF!,#REF!,#REF!)</f>
        <v>#NAME?</v>
      </c>
      <c r="F2083" s="2" t="e">
        <f>MINIFS(#REF!,#REF!,+F2083:G2083,#REF!,#REF!)</f>
        <v>#NAME?</v>
      </c>
      <c r="H2083" s="2" t="e">
        <f>MINIFS(#REF!,#REF!,H2083:I2083,#REF!,#REF!)</f>
        <v>#NAME?</v>
      </c>
      <c r="I2083" s="1">
        <v>1</v>
      </c>
      <c r="J2083" s="2" t="e">
        <f>MINIFS(#REF!,#REF!,INDIRECT(J2083:K2083),#REF!,#REF!)</f>
        <v>#NAME?</v>
      </c>
      <c r="L2083" s="2">
        <f>TYPE(INDEX(,MINIFS(#REF!,#REF!,OFFSET(INDEX(1,),,),#REF!,#REF!)))</f>
        <v>16</v>
      </c>
    </row>
    <row r="2084" spans="1:12" x14ac:dyDescent="0.55000000000000004">
      <c r="A2084" s="1" t="s">
        <v>2191</v>
      </c>
      <c r="B2084" s="2">
        <f>COUNTIF(A:A,A2084)-1</f>
        <v>5</v>
      </c>
      <c r="C2084" s="2">
        <f>COUNTIF(A$1:A2084,A2084)-1</f>
        <v>4</v>
      </c>
      <c r="D2084" s="2" t="str">
        <f t="shared" si="33"/>
        <v>var</v>
      </c>
      <c r="E2084" s="2" t="e">
        <f>MINIFS(#REF!,#REF!,#REF!,#REF!)</f>
        <v>#NAME?</v>
      </c>
      <c r="F2084" s="2" t="e">
        <f>MINIFS(#REF!,#REF!,#REF!,+F2084:G2084,#REF!)</f>
        <v>#NAME?</v>
      </c>
      <c r="H2084" s="2" t="e">
        <f>MINIFS(#REF!,#REF!,#REF!,H2084:I2084,#REF!)</f>
        <v>#NAME?</v>
      </c>
      <c r="I2084" s="1">
        <v>1</v>
      </c>
      <c r="J2084" s="2" t="e">
        <f>MINIFS(#REF!,#REF!,#REF!,INDIRECT(J2084:K2084),#REF!)</f>
        <v>#NAME?</v>
      </c>
      <c r="L2084" s="2">
        <f>TYPE(INDEX(,MINIFS(#REF!,#REF!,#REF!,OFFSET(INDEX(1,),,),#REF!)))</f>
        <v>16</v>
      </c>
    </row>
    <row r="2085" spans="1:12" x14ac:dyDescent="0.55000000000000004">
      <c r="A2085" s="1" t="s">
        <v>2191</v>
      </c>
      <c r="B2085" s="2">
        <f>COUNTIF(A:A,A2085)-1</f>
        <v>5</v>
      </c>
      <c r="C2085" s="2">
        <f>COUNTIF(A$1:A2085,A2085)-1</f>
        <v>5</v>
      </c>
      <c r="D2085" s="2" t="str">
        <f t="shared" si="33"/>
        <v>var</v>
      </c>
      <c r="E2085" s="2" t="e">
        <f>MINIFS(#REF!,#REF!,#REF!,#REF!,#REF!)</f>
        <v>#NAME?</v>
      </c>
      <c r="F2085" s="2" t="e">
        <f>MINIFS(#REF!,#REF!,#REF!,#REF!,+F2085:G2085)</f>
        <v>#NAME?</v>
      </c>
      <c r="H2085" s="2" t="e">
        <f>MINIFS(#REF!,#REF!,#REF!,#REF!,H2085:I2085)</f>
        <v>#NAME?</v>
      </c>
      <c r="I2085" s="1">
        <v>1</v>
      </c>
      <c r="J2085" s="2" t="e">
        <f>MINIFS(#REF!,#REF!,#REF!,#REF!,INDIRECT(J2085:K2085))</f>
        <v>#NAME?</v>
      </c>
      <c r="L2085" s="2">
        <f>TYPE(INDEX(,MINIFS(#REF!,#REF!,#REF!,#REF!,OFFSET(INDEX(1,),,))))</f>
        <v>16</v>
      </c>
    </row>
    <row r="2086" spans="1:12" x14ac:dyDescent="0.55000000000000004">
      <c r="A2086" s="1" t="s">
        <v>2192</v>
      </c>
      <c r="B2086" s="2">
        <f>COUNTIF(A:A,A2086)-1</f>
        <v>6</v>
      </c>
      <c r="C2086" s="2">
        <f>COUNTIF(A$1:A2086,A2086)-1</f>
        <v>0</v>
      </c>
      <c r="D2086" s="2" t="str">
        <f t="shared" si="33"/>
        <v/>
      </c>
      <c r="E2086" s="2" t="e">
        <f>SWITCH()</f>
        <v>#NAME?</v>
      </c>
      <c r="F2086" s="2"/>
      <c r="H2086" s="2"/>
      <c r="J2086" s="2"/>
      <c r="L2086" s="2"/>
    </row>
    <row r="2087" spans="1:12" x14ac:dyDescent="0.55000000000000004">
      <c r="A2087" s="1" t="s">
        <v>2192</v>
      </c>
      <c r="B2087" s="2">
        <f>COUNTIF(A:A,A2087)-1</f>
        <v>6</v>
      </c>
      <c r="C2087" s="2">
        <f>COUNTIF(A$1:A2087,A2087)-1</f>
        <v>1</v>
      </c>
      <c r="D2087" s="2" t="str">
        <f t="shared" si="33"/>
        <v>var</v>
      </c>
      <c r="E2087" s="2" t="e">
        <f>SWITCH(#REF!)</f>
        <v>#NAME?</v>
      </c>
      <c r="F2087" s="2" t="e">
        <f>SWITCH(+F2087:G2087,#REF!,#REF!,#REF!,#REF!,#REF!)</f>
        <v>#NAME?</v>
      </c>
      <c r="H2087" s="2" t="e">
        <f>SWITCH(H2087:I2087,#REF!,#REF!,#REF!,#REF!,#REF!)</f>
        <v>#NAME?</v>
      </c>
      <c r="I2087" s="1">
        <v>1</v>
      </c>
      <c r="J2087" s="2" t="e">
        <f>SWITCH(INDIRECT(J2087:K2087),#REF!,#REF!,#REF!,#REF!,#REF!)</f>
        <v>#NAME?</v>
      </c>
      <c r="L2087" s="2">
        <f>TYPE(INDEX(,SWITCH(OFFSET(INDEX(1,),,),#REF!,#REF!,#REF!,#REF!,#REF!)))</f>
        <v>16</v>
      </c>
    </row>
    <row r="2088" spans="1:12" x14ac:dyDescent="0.55000000000000004">
      <c r="A2088" s="1" t="s">
        <v>2192</v>
      </c>
      <c r="B2088" s="2">
        <f>COUNTIF(A:A,A2088)-1</f>
        <v>6</v>
      </c>
      <c r="C2088" s="2">
        <f>COUNTIF(A$1:A2088,A2088)-1</f>
        <v>2</v>
      </c>
      <c r="D2088" s="2" t="str">
        <f t="shared" si="33"/>
        <v>var</v>
      </c>
      <c r="E2088" s="2" t="e">
        <f>SWITCH(#REF!,#REF!)</f>
        <v>#NAME?</v>
      </c>
      <c r="F2088" s="2" t="e">
        <f>SWITCH(#REF!,+F2088:G2088,#REF!,#REF!,#REF!,#REF!)</f>
        <v>#NAME?</v>
      </c>
      <c r="H2088" s="2" t="e">
        <f>SWITCH(#REF!,H2088:I2088,#REF!,#REF!,#REF!,#REF!)</f>
        <v>#NAME?</v>
      </c>
      <c r="I2088" s="1">
        <v>1</v>
      </c>
      <c r="J2088" s="2" t="e">
        <f>SWITCH(#REF!,INDIRECT(J2088:K2088),#REF!,#REF!,#REF!,#REF!)</f>
        <v>#NAME?</v>
      </c>
      <c r="L2088" s="2">
        <f>TYPE(INDEX(,SWITCH(#REF!,OFFSET(INDEX(1,),,),#REF!,#REF!,#REF!,#REF!)))</f>
        <v>16</v>
      </c>
    </row>
    <row r="2089" spans="1:12" x14ac:dyDescent="0.55000000000000004">
      <c r="A2089" s="1" t="s">
        <v>2192</v>
      </c>
      <c r="B2089" s="2">
        <f>COUNTIF(A:A,A2089)-1</f>
        <v>6</v>
      </c>
      <c r="C2089" s="2">
        <f>COUNTIF(A$1:A2089,A2089)-1</f>
        <v>3</v>
      </c>
      <c r="D2089" s="2" t="str">
        <f t="shared" si="33"/>
        <v>var</v>
      </c>
      <c r="E2089" s="2" t="e">
        <f>SWITCH(#REF!,#REF!,#REF!)</f>
        <v>#NAME?</v>
      </c>
      <c r="F2089" s="2" t="e">
        <f>SWITCH(#REF!,#REF!,+F2089:G2089,#REF!,#REF!,#REF!)</f>
        <v>#NAME?</v>
      </c>
      <c r="H2089" s="2" t="e">
        <f>SWITCH(#REF!,#REF!,H2089:I2089,#REF!,#REF!,#REF!)</f>
        <v>#NAME?</v>
      </c>
      <c r="I2089" s="1">
        <v>1</v>
      </c>
      <c r="J2089" s="2" t="e">
        <f>SWITCH(#REF!,#REF!,INDIRECT(J2089:K2089),#REF!,#REF!,#REF!)</f>
        <v>#NAME?</v>
      </c>
      <c r="L2089" s="2">
        <f>TYPE(INDEX(,SWITCH(#REF!,#REF!,OFFSET(INDEX(1,),,),#REF!,#REF!,#REF!)))</f>
        <v>16</v>
      </c>
    </row>
    <row r="2090" spans="1:12" x14ac:dyDescent="0.55000000000000004">
      <c r="A2090" s="1" t="s">
        <v>2192</v>
      </c>
      <c r="B2090" s="2">
        <f>COUNTIF(A:A,A2090)-1</f>
        <v>6</v>
      </c>
      <c r="C2090" s="2">
        <f>COUNTIF(A$1:A2090,A2090)-1</f>
        <v>4</v>
      </c>
      <c r="D2090" s="2" t="str">
        <f t="shared" si="33"/>
        <v>var</v>
      </c>
      <c r="E2090" s="2" t="e">
        <f>SWITCH(#REF!,#REF!,#REF!,#REF!)</f>
        <v>#NAME?</v>
      </c>
      <c r="F2090" s="2" t="e">
        <f>SWITCH(#REF!,#REF!,#REF!,+F2090:G2090,#REF!,#REF!)</f>
        <v>#NAME?</v>
      </c>
      <c r="H2090" s="2" t="e">
        <f>SWITCH(#REF!,#REF!,#REF!,H2090:I2090,#REF!,#REF!)</f>
        <v>#NAME?</v>
      </c>
      <c r="I2090" s="1">
        <v>1</v>
      </c>
      <c r="J2090" s="2" t="e">
        <f>SWITCH(#REF!,#REF!,#REF!,INDIRECT(J2090:K2090),#REF!,#REF!)</f>
        <v>#NAME?</v>
      </c>
      <c r="L2090" s="2">
        <f>TYPE(INDEX(,SWITCH(#REF!,#REF!,#REF!,OFFSET(INDEX(1,),,),#REF!,#REF!)))</f>
        <v>16</v>
      </c>
    </row>
    <row r="2091" spans="1:12" x14ac:dyDescent="0.55000000000000004">
      <c r="A2091" s="1" t="s">
        <v>2192</v>
      </c>
      <c r="B2091" s="2">
        <f>COUNTIF(A:A,A2091)-1</f>
        <v>6</v>
      </c>
      <c r="C2091" s="2">
        <f>COUNTIF(A$1:A2091,A2091)-1</f>
        <v>5</v>
      </c>
      <c r="D2091" s="2" t="str">
        <f t="shared" si="33"/>
        <v>var</v>
      </c>
      <c r="E2091" s="2" t="e">
        <f>SWITCH(#REF!,#REF!,#REF!,#REF!,#REF!)</f>
        <v>#NAME?</v>
      </c>
      <c r="F2091" s="2" t="e">
        <f>SWITCH(#REF!,#REF!,#REF!,#REF!,+F2091:G2091,#REF!)</f>
        <v>#NAME?</v>
      </c>
      <c r="H2091" s="2" t="e">
        <f>SWITCH(#REF!,#REF!,#REF!,#REF!,H2091:I2091,#REF!)</f>
        <v>#NAME?</v>
      </c>
      <c r="I2091" s="1">
        <v>1</v>
      </c>
      <c r="J2091" s="2" t="e">
        <f>SWITCH(#REF!,#REF!,#REF!,#REF!,INDIRECT(J2091:K2091),#REF!)</f>
        <v>#NAME?</v>
      </c>
      <c r="L2091" s="2">
        <f>TYPE(INDEX(,SWITCH(#REF!,#REF!,#REF!,#REF!,OFFSET(INDEX(1,),,),#REF!)))</f>
        <v>16</v>
      </c>
    </row>
    <row r="2092" spans="1:12" x14ac:dyDescent="0.55000000000000004">
      <c r="A2092" s="1" t="s">
        <v>2192</v>
      </c>
      <c r="B2092" s="2">
        <f>COUNTIF(A:A,A2092)-1</f>
        <v>6</v>
      </c>
      <c r="C2092" s="2">
        <f>COUNTIF(A$1:A2092,A2092)-1</f>
        <v>6</v>
      </c>
      <c r="D2092" s="2" t="str">
        <f t="shared" si="33"/>
        <v>var</v>
      </c>
      <c r="E2092" s="2" t="e">
        <f>SWITCH(#REF!,#REF!,#REF!,#REF!,#REF!,#REF!)</f>
        <v>#NAME?</v>
      </c>
      <c r="F2092" s="2" t="e">
        <f>SWITCH(#REF!,#REF!,#REF!,#REF!,#REF!,+F2092:G2092)</f>
        <v>#NAME?</v>
      </c>
      <c r="H2092" s="2" t="e">
        <f>SWITCH(#REF!,#REF!,#REF!,#REF!,#REF!,H2092:I2092)</f>
        <v>#NAME?</v>
      </c>
      <c r="I2092" s="1">
        <v>1</v>
      </c>
      <c r="J2092" s="2" t="e">
        <f>SWITCH(#REF!,#REF!,#REF!,#REF!,#REF!,INDIRECT(J2092:K2092))</f>
        <v>#NAME?</v>
      </c>
      <c r="L2092" s="2">
        <f>TYPE(INDEX(,SWITCH(#REF!,#REF!,#REF!,#REF!,#REF!,OFFSET(INDEX(1,),,))))</f>
        <v>16</v>
      </c>
    </row>
    <row r="2093" spans="1:12" x14ac:dyDescent="0.55000000000000004">
      <c r="A2093" s="1" t="s">
        <v>2193</v>
      </c>
      <c r="B2093" s="2">
        <f>COUNTIF(A:A,A2093)-1</f>
        <v>4</v>
      </c>
      <c r="C2093" s="2">
        <f>COUNTIF(A$1:A2093,A2093)-1</f>
        <v>0</v>
      </c>
      <c r="D2093" s="2" t="str">
        <f t="shared" si="33"/>
        <v/>
      </c>
      <c r="E2093" s="2" t="e">
        <f>TEXTJOIN()</f>
        <v>#NAME?</v>
      </c>
      <c r="F2093" s="2"/>
      <c r="H2093" s="2"/>
      <c r="J2093" s="2"/>
      <c r="L2093" s="2"/>
    </row>
    <row r="2094" spans="1:12" x14ac:dyDescent="0.55000000000000004">
      <c r="A2094" s="1" t="s">
        <v>2193</v>
      </c>
      <c r="B2094" s="2">
        <f>COUNTIF(A:A,A2094)-1</f>
        <v>4</v>
      </c>
      <c r="C2094" s="2">
        <f>COUNTIF(A$1:A2094,A2094)-1</f>
        <v>1</v>
      </c>
      <c r="D2094" s="2" t="str">
        <f t="shared" si="33"/>
        <v>var</v>
      </c>
      <c r="E2094" s="2" t="e">
        <f>TEXTJOIN(#REF!)</f>
        <v>#NAME?</v>
      </c>
      <c r="F2094" s="2" t="e">
        <f>TEXTJOIN(+F2094:G2094,#REF!,#REF!,#REF!)</f>
        <v>#NAME?</v>
      </c>
      <c r="H2094" s="2" t="e">
        <f>TEXTJOIN(H2094:I2094,#REF!,#REF!,#REF!)</f>
        <v>#NAME?</v>
      </c>
      <c r="I2094" s="1">
        <v>1</v>
      </c>
      <c r="J2094" s="2" t="e">
        <f>TEXTJOIN(INDIRECT(J2094:K2094),#REF!,#REF!,#REF!)</f>
        <v>#NAME?</v>
      </c>
      <c r="L2094" s="2">
        <f>TYPE(INDEX(,TEXTJOIN(OFFSET(INDEX(1,),,),#REF!,#REF!,#REF!)))</f>
        <v>16</v>
      </c>
    </row>
    <row r="2095" spans="1:12" x14ac:dyDescent="0.55000000000000004">
      <c r="A2095" s="1" t="s">
        <v>2193</v>
      </c>
      <c r="B2095" s="2">
        <f>COUNTIF(A:A,A2095)-1</f>
        <v>4</v>
      </c>
      <c r="C2095" s="2">
        <f>COUNTIF(A$1:A2095,A2095)-1</f>
        <v>2</v>
      </c>
      <c r="D2095" s="2" t="str">
        <f t="shared" si="33"/>
        <v>var</v>
      </c>
      <c r="E2095" s="2" t="e">
        <f>TEXTJOIN(#REF!,#REF!)</f>
        <v>#NAME?</v>
      </c>
      <c r="F2095" s="2" t="e">
        <f>TEXTJOIN(#REF!,+F2095:G2095,#REF!,#REF!)</f>
        <v>#NAME?</v>
      </c>
      <c r="H2095" s="2" t="e">
        <f>TEXTJOIN(#REF!,H2095:I2095,#REF!,#REF!)</f>
        <v>#NAME?</v>
      </c>
      <c r="I2095" s="1">
        <v>1</v>
      </c>
      <c r="J2095" s="2" t="e">
        <f>TEXTJOIN(#REF!,INDIRECT(J2095:K2095),#REF!,#REF!)</f>
        <v>#NAME?</v>
      </c>
      <c r="L2095" s="2">
        <f>TYPE(INDEX(,TEXTJOIN(#REF!,OFFSET(INDEX(1,),,),#REF!,#REF!)))</f>
        <v>16</v>
      </c>
    </row>
    <row r="2096" spans="1:12" x14ac:dyDescent="0.55000000000000004">
      <c r="A2096" s="1" t="s">
        <v>2193</v>
      </c>
      <c r="B2096" s="2">
        <f>COUNTIF(A:A,A2096)-1</f>
        <v>4</v>
      </c>
      <c r="C2096" s="2">
        <f>COUNTIF(A$1:A2096,A2096)-1</f>
        <v>3</v>
      </c>
      <c r="D2096" s="2" t="str">
        <f t="shared" si="33"/>
        <v>var</v>
      </c>
      <c r="E2096" s="2" t="e">
        <f>TEXTJOIN(#REF!,#REF!,#REF!)</f>
        <v>#NAME?</v>
      </c>
      <c r="F2096" s="2" t="e">
        <f>TEXTJOIN(#REF!,#REF!,+F2096:G2096,#REF!)</f>
        <v>#NAME?</v>
      </c>
      <c r="H2096" s="2" t="e">
        <f>TEXTJOIN(#REF!,#REF!,H2096:I2096,#REF!)</f>
        <v>#NAME?</v>
      </c>
      <c r="I2096" s="1">
        <v>1</v>
      </c>
      <c r="J2096" s="2" t="e">
        <f>TEXTJOIN(#REF!,#REF!,INDIRECT(J2096:K2096),#REF!)</f>
        <v>#NAME?</v>
      </c>
      <c r="L2096" s="2">
        <f>TYPE(INDEX(,TEXTJOIN(#REF!,#REF!,OFFSET(INDEX(1,),,),#REF!)))</f>
        <v>16</v>
      </c>
    </row>
    <row r="2097" spans="1:12" x14ac:dyDescent="0.55000000000000004">
      <c r="A2097" s="1" t="s">
        <v>2193</v>
      </c>
      <c r="B2097" s="2">
        <f>COUNTIF(A:A,A2097)-1</f>
        <v>4</v>
      </c>
      <c r="C2097" s="2">
        <f>COUNTIF(A$1:A2097,A2097)-1</f>
        <v>4</v>
      </c>
      <c r="D2097" s="2" t="str">
        <f t="shared" si="33"/>
        <v>var</v>
      </c>
      <c r="E2097" s="2" t="e">
        <f>TEXTJOIN(#REF!,#REF!,#REF!,#REF!)</f>
        <v>#NAME?</v>
      </c>
      <c r="F2097" s="2" t="e">
        <f>TEXTJOIN(#REF!,#REF!,#REF!,+F2097:G2097)</f>
        <v>#NAME?</v>
      </c>
      <c r="H2097" s="2" t="e">
        <f>TEXTJOIN(#REF!,#REF!,#REF!,H2097:I2097)</f>
        <v>#NAME?</v>
      </c>
      <c r="I2097" s="1">
        <v>1</v>
      </c>
      <c r="J2097" s="2" t="e">
        <f>TEXTJOIN(#REF!,#REF!,#REF!,INDIRECT(J2097:K2097))</f>
        <v>#NAME?</v>
      </c>
      <c r="L2097" s="2">
        <f>TYPE(INDEX(,TEXTJOIN(#REF!,#REF!,#REF!,OFFSET(INDEX(1,),,))))</f>
        <v>16</v>
      </c>
    </row>
  </sheetData>
  <pageMargins left="0.7" right="0.7" top="0.75" bottom="0.75" header="0.3" footer="0.3"/>
  <pageSetup paperSize="9" orientation="portrait" r:id="rId1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97"/>
  <sheetViews>
    <sheetView zoomScaleNormal="100" workbookViewId="0"/>
  </sheetViews>
  <sheetFormatPr defaultColWidth="9" defaultRowHeight="14.4" x14ac:dyDescent="0.55000000000000004"/>
  <cols>
    <col min="1" max="7" width="9" style="1"/>
  </cols>
  <sheetData>
    <row r="1" spans="1:7" s="1" customFormat="1" x14ac:dyDescent="0.55000000000000004">
      <c r="A1" s="4" t="s">
        <v>1210</v>
      </c>
      <c r="B1" s="4" t="s">
        <v>2194</v>
      </c>
      <c r="C1" s="4" t="s">
        <v>2195</v>
      </c>
      <c r="D1" s="4" t="s">
        <v>2237</v>
      </c>
      <c r="E1" s="4" t="s">
        <v>1471</v>
      </c>
      <c r="F1" s="4" t="s">
        <v>2258</v>
      </c>
      <c r="G1" s="4" t="s">
        <v>2257</v>
      </c>
    </row>
    <row r="2" spans="1:7" s="1" customFormat="1" x14ac:dyDescent="0.55000000000000004">
      <c r="B2" s="2">
        <f>COUNTIF(A:A,A2)-1</f>
        <v>-1</v>
      </c>
      <c r="C2" s="2">
        <f>COUNTIF(A$1:A2,A2)-1</f>
        <v>-1</v>
      </c>
      <c r="D2" s="2" t="str">
        <f>IF(C2&gt;0,"="&amp;A2&amp;"("&amp;SUBSTITUTE(REPLACE(REPT(",#ref!",B2),1,1,""),"#ref!",1,C2)&amp;")","")</f>
        <v/>
      </c>
      <c r="E2" s="2" t="str">
        <f>IF(C2&gt;0,"=Iferror(Index(Error(0),"&amp;A2&amp;"("&amp;REPLACE(SUBSTITUTE(REPT(",#ref!",B2),"#ref!","set.name(""_"",+INDEX(1,))",C2),1,1,"")&amp;")),Return(Index(Type(_),Set.Name(""_""))))","")</f>
        <v/>
      </c>
      <c r="F2" s="2" t="str">
        <f>IF(C2&gt;0,"=Iferror(Index(Error(0),"&amp;A2&amp;"("&amp;REPLACE(SUBSTITUTE(REPT(",#ref!",B2),"#ref!","indirect(set.name({1,""_""},))",C2),1,1,"")&amp;")),Return(Index(Type(_),Set.Name(""_""))))","")</f>
        <v/>
      </c>
      <c r="G2" s="2" t="str">
        <f>IF(C2&gt;0,"=Type(Index(,"&amp;A2&amp;"("&amp;REPLACE(SUBSTITUTE(REPT(",#ref!",B2),"#ref!","index(1,)",C2),1,1,"")&amp;")))","")</f>
        <v/>
      </c>
    </row>
    <row r="3" spans="1:7" x14ac:dyDescent="0.55000000000000004">
      <c r="A3" s="1" t="s">
        <v>1485</v>
      </c>
      <c r="B3" s="2">
        <f>COUNTIF(A:A,A3)-1</f>
        <v>3</v>
      </c>
      <c r="C3" s="2">
        <f>COUNTIF(A$1:A3,A3)-1</f>
        <v>0</v>
      </c>
      <c r="D3" s="2"/>
      <c r="E3" s="2"/>
      <c r="F3" s="2"/>
      <c r="G3" s="2"/>
    </row>
    <row r="4" spans="1:7" x14ac:dyDescent="0.55000000000000004">
      <c r="A4" s="1" t="s">
        <v>1485</v>
      </c>
      <c r="B4" s="2">
        <f>COUNTIF(A:A,A4)-1</f>
        <v>3</v>
      </c>
      <c r="C4" s="2">
        <f>COUNTIF(A$1:A4,A4)-1</f>
        <v>1</v>
      </c>
      <c r="D4" s="2">
        <f>COUNT(1,#REF!,#REF!)</f>
        <v>1</v>
      </c>
      <c r="E4" s="2" t="b">
        <f>IFERROR(INDEX(ERROR(0),COUNT(SET.NAME("_",+INDEX(1,)),#REF!,#REF!)),RETURN(INDEX(TYPE(_),SET.NAME("_"))))</f>
        <v>0</v>
      </c>
      <c r="F4" s="2" t="b">
        <f>IFERROR(INDEX(ERROR(0),COUNT(INDIRECT(SET.NAME({1,"_"},)),#REF!,#REF!)),RETURN(INDEX(TYPE(_),SET.NAME("_"))))</f>
        <v>0</v>
      </c>
      <c r="G4" s="2">
        <f>TYPE(INDEX(,COUNT(INDEX(1,),#REF!,#REF!)))</f>
        <v>16</v>
      </c>
    </row>
    <row r="5" spans="1:7" x14ac:dyDescent="0.55000000000000004">
      <c r="A5" s="1" t="s">
        <v>1485</v>
      </c>
      <c r="B5" s="2">
        <f>COUNTIF(A:A,A5)-1</f>
        <v>3</v>
      </c>
      <c r="C5" s="2">
        <f>COUNTIF(A$1:A5,A5)-1</f>
        <v>2</v>
      </c>
      <c r="D5" s="2">
        <f>COUNT(#REF!,1,#REF!)</f>
        <v>1</v>
      </c>
      <c r="E5" s="2" t="b">
        <f>IFERROR(INDEX(ERROR(0),COUNT(#REF!,SET.NAME("_",+INDEX(1,)),#REF!)),RETURN(INDEX(TYPE(_),SET.NAME("_"))))</f>
        <v>0</v>
      </c>
      <c r="F5" s="2" t="b">
        <f>IFERROR(INDEX(ERROR(0),COUNT(#REF!,INDIRECT(SET.NAME({1,"_"},)),#REF!)),RETURN(INDEX(TYPE(_),SET.NAME("_"))))</f>
        <v>0</v>
      </c>
      <c r="G5" s="2">
        <f>TYPE(INDEX(,COUNT(#REF!,INDEX(1,),#REF!)))</f>
        <v>16</v>
      </c>
    </row>
    <row r="6" spans="1:7" x14ac:dyDescent="0.55000000000000004">
      <c r="A6" s="1" t="s">
        <v>1485</v>
      </c>
      <c r="B6" s="2">
        <f>COUNTIF(A:A,A6)-1</f>
        <v>3</v>
      </c>
      <c r="C6" s="2">
        <f>COUNTIF(A$1:A6,A6)-1</f>
        <v>3</v>
      </c>
      <c r="D6" s="2">
        <f>COUNT(#REF!,#REF!,1)</f>
        <v>1</v>
      </c>
      <c r="E6" s="2" t="b">
        <f>IFERROR(INDEX(ERROR(0),COUNT(#REF!,#REF!,SET.NAME("_",+INDEX(1,)))),RETURN(INDEX(TYPE(_),SET.NAME("_"))))</f>
        <v>0</v>
      </c>
      <c r="F6" s="2" t="b">
        <f>IFERROR(INDEX(ERROR(0),COUNT(#REF!,#REF!,INDIRECT(SET.NAME({1,"_"},)))),RETURN(INDEX(TYPE(_),SET.NAME("_"))))</f>
        <v>0</v>
      </c>
      <c r="G6" s="2">
        <f>TYPE(INDEX(,COUNT(#REF!,#REF!,INDEX(1,))))</f>
        <v>16</v>
      </c>
    </row>
    <row r="7" spans="1:7" x14ac:dyDescent="0.55000000000000004">
      <c r="A7" s="1" t="s">
        <v>1486</v>
      </c>
      <c r="B7" s="2">
        <f>COUNTIF(A:A,A7)-1</f>
        <v>3</v>
      </c>
      <c r="C7" s="2">
        <f>COUNTIF(A$1:A7,A7)-1</f>
        <v>0</v>
      </c>
      <c r="D7" s="2"/>
      <c r="E7" s="2"/>
      <c r="F7" s="2"/>
      <c r="G7" s="2"/>
    </row>
    <row r="8" spans="1:7" x14ac:dyDescent="0.55000000000000004">
      <c r="A8" s="1" t="s">
        <v>1486</v>
      </c>
      <c r="B8" s="2">
        <f>COUNTIF(A:A,A8)-1</f>
        <v>3</v>
      </c>
      <c r="C8" s="2">
        <f>COUNTIF(A$1:A8,A8)-1</f>
        <v>1</v>
      </c>
      <c r="D8" s="2" t="e">
        <f>IF(1,#REF!,#REF!)</f>
        <v>#REF!</v>
      </c>
      <c r="E8" s="2" t="b">
        <f>IFERROR(INDEX(ERROR(0),IF(SET.NAME("_",+INDEX(1,)),#REF!,#REF!)),RETURN(INDEX(TYPE(_),SET.NAME("_"))))</f>
        <v>0</v>
      </c>
      <c r="F8" s="2" t="b">
        <f>IFERROR(INDEX(ERROR(0),IF(INDIRECT(SET.NAME({1,"_"},)),#REF!,#REF!)),RETURN(INDEX(TYPE(_),SET.NAME("_"))))</f>
        <v>0</v>
      </c>
      <c r="G8" s="2">
        <f>TYPE(INDEX(,IF(INDEX(1,),#REF!,#REF!)))</f>
        <v>16</v>
      </c>
    </row>
    <row r="9" spans="1:7" x14ac:dyDescent="0.55000000000000004">
      <c r="A9" s="1" t="s">
        <v>1486</v>
      </c>
      <c r="B9" s="2">
        <f>COUNTIF(A:A,A9)-1</f>
        <v>3</v>
      </c>
      <c r="C9" s="2">
        <f>COUNTIF(A$1:A9,A9)-1</f>
        <v>2</v>
      </c>
      <c r="D9" s="2" t="e">
        <f>IF(#REF!,1,#REF!)</f>
        <v>#REF!</v>
      </c>
      <c r="E9" s="2" t="b">
        <f>IFERROR(INDEX(ERROR(0),IF(#REF!,SET.NAME("_",+INDEX(1,)),#REF!)),RETURN(INDEX(TYPE(_),SET.NAME("_"))))</f>
        <v>0</v>
      </c>
      <c r="F9" s="2" t="b">
        <f>IFERROR(INDEX(ERROR(0),IF(#REF!,INDIRECT(SET.NAME({1,"_"},)),#REF!)),RETURN(INDEX(TYPE(_),SET.NAME("_"))))</f>
        <v>0</v>
      </c>
      <c r="G9" s="2">
        <f>TYPE(INDEX(,IF(#REF!,INDEX(1,),#REF!)))</f>
        <v>16</v>
      </c>
    </row>
    <row r="10" spans="1:7" x14ac:dyDescent="0.55000000000000004">
      <c r="A10" s="1" t="s">
        <v>1486</v>
      </c>
      <c r="B10" s="2">
        <f>COUNTIF(A:A,A10)-1</f>
        <v>3</v>
      </c>
      <c r="C10" s="2">
        <f>COUNTIF(A$1:A10,A10)-1</f>
        <v>3</v>
      </c>
      <c r="D10" s="2" t="e">
        <f>IF(#REF!,#REF!,1)</f>
        <v>#REF!</v>
      </c>
      <c r="E10" s="2" t="b">
        <f>IFERROR(INDEX(ERROR(0),IF(#REF!,#REF!,SET.NAME("_",+INDEX(1,)))),RETURN(INDEX(TYPE(_),SET.NAME("_"))))</f>
        <v>0</v>
      </c>
      <c r="F10" s="2" t="b">
        <f>IFERROR(INDEX(ERROR(0),IF(#REF!,#REF!,INDIRECT(SET.NAME({1,"_"},)))),RETURN(INDEX(TYPE(_),SET.NAME("_"))))</f>
        <v>0</v>
      </c>
      <c r="G10" s="2">
        <f>TYPE(INDEX(,IF(#REF!,#REF!,INDEX(1,))))</f>
        <v>16</v>
      </c>
    </row>
    <row r="11" spans="1:7" x14ac:dyDescent="0.55000000000000004">
      <c r="A11" s="1" t="s">
        <v>1487</v>
      </c>
      <c r="B11" s="2">
        <f>COUNTIF(A:A,A11)-1</f>
        <v>1</v>
      </c>
      <c r="C11" s="2">
        <f>COUNTIF(A$1:A11,A11)-1</f>
        <v>0</v>
      </c>
      <c r="D11" s="2"/>
      <c r="E11" s="2"/>
      <c r="F11" s="2"/>
      <c r="G11" s="2"/>
    </row>
    <row r="12" spans="1:7" x14ac:dyDescent="0.55000000000000004">
      <c r="A12" s="1" t="s">
        <v>1487</v>
      </c>
      <c r="B12" s="2">
        <f>COUNTIF(A:A,A12)-1</f>
        <v>1</v>
      </c>
      <c r="C12" s="2">
        <f>COUNTIF(A$1:A12,A12)-1</f>
        <v>1</v>
      </c>
      <c r="D12" s="2" t="b">
        <f>ISNA(1)</f>
        <v>0</v>
      </c>
      <c r="E12" s="2" t="b">
        <f>IFERROR(INDEX(ERROR(0),ISNA(SET.NAME("_",+INDEX(1,)))),RETURN(INDEX(TYPE(_),SET.NAME("_"))))</f>
        <v>0</v>
      </c>
      <c r="F12" s="2" t="b">
        <f>IFERROR(INDEX(ERROR(0),ISNA(INDIRECT(SET.NAME({1,"_"},)))),RETURN(INDEX(TYPE(_),SET.NAME("_"))))</f>
        <v>0</v>
      </c>
      <c r="G12" s="2">
        <f>TYPE(INDEX(,ISNA(INDEX(1,))))</f>
        <v>16</v>
      </c>
    </row>
    <row r="13" spans="1:7" x14ac:dyDescent="0.55000000000000004">
      <c r="A13" s="1" t="s">
        <v>1488</v>
      </c>
      <c r="B13" s="2">
        <f>COUNTIF(A:A,A13)-1</f>
        <v>1</v>
      </c>
      <c r="C13" s="2">
        <f>COUNTIF(A$1:A13,A13)-1</f>
        <v>0</v>
      </c>
      <c r="D13" s="2"/>
      <c r="E13" s="2"/>
      <c r="F13" s="2"/>
      <c r="G13" s="2"/>
    </row>
    <row r="14" spans="1:7" x14ac:dyDescent="0.55000000000000004">
      <c r="A14" s="1" t="s">
        <v>1488</v>
      </c>
      <c r="B14" s="2">
        <f>COUNTIF(A:A,A14)-1</f>
        <v>1</v>
      </c>
      <c r="C14" s="2">
        <f>COUNTIF(A$1:A14,A14)-1</f>
        <v>1</v>
      </c>
      <c r="D14" s="2" t="b">
        <f>ISERROR(1)</f>
        <v>0</v>
      </c>
      <c r="E14" s="2" t="b">
        <f>IFERROR(INDEX(ERROR(0),ISERROR(SET.NAME("_",+INDEX(1,)))),RETURN(INDEX(TYPE(_),SET.NAME("_"))))</f>
        <v>0</v>
      </c>
      <c r="F14" s="2" t="b">
        <f>IFERROR(INDEX(ERROR(0),ISERROR(INDIRECT(SET.NAME({1,"_"},)))),RETURN(INDEX(TYPE(_),SET.NAME("_"))))</f>
        <v>0</v>
      </c>
      <c r="G14" s="2">
        <f>TYPE(INDEX(,ISERROR(INDEX(1,))))</f>
        <v>16</v>
      </c>
    </row>
    <row r="15" spans="1:7" x14ac:dyDescent="0.55000000000000004">
      <c r="A15" s="1" t="s">
        <v>1489</v>
      </c>
      <c r="B15" s="2">
        <f>COUNTIF(A:A,A15)-1</f>
        <v>3</v>
      </c>
      <c r="C15" s="2">
        <f>COUNTIF(A$1:A15,A15)-1</f>
        <v>0</v>
      </c>
      <c r="D15" s="2"/>
      <c r="E15" s="2"/>
      <c r="F15" s="2"/>
      <c r="G15" s="2"/>
    </row>
    <row r="16" spans="1:7" x14ac:dyDescent="0.55000000000000004">
      <c r="A16" s="1" t="s">
        <v>1489</v>
      </c>
      <c r="B16" s="2">
        <f>COUNTIF(A:A,A16)-1</f>
        <v>3</v>
      </c>
      <c r="C16" s="2">
        <f>COUNTIF(A$1:A16,A16)-1</f>
        <v>1</v>
      </c>
      <c r="D16" s="2" t="e">
        <f>SUM(1,#REF!,#REF!)</f>
        <v>#REF!</v>
      </c>
      <c r="E16" s="2" t="b">
        <f>IFERROR(INDEX(ERROR(0),SUM(SET.NAME("_",+INDEX(1,)),#REF!,#REF!)),RETURN(INDEX(TYPE(_),SET.NAME("_"))))</f>
        <v>0</v>
      </c>
      <c r="F16" s="2" t="b">
        <f>IFERROR(INDEX(ERROR(0),SUM(INDIRECT(SET.NAME({1,"_"},)),#REF!,#REF!)),RETURN(INDEX(TYPE(_),SET.NAME("_"))))</f>
        <v>0</v>
      </c>
      <c r="G16" s="2">
        <f>TYPE(INDEX(,SUM(INDEX(1,),#REF!,#REF!)))</f>
        <v>16</v>
      </c>
    </row>
    <row r="17" spans="1:7" x14ac:dyDescent="0.55000000000000004">
      <c r="A17" s="1" t="s">
        <v>1489</v>
      </c>
      <c r="B17" s="2">
        <f>COUNTIF(A:A,A17)-1</f>
        <v>3</v>
      </c>
      <c r="C17" s="2">
        <f>COUNTIF(A$1:A17,A17)-1</f>
        <v>2</v>
      </c>
      <c r="D17" s="2" t="e">
        <f>SUM(#REF!,1,#REF!)</f>
        <v>#REF!</v>
      </c>
      <c r="E17" s="2" t="b">
        <f>IFERROR(INDEX(ERROR(0),SUM(#REF!,SET.NAME("_",+INDEX(1,)),#REF!)),RETURN(INDEX(TYPE(_),SET.NAME("_"))))</f>
        <v>0</v>
      </c>
      <c r="F17" s="2" t="b">
        <f>IFERROR(INDEX(ERROR(0),SUM(#REF!,INDIRECT(SET.NAME({1,"_"},)),#REF!)),RETURN(INDEX(TYPE(_),SET.NAME("_"))))</f>
        <v>0</v>
      </c>
      <c r="G17" s="2">
        <f>TYPE(INDEX(,SUM(#REF!,INDEX(1,),#REF!)))</f>
        <v>16</v>
      </c>
    </row>
    <row r="18" spans="1:7" x14ac:dyDescent="0.55000000000000004">
      <c r="A18" s="1" t="s">
        <v>1489</v>
      </c>
      <c r="B18" s="2">
        <f>COUNTIF(A:A,A18)-1</f>
        <v>3</v>
      </c>
      <c r="C18" s="2">
        <f>COUNTIF(A$1:A18,A18)-1</f>
        <v>3</v>
      </c>
      <c r="D18" s="2" t="e">
        <f>SUM(#REF!,#REF!,1)</f>
        <v>#REF!</v>
      </c>
      <c r="E18" s="2" t="b">
        <f>IFERROR(INDEX(ERROR(0),SUM(#REF!,#REF!,SET.NAME("_",+INDEX(1,)))),RETURN(INDEX(TYPE(_),SET.NAME("_"))))</f>
        <v>0</v>
      </c>
      <c r="F18" s="2" t="b">
        <f>IFERROR(INDEX(ERROR(0),SUM(#REF!,#REF!,INDIRECT(SET.NAME({1,"_"},)))),RETURN(INDEX(TYPE(_),SET.NAME("_"))))</f>
        <v>0</v>
      </c>
      <c r="G18" s="2">
        <f>TYPE(INDEX(,SUM(#REF!,#REF!,INDEX(1,))))</f>
        <v>16</v>
      </c>
    </row>
    <row r="19" spans="1:7" x14ac:dyDescent="0.55000000000000004">
      <c r="A19" s="1" t="s">
        <v>1490</v>
      </c>
      <c r="B19" s="2">
        <f>COUNTIF(A:A,A19)-1</f>
        <v>3</v>
      </c>
      <c r="C19" s="2">
        <f>COUNTIF(A$1:A19,A19)-1</f>
        <v>0</v>
      </c>
      <c r="D19" s="2"/>
      <c r="E19" s="2"/>
      <c r="F19" s="2"/>
      <c r="G19" s="2"/>
    </row>
    <row r="20" spans="1:7" x14ac:dyDescent="0.55000000000000004">
      <c r="A20" s="1" t="s">
        <v>1490</v>
      </c>
      <c r="B20" s="2">
        <f>COUNTIF(A:A,A20)-1</f>
        <v>3</v>
      </c>
      <c r="C20" s="2">
        <f>COUNTIF(A$1:A20,A20)-1</f>
        <v>1</v>
      </c>
      <c r="D20" s="2" t="e">
        <f>AVERAGE(1,#REF!,#REF!)</f>
        <v>#REF!</v>
      </c>
      <c r="E20" s="2" t="b">
        <f>IFERROR(INDEX(ERROR(0),AVERAGE(SET.NAME("_",+INDEX(1,)),#REF!,#REF!)),RETURN(INDEX(TYPE(_),SET.NAME("_"))))</f>
        <v>0</v>
      </c>
      <c r="F20" s="2" t="b">
        <f>IFERROR(INDEX(ERROR(0),AVERAGE(INDIRECT(SET.NAME({1,"_"},)),#REF!,#REF!)),RETURN(INDEX(TYPE(_),SET.NAME("_"))))</f>
        <v>0</v>
      </c>
      <c r="G20" s="2">
        <f>TYPE(INDEX(,AVERAGE(INDEX(1,),#REF!,#REF!)))</f>
        <v>16</v>
      </c>
    </row>
    <row r="21" spans="1:7" x14ac:dyDescent="0.55000000000000004">
      <c r="A21" s="1" t="s">
        <v>1490</v>
      </c>
      <c r="B21" s="2">
        <f>COUNTIF(A:A,A21)-1</f>
        <v>3</v>
      </c>
      <c r="C21" s="2">
        <f>COUNTIF(A$1:A21,A21)-1</f>
        <v>2</v>
      </c>
      <c r="D21" s="2" t="e">
        <f>AVERAGE(#REF!,1,#REF!)</f>
        <v>#REF!</v>
      </c>
      <c r="E21" s="2" t="b">
        <f>IFERROR(INDEX(ERROR(0),AVERAGE(#REF!,SET.NAME("_",+INDEX(1,)),#REF!)),RETURN(INDEX(TYPE(_),SET.NAME("_"))))</f>
        <v>0</v>
      </c>
      <c r="F21" s="2" t="b">
        <f>IFERROR(INDEX(ERROR(0),AVERAGE(#REF!,INDIRECT(SET.NAME({1,"_"},)),#REF!)),RETURN(INDEX(TYPE(_),SET.NAME("_"))))</f>
        <v>0</v>
      </c>
      <c r="G21" s="2">
        <f>TYPE(INDEX(,AVERAGE(#REF!,INDEX(1,),#REF!)))</f>
        <v>16</v>
      </c>
    </row>
    <row r="22" spans="1:7" x14ac:dyDescent="0.55000000000000004">
      <c r="A22" s="1" t="s">
        <v>1490</v>
      </c>
      <c r="B22" s="2">
        <f>COUNTIF(A:A,A22)-1</f>
        <v>3</v>
      </c>
      <c r="C22" s="2">
        <f>COUNTIF(A$1:A22,A22)-1</f>
        <v>3</v>
      </c>
      <c r="D22" s="2" t="e">
        <f>AVERAGE(#REF!,#REF!,1)</f>
        <v>#REF!</v>
      </c>
      <c r="E22" s="2" t="b">
        <f>IFERROR(INDEX(ERROR(0),AVERAGE(#REF!,#REF!,SET.NAME("_",+INDEX(1,)))),RETURN(INDEX(TYPE(_),SET.NAME("_"))))</f>
        <v>0</v>
      </c>
      <c r="F22" s="2" t="b">
        <f>IFERROR(INDEX(ERROR(0),AVERAGE(#REF!,#REF!,INDIRECT(SET.NAME({1,"_"},)))),RETURN(INDEX(TYPE(_),SET.NAME("_"))))</f>
        <v>0</v>
      </c>
      <c r="G22" s="2">
        <f>TYPE(INDEX(,AVERAGE(#REF!,#REF!,INDEX(1,))))</f>
        <v>16</v>
      </c>
    </row>
    <row r="23" spans="1:7" x14ac:dyDescent="0.55000000000000004">
      <c r="A23" s="1" t="s">
        <v>1491</v>
      </c>
      <c r="B23" s="2">
        <f>COUNTIF(A:A,A23)-1</f>
        <v>3</v>
      </c>
      <c r="C23" s="2">
        <f>COUNTIF(A$1:A23,A23)-1</f>
        <v>0</v>
      </c>
      <c r="D23" s="2"/>
      <c r="E23" s="2"/>
      <c r="F23" s="2"/>
      <c r="G23" s="2"/>
    </row>
    <row r="24" spans="1:7" x14ac:dyDescent="0.55000000000000004">
      <c r="A24" s="1" t="s">
        <v>1491</v>
      </c>
      <c r="B24" s="2">
        <f>COUNTIF(A:A,A24)-1</f>
        <v>3</v>
      </c>
      <c r="C24" s="2">
        <f>COUNTIF(A$1:A24,A24)-1</f>
        <v>1</v>
      </c>
      <c r="D24" s="2" t="e">
        <f>MIN(1,#REF!,#REF!)</f>
        <v>#REF!</v>
      </c>
      <c r="E24" s="2" t="b">
        <f>IFERROR(INDEX(ERROR(0),MIN(SET.NAME("_",+INDEX(1,)),#REF!,#REF!)),RETURN(INDEX(TYPE(_),SET.NAME("_"))))</f>
        <v>0</v>
      </c>
      <c r="F24" s="2" t="b">
        <f>IFERROR(INDEX(ERROR(0),MIN(INDIRECT(SET.NAME({1,"_"},)),#REF!,#REF!)),RETURN(INDEX(TYPE(_),SET.NAME("_"))))</f>
        <v>0</v>
      </c>
      <c r="G24" s="2">
        <f>TYPE(INDEX(,MIN(INDEX(1,),#REF!,#REF!)))</f>
        <v>16</v>
      </c>
    </row>
    <row r="25" spans="1:7" x14ac:dyDescent="0.55000000000000004">
      <c r="A25" s="1" t="s">
        <v>1491</v>
      </c>
      <c r="B25" s="2">
        <f>COUNTIF(A:A,A25)-1</f>
        <v>3</v>
      </c>
      <c r="C25" s="2">
        <f>COUNTIF(A$1:A25,A25)-1</f>
        <v>2</v>
      </c>
      <c r="D25" s="2" t="e">
        <f>MIN(#REF!,1,#REF!)</f>
        <v>#REF!</v>
      </c>
      <c r="E25" s="2" t="b">
        <f>IFERROR(INDEX(ERROR(0),MIN(#REF!,SET.NAME("_",+INDEX(1,)),#REF!)),RETURN(INDEX(TYPE(_),SET.NAME("_"))))</f>
        <v>0</v>
      </c>
      <c r="F25" s="2" t="b">
        <f>IFERROR(INDEX(ERROR(0),MIN(#REF!,INDIRECT(SET.NAME({1,"_"},)),#REF!)),RETURN(INDEX(TYPE(_),SET.NAME("_"))))</f>
        <v>0</v>
      </c>
      <c r="G25" s="2">
        <f>TYPE(INDEX(,MIN(#REF!,INDEX(1,),#REF!)))</f>
        <v>16</v>
      </c>
    </row>
    <row r="26" spans="1:7" x14ac:dyDescent="0.55000000000000004">
      <c r="A26" s="1" t="s">
        <v>1491</v>
      </c>
      <c r="B26" s="2">
        <f>COUNTIF(A:A,A26)-1</f>
        <v>3</v>
      </c>
      <c r="C26" s="2">
        <f>COUNTIF(A$1:A26,A26)-1</f>
        <v>3</v>
      </c>
      <c r="D26" s="2" t="e">
        <f>MIN(#REF!,#REF!,1)</f>
        <v>#REF!</v>
      </c>
      <c r="E26" s="2" t="b">
        <f>IFERROR(INDEX(ERROR(0),MIN(#REF!,#REF!,SET.NAME("_",+INDEX(1,)))),RETURN(INDEX(TYPE(_),SET.NAME("_"))))</f>
        <v>0</v>
      </c>
      <c r="F26" s="2" t="b">
        <f>IFERROR(INDEX(ERROR(0),MIN(#REF!,#REF!,INDIRECT(SET.NAME({1,"_"},)))),RETURN(INDEX(TYPE(_),SET.NAME("_"))))</f>
        <v>0</v>
      </c>
      <c r="G26" s="2">
        <f>TYPE(INDEX(,MIN(#REF!,#REF!,INDEX(1,))))</f>
        <v>16</v>
      </c>
    </row>
    <row r="27" spans="1:7" x14ac:dyDescent="0.55000000000000004">
      <c r="A27" s="1" t="s">
        <v>1492</v>
      </c>
      <c r="B27" s="2">
        <f>COUNTIF(A:A,A27)-1</f>
        <v>3</v>
      </c>
      <c r="C27" s="2">
        <f>COUNTIF(A$1:A27,A27)-1</f>
        <v>0</v>
      </c>
      <c r="D27" s="2"/>
      <c r="E27" s="2"/>
      <c r="F27" s="2"/>
      <c r="G27" s="2"/>
    </row>
    <row r="28" spans="1:7" x14ac:dyDescent="0.55000000000000004">
      <c r="A28" s="1" t="s">
        <v>1492</v>
      </c>
      <c r="B28" s="2">
        <f>COUNTIF(A:A,A28)-1</f>
        <v>3</v>
      </c>
      <c r="C28" s="2">
        <f>COUNTIF(A$1:A28,A28)-1</f>
        <v>1</v>
      </c>
      <c r="D28" s="2" t="e">
        <f>MAX(1,#REF!,#REF!)</f>
        <v>#REF!</v>
      </c>
      <c r="E28" s="2" t="b">
        <f>IFERROR(INDEX(ERROR(0),MAX(SET.NAME("_",+INDEX(1,)),#REF!,#REF!)),RETURN(INDEX(TYPE(_),SET.NAME("_"))))</f>
        <v>0</v>
      </c>
      <c r="F28" s="2" t="b">
        <f>IFERROR(INDEX(ERROR(0),MAX(INDIRECT(SET.NAME({1,"_"},)),#REF!,#REF!)),RETURN(INDEX(TYPE(_),SET.NAME("_"))))</f>
        <v>0</v>
      </c>
      <c r="G28" s="2">
        <f>TYPE(INDEX(,MAX(INDEX(1,),#REF!,#REF!)))</f>
        <v>16</v>
      </c>
    </row>
    <row r="29" spans="1:7" x14ac:dyDescent="0.55000000000000004">
      <c r="A29" s="1" t="s">
        <v>1492</v>
      </c>
      <c r="B29" s="2">
        <f>COUNTIF(A:A,A29)-1</f>
        <v>3</v>
      </c>
      <c r="C29" s="2">
        <f>COUNTIF(A$1:A29,A29)-1</f>
        <v>2</v>
      </c>
      <c r="D29" s="2" t="e">
        <f>MAX(#REF!,1,#REF!)</f>
        <v>#REF!</v>
      </c>
      <c r="E29" s="2" t="b">
        <f>IFERROR(INDEX(ERROR(0),MAX(#REF!,SET.NAME("_",+INDEX(1,)),#REF!)),RETURN(INDEX(TYPE(_),SET.NAME("_"))))</f>
        <v>0</v>
      </c>
      <c r="F29" s="2" t="b">
        <f>IFERROR(INDEX(ERROR(0),MAX(#REF!,INDIRECT(SET.NAME({1,"_"},)),#REF!)),RETURN(INDEX(TYPE(_),SET.NAME("_"))))</f>
        <v>0</v>
      </c>
      <c r="G29" s="2">
        <f>TYPE(INDEX(,MAX(#REF!,INDEX(1,),#REF!)))</f>
        <v>16</v>
      </c>
    </row>
    <row r="30" spans="1:7" x14ac:dyDescent="0.55000000000000004">
      <c r="A30" s="1" t="s">
        <v>1492</v>
      </c>
      <c r="B30" s="2">
        <f>COUNTIF(A:A,A30)-1</f>
        <v>3</v>
      </c>
      <c r="C30" s="2">
        <f>COUNTIF(A$1:A30,A30)-1</f>
        <v>3</v>
      </c>
      <c r="D30" s="2" t="e">
        <f>MAX(#REF!,#REF!,1)</f>
        <v>#REF!</v>
      </c>
      <c r="E30" s="2" t="b">
        <f>IFERROR(INDEX(ERROR(0),MAX(#REF!,#REF!,SET.NAME("_",+INDEX(1,)))),RETURN(INDEX(TYPE(_),SET.NAME("_"))))</f>
        <v>0</v>
      </c>
      <c r="F30" s="2" t="b">
        <f>IFERROR(INDEX(ERROR(0),MAX(#REF!,#REF!,INDIRECT(SET.NAME({1,"_"},)))),RETURN(INDEX(TYPE(_),SET.NAME("_"))))</f>
        <v>0</v>
      </c>
      <c r="G30" s="2">
        <f>TYPE(INDEX(,MAX(#REF!,#REF!,INDEX(1,))))</f>
        <v>16</v>
      </c>
    </row>
    <row r="31" spans="1:7" x14ac:dyDescent="0.55000000000000004">
      <c r="A31" s="1" t="s">
        <v>1493</v>
      </c>
      <c r="B31" s="2">
        <f>COUNTIF(A:A,A31)-1</f>
        <v>1</v>
      </c>
      <c r="C31" s="2">
        <f>COUNTIF(A$1:A31,A31)-1</f>
        <v>0</v>
      </c>
      <c r="D31" s="2"/>
      <c r="E31" s="2"/>
      <c r="F31" s="2"/>
      <c r="G31" s="2"/>
    </row>
    <row r="32" spans="1:7" x14ac:dyDescent="0.55000000000000004">
      <c r="A32" s="1" t="s">
        <v>1493</v>
      </c>
      <c r="B32" s="2">
        <f>COUNTIF(A:A,A32)-1</f>
        <v>1</v>
      </c>
      <c r="C32" s="2">
        <f>COUNTIF(A$1:A32,A32)-1</f>
        <v>1</v>
      </c>
      <c r="D32" s="2" t="s">
        <v>2259</v>
      </c>
      <c r="E32" s="2" t="s">
        <v>2197</v>
      </c>
      <c r="F32" s="2" t="b">
        <f>IFERROR(INDEX(ERROR(0),ROW(INDIRECT(SET.NAME({1,"_"},)))),RETURN(INDEX(TYPE(_),SET.NAME("_"))))</f>
        <v>0</v>
      </c>
      <c r="G32" s="2">
        <f>TYPE(INDEX(,ROW(INDEX(1,))))</f>
        <v>64</v>
      </c>
    </row>
    <row r="33" spans="1:7" x14ac:dyDescent="0.55000000000000004">
      <c r="A33" s="1" t="s">
        <v>1494</v>
      </c>
      <c r="B33" s="2">
        <f>COUNTIF(A:A,A33)-1</f>
        <v>1</v>
      </c>
      <c r="C33" s="2">
        <f>COUNTIF(A$1:A33,A33)-1</f>
        <v>0</v>
      </c>
      <c r="D33" s="2"/>
      <c r="E33" s="2"/>
      <c r="F33" s="2"/>
      <c r="G33" s="2"/>
    </row>
    <row r="34" spans="1:7" x14ac:dyDescent="0.55000000000000004">
      <c r="A34" s="1" t="s">
        <v>1494</v>
      </c>
      <c r="B34" s="2">
        <f>COUNTIF(A:A,A34)-1</f>
        <v>1</v>
      </c>
      <c r="C34" s="2">
        <f>COUNTIF(A$1:A34,A34)-1</f>
        <v>1</v>
      </c>
      <c r="D34" s="2" t="s">
        <v>2260</v>
      </c>
      <c r="E34" s="2" t="s">
        <v>2198</v>
      </c>
      <c r="F34" s="2" t="b">
        <f>IFERROR(INDEX(ERROR(0),COLUMN(INDIRECT(SET.NAME({1,"_"},)))),RETURN(INDEX(TYPE(_),SET.NAME("_"))))</f>
        <v>0</v>
      </c>
      <c r="G34" s="2">
        <f>TYPE(INDEX(,COLUMN(INDEX(1,))))</f>
        <v>64</v>
      </c>
    </row>
    <row r="35" spans="1:7" x14ac:dyDescent="0.55000000000000004">
      <c r="A35" s="1" t="s">
        <v>1473</v>
      </c>
      <c r="B35" s="2">
        <f>COUNTIF(A:A,A35)-1</f>
        <v>0</v>
      </c>
      <c r="C35" s="2">
        <f>COUNTIF(A$1:A35,A35)-1</f>
        <v>0</v>
      </c>
      <c r="D35" s="2"/>
      <c r="E35" s="2"/>
      <c r="F35" s="2"/>
      <c r="G35" s="2"/>
    </row>
    <row r="36" spans="1:7" x14ac:dyDescent="0.55000000000000004">
      <c r="A36" s="1" t="s">
        <v>1495</v>
      </c>
      <c r="B36" s="2">
        <f>COUNTIF(A:A,A36)-1</f>
        <v>4</v>
      </c>
      <c r="C36" s="2">
        <f>COUNTIF(A$1:A36,A36)-1</f>
        <v>0</v>
      </c>
      <c r="D36" s="2"/>
      <c r="E36" s="2"/>
      <c r="F36" s="2"/>
      <c r="G36" s="2"/>
    </row>
    <row r="37" spans="1:7" x14ac:dyDescent="0.55000000000000004">
      <c r="A37" s="1" t="s">
        <v>1495</v>
      </c>
      <c r="B37" s="2">
        <f>COUNTIF(A:A,A37)-1</f>
        <v>4</v>
      </c>
      <c r="C37" s="2">
        <f>COUNTIF(A$1:A37,A37)-1</f>
        <v>1</v>
      </c>
      <c r="D37" s="2" t="e">
        <f>NPV(1,#REF!,#REF!,#REF!)</f>
        <v>#REF!</v>
      </c>
      <c r="E37" s="2" t="b">
        <f>IFERROR(INDEX(ERROR(0),NPV(SET.NAME("_",+INDEX(1,)),#REF!,#REF!,#REF!)),RETURN(INDEX(TYPE(_),SET.NAME("_"))))</f>
        <v>0</v>
      </c>
      <c r="F37" s="2" t="b">
        <f>IFERROR(INDEX(ERROR(0),NPV(INDIRECT(SET.NAME({1,"_"},)),#REF!,#REF!,#REF!)),RETURN(INDEX(TYPE(_),SET.NAME("_"))))</f>
        <v>0</v>
      </c>
      <c r="G37" s="2">
        <f>TYPE(INDEX(,NPV(INDEX(1,),#REF!,#REF!,#REF!)))</f>
        <v>16</v>
      </c>
    </row>
    <row r="38" spans="1:7" x14ac:dyDescent="0.55000000000000004">
      <c r="A38" s="1" t="s">
        <v>1495</v>
      </c>
      <c r="B38" s="2">
        <f>COUNTIF(A:A,A38)-1</f>
        <v>4</v>
      </c>
      <c r="C38" s="2">
        <f>COUNTIF(A$1:A38,A38)-1</f>
        <v>2</v>
      </c>
      <c r="D38" s="2" t="e">
        <f>NPV(#REF!,1,#REF!,#REF!)</f>
        <v>#REF!</v>
      </c>
      <c r="E38" s="2" t="b">
        <f>IFERROR(INDEX(ERROR(0),NPV(#REF!,SET.NAME("_",+INDEX(1,)),#REF!,#REF!)),RETURN(INDEX(TYPE(_),SET.NAME("_"))))</f>
        <v>0</v>
      </c>
      <c r="F38" s="2" t="b">
        <f>IFERROR(INDEX(ERROR(0),NPV(#REF!,INDIRECT(SET.NAME({1,"_"},)),#REF!,#REF!)),RETURN(INDEX(TYPE(_),SET.NAME("_"))))</f>
        <v>0</v>
      </c>
      <c r="G38" s="2">
        <f>TYPE(INDEX(,NPV(#REF!,INDEX(1,),#REF!,#REF!)))</f>
        <v>16</v>
      </c>
    </row>
    <row r="39" spans="1:7" x14ac:dyDescent="0.55000000000000004">
      <c r="A39" s="1" t="s">
        <v>1495</v>
      </c>
      <c r="B39" s="2">
        <f>COUNTIF(A:A,A39)-1</f>
        <v>4</v>
      </c>
      <c r="C39" s="2">
        <f>COUNTIF(A$1:A39,A39)-1</f>
        <v>3</v>
      </c>
      <c r="D39" s="2" t="e">
        <f>NPV(#REF!,#REF!,1,#REF!)</f>
        <v>#REF!</v>
      </c>
      <c r="E39" s="2" t="b">
        <f>IFERROR(INDEX(ERROR(0),NPV(#REF!,#REF!,SET.NAME("_",+INDEX(1,)),#REF!)),RETURN(INDEX(TYPE(_),SET.NAME("_"))))</f>
        <v>0</v>
      </c>
      <c r="F39" s="2" t="b">
        <f>IFERROR(INDEX(ERROR(0),NPV(#REF!,#REF!,INDIRECT(SET.NAME({1,"_"},)),#REF!)),RETURN(INDEX(TYPE(_),SET.NAME("_"))))</f>
        <v>0</v>
      </c>
      <c r="G39" s="2">
        <f>TYPE(INDEX(,NPV(#REF!,#REF!,INDEX(1,),#REF!)))</f>
        <v>16</v>
      </c>
    </row>
    <row r="40" spans="1:7" x14ac:dyDescent="0.55000000000000004">
      <c r="A40" s="1" t="s">
        <v>1495</v>
      </c>
      <c r="B40" s="2">
        <f>COUNTIF(A:A,A40)-1</f>
        <v>4</v>
      </c>
      <c r="C40" s="2">
        <f>COUNTIF(A$1:A40,A40)-1</f>
        <v>4</v>
      </c>
      <c r="D40" s="2" t="e">
        <f>NPV(#REF!,#REF!,#REF!,1)</f>
        <v>#REF!</v>
      </c>
      <c r="E40" s="2" t="b">
        <f>IFERROR(INDEX(ERROR(0),NPV(#REF!,#REF!,#REF!,SET.NAME("_",+INDEX(1,)))),RETURN(INDEX(TYPE(_),SET.NAME("_"))))</f>
        <v>0</v>
      </c>
      <c r="F40" s="2" t="b">
        <f>IFERROR(INDEX(ERROR(0),NPV(#REF!,#REF!,#REF!,INDIRECT(SET.NAME({1,"_"},)))),RETURN(INDEX(TYPE(_),SET.NAME("_"))))</f>
        <v>0</v>
      </c>
      <c r="G40" s="2">
        <f>TYPE(INDEX(,NPV(#REF!,#REF!,#REF!,INDEX(1,))))</f>
        <v>16</v>
      </c>
    </row>
    <row r="41" spans="1:7" x14ac:dyDescent="0.55000000000000004">
      <c r="A41" s="1" t="s">
        <v>1496</v>
      </c>
      <c r="B41" s="2">
        <f>COUNTIF(A:A,A41)-1</f>
        <v>3</v>
      </c>
      <c r="C41" s="2">
        <f>COUNTIF(A$1:A41,A41)-1</f>
        <v>0</v>
      </c>
      <c r="D41" s="2"/>
      <c r="E41" s="2"/>
      <c r="F41" s="2"/>
      <c r="G41" s="2"/>
    </row>
    <row r="42" spans="1:7" x14ac:dyDescent="0.55000000000000004">
      <c r="A42" s="1" t="s">
        <v>1496</v>
      </c>
      <c r="B42" s="2">
        <f>COUNTIF(A:A,A42)-1</f>
        <v>3</v>
      </c>
      <c r="C42" s="2">
        <f>COUNTIF(A$1:A42,A42)-1</f>
        <v>1</v>
      </c>
      <c r="D42" s="2" t="e">
        <f>STDEV(1,#REF!,#REF!)</f>
        <v>#REF!</v>
      </c>
      <c r="E42" s="2" t="b">
        <f>IFERROR(INDEX(ERROR(0),STDEV(SET.NAME("_",+INDEX(1,)),#REF!,#REF!)),RETURN(INDEX(TYPE(_),SET.NAME("_"))))</f>
        <v>0</v>
      </c>
      <c r="F42" s="2" t="b">
        <f>IFERROR(INDEX(ERROR(0),STDEV(INDIRECT(SET.NAME({1,"_"},)),#REF!,#REF!)),RETURN(INDEX(TYPE(_),SET.NAME("_"))))</f>
        <v>0</v>
      </c>
      <c r="G42" s="2">
        <f>TYPE(INDEX(,STDEV(INDEX(1,),#REF!,#REF!)))</f>
        <v>16</v>
      </c>
    </row>
    <row r="43" spans="1:7" x14ac:dyDescent="0.55000000000000004">
      <c r="A43" s="1" t="s">
        <v>1496</v>
      </c>
      <c r="B43" s="2">
        <f>COUNTIF(A:A,A43)-1</f>
        <v>3</v>
      </c>
      <c r="C43" s="2">
        <f>COUNTIF(A$1:A43,A43)-1</f>
        <v>2</v>
      </c>
      <c r="D43" s="2" t="e">
        <f>STDEV(#REF!,1,#REF!)</f>
        <v>#REF!</v>
      </c>
      <c r="E43" s="2" t="b">
        <f>IFERROR(INDEX(ERROR(0),STDEV(#REF!,SET.NAME("_",+INDEX(1,)),#REF!)),RETURN(INDEX(TYPE(_),SET.NAME("_"))))</f>
        <v>0</v>
      </c>
      <c r="F43" s="2" t="b">
        <f>IFERROR(INDEX(ERROR(0),STDEV(#REF!,INDIRECT(SET.NAME({1,"_"},)),#REF!)),RETURN(INDEX(TYPE(_),SET.NAME("_"))))</f>
        <v>0</v>
      </c>
      <c r="G43" s="2">
        <f>TYPE(INDEX(,STDEV(#REF!,INDEX(1,),#REF!)))</f>
        <v>16</v>
      </c>
    </row>
    <row r="44" spans="1:7" x14ac:dyDescent="0.55000000000000004">
      <c r="A44" s="1" t="s">
        <v>1496</v>
      </c>
      <c r="B44" s="2">
        <f>COUNTIF(A:A,A44)-1</f>
        <v>3</v>
      </c>
      <c r="C44" s="2">
        <f>COUNTIF(A$1:A44,A44)-1</f>
        <v>3</v>
      </c>
      <c r="D44" s="2" t="e">
        <f>STDEV(#REF!,#REF!,1)</f>
        <v>#REF!</v>
      </c>
      <c r="E44" s="2" t="b">
        <f>IFERROR(INDEX(ERROR(0),STDEV(#REF!,#REF!,SET.NAME("_",+INDEX(1,)))),RETURN(INDEX(TYPE(_),SET.NAME("_"))))</f>
        <v>0</v>
      </c>
      <c r="F44" s="2" t="b">
        <f>IFERROR(INDEX(ERROR(0),STDEV(#REF!,#REF!,INDIRECT(SET.NAME({1,"_"},)))),RETURN(INDEX(TYPE(_),SET.NAME("_"))))</f>
        <v>0</v>
      </c>
      <c r="G44" s="2">
        <f>TYPE(INDEX(,STDEV(#REF!,#REF!,INDEX(1,))))</f>
        <v>16</v>
      </c>
    </row>
    <row r="45" spans="1:7" x14ac:dyDescent="0.55000000000000004">
      <c r="A45" s="1" t="s">
        <v>1497</v>
      </c>
      <c r="B45" s="2">
        <f>COUNTIF(A:A,A45)-1</f>
        <v>2</v>
      </c>
      <c r="C45" s="2">
        <f>COUNTIF(A$1:A45,A45)-1</f>
        <v>0</v>
      </c>
      <c r="D45" s="2"/>
      <c r="E45" s="2"/>
      <c r="F45" s="2"/>
      <c r="G45" s="2"/>
    </row>
    <row r="46" spans="1:7" x14ac:dyDescent="0.55000000000000004">
      <c r="A46" s="1" t="s">
        <v>1497</v>
      </c>
      <c r="B46" s="2">
        <f>COUNTIF(A:A,A46)-1</f>
        <v>2</v>
      </c>
      <c r="C46" s="2">
        <f>COUNTIF(A$1:A46,A46)-1</f>
        <v>1</v>
      </c>
      <c r="D46" s="2" t="e">
        <f>DOLLAR(1,#REF!)</f>
        <v>#REF!</v>
      </c>
      <c r="E46" s="2" t="b">
        <f>IFERROR(INDEX(ERROR(0),DOLLAR(SET.NAME("_",+INDEX(1,)),#REF!)),RETURN(INDEX(TYPE(_),SET.NAME("_"))))</f>
        <v>0</v>
      </c>
      <c r="F46" s="2" t="b">
        <f>IFERROR(INDEX(ERROR(0),DOLLAR(INDIRECT(SET.NAME({1,"_"},)),#REF!)),RETURN(INDEX(TYPE(_),SET.NAME("_"))))</f>
        <v>0</v>
      </c>
      <c r="G46" s="2">
        <f>TYPE(INDEX(,DOLLAR(INDEX(1,),#REF!)))</f>
        <v>16</v>
      </c>
    </row>
    <row r="47" spans="1:7" x14ac:dyDescent="0.55000000000000004">
      <c r="A47" s="1" t="s">
        <v>1497</v>
      </c>
      <c r="B47" s="2">
        <f>COUNTIF(A:A,A47)-1</f>
        <v>2</v>
      </c>
      <c r="C47" s="2">
        <f>COUNTIF(A$1:A47,A47)-1</f>
        <v>2</v>
      </c>
      <c r="D47" s="2" t="e">
        <f>DOLLAR(#REF!,1)</f>
        <v>#REF!</v>
      </c>
      <c r="E47" s="2" t="b">
        <f>IFERROR(INDEX(ERROR(0),DOLLAR(#REF!,SET.NAME("_",+INDEX(1,)))),RETURN(INDEX(TYPE(_),SET.NAME("_"))))</f>
        <v>0</v>
      </c>
      <c r="F47" s="2" t="b">
        <f>IFERROR(INDEX(ERROR(0),DOLLAR(#REF!,INDIRECT(SET.NAME({1,"_"},)))),RETURN(INDEX(TYPE(_),SET.NAME("_"))))</f>
        <v>0</v>
      </c>
      <c r="G47" s="2">
        <f>TYPE(INDEX(,DOLLAR(#REF!,INDEX(1,))))</f>
        <v>16</v>
      </c>
    </row>
    <row r="48" spans="1:7" x14ac:dyDescent="0.55000000000000004">
      <c r="A48" s="1" t="s">
        <v>1498</v>
      </c>
      <c r="B48" s="2">
        <f>COUNTIF(A:A,A48)-1</f>
        <v>3</v>
      </c>
      <c r="C48" s="2">
        <f>COUNTIF(A$1:A48,A48)-1</f>
        <v>0</v>
      </c>
      <c r="D48" s="2"/>
      <c r="E48" s="2"/>
      <c r="F48" s="2"/>
      <c r="G48" s="2"/>
    </row>
    <row r="49" spans="1:7" x14ac:dyDescent="0.55000000000000004">
      <c r="A49" s="1" t="s">
        <v>1498</v>
      </c>
      <c r="B49" s="2">
        <f>COUNTIF(A:A,A49)-1</f>
        <v>3</v>
      </c>
      <c r="C49" s="2">
        <f>COUNTIF(A$1:A49,A49)-1</f>
        <v>1</v>
      </c>
      <c r="D49" s="2" t="e">
        <f>FIXED(1,#REF!,#REF!)</f>
        <v>#REF!</v>
      </c>
      <c r="E49" s="2" t="b">
        <f>IFERROR(INDEX(ERROR(0),FIXED(SET.NAME("_",+INDEX(1,)),#REF!,#REF!)),RETURN(INDEX(TYPE(_),SET.NAME("_"))))</f>
        <v>0</v>
      </c>
      <c r="F49" s="2" t="b">
        <f>IFERROR(INDEX(ERROR(0),FIXED(INDIRECT(SET.NAME({1,"_"},)),#REF!,#REF!)),RETURN(INDEX(TYPE(_),SET.NAME("_"))))</f>
        <v>0</v>
      </c>
      <c r="G49" s="2">
        <f>TYPE(INDEX(,FIXED(INDEX(1,),#REF!,#REF!)))</f>
        <v>16</v>
      </c>
    </row>
    <row r="50" spans="1:7" x14ac:dyDescent="0.55000000000000004">
      <c r="A50" s="1" t="s">
        <v>1498</v>
      </c>
      <c r="B50" s="2">
        <f>COUNTIF(A:A,A50)-1</f>
        <v>3</v>
      </c>
      <c r="C50" s="2">
        <f>COUNTIF(A$1:A50,A50)-1</f>
        <v>2</v>
      </c>
      <c r="D50" s="2" t="e">
        <f>FIXED(#REF!,1,#REF!)</f>
        <v>#REF!</v>
      </c>
      <c r="E50" s="2" t="b">
        <f>IFERROR(INDEX(ERROR(0),FIXED(#REF!,SET.NAME("_",+INDEX(1,)),#REF!)),RETURN(INDEX(TYPE(_),SET.NAME("_"))))</f>
        <v>0</v>
      </c>
      <c r="F50" s="2" t="b">
        <f>IFERROR(INDEX(ERROR(0),FIXED(#REF!,INDIRECT(SET.NAME({1,"_"},)),#REF!)),RETURN(INDEX(TYPE(_),SET.NAME("_"))))</f>
        <v>0</v>
      </c>
      <c r="G50" s="2">
        <f>TYPE(INDEX(,FIXED(#REF!,INDEX(1,),#REF!)))</f>
        <v>16</v>
      </c>
    </row>
    <row r="51" spans="1:7" x14ac:dyDescent="0.55000000000000004">
      <c r="A51" s="1" t="s">
        <v>1498</v>
      </c>
      <c r="B51" s="2">
        <f>COUNTIF(A:A,A51)-1</f>
        <v>3</v>
      </c>
      <c r="C51" s="2">
        <f>COUNTIF(A$1:A51,A51)-1</f>
        <v>3</v>
      </c>
      <c r="D51" s="2" t="e">
        <f>FIXED(#REF!,#REF!,1)</f>
        <v>#REF!</v>
      </c>
      <c r="E51" s="2" t="b">
        <f>IFERROR(INDEX(ERROR(0),FIXED(#REF!,#REF!,SET.NAME("_",+INDEX(1,)))),RETURN(INDEX(TYPE(_),SET.NAME("_"))))</f>
        <v>0</v>
      </c>
      <c r="F51" s="2" t="b">
        <f>IFERROR(INDEX(ERROR(0),FIXED(#REF!,#REF!,INDIRECT(SET.NAME({1,"_"},)))),RETURN(INDEX(TYPE(_),SET.NAME("_"))))</f>
        <v>0</v>
      </c>
      <c r="G51" s="2">
        <f>TYPE(INDEX(,FIXED(#REF!,#REF!,INDEX(1,))))</f>
        <v>16</v>
      </c>
    </row>
    <row r="52" spans="1:7" x14ac:dyDescent="0.55000000000000004">
      <c r="A52" s="1" t="s">
        <v>1499</v>
      </c>
      <c r="B52" s="2">
        <f>COUNTIF(A:A,A52)-1</f>
        <v>1</v>
      </c>
      <c r="C52" s="2">
        <f>COUNTIF(A$1:A52,A52)-1</f>
        <v>0</v>
      </c>
      <c r="D52" s="2"/>
      <c r="E52" s="2"/>
      <c r="F52" s="2"/>
      <c r="G52" s="2"/>
    </row>
    <row r="53" spans="1:7" x14ac:dyDescent="0.55000000000000004">
      <c r="A53" s="1" t="s">
        <v>1499</v>
      </c>
      <c r="B53" s="2">
        <f>COUNTIF(A:A,A53)-1</f>
        <v>1</v>
      </c>
      <c r="C53" s="2">
        <f>COUNTIF(A$1:A53,A53)-1</f>
        <v>1</v>
      </c>
      <c r="D53" s="2">
        <f>SIN(1)</f>
        <v>0.8414709848078965</v>
      </c>
      <c r="E53" s="2" t="b">
        <f>IFERROR(INDEX(ERROR(0),SIN(SET.NAME("_",+INDEX(1,)))),RETURN(INDEX(TYPE(_),SET.NAME("_"))))</f>
        <v>0</v>
      </c>
      <c r="F53" s="2" t="b">
        <f>IFERROR(INDEX(ERROR(0),SIN(INDIRECT(SET.NAME({1,"_"},)))),RETURN(INDEX(TYPE(_),SET.NAME("_"))))</f>
        <v>0</v>
      </c>
      <c r="G53" s="2">
        <f>TYPE(INDEX(,SIN(INDEX(1,))))</f>
        <v>16</v>
      </c>
    </row>
    <row r="54" spans="1:7" x14ac:dyDescent="0.55000000000000004">
      <c r="A54" s="1" t="s">
        <v>1500</v>
      </c>
      <c r="B54" s="2">
        <f>COUNTIF(A:A,A54)-1</f>
        <v>1</v>
      </c>
      <c r="C54" s="2">
        <f>COUNTIF(A$1:A54,A54)-1</f>
        <v>0</v>
      </c>
      <c r="D54" s="2"/>
      <c r="E54" s="2"/>
      <c r="F54" s="2"/>
      <c r="G54" s="2"/>
    </row>
    <row r="55" spans="1:7" x14ac:dyDescent="0.55000000000000004">
      <c r="A55" s="1" t="s">
        <v>1500</v>
      </c>
      <c r="B55" s="2">
        <f>COUNTIF(A:A,A55)-1</f>
        <v>1</v>
      </c>
      <c r="C55" s="2">
        <f>COUNTIF(A$1:A55,A55)-1</f>
        <v>1</v>
      </c>
      <c r="D55" s="2">
        <f>COS(1)</f>
        <v>0.54030230586813977</v>
      </c>
      <c r="E55" s="2" t="b">
        <f>IFERROR(INDEX(ERROR(0),COS(SET.NAME("_",+INDEX(1,)))),RETURN(INDEX(TYPE(_),SET.NAME("_"))))</f>
        <v>0</v>
      </c>
      <c r="F55" s="2" t="b">
        <f>IFERROR(INDEX(ERROR(0),COS(INDIRECT(SET.NAME({1,"_"},)))),RETURN(INDEX(TYPE(_),SET.NAME("_"))))</f>
        <v>0</v>
      </c>
      <c r="G55" s="2">
        <f>TYPE(INDEX(,COS(INDEX(1,))))</f>
        <v>16</v>
      </c>
    </row>
    <row r="56" spans="1:7" x14ac:dyDescent="0.55000000000000004">
      <c r="A56" s="1" t="s">
        <v>1501</v>
      </c>
      <c r="B56" s="2">
        <f>COUNTIF(A:A,A56)-1</f>
        <v>1</v>
      </c>
      <c r="C56" s="2">
        <f>COUNTIF(A$1:A56,A56)-1</f>
        <v>0</v>
      </c>
      <c r="D56" s="2"/>
      <c r="E56" s="2"/>
      <c r="F56" s="2"/>
      <c r="G56" s="2"/>
    </row>
    <row r="57" spans="1:7" x14ac:dyDescent="0.55000000000000004">
      <c r="A57" s="1" t="s">
        <v>1501</v>
      </c>
      <c r="B57" s="2">
        <f>COUNTIF(A:A,A57)-1</f>
        <v>1</v>
      </c>
      <c r="C57" s="2">
        <f>COUNTIF(A$1:A57,A57)-1</f>
        <v>1</v>
      </c>
      <c r="D57" s="2">
        <f>TAN(1)</f>
        <v>1.5574077246549023</v>
      </c>
      <c r="E57" s="2" t="b">
        <f>IFERROR(INDEX(ERROR(0),TAN(SET.NAME("_",+INDEX(1,)))),RETURN(INDEX(TYPE(_),SET.NAME("_"))))</f>
        <v>0</v>
      </c>
      <c r="F57" s="2" t="b">
        <f>IFERROR(INDEX(ERROR(0),TAN(INDIRECT(SET.NAME({1,"_"},)))),RETURN(INDEX(TYPE(_),SET.NAME("_"))))</f>
        <v>0</v>
      </c>
      <c r="G57" s="2">
        <f>TYPE(INDEX(,TAN(INDEX(1,))))</f>
        <v>16</v>
      </c>
    </row>
    <row r="58" spans="1:7" x14ac:dyDescent="0.55000000000000004">
      <c r="A58" s="1" t="s">
        <v>1502</v>
      </c>
      <c r="B58" s="2">
        <f>COUNTIF(A:A,A58)-1</f>
        <v>1</v>
      </c>
      <c r="C58" s="2">
        <f>COUNTIF(A$1:A58,A58)-1</f>
        <v>0</v>
      </c>
      <c r="D58" s="2"/>
      <c r="E58" s="2"/>
      <c r="F58" s="2"/>
      <c r="G58" s="2"/>
    </row>
    <row r="59" spans="1:7" x14ac:dyDescent="0.55000000000000004">
      <c r="A59" s="1" t="s">
        <v>1502</v>
      </c>
      <c r="B59" s="2">
        <f>COUNTIF(A:A,A59)-1</f>
        <v>1</v>
      </c>
      <c r="C59" s="2">
        <f>COUNTIF(A$1:A59,A59)-1</f>
        <v>1</v>
      </c>
      <c r="D59" s="2">
        <f>ATAN(1)</f>
        <v>0.78539816339744828</v>
      </c>
      <c r="E59" s="2" t="b">
        <f>IFERROR(INDEX(ERROR(0),ATAN(SET.NAME("_",+INDEX(1,)))),RETURN(INDEX(TYPE(_),SET.NAME("_"))))</f>
        <v>0</v>
      </c>
      <c r="F59" s="2" t="b">
        <f>IFERROR(INDEX(ERROR(0),ATAN(INDIRECT(SET.NAME({1,"_"},)))),RETURN(INDEX(TYPE(_),SET.NAME("_"))))</f>
        <v>0</v>
      </c>
      <c r="G59" s="2">
        <f>TYPE(INDEX(,ATAN(INDEX(1,))))</f>
        <v>16</v>
      </c>
    </row>
    <row r="60" spans="1:7" x14ac:dyDescent="0.55000000000000004">
      <c r="A60" s="1" t="s">
        <v>1474</v>
      </c>
      <c r="B60" s="2">
        <f>COUNTIF(A:A,A60)-1</f>
        <v>0</v>
      </c>
      <c r="C60" s="2">
        <f>COUNTIF(A$1:A60,A60)-1</f>
        <v>0</v>
      </c>
      <c r="D60" s="2"/>
      <c r="E60" s="2"/>
      <c r="F60" s="2"/>
      <c r="G60" s="2"/>
    </row>
    <row r="61" spans="1:7" x14ac:dyDescent="0.55000000000000004">
      <c r="A61" s="1" t="s">
        <v>1503</v>
      </c>
      <c r="B61" s="2">
        <f>COUNTIF(A:A,A61)-1</f>
        <v>1</v>
      </c>
      <c r="C61" s="2">
        <f>COUNTIF(A$1:A61,A61)-1</f>
        <v>0</v>
      </c>
      <c r="D61" s="2"/>
      <c r="E61" s="2"/>
      <c r="F61" s="2"/>
      <c r="G61" s="2"/>
    </row>
    <row r="62" spans="1:7" x14ac:dyDescent="0.55000000000000004">
      <c r="A62" s="1" t="s">
        <v>1503</v>
      </c>
      <c r="B62" s="2">
        <f>COUNTIF(A:A,A62)-1</f>
        <v>1</v>
      </c>
      <c r="C62" s="2">
        <f>COUNTIF(A$1:A62,A62)-1</f>
        <v>1</v>
      </c>
      <c r="D62" s="2">
        <f>SQRT(1)</f>
        <v>1</v>
      </c>
      <c r="E62" s="2" t="b">
        <f>IFERROR(INDEX(ERROR(0),SQRT(SET.NAME("_",+INDEX(1,)))),RETURN(INDEX(TYPE(_),SET.NAME("_"))))</f>
        <v>0</v>
      </c>
      <c r="F62" s="2" t="b">
        <f>IFERROR(INDEX(ERROR(0),SQRT(INDIRECT(SET.NAME({1,"_"},)))),RETURN(INDEX(TYPE(_),SET.NAME("_"))))</f>
        <v>0</v>
      </c>
      <c r="G62" s="2">
        <f>TYPE(INDEX(,SQRT(INDEX(1,))))</f>
        <v>16</v>
      </c>
    </row>
    <row r="63" spans="1:7" x14ac:dyDescent="0.55000000000000004">
      <c r="A63" s="1" t="s">
        <v>1504</v>
      </c>
      <c r="B63" s="2">
        <f>COUNTIF(A:A,A63)-1</f>
        <v>1</v>
      </c>
      <c r="C63" s="2">
        <f>COUNTIF(A$1:A63,A63)-1</f>
        <v>0</v>
      </c>
      <c r="D63" s="2"/>
      <c r="E63" s="2"/>
      <c r="F63" s="2"/>
      <c r="G63" s="2"/>
    </row>
    <row r="64" spans="1:7" x14ac:dyDescent="0.55000000000000004">
      <c r="A64" s="1" t="s">
        <v>1504</v>
      </c>
      <c r="B64" s="2">
        <f>COUNTIF(A:A,A64)-1</f>
        <v>1</v>
      </c>
      <c r="C64" s="2">
        <f>COUNTIF(A$1:A64,A64)-1</f>
        <v>1</v>
      </c>
      <c r="D64" s="2">
        <f>EXP(1)</f>
        <v>2.7182818284590451</v>
      </c>
      <c r="E64" s="2" t="b">
        <f>IFERROR(INDEX(ERROR(0),EXP(SET.NAME("_",+INDEX(1,)))),RETURN(INDEX(TYPE(_),SET.NAME("_"))))</f>
        <v>0</v>
      </c>
      <c r="F64" s="2" t="b">
        <f>IFERROR(INDEX(ERROR(0),EXP(INDIRECT(SET.NAME({1,"_"},)))),RETURN(INDEX(TYPE(_),SET.NAME("_"))))</f>
        <v>0</v>
      </c>
      <c r="G64" s="2">
        <f>TYPE(INDEX(,EXP(INDEX(1,))))</f>
        <v>16</v>
      </c>
    </row>
    <row r="65" spans="1:7" x14ac:dyDescent="0.55000000000000004">
      <c r="A65" s="1" t="s">
        <v>1505</v>
      </c>
      <c r="B65" s="2">
        <f>COUNTIF(A:A,A65)-1</f>
        <v>1</v>
      </c>
      <c r="C65" s="2">
        <f>COUNTIF(A$1:A65,A65)-1</f>
        <v>0</v>
      </c>
      <c r="D65" s="2"/>
      <c r="E65" s="2"/>
      <c r="F65" s="2"/>
      <c r="G65" s="2"/>
    </row>
    <row r="66" spans="1:7" x14ac:dyDescent="0.55000000000000004">
      <c r="A66" s="1" t="s">
        <v>1505</v>
      </c>
      <c r="B66" s="2">
        <f>COUNTIF(A:A,A66)-1</f>
        <v>1</v>
      </c>
      <c r="C66" s="2">
        <f>COUNTIF(A$1:A66,A66)-1</f>
        <v>1</v>
      </c>
      <c r="D66" s="2">
        <f>LN(1)</f>
        <v>0</v>
      </c>
      <c r="E66" s="2" t="b">
        <f>IFERROR(INDEX(ERROR(0),LN(SET.NAME("_",+INDEX(1,)))),RETURN(INDEX(TYPE(_),SET.NAME("_"))))</f>
        <v>0</v>
      </c>
      <c r="F66" s="2" t="b">
        <f>IFERROR(INDEX(ERROR(0),LN(INDIRECT(SET.NAME({1,"_"},)))),RETURN(INDEX(TYPE(_),SET.NAME("_"))))</f>
        <v>0</v>
      </c>
      <c r="G66" s="2">
        <f>TYPE(INDEX(,LN(INDEX(1,))))</f>
        <v>16</v>
      </c>
    </row>
    <row r="67" spans="1:7" x14ac:dyDescent="0.55000000000000004">
      <c r="A67" s="1" t="s">
        <v>2041</v>
      </c>
      <c r="B67" s="2">
        <f>COUNTIF(A:A,A67)-1</f>
        <v>1</v>
      </c>
      <c r="C67" s="2">
        <f>COUNTIF(A$1:A67,A67)-1</f>
        <v>0</v>
      </c>
      <c r="D67" s="2"/>
      <c r="E67" s="2"/>
      <c r="F67" s="2"/>
      <c r="G67" s="2"/>
    </row>
    <row r="68" spans="1:7" x14ac:dyDescent="0.55000000000000004">
      <c r="A68" s="1" t="s">
        <v>2041</v>
      </c>
      <c r="B68" s="2">
        <f>COUNTIF(A:A,A68)-1</f>
        <v>1</v>
      </c>
      <c r="C68" s="2">
        <f>COUNTIF(A$1:A68,A68)-1</f>
        <v>1</v>
      </c>
      <c r="D68" s="2">
        <f>LOG10(1)</f>
        <v>0</v>
      </c>
      <c r="E68" s="2" t="b">
        <f>IFERROR(INDEX(ERROR(0),LOG10(SET.NAME("_",+INDEX(1,)))),RETURN(INDEX(TYPE(_),SET.NAME("_"))))</f>
        <v>0</v>
      </c>
      <c r="F68" s="2" t="b">
        <f>IFERROR(INDEX(ERROR(0),LOG10(INDIRECT(SET.NAME({1,"_"},)))),RETURN(INDEX(TYPE(_),SET.NAME("_"))))</f>
        <v>0</v>
      </c>
      <c r="G68" s="2">
        <f>TYPE(INDEX(,LOG10(INDEX(1,))))</f>
        <v>16</v>
      </c>
    </row>
    <row r="69" spans="1:7" x14ac:dyDescent="0.55000000000000004">
      <c r="A69" s="1" t="s">
        <v>1506</v>
      </c>
      <c r="B69" s="2">
        <f>COUNTIF(A:A,A69)-1</f>
        <v>1</v>
      </c>
      <c r="C69" s="2">
        <f>COUNTIF(A$1:A69,A69)-1</f>
        <v>0</v>
      </c>
      <c r="D69" s="2"/>
      <c r="E69" s="2"/>
      <c r="F69" s="2"/>
      <c r="G69" s="2"/>
    </row>
    <row r="70" spans="1:7" x14ac:dyDescent="0.55000000000000004">
      <c r="A70" s="1" t="s">
        <v>1506</v>
      </c>
      <c r="B70" s="2">
        <f>COUNTIF(A:A,A70)-1</f>
        <v>1</v>
      </c>
      <c r="C70" s="2">
        <f>COUNTIF(A$1:A70,A70)-1</f>
        <v>1</v>
      </c>
      <c r="D70" s="2">
        <f>ABS(1)</f>
        <v>1</v>
      </c>
      <c r="E70" s="2" t="b">
        <f>IFERROR(INDEX(ERROR(0),ABS(SET.NAME("_",+INDEX(1,)))),RETURN(INDEX(TYPE(_),SET.NAME("_"))))</f>
        <v>0</v>
      </c>
      <c r="F70" s="2" t="b">
        <f>IFERROR(INDEX(ERROR(0),ABS(INDIRECT(SET.NAME({1,"_"},)))),RETURN(INDEX(TYPE(_),SET.NAME("_"))))</f>
        <v>0</v>
      </c>
      <c r="G70" s="2">
        <f>TYPE(INDEX(,ABS(INDEX(1,))))</f>
        <v>16</v>
      </c>
    </row>
    <row r="71" spans="1:7" x14ac:dyDescent="0.55000000000000004">
      <c r="A71" s="1" t="s">
        <v>1507</v>
      </c>
      <c r="B71" s="2">
        <f>COUNTIF(A:A,A71)-1</f>
        <v>1</v>
      </c>
      <c r="C71" s="2">
        <f>COUNTIF(A$1:A71,A71)-1</f>
        <v>0</v>
      </c>
      <c r="D71" s="2"/>
      <c r="E71" s="2"/>
      <c r="F71" s="2"/>
      <c r="G71" s="2"/>
    </row>
    <row r="72" spans="1:7" x14ac:dyDescent="0.55000000000000004">
      <c r="A72" s="1" t="s">
        <v>1507</v>
      </c>
      <c r="B72" s="2">
        <f>COUNTIF(A:A,A72)-1</f>
        <v>1</v>
      </c>
      <c r="C72" s="2">
        <f>COUNTIF(A$1:A72,A72)-1</f>
        <v>1</v>
      </c>
      <c r="D72" s="2">
        <f>INT(1)</f>
        <v>1</v>
      </c>
      <c r="E72" s="2" t="b">
        <f>IFERROR(INDEX(ERROR(0),INT(SET.NAME("_",+INDEX(1,)))),RETURN(INDEX(TYPE(_),SET.NAME("_"))))</f>
        <v>0</v>
      </c>
      <c r="F72" s="2" t="b">
        <f>IFERROR(INDEX(ERROR(0),INT(INDIRECT(SET.NAME({1,"_"},)))),RETURN(INDEX(TYPE(_),SET.NAME("_"))))</f>
        <v>0</v>
      </c>
      <c r="G72" s="2">
        <f>TYPE(INDEX(,INT(INDEX(1,))))</f>
        <v>16</v>
      </c>
    </row>
    <row r="73" spans="1:7" x14ac:dyDescent="0.55000000000000004">
      <c r="A73" s="1" t="s">
        <v>1508</v>
      </c>
      <c r="B73" s="2">
        <f>COUNTIF(A:A,A73)-1</f>
        <v>1</v>
      </c>
      <c r="C73" s="2">
        <f>COUNTIF(A$1:A73,A73)-1</f>
        <v>0</v>
      </c>
      <c r="D73" s="2"/>
      <c r="E73" s="2"/>
      <c r="F73" s="2"/>
      <c r="G73" s="2"/>
    </row>
    <row r="74" spans="1:7" x14ac:dyDescent="0.55000000000000004">
      <c r="A74" s="1" t="s">
        <v>1508</v>
      </c>
      <c r="B74" s="2">
        <f>COUNTIF(A:A,A74)-1</f>
        <v>1</v>
      </c>
      <c r="C74" s="2">
        <f>COUNTIF(A$1:A74,A74)-1</f>
        <v>1</v>
      </c>
      <c r="D74" s="2">
        <f>SIGN(1)</f>
        <v>1</v>
      </c>
      <c r="E74" s="2" t="b">
        <f>IFERROR(INDEX(ERROR(0),SIGN(SET.NAME("_",+INDEX(1,)))),RETURN(INDEX(TYPE(_),SET.NAME("_"))))</f>
        <v>0</v>
      </c>
      <c r="F74" s="2" t="b">
        <f>IFERROR(INDEX(ERROR(0),SIGN(INDIRECT(SET.NAME({1,"_"},)))),RETURN(INDEX(TYPE(_),SET.NAME("_"))))</f>
        <v>0</v>
      </c>
      <c r="G74" s="2">
        <f>TYPE(INDEX(,SIGN(INDEX(1,))))</f>
        <v>16</v>
      </c>
    </row>
    <row r="75" spans="1:7" x14ac:dyDescent="0.55000000000000004">
      <c r="A75" s="1" t="s">
        <v>1509</v>
      </c>
      <c r="B75" s="2">
        <f>COUNTIF(A:A,A75)-1</f>
        <v>2</v>
      </c>
      <c r="C75" s="2">
        <f>COUNTIF(A$1:A75,A75)-1</f>
        <v>0</v>
      </c>
      <c r="D75" s="2"/>
      <c r="E75" s="2"/>
      <c r="F75" s="2"/>
      <c r="G75" s="2"/>
    </row>
    <row r="76" spans="1:7" x14ac:dyDescent="0.55000000000000004">
      <c r="A76" s="1" t="s">
        <v>1509</v>
      </c>
      <c r="B76" s="2">
        <f>COUNTIF(A:A,A76)-1</f>
        <v>2</v>
      </c>
      <c r="C76" s="2">
        <f>COUNTIF(A$1:A76,A76)-1</f>
        <v>1</v>
      </c>
      <c r="D76" s="2" t="e">
        <f>ROUND(1,#REF!)</f>
        <v>#REF!</v>
      </c>
      <c r="E76" s="2" t="b">
        <f>IFERROR(INDEX(ERROR(0),ROUND(SET.NAME("_",+INDEX(1,)),#REF!)),RETURN(INDEX(TYPE(_),SET.NAME("_"))))</f>
        <v>0</v>
      </c>
      <c r="F76" s="2" t="b">
        <f>IFERROR(INDEX(ERROR(0),ROUND(INDIRECT(SET.NAME({1,"_"},)),#REF!)),RETURN(INDEX(TYPE(_),SET.NAME("_"))))</f>
        <v>0</v>
      </c>
      <c r="G76" s="2">
        <f>TYPE(INDEX(,ROUND(INDEX(1,),#REF!)))</f>
        <v>16</v>
      </c>
    </row>
    <row r="77" spans="1:7" x14ac:dyDescent="0.55000000000000004">
      <c r="A77" s="1" t="s">
        <v>1509</v>
      </c>
      <c r="B77" s="2">
        <f>COUNTIF(A:A,A77)-1</f>
        <v>2</v>
      </c>
      <c r="C77" s="2">
        <f>COUNTIF(A$1:A77,A77)-1</f>
        <v>2</v>
      </c>
      <c r="D77" s="2" t="e">
        <f>ROUND(#REF!,1)</f>
        <v>#REF!</v>
      </c>
      <c r="E77" s="2" t="b">
        <f>IFERROR(INDEX(ERROR(0),ROUND(#REF!,SET.NAME("_",+INDEX(1,)))),RETURN(INDEX(TYPE(_),SET.NAME("_"))))</f>
        <v>0</v>
      </c>
      <c r="F77" s="2" t="b">
        <f>IFERROR(INDEX(ERROR(0),ROUND(#REF!,INDIRECT(SET.NAME({1,"_"},)))),RETURN(INDEX(TYPE(_),SET.NAME("_"))))</f>
        <v>0</v>
      </c>
      <c r="G77" s="2">
        <f>TYPE(INDEX(,ROUND(#REF!,INDEX(1,))))</f>
        <v>16</v>
      </c>
    </row>
    <row r="78" spans="1:7" x14ac:dyDescent="0.55000000000000004">
      <c r="A78" s="1" t="s">
        <v>1510</v>
      </c>
      <c r="B78" s="2">
        <f>COUNTIF(A:A,A78)-1</f>
        <v>3</v>
      </c>
      <c r="C78" s="2">
        <f>COUNTIF(A$1:A78,A78)-1</f>
        <v>0</v>
      </c>
      <c r="D78" s="2"/>
      <c r="E78" s="2"/>
      <c r="F78" s="2"/>
      <c r="G78" s="2"/>
    </row>
    <row r="79" spans="1:7" x14ac:dyDescent="0.55000000000000004">
      <c r="A79" s="1" t="s">
        <v>1510</v>
      </c>
      <c r="B79" s="2">
        <f>COUNTIF(A:A,A79)-1</f>
        <v>3</v>
      </c>
      <c r="C79" s="2">
        <f>COUNTIF(A$1:A79,A79)-1</f>
        <v>1</v>
      </c>
      <c r="D79" s="2" t="e">
        <f>LOOKUP(1,#REF!,#REF!)</f>
        <v>#REF!</v>
      </c>
      <c r="E79" s="2" t="b">
        <f>IFERROR(INDEX(ERROR(0),LOOKUP(SET.NAME("_",+INDEX(1,)),#REF!,#REF!)),RETURN(INDEX(TYPE(_),SET.NAME("_"))))</f>
        <v>0</v>
      </c>
      <c r="F79" s="2" t="b">
        <f>IFERROR(INDEX(ERROR(0),LOOKUP(INDIRECT(SET.NAME({1,"_"},)),#REF!,#REF!)),RETURN(INDEX(TYPE(_),SET.NAME("_"))))</f>
        <v>0</v>
      </c>
      <c r="G79" s="2">
        <f>TYPE(INDEX(,LOOKUP(INDEX(1,),#REF!,#REF!)))</f>
        <v>16</v>
      </c>
    </row>
    <row r="80" spans="1:7" x14ac:dyDescent="0.55000000000000004">
      <c r="A80" s="1" t="s">
        <v>1510</v>
      </c>
      <c r="B80" s="2">
        <f>COUNTIF(A:A,A80)-1</f>
        <v>3</v>
      </c>
      <c r="C80" s="2">
        <f>COUNTIF(A$1:A80,A80)-1</f>
        <v>2</v>
      </c>
      <c r="D80" s="2" t="e">
        <f>LOOKUP(#REF!,1,#REF!)</f>
        <v>#REF!</v>
      </c>
      <c r="E80" s="2" t="b">
        <f>IFERROR(INDEX(ERROR(0),LOOKUP(#REF!,SET.NAME("_",+INDEX(1,)),#REF!)),RETURN(INDEX(TYPE(_),SET.NAME("_"))))</f>
        <v>0</v>
      </c>
      <c r="F80" s="2" t="b">
        <f>IFERROR(INDEX(ERROR(0),LOOKUP(#REF!,INDIRECT(SET.NAME({1,"_"},)),#REF!)),RETURN(INDEX(TYPE(_),SET.NAME("_"))))</f>
        <v>0</v>
      </c>
      <c r="G80" s="2">
        <f>TYPE(INDEX(,LOOKUP(#REF!,INDEX(1,),#REF!)))</f>
        <v>16</v>
      </c>
    </row>
    <row r="81" spans="1:7" x14ac:dyDescent="0.55000000000000004">
      <c r="A81" s="1" t="s">
        <v>1510</v>
      </c>
      <c r="B81" s="2">
        <f>COUNTIF(A:A,A81)-1</f>
        <v>3</v>
      </c>
      <c r="C81" s="2">
        <f>COUNTIF(A$1:A81,A81)-1</f>
        <v>3</v>
      </c>
      <c r="D81" s="2" t="e">
        <f>LOOKUP(#REF!,#REF!,1)</f>
        <v>#REF!</v>
      </c>
      <c r="E81" s="2" t="b">
        <f>IFERROR(INDEX(ERROR(0),LOOKUP(#REF!,#REF!,SET.NAME("_",+INDEX(1,)))),RETURN(INDEX(TYPE(_),SET.NAME("_"))))</f>
        <v>0</v>
      </c>
      <c r="F81" s="2" t="b">
        <f>IFERROR(INDEX(ERROR(0),LOOKUP(#REF!,#REF!,INDIRECT(SET.NAME({1,"_"},)))),RETURN(INDEX(TYPE(_),SET.NAME("_"))))</f>
        <v>0</v>
      </c>
      <c r="G81" s="2">
        <f>TYPE(INDEX(,LOOKUP(#REF!,#REF!,INDEX(1,))))</f>
        <v>16</v>
      </c>
    </row>
    <row r="82" spans="1:7" x14ac:dyDescent="0.55000000000000004">
      <c r="A82" s="1" t="s">
        <v>2042</v>
      </c>
      <c r="B82" s="2">
        <f>COUNTIF(A:A,A82)-1</f>
        <v>4</v>
      </c>
      <c r="C82" s="2">
        <f>COUNTIF(A$1:A82,A82)-1</f>
        <v>0</v>
      </c>
      <c r="D82" s="2"/>
      <c r="E82" s="2"/>
      <c r="F82" s="2"/>
      <c r="G82" s="2"/>
    </row>
    <row r="83" spans="1:7" x14ac:dyDescent="0.55000000000000004">
      <c r="A83" s="1" t="s">
        <v>2042</v>
      </c>
      <c r="B83" s="2">
        <f>COUNTIF(A:A,A83)-1</f>
        <v>4</v>
      </c>
      <c r="C83" s="2">
        <f>COUNTIF(A$1:A83,A83)-1</f>
        <v>1</v>
      </c>
      <c r="D83" s="2" t="e">
        <f>INDEX(1,#REF!,#REF!,#REF!)</f>
        <v>#REF!</v>
      </c>
      <c r="E83" s="2" t="b">
        <f>IFERROR(INDEX(ERROR(0),INDEX(SET.NAME("_",+INDEX(1,)),#REF!,#REF!,#REF!)),RETURN(INDEX(TYPE(_),SET.NAME("_"))))</f>
        <v>0</v>
      </c>
      <c r="F83" s="2" t="b">
        <f>IFERROR(INDEX(ERROR(0),INDEX(INDIRECT(SET.NAME({1,"_"},)),#REF!,#REF!,#REF!)),RETURN(INDEX(TYPE(_),SET.NAME("_"))))</f>
        <v>0</v>
      </c>
      <c r="G83" s="2">
        <f>TYPE(INDEX(,INDEX(INDEX(1,),#REF!,#REF!,#REF!)))</f>
        <v>16</v>
      </c>
    </row>
    <row r="84" spans="1:7" x14ac:dyDescent="0.55000000000000004">
      <c r="A84" s="1" t="s">
        <v>2042</v>
      </c>
      <c r="B84" s="2">
        <f>COUNTIF(A:A,A84)-1</f>
        <v>4</v>
      </c>
      <c r="C84" s="2">
        <f>COUNTIF(A$1:A84,A84)-1</f>
        <v>2</v>
      </c>
      <c r="D84" s="2" t="e">
        <f>INDEX(#REF!,1,#REF!,#REF!)</f>
        <v>#REF!</v>
      </c>
      <c r="E84" s="2" t="b">
        <f>IFERROR(INDEX(ERROR(0),INDEX(#REF!,SET.NAME("_",+INDEX(1,)),#REF!,#REF!)),RETURN(INDEX(TYPE(_),SET.NAME("_"))))</f>
        <v>0</v>
      </c>
      <c r="F84" s="2" t="b">
        <f>IFERROR(INDEX(ERROR(0),INDEX(#REF!,INDIRECT(SET.NAME({1,"_"},)),#REF!,#REF!)),RETURN(INDEX(TYPE(_),SET.NAME("_"))))</f>
        <v>0</v>
      </c>
      <c r="G84" s="2">
        <f>TYPE(INDEX(,INDEX(#REF!,INDEX(1,),#REF!,#REF!)))</f>
        <v>16</v>
      </c>
    </row>
    <row r="85" spans="1:7" x14ac:dyDescent="0.55000000000000004">
      <c r="A85" s="1" t="s">
        <v>2042</v>
      </c>
      <c r="B85" s="2">
        <f>COUNTIF(A:A,A85)-1</f>
        <v>4</v>
      </c>
      <c r="C85" s="2">
        <f>COUNTIF(A$1:A85,A85)-1</f>
        <v>3</v>
      </c>
      <c r="D85" s="2" t="e">
        <f>INDEX(#REF!,#REF!,1,#REF!)</f>
        <v>#REF!</v>
      </c>
      <c r="E85" s="2" t="b">
        <f>IFERROR(INDEX(ERROR(0),INDEX(#REF!,#REF!,SET.NAME("_",+INDEX(1,)),#REF!)),RETURN(INDEX(TYPE(_),SET.NAME("_"))))</f>
        <v>0</v>
      </c>
      <c r="F85" s="2" t="b">
        <f>IFERROR(INDEX(ERROR(0),INDEX(#REF!,#REF!,INDIRECT(SET.NAME({1,"_"},)),#REF!)),RETURN(INDEX(TYPE(_),SET.NAME("_"))))</f>
        <v>0</v>
      </c>
      <c r="G85" s="2">
        <f>TYPE(INDEX(,INDEX(#REF!,#REF!,INDEX(1,),#REF!)))</f>
        <v>16</v>
      </c>
    </row>
    <row r="86" spans="1:7" x14ac:dyDescent="0.55000000000000004">
      <c r="A86" s="1" t="s">
        <v>2042</v>
      </c>
      <c r="B86" s="2">
        <f>COUNTIF(A:A,A86)-1</f>
        <v>4</v>
      </c>
      <c r="C86" s="2">
        <f>COUNTIF(A$1:A86,A86)-1</f>
        <v>4</v>
      </c>
      <c r="D86" s="2" t="e">
        <f>INDEX(#REF!,#REF!,#REF!,1)</f>
        <v>#REF!</v>
      </c>
      <c r="E86" s="2" t="b">
        <f>IFERROR(INDEX(ERROR(0),INDEX(#REF!,#REF!,#REF!,SET.NAME("_",+INDEX(1,)))),RETURN(INDEX(TYPE(_),SET.NAME("_"))))</f>
        <v>0</v>
      </c>
      <c r="F86" s="2" t="b">
        <f>IFERROR(INDEX(ERROR(0),INDEX(#REF!,#REF!,#REF!,INDIRECT(SET.NAME({1,"_"},)))),RETURN(INDEX(TYPE(_),SET.NAME("_"))))</f>
        <v>0</v>
      </c>
      <c r="G86" s="2">
        <f>TYPE(INDEX(,INDEX(#REF!,#REF!,#REF!,INDEX(1,))))</f>
        <v>16</v>
      </c>
    </row>
    <row r="87" spans="1:7" x14ac:dyDescent="0.55000000000000004">
      <c r="A87" s="1" t="s">
        <v>1511</v>
      </c>
      <c r="B87" s="2">
        <f>COUNTIF(A:A,A87)-1</f>
        <v>2</v>
      </c>
      <c r="C87" s="2">
        <f>COUNTIF(A$1:A87,A87)-1</f>
        <v>0</v>
      </c>
      <c r="D87" s="2"/>
      <c r="E87" s="2"/>
      <c r="F87" s="2"/>
      <c r="G87" s="2"/>
    </row>
    <row r="88" spans="1:7" x14ac:dyDescent="0.55000000000000004">
      <c r="A88" s="1" t="s">
        <v>1511</v>
      </c>
      <c r="B88" s="2">
        <f>COUNTIF(A:A,A88)-1</f>
        <v>2</v>
      </c>
      <c r="C88" s="2">
        <f>COUNTIF(A$1:A88,A88)-1</f>
        <v>1</v>
      </c>
      <c r="D88" s="2" t="e">
        <f>REPT(1,#REF!)</f>
        <v>#REF!</v>
      </c>
      <c r="E88" s="2" t="b">
        <f>IFERROR(INDEX(ERROR(0),REPT(SET.NAME("_",+INDEX(1,)),#REF!)),RETURN(INDEX(TYPE(_),SET.NAME("_"))))</f>
        <v>0</v>
      </c>
      <c r="F88" s="2" t="b">
        <f>IFERROR(INDEX(ERROR(0),REPT(INDIRECT(SET.NAME({1,"_"},)),#REF!)),RETURN(INDEX(TYPE(_),SET.NAME("_"))))</f>
        <v>0</v>
      </c>
      <c r="G88" s="2">
        <f>TYPE(INDEX(,REPT(INDEX(1,),#REF!)))</f>
        <v>16</v>
      </c>
    </row>
    <row r="89" spans="1:7" x14ac:dyDescent="0.55000000000000004">
      <c r="A89" s="1" t="s">
        <v>1511</v>
      </c>
      <c r="B89" s="2">
        <f>COUNTIF(A:A,A89)-1</f>
        <v>2</v>
      </c>
      <c r="C89" s="2">
        <f>COUNTIF(A$1:A89,A89)-1</f>
        <v>2</v>
      </c>
      <c r="D89" s="2" t="e">
        <f>REPT(#REF!,1)</f>
        <v>#REF!</v>
      </c>
      <c r="E89" s="2" t="b">
        <f>IFERROR(INDEX(ERROR(0),REPT(#REF!,SET.NAME("_",+INDEX(1,)))),RETURN(INDEX(TYPE(_),SET.NAME("_"))))</f>
        <v>0</v>
      </c>
      <c r="F89" s="2" t="b">
        <f>IFERROR(INDEX(ERROR(0),REPT(#REF!,INDIRECT(SET.NAME({1,"_"},)))),RETURN(INDEX(TYPE(_),SET.NAME("_"))))</f>
        <v>0</v>
      </c>
      <c r="G89" s="2">
        <f>TYPE(INDEX(,REPT(#REF!,INDEX(1,))))</f>
        <v>16</v>
      </c>
    </row>
    <row r="90" spans="1:7" x14ac:dyDescent="0.55000000000000004">
      <c r="A90" s="1" t="s">
        <v>1512</v>
      </c>
      <c r="B90" s="2">
        <f>COUNTIF(A:A,A90)-1</f>
        <v>3</v>
      </c>
      <c r="C90" s="2">
        <f>COUNTIF(A$1:A90,A90)-1</f>
        <v>0</v>
      </c>
      <c r="D90" s="2"/>
      <c r="E90" s="2"/>
      <c r="F90" s="2"/>
      <c r="G90" s="2"/>
    </row>
    <row r="91" spans="1:7" x14ac:dyDescent="0.55000000000000004">
      <c r="A91" s="1" t="s">
        <v>1512</v>
      </c>
      <c r="B91" s="2">
        <f>COUNTIF(A:A,A91)-1</f>
        <v>3</v>
      </c>
      <c r="C91" s="2">
        <f>COUNTIF(A$1:A91,A91)-1</f>
        <v>1</v>
      </c>
      <c r="D91" s="2" t="e">
        <f>MID(1,#REF!,#REF!)</f>
        <v>#REF!</v>
      </c>
      <c r="E91" s="2" t="b">
        <f>IFERROR(INDEX(ERROR(0),MID(SET.NAME("_",+INDEX(1,)),#REF!,#REF!)),RETURN(INDEX(TYPE(_),SET.NAME("_"))))</f>
        <v>0</v>
      </c>
      <c r="F91" s="2" t="b">
        <f>IFERROR(INDEX(ERROR(0),MID(INDIRECT(SET.NAME({1,"_"},)),#REF!,#REF!)),RETURN(INDEX(TYPE(_),SET.NAME("_"))))</f>
        <v>0</v>
      </c>
      <c r="G91" s="2">
        <f>TYPE(INDEX(,MID(INDEX(1,),#REF!,#REF!)))</f>
        <v>16</v>
      </c>
    </row>
    <row r="92" spans="1:7" x14ac:dyDescent="0.55000000000000004">
      <c r="A92" s="1" t="s">
        <v>1512</v>
      </c>
      <c r="B92" s="2">
        <f>COUNTIF(A:A,A92)-1</f>
        <v>3</v>
      </c>
      <c r="C92" s="2">
        <f>COUNTIF(A$1:A92,A92)-1</f>
        <v>2</v>
      </c>
      <c r="D92" s="2" t="e">
        <f>MID(#REF!,1,#REF!)</f>
        <v>#REF!</v>
      </c>
      <c r="E92" s="2" t="b">
        <f>IFERROR(INDEX(ERROR(0),MID(#REF!,SET.NAME("_",+INDEX(1,)),#REF!)),RETURN(INDEX(TYPE(_),SET.NAME("_"))))</f>
        <v>0</v>
      </c>
      <c r="F92" s="2" t="b">
        <f>IFERROR(INDEX(ERROR(0),MID(#REF!,INDIRECT(SET.NAME({1,"_"},)),#REF!)),RETURN(INDEX(TYPE(_),SET.NAME("_"))))</f>
        <v>0</v>
      </c>
      <c r="G92" s="2">
        <f>TYPE(INDEX(,MID(#REF!,INDEX(1,),#REF!)))</f>
        <v>16</v>
      </c>
    </row>
    <row r="93" spans="1:7" x14ac:dyDescent="0.55000000000000004">
      <c r="A93" s="1" t="s">
        <v>1512</v>
      </c>
      <c r="B93" s="2">
        <f>COUNTIF(A:A,A93)-1</f>
        <v>3</v>
      </c>
      <c r="C93" s="2">
        <f>COUNTIF(A$1:A93,A93)-1</f>
        <v>3</v>
      </c>
      <c r="D93" s="2" t="e">
        <f>MID(#REF!,#REF!,1)</f>
        <v>#REF!</v>
      </c>
      <c r="E93" s="2" t="b">
        <f>IFERROR(INDEX(ERROR(0),MID(#REF!,#REF!,SET.NAME("_",+INDEX(1,)))),RETURN(INDEX(TYPE(_),SET.NAME("_"))))</f>
        <v>0</v>
      </c>
      <c r="F93" s="2" t="b">
        <f>IFERROR(INDEX(ERROR(0),MID(#REF!,#REF!,INDIRECT(SET.NAME({1,"_"},)))),RETURN(INDEX(TYPE(_),SET.NAME("_"))))</f>
        <v>0</v>
      </c>
      <c r="G93" s="2">
        <f>TYPE(INDEX(,MID(#REF!,#REF!,INDEX(1,))))</f>
        <v>16</v>
      </c>
    </row>
    <row r="94" spans="1:7" x14ac:dyDescent="0.55000000000000004">
      <c r="A94" s="1" t="s">
        <v>1513</v>
      </c>
      <c r="B94" s="2">
        <f>COUNTIF(A:A,A94)-1</f>
        <v>1</v>
      </c>
      <c r="C94" s="2">
        <f>COUNTIF(A$1:A94,A94)-1</f>
        <v>0</v>
      </c>
      <c r="D94" s="2"/>
      <c r="E94" s="2"/>
      <c r="F94" s="2"/>
      <c r="G94" s="2"/>
    </row>
    <row r="95" spans="1:7" x14ac:dyDescent="0.55000000000000004">
      <c r="A95" s="1" t="s">
        <v>1513</v>
      </c>
      <c r="B95" s="2">
        <f>COUNTIF(A:A,A95)-1</f>
        <v>1</v>
      </c>
      <c r="C95" s="2">
        <f>COUNTIF(A$1:A95,A95)-1</f>
        <v>1</v>
      </c>
      <c r="D95" s="2">
        <f>LEN(1)</f>
        <v>1</v>
      </c>
      <c r="E95" s="2" t="b">
        <f>IFERROR(INDEX(ERROR(0),LEN(SET.NAME("_",+INDEX(1,)))),RETURN(INDEX(TYPE(_),SET.NAME("_"))))</f>
        <v>0</v>
      </c>
      <c r="F95" s="2" t="b">
        <f>IFERROR(INDEX(ERROR(0),LEN(INDIRECT(SET.NAME({1,"_"},)))),RETURN(INDEX(TYPE(_),SET.NAME("_"))))</f>
        <v>0</v>
      </c>
      <c r="G95" s="2">
        <f>TYPE(INDEX(,LEN(INDEX(1,))))</f>
        <v>16</v>
      </c>
    </row>
    <row r="96" spans="1:7" x14ac:dyDescent="0.55000000000000004">
      <c r="A96" s="1" t="s">
        <v>0</v>
      </c>
      <c r="B96" s="2">
        <f>COUNTIF(A:A,A96)-1</f>
        <v>1</v>
      </c>
      <c r="C96" s="2">
        <f>COUNTIF(A$1:A96,A96)-1</f>
        <v>0</v>
      </c>
      <c r="D96" s="2"/>
      <c r="E96" s="2"/>
      <c r="F96" s="2"/>
      <c r="G96" s="2"/>
    </row>
    <row r="97" spans="1:7" x14ac:dyDescent="0.55000000000000004">
      <c r="A97" s="1" t="s">
        <v>0</v>
      </c>
      <c r="B97" s="2">
        <f>COUNTIF(A:A,A97)-1</f>
        <v>1</v>
      </c>
      <c r="C97" s="2">
        <f>COUNTIF(A$1:A97,A97)-1</f>
        <v>1</v>
      </c>
      <c r="D97" s="2">
        <f>VALUE(1)</f>
        <v>1</v>
      </c>
      <c r="E97" s="2" t="b">
        <f>IFERROR(INDEX(ERROR(0),VALUE(SET.NAME("_",+INDEX(1,)))),RETURN(INDEX(TYPE(_),SET.NAME("_"))))</f>
        <v>0</v>
      </c>
      <c r="F97" s="2" t="b">
        <f>IFERROR(INDEX(ERROR(0),VALUE(INDIRECT(SET.NAME({1,"_"},)))),RETURN(INDEX(TYPE(_),SET.NAME("_"))))</f>
        <v>0</v>
      </c>
      <c r="G97" s="2">
        <f>TYPE(INDEX(,VALUE(INDEX(1,))))</f>
        <v>16</v>
      </c>
    </row>
    <row r="98" spans="1:7" x14ac:dyDescent="0.55000000000000004">
      <c r="A98" s="1" t="s">
        <v>2043</v>
      </c>
      <c r="B98" s="2">
        <f>COUNTIF(A:A,A98)-1</f>
        <v>-1</v>
      </c>
      <c r="C98" s="2">
        <f>COUNTIF(A$1:A98,A98)-1</f>
        <v>-1</v>
      </c>
      <c r="D98" s="2"/>
      <c r="E98" s="2"/>
      <c r="F98" s="2"/>
      <c r="G98" s="2"/>
    </row>
    <row r="99" spans="1:7" x14ac:dyDescent="0.55000000000000004">
      <c r="A99" s="1" t="s">
        <v>2044</v>
      </c>
      <c r="B99" s="2">
        <f>COUNTIF(A:A,A99)-1</f>
        <v>-1</v>
      </c>
      <c r="C99" s="2">
        <f>COUNTIF(A$1:A99,A99)-1</f>
        <v>-1</v>
      </c>
      <c r="D99" s="2"/>
      <c r="E99" s="2"/>
      <c r="F99" s="2"/>
      <c r="G99" s="2"/>
    </row>
    <row r="100" spans="1:7" x14ac:dyDescent="0.55000000000000004">
      <c r="A100" s="1" t="s">
        <v>1514</v>
      </c>
      <c r="B100" s="2">
        <f>COUNTIF(A:A,A100)-1</f>
        <v>3</v>
      </c>
      <c r="C100" s="2">
        <f>COUNTIF(A$1:A100,A100)-1</f>
        <v>0</v>
      </c>
      <c r="D100" s="2"/>
      <c r="E100" s="2"/>
      <c r="F100" s="2"/>
      <c r="G100" s="2"/>
    </row>
    <row r="101" spans="1:7" x14ac:dyDescent="0.55000000000000004">
      <c r="A101" s="1" t="s">
        <v>1514</v>
      </c>
      <c r="B101" s="2">
        <f>COUNTIF(A:A,A101)-1</f>
        <v>3</v>
      </c>
      <c r="C101" s="2">
        <f>COUNTIF(A$1:A101,A101)-1</f>
        <v>1</v>
      </c>
      <c r="D101" s="2" t="e">
        <f>AND(1,#REF!,#REF!)</f>
        <v>#REF!</v>
      </c>
      <c r="E101" s="2" t="b">
        <f>IFERROR(INDEX(ERROR(0),AND(SET.NAME("_",+INDEX(1,)),#REF!,#REF!)),RETURN(INDEX(TYPE(_),SET.NAME("_"))))</f>
        <v>0</v>
      </c>
      <c r="F101" s="2" t="b">
        <f>IFERROR(INDEX(ERROR(0),AND(INDIRECT(SET.NAME({1,"_"},)),#REF!,#REF!)),RETURN(INDEX(TYPE(_),SET.NAME("_"))))</f>
        <v>0</v>
      </c>
      <c r="G101" s="2">
        <f>TYPE(INDEX(,AND(INDEX(1,),#REF!,#REF!)))</f>
        <v>16</v>
      </c>
    </row>
    <row r="102" spans="1:7" x14ac:dyDescent="0.55000000000000004">
      <c r="A102" s="1" t="s">
        <v>1514</v>
      </c>
      <c r="B102" s="2">
        <f>COUNTIF(A:A,A102)-1</f>
        <v>3</v>
      </c>
      <c r="C102" s="2">
        <f>COUNTIF(A$1:A102,A102)-1</f>
        <v>2</v>
      </c>
      <c r="D102" s="2" t="e">
        <f>AND(#REF!,1,#REF!)</f>
        <v>#REF!</v>
      </c>
      <c r="E102" s="2" t="b">
        <f>IFERROR(INDEX(ERROR(0),AND(#REF!,SET.NAME("_",+INDEX(1,)),#REF!)),RETURN(INDEX(TYPE(_),SET.NAME("_"))))</f>
        <v>0</v>
      </c>
      <c r="F102" s="2" t="b">
        <f>IFERROR(INDEX(ERROR(0),AND(#REF!,INDIRECT(SET.NAME({1,"_"},)),#REF!)),RETURN(INDEX(TYPE(_),SET.NAME("_"))))</f>
        <v>0</v>
      </c>
      <c r="G102" s="2">
        <f>TYPE(INDEX(,AND(#REF!,INDEX(1,),#REF!)))</f>
        <v>16</v>
      </c>
    </row>
    <row r="103" spans="1:7" x14ac:dyDescent="0.55000000000000004">
      <c r="A103" s="1" t="s">
        <v>1514</v>
      </c>
      <c r="B103" s="2">
        <f>COUNTIF(A:A,A103)-1</f>
        <v>3</v>
      </c>
      <c r="C103" s="2">
        <f>COUNTIF(A$1:A103,A103)-1</f>
        <v>3</v>
      </c>
      <c r="D103" s="2" t="e">
        <f>AND(#REF!,#REF!,1)</f>
        <v>#REF!</v>
      </c>
      <c r="E103" s="2" t="b">
        <f>IFERROR(INDEX(ERROR(0),AND(#REF!,#REF!,SET.NAME("_",+INDEX(1,)))),RETURN(INDEX(TYPE(_),SET.NAME("_"))))</f>
        <v>0</v>
      </c>
      <c r="F103" s="2" t="b">
        <f>IFERROR(INDEX(ERROR(0),AND(#REF!,#REF!,INDIRECT(SET.NAME({1,"_"},)))),RETURN(INDEX(TYPE(_),SET.NAME("_"))))</f>
        <v>0</v>
      </c>
      <c r="G103" s="2">
        <f>TYPE(INDEX(,AND(#REF!,#REF!,INDEX(1,))))</f>
        <v>16</v>
      </c>
    </row>
    <row r="104" spans="1:7" x14ac:dyDescent="0.55000000000000004">
      <c r="A104" s="1" t="s">
        <v>1515</v>
      </c>
      <c r="B104" s="2">
        <f>COUNTIF(A:A,A104)-1</f>
        <v>3</v>
      </c>
      <c r="C104" s="2">
        <f>COUNTIF(A$1:A104,A104)-1</f>
        <v>0</v>
      </c>
      <c r="D104" s="2"/>
      <c r="E104" s="2"/>
      <c r="F104" s="2"/>
      <c r="G104" s="2"/>
    </row>
    <row r="105" spans="1:7" x14ac:dyDescent="0.55000000000000004">
      <c r="A105" s="1" t="s">
        <v>1515</v>
      </c>
      <c r="B105" s="2">
        <f>COUNTIF(A:A,A105)-1</f>
        <v>3</v>
      </c>
      <c r="C105" s="2">
        <f>COUNTIF(A$1:A105,A105)-1</f>
        <v>1</v>
      </c>
      <c r="D105" s="2" t="e">
        <f>OR(1,#REF!,#REF!)</f>
        <v>#REF!</v>
      </c>
      <c r="E105" s="2" t="b">
        <f>IFERROR(INDEX(ERROR(0),OR(SET.NAME("_",+INDEX(1,)),#REF!,#REF!)),RETURN(INDEX(TYPE(_),SET.NAME("_"))))</f>
        <v>0</v>
      </c>
      <c r="F105" s="2" t="b">
        <f>IFERROR(INDEX(ERROR(0),OR(INDIRECT(SET.NAME({1,"_"},)),#REF!,#REF!)),RETURN(INDEX(TYPE(_),SET.NAME("_"))))</f>
        <v>0</v>
      </c>
      <c r="G105" s="2">
        <f>TYPE(INDEX(,OR(INDEX(1,),#REF!,#REF!)))</f>
        <v>16</v>
      </c>
    </row>
    <row r="106" spans="1:7" x14ac:dyDescent="0.55000000000000004">
      <c r="A106" s="1" t="s">
        <v>1515</v>
      </c>
      <c r="B106" s="2">
        <f>COUNTIF(A:A,A106)-1</f>
        <v>3</v>
      </c>
      <c r="C106" s="2">
        <f>COUNTIF(A$1:A106,A106)-1</f>
        <v>2</v>
      </c>
      <c r="D106" s="2" t="e">
        <f>OR(#REF!,1,#REF!)</f>
        <v>#REF!</v>
      </c>
      <c r="E106" s="2" t="b">
        <f>IFERROR(INDEX(ERROR(0),OR(#REF!,SET.NAME("_",+INDEX(1,)),#REF!)),RETURN(INDEX(TYPE(_),SET.NAME("_"))))</f>
        <v>0</v>
      </c>
      <c r="F106" s="2" t="b">
        <f>IFERROR(INDEX(ERROR(0),OR(#REF!,INDIRECT(SET.NAME({1,"_"},)),#REF!)),RETURN(INDEX(TYPE(_),SET.NAME("_"))))</f>
        <v>0</v>
      </c>
      <c r="G106" s="2">
        <f>TYPE(INDEX(,OR(#REF!,INDEX(1,),#REF!)))</f>
        <v>16</v>
      </c>
    </row>
    <row r="107" spans="1:7" x14ac:dyDescent="0.55000000000000004">
      <c r="A107" s="1" t="s">
        <v>1515</v>
      </c>
      <c r="B107" s="2">
        <f>COUNTIF(A:A,A107)-1</f>
        <v>3</v>
      </c>
      <c r="C107" s="2">
        <f>COUNTIF(A$1:A107,A107)-1</f>
        <v>3</v>
      </c>
      <c r="D107" s="2" t="e">
        <f>OR(#REF!,#REF!,1)</f>
        <v>#REF!</v>
      </c>
      <c r="E107" s="2" t="b">
        <f>IFERROR(INDEX(ERROR(0),OR(#REF!,#REF!,SET.NAME("_",+INDEX(1,)))),RETURN(INDEX(TYPE(_),SET.NAME("_"))))</f>
        <v>0</v>
      </c>
      <c r="F107" s="2" t="b">
        <f>IFERROR(INDEX(ERROR(0),OR(#REF!,#REF!,INDIRECT(SET.NAME({1,"_"},)))),RETURN(INDEX(TYPE(_),SET.NAME("_"))))</f>
        <v>0</v>
      </c>
      <c r="G107" s="2">
        <f>TYPE(INDEX(,OR(#REF!,#REF!,INDEX(1,))))</f>
        <v>16</v>
      </c>
    </row>
    <row r="108" spans="1:7" x14ac:dyDescent="0.55000000000000004">
      <c r="A108" s="1" t="s">
        <v>1516</v>
      </c>
      <c r="B108" s="2">
        <f>COUNTIF(A:A,A108)-1</f>
        <v>1</v>
      </c>
      <c r="C108" s="2">
        <f>COUNTIF(A$1:A108,A108)-1</f>
        <v>0</v>
      </c>
      <c r="D108" s="2"/>
      <c r="E108" s="2"/>
      <c r="F108" s="2"/>
      <c r="G108" s="2"/>
    </row>
    <row r="109" spans="1:7" x14ac:dyDescent="0.55000000000000004">
      <c r="A109" s="1" t="s">
        <v>1516</v>
      </c>
      <c r="B109" s="2">
        <f>COUNTIF(A:A,A109)-1</f>
        <v>1</v>
      </c>
      <c r="C109" s="2">
        <f>COUNTIF(A$1:A109,A109)-1</f>
        <v>1</v>
      </c>
      <c r="D109" s="2" t="b">
        <f>NOT(1)</f>
        <v>0</v>
      </c>
      <c r="E109" s="2" t="b">
        <f>IFERROR(INDEX(ERROR(0),NOT(SET.NAME("_",+INDEX(1,)))),RETURN(INDEX(TYPE(_),SET.NAME("_"))))</f>
        <v>0</v>
      </c>
      <c r="F109" s="2" t="b">
        <f>IFERROR(INDEX(ERROR(0),NOT(INDIRECT(SET.NAME({1,"_"},)))),RETURN(INDEX(TYPE(_),SET.NAME("_"))))</f>
        <v>0</v>
      </c>
      <c r="G109" s="2">
        <f>TYPE(INDEX(,NOT(INDEX(1,))))</f>
        <v>16</v>
      </c>
    </row>
    <row r="110" spans="1:7" x14ac:dyDescent="0.55000000000000004">
      <c r="A110" s="1" t="s">
        <v>1517</v>
      </c>
      <c r="B110" s="2">
        <f>COUNTIF(A:A,A110)-1</f>
        <v>2</v>
      </c>
      <c r="C110" s="2">
        <f>COUNTIF(A$1:A110,A110)-1</f>
        <v>0</v>
      </c>
      <c r="D110" s="2"/>
      <c r="E110" s="2"/>
      <c r="F110" s="2"/>
      <c r="G110" s="2"/>
    </row>
    <row r="111" spans="1:7" x14ac:dyDescent="0.55000000000000004">
      <c r="A111" s="1" t="s">
        <v>1517</v>
      </c>
      <c r="B111" s="2">
        <f>COUNTIF(A:A,A111)-1</f>
        <v>2</v>
      </c>
      <c r="C111" s="2">
        <f>COUNTIF(A$1:A111,A111)-1</f>
        <v>1</v>
      </c>
      <c r="D111" s="2" t="e">
        <f>MOD(1,#REF!)</f>
        <v>#REF!</v>
      </c>
      <c r="E111" s="2" t="b">
        <f>IFERROR(INDEX(ERROR(0),MOD(SET.NAME("_",+INDEX(1,)),#REF!)),RETURN(INDEX(TYPE(_),SET.NAME("_"))))</f>
        <v>0</v>
      </c>
      <c r="F111" s="2" t="b">
        <f>IFERROR(INDEX(ERROR(0),MOD(INDIRECT(SET.NAME({1,"_"},)),#REF!)),RETURN(INDEX(TYPE(_),SET.NAME("_"))))</f>
        <v>0</v>
      </c>
      <c r="G111" s="2">
        <f>TYPE(INDEX(,MOD(INDEX(1,),#REF!)))</f>
        <v>16</v>
      </c>
    </row>
    <row r="112" spans="1:7" x14ac:dyDescent="0.55000000000000004">
      <c r="A112" s="1" t="s">
        <v>1517</v>
      </c>
      <c r="B112" s="2">
        <f>COUNTIF(A:A,A112)-1</f>
        <v>2</v>
      </c>
      <c r="C112" s="2">
        <f>COUNTIF(A$1:A112,A112)-1</f>
        <v>2</v>
      </c>
      <c r="D112" s="2" t="e">
        <f>MOD(#REF!,1)</f>
        <v>#REF!</v>
      </c>
      <c r="E112" s="2" t="b">
        <f>IFERROR(INDEX(ERROR(0),MOD(#REF!,SET.NAME("_",+INDEX(1,)))),RETURN(INDEX(TYPE(_),SET.NAME("_"))))</f>
        <v>0</v>
      </c>
      <c r="F112" s="2" t="b">
        <f>IFERROR(INDEX(ERROR(0),MOD(#REF!,INDIRECT(SET.NAME({1,"_"},)))),RETURN(INDEX(TYPE(_),SET.NAME("_"))))</f>
        <v>0</v>
      </c>
      <c r="G112" s="2">
        <f>TYPE(INDEX(,MOD(#REF!,INDEX(1,))))</f>
        <v>16</v>
      </c>
    </row>
    <row r="113" spans="1:7" x14ac:dyDescent="0.55000000000000004">
      <c r="A113" s="1" t="s">
        <v>1518</v>
      </c>
      <c r="B113" s="2">
        <f>COUNTIF(A:A,A113)-1</f>
        <v>3</v>
      </c>
      <c r="C113" s="2">
        <f>COUNTIF(A$1:A113,A113)-1</f>
        <v>0</v>
      </c>
      <c r="D113" s="2"/>
      <c r="E113" s="2"/>
      <c r="F113" s="2"/>
      <c r="G113" s="2"/>
    </row>
    <row r="114" spans="1:7" x14ac:dyDescent="0.55000000000000004">
      <c r="A114" s="1" t="s">
        <v>1518</v>
      </c>
      <c r="B114" s="2">
        <f>COUNTIF(A:A,A114)-1</f>
        <v>3</v>
      </c>
      <c r="C114" s="2">
        <f>COUNTIF(A$1:A114,A114)-1</f>
        <v>1</v>
      </c>
      <c r="D114" s="2" t="s">
        <v>2261</v>
      </c>
      <c r="E114" s="2" t="s">
        <v>2199</v>
      </c>
      <c r="F114" s="2" t="b">
        <f>IFERROR(INDEX(ERROR(0),DCOUNT(INDIRECT(SET.NAME({1,"_"},)),#REF!,#REF!)),RETURN(INDEX(TYPE(_),SET.NAME("_"))))</f>
        <v>0</v>
      </c>
      <c r="G114" s="2">
        <f>TYPE(INDEX(,DCOUNT(INDEX(1,),#REF!,#REF!)))</f>
        <v>64</v>
      </c>
    </row>
    <row r="115" spans="1:7" x14ac:dyDescent="0.55000000000000004">
      <c r="A115" s="1" t="s">
        <v>1518</v>
      </c>
      <c r="B115" s="2">
        <f>COUNTIF(A:A,A115)-1</f>
        <v>3</v>
      </c>
      <c r="C115" s="2">
        <f>COUNTIF(A$1:A115,A115)-1</f>
        <v>2</v>
      </c>
      <c r="D115" s="2" t="e">
        <f>DCOUNT(#REF!,1,#REF!)</f>
        <v>#REF!</v>
      </c>
      <c r="E115" s="2" t="b">
        <f>IFERROR(INDEX(ERROR(0),DCOUNT(#REF!,SET.NAME("_",+INDEX(1,)),#REF!)),RETURN(INDEX(TYPE(_),SET.NAME("_"))))</f>
        <v>0</v>
      </c>
      <c r="F115" s="2" t="b">
        <f>IFERROR(INDEX(ERROR(0),DCOUNT(#REF!,INDIRECT(SET.NAME({1,"_"},)),#REF!)),RETURN(INDEX(TYPE(_),SET.NAME("_"))))</f>
        <v>0</v>
      </c>
      <c r="G115" s="2">
        <f>TYPE(INDEX(,DCOUNT(#REF!,INDEX(1,),#REF!)))</f>
        <v>64</v>
      </c>
    </row>
    <row r="116" spans="1:7" x14ac:dyDescent="0.55000000000000004">
      <c r="A116" s="1" t="s">
        <v>1518</v>
      </c>
      <c r="B116" s="2">
        <f>COUNTIF(A:A,A116)-1</f>
        <v>3</v>
      </c>
      <c r="C116" s="2">
        <f>COUNTIF(A$1:A116,A116)-1</f>
        <v>3</v>
      </c>
      <c r="D116" s="2" t="e">
        <f>DCOUNT(#REF!,#REF!,1)</f>
        <v>#REF!</v>
      </c>
      <c r="E116" s="2" t="b">
        <f>IFERROR(INDEX(ERROR(0),DCOUNT(#REF!,#REF!,SET.NAME("_",+INDEX(1,)))),RETURN(INDEX(TYPE(_),SET.NAME("_"))))</f>
        <v>0</v>
      </c>
      <c r="F116" s="2" t="b">
        <f>IFERROR(INDEX(ERROR(0),DCOUNT(#REF!,#REF!,INDIRECT(SET.NAME({1,"_"},)))),RETURN(INDEX(TYPE(_),SET.NAME("_"))))</f>
        <v>0</v>
      </c>
      <c r="G116" s="2">
        <f>TYPE(INDEX(,DCOUNT(#REF!,#REF!,INDEX(1,))))</f>
        <v>64</v>
      </c>
    </row>
    <row r="117" spans="1:7" x14ac:dyDescent="0.55000000000000004">
      <c r="A117" s="1" t="s">
        <v>1519</v>
      </c>
      <c r="B117" s="2">
        <f>COUNTIF(A:A,A117)-1</f>
        <v>3</v>
      </c>
      <c r="C117" s="2">
        <f>COUNTIF(A$1:A117,A117)-1</f>
        <v>0</v>
      </c>
      <c r="D117" s="2"/>
      <c r="E117" s="2"/>
      <c r="F117" s="2"/>
      <c r="G117" s="2"/>
    </row>
    <row r="118" spans="1:7" x14ac:dyDescent="0.55000000000000004">
      <c r="A118" s="1" t="s">
        <v>1519</v>
      </c>
      <c r="B118" s="2">
        <f>COUNTIF(A:A,A118)-1</f>
        <v>3</v>
      </c>
      <c r="C118" s="2">
        <f>COUNTIF(A$1:A118,A118)-1</f>
        <v>1</v>
      </c>
      <c r="D118" s="2" t="s">
        <v>2262</v>
      </c>
      <c r="E118" s="2" t="s">
        <v>2200</v>
      </c>
      <c r="F118" s="2" t="b">
        <f>IFERROR(INDEX(ERROR(0),DSUM(INDIRECT(SET.NAME({1,"_"},)),#REF!,#REF!)),RETURN(INDEX(TYPE(_),SET.NAME("_"))))</f>
        <v>0</v>
      </c>
      <c r="G118" s="2">
        <f>TYPE(INDEX(,DSUM(INDEX(1,),#REF!,#REF!)))</f>
        <v>64</v>
      </c>
    </row>
    <row r="119" spans="1:7" x14ac:dyDescent="0.55000000000000004">
      <c r="A119" s="1" t="s">
        <v>1519</v>
      </c>
      <c r="B119" s="2">
        <f>COUNTIF(A:A,A119)-1</f>
        <v>3</v>
      </c>
      <c r="C119" s="2">
        <f>COUNTIF(A$1:A119,A119)-1</f>
        <v>2</v>
      </c>
      <c r="D119" s="2" t="e">
        <f>DSUM(#REF!,1,#REF!)</f>
        <v>#REF!</v>
      </c>
      <c r="E119" s="2" t="b">
        <f>IFERROR(INDEX(ERROR(0),DSUM(#REF!,SET.NAME("_",+INDEX(1,)),#REF!)),RETURN(INDEX(TYPE(_),SET.NAME("_"))))</f>
        <v>0</v>
      </c>
      <c r="F119" s="2" t="b">
        <f>IFERROR(INDEX(ERROR(0),DSUM(#REF!,INDIRECT(SET.NAME({1,"_"},)),#REF!)),RETURN(INDEX(TYPE(_),SET.NAME("_"))))</f>
        <v>0</v>
      </c>
      <c r="G119" s="2">
        <f>TYPE(INDEX(,DSUM(#REF!,INDEX(1,),#REF!)))</f>
        <v>64</v>
      </c>
    </row>
    <row r="120" spans="1:7" x14ac:dyDescent="0.55000000000000004">
      <c r="A120" s="1" t="s">
        <v>1519</v>
      </c>
      <c r="B120" s="2">
        <f>COUNTIF(A:A,A120)-1</f>
        <v>3</v>
      </c>
      <c r="C120" s="2">
        <f>COUNTIF(A$1:A120,A120)-1</f>
        <v>3</v>
      </c>
      <c r="D120" s="2" t="e">
        <f>DSUM(#REF!,#REF!,1)</f>
        <v>#REF!</v>
      </c>
      <c r="E120" s="2" t="b">
        <f>IFERROR(INDEX(ERROR(0),DSUM(#REF!,#REF!,SET.NAME("_",+INDEX(1,)))),RETURN(INDEX(TYPE(_),SET.NAME("_"))))</f>
        <v>0</v>
      </c>
      <c r="F120" s="2" t="b">
        <f>IFERROR(INDEX(ERROR(0),DSUM(#REF!,#REF!,INDIRECT(SET.NAME({1,"_"},)))),RETURN(INDEX(TYPE(_),SET.NAME("_"))))</f>
        <v>0</v>
      </c>
      <c r="G120" s="2">
        <f>TYPE(INDEX(,DSUM(#REF!,#REF!,INDEX(1,))))</f>
        <v>64</v>
      </c>
    </row>
    <row r="121" spans="1:7" x14ac:dyDescent="0.55000000000000004">
      <c r="A121" s="1" t="s">
        <v>1520</v>
      </c>
      <c r="B121" s="2">
        <f>COUNTIF(A:A,A121)-1</f>
        <v>3</v>
      </c>
      <c r="C121" s="2">
        <f>COUNTIF(A$1:A121,A121)-1</f>
        <v>0</v>
      </c>
      <c r="D121" s="2"/>
      <c r="E121" s="2"/>
      <c r="F121" s="2"/>
      <c r="G121" s="2"/>
    </row>
    <row r="122" spans="1:7" x14ac:dyDescent="0.55000000000000004">
      <c r="A122" s="1" t="s">
        <v>1520</v>
      </c>
      <c r="B122" s="2">
        <f>COUNTIF(A:A,A122)-1</f>
        <v>3</v>
      </c>
      <c r="C122" s="2">
        <f>COUNTIF(A$1:A122,A122)-1</f>
        <v>1</v>
      </c>
      <c r="D122" s="2" t="s">
        <v>2263</v>
      </c>
      <c r="E122" s="2" t="s">
        <v>2201</v>
      </c>
      <c r="F122" s="2" t="b">
        <f>IFERROR(INDEX(ERROR(0),DAVERAGE(INDIRECT(SET.NAME({1,"_"},)),#REF!,#REF!)),RETURN(INDEX(TYPE(_),SET.NAME("_"))))</f>
        <v>0</v>
      </c>
      <c r="G122" s="2">
        <f>TYPE(INDEX(,DAVERAGE(INDEX(1,),#REF!,#REF!)))</f>
        <v>64</v>
      </c>
    </row>
    <row r="123" spans="1:7" x14ac:dyDescent="0.55000000000000004">
      <c r="A123" s="1" t="s">
        <v>1520</v>
      </c>
      <c r="B123" s="2">
        <f>COUNTIF(A:A,A123)-1</f>
        <v>3</v>
      </c>
      <c r="C123" s="2">
        <f>COUNTIF(A$1:A123,A123)-1</f>
        <v>2</v>
      </c>
      <c r="D123" s="2" t="e">
        <f>DAVERAGE(#REF!,1,#REF!)</f>
        <v>#REF!</v>
      </c>
      <c r="E123" s="2" t="b">
        <f>IFERROR(INDEX(ERROR(0),DAVERAGE(#REF!,SET.NAME("_",+INDEX(1,)),#REF!)),RETURN(INDEX(TYPE(_),SET.NAME("_"))))</f>
        <v>0</v>
      </c>
      <c r="F123" s="2" t="b">
        <f>IFERROR(INDEX(ERROR(0),DAVERAGE(#REF!,INDIRECT(SET.NAME({1,"_"},)),#REF!)),RETURN(INDEX(TYPE(_),SET.NAME("_"))))</f>
        <v>0</v>
      </c>
      <c r="G123" s="2">
        <f>TYPE(INDEX(,DAVERAGE(#REF!,INDEX(1,),#REF!)))</f>
        <v>64</v>
      </c>
    </row>
    <row r="124" spans="1:7" x14ac:dyDescent="0.55000000000000004">
      <c r="A124" s="1" t="s">
        <v>1520</v>
      </c>
      <c r="B124" s="2">
        <f>COUNTIF(A:A,A124)-1</f>
        <v>3</v>
      </c>
      <c r="C124" s="2">
        <f>COUNTIF(A$1:A124,A124)-1</f>
        <v>3</v>
      </c>
      <c r="D124" s="2" t="e">
        <f>DAVERAGE(#REF!,#REF!,1)</f>
        <v>#REF!</v>
      </c>
      <c r="E124" s="2" t="b">
        <f>IFERROR(INDEX(ERROR(0),DAVERAGE(#REF!,#REF!,SET.NAME("_",+INDEX(1,)))),RETURN(INDEX(TYPE(_),SET.NAME("_"))))</f>
        <v>0</v>
      </c>
      <c r="F124" s="2" t="b">
        <f>IFERROR(INDEX(ERROR(0),DAVERAGE(#REF!,#REF!,INDIRECT(SET.NAME({1,"_"},)))),RETURN(INDEX(TYPE(_),SET.NAME("_"))))</f>
        <v>0</v>
      </c>
      <c r="G124" s="2">
        <f>TYPE(INDEX(,DAVERAGE(#REF!,#REF!,INDEX(1,))))</f>
        <v>64</v>
      </c>
    </row>
    <row r="125" spans="1:7" x14ac:dyDescent="0.55000000000000004">
      <c r="A125" s="1" t="s">
        <v>1521</v>
      </c>
      <c r="B125" s="2">
        <f>COUNTIF(A:A,A125)-1</f>
        <v>3</v>
      </c>
      <c r="C125" s="2">
        <f>COUNTIF(A$1:A125,A125)-1</f>
        <v>0</v>
      </c>
      <c r="D125" s="2"/>
      <c r="E125" s="2"/>
      <c r="F125" s="2"/>
      <c r="G125" s="2"/>
    </row>
    <row r="126" spans="1:7" x14ac:dyDescent="0.55000000000000004">
      <c r="A126" s="1" t="s">
        <v>1521</v>
      </c>
      <c r="B126" s="2">
        <f>COUNTIF(A:A,A126)-1</f>
        <v>3</v>
      </c>
      <c r="C126" s="2">
        <f>COUNTIF(A$1:A126,A126)-1</f>
        <v>1</v>
      </c>
      <c r="D126" s="2" t="s">
        <v>2264</v>
      </c>
      <c r="E126" s="2" t="s">
        <v>2202</v>
      </c>
      <c r="F126" s="2" t="b">
        <f>IFERROR(INDEX(ERROR(0),DMIN(INDIRECT(SET.NAME({1,"_"},)),#REF!,#REF!)),RETURN(INDEX(TYPE(_),SET.NAME("_"))))</f>
        <v>0</v>
      </c>
      <c r="G126" s="2">
        <f>TYPE(INDEX(,DMIN(INDEX(1,),#REF!,#REF!)))</f>
        <v>64</v>
      </c>
    </row>
    <row r="127" spans="1:7" x14ac:dyDescent="0.55000000000000004">
      <c r="A127" s="1" t="s">
        <v>1521</v>
      </c>
      <c r="B127" s="2">
        <f>COUNTIF(A:A,A127)-1</f>
        <v>3</v>
      </c>
      <c r="C127" s="2">
        <f>COUNTIF(A$1:A127,A127)-1</f>
        <v>2</v>
      </c>
      <c r="D127" s="2" t="e">
        <f>DMIN(#REF!,1,#REF!)</f>
        <v>#REF!</v>
      </c>
      <c r="E127" s="2" t="b">
        <f>IFERROR(INDEX(ERROR(0),DMIN(#REF!,SET.NAME("_",+INDEX(1,)),#REF!)),RETURN(INDEX(TYPE(_),SET.NAME("_"))))</f>
        <v>0</v>
      </c>
      <c r="F127" s="2" t="b">
        <f>IFERROR(INDEX(ERROR(0),DMIN(#REF!,INDIRECT(SET.NAME({1,"_"},)),#REF!)),RETURN(INDEX(TYPE(_),SET.NAME("_"))))</f>
        <v>0</v>
      </c>
      <c r="G127" s="2">
        <f>TYPE(INDEX(,DMIN(#REF!,INDEX(1,),#REF!)))</f>
        <v>64</v>
      </c>
    </row>
    <row r="128" spans="1:7" x14ac:dyDescent="0.55000000000000004">
      <c r="A128" s="1" t="s">
        <v>1521</v>
      </c>
      <c r="B128" s="2">
        <f>COUNTIF(A:A,A128)-1</f>
        <v>3</v>
      </c>
      <c r="C128" s="2">
        <f>COUNTIF(A$1:A128,A128)-1</f>
        <v>3</v>
      </c>
      <c r="D128" s="2" t="e">
        <f>DMIN(#REF!,#REF!,1)</f>
        <v>#REF!</v>
      </c>
      <c r="E128" s="2" t="b">
        <f>IFERROR(INDEX(ERROR(0),DMIN(#REF!,#REF!,SET.NAME("_",+INDEX(1,)))),RETURN(INDEX(TYPE(_),SET.NAME("_"))))</f>
        <v>0</v>
      </c>
      <c r="F128" s="2" t="b">
        <f>IFERROR(INDEX(ERROR(0),DMIN(#REF!,#REF!,INDIRECT(SET.NAME({1,"_"},)))),RETURN(INDEX(TYPE(_),SET.NAME("_"))))</f>
        <v>0</v>
      </c>
      <c r="G128" s="2">
        <f>TYPE(INDEX(,DMIN(#REF!,#REF!,INDEX(1,))))</f>
        <v>64</v>
      </c>
    </row>
    <row r="129" spans="1:7" x14ac:dyDescent="0.55000000000000004">
      <c r="A129" s="1" t="s">
        <v>1522</v>
      </c>
      <c r="B129" s="2">
        <f>COUNTIF(A:A,A129)-1</f>
        <v>3</v>
      </c>
      <c r="C129" s="2">
        <f>COUNTIF(A$1:A129,A129)-1</f>
        <v>0</v>
      </c>
      <c r="D129" s="2"/>
      <c r="E129" s="2"/>
      <c r="F129" s="2"/>
      <c r="G129" s="2"/>
    </row>
    <row r="130" spans="1:7" x14ac:dyDescent="0.55000000000000004">
      <c r="A130" s="1" t="s">
        <v>1522</v>
      </c>
      <c r="B130" s="2">
        <f>COUNTIF(A:A,A130)-1</f>
        <v>3</v>
      </c>
      <c r="C130" s="2">
        <f>COUNTIF(A$1:A130,A130)-1</f>
        <v>1</v>
      </c>
      <c r="D130" s="2" t="s">
        <v>2265</v>
      </c>
      <c r="E130" s="2" t="s">
        <v>2203</v>
      </c>
      <c r="F130" s="2" t="b">
        <f>IFERROR(INDEX(ERROR(0),DMAX(INDIRECT(SET.NAME({1,"_"},)),#REF!,#REF!)),RETURN(INDEX(TYPE(_),SET.NAME("_"))))</f>
        <v>0</v>
      </c>
      <c r="G130" s="2">
        <f>TYPE(INDEX(,DMAX(INDEX(1,),#REF!,#REF!)))</f>
        <v>64</v>
      </c>
    </row>
    <row r="131" spans="1:7" x14ac:dyDescent="0.55000000000000004">
      <c r="A131" s="1" t="s">
        <v>1522</v>
      </c>
      <c r="B131" s="2">
        <f>COUNTIF(A:A,A131)-1</f>
        <v>3</v>
      </c>
      <c r="C131" s="2">
        <f>COUNTIF(A$1:A131,A131)-1</f>
        <v>2</v>
      </c>
      <c r="D131" s="2" t="e">
        <f>DMAX(#REF!,1,#REF!)</f>
        <v>#REF!</v>
      </c>
      <c r="E131" s="2" t="b">
        <f>IFERROR(INDEX(ERROR(0),DMAX(#REF!,SET.NAME("_",+INDEX(1,)),#REF!)),RETURN(INDEX(TYPE(_),SET.NAME("_"))))</f>
        <v>0</v>
      </c>
      <c r="F131" s="2" t="b">
        <f>IFERROR(INDEX(ERROR(0),DMAX(#REF!,INDIRECT(SET.NAME({1,"_"},)),#REF!)),RETURN(INDEX(TYPE(_),SET.NAME("_"))))</f>
        <v>0</v>
      </c>
      <c r="G131" s="2">
        <f>TYPE(INDEX(,DMAX(#REF!,INDEX(1,),#REF!)))</f>
        <v>64</v>
      </c>
    </row>
    <row r="132" spans="1:7" x14ac:dyDescent="0.55000000000000004">
      <c r="A132" s="1" t="s">
        <v>1522</v>
      </c>
      <c r="B132" s="2">
        <f>COUNTIF(A:A,A132)-1</f>
        <v>3</v>
      </c>
      <c r="C132" s="2">
        <f>COUNTIF(A$1:A132,A132)-1</f>
        <v>3</v>
      </c>
      <c r="D132" s="2" t="e">
        <f>DMAX(#REF!,#REF!,1)</f>
        <v>#REF!</v>
      </c>
      <c r="E132" s="2" t="b">
        <f>IFERROR(INDEX(ERROR(0),DMAX(#REF!,#REF!,SET.NAME("_",+INDEX(1,)))),RETURN(INDEX(TYPE(_),SET.NAME("_"))))</f>
        <v>0</v>
      </c>
      <c r="F132" s="2" t="b">
        <f>IFERROR(INDEX(ERROR(0),DMAX(#REF!,#REF!,INDIRECT(SET.NAME({1,"_"},)))),RETURN(INDEX(TYPE(_),SET.NAME("_"))))</f>
        <v>0</v>
      </c>
      <c r="G132" s="2">
        <f>TYPE(INDEX(,DMAX(#REF!,#REF!,INDEX(1,))))</f>
        <v>64</v>
      </c>
    </row>
    <row r="133" spans="1:7" x14ac:dyDescent="0.55000000000000004">
      <c r="A133" s="1" t="s">
        <v>1523</v>
      </c>
      <c r="B133" s="2">
        <f>COUNTIF(A:A,A133)-1</f>
        <v>3</v>
      </c>
      <c r="C133" s="2">
        <f>COUNTIF(A$1:A133,A133)-1</f>
        <v>0</v>
      </c>
      <c r="D133" s="2"/>
      <c r="E133" s="2"/>
      <c r="F133" s="2"/>
      <c r="G133" s="2"/>
    </row>
    <row r="134" spans="1:7" x14ac:dyDescent="0.55000000000000004">
      <c r="A134" s="1" t="s">
        <v>1523</v>
      </c>
      <c r="B134" s="2">
        <f>COUNTIF(A:A,A134)-1</f>
        <v>3</v>
      </c>
      <c r="C134" s="2">
        <f>COUNTIF(A$1:A134,A134)-1</f>
        <v>1</v>
      </c>
      <c r="D134" s="2" t="s">
        <v>2266</v>
      </c>
      <c r="E134" s="2" t="s">
        <v>2204</v>
      </c>
      <c r="F134" s="2" t="b">
        <f>IFERROR(INDEX(ERROR(0),DSTDEV(INDIRECT(SET.NAME({1,"_"},)),#REF!,#REF!)),RETURN(INDEX(TYPE(_),SET.NAME("_"))))</f>
        <v>0</v>
      </c>
      <c r="G134" s="2">
        <f>TYPE(INDEX(,DSTDEV(INDEX(1,),#REF!,#REF!)))</f>
        <v>64</v>
      </c>
    </row>
    <row r="135" spans="1:7" x14ac:dyDescent="0.55000000000000004">
      <c r="A135" s="1" t="s">
        <v>1523</v>
      </c>
      <c r="B135" s="2">
        <f>COUNTIF(A:A,A135)-1</f>
        <v>3</v>
      </c>
      <c r="C135" s="2">
        <f>COUNTIF(A$1:A135,A135)-1</f>
        <v>2</v>
      </c>
      <c r="D135" s="2" t="e">
        <f>DSTDEV(#REF!,1,#REF!)</f>
        <v>#REF!</v>
      </c>
      <c r="E135" s="2" t="b">
        <f>IFERROR(INDEX(ERROR(0),DSTDEV(#REF!,SET.NAME("_",+INDEX(1,)),#REF!)),RETURN(INDEX(TYPE(_),SET.NAME("_"))))</f>
        <v>0</v>
      </c>
      <c r="F135" s="2" t="b">
        <f>IFERROR(INDEX(ERROR(0),DSTDEV(#REF!,INDIRECT(SET.NAME({1,"_"},)),#REF!)),RETURN(INDEX(TYPE(_),SET.NAME("_"))))</f>
        <v>0</v>
      </c>
      <c r="G135" s="2">
        <f>TYPE(INDEX(,DSTDEV(#REF!,INDEX(1,),#REF!)))</f>
        <v>64</v>
      </c>
    </row>
    <row r="136" spans="1:7" x14ac:dyDescent="0.55000000000000004">
      <c r="A136" s="1" t="s">
        <v>1523</v>
      </c>
      <c r="B136" s="2">
        <f>COUNTIF(A:A,A136)-1</f>
        <v>3</v>
      </c>
      <c r="C136" s="2">
        <f>COUNTIF(A$1:A136,A136)-1</f>
        <v>3</v>
      </c>
      <c r="D136" s="2" t="e">
        <f>DSTDEV(#REF!,#REF!,1)</f>
        <v>#REF!</v>
      </c>
      <c r="E136" s="2" t="b">
        <f>IFERROR(INDEX(ERROR(0),DSTDEV(#REF!,#REF!,SET.NAME("_",+INDEX(1,)))),RETURN(INDEX(TYPE(_),SET.NAME("_"))))</f>
        <v>0</v>
      </c>
      <c r="F136" s="2" t="b">
        <f>IFERROR(INDEX(ERROR(0),DSTDEV(#REF!,#REF!,INDIRECT(SET.NAME({1,"_"},)))),RETURN(INDEX(TYPE(_),SET.NAME("_"))))</f>
        <v>0</v>
      </c>
      <c r="G136" s="2">
        <f>TYPE(INDEX(,DSTDEV(#REF!,#REF!,INDEX(1,))))</f>
        <v>64</v>
      </c>
    </row>
    <row r="137" spans="1:7" x14ac:dyDescent="0.55000000000000004">
      <c r="A137" s="1" t="s">
        <v>1524</v>
      </c>
      <c r="B137" s="2">
        <f>COUNTIF(A:A,A137)-1</f>
        <v>3</v>
      </c>
      <c r="C137" s="2">
        <f>COUNTIF(A$1:A137,A137)-1</f>
        <v>0</v>
      </c>
      <c r="D137" s="2"/>
      <c r="E137" s="2"/>
      <c r="F137" s="2"/>
      <c r="G137" s="2"/>
    </row>
    <row r="138" spans="1:7" x14ac:dyDescent="0.55000000000000004">
      <c r="A138" s="1" t="s">
        <v>1524</v>
      </c>
      <c r="B138" s="2">
        <f>COUNTIF(A:A,A138)-1</f>
        <v>3</v>
      </c>
      <c r="C138" s="2">
        <f>COUNTIF(A$1:A138,A138)-1</f>
        <v>1</v>
      </c>
      <c r="D138" s="2" t="e">
        <f>VAR(1,#REF!,#REF!)</f>
        <v>#REF!</v>
      </c>
      <c r="E138" s="2" t="b">
        <f>IFERROR(INDEX(ERROR(0),VAR(SET.NAME("_",+INDEX(1,)),#REF!,#REF!)),RETURN(INDEX(TYPE(_),SET.NAME("_"))))</f>
        <v>0</v>
      </c>
      <c r="F138" s="2" t="b">
        <f>IFERROR(INDEX(ERROR(0),VAR(INDIRECT(SET.NAME({1,"_"},)),#REF!,#REF!)),RETURN(INDEX(TYPE(_),SET.NAME("_"))))</f>
        <v>0</v>
      </c>
      <c r="G138" s="2">
        <f>TYPE(INDEX(,VAR(INDEX(1,),#REF!,#REF!)))</f>
        <v>16</v>
      </c>
    </row>
    <row r="139" spans="1:7" x14ac:dyDescent="0.55000000000000004">
      <c r="A139" s="1" t="s">
        <v>1524</v>
      </c>
      <c r="B139" s="2">
        <f>COUNTIF(A:A,A139)-1</f>
        <v>3</v>
      </c>
      <c r="C139" s="2">
        <f>COUNTIF(A$1:A139,A139)-1</f>
        <v>2</v>
      </c>
      <c r="D139" s="2" t="e">
        <f>VAR(#REF!,1,#REF!)</f>
        <v>#REF!</v>
      </c>
      <c r="E139" s="2" t="b">
        <f>IFERROR(INDEX(ERROR(0),VAR(#REF!,SET.NAME("_",+INDEX(1,)),#REF!)),RETURN(INDEX(TYPE(_),SET.NAME("_"))))</f>
        <v>0</v>
      </c>
      <c r="F139" s="2" t="b">
        <f>IFERROR(INDEX(ERROR(0),VAR(#REF!,INDIRECT(SET.NAME({1,"_"},)),#REF!)),RETURN(INDEX(TYPE(_),SET.NAME("_"))))</f>
        <v>0</v>
      </c>
      <c r="G139" s="2">
        <f>TYPE(INDEX(,VAR(#REF!,INDEX(1,),#REF!)))</f>
        <v>16</v>
      </c>
    </row>
    <row r="140" spans="1:7" x14ac:dyDescent="0.55000000000000004">
      <c r="A140" s="1" t="s">
        <v>1524</v>
      </c>
      <c r="B140" s="2">
        <f>COUNTIF(A:A,A140)-1</f>
        <v>3</v>
      </c>
      <c r="C140" s="2">
        <f>COUNTIF(A$1:A140,A140)-1</f>
        <v>3</v>
      </c>
      <c r="D140" s="2" t="e">
        <f>VAR(#REF!,#REF!,1)</f>
        <v>#REF!</v>
      </c>
      <c r="E140" s="2" t="b">
        <f>IFERROR(INDEX(ERROR(0),VAR(#REF!,#REF!,SET.NAME("_",+INDEX(1,)))),RETURN(INDEX(TYPE(_),SET.NAME("_"))))</f>
        <v>0</v>
      </c>
      <c r="F140" s="2" t="b">
        <f>IFERROR(INDEX(ERROR(0),VAR(#REF!,#REF!,INDIRECT(SET.NAME({1,"_"},)))),RETURN(INDEX(TYPE(_),SET.NAME("_"))))</f>
        <v>0</v>
      </c>
      <c r="G140" s="2">
        <f>TYPE(INDEX(,VAR(#REF!,#REF!,INDEX(1,))))</f>
        <v>16</v>
      </c>
    </row>
    <row r="141" spans="1:7" x14ac:dyDescent="0.55000000000000004">
      <c r="A141" s="1" t="s">
        <v>1525</v>
      </c>
      <c r="B141" s="2">
        <f>COUNTIF(A:A,A141)-1</f>
        <v>3</v>
      </c>
      <c r="C141" s="2">
        <f>COUNTIF(A$1:A141,A141)-1</f>
        <v>0</v>
      </c>
      <c r="D141" s="2"/>
      <c r="E141" s="2"/>
      <c r="F141" s="2"/>
      <c r="G141" s="2"/>
    </row>
    <row r="142" spans="1:7" x14ac:dyDescent="0.55000000000000004">
      <c r="A142" s="1" t="s">
        <v>1525</v>
      </c>
      <c r="B142" s="2">
        <f>COUNTIF(A:A,A142)-1</f>
        <v>3</v>
      </c>
      <c r="C142" s="2">
        <f>COUNTIF(A$1:A142,A142)-1</f>
        <v>1</v>
      </c>
      <c r="D142" s="2" t="s">
        <v>2267</v>
      </c>
      <c r="E142" s="2" t="s">
        <v>2205</v>
      </c>
      <c r="F142" s="2" t="b">
        <f>IFERROR(INDEX(ERROR(0),DVAR(INDIRECT(SET.NAME({1,"_"},)),#REF!,#REF!)),RETURN(INDEX(TYPE(_),SET.NAME("_"))))</f>
        <v>0</v>
      </c>
      <c r="G142" s="2">
        <f>TYPE(INDEX(,DVAR(INDEX(1,),#REF!,#REF!)))</f>
        <v>64</v>
      </c>
    </row>
    <row r="143" spans="1:7" x14ac:dyDescent="0.55000000000000004">
      <c r="A143" s="1" t="s">
        <v>1525</v>
      </c>
      <c r="B143" s="2">
        <f>COUNTIF(A:A,A143)-1</f>
        <v>3</v>
      </c>
      <c r="C143" s="2">
        <f>COUNTIF(A$1:A143,A143)-1</f>
        <v>2</v>
      </c>
      <c r="D143" s="2" t="e">
        <f>DVAR(#REF!,1,#REF!)</f>
        <v>#REF!</v>
      </c>
      <c r="E143" s="2" t="b">
        <f>IFERROR(INDEX(ERROR(0),DVAR(#REF!,SET.NAME("_",+INDEX(1,)),#REF!)),RETURN(INDEX(TYPE(_),SET.NAME("_"))))</f>
        <v>0</v>
      </c>
      <c r="F143" s="2" t="b">
        <f>IFERROR(INDEX(ERROR(0),DVAR(#REF!,INDIRECT(SET.NAME({1,"_"},)),#REF!)),RETURN(INDEX(TYPE(_),SET.NAME("_"))))</f>
        <v>0</v>
      </c>
      <c r="G143" s="2">
        <f>TYPE(INDEX(,DVAR(#REF!,INDEX(1,),#REF!)))</f>
        <v>64</v>
      </c>
    </row>
    <row r="144" spans="1:7" x14ac:dyDescent="0.55000000000000004">
      <c r="A144" s="1" t="s">
        <v>1525</v>
      </c>
      <c r="B144" s="2">
        <f>COUNTIF(A:A,A144)-1</f>
        <v>3</v>
      </c>
      <c r="C144" s="2">
        <f>COUNTIF(A$1:A144,A144)-1</f>
        <v>3</v>
      </c>
      <c r="D144" s="2" t="e">
        <f>DVAR(#REF!,#REF!,1)</f>
        <v>#REF!</v>
      </c>
      <c r="E144" s="2" t="b">
        <f>IFERROR(INDEX(ERROR(0),DVAR(#REF!,#REF!,SET.NAME("_",+INDEX(1,)))),RETURN(INDEX(TYPE(_),SET.NAME("_"))))</f>
        <v>0</v>
      </c>
      <c r="F144" s="2" t="b">
        <f>IFERROR(INDEX(ERROR(0),DVAR(#REF!,#REF!,INDIRECT(SET.NAME({1,"_"},)))),RETURN(INDEX(TYPE(_),SET.NAME("_"))))</f>
        <v>0</v>
      </c>
      <c r="G144" s="2">
        <f>TYPE(INDEX(,DVAR(#REF!,#REF!,INDEX(1,))))</f>
        <v>64</v>
      </c>
    </row>
    <row r="145" spans="1:7" x14ac:dyDescent="0.55000000000000004">
      <c r="A145" s="1" t="s">
        <v>1198</v>
      </c>
      <c r="B145" s="2">
        <f>COUNTIF(A:A,A145)-1</f>
        <v>2</v>
      </c>
      <c r="C145" s="2">
        <f>COUNTIF(A$1:A145,A145)-1</f>
        <v>0</v>
      </c>
      <c r="D145" s="2"/>
      <c r="E145" s="2"/>
      <c r="F145" s="2"/>
      <c r="G145" s="2"/>
    </row>
    <row r="146" spans="1:7" x14ac:dyDescent="0.55000000000000004">
      <c r="A146" s="1" t="s">
        <v>1198</v>
      </c>
      <c r="B146" s="2">
        <f>COUNTIF(A:A,A146)-1</f>
        <v>2</v>
      </c>
      <c r="C146" s="2">
        <f>COUNTIF(A$1:A146,A146)-1</f>
        <v>1</v>
      </c>
      <c r="D146" s="2" t="e">
        <f>TEXT(1,#REF!)</f>
        <v>#REF!</v>
      </c>
      <c r="E146" s="2" t="b">
        <f>IFERROR(INDEX(ERROR(0),TEXT(SET.NAME("_",+INDEX(1,)),#REF!)),RETURN(INDEX(TYPE(_),SET.NAME("_"))))</f>
        <v>0</v>
      </c>
      <c r="F146" s="2" t="b">
        <f>IFERROR(INDEX(ERROR(0),TEXT(INDIRECT(SET.NAME({1,"_"},)),#REF!)),RETURN(INDEX(TYPE(_),SET.NAME("_"))))</f>
        <v>0</v>
      </c>
      <c r="G146" s="2">
        <f>TYPE(INDEX(,TEXT(INDEX(1,),#REF!)))</f>
        <v>16</v>
      </c>
    </row>
    <row r="147" spans="1:7" x14ac:dyDescent="0.55000000000000004">
      <c r="A147" s="1" t="s">
        <v>1198</v>
      </c>
      <c r="B147" s="2">
        <f>COUNTIF(A:A,A147)-1</f>
        <v>2</v>
      </c>
      <c r="C147" s="2">
        <f>COUNTIF(A$1:A147,A147)-1</f>
        <v>2</v>
      </c>
      <c r="D147" s="2" t="e">
        <f>TEXT(#REF!,1)</f>
        <v>#REF!</v>
      </c>
      <c r="E147" s="2" t="b">
        <f>IFERROR(INDEX(ERROR(0),TEXT(#REF!,SET.NAME("_",+INDEX(1,)))),RETURN(INDEX(TYPE(_),SET.NAME("_"))))</f>
        <v>0</v>
      </c>
      <c r="F147" s="2" t="b">
        <f>IFERROR(INDEX(ERROR(0),TEXT(#REF!,INDIRECT(SET.NAME({1,"_"},)))),RETURN(INDEX(TYPE(_),SET.NAME("_"))))</f>
        <v>0</v>
      </c>
      <c r="G147" s="2">
        <f>TYPE(INDEX(,TEXT(#REF!,INDEX(1,))))</f>
        <v>16</v>
      </c>
    </row>
    <row r="148" spans="1:7" x14ac:dyDescent="0.55000000000000004">
      <c r="A148" s="1" t="s">
        <v>1526</v>
      </c>
      <c r="B148" s="2">
        <f>COUNTIF(A:A,A148)-1</f>
        <v>4</v>
      </c>
      <c r="C148" s="2">
        <f>COUNTIF(A$1:A148,A148)-1</f>
        <v>0</v>
      </c>
      <c r="D148" s="2"/>
      <c r="E148" s="2"/>
      <c r="F148" s="2"/>
      <c r="G148" s="2"/>
    </row>
    <row r="149" spans="1:7" x14ac:dyDescent="0.55000000000000004">
      <c r="A149" s="1" t="s">
        <v>1526</v>
      </c>
      <c r="B149" s="2">
        <f>COUNTIF(A:A,A149)-1</f>
        <v>4</v>
      </c>
      <c r="C149" s="2">
        <f>COUNTIF(A$1:A149,A149)-1</f>
        <v>1</v>
      </c>
      <c r="D149" s="2" t="e">
        <f>LINEST(1,#REF!,#REF!,#REF!)</f>
        <v>#REF!</v>
      </c>
      <c r="E149" s="2" t="b">
        <f>IFERROR(INDEX(ERROR(0),LINEST(SET.NAME("_",+INDEX(1,)),#REF!,#REF!,#REF!)),RETURN(INDEX(TYPE(_),SET.NAME("_"))))</f>
        <v>0</v>
      </c>
      <c r="F149" s="2" t="b">
        <f>IFERROR(INDEX(ERROR(0),LINEST(INDIRECT(SET.NAME({1,"_"},)),#REF!,#REF!,#REF!)),RETURN(INDEX(TYPE(_),SET.NAME("_"))))</f>
        <v>0</v>
      </c>
      <c r="G149" s="2">
        <f>TYPE(INDEX(,LINEST(INDEX(1,),#REF!,#REF!,#REF!)))</f>
        <v>16</v>
      </c>
    </row>
    <row r="150" spans="1:7" x14ac:dyDescent="0.55000000000000004">
      <c r="A150" s="1" t="s">
        <v>1526</v>
      </c>
      <c r="B150" s="2">
        <f>COUNTIF(A:A,A150)-1</f>
        <v>4</v>
      </c>
      <c r="C150" s="2">
        <f>COUNTIF(A$1:A150,A150)-1</f>
        <v>2</v>
      </c>
      <c r="D150" s="2" t="e">
        <f>LINEST(#REF!,1,#REF!,#REF!)</f>
        <v>#REF!</v>
      </c>
      <c r="E150" s="2" t="b">
        <f>IFERROR(INDEX(ERROR(0),LINEST(#REF!,SET.NAME("_",+INDEX(1,)),#REF!,#REF!)),RETURN(INDEX(TYPE(_),SET.NAME("_"))))</f>
        <v>0</v>
      </c>
      <c r="F150" s="2" t="b">
        <f>IFERROR(INDEX(ERROR(0),LINEST(#REF!,INDIRECT(SET.NAME({1,"_"},)),#REF!,#REF!)),RETURN(INDEX(TYPE(_),SET.NAME("_"))))</f>
        <v>0</v>
      </c>
      <c r="G150" s="2">
        <f>TYPE(INDEX(,LINEST(#REF!,INDEX(1,),#REF!,#REF!)))</f>
        <v>16</v>
      </c>
    </row>
    <row r="151" spans="1:7" x14ac:dyDescent="0.55000000000000004">
      <c r="A151" s="1" t="s">
        <v>1526</v>
      </c>
      <c r="B151" s="2">
        <f>COUNTIF(A:A,A151)-1</f>
        <v>4</v>
      </c>
      <c r="C151" s="2">
        <f>COUNTIF(A$1:A151,A151)-1</f>
        <v>3</v>
      </c>
      <c r="D151" s="2" t="e">
        <f>LINEST(#REF!,#REF!,1,#REF!)</f>
        <v>#REF!</v>
      </c>
      <c r="E151" s="2" t="b">
        <f>IFERROR(INDEX(ERROR(0),LINEST(#REF!,#REF!,SET.NAME("_",+INDEX(1,)),#REF!)),RETURN(INDEX(TYPE(_),SET.NAME("_"))))</f>
        <v>0</v>
      </c>
      <c r="F151" s="2" t="b">
        <f>IFERROR(INDEX(ERROR(0),LINEST(#REF!,#REF!,INDIRECT(SET.NAME({1,"_"},)),#REF!)),RETURN(INDEX(TYPE(_),SET.NAME("_"))))</f>
        <v>0</v>
      </c>
      <c r="G151" s="2">
        <f>TYPE(INDEX(,LINEST(#REF!,#REF!,INDEX(1,),#REF!)))</f>
        <v>64</v>
      </c>
    </row>
    <row r="152" spans="1:7" x14ac:dyDescent="0.55000000000000004">
      <c r="A152" s="1" t="s">
        <v>1526</v>
      </c>
      <c r="B152" s="2">
        <f>COUNTIF(A:A,A152)-1</f>
        <v>4</v>
      </c>
      <c r="C152" s="2">
        <f>COUNTIF(A$1:A152,A152)-1</f>
        <v>4</v>
      </c>
      <c r="D152" s="2" t="e">
        <f>LINEST(#REF!,#REF!,#REF!,1)</f>
        <v>#REF!</v>
      </c>
      <c r="E152" s="2" t="b">
        <f>IFERROR(INDEX(ERROR(0),LINEST(#REF!,#REF!,#REF!,SET.NAME("_",+INDEX(1,)))),RETURN(INDEX(TYPE(_),SET.NAME("_"))))</f>
        <v>0</v>
      </c>
      <c r="F152" s="2" t="b">
        <f>IFERROR(INDEX(ERROR(0),LINEST(#REF!,#REF!,#REF!,INDIRECT(SET.NAME({1,"_"},)))),RETURN(INDEX(TYPE(_),SET.NAME("_"))))</f>
        <v>0</v>
      </c>
      <c r="G152" s="2">
        <f>TYPE(INDEX(,LINEST(#REF!,#REF!,#REF!,INDEX(1,))))</f>
        <v>64</v>
      </c>
    </row>
    <row r="153" spans="1:7" x14ac:dyDescent="0.55000000000000004">
      <c r="A153" s="1" t="s">
        <v>1527</v>
      </c>
      <c r="B153" s="2">
        <f>COUNTIF(A:A,A153)-1</f>
        <v>4</v>
      </c>
      <c r="C153" s="2">
        <f>COUNTIF(A$1:A153,A153)-1</f>
        <v>0</v>
      </c>
      <c r="D153" s="2"/>
      <c r="E153" s="2"/>
      <c r="F153" s="2"/>
      <c r="G153" s="2"/>
    </row>
    <row r="154" spans="1:7" x14ac:dyDescent="0.55000000000000004">
      <c r="A154" s="1" t="s">
        <v>1527</v>
      </c>
      <c r="B154" s="2">
        <f>COUNTIF(A:A,A154)-1</f>
        <v>4</v>
      </c>
      <c r="C154" s="2">
        <f>COUNTIF(A$1:A154,A154)-1</f>
        <v>1</v>
      </c>
      <c r="D154" s="2" t="e">
        <f>TREND(1,#REF!,#REF!,#REF!)</f>
        <v>#REF!</v>
      </c>
      <c r="E154" s="2" t="b">
        <f>IFERROR(INDEX(ERROR(0),TREND(SET.NAME("_",+INDEX(1,)),#REF!,#REF!,#REF!)),RETURN(INDEX(TYPE(_),SET.NAME("_"))))</f>
        <v>0</v>
      </c>
      <c r="F154" s="2" t="b">
        <f>IFERROR(INDEX(ERROR(0),TREND(INDIRECT(SET.NAME({1,"_"},)),#REF!,#REF!,#REF!)),RETURN(INDEX(TYPE(_),SET.NAME("_"))))</f>
        <v>0</v>
      </c>
      <c r="G154" s="2">
        <f>TYPE(INDEX(,TREND(INDEX(1,),#REF!,#REF!,#REF!)))</f>
        <v>16</v>
      </c>
    </row>
    <row r="155" spans="1:7" x14ac:dyDescent="0.55000000000000004">
      <c r="A155" s="1" t="s">
        <v>1527</v>
      </c>
      <c r="B155" s="2">
        <f>COUNTIF(A:A,A155)-1</f>
        <v>4</v>
      </c>
      <c r="C155" s="2">
        <f>COUNTIF(A$1:A155,A155)-1</f>
        <v>2</v>
      </c>
      <c r="D155" s="2" t="e">
        <f>TREND(#REF!,1,#REF!,#REF!)</f>
        <v>#REF!</v>
      </c>
      <c r="E155" s="2" t="b">
        <f>IFERROR(INDEX(ERROR(0),TREND(#REF!,SET.NAME("_",+INDEX(1,)),#REF!,#REF!)),RETURN(INDEX(TYPE(_),SET.NAME("_"))))</f>
        <v>0</v>
      </c>
      <c r="F155" s="2" t="b">
        <f>IFERROR(INDEX(ERROR(0),TREND(#REF!,INDIRECT(SET.NAME({1,"_"},)),#REF!,#REF!)),RETURN(INDEX(TYPE(_),SET.NAME("_"))))</f>
        <v>0</v>
      </c>
      <c r="G155" s="2">
        <f>TYPE(INDEX(,TREND(#REF!,INDEX(1,),#REF!,#REF!)))</f>
        <v>16</v>
      </c>
    </row>
    <row r="156" spans="1:7" x14ac:dyDescent="0.55000000000000004">
      <c r="A156" s="1" t="s">
        <v>1527</v>
      </c>
      <c r="B156" s="2">
        <f>COUNTIF(A:A,A156)-1</f>
        <v>4</v>
      </c>
      <c r="C156" s="2">
        <f>COUNTIF(A$1:A156,A156)-1</f>
        <v>3</v>
      </c>
      <c r="D156" s="2" t="e">
        <f>TREND(#REF!,#REF!,1,#REF!)</f>
        <v>#REF!</v>
      </c>
      <c r="E156" s="2" t="b">
        <f>IFERROR(INDEX(ERROR(0),TREND(#REF!,#REF!,SET.NAME("_",+INDEX(1,)),#REF!)),RETURN(INDEX(TYPE(_),SET.NAME("_"))))</f>
        <v>0</v>
      </c>
      <c r="F156" s="2" t="b">
        <f>IFERROR(INDEX(ERROR(0),TREND(#REF!,#REF!,INDIRECT(SET.NAME({1,"_"},)),#REF!)),RETURN(INDEX(TYPE(_),SET.NAME("_"))))</f>
        <v>0</v>
      </c>
      <c r="G156" s="2">
        <f>TYPE(INDEX(,TREND(#REF!,#REF!,INDEX(1,),#REF!)))</f>
        <v>16</v>
      </c>
    </row>
    <row r="157" spans="1:7" x14ac:dyDescent="0.55000000000000004">
      <c r="A157" s="1" t="s">
        <v>1527</v>
      </c>
      <c r="B157" s="2">
        <f>COUNTIF(A:A,A157)-1</f>
        <v>4</v>
      </c>
      <c r="C157" s="2">
        <f>COUNTIF(A$1:A157,A157)-1</f>
        <v>4</v>
      </c>
      <c r="D157" s="2" t="e">
        <f>TREND(#REF!,#REF!,#REF!,1)</f>
        <v>#REF!</v>
      </c>
      <c r="E157" s="2" t="b">
        <f>IFERROR(INDEX(ERROR(0),TREND(#REF!,#REF!,#REF!,SET.NAME("_",+INDEX(1,)))),RETURN(INDEX(TYPE(_),SET.NAME("_"))))</f>
        <v>0</v>
      </c>
      <c r="F157" s="2" t="b">
        <f>IFERROR(INDEX(ERROR(0),TREND(#REF!,#REF!,#REF!,INDIRECT(SET.NAME({1,"_"},)))),RETURN(INDEX(TYPE(_),SET.NAME("_"))))</f>
        <v>0</v>
      </c>
      <c r="G157" s="2">
        <f>TYPE(INDEX(,TREND(#REF!,#REF!,#REF!,INDEX(1,))))</f>
        <v>64</v>
      </c>
    </row>
    <row r="158" spans="1:7" x14ac:dyDescent="0.55000000000000004">
      <c r="A158" s="1" t="s">
        <v>1528</v>
      </c>
      <c r="B158" s="2">
        <f>COUNTIF(A:A,A158)-1</f>
        <v>4</v>
      </c>
      <c r="C158" s="2">
        <f>COUNTIF(A$1:A158,A158)-1</f>
        <v>0</v>
      </c>
      <c r="D158" s="2"/>
      <c r="E158" s="2"/>
      <c r="F158" s="2"/>
      <c r="G158" s="2"/>
    </row>
    <row r="159" spans="1:7" x14ac:dyDescent="0.55000000000000004">
      <c r="A159" s="1" t="s">
        <v>1528</v>
      </c>
      <c r="B159" s="2">
        <f>COUNTIF(A:A,A159)-1</f>
        <v>4</v>
      </c>
      <c r="C159" s="2">
        <f>COUNTIF(A$1:A159,A159)-1</f>
        <v>1</v>
      </c>
      <c r="D159" s="2" t="e">
        <f>LOGEST(1,#REF!,#REF!,#REF!)</f>
        <v>#REF!</v>
      </c>
      <c r="E159" s="2" t="b">
        <f>IFERROR(INDEX(ERROR(0),LOGEST(SET.NAME("_",+INDEX(1,)),#REF!,#REF!,#REF!)),RETURN(INDEX(TYPE(_),SET.NAME("_"))))</f>
        <v>0</v>
      </c>
      <c r="F159" s="2" t="b">
        <f>IFERROR(INDEX(ERROR(0),LOGEST(INDIRECT(SET.NAME({1,"_"},)),#REF!,#REF!,#REF!)),RETURN(INDEX(TYPE(_),SET.NAME("_"))))</f>
        <v>0</v>
      </c>
      <c r="G159" s="2">
        <f>TYPE(INDEX(,LOGEST(INDEX(1,),#REF!,#REF!,#REF!)))</f>
        <v>16</v>
      </c>
    </row>
    <row r="160" spans="1:7" x14ac:dyDescent="0.55000000000000004">
      <c r="A160" s="1" t="s">
        <v>1528</v>
      </c>
      <c r="B160" s="2">
        <f>COUNTIF(A:A,A160)-1</f>
        <v>4</v>
      </c>
      <c r="C160" s="2">
        <f>COUNTIF(A$1:A160,A160)-1</f>
        <v>2</v>
      </c>
      <c r="D160" s="2" t="e">
        <f>LOGEST(#REF!,1,#REF!,#REF!)</f>
        <v>#REF!</v>
      </c>
      <c r="E160" s="2" t="b">
        <f>IFERROR(INDEX(ERROR(0),LOGEST(#REF!,SET.NAME("_",+INDEX(1,)),#REF!,#REF!)),RETURN(INDEX(TYPE(_),SET.NAME("_"))))</f>
        <v>0</v>
      </c>
      <c r="F160" s="2" t="b">
        <f>IFERROR(INDEX(ERROR(0),LOGEST(#REF!,INDIRECT(SET.NAME({1,"_"},)),#REF!,#REF!)),RETURN(INDEX(TYPE(_),SET.NAME("_"))))</f>
        <v>0</v>
      </c>
      <c r="G160" s="2">
        <f>TYPE(INDEX(,LOGEST(#REF!,INDEX(1,),#REF!,#REF!)))</f>
        <v>16</v>
      </c>
    </row>
    <row r="161" spans="1:7" x14ac:dyDescent="0.55000000000000004">
      <c r="A161" s="1" t="s">
        <v>1528</v>
      </c>
      <c r="B161" s="2">
        <f>COUNTIF(A:A,A161)-1</f>
        <v>4</v>
      </c>
      <c r="C161" s="2">
        <f>COUNTIF(A$1:A161,A161)-1</f>
        <v>3</v>
      </c>
      <c r="D161" s="2" t="e">
        <f>LOGEST(#REF!,#REF!,1,#REF!)</f>
        <v>#REF!</v>
      </c>
      <c r="E161" s="2" t="b">
        <f>IFERROR(INDEX(ERROR(0),LOGEST(#REF!,#REF!,SET.NAME("_",+INDEX(1,)),#REF!)),RETURN(INDEX(TYPE(_),SET.NAME("_"))))</f>
        <v>0</v>
      </c>
      <c r="F161" s="2" t="b">
        <f>IFERROR(INDEX(ERROR(0),LOGEST(#REF!,#REF!,INDIRECT(SET.NAME({1,"_"},)),#REF!)),RETURN(INDEX(TYPE(_),SET.NAME("_"))))</f>
        <v>0</v>
      </c>
      <c r="G161" s="2">
        <f>TYPE(INDEX(,LOGEST(#REF!,#REF!,INDEX(1,),#REF!)))</f>
        <v>64</v>
      </c>
    </row>
    <row r="162" spans="1:7" x14ac:dyDescent="0.55000000000000004">
      <c r="A162" s="1" t="s">
        <v>1528</v>
      </c>
      <c r="B162" s="2">
        <f>COUNTIF(A:A,A162)-1</f>
        <v>4</v>
      </c>
      <c r="C162" s="2">
        <f>COUNTIF(A$1:A162,A162)-1</f>
        <v>4</v>
      </c>
      <c r="D162" s="2" t="e">
        <f>LOGEST(#REF!,#REF!,#REF!,1)</f>
        <v>#REF!</v>
      </c>
      <c r="E162" s="2" t="b">
        <f>IFERROR(INDEX(ERROR(0),LOGEST(#REF!,#REF!,#REF!,SET.NAME("_",+INDEX(1,)))),RETURN(INDEX(TYPE(_),SET.NAME("_"))))</f>
        <v>0</v>
      </c>
      <c r="F162" s="2" t="b">
        <f>IFERROR(INDEX(ERROR(0),LOGEST(#REF!,#REF!,#REF!,INDIRECT(SET.NAME({1,"_"},)))),RETURN(INDEX(TYPE(_),SET.NAME("_"))))</f>
        <v>0</v>
      </c>
      <c r="G162" s="2">
        <f>TYPE(INDEX(,LOGEST(#REF!,#REF!,#REF!,INDEX(1,))))</f>
        <v>64</v>
      </c>
    </row>
    <row r="163" spans="1:7" x14ac:dyDescent="0.55000000000000004">
      <c r="A163" s="1" t="s">
        <v>1529</v>
      </c>
      <c r="B163" s="2">
        <f>COUNTIF(A:A,A163)-1</f>
        <v>4</v>
      </c>
      <c r="C163" s="2">
        <f>COUNTIF(A$1:A163,A163)-1</f>
        <v>0</v>
      </c>
      <c r="D163" s="2"/>
      <c r="E163" s="2"/>
      <c r="F163" s="2"/>
      <c r="G163" s="2"/>
    </row>
    <row r="164" spans="1:7" x14ac:dyDescent="0.55000000000000004">
      <c r="A164" s="1" t="s">
        <v>1529</v>
      </c>
      <c r="B164" s="2">
        <f>COUNTIF(A:A,A164)-1</f>
        <v>4</v>
      </c>
      <c r="C164" s="2">
        <f>COUNTIF(A$1:A164,A164)-1</f>
        <v>1</v>
      </c>
      <c r="D164" s="2" t="e">
        <f>GROWTH(1,#REF!,#REF!,#REF!)</f>
        <v>#REF!</v>
      </c>
      <c r="E164" s="2" t="b">
        <f>IFERROR(INDEX(ERROR(0),GROWTH(SET.NAME("_",+INDEX(1,)),#REF!,#REF!,#REF!)),RETURN(INDEX(TYPE(_),SET.NAME("_"))))</f>
        <v>0</v>
      </c>
      <c r="F164" s="2" t="b">
        <f>IFERROR(INDEX(ERROR(0),GROWTH(INDIRECT(SET.NAME({1,"_"},)),#REF!,#REF!,#REF!)),RETURN(INDEX(TYPE(_),SET.NAME("_"))))</f>
        <v>0</v>
      </c>
      <c r="G164" s="2">
        <f>TYPE(INDEX(,GROWTH(INDEX(1,),#REF!,#REF!,#REF!)))</f>
        <v>16</v>
      </c>
    </row>
    <row r="165" spans="1:7" x14ac:dyDescent="0.55000000000000004">
      <c r="A165" s="1" t="s">
        <v>1529</v>
      </c>
      <c r="B165" s="2">
        <f>COUNTIF(A:A,A165)-1</f>
        <v>4</v>
      </c>
      <c r="C165" s="2">
        <f>COUNTIF(A$1:A165,A165)-1</f>
        <v>2</v>
      </c>
      <c r="D165" s="2" t="e">
        <f>GROWTH(#REF!,1,#REF!,#REF!)</f>
        <v>#REF!</v>
      </c>
      <c r="E165" s="2" t="b">
        <f>IFERROR(INDEX(ERROR(0),GROWTH(#REF!,SET.NAME("_",+INDEX(1,)),#REF!,#REF!)),RETURN(INDEX(TYPE(_),SET.NAME("_"))))</f>
        <v>0</v>
      </c>
      <c r="F165" s="2" t="b">
        <f>IFERROR(INDEX(ERROR(0),GROWTH(#REF!,INDIRECT(SET.NAME({1,"_"},)),#REF!,#REF!)),RETURN(INDEX(TYPE(_),SET.NAME("_"))))</f>
        <v>0</v>
      </c>
      <c r="G165" s="2">
        <f>TYPE(INDEX(,GROWTH(#REF!,INDEX(1,),#REF!,#REF!)))</f>
        <v>16</v>
      </c>
    </row>
    <row r="166" spans="1:7" x14ac:dyDescent="0.55000000000000004">
      <c r="A166" s="1" t="s">
        <v>1529</v>
      </c>
      <c r="B166" s="2">
        <f>COUNTIF(A:A,A166)-1</f>
        <v>4</v>
      </c>
      <c r="C166" s="2">
        <f>COUNTIF(A$1:A166,A166)-1</f>
        <v>3</v>
      </c>
      <c r="D166" s="2" t="e">
        <f>GROWTH(#REF!,#REF!,1,#REF!)</f>
        <v>#REF!</v>
      </c>
      <c r="E166" s="2" t="b">
        <f>IFERROR(INDEX(ERROR(0),GROWTH(#REF!,#REF!,SET.NAME("_",+INDEX(1,)),#REF!)),RETURN(INDEX(TYPE(_),SET.NAME("_"))))</f>
        <v>0</v>
      </c>
      <c r="F166" s="2" t="b">
        <f>IFERROR(INDEX(ERROR(0),GROWTH(#REF!,#REF!,INDIRECT(SET.NAME({1,"_"},)),#REF!)),RETURN(INDEX(TYPE(_),SET.NAME("_"))))</f>
        <v>0</v>
      </c>
      <c r="G166" s="2">
        <f>TYPE(INDEX(,GROWTH(#REF!,#REF!,INDEX(1,),#REF!)))</f>
        <v>16</v>
      </c>
    </row>
    <row r="167" spans="1:7" x14ac:dyDescent="0.55000000000000004">
      <c r="A167" s="1" t="s">
        <v>1529</v>
      </c>
      <c r="B167" s="2">
        <f>COUNTIF(A:A,A167)-1</f>
        <v>4</v>
      </c>
      <c r="C167" s="2">
        <f>COUNTIF(A$1:A167,A167)-1</f>
        <v>4</v>
      </c>
      <c r="D167" s="2" t="e">
        <f>GROWTH(#REF!,#REF!,#REF!,1)</f>
        <v>#REF!</v>
      </c>
      <c r="E167" s="2" t="b">
        <f>IFERROR(INDEX(ERROR(0),GROWTH(#REF!,#REF!,#REF!,SET.NAME("_",+INDEX(1,)))),RETURN(INDEX(TYPE(_),SET.NAME("_"))))</f>
        <v>0</v>
      </c>
      <c r="F167" s="2" t="b">
        <f>IFERROR(INDEX(ERROR(0),GROWTH(#REF!,#REF!,#REF!,INDIRECT(SET.NAME({1,"_"},)))),RETURN(INDEX(TYPE(_),SET.NAME("_"))))</f>
        <v>0</v>
      </c>
      <c r="G167" s="2">
        <f>TYPE(INDEX(,GROWTH(#REF!,#REF!,#REF!,INDEX(1,))))</f>
        <v>64</v>
      </c>
    </row>
    <row r="168" spans="1:7" x14ac:dyDescent="0.55000000000000004">
      <c r="A168" s="1" t="s">
        <v>1530</v>
      </c>
      <c r="B168" s="2">
        <f>COUNTIF(A:A,A168)-1</f>
        <v>1</v>
      </c>
      <c r="C168" s="2">
        <f>COUNTIF(A$1:A168,A168)-1</f>
        <v>0</v>
      </c>
      <c r="D168" s="2"/>
      <c r="E168" s="2"/>
      <c r="F168" s="2"/>
      <c r="G168" s="2"/>
    </row>
    <row r="169" spans="1:7" x14ac:dyDescent="0.55000000000000004">
      <c r="A169" s="1" t="s">
        <v>1530</v>
      </c>
      <c r="B169" s="2">
        <f>COUNTIF(A:A,A169)-1</f>
        <v>1</v>
      </c>
      <c r="C169" s="2">
        <f>COUNTIF(A$1:A169,A169)-1</f>
        <v>1</v>
      </c>
      <c r="D169" s="2" t="s">
        <v>2268</v>
      </c>
      <c r="E169" s="2" t="s">
        <v>2206</v>
      </c>
      <c r="F169" s="2" t="b">
        <f>IFERROR(INDEX(ERROR(0),GOTO(INDIRECT(SET.NAME({1,"_"},)))),RETURN(INDEX(TYPE(_),SET.NAME("_"))))</f>
        <v>0</v>
      </c>
      <c r="G169" s="2">
        <f>TYPE(INDEX(,GOTO(INDEX(1,))))</f>
        <v>64</v>
      </c>
    </row>
    <row r="170" spans="1:7" x14ac:dyDescent="0.55000000000000004">
      <c r="A170" s="1" t="s">
        <v>1531</v>
      </c>
      <c r="B170" s="2">
        <f>COUNTIF(A:A,A170)-1</f>
        <v>1</v>
      </c>
      <c r="C170" s="2">
        <f>COUNTIF(A$1:A170,A170)-1</f>
        <v>0</v>
      </c>
      <c r="D170" s="2"/>
      <c r="E170" s="2"/>
      <c r="F170" s="2"/>
      <c r="G170" s="2"/>
    </row>
    <row r="171" spans="1:7" x14ac:dyDescent="0.55000000000000004">
      <c r="A171" s="1" t="s">
        <v>1531</v>
      </c>
      <c r="B171" s="2">
        <f>COUNTIF(A:A,A171)-1</f>
        <v>1</v>
      </c>
      <c r="C171" s="2">
        <f>COUNTIF(A$1:A171,A171)-1</f>
        <v>1</v>
      </c>
      <c r="D171" s="2" t="b">
        <f>HALT(1)</f>
        <v>0</v>
      </c>
      <c r="E171" s="2" t="b">
        <f>IFERROR(INDEX(ERROR(0),HALT(SET.NAME("_",+INDEX(1,)))),RETURN(INDEX(TYPE(_),SET.NAME("_"))))</f>
        <v>0</v>
      </c>
      <c r="F171" s="2" t="b">
        <f>IFERROR(INDEX(ERROR(0),HALT(INDIRECT(SET.NAME({1,"_"},)))),RETURN(INDEX(TYPE(_),SET.NAME("_"))))</f>
        <v>0</v>
      </c>
      <c r="G171" s="2">
        <f>TYPE(INDEX(,HALT(INDEX(1,))))</f>
        <v>16</v>
      </c>
    </row>
    <row r="172" spans="1:7" x14ac:dyDescent="0.55000000000000004">
      <c r="A172" s="1" t="s">
        <v>2045</v>
      </c>
      <c r="B172" s="2">
        <f>COUNTIF(A:A,A172)-1</f>
        <v>1</v>
      </c>
      <c r="C172" s="2">
        <f>COUNTIF(A$1:A172,A172)-1</f>
        <v>0</v>
      </c>
      <c r="D172" s="2"/>
      <c r="E172" s="2"/>
      <c r="F172" s="2"/>
      <c r="G172" s="2"/>
    </row>
    <row r="173" spans="1:7" x14ac:dyDescent="0.55000000000000004">
      <c r="A173" s="1" t="s">
        <v>2045</v>
      </c>
      <c r="B173" s="2">
        <f>COUNTIF(A:A,A173)-1</f>
        <v>1</v>
      </c>
      <c r="C173" s="2">
        <f>COUNTIF(A$1:A173,A173)-1</f>
        <v>1</v>
      </c>
      <c r="D173" s="2" t="b">
        <f>RETURN(1)</f>
        <v>0</v>
      </c>
      <c r="E173" s="2" t="b">
        <f>IFERROR(INDEX(ERROR(0),RETURN(SET.NAME("_",+INDEX(1,)))),RETURN(INDEX(TYPE(_),SET.NAME("_"))))</f>
        <v>0</v>
      </c>
      <c r="F173" s="2" t="b">
        <f>IFERROR(INDEX(ERROR(0),RETURN(INDIRECT(SET.NAME({1,"_"},)))),RETURN(INDEX(TYPE(_),SET.NAME("_"))))</f>
        <v>0</v>
      </c>
      <c r="G173" s="2">
        <f>TYPE(INDEX(,RETURN(INDEX(1,))))</f>
        <v>16</v>
      </c>
    </row>
    <row r="174" spans="1:7" x14ac:dyDescent="0.55000000000000004">
      <c r="A174" s="1" t="s">
        <v>1532</v>
      </c>
      <c r="B174" s="2">
        <f>COUNTIF(A:A,A174)-1</f>
        <v>5</v>
      </c>
      <c r="C174" s="2">
        <f>COUNTIF(A$1:A174,A174)-1</f>
        <v>0</v>
      </c>
      <c r="D174" s="2"/>
      <c r="E174" s="2"/>
      <c r="F174" s="2"/>
      <c r="G174" s="2"/>
    </row>
    <row r="175" spans="1:7" x14ac:dyDescent="0.55000000000000004">
      <c r="A175" s="1" t="s">
        <v>1532</v>
      </c>
      <c r="B175" s="2">
        <f>COUNTIF(A:A,A175)-1</f>
        <v>5</v>
      </c>
      <c r="C175" s="2">
        <f>COUNTIF(A$1:A175,A175)-1</f>
        <v>1</v>
      </c>
      <c r="D175" s="2" t="e">
        <f>PV(1,#REF!,#REF!,#REF!,#REF!)</f>
        <v>#REF!</v>
      </c>
      <c r="E175" s="2" t="b">
        <f>IFERROR(INDEX(ERROR(0),PV(SET.NAME("_",+INDEX(1,)),#REF!,#REF!,#REF!,#REF!)),RETURN(INDEX(TYPE(_),SET.NAME("_"))))</f>
        <v>0</v>
      </c>
      <c r="F175" s="2" t="b">
        <f>IFERROR(INDEX(ERROR(0),PV(INDIRECT(SET.NAME({1,"_"},)),#REF!,#REF!,#REF!,#REF!)),RETURN(INDEX(TYPE(_),SET.NAME("_"))))</f>
        <v>0</v>
      </c>
      <c r="G175" s="2">
        <f>TYPE(INDEX(,PV(INDEX(1,),#REF!,#REF!,#REF!,#REF!)))</f>
        <v>16</v>
      </c>
    </row>
    <row r="176" spans="1:7" x14ac:dyDescent="0.55000000000000004">
      <c r="A176" s="1" t="s">
        <v>1532</v>
      </c>
      <c r="B176" s="2">
        <f>COUNTIF(A:A,A176)-1</f>
        <v>5</v>
      </c>
      <c r="C176" s="2">
        <f>COUNTIF(A$1:A176,A176)-1</f>
        <v>2</v>
      </c>
      <c r="D176" s="2" t="e">
        <f>PV(#REF!,1,#REF!,#REF!,#REF!)</f>
        <v>#REF!</v>
      </c>
      <c r="E176" s="2" t="b">
        <f>IFERROR(INDEX(ERROR(0),PV(#REF!,SET.NAME("_",+INDEX(1,)),#REF!,#REF!,#REF!)),RETURN(INDEX(TYPE(_),SET.NAME("_"))))</f>
        <v>0</v>
      </c>
      <c r="F176" s="2" t="b">
        <f>IFERROR(INDEX(ERROR(0),PV(#REF!,INDIRECT(SET.NAME({1,"_"},)),#REF!,#REF!,#REF!)),RETURN(INDEX(TYPE(_),SET.NAME("_"))))</f>
        <v>0</v>
      </c>
      <c r="G176" s="2">
        <f>TYPE(INDEX(,PV(#REF!,INDEX(1,),#REF!,#REF!,#REF!)))</f>
        <v>16</v>
      </c>
    </row>
    <row r="177" spans="1:7" x14ac:dyDescent="0.55000000000000004">
      <c r="A177" s="1" t="s">
        <v>1532</v>
      </c>
      <c r="B177" s="2">
        <f>COUNTIF(A:A,A177)-1</f>
        <v>5</v>
      </c>
      <c r="C177" s="2">
        <f>COUNTIF(A$1:A177,A177)-1</f>
        <v>3</v>
      </c>
      <c r="D177" s="2" t="e">
        <f>PV(#REF!,#REF!,1,#REF!,#REF!)</f>
        <v>#REF!</v>
      </c>
      <c r="E177" s="2" t="b">
        <f>IFERROR(INDEX(ERROR(0),PV(#REF!,#REF!,SET.NAME("_",+INDEX(1,)),#REF!,#REF!)),RETURN(INDEX(TYPE(_),SET.NAME("_"))))</f>
        <v>0</v>
      </c>
      <c r="F177" s="2" t="b">
        <f>IFERROR(INDEX(ERROR(0),PV(#REF!,#REF!,INDIRECT(SET.NAME({1,"_"},)),#REF!,#REF!)),RETURN(INDEX(TYPE(_),SET.NAME("_"))))</f>
        <v>0</v>
      </c>
      <c r="G177" s="2">
        <f>TYPE(INDEX(,PV(#REF!,#REF!,INDEX(1,),#REF!,#REF!)))</f>
        <v>16</v>
      </c>
    </row>
    <row r="178" spans="1:7" x14ac:dyDescent="0.55000000000000004">
      <c r="A178" s="1" t="s">
        <v>1532</v>
      </c>
      <c r="B178" s="2">
        <f>COUNTIF(A:A,A178)-1</f>
        <v>5</v>
      </c>
      <c r="C178" s="2">
        <f>COUNTIF(A$1:A178,A178)-1</f>
        <v>4</v>
      </c>
      <c r="D178" s="2" t="e">
        <f>PV(#REF!,#REF!,#REF!,1,#REF!)</f>
        <v>#REF!</v>
      </c>
      <c r="E178" s="2" t="b">
        <f>IFERROR(INDEX(ERROR(0),PV(#REF!,#REF!,#REF!,SET.NAME("_",+INDEX(1,)),#REF!)),RETURN(INDEX(TYPE(_),SET.NAME("_"))))</f>
        <v>0</v>
      </c>
      <c r="F178" s="2" t="b">
        <f>IFERROR(INDEX(ERROR(0),PV(#REF!,#REF!,#REF!,INDIRECT(SET.NAME({1,"_"},)),#REF!)),RETURN(INDEX(TYPE(_),SET.NAME("_"))))</f>
        <v>0</v>
      </c>
      <c r="G178" s="2">
        <f>TYPE(INDEX(,PV(#REF!,#REF!,#REF!,INDEX(1,),#REF!)))</f>
        <v>16</v>
      </c>
    </row>
    <row r="179" spans="1:7" x14ac:dyDescent="0.55000000000000004">
      <c r="A179" s="1" t="s">
        <v>1532</v>
      </c>
      <c r="B179" s="2">
        <f>COUNTIF(A:A,A179)-1</f>
        <v>5</v>
      </c>
      <c r="C179" s="2">
        <f>COUNTIF(A$1:A179,A179)-1</f>
        <v>5</v>
      </c>
      <c r="D179" s="2" t="e">
        <f>PV(#REF!,#REF!,#REF!,#REF!,1)</f>
        <v>#REF!</v>
      </c>
      <c r="E179" s="2" t="b">
        <f>IFERROR(INDEX(ERROR(0),PV(#REF!,#REF!,#REF!,#REF!,SET.NAME("_",+INDEX(1,)))),RETURN(INDEX(TYPE(_),SET.NAME("_"))))</f>
        <v>0</v>
      </c>
      <c r="F179" s="2" t="b">
        <f>IFERROR(INDEX(ERROR(0),PV(#REF!,#REF!,#REF!,#REF!,INDIRECT(SET.NAME({1,"_"},)))),RETURN(INDEX(TYPE(_),SET.NAME("_"))))</f>
        <v>0</v>
      </c>
      <c r="G179" s="2">
        <f>TYPE(INDEX(,PV(#REF!,#REF!,#REF!,#REF!,INDEX(1,))))</f>
        <v>16</v>
      </c>
    </row>
    <row r="180" spans="1:7" x14ac:dyDescent="0.55000000000000004">
      <c r="A180" s="1" t="s">
        <v>1533</v>
      </c>
      <c r="B180" s="2">
        <f>COUNTIF(A:A,A180)-1</f>
        <v>5</v>
      </c>
      <c r="C180" s="2">
        <f>COUNTIF(A$1:A180,A180)-1</f>
        <v>0</v>
      </c>
      <c r="D180" s="2"/>
      <c r="E180" s="2"/>
      <c r="F180" s="2"/>
      <c r="G180" s="2"/>
    </row>
    <row r="181" spans="1:7" x14ac:dyDescent="0.55000000000000004">
      <c r="A181" s="1" t="s">
        <v>1533</v>
      </c>
      <c r="B181" s="2">
        <f>COUNTIF(A:A,A181)-1</f>
        <v>5</v>
      </c>
      <c r="C181" s="2">
        <f>COUNTIF(A$1:A181,A181)-1</f>
        <v>1</v>
      </c>
      <c r="D181" s="2" t="e">
        <f>FV(1,#REF!,#REF!,#REF!,#REF!)</f>
        <v>#REF!</v>
      </c>
      <c r="E181" s="2" t="b">
        <f>IFERROR(INDEX(ERROR(0),FV(SET.NAME("_",+INDEX(1,)),#REF!,#REF!,#REF!,#REF!)),RETURN(INDEX(TYPE(_),SET.NAME("_"))))</f>
        <v>0</v>
      </c>
      <c r="F181" s="2" t="b">
        <f>IFERROR(INDEX(ERROR(0),FV(INDIRECT(SET.NAME({1,"_"},)),#REF!,#REF!,#REF!,#REF!)),RETURN(INDEX(TYPE(_),SET.NAME("_"))))</f>
        <v>0</v>
      </c>
      <c r="G181" s="2">
        <f>TYPE(INDEX(,FV(INDEX(1,),#REF!,#REF!,#REF!,#REF!)))</f>
        <v>16</v>
      </c>
    </row>
    <row r="182" spans="1:7" x14ac:dyDescent="0.55000000000000004">
      <c r="A182" s="1" t="s">
        <v>1533</v>
      </c>
      <c r="B182" s="2">
        <f>COUNTIF(A:A,A182)-1</f>
        <v>5</v>
      </c>
      <c r="C182" s="2">
        <f>COUNTIF(A$1:A182,A182)-1</f>
        <v>2</v>
      </c>
      <c r="D182" s="2" t="e">
        <f>FV(#REF!,1,#REF!,#REF!,#REF!)</f>
        <v>#REF!</v>
      </c>
      <c r="E182" s="2" t="b">
        <f>IFERROR(INDEX(ERROR(0),FV(#REF!,SET.NAME("_",+INDEX(1,)),#REF!,#REF!,#REF!)),RETURN(INDEX(TYPE(_),SET.NAME("_"))))</f>
        <v>0</v>
      </c>
      <c r="F182" s="2" t="b">
        <f>IFERROR(INDEX(ERROR(0),FV(#REF!,INDIRECT(SET.NAME({1,"_"},)),#REF!,#REF!,#REF!)),RETURN(INDEX(TYPE(_),SET.NAME("_"))))</f>
        <v>0</v>
      </c>
      <c r="G182" s="2">
        <f>TYPE(INDEX(,FV(#REF!,INDEX(1,),#REF!,#REF!,#REF!)))</f>
        <v>16</v>
      </c>
    </row>
    <row r="183" spans="1:7" x14ac:dyDescent="0.55000000000000004">
      <c r="A183" s="1" t="s">
        <v>1533</v>
      </c>
      <c r="B183" s="2">
        <f>COUNTIF(A:A,A183)-1</f>
        <v>5</v>
      </c>
      <c r="C183" s="2">
        <f>COUNTIF(A$1:A183,A183)-1</f>
        <v>3</v>
      </c>
      <c r="D183" s="2" t="e">
        <f>FV(#REF!,#REF!,1,#REF!,#REF!)</f>
        <v>#REF!</v>
      </c>
      <c r="E183" s="2" t="b">
        <f>IFERROR(INDEX(ERROR(0),FV(#REF!,#REF!,SET.NAME("_",+INDEX(1,)),#REF!,#REF!)),RETURN(INDEX(TYPE(_),SET.NAME("_"))))</f>
        <v>0</v>
      </c>
      <c r="F183" s="2" t="b">
        <f>IFERROR(INDEX(ERROR(0),FV(#REF!,#REF!,INDIRECT(SET.NAME({1,"_"},)),#REF!,#REF!)),RETURN(INDEX(TYPE(_),SET.NAME("_"))))</f>
        <v>0</v>
      </c>
      <c r="G183" s="2">
        <f>TYPE(INDEX(,FV(#REF!,#REF!,INDEX(1,),#REF!,#REF!)))</f>
        <v>16</v>
      </c>
    </row>
    <row r="184" spans="1:7" x14ac:dyDescent="0.55000000000000004">
      <c r="A184" s="1" t="s">
        <v>1533</v>
      </c>
      <c r="B184" s="2">
        <f>COUNTIF(A:A,A184)-1</f>
        <v>5</v>
      </c>
      <c r="C184" s="2">
        <f>COUNTIF(A$1:A184,A184)-1</f>
        <v>4</v>
      </c>
      <c r="D184" s="2" t="e">
        <f>FV(#REF!,#REF!,#REF!,1,#REF!)</f>
        <v>#REF!</v>
      </c>
      <c r="E184" s="2" t="b">
        <f>IFERROR(INDEX(ERROR(0),FV(#REF!,#REF!,#REF!,SET.NAME("_",+INDEX(1,)),#REF!)),RETURN(INDEX(TYPE(_),SET.NAME("_"))))</f>
        <v>0</v>
      </c>
      <c r="F184" s="2" t="b">
        <f>IFERROR(INDEX(ERROR(0),FV(#REF!,#REF!,#REF!,INDIRECT(SET.NAME({1,"_"},)),#REF!)),RETURN(INDEX(TYPE(_),SET.NAME("_"))))</f>
        <v>0</v>
      </c>
      <c r="G184" s="2">
        <f>TYPE(INDEX(,FV(#REF!,#REF!,#REF!,INDEX(1,),#REF!)))</f>
        <v>16</v>
      </c>
    </row>
    <row r="185" spans="1:7" x14ac:dyDescent="0.55000000000000004">
      <c r="A185" s="1" t="s">
        <v>1533</v>
      </c>
      <c r="B185" s="2">
        <f>COUNTIF(A:A,A185)-1</f>
        <v>5</v>
      </c>
      <c r="C185" s="2">
        <f>COUNTIF(A$1:A185,A185)-1</f>
        <v>5</v>
      </c>
      <c r="D185" s="2" t="e">
        <f>FV(#REF!,#REF!,#REF!,#REF!,1)</f>
        <v>#REF!</v>
      </c>
      <c r="E185" s="2" t="b">
        <f>IFERROR(INDEX(ERROR(0),FV(#REF!,#REF!,#REF!,#REF!,SET.NAME("_",+INDEX(1,)))),RETURN(INDEX(TYPE(_),SET.NAME("_"))))</f>
        <v>0</v>
      </c>
      <c r="F185" s="2" t="b">
        <f>IFERROR(INDEX(ERROR(0),FV(#REF!,#REF!,#REF!,#REF!,INDIRECT(SET.NAME({1,"_"},)))),RETURN(INDEX(TYPE(_),SET.NAME("_"))))</f>
        <v>0</v>
      </c>
      <c r="G185" s="2">
        <f>TYPE(INDEX(,FV(#REF!,#REF!,#REF!,#REF!,INDEX(1,))))</f>
        <v>16</v>
      </c>
    </row>
    <row r="186" spans="1:7" x14ac:dyDescent="0.55000000000000004">
      <c r="A186" s="1" t="s">
        <v>1534</v>
      </c>
      <c r="B186" s="2">
        <f>COUNTIF(A:A,A186)-1</f>
        <v>5</v>
      </c>
      <c r="C186" s="2">
        <f>COUNTIF(A$1:A186,A186)-1</f>
        <v>0</v>
      </c>
      <c r="D186" s="2"/>
      <c r="E186" s="2"/>
      <c r="F186" s="2"/>
      <c r="G186" s="2"/>
    </row>
    <row r="187" spans="1:7" x14ac:dyDescent="0.55000000000000004">
      <c r="A187" s="1" t="s">
        <v>1534</v>
      </c>
      <c r="B187" s="2">
        <f>COUNTIF(A:A,A187)-1</f>
        <v>5</v>
      </c>
      <c r="C187" s="2">
        <f>COUNTIF(A$1:A187,A187)-1</f>
        <v>1</v>
      </c>
      <c r="D187" s="2" t="e">
        <f>NPER(1,#REF!,#REF!,#REF!,#REF!)</f>
        <v>#REF!</v>
      </c>
      <c r="E187" s="2" t="b">
        <f>IFERROR(INDEX(ERROR(0),NPER(SET.NAME("_",+INDEX(1,)),#REF!,#REF!,#REF!,#REF!)),RETURN(INDEX(TYPE(_),SET.NAME("_"))))</f>
        <v>0</v>
      </c>
      <c r="F187" s="2" t="b">
        <f>IFERROR(INDEX(ERROR(0),NPER(INDIRECT(SET.NAME({1,"_"},)),#REF!,#REF!,#REF!,#REF!)),RETURN(INDEX(TYPE(_),SET.NAME("_"))))</f>
        <v>0</v>
      </c>
      <c r="G187" s="2">
        <f>TYPE(INDEX(,NPER(INDEX(1,),#REF!,#REF!,#REF!,#REF!)))</f>
        <v>16</v>
      </c>
    </row>
    <row r="188" spans="1:7" x14ac:dyDescent="0.55000000000000004">
      <c r="A188" s="1" t="s">
        <v>1534</v>
      </c>
      <c r="B188" s="2">
        <f>COUNTIF(A:A,A188)-1</f>
        <v>5</v>
      </c>
      <c r="C188" s="2">
        <f>COUNTIF(A$1:A188,A188)-1</f>
        <v>2</v>
      </c>
      <c r="D188" s="2" t="e">
        <f>NPER(#REF!,1,#REF!,#REF!,#REF!)</f>
        <v>#REF!</v>
      </c>
      <c r="E188" s="2" t="b">
        <f>IFERROR(INDEX(ERROR(0),NPER(#REF!,SET.NAME("_",+INDEX(1,)),#REF!,#REF!,#REF!)),RETURN(INDEX(TYPE(_),SET.NAME("_"))))</f>
        <v>0</v>
      </c>
      <c r="F188" s="2" t="b">
        <f>IFERROR(INDEX(ERROR(0),NPER(#REF!,INDIRECT(SET.NAME({1,"_"},)),#REF!,#REF!,#REF!)),RETURN(INDEX(TYPE(_),SET.NAME("_"))))</f>
        <v>0</v>
      </c>
      <c r="G188" s="2">
        <f>TYPE(INDEX(,NPER(#REF!,INDEX(1,),#REF!,#REF!,#REF!)))</f>
        <v>16</v>
      </c>
    </row>
    <row r="189" spans="1:7" x14ac:dyDescent="0.55000000000000004">
      <c r="A189" s="1" t="s">
        <v>1534</v>
      </c>
      <c r="B189" s="2">
        <f>COUNTIF(A:A,A189)-1</f>
        <v>5</v>
      </c>
      <c r="C189" s="2">
        <f>COUNTIF(A$1:A189,A189)-1</f>
        <v>3</v>
      </c>
      <c r="D189" s="2" t="e">
        <f>NPER(#REF!,#REF!,1,#REF!,#REF!)</f>
        <v>#REF!</v>
      </c>
      <c r="E189" s="2" t="b">
        <f>IFERROR(INDEX(ERROR(0),NPER(#REF!,#REF!,SET.NAME("_",+INDEX(1,)),#REF!,#REF!)),RETURN(INDEX(TYPE(_),SET.NAME("_"))))</f>
        <v>0</v>
      </c>
      <c r="F189" s="2" t="b">
        <f>IFERROR(INDEX(ERROR(0),NPER(#REF!,#REF!,INDIRECT(SET.NAME({1,"_"},)),#REF!,#REF!)),RETURN(INDEX(TYPE(_),SET.NAME("_"))))</f>
        <v>0</v>
      </c>
      <c r="G189" s="2">
        <f>TYPE(INDEX(,NPER(#REF!,#REF!,INDEX(1,),#REF!,#REF!)))</f>
        <v>16</v>
      </c>
    </row>
    <row r="190" spans="1:7" x14ac:dyDescent="0.55000000000000004">
      <c r="A190" s="1" t="s">
        <v>1534</v>
      </c>
      <c r="B190" s="2">
        <f>COUNTIF(A:A,A190)-1</f>
        <v>5</v>
      </c>
      <c r="C190" s="2">
        <f>COUNTIF(A$1:A190,A190)-1</f>
        <v>4</v>
      </c>
      <c r="D190" s="2" t="e">
        <f>NPER(#REF!,#REF!,#REF!,1,#REF!)</f>
        <v>#REF!</v>
      </c>
      <c r="E190" s="2" t="b">
        <f>IFERROR(INDEX(ERROR(0),NPER(#REF!,#REF!,#REF!,SET.NAME("_",+INDEX(1,)),#REF!)),RETURN(INDEX(TYPE(_),SET.NAME("_"))))</f>
        <v>0</v>
      </c>
      <c r="F190" s="2" t="b">
        <f>IFERROR(INDEX(ERROR(0),NPER(#REF!,#REF!,#REF!,INDIRECT(SET.NAME({1,"_"},)),#REF!)),RETURN(INDEX(TYPE(_),SET.NAME("_"))))</f>
        <v>0</v>
      </c>
      <c r="G190" s="2">
        <f>TYPE(INDEX(,NPER(#REF!,#REF!,#REF!,INDEX(1,),#REF!)))</f>
        <v>16</v>
      </c>
    </row>
    <row r="191" spans="1:7" x14ac:dyDescent="0.55000000000000004">
      <c r="A191" s="1" t="s">
        <v>1534</v>
      </c>
      <c r="B191" s="2">
        <f>COUNTIF(A:A,A191)-1</f>
        <v>5</v>
      </c>
      <c r="C191" s="2">
        <f>COUNTIF(A$1:A191,A191)-1</f>
        <v>5</v>
      </c>
      <c r="D191" s="2" t="e">
        <f>NPER(#REF!,#REF!,#REF!,#REF!,1)</f>
        <v>#REF!</v>
      </c>
      <c r="E191" s="2" t="b">
        <f>IFERROR(INDEX(ERROR(0),NPER(#REF!,#REF!,#REF!,#REF!,SET.NAME("_",+INDEX(1,)))),RETURN(INDEX(TYPE(_),SET.NAME("_"))))</f>
        <v>0</v>
      </c>
      <c r="F191" s="2" t="b">
        <f>IFERROR(INDEX(ERROR(0),NPER(#REF!,#REF!,#REF!,#REF!,INDIRECT(SET.NAME({1,"_"},)))),RETURN(INDEX(TYPE(_),SET.NAME("_"))))</f>
        <v>0</v>
      </c>
      <c r="G191" s="2">
        <f>TYPE(INDEX(,NPER(#REF!,#REF!,#REF!,#REF!,INDEX(1,))))</f>
        <v>16</v>
      </c>
    </row>
    <row r="192" spans="1:7" x14ac:dyDescent="0.55000000000000004">
      <c r="A192" s="1" t="s">
        <v>1535</v>
      </c>
      <c r="B192" s="2">
        <f>COUNTIF(A:A,A192)-1</f>
        <v>5</v>
      </c>
      <c r="C192" s="2">
        <f>COUNTIF(A$1:A192,A192)-1</f>
        <v>0</v>
      </c>
      <c r="D192" s="2"/>
      <c r="E192" s="2"/>
      <c r="F192" s="2"/>
      <c r="G192" s="2"/>
    </row>
    <row r="193" spans="1:7" x14ac:dyDescent="0.55000000000000004">
      <c r="A193" s="1" t="s">
        <v>1535</v>
      </c>
      <c r="B193" s="2">
        <f>COUNTIF(A:A,A193)-1</f>
        <v>5</v>
      </c>
      <c r="C193" s="2">
        <f>COUNTIF(A$1:A193,A193)-1</f>
        <v>1</v>
      </c>
      <c r="D193" s="2" t="e">
        <f>PMT(1,#REF!,#REF!,#REF!,#REF!)</f>
        <v>#REF!</v>
      </c>
      <c r="E193" s="2" t="b">
        <f>IFERROR(INDEX(ERROR(0),PMT(SET.NAME("_",+INDEX(1,)),#REF!,#REF!,#REF!,#REF!)),RETURN(INDEX(TYPE(_),SET.NAME("_"))))</f>
        <v>0</v>
      </c>
      <c r="F193" s="2" t="b">
        <f>IFERROR(INDEX(ERROR(0),PMT(INDIRECT(SET.NAME({1,"_"},)),#REF!,#REF!,#REF!,#REF!)),RETURN(INDEX(TYPE(_),SET.NAME("_"))))</f>
        <v>0</v>
      </c>
      <c r="G193" s="2">
        <f>TYPE(INDEX(,PMT(INDEX(1,),#REF!,#REF!,#REF!,#REF!)))</f>
        <v>16</v>
      </c>
    </row>
    <row r="194" spans="1:7" x14ac:dyDescent="0.55000000000000004">
      <c r="A194" s="1" t="s">
        <v>1535</v>
      </c>
      <c r="B194" s="2">
        <f>COUNTIF(A:A,A194)-1</f>
        <v>5</v>
      </c>
      <c r="C194" s="2">
        <f>COUNTIF(A$1:A194,A194)-1</f>
        <v>2</v>
      </c>
      <c r="D194" s="2" t="e">
        <f>PMT(#REF!,1,#REF!,#REF!,#REF!)</f>
        <v>#REF!</v>
      </c>
      <c r="E194" s="2" t="b">
        <f>IFERROR(INDEX(ERROR(0),PMT(#REF!,SET.NAME("_",+INDEX(1,)),#REF!,#REF!,#REF!)),RETURN(INDEX(TYPE(_),SET.NAME("_"))))</f>
        <v>0</v>
      </c>
      <c r="F194" s="2" t="b">
        <f>IFERROR(INDEX(ERROR(0),PMT(#REF!,INDIRECT(SET.NAME({1,"_"},)),#REF!,#REF!,#REF!)),RETURN(INDEX(TYPE(_),SET.NAME("_"))))</f>
        <v>0</v>
      </c>
      <c r="G194" s="2">
        <f>TYPE(INDEX(,PMT(#REF!,INDEX(1,),#REF!,#REF!,#REF!)))</f>
        <v>16</v>
      </c>
    </row>
    <row r="195" spans="1:7" x14ac:dyDescent="0.55000000000000004">
      <c r="A195" s="1" t="s">
        <v>1535</v>
      </c>
      <c r="B195" s="2">
        <f>COUNTIF(A:A,A195)-1</f>
        <v>5</v>
      </c>
      <c r="C195" s="2">
        <f>COUNTIF(A$1:A195,A195)-1</f>
        <v>3</v>
      </c>
      <c r="D195" s="2" t="e">
        <f>PMT(#REF!,#REF!,1,#REF!,#REF!)</f>
        <v>#REF!</v>
      </c>
      <c r="E195" s="2" t="b">
        <f>IFERROR(INDEX(ERROR(0),PMT(#REF!,#REF!,SET.NAME("_",+INDEX(1,)),#REF!,#REF!)),RETURN(INDEX(TYPE(_),SET.NAME("_"))))</f>
        <v>0</v>
      </c>
      <c r="F195" s="2" t="b">
        <f>IFERROR(INDEX(ERROR(0),PMT(#REF!,#REF!,INDIRECT(SET.NAME({1,"_"},)),#REF!,#REF!)),RETURN(INDEX(TYPE(_),SET.NAME("_"))))</f>
        <v>0</v>
      </c>
      <c r="G195" s="2">
        <f>TYPE(INDEX(,PMT(#REF!,#REF!,INDEX(1,),#REF!,#REF!)))</f>
        <v>16</v>
      </c>
    </row>
    <row r="196" spans="1:7" x14ac:dyDescent="0.55000000000000004">
      <c r="A196" s="1" t="s">
        <v>1535</v>
      </c>
      <c r="B196" s="2">
        <f>COUNTIF(A:A,A196)-1</f>
        <v>5</v>
      </c>
      <c r="C196" s="2">
        <f>COUNTIF(A$1:A196,A196)-1</f>
        <v>4</v>
      </c>
      <c r="D196" s="2" t="e">
        <f>PMT(#REF!,#REF!,#REF!,1,#REF!)</f>
        <v>#REF!</v>
      </c>
      <c r="E196" s="2" t="b">
        <f>IFERROR(INDEX(ERROR(0),PMT(#REF!,#REF!,#REF!,SET.NAME("_",+INDEX(1,)),#REF!)),RETURN(INDEX(TYPE(_),SET.NAME("_"))))</f>
        <v>0</v>
      </c>
      <c r="F196" s="2" t="b">
        <f>IFERROR(INDEX(ERROR(0),PMT(#REF!,#REF!,#REF!,INDIRECT(SET.NAME({1,"_"},)),#REF!)),RETURN(INDEX(TYPE(_),SET.NAME("_"))))</f>
        <v>0</v>
      </c>
      <c r="G196" s="2">
        <f>TYPE(INDEX(,PMT(#REF!,#REF!,#REF!,INDEX(1,),#REF!)))</f>
        <v>16</v>
      </c>
    </row>
    <row r="197" spans="1:7" x14ac:dyDescent="0.55000000000000004">
      <c r="A197" s="1" t="s">
        <v>1535</v>
      </c>
      <c r="B197" s="2">
        <f>COUNTIF(A:A,A197)-1</f>
        <v>5</v>
      </c>
      <c r="C197" s="2">
        <f>COUNTIF(A$1:A197,A197)-1</f>
        <v>5</v>
      </c>
      <c r="D197" s="2" t="e">
        <f>PMT(#REF!,#REF!,#REF!,#REF!,1)</f>
        <v>#REF!</v>
      </c>
      <c r="E197" s="2" t="b">
        <f>IFERROR(INDEX(ERROR(0),PMT(#REF!,#REF!,#REF!,#REF!,SET.NAME("_",+INDEX(1,)))),RETURN(INDEX(TYPE(_),SET.NAME("_"))))</f>
        <v>0</v>
      </c>
      <c r="F197" s="2" t="b">
        <f>IFERROR(INDEX(ERROR(0),PMT(#REF!,#REF!,#REF!,#REF!,INDIRECT(SET.NAME({1,"_"},)))),RETURN(INDEX(TYPE(_),SET.NAME("_"))))</f>
        <v>0</v>
      </c>
      <c r="G197" s="2">
        <f>TYPE(INDEX(,PMT(#REF!,#REF!,#REF!,#REF!,INDEX(1,))))</f>
        <v>16</v>
      </c>
    </row>
    <row r="198" spans="1:7" x14ac:dyDescent="0.55000000000000004">
      <c r="A198" s="1" t="s">
        <v>1536</v>
      </c>
      <c r="B198" s="2">
        <f>COUNTIF(A:A,A198)-1</f>
        <v>6</v>
      </c>
      <c r="C198" s="2">
        <f>COUNTIF(A$1:A198,A198)-1</f>
        <v>0</v>
      </c>
      <c r="D198" s="2"/>
      <c r="E198" s="2"/>
      <c r="F198" s="2"/>
      <c r="G198" s="2"/>
    </row>
    <row r="199" spans="1:7" x14ac:dyDescent="0.55000000000000004">
      <c r="A199" s="1" t="s">
        <v>1536</v>
      </c>
      <c r="B199" s="2">
        <f>COUNTIF(A:A,A199)-1</f>
        <v>6</v>
      </c>
      <c r="C199" s="2">
        <f>COUNTIF(A$1:A199,A199)-1</f>
        <v>1</v>
      </c>
      <c r="D199" s="2" t="e">
        <f>RATE(1,#REF!,#REF!,#REF!,#REF!,#REF!)</f>
        <v>#REF!</v>
      </c>
      <c r="E199" s="2" t="b">
        <f>IFERROR(INDEX(ERROR(0),RATE(SET.NAME("_",+INDEX(1,)),#REF!,#REF!,#REF!,#REF!,#REF!)),RETURN(INDEX(TYPE(_),SET.NAME("_"))))</f>
        <v>0</v>
      </c>
      <c r="F199" s="2" t="b">
        <f>IFERROR(INDEX(ERROR(0),RATE(INDIRECT(SET.NAME({1,"_"},)),#REF!,#REF!,#REF!,#REF!,#REF!)),RETURN(INDEX(TYPE(_),SET.NAME("_"))))</f>
        <v>0</v>
      </c>
      <c r="G199" s="2">
        <f>TYPE(INDEX(,RATE(INDEX(1,),#REF!,#REF!,#REF!,#REF!,#REF!)))</f>
        <v>16</v>
      </c>
    </row>
    <row r="200" spans="1:7" x14ac:dyDescent="0.55000000000000004">
      <c r="A200" s="1" t="s">
        <v>1536</v>
      </c>
      <c r="B200" s="2">
        <f>COUNTIF(A:A,A200)-1</f>
        <v>6</v>
      </c>
      <c r="C200" s="2">
        <f>COUNTIF(A$1:A200,A200)-1</f>
        <v>2</v>
      </c>
      <c r="D200" s="2" t="e">
        <f>RATE(#REF!,1,#REF!,#REF!,#REF!,#REF!)</f>
        <v>#REF!</v>
      </c>
      <c r="E200" s="2" t="b">
        <f>IFERROR(INDEX(ERROR(0),RATE(#REF!,SET.NAME("_",+INDEX(1,)),#REF!,#REF!,#REF!,#REF!)),RETURN(INDEX(TYPE(_),SET.NAME("_"))))</f>
        <v>0</v>
      </c>
      <c r="F200" s="2" t="b">
        <f>IFERROR(INDEX(ERROR(0),RATE(#REF!,INDIRECT(SET.NAME({1,"_"},)),#REF!,#REF!,#REF!,#REF!)),RETURN(INDEX(TYPE(_),SET.NAME("_"))))</f>
        <v>0</v>
      </c>
      <c r="G200" s="2">
        <f>TYPE(INDEX(,RATE(#REF!,INDEX(1,),#REF!,#REF!,#REF!,#REF!)))</f>
        <v>16</v>
      </c>
    </row>
    <row r="201" spans="1:7" x14ac:dyDescent="0.55000000000000004">
      <c r="A201" s="1" t="s">
        <v>1536</v>
      </c>
      <c r="B201" s="2">
        <f>COUNTIF(A:A,A201)-1</f>
        <v>6</v>
      </c>
      <c r="C201" s="2">
        <f>COUNTIF(A$1:A201,A201)-1</f>
        <v>3</v>
      </c>
      <c r="D201" s="2" t="e">
        <f>RATE(#REF!,#REF!,1,#REF!,#REF!,#REF!)</f>
        <v>#REF!</v>
      </c>
      <c r="E201" s="2" t="b">
        <f>IFERROR(INDEX(ERROR(0),RATE(#REF!,#REF!,SET.NAME("_",+INDEX(1,)),#REF!,#REF!,#REF!)),RETURN(INDEX(TYPE(_),SET.NAME("_"))))</f>
        <v>0</v>
      </c>
      <c r="F201" s="2" t="b">
        <f>IFERROR(INDEX(ERROR(0),RATE(#REF!,#REF!,INDIRECT(SET.NAME({1,"_"},)),#REF!,#REF!,#REF!)),RETURN(INDEX(TYPE(_),SET.NAME("_"))))</f>
        <v>0</v>
      </c>
      <c r="G201" s="2">
        <f>TYPE(INDEX(,RATE(#REF!,#REF!,INDEX(1,),#REF!,#REF!,#REF!)))</f>
        <v>16</v>
      </c>
    </row>
    <row r="202" spans="1:7" x14ac:dyDescent="0.55000000000000004">
      <c r="A202" s="1" t="s">
        <v>1536</v>
      </c>
      <c r="B202" s="2">
        <f>COUNTIF(A:A,A202)-1</f>
        <v>6</v>
      </c>
      <c r="C202" s="2">
        <f>COUNTIF(A$1:A202,A202)-1</f>
        <v>4</v>
      </c>
      <c r="D202" s="2" t="e">
        <f>RATE(#REF!,#REF!,#REF!,1,#REF!,#REF!)</f>
        <v>#REF!</v>
      </c>
      <c r="E202" s="2" t="b">
        <f>IFERROR(INDEX(ERROR(0),RATE(#REF!,#REF!,#REF!,SET.NAME("_",+INDEX(1,)),#REF!,#REF!)),RETURN(INDEX(TYPE(_),SET.NAME("_"))))</f>
        <v>0</v>
      </c>
      <c r="F202" s="2" t="b">
        <f>IFERROR(INDEX(ERROR(0),RATE(#REF!,#REF!,#REF!,INDIRECT(SET.NAME({1,"_"},)),#REF!,#REF!)),RETURN(INDEX(TYPE(_),SET.NAME("_"))))</f>
        <v>0</v>
      </c>
      <c r="G202" s="2">
        <f>TYPE(INDEX(,RATE(#REF!,#REF!,#REF!,INDEX(1,),#REF!,#REF!)))</f>
        <v>16</v>
      </c>
    </row>
    <row r="203" spans="1:7" x14ac:dyDescent="0.55000000000000004">
      <c r="A203" s="1" t="s">
        <v>1536</v>
      </c>
      <c r="B203" s="2">
        <f>COUNTIF(A:A,A203)-1</f>
        <v>6</v>
      </c>
      <c r="C203" s="2">
        <f>COUNTIF(A$1:A203,A203)-1</f>
        <v>5</v>
      </c>
      <c r="D203" s="2" t="e">
        <f>RATE(#REF!,#REF!,#REF!,#REF!,1,#REF!)</f>
        <v>#REF!</v>
      </c>
      <c r="E203" s="2" t="b">
        <f>IFERROR(INDEX(ERROR(0),RATE(#REF!,#REF!,#REF!,#REF!,SET.NAME("_",+INDEX(1,)),#REF!)),RETURN(INDEX(TYPE(_),SET.NAME("_"))))</f>
        <v>0</v>
      </c>
      <c r="F203" s="2" t="b">
        <f>IFERROR(INDEX(ERROR(0),RATE(#REF!,#REF!,#REF!,#REF!,INDIRECT(SET.NAME({1,"_"},)),#REF!)),RETURN(INDEX(TYPE(_),SET.NAME("_"))))</f>
        <v>0</v>
      </c>
      <c r="G203" s="2">
        <f>TYPE(INDEX(,RATE(#REF!,#REF!,#REF!,#REF!,INDEX(1,),#REF!)))</f>
        <v>16</v>
      </c>
    </row>
    <row r="204" spans="1:7" x14ac:dyDescent="0.55000000000000004">
      <c r="A204" s="1" t="s">
        <v>1536</v>
      </c>
      <c r="B204" s="2">
        <f>COUNTIF(A:A,A204)-1</f>
        <v>6</v>
      </c>
      <c r="C204" s="2">
        <f>COUNTIF(A$1:A204,A204)-1</f>
        <v>6</v>
      </c>
      <c r="D204" s="2" t="e">
        <f>RATE(#REF!,#REF!,#REF!,#REF!,#REF!,1)</f>
        <v>#REF!</v>
      </c>
      <c r="E204" s="2" t="b">
        <f>IFERROR(INDEX(ERROR(0),RATE(#REF!,#REF!,#REF!,#REF!,#REF!,SET.NAME("_",+INDEX(1,)))),RETURN(INDEX(TYPE(_),SET.NAME("_"))))</f>
        <v>0</v>
      </c>
      <c r="F204" s="2" t="b">
        <f>IFERROR(INDEX(ERROR(0),RATE(#REF!,#REF!,#REF!,#REF!,#REF!,INDIRECT(SET.NAME({1,"_"},)))),RETURN(INDEX(TYPE(_),SET.NAME("_"))))</f>
        <v>0</v>
      </c>
      <c r="G204" s="2">
        <f>TYPE(INDEX(,RATE(#REF!,#REF!,#REF!,#REF!,#REF!,INDEX(1,))))</f>
        <v>16</v>
      </c>
    </row>
    <row r="205" spans="1:7" x14ac:dyDescent="0.55000000000000004">
      <c r="A205" s="1" t="s">
        <v>1537</v>
      </c>
      <c r="B205" s="2">
        <f>COUNTIF(A:A,A205)-1</f>
        <v>3</v>
      </c>
      <c r="C205" s="2">
        <f>COUNTIF(A$1:A205,A205)-1</f>
        <v>0</v>
      </c>
      <c r="D205" s="2"/>
      <c r="E205" s="2"/>
      <c r="F205" s="2"/>
      <c r="G205" s="2"/>
    </row>
    <row r="206" spans="1:7" x14ac:dyDescent="0.55000000000000004">
      <c r="A206" s="1" t="s">
        <v>1537</v>
      </c>
      <c r="B206" s="2">
        <f>COUNTIF(A:A,A206)-1</f>
        <v>3</v>
      </c>
      <c r="C206" s="2">
        <f>COUNTIF(A$1:A206,A206)-1</f>
        <v>1</v>
      </c>
      <c r="D206" s="2" t="e">
        <f>MIRR(1,#REF!,#REF!)</f>
        <v>#REF!</v>
      </c>
      <c r="E206" s="2" t="b">
        <f>IFERROR(INDEX(ERROR(0),MIRR(SET.NAME("_",+INDEX(1,)),#REF!,#REF!)),RETURN(INDEX(TYPE(_),SET.NAME("_"))))</f>
        <v>0</v>
      </c>
      <c r="F206" s="2" t="b">
        <f>IFERROR(INDEX(ERROR(0),MIRR(INDIRECT(SET.NAME({1,"_"},)),#REF!,#REF!)),RETURN(INDEX(TYPE(_),SET.NAME("_"))))</f>
        <v>0</v>
      </c>
      <c r="G206" s="2">
        <f>TYPE(INDEX(,MIRR(INDEX(1,),#REF!,#REF!)))</f>
        <v>16</v>
      </c>
    </row>
    <row r="207" spans="1:7" x14ac:dyDescent="0.55000000000000004">
      <c r="A207" s="1" t="s">
        <v>1537</v>
      </c>
      <c r="B207" s="2">
        <f>COUNTIF(A:A,A207)-1</f>
        <v>3</v>
      </c>
      <c r="C207" s="2">
        <f>COUNTIF(A$1:A207,A207)-1</f>
        <v>2</v>
      </c>
      <c r="D207" s="2" t="e">
        <f>MIRR(#REF!,1,#REF!)</f>
        <v>#REF!</v>
      </c>
      <c r="E207" s="2" t="b">
        <f>IFERROR(INDEX(ERROR(0),MIRR(#REF!,SET.NAME("_",+INDEX(1,)),#REF!)),RETURN(INDEX(TYPE(_),SET.NAME("_"))))</f>
        <v>0</v>
      </c>
      <c r="F207" s="2" t="b">
        <f>IFERROR(INDEX(ERROR(0),MIRR(#REF!,INDIRECT(SET.NAME({1,"_"},)),#REF!)),RETURN(INDEX(TYPE(_),SET.NAME("_"))))</f>
        <v>0</v>
      </c>
      <c r="G207" s="2">
        <f>TYPE(INDEX(,MIRR(#REF!,INDEX(1,),#REF!)))</f>
        <v>16</v>
      </c>
    </row>
    <row r="208" spans="1:7" x14ac:dyDescent="0.55000000000000004">
      <c r="A208" s="1" t="s">
        <v>1537</v>
      </c>
      <c r="B208" s="2">
        <f>COUNTIF(A:A,A208)-1</f>
        <v>3</v>
      </c>
      <c r="C208" s="2">
        <f>COUNTIF(A$1:A208,A208)-1</f>
        <v>3</v>
      </c>
      <c r="D208" s="2" t="e">
        <f>MIRR(#REF!,#REF!,1)</f>
        <v>#REF!</v>
      </c>
      <c r="E208" s="2" t="b">
        <f>IFERROR(INDEX(ERROR(0),MIRR(#REF!,#REF!,SET.NAME("_",+INDEX(1,)))),RETURN(INDEX(TYPE(_),SET.NAME("_"))))</f>
        <v>0</v>
      </c>
      <c r="F208" s="2" t="b">
        <f>IFERROR(INDEX(ERROR(0),MIRR(#REF!,#REF!,INDIRECT(SET.NAME({1,"_"},)))),RETURN(INDEX(TYPE(_),SET.NAME("_"))))</f>
        <v>0</v>
      </c>
      <c r="G208" s="2">
        <f>TYPE(INDEX(,MIRR(#REF!,#REF!,INDEX(1,))))</f>
        <v>16</v>
      </c>
    </row>
    <row r="209" spans="1:7" x14ac:dyDescent="0.55000000000000004">
      <c r="A209" s="1" t="s">
        <v>1538</v>
      </c>
      <c r="B209" s="2">
        <f>COUNTIF(A:A,A209)-1</f>
        <v>2</v>
      </c>
      <c r="C209" s="2">
        <f>COUNTIF(A$1:A209,A209)-1</f>
        <v>0</v>
      </c>
      <c r="D209" s="2"/>
      <c r="E209" s="2"/>
      <c r="F209" s="2"/>
      <c r="G209" s="2"/>
    </row>
    <row r="210" spans="1:7" x14ac:dyDescent="0.55000000000000004">
      <c r="A210" s="1" t="s">
        <v>1538</v>
      </c>
      <c r="B210" s="2">
        <f>COUNTIF(A:A,A210)-1</f>
        <v>2</v>
      </c>
      <c r="C210" s="2">
        <f>COUNTIF(A$1:A210,A210)-1</f>
        <v>1</v>
      </c>
      <c r="D210" s="2" t="e">
        <f>IRR(1,#REF!)</f>
        <v>#REF!</v>
      </c>
      <c r="E210" s="2" t="b">
        <f>IFERROR(INDEX(ERROR(0),IRR(SET.NAME("_",+INDEX(1,)),#REF!)),RETURN(INDEX(TYPE(_),SET.NAME("_"))))</f>
        <v>0</v>
      </c>
      <c r="F210" s="2" t="b">
        <f>IFERROR(INDEX(ERROR(0),IRR(INDIRECT(SET.NAME({1,"_"},)),#REF!)),RETURN(INDEX(TYPE(_),SET.NAME("_"))))</f>
        <v>0</v>
      </c>
      <c r="G210" s="2">
        <f>TYPE(INDEX(,IRR(INDEX(1,),#REF!)))</f>
        <v>16</v>
      </c>
    </row>
    <row r="211" spans="1:7" x14ac:dyDescent="0.55000000000000004">
      <c r="A211" s="1" t="s">
        <v>1538</v>
      </c>
      <c r="B211" s="2">
        <f>COUNTIF(A:A,A211)-1</f>
        <v>2</v>
      </c>
      <c r="C211" s="2">
        <f>COUNTIF(A$1:A211,A211)-1</f>
        <v>2</v>
      </c>
      <c r="D211" s="2" t="e">
        <f>IRR(#REF!,1)</f>
        <v>#REF!</v>
      </c>
      <c r="E211" s="2" t="b">
        <f>IFERROR(INDEX(ERROR(0),IRR(#REF!,SET.NAME("_",+INDEX(1,)))),RETURN(INDEX(TYPE(_),SET.NAME("_"))))</f>
        <v>0</v>
      </c>
      <c r="F211" s="2" t="b">
        <f>IFERROR(INDEX(ERROR(0),IRR(#REF!,INDIRECT(SET.NAME({1,"_"},)))),RETURN(INDEX(TYPE(_),SET.NAME("_"))))</f>
        <v>0</v>
      </c>
      <c r="G211" s="2">
        <f>TYPE(INDEX(,IRR(#REF!,INDEX(1,))))</f>
        <v>16</v>
      </c>
    </row>
    <row r="212" spans="1:7" x14ac:dyDescent="0.55000000000000004">
      <c r="A212" s="1" t="s">
        <v>1475</v>
      </c>
      <c r="B212" s="2">
        <f>COUNTIF(A:A,A212)-1</f>
        <v>0</v>
      </c>
      <c r="C212" s="2">
        <f>COUNTIF(A$1:A212,A212)-1</f>
        <v>0</v>
      </c>
      <c r="D212" s="2"/>
      <c r="E212" s="2"/>
      <c r="F212" s="2"/>
      <c r="G212" s="2"/>
    </row>
    <row r="213" spans="1:7" x14ac:dyDescent="0.55000000000000004">
      <c r="A213" s="1" t="s">
        <v>1539</v>
      </c>
      <c r="B213" s="2">
        <f>COUNTIF(A:A,A213)-1</f>
        <v>3</v>
      </c>
      <c r="C213" s="2">
        <f>COUNTIF(A$1:A213,A213)-1</f>
        <v>0</v>
      </c>
      <c r="D213" s="2"/>
      <c r="E213" s="2"/>
      <c r="F213" s="2"/>
      <c r="G213" s="2"/>
    </row>
    <row r="214" spans="1:7" x14ac:dyDescent="0.55000000000000004">
      <c r="A214" s="1" t="s">
        <v>1539</v>
      </c>
      <c r="B214" s="2">
        <f>COUNTIF(A:A,A214)-1</f>
        <v>3</v>
      </c>
      <c r="C214" s="2">
        <f>COUNTIF(A$1:A214,A214)-1</f>
        <v>1</v>
      </c>
      <c r="D214" s="2" t="e">
        <f>MATCH(1,#REF!,#REF!)</f>
        <v>#REF!</v>
      </c>
      <c r="E214" s="2" t="b">
        <f>IFERROR(INDEX(ERROR(0),MATCH(SET.NAME("_",+INDEX(1,)),#REF!,#REF!)),RETURN(INDEX(TYPE(_),SET.NAME("_"))))</f>
        <v>0</v>
      </c>
      <c r="F214" s="2" t="b">
        <f>IFERROR(INDEX(ERROR(0),MATCH(INDIRECT(SET.NAME({1,"_"},)),#REF!,#REF!)),RETURN(INDEX(TYPE(_),SET.NAME("_"))))</f>
        <v>0</v>
      </c>
      <c r="G214" s="2">
        <f>TYPE(INDEX(,MATCH(INDEX(1,),#REF!,#REF!)))</f>
        <v>16</v>
      </c>
    </row>
    <row r="215" spans="1:7" x14ac:dyDescent="0.55000000000000004">
      <c r="A215" s="1" t="s">
        <v>1539</v>
      </c>
      <c r="B215" s="2">
        <f>COUNTIF(A:A,A215)-1</f>
        <v>3</v>
      </c>
      <c r="C215" s="2">
        <f>COUNTIF(A$1:A215,A215)-1</f>
        <v>2</v>
      </c>
      <c r="D215" s="2" t="e">
        <f>MATCH(#REF!,1,#REF!)</f>
        <v>#REF!</v>
      </c>
      <c r="E215" s="2" t="b">
        <f>IFERROR(INDEX(ERROR(0),MATCH(#REF!,SET.NAME("_",+INDEX(1,)),#REF!)),RETURN(INDEX(TYPE(_),SET.NAME("_"))))</f>
        <v>0</v>
      </c>
      <c r="F215" s="2" t="b">
        <f>IFERROR(INDEX(ERROR(0),MATCH(#REF!,INDIRECT(SET.NAME({1,"_"},)),#REF!)),RETURN(INDEX(TYPE(_),SET.NAME("_"))))</f>
        <v>0</v>
      </c>
      <c r="G215" s="2">
        <f>TYPE(INDEX(,MATCH(#REF!,INDEX(1,),#REF!)))</f>
        <v>16</v>
      </c>
    </row>
    <row r="216" spans="1:7" x14ac:dyDescent="0.55000000000000004">
      <c r="A216" s="1" t="s">
        <v>1539</v>
      </c>
      <c r="B216" s="2">
        <f>COUNTIF(A:A,A216)-1</f>
        <v>3</v>
      </c>
      <c r="C216" s="2">
        <f>COUNTIF(A$1:A216,A216)-1</f>
        <v>3</v>
      </c>
      <c r="D216" s="2" t="e">
        <f>MATCH(#REF!,#REF!,1)</f>
        <v>#REF!</v>
      </c>
      <c r="E216" s="2" t="b">
        <f>IFERROR(INDEX(ERROR(0),MATCH(#REF!,#REF!,SET.NAME("_",+INDEX(1,)))),RETURN(INDEX(TYPE(_),SET.NAME("_"))))</f>
        <v>0</v>
      </c>
      <c r="F216" s="2" t="b">
        <f>IFERROR(INDEX(ERROR(0),MATCH(#REF!,#REF!,INDIRECT(SET.NAME({1,"_"},)))),RETURN(INDEX(TYPE(_),SET.NAME("_"))))</f>
        <v>0</v>
      </c>
      <c r="G216" s="2">
        <f>TYPE(INDEX(,MATCH(#REF!,#REF!,INDEX(1,))))</f>
        <v>64</v>
      </c>
    </row>
    <row r="217" spans="1:7" x14ac:dyDescent="0.55000000000000004">
      <c r="A217" s="1" t="s">
        <v>1540</v>
      </c>
      <c r="B217" s="2">
        <f>COUNTIF(A:A,A217)-1</f>
        <v>3</v>
      </c>
      <c r="C217" s="2">
        <f>COUNTIF(A$1:A217,A217)-1</f>
        <v>0</v>
      </c>
      <c r="D217" s="2"/>
      <c r="E217" s="2"/>
      <c r="F217" s="2"/>
      <c r="G217" s="2"/>
    </row>
    <row r="218" spans="1:7" x14ac:dyDescent="0.55000000000000004">
      <c r="A218" s="1" t="s">
        <v>1540</v>
      </c>
      <c r="B218" s="2">
        <f>COUNTIF(A:A,A218)-1</f>
        <v>3</v>
      </c>
      <c r="C218" s="2">
        <f>COUNTIF(A$1:A218,A218)-1</f>
        <v>1</v>
      </c>
      <c r="D218" s="2" t="e">
        <f>DATE(1,#REF!,#REF!)</f>
        <v>#REF!</v>
      </c>
      <c r="E218" s="2" t="b">
        <f>IFERROR(INDEX(ERROR(0),DATE(SET.NAME("_",+INDEX(1,)),#REF!,#REF!)),RETURN(INDEX(TYPE(_),SET.NAME("_"))))</f>
        <v>0</v>
      </c>
      <c r="F218" s="2" t="b">
        <f>IFERROR(INDEX(ERROR(0),DATE(INDIRECT(SET.NAME({1,"_"},)),#REF!,#REF!)),RETURN(INDEX(TYPE(_),SET.NAME("_"))))</f>
        <v>0</v>
      </c>
      <c r="G218" s="2">
        <f>TYPE(INDEX(,DATE(INDEX(1,),#REF!,#REF!)))</f>
        <v>16</v>
      </c>
    </row>
    <row r="219" spans="1:7" x14ac:dyDescent="0.55000000000000004">
      <c r="A219" s="1" t="s">
        <v>1540</v>
      </c>
      <c r="B219" s="2">
        <f>COUNTIF(A:A,A219)-1</f>
        <v>3</v>
      </c>
      <c r="C219" s="2">
        <f>COUNTIF(A$1:A219,A219)-1</f>
        <v>2</v>
      </c>
      <c r="D219" s="2" t="e">
        <f>DATE(#REF!,1,#REF!)</f>
        <v>#REF!</v>
      </c>
      <c r="E219" s="2" t="b">
        <f>IFERROR(INDEX(ERROR(0),DATE(#REF!,SET.NAME("_",+INDEX(1,)),#REF!)),RETURN(INDEX(TYPE(_),SET.NAME("_"))))</f>
        <v>0</v>
      </c>
      <c r="F219" s="2" t="b">
        <f>IFERROR(INDEX(ERROR(0),DATE(#REF!,INDIRECT(SET.NAME({1,"_"},)),#REF!)),RETURN(INDEX(TYPE(_),SET.NAME("_"))))</f>
        <v>0</v>
      </c>
      <c r="G219" s="2">
        <f>TYPE(INDEX(,DATE(#REF!,INDEX(1,),#REF!)))</f>
        <v>16</v>
      </c>
    </row>
    <row r="220" spans="1:7" x14ac:dyDescent="0.55000000000000004">
      <c r="A220" s="1" t="s">
        <v>1540</v>
      </c>
      <c r="B220" s="2">
        <f>COUNTIF(A:A,A220)-1</f>
        <v>3</v>
      </c>
      <c r="C220" s="2">
        <f>COUNTIF(A$1:A220,A220)-1</f>
        <v>3</v>
      </c>
      <c r="D220" s="2" t="e">
        <f>DATE(#REF!,#REF!,1)</f>
        <v>#REF!</v>
      </c>
      <c r="E220" s="2" t="b">
        <f>IFERROR(INDEX(ERROR(0),DATE(#REF!,#REF!,SET.NAME("_",+INDEX(1,)))),RETURN(INDEX(TYPE(_),SET.NAME("_"))))</f>
        <v>0</v>
      </c>
      <c r="F220" s="2" t="b">
        <f>IFERROR(INDEX(ERROR(0),DATE(#REF!,#REF!,INDIRECT(SET.NAME({1,"_"},)))),RETURN(INDEX(TYPE(_),SET.NAME("_"))))</f>
        <v>0</v>
      </c>
      <c r="G220" s="2">
        <f>TYPE(INDEX(,DATE(#REF!,#REF!,INDEX(1,))))</f>
        <v>16</v>
      </c>
    </row>
    <row r="221" spans="1:7" x14ac:dyDescent="0.55000000000000004">
      <c r="A221" s="1" t="s">
        <v>1541</v>
      </c>
      <c r="B221" s="2">
        <f>COUNTIF(A:A,A221)-1</f>
        <v>3</v>
      </c>
      <c r="C221" s="2">
        <f>COUNTIF(A$1:A221,A221)-1</f>
        <v>0</v>
      </c>
      <c r="D221" s="2"/>
      <c r="E221" s="2"/>
      <c r="F221" s="2"/>
      <c r="G221" s="2"/>
    </row>
    <row r="222" spans="1:7" x14ac:dyDescent="0.55000000000000004">
      <c r="A222" s="1" t="s">
        <v>1541</v>
      </c>
      <c r="B222" s="2">
        <f>COUNTIF(A:A,A222)-1</f>
        <v>3</v>
      </c>
      <c r="C222" s="2">
        <f>COUNTIF(A$1:A222,A222)-1</f>
        <v>1</v>
      </c>
      <c r="D222" s="2" t="e">
        <f>TIME(1,#REF!,#REF!)</f>
        <v>#REF!</v>
      </c>
      <c r="E222" s="2" t="b">
        <f>IFERROR(INDEX(ERROR(0),TIME(SET.NAME("_",+INDEX(1,)),#REF!,#REF!)),RETURN(INDEX(TYPE(_),SET.NAME("_"))))</f>
        <v>0</v>
      </c>
      <c r="F222" s="2" t="b">
        <f>IFERROR(INDEX(ERROR(0),TIME(INDIRECT(SET.NAME({1,"_"},)),#REF!,#REF!)),RETURN(INDEX(TYPE(_),SET.NAME("_"))))</f>
        <v>0</v>
      </c>
      <c r="G222" s="2">
        <f>TYPE(INDEX(,TIME(INDEX(1,),#REF!,#REF!)))</f>
        <v>16</v>
      </c>
    </row>
    <row r="223" spans="1:7" x14ac:dyDescent="0.55000000000000004">
      <c r="A223" s="1" t="s">
        <v>1541</v>
      </c>
      <c r="B223" s="2">
        <f>COUNTIF(A:A,A223)-1</f>
        <v>3</v>
      </c>
      <c r="C223" s="2">
        <f>COUNTIF(A$1:A223,A223)-1</f>
        <v>2</v>
      </c>
      <c r="D223" s="2" t="e">
        <f>TIME(#REF!,1,#REF!)</f>
        <v>#REF!</v>
      </c>
      <c r="E223" s="2" t="b">
        <f>IFERROR(INDEX(ERROR(0),TIME(#REF!,SET.NAME("_",+INDEX(1,)),#REF!)),RETURN(INDEX(TYPE(_),SET.NAME("_"))))</f>
        <v>0</v>
      </c>
      <c r="F223" s="2" t="b">
        <f>IFERROR(INDEX(ERROR(0),TIME(#REF!,INDIRECT(SET.NAME({1,"_"},)),#REF!)),RETURN(INDEX(TYPE(_),SET.NAME("_"))))</f>
        <v>0</v>
      </c>
      <c r="G223" s="2">
        <f>TYPE(INDEX(,TIME(#REF!,INDEX(1,),#REF!)))</f>
        <v>16</v>
      </c>
    </row>
    <row r="224" spans="1:7" x14ac:dyDescent="0.55000000000000004">
      <c r="A224" s="1" t="s">
        <v>1541</v>
      </c>
      <c r="B224" s="2">
        <f>COUNTIF(A:A,A224)-1</f>
        <v>3</v>
      </c>
      <c r="C224" s="2">
        <f>COUNTIF(A$1:A224,A224)-1</f>
        <v>3</v>
      </c>
      <c r="D224" s="2" t="e">
        <f>TIME(#REF!,#REF!,1)</f>
        <v>#REF!</v>
      </c>
      <c r="E224" s="2" t="b">
        <f>IFERROR(INDEX(ERROR(0),TIME(#REF!,#REF!,SET.NAME("_",+INDEX(1,)))),RETURN(INDEX(TYPE(_),SET.NAME("_"))))</f>
        <v>0</v>
      </c>
      <c r="F224" s="2" t="b">
        <f>IFERROR(INDEX(ERROR(0),TIME(#REF!,#REF!,INDIRECT(SET.NAME({1,"_"},)))),RETURN(INDEX(TYPE(_),SET.NAME("_"))))</f>
        <v>0</v>
      </c>
      <c r="G224" s="2">
        <f>TYPE(INDEX(,TIME(#REF!,#REF!,INDEX(1,))))</f>
        <v>16</v>
      </c>
    </row>
    <row r="225" spans="1:7" x14ac:dyDescent="0.55000000000000004">
      <c r="A225" s="1" t="s">
        <v>1542</v>
      </c>
      <c r="B225" s="2">
        <f>COUNTIF(A:A,A225)-1</f>
        <v>1</v>
      </c>
      <c r="C225" s="2">
        <f>COUNTIF(A$1:A225,A225)-1</f>
        <v>0</v>
      </c>
      <c r="D225" s="2"/>
      <c r="E225" s="2"/>
      <c r="F225" s="2"/>
      <c r="G225" s="2"/>
    </row>
    <row r="226" spans="1:7" x14ac:dyDescent="0.55000000000000004">
      <c r="A226" s="1" t="s">
        <v>1542</v>
      </c>
      <c r="B226" s="2">
        <f>COUNTIF(A:A,A226)-1</f>
        <v>1</v>
      </c>
      <c r="C226" s="2">
        <f>COUNTIF(A$1:A226,A226)-1</f>
        <v>1</v>
      </c>
      <c r="D226" s="2">
        <f>DAY(1)</f>
        <v>1</v>
      </c>
      <c r="E226" s="2" t="b">
        <f>IFERROR(INDEX(ERROR(0),DAY(SET.NAME("_",+INDEX(1,)))),RETURN(INDEX(TYPE(_),SET.NAME("_"))))</f>
        <v>0</v>
      </c>
      <c r="F226" s="2" t="b">
        <f>IFERROR(INDEX(ERROR(0),DAY(INDIRECT(SET.NAME({1,"_"},)))),RETURN(INDEX(TYPE(_),SET.NAME("_"))))</f>
        <v>0</v>
      </c>
      <c r="G226" s="2">
        <f>TYPE(INDEX(,DAY(INDEX(1,))))</f>
        <v>16</v>
      </c>
    </row>
    <row r="227" spans="1:7" x14ac:dyDescent="0.55000000000000004">
      <c r="A227" s="1" t="s">
        <v>1543</v>
      </c>
      <c r="B227" s="2">
        <f>COUNTIF(A:A,A227)-1</f>
        <v>1</v>
      </c>
      <c r="C227" s="2">
        <f>COUNTIF(A$1:A227,A227)-1</f>
        <v>0</v>
      </c>
      <c r="D227" s="2"/>
      <c r="E227" s="2"/>
      <c r="F227" s="2"/>
      <c r="G227" s="2"/>
    </row>
    <row r="228" spans="1:7" x14ac:dyDescent="0.55000000000000004">
      <c r="A228" s="1" t="s">
        <v>1543</v>
      </c>
      <c r="B228" s="2">
        <f>COUNTIF(A:A,A228)-1</f>
        <v>1</v>
      </c>
      <c r="C228" s="2">
        <f>COUNTIF(A$1:A228,A228)-1</f>
        <v>1</v>
      </c>
      <c r="D228" s="2">
        <f>MONTH(1)</f>
        <v>1</v>
      </c>
      <c r="E228" s="2" t="b">
        <f>IFERROR(INDEX(ERROR(0),MONTH(SET.NAME("_",+INDEX(1,)))),RETURN(INDEX(TYPE(_),SET.NAME("_"))))</f>
        <v>0</v>
      </c>
      <c r="F228" s="2" t="b">
        <f>IFERROR(INDEX(ERROR(0),MONTH(INDIRECT(SET.NAME({1,"_"},)))),RETURN(INDEX(TYPE(_),SET.NAME("_"))))</f>
        <v>0</v>
      </c>
      <c r="G228" s="2">
        <f>TYPE(INDEX(,MONTH(INDEX(1,))))</f>
        <v>16</v>
      </c>
    </row>
    <row r="229" spans="1:7" x14ac:dyDescent="0.55000000000000004">
      <c r="A229" s="1" t="s">
        <v>1544</v>
      </c>
      <c r="B229" s="2">
        <f>COUNTIF(A:A,A229)-1</f>
        <v>1</v>
      </c>
      <c r="C229" s="2">
        <f>COUNTIF(A$1:A229,A229)-1</f>
        <v>0</v>
      </c>
      <c r="D229" s="2"/>
      <c r="E229" s="2"/>
      <c r="F229" s="2"/>
      <c r="G229" s="2"/>
    </row>
    <row r="230" spans="1:7" x14ac:dyDescent="0.55000000000000004">
      <c r="A230" s="1" t="s">
        <v>1544</v>
      </c>
      <c r="B230" s="2">
        <f>COUNTIF(A:A,A230)-1</f>
        <v>1</v>
      </c>
      <c r="C230" s="2">
        <f>COUNTIF(A$1:A230,A230)-1</f>
        <v>1</v>
      </c>
      <c r="D230" s="2">
        <f>YEAR(1)</f>
        <v>1900</v>
      </c>
      <c r="E230" s="2" t="b">
        <f>IFERROR(INDEX(ERROR(0),YEAR(SET.NAME("_",+INDEX(1,)))),RETURN(INDEX(TYPE(_),SET.NAME("_"))))</f>
        <v>0</v>
      </c>
      <c r="F230" s="2" t="b">
        <f>IFERROR(INDEX(ERROR(0),YEAR(INDIRECT(SET.NAME({1,"_"},)))),RETURN(INDEX(TYPE(_),SET.NAME("_"))))</f>
        <v>0</v>
      </c>
      <c r="G230" s="2">
        <f>TYPE(INDEX(,YEAR(INDEX(1,))))</f>
        <v>16</v>
      </c>
    </row>
    <row r="231" spans="1:7" x14ac:dyDescent="0.55000000000000004">
      <c r="A231" s="1" t="s">
        <v>1545</v>
      </c>
      <c r="B231" s="2">
        <f>COUNTIF(A:A,A231)-1</f>
        <v>2</v>
      </c>
      <c r="C231" s="2">
        <f>COUNTIF(A$1:A231,A231)-1</f>
        <v>0</v>
      </c>
      <c r="D231" s="2"/>
      <c r="E231" s="2"/>
      <c r="F231" s="2"/>
      <c r="G231" s="2"/>
    </row>
    <row r="232" spans="1:7" x14ac:dyDescent="0.55000000000000004">
      <c r="A232" s="1" t="s">
        <v>1545</v>
      </c>
      <c r="B232" s="2">
        <f>COUNTIF(A:A,A232)-1</f>
        <v>2</v>
      </c>
      <c r="C232" s="2">
        <f>COUNTIF(A$1:A232,A232)-1</f>
        <v>1</v>
      </c>
      <c r="D232" s="2" t="e">
        <f>WEEKDAY(1,#REF!)</f>
        <v>#REF!</v>
      </c>
      <c r="E232" s="2" t="b">
        <f>IFERROR(INDEX(ERROR(0),WEEKDAY(SET.NAME("_",+INDEX(1,)),#REF!)),RETURN(INDEX(TYPE(_),SET.NAME("_"))))</f>
        <v>0</v>
      </c>
      <c r="F232" s="2" t="b">
        <f>IFERROR(INDEX(ERROR(0),WEEKDAY(INDIRECT(SET.NAME({1,"_"},)),#REF!)),RETURN(INDEX(TYPE(_),SET.NAME("_"))))</f>
        <v>0</v>
      </c>
      <c r="G232" s="2">
        <f>TYPE(INDEX(,WEEKDAY(INDEX(1,),#REF!)))</f>
        <v>16</v>
      </c>
    </row>
    <row r="233" spans="1:7" x14ac:dyDescent="0.55000000000000004">
      <c r="A233" s="1" t="s">
        <v>1545</v>
      </c>
      <c r="B233" s="2">
        <f>COUNTIF(A:A,A233)-1</f>
        <v>2</v>
      </c>
      <c r="C233" s="2">
        <f>COUNTIF(A$1:A233,A233)-1</f>
        <v>2</v>
      </c>
      <c r="D233" s="2" t="e">
        <f>WEEKDAY(#REF!,1)</f>
        <v>#REF!</v>
      </c>
      <c r="E233" s="2" t="b">
        <f>IFERROR(INDEX(ERROR(0),WEEKDAY(#REF!,SET.NAME("_",+INDEX(1,)))),RETURN(INDEX(TYPE(_),SET.NAME("_"))))</f>
        <v>0</v>
      </c>
      <c r="F233" s="2" t="b">
        <f>IFERROR(INDEX(ERROR(0),WEEKDAY(#REF!,INDIRECT(SET.NAME({1,"_"},)))),RETURN(INDEX(TYPE(_),SET.NAME("_"))))</f>
        <v>0</v>
      </c>
      <c r="G233" s="2">
        <f>TYPE(INDEX(,WEEKDAY(#REF!,INDEX(1,))))</f>
        <v>16</v>
      </c>
    </row>
    <row r="234" spans="1:7" x14ac:dyDescent="0.55000000000000004">
      <c r="A234" s="1" t="s">
        <v>1546</v>
      </c>
      <c r="B234" s="2">
        <f>COUNTIF(A:A,A234)-1</f>
        <v>1</v>
      </c>
      <c r="C234" s="2">
        <f>COUNTIF(A$1:A234,A234)-1</f>
        <v>0</v>
      </c>
      <c r="D234" s="2"/>
      <c r="E234" s="2"/>
      <c r="F234" s="2"/>
      <c r="G234" s="2"/>
    </row>
    <row r="235" spans="1:7" x14ac:dyDescent="0.55000000000000004">
      <c r="A235" s="1" t="s">
        <v>1546</v>
      </c>
      <c r="B235" s="2">
        <f>COUNTIF(A:A,A235)-1</f>
        <v>1</v>
      </c>
      <c r="C235" s="2">
        <f>COUNTIF(A$1:A235,A235)-1</f>
        <v>1</v>
      </c>
      <c r="D235" s="2">
        <f>HOUR(1)</f>
        <v>0</v>
      </c>
      <c r="E235" s="2" t="b">
        <f>IFERROR(INDEX(ERROR(0),HOUR(SET.NAME("_",+INDEX(1,)))),RETURN(INDEX(TYPE(_),SET.NAME("_"))))</f>
        <v>0</v>
      </c>
      <c r="F235" s="2" t="b">
        <f>IFERROR(INDEX(ERROR(0),HOUR(INDIRECT(SET.NAME({1,"_"},)))),RETURN(INDEX(TYPE(_),SET.NAME("_"))))</f>
        <v>0</v>
      </c>
      <c r="G235" s="2">
        <f>TYPE(INDEX(,HOUR(INDEX(1,))))</f>
        <v>16</v>
      </c>
    </row>
    <row r="236" spans="1:7" x14ac:dyDescent="0.55000000000000004">
      <c r="A236" s="1" t="s">
        <v>1547</v>
      </c>
      <c r="B236" s="2">
        <f>COUNTIF(A:A,A236)-1</f>
        <v>1</v>
      </c>
      <c r="C236" s="2">
        <f>COUNTIF(A$1:A236,A236)-1</f>
        <v>0</v>
      </c>
      <c r="D236" s="2"/>
      <c r="E236" s="2"/>
      <c r="F236" s="2"/>
      <c r="G236" s="2"/>
    </row>
    <row r="237" spans="1:7" x14ac:dyDescent="0.55000000000000004">
      <c r="A237" s="1" t="s">
        <v>1547</v>
      </c>
      <c r="B237" s="2">
        <f>COUNTIF(A:A,A237)-1</f>
        <v>1</v>
      </c>
      <c r="C237" s="2">
        <f>COUNTIF(A$1:A237,A237)-1</f>
        <v>1</v>
      </c>
      <c r="D237" s="2">
        <f>MINUTE(1)</f>
        <v>0</v>
      </c>
      <c r="E237" s="2" t="b">
        <f>IFERROR(INDEX(ERROR(0),MINUTE(SET.NAME("_",+INDEX(1,)))),RETURN(INDEX(TYPE(_),SET.NAME("_"))))</f>
        <v>0</v>
      </c>
      <c r="F237" s="2" t="b">
        <f>IFERROR(INDEX(ERROR(0),MINUTE(INDIRECT(SET.NAME({1,"_"},)))),RETURN(INDEX(TYPE(_),SET.NAME("_"))))</f>
        <v>0</v>
      </c>
      <c r="G237" s="2">
        <f>TYPE(INDEX(,MINUTE(INDEX(1,))))</f>
        <v>16</v>
      </c>
    </row>
    <row r="238" spans="1:7" x14ac:dyDescent="0.55000000000000004">
      <c r="A238" s="1" t="s">
        <v>1548</v>
      </c>
      <c r="B238" s="2">
        <f>COUNTIF(A:A,A238)-1</f>
        <v>1</v>
      </c>
      <c r="C238" s="2">
        <f>COUNTIF(A$1:A238,A238)-1</f>
        <v>0</v>
      </c>
      <c r="D238" s="2"/>
      <c r="E238" s="2"/>
      <c r="F238" s="2"/>
      <c r="G238" s="2"/>
    </row>
    <row r="239" spans="1:7" x14ac:dyDescent="0.55000000000000004">
      <c r="A239" s="1" t="s">
        <v>1548</v>
      </c>
      <c r="B239" s="2">
        <f>COUNTIF(A:A,A239)-1</f>
        <v>1</v>
      </c>
      <c r="C239" s="2">
        <f>COUNTIF(A$1:A239,A239)-1</f>
        <v>1</v>
      </c>
      <c r="D239" s="2">
        <f>SECOND(1)</f>
        <v>0</v>
      </c>
      <c r="E239" s="2" t="b">
        <f>IFERROR(INDEX(ERROR(0),SECOND(SET.NAME("_",+INDEX(1,)))),RETURN(INDEX(TYPE(_),SET.NAME("_"))))</f>
        <v>0</v>
      </c>
      <c r="F239" s="2" t="b">
        <f>IFERROR(INDEX(ERROR(0),SECOND(INDIRECT(SET.NAME({1,"_"},)))),RETURN(INDEX(TYPE(_),SET.NAME("_"))))</f>
        <v>0</v>
      </c>
      <c r="G239" s="2">
        <f>TYPE(INDEX(,SECOND(INDEX(1,))))</f>
        <v>16</v>
      </c>
    </row>
    <row r="240" spans="1:7" x14ac:dyDescent="0.55000000000000004">
      <c r="A240" s="1" t="s">
        <v>1476</v>
      </c>
      <c r="B240" s="2">
        <f>COUNTIF(A:A,A240)-1</f>
        <v>0</v>
      </c>
      <c r="C240" s="2">
        <f>COUNTIF(A$1:A240,A240)-1</f>
        <v>0</v>
      </c>
      <c r="D240" s="2"/>
      <c r="E240" s="2"/>
      <c r="F240" s="2"/>
      <c r="G240" s="2"/>
    </row>
    <row r="241" spans="1:7" x14ac:dyDescent="0.55000000000000004">
      <c r="A241" s="1" t="s">
        <v>1549</v>
      </c>
      <c r="B241" s="2">
        <f>COUNTIF(A:A,A241)-1</f>
        <v>1</v>
      </c>
      <c r="C241" s="2">
        <f>COUNTIF(A$1:A241,A241)-1</f>
        <v>0</v>
      </c>
      <c r="D241" s="2"/>
      <c r="E241" s="2"/>
      <c r="F241" s="2"/>
      <c r="G241" s="2"/>
    </row>
    <row r="242" spans="1:7" x14ac:dyDescent="0.55000000000000004">
      <c r="A242" s="1" t="s">
        <v>1549</v>
      </c>
      <c r="B242" s="2">
        <f>COUNTIF(A:A,A242)-1</f>
        <v>1</v>
      </c>
      <c r="C242" s="2">
        <f>COUNTIF(A$1:A242,A242)-1</f>
        <v>1</v>
      </c>
      <c r="D242" s="2" t="s">
        <v>2269</v>
      </c>
      <c r="E242" s="2" t="s">
        <v>2207</v>
      </c>
      <c r="F242" s="2" t="b">
        <f>IFERROR(INDEX(ERROR(0),AREAS(INDIRECT(SET.NAME({1,"_"},)))),RETURN(INDEX(TYPE(_),SET.NAME("_"))))</f>
        <v>0</v>
      </c>
      <c r="G242" s="2">
        <f>TYPE(INDEX(,AREAS(INDEX(1,))))</f>
        <v>64</v>
      </c>
    </row>
    <row r="243" spans="1:7" x14ac:dyDescent="0.55000000000000004">
      <c r="A243" s="1" t="s">
        <v>1550</v>
      </c>
      <c r="B243" s="2">
        <f>COUNTIF(A:A,A243)-1</f>
        <v>1</v>
      </c>
      <c r="C243" s="2">
        <f>COUNTIF(A$1:A243,A243)-1</f>
        <v>0</v>
      </c>
      <c r="D243" s="2"/>
      <c r="E243" s="2"/>
      <c r="F243" s="2"/>
      <c r="G243" s="2"/>
    </row>
    <row r="244" spans="1:7" x14ac:dyDescent="0.55000000000000004">
      <c r="A244" s="1" t="s">
        <v>1550</v>
      </c>
      <c r="B244" s="2">
        <f>COUNTIF(A:A,A244)-1</f>
        <v>1</v>
      </c>
      <c r="C244" s="2">
        <f>COUNTIF(A$1:A244,A244)-1</f>
        <v>1</v>
      </c>
      <c r="D244" s="2">
        <f>ROWS(1)</f>
        <v>1</v>
      </c>
      <c r="E244" s="2" t="b">
        <f>IFERROR(INDEX(ERROR(0),ROWS(SET.NAME("_",+INDEX(1,)))),RETURN(INDEX(TYPE(_),SET.NAME("_"))))</f>
        <v>0</v>
      </c>
      <c r="F244" s="2" t="b">
        <f>IFERROR(INDEX(ERROR(0),ROWS(INDIRECT(SET.NAME({1,"_"},)))),RETURN(INDEX(TYPE(_),SET.NAME("_"))))</f>
        <v>0</v>
      </c>
      <c r="G244" s="2">
        <f>TYPE(INDEX(,ROWS(INDEX(1,))))</f>
        <v>16</v>
      </c>
    </row>
    <row r="245" spans="1:7" x14ac:dyDescent="0.55000000000000004">
      <c r="A245" s="1" t="s">
        <v>1551</v>
      </c>
      <c r="B245" s="2">
        <f>COUNTIF(A:A,A245)-1</f>
        <v>1</v>
      </c>
      <c r="C245" s="2">
        <f>COUNTIF(A$1:A245,A245)-1</f>
        <v>0</v>
      </c>
      <c r="D245" s="2"/>
      <c r="E245" s="2"/>
      <c r="F245" s="2"/>
      <c r="G245" s="2"/>
    </row>
    <row r="246" spans="1:7" x14ac:dyDescent="0.55000000000000004">
      <c r="A246" s="1" t="s">
        <v>1551</v>
      </c>
      <c r="B246" s="2">
        <f>COUNTIF(A:A,A246)-1</f>
        <v>1</v>
      </c>
      <c r="C246" s="2">
        <f>COUNTIF(A$1:A246,A246)-1</f>
        <v>1</v>
      </c>
      <c r="D246" s="2">
        <f>COLUMNS(1)</f>
        <v>1</v>
      </c>
      <c r="E246" s="2" t="b">
        <f>IFERROR(INDEX(ERROR(0),COLUMNS(SET.NAME("_",+INDEX(1,)))),RETURN(INDEX(TYPE(_),SET.NAME("_"))))</f>
        <v>0</v>
      </c>
      <c r="F246" s="2" t="b">
        <f>IFERROR(INDEX(ERROR(0),COLUMNS(INDIRECT(SET.NAME({1,"_"},)))),RETURN(INDEX(TYPE(_),SET.NAME("_"))))</f>
        <v>0</v>
      </c>
      <c r="G246" s="2">
        <f>TYPE(INDEX(,COLUMNS(INDEX(1,))))</f>
        <v>16</v>
      </c>
    </row>
    <row r="247" spans="1:7" x14ac:dyDescent="0.55000000000000004">
      <c r="A247" s="1" t="s">
        <v>1552</v>
      </c>
      <c r="B247" s="2">
        <f>COUNTIF(A:A,A247)-1</f>
        <v>5</v>
      </c>
      <c r="C247" s="2">
        <f>COUNTIF(A$1:A247,A247)-1</f>
        <v>0</v>
      </c>
      <c r="D247" s="2"/>
      <c r="E247" s="2"/>
      <c r="F247" s="2"/>
      <c r="G247" s="2"/>
    </row>
    <row r="248" spans="1:7" x14ac:dyDescent="0.55000000000000004">
      <c r="A248" s="1" t="s">
        <v>1552</v>
      </c>
      <c r="B248" s="2">
        <f>COUNTIF(A:A,A248)-1</f>
        <v>5</v>
      </c>
      <c r="C248" s="2">
        <f>COUNTIF(A$1:A248,A248)-1</f>
        <v>1</v>
      </c>
      <c r="D248" s="2" t="s">
        <v>2270</v>
      </c>
      <c r="E248" s="2" t="s">
        <v>2208</v>
      </c>
      <c r="F248" s="2" t="b">
        <f>IFERROR(INDEX(ERROR(0),OFFSET(INDIRECT(SET.NAME({1,"_"},)),#REF!,#REF!,#REF!,#REF!)),RETURN(INDEX(TYPE(_),SET.NAME("_"))))</f>
        <v>0</v>
      </c>
      <c r="G248" s="2">
        <f>TYPE(INDEX(,OFFSET(INDEX(1,),#REF!,#REF!,#REF!,#REF!)))</f>
        <v>64</v>
      </c>
    </row>
    <row r="249" spans="1:7" x14ac:dyDescent="0.55000000000000004">
      <c r="A249" s="1" t="s">
        <v>1552</v>
      </c>
      <c r="B249" s="2">
        <f>COUNTIF(A:A,A249)-1</f>
        <v>5</v>
      </c>
      <c r="C249" s="2">
        <f>COUNTIF(A$1:A249,A249)-1</f>
        <v>2</v>
      </c>
      <c r="D249" s="2" t="e">
        <f>OFFSET(#REF!,1,#REF!,#REF!,#REF!)</f>
        <v>#REF!</v>
      </c>
      <c r="E249" s="2" t="b">
        <f>IFERROR(INDEX(ERROR(0),OFFSET(#REF!,SET.NAME("_",+INDEX(1,)),#REF!,#REF!,#REF!)),RETURN(INDEX(TYPE(_),SET.NAME("_"))))</f>
        <v>0</v>
      </c>
      <c r="F249" s="2" t="b">
        <f>IFERROR(INDEX(ERROR(0),OFFSET(#REF!,INDIRECT(SET.NAME({1,"_"},)),#REF!,#REF!,#REF!)),RETURN(INDEX(TYPE(_),SET.NAME("_"))))</f>
        <v>0</v>
      </c>
      <c r="G249" s="2">
        <f>TYPE(INDEX(,OFFSET(#REF!,INDEX(1,),#REF!,#REF!,#REF!)))</f>
        <v>16</v>
      </c>
    </row>
    <row r="250" spans="1:7" x14ac:dyDescent="0.55000000000000004">
      <c r="A250" s="1" t="s">
        <v>1552</v>
      </c>
      <c r="B250" s="2">
        <f>COUNTIF(A:A,A250)-1</f>
        <v>5</v>
      </c>
      <c r="C250" s="2">
        <f>COUNTIF(A$1:A250,A250)-1</f>
        <v>3</v>
      </c>
      <c r="D250" s="2" t="e">
        <f>OFFSET(#REF!,#REF!,1,#REF!,#REF!)</f>
        <v>#REF!</v>
      </c>
      <c r="E250" s="2" t="b">
        <f>IFERROR(INDEX(ERROR(0),OFFSET(#REF!,#REF!,SET.NAME("_",+INDEX(1,)),#REF!,#REF!)),RETURN(INDEX(TYPE(_),SET.NAME("_"))))</f>
        <v>0</v>
      </c>
      <c r="F250" s="2" t="b">
        <f>IFERROR(INDEX(ERROR(0),OFFSET(#REF!,#REF!,INDIRECT(SET.NAME({1,"_"},)),#REF!,#REF!)),RETURN(INDEX(TYPE(_),SET.NAME("_"))))</f>
        <v>0</v>
      </c>
      <c r="G250" s="2">
        <f>TYPE(INDEX(,OFFSET(#REF!,#REF!,INDEX(1,),#REF!,#REF!)))</f>
        <v>16</v>
      </c>
    </row>
    <row r="251" spans="1:7" x14ac:dyDescent="0.55000000000000004">
      <c r="A251" s="1" t="s">
        <v>1552</v>
      </c>
      <c r="B251" s="2">
        <f>COUNTIF(A:A,A251)-1</f>
        <v>5</v>
      </c>
      <c r="C251" s="2">
        <f>COUNTIF(A$1:A251,A251)-1</f>
        <v>4</v>
      </c>
      <c r="D251" s="2" t="e">
        <f>OFFSET(#REF!,#REF!,#REF!,1,#REF!)</f>
        <v>#REF!</v>
      </c>
      <c r="E251" s="2" t="b">
        <f>IFERROR(INDEX(ERROR(0),OFFSET(#REF!,#REF!,#REF!,SET.NAME("_",+INDEX(1,)),#REF!)),RETURN(INDEX(TYPE(_),SET.NAME("_"))))</f>
        <v>0</v>
      </c>
      <c r="F251" s="2" t="b">
        <f>IFERROR(INDEX(ERROR(0),OFFSET(#REF!,#REF!,#REF!,INDIRECT(SET.NAME({1,"_"},)),#REF!)),RETURN(INDEX(TYPE(_),SET.NAME("_"))))</f>
        <v>0</v>
      </c>
      <c r="G251" s="2">
        <f>TYPE(INDEX(,OFFSET(#REF!,#REF!,#REF!,INDEX(1,),#REF!)))</f>
        <v>16</v>
      </c>
    </row>
    <row r="252" spans="1:7" x14ac:dyDescent="0.55000000000000004">
      <c r="A252" s="1" t="s">
        <v>1552</v>
      </c>
      <c r="B252" s="2">
        <f>COUNTIF(A:A,A252)-1</f>
        <v>5</v>
      </c>
      <c r="C252" s="2">
        <f>COUNTIF(A$1:A252,A252)-1</f>
        <v>5</v>
      </c>
      <c r="D252" s="2" t="e">
        <f>OFFSET(#REF!,#REF!,#REF!,#REF!,1)</f>
        <v>#REF!</v>
      </c>
      <c r="E252" s="2" t="b">
        <f>IFERROR(INDEX(ERROR(0),OFFSET(#REF!,#REF!,#REF!,#REF!,SET.NAME("_",+INDEX(1,)))),RETURN(INDEX(TYPE(_),SET.NAME("_"))))</f>
        <v>0</v>
      </c>
      <c r="F252" s="2" t="b">
        <f>IFERROR(INDEX(ERROR(0),OFFSET(#REF!,#REF!,#REF!,#REF!,INDIRECT(SET.NAME({1,"_"},)))),RETURN(INDEX(TYPE(_),SET.NAME("_"))))</f>
        <v>0</v>
      </c>
      <c r="G252" s="2">
        <f>TYPE(INDEX(,OFFSET(#REF!,#REF!,#REF!,#REF!,INDEX(1,))))</f>
        <v>16</v>
      </c>
    </row>
    <row r="253" spans="1:7" x14ac:dyDescent="0.55000000000000004">
      <c r="A253" s="1" t="s">
        <v>1553</v>
      </c>
      <c r="B253" s="2">
        <f>COUNTIF(A:A,A253)-1</f>
        <v>2</v>
      </c>
      <c r="C253" s="2">
        <f>COUNTIF(A$1:A253,A253)-1</f>
        <v>0</v>
      </c>
      <c r="D253" s="2"/>
      <c r="E253" s="2"/>
      <c r="F253" s="2"/>
      <c r="G253" s="2"/>
    </row>
    <row r="254" spans="1:7" x14ac:dyDescent="0.55000000000000004">
      <c r="A254" s="1" t="s">
        <v>1553</v>
      </c>
      <c r="B254" s="2">
        <f>COUNTIF(A:A,A254)-1</f>
        <v>2</v>
      </c>
      <c r="C254" s="2">
        <f>COUNTIF(A$1:A254,A254)-1</f>
        <v>1</v>
      </c>
      <c r="D254" s="2" t="e">
        <f>ABSREF(1,#REF!)</f>
        <v>#REF!</v>
      </c>
      <c r="E254" s="2" t="b">
        <f>IFERROR(INDEX(ERROR(0),ABSREF(SET.NAME("_",+INDEX(1,)),#REF!)),RETURN(INDEX(TYPE(_),SET.NAME("_"))))</f>
        <v>0</v>
      </c>
      <c r="F254" s="2" t="b">
        <f>IFERROR(INDEX(ERROR(0),ABSREF(INDIRECT(SET.NAME({1,"_"},)),#REF!)),RETURN(INDEX(TYPE(_),SET.NAME("_"))))</f>
        <v>0</v>
      </c>
      <c r="G254" s="2">
        <f>TYPE(INDEX(,ABSREF(INDEX(1,),#REF!)))</f>
        <v>16</v>
      </c>
    </row>
    <row r="255" spans="1:7" x14ac:dyDescent="0.55000000000000004">
      <c r="A255" s="1" t="s">
        <v>1553</v>
      </c>
      <c r="B255" s="2">
        <f>COUNTIF(A:A,A255)-1</f>
        <v>2</v>
      </c>
      <c r="C255" s="2">
        <f>COUNTIF(A$1:A255,A255)-1</f>
        <v>2</v>
      </c>
      <c r="D255" s="2" t="s">
        <v>2271</v>
      </c>
      <c r="E255" s="2" t="s">
        <v>2209</v>
      </c>
      <c r="F255" s="2" t="b">
        <f>IFERROR(INDEX(ERROR(0),ABSREF(#REF!,INDIRECT(SET.NAME({1,"_"},)))),RETURN(INDEX(TYPE(_),SET.NAME("_"))))</f>
        <v>0</v>
      </c>
      <c r="G255" s="2">
        <f>TYPE(INDEX(,ABSREF(#REF!,INDEX(1,))))</f>
        <v>64</v>
      </c>
    </row>
    <row r="256" spans="1:7" x14ac:dyDescent="0.55000000000000004">
      <c r="A256" s="1" t="s">
        <v>1554</v>
      </c>
      <c r="B256" s="2">
        <f>COUNTIF(A:A,A256)-1</f>
        <v>2</v>
      </c>
      <c r="C256" s="2">
        <f>COUNTIF(A$1:A256,A256)-1</f>
        <v>0</v>
      </c>
      <c r="D256" s="2"/>
      <c r="E256" s="2"/>
      <c r="F256" s="2"/>
      <c r="G256" s="2"/>
    </row>
    <row r="257" spans="1:7" x14ac:dyDescent="0.55000000000000004">
      <c r="A257" s="1" t="s">
        <v>1554</v>
      </c>
      <c r="B257" s="2">
        <f>COUNTIF(A:A,A257)-1</f>
        <v>2</v>
      </c>
      <c r="C257" s="2">
        <f>COUNTIF(A$1:A257,A257)-1</f>
        <v>1</v>
      </c>
      <c r="D257" s="2" t="s">
        <v>2272</v>
      </c>
      <c r="E257" s="2" t="s">
        <v>2210</v>
      </c>
      <c r="F257" s="2" t="b">
        <f>IFERROR(INDEX(ERROR(0),RELREF(INDIRECT(SET.NAME({1,"_"},)),#REF!)),RETURN(INDEX(TYPE(_),SET.NAME("_"))))</f>
        <v>0</v>
      </c>
      <c r="G257" s="2">
        <f>TYPE(INDEX(,RELREF(INDEX(1,),#REF!)))</f>
        <v>64</v>
      </c>
    </row>
    <row r="258" spans="1:7" x14ac:dyDescent="0.55000000000000004">
      <c r="A258" s="1" t="s">
        <v>1554</v>
      </c>
      <c r="B258" s="2">
        <f>COUNTIF(A:A,A258)-1</f>
        <v>2</v>
      </c>
      <c r="C258" s="2">
        <f>COUNTIF(A$1:A258,A258)-1</f>
        <v>2</v>
      </c>
      <c r="D258" s="2" t="s">
        <v>2273</v>
      </c>
      <c r="E258" s="2" t="s">
        <v>2211</v>
      </c>
      <c r="F258" s="2" t="b">
        <f>IFERROR(INDEX(ERROR(0),RELREF(#REF!,INDIRECT(SET.NAME({1,"_"},)))),RETURN(INDEX(TYPE(_),SET.NAME("_"))))</f>
        <v>0</v>
      </c>
      <c r="G258" s="2">
        <f>TYPE(INDEX(,RELREF(#REF!,INDEX(1,))))</f>
        <v>64</v>
      </c>
    </row>
    <row r="259" spans="1:7" x14ac:dyDescent="0.55000000000000004">
      <c r="A259" s="1" t="s">
        <v>1555</v>
      </c>
      <c r="B259" s="2">
        <f>COUNTIF(A:A,A259)-1</f>
        <v>2</v>
      </c>
      <c r="C259" s="2">
        <f>COUNTIF(A$1:A259,A259)-1</f>
        <v>0</v>
      </c>
      <c r="D259" s="2"/>
      <c r="E259" s="2"/>
      <c r="F259" s="2"/>
      <c r="G259" s="2"/>
    </row>
    <row r="260" spans="1:7" x14ac:dyDescent="0.55000000000000004">
      <c r="A260" s="1" t="s">
        <v>1555</v>
      </c>
      <c r="B260" s="2">
        <f>COUNTIF(A:A,A260)-1</f>
        <v>2</v>
      </c>
      <c r="C260" s="2">
        <f>COUNTIF(A$1:A260,A260)-1</f>
        <v>1</v>
      </c>
      <c r="D260" s="2" t="e">
        <f>ARGUMENT(1,#REF!)</f>
        <v>#REF!</v>
      </c>
      <c r="E260" s="2" t="b">
        <f>IFERROR(INDEX(ERROR(0),ARGUMENT(SET.NAME("_",+INDEX(1,)),#REF!)),RETURN(INDEX(TYPE(_),SET.NAME("_"))))</f>
        <v>0</v>
      </c>
      <c r="F260" s="2" t="b">
        <f>IFERROR(INDEX(ERROR(0),ARGUMENT(INDIRECT(SET.NAME({1,"_"},)),#REF!)),RETURN(INDEX(TYPE(_),SET.NAME("_"))))</f>
        <v>0</v>
      </c>
      <c r="G260" s="2">
        <f>TYPE(INDEX(,ARGUMENT(INDEX(1,),#REF!)))</f>
        <v>16</v>
      </c>
    </row>
    <row r="261" spans="1:7" x14ac:dyDescent="0.55000000000000004">
      <c r="A261" s="1" t="s">
        <v>1555</v>
      </c>
      <c r="B261" s="2">
        <f>COUNTIF(A:A,A261)-1</f>
        <v>2</v>
      </c>
      <c r="C261" s="2">
        <f>COUNTIF(A$1:A261,A261)-1</f>
        <v>2</v>
      </c>
      <c r="D261" s="2" t="e">
        <f>ARGUMENT(#REF!,1)</f>
        <v>#REF!</v>
      </c>
      <c r="E261" s="2" t="b">
        <f>IFERROR(INDEX(ERROR(0),ARGUMENT(#REF!,SET.NAME("_",+INDEX(1,)))),RETURN(INDEX(TYPE(_),SET.NAME("_"))))</f>
        <v>0</v>
      </c>
      <c r="F261" s="2" t="b">
        <f>IFERROR(INDEX(ERROR(0),ARGUMENT(#REF!,INDIRECT(SET.NAME({1,"_"},)))),RETURN(INDEX(TYPE(_),SET.NAME("_"))))</f>
        <v>0</v>
      </c>
      <c r="G261" s="2">
        <f>TYPE(INDEX(,ARGUMENT(#REF!,INDEX(1,))))</f>
        <v>64</v>
      </c>
    </row>
    <row r="262" spans="1:7" x14ac:dyDescent="0.55000000000000004">
      <c r="A262" s="1" t="s">
        <v>1556</v>
      </c>
      <c r="B262" s="2">
        <f>COUNTIF(A:A,A262)-1</f>
        <v>3</v>
      </c>
      <c r="C262" s="2">
        <f>COUNTIF(A$1:A262,A262)-1</f>
        <v>0</v>
      </c>
      <c r="D262" s="2"/>
      <c r="E262" s="2"/>
      <c r="F262" s="2"/>
      <c r="G262" s="2"/>
    </row>
    <row r="263" spans="1:7" x14ac:dyDescent="0.55000000000000004">
      <c r="A263" s="1" t="s">
        <v>1556</v>
      </c>
      <c r="B263" s="2">
        <f>COUNTIF(A:A,A263)-1</f>
        <v>3</v>
      </c>
      <c r="C263" s="2">
        <f>COUNTIF(A$1:A263,A263)-1</f>
        <v>1</v>
      </c>
      <c r="D263" s="2" t="e">
        <f>SEARCH(1,#REF!,#REF!)</f>
        <v>#REF!</v>
      </c>
      <c r="E263" s="2" t="b">
        <f>IFERROR(INDEX(ERROR(0),SEARCH(SET.NAME("_",+INDEX(1,)),#REF!,#REF!)),RETURN(INDEX(TYPE(_),SET.NAME("_"))))</f>
        <v>0</v>
      </c>
      <c r="F263" s="2" t="b">
        <f>IFERROR(INDEX(ERROR(0),SEARCH(INDIRECT(SET.NAME({1,"_"},)),#REF!,#REF!)),RETURN(INDEX(TYPE(_),SET.NAME("_"))))</f>
        <v>0</v>
      </c>
      <c r="G263" s="2">
        <f>TYPE(INDEX(,SEARCH(INDEX(1,),#REF!,#REF!)))</f>
        <v>16</v>
      </c>
    </row>
    <row r="264" spans="1:7" x14ac:dyDescent="0.55000000000000004">
      <c r="A264" s="1" t="s">
        <v>1556</v>
      </c>
      <c r="B264" s="2">
        <f>COUNTIF(A:A,A264)-1</f>
        <v>3</v>
      </c>
      <c r="C264" s="2">
        <f>COUNTIF(A$1:A264,A264)-1</f>
        <v>2</v>
      </c>
      <c r="D264" s="2" t="e">
        <f>SEARCH(#REF!,1,#REF!)</f>
        <v>#REF!</v>
      </c>
      <c r="E264" s="2" t="b">
        <f>IFERROR(INDEX(ERROR(0),SEARCH(#REF!,SET.NAME("_",+INDEX(1,)),#REF!)),RETURN(INDEX(TYPE(_),SET.NAME("_"))))</f>
        <v>0</v>
      </c>
      <c r="F264" s="2" t="b">
        <f>IFERROR(INDEX(ERROR(0),SEARCH(#REF!,INDIRECT(SET.NAME({1,"_"},)),#REF!)),RETURN(INDEX(TYPE(_),SET.NAME("_"))))</f>
        <v>0</v>
      </c>
      <c r="G264" s="2">
        <f>TYPE(INDEX(,SEARCH(#REF!,INDEX(1,),#REF!)))</f>
        <v>16</v>
      </c>
    </row>
    <row r="265" spans="1:7" x14ac:dyDescent="0.55000000000000004">
      <c r="A265" s="1" t="s">
        <v>1556</v>
      </c>
      <c r="B265" s="2">
        <f>COUNTIF(A:A,A265)-1</f>
        <v>3</v>
      </c>
      <c r="C265" s="2">
        <f>COUNTIF(A$1:A265,A265)-1</f>
        <v>3</v>
      </c>
      <c r="D265" s="2" t="e">
        <f>SEARCH(#REF!,#REF!,1)</f>
        <v>#REF!</v>
      </c>
      <c r="E265" s="2" t="b">
        <f>IFERROR(INDEX(ERROR(0),SEARCH(#REF!,#REF!,SET.NAME("_",+INDEX(1,)))),RETURN(INDEX(TYPE(_),SET.NAME("_"))))</f>
        <v>0</v>
      </c>
      <c r="F265" s="2" t="b">
        <f>IFERROR(INDEX(ERROR(0),SEARCH(#REF!,#REF!,INDIRECT(SET.NAME({1,"_"},)))),RETURN(INDEX(TYPE(_),SET.NAME("_"))))</f>
        <v>0</v>
      </c>
      <c r="G265" s="2">
        <f>TYPE(INDEX(,SEARCH(#REF!,#REF!,INDEX(1,))))</f>
        <v>16</v>
      </c>
    </row>
    <row r="266" spans="1:7" x14ac:dyDescent="0.55000000000000004">
      <c r="A266" s="1" t="s">
        <v>1557</v>
      </c>
      <c r="B266" s="2">
        <f>COUNTIF(A:A,A266)-1</f>
        <v>1</v>
      </c>
      <c r="C266" s="2">
        <f>COUNTIF(A$1:A266,A266)-1</f>
        <v>0</v>
      </c>
      <c r="D266" s="2"/>
      <c r="E266" s="2"/>
      <c r="F266" s="2"/>
      <c r="G266" s="2"/>
    </row>
    <row r="267" spans="1:7" x14ac:dyDescent="0.55000000000000004">
      <c r="A267" s="1" t="s">
        <v>1557</v>
      </c>
      <c r="B267" s="2">
        <f>COUNTIF(A:A,A267)-1</f>
        <v>1</v>
      </c>
      <c r="C267" s="2">
        <f>COUNTIF(A$1:A267,A267)-1</f>
        <v>1</v>
      </c>
      <c r="D267" s="2">
        <f>TRANSPOSE(1)</f>
        <v>1</v>
      </c>
      <c r="E267" s="2" t="b">
        <f>IFERROR(INDEX(ERROR(0),TRANSPOSE(SET.NAME("_",+INDEX(1,)))),RETURN(INDEX(TYPE(_),SET.NAME("_"))))</f>
        <v>0</v>
      </c>
      <c r="F267" s="2" t="b">
        <f>IFERROR(INDEX(ERROR(0),TRANSPOSE(INDIRECT(SET.NAME({1,"_"},)))),RETURN(INDEX(TYPE(_),SET.NAME("_"))))</f>
        <v>0</v>
      </c>
      <c r="G267" s="2">
        <f>TYPE(INDEX(,TRANSPOSE(INDEX(1,))))</f>
        <v>16</v>
      </c>
    </row>
    <row r="268" spans="1:7" x14ac:dyDescent="0.55000000000000004">
      <c r="A268" s="1" t="s">
        <v>1558</v>
      </c>
      <c r="B268" s="2">
        <f>COUNTIF(A:A,A268)-1</f>
        <v>2</v>
      </c>
      <c r="C268" s="2">
        <f>COUNTIF(A$1:A268,A268)-1</f>
        <v>0</v>
      </c>
      <c r="D268" s="2"/>
      <c r="E268" s="2"/>
      <c r="F268" s="2"/>
      <c r="G268" s="2"/>
    </row>
    <row r="269" spans="1:7" x14ac:dyDescent="0.55000000000000004">
      <c r="A269" s="1" t="s">
        <v>1558</v>
      </c>
      <c r="B269" s="2">
        <f>COUNTIF(A:A,A269)-1</f>
        <v>2</v>
      </c>
      <c r="C269" s="2">
        <f>COUNTIF(A$1:A269,A269)-1</f>
        <v>1</v>
      </c>
      <c r="D269" s="2" t="b">
        <f>ERROR(1,#REF!)</f>
        <v>0</v>
      </c>
      <c r="E269" s="2" t="b">
        <f>IFERROR(INDEX(ERROR(0),ERROR(SET.NAME("_",+INDEX(1,)),#REF!)),RETURN(INDEX(TYPE(_),SET.NAME("_"))))</f>
        <v>0</v>
      </c>
      <c r="F269" s="2" t="b">
        <f>IFERROR(INDEX(ERROR(0),ERROR(INDIRECT(SET.NAME({1,"_"},)),#REF!)),RETURN(INDEX(TYPE(_),SET.NAME("_"))))</f>
        <v>0</v>
      </c>
      <c r="G269" s="2">
        <f>TYPE(INDEX(,ERROR(INDEX(1,),#REF!)))</f>
        <v>16</v>
      </c>
    </row>
    <row r="270" spans="1:7" x14ac:dyDescent="0.55000000000000004">
      <c r="A270" s="1" t="s">
        <v>1558</v>
      </c>
      <c r="B270" s="2">
        <f>COUNTIF(A:A,A270)-1</f>
        <v>2</v>
      </c>
      <c r="C270" s="2">
        <f>COUNTIF(A$1:A270,A270)-1</f>
        <v>2</v>
      </c>
      <c r="D270" s="2" t="b">
        <f>ERROR(#REF!,1)</f>
        <v>0</v>
      </c>
      <c r="E270" s="2" t="b">
        <f>IFERROR(INDEX(ERROR(0),ERROR(#REF!,SET.NAME("_",+INDEX(1,)))),RETURN(INDEX(TYPE(_),SET.NAME("_"))))</f>
        <v>0</v>
      </c>
      <c r="F270" s="2" t="b">
        <f>IFERROR(INDEX(ERROR(0),ERROR(#REF!,INDIRECT(SET.NAME({1,"_"},)))),RETURN(INDEX(TYPE(_),SET.NAME("_"))))</f>
        <v>0</v>
      </c>
      <c r="G270" s="2">
        <f>TYPE(INDEX(,ERROR(#REF!,INDEX(1,))))</f>
        <v>64</v>
      </c>
    </row>
    <row r="271" spans="1:7" x14ac:dyDescent="0.55000000000000004">
      <c r="A271" s="1" t="s">
        <v>1477</v>
      </c>
      <c r="B271" s="2">
        <f>COUNTIF(A:A,A271)-1</f>
        <v>0</v>
      </c>
      <c r="C271" s="2">
        <f>COUNTIF(A$1:A271,A271)-1</f>
        <v>0</v>
      </c>
      <c r="D271" s="2"/>
      <c r="E271" s="2"/>
      <c r="F271" s="2"/>
      <c r="G271" s="2"/>
    </row>
    <row r="272" spans="1:7" x14ac:dyDescent="0.55000000000000004">
      <c r="A272" s="1" t="s">
        <v>1559</v>
      </c>
      <c r="B272" s="2">
        <f>COUNTIF(A:A,A272)-1</f>
        <v>1</v>
      </c>
      <c r="C272" s="2">
        <f>COUNTIF(A$1:A272,A272)-1</f>
        <v>0</v>
      </c>
      <c r="D272" s="2"/>
      <c r="E272" s="2"/>
      <c r="F272" s="2"/>
      <c r="G272" s="2"/>
    </row>
    <row r="273" spans="1:7" x14ac:dyDescent="0.55000000000000004">
      <c r="A273" s="1" t="s">
        <v>1559</v>
      </c>
      <c r="B273" s="2">
        <f>COUNTIF(A:A,A273)-1</f>
        <v>1</v>
      </c>
      <c r="C273" s="2">
        <f>COUNTIF(A$1:A273,A273)-1</f>
        <v>1</v>
      </c>
      <c r="D273" s="2">
        <f>TYPE(1)</f>
        <v>1</v>
      </c>
      <c r="E273" s="2" t="b">
        <f>IFERROR(INDEX(ERROR(0),TYPE(SET.NAME("_",+INDEX(1,)))),RETURN(INDEX(TYPE(_),SET.NAME("_"))))</f>
        <v>0</v>
      </c>
      <c r="F273" s="2" t="b">
        <f>IFERROR(INDEX(ERROR(0),TYPE(INDIRECT(SET.NAME({1,"_"},)))),RETURN(INDEX(TYPE(_),SET.NAME("_"))))</f>
        <v>0</v>
      </c>
      <c r="G273" s="2">
        <f>TYPE(INDEX(,TYPE(INDEX(1,))))</f>
        <v>16</v>
      </c>
    </row>
    <row r="274" spans="1:7" x14ac:dyDescent="0.55000000000000004">
      <c r="A274" s="1" t="s">
        <v>1560</v>
      </c>
      <c r="B274" s="2">
        <f>COUNTIF(A:A,A274)-1</f>
        <v>1</v>
      </c>
      <c r="C274" s="2">
        <f>COUNTIF(A$1:A274,A274)-1</f>
        <v>0</v>
      </c>
      <c r="D274" s="2"/>
      <c r="E274" s="2"/>
      <c r="F274" s="2"/>
      <c r="G274" s="2"/>
    </row>
    <row r="275" spans="1:7" x14ac:dyDescent="0.55000000000000004">
      <c r="A275" s="1" t="s">
        <v>1560</v>
      </c>
      <c r="B275" s="2">
        <f>COUNTIF(A:A,A275)-1</f>
        <v>1</v>
      </c>
      <c r="C275" s="2">
        <f>COUNTIF(A$1:A275,A275)-1</f>
        <v>1</v>
      </c>
      <c r="D275" s="2" t="b">
        <f>ECHO(1)</f>
        <v>0</v>
      </c>
      <c r="E275" s="2" t="b">
        <f>IFERROR(INDEX(ERROR(0),ECHO(SET.NAME("_",+INDEX(1,)))),RETURN(INDEX(TYPE(_),SET.NAME("_"))))</f>
        <v>0</v>
      </c>
      <c r="F275" s="2" t="b">
        <f>IFERROR(INDEX(ERROR(0),ECHO(INDIRECT(SET.NAME({1,"_"},)))),RETURN(INDEX(TYPE(_),SET.NAME("_"))))</f>
        <v>0</v>
      </c>
      <c r="G275" s="2">
        <f>TYPE(INDEX(,ECHO(INDEX(1,))))</f>
        <v>16</v>
      </c>
    </row>
    <row r="276" spans="1:7" x14ac:dyDescent="0.55000000000000004">
      <c r="A276" s="1" t="s">
        <v>1561</v>
      </c>
      <c r="B276" s="2">
        <f>COUNTIF(A:A,A276)-1</f>
        <v>2</v>
      </c>
      <c r="C276" s="2">
        <f>COUNTIF(A$1:A276,A276)-1</f>
        <v>0</v>
      </c>
      <c r="D276" s="2"/>
      <c r="E276" s="2"/>
      <c r="F276" s="2"/>
      <c r="G276" s="2"/>
    </row>
    <row r="277" spans="1:7" x14ac:dyDescent="0.55000000000000004">
      <c r="A277" s="1" t="s">
        <v>1561</v>
      </c>
      <c r="B277" s="2">
        <f>COUNTIF(A:A,A277)-1</f>
        <v>2</v>
      </c>
      <c r="C277" s="2">
        <f>COUNTIF(A$1:A277,A277)-1</f>
        <v>1</v>
      </c>
      <c r="D277" s="2" t="b">
        <f>SET.NAME(1,#REF!)</f>
        <v>0</v>
      </c>
      <c r="E277" s="2" t="b">
        <f>IFERROR(INDEX(ERROR(0),SET.NAME(SET.NAME("_",+INDEX(1,)),#REF!)),RETURN(INDEX(TYPE(_),SET.NAME("_"))))</f>
        <v>0</v>
      </c>
      <c r="F277" s="2" t="b">
        <f>IFERROR(INDEX(ERROR(0),SET.NAME(INDIRECT(SET.NAME({1,"_"},)),#REF!)),RETURN(INDEX(TYPE(_),SET.NAME("_"))))</f>
        <v>0</v>
      </c>
      <c r="G277" s="2">
        <f>TYPE(INDEX(,SET.NAME(INDEX(1,),#REF!)))</f>
        <v>16</v>
      </c>
    </row>
    <row r="278" spans="1:7" x14ac:dyDescent="0.55000000000000004">
      <c r="A278" s="1" t="s">
        <v>1561</v>
      </c>
      <c r="B278" s="2">
        <f>COUNTIF(A:A,A278)-1</f>
        <v>2</v>
      </c>
      <c r="C278" s="2">
        <f>COUNTIF(A$1:A278,A278)-1</f>
        <v>2</v>
      </c>
      <c r="D278" s="2" t="b">
        <f>SET.NAME(#REF!,1)</f>
        <v>0</v>
      </c>
      <c r="E278" s="2" t="b">
        <f>IFERROR(INDEX(ERROR(0),SET.NAME(#REF!,SET.NAME("_",+INDEX(1,)))),RETURN(INDEX(TYPE(_),SET.NAME("_"))))</f>
        <v>0</v>
      </c>
      <c r="F278" s="2" t="b">
        <f>IFERROR(INDEX(ERROR(0),SET.NAME(#REF!,INDIRECT(SET.NAME({1,"_"},)))),RETURN(INDEX(TYPE(_),SET.NAME("_"))))</f>
        <v>0</v>
      </c>
      <c r="G278" s="2">
        <f>TYPE(INDEX(,SET.NAME(#REF!,INDEX(1,))))</f>
        <v>16</v>
      </c>
    </row>
    <row r="279" spans="1:7" x14ac:dyDescent="0.55000000000000004">
      <c r="A279" s="1" t="s">
        <v>1478</v>
      </c>
      <c r="B279" s="2">
        <f>COUNTIF(A:A,A279)-1</f>
        <v>0</v>
      </c>
      <c r="C279" s="2">
        <f>COUNTIF(A$1:A279,A279)-1</f>
        <v>0</v>
      </c>
      <c r="D279" s="2"/>
      <c r="E279" s="2"/>
      <c r="F279" s="2"/>
      <c r="G279" s="2"/>
    </row>
    <row r="280" spans="1:7" x14ac:dyDescent="0.55000000000000004">
      <c r="A280" s="1" t="s">
        <v>1562</v>
      </c>
      <c r="B280" s="2">
        <f>COUNTIF(A:A,A280)-1</f>
        <v>1</v>
      </c>
      <c r="C280" s="2">
        <f>COUNTIF(A$1:A280,A280)-1</f>
        <v>0</v>
      </c>
      <c r="D280" s="2"/>
      <c r="E280" s="2"/>
      <c r="F280" s="2"/>
      <c r="G280" s="2"/>
    </row>
    <row r="281" spans="1:7" x14ac:dyDescent="0.55000000000000004">
      <c r="A281" s="1" t="s">
        <v>1562</v>
      </c>
      <c r="B281" s="2">
        <f>COUNTIF(A:A,A281)-1</f>
        <v>1</v>
      </c>
      <c r="C281" s="2">
        <f>COUNTIF(A$1:A281,A281)-1</f>
        <v>1</v>
      </c>
      <c r="D281" s="2" t="s">
        <v>2274</v>
      </c>
      <c r="E281" s="2" t="s">
        <v>2212</v>
      </c>
      <c r="F281" s="2" t="b">
        <f>IFERROR(INDEX(ERROR(0),DEREF(INDIRECT(SET.NAME({1,"_"},)))),RETURN(INDEX(TYPE(_),SET.NAME("_"))))</f>
        <v>0</v>
      </c>
      <c r="G281" s="2">
        <f>TYPE(INDEX(,DEREF(INDEX(1,))))</f>
        <v>64</v>
      </c>
    </row>
    <row r="282" spans="1:7" x14ac:dyDescent="0.55000000000000004">
      <c r="A282" s="1" t="s">
        <v>1563</v>
      </c>
      <c r="B282" s="2">
        <f>COUNTIF(A:A,A282)-1</f>
        <v>2</v>
      </c>
      <c r="C282" s="2">
        <f>COUNTIF(A$1:A282,A282)-1</f>
        <v>0</v>
      </c>
      <c r="D282" s="2"/>
      <c r="E282" s="2"/>
      <c r="F282" s="2"/>
      <c r="G282" s="2"/>
    </row>
    <row r="283" spans="1:7" x14ac:dyDescent="0.55000000000000004">
      <c r="A283" s="1" t="s">
        <v>1563</v>
      </c>
      <c r="B283" s="2">
        <f>COUNTIF(A:A,A283)-1</f>
        <v>2</v>
      </c>
      <c r="C283" s="2">
        <f>COUNTIF(A$1:A283,A283)-1</f>
        <v>1</v>
      </c>
      <c r="D283" s="2" t="e">
        <f>WINDOWS(1,#REF!)</f>
        <v>#REF!</v>
      </c>
      <c r="E283" s="2" t="b">
        <f>IFERROR(INDEX(ERROR(0),WINDOWS(SET.NAME("_",+INDEX(1,)),#REF!)),RETURN(INDEX(TYPE(_),SET.NAME("_"))))</f>
        <v>0</v>
      </c>
      <c r="F283" s="2" t="b">
        <f>IFERROR(INDEX(ERROR(0),WINDOWS(INDIRECT(SET.NAME({1,"_"},)),#REF!)),RETURN(INDEX(TYPE(_),SET.NAME("_"))))</f>
        <v>0</v>
      </c>
      <c r="G283" s="2">
        <f>TYPE(INDEX(,WINDOWS(INDEX(1,),#REF!)))</f>
        <v>16</v>
      </c>
    </row>
    <row r="284" spans="1:7" x14ac:dyDescent="0.55000000000000004">
      <c r="A284" s="1" t="s">
        <v>1563</v>
      </c>
      <c r="B284" s="2">
        <f>COUNTIF(A:A,A284)-1</f>
        <v>2</v>
      </c>
      <c r="C284" s="2">
        <f>COUNTIF(A$1:A284,A284)-1</f>
        <v>2</v>
      </c>
      <c r="D284" s="2" t="e">
        <f>WINDOWS(#REF!,1)</f>
        <v>#REF!</v>
      </c>
      <c r="E284" s="2" t="b">
        <f>IFERROR(INDEX(ERROR(0),WINDOWS(#REF!,SET.NAME("_",+INDEX(1,)))),RETURN(INDEX(TYPE(_),SET.NAME("_"))))</f>
        <v>0</v>
      </c>
      <c r="F284" s="2" t="b">
        <f>IFERROR(INDEX(ERROR(0),WINDOWS(#REF!,INDIRECT(SET.NAME({1,"_"},)))),RETURN(INDEX(TYPE(_),SET.NAME("_"))))</f>
        <v>0</v>
      </c>
      <c r="G284" s="2">
        <f>TYPE(INDEX(,WINDOWS(#REF!,INDEX(1,))))</f>
        <v>16</v>
      </c>
    </row>
    <row r="285" spans="1:7" x14ac:dyDescent="0.55000000000000004">
      <c r="A285" s="1" t="s">
        <v>1479</v>
      </c>
      <c r="B285" s="2">
        <f>COUNTIF(A:A,A285)-1</f>
        <v>0</v>
      </c>
      <c r="C285" s="2">
        <f>COUNTIF(A$1:A285,A285)-1</f>
        <v>0</v>
      </c>
      <c r="D285" s="2"/>
      <c r="E285" s="2"/>
      <c r="F285" s="2"/>
      <c r="G285" s="2"/>
    </row>
    <row r="286" spans="1:7" x14ac:dyDescent="0.55000000000000004">
      <c r="A286" s="1" t="s">
        <v>1564</v>
      </c>
      <c r="B286" s="2">
        <f>COUNTIF(A:A,A286)-1</f>
        <v>2</v>
      </c>
      <c r="C286" s="2">
        <f>COUNTIF(A$1:A286,A286)-1</f>
        <v>0</v>
      </c>
      <c r="D286" s="2"/>
      <c r="E286" s="2"/>
      <c r="F286" s="2"/>
      <c r="G286" s="2"/>
    </row>
    <row r="287" spans="1:7" x14ac:dyDescent="0.55000000000000004">
      <c r="A287" s="1" t="s">
        <v>1564</v>
      </c>
      <c r="B287" s="2">
        <f>COUNTIF(A:A,A287)-1</f>
        <v>2</v>
      </c>
      <c r="C287" s="2">
        <f>COUNTIF(A$1:A287,A287)-1</f>
        <v>1</v>
      </c>
      <c r="D287" s="2" t="e">
        <f>DOCUMENTS(1,#REF!)</f>
        <v>#REF!</v>
      </c>
      <c r="E287" s="2" t="b">
        <f>IFERROR(INDEX(ERROR(0),DOCUMENTS(SET.NAME("_",+INDEX(1,)),#REF!)),RETURN(INDEX(TYPE(_),SET.NAME("_"))))</f>
        <v>0</v>
      </c>
      <c r="F287" s="2" t="b">
        <f>IFERROR(INDEX(ERROR(0),DOCUMENTS(INDIRECT(SET.NAME({1,"_"},)),#REF!)),RETURN(INDEX(TYPE(_),SET.NAME("_"))))</f>
        <v>0</v>
      </c>
      <c r="G287" s="2">
        <f>TYPE(INDEX(,DOCUMENTS(INDEX(1,),#REF!)))</f>
        <v>16</v>
      </c>
    </row>
    <row r="288" spans="1:7" x14ac:dyDescent="0.55000000000000004">
      <c r="A288" s="1" t="s">
        <v>1564</v>
      </c>
      <c r="B288" s="2">
        <f>COUNTIF(A:A,A288)-1</f>
        <v>2</v>
      </c>
      <c r="C288" s="2">
        <f>COUNTIF(A$1:A288,A288)-1</f>
        <v>2</v>
      </c>
      <c r="D288" s="2" t="e">
        <f>DOCUMENTS(#REF!,1)</f>
        <v>#REF!</v>
      </c>
      <c r="E288" s="2" t="b">
        <f>IFERROR(INDEX(ERROR(0),DOCUMENTS(#REF!,SET.NAME("_",+INDEX(1,)))),RETURN(INDEX(TYPE(_),SET.NAME("_"))))</f>
        <v>0</v>
      </c>
      <c r="F288" s="2" t="b">
        <f>IFERROR(INDEX(ERROR(0),DOCUMENTS(#REF!,INDIRECT(SET.NAME({1,"_"},)))),RETURN(INDEX(TYPE(_),SET.NAME("_"))))</f>
        <v>0</v>
      </c>
      <c r="G288" s="2">
        <f>TYPE(INDEX(,DOCUMENTS(#REF!,INDEX(1,))))</f>
        <v>16</v>
      </c>
    </row>
    <row r="289" spans="1:7" x14ac:dyDescent="0.55000000000000004">
      <c r="A289" s="1" t="s">
        <v>1480</v>
      </c>
      <c r="B289" s="2">
        <f>COUNTIF(A:A,A289)-1</f>
        <v>0</v>
      </c>
      <c r="C289" s="2">
        <f>COUNTIF(A$1:A289,A289)-1</f>
        <v>0</v>
      </c>
      <c r="D289" s="2"/>
      <c r="E289" s="2"/>
      <c r="F289" s="2"/>
      <c r="G289" s="2"/>
    </row>
    <row r="290" spans="1:7" x14ac:dyDescent="0.55000000000000004">
      <c r="A290" s="1" t="s">
        <v>1481</v>
      </c>
      <c r="B290" s="2">
        <f>COUNTIF(A:A,A290)-1</f>
        <v>0</v>
      </c>
      <c r="C290" s="2">
        <f>COUNTIF(A$1:A290,A290)-1</f>
        <v>0</v>
      </c>
      <c r="D290" s="2"/>
      <c r="E290" s="2"/>
      <c r="F290" s="2"/>
      <c r="G290" s="2"/>
    </row>
    <row r="291" spans="1:7" x14ac:dyDescent="0.55000000000000004">
      <c r="A291" s="1" t="s">
        <v>1565</v>
      </c>
      <c r="B291" s="2">
        <f>COUNTIF(A:A,A291)-1</f>
        <v>1</v>
      </c>
      <c r="C291" s="2">
        <f>COUNTIF(A$1:A291,A291)-1</f>
        <v>0</v>
      </c>
      <c r="D291" s="2"/>
      <c r="E291" s="2"/>
      <c r="F291" s="2"/>
      <c r="G291" s="2"/>
    </row>
    <row r="292" spans="1:7" x14ac:dyDescent="0.55000000000000004">
      <c r="A292" s="1" t="s">
        <v>1565</v>
      </c>
      <c r="B292" s="2">
        <f>COUNTIF(A:A,A292)-1</f>
        <v>1</v>
      </c>
      <c r="C292" s="2">
        <f>COUNTIF(A$1:A292,A292)-1</f>
        <v>1</v>
      </c>
      <c r="D292" s="2" t="b">
        <f>RESULT(1)</f>
        <v>0</v>
      </c>
      <c r="E292" s="2" t="b">
        <f>IFERROR(INDEX(ERROR(0),RESULT(SET.NAME("_",+INDEX(1,)))),RETURN(INDEX(TYPE(_),SET.NAME("_"))))</f>
        <v>0</v>
      </c>
      <c r="F292" s="2" t="b">
        <f>IFERROR(INDEX(ERROR(0),RESULT(INDIRECT(SET.NAME({1,"_"},)))),RETURN(INDEX(TYPE(_),SET.NAME("_"))))</f>
        <v>0</v>
      </c>
      <c r="G292" s="2">
        <f>TYPE(INDEX(,RESULT(INDEX(1,))))</f>
        <v>16</v>
      </c>
    </row>
    <row r="293" spans="1:7" x14ac:dyDescent="0.55000000000000004">
      <c r="A293" s="1" t="s">
        <v>1566</v>
      </c>
      <c r="B293" s="2">
        <f>COUNTIF(A:A,A293)-1</f>
        <v>2</v>
      </c>
      <c r="C293" s="2">
        <f>COUNTIF(A$1:A293,A293)-1</f>
        <v>0</v>
      </c>
      <c r="D293" s="2"/>
      <c r="E293" s="2"/>
      <c r="F293" s="2"/>
      <c r="G293" s="2"/>
    </row>
    <row r="294" spans="1:7" x14ac:dyDescent="0.55000000000000004">
      <c r="A294" s="1" t="s">
        <v>1566</v>
      </c>
      <c r="B294" s="2">
        <f>COUNTIF(A:A,A294)-1</f>
        <v>2</v>
      </c>
      <c r="C294" s="2">
        <f>COUNTIF(A$1:A294,A294)-1</f>
        <v>1</v>
      </c>
      <c r="D294" s="2" t="e">
        <f>ATAN2(1,#REF!)</f>
        <v>#REF!</v>
      </c>
      <c r="E294" s="2" t="b">
        <f>IFERROR(INDEX(ERROR(0),ATAN2(SET.NAME("_",+INDEX(1,)),#REF!)),RETURN(INDEX(TYPE(_),SET.NAME("_"))))</f>
        <v>0</v>
      </c>
      <c r="F294" s="2" t="b">
        <f>IFERROR(INDEX(ERROR(0),ATAN2(INDIRECT(SET.NAME({1,"_"},)),#REF!)),RETURN(INDEX(TYPE(_),SET.NAME("_"))))</f>
        <v>0</v>
      </c>
      <c r="G294" s="2">
        <f>TYPE(INDEX(,ATAN2(INDEX(1,),#REF!)))</f>
        <v>16</v>
      </c>
    </row>
    <row r="295" spans="1:7" x14ac:dyDescent="0.55000000000000004">
      <c r="A295" s="1" t="s">
        <v>1566</v>
      </c>
      <c r="B295" s="2">
        <f>COUNTIF(A:A,A295)-1</f>
        <v>2</v>
      </c>
      <c r="C295" s="2">
        <f>COUNTIF(A$1:A295,A295)-1</f>
        <v>2</v>
      </c>
      <c r="D295" s="2" t="e">
        <f>ATAN2(#REF!,1)</f>
        <v>#REF!</v>
      </c>
      <c r="E295" s="2" t="b">
        <f>IFERROR(INDEX(ERROR(0),ATAN2(#REF!,SET.NAME("_",+INDEX(1,)))),RETURN(INDEX(TYPE(_),SET.NAME("_"))))</f>
        <v>0</v>
      </c>
      <c r="F295" s="2" t="b">
        <f>IFERROR(INDEX(ERROR(0),ATAN2(#REF!,INDIRECT(SET.NAME({1,"_"},)))),RETURN(INDEX(TYPE(_),SET.NAME("_"))))</f>
        <v>0</v>
      </c>
      <c r="G295" s="2">
        <f>TYPE(INDEX(,ATAN2(#REF!,INDEX(1,))))</f>
        <v>16</v>
      </c>
    </row>
    <row r="296" spans="1:7" x14ac:dyDescent="0.55000000000000004">
      <c r="A296" s="1" t="s">
        <v>1567</v>
      </c>
      <c r="B296" s="2">
        <f>COUNTIF(A:A,A296)-1</f>
        <v>1</v>
      </c>
      <c r="C296" s="2">
        <f>COUNTIF(A$1:A296,A296)-1</f>
        <v>0</v>
      </c>
      <c r="D296" s="2"/>
      <c r="E296" s="2"/>
      <c r="F296" s="2"/>
      <c r="G296" s="2"/>
    </row>
    <row r="297" spans="1:7" x14ac:dyDescent="0.55000000000000004">
      <c r="A297" s="1" t="s">
        <v>1567</v>
      </c>
      <c r="B297" s="2">
        <f>COUNTIF(A:A,A297)-1</f>
        <v>1</v>
      </c>
      <c r="C297" s="2">
        <f>COUNTIF(A$1:A297,A297)-1</f>
        <v>1</v>
      </c>
      <c r="D297" s="2">
        <f>ASIN(1)</f>
        <v>1.5707963267948966</v>
      </c>
      <c r="E297" s="2" t="b">
        <f>IFERROR(INDEX(ERROR(0),ASIN(SET.NAME("_",+INDEX(1,)))),RETURN(INDEX(TYPE(_),SET.NAME("_"))))</f>
        <v>0</v>
      </c>
      <c r="F297" s="2" t="b">
        <f>IFERROR(INDEX(ERROR(0),ASIN(INDIRECT(SET.NAME({1,"_"},)))),RETURN(INDEX(TYPE(_),SET.NAME("_"))))</f>
        <v>0</v>
      </c>
      <c r="G297" s="2">
        <f>TYPE(INDEX(,ASIN(INDEX(1,))))</f>
        <v>16</v>
      </c>
    </row>
    <row r="298" spans="1:7" x14ac:dyDescent="0.55000000000000004">
      <c r="A298" s="1" t="s">
        <v>1568</v>
      </c>
      <c r="B298" s="2">
        <f>COUNTIF(A:A,A298)-1</f>
        <v>1</v>
      </c>
      <c r="C298" s="2">
        <f>COUNTIF(A$1:A298,A298)-1</f>
        <v>0</v>
      </c>
      <c r="D298" s="2"/>
      <c r="E298" s="2"/>
      <c r="F298" s="2"/>
      <c r="G298" s="2"/>
    </row>
    <row r="299" spans="1:7" x14ac:dyDescent="0.55000000000000004">
      <c r="A299" s="1" t="s">
        <v>1568</v>
      </c>
      <c r="B299" s="2">
        <f>COUNTIF(A:A,A299)-1</f>
        <v>1</v>
      </c>
      <c r="C299" s="2">
        <f>COUNTIF(A$1:A299,A299)-1</f>
        <v>1</v>
      </c>
      <c r="D299" s="2">
        <f>ACOS(1)</f>
        <v>0</v>
      </c>
      <c r="E299" s="2" t="b">
        <f>IFERROR(INDEX(ERROR(0),ACOS(SET.NAME("_",+INDEX(1,)))),RETURN(INDEX(TYPE(_),SET.NAME("_"))))</f>
        <v>0</v>
      </c>
      <c r="F299" s="2" t="b">
        <f>IFERROR(INDEX(ERROR(0),ACOS(INDIRECT(SET.NAME({1,"_"},)))),RETURN(INDEX(TYPE(_),SET.NAME("_"))))</f>
        <v>0</v>
      </c>
      <c r="G299" s="2">
        <f>TYPE(INDEX(,ACOS(INDEX(1,))))</f>
        <v>16</v>
      </c>
    </row>
    <row r="300" spans="1:7" x14ac:dyDescent="0.55000000000000004">
      <c r="A300" s="1" t="s">
        <v>1569</v>
      </c>
      <c r="B300" s="2">
        <f>COUNTIF(A:A,A300)-1</f>
        <v>4</v>
      </c>
      <c r="C300" s="2">
        <f>COUNTIF(A$1:A300,A300)-1</f>
        <v>0</v>
      </c>
      <c r="D300" s="2"/>
      <c r="E300" s="2"/>
      <c r="F300" s="2"/>
      <c r="G300" s="2"/>
    </row>
    <row r="301" spans="1:7" x14ac:dyDescent="0.55000000000000004">
      <c r="A301" s="1" t="s">
        <v>1569</v>
      </c>
      <c r="B301" s="2">
        <f>COUNTIF(A:A,A301)-1</f>
        <v>4</v>
      </c>
      <c r="C301" s="2">
        <f>COUNTIF(A$1:A301,A301)-1</f>
        <v>1</v>
      </c>
      <c r="D301" s="2" t="e">
        <f>CHOOSE(1,#REF!,#REF!,#REF!)</f>
        <v>#REF!</v>
      </c>
      <c r="E301" s="2" t="b">
        <f>IFERROR(INDEX(ERROR(0),CHOOSE(SET.NAME("_",+INDEX(1,)),#REF!,#REF!,#REF!)),RETURN(INDEX(TYPE(_),SET.NAME("_"))))</f>
        <v>0</v>
      </c>
      <c r="F301" s="2" t="b">
        <f>IFERROR(INDEX(ERROR(0),CHOOSE(INDIRECT(SET.NAME({1,"_"},)),#REF!,#REF!,#REF!)),RETURN(INDEX(TYPE(_),SET.NAME("_"))))</f>
        <v>0</v>
      </c>
      <c r="G301" s="2">
        <f>TYPE(INDEX(,CHOOSE(INDEX(1,),#REF!,#REF!,#REF!)))</f>
        <v>16</v>
      </c>
    </row>
    <row r="302" spans="1:7" x14ac:dyDescent="0.55000000000000004">
      <c r="A302" s="1" t="s">
        <v>1569</v>
      </c>
      <c r="B302" s="2">
        <f>COUNTIF(A:A,A302)-1</f>
        <v>4</v>
      </c>
      <c r="C302" s="2">
        <f>COUNTIF(A$1:A302,A302)-1</f>
        <v>2</v>
      </c>
      <c r="D302" s="2" t="e">
        <f>CHOOSE(#REF!,1,#REF!,#REF!)</f>
        <v>#REF!</v>
      </c>
      <c r="E302" s="2" t="b">
        <f>IFERROR(INDEX(ERROR(0),CHOOSE(#REF!,SET.NAME("_",+INDEX(1,)),#REF!,#REF!)),RETURN(INDEX(TYPE(_),SET.NAME("_"))))</f>
        <v>0</v>
      </c>
      <c r="F302" s="2" t="b">
        <f>IFERROR(INDEX(ERROR(0),CHOOSE(#REF!,INDIRECT(SET.NAME({1,"_"},)),#REF!,#REF!)),RETURN(INDEX(TYPE(_),SET.NAME("_"))))</f>
        <v>0</v>
      </c>
      <c r="G302" s="2">
        <f>TYPE(INDEX(,CHOOSE(#REF!,INDEX(1,),#REF!,#REF!)))</f>
        <v>16</v>
      </c>
    </row>
    <row r="303" spans="1:7" x14ac:dyDescent="0.55000000000000004">
      <c r="A303" s="1" t="s">
        <v>1569</v>
      </c>
      <c r="B303" s="2">
        <f>COUNTIF(A:A,A303)-1</f>
        <v>4</v>
      </c>
      <c r="C303" s="2">
        <f>COUNTIF(A$1:A303,A303)-1</f>
        <v>3</v>
      </c>
      <c r="D303" s="2" t="e">
        <f>CHOOSE(#REF!,#REF!,1,#REF!)</f>
        <v>#REF!</v>
      </c>
      <c r="E303" s="2" t="b">
        <f>IFERROR(INDEX(ERROR(0),CHOOSE(#REF!,#REF!,SET.NAME("_",+INDEX(1,)),#REF!)),RETURN(INDEX(TYPE(_),SET.NAME("_"))))</f>
        <v>0</v>
      </c>
      <c r="F303" s="2" t="b">
        <f>IFERROR(INDEX(ERROR(0),CHOOSE(#REF!,#REF!,INDIRECT(SET.NAME({1,"_"},)),#REF!)),RETURN(INDEX(TYPE(_),SET.NAME("_"))))</f>
        <v>0</v>
      </c>
      <c r="G303" s="2">
        <f>TYPE(INDEX(,CHOOSE(#REF!,#REF!,INDEX(1,),#REF!)))</f>
        <v>16</v>
      </c>
    </row>
    <row r="304" spans="1:7" x14ac:dyDescent="0.55000000000000004">
      <c r="A304" s="1" t="s">
        <v>1569</v>
      </c>
      <c r="B304" s="2">
        <f>COUNTIF(A:A,A304)-1</f>
        <v>4</v>
      </c>
      <c r="C304" s="2">
        <f>COUNTIF(A$1:A304,A304)-1</f>
        <v>4</v>
      </c>
      <c r="D304" s="2" t="e">
        <f>CHOOSE(#REF!,#REF!,#REF!,1)</f>
        <v>#REF!</v>
      </c>
      <c r="E304" s="2" t="b">
        <f>IFERROR(INDEX(ERROR(0),CHOOSE(#REF!,#REF!,#REF!,SET.NAME("_",+INDEX(1,)))),RETURN(INDEX(TYPE(_),SET.NAME("_"))))</f>
        <v>0</v>
      </c>
      <c r="F304" s="2" t="b">
        <f>IFERROR(INDEX(ERROR(0),CHOOSE(#REF!,#REF!,#REF!,INDIRECT(SET.NAME({1,"_"},)))),RETURN(INDEX(TYPE(_),SET.NAME("_"))))</f>
        <v>0</v>
      </c>
      <c r="G304" s="2">
        <f>TYPE(INDEX(,CHOOSE(#REF!,#REF!,#REF!,INDEX(1,))))</f>
        <v>16</v>
      </c>
    </row>
    <row r="305" spans="1:7" x14ac:dyDescent="0.55000000000000004">
      <c r="A305" s="1" t="s">
        <v>1570</v>
      </c>
      <c r="B305" s="2">
        <f>COUNTIF(A:A,A305)-1</f>
        <v>4</v>
      </c>
      <c r="C305" s="2">
        <f>COUNTIF(A$1:A305,A305)-1</f>
        <v>0</v>
      </c>
      <c r="D305" s="2"/>
      <c r="E305" s="2"/>
      <c r="F305" s="2"/>
      <c r="G305" s="2"/>
    </row>
    <row r="306" spans="1:7" x14ac:dyDescent="0.55000000000000004">
      <c r="A306" s="1" t="s">
        <v>1570</v>
      </c>
      <c r="B306" s="2">
        <f>COUNTIF(A:A,A306)-1</f>
        <v>4</v>
      </c>
      <c r="C306" s="2">
        <f>COUNTIF(A$1:A306,A306)-1</f>
        <v>1</v>
      </c>
      <c r="D306" s="2" t="e">
        <f>HLOOKUP(1,#REF!,#REF!,#REF!)</f>
        <v>#REF!</v>
      </c>
      <c r="E306" s="2" t="b">
        <f>IFERROR(INDEX(ERROR(0),HLOOKUP(SET.NAME("_",+INDEX(1,)),#REF!,#REF!,#REF!)),RETURN(INDEX(TYPE(_),SET.NAME("_"))))</f>
        <v>0</v>
      </c>
      <c r="F306" s="2" t="b">
        <f>IFERROR(INDEX(ERROR(0),HLOOKUP(INDIRECT(SET.NAME({1,"_"},)),#REF!,#REF!,#REF!)),RETURN(INDEX(TYPE(_),SET.NAME("_"))))</f>
        <v>0</v>
      </c>
      <c r="G306" s="2">
        <f>TYPE(INDEX(,HLOOKUP(INDEX(1,),#REF!,#REF!,#REF!)))</f>
        <v>16</v>
      </c>
    </row>
    <row r="307" spans="1:7" x14ac:dyDescent="0.55000000000000004">
      <c r="A307" s="1" t="s">
        <v>1570</v>
      </c>
      <c r="B307" s="2">
        <f>COUNTIF(A:A,A307)-1</f>
        <v>4</v>
      </c>
      <c r="C307" s="2">
        <f>COUNTIF(A$1:A307,A307)-1</f>
        <v>2</v>
      </c>
      <c r="D307" s="2" t="e">
        <f>HLOOKUP(#REF!,1,#REF!,#REF!)</f>
        <v>#REF!</v>
      </c>
      <c r="E307" s="2" t="b">
        <f>IFERROR(INDEX(ERROR(0),HLOOKUP(#REF!,SET.NAME("_",+INDEX(1,)),#REF!,#REF!)),RETURN(INDEX(TYPE(_),SET.NAME("_"))))</f>
        <v>0</v>
      </c>
      <c r="F307" s="2" t="b">
        <f>IFERROR(INDEX(ERROR(0),HLOOKUP(#REF!,INDIRECT(SET.NAME({1,"_"},)),#REF!,#REF!)),RETURN(INDEX(TYPE(_),SET.NAME("_"))))</f>
        <v>0</v>
      </c>
      <c r="G307" s="2">
        <f>TYPE(INDEX(,HLOOKUP(#REF!,INDEX(1,),#REF!,#REF!)))</f>
        <v>16</v>
      </c>
    </row>
    <row r="308" spans="1:7" x14ac:dyDescent="0.55000000000000004">
      <c r="A308" s="1" t="s">
        <v>1570</v>
      </c>
      <c r="B308" s="2">
        <f>COUNTIF(A:A,A308)-1</f>
        <v>4</v>
      </c>
      <c r="C308" s="2">
        <f>COUNTIF(A$1:A308,A308)-1</f>
        <v>3</v>
      </c>
      <c r="D308" s="2" t="e">
        <f>HLOOKUP(#REF!,#REF!,1,#REF!)</f>
        <v>#REF!</v>
      </c>
      <c r="E308" s="2" t="b">
        <f>IFERROR(INDEX(ERROR(0),HLOOKUP(#REF!,#REF!,SET.NAME("_",+INDEX(1,)),#REF!)),RETURN(INDEX(TYPE(_),SET.NAME("_"))))</f>
        <v>0</v>
      </c>
      <c r="F308" s="2" t="b">
        <f>IFERROR(INDEX(ERROR(0),HLOOKUP(#REF!,#REF!,INDIRECT(SET.NAME({1,"_"},)),#REF!)),RETURN(INDEX(TYPE(_),SET.NAME("_"))))</f>
        <v>0</v>
      </c>
      <c r="G308" s="2">
        <f>TYPE(INDEX(,HLOOKUP(#REF!,#REF!,INDEX(1,),#REF!)))</f>
        <v>16</v>
      </c>
    </row>
    <row r="309" spans="1:7" x14ac:dyDescent="0.55000000000000004">
      <c r="A309" s="1" t="s">
        <v>1570</v>
      </c>
      <c r="B309" s="2">
        <f>COUNTIF(A:A,A309)-1</f>
        <v>4</v>
      </c>
      <c r="C309" s="2">
        <f>COUNTIF(A$1:A309,A309)-1</f>
        <v>4</v>
      </c>
      <c r="D309" s="2" t="e">
        <f>HLOOKUP(#REF!,#REF!,#REF!,1)</f>
        <v>#REF!</v>
      </c>
      <c r="E309" s="2" t="b">
        <f>IFERROR(INDEX(ERROR(0),HLOOKUP(#REF!,#REF!,#REF!,SET.NAME("_",+INDEX(1,)))),RETURN(INDEX(TYPE(_),SET.NAME("_"))))</f>
        <v>0</v>
      </c>
      <c r="F309" s="2" t="b">
        <f>IFERROR(INDEX(ERROR(0),HLOOKUP(#REF!,#REF!,#REF!,INDIRECT(SET.NAME({1,"_"},)))),RETURN(INDEX(TYPE(_),SET.NAME("_"))))</f>
        <v>0</v>
      </c>
      <c r="G309" s="2">
        <f>TYPE(INDEX(,HLOOKUP(#REF!,#REF!,#REF!,INDEX(1,))))</f>
        <v>16</v>
      </c>
    </row>
    <row r="310" spans="1:7" x14ac:dyDescent="0.55000000000000004">
      <c r="A310" s="1" t="s">
        <v>1571</v>
      </c>
      <c r="B310" s="2">
        <f>COUNTIF(A:A,A310)-1</f>
        <v>4</v>
      </c>
      <c r="C310" s="2">
        <f>COUNTIF(A$1:A310,A310)-1</f>
        <v>0</v>
      </c>
      <c r="D310" s="2"/>
      <c r="E310" s="2"/>
      <c r="F310" s="2"/>
      <c r="G310" s="2"/>
    </row>
    <row r="311" spans="1:7" x14ac:dyDescent="0.55000000000000004">
      <c r="A311" s="1" t="s">
        <v>1571</v>
      </c>
      <c r="B311" s="2">
        <f>COUNTIF(A:A,A311)-1</f>
        <v>4</v>
      </c>
      <c r="C311" s="2">
        <f>COUNTIF(A$1:A311,A311)-1</f>
        <v>1</v>
      </c>
      <c r="D311" s="2" t="e">
        <f>VLOOKUP(1,#REF!,#REF!,#REF!)</f>
        <v>#REF!</v>
      </c>
      <c r="E311" s="2" t="b">
        <f>IFERROR(INDEX(ERROR(0),VLOOKUP(SET.NAME("_",+INDEX(1,)),#REF!,#REF!,#REF!)),RETURN(INDEX(TYPE(_),SET.NAME("_"))))</f>
        <v>0</v>
      </c>
      <c r="F311" s="2" t="b">
        <f>IFERROR(INDEX(ERROR(0),VLOOKUP(INDIRECT(SET.NAME({1,"_"},)),#REF!,#REF!,#REF!)),RETURN(INDEX(TYPE(_),SET.NAME("_"))))</f>
        <v>0</v>
      </c>
      <c r="G311" s="2">
        <f>TYPE(INDEX(,VLOOKUP(INDEX(1,),#REF!,#REF!,#REF!)))</f>
        <v>16</v>
      </c>
    </row>
    <row r="312" spans="1:7" x14ac:dyDescent="0.55000000000000004">
      <c r="A312" s="1" t="s">
        <v>1571</v>
      </c>
      <c r="B312" s="2">
        <f>COUNTIF(A:A,A312)-1</f>
        <v>4</v>
      </c>
      <c r="C312" s="2">
        <f>COUNTIF(A$1:A312,A312)-1</f>
        <v>2</v>
      </c>
      <c r="D312" s="2" t="e">
        <f>VLOOKUP(#REF!,1,#REF!,#REF!)</f>
        <v>#REF!</v>
      </c>
      <c r="E312" s="2" t="b">
        <f>IFERROR(INDEX(ERROR(0),VLOOKUP(#REF!,SET.NAME("_",+INDEX(1,)),#REF!,#REF!)),RETURN(INDEX(TYPE(_),SET.NAME("_"))))</f>
        <v>0</v>
      </c>
      <c r="F312" s="2" t="b">
        <f>IFERROR(INDEX(ERROR(0),VLOOKUP(#REF!,INDIRECT(SET.NAME({1,"_"},)),#REF!,#REF!)),RETURN(INDEX(TYPE(_),SET.NAME("_"))))</f>
        <v>0</v>
      </c>
      <c r="G312" s="2">
        <f>TYPE(INDEX(,VLOOKUP(#REF!,INDEX(1,),#REF!,#REF!)))</f>
        <v>16</v>
      </c>
    </row>
    <row r="313" spans="1:7" x14ac:dyDescent="0.55000000000000004">
      <c r="A313" s="1" t="s">
        <v>1571</v>
      </c>
      <c r="B313" s="2">
        <f>COUNTIF(A:A,A313)-1</f>
        <v>4</v>
      </c>
      <c r="C313" s="2">
        <f>COUNTIF(A$1:A313,A313)-1</f>
        <v>3</v>
      </c>
      <c r="D313" s="2" t="e">
        <f>VLOOKUP(#REF!,#REF!,1,#REF!)</f>
        <v>#REF!</v>
      </c>
      <c r="E313" s="2" t="b">
        <f>IFERROR(INDEX(ERROR(0),VLOOKUP(#REF!,#REF!,SET.NAME("_",+INDEX(1,)),#REF!)),RETURN(INDEX(TYPE(_),SET.NAME("_"))))</f>
        <v>0</v>
      </c>
      <c r="F313" s="2" t="b">
        <f>IFERROR(INDEX(ERROR(0),VLOOKUP(#REF!,#REF!,INDIRECT(SET.NAME({1,"_"},)),#REF!)),RETURN(INDEX(TYPE(_),SET.NAME("_"))))</f>
        <v>0</v>
      </c>
      <c r="G313" s="2">
        <f>TYPE(INDEX(,VLOOKUP(#REF!,#REF!,INDEX(1,),#REF!)))</f>
        <v>16</v>
      </c>
    </row>
    <row r="314" spans="1:7" x14ac:dyDescent="0.55000000000000004">
      <c r="A314" s="1" t="s">
        <v>1571</v>
      </c>
      <c r="B314" s="2">
        <f>COUNTIF(A:A,A314)-1</f>
        <v>4</v>
      </c>
      <c r="C314" s="2">
        <f>COUNTIF(A$1:A314,A314)-1</f>
        <v>4</v>
      </c>
      <c r="D314" s="2" t="e">
        <f>VLOOKUP(#REF!,#REF!,#REF!,1)</f>
        <v>#REF!</v>
      </c>
      <c r="E314" s="2" t="b">
        <f>IFERROR(INDEX(ERROR(0),VLOOKUP(#REF!,#REF!,#REF!,SET.NAME("_",+INDEX(1,)))),RETURN(INDEX(TYPE(_),SET.NAME("_"))))</f>
        <v>0</v>
      </c>
      <c r="F314" s="2" t="b">
        <f>IFERROR(INDEX(ERROR(0),VLOOKUP(#REF!,#REF!,#REF!,INDIRECT(SET.NAME({1,"_"},)))),RETURN(INDEX(TYPE(_),SET.NAME("_"))))</f>
        <v>0</v>
      </c>
      <c r="G314" s="2">
        <f>TYPE(INDEX(,VLOOKUP(#REF!,#REF!,#REF!,INDEX(1,))))</f>
        <v>16</v>
      </c>
    </row>
    <row r="315" spans="1:7" x14ac:dyDescent="0.55000000000000004">
      <c r="A315" s="1" t="s">
        <v>1572</v>
      </c>
      <c r="B315" s="2">
        <f>COUNTIF(A:A,A315)-1</f>
        <v>2</v>
      </c>
      <c r="C315" s="2">
        <f>COUNTIF(A$1:A315,A315)-1</f>
        <v>0</v>
      </c>
      <c r="D315" s="2"/>
      <c r="E315" s="2"/>
      <c r="F315" s="2"/>
      <c r="G315" s="2"/>
    </row>
    <row r="316" spans="1:7" x14ac:dyDescent="0.55000000000000004">
      <c r="A316" s="1" t="s">
        <v>1572</v>
      </c>
      <c r="B316" s="2">
        <f>COUNTIF(A:A,A316)-1</f>
        <v>2</v>
      </c>
      <c r="C316" s="2">
        <f>COUNTIF(A$1:A316,A316)-1</f>
        <v>1</v>
      </c>
      <c r="D316" s="2" t="e">
        <f>LINKS(1,#REF!)</f>
        <v>#REF!</v>
      </c>
      <c r="E316" s="2" t="b">
        <f>IFERROR(INDEX(ERROR(0),LINKS(SET.NAME("_",+INDEX(1,)),#REF!)),RETURN(INDEX(TYPE(_),SET.NAME("_"))))</f>
        <v>0</v>
      </c>
      <c r="F316" s="2" t="b">
        <f>IFERROR(INDEX(ERROR(0),LINKS(INDIRECT(SET.NAME({1,"_"},)),#REF!)),RETURN(INDEX(TYPE(_),SET.NAME("_"))))</f>
        <v>0</v>
      </c>
      <c r="G316" s="2">
        <f>TYPE(INDEX(,LINKS(INDEX(1,),#REF!)))</f>
        <v>16</v>
      </c>
    </row>
    <row r="317" spans="1:7" x14ac:dyDescent="0.55000000000000004">
      <c r="A317" s="1" t="s">
        <v>1572</v>
      </c>
      <c r="B317" s="2">
        <f>COUNTIF(A:A,A317)-1</f>
        <v>2</v>
      </c>
      <c r="C317" s="2">
        <f>COUNTIF(A$1:A317,A317)-1</f>
        <v>2</v>
      </c>
      <c r="D317" s="2" t="e">
        <f>LINKS(#REF!,1)</f>
        <v>#REF!</v>
      </c>
      <c r="E317" s="2" t="b">
        <f>IFERROR(INDEX(ERROR(0),LINKS(#REF!,SET.NAME("_",+INDEX(1,)))),RETURN(INDEX(TYPE(_),SET.NAME("_"))))</f>
        <v>0</v>
      </c>
      <c r="F317" s="2" t="b">
        <f>IFERROR(INDEX(ERROR(0),LINKS(#REF!,INDIRECT(SET.NAME({1,"_"},)))),RETURN(INDEX(TYPE(_),SET.NAME("_"))))</f>
        <v>0</v>
      </c>
      <c r="G317" s="2">
        <f>TYPE(INDEX(,LINKS(#REF!,INDEX(1,))))</f>
        <v>16</v>
      </c>
    </row>
    <row r="318" spans="1:7" x14ac:dyDescent="0.55000000000000004">
      <c r="A318" s="1" t="s">
        <v>1573</v>
      </c>
      <c r="B318" s="2">
        <f>COUNTIF(A:A,A318)-1</f>
        <v>7</v>
      </c>
      <c r="C318" s="2">
        <f>COUNTIF(A$1:A318,A318)-1</f>
        <v>0</v>
      </c>
      <c r="D318" s="2"/>
      <c r="E318" s="2"/>
      <c r="F318" s="2"/>
      <c r="G318" s="2"/>
    </row>
    <row r="319" spans="1:7" x14ac:dyDescent="0.55000000000000004">
      <c r="A319" s="1" t="s">
        <v>1573</v>
      </c>
      <c r="B319" s="2">
        <f>COUNTIF(A:A,A319)-1</f>
        <v>7</v>
      </c>
      <c r="C319" s="2">
        <f>COUNTIF(A$1:A319,A319)-1</f>
        <v>1</v>
      </c>
      <c r="D319" s="2" t="e">
        <f>INPUT(1,#REF!,#REF!,#REF!,#REF!,#REF!,#REF!)</f>
        <v>#REF!</v>
      </c>
      <c r="E319" s="2" t="b">
        <f>IFERROR(INDEX(ERROR(0),INPUT(SET.NAME("_",+INDEX(1,)),#REF!,#REF!,#REF!,#REF!,#REF!,#REF!)),RETURN(INDEX(TYPE(_),SET.NAME("_"))))</f>
        <v>0</v>
      </c>
      <c r="F319" s="2" t="b">
        <f>IFERROR(INDEX(ERROR(0),INPUT(INDIRECT(SET.NAME({1,"_"},)),#REF!,#REF!,#REF!,#REF!,#REF!,#REF!)),RETURN(INDEX(TYPE(_),SET.NAME("_"))))</f>
        <v>0</v>
      </c>
      <c r="G319" s="2">
        <f>TYPE(INDEX(,INPUT(INDEX(1,),#REF!,#REF!,#REF!,#REF!,#REF!,#REF!)))</f>
        <v>16</v>
      </c>
    </row>
    <row r="320" spans="1:7" x14ac:dyDescent="0.55000000000000004">
      <c r="A320" s="1" t="s">
        <v>1573</v>
      </c>
      <c r="B320" s="2">
        <f>COUNTIF(A:A,A320)-1</f>
        <v>7</v>
      </c>
      <c r="C320" s="2">
        <f>COUNTIF(A$1:A320,A320)-1</f>
        <v>2</v>
      </c>
      <c r="D320" s="2" t="e">
        <f>INPUT(#REF!,1,#REF!,#REF!,#REF!,#REF!,#REF!)</f>
        <v>#REF!</v>
      </c>
      <c r="E320" s="2" t="b">
        <f>IFERROR(INDEX(ERROR(0),INPUT(#REF!,SET.NAME("_",+INDEX(1,)),#REF!,#REF!,#REF!,#REF!,#REF!)),RETURN(INDEX(TYPE(_),SET.NAME("_"))))</f>
        <v>0</v>
      </c>
      <c r="F320" s="2" t="b">
        <f>IFERROR(INDEX(ERROR(0),INPUT(#REF!,INDIRECT(SET.NAME({1,"_"},)),#REF!,#REF!,#REF!,#REF!,#REF!)),RETURN(INDEX(TYPE(_),SET.NAME("_"))))</f>
        <v>0</v>
      </c>
      <c r="G320" s="2">
        <f>TYPE(INDEX(,INPUT(#REF!,INDEX(1,),#REF!,#REF!,#REF!,#REF!,#REF!)))</f>
        <v>16</v>
      </c>
    </row>
    <row r="321" spans="1:7" x14ac:dyDescent="0.55000000000000004">
      <c r="A321" s="1" t="s">
        <v>1573</v>
      </c>
      <c r="B321" s="2">
        <f>COUNTIF(A:A,A321)-1</f>
        <v>7</v>
      </c>
      <c r="C321" s="2">
        <f>COUNTIF(A$1:A321,A321)-1</f>
        <v>3</v>
      </c>
      <c r="D321" s="2" t="e">
        <f>INPUT(#REF!,#REF!,1,#REF!,#REF!,#REF!,#REF!)</f>
        <v>#REF!</v>
      </c>
      <c r="E321" s="2" t="b">
        <f>IFERROR(INDEX(ERROR(0),INPUT(#REF!,#REF!,SET.NAME("_",+INDEX(1,)),#REF!,#REF!,#REF!,#REF!)),RETURN(INDEX(TYPE(_),SET.NAME("_"))))</f>
        <v>0</v>
      </c>
      <c r="F321" s="2" t="b">
        <f>IFERROR(INDEX(ERROR(0),INPUT(#REF!,#REF!,INDIRECT(SET.NAME({1,"_"},)),#REF!,#REF!,#REF!,#REF!)),RETURN(INDEX(TYPE(_),SET.NAME("_"))))</f>
        <v>0</v>
      </c>
      <c r="G321" s="2">
        <f>TYPE(INDEX(,INPUT(#REF!,#REF!,INDEX(1,),#REF!,#REF!,#REF!,#REF!)))</f>
        <v>16</v>
      </c>
    </row>
    <row r="322" spans="1:7" x14ac:dyDescent="0.55000000000000004">
      <c r="A322" s="1" t="s">
        <v>1573</v>
      </c>
      <c r="B322" s="2">
        <f>COUNTIF(A:A,A322)-1</f>
        <v>7</v>
      </c>
      <c r="C322" s="2">
        <f>COUNTIF(A$1:A322,A322)-1</f>
        <v>4</v>
      </c>
      <c r="D322" s="2" t="e">
        <f>INPUT(#REF!,#REF!,#REF!,1,#REF!,#REF!,#REF!)</f>
        <v>#REF!</v>
      </c>
      <c r="E322" s="2" t="b">
        <f>IFERROR(INDEX(ERROR(0),INPUT(#REF!,#REF!,#REF!,SET.NAME("_",+INDEX(1,)),#REF!,#REF!,#REF!)),RETURN(INDEX(TYPE(_),SET.NAME("_"))))</f>
        <v>0</v>
      </c>
      <c r="F322" s="2" t="b">
        <f>IFERROR(INDEX(ERROR(0),INPUT(#REF!,#REF!,#REF!,INDIRECT(SET.NAME({1,"_"},)),#REF!,#REF!,#REF!)),RETURN(INDEX(TYPE(_),SET.NAME("_"))))</f>
        <v>0</v>
      </c>
      <c r="G322" s="2">
        <f>TYPE(INDEX(,INPUT(#REF!,#REF!,#REF!,INDEX(1,),#REF!,#REF!,#REF!)))</f>
        <v>16</v>
      </c>
    </row>
    <row r="323" spans="1:7" x14ac:dyDescent="0.55000000000000004">
      <c r="A323" s="1" t="s">
        <v>1573</v>
      </c>
      <c r="B323" s="2">
        <f>COUNTIF(A:A,A323)-1</f>
        <v>7</v>
      </c>
      <c r="C323" s="2">
        <f>COUNTIF(A$1:A323,A323)-1</f>
        <v>5</v>
      </c>
      <c r="D323" s="2" t="e">
        <f>INPUT(#REF!,#REF!,#REF!,#REF!,1,#REF!,#REF!)</f>
        <v>#REF!</v>
      </c>
      <c r="E323" s="2" t="b">
        <f>IFERROR(INDEX(ERROR(0),INPUT(#REF!,#REF!,#REF!,#REF!,SET.NAME("_",+INDEX(1,)),#REF!,#REF!)),RETURN(INDEX(TYPE(_),SET.NAME("_"))))</f>
        <v>0</v>
      </c>
      <c r="F323" s="2" t="b">
        <f>IFERROR(INDEX(ERROR(0),INPUT(#REF!,#REF!,#REF!,#REF!,INDIRECT(SET.NAME({1,"_"},)),#REF!,#REF!)),RETURN(INDEX(TYPE(_),SET.NAME("_"))))</f>
        <v>0</v>
      </c>
      <c r="G323" s="2">
        <f>TYPE(INDEX(,INPUT(#REF!,#REF!,#REF!,#REF!,INDEX(1,),#REF!,#REF!)))</f>
        <v>16</v>
      </c>
    </row>
    <row r="324" spans="1:7" x14ac:dyDescent="0.55000000000000004">
      <c r="A324" s="1" t="s">
        <v>1573</v>
      </c>
      <c r="B324" s="2">
        <f>COUNTIF(A:A,A324)-1</f>
        <v>7</v>
      </c>
      <c r="C324" s="2">
        <f>COUNTIF(A$1:A324,A324)-1</f>
        <v>6</v>
      </c>
      <c r="D324" s="2" t="e">
        <f>INPUT(#REF!,#REF!,#REF!,#REF!,#REF!,1,#REF!)</f>
        <v>#REF!</v>
      </c>
      <c r="E324" s="2" t="b">
        <f>IFERROR(INDEX(ERROR(0),INPUT(#REF!,#REF!,#REF!,#REF!,#REF!,SET.NAME("_",+INDEX(1,)),#REF!)),RETURN(INDEX(TYPE(_),SET.NAME("_"))))</f>
        <v>0</v>
      </c>
      <c r="F324" s="2" t="b">
        <f>IFERROR(INDEX(ERROR(0),INPUT(#REF!,#REF!,#REF!,#REF!,#REF!,INDIRECT(SET.NAME({1,"_"},)),#REF!)),RETURN(INDEX(TYPE(_),SET.NAME("_"))))</f>
        <v>0</v>
      </c>
      <c r="G324" s="2">
        <f>TYPE(INDEX(,INPUT(#REF!,#REF!,#REF!,#REF!,#REF!,INDEX(1,),#REF!)))</f>
        <v>16</v>
      </c>
    </row>
    <row r="325" spans="1:7" x14ac:dyDescent="0.55000000000000004">
      <c r="A325" s="1" t="s">
        <v>1573</v>
      </c>
      <c r="B325" s="2">
        <f>COUNTIF(A:A,A325)-1</f>
        <v>7</v>
      </c>
      <c r="C325" s="2">
        <f>COUNTIF(A$1:A325,A325)-1</f>
        <v>7</v>
      </c>
      <c r="D325" s="2" t="e">
        <f>INPUT(#REF!,#REF!,#REF!,#REF!,#REF!,#REF!,1)</f>
        <v>#REF!</v>
      </c>
      <c r="E325" s="2" t="b">
        <f>IFERROR(INDEX(ERROR(0),INPUT(#REF!,#REF!,#REF!,#REF!,#REF!,#REF!,SET.NAME("_",+INDEX(1,)))),RETURN(INDEX(TYPE(_),SET.NAME("_"))))</f>
        <v>0</v>
      </c>
      <c r="F325" s="2" t="b">
        <f>IFERROR(INDEX(ERROR(0),INPUT(#REF!,#REF!,#REF!,#REF!,#REF!,#REF!,INDIRECT(SET.NAME({1,"_"},)))),RETURN(INDEX(TYPE(_),SET.NAME("_"))))</f>
        <v>0</v>
      </c>
      <c r="G325" s="2">
        <f>TYPE(INDEX(,INPUT(#REF!,#REF!,#REF!,#REF!,#REF!,#REF!,INDEX(1,))))</f>
        <v>16</v>
      </c>
    </row>
    <row r="326" spans="1:7" x14ac:dyDescent="0.55000000000000004">
      <c r="A326" s="1" t="s">
        <v>1574</v>
      </c>
      <c r="B326" s="2">
        <f>COUNTIF(A:A,A326)-1</f>
        <v>1</v>
      </c>
      <c r="C326" s="2">
        <f>COUNTIF(A$1:A326,A326)-1</f>
        <v>0</v>
      </c>
      <c r="D326" s="2"/>
      <c r="E326" s="2"/>
      <c r="F326" s="2"/>
      <c r="G326" s="2"/>
    </row>
    <row r="327" spans="1:7" x14ac:dyDescent="0.55000000000000004">
      <c r="A327" s="1" t="s">
        <v>1574</v>
      </c>
      <c r="B327" s="2">
        <f>COUNTIF(A:A,A327)-1</f>
        <v>1</v>
      </c>
      <c r="C327" s="2">
        <f>COUNTIF(A$1:A327,A327)-1</f>
        <v>1</v>
      </c>
      <c r="D327" s="2" t="b">
        <f>ISREF(1)</f>
        <v>0</v>
      </c>
      <c r="E327" s="2" t="b">
        <f>IFERROR(INDEX(ERROR(0),ISREF(SET.NAME("_",+INDEX(1,)))),RETURN(INDEX(TYPE(_),SET.NAME("_"))))</f>
        <v>0</v>
      </c>
      <c r="F327" s="2" t="b">
        <f>IFERROR(INDEX(ERROR(0),ISREF(INDIRECT(SET.NAME({1,"_"},)))),RETURN(INDEX(TYPE(_),SET.NAME("_"))))</f>
        <v>0</v>
      </c>
      <c r="G327" s="2">
        <f>TYPE(INDEX(,ISREF(INDEX(1,))))</f>
        <v>16</v>
      </c>
    </row>
    <row r="328" spans="1:7" x14ac:dyDescent="0.55000000000000004">
      <c r="A328" s="1" t="s">
        <v>1575</v>
      </c>
      <c r="B328" s="2">
        <f>COUNTIF(A:A,A328)-1</f>
        <v>1</v>
      </c>
      <c r="C328" s="2">
        <f>COUNTIF(A$1:A328,A328)-1</f>
        <v>0</v>
      </c>
      <c r="D328" s="2"/>
      <c r="E328" s="2"/>
      <c r="F328" s="2"/>
      <c r="G328" s="2"/>
    </row>
    <row r="329" spans="1:7" x14ac:dyDescent="0.55000000000000004">
      <c r="A329" s="1" t="s">
        <v>1575</v>
      </c>
      <c r="B329" s="2">
        <f>COUNTIF(A:A,A329)-1</f>
        <v>1</v>
      </c>
      <c r="C329" s="2">
        <f>COUNTIF(A$1:A329,A329)-1</f>
        <v>1</v>
      </c>
      <c r="D329" s="2" t="e">
        <f>GET.FORMULA(1)</f>
        <v>#VALUE!</v>
      </c>
      <c r="E329" s="2" t="b">
        <f>IFERROR(INDEX(ERROR(0),GET.FORMULA(SET.NAME("_",+INDEX(1,)))),RETURN(INDEX(TYPE(_),SET.NAME("_"))))</f>
        <v>0</v>
      </c>
      <c r="F329" s="2" t="b">
        <f>IFERROR(INDEX(ERROR(0),GET.FORMULA(INDIRECT(SET.NAME({1,"_"},)))),RETURN(INDEX(TYPE(_),SET.NAME("_"))))</f>
        <v>0</v>
      </c>
      <c r="G329" s="2">
        <f>TYPE(INDEX(,GET.FORMULA(INDEX(1,))))</f>
        <v>64</v>
      </c>
    </row>
    <row r="330" spans="1:7" x14ac:dyDescent="0.55000000000000004">
      <c r="A330" s="1" t="s">
        <v>1576</v>
      </c>
      <c r="B330" s="2">
        <f>COUNTIF(A:A,A330)-1</f>
        <v>2</v>
      </c>
      <c r="C330" s="2">
        <f>COUNTIF(A$1:A330,A330)-1</f>
        <v>0</v>
      </c>
      <c r="D330" s="2"/>
      <c r="E330" s="2"/>
      <c r="F330" s="2"/>
      <c r="G330" s="2"/>
    </row>
    <row r="331" spans="1:7" x14ac:dyDescent="0.55000000000000004">
      <c r="A331" s="1" t="s">
        <v>1576</v>
      </c>
      <c r="B331" s="2">
        <f>COUNTIF(A:A,A331)-1</f>
        <v>2</v>
      </c>
      <c r="C331" s="2">
        <f>COUNTIF(A$1:A331,A331)-1</f>
        <v>1</v>
      </c>
      <c r="D331" s="2" t="e">
        <f>GET.NAME(1,#REF!)</f>
        <v>#REF!</v>
      </c>
      <c r="E331" s="2" t="b">
        <f>IFERROR(INDEX(ERROR(0),GET.NAME(SET.NAME("_",+INDEX(1,)),#REF!)),RETURN(INDEX(TYPE(_),SET.NAME("_"))))</f>
        <v>0</v>
      </c>
      <c r="F331" s="2" t="b">
        <f>IFERROR(INDEX(ERROR(0),GET.NAME(INDIRECT(SET.NAME({1,"_"},)),#REF!)),RETURN(INDEX(TYPE(_),SET.NAME("_"))))</f>
        <v>0</v>
      </c>
      <c r="G331" s="2">
        <f>TYPE(INDEX(,GET.NAME(INDEX(1,),#REF!)))</f>
        <v>16</v>
      </c>
    </row>
    <row r="332" spans="1:7" x14ac:dyDescent="0.55000000000000004">
      <c r="A332" s="1" t="s">
        <v>1576</v>
      </c>
      <c r="B332" s="2">
        <f>COUNTIF(A:A,A332)-1</f>
        <v>2</v>
      </c>
      <c r="C332" s="2">
        <f>COUNTIF(A$1:A332,A332)-1</f>
        <v>2</v>
      </c>
      <c r="D332" s="2" t="e">
        <f>GET.NAME(#REF!,1)</f>
        <v>#REF!</v>
      </c>
      <c r="E332" s="2" t="b">
        <f>IFERROR(INDEX(ERROR(0),GET.NAME(#REF!,SET.NAME("_",+INDEX(1,)))),RETURN(INDEX(TYPE(_),SET.NAME("_"))))</f>
        <v>0</v>
      </c>
      <c r="F332" s="2" t="b">
        <f>IFERROR(INDEX(ERROR(0),GET.NAME(#REF!,INDIRECT(SET.NAME({1,"_"},)))),RETURN(INDEX(TYPE(_),SET.NAME("_"))))</f>
        <v>0</v>
      </c>
      <c r="G332" s="2">
        <f>TYPE(INDEX(,GET.NAME(#REF!,INDEX(1,))))</f>
        <v>16</v>
      </c>
    </row>
    <row r="333" spans="1:7" x14ac:dyDescent="0.55000000000000004">
      <c r="A333" s="1" t="s">
        <v>1577</v>
      </c>
      <c r="B333" s="2">
        <f>COUNTIF(A:A,A333)-1</f>
        <v>2</v>
      </c>
      <c r="C333" s="2">
        <f>COUNTIF(A$1:A333,A333)-1</f>
        <v>0</v>
      </c>
      <c r="D333" s="2"/>
      <c r="E333" s="2"/>
      <c r="F333" s="2"/>
      <c r="G333" s="2"/>
    </row>
    <row r="334" spans="1:7" x14ac:dyDescent="0.55000000000000004">
      <c r="A334" s="1" t="s">
        <v>1577</v>
      </c>
      <c r="B334" s="2">
        <f>COUNTIF(A:A,A334)-1</f>
        <v>2</v>
      </c>
      <c r="C334" s="2">
        <f>COUNTIF(A$1:A334,A334)-1</f>
        <v>1</v>
      </c>
      <c r="D334" s="2" t="s">
        <v>2275</v>
      </c>
      <c r="E334" s="2" t="s">
        <v>2213</v>
      </c>
      <c r="F334" s="2" t="b">
        <f>IFERROR(INDEX(ERROR(0),SET.VALUE(INDIRECT(SET.NAME({1,"_"},)),#REF!)),RETURN(INDEX(TYPE(_),SET.NAME("_"))))</f>
        <v>0</v>
      </c>
      <c r="G334" s="2">
        <f>TYPE(INDEX(,SET.VALUE(INDEX(1,),#REF!)))</f>
        <v>64</v>
      </c>
    </row>
    <row r="335" spans="1:7" x14ac:dyDescent="0.55000000000000004">
      <c r="A335" s="1" t="s">
        <v>1577</v>
      </c>
      <c r="B335" s="2">
        <f>COUNTIF(A:A,A335)-1</f>
        <v>2</v>
      </c>
      <c r="C335" s="2">
        <f>COUNTIF(A$1:A335,A335)-1</f>
        <v>2</v>
      </c>
      <c r="D335" s="2" t="b">
        <f>SET.VALUE(#REF!,1)</f>
        <v>0</v>
      </c>
      <c r="E335" s="2" t="b">
        <f>IFERROR(INDEX(ERROR(0),SET.VALUE(#REF!,SET.NAME("_",+INDEX(1,)))),RETURN(INDEX(TYPE(_),SET.NAME("_"))))</f>
        <v>0</v>
      </c>
      <c r="F335" s="2" t="b">
        <f>IFERROR(INDEX(ERROR(0),SET.VALUE(#REF!,INDIRECT(SET.NAME({1,"_"},)))),RETURN(INDEX(TYPE(_),SET.NAME("_"))))</f>
        <v>0</v>
      </c>
      <c r="G335" s="2">
        <f>TYPE(INDEX(,SET.VALUE(#REF!,INDEX(1,))))</f>
        <v>16</v>
      </c>
    </row>
    <row r="336" spans="1:7" x14ac:dyDescent="0.55000000000000004">
      <c r="A336" s="1" t="s">
        <v>1578</v>
      </c>
      <c r="B336" s="2">
        <f>COUNTIF(A:A,A336)-1</f>
        <v>2</v>
      </c>
      <c r="C336" s="2">
        <f>COUNTIF(A$1:A336,A336)-1</f>
        <v>0</v>
      </c>
      <c r="D336" s="2"/>
      <c r="E336" s="2"/>
      <c r="F336" s="2"/>
      <c r="G336" s="2"/>
    </row>
    <row r="337" spans="1:7" x14ac:dyDescent="0.55000000000000004">
      <c r="A337" s="1" t="s">
        <v>1578</v>
      </c>
      <c r="B337" s="2">
        <f>COUNTIF(A:A,A337)-1</f>
        <v>2</v>
      </c>
      <c r="C337" s="2">
        <f>COUNTIF(A$1:A337,A337)-1</f>
        <v>1</v>
      </c>
      <c r="D337" s="2" t="e">
        <f>LOG(1,#REF!)</f>
        <v>#REF!</v>
      </c>
      <c r="E337" s="2" t="b">
        <f>IFERROR(INDEX(ERROR(0),LOG(SET.NAME("_",+INDEX(1,)),#REF!)),RETURN(INDEX(TYPE(_),SET.NAME("_"))))</f>
        <v>0</v>
      </c>
      <c r="F337" s="2" t="b">
        <f>IFERROR(INDEX(ERROR(0),LOG(INDIRECT(SET.NAME({1,"_"},)),#REF!)),RETURN(INDEX(TYPE(_),SET.NAME("_"))))</f>
        <v>0</v>
      </c>
      <c r="G337" s="2">
        <f>TYPE(INDEX(,LOG(INDEX(1,),#REF!)))</f>
        <v>16</v>
      </c>
    </row>
    <row r="338" spans="1:7" x14ac:dyDescent="0.55000000000000004">
      <c r="A338" s="1" t="s">
        <v>1578</v>
      </c>
      <c r="B338" s="2">
        <f>COUNTIF(A:A,A338)-1</f>
        <v>2</v>
      </c>
      <c r="C338" s="2">
        <f>COUNTIF(A$1:A338,A338)-1</f>
        <v>2</v>
      </c>
      <c r="D338" s="2" t="e">
        <f>LOG(#REF!,1)</f>
        <v>#REF!</v>
      </c>
      <c r="E338" s="2" t="b">
        <f>IFERROR(INDEX(ERROR(0),LOG(#REF!,SET.NAME("_",+INDEX(1,)))),RETURN(INDEX(TYPE(_),SET.NAME("_"))))</f>
        <v>0</v>
      </c>
      <c r="F338" s="2" t="b">
        <f>IFERROR(INDEX(ERROR(0),LOG(#REF!,INDIRECT(SET.NAME({1,"_"},)))),RETURN(INDEX(TYPE(_),SET.NAME("_"))))</f>
        <v>0</v>
      </c>
      <c r="G338" s="2">
        <f>TYPE(INDEX(,LOG(#REF!,INDEX(1,))))</f>
        <v>16</v>
      </c>
    </row>
    <row r="339" spans="1:7" x14ac:dyDescent="0.55000000000000004">
      <c r="A339" s="1" t="s">
        <v>1579</v>
      </c>
      <c r="B339" s="2">
        <f>COUNTIF(A:A,A339)-1</f>
        <v>2</v>
      </c>
      <c r="C339" s="2">
        <f>COUNTIF(A$1:A339,A339)-1</f>
        <v>0</v>
      </c>
      <c r="D339" s="2"/>
      <c r="E339" s="2"/>
      <c r="F339" s="2"/>
      <c r="G339" s="2"/>
    </row>
    <row r="340" spans="1:7" x14ac:dyDescent="0.55000000000000004">
      <c r="A340" s="1" t="s">
        <v>1579</v>
      </c>
      <c r="B340" s="2">
        <f>COUNTIF(A:A,A340)-1</f>
        <v>2</v>
      </c>
      <c r="C340" s="2">
        <f>COUNTIF(A$1:A340,A340)-1</f>
        <v>1</v>
      </c>
      <c r="D340" s="2" t="e">
        <f>EXEC(1,#REF!)</f>
        <v>#REF!</v>
      </c>
      <c r="E340" s="2" t="b">
        <f>IFERROR(INDEX(ERROR(0),EXEC(SET.NAME("_",+INDEX(1,)),#REF!)),RETURN(INDEX(TYPE(_),SET.NAME("_"))))</f>
        <v>0</v>
      </c>
      <c r="F340" s="2" t="b">
        <f>IFERROR(INDEX(ERROR(0),EXEC(INDIRECT(SET.NAME({1,"_"},)),#REF!)),RETURN(INDEX(TYPE(_),SET.NAME("_"))))</f>
        <v>0</v>
      </c>
      <c r="G340" s="2">
        <f>TYPE(INDEX(,EXEC(INDEX(1,),#REF!)))</f>
        <v>16</v>
      </c>
    </row>
    <row r="341" spans="1:7" x14ac:dyDescent="0.55000000000000004">
      <c r="A341" s="1" t="s">
        <v>1579</v>
      </c>
      <c r="B341" s="2">
        <f>COUNTIF(A:A,A341)-1</f>
        <v>2</v>
      </c>
      <c r="C341" s="2">
        <f>COUNTIF(A$1:A341,A341)-1</f>
        <v>2</v>
      </c>
      <c r="D341" s="2" t="e">
        <f>EXEC(#REF!,1)</f>
        <v>#REF!</v>
      </c>
      <c r="E341" s="2" t="b">
        <f>IFERROR(INDEX(ERROR(0),EXEC(#REF!,SET.NAME("_",+INDEX(1,)))),RETURN(INDEX(TYPE(_),SET.NAME("_"))))</f>
        <v>0</v>
      </c>
      <c r="F341" s="2" t="b">
        <f>IFERROR(INDEX(ERROR(0),EXEC(#REF!,INDIRECT(SET.NAME({1,"_"},)))),RETURN(INDEX(TYPE(_),SET.NAME("_"))))</f>
        <v>0</v>
      </c>
      <c r="G341" s="2">
        <f>TYPE(INDEX(,EXEC(#REF!,INDEX(1,))))</f>
        <v>16</v>
      </c>
    </row>
    <row r="342" spans="1:7" x14ac:dyDescent="0.55000000000000004">
      <c r="A342" s="1" t="s">
        <v>1580</v>
      </c>
      <c r="B342" s="2">
        <f>COUNTIF(A:A,A342)-1</f>
        <v>1</v>
      </c>
      <c r="C342" s="2">
        <f>COUNTIF(A$1:A342,A342)-1</f>
        <v>0</v>
      </c>
      <c r="D342" s="2"/>
      <c r="E342" s="2"/>
      <c r="F342" s="2"/>
      <c r="G342" s="2"/>
    </row>
    <row r="343" spans="1:7" x14ac:dyDescent="0.55000000000000004">
      <c r="A343" s="1" t="s">
        <v>1580</v>
      </c>
      <c r="B343" s="2">
        <f>COUNTIF(A:A,A343)-1</f>
        <v>1</v>
      </c>
      <c r="C343" s="2">
        <f>COUNTIF(A$1:A343,A343)-1</f>
        <v>1</v>
      </c>
      <c r="D343" s="2" t="str">
        <f>CHAR(1)</f>
        <v>_x0001_</v>
      </c>
      <c r="E343" s="2" t="b">
        <f>IFERROR(INDEX(ERROR(0),CHAR(SET.NAME("_",+INDEX(1,)))),RETURN(INDEX(TYPE(_),SET.NAME("_"))))</f>
        <v>0</v>
      </c>
      <c r="F343" s="2" t="b">
        <f>IFERROR(INDEX(ERROR(0),CHAR(INDIRECT(SET.NAME({1,"_"},)))),RETURN(INDEX(TYPE(_),SET.NAME("_"))))</f>
        <v>0</v>
      </c>
      <c r="G343" s="2">
        <f>TYPE(INDEX(,CHAR(INDEX(1,))))</f>
        <v>16</v>
      </c>
    </row>
    <row r="344" spans="1:7" x14ac:dyDescent="0.55000000000000004">
      <c r="A344" s="1" t="s">
        <v>1581</v>
      </c>
      <c r="B344" s="2">
        <f>COUNTIF(A:A,A344)-1</f>
        <v>1</v>
      </c>
      <c r="C344" s="2">
        <f>COUNTIF(A$1:A344,A344)-1</f>
        <v>0</v>
      </c>
      <c r="D344" s="2"/>
      <c r="E344" s="2"/>
      <c r="F344" s="2"/>
      <c r="G344" s="2"/>
    </row>
    <row r="345" spans="1:7" x14ac:dyDescent="0.55000000000000004">
      <c r="A345" s="1" t="s">
        <v>1581</v>
      </c>
      <c r="B345" s="2">
        <f>COUNTIF(A:A,A345)-1</f>
        <v>1</v>
      </c>
      <c r="C345" s="2">
        <f>COUNTIF(A$1:A345,A345)-1</f>
        <v>1</v>
      </c>
      <c r="D345" s="2" t="str">
        <f>LOWER(1)</f>
        <v>1</v>
      </c>
      <c r="E345" s="2" t="b">
        <f>IFERROR(INDEX(ERROR(0),LOWER(SET.NAME("_",+INDEX(1,)))),RETURN(INDEX(TYPE(_),SET.NAME("_"))))</f>
        <v>0</v>
      </c>
      <c r="F345" s="2" t="b">
        <f>IFERROR(INDEX(ERROR(0),LOWER(INDIRECT(SET.NAME({1,"_"},)))),RETURN(INDEX(TYPE(_),SET.NAME("_"))))</f>
        <v>0</v>
      </c>
      <c r="G345" s="2">
        <f>TYPE(INDEX(,LOWER(INDEX(1,))))</f>
        <v>16</v>
      </c>
    </row>
    <row r="346" spans="1:7" x14ac:dyDescent="0.55000000000000004">
      <c r="A346" s="1" t="s">
        <v>1582</v>
      </c>
      <c r="B346" s="2">
        <f>COUNTIF(A:A,A346)-1</f>
        <v>1</v>
      </c>
      <c r="C346" s="2">
        <f>COUNTIF(A$1:A346,A346)-1</f>
        <v>0</v>
      </c>
      <c r="D346" s="2"/>
      <c r="E346" s="2"/>
      <c r="F346" s="2"/>
      <c r="G346" s="2"/>
    </row>
    <row r="347" spans="1:7" x14ac:dyDescent="0.55000000000000004">
      <c r="A347" s="1" t="s">
        <v>1582</v>
      </c>
      <c r="B347" s="2">
        <f>COUNTIF(A:A,A347)-1</f>
        <v>1</v>
      </c>
      <c r="C347" s="2">
        <f>COUNTIF(A$1:A347,A347)-1</f>
        <v>1</v>
      </c>
      <c r="D347" s="2" t="str">
        <f>UPPER(1)</f>
        <v>1</v>
      </c>
      <c r="E347" s="2" t="b">
        <f>IFERROR(INDEX(ERROR(0),UPPER(SET.NAME("_",+INDEX(1,)))),RETURN(INDEX(TYPE(_),SET.NAME("_"))))</f>
        <v>0</v>
      </c>
      <c r="F347" s="2" t="b">
        <f>IFERROR(INDEX(ERROR(0),UPPER(INDIRECT(SET.NAME({1,"_"},)))),RETURN(INDEX(TYPE(_),SET.NAME("_"))))</f>
        <v>0</v>
      </c>
      <c r="G347" s="2">
        <f>TYPE(INDEX(,UPPER(INDEX(1,))))</f>
        <v>16</v>
      </c>
    </row>
    <row r="348" spans="1:7" x14ac:dyDescent="0.55000000000000004">
      <c r="A348" s="1" t="s">
        <v>1583</v>
      </c>
      <c r="B348" s="2">
        <f>COUNTIF(A:A,A348)-1</f>
        <v>1</v>
      </c>
      <c r="C348" s="2">
        <f>COUNTIF(A$1:A348,A348)-1</f>
        <v>0</v>
      </c>
      <c r="D348" s="2"/>
      <c r="E348" s="2"/>
      <c r="F348" s="2"/>
      <c r="G348" s="2"/>
    </row>
    <row r="349" spans="1:7" x14ac:dyDescent="0.55000000000000004">
      <c r="A349" s="1" t="s">
        <v>1583</v>
      </c>
      <c r="B349" s="2">
        <f>COUNTIF(A:A,A349)-1</f>
        <v>1</v>
      </c>
      <c r="C349" s="2">
        <f>COUNTIF(A$1:A349,A349)-1</f>
        <v>1</v>
      </c>
      <c r="D349" s="2" t="str">
        <f>PROPER(1)</f>
        <v>1</v>
      </c>
      <c r="E349" s="2" t="b">
        <f>IFERROR(INDEX(ERROR(0),PROPER(SET.NAME("_",+INDEX(1,)))),RETURN(INDEX(TYPE(_),SET.NAME("_"))))</f>
        <v>0</v>
      </c>
      <c r="F349" s="2" t="b">
        <f>IFERROR(INDEX(ERROR(0),PROPER(INDIRECT(SET.NAME({1,"_"},)))),RETURN(INDEX(TYPE(_),SET.NAME("_"))))</f>
        <v>0</v>
      </c>
      <c r="G349" s="2">
        <f>TYPE(INDEX(,PROPER(INDEX(1,))))</f>
        <v>16</v>
      </c>
    </row>
    <row r="350" spans="1:7" x14ac:dyDescent="0.55000000000000004">
      <c r="A350" s="1" t="s">
        <v>1584</v>
      </c>
      <c r="B350" s="2">
        <f>COUNTIF(A:A,A350)-1</f>
        <v>2</v>
      </c>
      <c r="C350" s="2">
        <f>COUNTIF(A$1:A350,A350)-1</f>
        <v>0</v>
      </c>
      <c r="D350" s="2"/>
      <c r="E350" s="2"/>
      <c r="F350" s="2"/>
      <c r="G350" s="2"/>
    </row>
    <row r="351" spans="1:7" x14ac:dyDescent="0.55000000000000004">
      <c r="A351" s="1" t="s">
        <v>1584</v>
      </c>
      <c r="B351" s="2">
        <f>COUNTIF(A:A,A351)-1</f>
        <v>2</v>
      </c>
      <c r="C351" s="2">
        <f>COUNTIF(A$1:A351,A351)-1</f>
        <v>1</v>
      </c>
      <c r="D351" s="2" t="e">
        <f>LEFT(1,#REF!)</f>
        <v>#REF!</v>
      </c>
      <c r="E351" s="2" t="b">
        <f>IFERROR(INDEX(ERROR(0),LEFT(SET.NAME("_",+INDEX(1,)),#REF!)),RETURN(INDEX(TYPE(_),SET.NAME("_"))))</f>
        <v>0</v>
      </c>
      <c r="F351" s="2" t="b">
        <f>IFERROR(INDEX(ERROR(0),LEFT(INDIRECT(SET.NAME({1,"_"},)),#REF!)),RETURN(INDEX(TYPE(_),SET.NAME("_"))))</f>
        <v>0</v>
      </c>
      <c r="G351" s="2">
        <f>TYPE(INDEX(,LEFT(INDEX(1,),#REF!)))</f>
        <v>16</v>
      </c>
    </row>
    <row r="352" spans="1:7" x14ac:dyDescent="0.55000000000000004">
      <c r="A352" s="1" t="s">
        <v>1584</v>
      </c>
      <c r="B352" s="2">
        <f>COUNTIF(A:A,A352)-1</f>
        <v>2</v>
      </c>
      <c r="C352" s="2">
        <f>COUNTIF(A$1:A352,A352)-1</f>
        <v>2</v>
      </c>
      <c r="D352" s="2" t="e">
        <f>LEFT(#REF!,1)</f>
        <v>#REF!</v>
      </c>
      <c r="E352" s="2" t="b">
        <f>IFERROR(INDEX(ERROR(0),LEFT(#REF!,SET.NAME("_",+INDEX(1,)))),RETURN(INDEX(TYPE(_),SET.NAME("_"))))</f>
        <v>0</v>
      </c>
      <c r="F352" s="2" t="b">
        <f>IFERROR(INDEX(ERROR(0),LEFT(#REF!,INDIRECT(SET.NAME({1,"_"},)))),RETURN(INDEX(TYPE(_),SET.NAME("_"))))</f>
        <v>0</v>
      </c>
      <c r="G352" s="2">
        <f>TYPE(INDEX(,LEFT(#REF!,INDEX(1,))))</f>
        <v>16</v>
      </c>
    </row>
    <row r="353" spans="1:7" x14ac:dyDescent="0.55000000000000004">
      <c r="A353" s="1" t="s">
        <v>1585</v>
      </c>
      <c r="B353" s="2">
        <f>COUNTIF(A:A,A353)-1</f>
        <v>2</v>
      </c>
      <c r="C353" s="2">
        <f>COUNTIF(A$1:A353,A353)-1</f>
        <v>0</v>
      </c>
      <c r="D353" s="2"/>
      <c r="E353" s="2"/>
      <c r="F353" s="2"/>
      <c r="G353" s="2"/>
    </row>
    <row r="354" spans="1:7" x14ac:dyDescent="0.55000000000000004">
      <c r="A354" s="1" t="s">
        <v>1585</v>
      </c>
      <c r="B354" s="2">
        <f>COUNTIF(A:A,A354)-1</f>
        <v>2</v>
      </c>
      <c r="C354" s="2">
        <f>COUNTIF(A$1:A354,A354)-1</f>
        <v>1</v>
      </c>
      <c r="D354" s="2" t="e">
        <f>RIGHT(1,#REF!)</f>
        <v>#REF!</v>
      </c>
      <c r="E354" s="2" t="b">
        <f>IFERROR(INDEX(ERROR(0),RIGHT(SET.NAME("_",+INDEX(1,)),#REF!)),RETURN(INDEX(TYPE(_),SET.NAME("_"))))</f>
        <v>0</v>
      </c>
      <c r="F354" s="2" t="b">
        <f>IFERROR(INDEX(ERROR(0),RIGHT(INDIRECT(SET.NAME({1,"_"},)),#REF!)),RETURN(INDEX(TYPE(_),SET.NAME("_"))))</f>
        <v>0</v>
      </c>
      <c r="G354" s="2">
        <f>TYPE(INDEX(,RIGHT(INDEX(1,),#REF!)))</f>
        <v>16</v>
      </c>
    </row>
    <row r="355" spans="1:7" x14ac:dyDescent="0.55000000000000004">
      <c r="A355" s="1" t="s">
        <v>1585</v>
      </c>
      <c r="B355" s="2">
        <f>COUNTIF(A:A,A355)-1</f>
        <v>2</v>
      </c>
      <c r="C355" s="2">
        <f>COUNTIF(A$1:A355,A355)-1</f>
        <v>2</v>
      </c>
      <c r="D355" s="2" t="e">
        <f>RIGHT(#REF!,1)</f>
        <v>#REF!</v>
      </c>
      <c r="E355" s="2" t="b">
        <f>IFERROR(INDEX(ERROR(0),RIGHT(#REF!,SET.NAME("_",+INDEX(1,)))),RETURN(INDEX(TYPE(_),SET.NAME("_"))))</f>
        <v>0</v>
      </c>
      <c r="F355" s="2" t="b">
        <f>IFERROR(INDEX(ERROR(0),RIGHT(#REF!,INDIRECT(SET.NAME({1,"_"},)))),RETURN(INDEX(TYPE(_),SET.NAME("_"))))</f>
        <v>0</v>
      </c>
      <c r="G355" s="2">
        <f>TYPE(INDEX(,RIGHT(#REF!,INDEX(1,))))</f>
        <v>16</v>
      </c>
    </row>
    <row r="356" spans="1:7" x14ac:dyDescent="0.55000000000000004">
      <c r="A356" s="1" t="s">
        <v>1586</v>
      </c>
      <c r="B356" s="2">
        <f>COUNTIF(A:A,A356)-1</f>
        <v>2</v>
      </c>
      <c r="C356" s="2">
        <f>COUNTIF(A$1:A356,A356)-1</f>
        <v>0</v>
      </c>
      <c r="D356" s="2"/>
      <c r="E356" s="2"/>
      <c r="F356" s="2"/>
      <c r="G356" s="2"/>
    </row>
    <row r="357" spans="1:7" x14ac:dyDescent="0.55000000000000004">
      <c r="A357" s="1" t="s">
        <v>1586</v>
      </c>
      <c r="B357" s="2">
        <f>COUNTIF(A:A,A357)-1</f>
        <v>2</v>
      </c>
      <c r="C357" s="2">
        <f>COUNTIF(A$1:A357,A357)-1</f>
        <v>1</v>
      </c>
      <c r="D357" s="2" t="e">
        <f>EXACT(1,#REF!)</f>
        <v>#REF!</v>
      </c>
      <c r="E357" s="2" t="b">
        <f>IFERROR(INDEX(ERROR(0),EXACT(SET.NAME("_",+INDEX(1,)),#REF!)),RETURN(INDEX(TYPE(_),SET.NAME("_"))))</f>
        <v>0</v>
      </c>
      <c r="F357" s="2" t="b">
        <f>IFERROR(INDEX(ERROR(0),EXACT(INDIRECT(SET.NAME({1,"_"},)),#REF!)),RETURN(INDEX(TYPE(_),SET.NAME("_"))))</f>
        <v>0</v>
      </c>
      <c r="G357" s="2">
        <f>TYPE(INDEX(,EXACT(INDEX(1,),#REF!)))</f>
        <v>16</v>
      </c>
    </row>
    <row r="358" spans="1:7" x14ac:dyDescent="0.55000000000000004">
      <c r="A358" s="1" t="s">
        <v>1586</v>
      </c>
      <c r="B358" s="2">
        <f>COUNTIF(A:A,A358)-1</f>
        <v>2</v>
      </c>
      <c r="C358" s="2">
        <f>COUNTIF(A$1:A358,A358)-1</f>
        <v>2</v>
      </c>
      <c r="D358" s="2" t="e">
        <f>EXACT(#REF!,1)</f>
        <v>#REF!</v>
      </c>
      <c r="E358" s="2" t="b">
        <f>IFERROR(INDEX(ERROR(0),EXACT(#REF!,SET.NAME("_",+INDEX(1,)))),RETURN(INDEX(TYPE(_),SET.NAME("_"))))</f>
        <v>0</v>
      </c>
      <c r="F358" s="2" t="b">
        <f>IFERROR(INDEX(ERROR(0),EXACT(#REF!,INDIRECT(SET.NAME({1,"_"},)))),RETURN(INDEX(TYPE(_),SET.NAME("_"))))</f>
        <v>0</v>
      </c>
      <c r="G358" s="2">
        <f>TYPE(INDEX(,EXACT(#REF!,INDEX(1,))))</f>
        <v>16</v>
      </c>
    </row>
    <row r="359" spans="1:7" x14ac:dyDescent="0.55000000000000004">
      <c r="A359" s="1" t="s">
        <v>1587</v>
      </c>
      <c r="B359" s="2">
        <f>COUNTIF(A:A,A359)-1</f>
        <v>1</v>
      </c>
      <c r="C359" s="2">
        <f>COUNTIF(A$1:A359,A359)-1</f>
        <v>0</v>
      </c>
      <c r="D359" s="2"/>
      <c r="E359" s="2"/>
      <c r="F359" s="2"/>
      <c r="G359" s="2"/>
    </row>
    <row r="360" spans="1:7" x14ac:dyDescent="0.55000000000000004">
      <c r="A360" s="1" t="s">
        <v>1587</v>
      </c>
      <c r="B360" s="2">
        <f>COUNTIF(A:A,A360)-1</f>
        <v>1</v>
      </c>
      <c r="C360" s="2">
        <f>COUNTIF(A$1:A360,A360)-1</f>
        <v>1</v>
      </c>
      <c r="D360" s="2" t="str">
        <f>TRIM(1)</f>
        <v>1</v>
      </c>
      <c r="E360" s="2" t="b">
        <f>IFERROR(INDEX(ERROR(0),TRIM(SET.NAME("_",+INDEX(1,)))),RETURN(INDEX(TYPE(_),SET.NAME("_"))))</f>
        <v>0</v>
      </c>
      <c r="F360" s="2" t="b">
        <f>IFERROR(INDEX(ERROR(0),TRIM(INDIRECT(SET.NAME({1,"_"},)))),RETURN(INDEX(TYPE(_),SET.NAME("_"))))</f>
        <v>0</v>
      </c>
      <c r="G360" s="2">
        <f>TYPE(INDEX(,TRIM(INDEX(1,))))</f>
        <v>16</v>
      </c>
    </row>
    <row r="361" spans="1:7" x14ac:dyDescent="0.55000000000000004">
      <c r="A361" s="1" t="s">
        <v>1588</v>
      </c>
      <c r="B361" s="2">
        <f>COUNTIF(A:A,A361)-1</f>
        <v>4</v>
      </c>
      <c r="C361" s="2">
        <f>COUNTIF(A$1:A361,A361)-1</f>
        <v>0</v>
      </c>
      <c r="D361" s="2"/>
      <c r="E361" s="2"/>
      <c r="F361" s="2"/>
      <c r="G361" s="2"/>
    </row>
    <row r="362" spans="1:7" x14ac:dyDescent="0.55000000000000004">
      <c r="A362" s="1" t="s">
        <v>1588</v>
      </c>
      <c r="B362" s="2">
        <f>COUNTIF(A:A,A362)-1</f>
        <v>4</v>
      </c>
      <c r="C362" s="2">
        <f>COUNTIF(A$1:A362,A362)-1</f>
        <v>1</v>
      </c>
      <c r="D362" s="2" t="e">
        <f>REPLACE(1,#REF!,#REF!,#REF!)</f>
        <v>#REF!</v>
      </c>
      <c r="E362" s="2" t="b">
        <f>IFERROR(INDEX(ERROR(0),REPLACE(SET.NAME("_",+INDEX(1,)),#REF!,#REF!,#REF!)),RETURN(INDEX(TYPE(_),SET.NAME("_"))))</f>
        <v>0</v>
      </c>
      <c r="F362" s="2" t="b">
        <f>IFERROR(INDEX(ERROR(0),REPLACE(INDIRECT(SET.NAME({1,"_"},)),#REF!,#REF!,#REF!)),RETURN(INDEX(TYPE(_),SET.NAME("_"))))</f>
        <v>0</v>
      </c>
      <c r="G362" s="2">
        <f>TYPE(INDEX(,REPLACE(INDEX(1,),#REF!,#REF!,#REF!)))</f>
        <v>16</v>
      </c>
    </row>
    <row r="363" spans="1:7" x14ac:dyDescent="0.55000000000000004">
      <c r="A363" s="1" t="s">
        <v>1588</v>
      </c>
      <c r="B363" s="2">
        <f>COUNTIF(A:A,A363)-1</f>
        <v>4</v>
      </c>
      <c r="C363" s="2">
        <f>COUNTIF(A$1:A363,A363)-1</f>
        <v>2</v>
      </c>
      <c r="D363" s="2" t="e">
        <f>REPLACE(#REF!,1,#REF!,#REF!)</f>
        <v>#REF!</v>
      </c>
      <c r="E363" s="2" t="b">
        <f>IFERROR(INDEX(ERROR(0),REPLACE(#REF!,SET.NAME("_",+INDEX(1,)),#REF!,#REF!)),RETURN(INDEX(TYPE(_),SET.NAME("_"))))</f>
        <v>0</v>
      </c>
      <c r="F363" s="2" t="b">
        <f>IFERROR(INDEX(ERROR(0),REPLACE(#REF!,INDIRECT(SET.NAME({1,"_"},)),#REF!,#REF!)),RETURN(INDEX(TYPE(_),SET.NAME("_"))))</f>
        <v>0</v>
      </c>
      <c r="G363" s="2">
        <f>TYPE(INDEX(,REPLACE(#REF!,INDEX(1,),#REF!,#REF!)))</f>
        <v>16</v>
      </c>
    </row>
    <row r="364" spans="1:7" x14ac:dyDescent="0.55000000000000004">
      <c r="A364" s="1" t="s">
        <v>1588</v>
      </c>
      <c r="B364" s="2">
        <f>COUNTIF(A:A,A364)-1</f>
        <v>4</v>
      </c>
      <c r="C364" s="2">
        <f>COUNTIF(A$1:A364,A364)-1</f>
        <v>3</v>
      </c>
      <c r="D364" s="2" t="e">
        <f>REPLACE(#REF!,#REF!,1,#REF!)</f>
        <v>#REF!</v>
      </c>
      <c r="E364" s="2" t="b">
        <f>IFERROR(INDEX(ERROR(0),REPLACE(#REF!,#REF!,SET.NAME("_",+INDEX(1,)),#REF!)),RETURN(INDEX(TYPE(_),SET.NAME("_"))))</f>
        <v>0</v>
      </c>
      <c r="F364" s="2" t="b">
        <f>IFERROR(INDEX(ERROR(0),REPLACE(#REF!,#REF!,INDIRECT(SET.NAME({1,"_"},)),#REF!)),RETURN(INDEX(TYPE(_),SET.NAME("_"))))</f>
        <v>0</v>
      </c>
      <c r="G364" s="2">
        <f>TYPE(INDEX(,REPLACE(#REF!,#REF!,INDEX(1,),#REF!)))</f>
        <v>16</v>
      </c>
    </row>
    <row r="365" spans="1:7" x14ac:dyDescent="0.55000000000000004">
      <c r="A365" s="1" t="s">
        <v>1588</v>
      </c>
      <c r="B365" s="2">
        <f>COUNTIF(A:A,A365)-1</f>
        <v>4</v>
      </c>
      <c r="C365" s="2">
        <f>COUNTIF(A$1:A365,A365)-1</f>
        <v>4</v>
      </c>
      <c r="D365" s="2" t="e">
        <f>REPLACE(#REF!,#REF!,#REF!,1)</f>
        <v>#REF!</v>
      </c>
      <c r="E365" s="2" t="b">
        <f>IFERROR(INDEX(ERROR(0),REPLACE(#REF!,#REF!,#REF!,SET.NAME("_",+INDEX(1,)))),RETURN(INDEX(TYPE(_),SET.NAME("_"))))</f>
        <v>0</v>
      </c>
      <c r="F365" s="2" t="b">
        <f>IFERROR(INDEX(ERROR(0),REPLACE(#REF!,#REF!,#REF!,INDIRECT(SET.NAME({1,"_"},)))),RETURN(INDEX(TYPE(_),SET.NAME("_"))))</f>
        <v>0</v>
      </c>
      <c r="G365" s="2">
        <f>TYPE(INDEX(,REPLACE(#REF!,#REF!,#REF!,INDEX(1,))))</f>
        <v>16</v>
      </c>
    </row>
    <row r="366" spans="1:7" x14ac:dyDescent="0.55000000000000004">
      <c r="A366" s="1" t="s">
        <v>1589</v>
      </c>
      <c r="B366" s="2">
        <f>COUNTIF(A:A,A366)-1</f>
        <v>4</v>
      </c>
      <c r="C366" s="2">
        <f>COUNTIF(A$1:A366,A366)-1</f>
        <v>0</v>
      </c>
      <c r="D366" s="2"/>
      <c r="E366" s="2"/>
      <c r="F366" s="2"/>
      <c r="G366" s="2"/>
    </row>
    <row r="367" spans="1:7" x14ac:dyDescent="0.55000000000000004">
      <c r="A367" s="1" t="s">
        <v>1589</v>
      </c>
      <c r="B367" s="2">
        <f>COUNTIF(A:A,A367)-1</f>
        <v>4</v>
      </c>
      <c r="C367" s="2">
        <f>COUNTIF(A$1:A367,A367)-1</f>
        <v>1</v>
      </c>
      <c r="D367" s="2" t="e">
        <f>SUBSTITUTE(1,#REF!,#REF!,#REF!)</f>
        <v>#REF!</v>
      </c>
      <c r="E367" s="2" t="b">
        <f>IFERROR(INDEX(ERROR(0),SUBSTITUTE(SET.NAME("_",+INDEX(1,)),#REF!,#REF!,#REF!)),RETURN(INDEX(TYPE(_),SET.NAME("_"))))</f>
        <v>0</v>
      </c>
      <c r="F367" s="2" t="b">
        <f>IFERROR(INDEX(ERROR(0),SUBSTITUTE(INDIRECT(SET.NAME({1,"_"},)),#REF!,#REF!,#REF!)),RETURN(INDEX(TYPE(_),SET.NAME("_"))))</f>
        <v>0</v>
      </c>
      <c r="G367" s="2">
        <f>TYPE(INDEX(,SUBSTITUTE(INDEX(1,),#REF!,#REF!,#REF!)))</f>
        <v>16</v>
      </c>
    </row>
    <row r="368" spans="1:7" x14ac:dyDescent="0.55000000000000004">
      <c r="A368" s="1" t="s">
        <v>1589</v>
      </c>
      <c r="B368" s="2">
        <f>COUNTIF(A:A,A368)-1</f>
        <v>4</v>
      </c>
      <c r="C368" s="2">
        <f>COUNTIF(A$1:A368,A368)-1</f>
        <v>2</v>
      </c>
      <c r="D368" s="2" t="e">
        <f>SUBSTITUTE(#REF!,1,#REF!,#REF!)</f>
        <v>#REF!</v>
      </c>
      <c r="E368" s="2" t="b">
        <f>IFERROR(INDEX(ERROR(0),SUBSTITUTE(#REF!,SET.NAME("_",+INDEX(1,)),#REF!,#REF!)),RETURN(INDEX(TYPE(_),SET.NAME("_"))))</f>
        <v>0</v>
      </c>
      <c r="F368" s="2" t="b">
        <f>IFERROR(INDEX(ERROR(0),SUBSTITUTE(#REF!,INDIRECT(SET.NAME({1,"_"},)),#REF!,#REF!)),RETURN(INDEX(TYPE(_),SET.NAME("_"))))</f>
        <v>0</v>
      </c>
      <c r="G368" s="2">
        <f>TYPE(INDEX(,SUBSTITUTE(#REF!,INDEX(1,),#REF!,#REF!)))</f>
        <v>16</v>
      </c>
    </row>
    <row r="369" spans="1:7" x14ac:dyDescent="0.55000000000000004">
      <c r="A369" s="1" t="s">
        <v>1589</v>
      </c>
      <c r="B369" s="2">
        <f>COUNTIF(A:A,A369)-1</f>
        <v>4</v>
      </c>
      <c r="C369" s="2">
        <f>COUNTIF(A$1:A369,A369)-1</f>
        <v>3</v>
      </c>
      <c r="D369" s="2" t="e">
        <f>SUBSTITUTE(#REF!,#REF!,1,#REF!)</f>
        <v>#REF!</v>
      </c>
      <c r="E369" s="2" t="b">
        <f>IFERROR(INDEX(ERROR(0),SUBSTITUTE(#REF!,#REF!,SET.NAME("_",+INDEX(1,)),#REF!)),RETURN(INDEX(TYPE(_),SET.NAME("_"))))</f>
        <v>0</v>
      </c>
      <c r="F369" s="2" t="b">
        <f>IFERROR(INDEX(ERROR(0),SUBSTITUTE(#REF!,#REF!,INDIRECT(SET.NAME({1,"_"},)),#REF!)),RETURN(INDEX(TYPE(_),SET.NAME("_"))))</f>
        <v>0</v>
      </c>
      <c r="G369" s="2">
        <f>TYPE(INDEX(,SUBSTITUTE(#REF!,#REF!,INDEX(1,),#REF!)))</f>
        <v>16</v>
      </c>
    </row>
    <row r="370" spans="1:7" x14ac:dyDescent="0.55000000000000004">
      <c r="A370" s="1" t="s">
        <v>1589</v>
      </c>
      <c r="B370" s="2">
        <f>COUNTIF(A:A,A370)-1</f>
        <v>4</v>
      </c>
      <c r="C370" s="2">
        <f>COUNTIF(A$1:A370,A370)-1</f>
        <v>4</v>
      </c>
      <c r="D370" s="2" t="e">
        <f>SUBSTITUTE(#REF!,#REF!,#REF!,1)</f>
        <v>#REF!</v>
      </c>
      <c r="E370" s="2" t="b">
        <f>IFERROR(INDEX(ERROR(0),SUBSTITUTE(#REF!,#REF!,#REF!,SET.NAME("_",+INDEX(1,)))),RETURN(INDEX(TYPE(_),SET.NAME("_"))))</f>
        <v>0</v>
      </c>
      <c r="F370" s="2" t="b">
        <f>IFERROR(INDEX(ERROR(0),SUBSTITUTE(#REF!,#REF!,#REF!,INDIRECT(SET.NAME({1,"_"},)))),RETURN(INDEX(TYPE(_),SET.NAME("_"))))</f>
        <v>0</v>
      </c>
      <c r="G370" s="2">
        <f>TYPE(INDEX(,SUBSTITUTE(#REF!,#REF!,#REF!,INDEX(1,))))</f>
        <v>16</v>
      </c>
    </row>
    <row r="371" spans="1:7" x14ac:dyDescent="0.55000000000000004">
      <c r="A371" s="1" t="s">
        <v>1590</v>
      </c>
      <c r="B371" s="2">
        <f>COUNTIF(A:A,A371)-1</f>
        <v>1</v>
      </c>
      <c r="C371" s="2">
        <f>COUNTIF(A$1:A371,A371)-1</f>
        <v>0</v>
      </c>
      <c r="D371" s="2"/>
      <c r="E371" s="2"/>
      <c r="F371" s="2"/>
      <c r="G371" s="2"/>
    </row>
    <row r="372" spans="1:7" x14ac:dyDescent="0.55000000000000004">
      <c r="A372" s="1" t="s">
        <v>1590</v>
      </c>
      <c r="B372" s="2">
        <f>COUNTIF(A:A,A372)-1</f>
        <v>1</v>
      </c>
      <c r="C372" s="2">
        <f>COUNTIF(A$1:A372,A372)-1</f>
        <v>1</v>
      </c>
      <c r="D372" s="2">
        <f>CODE(1)</f>
        <v>49</v>
      </c>
      <c r="E372" s="2" t="b">
        <f>IFERROR(INDEX(ERROR(0),CODE(SET.NAME("_",+INDEX(1,)))),RETURN(INDEX(TYPE(_),SET.NAME("_"))))</f>
        <v>0</v>
      </c>
      <c r="F372" s="2" t="b">
        <f>IFERROR(INDEX(ERROR(0),CODE(INDIRECT(SET.NAME({1,"_"},)))),RETURN(INDEX(TYPE(_),SET.NAME("_"))))</f>
        <v>0</v>
      </c>
      <c r="G372" s="2">
        <f>TYPE(INDEX(,CODE(INDEX(1,))))</f>
        <v>16</v>
      </c>
    </row>
    <row r="373" spans="1:7" x14ac:dyDescent="0.55000000000000004">
      <c r="A373" s="1" t="s">
        <v>1591</v>
      </c>
      <c r="B373" s="2">
        <f>COUNTIF(A:A,A373)-1</f>
        <v>3</v>
      </c>
      <c r="C373" s="2">
        <f>COUNTIF(A$1:A373,A373)-1</f>
        <v>0</v>
      </c>
      <c r="D373" s="2"/>
      <c r="E373" s="2"/>
      <c r="F373" s="2"/>
      <c r="G373" s="2"/>
    </row>
    <row r="374" spans="1:7" x14ac:dyDescent="0.55000000000000004">
      <c r="A374" s="1" t="s">
        <v>1591</v>
      </c>
      <c r="B374" s="2">
        <f>COUNTIF(A:A,A374)-1</f>
        <v>3</v>
      </c>
      <c r="C374" s="2">
        <f>COUNTIF(A$1:A374,A374)-1</f>
        <v>1</v>
      </c>
      <c r="D374" s="2" t="e">
        <f>NAMES(1,#REF!,#REF!)</f>
        <v>#REF!</v>
      </c>
      <c r="E374" s="2" t="b">
        <f>IFERROR(INDEX(ERROR(0),NAMES(SET.NAME("_",+INDEX(1,)),#REF!,#REF!)),RETURN(INDEX(TYPE(_),SET.NAME("_"))))</f>
        <v>0</v>
      </c>
      <c r="F374" s="2" t="b">
        <f>IFERROR(INDEX(ERROR(0),NAMES(INDIRECT(SET.NAME({1,"_"},)),#REF!,#REF!)),RETURN(INDEX(TYPE(_),SET.NAME("_"))))</f>
        <v>0</v>
      </c>
      <c r="G374" s="2">
        <f>TYPE(INDEX(,NAMES(INDEX(1,),#REF!,#REF!)))</f>
        <v>16</v>
      </c>
    </row>
    <row r="375" spans="1:7" x14ac:dyDescent="0.55000000000000004">
      <c r="A375" s="1" t="s">
        <v>1591</v>
      </c>
      <c r="B375" s="2">
        <f>COUNTIF(A:A,A375)-1</f>
        <v>3</v>
      </c>
      <c r="C375" s="2">
        <f>COUNTIF(A$1:A375,A375)-1</f>
        <v>2</v>
      </c>
      <c r="D375" s="2" t="e">
        <f>NAMES(#REF!,1,#REF!)</f>
        <v>#REF!</v>
      </c>
      <c r="E375" s="2" t="b">
        <f>IFERROR(INDEX(ERROR(0),NAMES(#REF!,SET.NAME("_",+INDEX(1,)),#REF!)),RETURN(INDEX(TYPE(_),SET.NAME("_"))))</f>
        <v>0</v>
      </c>
      <c r="F375" s="2" t="b">
        <f>IFERROR(INDEX(ERROR(0),NAMES(#REF!,INDIRECT(SET.NAME({1,"_"},)),#REF!)),RETURN(INDEX(TYPE(_),SET.NAME("_"))))</f>
        <v>0</v>
      </c>
      <c r="G375" s="2">
        <f>TYPE(INDEX(,NAMES(#REF!,INDEX(1,),#REF!)))</f>
        <v>16</v>
      </c>
    </row>
    <row r="376" spans="1:7" x14ac:dyDescent="0.55000000000000004">
      <c r="A376" s="1" t="s">
        <v>1591</v>
      </c>
      <c r="B376" s="2">
        <f>COUNTIF(A:A,A376)-1</f>
        <v>3</v>
      </c>
      <c r="C376" s="2">
        <f>COUNTIF(A$1:A376,A376)-1</f>
        <v>3</v>
      </c>
      <c r="D376" s="2" t="e">
        <f>NAMES(#REF!,#REF!,1)</f>
        <v>#REF!</v>
      </c>
      <c r="E376" s="2" t="b">
        <f>IFERROR(INDEX(ERROR(0),NAMES(#REF!,#REF!,SET.NAME("_",+INDEX(1,)))),RETURN(INDEX(TYPE(_),SET.NAME("_"))))</f>
        <v>0</v>
      </c>
      <c r="F376" s="2" t="b">
        <f>IFERROR(INDEX(ERROR(0),NAMES(#REF!,#REF!,INDIRECT(SET.NAME({1,"_"},)))),RETURN(INDEX(TYPE(_),SET.NAME("_"))))</f>
        <v>0</v>
      </c>
      <c r="G376" s="2">
        <f>TYPE(INDEX(,NAMES(#REF!,#REF!,INDEX(1,))))</f>
        <v>16</v>
      </c>
    </row>
    <row r="377" spans="1:7" x14ac:dyDescent="0.55000000000000004">
      <c r="A377" s="1" t="s">
        <v>1592</v>
      </c>
      <c r="B377" s="2">
        <f>COUNTIF(A:A,A377)-1</f>
        <v>1</v>
      </c>
      <c r="C377" s="2">
        <f>COUNTIF(A$1:A377,A377)-1</f>
        <v>0</v>
      </c>
      <c r="D377" s="2"/>
      <c r="E377" s="2"/>
      <c r="F377" s="2"/>
      <c r="G377" s="2"/>
    </row>
    <row r="378" spans="1:7" x14ac:dyDescent="0.55000000000000004">
      <c r="A378" s="1" t="s">
        <v>1592</v>
      </c>
      <c r="B378" s="2">
        <f>COUNTIF(A:A,A378)-1</f>
        <v>1</v>
      </c>
      <c r="C378" s="2">
        <f>COUNTIF(A$1:A378,A378)-1</f>
        <v>1</v>
      </c>
      <c r="D378" s="2" t="b">
        <f>DIRECTORY(1)</f>
        <v>0</v>
      </c>
      <c r="E378" s="2" t="b">
        <f>IFERROR(INDEX(ERROR(0),DIRECTORY(SET.NAME("_",+INDEX(1,)))),RETURN(INDEX(TYPE(_),SET.NAME("_"))))</f>
        <v>0</v>
      </c>
      <c r="F378" s="2" t="b">
        <f>IFERROR(INDEX(ERROR(0),DIRECTORY(INDIRECT(SET.NAME({1,"_"},)))),RETURN(INDEX(TYPE(_),SET.NAME("_"))))</f>
        <v>0</v>
      </c>
      <c r="G378" s="2">
        <f>TYPE(INDEX(,DIRECTORY(INDEX(1,))))</f>
        <v>16</v>
      </c>
    </row>
    <row r="379" spans="1:7" x14ac:dyDescent="0.55000000000000004">
      <c r="A379" s="1" t="s">
        <v>1593</v>
      </c>
      <c r="B379" s="2">
        <f>COUNTIF(A:A,A379)-1</f>
        <v>3</v>
      </c>
      <c r="C379" s="2">
        <f>COUNTIF(A$1:A379,A379)-1</f>
        <v>0</v>
      </c>
      <c r="D379" s="2"/>
      <c r="E379" s="2"/>
      <c r="F379" s="2"/>
      <c r="G379" s="2"/>
    </row>
    <row r="380" spans="1:7" x14ac:dyDescent="0.55000000000000004">
      <c r="A380" s="1" t="s">
        <v>1593</v>
      </c>
      <c r="B380" s="2">
        <f>COUNTIF(A:A,A380)-1</f>
        <v>3</v>
      </c>
      <c r="C380" s="2">
        <f>COUNTIF(A$1:A380,A380)-1</f>
        <v>1</v>
      </c>
      <c r="D380" s="2" t="e">
        <f>FIND(1,#REF!,#REF!)</f>
        <v>#REF!</v>
      </c>
      <c r="E380" s="2" t="b">
        <f>IFERROR(INDEX(ERROR(0),FIND(SET.NAME("_",+INDEX(1,)),#REF!,#REF!)),RETURN(INDEX(TYPE(_),SET.NAME("_"))))</f>
        <v>0</v>
      </c>
      <c r="F380" s="2" t="b">
        <f>IFERROR(INDEX(ERROR(0),FIND(INDIRECT(SET.NAME({1,"_"},)),#REF!,#REF!)),RETURN(INDEX(TYPE(_),SET.NAME("_"))))</f>
        <v>0</v>
      </c>
      <c r="G380" s="2">
        <f>TYPE(INDEX(,FIND(INDEX(1,),#REF!,#REF!)))</f>
        <v>16</v>
      </c>
    </row>
    <row r="381" spans="1:7" x14ac:dyDescent="0.55000000000000004">
      <c r="A381" s="1" t="s">
        <v>1593</v>
      </c>
      <c r="B381" s="2">
        <f>COUNTIF(A:A,A381)-1</f>
        <v>3</v>
      </c>
      <c r="C381" s="2">
        <f>COUNTIF(A$1:A381,A381)-1</f>
        <v>2</v>
      </c>
      <c r="D381" s="2" t="e">
        <f>FIND(#REF!,1,#REF!)</f>
        <v>#REF!</v>
      </c>
      <c r="E381" s="2" t="b">
        <f>IFERROR(INDEX(ERROR(0),FIND(#REF!,SET.NAME("_",+INDEX(1,)),#REF!)),RETURN(INDEX(TYPE(_),SET.NAME("_"))))</f>
        <v>0</v>
      </c>
      <c r="F381" s="2" t="b">
        <f>IFERROR(INDEX(ERROR(0),FIND(#REF!,INDIRECT(SET.NAME({1,"_"},)),#REF!)),RETURN(INDEX(TYPE(_),SET.NAME("_"))))</f>
        <v>0</v>
      </c>
      <c r="G381" s="2">
        <f>TYPE(INDEX(,FIND(#REF!,INDEX(1,),#REF!)))</f>
        <v>16</v>
      </c>
    </row>
    <row r="382" spans="1:7" x14ac:dyDescent="0.55000000000000004">
      <c r="A382" s="1" t="s">
        <v>1593</v>
      </c>
      <c r="B382" s="2">
        <f>COUNTIF(A:A,A382)-1</f>
        <v>3</v>
      </c>
      <c r="C382" s="2">
        <f>COUNTIF(A$1:A382,A382)-1</f>
        <v>3</v>
      </c>
      <c r="D382" s="2" t="e">
        <f>FIND(#REF!,#REF!,1)</f>
        <v>#REF!</v>
      </c>
      <c r="E382" s="2" t="b">
        <f>IFERROR(INDEX(ERROR(0),FIND(#REF!,#REF!,SET.NAME("_",+INDEX(1,)))),RETURN(INDEX(TYPE(_),SET.NAME("_"))))</f>
        <v>0</v>
      </c>
      <c r="F382" s="2" t="b">
        <f>IFERROR(INDEX(ERROR(0),FIND(#REF!,#REF!,INDIRECT(SET.NAME({1,"_"},)))),RETURN(INDEX(TYPE(_),SET.NAME("_"))))</f>
        <v>0</v>
      </c>
      <c r="G382" s="2">
        <f>TYPE(INDEX(,FIND(#REF!,#REF!,INDEX(1,))))</f>
        <v>16</v>
      </c>
    </row>
    <row r="383" spans="1:7" x14ac:dyDescent="0.55000000000000004">
      <c r="A383" s="1" t="s">
        <v>1594</v>
      </c>
      <c r="B383" s="2">
        <f>COUNTIF(A:A,A383)-1</f>
        <v>2</v>
      </c>
      <c r="C383" s="2">
        <f>COUNTIF(A$1:A383,A383)-1</f>
        <v>0</v>
      </c>
      <c r="D383" s="2"/>
      <c r="E383" s="2"/>
      <c r="F383" s="2"/>
      <c r="G383" s="2"/>
    </row>
    <row r="384" spans="1:7" x14ac:dyDescent="0.55000000000000004">
      <c r="A384" s="1" t="s">
        <v>1594</v>
      </c>
      <c r="B384" s="2">
        <f>COUNTIF(A:A,A384)-1</f>
        <v>2</v>
      </c>
      <c r="C384" s="2">
        <f>COUNTIF(A$1:A384,A384)-1</f>
        <v>1</v>
      </c>
      <c r="D384" s="2" t="e">
        <f>CELL(1,#REF!)</f>
        <v>#REF!</v>
      </c>
      <c r="E384" s="2" t="b">
        <f>IFERROR(INDEX(ERROR(0),CELL(SET.NAME("_",+INDEX(1,)),#REF!)),RETURN(INDEX(TYPE(_),SET.NAME("_"))))</f>
        <v>0</v>
      </c>
      <c r="F384" s="2" t="b">
        <f>IFERROR(INDEX(ERROR(0),CELL(INDIRECT(SET.NAME({1,"_"},)),#REF!)),RETURN(INDEX(TYPE(_),SET.NAME("_"))))</f>
        <v>0</v>
      </c>
      <c r="G384" s="2">
        <f>TYPE(INDEX(,CELL(INDEX(1,),#REF!)))</f>
        <v>16</v>
      </c>
    </row>
    <row r="385" spans="1:7" x14ac:dyDescent="0.55000000000000004">
      <c r="A385" s="1" t="s">
        <v>1594</v>
      </c>
      <c r="B385" s="2">
        <f>COUNTIF(A:A,A385)-1</f>
        <v>2</v>
      </c>
      <c r="C385" s="2">
        <f>COUNTIF(A$1:A385,A385)-1</f>
        <v>2</v>
      </c>
      <c r="D385" s="2" t="s">
        <v>2276</v>
      </c>
      <c r="E385" s="2" t="s">
        <v>2214</v>
      </c>
      <c r="F385" s="2" t="b">
        <f>IFERROR(INDEX(ERROR(0),CELL(#REF!,INDIRECT(SET.NAME({1,"_"},)))),RETURN(INDEX(TYPE(_),SET.NAME("_"))))</f>
        <v>0</v>
      </c>
      <c r="G385" s="2">
        <f>TYPE(INDEX(,CELL(#REF!,INDEX(1,))))</f>
        <v>64</v>
      </c>
    </row>
    <row r="386" spans="1:7" x14ac:dyDescent="0.55000000000000004">
      <c r="A386" s="1" t="s">
        <v>1595</v>
      </c>
      <c r="B386" s="2">
        <f>COUNTIF(A:A,A386)-1</f>
        <v>1</v>
      </c>
      <c r="C386" s="2">
        <f>COUNTIF(A$1:A386,A386)-1</f>
        <v>0</v>
      </c>
      <c r="D386" s="2"/>
      <c r="E386" s="2"/>
      <c r="F386" s="2"/>
      <c r="G386" s="2"/>
    </row>
    <row r="387" spans="1:7" x14ac:dyDescent="0.55000000000000004">
      <c r="A387" s="1" t="s">
        <v>1595</v>
      </c>
      <c r="B387" s="2">
        <f>COUNTIF(A:A,A387)-1</f>
        <v>1</v>
      </c>
      <c r="C387" s="2">
        <f>COUNTIF(A$1:A387,A387)-1</f>
        <v>1</v>
      </c>
      <c r="D387" s="2" t="b">
        <f>ISERR(1)</f>
        <v>0</v>
      </c>
      <c r="E387" s="2" t="b">
        <f>IFERROR(INDEX(ERROR(0),ISERR(SET.NAME("_",+INDEX(1,)))),RETURN(INDEX(TYPE(_),SET.NAME("_"))))</f>
        <v>0</v>
      </c>
      <c r="F387" s="2" t="b">
        <f>IFERROR(INDEX(ERROR(0),ISERR(INDIRECT(SET.NAME({1,"_"},)))),RETURN(INDEX(TYPE(_),SET.NAME("_"))))</f>
        <v>0</v>
      </c>
      <c r="G387" s="2">
        <f>TYPE(INDEX(,ISERR(INDEX(1,))))</f>
        <v>16</v>
      </c>
    </row>
    <row r="388" spans="1:7" x14ac:dyDescent="0.55000000000000004">
      <c r="A388" s="1" t="s">
        <v>1596</v>
      </c>
      <c r="B388" s="2">
        <f>COUNTIF(A:A,A388)-1</f>
        <v>1</v>
      </c>
      <c r="C388" s="2">
        <f>COUNTIF(A$1:A388,A388)-1</f>
        <v>0</v>
      </c>
      <c r="D388" s="2"/>
      <c r="E388" s="2"/>
      <c r="F388" s="2"/>
      <c r="G388" s="2"/>
    </row>
    <row r="389" spans="1:7" x14ac:dyDescent="0.55000000000000004">
      <c r="A389" s="1" t="s">
        <v>1596</v>
      </c>
      <c r="B389" s="2">
        <f>COUNTIF(A:A,A389)-1</f>
        <v>1</v>
      </c>
      <c r="C389" s="2">
        <f>COUNTIF(A$1:A389,A389)-1</f>
        <v>1</v>
      </c>
      <c r="D389" s="2" t="b">
        <f>ISTEXT(1)</f>
        <v>0</v>
      </c>
      <c r="E389" s="2" t="b">
        <f>IFERROR(INDEX(ERROR(0),ISTEXT(SET.NAME("_",+INDEX(1,)))),RETURN(INDEX(TYPE(_),SET.NAME("_"))))</f>
        <v>0</v>
      </c>
      <c r="F389" s="2" t="b">
        <f>IFERROR(INDEX(ERROR(0),ISTEXT(INDIRECT(SET.NAME({1,"_"},)))),RETURN(INDEX(TYPE(_),SET.NAME("_"))))</f>
        <v>0</v>
      </c>
      <c r="G389" s="2">
        <f>TYPE(INDEX(,ISTEXT(INDEX(1,))))</f>
        <v>16</v>
      </c>
    </row>
    <row r="390" spans="1:7" x14ac:dyDescent="0.55000000000000004">
      <c r="A390" s="1" t="s">
        <v>1597</v>
      </c>
      <c r="B390" s="2">
        <f>COUNTIF(A:A,A390)-1</f>
        <v>1</v>
      </c>
      <c r="C390" s="2">
        <f>COUNTIF(A$1:A390,A390)-1</f>
        <v>0</v>
      </c>
      <c r="D390" s="2"/>
      <c r="E390" s="2"/>
      <c r="F390" s="2"/>
      <c r="G390" s="2"/>
    </row>
    <row r="391" spans="1:7" x14ac:dyDescent="0.55000000000000004">
      <c r="A391" s="1" t="s">
        <v>1597</v>
      </c>
      <c r="B391" s="2">
        <f>COUNTIF(A:A,A391)-1</f>
        <v>1</v>
      </c>
      <c r="C391" s="2">
        <f>COUNTIF(A$1:A391,A391)-1</f>
        <v>1</v>
      </c>
      <c r="D391" s="2" t="b">
        <f>ISNUMBER(1)</f>
        <v>1</v>
      </c>
      <c r="E391" s="2" t="b">
        <f>IFERROR(INDEX(ERROR(0),ISNUMBER(SET.NAME("_",+INDEX(1,)))),RETURN(INDEX(TYPE(_),SET.NAME("_"))))</f>
        <v>0</v>
      </c>
      <c r="F391" s="2" t="b">
        <f>IFERROR(INDEX(ERROR(0),ISNUMBER(INDIRECT(SET.NAME({1,"_"},)))),RETURN(INDEX(TYPE(_),SET.NAME("_"))))</f>
        <v>0</v>
      </c>
      <c r="G391" s="2">
        <f>TYPE(INDEX(,ISNUMBER(INDEX(1,))))</f>
        <v>16</v>
      </c>
    </row>
    <row r="392" spans="1:7" x14ac:dyDescent="0.55000000000000004">
      <c r="A392" s="1" t="s">
        <v>1598</v>
      </c>
      <c r="B392" s="2">
        <f>COUNTIF(A:A,A392)-1</f>
        <v>1</v>
      </c>
      <c r="C392" s="2">
        <f>COUNTIF(A$1:A392,A392)-1</f>
        <v>0</v>
      </c>
      <c r="D392" s="2"/>
      <c r="E392" s="2"/>
      <c r="F392" s="2"/>
      <c r="G392" s="2"/>
    </row>
    <row r="393" spans="1:7" x14ac:dyDescent="0.55000000000000004">
      <c r="A393" s="1" t="s">
        <v>1598</v>
      </c>
      <c r="B393" s="2">
        <f>COUNTIF(A:A,A393)-1</f>
        <v>1</v>
      </c>
      <c r="C393" s="2">
        <f>COUNTIF(A$1:A393,A393)-1</f>
        <v>1</v>
      </c>
      <c r="D393" s="2" t="b">
        <f>ISBLANK(1)</f>
        <v>0</v>
      </c>
      <c r="E393" s="2" t="b">
        <f>IFERROR(INDEX(ERROR(0),ISBLANK(SET.NAME("_",+INDEX(1,)))),RETURN(INDEX(TYPE(_),SET.NAME("_"))))</f>
        <v>0</v>
      </c>
      <c r="F393" s="2" t="b">
        <f>IFERROR(INDEX(ERROR(0),ISBLANK(INDIRECT(SET.NAME({1,"_"},)))),RETURN(INDEX(TYPE(_),SET.NAME("_"))))</f>
        <v>0</v>
      </c>
      <c r="G393" s="2">
        <f>TYPE(INDEX(,ISBLANK(INDEX(1,))))</f>
        <v>16</v>
      </c>
    </row>
    <row r="394" spans="1:7" x14ac:dyDescent="0.55000000000000004">
      <c r="A394" s="1" t="s">
        <v>262</v>
      </c>
      <c r="B394" s="2">
        <f>COUNTIF(A:A,A394)-1</f>
        <v>1</v>
      </c>
      <c r="C394" s="2">
        <f>COUNTIF(A$1:A394,A394)-1</f>
        <v>0</v>
      </c>
      <c r="D394" s="2"/>
      <c r="E394" s="2"/>
      <c r="F394" s="2"/>
      <c r="G394" s="2"/>
    </row>
    <row r="395" spans="1:7" x14ac:dyDescent="0.55000000000000004">
      <c r="A395" s="1" t="s">
        <v>262</v>
      </c>
      <c r="B395" s="2">
        <f>COUNTIF(A:A,A395)-1</f>
        <v>1</v>
      </c>
      <c r="C395" s="2">
        <f>COUNTIF(A$1:A395,A395)-1</f>
        <v>1</v>
      </c>
      <c r="D395" s="2" t="str">
        <f>T(1)</f>
        <v/>
      </c>
      <c r="E395" s="2" t="b">
        <f>IFERROR(INDEX(ERROR(0),T(SET.NAME("_",+INDEX(1,)))),RETURN(INDEX(TYPE(_),SET.NAME("_"))))</f>
        <v>0</v>
      </c>
      <c r="F395" s="2" t="b">
        <f>IFERROR(INDEX(ERROR(0),T(INDIRECT(SET.NAME({1,"_"},)))),RETURN(INDEX(TYPE(_),SET.NAME("_"))))</f>
        <v>0</v>
      </c>
      <c r="G395" s="2">
        <f>TYPE(INDEX(,T(INDEX(1,))))</f>
        <v>64</v>
      </c>
    </row>
    <row r="396" spans="1:7" x14ac:dyDescent="0.55000000000000004">
      <c r="A396" s="1" t="s">
        <v>264</v>
      </c>
      <c r="B396" s="2">
        <f>COUNTIF(A:A,A396)-1</f>
        <v>1</v>
      </c>
      <c r="C396" s="2">
        <f>COUNTIF(A$1:A396,A396)-1</f>
        <v>0</v>
      </c>
      <c r="D396" s="2"/>
      <c r="E396" s="2"/>
      <c r="F396" s="2"/>
      <c r="G396" s="2"/>
    </row>
    <row r="397" spans="1:7" x14ac:dyDescent="0.55000000000000004">
      <c r="A397" s="1" t="s">
        <v>264</v>
      </c>
      <c r="B397" s="2">
        <f>COUNTIF(A:A,A397)-1</f>
        <v>1</v>
      </c>
      <c r="C397" s="2">
        <f>COUNTIF(A$1:A397,A397)-1</f>
        <v>1</v>
      </c>
      <c r="D397" s="2">
        <f>N(1)</f>
        <v>1</v>
      </c>
      <c r="E397" s="2" t="b">
        <f>IFERROR(INDEX(ERROR(0),N(SET.NAME("_",+INDEX(1,)))),RETURN(INDEX(TYPE(_),SET.NAME("_"))))</f>
        <v>0</v>
      </c>
      <c r="F397" s="2" t="b">
        <f>IFERROR(INDEX(ERROR(0),N(INDIRECT(SET.NAME({1,"_"},)))),RETURN(INDEX(TYPE(_),SET.NAME("_"))))</f>
        <v>0</v>
      </c>
      <c r="G397" s="2">
        <f>TYPE(INDEX(,N(INDEX(1,))))</f>
        <v>64</v>
      </c>
    </row>
    <row r="398" spans="1:7" x14ac:dyDescent="0.55000000000000004">
      <c r="A398" s="1" t="s">
        <v>1599</v>
      </c>
      <c r="B398" s="2">
        <f>COUNTIF(A:A,A398)-1</f>
        <v>2</v>
      </c>
      <c r="C398" s="2">
        <f>COUNTIF(A$1:A398,A398)-1</f>
        <v>0</v>
      </c>
      <c r="D398" s="2"/>
      <c r="E398" s="2"/>
      <c r="F398" s="2"/>
      <c r="G398" s="2"/>
    </row>
    <row r="399" spans="1:7" x14ac:dyDescent="0.55000000000000004">
      <c r="A399" s="1" t="s">
        <v>1599</v>
      </c>
      <c r="B399" s="2">
        <f>COUNTIF(A:A,A399)-1</f>
        <v>2</v>
      </c>
      <c r="C399" s="2">
        <f>COUNTIF(A$1:A399,A399)-1</f>
        <v>1</v>
      </c>
      <c r="D399" s="2" t="e">
        <f>FOPEN(1,#REF!)</f>
        <v>#REF!</v>
      </c>
      <c r="E399" s="2" t="b">
        <f>IFERROR(INDEX(ERROR(0),FOPEN(SET.NAME("_",+INDEX(1,)),#REF!)),RETURN(INDEX(TYPE(_),SET.NAME("_"))))</f>
        <v>0</v>
      </c>
      <c r="F399" s="2" t="b">
        <f>IFERROR(INDEX(ERROR(0),FOPEN(INDIRECT(SET.NAME({1,"_"},)),#REF!)),RETURN(INDEX(TYPE(_),SET.NAME("_"))))</f>
        <v>0</v>
      </c>
      <c r="G399" s="2">
        <f>TYPE(INDEX(,FOPEN(INDEX(1,),#REF!)))</f>
        <v>16</v>
      </c>
    </row>
    <row r="400" spans="1:7" x14ac:dyDescent="0.55000000000000004">
      <c r="A400" s="1" t="s">
        <v>1599</v>
      </c>
      <c r="B400" s="2">
        <f>COUNTIF(A:A,A400)-1</f>
        <v>2</v>
      </c>
      <c r="C400" s="2">
        <f>COUNTIF(A$1:A400,A400)-1</f>
        <v>2</v>
      </c>
      <c r="D400" s="2" t="e">
        <f>FOPEN(#REF!,1)</f>
        <v>#REF!</v>
      </c>
      <c r="E400" s="2" t="b">
        <f>IFERROR(INDEX(ERROR(0),FOPEN(#REF!,SET.NAME("_",+INDEX(1,)))),RETURN(INDEX(TYPE(_),SET.NAME("_"))))</f>
        <v>0</v>
      </c>
      <c r="F400" s="2" t="b">
        <f>IFERROR(INDEX(ERROR(0),FOPEN(#REF!,INDIRECT(SET.NAME({1,"_"},)))),RETURN(INDEX(TYPE(_),SET.NAME("_"))))</f>
        <v>0</v>
      </c>
      <c r="G400" s="2">
        <f>TYPE(INDEX(,FOPEN(#REF!,INDEX(1,))))</f>
        <v>16</v>
      </c>
    </row>
    <row r="401" spans="1:7" x14ac:dyDescent="0.55000000000000004">
      <c r="A401" s="1" t="s">
        <v>1600</v>
      </c>
      <c r="B401" s="2">
        <f>COUNTIF(A:A,A401)-1</f>
        <v>1</v>
      </c>
      <c r="C401" s="2">
        <f>COUNTIF(A$1:A401,A401)-1</f>
        <v>0</v>
      </c>
      <c r="D401" s="2"/>
      <c r="E401" s="2"/>
      <c r="F401" s="2"/>
      <c r="G401" s="2"/>
    </row>
    <row r="402" spans="1:7" x14ac:dyDescent="0.55000000000000004">
      <c r="A402" s="1" t="s">
        <v>1600</v>
      </c>
      <c r="B402" s="2">
        <f>COUNTIF(A:A,A402)-1</f>
        <v>1</v>
      </c>
      <c r="C402" s="2">
        <f>COUNTIF(A$1:A402,A402)-1</f>
        <v>1</v>
      </c>
      <c r="D402" s="2" t="b">
        <f>FCLOSE(1)</f>
        <v>0</v>
      </c>
      <c r="E402" s="2" t="b">
        <f>IFERROR(INDEX(ERROR(0),FCLOSE(SET.NAME("_",+INDEX(1,)))),RETURN(INDEX(TYPE(_),SET.NAME("_"))))</f>
        <v>0</v>
      </c>
      <c r="F402" s="2" t="b">
        <f>IFERROR(INDEX(ERROR(0),FCLOSE(INDIRECT(SET.NAME({1,"_"},)))),RETURN(INDEX(TYPE(_),SET.NAME("_"))))</f>
        <v>0</v>
      </c>
      <c r="G402" s="2">
        <f>TYPE(INDEX(,FCLOSE(INDEX(1,))))</f>
        <v>16</v>
      </c>
    </row>
    <row r="403" spans="1:7" x14ac:dyDescent="0.55000000000000004">
      <c r="A403" s="1" t="s">
        <v>1601</v>
      </c>
      <c r="B403" s="2">
        <f>COUNTIF(A:A,A403)-1</f>
        <v>1</v>
      </c>
      <c r="C403" s="2">
        <f>COUNTIF(A$1:A403,A403)-1</f>
        <v>0</v>
      </c>
      <c r="D403" s="2"/>
      <c r="E403" s="2"/>
      <c r="F403" s="2"/>
      <c r="G403" s="2"/>
    </row>
    <row r="404" spans="1:7" x14ac:dyDescent="0.55000000000000004">
      <c r="A404" s="1" t="s">
        <v>1601</v>
      </c>
      <c r="B404" s="2">
        <f>COUNTIF(A:A,A404)-1</f>
        <v>1</v>
      </c>
      <c r="C404" s="2">
        <f>COUNTIF(A$1:A404,A404)-1</f>
        <v>1</v>
      </c>
      <c r="D404" s="2" t="b">
        <f>FSIZE(1)</f>
        <v>0</v>
      </c>
      <c r="E404" s="2" t="b">
        <f>IFERROR(INDEX(ERROR(0),FSIZE(SET.NAME("_",+INDEX(1,)))),RETURN(INDEX(TYPE(_),SET.NAME("_"))))</f>
        <v>0</v>
      </c>
      <c r="F404" s="2" t="b">
        <f>IFERROR(INDEX(ERROR(0),FSIZE(INDIRECT(SET.NAME({1,"_"},)))),RETURN(INDEX(TYPE(_),SET.NAME("_"))))</f>
        <v>0</v>
      </c>
      <c r="G404" s="2">
        <f>TYPE(INDEX(,FSIZE(INDEX(1,))))</f>
        <v>16</v>
      </c>
    </row>
    <row r="405" spans="1:7" x14ac:dyDescent="0.55000000000000004">
      <c r="A405" s="1" t="s">
        <v>1602</v>
      </c>
      <c r="B405" s="2">
        <f>COUNTIF(A:A,A405)-1</f>
        <v>1</v>
      </c>
      <c r="C405" s="2">
        <f>COUNTIF(A$1:A405,A405)-1</f>
        <v>0</v>
      </c>
      <c r="D405" s="2"/>
      <c r="E405" s="2"/>
      <c r="F405" s="2"/>
      <c r="G405" s="2"/>
    </row>
    <row r="406" spans="1:7" x14ac:dyDescent="0.55000000000000004">
      <c r="A406" s="1" t="s">
        <v>1602</v>
      </c>
      <c r="B406" s="2">
        <f>COUNTIF(A:A,A406)-1</f>
        <v>1</v>
      </c>
      <c r="C406" s="2">
        <f>COUNTIF(A$1:A406,A406)-1</f>
        <v>1</v>
      </c>
      <c r="D406" s="2" t="b">
        <f>FREADLN(1)</f>
        <v>0</v>
      </c>
      <c r="E406" s="2" t="b">
        <f>IFERROR(INDEX(ERROR(0),FREADLN(SET.NAME("_",+INDEX(1,)))),RETURN(INDEX(TYPE(_),SET.NAME("_"))))</f>
        <v>0</v>
      </c>
      <c r="F406" s="2" t="b">
        <f>IFERROR(INDEX(ERROR(0),FREADLN(INDIRECT(SET.NAME({1,"_"},)))),RETURN(INDEX(TYPE(_),SET.NAME("_"))))</f>
        <v>0</v>
      </c>
      <c r="G406" s="2">
        <f>TYPE(INDEX(,FREADLN(INDEX(1,))))</f>
        <v>16</v>
      </c>
    </row>
    <row r="407" spans="1:7" x14ac:dyDescent="0.55000000000000004">
      <c r="A407" s="1" t="s">
        <v>1603</v>
      </c>
      <c r="B407" s="2">
        <f>COUNTIF(A:A,A407)-1</f>
        <v>2</v>
      </c>
      <c r="C407" s="2">
        <f>COUNTIF(A$1:A407,A407)-1</f>
        <v>0</v>
      </c>
      <c r="D407" s="2"/>
      <c r="E407" s="2"/>
      <c r="F407" s="2"/>
      <c r="G407" s="2"/>
    </row>
    <row r="408" spans="1:7" x14ac:dyDescent="0.55000000000000004">
      <c r="A408" s="1" t="s">
        <v>1603</v>
      </c>
      <c r="B408" s="2">
        <f>COUNTIF(A:A,A408)-1</f>
        <v>2</v>
      </c>
      <c r="C408" s="2">
        <f>COUNTIF(A$1:A408,A408)-1</f>
        <v>1</v>
      </c>
      <c r="D408" s="2" t="e">
        <f>FREAD(1,#REF!)</f>
        <v>#REF!</v>
      </c>
      <c r="E408" s="2" t="b">
        <f>IFERROR(INDEX(ERROR(0),FREAD(SET.NAME("_",+INDEX(1,)),#REF!)),RETURN(INDEX(TYPE(_),SET.NAME("_"))))</f>
        <v>0</v>
      </c>
      <c r="F408" s="2" t="b">
        <f>IFERROR(INDEX(ERROR(0),FREAD(INDIRECT(SET.NAME({1,"_"},)),#REF!)),RETURN(INDEX(TYPE(_),SET.NAME("_"))))</f>
        <v>0</v>
      </c>
      <c r="G408" s="2">
        <f>TYPE(INDEX(,FREAD(INDEX(1,),#REF!)))</f>
        <v>16</v>
      </c>
    </row>
    <row r="409" spans="1:7" x14ac:dyDescent="0.55000000000000004">
      <c r="A409" s="1" t="s">
        <v>1603</v>
      </c>
      <c r="B409" s="2">
        <f>COUNTIF(A:A,A409)-1</f>
        <v>2</v>
      </c>
      <c r="C409" s="2">
        <f>COUNTIF(A$1:A409,A409)-1</f>
        <v>2</v>
      </c>
      <c r="D409" s="2" t="e">
        <f>FREAD(#REF!,1)</f>
        <v>#REF!</v>
      </c>
      <c r="E409" s="2" t="b">
        <f>IFERROR(INDEX(ERROR(0),FREAD(#REF!,SET.NAME("_",+INDEX(1,)))),RETURN(INDEX(TYPE(_),SET.NAME("_"))))</f>
        <v>0</v>
      </c>
      <c r="F409" s="2" t="b">
        <f>IFERROR(INDEX(ERROR(0),FREAD(#REF!,INDIRECT(SET.NAME({1,"_"},)))),RETURN(INDEX(TYPE(_),SET.NAME("_"))))</f>
        <v>0</v>
      </c>
      <c r="G409" s="2">
        <f>TYPE(INDEX(,FREAD(#REF!,INDEX(1,))))</f>
        <v>16</v>
      </c>
    </row>
    <row r="410" spans="1:7" x14ac:dyDescent="0.55000000000000004">
      <c r="A410" s="1" t="s">
        <v>1604</v>
      </c>
      <c r="B410" s="2">
        <f>COUNTIF(A:A,A410)-1</f>
        <v>2</v>
      </c>
      <c r="C410" s="2">
        <f>COUNTIF(A$1:A410,A410)-1</f>
        <v>0</v>
      </c>
      <c r="D410" s="2"/>
      <c r="E410" s="2"/>
      <c r="F410" s="2"/>
      <c r="G410" s="2"/>
    </row>
    <row r="411" spans="1:7" x14ac:dyDescent="0.55000000000000004">
      <c r="A411" s="1" t="s">
        <v>1604</v>
      </c>
      <c r="B411" s="2">
        <f>COUNTIF(A:A,A411)-1</f>
        <v>2</v>
      </c>
      <c r="C411" s="2">
        <f>COUNTIF(A$1:A411,A411)-1</f>
        <v>1</v>
      </c>
      <c r="D411" s="2" t="e">
        <f>FWRITELN(1,#REF!)</f>
        <v>#REF!</v>
      </c>
      <c r="E411" s="2" t="b">
        <f>IFERROR(INDEX(ERROR(0),FWRITELN(SET.NAME("_",+INDEX(1,)),#REF!)),RETURN(INDEX(TYPE(_),SET.NAME("_"))))</f>
        <v>0</v>
      </c>
      <c r="F411" s="2" t="b">
        <f>IFERROR(INDEX(ERROR(0),FWRITELN(INDIRECT(SET.NAME({1,"_"},)),#REF!)),RETURN(INDEX(TYPE(_),SET.NAME("_"))))</f>
        <v>0</v>
      </c>
      <c r="G411" s="2">
        <f>TYPE(INDEX(,FWRITELN(INDEX(1,),#REF!)))</f>
        <v>16</v>
      </c>
    </row>
    <row r="412" spans="1:7" x14ac:dyDescent="0.55000000000000004">
      <c r="A412" s="1" t="s">
        <v>1604</v>
      </c>
      <c r="B412" s="2">
        <f>COUNTIF(A:A,A412)-1</f>
        <v>2</v>
      </c>
      <c r="C412" s="2">
        <f>COUNTIF(A$1:A412,A412)-1</f>
        <v>2</v>
      </c>
      <c r="D412" s="2" t="e">
        <f>FWRITELN(#REF!,1)</f>
        <v>#REF!</v>
      </c>
      <c r="E412" s="2" t="b">
        <f>IFERROR(INDEX(ERROR(0),FWRITELN(#REF!,SET.NAME("_",+INDEX(1,)))),RETURN(INDEX(TYPE(_),SET.NAME("_"))))</f>
        <v>0</v>
      </c>
      <c r="F412" s="2" t="b">
        <f>IFERROR(INDEX(ERROR(0),FWRITELN(#REF!,INDIRECT(SET.NAME({1,"_"},)))),RETURN(INDEX(TYPE(_),SET.NAME("_"))))</f>
        <v>0</v>
      </c>
      <c r="G412" s="2">
        <f>TYPE(INDEX(,FWRITELN(#REF!,INDEX(1,))))</f>
        <v>16</v>
      </c>
    </row>
    <row r="413" spans="1:7" x14ac:dyDescent="0.55000000000000004">
      <c r="A413" s="1" t="s">
        <v>1605</v>
      </c>
      <c r="B413" s="2">
        <f>COUNTIF(A:A,A413)-1</f>
        <v>2</v>
      </c>
      <c r="C413" s="2">
        <f>COUNTIF(A$1:A413,A413)-1</f>
        <v>0</v>
      </c>
      <c r="D413" s="2"/>
      <c r="E413" s="2"/>
      <c r="F413" s="2"/>
      <c r="G413" s="2"/>
    </row>
    <row r="414" spans="1:7" x14ac:dyDescent="0.55000000000000004">
      <c r="A414" s="1" t="s">
        <v>1605</v>
      </c>
      <c r="B414" s="2">
        <f>COUNTIF(A:A,A414)-1</f>
        <v>2</v>
      </c>
      <c r="C414" s="2">
        <f>COUNTIF(A$1:A414,A414)-1</f>
        <v>1</v>
      </c>
      <c r="D414" s="2" t="e">
        <f>FWRITE(1,#REF!)</f>
        <v>#REF!</v>
      </c>
      <c r="E414" s="2" t="b">
        <f>IFERROR(INDEX(ERROR(0),FWRITE(SET.NAME("_",+INDEX(1,)),#REF!)),RETURN(INDEX(TYPE(_),SET.NAME("_"))))</f>
        <v>0</v>
      </c>
      <c r="F414" s="2" t="b">
        <f>IFERROR(INDEX(ERROR(0),FWRITE(INDIRECT(SET.NAME({1,"_"},)),#REF!)),RETURN(INDEX(TYPE(_),SET.NAME("_"))))</f>
        <v>0</v>
      </c>
      <c r="G414" s="2">
        <f>TYPE(INDEX(,FWRITE(INDEX(1,),#REF!)))</f>
        <v>16</v>
      </c>
    </row>
    <row r="415" spans="1:7" x14ac:dyDescent="0.55000000000000004">
      <c r="A415" s="1" t="s">
        <v>1605</v>
      </c>
      <c r="B415" s="2">
        <f>COUNTIF(A:A,A415)-1</f>
        <v>2</v>
      </c>
      <c r="C415" s="2">
        <f>COUNTIF(A$1:A415,A415)-1</f>
        <v>2</v>
      </c>
      <c r="D415" s="2" t="e">
        <f>FWRITE(#REF!,1)</f>
        <v>#REF!</v>
      </c>
      <c r="E415" s="2" t="b">
        <f>IFERROR(INDEX(ERROR(0),FWRITE(#REF!,SET.NAME("_",+INDEX(1,)))),RETURN(INDEX(TYPE(_),SET.NAME("_"))))</f>
        <v>0</v>
      </c>
      <c r="F415" s="2" t="b">
        <f>IFERROR(INDEX(ERROR(0),FWRITE(#REF!,INDIRECT(SET.NAME({1,"_"},)))),RETURN(INDEX(TYPE(_),SET.NAME("_"))))</f>
        <v>0</v>
      </c>
      <c r="G415" s="2">
        <f>TYPE(INDEX(,FWRITE(#REF!,INDEX(1,))))</f>
        <v>16</v>
      </c>
    </row>
    <row r="416" spans="1:7" x14ac:dyDescent="0.55000000000000004">
      <c r="A416" s="1" t="s">
        <v>1606</v>
      </c>
      <c r="B416" s="2">
        <f>COUNTIF(A:A,A416)-1</f>
        <v>2</v>
      </c>
      <c r="C416" s="2">
        <f>COUNTIF(A$1:A416,A416)-1</f>
        <v>0</v>
      </c>
      <c r="D416" s="2"/>
      <c r="E416" s="2"/>
      <c r="F416" s="2"/>
      <c r="G416" s="2"/>
    </row>
    <row r="417" spans="1:7" x14ac:dyDescent="0.55000000000000004">
      <c r="A417" s="1" t="s">
        <v>1606</v>
      </c>
      <c r="B417" s="2">
        <f>COUNTIF(A:A,A417)-1</f>
        <v>2</v>
      </c>
      <c r="C417" s="2">
        <f>COUNTIF(A$1:A417,A417)-1</f>
        <v>1</v>
      </c>
      <c r="D417" s="2" t="e">
        <f>FPOS(1,#REF!)</f>
        <v>#REF!</v>
      </c>
      <c r="E417" s="2" t="b">
        <f>IFERROR(INDEX(ERROR(0),FPOS(SET.NAME("_",+INDEX(1,)),#REF!)),RETURN(INDEX(TYPE(_),SET.NAME("_"))))</f>
        <v>0</v>
      </c>
      <c r="F417" s="2" t="b">
        <f>IFERROR(INDEX(ERROR(0),FPOS(INDIRECT(SET.NAME({1,"_"},)),#REF!)),RETURN(INDEX(TYPE(_),SET.NAME("_"))))</f>
        <v>0</v>
      </c>
      <c r="G417" s="2">
        <f>TYPE(INDEX(,FPOS(INDEX(1,),#REF!)))</f>
        <v>16</v>
      </c>
    </row>
    <row r="418" spans="1:7" x14ac:dyDescent="0.55000000000000004">
      <c r="A418" s="1" t="s">
        <v>1606</v>
      </c>
      <c r="B418" s="2">
        <f>COUNTIF(A:A,A418)-1</f>
        <v>2</v>
      </c>
      <c r="C418" s="2">
        <f>COUNTIF(A$1:A418,A418)-1</f>
        <v>2</v>
      </c>
      <c r="D418" s="2" t="e">
        <f>FPOS(#REF!,1)</f>
        <v>#REF!</v>
      </c>
      <c r="E418" s="2" t="b">
        <f>IFERROR(INDEX(ERROR(0),FPOS(#REF!,SET.NAME("_",+INDEX(1,)))),RETURN(INDEX(TYPE(_),SET.NAME("_"))))</f>
        <v>0</v>
      </c>
      <c r="F418" s="2" t="b">
        <f>IFERROR(INDEX(ERROR(0),FPOS(#REF!,INDIRECT(SET.NAME({1,"_"},)))),RETURN(INDEX(TYPE(_),SET.NAME("_"))))</f>
        <v>0</v>
      </c>
      <c r="G418" s="2">
        <f>TYPE(INDEX(,FPOS(#REF!,INDEX(1,))))</f>
        <v>16</v>
      </c>
    </row>
    <row r="419" spans="1:7" x14ac:dyDescent="0.55000000000000004">
      <c r="A419" s="1" t="s">
        <v>1607</v>
      </c>
      <c r="B419" s="2">
        <f>COUNTIF(A:A,A419)-1</f>
        <v>1</v>
      </c>
      <c r="C419" s="2">
        <f>COUNTIF(A$1:A419,A419)-1</f>
        <v>0</v>
      </c>
      <c r="D419" s="2"/>
      <c r="E419" s="2"/>
      <c r="F419" s="2"/>
      <c r="G419" s="2"/>
    </row>
    <row r="420" spans="1:7" x14ac:dyDescent="0.55000000000000004">
      <c r="A420" s="1" t="s">
        <v>1607</v>
      </c>
      <c r="B420" s="2">
        <f>COUNTIF(A:A,A420)-1</f>
        <v>1</v>
      </c>
      <c r="C420" s="2">
        <f>COUNTIF(A$1:A420,A420)-1</f>
        <v>1</v>
      </c>
      <c r="D420" s="2" t="e">
        <f>DATEVALUE(1)</f>
        <v>#VALUE!</v>
      </c>
      <c r="E420" s="2" t="b">
        <f>IFERROR(INDEX(ERROR(0),DATEVALUE(SET.NAME("_",+INDEX(1,)))),RETURN(INDEX(TYPE(_),SET.NAME("_"))))</f>
        <v>0</v>
      </c>
      <c r="F420" s="2" t="b">
        <f>IFERROR(INDEX(ERROR(0),DATEVALUE(INDIRECT(SET.NAME({1,"_"},)))),RETURN(INDEX(TYPE(_),SET.NAME("_"))))</f>
        <v>0</v>
      </c>
      <c r="G420" s="2">
        <f>TYPE(INDEX(,DATEVALUE(INDEX(1,))))</f>
        <v>16</v>
      </c>
    </row>
    <row r="421" spans="1:7" x14ac:dyDescent="0.55000000000000004">
      <c r="A421" s="1" t="s">
        <v>1608</v>
      </c>
      <c r="B421" s="2">
        <f>COUNTIF(A:A,A421)-1</f>
        <v>1</v>
      </c>
      <c r="C421" s="2">
        <f>COUNTIF(A$1:A421,A421)-1</f>
        <v>0</v>
      </c>
      <c r="D421" s="2"/>
      <c r="E421" s="2"/>
      <c r="F421" s="2"/>
      <c r="G421" s="2"/>
    </row>
    <row r="422" spans="1:7" x14ac:dyDescent="0.55000000000000004">
      <c r="A422" s="1" t="s">
        <v>1608</v>
      </c>
      <c r="B422" s="2">
        <f>COUNTIF(A:A,A422)-1</f>
        <v>1</v>
      </c>
      <c r="C422" s="2">
        <f>COUNTIF(A$1:A422,A422)-1</f>
        <v>1</v>
      </c>
      <c r="D422" s="2" t="e">
        <f>TIMEVALUE(1)</f>
        <v>#VALUE!</v>
      </c>
      <c r="E422" s="2" t="b">
        <f>IFERROR(INDEX(ERROR(0),TIMEVALUE(SET.NAME("_",+INDEX(1,)))),RETURN(INDEX(TYPE(_),SET.NAME("_"))))</f>
        <v>0</v>
      </c>
      <c r="F422" s="2" t="b">
        <f>IFERROR(INDEX(ERROR(0),TIMEVALUE(INDIRECT(SET.NAME({1,"_"},)))),RETURN(INDEX(TYPE(_),SET.NAME("_"))))</f>
        <v>0</v>
      </c>
      <c r="G422" s="2">
        <f>TYPE(INDEX(,TIMEVALUE(INDEX(1,))))</f>
        <v>16</v>
      </c>
    </row>
    <row r="423" spans="1:7" x14ac:dyDescent="0.55000000000000004">
      <c r="A423" s="1" t="s">
        <v>1609</v>
      </c>
      <c r="B423" s="2">
        <f>COUNTIF(A:A,A423)-1</f>
        <v>3</v>
      </c>
      <c r="C423" s="2">
        <f>COUNTIF(A$1:A423,A423)-1</f>
        <v>0</v>
      </c>
      <c r="D423" s="2"/>
      <c r="E423" s="2"/>
      <c r="F423" s="2"/>
      <c r="G423" s="2"/>
    </row>
    <row r="424" spans="1:7" x14ac:dyDescent="0.55000000000000004">
      <c r="A424" s="1" t="s">
        <v>1609</v>
      </c>
      <c r="B424" s="2">
        <f>COUNTIF(A:A,A424)-1</f>
        <v>3</v>
      </c>
      <c r="C424" s="2">
        <f>COUNTIF(A$1:A424,A424)-1</f>
        <v>1</v>
      </c>
      <c r="D424" s="2" t="e">
        <f>SLN(1,#REF!,#REF!)</f>
        <v>#REF!</v>
      </c>
      <c r="E424" s="2" t="b">
        <f>IFERROR(INDEX(ERROR(0),SLN(SET.NAME("_",+INDEX(1,)),#REF!,#REF!)),RETURN(INDEX(TYPE(_),SET.NAME("_"))))</f>
        <v>0</v>
      </c>
      <c r="F424" s="2" t="b">
        <f>IFERROR(INDEX(ERROR(0),SLN(INDIRECT(SET.NAME({1,"_"},)),#REF!,#REF!)),RETURN(INDEX(TYPE(_),SET.NAME("_"))))</f>
        <v>0</v>
      </c>
      <c r="G424" s="2">
        <f>TYPE(INDEX(,SLN(INDEX(1,),#REF!,#REF!)))</f>
        <v>16</v>
      </c>
    </row>
    <row r="425" spans="1:7" x14ac:dyDescent="0.55000000000000004">
      <c r="A425" s="1" t="s">
        <v>1609</v>
      </c>
      <c r="B425" s="2">
        <f>COUNTIF(A:A,A425)-1</f>
        <v>3</v>
      </c>
      <c r="C425" s="2">
        <f>COUNTIF(A$1:A425,A425)-1</f>
        <v>2</v>
      </c>
      <c r="D425" s="2" t="e">
        <f>SLN(#REF!,1,#REF!)</f>
        <v>#REF!</v>
      </c>
      <c r="E425" s="2" t="b">
        <f>IFERROR(INDEX(ERROR(0),SLN(#REF!,SET.NAME("_",+INDEX(1,)),#REF!)),RETURN(INDEX(TYPE(_),SET.NAME("_"))))</f>
        <v>0</v>
      </c>
      <c r="F425" s="2" t="b">
        <f>IFERROR(INDEX(ERROR(0),SLN(#REF!,INDIRECT(SET.NAME({1,"_"},)),#REF!)),RETURN(INDEX(TYPE(_),SET.NAME("_"))))</f>
        <v>0</v>
      </c>
      <c r="G425" s="2">
        <f>TYPE(INDEX(,SLN(#REF!,INDEX(1,),#REF!)))</f>
        <v>16</v>
      </c>
    </row>
    <row r="426" spans="1:7" x14ac:dyDescent="0.55000000000000004">
      <c r="A426" s="1" t="s">
        <v>1609</v>
      </c>
      <c r="B426" s="2">
        <f>COUNTIF(A:A,A426)-1</f>
        <v>3</v>
      </c>
      <c r="C426" s="2">
        <f>COUNTIF(A$1:A426,A426)-1</f>
        <v>3</v>
      </c>
      <c r="D426" s="2" t="e">
        <f>SLN(#REF!,#REF!,1)</f>
        <v>#REF!</v>
      </c>
      <c r="E426" s="2" t="b">
        <f>IFERROR(INDEX(ERROR(0),SLN(#REF!,#REF!,SET.NAME("_",+INDEX(1,)))),RETURN(INDEX(TYPE(_),SET.NAME("_"))))</f>
        <v>0</v>
      </c>
      <c r="F426" s="2" t="b">
        <f>IFERROR(INDEX(ERROR(0),SLN(#REF!,#REF!,INDIRECT(SET.NAME({1,"_"},)))),RETURN(INDEX(TYPE(_),SET.NAME("_"))))</f>
        <v>0</v>
      </c>
      <c r="G426" s="2">
        <f>TYPE(INDEX(,SLN(#REF!,#REF!,INDEX(1,))))</f>
        <v>16</v>
      </c>
    </row>
    <row r="427" spans="1:7" x14ac:dyDescent="0.55000000000000004">
      <c r="A427" s="1" t="s">
        <v>1610</v>
      </c>
      <c r="B427" s="2">
        <f>COUNTIF(A:A,A427)-1</f>
        <v>4</v>
      </c>
      <c r="C427" s="2">
        <f>COUNTIF(A$1:A427,A427)-1</f>
        <v>0</v>
      </c>
      <c r="D427" s="2"/>
      <c r="E427" s="2"/>
      <c r="F427" s="2"/>
      <c r="G427" s="2"/>
    </row>
    <row r="428" spans="1:7" x14ac:dyDescent="0.55000000000000004">
      <c r="A428" s="1" t="s">
        <v>1610</v>
      </c>
      <c r="B428" s="2">
        <f>COUNTIF(A:A,A428)-1</f>
        <v>4</v>
      </c>
      <c r="C428" s="2">
        <f>COUNTIF(A$1:A428,A428)-1</f>
        <v>1</v>
      </c>
      <c r="D428" s="2" t="e">
        <f>SYD(1,#REF!,#REF!,#REF!)</f>
        <v>#REF!</v>
      </c>
      <c r="E428" s="2" t="b">
        <f>IFERROR(INDEX(ERROR(0),SYD(SET.NAME("_",+INDEX(1,)),#REF!,#REF!,#REF!)),RETURN(INDEX(TYPE(_),SET.NAME("_"))))</f>
        <v>0</v>
      </c>
      <c r="F428" s="2" t="b">
        <f>IFERROR(INDEX(ERROR(0),SYD(INDIRECT(SET.NAME({1,"_"},)),#REF!,#REF!,#REF!)),RETURN(INDEX(TYPE(_),SET.NAME("_"))))</f>
        <v>0</v>
      </c>
      <c r="G428" s="2">
        <f>TYPE(INDEX(,SYD(INDEX(1,),#REF!,#REF!,#REF!)))</f>
        <v>16</v>
      </c>
    </row>
    <row r="429" spans="1:7" x14ac:dyDescent="0.55000000000000004">
      <c r="A429" s="1" t="s">
        <v>1610</v>
      </c>
      <c r="B429" s="2">
        <f>COUNTIF(A:A,A429)-1</f>
        <v>4</v>
      </c>
      <c r="C429" s="2">
        <f>COUNTIF(A$1:A429,A429)-1</f>
        <v>2</v>
      </c>
      <c r="D429" s="2" t="e">
        <f>SYD(#REF!,1,#REF!,#REF!)</f>
        <v>#REF!</v>
      </c>
      <c r="E429" s="2" t="b">
        <f>IFERROR(INDEX(ERROR(0),SYD(#REF!,SET.NAME("_",+INDEX(1,)),#REF!,#REF!)),RETURN(INDEX(TYPE(_),SET.NAME("_"))))</f>
        <v>0</v>
      </c>
      <c r="F429" s="2" t="b">
        <f>IFERROR(INDEX(ERROR(0),SYD(#REF!,INDIRECT(SET.NAME({1,"_"},)),#REF!,#REF!)),RETURN(INDEX(TYPE(_),SET.NAME("_"))))</f>
        <v>0</v>
      </c>
      <c r="G429" s="2">
        <f>TYPE(INDEX(,SYD(#REF!,INDEX(1,),#REF!,#REF!)))</f>
        <v>16</v>
      </c>
    </row>
    <row r="430" spans="1:7" x14ac:dyDescent="0.55000000000000004">
      <c r="A430" s="1" t="s">
        <v>1610</v>
      </c>
      <c r="B430" s="2">
        <f>COUNTIF(A:A,A430)-1</f>
        <v>4</v>
      </c>
      <c r="C430" s="2">
        <f>COUNTIF(A$1:A430,A430)-1</f>
        <v>3</v>
      </c>
      <c r="D430" s="2" t="e">
        <f>SYD(#REF!,#REF!,1,#REF!)</f>
        <v>#REF!</v>
      </c>
      <c r="E430" s="2" t="b">
        <f>IFERROR(INDEX(ERROR(0),SYD(#REF!,#REF!,SET.NAME("_",+INDEX(1,)),#REF!)),RETURN(INDEX(TYPE(_),SET.NAME("_"))))</f>
        <v>0</v>
      </c>
      <c r="F430" s="2" t="b">
        <f>IFERROR(INDEX(ERROR(0),SYD(#REF!,#REF!,INDIRECT(SET.NAME({1,"_"},)),#REF!)),RETURN(INDEX(TYPE(_),SET.NAME("_"))))</f>
        <v>0</v>
      </c>
      <c r="G430" s="2">
        <f>TYPE(INDEX(,SYD(#REF!,#REF!,INDEX(1,),#REF!)))</f>
        <v>16</v>
      </c>
    </row>
    <row r="431" spans="1:7" x14ac:dyDescent="0.55000000000000004">
      <c r="A431" s="1" t="s">
        <v>1610</v>
      </c>
      <c r="B431" s="2">
        <f>COUNTIF(A:A,A431)-1</f>
        <v>4</v>
      </c>
      <c r="C431" s="2">
        <f>COUNTIF(A$1:A431,A431)-1</f>
        <v>4</v>
      </c>
      <c r="D431" s="2" t="e">
        <f>SYD(#REF!,#REF!,#REF!,1)</f>
        <v>#REF!</v>
      </c>
      <c r="E431" s="2" t="b">
        <f>IFERROR(INDEX(ERROR(0),SYD(#REF!,#REF!,#REF!,SET.NAME("_",+INDEX(1,)))),RETURN(INDEX(TYPE(_),SET.NAME("_"))))</f>
        <v>0</v>
      </c>
      <c r="F431" s="2" t="b">
        <f>IFERROR(INDEX(ERROR(0),SYD(#REF!,#REF!,#REF!,INDIRECT(SET.NAME({1,"_"},)))),RETURN(INDEX(TYPE(_),SET.NAME("_"))))</f>
        <v>0</v>
      </c>
      <c r="G431" s="2">
        <f>TYPE(INDEX(,SYD(#REF!,#REF!,#REF!,INDEX(1,))))</f>
        <v>16</v>
      </c>
    </row>
    <row r="432" spans="1:7" x14ac:dyDescent="0.55000000000000004">
      <c r="A432" s="1" t="s">
        <v>1611</v>
      </c>
      <c r="B432" s="2">
        <f>COUNTIF(A:A,A432)-1</f>
        <v>5</v>
      </c>
      <c r="C432" s="2">
        <f>COUNTIF(A$1:A432,A432)-1</f>
        <v>0</v>
      </c>
      <c r="D432" s="2"/>
      <c r="E432" s="2"/>
      <c r="F432" s="2"/>
      <c r="G432" s="2"/>
    </row>
    <row r="433" spans="1:7" x14ac:dyDescent="0.55000000000000004">
      <c r="A433" s="1" t="s">
        <v>1611</v>
      </c>
      <c r="B433" s="2">
        <f>COUNTIF(A:A,A433)-1</f>
        <v>5</v>
      </c>
      <c r="C433" s="2">
        <f>COUNTIF(A$1:A433,A433)-1</f>
        <v>1</v>
      </c>
      <c r="D433" s="2" t="e">
        <f>DDB(1,#REF!,#REF!,#REF!,#REF!)</f>
        <v>#REF!</v>
      </c>
      <c r="E433" s="2" t="b">
        <f>IFERROR(INDEX(ERROR(0),DDB(SET.NAME("_",+INDEX(1,)),#REF!,#REF!,#REF!,#REF!)),RETURN(INDEX(TYPE(_),SET.NAME("_"))))</f>
        <v>0</v>
      </c>
      <c r="F433" s="2" t="b">
        <f>IFERROR(INDEX(ERROR(0),DDB(INDIRECT(SET.NAME({1,"_"},)),#REF!,#REF!,#REF!,#REF!)),RETURN(INDEX(TYPE(_),SET.NAME("_"))))</f>
        <v>0</v>
      </c>
      <c r="G433" s="2">
        <f>TYPE(INDEX(,DDB(INDEX(1,),#REF!,#REF!,#REF!,#REF!)))</f>
        <v>16</v>
      </c>
    </row>
    <row r="434" spans="1:7" x14ac:dyDescent="0.55000000000000004">
      <c r="A434" s="1" t="s">
        <v>1611</v>
      </c>
      <c r="B434" s="2">
        <f>COUNTIF(A:A,A434)-1</f>
        <v>5</v>
      </c>
      <c r="C434" s="2">
        <f>COUNTIF(A$1:A434,A434)-1</f>
        <v>2</v>
      </c>
      <c r="D434" s="2" t="e">
        <f>DDB(#REF!,1,#REF!,#REF!,#REF!)</f>
        <v>#REF!</v>
      </c>
      <c r="E434" s="2" t="b">
        <f>IFERROR(INDEX(ERROR(0),DDB(#REF!,SET.NAME("_",+INDEX(1,)),#REF!,#REF!,#REF!)),RETURN(INDEX(TYPE(_),SET.NAME("_"))))</f>
        <v>0</v>
      </c>
      <c r="F434" s="2" t="b">
        <f>IFERROR(INDEX(ERROR(0),DDB(#REF!,INDIRECT(SET.NAME({1,"_"},)),#REF!,#REF!,#REF!)),RETURN(INDEX(TYPE(_),SET.NAME("_"))))</f>
        <v>0</v>
      </c>
      <c r="G434" s="2">
        <f>TYPE(INDEX(,DDB(#REF!,INDEX(1,),#REF!,#REF!,#REF!)))</f>
        <v>16</v>
      </c>
    </row>
    <row r="435" spans="1:7" x14ac:dyDescent="0.55000000000000004">
      <c r="A435" s="1" t="s">
        <v>1611</v>
      </c>
      <c r="B435" s="2">
        <f>COUNTIF(A:A,A435)-1</f>
        <v>5</v>
      </c>
      <c r="C435" s="2">
        <f>COUNTIF(A$1:A435,A435)-1</f>
        <v>3</v>
      </c>
      <c r="D435" s="2" t="e">
        <f>DDB(#REF!,#REF!,1,#REF!,#REF!)</f>
        <v>#REF!</v>
      </c>
      <c r="E435" s="2" t="b">
        <f>IFERROR(INDEX(ERROR(0),DDB(#REF!,#REF!,SET.NAME("_",+INDEX(1,)),#REF!,#REF!)),RETURN(INDEX(TYPE(_),SET.NAME("_"))))</f>
        <v>0</v>
      </c>
      <c r="F435" s="2" t="b">
        <f>IFERROR(INDEX(ERROR(0),DDB(#REF!,#REF!,INDIRECT(SET.NAME({1,"_"},)),#REF!,#REF!)),RETURN(INDEX(TYPE(_),SET.NAME("_"))))</f>
        <v>0</v>
      </c>
      <c r="G435" s="2">
        <f>TYPE(INDEX(,DDB(#REF!,#REF!,INDEX(1,),#REF!,#REF!)))</f>
        <v>16</v>
      </c>
    </row>
    <row r="436" spans="1:7" x14ac:dyDescent="0.55000000000000004">
      <c r="A436" s="1" t="s">
        <v>1611</v>
      </c>
      <c r="B436" s="2">
        <f>COUNTIF(A:A,A436)-1</f>
        <v>5</v>
      </c>
      <c r="C436" s="2">
        <f>COUNTIF(A$1:A436,A436)-1</f>
        <v>4</v>
      </c>
      <c r="D436" s="2" t="e">
        <f>DDB(#REF!,#REF!,#REF!,1,#REF!)</f>
        <v>#REF!</v>
      </c>
      <c r="E436" s="2" t="b">
        <f>IFERROR(INDEX(ERROR(0),DDB(#REF!,#REF!,#REF!,SET.NAME("_",+INDEX(1,)),#REF!)),RETURN(INDEX(TYPE(_),SET.NAME("_"))))</f>
        <v>0</v>
      </c>
      <c r="F436" s="2" t="b">
        <f>IFERROR(INDEX(ERROR(0),DDB(#REF!,#REF!,#REF!,INDIRECT(SET.NAME({1,"_"},)),#REF!)),RETURN(INDEX(TYPE(_),SET.NAME("_"))))</f>
        <v>0</v>
      </c>
      <c r="G436" s="2">
        <f>TYPE(INDEX(,DDB(#REF!,#REF!,#REF!,INDEX(1,),#REF!)))</f>
        <v>16</v>
      </c>
    </row>
    <row r="437" spans="1:7" x14ac:dyDescent="0.55000000000000004">
      <c r="A437" s="1" t="s">
        <v>1611</v>
      </c>
      <c r="B437" s="2">
        <f>COUNTIF(A:A,A437)-1</f>
        <v>5</v>
      </c>
      <c r="C437" s="2">
        <f>COUNTIF(A$1:A437,A437)-1</f>
        <v>5</v>
      </c>
      <c r="D437" s="2" t="e">
        <f>DDB(#REF!,#REF!,#REF!,#REF!,1)</f>
        <v>#REF!</v>
      </c>
      <c r="E437" s="2" t="b">
        <f>IFERROR(INDEX(ERROR(0),DDB(#REF!,#REF!,#REF!,#REF!,SET.NAME("_",+INDEX(1,)))),RETURN(INDEX(TYPE(_),SET.NAME("_"))))</f>
        <v>0</v>
      </c>
      <c r="F437" s="2" t="b">
        <f>IFERROR(INDEX(ERROR(0),DDB(#REF!,#REF!,#REF!,#REF!,INDIRECT(SET.NAME({1,"_"},)))),RETURN(INDEX(TYPE(_),SET.NAME("_"))))</f>
        <v>0</v>
      </c>
      <c r="G437" s="2">
        <f>TYPE(INDEX(,DDB(#REF!,#REF!,#REF!,#REF!,INDEX(1,))))</f>
        <v>16</v>
      </c>
    </row>
    <row r="438" spans="1:7" x14ac:dyDescent="0.55000000000000004">
      <c r="A438" s="1" t="s">
        <v>1612</v>
      </c>
      <c r="B438" s="2">
        <f>COUNTIF(A:A,A438)-1</f>
        <v>3</v>
      </c>
      <c r="C438" s="2">
        <f>COUNTIF(A$1:A438,A438)-1</f>
        <v>0</v>
      </c>
      <c r="D438" s="2"/>
      <c r="E438" s="2"/>
      <c r="F438" s="2"/>
      <c r="G438" s="2"/>
    </row>
    <row r="439" spans="1:7" x14ac:dyDescent="0.55000000000000004">
      <c r="A439" s="1" t="s">
        <v>1612</v>
      </c>
      <c r="B439" s="2">
        <f>COUNTIF(A:A,A439)-1</f>
        <v>3</v>
      </c>
      <c r="C439" s="2">
        <f>COUNTIF(A$1:A439,A439)-1</f>
        <v>1</v>
      </c>
      <c r="D439" s="2" t="e">
        <f>GET.DEF(1,#REF!,#REF!)</f>
        <v>#REF!</v>
      </c>
      <c r="E439" s="2" t="b">
        <f>IFERROR(INDEX(ERROR(0),GET.DEF(SET.NAME("_",+INDEX(1,)),#REF!,#REF!)),RETURN(INDEX(TYPE(_),SET.NAME("_"))))</f>
        <v>0</v>
      </c>
      <c r="F439" s="2" t="b">
        <f>IFERROR(INDEX(ERROR(0),GET.DEF(INDIRECT(SET.NAME({1,"_"},)),#REF!,#REF!)),RETURN(INDEX(TYPE(_),SET.NAME("_"))))</f>
        <v>0</v>
      </c>
      <c r="G439" s="2">
        <f>TYPE(INDEX(,GET.DEF(INDEX(1,),#REF!,#REF!)))</f>
        <v>16</v>
      </c>
    </row>
    <row r="440" spans="1:7" x14ac:dyDescent="0.55000000000000004">
      <c r="A440" s="1" t="s">
        <v>1612</v>
      </c>
      <c r="B440" s="2">
        <f>COUNTIF(A:A,A440)-1</f>
        <v>3</v>
      </c>
      <c r="C440" s="2">
        <f>COUNTIF(A$1:A440,A440)-1</f>
        <v>2</v>
      </c>
      <c r="D440" s="2" t="e">
        <f>GET.DEF(#REF!,1,#REF!)</f>
        <v>#REF!</v>
      </c>
      <c r="E440" s="2" t="b">
        <f>IFERROR(INDEX(ERROR(0),GET.DEF(#REF!,SET.NAME("_",+INDEX(1,)),#REF!)),RETURN(INDEX(TYPE(_),SET.NAME("_"))))</f>
        <v>0</v>
      </c>
      <c r="F440" s="2" t="b">
        <f>IFERROR(INDEX(ERROR(0),GET.DEF(#REF!,INDIRECT(SET.NAME({1,"_"},)),#REF!)),RETURN(INDEX(TYPE(_),SET.NAME("_"))))</f>
        <v>0</v>
      </c>
      <c r="G440" s="2">
        <f>TYPE(INDEX(,GET.DEF(#REF!,INDEX(1,),#REF!)))</f>
        <v>16</v>
      </c>
    </row>
    <row r="441" spans="1:7" x14ac:dyDescent="0.55000000000000004">
      <c r="A441" s="1" t="s">
        <v>1612</v>
      </c>
      <c r="B441" s="2">
        <f>COUNTIF(A:A,A441)-1</f>
        <v>3</v>
      </c>
      <c r="C441" s="2">
        <f>COUNTIF(A$1:A441,A441)-1</f>
        <v>3</v>
      </c>
      <c r="D441" s="2" t="e">
        <f>GET.DEF(#REF!,#REF!,1)</f>
        <v>#REF!</v>
      </c>
      <c r="E441" s="2" t="b">
        <f>IFERROR(INDEX(ERROR(0),GET.DEF(#REF!,#REF!,SET.NAME("_",+INDEX(1,)))),RETURN(INDEX(TYPE(_),SET.NAME("_"))))</f>
        <v>0</v>
      </c>
      <c r="F441" s="2" t="b">
        <f>IFERROR(INDEX(ERROR(0),GET.DEF(#REF!,#REF!,INDIRECT(SET.NAME({1,"_"},)))),RETURN(INDEX(TYPE(_),SET.NAME("_"))))</f>
        <v>0</v>
      </c>
      <c r="G441" s="2">
        <f>TYPE(INDEX(,GET.DEF(#REF!,#REF!,INDEX(1,))))</f>
        <v>16</v>
      </c>
    </row>
    <row r="442" spans="1:7" x14ac:dyDescent="0.55000000000000004">
      <c r="A442" s="1" t="s">
        <v>1613</v>
      </c>
      <c r="B442" s="2">
        <f>COUNTIF(A:A,A442)-1</f>
        <v>2</v>
      </c>
      <c r="C442" s="2">
        <f>COUNTIF(A$1:A442,A442)-1</f>
        <v>0</v>
      </c>
      <c r="D442" s="2"/>
      <c r="E442" s="2"/>
      <c r="F442" s="2"/>
      <c r="G442" s="2"/>
    </row>
    <row r="443" spans="1:7" x14ac:dyDescent="0.55000000000000004">
      <c r="A443" s="1" t="s">
        <v>1613</v>
      </c>
      <c r="B443" s="2">
        <f>COUNTIF(A:A,A443)-1</f>
        <v>2</v>
      </c>
      <c r="C443" s="2">
        <f>COUNTIF(A$1:A443,A443)-1</f>
        <v>1</v>
      </c>
      <c r="D443" s="2" t="s">
        <v>2277</v>
      </c>
      <c r="E443" s="2" t="s">
        <v>2215</v>
      </c>
      <c r="F443" s="2" t="b">
        <f>IFERROR(INDEX(ERROR(0),REFTEXT(INDIRECT(SET.NAME({1,"_"},)),#REF!)),RETURN(INDEX(TYPE(_),SET.NAME("_"))))</f>
        <v>0</v>
      </c>
      <c r="G443" s="2">
        <f>TYPE(INDEX(,REFTEXT(INDEX(1,),#REF!)))</f>
        <v>64</v>
      </c>
    </row>
    <row r="444" spans="1:7" x14ac:dyDescent="0.55000000000000004">
      <c r="A444" s="1" t="s">
        <v>1613</v>
      </c>
      <c r="B444" s="2">
        <f>COUNTIF(A:A,A444)-1</f>
        <v>2</v>
      </c>
      <c r="C444" s="2">
        <f>COUNTIF(A$1:A444,A444)-1</f>
        <v>2</v>
      </c>
      <c r="D444" s="2" t="e">
        <f>REFTEXT(#REF!,1)</f>
        <v>#REF!</v>
      </c>
      <c r="E444" s="2" t="b">
        <f>IFERROR(INDEX(ERROR(0),REFTEXT(#REF!,SET.NAME("_",+INDEX(1,)))),RETURN(INDEX(TYPE(_),SET.NAME("_"))))</f>
        <v>0</v>
      </c>
      <c r="F444" s="2" t="b">
        <f>IFERROR(INDEX(ERROR(0),REFTEXT(#REF!,INDIRECT(SET.NAME({1,"_"},)))),RETURN(INDEX(TYPE(_),SET.NAME("_"))))</f>
        <v>0</v>
      </c>
      <c r="G444" s="2">
        <f>TYPE(INDEX(,REFTEXT(#REF!,INDEX(1,))))</f>
        <v>16</v>
      </c>
    </row>
    <row r="445" spans="1:7" x14ac:dyDescent="0.55000000000000004">
      <c r="A445" s="1" t="s">
        <v>1614</v>
      </c>
      <c r="B445" s="2">
        <f>COUNTIF(A:A,A445)-1</f>
        <v>2</v>
      </c>
      <c r="C445" s="2">
        <f>COUNTIF(A$1:A445,A445)-1</f>
        <v>0</v>
      </c>
      <c r="D445" s="2"/>
      <c r="E445" s="2"/>
      <c r="F445" s="2"/>
      <c r="G445" s="2"/>
    </row>
    <row r="446" spans="1:7" x14ac:dyDescent="0.55000000000000004">
      <c r="A446" s="1" t="s">
        <v>1614</v>
      </c>
      <c r="B446" s="2">
        <f>COUNTIF(A:A,A446)-1</f>
        <v>2</v>
      </c>
      <c r="C446" s="2">
        <f>COUNTIF(A$1:A446,A446)-1</f>
        <v>1</v>
      </c>
      <c r="D446" s="2" t="e">
        <f>TEXTREF(1,#REF!)</f>
        <v>#REF!</v>
      </c>
      <c r="E446" s="2" t="b">
        <f>IFERROR(INDEX(ERROR(0),TEXTREF(SET.NAME("_",+INDEX(1,)),#REF!)),RETURN(INDEX(TYPE(_),SET.NAME("_"))))</f>
        <v>0</v>
      </c>
      <c r="F446" s="2" t="b">
        <f>IFERROR(INDEX(ERROR(0),TEXTREF(INDIRECT(SET.NAME({1,"_"},)),#REF!)),RETURN(INDEX(TYPE(_),SET.NAME("_"))))</f>
        <v>0</v>
      </c>
      <c r="G446" s="2">
        <f>TYPE(INDEX(,TEXTREF(INDEX(1,),#REF!)))</f>
        <v>16</v>
      </c>
    </row>
    <row r="447" spans="1:7" x14ac:dyDescent="0.55000000000000004">
      <c r="A447" s="1" t="s">
        <v>1614</v>
      </c>
      <c r="B447" s="2">
        <f>COUNTIF(A:A,A447)-1</f>
        <v>2</v>
      </c>
      <c r="C447" s="2">
        <f>COUNTIF(A$1:A447,A447)-1</f>
        <v>2</v>
      </c>
      <c r="D447" s="2" t="e">
        <f>TEXTREF(#REF!,1)</f>
        <v>#REF!</v>
      </c>
      <c r="E447" s="2" t="b">
        <f>IFERROR(INDEX(ERROR(0),TEXTREF(#REF!,SET.NAME("_",+INDEX(1,)))),RETURN(INDEX(TYPE(_),SET.NAME("_"))))</f>
        <v>0</v>
      </c>
      <c r="F447" s="2" t="b">
        <f>IFERROR(INDEX(ERROR(0),TEXTREF(#REF!,INDIRECT(SET.NAME({1,"_"},)))),RETURN(INDEX(TYPE(_),SET.NAME("_"))))</f>
        <v>0</v>
      </c>
      <c r="G447" s="2">
        <f>TYPE(INDEX(,TEXTREF(#REF!,INDEX(1,))))</f>
        <v>16</v>
      </c>
    </row>
    <row r="448" spans="1:7" x14ac:dyDescent="0.55000000000000004">
      <c r="A448" s="1" t="s">
        <v>1615</v>
      </c>
      <c r="B448" s="2">
        <f>COUNTIF(A:A,A448)-1</f>
        <v>2</v>
      </c>
      <c r="C448" s="2">
        <f>COUNTIF(A$1:A448,A448)-1</f>
        <v>0</v>
      </c>
      <c r="D448" s="2"/>
      <c r="E448" s="2"/>
      <c r="F448" s="2"/>
      <c r="G448" s="2"/>
    </row>
    <row r="449" spans="1:7" x14ac:dyDescent="0.55000000000000004">
      <c r="A449" s="1" t="s">
        <v>1615</v>
      </c>
      <c r="B449" s="2">
        <f>COUNTIF(A:A,A449)-1</f>
        <v>2</v>
      </c>
      <c r="C449" s="2">
        <f>COUNTIF(A$1:A449,A449)-1</f>
        <v>1</v>
      </c>
      <c r="D449" s="2" t="e">
        <f>INDIRECT(1,#REF!)</f>
        <v>#REF!</v>
      </c>
      <c r="E449" s="2" t="b">
        <f>IFERROR(INDEX(ERROR(0),INDIRECT(SET.NAME("_",+INDEX(1,)),#REF!)),RETURN(INDEX(TYPE(_),SET.NAME("_"))))</f>
        <v>0</v>
      </c>
      <c r="F449" s="2" t="b">
        <f>IFERROR(INDEX(ERROR(0),INDIRECT(INDIRECT(SET.NAME({1,"_"},)),#REF!)),RETURN(INDEX(TYPE(_),SET.NAME("_"))))</f>
        <v>0</v>
      </c>
      <c r="G449" s="2">
        <f>TYPE(INDEX(,INDIRECT(INDEX(1,),#REF!)))</f>
        <v>16</v>
      </c>
    </row>
    <row r="450" spans="1:7" x14ac:dyDescent="0.55000000000000004">
      <c r="A450" s="1" t="s">
        <v>1615</v>
      </c>
      <c r="B450" s="2">
        <f>COUNTIF(A:A,A450)-1</f>
        <v>2</v>
      </c>
      <c r="C450" s="2">
        <f>COUNTIF(A$1:A450,A450)-1</f>
        <v>2</v>
      </c>
      <c r="D450" s="2" t="e">
        <f>INDIRECT(#REF!,1)</f>
        <v>#REF!</v>
      </c>
      <c r="E450" s="2" t="b">
        <f>IFERROR(INDEX(ERROR(0),INDIRECT(#REF!,SET.NAME("_",+INDEX(1,)))),RETURN(INDEX(TYPE(_),SET.NAME("_"))))</f>
        <v>0</v>
      </c>
      <c r="F450" s="2" t="b">
        <f>IFERROR(INDEX(ERROR(0),INDIRECT(#REF!,INDIRECT(SET.NAME({1,"_"},)))),RETURN(INDEX(TYPE(_),SET.NAME("_"))))</f>
        <v>0</v>
      </c>
      <c r="G450" s="2">
        <f>TYPE(INDEX(,INDIRECT(#REF!,INDEX(1,))))</f>
        <v>16</v>
      </c>
    </row>
    <row r="451" spans="1:7" x14ac:dyDescent="0.55000000000000004">
      <c r="A451" s="1" t="s">
        <v>1616</v>
      </c>
      <c r="B451" s="2">
        <f>COUNTIF(A:A,A451)-1</f>
        <v>12</v>
      </c>
      <c r="C451" s="2">
        <f>COUNTIF(A$1:A451,A451)-1</f>
        <v>0</v>
      </c>
      <c r="D451" s="2"/>
      <c r="E451" s="2"/>
      <c r="F451" s="2"/>
      <c r="G451" s="2"/>
    </row>
    <row r="452" spans="1:7" x14ac:dyDescent="0.55000000000000004">
      <c r="A452" s="1" t="s">
        <v>1616</v>
      </c>
      <c r="B452" s="2">
        <f>COUNTIF(A:A,A452)-1</f>
        <v>12</v>
      </c>
      <c r="C452" s="2">
        <f>COUNTIF(A$1:A452,A452)-1</f>
        <v>1</v>
      </c>
      <c r="D452" s="2" t="e">
        <f>REGISTER(1,#REF!,#REF!,#REF!,#REF!,#REF!,#REF!,#REF!,#REF!,#REF!,#REF!,#REF!)</f>
        <v>#REF!</v>
      </c>
      <c r="E452" s="2" t="b">
        <f>IFERROR(INDEX(ERROR(0),REGISTER(SET.NAME("_",+INDEX(1,)),#REF!,#REF!,#REF!,#REF!,#REF!,#REF!,#REF!,#REF!,#REF!,#REF!,#REF!)),RETURN(INDEX(TYPE(_),SET.NAME("_"))))</f>
        <v>0</v>
      </c>
      <c r="F452" s="2" t="b">
        <f>IFERROR(INDEX(ERROR(0),REGISTER(INDIRECT(SET.NAME({1,"_"},)),#REF!,#REF!,#REF!,#REF!,#REF!,#REF!,#REF!,#REF!,#REF!,#REF!,#REF!)),RETURN(INDEX(TYPE(_),SET.NAME("_"))))</f>
        <v>0</v>
      </c>
      <c r="G452" s="2">
        <f>TYPE(INDEX(,REGISTER(INDEX(1,),#REF!,#REF!,#REF!,#REF!,#REF!,#REF!,#REF!,#REF!,#REF!,#REF!,#REF!)))</f>
        <v>16</v>
      </c>
    </row>
    <row r="453" spans="1:7" x14ac:dyDescent="0.55000000000000004">
      <c r="A453" s="1" t="s">
        <v>1616</v>
      </c>
      <c r="B453" s="2">
        <f>COUNTIF(A:A,A453)-1</f>
        <v>12</v>
      </c>
      <c r="C453" s="2">
        <f>COUNTIF(A$1:A453,A453)-1</f>
        <v>2</v>
      </c>
      <c r="D453" s="2" t="e">
        <f>REGISTER(#REF!,1,#REF!,#REF!,#REF!,#REF!,#REF!,#REF!,#REF!,#REF!,#REF!,#REF!)</f>
        <v>#REF!</v>
      </c>
      <c r="E453" s="2" t="b">
        <f>IFERROR(INDEX(ERROR(0),REGISTER(#REF!,SET.NAME("_",+INDEX(1,)),#REF!,#REF!,#REF!,#REF!,#REF!,#REF!,#REF!,#REF!,#REF!,#REF!)),RETURN(INDEX(TYPE(_),SET.NAME("_"))))</f>
        <v>0</v>
      </c>
      <c r="F453" s="2" t="b">
        <f>IFERROR(INDEX(ERROR(0),REGISTER(#REF!,INDIRECT(SET.NAME({1,"_"},)),#REF!,#REF!,#REF!,#REF!,#REF!,#REF!,#REF!,#REF!,#REF!,#REF!)),RETURN(INDEX(TYPE(_),SET.NAME("_"))))</f>
        <v>0</v>
      </c>
      <c r="G453" s="2">
        <f>TYPE(INDEX(,REGISTER(#REF!,INDEX(1,),#REF!,#REF!,#REF!,#REF!,#REF!,#REF!,#REF!,#REF!,#REF!,#REF!)))</f>
        <v>16</v>
      </c>
    </row>
    <row r="454" spans="1:7" x14ac:dyDescent="0.55000000000000004">
      <c r="A454" s="1" t="s">
        <v>1616</v>
      </c>
      <c r="B454" s="2">
        <f>COUNTIF(A:A,A454)-1</f>
        <v>12</v>
      </c>
      <c r="C454" s="2">
        <f>COUNTIF(A$1:A454,A454)-1</f>
        <v>3</v>
      </c>
      <c r="D454" s="2" t="e">
        <f>REGISTER(#REF!,#REF!,1,#REF!,#REF!,#REF!,#REF!,#REF!,#REF!,#REF!,#REF!,#REF!)</f>
        <v>#REF!</v>
      </c>
      <c r="E454" s="2" t="b">
        <f>IFERROR(INDEX(ERROR(0),REGISTER(#REF!,#REF!,SET.NAME("_",+INDEX(1,)),#REF!,#REF!,#REF!,#REF!,#REF!,#REF!,#REF!,#REF!,#REF!)),RETURN(INDEX(TYPE(_),SET.NAME("_"))))</f>
        <v>0</v>
      </c>
      <c r="F454" s="2" t="b">
        <f>IFERROR(INDEX(ERROR(0),REGISTER(#REF!,#REF!,INDIRECT(SET.NAME({1,"_"},)),#REF!,#REF!,#REF!,#REF!,#REF!,#REF!,#REF!,#REF!,#REF!)),RETURN(INDEX(TYPE(_),SET.NAME("_"))))</f>
        <v>0</v>
      </c>
      <c r="G454" s="2">
        <f>TYPE(INDEX(,REGISTER(#REF!,#REF!,INDEX(1,),#REF!,#REF!,#REF!,#REF!,#REF!,#REF!,#REF!,#REF!,#REF!)))</f>
        <v>16</v>
      </c>
    </row>
    <row r="455" spans="1:7" x14ac:dyDescent="0.55000000000000004">
      <c r="A455" s="1" t="s">
        <v>1616</v>
      </c>
      <c r="B455" s="2">
        <f>COUNTIF(A:A,A455)-1</f>
        <v>12</v>
      </c>
      <c r="C455" s="2">
        <f>COUNTIF(A$1:A455,A455)-1</f>
        <v>4</v>
      </c>
      <c r="D455" s="2" t="e">
        <f>REGISTER(#REF!,#REF!,#REF!,1,#REF!,#REF!,#REF!,#REF!,#REF!,#REF!,#REF!,#REF!)</f>
        <v>#REF!</v>
      </c>
      <c r="E455" s="2" t="b">
        <f>IFERROR(INDEX(ERROR(0),REGISTER(#REF!,#REF!,#REF!,SET.NAME("_",+INDEX(1,)),#REF!,#REF!,#REF!,#REF!,#REF!,#REF!,#REF!,#REF!)),RETURN(INDEX(TYPE(_),SET.NAME("_"))))</f>
        <v>0</v>
      </c>
      <c r="F455" s="2" t="b">
        <f>IFERROR(INDEX(ERROR(0),REGISTER(#REF!,#REF!,#REF!,INDIRECT(SET.NAME({1,"_"},)),#REF!,#REF!,#REF!,#REF!,#REF!,#REF!,#REF!,#REF!)),RETURN(INDEX(TYPE(_),SET.NAME("_"))))</f>
        <v>0</v>
      </c>
      <c r="G455" s="2">
        <f>TYPE(INDEX(,REGISTER(#REF!,#REF!,#REF!,INDEX(1,),#REF!,#REF!,#REF!,#REF!,#REF!,#REF!,#REF!,#REF!)))</f>
        <v>16</v>
      </c>
    </row>
    <row r="456" spans="1:7" x14ac:dyDescent="0.55000000000000004">
      <c r="A456" s="1" t="s">
        <v>1616</v>
      </c>
      <c r="B456" s="2">
        <f>COUNTIF(A:A,A456)-1</f>
        <v>12</v>
      </c>
      <c r="C456" s="2">
        <f>COUNTIF(A$1:A456,A456)-1</f>
        <v>5</v>
      </c>
      <c r="D456" s="2" t="e">
        <f>REGISTER(#REF!,#REF!,#REF!,#REF!,1,#REF!,#REF!,#REF!,#REF!,#REF!,#REF!,#REF!)</f>
        <v>#REF!</v>
      </c>
      <c r="E456" s="2" t="b">
        <f>IFERROR(INDEX(ERROR(0),REGISTER(#REF!,#REF!,#REF!,#REF!,SET.NAME("_",+INDEX(1,)),#REF!,#REF!,#REF!,#REF!,#REF!,#REF!,#REF!)),RETURN(INDEX(TYPE(_),SET.NAME("_"))))</f>
        <v>0</v>
      </c>
      <c r="F456" s="2" t="b">
        <f>IFERROR(INDEX(ERROR(0),REGISTER(#REF!,#REF!,#REF!,#REF!,INDIRECT(SET.NAME({1,"_"},)),#REF!,#REF!,#REF!,#REF!,#REF!,#REF!,#REF!)),RETURN(INDEX(TYPE(_),SET.NAME("_"))))</f>
        <v>0</v>
      </c>
      <c r="G456" s="2">
        <f>TYPE(INDEX(,REGISTER(#REF!,#REF!,#REF!,#REF!,INDEX(1,),#REF!,#REF!,#REF!,#REF!,#REF!,#REF!,#REF!)))</f>
        <v>16</v>
      </c>
    </row>
    <row r="457" spans="1:7" x14ac:dyDescent="0.55000000000000004">
      <c r="A457" s="1" t="s">
        <v>1616</v>
      </c>
      <c r="B457" s="2">
        <f>COUNTIF(A:A,A457)-1</f>
        <v>12</v>
      </c>
      <c r="C457" s="2">
        <f>COUNTIF(A$1:A457,A457)-1</f>
        <v>6</v>
      </c>
      <c r="D457" s="2" t="e">
        <f>REGISTER(#REF!,#REF!,#REF!,#REF!,#REF!,1,#REF!,#REF!,#REF!,#REF!,#REF!,#REF!)</f>
        <v>#REF!</v>
      </c>
      <c r="E457" s="2" t="b">
        <f>IFERROR(INDEX(ERROR(0),REGISTER(#REF!,#REF!,#REF!,#REF!,#REF!,SET.NAME("_",+INDEX(1,)),#REF!,#REF!,#REF!,#REF!,#REF!,#REF!)),RETURN(INDEX(TYPE(_),SET.NAME("_"))))</f>
        <v>0</v>
      </c>
      <c r="F457" s="2" t="b">
        <f>IFERROR(INDEX(ERROR(0),REGISTER(#REF!,#REF!,#REF!,#REF!,#REF!,INDIRECT(SET.NAME({1,"_"},)),#REF!,#REF!,#REF!,#REF!,#REF!,#REF!)),RETURN(INDEX(TYPE(_),SET.NAME("_"))))</f>
        <v>0</v>
      </c>
      <c r="G457" s="2">
        <f>TYPE(INDEX(,REGISTER(#REF!,#REF!,#REF!,#REF!,#REF!,INDEX(1,),#REF!,#REF!,#REF!,#REF!,#REF!,#REF!)))</f>
        <v>16</v>
      </c>
    </row>
    <row r="458" spans="1:7" x14ac:dyDescent="0.55000000000000004">
      <c r="A458" s="1" t="s">
        <v>1616</v>
      </c>
      <c r="B458" s="2">
        <f>COUNTIF(A:A,A458)-1</f>
        <v>12</v>
      </c>
      <c r="C458" s="2">
        <f>COUNTIF(A$1:A458,A458)-1</f>
        <v>7</v>
      </c>
      <c r="D458" s="2" t="e">
        <f>REGISTER(#REF!,#REF!,#REF!,#REF!,#REF!,#REF!,1,#REF!,#REF!,#REF!,#REF!,#REF!)</f>
        <v>#REF!</v>
      </c>
      <c r="E458" s="2" t="b">
        <f>IFERROR(INDEX(ERROR(0),REGISTER(#REF!,#REF!,#REF!,#REF!,#REF!,#REF!,SET.NAME("_",+INDEX(1,)),#REF!,#REF!,#REF!,#REF!,#REF!)),RETURN(INDEX(TYPE(_),SET.NAME("_"))))</f>
        <v>0</v>
      </c>
      <c r="F458" s="2" t="b">
        <f>IFERROR(INDEX(ERROR(0),REGISTER(#REF!,#REF!,#REF!,#REF!,#REF!,#REF!,INDIRECT(SET.NAME({1,"_"},)),#REF!,#REF!,#REF!,#REF!,#REF!)),RETURN(INDEX(TYPE(_),SET.NAME("_"))))</f>
        <v>0</v>
      </c>
      <c r="G458" s="2">
        <f>TYPE(INDEX(,REGISTER(#REF!,#REF!,#REF!,#REF!,#REF!,#REF!,INDEX(1,),#REF!,#REF!,#REF!,#REF!,#REF!)))</f>
        <v>16</v>
      </c>
    </row>
    <row r="459" spans="1:7" x14ac:dyDescent="0.55000000000000004">
      <c r="A459" s="1" t="s">
        <v>1616</v>
      </c>
      <c r="B459" s="2">
        <f>COUNTIF(A:A,A459)-1</f>
        <v>12</v>
      </c>
      <c r="C459" s="2">
        <f>COUNTIF(A$1:A459,A459)-1</f>
        <v>8</v>
      </c>
      <c r="D459" s="2" t="e">
        <f>REGISTER(#REF!,#REF!,#REF!,#REF!,#REF!,#REF!,#REF!,1,#REF!,#REF!,#REF!,#REF!)</f>
        <v>#REF!</v>
      </c>
      <c r="E459" s="2" t="b">
        <f>IFERROR(INDEX(ERROR(0),REGISTER(#REF!,#REF!,#REF!,#REF!,#REF!,#REF!,#REF!,SET.NAME("_",+INDEX(1,)),#REF!,#REF!,#REF!,#REF!)),RETURN(INDEX(TYPE(_),SET.NAME("_"))))</f>
        <v>0</v>
      </c>
      <c r="F459" s="2" t="b">
        <f>IFERROR(INDEX(ERROR(0),REGISTER(#REF!,#REF!,#REF!,#REF!,#REF!,#REF!,#REF!,INDIRECT(SET.NAME({1,"_"},)),#REF!,#REF!,#REF!,#REF!)),RETURN(INDEX(TYPE(_),SET.NAME("_"))))</f>
        <v>0</v>
      </c>
      <c r="G459" s="2">
        <f>TYPE(INDEX(,REGISTER(#REF!,#REF!,#REF!,#REF!,#REF!,#REF!,#REF!,INDEX(1,),#REF!,#REF!,#REF!,#REF!)))</f>
        <v>16</v>
      </c>
    </row>
    <row r="460" spans="1:7" x14ac:dyDescent="0.55000000000000004">
      <c r="A460" s="1" t="s">
        <v>1616</v>
      </c>
      <c r="B460" s="2">
        <f>COUNTIF(A:A,A460)-1</f>
        <v>12</v>
      </c>
      <c r="C460" s="2">
        <f>COUNTIF(A$1:A460,A460)-1</f>
        <v>9</v>
      </c>
      <c r="D460" s="2" t="e">
        <f>REGISTER(#REF!,#REF!,#REF!,#REF!,#REF!,#REF!,#REF!,#REF!,1,#REF!,#REF!,#REF!)</f>
        <v>#REF!</v>
      </c>
      <c r="E460" s="2" t="b">
        <f>IFERROR(INDEX(ERROR(0),REGISTER(#REF!,#REF!,#REF!,#REF!,#REF!,#REF!,#REF!,#REF!,SET.NAME("_",+INDEX(1,)),#REF!,#REF!,#REF!)),RETURN(INDEX(TYPE(_),SET.NAME("_"))))</f>
        <v>0</v>
      </c>
      <c r="F460" s="2" t="b">
        <f>IFERROR(INDEX(ERROR(0),REGISTER(#REF!,#REF!,#REF!,#REF!,#REF!,#REF!,#REF!,#REF!,INDIRECT(SET.NAME({1,"_"},)),#REF!,#REF!,#REF!)),RETURN(INDEX(TYPE(_),SET.NAME("_"))))</f>
        <v>0</v>
      </c>
      <c r="G460" s="2">
        <f>TYPE(INDEX(,REGISTER(#REF!,#REF!,#REF!,#REF!,#REF!,#REF!,#REF!,#REF!,INDEX(1,),#REF!,#REF!,#REF!)))</f>
        <v>16</v>
      </c>
    </row>
    <row r="461" spans="1:7" x14ac:dyDescent="0.55000000000000004">
      <c r="A461" s="1" t="s">
        <v>1616</v>
      </c>
      <c r="B461" s="2">
        <f>COUNTIF(A:A,A461)-1</f>
        <v>12</v>
      </c>
      <c r="C461" s="2">
        <f>COUNTIF(A$1:A461,A461)-1</f>
        <v>10</v>
      </c>
      <c r="D461" s="2" t="e">
        <f>REGISTER(#REF!,#REF!,#REF!,#REF!,#REF!,#REF!,#REF!,#REF!,#REF!,1,#REF!,#REF!)</f>
        <v>#REF!</v>
      </c>
      <c r="E461" s="2" t="b">
        <f>IFERROR(INDEX(ERROR(0),REGISTER(#REF!,#REF!,#REF!,#REF!,#REF!,#REF!,#REF!,#REF!,#REF!,SET.NAME("_",+INDEX(1,)),#REF!,#REF!)),RETURN(INDEX(TYPE(_),SET.NAME("_"))))</f>
        <v>0</v>
      </c>
      <c r="F461" s="2" t="b">
        <f>IFERROR(INDEX(ERROR(0),REGISTER(#REF!,#REF!,#REF!,#REF!,#REF!,#REF!,#REF!,#REF!,#REF!,INDIRECT(SET.NAME({1,"_"},)),#REF!,#REF!)),RETURN(INDEX(TYPE(_),SET.NAME("_"))))</f>
        <v>0</v>
      </c>
      <c r="G461" s="2">
        <f>TYPE(INDEX(,REGISTER(#REF!,#REF!,#REF!,#REF!,#REF!,#REF!,#REF!,#REF!,#REF!,INDEX(1,),#REF!,#REF!)))</f>
        <v>16</v>
      </c>
    </row>
    <row r="462" spans="1:7" x14ac:dyDescent="0.55000000000000004">
      <c r="A462" s="1" t="s">
        <v>1616</v>
      </c>
      <c r="B462" s="2">
        <f>COUNTIF(A:A,A462)-1</f>
        <v>12</v>
      </c>
      <c r="C462" s="2">
        <f>COUNTIF(A$1:A462,A462)-1</f>
        <v>11</v>
      </c>
      <c r="D462" s="2" t="e">
        <f>REGISTER(#REF!,#REF!,#REF!,#REF!,#REF!,#REF!,#REF!,#REF!,#REF!,#REF!,1,#REF!)</f>
        <v>#REF!</v>
      </c>
      <c r="E462" s="2" t="b">
        <f>IFERROR(INDEX(ERROR(0),REGISTER(#REF!,#REF!,#REF!,#REF!,#REF!,#REF!,#REF!,#REF!,#REF!,#REF!,SET.NAME("_",+INDEX(1,)),#REF!)),RETURN(INDEX(TYPE(_),SET.NAME("_"))))</f>
        <v>0</v>
      </c>
      <c r="F462" s="2" t="b">
        <f>IFERROR(INDEX(ERROR(0),REGISTER(#REF!,#REF!,#REF!,#REF!,#REF!,#REF!,#REF!,#REF!,#REF!,#REF!,INDIRECT(SET.NAME({1,"_"},)),#REF!)),RETURN(INDEX(TYPE(_),SET.NAME("_"))))</f>
        <v>0</v>
      </c>
      <c r="G462" s="2">
        <f>TYPE(INDEX(,REGISTER(#REF!,#REF!,#REF!,#REF!,#REF!,#REF!,#REF!,#REF!,#REF!,#REF!,INDEX(1,),#REF!)))</f>
        <v>16</v>
      </c>
    </row>
    <row r="463" spans="1:7" x14ac:dyDescent="0.55000000000000004">
      <c r="A463" s="1" t="s">
        <v>1616</v>
      </c>
      <c r="B463" s="2">
        <f>COUNTIF(A:A,A463)-1</f>
        <v>12</v>
      </c>
      <c r="C463" s="2">
        <f>COUNTIF(A$1:A463,A463)-1</f>
        <v>12</v>
      </c>
      <c r="D463" s="2" t="e">
        <f>REGISTER(#REF!,#REF!,#REF!,#REF!,#REF!,#REF!,#REF!,#REF!,#REF!,#REF!,#REF!,1)</f>
        <v>#REF!</v>
      </c>
      <c r="E463" s="2" t="b">
        <f>IFERROR(INDEX(ERROR(0),REGISTER(#REF!,#REF!,#REF!,#REF!,#REF!,#REF!,#REF!,#REF!,#REF!,#REF!,#REF!,SET.NAME("_",+INDEX(1,)))),RETURN(INDEX(TYPE(_),SET.NAME("_"))))</f>
        <v>0</v>
      </c>
      <c r="F463" s="2" t="b">
        <f>IFERROR(INDEX(ERROR(0),REGISTER(#REF!,#REF!,#REF!,#REF!,#REF!,#REF!,#REF!,#REF!,#REF!,#REF!,#REF!,INDIRECT(SET.NAME({1,"_"},)))),RETURN(INDEX(TYPE(_),SET.NAME("_"))))</f>
        <v>0</v>
      </c>
      <c r="G463" s="2">
        <f>TYPE(INDEX(,REGISTER(#REF!,#REF!,#REF!,#REF!,#REF!,#REF!,#REF!,#REF!,#REF!,#REF!,#REF!,INDEX(1,))))</f>
        <v>16</v>
      </c>
    </row>
    <row r="464" spans="1:7" x14ac:dyDescent="0.55000000000000004">
      <c r="A464" s="1" t="s">
        <v>2046</v>
      </c>
      <c r="B464" s="2">
        <f>COUNTIF(A:A,A464)-1</f>
        <v>5</v>
      </c>
      <c r="C464" s="2">
        <f>COUNTIF(A$1:A464,A464)-1</f>
        <v>0</v>
      </c>
      <c r="D464" s="2"/>
      <c r="E464" s="2"/>
      <c r="F464" s="2"/>
      <c r="G464" s="2"/>
    </row>
    <row r="465" spans="1:7" x14ac:dyDescent="0.55000000000000004">
      <c r="A465" s="1" t="s">
        <v>2046</v>
      </c>
      <c r="B465" s="2">
        <f>COUNTIF(A:A,A465)-1</f>
        <v>5</v>
      </c>
      <c r="C465" s="2">
        <f>COUNTIF(A$1:A465,A465)-1</f>
        <v>1</v>
      </c>
      <c r="D465" s="2" t="b">
        <f>CALL(1,#REF!,#REF!,#REF!,#REF!)</f>
        <v>0</v>
      </c>
      <c r="E465" s="2" t="b">
        <f>IFERROR(INDEX(ERROR(0),CALL(SET.NAME("_",+INDEX(1,)),#REF!,#REF!,#REF!,#REF!)),RETURN(INDEX(TYPE(_),SET.NAME("_"))))</f>
        <v>0</v>
      </c>
      <c r="F465" s="2" t="b">
        <f>IFERROR(INDEX(ERROR(0),CALL(INDIRECT(SET.NAME({1,"_"},)),#REF!,#REF!,#REF!,#REF!)),RETURN(INDEX(TYPE(_),SET.NAME("_"))))</f>
        <v>0</v>
      </c>
      <c r="G465" s="2">
        <f>TYPE(INDEX(,CALL(INDEX(1,),#REF!,#REF!,#REF!,#REF!)))</f>
        <v>16</v>
      </c>
    </row>
    <row r="466" spans="1:7" x14ac:dyDescent="0.55000000000000004">
      <c r="A466" s="1" t="s">
        <v>2046</v>
      </c>
      <c r="B466" s="2">
        <f>COUNTIF(A:A,A466)-1</f>
        <v>5</v>
      </c>
      <c r="C466" s="2">
        <f>COUNTIF(A$1:A466,A466)-1</f>
        <v>2</v>
      </c>
      <c r="D466" s="2" t="e">
        <f>CALL(#REF!,1,#REF!,#REF!,#REF!)</f>
        <v>#REF!</v>
      </c>
      <c r="E466" s="2" t="b">
        <f>IFERROR(INDEX(ERROR(0),CALL(#REF!,SET.NAME("_",+INDEX(1,)),#REF!,#REF!,#REF!)),RETURN(INDEX(TYPE(_),SET.NAME("_"))))</f>
        <v>0</v>
      </c>
      <c r="F466" s="2" t="b">
        <f>IFERROR(INDEX(ERROR(0),CALL(#REF!,INDIRECT(SET.NAME({1,"_"},)),#REF!,#REF!,#REF!)),RETURN(INDEX(TYPE(_),SET.NAME("_"))))</f>
        <v>0</v>
      </c>
      <c r="G466" s="2">
        <f>TYPE(INDEX(,CALL(#REF!,INDEX(1,),#REF!,#REF!,#REF!)))</f>
        <v>16</v>
      </c>
    </row>
    <row r="467" spans="1:7" x14ac:dyDescent="0.55000000000000004">
      <c r="A467" s="1" t="s">
        <v>2046</v>
      </c>
      <c r="B467" s="2">
        <f>COUNTIF(A:A,A467)-1</f>
        <v>5</v>
      </c>
      <c r="C467" s="2">
        <f>COUNTIF(A$1:A467,A467)-1</f>
        <v>3</v>
      </c>
      <c r="D467" s="2" t="e">
        <f>CALL(#REF!,#REF!,1,#REF!,#REF!)</f>
        <v>#REF!</v>
      </c>
      <c r="E467" s="2" t="b">
        <f>IFERROR(INDEX(ERROR(0),CALL(#REF!,#REF!,SET.NAME("_",+INDEX(1,)),#REF!,#REF!)),RETURN(INDEX(TYPE(_),SET.NAME("_"))))</f>
        <v>0</v>
      </c>
      <c r="F467" s="2" t="b">
        <f>IFERROR(INDEX(ERROR(0),CALL(#REF!,#REF!,INDIRECT(SET.NAME({1,"_"},)),#REF!,#REF!)),RETURN(INDEX(TYPE(_),SET.NAME("_"))))</f>
        <v>0</v>
      </c>
      <c r="G467" s="2">
        <f>TYPE(INDEX(,CALL(#REF!,#REF!,INDEX(1,),#REF!,#REF!)))</f>
        <v>16</v>
      </c>
    </row>
    <row r="468" spans="1:7" x14ac:dyDescent="0.55000000000000004">
      <c r="A468" s="1" t="s">
        <v>2046</v>
      </c>
      <c r="B468" s="2">
        <f>COUNTIF(A:A,A468)-1</f>
        <v>5</v>
      </c>
      <c r="C468" s="2">
        <f>COUNTIF(A$1:A468,A468)-1</f>
        <v>4</v>
      </c>
      <c r="D468" s="2" t="e">
        <f>CALL(#REF!,#REF!,#REF!,1,#REF!)</f>
        <v>#REF!</v>
      </c>
      <c r="E468" s="2" t="b">
        <f>IFERROR(INDEX(ERROR(0),CALL(#REF!,#REF!,#REF!,SET.NAME("_",+INDEX(1,)),#REF!)),RETURN(INDEX(TYPE(_),SET.NAME("_"))))</f>
        <v>0</v>
      </c>
      <c r="F468" s="2" t="b">
        <f>IFERROR(INDEX(ERROR(0),CALL(#REF!,#REF!,#REF!,INDIRECT(SET.NAME({1,"_"},)),#REF!)),RETURN(INDEX(TYPE(_),SET.NAME("_"))))</f>
        <v>0</v>
      </c>
      <c r="G468" s="2">
        <f>TYPE(INDEX(,CALL(#REF!,#REF!,#REF!,INDEX(1,),#REF!)))</f>
        <v>16</v>
      </c>
    </row>
    <row r="469" spans="1:7" x14ac:dyDescent="0.55000000000000004">
      <c r="A469" s="1" t="s">
        <v>2046</v>
      </c>
      <c r="B469" s="2">
        <f>COUNTIF(A:A,A469)-1</f>
        <v>5</v>
      </c>
      <c r="C469" s="2">
        <f>COUNTIF(A$1:A469,A469)-1</f>
        <v>5</v>
      </c>
      <c r="D469" s="2" t="e">
        <f>CALL(#REF!,#REF!,#REF!,#REF!,1)</f>
        <v>#REF!</v>
      </c>
      <c r="E469" s="2" t="b">
        <f>IFERROR(INDEX(ERROR(0),CALL(#REF!,#REF!,#REF!,#REF!,SET.NAME("_",+INDEX(1,)))),RETURN(INDEX(TYPE(_),SET.NAME("_"))))</f>
        <v>0</v>
      </c>
      <c r="F469" s="2" t="b">
        <f>IFERROR(INDEX(ERROR(0),CALL(#REF!,#REF!,#REF!,#REF!,INDIRECT(SET.NAME({1,"_"},)))),RETURN(INDEX(TYPE(_),SET.NAME("_"))))</f>
        <v>0</v>
      </c>
      <c r="G469" s="2">
        <f>TYPE(INDEX(,CALL(#REF!,#REF!,#REF!,#REF!,INDEX(1,))))</f>
        <v>16</v>
      </c>
    </row>
    <row r="470" spans="1:7" x14ac:dyDescent="0.55000000000000004">
      <c r="A470" s="1" t="s">
        <v>1617</v>
      </c>
      <c r="B470" s="2">
        <f>COUNTIF(A:A,A470)-1</f>
        <v>1</v>
      </c>
      <c r="C470" s="2">
        <f>COUNTIF(A$1:A470,A470)-1</f>
        <v>0</v>
      </c>
      <c r="D470" s="2"/>
      <c r="E470" s="2"/>
      <c r="F470" s="2"/>
      <c r="G470" s="2"/>
    </row>
    <row r="471" spans="1:7" x14ac:dyDescent="0.55000000000000004">
      <c r="A471" s="1" t="s">
        <v>1617</v>
      </c>
      <c r="B471" s="2">
        <f>COUNTIF(A:A,A471)-1</f>
        <v>1</v>
      </c>
      <c r="C471" s="2">
        <f>COUNTIF(A$1:A471,A471)-1</f>
        <v>1</v>
      </c>
      <c r="D471" s="2" t="b">
        <f>ADD.BAR(1)</f>
        <v>0</v>
      </c>
      <c r="E471" s="2" t="b">
        <f>IFERROR(INDEX(ERROR(0),ADD.BAR(SET.NAME("_",+INDEX(1,)))),RETURN(INDEX(TYPE(_),SET.NAME("_"))))</f>
        <v>0</v>
      </c>
      <c r="F471" s="2" t="b">
        <f>IFERROR(INDEX(ERROR(0),ADD.BAR(INDIRECT(SET.NAME({1,"_"},)))),RETURN(INDEX(TYPE(_),SET.NAME("_"))))</f>
        <v>0</v>
      </c>
      <c r="G471" s="2">
        <f>TYPE(INDEX(,ADD.BAR(INDEX(1,))))</f>
        <v>16</v>
      </c>
    </row>
    <row r="472" spans="1:7" x14ac:dyDescent="0.55000000000000004">
      <c r="A472" s="1" t="s">
        <v>1618</v>
      </c>
      <c r="B472" s="2">
        <f>COUNTIF(A:A,A472)-1</f>
        <v>4</v>
      </c>
      <c r="C472" s="2">
        <f>COUNTIF(A$1:A472,A472)-1</f>
        <v>0</v>
      </c>
      <c r="D472" s="2"/>
      <c r="E472" s="2"/>
      <c r="F472" s="2"/>
      <c r="G472" s="2"/>
    </row>
    <row r="473" spans="1:7" x14ac:dyDescent="0.55000000000000004">
      <c r="A473" s="1" t="s">
        <v>1618</v>
      </c>
      <c r="B473" s="2">
        <f>COUNTIF(A:A,A473)-1</f>
        <v>4</v>
      </c>
      <c r="C473" s="2">
        <f>COUNTIF(A$1:A473,A473)-1</f>
        <v>1</v>
      </c>
      <c r="D473" s="2" t="b">
        <f>ADD.MENU(1,#REF!,#REF!,#REF!)</f>
        <v>0</v>
      </c>
      <c r="E473" s="2" t="b">
        <f>IFERROR(INDEX(ERROR(0),ADD.MENU(SET.NAME("_",+INDEX(1,)),#REF!,#REF!,#REF!)),RETURN(INDEX(TYPE(_),SET.NAME("_"))))</f>
        <v>0</v>
      </c>
      <c r="F473" s="2" t="b">
        <f>IFERROR(INDEX(ERROR(0),ADD.MENU(INDIRECT(SET.NAME({1,"_"},)),#REF!,#REF!,#REF!)),RETURN(INDEX(TYPE(_),SET.NAME("_"))))</f>
        <v>0</v>
      </c>
      <c r="G473" s="2">
        <f>TYPE(INDEX(,ADD.MENU(INDEX(1,),#REF!,#REF!,#REF!)))</f>
        <v>16</v>
      </c>
    </row>
    <row r="474" spans="1:7" x14ac:dyDescent="0.55000000000000004">
      <c r="A474" s="1" t="s">
        <v>1618</v>
      </c>
      <c r="B474" s="2">
        <f>COUNTIF(A:A,A474)-1</f>
        <v>4</v>
      </c>
      <c r="C474" s="2">
        <f>COUNTIF(A$1:A474,A474)-1</f>
        <v>2</v>
      </c>
      <c r="D474" s="2" t="b">
        <f>ADD.MENU(#REF!,1,#REF!,#REF!)</f>
        <v>0</v>
      </c>
      <c r="E474" s="2" t="b">
        <f>IFERROR(INDEX(ERROR(0),ADD.MENU(#REF!,SET.NAME("_",+INDEX(1,)),#REF!,#REF!)),RETURN(INDEX(TYPE(_),SET.NAME("_"))))</f>
        <v>0</v>
      </c>
      <c r="F474" s="2" t="b">
        <f>IFERROR(INDEX(ERROR(0),ADD.MENU(#REF!,INDIRECT(SET.NAME({1,"_"},)),#REF!,#REF!)),RETURN(INDEX(TYPE(_),SET.NAME("_"))))</f>
        <v>0</v>
      </c>
      <c r="G474" s="2">
        <f>TYPE(INDEX(,ADD.MENU(#REF!,INDEX(1,),#REF!,#REF!)))</f>
        <v>16</v>
      </c>
    </row>
    <row r="475" spans="1:7" x14ac:dyDescent="0.55000000000000004">
      <c r="A475" s="1" t="s">
        <v>1618</v>
      </c>
      <c r="B475" s="2">
        <f>COUNTIF(A:A,A475)-1</f>
        <v>4</v>
      </c>
      <c r="C475" s="2">
        <f>COUNTIF(A$1:A475,A475)-1</f>
        <v>3</v>
      </c>
      <c r="D475" s="2" t="b">
        <f>ADD.MENU(#REF!,#REF!,1,#REF!)</f>
        <v>0</v>
      </c>
      <c r="E475" s="2" t="b">
        <f>IFERROR(INDEX(ERROR(0),ADD.MENU(#REF!,#REF!,SET.NAME("_",+INDEX(1,)),#REF!)),RETURN(INDEX(TYPE(_),SET.NAME("_"))))</f>
        <v>0</v>
      </c>
      <c r="F475" s="2" t="b">
        <f>IFERROR(INDEX(ERROR(0),ADD.MENU(#REF!,#REF!,INDIRECT(SET.NAME({1,"_"},)),#REF!)),RETURN(INDEX(TYPE(_),SET.NAME("_"))))</f>
        <v>0</v>
      </c>
      <c r="G475" s="2">
        <f>TYPE(INDEX(,ADD.MENU(#REF!,#REF!,INDEX(1,),#REF!)))</f>
        <v>64</v>
      </c>
    </row>
    <row r="476" spans="1:7" x14ac:dyDescent="0.55000000000000004">
      <c r="A476" s="1" t="s">
        <v>1618</v>
      </c>
      <c r="B476" s="2">
        <f>COUNTIF(A:A,A476)-1</f>
        <v>4</v>
      </c>
      <c r="C476" s="2">
        <f>COUNTIF(A$1:A476,A476)-1</f>
        <v>4</v>
      </c>
      <c r="D476" s="2" t="b">
        <f>ADD.MENU(#REF!,#REF!,#REF!,1)</f>
        <v>0</v>
      </c>
      <c r="E476" s="2" t="b">
        <f>IFERROR(INDEX(ERROR(0),ADD.MENU(#REF!,#REF!,#REF!,SET.NAME("_",+INDEX(1,)))),RETURN(INDEX(TYPE(_),SET.NAME("_"))))</f>
        <v>0</v>
      </c>
      <c r="F476" s="2" t="b">
        <f>IFERROR(INDEX(ERROR(0),ADD.MENU(#REF!,#REF!,#REF!,INDIRECT(SET.NAME({1,"_"},)))),RETURN(INDEX(TYPE(_),SET.NAME("_"))))</f>
        <v>0</v>
      </c>
      <c r="G476" s="2">
        <f>TYPE(INDEX(,ADD.MENU(#REF!,#REF!,#REF!,INDEX(1,))))</f>
        <v>16</v>
      </c>
    </row>
    <row r="477" spans="1:7" x14ac:dyDescent="0.55000000000000004">
      <c r="A477" s="1" t="s">
        <v>1619</v>
      </c>
      <c r="B477" s="2">
        <f>COUNTIF(A:A,A477)-1</f>
        <v>5</v>
      </c>
      <c r="C477" s="2">
        <f>COUNTIF(A$1:A477,A477)-1</f>
        <v>0</v>
      </c>
      <c r="D477" s="2"/>
      <c r="E477" s="2"/>
      <c r="F477" s="2"/>
      <c r="G477" s="2"/>
    </row>
    <row r="478" spans="1:7" x14ac:dyDescent="0.55000000000000004">
      <c r="A478" s="1" t="s">
        <v>1619</v>
      </c>
      <c r="B478" s="2">
        <f>COUNTIF(A:A,A478)-1</f>
        <v>5</v>
      </c>
      <c r="C478" s="2">
        <f>COUNTIF(A$1:A478,A478)-1</f>
        <v>1</v>
      </c>
      <c r="D478" s="2" t="b">
        <f>ADD.COMMAND(1,#REF!,#REF!,#REF!,#REF!)</f>
        <v>0</v>
      </c>
      <c r="E478" s="2" t="b">
        <f>IFERROR(INDEX(ERROR(0),ADD.COMMAND(SET.NAME("_",+INDEX(1,)),#REF!,#REF!,#REF!,#REF!)),RETURN(INDEX(TYPE(_),SET.NAME("_"))))</f>
        <v>0</v>
      </c>
      <c r="F478" s="2" t="b">
        <f>IFERROR(INDEX(ERROR(0),ADD.COMMAND(INDIRECT(SET.NAME({1,"_"},)),#REF!,#REF!,#REF!,#REF!)),RETURN(INDEX(TYPE(_),SET.NAME("_"))))</f>
        <v>0</v>
      </c>
      <c r="G478" s="2">
        <f>TYPE(INDEX(,ADD.COMMAND(INDEX(1,),#REF!,#REF!,#REF!,#REF!)))</f>
        <v>16</v>
      </c>
    </row>
    <row r="479" spans="1:7" x14ac:dyDescent="0.55000000000000004">
      <c r="A479" s="1" t="s">
        <v>1619</v>
      </c>
      <c r="B479" s="2">
        <f>COUNTIF(A:A,A479)-1</f>
        <v>5</v>
      </c>
      <c r="C479" s="2">
        <f>COUNTIF(A$1:A479,A479)-1</f>
        <v>2</v>
      </c>
      <c r="D479" s="2" t="b">
        <f>ADD.COMMAND(#REF!,1,#REF!,#REF!,#REF!)</f>
        <v>0</v>
      </c>
      <c r="E479" s="2" t="b">
        <f>IFERROR(INDEX(ERROR(0),ADD.COMMAND(#REF!,SET.NAME("_",+INDEX(1,)),#REF!,#REF!,#REF!)),RETURN(INDEX(TYPE(_),SET.NAME("_"))))</f>
        <v>0</v>
      </c>
      <c r="F479" s="2" t="b">
        <f>IFERROR(INDEX(ERROR(0),ADD.COMMAND(#REF!,INDIRECT(SET.NAME({1,"_"},)),#REF!,#REF!,#REF!)),RETURN(INDEX(TYPE(_),SET.NAME("_"))))</f>
        <v>0</v>
      </c>
      <c r="G479" s="2">
        <f>TYPE(INDEX(,ADD.COMMAND(#REF!,INDEX(1,),#REF!,#REF!,#REF!)))</f>
        <v>64</v>
      </c>
    </row>
    <row r="480" spans="1:7" x14ac:dyDescent="0.55000000000000004">
      <c r="A480" s="1" t="s">
        <v>1619</v>
      </c>
      <c r="B480" s="2">
        <f>COUNTIF(A:A,A480)-1</f>
        <v>5</v>
      </c>
      <c r="C480" s="2">
        <f>COUNTIF(A$1:A480,A480)-1</f>
        <v>3</v>
      </c>
      <c r="D480" s="2" t="b">
        <f>ADD.COMMAND(#REF!,#REF!,1,#REF!,#REF!)</f>
        <v>0</v>
      </c>
      <c r="E480" s="2" t="b">
        <f>IFERROR(INDEX(ERROR(0),ADD.COMMAND(#REF!,#REF!,SET.NAME("_",+INDEX(1,)),#REF!,#REF!)),RETURN(INDEX(TYPE(_),SET.NAME("_"))))</f>
        <v>0</v>
      </c>
      <c r="F480" s="2" t="b">
        <f>IFERROR(INDEX(ERROR(0),ADD.COMMAND(#REF!,#REF!,INDIRECT(SET.NAME({1,"_"},)),#REF!,#REF!)),RETURN(INDEX(TYPE(_),SET.NAME("_"))))</f>
        <v>0</v>
      </c>
      <c r="G480" s="2">
        <f>TYPE(INDEX(,ADD.COMMAND(#REF!,#REF!,INDEX(1,),#REF!,#REF!)))</f>
        <v>16</v>
      </c>
    </row>
    <row r="481" spans="1:7" x14ac:dyDescent="0.55000000000000004">
      <c r="A481" s="1" t="s">
        <v>1619</v>
      </c>
      <c r="B481" s="2">
        <f>COUNTIF(A:A,A481)-1</f>
        <v>5</v>
      </c>
      <c r="C481" s="2">
        <f>COUNTIF(A$1:A481,A481)-1</f>
        <v>4</v>
      </c>
      <c r="D481" s="2" t="b">
        <f>ADD.COMMAND(#REF!,#REF!,#REF!,1,#REF!)</f>
        <v>0</v>
      </c>
      <c r="E481" s="2" t="b">
        <f>IFERROR(INDEX(ERROR(0),ADD.COMMAND(#REF!,#REF!,#REF!,SET.NAME("_",+INDEX(1,)),#REF!)),RETURN(INDEX(TYPE(_),SET.NAME("_"))))</f>
        <v>0</v>
      </c>
      <c r="F481" s="2" t="b">
        <f>IFERROR(INDEX(ERROR(0),ADD.COMMAND(#REF!,#REF!,#REF!,INDIRECT(SET.NAME({1,"_"},)),#REF!)),RETURN(INDEX(TYPE(_),SET.NAME("_"))))</f>
        <v>0</v>
      </c>
      <c r="G481" s="2">
        <f>TYPE(INDEX(,ADD.COMMAND(#REF!,#REF!,#REF!,INDEX(1,),#REF!)))</f>
        <v>64</v>
      </c>
    </row>
    <row r="482" spans="1:7" x14ac:dyDescent="0.55000000000000004">
      <c r="A482" s="1" t="s">
        <v>1619</v>
      </c>
      <c r="B482" s="2">
        <f>COUNTIF(A:A,A482)-1</f>
        <v>5</v>
      </c>
      <c r="C482" s="2">
        <f>COUNTIF(A$1:A482,A482)-1</f>
        <v>5</v>
      </c>
      <c r="D482" s="2" t="b">
        <f>ADD.COMMAND(#REF!,#REF!,#REF!,#REF!,1)</f>
        <v>0</v>
      </c>
      <c r="E482" s="2" t="b">
        <f>IFERROR(INDEX(ERROR(0),ADD.COMMAND(#REF!,#REF!,#REF!,#REF!,SET.NAME("_",+INDEX(1,)))),RETURN(INDEX(TYPE(_),SET.NAME("_"))))</f>
        <v>0</v>
      </c>
      <c r="F482" s="2" t="b">
        <f>IFERROR(INDEX(ERROR(0),ADD.COMMAND(#REF!,#REF!,#REF!,#REF!,INDIRECT(SET.NAME({1,"_"},)))),RETURN(INDEX(TYPE(_),SET.NAME("_"))))</f>
        <v>0</v>
      </c>
      <c r="G482" s="2">
        <f>TYPE(INDEX(,ADD.COMMAND(#REF!,#REF!,#REF!,#REF!,INDEX(1,))))</f>
        <v>16</v>
      </c>
    </row>
    <row r="483" spans="1:7" x14ac:dyDescent="0.55000000000000004">
      <c r="A483" s="1" t="s">
        <v>1620</v>
      </c>
      <c r="B483" s="2">
        <f>COUNTIF(A:A,A483)-1</f>
        <v>5</v>
      </c>
      <c r="C483" s="2">
        <f>COUNTIF(A$1:A483,A483)-1</f>
        <v>0</v>
      </c>
      <c r="D483" s="2"/>
      <c r="E483" s="2"/>
      <c r="F483" s="2"/>
      <c r="G483" s="2"/>
    </row>
    <row r="484" spans="1:7" x14ac:dyDescent="0.55000000000000004">
      <c r="A484" s="1" t="s">
        <v>1620</v>
      </c>
      <c r="B484" s="2">
        <f>COUNTIF(A:A,A484)-1</f>
        <v>5</v>
      </c>
      <c r="C484" s="2">
        <f>COUNTIF(A$1:A484,A484)-1</f>
        <v>1</v>
      </c>
      <c r="D484" s="2" t="b">
        <f>ENABLE.COMMAND(1,#REF!,#REF!,#REF!,#REF!)</f>
        <v>0</v>
      </c>
      <c r="E484" s="2" t="b">
        <f>IFERROR(INDEX(ERROR(0),ENABLE.COMMAND(SET.NAME("_",+INDEX(1,)),#REF!,#REF!,#REF!,#REF!)),RETURN(INDEX(TYPE(_),SET.NAME("_"))))</f>
        <v>0</v>
      </c>
      <c r="F484" s="2" t="b">
        <f>IFERROR(INDEX(ERROR(0),ENABLE.COMMAND(INDIRECT(SET.NAME({1,"_"},)),#REF!,#REF!,#REF!,#REF!)),RETURN(INDEX(TYPE(_),SET.NAME("_"))))</f>
        <v>0</v>
      </c>
      <c r="G484" s="2">
        <f>TYPE(INDEX(,ENABLE.COMMAND(INDEX(1,),#REF!,#REF!,#REF!,#REF!)))</f>
        <v>16</v>
      </c>
    </row>
    <row r="485" spans="1:7" x14ac:dyDescent="0.55000000000000004">
      <c r="A485" s="1" t="s">
        <v>1620</v>
      </c>
      <c r="B485" s="2">
        <f>COUNTIF(A:A,A485)-1</f>
        <v>5</v>
      </c>
      <c r="C485" s="2">
        <f>COUNTIF(A$1:A485,A485)-1</f>
        <v>2</v>
      </c>
      <c r="D485" s="2" t="b">
        <f>ENABLE.COMMAND(#REF!,1,#REF!,#REF!,#REF!)</f>
        <v>0</v>
      </c>
      <c r="E485" s="2" t="b">
        <f>IFERROR(INDEX(ERROR(0),ENABLE.COMMAND(#REF!,SET.NAME("_",+INDEX(1,)),#REF!,#REF!,#REF!)),RETURN(INDEX(TYPE(_),SET.NAME("_"))))</f>
        <v>0</v>
      </c>
      <c r="F485" s="2" t="b">
        <f>IFERROR(INDEX(ERROR(0),ENABLE.COMMAND(#REF!,INDIRECT(SET.NAME({1,"_"},)),#REF!,#REF!,#REF!)),RETURN(INDEX(TYPE(_),SET.NAME("_"))))</f>
        <v>0</v>
      </c>
      <c r="G485" s="2">
        <f>TYPE(INDEX(,ENABLE.COMMAND(#REF!,INDEX(1,),#REF!,#REF!,#REF!)))</f>
        <v>16</v>
      </c>
    </row>
    <row r="486" spans="1:7" x14ac:dyDescent="0.55000000000000004">
      <c r="A486" s="1" t="s">
        <v>1620</v>
      </c>
      <c r="B486" s="2">
        <f>COUNTIF(A:A,A486)-1</f>
        <v>5</v>
      </c>
      <c r="C486" s="2">
        <f>COUNTIF(A$1:A486,A486)-1</f>
        <v>3</v>
      </c>
      <c r="D486" s="2" t="b">
        <f>ENABLE.COMMAND(#REF!,#REF!,1,#REF!,#REF!)</f>
        <v>0</v>
      </c>
      <c r="E486" s="2" t="b">
        <f>IFERROR(INDEX(ERROR(0),ENABLE.COMMAND(#REF!,#REF!,SET.NAME("_",+INDEX(1,)),#REF!,#REF!)),RETURN(INDEX(TYPE(_),SET.NAME("_"))))</f>
        <v>0</v>
      </c>
      <c r="F486" s="2" t="b">
        <f>IFERROR(INDEX(ERROR(0),ENABLE.COMMAND(#REF!,#REF!,INDIRECT(SET.NAME({1,"_"},)),#REF!,#REF!)),RETURN(INDEX(TYPE(_),SET.NAME("_"))))</f>
        <v>0</v>
      </c>
      <c r="G486" s="2">
        <f>TYPE(INDEX(,ENABLE.COMMAND(#REF!,#REF!,INDEX(1,),#REF!,#REF!)))</f>
        <v>16</v>
      </c>
    </row>
    <row r="487" spans="1:7" x14ac:dyDescent="0.55000000000000004">
      <c r="A487" s="1" t="s">
        <v>1620</v>
      </c>
      <c r="B487" s="2">
        <f>COUNTIF(A:A,A487)-1</f>
        <v>5</v>
      </c>
      <c r="C487" s="2">
        <f>COUNTIF(A$1:A487,A487)-1</f>
        <v>4</v>
      </c>
      <c r="D487" s="2" t="b">
        <f>ENABLE.COMMAND(#REF!,#REF!,#REF!,1,#REF!)</f>
        <v>0</v>
      </c>
      <c r="E487" s="2" t="b">
        <f>IFERROR(INDEX(ERROR(0),ENABLE.COMMAND(#REF!,#REF!,#REF!,SET.NAME("_",+INDEX(1,)),#REF!)),RETURN(INDEX(TYPE(_),SET.NAME("_"))))</f>
        <v>0</v>
      </c>
      <c r="F487" s="2" t="b">
        <f>IFERROR(INDEX(ERROR(0),ENABLE.COMMAND(#REF!,#REF!,#REF!,INDIRECT(SET.NAME({1,"_"},)),#REF!)),RETURN(INDEX(TYPE(_),SET.NAME("_"))))</f>
        <v>0</v>
      </c>
      <c r="G487" s="2">
        <f>TYPE(INDEX(,ENABLE.COMMAND(#REF!,#REF!,#REF!,INDEX(1,),#REF!)))</f>
        <v>16</v>
      </c>
    </row>
    <row r="488" spans="1:7" x14ac:dyDescent="0.55000000000000004">
      <c r="A488" s="1" t="s">
        <v>1620</v>
      </c>
      <c r="B488" s="2">
        <f>COUNTIF(A:A,A488)-1</f>
        <v>5</v>
      </c>
      <c r="C488" s="2">
        <f>COUNTIF(A$1:A488,A488)-1</f>
        <v>5</v>
      </c>
      <c r="D488" s="2" t="b">
        <f>ENABLE.COMMAND(#REF!,#REF!,#REF!,#REF!,1)</f>
        <v>0</v>
      </c>
      <c r="E488" s="2" t="b">
        <f>IFERROR(INDEX(ERROR(0),ENABLE.COMMAND(#REF!,#REF!,#REF!,#REF!,SET.NAME("_",+INDEX(1,)))),RETURN(INDEX(TYPE(_),SET.NAME("_"))))</f>
        <v>0</v>
      </c>
      <c r="F488" s="2" t="b">
        <f>IFERROR(INDEX(ERROR(0),ENABLE.COMMAND(#REF!,#REF!,#REF!,#REF!,INDIRECT(SET.NAME({1,"_"},)))),RETURN(INDEX(TYPE(_),SET.NAME("_"))))</f>
        <v>0</v>
      </c>
      <c r="G488" s="2">
        <f>TYPE(INDEX(,ENABLE.COMMAND(#REF!,#REF!,#REF!,#REF!,INDEX(1,))))</f>
        <v>16</v>
      </c>
    </row>
    <row r="489" spans="1:7" x14ac:dyDescent="0.55000000000000004">
      <c r="A489" s="1" t="s">
        <v>1621</v>
      </c>
      <c r="B489" s="2">
        <f>COUNTIF(A:A,A489)-1</f>
        <v>5</v>
      </c>
      <c r="C489" s="2">
        <f>COUNTIF(A$1:A489,A489)-1</f>
        <v>0</v>
      </c>
      <c r="D489" s="2"/>
      <c r="E489" s="2"/>
      <c r="F489" s="2"/>
      <c r="G489" s="2"/>
    </row>
    <row r="490" spans="1:7" x14ac:dyDescent="0.55000000000000004">
      <c r="A490" s="1" t="s">
        <v>1621</v>
      </c>
      <c r="B490" s="2">
        <f>COUNTIF(A:A,A490)-1</f>
        <v>5</v>
      </c>
      <c r="C490" s="2">
        <f>COUNTIF(A$1:A490,A490)-1</f>
        <v>1</v>
      </c>
      <c r="D490" s="2" t="b">
        <f>CHECK.COMMAND(1,#REF!,#REF!,#REF!,#REF!)</f>
        <v>0</v>
      </c>
      <c r="E490" s="2" t="b">
        <f>IFERROR(INDEX(ERROR(0),CHECK.COMMAND(SET.NAME("_",+INDEX(1,)),#REF!,#REF!,#REF!,#REF!)),RETURN(INDEX(TYPE(_),SET.NAME("_"))))</f>
        <v>0</v>
      </c>
      <c r="F490" s="2" t="b">
        <f>IFERROR(INDEX(ERROR(0),CHECK.COMMAND(INDIRECT(SET.NAME({1,"_"},)),#REF!,#REF!,#REF!,#REF!)),RETURN(INDEX(TYPE(_),SET.NAME("_"))))</f>
        <v>0</v>
      </c>
      <c r="G490" s="2">
        <f>TYPE(INDEX(,CHECK.COMMAND(INDEX(1,),#REF!,#REF!,#REF!,#REF!)))</f>
        <v>16</v>
      </c>
    </row>
    <row r="491" spans="1:7" x14ac:dyDescent="0.55000000000000004">
      <c r="A491" s="1" t="s">
        <v>1621</v>
      </c>
      <c r="B491" s="2">
        <f>COUNTIF(A:A,A491)-1</f>
        <v>5</v>
      </c>
      <c r="C491" s="2">
        <f>COUNTIF(A$1:A491,A491)-1</f>
        <v>2</v>
      </c>
      <c r="D491" s="2" t="b">
        <f>CHECK.COMMAND(#REF!,1,#REF!,#REF!,#REF!)</f>
        <v>0</v>
      </c>
      <c r="E491" s="2" t="b">
        <f>IFERROR(INDEX(ERROR(0),CHECK.COMMAND(#REF!,SET.NAME("_",+INDEX(1,)),#REF!,#REF!,#REF!)),RETURN(INDEX(TYPE(_),SET.NAME("_"))))</f>
        <v>0</v>
      </c>
      <c r="F491" s="2" t="b">
        <f>IFERROR(INDEX(ERROR(0),CHECK.COMMAND(#REF!,INDIRECT(SET.NAME({1,"_"},)),#REF!,#REF!,#REF!)),RETURN(INDEX(TYPE(_),SET.NAME("_"))))</f>
        <v>0</v>
      </c>
      <c r="G491" s="2">
        <f>TYPE(INDEX(,CHECK.COMMAND(#REF!,INDEX(1,),#REF!,#REF!,#REF!)))</f>
        <v>16</v>
      </c>
    </row>
    <row r="492" spans="1:7" x14ac:dyDescent="0.55000000000000004">
      <c r="A492" s="1" t="s">
        <v>1621</v>
      </c>
      <c r="B492" s="2">
        <f>COUNTIF(A:A,A492)-1</f>
        <v>5</v>
      </c>
      <c r="C492" s="2">
        <f>COUNTIF(A$1:A492,A492)-1</f>
        <v>3</v>
      </c>
      <c r="D492" s="2" t="b">
        <f>CHECK.COMMAND(#REF!,#REF!,1,#REF!,#REF!)</f>
        <v>0</v>
      </c>
      <c r="E492" s="2" t="b">
        <f>IFERROR(INDEX(ERROR(0),CHECK.COMMAND(#REF!,#REF!,SET.NAME("_",+INDEX(1,)),#REF!,#REF!)),RETURN(INDEX(TYPE(_),SET.NAME("_"))))</f>
        <v>0</v>
      </c>
      <c r="F492" s="2" t="b">
        <f>IFERROR(INDEX(ERROR(0),CHECK.COMMAND(#REF!,#REF!,INDIRECT(SET.NAME({1,"_"},)),#REF!,#REF!)),RETURN(INDEX(TYPE(_),SET.NAME("_"))))</f>
        <v>0</v>
      </c>
      <c r="G492" s="2">
        <f>TYPE(INDEX(,CHECK.COMMAND(#REF!,#REF!,INDEX(1,),#REF!,#REF!)))</f>
        <v>16</v>
      </c>
    </row>
    <row r="493" spans="1:7" x14ac:dyDescent="0.55000000000000004">
      <c r="A493" s="1" t="s">
        <v>1621</v>
      </c>
      <c r="B493" s="2">
        <f>COUNTIF(A:A,A493)-1</f>
        <v>5</v>
      </c>
      <c r="C493" s="2">
        <f>COUNTIF(A$1:A493,A493)-1</f>
        <v>4</v>
      </c>
      <c r="D493" s="2" t="b">
        <f>CHECK.COMMAND(#REF!,#REF!,#REF!,1,#REF!)</f>
        <v>0</v>
      </c>
      <c r="E493" s="2" t="b">
        <f>IFERROR(INDEX(ERROR(0),CHECK.COMMAND(#REF!,#REF!,#REF!,SET.NAME("_",+INDEX(1,)),#REF!)),RETURN(INDEX(TYPE(_),SET.NAME("_"))))</f>
        <v>0</v>
      </c>
      <c r="F493" s="2" t="b">
        <f>IFERROR(INDEX(ERROR(0),CHECK.COMMAND(#REF!,#REF!,#REF!,INDIRECT(SET.NAME({1,"_"},)),#REF!)),RETURN(INDEX(TYPE(_),SET.NAME("_"))))</f>
        <v>0</v>
      </c>
      <c r="G493" s="2">
        <f>TYPE(INDEX(,CHECK.COMMAND(#REF!,#REF!,#REF!,INDEX(1,),#REF!)))</f>
        <v>16</v>
      </c>
    </row>
    <row r="494" spans="1:7" x14ac:dyDescent="0.55000000000000004">
      <c r="A494" s="1" t="s">
        <v>1621</v>
      </c>
      <c r="B494" s="2">
        <f>COUNTIF(A:A,A494)-1</f>
        <v>5</v>
      </c>
      <c r="C494" s="2">
        <f>COUNTIF(A$1:A494,A494)-1</f>
        <v>5</v>
      </c>
      <c r="D494" s="2" t="b">
        <f>CHECK.COMMAND(#REF!,#REF!,#REF!,#REF!,1)</f>
        <v>0</v>
      </c>
      <c r="E494" s="2" t="b">
        <f>IFERROR(INDEX(ERROR(0),CHECK.COMMAND(#REF!,#REF!,#REF!,#REF!,SET.NAME("_",+INDEX(1,)))),RETURN(INDEX(TYPE(_),SET.NAME("_"))))</f>
        <v>0</v>
      </c>
      <c r="F494" s="2" t="b">
        <f>IFERROR(INDEX(ERROR(0),CHECK.COMMAND(#REF!,#REF!,#REF!,#REF!,INDIRECT(SET.NAME({1,"_"},)))),RETURN(INDEX(TYPE(_),SET.NAME("_"))))</f>
        <v>0</v>
      </c>
      <c r="G494" s="2">
        <f>TYPE(INDEX(,CHECK.COMMAND(#REF!,#REF!,#REF!,#REF!,INDEX(1,))))</f>
        <v>16</v>
      </c>
    </row>
    <row r="495" spans="1:7" x14ac:dyDescent="0.55000000000000004">
      <c r="A495" s="1" t="s">
        <v>1622</v>
      </c>
      <c r="B495" s="2">
        <f>COUNTIF(A:A,A495)-1</f>
        <v>5</v>
      </c>
      <c r="C495" s="2">
        <f>COUNTIF(A$1:A495,A495)-1</f>
        <v>0</v>
      </c>
      <c r="D495" s="2"/>
      <c r="E495" s="2"/>
      <c r="F495" s="2"/>
      <c r="G495" s="2"/>
    </row>
    <row r="496" spans="1:7" x14ac:dyDescent="0.55000000000000004">
      <c r="A496" s="1" t="s">
        <v>1622</v>
      </c>
      <c r="B496" s="2">
        <f>COUNTIF(A:A,A496)-1</f>
        <v>5</v>
      </c>
      <c r="C496" s="2">
        <f>COUNTIF(A$1:A496,A496)-1</f>
        <v>1</v>
      </c>
      <c r="D496" s="2" t="b">
        <f>RENAME.COMMAND(1,#REF!,#REF!,#REF!,#REF!)</f>
        <v>0</v>
      </c>
      <c r="E496" s="2" t="b">
        <f>IFERROR(INDEX(ERROR(0),RENAME.COMMAND(SET.NAME("_",+INDEX(1,)),#REF!,#REF!,#REF!,#REF!)),RETURN(INDEX(TYPE(_),SET.NAME("_"))))</f>
        <v>0</v>
      </c>
      <c r="F496" s="2" t="b">
        <f>IFERROR(INDEX(ERROR(0),RENAME.COMMAND(INDIRECT(SET.NAME({1,"_"},)),#REF!,#REF!,#REF!,#REF!)),RETURN(INDEX(TYPE(_),SET.NAME("_"))))</f>
        <v>0</v>
      </c>
      <c r="G496" s="2">
        <f>TYPE(INDEX(,RENAME.COMMAND(INDEX(1,),#REF!,#REF!,#REF!,#REF!)))</f>
        <v>16</v>
      </c>
    </row>
    <row r="497" spans="1:7" x14ac:dyDescent="0.55000000000000004">
      <c r="A497" s="1" t="s">
        <v>1622</v>
      </c>
      <c r="B497" s="2">
        <f>COUNTIF(A:A,A497)-1</f>
        <v>5</v>
      </c>
      <c r="C497" s="2">
        <f>COUNTIF(A$1:A497,A497)-1</f>
        <v>2</v>
      </c>
      <c r="D497" s="2" t="b">
        <f>RENAME.COMMAND(#REF!,1,#REF!,#REF!,#REF!)</f>
        <v>0</v>
      </c>
      <c r="E497" s="2" t="b">
        <f>IFERROR(INDEX(ERROR(0),RENAME.COMMAND(#REF!,SET.NAME("_",+INDEX(1,)),#REF!,#REF!,#REF!)),RETURN(INDEX(TYPE(_),SET.NAME("_"))))</f>
        <v>0</v>
      </c>
      <c r="F497" s="2" t="b">
        <f>IFERROR(INDEX(ERROR(0),RENAME.COMMAND(#REF!,INDIRECT(SET.NAME({1,"_"},)),#REF!,#REF!,#REF!)),RETURN(INDEX(TYPE(_),SET.NAME("_"))))</f>
        <v>0</v>
      </c>
      <c r="G497" s="2">
        <f>TYPE(INDEX(,RENAME.COMMAND(#REF!,INDEX(1,),#REF!,#REF!,#REF!)))</f>
        <v>16</v>
      </c>
    </row>
    <row r="498" spans="1:7" x14ac:dyDescent="0.55000000000000004">
      <c r="A498" s="1" t="s">
        <v>1622</v>
      </c>
      <c r="B498" s="2">
        <f>COUNTIF(A:A,A498)-1</f>
        <v>5</v>
      </c>
      <c r="C498" s="2">
        <f>COUNTIF(A$1:A498,A498)-1</f>
        <v>3</v>
      </c>
      <c r="D498" s="2" t="b">
        <f>RENAME.COMMAND(#REF!,#REF!,1,#REF!,#REF!)</f>
        <v>0</v>
      </c>
      <c r="E498" s="2" t="b">
        <f>IFERROR(INDEX(ERROR(0),RENAME.COMMAND(#REF!,#REF!,SET.NAME("_",+INDEX(1,)),#REF!,#REF!)),RETURN(INDEX(TYPE(_),SET.NAME("_"))))</f>
        <v>0</v>
      </c>
      <c r="F498" s="2" t="b">
        <f>IFERROR(INDEX(ERROR(0),RENAME.COMMAND(#REF!,#REF!,INDIRECT(SET.NAME({1,"_"},)),#REF!,#REF!)),RETURN(INDEX(TYPE(_),SET.NAME("_"))))</f>
        <v>0</v>
      </c>
      <c r="G498" s="2">
        <f>TYPE(INDEX(,RENAME.COMMAND(#REF!,#REF!,INDEX(1,),#REF!,#REF!)))</f>
        <v>16</v>
      </c>
    </row>
    <row r="499" spans="1:7" x14ac:dyDescent="0.55000000000000004">
      <c r="A499" s="1" t="s">
        <v>1622</v>
      </c>
      <c r="B499" s="2">
        <f>COUNTIF(A:A,A499)-1</f>
        <v>5</v>
      </c>
      <c r="C499" s="2">
        <f>COUNTIF(A$1:A499,A499)-1</f>
        <v>4</v>
      </c>
      <c r="D499" s="2" t="b">
        <f>RENAME.COMMAND(#REF!,#REF!,#REF!,1,#REF!)</f>
        <v>0</v>
      </c>
      <c r="E499" s="2" t="b">
        <f>IFERROR(INDEX(ERROR(0),RENAME.COMMAND(#REF!,#REF!,#REF!,SET.NAME("_",+INDEX(1,)),#REF!)),RETURN(INDEX(TYPE(_),SET.NAME("_"))))</f>
        <v>0</v>
      </c>
      <c r="F499" s="2" t="b">
        <f>IFERROR(INDEX(ERROR(0),RENAME.COMMAND(#REF!,#REF!,#REF!,INDIRECT(SET.NAME({1,"_"},)),#REF!)),RETURN(INDEX(TYPE(_),SET.NAME("_"))))</f>
        <v>0</v>
      </c>
      <c r="G499" s="2">
        <f>TYPE(INDEX(,RENAME.COMMAND(#REF!,#REF!,#REF!,INDEX(1,),#REF!)))</f>
        <v>16</v>
      </c>
    </row>
    <row r="500" spans="1:7" x14ac:dyDescent="0.55000000000000004">
      <c r="A500" s="1" t="s">
        <v>1622</v>
      </c>
      <c r="B500" s="2">
        <f>COUNTIF(A:A,A500)-1</f>
        <v>5</v>
      </c>
      <c r="C500" s="2">
        <f>COUNTIF(A$1:A500,A500)-1</f>
        <v>5</v>
      </c>
      <c r="D500" s="2" t="b">
        <f>RENAME.COMMAND(#REF!,#REF!,#REF!,#REF!,1)</f>
        <v>0</v>
      </c>
      <c r="E500" s="2" t="b">
        <f>IFERROR(INDEX(ERROR(0),RENAME.COMMAND(#REF!,#REF!,#REF!,#REF!,SET.NAME("_",+INDEX(1,)))),RETURN(INDEX(TYPE(_),SET.NAME("_"))))</f>
        <v>0</v>
      </c>
      <c r="F500" s="2" t="b">
        <f>IFERROR(INDEX(ERROR(0),RENAME.COMMAND(#REF!,#REF!,#REF!,#REF!,INDIRECT(SET.NAME({1,"_"},)))),RETURN(INDEX(TYPE(_),SET.NAME("_"))))</f>
        <v>0</v>
      </c>
      <c r="G500" s="2">
        <f>TYPE(INDEX(,RENAME.COMMAND(#REF!,#REF!,#REF!,#REF!,INDEX(1,))))</f>
        <v>16</v>
      </c>
    </row>
    <row r="501" spans="1:7" x14ac:dyDescent="0.55000000000000004">
      <c r="A501" s="1" t="s">
        <v>1623</v>
      </c>
      <c r="B501" s="2">
        <f>COUNTIF(A:A,A501)-1</f>
        <v>1</v>
      </c>
      <c r="C501" s="2">
        <f>COUNTIF(A$1:A501,A501)-1</f>
        <v>0</v>
      </c>
      <c r="D501" s="2"/>
      <c r="E501" s="2"/>
      <c r="F501" s="2"/>
      <c r="G501" s="2"/>
    </row>
    <row r="502" spans="1:7" x14ac:dyDescent="0.55000000000000004">
      <c r="A502" s="1" t="s">
        <v>1623</v>
      </c>
      <c r="B502" s="2">
        <f>COUNTIF(A:A,A502)-1</f>
        <v>1</v>
      </c>
      <c r="C502" s="2">
        <f>COUNTIF(A$1:A502,A502)-1</f>
        <v>1</v>
      </c>
      <c r="D502" s="2" t="b">
        <f>SHOW.BAR(1)</f>
        <v>0</v>
      </c>
      <c r="E502" s="2" t="b">
        <f>IFERROR(INDEX(ERROR(0),SHOW.BAR(SET.NAME("_",+INDEX(1,)))),RETURN(INDEX(TYPE(_),SET.NAME("_"))))</f>
        <v>0</v>
      </c>
      <c r="F502" s="2" t="b">
        <f>IFERROR(INDEX(ERROR(0),SHOW.BAR(INDIRECT(SET.NAME({1,"_"},)))),RETURN(INDEX(TYPE(_),SET.NAME("_"))))</f>
        <v>0</v>
      </c>
      <c r="G502" s="2">
        <f>TYPE(INDEX(,SHOW.BAR(INDEX(1,))))</f>
        <v>16</v>
      </c>
    </row>
    <row r="503" spans="1:7" x14ac:dyDescent="0.55000000000000004">
      <c r="A503" s="1" t="s">
        <v>1624</v>
      </c>
      <c r="B503" s="2">
        <f>COUNTIF(A:A,A503)-1</f>
        <v>3</v>
      </c>
      <c r="C503" s="2">
        <f>COUNTIF(A$1:A503,A503)-1</f>
        <v>0</v>
      </c>
      <c r="D503" s="2"/>
      <c r="E503" s="2"/>
      <c r="F503" s="2"/>
      <c r="G503" s="2"/>
    </row>
    <row r="504" spans="1:7" x14ac:dyDescent="0.55000000000000004">
      <c r="A504" s="1" t="s">
        <v>1624</v>
      </c>
      <c r="B504" s="2">
        <f>COUNTIF(A:A,A504)-1</f>
        <v>3</v>
      </c>
      <c r="C504" s="2">
        <f>COUNTIF(A$1:A504,A504)-1</f>
        <v>1</v>
      </c>
      <c r="D504" s="2" t="b">
        <f>DELETE.MENU(1,#REF!,#REF!)</f>
        <v>0</v>
      </c>
      <c r="E504" s="2" t="b">
        <f>IFERROR(INDEX(ERROR(0),DELETE.MENU(SET.NAME("_",+INDEX(1,)),#REF!,#REF!)),RETURN(INDEX(TYPE(_),SET.NAME("_"))))</f>
        <v>0</v>
      </c>
      <c r="F504" s="2" t="b">
        <f>IFERROR(INDEX(ERROR(0),DELETE.MENU(INDIRECT(SET.NAME({1,"_"},)),#REF!,#REF!)),RETURN(INDEX(TYPE(_),SET.NAME("_"))))</f>
        <v>0</v>
      </c>
      <c r="G504" s="2">
        <f>TYPE(INDEX(,DELETE.MENU(INDEX(1,),#REF!,#REF!)))</f>
        <v>16</v>
      </c>
    </row>
    <row r="505" spans="1:7" x14ac:dyDescent="0.55000000000000004">
      <c r="A505" s="1" t="s">
        <v>1624</v>
      </c>
      <c r="B505" s="2">
        <f>COUNTIF(A:A,A505)-1</f>
        <v>3</v>
      </c>
      <c r="C505" s="2">
        <f>COUNTIF(A$1:A505,A505)-1</f>
        <v>2</v>
      </c>
      <c r="D505" s="2" t="b">
        <f>DELETE.MENU(#REF!,1,#REF!)</f>
        <v>0</v>
      </c>
      <c r="E505" s="2" t="b">
        <f>IFERROR(INDEX(ERROR(0),DELETE.MENU(#REF!,SET.NAME("_",+INDEX(1,)),#REF!)),RETURN(INDEX(TYPE(_),SET.NAME("_"))))</f>
        <v>0</v>
      </c>
      <c r="F505" s="2" t="b">
        <f>IFERROR(INDEX(ERROR(0),DELETE.MENU(#REF!,INDIRECT(SET.NAME({1,"_"},)),#REF!)),RETURN(INDEX(TYPE(_),SET.NAME("_"))))</f>
        <v>0</v>
      </c>
      <c r="G505" s="2">
        <f>TYPE(INDEX(,DELETE.MENU(#REF!,INDEX(1,),#REF!)))</f>
        <v>16</v>
      </c>
    </row>
    <row r="506" spans="1:7" x14ac:dyDescent="0.55000000000000004">
      <c r="A506" s="1" t="s">
        <v>1624</v>
      </c>
      <c r="B506" s="2">
        <f>COUNTIF(A:A,A506)-1</f>
        <v>3</v>
      </c>
      <c r="C506" s="2">
        <f>COUNTIF(A$1:A506,A506)-1</f>
        <v>3</v>
      </c>
      <c r="D506" s="2" t="b">
        <f>DELETE.MENU(#REF!,#REF!,1)</f>
        <v>0</v>
      </c>
      <c r="E506" s="2" t="b">
        <f>IFERROR(INDEX(ERROR(0),DELETE.MENU(#REF!,#REF!,SET.NAME("_",+INDEX(1,)))),RETURN(INDEX(TYPE(_),SET.NAME("_"))))</f>
        <v>0</v>
      </c>
      <c r="F506" s="2" t="b">
        <f>IFERROR(INDEX(ERROR(0),DELETE.MENU(#REF!,#REF!,INDIRECT(SET.NAME({1,"_"},)))),RETURN(INDEX(TYPE(_),SET.NAME("_"))))</f>
        <v>0</v>
      </c>
      <c r="G506" s="2">
        <f>TYPE(INDEX(,DELETE.MENU(#REF!,#REF!,INDEX(1,))))</f>
        <v>16</v>
      </c>
    </row>
    <row r="507" spans="1:7" x14ac:dyDescent="0.55000000000000004">
      <c r="A507" s="1" t="s">
        <v>1625</v>
      </c>
      <c r="B507" s="2">
        <f>COUNTIF(A:A,A507)-1</f>
        <v>4</v>
      </c>
      <c r="C507" s="2">
        <f>COUNTIF(A$1:A507,A507)-1</f>
        <v>0</v>
      </c>
      <c r="D507" s="2"/>
      <c r="E507" s="2"/>
      <c r="F507" s="2"/>
      <c r="G507" s="2"/>
    </row>
    <row r="508" spans="1:7" x14ac:dyDescent="0.55000000000000004">
      <c r="A508" s="1" t="s">
        <v>1625</v>
      </c>
      <c r="B508" s="2">
        <f>COUNTIF(A:A,A508)-1</f>
        <v>4</v>
      </c>
      <c r="C508" s="2">
        <f>COUNTIF(A$1:A508,A508)-1</f>
        <v>1</v>
      </c>
      <c r="D508" s="2" t="b">
        <f>DELETE.COMMAND(1,#REF!,#REF!,#REF!)</f>
        <v>0</v>
      </c>
      <c r="E508" s="2" t="b">
        <f>IFERROR(INDEX(ERROR(0),DELETE.COMMAND(SET.NAME("_",+INDEX(1,)),#REF!,#REF!,#REF!)),RETURN(INDEX(TYPE(_),SET.NAME("_"))))</f>
        <v>0</v>
      </c>
      <c r="F508" s="2" t="b">
        <f>IFERROR(INDEX(ERROR(0),DELETE.COMMAND(INDIRECT(SET.NAME({1,"_"},)),#REF!,#REF!,#REF!)),RETURN(INDEX(TYPE(_),SET.NAME("_"))))</f>
        <v>0</v>
      </c>
      <c r="G508" s="2">
        <f>TYPE(INDEX(,DELETE.COMMAND(INDEX(1,),#REF!,#REF!,#REF!)))</f>
        <v>16</v>
      </c>
    </row>
    <row r="509" spans="1:7" x14ac:dyDescent="0.55000000000000004">
      <c r="A509" s="1" t="s">
        <v>1625</v>
      </c>
      <c r="B509" s="2">
        <f>COUNTIF(A:A,A509)-1</f>
        <v>4</v>
      </c>
      <c r="C509" s="2">
        <f>COUNTIF(A$1:A509,A509)-1</f>
        <v>2</v>
      </c>
      <c r="D509" s="2" t="b">
        <f>DELETE.COMMAND(#REF!,1,#REF!,#REF!)</f>
        <v>0</v>
      </c>
      <c r="E509" s="2" t="b">
        <f>IFERROR(INDEX(ERROR(0),DELETE.COMMAND(#REF!,SET.NAME("_",+INDEX(1,)),#REF!,#REF!)),RETURN(INDEX(TYPE(_),SET.NAME("_"))))</f>
        <v>0</v>
      </c>
      <c r="F509" s="2" t="b">
        <f>IFERROR(INDEX(ERROR(0),DELETE.COMMAND(#REF!,INDIRECT(SET.NAME({1,"_"},)),#REF!,#REF!)),RETURN(INDEX(TYPE(_),SET.NAME("_"))))</f>
        <v>0</v>
      </c>
      <c r="G509" s="2">
        <f>TYPE(INDEX(,DELETE.COMMAND(#REF!,INDEX(1,),#REF!,#REF!)))</f>
        <v>16</v>
      </c>
    </row>
    <row r="510" spans="1:7" x14ac:dyDescent="0.55000000000000004">
      <c r="A510" s="1" t="s">
        <v>1625</v>
      </c>
      <c r="B510" s="2">
        <f>COUNTIF(A:A,A510)-1</f>
        <v>4</v>
      </c>
      <c r="C510" s="2">
        <f>COUNTIF(A$1:A510,A510)-1</f>
        <v>3</v>
      </c>
      <c r="D510" s="2" t="b">
        <f>DELETE.COMMAND(#REF!,#REF!,1,#REF!)</f>
        <v>0</v>
      </c>
      <c r="E510" s="2" t="b">
        <f>IFERROR(INDEX(ERROR(0),DELETE.COMMAND(#REF!,#REF!,SET.NAME("_",+INDEX(1,)),#REF!)),RETURN(INDEX(TYPE(_),SET.NAME("_"))))</f>
        <v>0</v>
      </c>
      <c r="F510" s="2" t="b">
        <f>IFERROR(INDEX(ERROR(0),DELETE.COMMAND(#REF!,#REF!,INDIRECT(SET.NAME({1,"_"},)),#REF!)),RETURN(INDEX(TYPE(_),SET.NAME("_"))))</f>
        <v>0</v>
      </c>
      <c r="G510" s="2">
        <f>TYPE(INDEX(,DELETE.COMMAND(#REF!,#REF!,INDEX(1,),#REF!)))</f>
        <v>16</v>
      </c>
    </row>
    <row r="511" spans="1:7" x14ac:dyDescent="0.55000000000000004">
      <c r="A511" s="1" t="s">
        <v>1625</v>
      </c>
      <c r="B511" s="2">
        <f>COUNTIF(A:A,A511)-1</f>
        <v>4</v>
      </c>
      <c r="C511" s="2">
        <f>COUNTIF(A$1:A511,A511)-1</f>
        <v>4</v>
      </c>
      <c r="D511" s="2" t="b">
        <f>DELETE.COMMAND(#REF!,#REF!,#REF!,1)</f>
        <v>0</v>
      </c>
      <c r="E511" s="2" t="b">
        <f>IFERROR(INDEX(ERROR(0),DELETE.COMMAND(#REF!,#REF!,#REF!,SET.NAME("_",+INDEX(1,)))),RETURN(INDEX(TYPE(_),SET.NAME("_"))))</f>
        <v>0</v>
      </c>
      <c r="F511" s="2" t="b">
        <f>IFERROR(INDEX(ERROR(0),DELETE.COMMAND(#REF!,#REF!,#REF!,INDIRECT(SET.NAME({1,"_"},)))),RETURN(INDEX(TYPE(_),SET.NAME("_"))))</f>
        <v>0</v>
      </c>
      <c r="G511" s="2">
        <f>TYPE(INDEX(,DELETE.COMMAND(#REF!,#REF!,#REF!,INDEX(1,))))</f>
        <v>16</v>
      </c>
    </row>
    <row r="512" spans="1:7" x14ac:dyDescent="0.55000000000000004">
      <c r="A512" s="1" t="s">
        <v>1626</v>
      </c>
      <c r="B512" s="2">
        <f>COUNTIF(A:A,A512)-1</f>
        <v>3</v>
      </c>
      <c r="C512" s="2">
        <f>COUNTIF(A$1:A512,A512)-1</f>
        <v>0</v>
      </c>
      <c r="D512" s="2"/>
      <c r="E512" s="2"/>
      <c r="F512" s="2"/>
      <c r="G512" s="2"/>
    </row>
    <row r="513" spans="1:7" x14ac:dyDescent="0.55000000000000004">
      <c r="A513" s="1" t="s">
        <v>1626</v>
      </c>
      <c r="B513" s="2">
        <f>COUNTIF(A:A,A513)-1</f>
        <v>3</v>
      </c>
      <c r="C513" s="2">
        <f>COUNTIF(A$1:A513,A513)-1</f>
        <v>1</v>
      </c>
      <c r="D513" s="2" t="e">
        <f>GET.CHART.ITEM(1,#REF!,#REF!)</f>
        <v>#REF!</v>
      </c>
      <c r="E513" s="2" t="b">
        <f>IFERROR(INDEX(ERROR(0),GET.CHART.ITEM(SET.NAME("_",+INDEX(1,)),#REF!,#REF!)),RETURN(INDEX(TYPE(_),SET.NAME("_"))))</f>
        <v>0</v>
      </c>
      <c r="F513" s="2" t="b">
        <f>IFERROR(INDEX(ERROR(0),GET.CHART.ITEM(INDIRECT(SET.NAME({1,"_"},)),#REF!,#REF!)),RETURN(INDEX(TYPE(_),SET.NAME("_"))))</f>
        <v>0</v>
      </c>
      <c r="G513" s="2">
        <f>TYPE(INDEX(,GET.CHART.ITEM(INDEX(1,),#REF!,#REF!)))</f>
        <v>16</v>
      </c>
    </row>
    <row r="514" spans="1:7" x14ac:dyDescent="0.55000000000000004">
      <c r="A514" s="1" t="s">
        <v>1626</v>
      </c>
      <c r="B514" s="2">
        <f>COUNTIF(A:A,A514)-1</f>
        <v>3</v>
      </c>
      <c r="C514" s="2">
        <f>COUNTIF(A$1:A514,A514)-1</f>
        <v>2</v>
      </c>
      <c r="D514" s="2" t="e">
        <f>GET.CHART.ITEM(#REF!,1,#REF!)</f>
        <v>#REF!</v>
      </c>
      <c r="E514" s="2" t="b">
        <f>IFERROR(INDEX(ERROR(0),GET.CHART.ITEM(#REF!,SET.NAME("_",+INDEX(1,)),#REF!)),RETURN(INDEX(TYPE(_),SET.NAME("_"))))</f>
        <v>0</v>
      </c>
      <c r="F514" s="2" t="b">
        <f>IFERROR(INDEX(ERROR(0),GET.CHART.ITEM(#REF!,INDIRECT(SET.NAME({1,"_"},)),#REF!)),RETURN(INDEX(TYPE(_),SET.NAME("_"))))</f>
        <v>0</v>
      </c>
      <c r="G514" s="2">
        <f>TYPE(INDEX(,GET.CHART.ITEM(#REF!,INDEX(1,),#REF!)))</f>
        <v>16</v>
      </c>
    </row>
    <row r="515" spans="1:7" x14ac:dyDescent="0.55000000000000004">
      <c r="A515" s="1" t="s">
        <v>1626</v>
      </c>
      <c r="B515" s="2">
        <f>COUNTIF(A:A,A515)-1</f>
        <v>3</v>
      </c>
      <c r="C515" s="2">
        <f>COUNTIF(A$1:A515,A515)-1</f>
        <v>3</v>
      </c>
      <c r="D515" s="2" t="e">
        <f>GET.CHART.ITEM(#REF!,#REF!,1)</f>
        <v>#REF!</v>
      </c>
      <c r="E515" s="2" t="b">
        <f>IFERROR(INDEX(ERROR(0),GET.CHART.ITEM(#REF!,#REF!,SET.NAME("_",+INDEX(1,)))),RETURN(INDEX(TYPE(_),SET.NAME("_"))))</f>
        <v>0</v>
      </c>
      <c r="F515" s="2" t="b">
        <f>IFERROR(INDEX(ERROR(0),GET.CHART.ITEM(#REF!,#REF!,INDIRECT(SET.NAME({1,"_"},)))),RETURN(INDEX(TYPE(_),SET.NAME("_"))))</f>
        <v>0</v>
      </c>
      <c r="G515" s="2">
        <f>TYPE(INDEX(,GET.CHART.ITEM(#REF!,#REF!,INDEX(1,))))</f>
        <v>16</v>
      </c>
    </row>
    <row r="516" spans="1:7" x14ac:dyDescent="0.55000000000000004">
      <c r="A516" s="1" t="s">
        <v>1627</v>
      </c>
      <c r="B516" s="2">
        <f>COUNTIF(A:A,A516)-1</f>
        <v>1</v>
      </c>
      <c r="C516" s="2">
        <f>COUNTIF(A$1:A516,A516)-1</f>
        <v>0</v>
      </c>
      <c r="D516" s="2"/>
      <c r="E516" s="2"/>
      <c r="F516" s="2"/>
      <c r="G516" s="2"/>
    </row>
    <row r="517" spans="1:7" x14ac:dyDescent="0.55000000000000004">
      <c r="A517" s="1" t="s">
        <v>1627</v>
      </c>
      <c r="B517" s="2">
        <f>COUNTIF(A:A,A517)-1</f>
        <v>1</v>
      </c>
      <c r="C517" s="2">
        <f>COUNTIF(A$1:A517,A517)-1</f>
        <v>1</v>
      </c>
      <c r="D517" s="2" t="e">
        <f>DIALOG.BOX(1)</f>
        <v>#VALUE!</v>
      </c>
      <c r="E517" s="2" t="b">
        <f>IFERROR(INDEX(ERROR(0),DIALOG.BOX(SET.NAME("_",+INDEX(1,)))),RETURN(INDEX(TYPE(_),SET.NAME("_"))))</f>
        <v>0</v>
      </c>
      <c r="F517" s="2" t="b">
        <f>IFERROR(INDEX(ERROR(0),DIALOG.BOX(INDIRECT(SET.NAME({1,"_"},)))),RETURN(INDEX(TYPE(_),SET.NAME("_"))))</f>
        <v>0</v>
      </c>
      <c r="G517" s="2">
        <f>TYPE(INDEX(,DIALOG.BOX(INDEX(1,))))</f>
        <v>16</v>
      </c>
    </row>
    <row r="518" spans="1:7" x14ac:dyDescent="0.55000000000000004">
      <c r="A518" s="1" t="s">
        <v>1628</v>
      </c>
      <c r="B518" s="2">
        <f>COUNTIF(A:A,A518)-1</f>
        <v>1</v>
      </c>
      <c r="C518" s="2">
        <f>COUNTIF(A$1:A518,A518)-1</f>
        <v>0</v>
      </c>
      <c r="D518" s="2"/>
      <c r="E518" s="2"/>
      <c r="F518" s="2"/>
      <c r="G518" s="2"/>
    </row>
    <row r="519" spans="1:7" x14ac:dyDescent="0.55000000000000004">
      <c r="A519" s="1" t="s">
        <v>1628</v>
      </c>
      <c r="B519" s="2">
        <f>COUNTIF(A:A,A519)-1</f>
        <v>1</v>
      </c>
      <c r="C519" s="2">
        <f>COUNTIF(A$1:A519,A519)-1</f>
        <v>1</v>
      </c>
      <c r="D519" s="2" t="str">
        <f>CLEAN(1)</f>
        <v>1</v>
      </c>
      <c r="E519" s="2" t="b">
        <f>IFERROR(INDEX(ERROR(0),CLEAN(SET.NAME("_",+INDEX(1,)))),RETURN(INDEX(TYPE(_),SET.NAME("_"))))</f>
        <v>0</v>
      </c>
      <c r="F519" s="2" t="b">
        <f>IFERROR(INDEX(ERROR(0),CLEAN(INDIRECT(SET.NAME({1,"_"},)))),RETURN(INDEX(TYPE(_),SET.NAME("_"))))</f>
        <v>0</v>
      </c>
      <c r="G519" s="2">
        <f>TYPE(INDEX(,CLEAN(INDEX(1,))))</f>
        <v>16</v>
      </c>
    </row>
    <row r="520" spans="1:7" x14ac:dyDescent="0.55000000000000004">
      <c r="A520" s="1" t="s">
        <v>1629</v>
      </c>
      <c r="B520" s="2">
        <f>COUNTIF(A:A,A520)-1</f>
        <v>1</v>
      </c>
      <c r="C520" s="2">
        <f>COUNTIF(A$1:A520,A520)-1</f>
        <v>0</v>
      </c>
      <c r="D520" s="2"/>
      <c r="E520" s="2"/>
      <c r="F520" s="2"/>
      <c r="G520" s="2"/>
    </row>
    <row r="521" spans="1:7" x14ac:dyDescent="0.55000000000000004">
      <c r="A521" s="1" t="s">
        <v>1629</v>
      </c>
      <c r="B521" s="2">
        <f>COUNTIF(A:A,A521)-1</f>
        <v>1</v>
      </c>
      <c r="C521" s="2">
        <f>COUNTIF(A$1:A521,A521)-1</f>
        <v>1</v>
      </c>
      <c r="D521" s="2">
        <f>MDETERM(1)</f>
        <v>1</v>
      </c>
      <c r="E521" s="2" t="b">
        <f>IFERROR(INDEX(ERROR(0),MDETERM(SET.NAME("_",+INDEX(1,)))),RETURN(INDEX(TYPE(_),SET.NAME("_"))))</f>
        <v>0</v>
      </c>
      <c r="F521" s="2" t="b">
        <f>IFERROR(INDEX(ERROR(0),MDETERM(INDIRECT(SET.NAME({1,"_"},)))),RETURN(INDEX(TYPE(_),SET.NAME("_"))))</f>
        <v>0</v>
      </c>
      <c r="G521" s="2">
        <f>TYPE(INDEX(,MDETERM(INDEX(1,))))</f>
        <v>16</v>
      </c>
    </row>
    <row r="522" spans="1:7" x14ac:dyDescent="0.55000000000000004">
      <c r="A522" s="1" t="s">
        <v>1630</v>
      </c>
      <c r="B522" s="2">
        <f>COUNTIF(A:A,A522)-1</f>
        <v>1</v>
      </c>
      <c r="C522" s="2">
        <f>COUNTIF(A$1:A522,A522)-1</f>
        <v>0</v>
      </c>
      <c r="D522" s="2"/>
      <c r="E522" s="2"/>
      <c r="F522" s="2"/>
      <c r="G522" s="2"/>
    </row>
    <row r="523" spans="1:7" x14ac:dyDescent="0.55000000000000004">
      <c r="A523" s="1" t="s">
        <v>1630</v>
      </c>
      <c r="B523" s="2">
        <f>COUNTIF(A:A,A523)-1</f>
        <v>1</v>
      </c>
      <c r="C523" s="2">
        <f>COUNTIF(A$1:A523,A523)-1</f>
        <v>1</v>
      </c>
      <c r="D523" s="2">
        <f>MINVERSE(1)</f>
        <v>1</v>
      </c>
      <c r="E523" s="2" t="b">
        <f>IFERROR(INDEX(ERROR(0),MINVERSE(SET.NAME("_",+INDEX(1,)))),RETURN(INDEX(TYPE(_),SET.NAME("_"))))</f>
        <v>0</v>
      </c>
      <c r="F523" s="2" t="b">
        <f>IFERROR(INDEX(ERROR(0),MINVERSE(INDIRECT(SET.NAME({1,"_"},)))),RETURN(INDEX(TYPE(_),SET.NAME("_"))))</f>
        <v>0</v>
      </c>
      <c r="G523" s="2">
        <f>TYPE(INDEX(,MINVERSE(INDEX(1,))))</f>
        <v>16</v>
      </c>
    </row>
    <row r="524" spans="1:7" x14ac:dyDescent="0.55000000000000004">
      <c r="A524" s="1" t="s">
        <v>1631</v>
      </c>
      <c r="B524" s="2">
        <f>COUNTIF(A:A,A524)-1</f>
        <v>2</v>
      </c>
      <c r="C524" s="2">
        <f>COUNTIF(A$1:A524,A524)-1</f>
        <v>0</v>
      </c>
      <c r="D524" s="2"/>
      <c r="E524" s="2"/>
      <c r="F524" s="2"/>
      <c r="G524" s="2"/>
    </row>
    <row r="525" spans="1:7" x14ac:dyDescent="0.55000000000000004">
      <c r="A525" s="1" t="s">
        <v>1631</v>
      </c>
      <c r="B525" s="2">
        <f>COUNTIF(A:A,A525)-1</f>
        <v>2</v>
      </c>
      <c r="C525" s="2">
        <f>COUNTIF(A$1:A525,A525)-1</f>
        <v>1</v>
      </c>
      <c r="D525" s="2" t="e">
        <f>MMULT(1,#REF!)</f>
        <v>#REF!</v>
      </c>
      <c r="E525" s="2" t="b">
        <f>IFERROR(INDEX(ERROR(0),MMULT(SET.NAME("_",+INDEX(1,)),#REF!)),RETURN(INDEX(TYPE(_),SET.NAME("_"))))</f>
        <v>0</v>
      </c>
      <c r="F525" s="2" t="b">
        <f>IFERROR(INDEX(ERROR(0),MMULT(INDIRECT(SET.NAME({1,"_"},)),#REF!)),RETURN(INDEX(TYPE(_),SET.NAME("_"))))</f>
        <v>0</v>
      </c>
      <c r="G525" s="2">
        <f>TYPE(INDEX(,MMULT(INDEX(1,),#REF!)))</f>
        <v>16</v>
      </c>
    </row>
    <row r="526" spans="1:7" x14ac:dyDescent="0.55000000000000004">
      <c r="A526" s="1" t="s">
        <v>1631</v>
      </c>
      <c r="B526" s="2">
        <f>COUNTIF(A:A,A526)-1</f>
        <v>2</v>
      </c>
      <c r="C526" s="2">
        <f>COUNTIF(A$1:A526,A526)-1</f>
        <v>2</v>
      </c>
      <c r="D526" s="2" t="e">
        <f>MMULT(#REF!,1)</f>
        <v>#REF!</v>
      </c>
      <c r="E526" s="2" t="b">
        <f>IFERROR(INDEX(ERROR(0),MMULT(#REF!,SET.NAME("_",+INDEX(1,)))),RETURN(INDEX(TYPE(_),SET.NAME("_"))))</f>
        <v>0</v>
      </c>
      <c r="F526" s="2" t="b">
        <f>IFERROR(INDEX(ERROR(0),MMULT(#REF!,INDIRECT(SET.NAME({1,"_"},)))),RETURN(INDEX(TYPE(_),SET.NAME("_"))))</f>
        <v>0</v>
      </c>
      <c r="G526" s="2">
        <f>TYPE(INDEX(,MMULT(#REF!,INDEX(1,))))</f>
        <v>16</v>
      </c>
    </row>
    <row r="527" spans="1:7" x14ac:dyDescent="0.55000000000000004">
      <c r="A527" s="1" t="s">
        <v>1632</v>
      </c>
      <c r="B527" s="2">
        <f>COUNTIF(A:A,A527)-1</f>
        <v>1</v>
      </c>
      <c r="C527" s="2">
        <f>COUNTIF(A$1:A527,A527)-1</f>
        <v>0</v>
      </c>
      <c r="D527" s="2"/>
      <c r="E527" s="2"/>
      <c r="F527" s="2"/>
      <c r="G527" s="2"/>
    </row>
    <row r="528" spans="1:7" x14ac:dyDescent="0.55000000000000004">
      <c r="A528" s="1" t="s">
        <v>1632</v>
      </c>
      <c r="B528" s="2">
        <f>COUNTIF(A:A,A528)-1</f>
        <v>1</v>
      </c>
      <c r="C528" s="2">
        <f>COUNTIF(A$1:A528,A528)-1</f>
        <v>1</v>
      </c>
      <c r="D528" s="2" t="e">
        <f>FILES(1)</f>
        <v>#N/A</v>
      </c>
      <c r="E528" s="2" t="b">
        <f>IFERROR(INDEX(ERROR(0),FILES(SET.NAME("_",+INDEX(1,)))),RETURN(INDEX(TYPE(_),SET.NAME("_"))))</f>
        <v>0</v>
      </c>
      <c r="F528" s="2" t="b">
        <f>IFERROR(INDEX(ERROR(0),FILES(INDIRECT(SET.NAME({1,"_"},)))),RETURN(INDEX(TYPE(_),SET.NAME("_"))))</f>
        <v>0</v>
      </c>
      <c r="G528" s="2">
        <f>TYPE(INDEX(,FILES(INDEX(1,))))</f>
        <v>16</v>
      </c>
    </row>
    <row r="529" spans="1:7" x14ac:dyDescent="0.55000000000000004">
      <c r="A529" s="1" t="s">
        <v>1633</v>
      </c>
      <c r="B529" s="2">
        <f>COUNTIF(A:A,A529)-1</f>
        <v>6</v>
      </c>
      <c r="C529" s="2">
        <f>COUNTIF(A$1:A529,A529)-1</f>
        <v>0</v>
      </c>
      <c r="D529" s="2"/>
      <c r="E529" s="2"/>
      <c r="F529" s="2"/>
      <c r="G529" s="2"/>
    </row>
    <row r="530" spans="1:7" x14ac:dyDescent="0.55000000000000004">
      <c r="A530" s="1" t="s">
        <v>1633</v>
      </c>
      <c r="B530" s="2">
        <f>COUNTIF(A:A,A530)-1</f>
        <v>6</v>
      </c>
      <c r="C530" s="2">
        <f>COUNTIF(A$1:A530,A530)-1</f>
        <v>1</v>
      </c>
      <c r="D530" s="2" t="e">
        <f>IPMT(1,#REF!,#REF!,#REF!,#REF!,#REF!)</f>
        <v>#REF!</v>
      </c>
      <c r="E530" s="2" t="b">
        <f>IFERROR(INDEX(ERROR(0),IPMT(SET.NAME("_",+INDEX(1,)),#REF!,#REF!,#REF!,#REF!,#REF!)),RETURN(INDEX(TYPE(_),SET.NAME("_"))))</f>
        <v>0</v>
      </c>
      <c r="F530" s="2" t="b">
        <f>IFERROR(INDEX(ERROR(0),IPMT(INDIRECT(SET.NAME({1,"_"},)),#REF!,#REF!,#REF!,#REF!,#REF!)),RETURN(INDEX(TYPE(_),SET.NAME("_"))))</f>
        <v>0</v>
      </c>
      <c r="G530" s="2">
        <f>TYPE(INDEX(,IPMT(INDEX(1,),#REF!,#REF!,#REF!,#REF!,#REF!)))</f>
        <v>16</v>
      </c>
    </row>
    <row r="531" spans="1:7" x14ac:dyDescent="0.55000000000000004">
      <c r="A531" s="1" t="s">
        <v>1633</v>
      </c>
      <c r="B531" s="2">
        <f>COUNTIF(A:A,A531)-1</f>
        <v>6</v>
      </c>
      <c r="C531" s="2">
        <f>COUNTIF(A$1:A531,A531)-1</f>
        <v>2</v>
      </c>
      <c r="D531" s="2" t="e">
        <f>IPMT(#REF!,1,#REF!,#REF!,#REF!,#REF!)</f>
        <v>#REF!</v>
      </c>
      <c r="E531" s="2" t="b">
        <f>IFERROR(INDEX(ERROR(0),IPMT(#REF!,SET.NAME("_",+INDEX(1,)),#REF!,#REF!,#REF!,#REF!)),RETURN(INDEX(TYPE(_),SET.NAME("_"))))</f>
        <v>0</v>
      </c>
      <c r="F531" s="2" t="b">
        <f>IFERROR(INDEX(ERROR(0),IPMT(#REF!,INDIRECT(SET.NAME({1,"_"},)),#REF!,#REF!,#REF!,#REF!)),RETURN(INDEX(TYPE(_),SET.NAME("_"))))</f>
        <v>0</v>
      </c>
      <c r="G531" s="2">
        <f>TYPE(INDEX(,IPMT(#REF!,INDEX(1,),#REF!,#REF!,#REF!,#REF!)))</f>
        <v>16</v>
      </c>
    </row>
    <row r="532" spans="1:7" x14ac:dyDescent="0.55000000000000004">
      <c r="A532" s="1" t="s">
        <v>1633</v>
      </c>
      <c r="B532" s="2">
        <f>COUNTIF(A:A,A532)-1</f>
        <v>6</v>
      </c>
      <c r="C532" s="2">
        <f>COUNTIF(A$1:A532,A532)-1</f>
        <v>3</v>
      </c>
      <c r="D532" s="2" t="e">
        <f>IPMT(#REF!,#REF!,1,#REF!,#REF!,#REF!)</f>
        <v>#REF!</v>
      </c>
      <c r="E532" s="2" t="b">
        <f>IFERROR(INDEX(ERROR(0),IPMT(#REF!,#REF!,SET.NAME("_",+INDEX(1,)),#REF!,#REF!,#REF!)),RETURN(INDEX(TYPE(_),SET.NAME("_"))))</f>
        <v>0</v>
      </c>
      <c r="F532" s="2" t="b">
        <f>IFERROR(INDEX(ERROR(0),IPMT(#REF!,#REF!,INDIRECT(SET.NAME({1,"_"},)),#REF!,#REF!,#REF!)),RETURN(INDEX(TYPE(_),SET.NAME("_"))))</f>
        <v>0</v>
      </c>
      <c r="G532" s="2">
        <f>TYPE(INDEX(,IPMT(#REF!,#REF!,INDEX(1,),#REF!,#REF!,#REF!)))</f>
        <v>16</v>
      </c>
    </row>
    <row r="533" spans="1:7" x14ac:dyDescent="0.55000000000000004">
      <c r="A533" s="1" t="s">
        <v>1633</v>
      </c>
      <c r="B533" s="2">
        <f>COUNTIF(A:A,A533)-1</f>
        <v>6</v>
      </c>
      <c r="C533" s="2">
        <f>COUNTIF(A$1:A533,A533)-1</f>
        <v>4</v>
      </c>
      <c r="D533" s="2" t="e">
        <f>IPMT(#REF!,#REF!,#REF!,1,#REF!,#REF!)</f>
        <v>#REF!</v>
      </c>
      <c r="E533" s="2" t="b">
        <f>IFERROR(INDEX(ERROR(0),IPMT(#REF!,#REF!,#REF!,SET.NAME("_",+INDEX(1,)),#REF!,#REF!)),RETURN(INDEX(TYPE(_),SET.NAME("_"))))</f>
        <v>0</v>
      </c>
      <c r="F533" s="2" t="b">
        <f>IFERROR(INDEX(ERROR(0),IPMT(#REF!,#REF!,#REF!,INDIRECT(SET.NAME({1,"_"},)),#REF!,#REF!)),RETURN(INDEX(TYPE(_),SET.NAME("_"))))</f>
        <v>0</v>
      </c>
      <c r="G533" s="2">
        <f>TYPE(INDEX(,IPMT(#REF!,#REF!,#REF!,INDEX(1,),#REF!,#REF!)))</f>
        <v>16</v>
      </c>
    </row>
    <row r="534" spans="1:7" x14ac:dyDescent="0.55000000000000004">
      <c r="A534" s="1" t="s">
        <v>1633</v>
      </c>
      <c r="B534" s="2">
        <f>COUNTIF(A:A,A534)-1</f>
        <v>6</v>
      </c>
      <c r="C534" s="2">
        <f>COUNTIF(A$1:A534,A534)-1</f>
        <v>5</v>
      </c>
      <c r="D534" s="2" t="e">
        <f>IPMT(#REF!,#REF!,#REF!,#REF!,1,#REF!)</f>
        <v>#REF!</v>
      </c>
      <c r="E534" s="2" t="b">
        <f>IFERROR(INDEX(ERROR(0),IPMT(#REF!,#REF!,#REF!,#REF!,SET.NAME("_",+INDEX(1,)),#REF!)),RETURN(INDEX(TYPE(_),SET.NAME("_"))))</f>
        <v>0</v>
      </c>
      <c r="F534" s="2" t="b">
        <f>IFERROR(INDEX(ERROR(0),IPMT(#REF!,#REF!,#REF!,#REF!,INDIRECT(SET.NAME({1,"_"},)),#REF!)),RETURN(INDEX(TYPE(_),SET.NAME("_"))))</f>
        <v>0</v>
      </c>
      <c r="G534" s="2">
        <f>TYPE(INDEX(,IPMT(#REF!,#REF!,#REF!,#REF!,INDEX(1,),#REF!)))</f>
        <v>16</v>
      </c>
    </row>
    <row r="535" spans="1:7" x14ac:dyDescent="0.55000000000000004">
      <c r="A535" s="1" t="s">
        <v>1633</v>
      </c>
      <c r="B535" s="2">
        <f>COUNTIF(A:A,A535)-1</f>
        <v>6</v>
      </c>
      <c r="C535" s="2">
        <f>COUNTIF(A$1:A535,A535)-1</f>
        <v>6</v>
      </c>
      <c r="D535" s="2" t="e">
        <f>IPMT(#REF!,#REF!,#REF!,#REF!,#REF!,1)</f>
        <v>#REF!</v>
      </c>
      <c r="E535" s="2" t="b">
        <f>IFERROR(INDEX(ERROR(0),IPMT(#REF!,#REF!,#REF!,#REF!,#REF!,SET.NAME("_",+INDEX(1,)))),RETURN(INDEX(TYPE(_),SET.NAME("_"))))</f>
        <v>0</v>
      </c>
      <c r="F535" s="2" t="b">
        <f>IFERROR(INDEX(ERROR(0),IPMT(#REF!,#REF!,#REF!,#REF!,#REF!,INDIRECT(SET.NAME({1,"_"},)))),RETURN(INDEX(TYPE(_),SET.NAME("_"))))</f>
        <v>0</v>
      </c>
      <c r="G535" s="2">
        <f>TYPE(INDEX(,IPMT(#REF!,#REF!,#REF!,#REF!,#REF!,INDEX(1,))))</f>
        <v>16</v>
      </c>
    </row>
    <row r="536" spans="1:7" x14ac:dyDescent="0.55000000000000004">
      <c r="A536" s="1" t="s">
        <v>1634</v>
      </c>
      <c r="B536" s="2">
        <f>COUNTIF(A:A,A536)-1</f>
        <v>6</v>
      </c>
      <c r="C536" s="2">
        <f>COUNTIF(A$1:A536,A536)-1</f>
        <v>0</v>
      </c>
      <c r="D536" s="2"/>
      <c r="E536" s="2"/>
      <c r="F536" s="2"/>
      <c r="G536" s="2"/>
    </row>
    <row r="537" spans="1:7" x14ac:dyDescent="0.55000000000000004">
      <c r="A537" s="1" t="s">
        <v>1634</v>
      </c>
      <c r="B537" s="2">
        <f>COUNTIF(A:A,A537)-1</f>
        <v>6</v>
      </c>
      <c r="C537" s="2">
        <f>COUNTIF(A$1:A537,A537)-1</f>
        <v>1</v>
      </c>
      <c r="D537" s="2" t="e">
        <f>PPMT(1,#REF!,#REF!,#REF!,#REF!,#REF!)</f>
        <v>#REF!</v>
      </c>
      <c r="E537" s="2" t="b">
        <f>IFERROR(INDEX(ERROR(0),PPMT(SET.NAME("_",+INDEX(1,)),#REF!,#REF!,#REF!,#REF!,#REF!)),RETURN(INDEX(TYPE(_),SET.NAME("_"))))</f>
        <v>0</v>
      </c>
      <c r="F537" s="2" t="b">
        <f>IFERROR(INDEX(ERROR(0),PPMT(INDIRECT(SET.NAME({1,"_"},)),#REF!,#REF!,#REF!,#REF!,#REF!)),RETURN(INDEX(TYPE(_),SET.NAME("_"))))</f>
        <v>0</v>
      </c>
      <c r="G537" s="2">
        <f>TYPE(INDEX(,PPMT(INDEX(1,),#REF!,#REF!,#REF!,#REF!,#REF!)))</f>
        <v>16</v>
      </c>
    </row>
    <row r="538" spans="1:7" x14ac:dyDescent="0.55000000000000004">
      <c r="A538" s="1" t="s">
        <v>1634</v>
      </c>
      <c r="B538" s="2">
        <f>COUNTIF(A:A,A538)-1</f>
        <v>6</v>
      </c>
      <c r="C538" s="2">
        <f>COUNTIF(A$1:A538,A538)-1</f>
        <v>2</v>
      </c>
      <c r="D538" s="2" t="e">
        <f>PPMT(#REF!,1,#REF!,#REF!,#REF!,#REF!)</f>
        <v>#REF!</v>
      </c>
      <c r="E538" s="2" t="b">
        <f>IFERROR(INDEX(ERROR(0),PPMT(#REF!,SET.NAME("_",+INDEX(1,)),#REF!,#REF!,#REF!,#REF!)),RETURN(INDEX(TYPE(_),SET.NAME("_"))))</f>
        <v>0</v>
      </c>
      <c r="F538" s="2" t="b">
        <f>IFERROR(INDEX(ERROR(0),PPMT(#REF!,INDIRECT(SET.NAME({1,"_"},)),#REF!,#REF!,#REF!,#REF!)),RETURN(INDEX(TYPE(_),SET.NAME("_"))))</f>
        <v>0</v>
      </c>
      <c r="G538" s="2">
        <f>TYPE(INDEX(,PPMT(#REF!,INDEX(1,),#REF!,#REF!,#REF!,#REF!)))</f>
        <v>16</v>
      </c>
    </row>
    <row r="539" spans="1:7" x14ac:dyDescent="0.55000000000000004">
      <c r="A539" s="1" t="s">
        <v>1634</v>
      </c>
      <c r="B539" s="2">
        <f>COUNTIF(A:A,A539)-1</f>
        <v>6</v>
      </c>
      <c r="C539" s="2">
        <f>COUNTIF(A$1:A539,A539)-1</f>
        <v>3</v>
      </c>
      <c r="D539" s="2" t="e">
        <f>PPMT(#REF!,#REF!,1,#REF!,#REF!,#REF!)</f>
        <v>#REF!</v>
      </c>
      <c r="E539" s="2" t="b">
        <f>IFERROR(INDEX(ERROR(0),PPMT(#REF!,#REF!,SET.NAME("_",+INDEX(1,)),#REF!,#REF!,#REF!)),RETURN(INDEX(TYPE(_),SET.NAME("_"))))</f>
        <v>0</v>
      </c>
      <c r="F539" s="2" t="b">
        <f>IFERROR(INDEX(ERROR(0),PPMT(#REF!,#REF!,INDIRECT(SET.NAME({1,"_"},)),#REF!,#REF!,#REF!)),RETURN(INDEX(TYPE(_),SET.NAME("_"))))</f>
        <v>0</v>
      </c>
      <c r="G539" s="2">
        <f>TYPE(INDEX(,PPMT(#REF!,#REF!,INDEX(1,),#REF!,#REF!,#REF!)))</f>
        <v>16</v>
      </c>
    </row>
    <row r="540" spans="1:7" x14ac:dyDescent="0.55000000000000004">
      <c r="A540" s="1" t="s">
        <v>1634</v>
      </c>
      <c r="B540" s="2">
        <f>COUNTIF(A:A,A540)-1</f>
        <v>6</v>
      </c>
      <c r="C540" s="2">
        <f>COUNTIF(A$1:A540,A540)-1</f>
        <v>4</v>
      </c>
      <c r="D540" s="2" t="e">
        <f>PPMT(#REF!,#REF!,#REF!,1,#REF!,#REF!)</f>
        <v>#REF!</v>
      </c>
      <c r="E540" s="2" t="b">
        <f>IFERROR(INDEX(ERROR(0),PPMT(#REF!,#REF!,#REF!,SET.NAME("_",+INDEX(1,)),#REF!,#REF!)),RETURN(INDEX(TYPE(_),SET.NAME("_"))))</f>
        <v>0</v>
      </c>
      <c r="F540" s="2" t="b">
        <f>IFERROR(INDEX(ERROR(0),PPMT(#REF!,#REF!,#REF!,INDIRECT(SET.NAME({1,"_"},)),#REF!,#REF!)),RETURN(INDEX(TYPE(_),SET.NAME("_"))))</f>
        <v>0</v>
      </c>
      <c r="G540" s="2">
        <f>TYPE(INDEX(,PPMT(#REF!,#REF!,#REF!,INDEX(1,),#REF!,#REF!)))</f>
        <v>16</v>
      </c>
    </row>
    <row r="541" spans="1:7" x14ac:dyDescent="0.55000000000000004">
      <c r="A541" s="1" t="s">
        <v>1634</v>
      </c>
      <c r="B541" s="2">
        <f>COUNTIF(A:A,A541)-1</f>
        <v>6</v>
      </c>
      <c r="C541" s="2">
        <f>COUNTIF(A$1:A541,A541)-1</f>
        <v>5</v>
      </c>
      <c r="D541" s="2" t="e">
        <f>PPMT(#REF!,#REF!,#REF!,#REF!,1,#REF!)</f>
        <v>#REF!</v>
      </c>
      <c r="E541" s="2" t="b">
        <f>IFERROR(INDEX(ERROR(0),PPMT(#REF!,#REF!,#REF!,#REF!,SET.NAME("_",+INDEX(1,)),#REF!)),RETURN(INDEX(TYPE(_),SET.NAME("_"))))</f>
        <v>0</v>
      </c>
      <c r="F541" s="2" t="b">
        <f>IFERROR(INDEX(ERROR(0),PPMT(#REF!,#REF!,#REF!,#REF!,INDIRECT(SET.NAME({1,"_"},)),#REF!)),RETURN(INDEX(TYPE(_),SET.NAME("_"))))</f>
        <v>0</v>
      </c>
      <c r="G541" s="2">
        <f>TYPE(INDEX(,PPMT(#REF!,#REF!,#REF!,#REF!,INDEX(1,),#REF!)))</f>
        <v>16</v>
      </c>
    </row>
    <row r="542" spans="1:7" x14ac:dyDescent="0.55000000000000004">
      <c r="A542" s="1" t="s">
        <v>1634</v>
      </c>
      <c r="B542" s="2">
        <f>COUNTIF(A:A,A542)-1</f>
        <v>6</v>
      </c>
      <c r="C542" s="2">
        <f>COUNTIF(A$1:A542,A542)-1</f>
        <v>6</v>
      </c>
      <c r="D542" s="2" t="e">
        <f>PPMT(#REF!,#REF!,#REF!,#REF!,#REF!,1)</f>
        <v>#REF!</v>
      </c>
      <c r="E542" s="2" t="b">
        <f>IFERROR(INDEX(ERROR(0),PPMT(#REF!,#REF!,#REF!,#REF!,#REF!,SET.NAME("_",+INDEX(1,)))),RETURN(INDEX(TYPE(_),SET.NAME("_"))))</f>
        <v>0</v>
      </c>
      <c r="F542" s="2" t="b">
        <f>IFERROR(INDEX(ERROR(0),PPMT(#REF!,#REF!,#REF!,#REF!,#REF!,INDIRECT(SET.NAME({1,"_"},)))),RETURN(INDEX(TYPE(_),SET.NAME("_"))))</f>
        <v>0</v>
      </c>
      <c r="G542" s="2">
        <f>TYPE(INDEX(,PPMT(#REF!,#REF!,#REF!,#REF!,#REF!,INDEX(1,))))</f>
        <v>16</v>
      </c>
    </row>
    <row r="543" spans="1:7" x14ac:dyDescent="0.55000000000000004">
      <c r="A543" s="1" t="s">
        <v>1635</v>
      </c>
      <c r="B543" s="2">
        <f>COUNTIF(A:A,A543)-1</f>
        <v>3</v>
      </c>
      <c r="C543" s="2">
        <f>COUNTIF(A$1:A543,A543)-1</f>
        <v>0</v>
      </c>
      <c r="D543" s="2"/>
      <c r="E543" s="2"/>
      <c r="F543" s="2"/>
      <c r="G543" s="2"/>
    </row>
    <row r="544" spans="1:7" x14ac:dyDescent="0.55000000000000004">
      <c r="A544" s="1" t="s">
        <v>1635</v>
      </c>
      <c r="B544" s="2">
        <f>COUNTIF(A:A,A544)-1</f>
        <v>3</v>
      </c>
      <c r="C544" s="2">
        <f>COUNTIF(A$1:A544,A544)-1</f>
        <v>1</v>
      </c>
      <c r="D544" s="2">
        <f>COUNTA(1,#REF!,#REF!)</f>
        <v>3</v>
      </c>
      <c r="E544" s="2" t="b">
        <f>IFERROR(INDEX(ERROR(0),COUNTA(SET.NAME("_",+INDEX(1,)),#REF!,#REF!)),RETURN(INDEX(TYPE(_),SET.NAME("_"))))</f>
        <v>0</v>
      </c>
      <c r="F544" s="2" t="b">
        <f>IFERROR(INDEX(ERROR(0),COUNTA(INDIRECT(SET.NAME({1,"_"},)),#REF!,#REF!)),RETURN(INDEX(TYPE(_),SET.NAME("_"))))</f>
        <v>0</v>
      </c>
      <c r="G544" s="2">
        <f>TYPE(INDEX(,COUNTA(INDEX(1,),#REF!,#REF!)))</f>
        <v>16</v>
      </c>
    </row>
    <row r="545" spans="1:7" x14ac:dyDescent="0.55000000000000004">
      <c r="A545" s="1" t="s">
        <v>1635</v>
      </c>
      <c r="B545" s="2">
        <f>COUNTIF(A:A,A545)-1</f>
        <v>3</v>
      </c>
      <c r="C545" s="2">
        <f>COUNTIF(A$1:A545,A545)-1</f>
        <v>2</v>
      </c>
      <c r="D545" s="2">
        <f>COUNTA(#REF!,1,#REF!)</f>
        <v>3</v>
      </c>
      <c r="E545" s="2" t="b">
        <f>IFERROR(INDEX(ERROR(0),COUNTA(#REF!,SET.NAME("_",+INDEX(1,)),#REF!)),RETURN(INDEX(TYPE(_),SET.NAME("_"))))</f>
        <v>0</v>
      </c>
      <c r="F545" s="2" t="b">
        <f>IFERROR(INDEX(ERROR(0),COUNTA(#REF!,INDIRECT(SET.NAME({1,"_"},)),#REF!)),RETURN(INDEX(TYPE(_),SET.NAME("_"))))</f>
        <v>0</v>
      </c>
      <c r="G545" s="2">
        <f>TYPE(INDEX(,COUNTA(#REF!,INDEX(1,),#REF!)))</f>
        <v>16</v>
      </c>
    </row>
    <row r="546" spans="1:7" x14ac:dyDescent="0.55000000000000004">
      <c r="A546" s="1" t="s">
        <v>1635</v>
      </c>
      <c r="B546" s="2">
        <f>COUNTIF(A:A,A546)-1</f>
        <v>3</v>
      </c>
      <c r="C546" s="2">
        <f>COUNTIF(A$1:A546,A546)-1</f>
        <v>3</v>
      </c>
      <c r="D546" s="2">
        <f>COUNTA(#REF!,#REF!,1)</f>
        <v>3</v>
      </c>
      <c r="E546" s="2" t="b">
        <f>IFERROR(INDEX(ERROR(0),COUNTA(#REF!,#REF!,SET.NAME("_",+INDEX(1,)))),RETURN(INDEX(TYPE(_),SET.NAME("_"))))</f>
        <v>0</v>
      </c>
      <c r="F546" s="2" t="b">
        <f>IFERROR(INDEX(ERROR(0),COUNTA(#REF!,#REF!,INDIRECT(SET.NAME({1,"_"},)))),RETURN(INDEX(TYPE(_),SET.NAME("_"))))</f>
        <v>0</v>
      </c>
      <c r="G546" s="2">
        <f>TYPE(INDEX(,COUNTA(#REF!,#REF!,INDEX(1,))))</f>
        <v>16</v>
      </c>
    </row>
    <row r="547" spans="1:7" x14ac:dyDescent="0.55000000000000004">
      <c r="A547" s="1" t="s">
        <v>1636</v>
      </c>
      <c r="B547" s="2">
        <f>COUNTIF(A:A,A547)-1</f>
        <v>2</v>
      </c>
      <c r="C547" s="2">
        <f>COUNTIF(A$1:A547,A547)-1</f>
        <v>0</v>
      </c>
      <c r="D547" s="2"/>
      <c r="E547" s="2"/>
      <c r="F547" s="2"/>
      <c r="G547" s="2"/>
    </row>
    <row r="548" spans="1:7" x14ac:dyDescent="0.55000000000000004">
      <c r="A548" s="1" t="s">
        <v>1636</v>
      </c>
      <c r="B548" s="2">
        <f>COUNTIF(A:A,A548)-1</f>
        <v>2</v>
      </c>
      <c r="C548" s="2">
        <f>COUNTIF(A$1:A548,A548)-1</f>
        <v>1</v>
      </c>
      <c r="D548" s="2" t="b">
        <f>CANCEL.KEY(1,#REF!)</f>
        <v>0</v>
      </c>
      <c r="E548" s="2" t="b">
        <f>IFERROR(INDEX(ERROR(0),CANCEL.KEY(SET.NAME("_",+INDEX(1,)),#REF!)),RETURN(INDEX(TYPE(_),SET.NAME("_"))))</f>
        <v>0</v>
      </c>
      <c r="F548" s="2" t="b">
        <f>IFERROR(INDEX(ERROR(0),CANCEL.KEY(INDIRECT(SET.NAME({1,"_"},)),#REF!)),RETURN(INDEX(TYPE(_),SET.NAME("_"))))</f>
        <v>0</v>
      </c>
      <c r="G548" s="2">
        <f>TYPE(INDEX(,CANCEL.KEY(INDEX(1,),#REF!)))</f>
        <v>16</v>
      </c>
    </row>
    <row r="549" spans="1:7" x14ac:dyDescent="0.55000000000000004">
      <c r="A549" s="1" t="s">
        <v>1636</v>
      </c>
      <c r="B549" s="2">
        <f>COUNTIF(A:A,A549)-1</f>
        <v>2</v>
      </c>
      <c r="C549" s="2">
        <f>COUNTIF(A$1:A549,A549)-1</f>
        <v>2</v>
      </c>
      <c r="D549" s="2" t="s">
        <v>2278</v>
      </c>
      <c r="E549" s="2" t="s">
        <v>2216</v>
      </c>
      <c r="F549" s="2" t="b">
        <f>IFERROR(INDEX(ERROR(0),CANCEL.KEY(#REF!,INDIRECT(SET.NAME({1,"_"},)))),RETURN(INDEX(TYPE(_),SET.NAME("_"))))</f>
        <v>0</v>
      </c>
      <c r="G549" s="2">
        <f>TYPE(INDEX(,CANCEL.KEY(#REF!,INDEX(1,))))</f>
        <v>64</v>
      </c>
    </row>
    <row r="550" spans="1:7" x14ac:dyDescent="0.55000000000000004">
      <c r="A550" s="1" t="s">
        <v>2047</v>
      </c>
      <c r="B550" s="2">
        <f>COUNTIF(A:A,A550)-1</f>
        <v>4</v>
      </c>
      <c r="C550" s="2">
        <f>COUNTIF(A$1:A550,A550)-1</f>
        <v>0</v>
      </c>
      <c r="D550" s="2"/>
      <c r="E550" s="2"/>
      <c r="F550" s="2"/>
      <c r="G550" s="2"/>
    </row>
    <row r="551" spans="1:7" x14ac:dyDescent="0.55000000000000004">
      <c r="A551" s="1" t="s">
        <v>2047</v>
      </c>
      <c r="B551" s="2">
        <f>COUNTIF(A:A,A551)-1</f>
        <v>4</v>
      </c>
      <c r="C551" s="2">
        <f>COUNTIF(A$1:A551,A551)-1</f>
        <v>1</v>
      </c>
      <c r="D551" s="2" t="b">
        <f>FOR(1,#REF!,#REF!,#REF!)</f>
        <v>0</v>
      </c>
      <c r="E551" s="2" t="b">
        <f>IFERROR(INDEX(ERROR(0),FOR(SET.NAME("_",+INDEX(1,)),#REF!,#REF!,#REF!)),RETURN(INDEX(TYPE(_),SET.NAME("_"))))</f>
        <v>0</v>
      </c>
      <c r="F551" s="2" t="b">
        <f>IFERROR(INDEX(ERROR(0),FOR(INDIRECT(SET.NAME({1,"_"},)),#REF!,#REF!,#REF!)),RETURN(INDEX(TYPE(_),SET.NAME("_"))))</f>
        <v>0</v>
      </c>
      <c r="G551" s="2">
        <f>TYPE(INDEX(,FOR(INDEX(1,),#REF!,#REF!,#REF!)))</f>
        <v>16</v>
      </c>
    </row>
    <row r="552" spans="1:7" x14ac:dyDescent="0.55000000000000004">
      <c r="A552" s="1" t="s">
        <v>2047</v>
      </c>
      <c r="B552" s="2">
        <f>COUNTIF(A:A,A552)-1</f>
        <v>4</v>
      </c>
      <c r="C552" s="2">
        <f>COUNTIF(A$1:A552,A552)-1</f>
        <v>2</v>
      </c>
      <c r="D552" s="2" t="b">
        <f>FOR(#REF!,1,#REF!,#REF!)</f>
        <v>0</v>
      </c>
      <c r="E552" s="2" t="b">
        <f>IFERROR(INDEX(ERROR(0),FOR(#REF!,SET.NAME("_",+INDEX(1,)),#REF!,#REF!)),RETURN(INDEX(TYPE(_),SET.NAME("_"))))</f>
        <v>0</v>
      </c>
      <c r="F552" s="2" t="b">
        <f>IFERROR(INDEX(ERROR(0),FOR(#REF!,INDIRECT(SET.NAME({1,"_"},)),#REF!,#REF!)),RETURN(INDEX(TYPE(_),SET.NAME("_"))))</f>
        <v>0</v>
      </c>
      <c r="G552" s="2">
        <f>TYPE(INDEX(,FOR(#REF!,INDEX(1,),#REF!,#REF!)))</f>
        <v>16</v>
      </c>
    </row>
    <row r="553" spans="1:7" x14ac:dyDescent="0.55000000000000004">
      <c r="A553" s="1" t="s">
        <v>2047</v>
      </c>
      <c r="B553" s="2">
        <f>COUNTIF(A:A,A553)-1</f>
        <v>4</v>
      </c>
      <c r="C553" s="2">
        <f>COUNTIF(A$1:A553,A553)-1</f>
        <v>3</v>
      </c>
      <c r="D553" s="2" t="b">
        <f>FOR(#REF!,#REF!,1,#REF!)</f>
        <v>0</v>
      </c>
      <c r="E553" s="2" t="b">
        <f>IFERROR(INDEX(ERROR(0),FOR(#REF!,#REF!,SET.NAME("_",+INDEX(1,)),#REF!)),RETURN(INDEX(TYPE(_),SET.NAME("_"))))</f>
        <v>0</v>
      </c>
      <c r="F553" s="2" t="b">
        <f>IFERROR(INDEX(ERROR(0),FOR(#REF!,#REF!,INDIRECT(SET.NAME({1,"_"},)),#REF!)),RETURN(INDEX(TYPE(_),SET.NAME("_"))))</f>
        <v>0</v>
      </c>
      <c r="G553" s="2">
        <f>TYPE(INDEX(,FOR(#REF!,#REF!,INDEX(1,),#REF!)))</f>
        <v>16</v>
      </c>
    </row>
    <row r="554" spans="1:7" x14ac:dyDescent="0.55000000000000004">
      <c r="A554" s="1" t="s">
        <v>2047</v>
      </c>
      <c r="B554" s="2">
        <f>COUNTIF(A:A,A554)-1</f>
        <v>4</v>
      </c>
      <c r="C554" s="2">
        <f>COUNTIF(A$1:A554,A554)-1</f>
        <v>4</v>
      </c>
      <c r="D554" s="2" t="b">
        <f>FOR(#REF!,#REF!,#REF!,1)</f>
        <v>0</v>
      </c>
      <c r="E554" s="2" t="b">
        <f>IFERROR(INDEX(ERROR(0),FOR(#REF!,#REF!,#REF!,SET.NAME("_",+INDEX(1,)))),RETURN(INDEX(TYPE(_),SET.NAME("_"))))</f>
        <v>0</v>
      </c>
      <c r="F554" s="2" t="b">
        <f>IFERROR(INDEX(ERROR(0),FOR(#REF!,#REF!,#REF!,INDIRECT(SET.NAME({1,"_"},)))),RETURN(INDEX(TYPE(_),SET.NAME("_"))))</f>
        <v>0</v>
      </c>
      <c r="G554" s="2">
        <f>TYPE(INDEX(,FOR(#REF!,#REF!,#REF!,INDEX(1,))))</f>
        <v>16</v>
      </c>
    </row>
    <row r="555" spans="1:7" x14ac:dyDescent="0.55000000000000004">
      <c r="A555" s="1" t="s">
        <v>2048</v>
      </c>
      <c r="B555" s="2">
        <f>COUNTIF(A:A,A555)-1</f>
        <v>1</v>
      </c>
      <c r="C555" s="2">
        <f>COUNTIF(A$1:A555,A555)-1</f>
        <v>0</v>
      </c>
      <c r="D555" s="2"/>
      <c r="E555" s="2"/>
      <c r="F555" s="2"/>
      <c r="G555" s="2"/>
    </row>
    <row r="556" spans="1:7" x14ac:dyDescent="0.55000000000000004">
      <c r="A556" s="1" t="s">
        <v>2048</v>
      </c>
      <c r="B556" s="2">
        <f>COUNTIF(A:A,A556)-1</f>
        <v>1</v>
      </c>
      <c r="C556" s="2">
        <f>COUNTIF(A$1:A556,A556)-1</f>
        <v>1</v>
      </c>
      <c r="D556" s="2" t="b">
        <f>WHILE(1)</f>
        <v>0</v>
      </c>
      <c r="E556" s="2" t="b">
        <f>IFERROR(INDEX(ERROR(0),WHILE(SET.NAME("_",+INDEX(1,)))),RETURN(INDEX(TYPE(_),SET.NAME("_"))))</f>
        <v>0</v>
      </c>
      <c r="F556" s="2" t="b">
        <f>IFERROR(INDEX(ERROR(0),WHILE(INDIRECT(SET.NAME({1,"_"},)))),RETURN(INDEX(TYPE(_),SET.NAME("_"))))</f>
        <v>0</v>
      </c>
      <c r="G556" s="2">
        <f>TYPE(INDEX(,WHILE(INDEX(1,))))</f>
        <v>16</v>
      </c>
    </row>
    <row r="557" spans="1:7" x14ac:dyDescent="0.55000000000000004">
      <c r="A557" s="1" t="s">
        <v>2049</v>
      </c>
      <c r="B557" s="2">
        <f>COUNTIF(A:A,A557)-1</f>
        <v>0</v>
      </c>
      <c r="C557" s="2">
        <f>COUNTIF(A$1:A557,A557)-1</f>
        <v>0</v>
      </c>
      <c r="D557" s="2"/>
      <c r="E557" s="2"/>
      <c r="F557" s="2"/>
      <c r="G557" s="2"/>
    </row>
    <row r="558" spans="1:7" x14ac:dyDescent="0.55000000000000004">
      <c r="A558" s="1" t="s">
        <v>2050</v>
      </c>
      <c r="B558" s="2">
        <f>COUNTIF(A:A,A558)-1</f>
        <v>0</v>
      </c>
      <c r="C558" s="2">
        <f>COUNTIF(A$1:A558,A558)-1</f>
        <v>0</v>
      </c>
      <c r="D558" s="2"/>
      <c r="E558" s="2"/>
      <c r="F558" s="2"/>
      <c r="G558" s="2"/>
    </row>
    <row r="559" spans="1:7" x14ac:dyDescent="0.55000000000000004">
      <c r="A559" s="1" t="s">
        <v>1637</v>
      </c>
      <c r="B559" s="2">
        <f>COUNTIF(A:A,A559)-1</f>
        <v>2</v>
      </c>
      <c r="C559" s="2">
        <f>COUNTIF(A$1:A559,A559)-1</f>
        <v>0</v>
      </c>
      <c r="D559" s="2"/>
      <c r="E559" s="2"/>
      <c r="F559" s="2"/>
      <c r="G559" s="2"/>
    </row>
    <row r="560" spans="1:7" x14ac:dyDescent="0.55000000000000004">
      <c r="A560" s="1" t="s">
        <v>1637</v>
      </c>
      <c r="B560" s="2">
        <f>COUNTIF(A:A,A560)-1</f>
        <v>2</v>
      </c>
      <c r="C560" s="2">
        <f>COUNTIF(A$1:A560,A560)-1</f>
        <v>1</v>
      </c>
      <c r="D560" s="2" t="e">
        <f>INITIATE(1,#REF!)</f>
        <v>#REF!</v>
      </c>
      <c r="E560" s="2" t="b">
        <f>IFERROR(INDEX(ERROR(0),INITIATE(SET.NAME("_",+INDEX(1,)),#REF!)),RETURN(INDEX(TYPE(_),SET.NAME("_"))))</f>
        <v>0</v>
      </c>
      <c r="F560" s="2" t="b">
        <f>IFERROR(INDEX(ERROR(0),INITIATE(INDIRECT(SET.NAME({1,"_"},)),#REF!)),RETURN(INDEX(TYPE(_),SET.NAME("_"))))</f>
        <v>0</v>
      </c>
      <c r="G560" s="2">
        <f>TYPE(INDEX(,INITIATE(INDEX(1,),#REF!)))</f>
        <v>16</v>
      </c>
    </row>
    <row r="561" spans="1:7" x14ac:dyDescent="0.55000000000000004">
      <c r="A561" s="1" t="s">
        <v>1637</v>
      </c>
      <c r="B561" s="2">
        <f>COUNTIF(A:A,A561)-1</f>
        <v>2</v>
      </c>
      <c r="C561" s="2">
        <f>COUNTIF(A$1:A561,A561)-1</f>
        <v>2</v>
      </c>
      <c r="D561" s="2" t="e">
        <f>INITIATE(#REF!,1)</f>
        <v>#REF!</v>
      </c>
      <c r="E561" s="2" t="b">
        <f>IFERROR(INDEX(ERROR(0),INITIATE(#REF!,SET.NAME("_",+INDEX(1,)))),RETURN(INDEX(TYPE(_),SET.NAME("_"))))</f>
        <v>0</v>
      </c>
      <c r="F561" s="2" t="b">
        <f>IFERROR(INDEX(ERROR(0),INITIATE(#REF!,INDIRECT(SET.NAME({1,"_"},)))),RETURN(INDEX(TYPE(_),SET.NAME("_"))))</f>
        <v>0</v>
      </c>
      <c r="G561" s="2">
        <f>TYPE(INDEX(,INITIATE(#REF!,INDEX(1,))))</f>
        <v>16</v>
      </c>
    </row>
    <row r="562" spans="1:7" x14ac:dyDescent="0.55000000000000004">
      <c r="A562" s="1" t="s">
        <v>1638</v>
      </c>
      <c r="B562" s="2">
        <f>COUNTIF(A:A,A562)-1</f>
        <v>2</v>
      </c>
      <c r="C562" s="2">
        <f>COUNTIF(A$1:A562,A562)-1</f>
        <v>0</v>
      </c>
      <c r="D562" s="2"/>
      <c r="E562" s="2"/>
      <c r="F562" s="2"/>
      <c r="G562" s="2"/>
    </row>
    <row r="563" spans="1:7" x14ac:dyDescent="0.55000000000000004">
      <c r="A563" s="1" t="s">
        <v>1638</v>
      </c>
      <c r="B563" s="2">
        <f>COUNTIF(A:A,A563)-1</f>
        <v>2</v>
      </c>
      <c r="C563" s="2">
        <f>COUNTIF(A$1:A563,A563)-1</f>
        <v>1</v>
      </c>
      <c r="D563" s="2" t="e">
        <f>REQUEST(1,#REF!)</f>
        <v>#REF!</v>
      </c>
      <c r="E563" s="2" t="b">
        <f>IFERROR(INDEX(ERROR(0),REQUEST(SET.NAME("_",+INDEX(1,)),#REF!)),RETURN(INDEX(TYPE(_),SET.NAME("_"))))</f>
        <v>0</v>
      </c>
      <c r="F563" s="2" t="b">
        <f>IFERROR(INDEX(ERROR(0),REQUEST(INDIRECT(SET.NAME({1,"_"},)),#REF!)),RETURN(INDEX(TYPE(_),SET.NAME("_"))))</f>
        <v>0</v>
      </c>
      <c r="G563" s="2">
        <f>TYPE(INDEX(,REQUEST(INDEX(1,),#REF!)))</f>
        <v>16</v>
      </c>
    </row>
    <row r="564" spans="1:7" x14ac:dyDescent="0.55000000000000004">
      <c r="A564" s="1" t="s">
        <v>1638</v>
      </c>
      <c r="B564" s="2">
        <f>COUNTIF(A:A,A564)-1</f>
        <v>2</v>
      </c>
      <c r="C564" s="2">
        <f>COUNTIF(A$1:A564,A564)-1</f>
        <v>2</v>
      </c>
      <c r="D564" s="2" t="e">
        <f>REQUEST(#REF!,1)</f>
        <v>#REF!</v>
      </c>
      <c r="E564" s="2" t="b">
        <f>IFERROR(INDEX(ERROR(0),REQUEST(#REF!,SET.NAME("_",+INDEX(1,)))),RETURN(INDEX(TYPE(_),SET.NAME("_"))))</f>
        <v>0</v>
      </c>
      <c r="F564" s="2" t="b">
        <f>IFERROR(INDEX(ERROR(0),REQUEST(#REF!,INDIRECT(SET.NAME({1,"_"},)))),RETURN(INDEX(TYPE(_),SET.NAME("_"))))</f>
        <v>0</v>
      </c>
      <c r="G564" s="2">
        <f>TYPE(INDEX(,REQUEST(#REF!,INDEX(1,))))</f>
        <v>16</v>
      </c>
    </row>
    <row r="565" spans="1:7" x14ac:dyDescent="0.55000000000000004">
      <c r="A565" s="1" t="s">
        <v>1639</v>
      </c>
      <c r="B565" s="2">
        <f>COUNTIF(A:A,A565)-1</f>
        <v>3</v>
      </c>
      <c r="C565" s="2">
        <f>COUNTIF(A$1:A565,A565)-1</f>
        <v>0</v>
      </c>
      <c r="D565" s="2"/>
      <c r="E565" s="2"/>
      <c r="F565" s="2"/>
      <c r="G565" s="2"/>
    </row>
    <row r="566" spans="1:7" x14ac:dyDescent="0.55000000000000004">
      <c r="A566" s="1" t="s">
        <v>1639</v>
      </c>
      <c r="B566" s="2">
        <f>COUNTIF(A:A,A566)-1</f>
        <v>3</v>
      </c>
      <c r="C566" s="2">
        <f>COUNTIF(A$1:A566,A566)-1</f>
        <v>1</v>
      </c>
      <c r="D566" s="2" t="e">
        <f>POKE(1,#REF!,#REF!)</f>
        <v>#REF!</v>
      </c>
      <c r="E566" s="2" t="b">
        <f>IFERROR(INDEX(ERROR(0),POKE(SET.NAME("_",+INDEX(1,)),#REF!,#REF!)),RETURN(INDEX(TYPE(_),SET.NAME("_"))))</f>
        <v>0</v>
      </c>
      <c r="F566" s="2" t="b">
        <f>IFERROR(INDEX(ERROR(0),POKE(INDIRECT(SET.NAME({1,"_"},)),#REF!,#REF!)),RETURN(INDEX(TYPE(_),SET.NAME("_"))))</f>
        <v>0</v>
      </c>
      <c r="G566" s="2">
        <f>TYPE(INDEX(,POKE(INDEX(1,),#REF!,#REF!)))</f>
        <v>16</v>
      </c>
    </row>
    <row r="567" spans="1:7" x14ac:dyDescent="0.55000000000000004">
      <c r="A567" s="1" t="s">
        <v>1639</v>
      </c>
      <c r="B567" s="2">
        <f>COUNTIF(A:A,A567)-1</f>
        <v>3</v>
      </c>
      <c r="C567" s="2">
        <f>COUNTIF(A$1:A567,A567)-1</f>
        <v>2</v>
      </c>
      <c r="D567" s="2" t="e">
        <f>POKE(#REF!,1,#REF!)</f>
        <v>#REF!</v>
      </c>
      <c r="E567" s="2" t="b">
        <f>IFERROR(INDEX(ERROR(0),POKE(#REF!,SET.NAME("_",+INDEX(1,)),#REF!)),RETURN(INDEX(TYPE(_),SET.NAME("_"))))</f>
        <v>0</v>
      </c>
      <c r="F567" s="2" t="b">
        <f>IFERROR(INDEX(ERROR(0),POKE(#REF!,INDIRECT(SET.NAME({1,"_"},)),#REF!)),RETURN(INDEX(TYPE(_),SET.NAME("_"))))</f>
        <v>0</v>
      </c>
      <c r="G567" s="2">
        <f>TYPE(INDEX(,POKE(#REF!,INDEX(1,),#REF!)))</f>
        <v>64</v>
      </c>
    </row>
    <row r="568" spans="1:7" x14ac:dyDescent="0.55000000000000004">
      <c r="A568" s="1" t="s">
        <v>1639</v>
      </c>
      <c r="B568" s="2">
        <f>COUNTIF(A:A,A568)-1</f>
        <v>3</v>
      </c>
      <c r="C568" s="2">
        <f>COUNTIF(A$1:A568,A568)-1</f>
        <v>3</v>
      </c>
      <c r="D568" s="2" t="e">
        <f>POKE(#REF!,#REF!,1)</f>
        <v>#REF!</v>
      </c>
      <c r="E568" s="2" t="b">
        <f>IFERROR(INDEX(ERROR(0),POKE(#REF!,#REF!,SET.NAME("_",+INDEX(1,)))),RETURN(INDEX(TYPE(_),SET.NAME("_"))))</f>
        <v>0</v>
      </c>
      <c r="F568" s="2" t="b">
        <f>IFERROR(INDEX(ERROR(0),POKE(#REF!,#REF!,INDIRECT(SET.NAME({1,"_"},)))),RETURN(INDEX(TYPE(_),SET.NAME("_"))))</f>
        <v>0</v>
      </c>
      <c r="G568" s="2">
        <f>TYPE(INDEX(,POKE(#REF!,#REF!,INDEX(1,))))</f>
        <v>64</v>
      </c>
    </row>
    <row r="569" spans="1:7" x14ac:dyDescent="0.55000000000000004">
      <c r="A569" s="1" t="s">
        <v>1640</v>
      </c>
      <c r="B569" s="2">
        <f>COUNTIF(A:A,A569)-1</f>
        <v>2</v>
      </c>
      <c r="C569" s="2">
        <f>COUNTIF(A$1:A569,A569)-1</f>
        <v>0</v>
      </c>
      <c r="D569" s="2"/>
      <c r="E569" s="2"/>
      <c r="F569" s="2"/>
      <c r="G569" s="2"/>
    </row>
    <row r="570" spans="1:7" x14ac:dyDescent="0.55000000000000004">
      <c r="A570" s="1" t="s">
        <v>1640</v>
      </c>
      <c r="B570" s="2">
        <f>COUNTIF(A:A,A570)-1</f>
        <v>2</v>
      </c>
      <c r="C570" s="2">
        <f>COUNTIF(A$1:A570,A570)-1</f>
        <v>1</v>
      </c>
      <c r="D570" s="2" t="e">
        <f>EXECUTE(1,#REF!)</f>
        <v>#REF!</v>
      </c>
      <c r="E570" s="2" t="b">
        <f>IFERROR(INDEX(ERROR(0),EXECUTE(SET.NAME("_",+INDEX(1,)),#REF!)),RETURN(INDEX(TYPE(_),SET.NAME("_"))))</f>
        <v>0</v>
      </c>
      <c r="F570" s="2" t="b">
        <f>IFERROR(INDEX(ERROR(0),EXECUTE(INDIRECT(SET.NAME({1,"_"},)),#REF!)),RETURN(INDEX(TYPE(_),SET.NAME("_"))))</f>
        <v>0</v>
      </c>
      <c r="G570" s="2">
        <f>TYPE(INDEX(,EXECUTE(INDEX(1,),#REF!)))</f>
        <v>16</v>
      </c>
    </row>
    <row r="571" spans="1:7" x14ac:dyDescent="0.55000000000000004">
      <c r="A571" s="1" t="s">
        <v>1640</v>
      </c>
      <c r="B571" s="2">
        <f>COUNTIF(A:A,A571)-1</f>
        <v>2</v>
      </c>
      <c r="C571" s="2">
        <f>COUNTIF(A$1:A571,A571)-1</f>
        <v>2</v>
      </c>
      <c r="D571" s="2" t="e">
        <f>EXECUTE(#REF!,1)</f>
        <v>#REF!</v>
      </c>
      <c r="E571" s="2" t="b">
        <f>IFERROR(INDEX(ERROR(0),EXECUTE(#REF!,SET.NAME("_",+INDEX(1,)))),RETURN(INDEX(TYPE(_),SET.NAME("_"))))</f>
        <v>0</v>
      </c>
      <c r="F571" s="2" t="b">
        <f>IFERROR(INDEX(ERROR(0),EXECUTE(#REF!,INDIRECT(SET.NAME({1,"_"},)))),RETURN(INDEX(TYPE(_),SET.NAME("_"))))</f>
        <v>0</v>
      </c>
      <c r="G571" s="2">
        <f>TYPE(INDEX(,EXECUTE(#REF!,INDEX(1,))))</f>
        <v>16</v>
      </c>
    </row>
    <row r="572" spans="1:7" x14ac:dyDescent="0.55000000000000004">
      <c r="A572" s="1" t="s">
        <v>1641</v>
      </c>
      <c r="B572" s="2">
        <f>COUNTIF(A:A,A572)-1</f>
        <v>1</v>
      </c>
      <c r="C572" s="2">
        <f>COUNTIF(A$1:A572,A572)-1</f>
        <v>0</v>
      </c>
      <c r="D572" s="2"/>
      <c r="E572" s="2"/>
      <c r="F572" s="2"/>
      <c r="G572" s="2"/>
    </row>
    <row r="573" spans="1:7" x14ac:dyDescent="0.55000000000000004">
      <c r="A573" s="1" t="s">
        <v>1641</v>
      </c>
      <c r="B573" s="2">
        <f>COUNTIF(A:A,A573)-1</f>
        <v>1</v>
      </c>
      <c r="C573" s="2">
        <f>COUNTIF(A$1:A573,A573)-1</f>
        <v>1</v>
      </c>
      <c r="D573" s="2" t="b">
        <f>TERMINATE(1)</f>
        <v>0</v>
      </c>
      <c r="E573" s="2" t="b">
        <f>IFERROR(INDEX(ERROR(0),TERMINATE(SET.NAME("_",+INDEX(1,)))),RETURN(INDEX(TYPE(_),SET.NAME("_"))))</f>
        <v>0</v>
      </c>
      <c r="F573" s="2" t="b">
        <f>IFERROR(INDEX(ERROR(0),TERMINATE(INDIRECT(SET.NAME({1,"_"},)))),RETURN(INDEX(TYPE(_),SET.NAME("_"))))</f>
        <v>0</v>
      </c>
      <c r="G573" s="2">
        <f>TYPE(INDEX(,TERMINATE(INDEX(1,))))</f>
        <v>16</v>
      </c>
    </row>
    <row r="574" spans="1:7" x14ac:dyDescent="0.55000000000000004">
      <c r="A574" s="1" t="s">
        <v>1642</v>
      </c>
      <c r="B574" s="2">
        <f>COUNTIF(A:A,A574)-1</f>
        <v>1</v>
      </c>
      <c r="C574" s="2">
        <f>COUNTIF(A$1:A574,A574)-1</f>
        <v>0</v>
      </c>
      <c r="D574" s="2"/>
      <c r="E574" s="2"/>
      <c r="F574" s="2"/>
      <c r="G574" s="2"/>
    </row>
    <row r="575" spans="1:7" x14ac:dyDescent="0.55000000000000004">
      <c r="A575" s="1" t="s">
        <v>1642</v>
      </c>
      <c r="B575" s="2">
        <f>COUNTIF(A:A,A575)-1</f>
        <v>1</v>
      </c>
      <c r="C575" s="2">
        <f>COUNTIF(A$1:A575,A575)-1</f>
        <v>1</v>
      </c>
      <c r="D575" s="2" t="b">
        <f>RESTART(1)</f>
        <v>0</v>
      </c>
      <c r="E575" s="2" t="b">
        <f>IFERROR(INDEX(ERROR(0),RESTART(SET.NAME("_",+INDEX(1,)))),RETURN(INDEX(TYPE(_),SET.NAME("_"))))</f>
        <v>0</v>
      </c>
      <c r="F575" s="2" t="b">
        <f>IFERROR(INDEX(ERROR(0),RESTART(INDIRECT(SET.NAME({1,"_"},)))),RETURN(INDEX(TYPE(_),SET.NAME("_"))))</f>
        <v>0</v>
      </c>
      <c r="G575" s="2">
        <f>TYPE(INDEX(,RESTART(INDEX(1,))))</f>
        <v>16</v>
      </c>
    </row>
    <row r="576" spans="1:7" x14ac:dyDescent="0.55000000000000004">
      <c r="A576" s="1" t="s">
        <v>1643</v>
      </c>
      <c r="B576" s="2">
        <f>COUNTIF(A:A,A576)-1</f>
        <v>1</v>
      </c>
      <c r="C576" s="2">
        <f>COUNTIF(A$1:A576,A576)-1</f>
        <v>0</v>
      </c>
      <c r="D576" s="2"/>
      <c r="E576" s="2"/>
      <c r="F576" s="2"/>
      <c r="G576" s="2"/>
    </row>
    <row r="577" spans="1:7" x14ac:dyDescent="0.55000000000000004">
      <c r="A577" s="1" t="s">
        <v>1643</v>
      </c>
      <c r="B577" s="2">
        <f>COUNTIF(A:A,A577)-1</f>
        <v>1</v>
      </c>
      <c r="C577" s="2">
        <f>COUNTIF(A$1:A577,A577)-1</f>
        <v>1</v>
      </c>
      <c r="D577" s="2" t="b">
        <f>HELP(1)</f>
        <v>0</v>
      </c>
      <c r="E577" s="2" t="b">
        <f>IFERROR(INDEX(ERROR(0),HELP(SET.NAME("_",+INDEX(1,)))),RETURN(INDEX(TYPE(_),SET.NAME("_"))))</f>
        <v>0</v>
      </c>
      <c r="F577" s="2" t="b">
        <f>IFERROR(INDEX(ERROR(0),HELP(INDIRECT(SET.NAME({1,"_"},)))),RETURN(INDEX(TYPE(_),SET.NAME("_"))))</f>
        <v>0</v>
      </c>
      <c r="G577" s="2">
        <f>TYPE(INDEX(,HELP(INDEX(1,))))</f>
        <v>16</v>
      </c>
    </row>
    <row r="578" spans="1:7" x14ac:dyDescent="0.55000000000000004">
      <c r="A578" s="1" t="s">
        <v>1644</v>
      </c>
      <c r="B578" s="2">
        <f>COUNTIF(A:A,A578)-1</f>
        <v>4</v>
      </c>
      <c r="C578" s="2">
        <f>COUNTIF(A$1:A578,A578)-1</f>
        <v>0</v>
      </c>
      <c r="D578" s="2"/>
      <c r="E578" s="2"/>
      <c r="F578" s="2"/>
      <c r="G578" s="2"/>
    </row>
    <row r="579" spans="1:7" x14ac:dyDescent="0.55000000000000004">
      <c r="A579" s="1" t="s">
        <v>1644</v>
      </c>
      <c r="B579" s="2">
        <f>COUNTIF(A:A,A579)-1</f>
        <v>4</v>
      </c>
      <c r="C579" s="2">
        <f>COUNTIF(A$1:A579,A579)-1</f>
        <v>1</v>
      </c>
      <c r="D579" s="2" t="b">
        <f>GET.BAR(1,#REF!,#REF!,#REF!)</f>
        <v>0</v>
      </c>
      <c r="E579" s="2" t="b">
        <f>IFERROR(INDEX(ERROR(0),GET.BAR(SET.NAME("_",+INDEX(1,)),#REF!,#REF!,#REF!)),RETURN(INDEX(TYPE(_),SET.NAME("_"))))</f>
        <v>0</v>
      </c>
      <c r="F579" s="2" t="b">
        <f>IFERROR(INDEX(ERROR(0),GET.BAR(INDIRECT(SET.NAME({1,"_"},)),#REF!,#REF!,#REF!)),RETURN(INDEX(TYPE(_),SET.NAME("_"))))</f>
        <v>0</v>
      </c>
      <c r="G579" s="2">
        <f>TYPE(INDEX(,GET.BAR(INDEX(1,),#REF!,#REF!,#REF!)))</f>
        <v>16</v>
      </c>
    </row>
    <row r="580" spans="1:7" x14ac:dyDescent="0.55000000000000004">
      <c r="A580" s="1" t="s">
        <v>1644</v>
      </c>
      <c r="B580" s="2">
        <f>COUNTIF(A:A,A580)-1</f>
        <v>4</v>
      </c>
      <c r="C580" s="2">
        <f>COUNTIF(A$1:A580,A580)-1</f>
        <v>2</v>
      </c>
      <c r="D580" s="2" t="b">
        <f>GET.BAR(#REF!,1,#REF!,#REF!)</f>
        <v>0</v>
      </c>
      <c r="E580" s="2" t="b">
        <f>IFERROR(INDEX(ERROR(0),GET.BAR(#REF!,SET.NAME("_",+INDEX(1,)),#REF!,#REF!)),RETURN(INDEX(TYPE(_),SET.NAME("_"))))</f>
        <v>0</v>
      </c>
      <c r="F580" s="2" t="b">
        <f>IFERROR(INDEX(ERROR(0),GET.BAR(#REF!,INDIRECT(SET.NAME({1,"_"},)),#REF!,#REF!)),RETURN(INDEX(TYPE(_),SET.NAME("_"))))</f>
        <v>0</v>
      </c>
      <c r="G580" s="2">
        <f>TYPE(INDEX(,GET.BAR(#REF!,INDEX(1,),#REF!,#REF!)))</f>
        <v>16</v>
      </c>
    </row>
    <row r="581" spans="1:7" x14ac:dyDescent="0.55000000000000004">
      <c r="A581" s="1" t="s">
        <v>1644</v>
      </c>
      <c r="B581" s="2">
        <f>COUNTIF(A:A,A581)-1</f>
        <v>4</v>
      </c>
      <c r="C581" s="2">
        <f>COUNTIF(A$1:A581,A581)-1</f>
        <v>3</v>
      </c>
      <c r="D581" s="2" t="b">
        <f>GET.BAR(#REF!,#REF!,1,#REF!)</f>
        <v>0</v>
      </c>
      <c r="E581" s="2" t="b">
        <f>IFERROR(INDEX(ERROR(0),GET.BAR(#REF!,#REF!,SET.NAME("_",+INDEX(1,)),#REF!)),RETURN(INDEX(TYPE(_),SET.NAME("_"))))</f>
        <v>0</v>
      </c>
      <c r="F581" s="2" t="b">
        <f>IFERROR(INDEX(ERROR(0),GET.BAR(#REF!,#REF!,INDIRECT(SET.NAME({1,"_"},)),#REF!)),RETURN(INDEX(TYPE(_),SET.NAME("_"))))</f>
        <v>0</v>
      </c>
      <c r="G581" s="2">
        <f>TYPE(INDEX(,GET.BAR(#REF!,#REF!,INDEX(1,),#REF!)))</f>
        <v>16</v>
      </c>
    </row>
    <row r="582" spans="1:7" x14ac:dyDescent="0.55000000000000004">
      <c r="A582" s="1" t="s">
        <v>1644</v>
      </c>
      <c r="B582" s="2">
        <f>COUNTIF(A:A,A582)-1</f>
        <v>4</v>
      </c>
      <c r="C582" s="2">
        <f>COUNTIF(A$1:A582,A582)-1</f>
        <v>4</v>
      </c>
      <c r="D582" s="2" t="b">
        <f>GET.BAR(#REF!,#REF!,#REF!,1)</f>
        <v>0</v>
      </c>
      <c r="E582" s="2" t="b">
        <f>IFERROR(INDEX(ERROR(0),GET.BAR(#REF!,#REF!,#REF!,SET.NAME("_",+INDEX(1,)))),RETURN(INDEX(TYPE(_),SET.NAME("_"))))</f>
        <v>0</v>
      </c>
      <c r="F582" s="2" t="b">
        <f>IFERROR(INDEX(ERROR(0),GET.BAR(#REF!,#REF!,#REF!,INDIRECT(SET.NAME({1,"_"},)))),RETURN(INDEX(TYPE(_),SET.NAME("_"))))</f>
        <v>0</v>
      </c>
      <c r="G582" s="2">
        <f>TYPE(INDEX(,GET.BAR(#REF!,#REF!,#REF!,INDEX(1,))))</f>
        <v>16</v>
      </c>
    </row>
    <row r="583" spans="1:7" x14ac:dyDescent="0.55000000000000004">
      <c r="A583" s="1" t="s">
        <v>1645</v>
      </c>
      <c r="B583" s="2">
        <f>COUNTIF(A:A,A583)-1</f>
        <v>3</v>
      </c>
      <c r="C583" s="2">
        <f>COUNTIF(A$1:A583,A583)-1</f>
        <v>0</v>
      </c>
      <c r="D583" s="2"/>
      <c r="E583" s="2"/>
      <c r="F583" s="2"/>
      <c r="G583" s="2"/>
    </row>
    <row r="584" spans="1:7" x14ac:dyDescent="0.55000000000000004">
      <c r="A584" s="1" t="s">
        <v>1645</v>
      </c>
      <c r="B584" s="2">
        <f>COUNTIF(A:A,A584)-1</f>
        <v>3</v>
      </c>
      <c r="C584" s="2">
        <f>COUNTIF(A$1:A584,A584)-1</f>
        <v>1</v>
      </c>
      <c r="D584" s="2" t="e">
        <f>PRODUCT(1,#REF!,#REF!)</f>
        <v>#REF!</v>
      </c>
      <c r="E584" s="2" t="b">
        <f>IFERROR(INDEX(ERROR(0),PRODUCT(SET.NAME("_",+INDEX(1,)),#REF!,#REF!)),RETURN(INDEX(TYPE(_),SET.NAME("_"))))</f>
        <v>0</v>
      </c>
      <c r="F584" s="2" t="b">
        <f>IFERROR(INDEX(ERROR(0),PRODUCT(INDIRECT(SET.NAME({1,"_"},)),#REF!,#REF!)),RETURN(INDEX(TYPE(_),SET.NAME("_"))))</f>
        <v>0</v>
      </c>
      <c r="G584" s="2">
        <f>TYPE(INDEX(,PRODUCT(INDEX(1,),#REF!,#REF!)))</f>
        <v>16</v>
      </c>
    </row>
    <row r="585" spans="1:7" x14ac:dyDescent="0.55000000000000004">
      <c r="A585" s="1" t="s">
        <v>1645</v>
      </c>
      <c r="B585" s="2">
        <f>COUNTIF(A:A,A585)-1</f>
        <v>3</v>
      </c>
      <c r="C585" s="2">
        <f>COUNTIF(A$1:A585,A585)-1</f>
        <v>2</v>
      </c>
      <c r="D585" s="2" t="e">
        <f>PRODUCT(#REF!,1,#REF!)</f>
        <v>#REF!</v>
      </c>
      <c r="E585" s="2" t="b">
        <f>IFERROR(INDEX(ERROR(0),PRODUCT(#REF!,SET.NAME("_",+INDEX(1,)),#REF!)),RETURN(INDEX(TYPE(_),SET.NAME("_"))))</f>
        <v>0</v>
      </c>
      <c r="F585" s="2" t="b">
        <f>IFERROR(INDEX(ERROR(0),PRODUCT(#REF!,INDIRECT(SET.NAME({1,"_"},)),#REF!)),RETURN(INDEX(TYPE(_),SET.NAME("_"))))</f>
        <v>0</v>
      </c>
      <c r="G585" s="2">
        <f>TYPE(INDEX(,PRODUCT(#REF!,INDEX(1,),#REF!)))</f>
        <v>16</v>
      </c>
    </row>
    <row r="586" spans="1:7" x14ac:dyDescent="0.55000000000000004">
      <c r="A586" s="1" t="s">
        <v>1645</v>
      </c>
      <c r="B586" s="2">
        <f>COUNTIF(A:A,A586)-1</f>
        <v>3</v>
      </c>
      <c r="C586" s="2">
        <f>COUNTIF(A$1:A586,A586)-1</f>
        <v>3</v>
      </c>
      <c r="D586" s="2" t="e">
        <f>PRODUCT(#REF!,#REF!,1)</f>
        <v>#REF!</v>
      </c>
      <c r="E586" s="2" t="b">
        <f>IFERROR(INDEX(ERROR(0),PRODUCT(#REF!,#REF!,SET.NAME("_",+INDEX(1,)))),RETURN(INDEX(TYPE(_),SET.NAME("_"))))</f>
        <v>0</v>
      </c>
      <c r="F586" s="2" t="b">
        <f>IFERROR(INDEX(ERROR(0),PRODUCT(#REF!,#REF!,INDIRECT(SET.NAME({1,"_"},)))),RETURN(INDEX(TYPE(_),SET.NAME("_"))))</f>
        <v>0</v>
      </c>
      <c r="G586" s="2">
        <f>TYPE(INDEX(,PRODUCT(#REF!,#REF!,INDEX(1,))))</f>
        <v>16</v>
      </c>
    </row>
    <row r="587" spans="1:7" x14ac:dyDescent="0.55000000000000004">
      <c r="A587" s="1" t="s">
        <v>1646</v>
      </c>
      <c r="B587" s="2">
        <f>COUNTIF(A:A,A587)-1</f>
        <v>1</v>
      </c>
      <c r="C587" s="2">
        <f>COUNTIF(A$1:A587,A587)-1</f>
        <v>0</v>
      </c>
      <c r="D587" s="2"/>
      <c r="E587" s="2"/>
      <c r="F587" s="2"/>
      <c r="G587" s="2"/>
    </row>
    <row r="588" spans="1:7" x14ac:dyDescent="0.55000000000000004">
      <c r="A588" s="1" t="s">
        <v>1646</v>
      </c>
      <c r="B588" s="2">
        <f>COUNTIF(A:A,A588)-1</f>
        <v>1</v>
      </c>
      <c r="C588" s="2">
        <f>COUNTIF(A$1:A588,A588)-1</f>
        <v>1</v>
      </c>
      <c r="D588" s="2">
        <f>FACT(1)</f>
        <v>1</v>
      </c>
      <c r="E588" s="2" t="b">
        <f>IFERROR(INDEX(ERROR(0),FACT(SET.NAME("_",+INDEX(1,)))),RETURN(INDEX(TYPE(_),SET.NAME("_"))))</f>
        <v>0</v>
      </c>
      <c r="F588" s="2" t="b">
        <f>IFERROR(INDEX(ERROR(0),FACT(INDIRECT(SET.NAME({1,"_"},)))),RETURN(INDEX(TYPE(_),SET.NAME("_"))))</f>
        <v>0</v>
      </c>
      <c r="G588" s="2">
        <f>TYPE(INDEX(,FACT(INDEX(1,))))</f>
        <v>16</v>
      </c>
    </row>
    <row r="589" spans="1:7" x14ac:dyDescent="0.55000000000000004">
      <c r="A589" s="1" t="s">
        <v>1647</v>
      </c>
      <c r="B589" s="2">
        <f>COUNTIF(A:A,A589)-1</f>
        <v>2</v>
      </c>
      <c r="C589" s="2">
        <f>COUNTIF(A$1:A589,A589)-1</f>
        <v>0</v>
      </c>
      <c r="D589" s="2"/>
      <c r="E589" s="2"/>
      <c r="F589" s="2"/>
      <c r="G589" s="2"/>
    </row>
    <row r="590" spans="1:7" x14ac:dyDescent="0.55000000000000004">
      <c r="A590" s="1" t="s">
        <v>1647</v>
      </c>
      <c r="B590" s="2">
        <f>COUNTIF(A:A,A590)-1</f>
        <v>2</v>
      </c>
      <c r="C590" s="2">
        <f>COUNTIF(A$1:A590,A590)-1</f>
        <v>1</v>
      </c>
      <c r="D590" s="2" t="e">
        <f>GET.CELL(1,#REF!)</f>
        <v>#REF!</v>
      </c>
      <c r="E590" s="2" t="b">
        <f>IFERROR(INDEX(ERROR(0),GET.CELL(SET.NAME("_",+INDEX(1,)),#REF!)),RETURN(INDEX(TYPE(_),SET.NAME("_"))))</f>
        <v>0</v>
      </c>
      <c r="F590" s="2" t="b">
        <f>IFERROR(INDEX(ERROR(0),GET.CELL(INDIRECT(SET.NAME({1,"_"},)),#REF!)),RETURN(INDEX(TYPE(_),SET.NAME("_"))))</f>
        <v>0</v>
      </c>
      <c r="G590" s="2">
        <f>TYPE(INDEX(,GET.CELL(INDEX(1,),#REF!)))</f>
        <v>16</v>
      </c>
    </row>
    <row r="591" spans="1:7" x14ac:dyDescent="0.55000000000000004">
      <c r="A591" s="1" t="s">
        <v>1647</v>
      </c>
      <c r="B591" s="2">
        <f>COUNTIF(A:A,A591)-1</f>
        <v>2</v>
      </c>
      <c r="C591" s="2">
        <f>COUNTIF(A$1:A591,A591)-1</f>
        <v>2</v>
      </c>
      <c r="D591" s="2" t="s">
        <v>2279</v>
      </c>
      <c r="E591" s="2" t="s">
        <v>2217</v>
      </c>
      <c r="F591" s="2" t="b">
        <f>IFERROR(INDEX(ERROR(0),GET.CELL(#REF!,INDIRECT(SET.NAME({1,"_"},)))),RETURN(INDEX(TYPE(_),SET.NAME("_"))))</f>
        <v>0</v>
      </c>
      <c r="G591" s="2">
        <f>TYPE(INDEX(,GET.CELL(#REF!,INDEX(1,))))</f>
        <v>64</v>
      </c>
    </row>
    <row r="592" spans="1:7" x14ac:dyDescent="0.55000000000000004">
      <c r="A592" s="1" t="s">
        <v>1648</v>
      </c>
      <c r="B592" s="2">
        <f>COUNTIF(A:A,A592)-1</f>
        <v>1</v>
      </c>
      <c r="C592" s="2">
        <f>COUNTIF(A$1:A592,A592)-1</f>
        <v>0</v>
      </c>
      <c r="D592" s="2"/>
      <c r="E592" s="2"/>
      <c r="F592" s="2"/>
      <c r="G592" s="2"/>
    </row>
    <row r="593" spans="1:7" x14ac:dyDescent="0.55000000000000004">
      <c r="A593" s="1" t="s">
        <v>1648</v>
      </c>
      <c r="B593" s="2">
        <f>COUNTIF(A:A,A593)-1</f>
        <v>1</v>
      </c>
      <c r="C593" s="2">
        <f>COUNTIF(A$1:A593,A593)-1</f>
        <v>1</v>
      </c>
      <c r="D593" s="2" t="str">
        <f>GET.WORKSPACE(1)</f>
        <v>Windows (64-bit) NT 10.00</v>
      </c>
      <c r="E593" s="2" t="b">
        <f>IFERROR(INDEX(ERROR(0),GET.WORKSPACE(SET.NAME("_",+INDEX(1,)))),RETURN(INDEX(TYPE(_),SET.NAME("_"))))</f>
        <v>0</v>
      </c>
      <c r="F593" s="2" t="b">
        <f>IFERROR(INDEX(ERROR(0),GET.WORKSPACE(INDIRECT(SET.NAME({1,"_"},)))),RETURN(INDEX(TYPE(_),SET.NAME("_"))))</f>
        <v>0</v>
      </c>
      <c r="G593" s="2">
        <f>TYPE(INDEX(,GET.WORKSPACE(INDEX(1,))))</f>
        <v>16</v>
      </c>
    </row>
    <row r="594" spans="1:7" x14ac:dyDescent="0.55000000000000004">
      <c r="A594" s="1" t="s">
        <v>1649</v>
      </c>
      <c r="B594" s="2">
        <f>COUNTIF(A:A,A594)-1</f>
        <v>2</v>
      </c>
      <c r="C594" s="2">
        <f>COUNTIF(A$1:A594,A594)-1</f>
        <v>0</v>
      </c>
      <c r="D594" s="2"/>
      <c r="E594" s="2"/>
      <c r="F594" s="2"/>
      <c r="G594" s="2"/>
    </row>
    <row r="595" spans="1:7" x14ac:dyDescent="0.55000000000000004">
      <c r="A595" s="1" t="s">
        <v>1649</v>
      </c>
      <c r="B595" s="2">
        <f>COUNTIF(A:A,A595)-1</f>
        <v>2</v>
      </c>
      <c r="C595" s="2">
        <f>COUNTIF(A$1:A595,A595)-1</f>
        <v>1</v>
      </c>
      <c r="D595" s="2" t="e">
        <f>GET.WINDOW(1,#REF!)</f>
        <v>#REF!</v>
      </c>
      <c r="E595" s="2" t="b">
        <f>IFERROR(INDEX(ERROR(0),GET.WINDOW(SET.NAME("_",+INDEX(1,)),#REF!)),RETURN(INDEX(TYPE(_),SET.NAME("_"))))</f>
        <v>0</v>
      </c>
      <c r="F595" s="2" t="b">
        <f>IFERROR(INDEX(ERROR(0),GET.WINDOW(INDIRECT(SET.NAME({1,"_"},)),#REF!)),RETURN(INDEX(TYPE(_),SET.NAME("_"))))</f>
        <v>0</v>
      </c>
      <c r="G595" s="2">
        <f>TYPE(INDEX(,GET.WINDOW(INDEX(1,),#REF!)))</f>
        <v>16</v>
      </c>
    </row>
    <row r="596" spans="1:7" x14ac:dyDescent="0.55000000000000004">
      <c r="A596" s="1" t="s">
        <v>1649</v>
      </c>
      <c r="B596" s="2">
        <f>COUNTIF(A:A,A596)-1</f>
        <v>2</v>
      </c>
      <c r="C596" s="2">
        <f>COUNTIF(A$1:A596,A596)-1</f>
        <v>2</v>
      </c>
      <c r="D596" s="2" t="e">
        <f>GET.WINDOW(#REF!,1)</f>
        <v>#REF!</v>
      </c>
      <c r="E596" s="2" t="b">
        <f>IFERROR(INDEX(ERROR(0),GET.WINDOW(#REF!,SET.NAME("_",+INDEX(1,)))),RETURN(INDEX(TYPE(_),SET.NAME("_"))))</f>
        <v>0</v>
      </c>
      <c r="F596" s="2" t="b">
        <f>IFERROR(INDEX(ERROR(0),GET.WINDOW(#REF!,INDIRECT(SET.NAME({1,"_"},)))),RETURN(INDEX(TYPE(_),SET.NAME("_"))))</f>
        <v>0</v>
      </c>
      <c r="G596" s="2">
        <f>TYPE(INDEX(,GET.WINDOW(#REF!,INDEX(1,))))</f>
        <v>16</v>
      </c>
    </row>
    <row r="597" spans="1:7" x14ac:dyDescent="0.55000000000000004">
      <c r="A597" s="1" t="s">
        <v>1650</v>
      </c>
      <c r="B597" s="2">
        <f>COUNTIF(A:A,A597)-1</f>
        <v>2</v>
      </c>
      <c r="C597" s="2">
        <f>COUNTIF(A$1:A597,A597)-1</f>
        <v>0</v>
      </c>
      <c r="D597" s="2"/>
      <c r="E597" s="2"/>
      <c r="F597" s="2"/>
      <c r="G597" s="2"/>
    </row>
    <row r="598" spans="1:7" x14ac:dyDescent="0.55000000000000004">
      <c r="A598" s="1" t="s">
        <v>1650</v>
      </c>
      <c r="B598" s="2">
        <f>COUNTIF(A:A,A598)-1</f>
        <v>2</v>
      </c>
      <c r="C598" s="2">
        <f>COUNTIF(A$1:A598,A598)-1</f>
        <v>1</v>
      </c>
      <c r="D598" s="2" t="e">
        <f>GET.DOCUMENT(1,#REF!)</f>
        <v>#REF!</v>
      </c>
      <c r="E598" s="2" t="b">
        <f>IFERROR(INDEX(ERROR(0),GET.DOCUMENT(SET.NAME("_",+INDEX(1,)),#REF!)),RETURN(INDEX(TYPE(_),SET.NAME("_"))))</f>
        <v>0</v>
      </c>
      <c r="F598" s="2" t="b">
        <f>IFERROR(INDEX(ERROR(0),GET.DOCUMENT(INDIRECT(SET.NAME({1,"_"},)),#REF!)),RETURN(INDEX(TYPE(_),SET.NAME("_"))))</f>
        <v>0</v>
      </c>
      <c r="G598" s="2">
        <f>TYPE(INDEX(,GET.DOCUMENT(INDEX(1,),#REF!)))</f>
        <v>16</v>
      </c>
    </row>
    <row r="599" spans="1:7" x14ac:dyDescent="0.55000000000000004">
      <c r="A599" s="1" t="s">
        <v>1650</v>
      </c>
      <c r="B599" s="2">
        <f>COUNTIF(A:A,A599)-1</f>
        <v>2</v>
      </c>
      <c r="C599" s="2">
        <f>COUNTIF(A$1:A599,A599)-1</f>
        <v>2</v>
      </c>
      <c r="D599" s="2" t="e">
        <f>GET.DOCUMENT(#REF!,1)</f>
        <v>#REF!</v>
      </c>
      <c r="E599" s="2" t="b">
        <f>IFERROR(INDEX(ERROR(0),GET.DOCUMENT(#REF!,SET.NAME("_",+INDEX(1,)))),RETURN(INDEX(TYPE(_),SET.NAME("_"))))</f>
        <v>0</v>
      </c>
      <c r="F599" s="2" t="b">
        <f>IFERROR(INDEX(ERROR(0),GET.DOCUMENT(#REF!,INDIRECT(SET.NAME({1,"_"},)))),RETURN(INDEX(TYPE(_),SET.NAME("_"))))</f>
        <v>0</v>
      </c>
      <c r="G599" s="2">
        <f>TYPE(INDEX(,GET.DOCUMENT(#REF!,INDEX(1,))))</f>
        <v>16</v>
      </c>
    </row>
    <row r="600" spans="1:7" x14ac:dyDescent="0.55000000000000004">
      <c r="A600" s="1" t="s">
        <v>1651</v>
      </c>
      <c r="B600" s="2">
        <f>COUNTIF(A:A,A600)-1</f>
        <v>3</v>
      </c>
      <c r="C600" s="2">
        <f>COUNTIF(A$1:A600,A600)-1</f>
        <v>0</v>
      </c>
      <c r="D600" s="2"/>
      <c r="E600" s="2"/>
      <c r="F600" s="2"/>
      <c r="G600" s="2"/>
    </row>
    <row r="601" spans="1:7" x14ac:dyDescent="0.55000000000000004">
      <c r="A601" s="1" t="s">
        <v>1651</v>
      </c>
      <c r="B601" s="2">
        <f>COUNTIF(A:A,A601)-1</f>
        <v>3</v>
      </c>
      <c r="C601" s="2">
        <f>COUNTIF(A$1:A601,A601)-1</f>
        <v>1</v>
      </c>
      <c r="D601" s="2" t="s">
        <v>2280</v>
      </c>
      <c r="E601" s="2" t="s">
        <v>2218</v>
      </c>
      <c r="F601" s="2" t="b">
        <f>IFERROR(INDEX(ERROR(0),DPRODUCT(INDIRECT(SET.NAME({1,"_"},)),#REF!,#REF!)),RETURN(INDEX(TYPE(_),SET.NAME("_"))))</f>
        <v>0</v>
      </c>
      <c r="G601" s="2">
        <f>TYPE(INDEX(,DPRODUCT(INDEX(1,),#REF!,#REF!)))</f>
        <v>64</v>
      </c>
    </row>
    <row r="602" spans="1:7" x14ac:dyDescent="0.55000000000000004">
      <c r="A602" s="1" t="s">
        <v>1651</v>
      </c>
      <c r="B602" s="2">
        <f>COUNTIF(A:A,A602)-1</f>
        <v>3</v>
      </c>
      <c r="C602" s="2">
        <f>COUNTIF(A$1:A602,A602)-1</f>
        <v>2</v>
      </c>
      <c r="D602" s="2" t="e">
        <f>DPRODUCT(#REF!,1,#REF!)</f>
        <v>#REF!</v>
      </c>
      <c r="E602" s="2" t="b">
        <f>IFERROR(INDEX(ERROR(0),DPRODUCT(#REF!,SET.NAME("_",+INDEX(1,)),#REF!)),RETURN(INDEX(TYPE(_),SET.NAME("_"))))</f>
        <v>0</v>
      </c>
      <c r="F602" s="2" t="b">
        <f>IFERROR(INDEX(ERROR(0),DPRODUCT(#REF!,INDIRECT(SET.NAME({1,"_"},)),#REF!)),RETURN(INDEX(TYPE(_),SET.NAME("_"))))</f>
        <v>0</v>
      </c>
      <c r="G602" s="2">
        <f>TYPE(INDEX(,DPRODUCT(#REF!,INDEX(1,),#REF!)))</f>
        <v>64</v>
      </c>
    </row>
    <row r="603" spans="1:7" x14ac:dyDescent="0.55000000000000004">
      <c r="A603" s="1" t="s">
        <v>1651</v>
      </c>
      <c r="B603" s="2">
        <f>COUNTIF(A:A,A603)-1</f>
        <v>3</v>
      </c>
      <c r="C603" s="2">
        <f>COUNTIF(A$1:A603,A603)-1</f>
        <v>3</v>
      </c>
      <c r="D603" s="2" t="e">
        <f>DPRODUCT(#REF!,#REF!,1)</f>
        <v>#REF!</v>
      </c>
      <c r="E603" s="2" t="b">
        <f>IFERROR(INDEX(ERROR(0),DPRODUCT(#REF!,#REF!,SET.NAME("_",+INDEX(1,)))),RETURN(INDEX(TYPE(_),SET.NAME("_"))))</f>
        <v>0</v>
      </c>
      <c r="F603" s="2" t="b">
        <f>IFERROR(INDEX(ERROR(0),DPRODUCT(#REF!,#REF!,INDIRECT(SET.NAME({1,"_"},)))),RETURN(INDEX(TYPE(_),SET.NAME("_"))))</f>
        <v>0</v>
      </c>
      <c r="G603" s="2">
        <f>TYPE(INDEX(,DPRODUCT(#REF!,#REF!,INDEX(1,))))</f>
        <v>64</v>
      </c>
    </row>
    <row r="604" spans="1:7" x14ac:dyDescent="0.55000000000000004">
      <c r="A604" s="1" t="s">
        <v>1652</v>
      </c>
      <c r="B604" s="2">
        <f>COUNTIF(A:A,A604)-1</f>
        <v>1</v>
      </c>
      <c r="C604" s="2">
        <f>COUNTIF(A$1:A604,A604)-1</f>
        <v>0</v>
      </c>
      <c r="D604" s="2"/>
      <c r="E604" s="2"/>
      <c r="F604" s="2"/>
      <c r="G604" s="2"/>
    </row>
    <row r="605" spans="1:7" x14ac:dyDescent="0.55000000000000004">
      <c r="A605" s="1" t="s">
        <v>1652</v>
      </c>
      <c r="B605" s="2">
        <f>COUNTIF(A:A,A605)-1</f>
        <v>1</v>
      </c>
      <c r="C605" s="2">
        <f>COUNTIF(A$1:A605,A605)-1</f>
        <v>1</v>
      </c>
      <c r="D605" s="2" t="b">
        <f>ISNONTEXT(1)</f>
        <v>1</v>
      </c>
      <c r="E605" s="2" t="b">
        <f>IFERROR(INDEX(ERROR(0),ISNONTEXT(SET.NAME("_",+INDEX(1,)))),RETURN(INDEX(TYPE(_),SET.NAME("_"))))</f>
        <v>0</v>
      </c>
      <c r="F605" s="2" t="b">
        <f>IFERROR(INDEX(ERROR(0),ISNONTEXT(INDIRECT(SET.NAME({1,"_"},)))),RETURN(INDEX(TYPE(_),SET.NAME("_"))))</f>
        <v>0</v>
      </c>
      <c r="G605" s="2">
        <f>TYPE(INDEX(,ISNONTEXT(INDEX(1,))))</f>
        <v>16</v>
      </c>
    </row>
    <row r="606" spans="1:7" x14ac:dyDescent="0.55000000000000004">
      <c r="A606" s="1" t="s">
        <v>1653</v>
      </c>
      <c r="B606" s="2">
        <f>COUNTIF(A:A,A606)-1</f>
        <v>3</v>
      </c>
      <c r="C606" s="2">
        <f>COUNTIF(A$1:A606,A606)-1</f>
        <v>0</v>
      </c>
      <c r="D606" s="2"/>
      <c r="E606" s="2"/>
      <c r="F606" s="2"/>
      <c r="G606" s="2"/>
    </row>
    <row r="607" spans="1:7" x14ac:dyDescent="0.55000000000000004">
      <c r="A607" s="1" t="s">
        <v>1653</v>
      </c>
      <c r="B607" s="2">
        <f>COUNTIF(A:A,A607)-1</f>
        <v>3</v>
      </c>
      <c r="C607" s="2">
        <f>COUNTIF(A$1:A607,A607)-1</f>
        <v>1</v>
      </c>
      <c r="D607" s="2" t="e">
        <f>GET.NOTE(1,#REF!,#REF!)</f>
        <v>#REF!</v>
      </c>
      <c r="E607" s="2" t="b">
        <f>IFERROR(INDEX(ERROR(0),GET.NOTE(SET.NAME("_",+INDEX(1,)),#REF!,#REF!)),RETURN(INDEX(TYPE(_),SET.NAME("_"))))</f>
        <v>0</v>
      </c>
      <c r="F607" s="2" t="b">
        <f>IFERROR(INDEX(ERROR(0),GET.NOTE(INDIRECT(SET.NAME({1,"_"},)),#REF!,#REF!)),RETURN(INDEX(TYPE(_),SET.NAME("_"))))</f>
        <v>0</v>
      </c>
      <c r="G607" s="2">
        <f>TYPE(INDEX(,GET.NOTE(INDEX(1,),#REF!,#REF!)))</f>
        <v>64</v>
      </c>
    </row>
    <row r="608" spans="1:7" x14ac:dyDescent="0.55000000000000004">
      <c r="A608" s="1" t="s">
        <v>1653</v>
      </c>
      <c r="B608" s="2">
        <f>COUNTIF(A:A,A608)-1</f>
        <v>3</v>
      </c>
      <c r="C608" s="2">
        <f>COUNTIF(A$1:A608,A608)-1</f>
        <v>2</v>
      </c>
      <c r="D608" s="2" t="e">
        <f>GET.NOTE(#REF!,1,#REF!)</f>
        <v>#REF!</v>
      </c>
      <c r="E608" s="2" t="b">
        <f>IFERROR(INDEX(ERROR(0),GET.NOTE(#REF!,SET.NAME("_",+INDEX(1,)),#REF!)),RETURN(INDEX(TYPE(_),SET.NAME("_"))))</f>
        <v>0</v>
      </c>
      <c r="F608" s="2" t="b">
        <f>IFERROR(INDEX(ERROR(0),GET.NOTE(#REF!,INDIRECT(SET.NAME({1,"_"},)),#REF!)),RETURN(INDEX(TYPE(_),SET.NAME("_"))))</f>
        <v>0</v>
      </c>
      <c r="G608" s="2">
        <f>TYPE(INDEX(,GET.NOTE(#REF!,INDEX(1,),#REF!)))</f>
        <v>16</v>
      </c>
    </row>
    <row r="609" spans="1:7" x14ac:dyDescent="0.55000000000000004">
      <c r="A609" s="1" t="s">
        <v>1653</v>
      </c>
      <c r="B609" s="2">
        <f>COUNTIF(A:A,A609)-1</f>
        <v>3</v>
      </c>
      <c r="C609" s="2">
        <f>COUNTIF(A$1:A609,A609)-1</f>
        <v>3</v>
      </c>
      <c r="D609" s="2" t="e">
        <f>GET.NOTE(#REF!,#REF!,1)</f>
        <v>#REF!</v>
      </c>
      <c r="E609" s="2" t="b">
        <f>IFERROR(INDEX(ERROR(0),GET.NOTE(#REF!,#REF!,SET.NAME("_",+INDEX(1,)))),RETURN(INDEX(TYPE(_),SET.NAME("_"))))</f>
        <v>0</v>
      </c>
      <c r="F609" s="2" t="b">
        <f>IFERROR(INDEX(ERROR(0),GET.NOTE(#REF!,#REF!,INDIRECT(SET.NAME({1,"_"},)))),RETURN(INDEX(TYPE(_),SET.NAME("_"))))</f>
        <v>0</v>
      </c>
      <c r="G609" s="2">
        <f>TYPE(INDEX(,GET.NOTE(#REF!,#REF!,INDEX(1,))))</f>
        <v>16</v>
      </c>
    </row>
    <row r="610" spans="1:7" x14ac:dyDescent="0.55000000000000004">
      <c r="A610" s="1" t="s">
        <v>1654</v>
      </c>
      <c r="B610" s="2">
        <f>COUNTIF(A:A,A610)-1</f>
        <v>4</v>
      </c>
      <c r="C610" s="2">
        <f>COUNTIF(A$1:A610,A610)-1</f>
        <v>0</v>
      </c>
      <c r="D610" s="2"/>
      <c r="E610" s="2"/>
      <c r="F610" s="2"/>
      <c r="G610" s="2"/>
    </row>
    <row r="611" spans="1:7" x14ac:dyDescent="0.55000000000000004">
      <c r="A611" s="1" t="s">
        <v>1654</v>
      </c>
      <c r="B611" s="2">
        <f>COUNTIF(A:A,A611)-1</f>
        <v>4</v>
      </c>
      <c r="C611" s="2">
        <f>COUNTIF(A$1:A611,A611)-1</f>
        <v>1</v>
      </c>
      <c r="D611" s="2" t="e">
        <f>NOTE(1,#REF!,#REF!,#REF!)</f>
        <v>#REF!</v>
      </c>
      <c r="E611" s="2" t="b">
        <f>IFERROR(INDEX(ERROR(0),NOTE(SET.NAME("_",+INDEX(1,)),#REF!,#REF!,#REF!)),RETURN(INDEX(TYPE(_),SET.NAME("_"))))</f>
        <v>0</v>
      </c>
      <c r="F611" s="2" t="b">
        <f>IFERROR(INDEX(ERROR(0),NOTE(INDIRECT(SET.NAME({1,"_"},)),#REF!,#REF!,#REF!)),RETURN(INDEX(TYPE(_),SET.NAME("_"))))</f>
        <v>0</v>
      </c>
      <c r="G611" s="2">
        <f>TYPE(INDEX(,NOTE(INDEX(1,),#REF!,#REF!,#REF!)))</f>
        <v>16</v>
      </c>
    </row>
    <row r="612" spans="1:7" x14ac:dyDescent="0.55000000000000004">
      <c r="A612" s="1" t="s">
        <v>1654</v>
      </c>
      <c r="B612" s="2">
        <f>COUNTIF(A:A,A612)-1</f>
        <v>4</v>
      </c>
      <c r="C612" s="2">
        <f>COUNTIF(A$1:A612,A612)-1</f>
        <v>2</v>
      </c>
      <c r="D612" s="2" t="e">
        <f>NOTE(#REF!,1,#REF!,#REF!)</f>
        <v>#REF!</v>
      </c>
      <c r="E612" s="2" t="b">
        <f>IFERROR(INDEX(ERROR(0),NOTE(#REF!,SET.NAME("_",+INDEX(1,)),#REF!,#REF!)),RETURN(INDEX(TYPE(_),SET.NAME("_"))))</f>
        <v>0</v>
      </c>
      <c r="F612" s="2" t="b">
        <f>IFERROR(INDEX(ERROR(0),NOTE(#REF!,INDIRECT(SET.NAME({1,"_"},)),#REF!,#REF!)),RETURN(INDEX(TYPE(_),SET.NAME("_"))))</f>
        <v>0</v>
      </c>
      <c r="G612" s="2">
        <f>TYPE(INDEX(,NOTE(#REF!,INDEX(1,),#REF!,#REF!)))</f>
        <v>64</v>
      </c>
    </row>
    <row r="613" spans="1:7" x14ac:dyDescent="0.55000000000000004">
      <c r="A613" s="1" t="s">
        <v>1654</v>
      </c>
      <c r="B613" s="2">
        <f>COUNTIF(A:A,A613)-1</f>
        <v>4</v>
      </c>
      <c r="C613" s="2">
        <f>COUNTIF(A$1:A613,A613)-1</f>
        <v>3</v>
      </c>
      <c r="D613" s="2" t="e">
        <f>NOTE(#REF!,#REF!,1,#REF!)</f>
        <v>#REF!</v>
      </c>
      <c r="E613" s="2" t="b">
        <f>IFERROR(INDEX(ERROR(0),NOTE(#REF!,#REF!,SET.NAME("_",+INDEX(1,)),#REF!)),RETURN(INDEX(TYPE(_),SET.NAME("_"))))</f>
        <v>0</v>
      </c>
      <c r="F613" s="2" t="b">
        <f>IFERROR(INDEX(ERROR(0),NOTE(#REF!,#REF!,INDIRECT(SET.NAME({1,"_"},)),#REF!)),RETURN(INDEX(TYPE(_),SET.NAME("_"))))</f>
        <v>0</v>
      </c>
      <c r="G613" s="2">
        <f>TYPE(INDEX(,NOTE(#REF!,#REF!,INDEX(1,),#REF!)))</f>
        <v>64</v>
      </c>
    </row>
    <row r="614" spans="1:7" x14ac:dyDescent="0.55000000000000004">
      <c r="A614" s="1" t="s">
        <v>1654</v>
      </c>
      <c r="B614" s="2">
        <f>COUNTIF(A:A,A614)-1</f>
        <v>4</v>
      </c>
      <c r="C614" s="2">
        <f>COUNTIF(A$1:A614,A614)-1</f>
        <v>4</v>
      </c>
      <c r="D614" s="2" t="e">
        <f>NOTE(#REF!,#REF!,#REF!,1)</f>
        <v>#REF!</v>
      </c>
      <c r="E614" s="2" t="b">
        <f>IFERROR(INDEX(ERROR(0),NOTE(#REF!,#REF!,#REF!,SET.NAME("_",+INDEX(1,)))),RETURN(INDEX(TYPE(_),SET.NAME("_"))))</f>
        <v>0</v>
      </c>
      <c r="F614" s="2" t="b">
        <f>IFERROR(INDEX(ERROR(0),NOTE(#REF!,#REF!,#REF!,INDIRECT(SET.NAME({1,"_"},)))),RETURN(INDEX(TYPE(_),SET.NAME("_"))))</f>
        <v>0</v>
      </c>
      <c r="G614" s="2">
        <f>TYPE(INDEX(,NOTE(#REF!,#REF!,#REF!,INDEX(1,))))</f>
        <v>64</v>
      </c>
    </row>
    <row r="615" spans="1:7" x14ac:dyDescent="0.55000000000000004">
      <c r="A615" s="1" t="s">
        <v>1655</v>
      </c>
      <c r="B615" s="2">
        <f>COUNTIF(A:A,A615)-1</f>
        <v>3</v>
      </c>
      <c r="C615" s="2">
        <f>COUNTIF(A$1:A615,A615)-1</f>
        <v>0</v>
      </c>
      <c r="D615" s="2"/>
      <c r="E615" s="2"/>
      <c r="F615" s="2"/>
      <c r="G615" s="2"/>
    </row>
    <row r="616" spans="1:7" x14ac:dyDescent="0.55000000000000004">
      <c r="A616" s="1" t="s">
        <v>1655</v>
      </c>
      <c r="B616" s="2">
        <f>COUNTIF(A:A,A616)-1</f>
        <v>3</v>
      </c>
      <c r="C616" s="2">
        <f>COUNTIF(A$1:A616,A616)-1</f>
        <v>1</v>
      </c>
      <c r="D616" s="2" t="e">
        <f>STDEVP(1,#REF!,#REF!)</f>
        <v>#REF!</v>
      </c>
      <c r="E616" s="2" t="b">
        <f>IFERROR(INDEX(ERROR(0),STDEVP(SET.NAME("_",+INDEX(1,)),#REF!,#REF!)),RETURN(INDEX(TYPE(_),SET.NAME("_"))))</f>
        <v>0</v>
      </c>
      <c r="F616" s="2" t="b">
        <f>IFERROR(INDEX(ERROR(0),STDEVP(INDIRECT(SET.NAME({1,"_"},)),#REF!,#REF!)),RETURN(INDEX(TYPE(_),SET.NAME("_"))))</f>
        <v>0</v>
      </c>
      <c r="G616" s="2">
        <f>TYPE(INDEX(,STDEVP(INDEX(1,),#REF!,#REF!)))</f>
        <v>16</v>
      </c>
    </row>
    <row r="617" spans="1:7" x14ac:dyDescent="0.55000000000000004">
      <c r="A617" s="1" t="s">
        <v>1655</v>
      </c>
      <c r="B617" s="2">
        <f>COUNTIF(A:A,A617)-1</f>
        <v>3</v>
      </c>
      <c r="C617" s="2">
        <f>COUNTIF(A$1:A617,A617)-1</f>
        <v>2</v>
      </c>
      <c r="D617" s="2" t="e">
        <f>STDEVP(#REF!,1,#REF!)</f>
        <v>#REF!</v>
      </c>
      <c r="E617" s="2" t="b">
        <f>IFERROR(INDEX(ERROR(0),STDEVP(#REF!,SET.NAME("_",+INDEX(1,)),#REF!)),RETURN(INDEX(TYPE(_),SET.NAME("_"))))</f>
        <v>0</v>
      </c>
      <c r="F617" s="2" t="b">
        <f>IFERROR(INDEX(ERROR(0),STDEVP(#REF!,INDIRECT(SET.NAME({1,"_"},)),#REF!)),RETURN(INDEX(TYPE(_),SET.NAME("_"))))</f>
        <v>0</v>
      </c>
      <c r="G617" s="2">
        <f>TYPE(INDEX(,STDEVP(#REF!,INDEX(1,),#REF!)))</f>
        <v>16</v>
      </c>
    </row>
    <row r="618" spans="1:7" x14ac:dyDescent="0.55000000000000004">
      <c r="A618" s="1" t="s">
        <v>1655</v>
      </c>
      <c r="B618" s="2">
        <f>COUNTIF(A:A,A618)-1</f>
        <v>3</v>
      </c>
      <c r="C618" s="2">
        <f>COUNTIF(A$1:A618,A618)-1</f>
        <v>3</v>
      </c>
      <c r="D618" s="2" t="e">
        <f>STDEVP(#REF!,#REF!,1)</f>
        <v>#REF!</v>
      </c>
      <c r="E618" s="2" t="b">
        <f>IFERROR(INDEX(ERROR(0),STDEVP(#REF!,#REF!,SET.NAME("_",+INDEX(1,)))),RETURN(INDEX(TYPE(_),SET.NAME("_"))))</f>
        <v>0</v>
      </c>
      <c r="F618" s="2" t="b">
        <f>IFERROR(INDEX(ERROR(0),STDEVP(#REF!,#REF!,INDIRECT(SET.NAME({1,"_"},)))),RETURN(INDEX(TYPE(_),SET.NAME("_"))))</f>
        <v>0</v>
      </c>
      <c r="G618" s="2">
        <f>TYPE(INDEX(,STDEVP(#REF!,#REF!,INDEX(1,))))</f>
        <v>16</v>
      </c>
    </row>
    <row r="619" spans="1:7" x14ac:dyDescent="0.55000000000000004">
      <c r="A619" s="1" t="s">
        <v>1656</v>
      </c>
      <c r="B619" s="2">
        <f>COUNTIF(A:A,A619)-1</f>
        <v>3</v>
      </c>
      <c r="C619" s="2">
        <f>COUNTIF(A$1:A619,A619)-1</f>
        <v>0</v>
      </c>
      <c r="D619" s="2"/>
      <c r="E619" s="2"/>
      <c r="F619" s="2"/>
      <c r="G619" s="2"/>
    </row>
    <row r="620" spans="1:7" x14ac:dyDescent="0.55000000000000004">
      <c r="A620" s="1" t="s">
        <v>1656</v>
      </c>
      <c r="B620" s="2">
        <f>COUNTIF(A:A,A620)-1</f>
        <v>3</v>
      </c>
      <c r="C620" s="2">
        <f>COUNTIF(A$1:A620,A620)-1</f>
        <v>1</v>
      </c>
      <c r="D620" s="2" t="e">
        <f>VARP(1,#REF!,#REF!)</f>
        <v>#REF!</v>
      </c>
      <c r="E620" s="2" t="b">
        <f>IFERROR(INDEX(ERROR(0),VARP(SET.NAME("_",+INDEX(1,)),#REF!,#REF!)),RETURN(INDEX(TYPE(_),SET.NAME("_"))))</f>
        <v>0</v>
      </c>
      <c r="F620" s="2" t="b">
        <f>IFERROR(INDEX(ERROR(0),VARP(INDIRECT(SET.NAME({1,"_"},)),#REF!,#REF!)),RETURN(INDEX(TYPE(_),SET.NAME("_"))))</f>
        <v>0</v>
      </c>
      <c r="G620" s="2">
        <f>TYPE(INDEX(,VARP(INDEX(1,),#REF!,#REF!)))</f>
        <v>16</v>
      </c>
    </row>
    <row r="621" spans="1:7" x14ac:dyDescent="0.55000000000000004">
      <c r="A621" s="1" t="s">
        <v>1656</v>
      </c>
      <c r="B621" s="2">
        <f>COUNTIF(A:A,A621)-1</f>
        <v>3</v>
      </c>
      <c r="C621" s="2">
        <f>COUNTIF(A$1:A621,A621)-1</f>
        <v>2</v>
      </c>
      <c r="D621" s="2" t="e">
        <f>VARP(#REF!,1,#REF!)</f>
        <v>#REF!</v>
      </c>
      <c r="E621" s="2" t="b">
        <f>IFERROR(INDEX(ERROR(0),VARP(#REF!,SET.NAME("_",+INDEX(1,)),#REF!)),RETURN(INDEX(TYPE(_),SET.NAME("_"))))</f>
        <v>0</v>
      </c>
      <c r="F621" s="2" t="b">
        <f>IFERROR(INDEX(ERROR(0),VARP(#REF!,INDIRECT(SET.NAME({1,"_"},)),#REF!)),RETURN(INDEX(TYPE(_),SET.NAME("_"))))</f>
        <v>0</v>
      </c>
      <c r="G621" s="2">
        <f>TYPE(INDEX(,VARP(#REF!,INDEX(1,),#REF!)))</f>
        <v>16</v>
      </c>
    </row>
    <row r="622" spans="1:7" x14ac:dyDescent="0.55000000000000004">
      <c r="A622" s="1" t="s">
        <v>1656</v>
      </c>
      <c r="B622" s="2">
        <f>COUNTIF(A:A,A622)-1</f>
        <v>3</v>
      </c>
      <c r="C622" s="2">
        <f>COUNTIF(A$1:A622,A622)-1</f>
        <v>3</v>
      </c>
      <c r="D622" s="2" t="e">
        <f>VARP(#REF!,#REF!,1)</f>
        <v>#REF!</v>
      </c>
      <c r="E622" s="2" t="b">
        <f>IFERROR(INDEX(ERROR(0),VARP(#REF!,#REF!,SET.NAME("_",+INDEX(1,)))),RETURN(INDEX(TYPE(_),SET.NAME("_"))))</f>
        <v>0</v>
      </c>
      <c r="F622" s="2" t="b">
        <f>IFERROR(INDEX(ERROR(0),VARP(#REF!,#REF!,INDIRECT(SET.NAME({1,"_"},)))),RETURN(INDEX(TYPE(_),SET.NAME("_"))))</f>
        <v>0</v>
      </c>
      <c r="G622" s="2">
        <f>TYPE(INDEX(,VARP(#REF!,#REF!,INDEX(1,))))</f>
        <v>16</v>
      </c>
    </row>
    <row r="623" spans="1:7" x14ac:dyDescent="0.55000000000000004">
      <c r="A623" s="1" t="s">
        <v>1657</v>
      </c>
      <c r="B623" s="2">
        <f>COUNTIF(A:A,A623)-1</f>
        <v>3</v>
      </c>
      <c r="C623" s="2">
        <f>COUNTIF(A$1:A623,A623)-1</f>
        <v>0</v>
      </c>
      <c r="D623" s="2"/>
      <c r="E623" s="2"/>
      <c r="F623" s="2"/>
      <c r="G623" s="2"/>
    </row>
    <row r="624" spans="1:7" x14ac:dyDescent="0.55000000000000004">
      <c r="A624" s="1" t="s">
        <v>1657</v>
      </c>
      <c r="B624" s="2">
        <f>COUNTIF(A:A,A624)-1</f>
        <v>3</v>
      </c>
      <c r="C624" s="2">
        <f>COUNTIF(A$1:A624,A624)-1</f>
        <v>1</v>
      </c>
      <c r="D624" s="2" t="s">
        <v>2281</v>
      </c>
      <c r="E624" s="2" t="s">
        <v>2219</v>
      </c>
      <c r="F624" s="2" t="b">
        <f>IFERROR(INDEX(ERROR(0),DSTDEVP(INDIRECT(SET.NAME({1,"_"},)),#REF!,#REF!)),RETURN(INDEX(TYPE(_),SET.NAME("_"))))</f>
        <v>0</v>
      </c>
      <c r="G624" s="2">
        <f>TYPE(INDEX(,DSTDEVP(INDEX(1,),#REF!,#REF!)))</f>
        <v>64</v>
      </c>
    </row>
    <row r="625" spans="1:7" x14ac:dyDescent="0.55000000000000004">
      <c r="A625" s="1" t="s">
        <v>1657</v>
      </c>
      <c r="B625" s="2">
        <f>COUNTIF(A:A,A625)-1</f>
        <v>3</v>
      </c>
      <c r="C625" s="2">
        <f>COUNTIF(A$1:A625,A625)-1</f>
        <v>2</v>
      </c>
      <c r="D625" s="2" t="e">
        <f>DSTDEVP(#REF!,1,#REF!)</f>
        <v>#REF!</v>
      </c>
      <c r="E625" s="2" t="b">
        <f>IFERROR(INDEX(ERROR(0),DSTDEVP(#REF!,SET.NAME("_",+INDEX(1,)),#REF!)),RETURN(INDEX(TYPE(_),SET.NAME("_"))))</f>
        <v>0</v>
      </c>
      <c r="F625" s="2" t="b">
        <f>IFERROR(INDEX(ERROR(0),DSTDEVP(#REF!,INDIRECT(SET.NAME({1,"_"},)),#REF!)),RETURN(INDEX(TYPE(_),SET.NAME("_"))))</f>
        <v>0</v>
      </c>
      <c r="G625" s="2">
        <f>TYPE(INDEX(,DSTDEVP(#REF!,INDEX(1,),#REF!)))</f>
        <v>64</v>
      </c>
    </row>
    <row r="626" spans="1:7" x14ac:dyDescent="0.55000000000000004">
      <c r="A626" s="1" t="s">
        <v>1657</v>
      </c>
      <c r="B626" s="2">
        <f>COUNTIF(A:A,A626)-1</f>
        <v>3</v>
      </c>
      <c r="C626" s="2">
        <f>COUNTIF(A$1:A626,A626)-1</f>
        <v>3</v>
      </c>
      <c r="D626" s="2" t="e">
        <f>DSTDEVP(#REF!,#REF!,1)</f>
        <v>#REF!</v>
      </c>
      <c r="E626" s="2" t="b">
        <f>IFERROR(INDEX(ERROR(0),DSTDEVP(#REF!,#REF!,SET.NAME("_",+INDEX(1,)))),RETURN(INDEX(TYPE(_),SET.NAME("_"))))</f>
        <v>0</v>
      </c>
      <c r="F626" s="2" t="b">
        <f>IFERROR(INDEX(ERROR(0),DSTDEVP(#REF!,#REF!,INDIRECT(SET.NAME({1,"_"},)))),RETURN(INDEX(TYPE(_),SET.NAME("_"))))</f>
        <v>0</v>
      </c>
      <c r="G626" s="2">
        <f>TYPE(INDEX(,DSTDEVP(#REF!,#REF!,INDEX(1,))))</f>
        <v>64</v>
      </c>
    </row>
    <row r="627" spans="1:7" x14ac:dyDescent="0.55000000000000004">
      <c r="A627" s="1" t="s">
        <v>1658</v>
      </c>
      <c r="B627" s="2">
        <f>COUNTIF(A:A,A627)-1</f>
        <v>3</v>
      </c>
      <c r="C627" s="2">
        <f>COUNTIF(A$1:A627,A627)-1</f>
        <v>0</v>
      </c>
      <c r="D627" s="2"/>
      <c r="E627" s="2"/>
      <c r="F627" s="2"/>
      <c r="G627" s="2"/>
    </row>
    <row r="628" spans="1:7" x14ac:dyDescent="0.55000000000000004">
      <c r="A628" s="1" t="s">
        <v>1658</v>
      </c>
      <c r="B628" s="2">
        <f>COUNTIF(A:A,A628)-1</f>
        <v>3</v>
      </c>
      <c r="C628" s="2">
        <f>COUNTIF(A$1:A628,A628)-1</f>
        <v>1</v>
      </c>
      <c r="D628" s="2" t="s">
        <v>2282</v>
      </c>
      <c r="E628" s="2" t="s">
        <v>2220</v>
      </c>
      <c r="F628" s="2" t="b">
        <f>IFERROR(INDEX(ERROR(0),DVARP(INDIRECT(SET.NAME({1,"_"},)),#REF!,#REF!)),RETURN(INDEX(TYPE(_),SET.NAME("_"))))</f>
        <v>0</v>
      </c>
      <c r="G628" s="2">
        <f>TYPE(INDEX(,DVARP(INDEX(1,),#REF!,#REF!)))</f>
        <v>64</v>
      </c>
    </row>
    <row r="629" spans="1:7" x14ac:dyDescent="0.55000000000000004">
      <c r="A629" s="1" t="s">
        <v>1658</v>
      </c>
      <c r="B629" s="2">
        <f>COUNTIF(A:A,A629)-1</f>
        <v>3</v>
      </c>
      <c r="C629" s="2">
        <f>COUNTIF(A$1:A629,A629)-1</f>
        <v>2</v>
      </c>
      <c r="D629" s="2" t="e">
        <f>DVARP(#REF!,1,#REF!)</f>
        <v>#REF!</v>
      </c>
      <c r="E629" s="2" t="b">
        <f>IFERROR(INDEX(ERROR(0),DVARP(#REF!,SET.NAME("_",+INDEX(1,)),#REF!)),RETURN(INDEX(TYPE(_),SET.NAME("_"))))</f>
        <v>0</v>
      </c>
      <c r="F629" s="2" t="b">
        <f>IFERROR(INDEX(ERROR(0),DVARP(#REF!,INDIRECT(SET.NAME({1,"_"},)),#REF!)),RETURN(INDEX(TYPE(_),SET.NAME("_"))))</f>
        <v>0</v>
      </c>
      <c r="G629" s="2">
        <f>TYPE(INDEX(,DVARP(#REF!,INDEX(1,),#REF!)))</f>
        <v>64</v>
      </c>
    </row>
    <row r="630" spans="1:7" x14ac:dyDescent="0.55000000000000004">
      <c r="A630" s="1" t="s">
        <v>1658</v>
      </c>
      <c r="B630" s="2">
        <f>COUNTIF(A:A,A630)-1</f>
        <v>3</v>
      </c>
      <c r="C630" s="2">
        <f>COUNTIF(A$1:A630,A630)-1</f>
        <v>3</v>
      </c>
      <c r="D630" s="2" t="e">
        <f>DVARP(#REF!,#REF!,1)</f>
        <v>#REF!</v>
      </c>
      <c r="E630" s="2" t="b">
        <f>IFERROR(INDEX(ERROR(0),DVARP(#REF!,#REF!,SET.NAME("_",+INDEX(1,)))),RETURN(INDEX(TYPE(_),SET.NAME("_"))))</f>
        <v>0</v>
      </c>
      <c r="F630" s="2" t="b">
        <f>IFERROR(INDEX(ERROR(0),DVARP(#REF!,#REF!,INDIRECT(SET.NAME({1,"_"},)))),RETURN(INDEX(TYPE(_),SET.NAME("_"))))</f>
        <v>0</v>
      </c>
      <c r="G630" s="2">
        <f>TYPE(INDEX(,DVARP(#REF!,#REF!,INDEX(1,))))</f>
        <v>64</v>
      </c>
    </row>
    <row r="631" spans="1:7" x14ac:dyDescent="0.55000000000000004">
      <c r="A631" s="1" t="s">
        <v>1659</v>
      </c>
      <c r="B631" s="2">
        <f>COUNTIF(A:A,A631)-1</f>
        <v>2</v>
      </c>
      <c r="C631" s="2">
        <f>COUNTIF(A$1:A631,A631)-1</f>
        <v>0</v>
      </c>
      <c r="D631" s="2"/>
      <c r="E631" s="2"/>
      <c r="F631" s="2"/>
      <c r="G631" s="2"/>
    </row>
    <row r="632" spans="1:7" x14ac:dyDescent="0.55000000000000004">
      <c r="A632" s="1" t="s">
        <v>1659</v>
      </c>
      <c r="B632" s="2">
        <f>COUNTIF(A:A,A632)-1</f>
        <v>2</v>
      </c>
      <c r="C632" s="2">
        <f>COUNTIF(A$1:A632,A632)-1</f>
        <v>1</v>
      </c>
      <c r="D632" s="2" t="e">
        <f>TRUNC(1,#REF!)</f>
        <v>#REF!</v>
      </c>
      <c r="E632" s="2" t="b">
        <f>IFERROR(INDEX(ERROR(0),TRUNC(SET.NAME("_",+INDEX(1,)),#REF!)),RETURN(INDEX(TYPE(_),SET.NAME("_"))))</f>
        <v>0</v>
      </c>
      <c r="F632" s="2" t="b">
        <f>IFERROR(INDEX(ERROR(0),TRUNC(INDIRECT(SET.NAME({1,"_"},)),#REF!)),RETURN(INDEX(TYPE(_),SET.NAME("_"))))</f>
        <v>0</v>
      </c>
      <c r="G632" s="2">
        <f>TYPE(INDEX(,TRUNC(INDEX(1,),#REF!)))</f>
        <v>16</v>
      </c>
    </row>
    <row r="633" spans="1:7" x14ac:dyDescent="0.55000000000000004">
      <c r="A633" s="1" t="s">
        <v>1659</v>
      </c>
      <c r="B633" s="2">
        <f>COUNTIF(A:A,A633)-1</f>
        <v>2</v>
      </c>
      <c r="C633" s="2">
        <f>COUNTIF(A$1:A633,A633)-1</f>
        <v>2</v>
      </c>
      <c r="D633" s="2" t="e">
        <f>TRUNC(#REF!,1)</f>
        <v>#REF!</v>
      </c>
      <c r="E633" s="2" t="b">
        <f>IFERROR(INDEX(ERROR(0),TRUNC(#REF!,SET.NAME("_",+INDEX(1,)))),RETURN(INDEX(TYPE(_),SET.NAME("_"))))</f>
        <v>0</v>
      </c>
      <c r="F633" s="2" t="b">
        <f>IFERROR(INDEX(ERROR(0),TRUNC(#REF!,INDIRECT(SET.NAME({1,"_"},)))),RETURN(INDEX(TYPE(_),SET.NAME("_"))))</f>
        <v>0</v>
      </c>
      <c r="G633" s="2">
        <f>TYPE(INDEX(,TRUNC(#REF!,INDEX(1,))))</f>
        <v>16</v>
      </c>
    </row>
    <row r="634" spans="1:7" x14ac:dyDescent="0.55000000000000004">
      <c r="A634" s="1" t="s">
        <v>1660</v>
      </c>
      <c r="B634" s="2">
        <f>COUNTIF(A:A,A634)-1</f>
        <v>1</v>
      </c>
      <c r="C634" s="2">
        <f>COUNTIF(A$1:A634,A634)-1</f>
        <v>0</v>
      </c>
      <c r="D634" s="2"/>
      <c r="E634" s="2"/>
      <c r="F634" s="2"/>
      <c r="G634" s="2"/>
    </row>
    <row r="635" spans="1:7" x14ac:dyDescent="0.55000000000000004">
      <c r="A635" s="1" t="s">
        <v>1660</v>
      </c>
      <c r="B635" s="2">
        <f>COUNTIF(A:A,A635)-1</f>
        <v>1</v>
      </c>
      <c r="C635" s="2">
        <f>COUNTIF(A$1:A635,A635)-1</f>
        <v>1</v>
      </c>
      <c r="D635" s="2" t="b">
        <f>ISLOGICAL(1)</f>
        <v>0</v>
      </c>
      <c r="E635" s="2" t="b">
        <f>IFERROR(INDEX(ERROR(0),ISLOGICAL(SET.NAME("_",+INDEX(1,)))),RETURN(INDEX(TYPE(_),SET.NAME("_"))))</f>
        <v>0</v>
      </c>
      <c r="F635" s="2" t="b">
        <f>IFERROR(INDEX(ERROR(0),ISLOGICAL(INDIRECT(SET.NAME({1,"_"},)))),RETURN(INDEX(TYPE(_),SET.NAME("_"))))</f>
        <v>0</v>
      </c>
      <c r="G635" s="2">
        <f>TYPE(INDEX(,ISLOGICAL(INDEX(1,))))</f>
        <v>16</v>
      </c>
    </row>
    <row r="636" spans="1:7" x14ac:dyDescent="0.55000000000000004">
      <c r="A636" s="1" t="s">
        <v>1661</v>
      </c>
      <c r="B636" s="2">
        <f>COUNTIF(A:A,A636)-1</f>
        <v>3</v>
      </c>
      <c r="C636" s="2">
        <f>COUNTIF(A$1:A636,A636)-1</f>
        <v>0</v>
      </c>
      <c r="D636" s="2"/>
      <c r="E636" s="2"/>
      <c r="F636" s="2"/>
      <c r="G636" s="2"/>
    </row>
    <row r="637" spans="1:7" x14ac:dyDescent="0.55000000000000004">
      <c r="A637" s="1" t="s">
        <v>1661</v>
      </c>
      <c r="B637" s="2">
        <f>COUNTIF(A:A,A637)-1</f>
        <v>3</v>
      </c>
      <c r="C637" s="2">
        <f>COUNTIF(A$1:A637,A637)-1</f>
        <v>1</v>
      </c>
      <c r="D637" s="2" t="s">
        <v>2283</v>
      </c>
      <c r="E637" s="2" t="s">
        <v>2221</v>
      </c>
      <c r="F637" s="2" t="b">
        <f>IFERROR(INDEX(ERROR(0),DCOUNTA(INDIRECT(SET.NAME({1,"_"},)),#REF!,#REF!)),RETURN(INDEX(TYPE(_),SET.NAME("_"))))</f>
        <v>0</v>
      </c>
      <c r="G637" s="2">
        <f>TYPE(INDEX(,DCOUNTA(INDEX(1,),#REF!,#REF!)))</f>
        <v>64</v>
      </c>
    </row>
    <row r="638" spans="1:7" x14ac:dyDescent="0.55000000000000004">
      <c r="A638" s="1" t="s">
        <v>1661</v>
      </c>
      <c r="B638" s="2">
        <f>COUNTIF(A:A,A638)-1</f>
        <v>3</v>
      </c>
      <c r="C638" s="2">
        <f>COUNTIF(A$1:A638,A638)-1</f>
        <v>2</v>
      </c>
      <c r="D638" s="2" t="e">
        <f>DCOUNTA(#REF!,1,#REF!)</f>
        <v>#REF!</v>
      </c>
      <c r="E638" s="2" t="b">
        <f>IFERROR(INDEX(ERROR(0),DCOUNTA(#REF!,SET.NAME("_",+INDEX(1,)),#REF!)),RETURN(INDEX(TYPE(_),SET.NAME("_"))))</f>
        <v>0</v>
      </c>
      <c r="F638" s="2" t="b">
        <f>IFERROR(INDEX(ERROR(0),DCOUNTA(#REF!,INDIRECT(SET.NAME({1,"_"},)),#REF!)),RETURN(INDEX(TYPE(_),SET.NAME("_"))))</f>
        <v>0</v>
      </c>
      <c r="G638" s="2">
        <f>TYPE(INDEX(,DCOUNTA(#REF!,INDEX(1,),#REF!)))</f>
        <v>64</v>
      </c>
    </row>
    <row r="639" spans="1:7" x14ac:dyDescent="0.55000000000000004">
      <c r="A639" s="1" t="s">
        <v>1661</v>
      </c>
      <c r="B639" s="2">
        <f>COUNTIF(A:A,A639)-1</f>
        <v>3</v>
      </c>
      <c r="C639" s="2">
        <f>COUNTIF(A$1:A639,A639)-1</f>
        <v>3</v>
      </c>
      <c r="D639" s="2" t="e">
        <f>DCOUNTA(#REF!,#REF!,1)</f>
        <v>#REF!</v>
      </c>
      <c r="E639" s="2" t="b">
        <f>IFERROR(INDEX(ERROR(0),DCOUNTA(#REF!,#REF!,SET.NAME("_",+INDEX(1,)))),RETURN(INDEX(TYPE(_),SET.NAME("_"))))</f>
        <v>0</v>
      </c>
      <c r="F639" s="2" t="b">
        <f>IFERROR(INDEX(ERROR(0),DCOUNTA(#REF!,#REF!,INDIRECT(SET.NAME({1,"_"},)))),RETURN(INDEX(TYPE(_),SET.NAME("_"))))</f>
        <v>0</v>
      </c>
      <c r="G639" s="2">
        <f>TYPE(INDEX(,DCOUNTA(#REF!,#REF!,INDEX(1,))))</f>
        <v>64</v>
      </c>
    </row>
    <row r="640" spans="1:7" x14ac:dyDescent="0.55000000000000004">
      <c r="A640" s="1" t="s">
        <v>1662</v>
      </c>
      <c r="B640" s="2">
        <f>COUNTIF(A:A,A640)-1</f>
        <v>1</v>
      </c>
      <c r="C640" s="2">
        <f>COUNTIF(A$1:A640,A640)-1</f>
        <v>0</v>
      </c>
      <c r="D640" s="2"/>
      <c r="E640" s="2"/>
      <c r="F640" s="2"/>
      <c r="G640" s="2"/>
    </row>
    <row r="641" spans="1:7" x14ac:dyDescent="0.55000000000000004">
      <c r="A641" s="1" t="s">
        <v>1662</v>
      </c>
      <c r="B641" s="2">
        <f>COUNTIF(A:A,A641)-1</f>
        <v>1</v>
      </c>
      <c r="C641" s="2">
        <f>COUNTIF(A$1:A641,A641)-1</f>
        <v>1</v>
      </c>
      <c r="D641" s="2" t="b">
        <f>DELETE.BAR(1)</f>
        <v>0</v>
      </c>
      <c r="E641" s="2" t="b">
        <f>IFERROR(INDEX(ERROR(0),DELETE.BAR(SET.NAME("_",+INDEX(1,)))),RETURN(INDEX(TYPE(_),SET.NAME("_"))))</f>
        <v>0</v>
      </c>
      <c r="F641" s="2" t="b">
        <f>IFERROR(INDEX(ERROR(0),DELETE.BAR(INDIRECT(SET.NAME({1,"_"},)))),RETURN(INDEX(TYPE(_),SET.NAME("_"))))</f>
        <v>0</v>
      </c>
      <c r="G641" s="2">
        <f>TYPE(INDEX(,DELETE.BAR(INDEX(1,))))</f>
        <v>16</v>
      </c>
    </row>
    <row r="642" spans="1:7" x14ac:dyDescent="0.55000000000000004">
      <c r="A642" s="1" t="s">
        <v>1663</v>
      </c>
      <c r="B642" s="2">
        <f>COUNTIF(A:A,A642)-1</f>
        <v>1</v>
      </c>
      <c r="C642" s="2">
        <f>COUNTIF(A$1:A642,A642)-1</f>
        <v>0</v>
      </c>
      <c r="D642" s="2"/>
      <c r="E642" s="2"/>
      <c r="F642" s="2"/>
      <c r="G642" s="2"/>
    </row>
    <row r="643" spans="1:7" x14ac:dyDescent="0.55000000000000004">
      <c r="A643" s="1" t="s">
        <v>1663</v>
      </c>
      <c r="B643" s="2">
        <f>COUNTIF(A:A,A643)-1</f>
        <v>1</v>
      </c>
      <c r="C643" s="2">
        <f>COUNTIF(A$1:A643,A643)-1</f>
        <v>1</v>
      </c>
      <c r="D643" s="2" t="b">
        <f>UNREGISTER(1)</f>
        <v>0</v>
      </c>
      <c r="E643" s="2" t="b">
        <f>IFERROR(INDEX(ERROR(0),UNREGISTER(SET.NAME("_",+INDEX(1,)))),RETURN(INDEX(TYPE(_),SET.NAME("_"))))</f>
        <v>0</v>
      </c>
      <c r="F643" s="2" t="b">
        <f>IFERROR(INDEX(ERROR(0),UNREGISTER(INDIRECT(SET.NAME({1,"_"},)))),RETURN(INDEX(TYPE(_),SET.NAME("_"))))</f>
        <v>0</v>
      </c>
      <c r="G643" s="2">
        <f>TYPE(INDEX(,UNREGISTER(INDEX(1,))))</f>
        <v>16</v>
      </c>
    </row>
    <row r="644" spans="1:7" x14ac:dyDescent="0.55000000000000004">
      <c r="A644" s="1" t="s">
        <v>1664</v>
      </c>
      <c r="B644" s="2">
        <f>COUNTIF(A:A,A644)-1</f>
        <v>2</v>
      </c>
      <c r="C644" s="2">
        <f>COUNTIF(A$1:A644,A644)-1</f>
        <v>0</v>
      </c>
      <c r="D644" s="2"/>
      <c r="E644" s="2"/>
      <c r="F644" s="2"/>
      <c r="G644" s="2"/>
    </row>
    <row r="645" spans="1:7" x14ac:dyDescent="0.55000000000000004">
      <c r="A645" s="1" t="s">
        <v>1664</v>
      </c>
      <c r="B645" s="2">
        <f>COUNTIF(A:A,A645)-1</f>
        <v>2</v>
      </c>
      <c r="C645" s="2">
        <f>COUNTIF(A$1:A645,A645)-1</f>
        <v>1</v>
      </c>
      <c r="D645" s="2" t="e">
        <f>USDOLLAR(1,#REF!)</f>
        <v>#REF!</v>
      </c>
      <c r="E645" s="2" t="b">
        <f>IFERROR(INDEX(ERROR(0),USDOLLAR(SET.NAME("_",+INDEX(1,)),#REF!)),RETURN(INDEX(TYPE(_),SET.NAME("_"))))</f>
        <v>0</v>
      </c>
      <c r="F645" s="2" t="b">
        <f>IFERROR(INDEX(ERROR(0),USDOLLAR(INDIRECT(SET.NAME({1,"_"},)),#REF!)),RETURN(INDEX(TYPE(_),SET.NAME("_"))))</f>
        <v>0</v>
      </c>
      <c r="G645" s="2">
        <f>TYPE(INDEX(,USDOLLAR(INDEX(1,),#REF!)))</f>
        <v>16</v>
      </c>
    </row>
    <row r="646" spans="1:7" x14ac:dyDescent="0.55000000000000004">
      <c r="A646" s="1" t="s">
        <v>1664</v>
      </c>
      <c r="B646" s="2">
        <f>COUNTIF(A:A,A646)-1</f>
        <v>2</v>
      </c>
      <c r="C646" s="2">
        <f>COUNTIF(A$1:A646,A646)-1</f>
        <v>2</v>
      </c>
      <c r="D646" s="2" t="e">
        <f>USDOLLAR(#REF!,1)</f>
        <v>#REF!</v>
      </c>
      <c r="E646" s="2" t="b">
        <f>IFERROR(INDEX(ERROR(0),USDOLLAR(#REF!,SET.NAME("_",+INDEX(1,)))),RETURN(INDEX(TYPE(_),SET.NAME("_"))))</f>
        <v>0</v>
      </c>
      <c r="F646" s="2" t="b">
        <f>IFERROR(INDEX(ERROR(0),USDOLLAR(#REF!,INDIRECT(SET.NAME({1,"_"},)))),RETURN(INDEX(TYPE(_),SET.NAME("_"))))</f>
        <v>0</v>
      </c>
      <c r="G646" s="2">
        <f>TYPE(INDEX(,USDOLLAR(#REF!,INDEX(1,))))</f>
        <v>16</v>
      </c>
    </row>
    <row r="647" spans="1:7" x14ac:dyDescent="0.55000000000000004">
      <c r="A647" s="1" t="s">
        <v>1665</v>
      </c>
      <c r="B647" s="2">
        <f>COUNTIF(A:A,A647)-1</f>
        <v>3</v>
      </c>
      <c r="C647" s="2">
        <f>COUNTIF(A$1:A647,A647)-1</f>
        <v>0</v>
      </c>
      <c r="D647" s="2"/>
      <c r="E647" s="2"/>
      <c r="F647" s="2"/>
      <c r="G647" s="2"/>
    </row>
    <row r="648" spans="1:7" x14ac:dyDescent="0.55000000000000004">
      <c r="A648" s="1" t="s">
        <v>1665</v>
      </c>
      <c r="B648" s="2">
        <f>COUNTIF(A:A,A648)-1</f>
        <v>3</v>
      </c>
      <c r="C648" s="2">
        <f>COUNTIF(A$1:A648,A648)-1</f>
        <v>1</v>
      </c>
      <c r="D648" s="2" t="e">
        <f>FINDB(1,#REF!,#REF!)</f>
        <v>#REF!</v>
      </c>
      <c r="E648" s="2" t="b">
        <f>IFERROR(INDEX(ERROR(0),FINDB(SET.NAME("_",+INDEX(1,)),#REF!,#REF!)),RETURN(INDEX(TYPE(_),SET.NAME("_"))))</f>
        <v>0</v>
      </c>
      <c r="F648" s="2" t="b">
        <f>IFERROR(INDEX(ERROR(0),FINDB(INDIRECT(SET.NAME({1,"_"},)),#REF!,#REF!)),RETURN(INDEX(TYPE(_),SET.NAME("_"))))</f>
        <v>0</v>
      </c>
      <c r="G648" s="2">
        <f>TYPE(INDEX(,FINDB(INDEX(1,),#REF!,#REF!)))</f>
        <v>16</v>
      </c>
    </row>
    <row r="649" spans="1:7" x14ac:dyDescent="0.55000000000000004">
      <c r="A649" s="1" t="s">
        <v>1665</v>
      </c>
      <c r="B649" s="2">
        <f>COUNTIF(A:A,A649)-1</f>
        <v>3</v>
      </c>
      <c r="C649" s="2">
        <f>COUNTIF(A$1:A649,A649)-1</f>
        <v>2</v>
      </c>
      <c r="D649" s="2" t="e">
        <f>FINDB(#REF!,1,#REF!)</f>
        <v>#REF!</v>
      </c>
      <c r="E649" s="2" t="b">
        <f>IFERROR(INDEX(ERROR(0),FINDB(#REF!,SET.NAME("_",+INDEX(1,)),#REF!)),RETURN(INDEX(TYPE(_),SET.NAME("_"))))</f>
        <v>0</v>
      </c>
      <c r="F649" s="2" t="b">
        <f>IFERROR(INDEX(ERROR(0),FINDB(#REF!,INDIRECT(SET.NAME({1,"_"},)),#REF!)),RETURN(INDEX(TYPE(_),SET.NAME("_"))))</f>
        <v>0</v>
      </c>
      <c r="G649" s="2">
        <f>TYPE(INDEX(,FINDB(#REF!,INDEX(1,),#REF!)))</f>
        <v>16</v>
      </c>
    </row>
    <row r="650" spans="1:7" x14ac:dyDescent="0.55000000000000004">
      <c r="A650" s="1" t="s">
        <v>1665</v>
      </c>
      <c r="B650" s="2">
        <f>COUNTIF(A:A,A650)-1</f>
        <v>3</v>
      </c>
      <c r="C650" s="2">
        <f>COUNTIF(A$1:A650,A650)-1</f>
        <v>3</v>
      </c>
      <c r="D650" s="2" t="e">
        <f>FINDB(#REF!,#REF!,1)</f>
        <v>#REF!</v>
      </c>
      <c r="E650" s="2" t="b">
        <f>IFERROR(INDEX(ERROR(0),FINDB(#REF!,#REF!,SET.NAME("_",+INDEX(1,)))),RETURN(INDEX(TYPE(_),SET.NAME("_"))))</f>
        <v>0</v>
      </c>
      <c r="F650" s="2" t="b">
        <f>IFERROR(INDEX(ERROR(0),FINDB(#REF!,#REF!,INDIRECT(SET.NAME({1,"_"},)))),RETURN(INDEX(TYPE(_),SET.NAME("_"))))</f>
        <v>0</v>
      </c>
      <c r="G650" s="2">
        <f>TYPE(INDEX(,FINDB(#REF!,#REF!,INDEX(1,))))</f>
        <v>16</v>
      </c>
    </row>
    <row r="651" spans="1:7" x14ac:dyDescent="0.55000000000000004">
      <c r="A651" s="1" t="s">
        <v>1666</v>
      </c>
      <c r="B651" s="2">
        <f>COUNTIF(A:A,A651)-1</f>
        <v>3</v>
      </c>
      <c r="C651" s="2">
        <f>COUNTIF(A$1:A651,A651)-1</f>
        <v>0</v>
      </c>
      <c r="D651" s="2"/>
      <c r="E651" s="2"/>
      <c r="F651" s="2"/>
      <c r="G651" s="2"/>
    </row>
    <row r="652" spans="1:7" x14ac:dyDescent="0.55000000000000004">
      <c r="A652" s="1" t="s">
        <v>1666</v>
      </c>
      <c r="B652" s="2">
        <f>COUNTIF(A:A,A652)-1</f>
        <v>3</v>
      </c>
      <c r="C652" s="2">
        <f>COUNTIF(A$1:A652,A652)-1</f>
        <v>1</v>
      </c>
      <c r="D652" s="2" t="e">
        <f>SEARCHB(1,#REF!,#REF!)</f>
        <v>#REF!</v>
      </c>
      <c r="E652" s="2" t="b">
        <f>IFERROR(INDEX(ERROR(0),SEARCHB(SET.NAME("_",+INDEX(1,)),#REF!,#REF!)),RETURN(INDEX(TYPE(_),SET.NAME("_"))))</f>
        <v>0</v>
      </c>
      <c r="F652" s="2" t="b">
        <f>IFERROR(INDEX(ERROR(0),SEARCHB(INDIRECT(SET.NAME({1,"_"},)),#REF!,#REF!)),RETURN(INDEX(TYPE(_),SET.NAME("_"))))</f>
        <v>0</v>
      </c>
      <c r="G652" s="2">
        <f>TYPE(INDEX(,SEARCHB(INDEX(1,),#REF!,#REF!)))</f>
        <v>16</v>
      </c>
    </row>
    <row r="653" spans="1:7" x14ac:dyDescent="0.55000000000000004">
      <c r="A653" s="1" t="s">
        <v>1666</v>
      </c>
      <c r="B653" s="2">
        <f>COUNTIF(A:A,A653)-1</f>
        <v>3</v>
      </c>
      <c r="C653" s="2">
        <f>COUNTIF(A$1:A653,A653)-1</f>
        <v>2</v>
      </c>
      <c r="D653" s="2" t="e">
        <f>SEARCHB(#REF!,1,#REF!)</f>
        <v>#REF!</v>
      </c>
      <c r="E653" s="2" t="b">
        <f>IFERROR(INDEX(ERROR(0),SEARCHB(#REF!,SET.NAME("_",+INDEX(1,)),#REF!)),RETURN(INDEX(TYPE(_),SET.NAME("_"))))</f>
        <v>0</v>
      </c>
      <c r="F653" s="2" t="b">
        <f>IFERROR(INDEX(ERROR(0),SEARCHB(#REF!,INDIRECT(SET.NAME({1,"_"},)),#REF!)),RETURN(INDEX(TYPE(_),SET.NAME("_"))))</f>
        <v>0</v>
      </c>
      <c r="G653" s="2">
        <f>TYPE(INDEX(,SEARCHB(#REF!,INDEX(1,),#REF!)))</f>
        <v>16</v>
      </c>
    </row>
    <row r="654" spans="1:7" x14ac:dyDescent="0.55000000000000004">
      <c r="A654" s="1" t="s">
        <v>1666</v>
      </c>
      <c r="B654" s="2">
        <f>COUNTIF(A:A,A654)-1</f>
        <v>3</v>
      </c>
      <c r="C654" s="2">
        <f>COUNTIF(A$1:A654,A654)-1</f>
        <v>3</v>
      </c>
      <c r="D654" s="2" t="e">
        <f>SEARCHB(#REF!,#REF!,1)</f>
        <v>#REF!</v>
      </c>
      <c r="E654" s="2" t="b">
        <f>IFERROR(INDEX(ERROR(0),SEARCHB(#REF!,#REF!,SET.NAME("_",+INDEX(1,)))),RETURN(INDEX(TYPE(_),SET.NAME("_"))))</f>
        <v>0</v>
      </c>
      <c r="F654" s="2" t="b">
        <f>IFERROR(INDEX(ERROR(0),SEARCHB(#REF!,#REF!,INDIRECT(SET.NAME({1,"_"},)))),RETURN(INDEX(TYPE(_),SET.NAME("_"))))</f>
        <v>0</v>
      </c>
      <c r="G654" s="2">
        <f>TYPE(INDEX(,SEARCHB(#REF!,#REF!,INDEX(1,))))</f>
        <v>16</v>
      </c>
    </row>
    <row r="655" spans="1:7" x14ac:dyDescent="0.55000000000000004">
      <c r="A655" s="1" t="s">
        <v>1667</v>
      </c>
      <c r="B655" s="2">
        <f>COUNTIF(A:A,A655)-1</f>
        <v>4</v>
      </c>
      <c r="C655" s="2">
        <f>COUNTIF(A$1:A655,A655)-1</f>
        <v>0</v>
      </c>
      <c r="D655" s="2"/>
      <c r="E655" s="2"/>
      <c r="F655" s="2"/>
      <c r="G655" s="2"/>
    </row>
    <row r="656" spans="1:7" x14ac:dyDescent="0.55000000000000004">
      <c r="A656" s="1" t="s">
        <v>1667</v>
      </c>
      <c r="B656" s="2">
        <f>COUNTIF(A:A,A656)-1</f>
        <v>4</v>
      </c>
      <c r="C656" s="2">
        <f>COUNTIF(A$1:A656,A656)-1</f>
        <v>1</v>
      </c>
      <c r="D656" s="2" t="e">
        <f>REPLACEB(1,#REF!,#REF!,#REF!)</f>
        <v>#REF!</v>
      </c>
      <c r="E656" s="2" t="b">
        <f>IFERROR(INDEX(ERROR(0),REPLACEB(SET.NAME("_",+INDEX(1,)),#REF!,#REF!,#REF!)),RETURN(INDEX(TYPE(_),SET.NAME("_"))))</f>
        <v>0</v>
      </c>
      <c r="F656" s="2" t="b">
        <f>IFERROR(INDEX(ERROR(0),REPLACEB(INDIRECT(SET.NAME({1,"_"},)),#REF!,#REF!,#REF!)),RETURN(INDEX(TYPE(_),SET.NAME("_"))))</f>
        <v>0</v>
      </c>
      <c r="G656" s="2">
        <f>TYPE(INDEX(,REPLACEB(INDEX(1,),#REF!,#REF!,#REF!)))</f>
        <v>16</v>
      </c>
    </row>
    <row r="657" spans="1:7" x14ac:dyDescent="0.55000000000000004">
      <c r="A657" s="1" t="s">
        <v>1667</v>
      </c>
      <c r="B657" s="2">
        <f>COUNTIF(A:A,A657)-1</f>
        <v>4</v>
      </c>
      <c r="C657" s="2">
        <f>COUNTIF(A$1:A657,A657)-1</f>
        <v>2</v>
      </c>
      <c r="D657" s="2" t="e">
        <f>REPLACEB(#REF!,1,#REF!,#REF!)</f>
        <v>#REF!</v>
      </c>
      <c r="E657" s="2" t="b">
        <f>IFERROR(INDEX(ERROR(0),REPLACEB(#REF!,SET.NAME("_",+INDEX(1,)),#REF!,#REF!)),RETURN(INDEX(TYPE(_),SET.NAME("_"))))</f>
        <v>0</v>
      </c>
      <c r="F657" s="2" t="b">
        <f>IFERROR(INDEX(ERROR(0),REPLACEB(#REF!,INDIRECT(SET.NAME({1,"_"},)),#REF!,#REF!)),RETURN(INDEX(TYPE(_),SET.NAME("_"))))</f>
        <v>0</v>
      </c>
      <c r="G657" s="2">
        <f>TYPE(INDEX(,REPLACEB(#REF!,INDEX(1,),#REF!,#REF!)))</f>
        <v>16</v>
      </c>
    </row>
    <row r="658" spans="1:7" x14ac:dyDescent="0.55000000000000004">
      <c r="A658" s="1" t="s">
        <v>1667</v>
      </c>
      <c r="B658" s="2">
        <f>COUNTIF(A:A,A658)-1</f>
        <v>4</v>
      </c>
      <c r="C658" s="2">
        <f>COUNTIF(A$1:A658,A658)-1</f>
        <v>3</v>
      </c>
      <c r="D658" s="2" t="e">
        <f>REPLACEB(#REF!,#REF!,1,#REF!)</f>
        <v>#REF!</v>
      </c>
      <c r="E658" s="2" t="b">
        <f>IFERROR(INDEX(ERROR(0),REPLACEB(#REF!,#REF!,SET.NAME("_",+INDEX(1,)),#REF!)),RETURN(INDEX(TYPE(_),SET.NAME("_"))))</f>
        <v>0</v>
      </c>
      <c r="F658" s="2" t="b">
        <f>IFERROR(INDEX(ERROR(0),REPLACEB(#REF!,#REF!,INDIRECT(SET.NAME({1,"_"},)),#REF!)),RETURN(INDEX(TYPE(_),SET.NAME("_"))))</f>
        <v>0</v>
      </c>
      <c r="G658" s="2">
        <f>TYPE(INDEX(,REPLACEB(#REF!,#REF!,INDEX(1,),#REF!)))</f>
        <v>16</v>
      </c>
    </row>
    <row r="659" spans="1:7" x14ac:dyDescent="0.55000000000000004">
      <c r="A659" s="1" t="s">
        <v>1667</v>
      </c>
      <c r="B659" s="2">
        <f>COUNTIF(A:A,A659)-1</f>
        <v>4</v>
      </c>
      <c r="C659" s="2">
        <f>COUNTIF(A$1:A659,A659)-1</f>
        <v>4</v>
      </c>
      <c r="D659" s="2" t="e">
        <f>REPLACEB(#REF!,#REF!,#REF!,1)</f>
        <v>#REF!</v>
      </c>
      <c r="E659" s="2" t="b">
        <f>IFERROR(INDEX(ERROR(0),REPLACEB(#REF!,#REF!,#REF!,SET.NAME("_",+INDEX(1,)))),RETURN(INDEX(TYPE(_),SET.NAME("_"))))</f>
        <v>0</v>
      </c>
      <c r="F659" s="2" t="b">
        <f>IFERROR(INDEX(ERROR(0),REPLACEB(#REF!,#REF!,#REF!,INDIRECT(SET.NAME({1,"_"},)))),RETURN(INDEX(TYPE(_),SET.NAME("_"))))</f>
        <v>0</v>
      </c>
      <c r="G659" s="2">
        <f>TYPE(INDEX(,REPLACEB(#REF!,#REF!,#REF!,INDEX(1,))))</f>
        <v>16</v>
      </c>
    </row>
    <row r="660" spans="1:7" x14ac:dyDescent="0.55000000000000004">
      <c r="A660" s="1" t="s">
        <v>1668</v>
      </c>
      <c r="B660" s="2">
        <f>COUNTIF(A:A,A660)-1</f>
        <v>2</v>
      </c>
      <c r="C660" s="2">
        <f>COUNTIF(A$1:A660,A660)-1</f>
        <v>0</v>
      </c>
      <c r="D660" s="2"/>
      <c r="E660" s="2"/>
      <c r="F660" s="2"/>
      <c r="G660" s="2"/>
    </row>
    <row r="661" spans="1:7" x14ac:dyDescent="0.55000000000000004">
      <c r="A661" s="1" t="s">
        <v>1668</v>
      </c>
      <c r="B661" s="2">
        <f>COUNTIF(A:A,A661)-1</f>
        <v>2</v>
      </c>
      <c r="C661" s="2">
        <f>COUNTIF(A$1:A661,A661)-1</f>
        <v>1</v>
      </c>
      <c r="D661" s="2" t="e">
        <f>LEFTB(1,#REF!)</f>
        <v>#REF!</v>
      </c>
      <c r="E661" s="2" t="b">
        <f>IFERROR(INDEX(ERROR(0),LEFTB(SET.NAME("_",+INDEX(1,)),#REF!)),RETURN(INDEX(TYPE(_),SET.NAME("_"))))</f>
        <v>0</v>
      </c>
      <c r="F661" s="2" t="b">
        <f>IFERROR(INDEX(ERROR(0),LEFTB(INDIRECT(SET.NAME({1,"_"},)),#REF!)),RETURN(INDEX(TYPE(_),SET.NAME("_"))))</f>
        <v>0</v>
      </c>
      <c r="G661" s="2">
        <f>TYPE(INDEX(,LEFTB(INDEX(1,),#REF!)))</f>
        <v>16</v>
      </c>
    </row>
    <row r="662" spans="1:7" x14ac:dyDescent="0.55000000000000004">
      <c r="A662" s="1" t="s">
        <v>1668</v>
      </c>
      <c r="B662" s="2">
        <f>COUNTIF(A:A,A662)-1</f>
        <v>2</v>
      </c>
      <c r="C662" s="2">
        <f>COUNTIF(A$1:A662,A662)-1</f>
        <v>2</v>
      </c>
      <c r="D662" s="2" t="e">
        <f>LEFTB(#REF!,1)</f>
        <v>#REF!</v>
      </c>
      <c r="E662" s="2" t="b">
        <f>IFERROR(INDEX(ERROR(0),LEFTB(#REF!,SET.NAME("_",+INDEX(1,)))),RETURN(INDEX(TYPE(_),SET.NAME("_"))))</f>
        <v>0</v>
      </c>
      <c r="F662" s="2" t="b">
        <f>IFERROR(INDEX(ERROR(0),LEFTB(#REF!,INDIRECT(SET.NAME({1,"_"},)))),RETURN(INDEX(TYPE(_),SET.NAME("_"))))</f>
        <v>0</v>
      </c>
      <c r="G662" s="2">
        <f>TYPE(INDEX(,LEFTB(#REF!,INDEX(1,))))</f>
        <v>16</v>
      </c>
    </row>
    <row r="663" spans="1:7" x14ac:dyDescent="0.55000000000000004">
      <c r="A663" s="1" t="s">
        <v>1669</v>
      </c>
      <c r="B663" s="2">
        <f>COUNTIF(A:A,A663)-1</f>
        <v>2</v>
      </c>
      <c r="C663" s="2">
        <f>COUNTIF(A$1:A663,A663)-1</f>
        <v>0</v>
      </c>
      <c r="D663" s="2"/>
      <c r="E663" s="2"/>
      <c r="F663" s="2"/>
      <c r="G663" s="2"/>
    </row>
    <row r="664" spans="1:7" x14ac:dyDescent="0.55000000000000004">
      <c r="A664" s="1" t="s">
        <v>1669</v>
      </c>
      <c r="B664" s="2">
        <f>COUNTIF(A:A,A664)-1</f>
        <v>2</v>
      </c>
      <c r="C664" s="2">
        <f>COUNTIF(A$1:A664,A664)-1</f>
        <v>1</v>
      </c>
      <c r="D664" s="2" t="e">
        <f>RIGHTB(1,#REF!)</f>
        <v>#REF!</v>
      </c>
      <c r="E664" s="2" t="b">
        <f>IFERROR(INDEX(ERROR(0),RIGHTB(SET.NAME("_",+INDEX(1,)),#REF!)),RETURN(INDEX(TYPE(_),SET.NAME("_"))))</f>
        <v>0</v>
      </c>
      <c r="F664" s="2" t="b">
        <f>IFERROR(INDEX(ERROR(0),RIGHTB(INDIRECT(SET.NAME({1,"_"},)),#REF!)),RETURN(INDEX(TYPE(_),SET.NAME("_"))))</f>
        <v>0</v>
      </c>
      <c r="G664" s="2">
        <f>TYPE(INDEX(,RIGHTB(INDEX(1,),#REF!)))</f>
        <v>16</v>
      </c>
    </row>
    <row r="665" spans="1:7" x14ac:dyDescent="0.55000000000000004">
      <c r="A665" s="1" t="s">
        <v>1669</v>
      </c>
      <c r="B665" s="2">
        <f>COUNTIF(A:A,A665)-1</f>
        <v>2</v>
      </c>
      <c r="C665" s="2">
        <f>COUNTIF(A$1:A665,A665)-1</f>
        <v>2</v>
      </c>
      <c r="D665" s="2" t="e">
        <f>RIGHTB(#REF!,1)</f>
        <v>#REF!</v>
      </c>
      <c r="E665" s="2" t="b">
        <f>IFERROR(INDEX(ERROR(0),RIGHTB(#REF!,SET.NAME("_",+INDEX(1,)))),RETURN(INDEX(TYPE(_),SET.NAME("_"))))</f>
        <v>0</v>
      </c>
      <c r="F665" s="2" t="b">
        <f>IFERROR(INDEX(ERROR(0),RIGHTB(#REF!,INDIRECT(SET.NAME({1,"_"},)))),RETURN(INDEX(TYPE(_),SET.NAME("_"))))</f>
        <v>0</v>
      </c>
      <c r="G665" s="2">
        <f>TYPE(INDEX(,RIGHTB(#REF!,INDEX(1,))))</f>
        <v>16</v>
      </c>
    </row>
    <row r="666" spans="1:7" x14ac:dyDescent="0.55000000000000004">
      <c r="A666" s="1" t="s">
        <v>1670</v>
      </c>
      <c r="B666" s="2">
        <f>COUNTIF(A:A,A666)-1</f>
        <v>3</v>
      </c>
      <c r="C666" s="2">
        <f>COUNTIF(A$1:A666,A666)-1</f>
        <v>0</v>
      </c>
      <c r="D666" s="2"/>
      <c r="E666" s="2"/>
      <c r="F666" s="2"/>
      <c r="G666" s="2"/>
    </row>
    <row r="667" spans="1:7" x14ac:dyDescent="0.55000000000000004">
      <c r="A667" s="1" t="s">
        <v>1670</v>
      </c>
      <c r="B667" s="2">
        <f>COUNTIF(A:A,A667)-1</f>
        <v>3</v>
      </c>
      <c r="C667" s="2">
        <f>COUNTIF(A$1:A667,A667)-1</f>
        <v>1</v>
      </c>
      <c r="D667" s="2" t="e">
        <f>MIDB(1,#REF!,#REF!)</f>
        <v>#REF!</v>
      </c>
      <c r="E667" s="2" t="b">
        <f>IFERROR(INDEX(ERROR(0),MIDB(SET.NAME("_",+INDEX(1,)),#REF!,#REF!)),RETURN(INDEX(TYPE(_),SET.NAME("_"))))</f>
        <v>0</v>
      </c>
      <c r="F667" s="2" t="b">
        <f>IFERROR(INDEX(ERROR(0),MIDB(INDIRECT(SET.NAME({1,"_"},)),#REF!,#REF!)),RETURN(INDEX(TYPE(_),SET.NAME("_"))))</f>
        <v>0</v>
      </c>
      <c r="G667" s="2">
        <f>TYPE(INDEX(,MIDB(INDEX(1,),#REF!,#REF!)))</f>
        <v>16</v>
      </c>
    </row>
    <row r="668" spans="1:7" x14ac:dyDescent="0.55000000000000004">
      <c r="A668" s="1" t="s">
        <v>1670</v>
      </c>
      <c r="B668" s="2">
        <f>COUNTIF(A:A,A668)-1</f>
        <v>3</v>
      </c>
      <c r="C668" s="2">
        <f>COUNTIF(A$1:A668,A668)-1</f>
        <v>2</v>
      </c>
      <c r="D668" s="2" t="e">
        <f>MIDB(#REF!,1,#REF!)</f>
        <v>#REF!</v>
      </c>
      <c r="E668" s="2" t="b">
        <f>IFERROR(INDEX(ERROR(0),MIDB(#REF!,SET.NAME("_",+INDEX(1,)),#REF!)),RETURN(INDEX(TYPE(_),SET.NAME("_"))))</f>
        <v>0</v>
      </c>
      <c r="F668" s="2" t="b">
        <f>IFERROR(INDEX(ERROR(0),MIDB(#REF!,INDIRECT(SET.NAME({1,"_"},)),#REF!)),RETURN(INDEX(TYPE(_),SET.NAME("_"))))</f>
        <v>0</v>
      </c>
      <c r="G668" s="2">
        <f>TYPE(INDEX(,MIDB(#REF!,INDEX(1,),#REF!)))</f>
        <v>16</v>
      </c>
    </row>
    <row r="669" spans="1:7" x14ac:dyDescent="0.55000000000000004">
      <c r="A669" s="1" t="s">
        <v>1670</v>
      </c>
      <c r="B669" s="2">
        <f>COUNTIF(A:A,A669)-1</f>
        <v>3</v>
      </c>
      <c r="C669" s="2">
        <f>COUNTIF(A$1:A669,A669)-1</f>
        <v>3</v>
      </c>
      <c r="D669" s="2" t="e">
        <f>MIDB(#REF!,#REF!,1)</f>
        <v>#REF!</v>
      </c>
      <c r="E669" s="2" t="b">
        <f>IFERROR(INDEX(ERROR(0),MIDB(#REF!,#REF!,SET.NAME("_",+INDEX(1,)))),RETURN(INDEX(TYPE(_),SET.NAME("_"))))</f>
        <v>0</v>
      </c>
      <c r="F669" s="2" t="b">
        <f>IFERROR(INDEX(ERROR(0),MIDB(#REF!,#REF!,INDIRECT(SET.NAME({1,"_"},)))),RETURN(INDEX(TYPE(_),SET.NAME("_"))))</f>
        <v>0</v>
      </c>
      <c r="G669" s="2">
        <f>TYPE(INDEX(,MIDB(#REF!,#REF!,INDEX(1,))))</f>
        <v>16</v>
      </c>
    </row>
    <row r="670" spans="1:7" x14ac:dyDescent="0.55000000000000004">
      <c r="A670" s="1" t="s">
        <v>1671</v>
      </c>
      <c r="B670" s="2">
        <f>COUNTIF(A:A,A670)-1</f>
        <v>1</v>
      </c>
      <c r="C670" s="2">
        <f>COUNTIF(A$1:A670,A670)-1</f>
        <v>0</v>
      </c>
      <c r="D670" s="2"/>
      <c r="E670" s="2"/>
      <c r="F670" s="2"/>
      <c r="G670" s="2"/>
    </row>
    <row r="671" spans="1:7" x14ac:dyDescent="0.55000000000000004">
      <c r="A671" s="1" t="s">
        <v>1671</v>
      </c>
      <c r="B671" s="2">
        <f>COUNTIF(A:A,A671)-1</f>
        <v>1</v>
      </c>
      <c r="C671" s="2">
        <f>COUNTIF(A$1:A671,A671)-1</f>
        <v>1</v>
      </c>
      <c r="D671" s="2">
        <f>LENB(1)</f>
        <v>1</v>
      </c>
      <c r="E671" s="2" t="b">
        <f>IFERROR(INDEX(ERROR(0),LENB(SET.NAME("_",+INDEX(1,)))),RETURN(INDEX(TYPE(_),SET.NAME("_"))))</f>
        <v>0</v>
      </c>
      <c r="F671" s="2" t="b">
        <f>IFERROR(INDEX(ERROR(0),LENB(INDIRECT(SET.NAME({1,"_"},)))),RETURN(INDEX(TYPE(_),SET.NAME("_"))))</f>
        <v>0</v>
      </c>
      <c r="G671" s="2">
        <f>TYPE(INDEX(,LENB(INDEX(1,))))</f>
        <v>16</v>
      </c>
    </row>
    <row r="672" spans="1:7" x14ac:dyDescent="0.55000000000000004">
      <c r="A672" s="1" t="s">
        <v>1672</v>
      </c>
      <c r="B672" s="2">
        <f>COUNTIF(A:A,A672)-1</f>
        <v>2</v>
      </c>
      <c r="C672" s="2">
        <f>COUNTIF(A$1:A672,A672)-1</f>
        <v>0</v>
      </c>
      <c r="D672" s="2"/>
      <c r="E672" s="2"/>
      <c r="F672" s="2"/>
      <c r="G672" s="2"/>
    </row>
    <row r="673" spans="1:7" x14ac:dyDescent="0.55000000000000004">
      <c r="A673" s="1" t="s">
        <v>1672</v>
      </c>
      <c r="B673" s="2">
        <f>COUNTIF(A:A,A673)-1</f>
        <v>2</v>
      </c>
      <c r="C673" s="2">
        <f>COUNTIF(A$1:A673,A673)-1</f>
        <v>1</v>
      </c>
      <c r="D673" s="2" t="e">
        <f>ROUNDUP(1,#REF!)</f>
        <v>#REF!</v>
      </c>
      <c r="E673" s="2" t="b">
        <f>IFERROR(INDEX(ERROR(0),ROUNDUP(SET.NAME("_",+INDEX(1,)),#REF!)),RETURN(INDEX(TYPE(_),SET.NAME("_"))))</f>
        <v>0</v>
      </c>
      <c r="F673" s="2" t="b">
        <f>IFERROR(INDEX(ERROR(0),ROUNDUP(INDIRECT(SET.NAME({1,"_"},)),#REF!)),RETURN(INDEX(TYPE(_),SET.NAME("_"))))</f>
        <v>0</v>
      </c>
      <c r="G673" s="2">
        <f>TYPE(INDEX(,ROUNDUP(INDEX(1,),#REF!)))</f>
        <v>16</v>
      </c>
    </row>
    <row r="674" spans="1:7" x14ac:dyDescent="0.55000000000000004">
      <c r="A674" s="1" t="s">
        <v>1672</v>
      </c>
      <c r="B674" s="2">
        <f>COUNTIF(A:A,A674)-1</f>
        <v>2</v>
      </c>
      <c r="C674" s="2">
        <f>COUNTIF(A$1:A674,A674)-1</f>
        <v>2</v>
      </c>
      <c r="D674" s="2" t="e">
        <f>ROUNDUP(#REF!,1)</f>
        <v>#REF!</v>
      </c>
      <c r="E674" s="2" t="b">
        <f>IFERROR(INDEX(ERROR(0),ROUNDUP(#REF!,SET.NAME("_",+INDEX(1,)))),RETURN(INDEX(TYPE(_),SET.NAME("_"))))</f>
        <v>0</v>
      </c>
      <c r="F674" s="2" t="b">
        <f>IFERROR(INDEX(ERROR(0),ROUNDUP(#REF!,INDIRECT(SET.NAME({1,"_"},)))),RETURN(INDEX(TYPE(_),SET.NAME("_"))))</f>
        <v>0</v>
      </c>
      <c r="G674" s="2">
        <f>TYPE(INDEX(,ROUNDUP(#REF!,INDEX(1,))))</f>
        <v>16</v>
      </c>
    </row>
    <row r="675" spans="1:7" x14ac:dyDescent="0.55000000000000004">
      <c r="A675" s="1" t="s">
        <v>1673</v>
      </c>
      <c r="B675" s="2">
        <f>COUNTIF(A:A,A675)-1</f>
        <v>2</v>
      </c>
      <c r="C675" s="2">
        <f>COUNTIF(A$1:A675,A675)-1</f>
        <v>0</v>
      </c>
      <c r="D675" s="2"/>
      <c r="E675" s="2"/>
      <c r="F675" s="2"/>
      <c r="G675" s="2"/>
    </row>
    <row r="676" spans="1:7" x14ac:dyDescent="0.55000000000000004">
      <c r="A676" s="1" t="s">
        <v>1673</v>
      </c>
      <c r="B676" s="2">
        <f>COUNTIF(A:A,A676)-1</f>
        <v>2</v>
      </c>
      <c r="C676" s="2">
        <f>COUNTIF(A$1:A676,A676)-1</f>
        <v>1</v>
      </c>
      <c r="D676" s="2" t="e">
        <f>ROUNDDOWN(1,#REF!)</f>
        <v>#REF!</v>
      </c>
      <c r="E676" s="2" t="b">
        <f>IFERROR(INDEX(ERROR(0),ROUNDDOWN(SET.NAME("_",+INDEX(1,)),#REF!)),RETURN(INDEX(TYPE(_),SET.NAME("_"))))</f>
        <v>0</v>
      </c>
      <c r="F676" s="2" t="b">
        <f>IFERROR(INDEX(ERROR(0),ROUNDDOWN(INDIRECT(SET.NAME({1,"_"},)),#REF!)),RETURN(INDEX(TYPE(_),SET.NAME("_"))))</f>
        <v>0</v>
      </c>
      <c r="G676" s="2">
        <f>TYPE(INDEX(,ROUNDDOWN(INDEX(1,),#REF!)))</f>
        <v>16</v>
      </c>
    </row>
    <row r="677" spans="1:7" x14ac:dyDescent="0.55000000000000004">
      <c r="A677" s="1" t="s">
        <v>1673</v>
      </c>
      <c r="B677" s="2">
        <f>COUNTIF(A:A,A677)-1</f>
        <v>2</v>
      </c>
      <c r="C677" s="2">
        <f>COUNTIF(A$1:A677,A677)-1</f>
        <v>2</v>
      </c>
      <c r="D677" s="2" t="e">
        <f>ROUNDDOWN(#REF!,1)</f>
        <v>#REF!</v>
      </c>
      <c r="E677" s="2" t="b">
        <f>IFERROR(INDEX(ERROR(0),ROUNDDOWN(#REF!,SET.NAME("_",+INDEX(1,)))),RETURN(INDEX(TYPE(_),SET.NAME("_"))))</f>
        <v>0</v>
      </c>
      <c r="F677" s="2" t="b">
        <f>IFERROR(INDEX(ERROR(0),ROUNDDOWN(#REF!,INDIRECT(SET.NAME({1,"_"},)))),RETURN(INDEX(TYPE(_),SET.NAME("_"))))</f>
        <v>0</v>
      </c>
      <c r="G677" s="2">
        <f>TYPE(INDEX(,ROUNDDOWN(#REF!,INDEX(1,))))</f>
        <v>16</v>
      </c>
    </row>
    <row r="678" spans="1:7" x14ac:dyDescent="0.55000000000000004">
      <c r="A678" s="1" t="s">
        <v>1674</v>
      </c>
      <c r="B678" s="2">
        <f>COUNTIF(A:A,A678)-1</f>
        <v>1</v>
      </c>
      <c r="C678" s="2">
        <f>COUNTIF(A$1:A678,A678)-1</f>
        <v>0</v>
      </c>
      <c r="D678" s="2"/>
      <c r="E678" s="2"/>
      <c r="F678" s="2"/>
      <c r="G678" s="2"/>
    </row>
    <row r="679" spans="1:7" x14ac:dyDescent="0.55000000000000004">
      <c r="A679" s="1" t="s">
        <v>1674</v>
      </c>
      <c r="B679" s="2">
        <f>COUNTIF(A:A,A679)-1</f>
        <v>1</v>
      </c>
      <c r="C679" s="2">
        <f>COUNTIF(A$1:A679,A679)-1</f>
        <v>1</v>
      </c>
      <c r="D679" s="2" t="str">
        <f>ASC(1)</f>
        <v>1</v>
      </c>
      <c r="E679" s="2" t="b">
        <f>IFERROR(INDEX(ERROR(0),ASC(SET.NAME("_",+INDEX(1,)))),RETURN(INDEX(TYPE(_),SET.NAME("_"))))</f>
        <v>0</v>
      </c>
      <c r="F679" s="2" t="b">
        <f>IFERROR(INDEX(ERROR(0),ASC(INDIRECT(SET.NAME({1,"_"},)))),RETURN(INDEX(TYPE(_),SET.NAME("_"))))</f>
        <v>0</v>
      </c>
      <c r="G679" s="2">
        <f>TYPE(INDEX(,ASC(INDEX(1,))))</f>
        <v>16</v>
      </c>
    </row>
    <row r="680" spans="1:7" x14ac:dyDescent="0.55000000000000004">
      <c r="A680" s="1" t="s">
        <v>1675</v>
      </c>
      <c r="B680" s="2">
        <f>COUNTIF(A:A,A680)-1</f>
        <v>1</v>
      </c>
      <c r="C680" s="2">
        <f>COUNTIF(A$1:A680,A680)-1</f>
        <v>0</v>
      </c>
      <c r="D680" s="2"/>
      <c r="E680" s="2"/>
      <c r="F680" s="2"/>
      <c r="G680" s="2"/>
    </row>
    <row r="681" spans="1:7" x14ac:dyDescent="0.55000000000000004">
      <c r="A681" s="1" t="s">
        <v>1675</v>
      </c>
      <c r="B681" s="2">
        <f>COUNTIF(A:A,A681)-1</f>
        <v>1</v>
      </c>
      <c r="C681" s="2">
        <f>COUNTIF(A$1:A681,A681)-1</f>
        <v>1</v>
      </c>
      <c r="D681" s="2" t="str">
        <f>DBCS(1)</f>
        <v>1</v>
      </c>
      <c r="E681" s="2" t="b">
        <f>IFERROR(INDEX(ERROR(0),DBCS(SET.NAME("_",+INDEX(1,)))),RETURN(INDEX(TYPE(_),SET.NAME("_"))))</f>
        <v>0</v>
      </c>
      <c r="F681" s="2" t="b">
        <f>IFERROR(INDEX(ERROR(0),DBCS(INDIRECT(SET.NAME({1,"_"},)))),RETURN(INDEX(TYPE(_),SET.NAME("_"))))</f>
        <v>0</v>
      </c>
      <c r="G681" s="2">
        <f>TYPE(INDEX(,DBCS(INDEX(1,))))</f>
        <v>16</v>
      </c>
    </row>
    <row r="682" spans="1:7" x14ac:dyDescent="0.55000000000000004">
      <c r="A682" s="1" t="s">
        <v>1676</v>
      </c>
      <c r="B682" s="2">
        <f>COUNTIF(A:A,A682)-1</f>
        <v>3</v>
      </c>
      <c r="C682" s="2">
        <f>COUNTIF(A$1:A682,A682)-1</f>
        <v>0</v>
      </c>
      <c r="D682" s="2"/>
      <c r="E682" s="2"/>
      <c r="F682" s="2"/>
      <c r="G682" s="2"/>
    </row>
    <row r="683" spans="1:7" x14ac:dyDescent="0.55000000000000004">
      <c r="A683" s="1" t="s">
        <v>1676</v>
      </c>
      <c r="B683" s="2">
        <f>COUNTIF(A:A,A683)-1</f>
        <v>3</v>
      </c>
      <c r="C683" s="2">
        <f>COUNTIF(A$1:A683,A683)-1</f>
        <v>1</v>
      </c>
      <c r="D683" s="2" t="e">
        <f>RANK(1,#REF!,#REF!)</f>
        <v>#REF!</v>
      </c>
      <c r="E683" s="2" t="b">
        <f>IFERROR(INDEX(ERROR(0),RANK(SET.NAME("_",+INDEX(1,)),#REF!,#REF!)),RETURN(INDEX(TYPE(_),SET.NAME("_"))))</f>
        <v>0</v>
      </c>
      <c r="F683" s="2" t="b">
        <f>IFERROR(INDEX(ERROR(0),RANK(INDIRECT(SET.NAME({1,"_"},)),#REF!,#REF!)),RETURN(INDEX(TYPE(_),SET.NAME("_"))))</f>
        <v>0</v>
      </c>
      <c r="G683" s="2">
        <f>TYPE(INDEX(,RANK(INDEX(1,),#REF!,#REF!)))</f>
        <v>16</v>
      </c>
    </row>
    <row r="684" spans="1:7" x14ac:dyDescent="0.55000000000000004">
      <c r="A684" s="1" t="s">
        <v>1676</v>
      </c>
      <c r="B684" s="2">
        <f>COUNTIF(A:A,A684)-1</f>
        <v>3</v>
      </c>
      <c r="C684" s="2">
        <f>COUNTIF(A$1:A684,A684)-1</f>
        <v>2</v>
      </c>
      <c r="D684" s="2" t="s">
        <v>2284</v>
      </c>
      <c r="E684" s="2" t="s">
        <v>2222</v>
      </c>
      <c r="F684" s="2" t="b">
        <f>IFERROR(INDEX(ERROR(0),RANK(#REF!,INDIRECT(SET.NAME({1,"_"},)),#REF!)),RETURN(INDEX(TYPE(_),SET.NAME("_"))))</f>
        <v>0</v>
      </c>
      <c r="G684" s="2">
        <f>TYPE(INDEX(,RANK(#REF!,INDEX(1,),#REF!)))</f>
        <v>64</v>
      </c>
    </row>
    <row r="685" spans="1:7" x14ac:dyDescent="0.55000000000000004">
      <c r="A685" s="1" t="s">
        <v>1676</v>
      </c>
      <c r="B685" s="2">
        <f>COUNTIF(A:A,A685)-1</f>
        <v>3</v>
      </c>
      <c r="C685" s="2">
        <f>COUNTIF(A$1:A685,A685)-1</f>
        <v>3</v>
      </c>
      <c r="D685" s="2" t="e">
        <f>RANK(#REF!,#REF!,1)</f>
        <v>#REF!</v>
      </c>
      <c r="E685" s="2" t="b">
        <f>IFERROR(INDEX(ERROR(0),RANK(#REF!,#REF!,SET.NAME("_",+INDEX(1,)))),RETURN(INDEX(TYPE(_),SET.NAME("_"))))</f>
        <v>0</v>
      </c>
      <c r="F685" s="2" t="b">
        <f>IFERROR(INDEX(ERROR(0),RANK(#REF!,#REF!,INDIRECT(SET.NAME({1,"_"},)))),RETURN(INDEX(TYPE(_),SET.NAME("_"))))</f>
        <v>0</v>
      </c>
      <c r="G685" s="2">
        <f>TYPE(INDEX(,RANK(#REF!,#REF!,INDEX(1,))))</f>
        <v>16</v>
      </c>
    </row>
    <row r="686" spans="1:7" x14ac:dyDescent="0.55000000000000004">
      <c r="A686" s="1" t="s">
        <v>1677</v>
      </c>
      <c r="B686" s="2">
        <f>COUNTIF(A:A,A686)-1</f>
        <v>5</v>
      </c>
      <c r="C686" s="2">
        <f>COUNTIF(A$1:A686,A686)-1</f>
        <v>0</v>
      </c>
      <c r="D686" s="2"/>
      <c r="E686" s="2"/>
      <c r="F686" s="2"/>
      <c r="G686" s="2"/>
    </row>
    <row r="687" spans="1:7" x14ac:dyDescent="0.55000000000000004">
      <c r="A687" s="1" t="s">
        <v>1677</v>
      </c>
      <c r="B687" s="2">
        <f>COUNTIF(A:A,A687)-1</f>
        <v>5</v>
      </c>
      <c r="C687" s="2">
        <f>COUNTIF(A$1:A687,A687)-1</f>
        <v>1</v>
      </c>
      <c r="D687" s="2" t="e">
        <f>ADDRESS(1,#REF!,#REF!,#REF!,#REF!)</f>
        <v>#REF!</v>
      </c>
      <c r="E687" s="2" t="b">
        <f>IFERROR(INDEX(ERROR(0),ADDRESS(SET.NAME("_",+INDEX(1,)),#REF!,#REF!,#REF!,#REF!)),RETURN(INDEX(TYPE(_),SET.NAME("_"))))</f>
        <v>0</v>
      </c>
      <c r="F687" s="2" t="b">
        <f>IFERROR(INDEX(ERROR(0),ADDRESS(INDIRECT(SET.NAME({1,"_"},)),#REF!,#REF!,#REF!,#REF!)),RETURN(INDEX(TYPE(_),SET.NAME("_"))))</f>
        <v>0</v>
      </c>
      <c r="G687" s="2">
        <f>TYPE(INDEX(,ADDRESS(INDEX(1,),#REF!,#REF!,#REF!,#REF!)))</f>
        <v>16</v>
      </c>
    </row>
    <row r="688" spans="1:7" x14ac:dyDescent="0.55000000000000004">
      <c r="A688" s="1" t="s">
        <v>1677</v>
      </c>
      <c r="B688" s="2">
        <f>COUNTIF(A:A,A688)-1</f>
        <v>5</v>
      </c>
      <c r="C688" s="2">
        <f>COUNTIF(A$1:A688,A688)-1</f>
        <v>2</v>
      </c>
      <c r="D688" s="2" t="e">
        <f>ADDRESS(#REF!,1,#REF!,#REF!,#REF!)</f>
        <v>#REF!</v>
      </c>
      <c r="E688" s="2" t="b">
        <f>IFERROR(INDEX(ERROR(0),ADDRESS(#REF!,SET.NAME("_",+INDEX(1,)),#REF!,#REF!,#REF!)),RETURN(INDEX(TYPE(_),SET.NAME("_"))))</f>
        <v>0</v>
      </c>
      <c r="F688" s="2" t="b">
        <f>IFERROR(INDEX(ERROR(0),ADDRESS(#REF!,INDIRECT(SET.NAME({1,"_"},)),#REF!,#REF!,#REF!)),RETURN(INDEX(TYPE(_),SET.NAME("_"))))</f>
        <v>0</v>
      </c>
      <c r="G688" s="2">
        <f>TYPE(INDEX(,ADDRESS(#REF!,INDEX(1,),#REF!,#REF!,#REF!)))</f>
        <v>16</v>
      </c>
    </row>
    <row r="689" spans="1:7" x14ac:dyDescent="0.55000000000000004">
      <c r="A689" s="1" t="s">
        <v>1677</v>
      </c>
      <c r="B689" s="2">
        <f>COUNTIF(A:A,A689)-1</f>
        <v>5</v>
      </c>
      <c r="C689" s="2">
        <f>COUNTIF(A$1:A689,A689)-1</f>
        <v>3</v>
      </c>
      <c r="D689" s="2" t="e">
        <f>ADDRESS(#REF!,#REF!,1,#REF!,#REF!)</f>
        <v>#REF!</v>
      </c>
      <c r="E689" s="2" t="b">
        <f>IFERROR(INDEX(ERROR(0),ADDRESS(#REF!,#REF!,SET.NAME("_",+INDEX(1,)),#REF!,#REF!)),RETURN(INDEX(TYPE(_),SET.NAME("_"))))</f>
        <v>0</v>
      </c>
      <c r="F689" s="2" t="b">
        <f>IFERROR(INDEX(ERROR(0),ADDRESS(#REF!,#REF!,INDIRECT(SET.NAME({1,"_"},)),#REF!,#REF!)),RETURN(INDEX(TYPE(_),SET.NAME("_"))))</f>
        <v>0</v>
      </c>
      <c r="G689" s="2">
        <f>TYPE(INDEX(,ADDRESS(#REF!,#REF!,INDEX(1,),#REF!,#REF!)))</f>
        <v>16</v>
      </c>
    </row>
    <row r="690" spans="1:7" x14ac:dyDescent="0.55000000000000004">
      <c r="A690" s="1" t="s">
        <v>1677</v>
      </c>
      <c r="B690" s="2">
        <f>COUNTIF(A:A,A690)-1</f>
        <v>5</v>
      </c>
      <c r="C690" s="2">
        <f>COUNTIF(A$1:A690,A690)-1</f>
        <v>4</v>
      </c>
      <c r="D690" s="2" t="e">
        <f>ADDRESS(#REF!,#REF!,#REF!,1,#REF!)</f>
        <v>#REF!</v>
      </c>
      <c r="E690" s="2" t="b">
        <f>IFERROR(INDEX(ERROR(0),ADDRESS(#REF!,#REF!,#REF!,SET.NAME("_",+INDEX(1,)),#REF!)),RETURN(INDEX(TYPE(_),SET.NAME("_"))))</f>
        <v>0</v>
      </c>
      <c r="F690" s="2" t="b">
        <f>IFERROR(INDEX(ERROR(0),ADDRESS(#REF!,#REF!,#REF!,INDIRECT(SET.NAME({1,"_"},)),#REF!)),RETURN(INDEX(TYPE(_),SET.NAME("_"))))</f>
        <v>0</v>
      </c>
      <c r="G690" s="2">
        <f>TYPE(INDEX(,ADDRESS(#REF!,#REF!,#REF!,INDEX(1,),#REF!)))</f>
        <v>16</v>
      </c>
    </row>
    <row r="691" spans="1:7" x14ac:dyDescent="0.55000000000000004">
      <c r="A691" s="1" t="s">
        <v>1677</v>
      </c>
      <c r="B691" s="2">
        <f>COUNTIF(A:A,A691)-1</f>
        <v>5</v>
      </c>
      <c r="C691" s="2">
        <f>COUNTIF(A$1:A691,A691)-1</f>
        <v>5</v>
      </c>
      <c r="D691" s="2" t="e">
        <f>ADDRESS(#REF!,#REF!,#REF!,#REF!,1)</f>
        <v>#REF!</v>
      </c>
      <c r="E691" s="2" t="b">
        <f>IFERROR(INDEX(ERROR(0),ADDRESS(#REF!,#REF!,#REF!,#REF!,SET.NAME("_",+INDEX(1,)))),RETURN(INDEX(TYPE(_),SET.NAME("_"))))</f>
        <v>0</v>
      </c>
      <c r="F691" s="2" t="b">
        <f>IFERROR(INDEX(ERROR(0),ADDRESS(#REF!,#REF!,#REF!,#REF!,INDIRECT(SET.NAME({1,"_"},)))),RETURN(INDEX(TYPE(_),SET.NAME("_"))))</f>
        <v>0</v>
      </c>
      <c r="G691" s="2">
        <f>TYPE(INDEX(,ADDRESS(#REF!,#REF!,#REF!,#REF!,INDEX(1,))))</f>
        <v>16</v>
      </c>
    </row>
    <row r="692" spans="1:7" x14ac:dyDescent="0.55000000000000004">
      <c r="A692" s="1" t="s">
        <v>1678</v>
      </c>
      <c r="B692" s="2">
        <f>COUNTIF(A:A,A692)-1</f>
        <v>3</v>
      </c>
      <c r="C692" s="2">
        <f>COUNTIF(A$1:A692,A692)-1</f>
        <v>0</v>
      </c>
      <c r="D692" s="2"/>
      <c r="E692" s="2"/>
      <c r="F692" s="2"/>
      <c r="G692" s="2"/>
    </row>
    <row r="693" spans="1:7" x14ac:dyDescent="0.55000000000000004">
      <c r="A693" s="1" t="s">
        <v>1678</v>
      </c>
      <c r="B693" s="2">
        <f>COUNTIF(A:A,A693)-1</f>
        <v>3</v>
      </c>
      <c r="C693" s="2">
        <f>COUNTIF(A$1:A693,A693)-1</f>
        <v>1</v>
      </c>
      <c r="D693" s="2" t="e">
        <f>DAYS360(1,#REF!,#REF!)</f>
        <v>#REF!</v>
      </c>
      <c r="E693" s="2" t="b">
        <f>IFERROR(INDEX(ERROR(0),DAYS360(SET.NAME("_",+INDEX(1,)),#REF!,#REF!)),RETURN(INDEX(TYPE(_),SET.NAME("_"))))</f>
        <v>0</v>
      </c>
      <c r="F693" s="2" t="b">
        <f>IFERROR(INDEX(ERROR(0),DAYS360(INDIRECT(SET.NAME({1,"_"},)),#REF!,#REF!)),RETURN(INDEX(TYPE(_),SET.NAME("_"))))</f>
        <v>0</v>
      </c>
      <c r="G693" s="2">
        <f>TYPE(INDEX(,DAYS360(INDEX(1,),#REF!,#REF!)))</f>
        <v>16</v>
      </c>
    </row>
    <row r="694" spans="1:7" x14ac:dyDescent="0.55000000000000004">
      <c r="A694" s="1" t="s">
        <v>1678</v>
      </c>
      <c r="B694" s="2">
        <f>COUNTIF(A:A,A694)-1</f>
        <v>3</v>
      </c>
      <c r="C694" s="2">
        <f>COUNTIF(A$1:A694,A694)-1</f>
        <v>2</v>
      </c>
      <c r="D694" s="2" t="e">
        <f>DAYS360(#REF!,1,#REF!)</f>
        <v>#REF!</v>
      </c>
      <c r="E694" s="2" t="b">
        <f>IFERROR(INDEX(ERROR(0),DAYS360(#REF!,SET.NAME("_",+INDEX(1,)),#REF!)),RETURN(INDEX(TYPE(_),SET.NAME("_"))))</f>
        <v>0</v>
      </c>
      <c r="F694" s="2" t="b">
        <f>IFERROR(INDEX(ERROR(0),DAYS360(#REF!,INDIRECT(SET.NAME({1,"_"},)),#REF!)),RETURN(INDEX(TYPE(_),SET.NAME("_"))))</f>
        <v>0</v>
      </c>
      <c r="G694" s="2">
        <f>TYPE(INDEX(,DAYS360(#REF!,INDEX(1,),#REF!)))</f>
        <v>16</v>
      </c>
    </row>
    <row r="695" spans="1:7" x14ac:dyDescent="0.55000000000000004">
      <c r="A695" s="1" t="s">
        <v>1678</v>
      </c>
      <c r="B695" s="2">
        <f>COUNTIF(A:A,A695)-1</f>
        <v>3</v>
      </c>
      <c r="C695" s="2">
        <f>COUNTIF(A$1:A695,A695)-1</f>
        <v>3</v>
      </c>
      <c r="D695" s="2" t="e">
        <f>DAYS360(#REF!,#REF!,1)</f>
        <v>#REF!</v>
      </c>
      <c r="E695" s="2" t="b">
        <f>IFERROR(INDEX(ERROR(0),DAYS360(#REF!,#REF!,SET.NAME("_",+INDEX(1,)))),RETURN(INDEX(TYPE(_),SET.NAME("_"))))</f>
        <v>0</v>
      </c>
      <c r="F695" s="2" t="b">
        <f>IFERROR(INDEX(ERROR(0),DAYS360(#REF!,#REF!,INDIRECT(SET.NAME({1,"_"},)))),RETURN(INDEX(TYPE(_),SET.NAME("_"))))</f>
        <v>0</v>
      </c>
      <c r="G695" s="2">
        <f>TYPE(INDEX(,DAYS360(#REF!,#REF!,INDEX(1,))))</f>
        <v>16</v>
      </c>
    </row>
    <row r="696" spans="1:7" x14ac:dyDescent="0.55000000000000004">
      <c r="A696" s="1" t="s">
        <v>1482</v>
      </c>
      <c r="B696" s="2">
        <f>COUNTIF(A:A,A696)-1</f>
        <v>0</v>
      </c>
      <c r="C696" s="2">
        <f>COUNTIF(A$1:A696,A696)-1</f>
        <v>0</v>
      </c>
      <c r="D696" s="2"/>
      <c r="E696" s="2"/>
      <c r="F696" s="2"/>
      <c r="G696" s="2"/>
    </row>
    <row r="697" spans="1:7" x14ac:dyDescent="0.55000000000000004">
      <c r="A697" s="1" t="s">
        <v>1679</v>
      </c>
      <c r="B697" s="2">
        <f>COUNTIF(A:A,A697)-1</f>
        <v>7</v>
      </c>
      <c r="C697" s="2">
        <f>COUNTIF(A$1:A697,A697)-1</f>
        <v>0</v>
      </c>
      <c r="D697" s="2"/>
      <c r="E697" s="2"/>
      <c r="F697" s="2"/>
      <c r="G697" s="2"/>
    </row>
    <row r="698" spans="1:7" x14ac:dyDescent="0.55000000000000004">
      <c r="A698" s="1" t="s">
        <v>1679</v>
      </c>
      <c r="B698" s="2">
        <f>COUNTIF(A:A,A698)-1</f>
        <v>7</v>
      </c>
      <c r="C698" s="2">
        <f>COUNTIF(A$1:A698,A698)-1</f>
        <v>1</v>
      </c>
      <c r="D698" s="2" t="e">
        <f>VDB(1,#REF!,#REF!,#REF!,#REF!,#REF!,#REF!)</f>
        <v>#REF!</v>
      </c>
      <c r="E698" s="2" t="b">
        <f>IFERROR(INDEX(ERROR(0),VDB(SET.NAME("_",+INDEX(1,)),#REF!,#REF!,#REF!,#REF!,#REF!,#REF!)),RETURN(INDEX(TYPE(_),SET.NAME("_"))))</f>
        <v>0</v>
      </c>
      <c r="F698" s="2" t="b">
        <f>IFERROR(INDEX(ERROR(0),VDB(INDIRECT(SET.NAME({1,"_"},)),#REF!,#REF!,#REF!,#REF!,#REF!,#REF!)),RETURN(INDEX(TYPE(_),SET.NAME("_"))))</f>
        <v>0</v>
      </c>
      <c r="G698" s="2">
        <f>TYPE(INDEX(,VDB(INDEX(1,),#REF!,#REF!,#REF!,#REF!,#REF!,#REF!)))</f>
        <v>16</v>
      </c>
    </row>
    <row r="699" spans="1:7" x14ac:dyDescent="0.55000000000000004">
      <c r="A699" s="1" t="s">
        <v>1679</v>
      </c>
      <c r="B699" s="2">
        <f>COUNTIF(A:A,A699)-1</f>
        <v>7</v>
      </c>
      <c r="C699" s="2">
        <f>COUNTIF(A$1:A699,A699)-1</f>
        <v>2</v>
      </c>
      <c r="D699" s="2" t="e">
        <f>VDB(#REF!,1,#REF!,#REF!,#REF!,#REF!,#REF!)</f>
        <v>#REF!</v>
      </c>
      <c r="E699" s="2" t="b">
        <f>IFERROR(INDEX(ERROR(0),VDB(#REF!,SET.NAME("_",+INDEX(1,)),#REF!,#REF!,#REF!,#REF!,#REF!)),RETURN(INDEX(TYPE(_),SET.NAME("_"))))</f>
        <v>0</v>
      </c>
      <c r="F699" s="2" t="b">
        <f>IFERROR(INDEX(ERROR(0),VDB(#REF!,INDIRECT(SET.NAME({1,"_"},)),#REF!,#REF!,#REF!,#REF!,#REF!)),RETURN(INDEX(TYPE(_),SET.NAME("_"))))</f>
        <v>0</v>
      </c>
      <c r="G699" s="2">
        <f>TYPE(INDEX(,VDB(#REF!,INDEX(1,),#REF!,#REF!,#REF!,#REF!,#REF!)))</f>
        <v>16</v>
      </c>
    </row>
    <row r="700" spans="1:7" x14ac:dyDescent="0.55000000000000004">
      <c r="A700" s="1" t="s">
        <v>1679</v>
      </c>
      <c r="B700" s="2">
        <f>COUNTIF(A:A,A700)-1</f>
        <v>7</v>
      </c>
      <c r="C700" s="2">
        <f>COUNTIF(A$1:A700,A700)-1</f>
        <v>3</v>
      </c>
      <c r="D700" s="2" t="e">
        <f>VDB(#REF!,#REF!,1,#REF!,#REF!,#REF!,#REF!)</f>
        <v>#REF!</v>
      </c>
      <c r="E700" s="2" t="b">
        <f>IFERROR(INDEX(ERROR(0),VDB(#REF!,#REF!,SET.NAME("_",+INDEX(1,)),#REF!,#REF!,#REF!,#REF!)),RETURN(INDEX(TYPE(_),SET.NAME("_"))))</f>
        <v>0</v>
      </c>
      <c r="F700" s="2" t="b">
        <f>IFERROR(INDEX(ERROR(0),VDB(#REF!,#REF!,INDIRECT(SET.NAME({1,"_"},)),#REF!,#REF!,#REF!,#REF!)),RETURN(INDEX(TYPE(_),SET.NAME("_"))))</f>
        <v>0</v>
      </c>
      <c r="G700" s="2">
        <f>TYPE(INDEX(,VDB(#REF!,#REF!,INDEX(1,),#REF!,#REF!,#REF!,#REF!)))</f>
        <v>16</v>
      </c>
    </row>
    <row r="701" spans="1:7" x14ac:dyDescent="0.55000000000000004">
      <c r="A701" s="1" t="s">
        <v>1679</v>
      </c>
      <c r="B701" s="2">
        <f>COUNTIF(A:A,A701)-1</f>
        <v>7</v>
      </c>
      <c r="C701" s="2">
        <f>COUNTIF(A$1:A701,A701)-1</f>
        <v>4</v>
      </c>
      <c r="D701" s="2" t="e">
        <f>VDB(#REF!,#REF!,#REF!,1,#REF!,#REF!,#REF!)</f>
        <v>#REF!</v>
      </c>
      <c r="E701" s="2" t="b">
        <f>IFERROR(INDEX(ERROR(0),VDB(#REF!,#REF!,#REF!,SET.NAME("_",+INDEX(1,)),#REF!,#REF!,#REF!)),RETURN(INDEX(TYPE(_),SET.NAME("_"))))</f>
        <v>0</v>
      </c>
      <c r="F701" s="2" t="b">
        <f>IFERROR(INDEX(ERROR(0),VDB(#REF!,#REF!,#REF!,INDIRECT(SET.NAME({1,"_"},)),#REF!,#REF!,#REF!)),RETURN(INDEX(TYPE(_),SET.NAME("_"))))</f>
        <v>0</v>
      </c>
      <c r="G701" s="2">
        <f>TYPE(INDEX(,VDB(#REF!,#REF!,#REF!,INDEX(1,),#REF!,#REF!,#REF!)))</f>
        <v>16</v>
      </c>
    </row>
    <row r="702" spans="1:7" x14ac:dyDescent="0.55000000000000004">
      <c r="A702" s="1" t="s">
        <v>1679</v>
      </c>
      <c r="B702" s="2">
        <f>COUNTIF(A:A,A702)-1</f>
        <v>7</v>
      </c>
      <c r="C702" s="2">
        <f>COUNTIF(A$1:A702,A702)-1</f>
        <v>5</v>
      </c>
      <c r="D702" s="2" t="e">
        <f>VDB(#REF!,#REF!,#REF!,#REF!,1,#REF!,#REF!)</f>
        <v>#REF!</v>
      </c>
      <c r="E702" s="2" t="b">
        <f>IFERROR(INDEX(ERROR(0),VDB(#REF!,#REF!,#REF!,#REF!,SET.NAME("_",+INDEX(1,)),#REF!,#REF!)),RETURN(INDEX(TYPE(_),SET.NAME("_"))))</f>
        <v>0</v>
      </c>
      <c r="F702" s="2" t="b">
        <f>IFERROR(INDEX(ERROR(0),VDB(#REF!,#REF!,#REF!,#REF!,INDIRECT(SET.NAME({1,"_"},)),#REF!,#REF!)),RETURN(INDEX(TYPE(_),SET.NAME("_"))))</f>
        <v>0</v>
      </c>
      <c r="G702" s="2">
        <f>TYPE(INDEX(,VDB(#REF!,#REF!,#REF!,#REF!,INDEX(1,),#REF!,#REF!)))</f>
        <v>16</v>
      </c>
    </row>
    <row r="703" spans="1:7" x14ac:dyDescent="0.55000000000000004">
      <c r="A703" s="1" t="s">
        <v>1679</v>
      </c>
      <c r="B703" s="2">
        <f>COUNTIF(A:A,A703)-1</f>
        <v>7</v>
      </c>
      <c r="C703" s="2">
        <f>COUNTIF(A$1:A703,A703)-1</f>
        <v>6</v>
      </c>
      <c r="D703" s="2" t="e">
        <f>VDB(#REF!,#REF!,#REF!,#REF!,#REF!,1,#REF!)</f>
        <v>#REF!</v>
      </c>
      <c r="E703" s="2" t="b">
        <f>IFERROR(INDEX(ERROR(0),VDB(#REF!,#REF!,#REF!,#REF!,#REF!,SET.NAME("_",+INDEX(1,)),#REF!)),RETURN(INDEX(TYPE(_),SET.NAME("_"))))</f>
        <v>0</v>
      </c>
      <c r="F703" s="2" t="b">
        <f>IFERROR(INDEX(ERROR(0),VDB(#REF!,#REF!,#REF!,#REF!,#REF!,INDIRECT(SET.NAME({1,"_"},)),#REF!)),RETURN(INDEX(TYPE(_),SET.NAME("_"))))</f>
        <v>0</v>
      </c>
      <c r="G703" s="2">
        <f>TYPE(INDEX(,VDB(#REF!,#REF!,#REF!,#REF!,#REF!,INDEX(1,),#REF!)))</f>
        <v>16</v>
      </c>
    </row>
    <row r="704" spans="1:7" x14ac:dyDescent="0.55000000000000004">
      <c r="A704" s="1" t="s">
        <v>1679</v>
      </c>
      <c r="B704" s="2">
        <f>COUNTIF(A:A,A704)-1</f>
        <v>7</v>
      </c>
      <c r="C704" s="2">
        <f>COUNTIF(A$1:A704,A704)-1</f>
        <v>7</v>
      </c>
      <c r="D704" s="2" t="e">
        <f>VDB(#REF!,#REF!,#REF!,#REF!,#REF!,#REF!,1)</f>
        <v>#REF!</v>
      </c>
      <c r="E704" s="2" t="b">
        <f>IFERROR(INDEX(ERROR(0),VDB(#REF!,#REF!,#REF!,#REF!,#REF!,#REF!,SET.NAME("_",+INDEX(1,)))),RETURN(INDEX(TYPE(_),SET.NAME("_"))))</f>
        <v>0</v>
      </c>
      <c r="F704" s="2" t="b">
        <f>IFERROR(INDEX(ERROR(0),VDB(#REF!,#REF!,#REF!,#REF!,#REF!,#REF!,INDIRECT(SET.NAME({1,"_"},)))),RETURN(INDEX(TYPE(_),SET.NAME("_"))))</f>
        <v>0</v>
      </c>
      <c r="G704" s="2">
        <f>TYPE(INDEX(,VDB(#REF!,#REF!,#REF!,#REF!,#REF!,#REF!,INDEX(1,))))</f>
        <v>16</v>
      </c>
    </row>
    <row r="705" spans="1:7" x14ac:dyDescent="0.55000000000000004">
      <c r="A705" s="1" t="s">
        <v>2051</v>
      </c>
      <c r="B705" s="2">
        <f>COUNTIF(A:A,A705)-1</f>
        <v>0</v>
      </c>
      <c r="C705" s="2">
        <f>COUNTIF(A$1:A705,A705)-1</f>
        <v>0</v>
      </c>
      <c r="D705" s="2"/>
      <c r="E705" s="2"/>
      <c r="F705" s="2"/>
      <c r="G705" s="2"/>
    </row>
    <row r="706" spans="1:7" x14ac:dyDescent="0.55000000000000004">
      <c r="A706" s="1" t="s">
        <v>2052</v>
      </c>
      <c r="B706" s="2">
        <f>COUNTIF(A:A,A706)-1</f>
        <v>1</v>
      </c>
      <c r="C706" s="2">
        <f>COUNTIF(A$1:A706,A706)-1</f>
        <v>0</v>
      </c>
      <c r="D706" s="2"/>
      <c r="E706" s="2"/>
      <c r="F706" s="2"/>
      <c r="G706" s="2"/>
    </row>
    <row r="707" spans="1:7" x14ac:dyDescent="0.55000000000000004">
      <c r="A707" s="1" t="s">
        <v>2052</v>
      </c>
      <c r="B707" s="2">
        <f>COUNTIF(A:A,A707)-1</f>
        <v>1</v>
      </c>
      <c r="C707" s="2">
        <f>COUNTIF(A$1:A707,A707)-1</f>
        <v>1</v>
      </c>
      <c r="D707" s="2" t="b">
        <f>ELSE.IF(1)</f>
        <v>0</v>
      </c>
      <c r="E707" s="2" t="b">
        <f>IFERROR(INDEX(ERROR(0),ELSE.IF(SET.NAME("_",+INDEX(1,)))),RETURN(INDEX(TYPE(_),SET.NAME("_"))))</f>
        <v>0</v>
      </c>
      <c r="F707" s="2" t="b">
        <f>IFERROR(INDEX(ERROR(0),ELSE.IF(INDIRECT(SET.NAME({1,"_"},)))),RETURN(INDEX(TYPE(_),SET.NAME("_"))))</f>
        <v>0</v>
      </c>
      <c r="G707" s="2">
        <f>TYPE(INDEX(,ELSE.IF(INDEX(1,))))</f>
        <v>16</v>
      </c>
    </row>
    <row r="708" spans="1:7" x14ac:dyDescent="0.55000000000000004">
      <c r="A708" s="1" t="s">
        <v>2053</v>
      </c>
      <c r="B708" s="2">
        <f>COUNTIF(A:A,A708)-1</f>
        <v>0</v>
      </c>
      <c r="C708" s="2">
        <f>COUNTIF(A$1:A708,A708)-1</f>
        <v>0</v>
      </c>
      <c r="D708" s="2"/>
      <c r="E708" s="2"/>
      <c r="F708" s="2"/>
      <c r="G708" s="2"/>
    </row>
    <row r="709" spans="1:7" x14ac:dyDescent="0.55000000000000004">
      <c r="A709" s="1" t="s">
        <v>2054</v>
      </c>
      <c r="B709" s="2">
        <f>COUNTIF(A:A,A709)-1</f>
        <v>3</v>
      </c>
      <c r="C709" s="2">
        <f>COUNTIF(A$1:A709,A709)-1</f>
        <v>0</v>
      </c>
      <c r="D709" s="2"/>
      <c r="E709" s="2"/>
      <c r="F709" s="2"/>
      <c r="G709" s="2"/>
    </row>
    <row r="710" spans="1:7" x14ac:dyDescent="0.55000000000000004">
      <c r="A710" s="1" t="s">
        <v>2054</v>
      </c>
      <c r="B710" s="2">
        <f>COUNTIF(A:A,A710)-1</f>
        <v>3</v>
      </c>
      <c r="C710" s="2">
        <f>COUNTIF(A$1:A710,A710)-1</f>
        <v>1</v>
      </c>
      <c r="D710" s="2" t="b">
        <f>FOR.CELL(1,#REF!,#REF!)</f>
        <v>0</v>
      </c>
      <c r="E710" s="2" t="b">
        <f>IFERROR(INDEX(ERROR(0),FOR.CELL(SET.NAME("_",+INDEX(1,)),#REF!,#REF!)),RETURN(INDEX(TYPE(_),SET.NAME("_"))))</f>
        <v>0</v>
      </c>
      <c r="F710" s="2" t="b">
        <f>IFERROR(INDEX(ERROR(0),FOR.CELL(INDIRECT(SET.NAME({1,"_"},)),#REF!,#REF!)),RETURN(INDEX(TYPE(_),SET.NAME("_"))))</f>
        <v>0</v>
      </c>
      <c r="G710" s="2">
        <f>TYPE(INDEX(,FOR.CELL(INDEX(1,),#REF!,#REF!)))</f>
        <v>16</v>
      </c>
    </row>
    <row r="711" spans="1:7" x14ac:dyDescent="0.55000000000000004">
      <c r="A711" s="1" t="s">
        <v>2054</v>
      </c>
      <c r="B711" s="2">
        <f>COUNTIF(A:A,A711)-1</f>
        <v>3</v>
      </c>
      <c r="C711" s="2">
        <f>COUNTIF(A$1:A711,A711)-1</f>
        <v>2</v>
      </c>
      <c r="D711" s="2" t="b">
        <f>FOR.CELL(#REF!,1,#REF!)</f>
        <v>0</v>
      </c>
      <c r="E711" s="2" t="b">
        <f>IFERROR(INDEX(ERROR(0),FOR.CELL(#REF!,SET.NAME("_",+INDEX(1,)),#REF!)),RETURN(INDEX(TYPE(_),SET.NAME("_"))))</f>
        <v>0</v>
      </c>
      <c r="F711" s="2" t="b">
        <f>IFERROR(INDEX(ERROR(0),FOR.CELL(#REF!,INDIRECT(SET.NAME({1,"_"},)),#REF!)),RETURN(INDEX(TYPE(_),SET.NAME("_"))))</f>
        <v>0</v>
      </c>
      <c r="G711" s="2">
        <f>TYPE(INDEX(,FOR.CELL(#REF!,INDEX(1,),#REF!)))</f>
        <v>64</v>
      </c>
    </row>
    <row r="712" spans="1:7" x14ac:dyDescent="0.55000000000000004">
      <c r="A712" s="1" t="s">
        <v>2054</v>
      </c>
      <c r="B712" s="2">
        <f>COUNTIF(A:A,A712)-1</f>
        <v>3</v>
      </c>
      <c r="C712" s="2">
        <f>COUNTIF(A$1:A712,A712)-1</f>
        <v>3</v>
      </c>
      <c r="D712" s="2" t="b">
        <f>FOR.CELL(#REF!,#REF!,1)</f>
        <v>0</v>
      </c>
      <c r="E712" s="2" t="b">
        <f>IFERROR(INDEX(ERROR(0),FOR.CELL(#REF!,#REF!,SET.NAME("_",+INDEX(1,)))),RETURN(INDEX(TYPE(_),SET.NAME("_"))))</f>
        <v>0</v>
      </c>
      <c r="F712" s="2" t="b">
        <f>IFERROR(INDEX(ERROR(0),FOR.CELL(#REF!,#REF!,INDIRECT(SET.NAME({1,"_"},)))),RETURN(INDEX(TYPE(_),SET.NAME("_"))))</f>
        <v>0</v>
      </c>
      <c r="G712" s="2">
        <f>TYPE(INDEX(,FOR.CELL(#REF!,#REF!,INDEX(1,))))</f>
        <v>64</v>
      </c>
    </row>
    <row r="713" spans="1:7" x14ac:dyDescent="0.55000000000000004">
      <c r="A713" s="1" t="s">
        <v>1680</v>
      </c>
      <c r="B713" s="2">
        <f>COUNTIF(A:A,A713)-1</f>
        <v>3</v>
      </c>
      <c r="C713" s="2">
        <f>COUNTIF(A$1:A713,A713)-1</f>
        <v>0</v>
      </c>
      <c r="D713" s="2"/>
      <c r="E713" s="2"/>
      <c r="F713" s="2"/>
      <c r="G713" s="2"/>
    </row>
    <row r="714" spans="1:7" x14ac:dyDescent="0.55000000000000004">
      <c r="A714" s="1" t="s">
        <v>1680</v>
      </c>
      <c r="B714" s="2">
        <f>COUNTIF(A:A,A714)-1</f>
        <v>3</v>
      </c>
      <c r="C714" s="2">
        <f>COUNTIF(A$1:A714,A714)-1</f>
        <v>1</v>
      </c>
      <c r="D714" s="2" t="e">
        <f>MEDIAN(1,#REF!,#REF!)</f>
        <v>#REF!</v>
      </c>
      <c r="E714" s="2" t="b">
        <f>IFERROR(INDEX(ERROR(0),MEDIAN(SET.NAME("_",+INDEX(1,)),#REF!,#REF!)),RETURN(INDEX(TYPE(_),SET.NAME("_"))))</f>
        <v>0</v>
      </c>
      <c r="F714" s="2" t="b">
        <f>IFERROR(INDEX(ERROR(0),MEDIAN(INDIRECT(SET.NAME({1,"_"},)),#REF!,#REF!)),RETURN(INDEX(TYPE(_),SET.NAME("_"))))</f>
        <v>0</v>
      </c>
      <c r="G714" s="2">
        <f>TYPE(INDEX(,MEDIAN(INDEX(1,),#REF!,#REF!)))</f>
        <v>16</v>
      </c>
    </row>
    <row r="715" spans="1:7" x14ac:dyDescent="0.55000000000000004">
      <c r="A715" s="1" t="s">
        <v>1680</v>
      </c>
      <c r="B715" s="2">
        <f>COUNTIF(A:A,A715)-1</f>
        <v>3</v>
      </c>
      <c r="C715" s="2">
        <f>COUNTIF(A$1:A715,A715)-1</f>
        <v>2</v>
      </c>
      <c r="D715" s="2" t="e">
        <f>MEDIAN(#REF!,1,#REF!)</f>
        <v>#REF!</v>
      </c>
      <c r="E715" s="2" t="b">
        <f>IFERROR(INDEX(ERROR(0),MEDIAN(#REF!,SET.NAME("_",+INDEX(1,)),#REF!)),RETURN(INDEX(TYPE(_),SET.NAME("_"))))</f>
        <v>0</v>
      </c>
      <c r="F715" s="2" t="b">
        <f>IFERROR(INDEX(ERROR(0),MEDIAN(#REF!,INDIRECT(SET.NAME({1,"_"},)),#REF!)),RETURN(INDEX(TYPE(_),SET.NAME("_"))))</f>
        <v>0</v>
      </c>
      <c r="G715" s="2">
        <f>TYPE(INDEX(,MEDIAN(#REF!,INDEX(1,),#REF!)))</f>
        <v>16</v>
      </c>
    </row>
    <row r="716" spans="1:7" x14ac:dyDescent="0.55000000000000004">
      <c r="A716" s="1" t="s">
        <v>1680</v>
      </c>
      <c r="B716" s="2">
        <f>COUNTIF(A:A,A716)-1</f>
        <v>3</v>
      </c>
      <c r="C716" s="2">
        <f>COUNTIF(A$1:A716,A716)-1</f>
        <v>3</v>
      </c>
      <c r="D716" s="2" t="e">
        <f>MEDIAN(#REF!,#REF!,1)</f>
        <v>#REF!</v>
      </c>
      <c r="E716" s="2" t="b">
        <f>IFERROR(INDEX(ERROR(0),MEDIAN(#REF!,#REF!,SET.NAME("_",+INDEX(1,)))),RETURN(INDEX(TYPE(_),SET.NAME("_"))))</f>
        <v>0</v>
      </c>
      <c r="F716" s="2" t="b">
        <f>IFERROR(INDEX(ERROR(0),MEDIAN(#REF!,#REF!,INDIRECT(SET.NAME({1,"_"},)))),RETURN(INDEX(TYPE(_),SET.NAME("_"))))</f>
        <v>0</v>
      </c>
      <c r="G716" s="2">
        <f>TYPE(INDEX(,MEDIAN(#REF!,#REF!,INDEX(1,))))</f>
        <v>16</v>
      </c>
    </row>
    <row r="717" spans="1:7" x14ac:dyDescent="0.55000000000000004">
      <c r="A717" s="1" t="s">
        <v>1681</v>
      </c>
      <c r="B717" s="2">
        <f>COUNTIF(A:A,A717)-1</f>
        <v>4</v>
      </c>
      <c r="C717" s="2">
        <f>COUNTIF(A$1:A717,A717)-1</f>
        <v>0</v>
      </c>
      <c r="D717" s="2"/>
      <c r="E717" s="2"/>
      <c r="F717" s="2"/>
      <c r="G717" s="2"/>
    </row>
    <row r="718" spans="1:7" x14ac:dyDescent="0.55000000000000004">
      <c r="A718" s="1" t="s">
        <v>1681</v>
      </c>
      <c r="B718" s="2">
        <f>COUNTIF(A:A,A718)-1</f>
        <v>4</v>
      </c>
      <c r="C718" s="2">
        <f>COUNTIF(A$1:A718,A718)-1</f>
        <v>1</v>
      </c>
      <c r="D718" s="2" t="e">
        <f>SUMPRODUCT(1,#REF!,#REF!,#REF!)</f>
        <v>#REF!</v>
      </c>
      <c r="E718" s="2" t="b">
        <f>IFERROR(INDEX(ERROR(0),SUMPRODUCT(SET.NAME("_",+INDEX(1,)),#REF!,#REF!,#REF!)),RETURN(INDEX(TYPE(_),SET.NAME("_"))))</f>
        <v>0</v>
      </c>
      <c r="F718" s="2" t="b">
        <f>IFERROR(INDEX(ERROR(0),SUMPRODUCT(INDIRECT(SET.NAME({1,"_"},)),#REF!,#REF!,#REF!)),RETURN(INDEX(TYPE(_),SET.NAME("_"))))</f>
        <v>0</v>
      </c>
      <c r="G718" s="2">
        <f>TYPE(INDEX(,SUMPRODUCT(INDEX(1,),#REF!,#REF!,#REF!)))</f>
        <v>16</v>
      </c>
    </row>
    <row r="719" spans="1:7" x14ac:dyDescent="0.55000000000000004">
      <c r="A719" s="1" t="s">
        <v>1681</v>
      </c>
      <c r="B719" s="2">
        <f>COUNTIF(A:A,A719)-1</f>
        <v>4</v>
      </c>
      <c r="C719" s="2">
        <f>COUNTIF(A$1:A719,A719)-1</f>
        <v>2</v>
      </c>
      <c r="D719" s="2" t="e">
        <f>SUMPRODUCT(#REF!,1,#REF!,#REF!)</f>
        <v>#REF!</v>
      </c>
      <c r="E719" s="2" t="b">
        <f>IFERROR(INDEX(ERROR(0),SUMPRODUCT(#REF!,SET.NAME("_",+INDEX(1,)),#REF!,#REF!)),RETURN(INDEX(TYPE(_),SET.NAME("_"))))</f>
        <v>0</v>
      </c>
      <c r="F719" s="2" t="b">
        <f>IFERROR(INDEX(ERROR(0),SUMPRODUCT(#REF!,INDIRECT(SET.NAME({1,"_"},)),#REF!,#REF!)),RETURN(INDEX(TYPE(_),SET.NAME("_"))))</f>
        <v>0</v>
      </c>
      <c r="G719" s="2">
        <f>TYPE(INDEX(,SUMPRODUCT(#REF!,INDEX(1,),#REF!,#REF!)))</f>
        <v>16</v>
      </c>
    </row>
    <row r="720" spans="1:7" x14ac:dyDescent="0.55000000000000004">
      <c r="A720" s="1" t="s">
        <v>1681</v>
      </c>
      <c r="B720" s="2">
        <f>COUNTIF(A:A,A720)-1</f>
        <v>4</v>
      </c>
      <c r="C720" s="2">
        <f>COUNTIF(A$1:A720,A720)-1</f>
        <v>3</v>
      </c>
      <c r="D720" s="2" t="e">
        <f>SUMPRODUCT(#REF!,#REF!,1,#REF!)</f>
        <v>#REF!</v>
      </c>
      <c r="E720" s="2" t="b">
        <f>IFERROR(INDEX(ERROR(0),SUMPRODUCT(#REF!,#REF!,SET.NAME("_",+INDEX(1,)),#REF!)),RETURN(INDEX(TYPE(_),SET.NAME("_"))))</f>
        <v>0</v>
      </c>
      <c r="F720" s="2" t="b">
        <f>IFERROR(INDEX(ERROR(0),SUMPRODUCT(#REF!,#REF!,INDIRECT(SET.NAME({1,"_"},)),#REF!)),RETURN(INDEX(TYPE(_),SET.NAME("_"))))</f>
        <v>0</v>
      </c>
      <c r="G720" s="2">
        <f>TYPE(INDEX(,SUMPRODUCT(#REF!,#REF!,INDEX(1,),#REF!)))</f>
        <v>16</v>
      </c>
    </row>
    <row r="721" spans="1:7" x14ac:dyDescent="0.55000000000000004">
      <c r="A721" s="1" t="s">
        <v>1681</v>
      </c>
      <c r="B721" s="2">
        <f>COUNTIF(A:A,A721)-1</f>
        <v>4</v>
      </c>
      <c r="C721" s="2">
        <f>COUNTIF(A$1:A721,A721)-1</f>
        <v>4</v>
      </c>
      <c r="D721" s="2" t="e">
        <f>SUMPRODUCT(#REF!,#REF!,#REF!,1)</f>
        <v>#REF!</v>
      </c>
      <c r="E721" s="2" t="b">
        <f>IFERROR(INDEX(ERROR(0),SUMPRODUCT(#REF!,#REF!,#REF!,SET.NAME("_",+INDEX(1,)))),RETURN(INDEX(TYPE(_),SET.NAME("_"))))</f>
        <v>0</v>
      </c>
      <c r="F721" s="2" t="b">
        <f>IFERROR(INDEX(ERROR(0),SUMPRODUCT(#REF!,#REF!,#REF!,INDIRECT(SET.NAME({1,"_"},)))),RETURN(INDEX(TYPE(_),SET.NAME("_"))))</f>
        <v>0</v>
      </c>
      <c r="G721" s="2">
        <f>TYPE(INDEX(,SUMPRODUCT(#REF!,#REF!,#REF!,INDEX(1,))))</f>
        <v>16</v>
      </c>
    </row>
    <row r="722" spans="1:7" x14ac:dyDescent="0.55000000000000004">
      <c r="A722" s="1" t="s">
        <v>1682</v>
      </c>
      <c r="B722" s="2">
        <f>COUNTIF(A:A,A722)-1</f>
        <v>1</v>
      </c>
      <c r="C722" s="2">
        <f>COUNTIF(A$1:A722,A722)-1</f>
        <v>0</v>
      </c>
      <c r="D722" s="2"/>
      <c r="E722" s="2"/>
      <c r="F722" s="2"/>
      <c r="G722" s="2"/>
    </row>
    <row r="723" spans="1:7" x14ac:dyDescent="0.55000000000000004">
      <c r="A723" s="1" t="s">
        <v>1682</v>
      </c>
      <c r="B723" s="2">
        <f>COUNTIF(A:A,A723)-1</f>
        <v>1</v>
      </c>
      <c r="C723" s="2">
        <f>COUNTIF(A$1:A723,A723)-1</f>
        <v>1</v>
      </c>
      <c r="D723" s="2">
        <f>SINH(1)</f>
        <v>1.1752011936438014</v>
      </c>
      <c r="E723" s="2" t="b">
        <f>IFERROR(INDEX(ERROR(0),SINH(SET.NAME("_",+INDEX(1,)))),RETURN(INDEX(TYPE(_),SET.NAME("_"))))</f>
        <v>0</v>
      </c>
      <c r="F723" s="2" t="b">
        <f>IFERROR(INDEX(ERROR(0),SINH(INDIRECT(SET.NAME({1,"_"},)))),RETURN(INDEX(TYPE(_),SET.NAME("_"))))</f>
        <v>0</v>
      </c>
      <c r="G723" s="2">
        <f>TYPE(INDEX(,SINH(INDEX(1,))))</f>
        <v>16</v>
      </c>
    </row>
    <row r="724" spans="1:7" x14ac:dyDescent="0.55000000000000004">
      <c r="A724" s="1" t="s">
        <v>1683</v>
      </c>
      <c r="B724" s="2">
        <f>COUNTIF(A:A,A724)-1</f>
        <v>1</v>
      </c>
      <c r="C724" s="2">
        <f>COUNTIF(A$1:A724,A724)-1</f>
        <v>0</v>
      </c>
      <c r="D724" s="2"/>
      <c r="E724" s="2"/>
      <c r="F724" s="2"/>
      <c r="G724" s="2"/>
    </row>
    <row r="725" spans="1:7" x14ac:dyDescent="0.55000000000000004">
      <c r="A725" s="1" t="s">
        <v>1683</v>
      </c>
      <c r="B725" s="2">
        <f>COUNTIF(A:A,A725)-1</f>
        <v>1</v>
      </c>
      <c r="C725" s="2">
        <f>COUNTIF(A$1:A725,A725)-1</f>
        <v>1</v>
      </c>
      <c r="D725" s="2">
        <f>COSH(1)</f>
        <v>1.5430806348152437</v>
      </c>
      <c r="E725" s="2" t="b">
        <f>IFERROR(INDEX(ERROR(0),COSH(SET.NAME("_",+INDEX(1,)))),RETURN(INDEX(TYPE(_),SET.NAME("_"))))</f>
        <v>0</v>
      </c>
      <c r="F725" s="2" t="b">
        <f>IFERROR(INDEX(ERROR(0),COSH(INDIRECT(SET.NAME({1,"_"},)))),RETURN(INDEX(TYPE(_),SET.NAME("_"))))</f>
        <v>0</v>
      </c>
      <c r="G725" s="2">
        <f>TYPE(INDEX(,COSH(INDEX(1,))))</f>
        <v>16</v>
      </c>
    </row>
    <row r="726" spans="1:7" x14ac:dyDescent="0.55000000000000004">
      <c r="A726" s="1" t="s">
        <v>1684</v>
      </c>
      <c r="B726" s="2">
        <f>COUNTIF(A:A,A726)-1</f>
        <v>1</v>
      </c>
      <c r="C726" s="2">
        <f>COUNTIF(A$1:A726,A726)-1</f>
        <v>0</v>
      </c>
      <c r="D726" s="2"/>
      <c r="E726" s="2"/>
      <c r="F726" s="2"/>
      <c r="G726" s="2"/>
    </row>
    <row r="727" spans="1:7" x14ac:dyDescent="0.55000000000000004">
      <c r="A727" s="1" t="s">
        <v>1684</v>
      </c>
      <c r="B727" s="2">
        <f>COUNTIF(A:A,A727)-1</f>
        <v>1</v>
      </c>
      <c r="C727" s="2">
        <f>COUNTIF(A$1:A727,A727)-1</f>
        <v>1</v>
      </c>
      <c r="D727" s="2">
        <f>TANH(1)</f>
        <v>0.76159415595576485</v>
      </c>
      <c r="E727" s="2" t="b">
        <f>IFERROR(INDEX(ERROR(0),TANH(SET.NAME("_",+INDEX(1,)))),RETURN(INDEX(TYPE(_),SET.NAME("_"))))</f>
        <v>0</v>
      </c>
      <c r="F727" s="2" t="b">
        <f>IFERROR(INDEX(ERROR(0),TANH(INDIRECT(SET.NAME({1,"_"},)))),RETURN(INDEX(TYPE(_),SET.NAME("_"))))</f>
        <v>0</v>
      </c>
      <c r="G727" s="2">
        <f>TYPE(INDEX(,TANH(INDEX(1,))))</f>
        <v>16</v>
      </c>
    </row>
    <row r="728" spans="1:7" x14ac:dyDescent="0.55000000000000004">
      <c r="A728" s="1" t="s">
        <v>1685</v>
      </c>
      <c r="B728" s="2">
        <f>COUNTIF(A:A,A728)-1</f>
        <v>1</v>
      </c>
      <c r="C728" s="2">
        <f>COUNTIF(A$1:A728,A728)-1</f>
        <v>0</v>
      </c>
      <c r="D728" s="2"/>
      <c r="E728" s="2"/>
      <c r="F728" s="2"/>
      <c r="G728" s="2"/>
    </row>
    <row r="729" spans="1:7" x14ac:dyDescent="0.55000000000000004">
      <c r="A729" s="1" t="s">
        <v>1685</v>
      </c>
      <c r="B729" s="2">
        <f>COUNTIF(A:A,A729)-1</f>
        <v>1</v>
      </c>
      <c r="C729" s="2">
        <f>COUNTIF(A$1:A729,A729)-1</f>
        <v>1</v>
      </c>
      <c r="D729" s="2">
        <f>ASINH(1)</f>
        <v>0.88137358701954294</v>
      </c>
      <c r="E729" s="2" t="b">
        <f>IFERROR(INDEX(ERROR(0),ASINH(SET.NAME("_",+INDEX(1,)))),RETURN(INDEX(TYPE(_),SET.NAME("_"))))</f>
        <v>0</v>
      </c>
      <c r="F729" s="2" t="b">
        <f>IFERROR(INDEX(ERROR(0),ASINH(INDIRECT(SET.NAME({1,"_"},)))),RETURN(INDEX(TYPE(_),SET.NAME("_"))))</f>
        <v>0</v>
      </c>
      <c r="G729" s="2">
        <f>TYPE(INDEX(,ASINH(INDEX(1,))))</f>
        <v>16</v>
      </c>
    </row>
    <row r="730" spans="1:7" x14ac:dyDescent="0.55000000000000004">
      <c r="A730" s="1" t="s">
        <v>1686</v>
      </c>
      <c r="B730" s="2">
        <f>COUNTIF(A:A,A730)-1</f>
        <v>1</v>
      </c>
      <c r="C730" s="2">
        <f>COUNTIF(A$1:A730,A730)-1</f>
        <v>0</v>
      </c>
      <c r="D730" s="2"/>
      <c r="E730" s="2"/>
      <c r="F730" s="2"/>
      <c r="G730" s="2"/>
    </row>
    <row r="731" spans="1:7" x14ac:dyDescent="0.55000000000000004">
      <c r="A731" s="1" t="s">
        <v>1686</v>
      </c>
      <c r="B731" s="2">
        <f>COUNTIF(A:A,A731)-1</f>
        <v>1</v>
      </c>
      <c r="C731" s="2">
        <f>COUNTIF(A$1:A731,A731)-1</f>
        <v>1</v>
      </c>
      <c r="D731" s="2">
        <f>ACOSH(1)</f>
        <v>0</v>
      </c>
      <c r="E731" s="2" t="b">
        <f>IFERROR(INDEX(ERROR(0),ACOSH(SET.NAME("_",+INDEX(1,)))),RETURN(INDEX(TYPE(_),SET.NAME("_"))))</f>
        <v>0</v>
      </c>
      <c r="F731" s="2" t="b">
        <f>IFERROR(INDEX(ERROR(0),ACOSH(INDIRECT(SET.NAME({1,"_"},)))),RETURN(INDEX(TYPE(_),SET.NAME("_"))))</f>
        <v>0</v>
      </c>
      <c r="G731" s="2">
        <f>TYPE(INDEX(,ACOSH(INDEX(1,))))</f>
        <v>16</v>
      </c>
    </row>
    <row r="732" spans="1:7" x14ac:dyDescent="0.55000000000000004">
      <c r="A732" s="1" t="s">
        <v>1687</v>
      </c>
      <c r="B732" s="2">
        <f>COUNTIF(A:A,A732)-1</f>
        <v>1</v>
      </c>
      <c r="C732" s="2">
        <f>COUNTIF(A$1:A732,A732)-1</f>
        <v>0</v>
      </c>
      <c r="D732" s="2"/>
      <c r="E732" s="2"/>
      <c r="F732" s="2"/>
      <c r="G732" s="2"/>
    </row>
    <row r="733" spans="1:7" x14ac:dyDescent="0.55000000000000004">
      <c r="A733" s="1" t="s">
        <v>1687</v>
      </c>
      <c r="B733" s="2">
        <f>COUNTIF(A:A,A733)-1</f>
        <v>1</v>
      </c>
      <c r="C733" s="2">
        <f>COUNTIF(A$1:A733,A733)-1</f>
        <v>1</v>
      </c>
      <c r="D733" s="2" t="e">
        <f>ATANH(1)</f>
        <v>#NUM!</v>
      </c>
      <c r="E733" s="2" t="b">
        <f>IFERROR(INDEX(ERROR(0),ATANH(SET.NAME("_",+INDEX(1,)))),RETURN(INDEX(TYPE(_),SET.NAME("_"))))</f>
        <v>0</v>
      </c>
      <c r="F733" s="2" t="b">
        <f>IFERROR(INDEX(ERROR(0),ATANH(INDIRECT(SET.NAME({1,"_"},)))),RETURN(INDEX(TYPE(_),SET.NAME("_"))))</f>
        <v>0</v>
      </c>
      <c r="G733" s="2">
        <f>TYPE(INDEX(,ATANH(INDEX(1,))))</f>
        <v>16</v>
      </c>
    </row>
    <row r="734" spans="1:7" x14ac:dyDescent="0.55000000000000004">
      <c r="A734" s="1" t="s">
        <v>1688</v>
      </c>
      <c r="B734" s="2">
        <f>COUNTIF(A:A,A734)-1</f>
        <v>3</v>
      </c>
      <c r="C734" s="2">
        <f>COUNTIF(A$1:A734,A734)-1</f>
        <v>0</v>
      </c>
      <c r="D734" s="2"/>
      <c r="E734" s="2"/>
      <c r="F734" s="2"/>
      <c r="G734" s="2"/>
    </row>
    <row r="735" spans="1:7" x14ac:dyDescent="0.55000000000000004">
      <c r="A735" s="1" t="s">
        <v>1688</v>
      </c>
      <c r="B735" s="2">
        <f>COUNTIF(A:A,A735)-1</f>
        <v>3</v>
      </c>
      <c r="C735" s="2">
        <f>COUNTIF(A$1:A735,A735)-1</f>
        <v>1</v>
      </c>
      <c r="D735" s="2" t="s">
        <v>2285</v>
      </c>
      <c r="E735" s="2" t="s">
        <v>2223</v>
      </c>
      <c r="F735" s="2" t="b">
        <f>IFERROR(INDEX(ERROR(0),DGET(INDIRECT(SET.NAME({1,"_"},)),#REF!,#REF!)),RETURN(INDEX(TYPE(_),SET.NAME("_"))))</f>
        <v>0</v>
      </c>
      <c r="G735" s="2">
        <f>TYPE(INDEX(,DGET(INDEX(1,),#REF!,#REF!)))</f>
        <v>64</v>
      </c>
    </row>
    <row r="736" spans="1:7" x14ac:dyDescent="0.55000000000000004">
      <c r="A736" s="1" t="s">
        <v>1688</v>
      </c>
      <c r="B736" s="2">
        <f>COUNTIF(A:A,A736)-1</f>
        <v>3</v>
      </c>
      <c r="C736" s="2">
        <f>COUNTIF(A$1:A736,A736)-1</f>
        <v>2</v>
      </c>
      <c r="D736" s="2" t="e">
        <f>DGET(#REF!,1,#REF!)</f>
        <v>#REF!</v>
      </c>
      <c r="E736" s="2" t="b">
        <f>IFERROR(INDEX(ERROR(0),DGET(#REF!,SET.NAME("_",+INDEX(1,)),#REF!)),RETURN(INDEX(TYPE(_),SET.NAME("_"))))</f>
        <v>0</v>
      </c>
      <c r="F736" s="2" t="b">
        <f>IFERROR(INDEX(ERROR(0),DGET(#REF!,INDIRECT(SET.NAME({1,"_"},)),#REF!)),RETURN(INDEX(TYPE(_),SET.NAME("_"))))</f>
        <v>0</v>
      </c>
      <c r="G736" s="2">
        <f>TYPE(INDEX(,DGET(#REF!,INDEX(1,),#REF!)))</f>
        <v>64</v>
      </c>
    </row>
    <row r="737" spans="1:7" x14ac:dyDescent="0.55000000000000004">
      <c r="A737" s="1" t="s">
        <v>1688</v>
      </c>
      <c r="B737" s="2">
        <f>COUNTIF(A:A,A737)-1</f>
        <v>3</v>
      </c>
      <c r="C737" s="2">
        <f>COUNTIF(A$1:A737,A737)-1</f>
        <v>3</v>
      </c>
      <c r="D737" s="2" t="e">
        <f>DGET(#REF!,#REF!,1)</f>
        <v>#REF!</v>
      </c>
      <c r="E737" s="2" t="b">
        <f>IFERROR(INDEX(ERROR(0),DGET(#REF!,#REF!,SET.NAME("_",+INDEX(1,)))),RETURN(INDEX(TYPE(_),SET.NAME("_"))))</f>
        <v>0</v>
      </c>
      <c r="F737" s="2" t="b">
        <f>IFERROR(INDEX(ERROR(0),DGET(#REF!,#REF!,INDIRECT(SET.NAME({1,"_"},)))),RETURN(INDEX(TYPE(_),SET.NAME("_"))))</f>
        <v>0</v>
      </c>
      <c r="G737" s="2">
        <f>TYPE(INDEX(,DGET(#REF!,#REF!,INDEX(1,))))</f>
        <v>64</v>
      </c>
    </row>
    <row r="738" spans="1:7" x14ac:dyDescent="0.55000000000000004">
      <c r="A738" s="1" t="s">
        <v>1689</v>
      </c>
      <c r="B738" s="2">
        <f>COUNTIF(A:A,A738)-1</f>
        <v>10</v>
      </c>
      <c r="C738" s="2">
        <f>COUNTIF(A$1:A738,A738)-1</f>
        <v>0</v>
      </c>
      <c r="D738" s="2"/>
      <c r="E738" s="2"/>
      <c r="F738" s="2"/>
      <c r="G738" s="2"/>
    </row>
    <row r="739" spans="1:7" x14ac:dyDescent="0.55000000000000004">
      <c r="A739" s="1" t="s">
        <v>1689</v>
      </c>
      <c r="B739" s="2">
        <f>COUNTIF(A:A,A739)-1</f>
        <v>10</v>
      </c>
      <c r="C739" s="2">
        <f>COUNTIF(A$1:A739,A739)-1</f>
        <v>1</v>
      </c>
      <c r="D739" s="2" t="e">
        <f>CREATE.OBJECT(1,#REF!,#REF!,#REF!,#REF!,#REF!,#REF!,#REF!,#REF!,#REF!)</f>
        <v>#REF!</v>
      </c>
      <c r="E739" s="2" t="b">
        <f>IFERROR(INDEX(ERROR(0),CREATE.OBJECT(SET.NAME("_",+INDEX(1,)),#REF!,#REF!,#REF!,#REF!,#REF!,#REF!,#REF!,#REF!,#REF!)),RETURN(INDEX(TYPE(_),SET.NAME("_"))))</f>
        <v>0</v>
      </c>
      <c r="F739" s="2" t="b">
        <f>IFERROR(INDEX(ERROR(0),CREATE.OBJECT(INDIRECT(SET.NAME({1,"_"},)),#REF!,#REF!,#REF!,#REF!,#REF!,#REF!,#REF!,#REF!,#REF!)),RETURN(INDEX(TYPE(_),SET.NAME("_"))))</f>
        <v>0</v>
      </c>
      <c r="G739" s="2">
        <f>TYPE(INDEX(,CREATE.OBJECT(INDEX(1,),#REF!,#REF!,#REF!,#REF!,#REF!,#REF!,#REF!,#REF!,#REF!)))</f>
        <v>16</v>
      </c>
    </row>
    <row r="740" spans="1:7" x14ac:dyDescent="0.55000000000000004">
      <c r="A740" s="1" t="s">
        <v>1689</v>
      </c>
      <c r="B740" s="2">
        <f>COUNTIF(A:A,A740)-1</f>
        <v>10</v>
      </c>
      <c r="C740" s="2">
        <f>COUNTIF(A$1:A740,A740)-1</f>
        <v>2</v>
      </c>
      <c r="D740" s="2" t="e">
        <f>CREATE.OBJECT(#REF!,1,#REF!,#REF!,#REF!,#REF!,#REF!,#REF!,#REF!,#REF!)</f>
        <v>#REF!</v>
      </c>
      <c r="E740" s="2" t="b">
        <f>IFERROR(INDEX(ERROR(0),CREATE.OBJECT(#REF!,SET.NAME("_",+INDEX(1,)),#REF!,#REF!,#REF!,#REF!,#REF!,#REF!,#REF!,#REF!)),RETURN(INDEX(TYPE(_),SET.NAME("_"))))</f>
        <v>0</v>
      </c>
      <c r="F740" s="2" t="b">
        <f>IFERROR(INDEX(ERROR(0),CREATE.OBJECT(#REF!,INDIRECT(SET.NAME({1,"_"},)),#REF!,#REF!,#REF!,#REF!,#REF!,#REF!,#REF!,#REF!)),RETURN(INDEX(TYPE(_),SET.NAME("_"))))</f>
        <v>0</v>
      </c>
      <c r="G740" s="2">
        <f>TYPE(INDEX(,CREATE.OBJECT(#REF!,INDEX(1,),#REF!,#REF!,#REF!,#REF!,#REF!,#REF!,#REF!,#REF!)))</f>
        <v>64</v>
      </c>
    </row>
    <row r="741" spans="1:7" x14ac:dyDescent="0.55000000000000004">
      <c r="A741" s="1" t="s">
        <v>1689</v>
      </c>
      <c r="B741" s="2">
        <f>COUNTIF(A:A,A741)-1</f>
        <v>10</v>
      </c>
      <c r="C741" s="2">
        <f>COUNTIF(A$1:A741,A741)-1</f>
        <v>3</v>
      </c>
      <c r="D741" s="2" t="e">
        <f>CREATE.OBJECT(#REF!,#REF!,1,#REF!,#REF!,#REF!,#REF!,#REF!,#REF!,#REF!)</f>
        <v>#REF!</v>
      </c>
      <c r="E741" s="2" t="b">
        <f>IFERROR(INDEX(ERROR(0),CREATE.OBJECT(#REF!,#REF!,SET.NAME("_",+INDEX(1,)),#REF!,#REF!,#REF!,#REF!,#REF!,#REF!,#REF!)),RETURN(INDEX(TYPE(_),SET.NAME("_"))))</f>
        <v>0</v>
      </c>
      <c r="F741" s="2" t="b">
        <f>IFERROR(INDEX(ERROR(0),CREATE.OBJECT(#REF!,#REF!,INDIRECT(SET.NAME({1,"_"},)),#REF!,#REF!,#REF!,#REF!,#REF!,#REF!,#REF!)),RETURN(INDEX(TYPE(_),SET.NAME("_"))))</f>
        <v>0</v>
      </c>
      <c r="G741" s="2">
        <f>TYPE(INDEX(,CREATE.OBJECT(#REF!,#REF!,INDEX(1,),#REF!,#REF!,#REF!,#REF!,#REF!,#REF!,#REF!)))</f>
        <v>64</v>
      </c>
    </row>
    <row r="742" spans="1:7" x14ac:dyDescent="0.55000000000000004">
      <c r="A742" s="1" t="s">
        <v>1689</v>
      </c>
      <c r="B742" s="2">
        <f>COUNTIF(A:A,A742)-1</f>
        <v>10</v>
      </c>
      <c r="C742" s="2">
        <f>COUNTIF(A$1:A742,A742)-1</f>
        <v>4</v>
      </c>
      <c r="D742" s="2" t="e">
        <f>CREATE.OBJECT(#REF!,#REF!,#REF!,1,#REF!,#REF!,#REF!,#REF!,#REF!,#REF!)</f>
        <v>#REF!</v>
      </c>
      <c r="E742" s="2" t="b">
        <f>IFERROR(INDEX(ERROR(0),CREATE.OBJECT(#REF!,#REF!,#REF!,SET.NAME("_",+INDEX(1,)),#REF!,#REF!,#REF!,#REF!,#REF!,#REF!)),RETURN(INDEX(TYPE(_),SET.NAME("_"))))</f>
        <v>0</v>
      </c>
      <c r="F742" s="2" t="b">
        <f>IFERROR(INDEX(ERROR(0),CREATE.OBJECT(#REF!,#REF!,#REF!,INDIRECT(SET.NAME({1,"_"},)),#REF!,#REF!,#REF!,#REF!,#REF!,#REF!)),RETURN(INDEX(TYPE(_),SET.NAME("_"))))</f>
        <v>0</v>
      </c>
      <c r="G742" s="2">
        <f>TYPE(INDEX(,CREATE.OBJECT(#REF!,#REF!,#REF!,INDEX(1,),#REF!,#REF!,#REF!,#REF!,#REF!,#REF!)))</f>
        <v>64</v>
      </c>
    </row>
    <row r="743" spans="1:7" x14ac:dyDescent="0.55000000000000004">
      <c r="A743" s="1" t="s">
        <v>1689</v>
      </c>
      <c r="B743" s="2">
        <f>COUNTIF(A:A,A743)-1</f>
        <v>10</v>
      </c>
      <c r="C743" s="2">
        <f>COUNTIF(A$1:A743,A743)-1</f>
        <v>5</v>
      </c>
      <c r="D743" s="2" t="e">
        <f>CREATE.OBJECT(#REF!,#REF!,#REF!,#REF!,1,#REF!,#REF!,#REF!,#REF!,#REF!)</f>
        <v>#REF!</v>
      </c>
      <c r="E743" s="2" t="b">
        <f>IFERROR(INDEX(ERROR(0),CREATE.OBJECT(#REF!,#REF!,#REF!,#REF!,SET.NAME("_",+INDEX(1,)),#REF!,#REF!,#REF!,#REF!,#REF!)),RETURN(INDEX(TYPE(_),SET.NAME("_"))))</f>
        <v>0</v>
      </c>
      <c r="F743" s="2" t="b">
        <f>IFERROR(INDEX(ERROR(0),CREATE.OBJECT(#REF!,#REF!,#REF!,#REF!,INDIRECT(SET.NAME({1,"_"},)),#REF!,#REF!,#REF!,#REF!,#REF!)),RETURN(INDEX(TYPE(_),SET.NAME("_"))))</f>
        <v>0</v>
      </c>
      <c r="G743" s="2">
        <f>TYPE(INDEX(,CREATE.OBJECT(#REF!,#REF!,#REF!,#REF!,INDEX(1,),#REF!,#REF!,#REF!,#REF!,#REF!)))</f>
        <v>64</v>
      </c>
    </row>
    <row r="744" spans="1:7" x14ac:dyDescent="0.55000000000000004">
      <c r="A744" s="1" t="s">
        <v>1689</v>
      </c>
      <c r="B744" s="2">
        <f>COUNTIF(A:A,A744)-1</f>
        <v>10</v>
      </c>
      <c r="C744" s="2">
        <f>COUNTIF(A$1:A744,A744)-1</f>
        <v>6</v>
      </c>
      <c r="D744" s="2" t="e">
        <f>CREATE.OBJECT(#REF!,#REF!,#REF!,#REF!,#REF!,1,#REF!,#REF!,#REF!,#REF!)</f>
        <v>#REF!</v>
      </c>
      <c r="E744" s="2" t="b">
        <f>IFERROR(INDEX(ERROR(0),CREATE.OBJECT(#REF!,#REF!,#REF!,#REF!,#REF!,SET.NAME("_",+INDEX(1,)),#REF!,#REF!,#REF!,#REF!)),RETURN(INDEX(TYPE(_),SET.NAME("_"))))</f>
        <v>0</v>
      </c>
      <c r="F744" s="2" t="b">
        <f>IFERROR(INDEX(ERROR(0),CREATE.OBJECT(#REF!,#REF!,#REF!,#REF!,#REF!,INDIRECT(SET.NAME({1,"_"},)),#REF!,#REF!,#REF!,#REF!)),RETURN(INDEX(TYPE(_),SET.NAME("_"))))</f>
        <v>0</v>
      </c>
      <c r="G744" s="2">
        <f>TYPE(INDEX(,CREATE.OBJECT(#REF!,#REF!,#REF!,#REF!,#REF!,INDEX(1,),#REF!,#REF!,#REF!,#REF!)))</f>
        <v>64</v>
      </c>
    </row>
    <row r="745" spans="1:7" x14ac:dyDescent="0.55000000000000004">
      <c r="A745" s="1" t="s">
        <v>1689</v>
      </c>
      <c r="B745" s="2">
        <f>COUNTIF(A:A,A745)-1</f>
        <v>10</v>
      </c>
      <c r="C745" s="2">
        <f>COUNTIF(A$1:A745,A745)-1</f>
        <v>7</v>
      </c>
      <c r="D745" s="2" t="e">
        <f>CREATE.OBJECT(#REF!,#REF!,#REF!,#REF!,#REF!,#REF!,1,#REF!,#REF!,#REF!)</f>
        <v>#REF!</v>
      </c>
      <c r="E745" s="2" t="b">
        <f>IFERROR(INDEX(ERROR(0),CREATE.OBJECT(#REF!,#REF!,#REF!,#REF!,#REF!,#REF!,SET.NAME("_",+INDEX(1,)),#REF!,#REF!,#REF!)),RETURN(INDEX(TYPE(_),SET.NAME("_"))))</f>
        <v>0</v>
      </c>
      <c r="F745" s="2" t="b">
        <f>IFERROR(INDEX(ERROR(0),CREATE.OBJECT(#REF!,#REF!,#REF!,#REF!,#REF!,#REF!,INDIRECT(SET.NAME({1,"_"},)),#REF!,#REF!,#REF!)),RETURN(INDEX(TYPE(_),SET.NAME("_"))))</f>
        <v>0</v>
      </c>
      <c r="G745" s="2">
        <f>TYPE(INDEX(,CREATE.OBJECT(#REF!,#REF!,#REF!,#REF!,#REF!,#REF!,INDEX(1,),#REF!,#REF!,#REF!)))</f>
        <v>64</v>
      </c>
    </row>
    <row r="746" spans="1:7" x14ac:dyDescent="0.55000000000000004">
      <c r="A746" s="1" t="s">
        <v>1689</v>
      </c>
      <c r="B746" s="2">
        <f>COUNTIF(A:A,A746)-1</f>
        <v>10</v>
      </c>
      <c r="C746" s="2">
        <f>COUNTIF(A$1:A746,A746)-1</f>
        <v>8</v>
      </c>
      <c r="D746" s="2" t="e">
        <f>CREATE.OBJECT(#REF!,#REF!,#REF!,#REF!,#REF!,#REF!,#REF!,1,#REF!,#REF!)</f>
        <v>#REF!</v>
      </c>
      <c r="E746" s="2" t="b">
        <f>IFERROR(INDEX(ERROR(0),CREATE.OBJECT(#REF!,#REF!,#REF!,#REF!,#REF!,#REF!,#REF!,SET.NAME("_",+INDEX(1,)),#REF!,#REF!)),RETURN(INDEX(TYPE(_),SET.NAME("_"))))</f>
        <v>0</v>
      </c>
      <c r="F746" s="2" t="b">
        <f>IFERROR(INDEX(ERROR(0),CREATE.OBJECT(#REF!,#REF!,#REF!,#REF!,#REF!,#REF!,#REF!,INDIRECT(SET.NAME({1,"_"},)),#REF!,#REF!)),RETURN(INDEX(TYPE(_),SET.NAME("_"))))</f>
        <v>0</v>
      </c>
      <c r="G746" s="2">
        <f>TYPE(INDEX(,CREATE.OBJECT(#REF!,#REF!,#REF!,#REF!,#REF!,#REF!,#REF!,INDEX(1,),#REF!,#REF!)))</f>
        <v>16</v>
      </c>
    </row>
    <row r="747" spans="1:7" x14ac:dyDescent="0.55000000000000004">
      <c r="A747" s="1" t="s">
        <v>1689</v>
      </c>
      <c r="B747" s="2">
        <f>COUNTIF(A:A,A747)-1</f>
        <v>10</v>
      </c>
      <c r="C747" s="2">
        <f>COUNTIF(A$1:A747,A747)-1</f>
        <v>9</v>
      </c>
      <c r="D747" s="2" t="e">
        <f>CREATE.OBJECT(#REF!,#REF!,#REF!,#REF!,#REF!,#REF!,#REF!,#REF!,1,#REF!)</f>
        <v>#REF!</v>
      </c>
      <c r="E747" s="2" t="b">
        <f>IFERROR(INDEX(ERROR(0),CREATE.OBJECT(#REF!,#REF!,#REF!,#REF!,#REF!,#REF!,#REF!,#REF!,SET.NAME("_",+INDEX(1,)),#REF!)),RETURN(INDEX(TYPE(_),SET.NAME("_"))))</f>
        <v>0</v>
      </c>
      <c r="F747" s="2" t="b">
        <f>IFERROR(INDEX(ERROR(0),CREATE.OBJECT(#REF!,#REF!,#REF!,#REF!,#REF!,#REF!,#REF!,#REF!,INDIRECT(SET.NAME({1,"_"},)),#REF!)),RETURN(INDEX(TYPE(_),SET.NAME("_"))))</f>
        <v>0</v>
      </c>
      <c r="G747" s="2">
        <f>TYPE(INDEX(,CREATE.OBJECT(#REF!,#REF!,#REF!,#REF!,#REF!,#REF!,#REF!,#REF!,INDEX(1,),#REF!)))</f>
        <v>64</v>
      </c>
    </row>
    <row r="748" spans="1:7" x14ac:dyDescent="0.55000000000000004">
      <c r="A748" s="1" t="s">
        <v>1689</v>
      </c>
      <c r="B748" s="2">
        <f>COUNTIF(A:A,A748)-1</f>
        <v>10</v>
      </c>
      <c r="C748" s="2">
        <f>COUNTIF(A$1:A748,A748)-1</f>
        <v>10</v>
      </c>
      <c r="D748" s="2" t="e">
        <f>CREATE.OBJECT(#REF!,#REF!,#REF!,#REF!,#REF!,#REF!,#REF!,#REF!,#REF!,1)</f>
        <v>#REF!</v>
      </c>
      <c r="E748" s="2" t="b">
        <f>IFERROR(INDEX(ERROR(0),CREATE.OBJECT(#REF!,#REF!,#REF!,#REF!,#REF!,#REF!,#REF!,#REF!,#REF!,SET.NAME("_",+INDEX(1,)))),RETURN(INDEX(TYPE(_),SET.NAME("_"))))</f>
        <v>0</v>
      </c>
      <c r="F748" s="2" t="b">
        <f>IFERROR(INDEX(ERROR(0),CREATE.OBJECT(#REF!,#REF!,#REF!,#REF!,#REF!,#REF!,#REF!,#REF!,#REF!,INDIRECT(SET.NAME({1,"_"},)))),RETURN(INDEX(TYPE(_),SET.NAME("_"))))</f>
        <v>0</v>
      </c>
      <c r="G748" s="2">
        <f>TYPE(INDEX(,CREATE.OBJECT(#REF!,#REF!,#REF!,#REF!,#REF!,#REF!,#REF!,#REF!,#REF!,INDEX(1,))))</f>
        <v>64</v>
      </c>
    </row>
    <row r="749" spans="1:7" x14ac:dyDescent="0.55000000000000004">
      <c r="A749" s="1" t="s">
        <v>1690</v>
      </c>
      <c r="B749" s="2">
        <f>COUNTIF(A:A,A749)-1</f>
        <v>1</v>
      </c>
      <c r="C749" s="2">
        <f>COUNTIF(A$1:A749,A749)-1</f>
        <v>0</v>
      </c>
      <c r="D749" s="2"/>
      <c r="E749" s="2"/>
      <c r="F749" s="2"/>
      <c r="G749" s="2"/>
    </row>
    <row r="750" spans="1:7" x14ac:dyDescent="0.55000000000000004">
      <c r="A750" s="1" t="s">
        <v>1690</v>
      </c>
      <c r="B750" s="2">
        <f>COUNTIF(A:A,A750)-1</f>
        <v>1</v>
      </c>
      <c r="C750" s="2">
        <f>COUNTIF(A$1:A750,A750)-1</f>
        <v>1</v>
      </c>
      <c r="D750" s="2" t="b">
        <f>VOLATILE(1)</f>
        <v>0</v>
      </c>
      <c r="E750" s="2" t="b">
        <f>IFERROR(INDEX(ERROR(0),VOLATILE(SET.NAME("_",+INDEX(1,)))),RETURN(INDEX(TYPE(_),SET.NAME("_"))))</f>
        <v>0</v>
      </c>
      <c r="F750" s="2" t="b">
        <f>IFERROR(INDEX(ERROR(0),VOLATILE(INDIRECT(SET.NAME({1,"_"},)))),RETURN(INDEX(TYPE(_),SET.NAME("_"))))</f>
        <v>0</v>
      </c>
      <c r="G750" s="2">
        <f>TYPE(INDEX(,VOLATILE(INDEX(1,))))</f>
        <v>16</v>
      </c>
    </row>
    <row r="751" spans="1:7" x14ac:dyDescent="0.55000000000000004">
      <c r="A751" s="1" t="s">
        <v>1483</v>
      </c>
      <c r="B751" s="2">
        <f>COUNTIF(A:A,A751)-1</f>
        <v>0</v>
      </c>
      <c r="C751" s="2">
        <f>COUNTIF(A$1:A751,A751)-1</f>
        <v>0</v>
      </c>
      <c r="D751" s="2"/>
      <c r="E751" s="2"/>
      <c r="F751" s="2"/>
      <c r="G751" s="2"/>
    </row>
    <row r="752" spans="1:7" x14ac:dyDescent="0.55000000000000004">
      <c r="A752" s="1" t="s">
        <v>1691</v>
      </c>
      <c r="B752" s="2">
        <f>COUNTIF(A:A,A752)-1</f>
        <v>2</v>
      </c>
      <c r="C752" s="2">
        <f>COUNTIF(A$1:A752,A752)-1</f>
        <v>0</v>
      </c>
      <c r="D752" s="2"/>
      <c r="E752" s="2"/>
      <c r="F752" s="2"/>
      <c r="G752" s="2"/>
    </row>
    <row r="753" spans="1:7" x14ac:dyDescent="0.55000000000000004">
      <c r="A753" s="1" t="s">
        <v>1691</v>
      </c>
      <c r="B753" s="2">
        <f>COUNTIF(A:A,A753)-1</f>
        <v>2</v>
      </c>
      <c r="C753" s="2">
        <f>COUNTIF(A$1:A753,A753)-1</f>
        <v>1</v>
      </c>
      <c r="D753" s="2" t="b">
        <f>CUSTOM.UNDO(1,#REF!)</f>
        <v>0</v>
      </c>
      <c r="E753" s="2" t="b">
        <f>IFERROR(INDEX(ERROR(0),CUSTOM.UNDO(SET.NAME("_",+INDEX(1,)),#REF!)),RETURN(INDEX(TYPE(_),SET.NAME("_"))))</f>
        <v>0</v>
      </c>
      <c r="F753" s="2" t="b">
        <f>IFERROR(INDEX(ERROR(0),CUSTOM.UNDO(INDIRECT(SET.NAME({1,"_"},)),#REF!)),RETURN(INDEX(TYPE(_),SET.NAME("_"))))</f>
        <v>0</v>
      </c>
      <c r="G753" s="2">
        <f>TYPE(INDEX(,CUSTOM.UNDO(INDEX(1,),#REF!)))</f>
        <v>16</v>
      </c>
    </row>
    <row r="754" spans="1:7" x14ac:dyDescent="0.55000000000000004">
      <c r="A754" s="1" t="s">
        <v>1691</v>
      </c>
      <c r="B754" s="2">
        <f>COUNTIF(A:A,A754)-1</f>
        <v>2</v>
      </c>
      <c r="C754" s="2">
        <f>COUNTIF(A$1:A754,A754)-1</f>
        <v>2</v>
      </c>
      <c r="D754" s="2" t="b">
        <f>CUSTOM.UNDO(#REF!,1)</f>
        <v>0</v>
      </c>
      <c r="E754" s="2" t="b">
        <f>IFERROR(INDEX(ERROR(0),CUSTOM.UNDO(#REF!,SET.NAME("_",+INDEX(1,)))),RETURN(INDEX(TYPE(_),SET.NAME("_"))))</f>
        <v>0</v>
      </c>
      <c r="F754" s="2" t="b">
        <f>IFERROR(INDEX(ERROR(0),CUSTOM.UNDO(#REF!,INDIRECT(SET.NAME({1,"_"},)))),RETURN(INDEX(TYPE(_),SET.NAME("_"))))</f>
        <v>0</v>
      </c>
      <c r="G754" s="2">
        <f>TYPE(INDEX(,CUSTOM.UNDO(#REF!,INDEX(1,))))</f>
        <v>16</v>
      </c>
    </row>
    <row r="755" spans="1:7" x14ac:dyDescent="0.55000000000000004">
      <c r="A755" s="1" t="s">
        <v>1692</v>
      </c>
      <c r="B755" s="2">
        <f>COUNTIF(A:A,A755)-1</f>
        <v>3</v>
      </c>
      <c r="C755" s="2">
        <f>COUNTIF(A$1:A755,A755)-1</f>
        <v>0</v>
      </c>
      <c r="D755" s="2"/>
      <c r="E755" s="2"/>
      <c r="F755" s="2"/>
      <c r="G755" s="2"/>
    </row>
    <row r="756" spans="1:7" x14ac:dyDescent="0.55000000000000004">
      <c r="A756" s="1" t="s">
        <v>1692</v>
      </c>
      <c r="B756" s="2">
        <f>COUNTIF(A:A,A756)-1</f>
        <v>3</v>
      </c>
      <c r="C756" s="2">
        <f>COUNTIF(A$1:A756,A756)-1</f>
        <v>1</v>
      </c>
      <c r="D756" s="2" t="b">
        <f>CUSTOM.REPEAT(1,#REF!,#REF!)</f>
        <v>0</v>
      </c>
      <c r="E756" s="2" t="b">
        <f>IFERROR(INDEX(ERROR(0),CUSTOM.REPEAT(SET.NAME("_",+INDEX(1,)),#REF!,#REF!)),RETURN(INDEX(TYPE(_),SET.NAME("_"))))</f>
        <v>0</v>
      </c>
      <c r="F756" s="2" t="b">
        <f>IFERROR(INDEX(ERROR(0),CUSTOM.REPEAT(INDIRECT(SET.NAME({1,"_"},)),#REF!,#REF!)),RETURN(INDEX(TYPE(_),SET.NAME("_"))))</f>
        <v>0</v>
      </c>
      <c r="G756" s="2">
        <f>TYPE(INDEX(,CUSTOM.REPEAT(INDEX(1,),#REF!,#REF!)))</f>
        <v>16</v>
      </c>
    </row>
    <row r="757" spans="1:7" x14ac:dyDescent="0.55000000000000004">
      <c r="A757" s="1" t="s">
        <v>1692</v>
      </c>
      <c r="B757" s="2">
        <f>COUNTIF(A:A,A757)-1</f>
        <v>3</v>
      </c>
      <c r="C757" s="2">
        <f>COUNTIF(A$1:A757,A757)-1</f>
        <v>2</v>
      </c>
      <c r="D757" s="2" t="b">
        <f>CUSTOM.REPEAT(#REF!,1,#REF!)</f>
        <v>0</v>
      </c>
      <c r="E757" s="2" t="b">
        <f>IFERROR(INDEX(ERROR(0),CUSTOM.REPEAT(#REF!,SET.NAME("_",+INDEX(1,)),#REF!)),RETURN(INDEX(TYPE(_),SET.NAME("_"))))</f>
        <v>0</v>
      </c>
      <c r="F757" s="2" t="b">
        <f>IFERROR(INDEX(ERROR(0),CUSTOM.REPEAT(#REF!,INDIRECT(SET.NAME({1,"_"},)),#REF!)),RETURN(INDEX(TYPE(_),SET.NAME("_"))))</f>
        <v>0</v>
      </c>
      <c r="G757" s="2">
        <f>TYPE(INDEX(,CUSTOM.REPEAT(#REF!,INDEX(1,),#REF!)))</f>
        <v>16</v>
      </c>
    </row>
    <row r="758" spans="1:7" x14ac:dyDescent="0.55000000000000004">
      <c r="A758" s="1" t="s">
        <v>1692</v>
      </c>
      <c r="B758" s="2">
        <f>COUNTIF(A:A,A758)-1</f>
        <v>3</v>
      </c>
      <c r="C758" s="2">
        <f>COUNTIF(A$1:A758,A758)-1</f>
        <v>3</v>
      </c>
      <c r="D758" s="2" t="b">
        <f>CUSTOM.REPEAT(#REF!,#REF!,1)</f>
        <v>0</v>
      </c>
      <c r="E758" s="2" t="b">
        <f>IFERROR(INDEX(ERROR(0),CUSTOM.REPEAT(#REF!,#REF!,SET.NAME("_",+INDEX(1,)))),RETURN(INDEX(TYPE(_),SET.NAME("_"))))</f>
        <v>0</v>
      </c>
      <c r="F758" s="2" t="b">
        <f>IFERROR(INDEX(ERROR(0),CUSTOM.REPEAT(#REF!,#REF!,INDIRECT(SET.NAME({1,"_"},)))),RETURN(INDEX(TYPE(_),SET.NAME("_"))))</f>
        <v>0</v>
      </c>
      <c r="G758" s="2">
        <f>TYPE(INDEX(,CUSTOM.REPEAT(#REF!,#REF!,INDEX(1,))))</f>
        <v>16</v>
      </c>
    </row>
    <row r="759" spans="1:7" x14ac:dyDescent="0.55000000000000004">
      <c r="A759" s="1" t="s">
        <v>1693</v>
      </c>
      <c r="B759" s="2">
        <f>COUNTIF(A:A,A759)-1</f>
        <v>5</v>
      </c>
      <c r="C759" s="2">
        <f>COUNTIF(A$1:A759,A759)-1</f>
        <v>0</v>
      </c>
      <c r="D759" s="2"/>
      <c r="E759" s="2"/>
      <c r="F759" s="2"/>
      <c r="G759" s="2"/>
    </row>
    <row r="760" spans="1:7" x14ac:dyDescent="0.55000000000000004">
      <c r="A760" s="1" t="s">
        <v>1693</v>
      </c>
      <c r="B760" s="2">
        <f>COUNTIF(A:A,A760)-1</f>
        <v>5</v>
      </c>
      <c r="C760" s="2">
        <f>COUNTIF(A$1:A760,A760)-1</f>
        <v>1</v>
      </c>
      <c r="D760" s="2" t="e">
        <f>FORMULA.CONVERT(1,#REF!,#REF!,#REF!,#REF!)</f>
        <v>#REF!</v>
      </c>
      <c r="E760" s="2" t="b">
        <f>IFERROR(INDEX(ERROR(0),FORMULA.CONVERT(SET.NAME("_",+INDEX(1,)),#REF!,#REF!,#REF!,#REF!)),RETURN(INDEX(TYPE(_),SET.NAME("_"))))</f>
        <v>0</v>
      </c>
      <c r="F760" s="2" t="b">
        <f>IFERROR(INDEX(ERROR(0),FORMULA.CONVERT(INDIRECT(SET.NAME({1,"_"},)),#REF!,#REF!,#REF!,#REF!)),RETURN(INDEX(TYPE(_),SET.NAME("_"))))</f>
        <v>0</v>
      </c>
      <c r="G760" s="2">
        <f>TYPE(INDEX(,FORMULA.CONVERT(INDEX(1,),#REF!,#REF!,#REF!,#REF!)))</f>
        <v>16</v>
      </c>
    </row>
    <row r="761" spans="1:7" x14ac:dyDescent="0.55000000000000004">
      <c r="A761" s="1" t="s">
        <v>1693</v>
      </c>
      <c r="B761" s="2">
        <f>COUNTIF(A:A,A761)-1</f>
        <v>5</v>
      </c>
      <c r="C761" s="2">
        <f>COUNTIF(A$1:A761,A761)-1</f>
        <v>2</v>
      </c>
      <c r="D761" s="2" t="e">
        <f>FORMULA.CONVERT(#REF!,1,#REF!,#REF!,#REF!)</f>
        <v>#REF!</v>
      </c>
      <c r="E761" s="2" t="b">
        <f>IFERROR(INDEX(ERROR(0),FORMULA.CONVERT(#REF!,SET.NAME("_",+INDEX(1,)),#REF!,#REF!,#REF!)),RETURN(INDEX(TYPE(_),SET.NAME("_"))))</f>
        <v>0</v>
      </c>
      <c r="F761" s="2" t="b">
        <f>IFERROR(INDEX(ERROR(0),FORMULA.CONVERT(#REF!,INDIRECT(SET.NAME({1,"_"},)),#REF!,#REF!,#REF!)),RETURN(INDEX(TYPE(_),SET.NAME("_"))))</f>
        <v>0</v>
      </c>
      <c r="G761" s="2">
        <f>TYPE(INDEX(,FORMULA.CONVERT(#REF!,INDEX(1,),#REF!,#REF!,#REF!)))</f>
        <v>64</v>
      </c>
    </row>
    <row r="762" spans="1:7" x14ac:dyDescent="0.55000000000000004">
      <c r="A762" s="1" t="s">
        <v>1693</v>
      </c>
      <c r="B762" s="2">
        <f>COUNTIF(A:A,A762)-1</f>
        <v>5</v>
      </c>
      <c r="C762" s="2">
        <f>COUNTIF(A$1:A762,A762)-1</f>
        <v>3</v>
      </c>
      <c r="D762" s="2" t="e">
        <f>FORMULA.CONVERT(#REF!,#REF!,1,#REF!,#REF!)</f>
        <v>#REF!</v>
      </c>
      <c r="E762" s="2" t="b">
        <f>IFERROR(INDEX(ERROR(0),FORMULA.CONVERT(#REF!,#REF!,SET.NAME("_",+INDEX(1,)),#REF!,#REF!)),RETURN(INDEX(TYPE(_),SET.NAME("_"))))</f>
        <v>0</v>
      </c>
      <c r="F762" s="2" t="b">
        <f>IFERROR(INDEX(ERROR(0),FORMULA.CONVERT(#REF!,#REF!,INDIRECT(SET.NAME({1,"_"},)),#REF!,#REF!)),RETURN(INDEX(TYPE(_),SET.NAME("_"))))</f>
        <v>0</v>
      </c>
      <c r="G762" s="2">
        <f>TYPE(INDEX(,FORMULA.CONVERT(#REF!,#REF!,INDEX(1,),#REF!,#REF!)))</f>
        <v>64</v>
      </c>
    </row>
    <row r="763" spans="1:7" x14ac:dyDescent="0.55000000000000004">
      <c r="A763" s="1" t="s">
        <v>1693</v>
      </c>
      <c r="B763" s="2">
        <f>COUNTIF(A:A,A763)-1</f>
        <v>5</v>
      </c>
      <c r="C763" s="2">
        <f>COUNTIF(A$1:A763,A763)-1</f>
        <v>4</v>
      </c>
      <c r="D763" s="2" t="e">
        <f>FORMULA.CONVERT(#REF!,#REF!,#REF!,1,#REF!)</f>
        <v>#REF!</v>
      </c>
      <c r="E763" s="2" t="b">
        <f>IFERROR(INDEX(ERROR(0),FORMULA.CONVERT(#REF!,#REF!,#REF!,SET.NAME("_",+INDEX(1,)),#REF!)),RETURN(INDEX(TYPE(_),SET.NAME("_"))))</f>
        <v>0</v>
      </c>
      <c r="F763" s="2" t="b">
        <f>IFERROR(INDEX(ERROR(0),FORMULA.CONVERT(#REF!,#REF!,#REF!,INDIRECT(SET.NAME({1,"_"},)),#REF!)),RETURN(INDEX(TYPE(_),SET.NAME("_"))))</f>
        <v>0</v>
      </c>
      <c r="G763" s="2">
        <f>TYPE(INDEX(,FORMULA.CONVERT(#REF!,#REF!,#REF!,INDEX(1,),#REF!)))</f>
        <v>64</v>
      </c>
    </row>
    <row r="764" spans="1:7" x14ac:dyDescent="0.55000000000000004">
      <c r="A764" s="1" t="s">
        <v>1693</v>
      </c>
      <c r="B764" s="2">
        <f>COUNTIF(A:A,A764)-1</f>
        <v>5</v>
      </c>
      <c r="C764" s="2">
        <f>COUNTIF(A$1:A764,A764)-1</f>
        <v>5</v>
      </c>
      <c r="D764" s="2" t="e">
        <f>FORMULA.CONVERT(#REF!,#REF!,#REF!,#REF!,1)</f>
        <v>#REF!</v>
      </c>
      <c r="E764" s="2" t="b">
        <f>IFERROR(INDEX(ERROR(0),FORMULA.CONVERT(#REF!,#REF!,#REF!,#REF!,SET.NAME("_",+INDEX(1,)))),RETURN(INDEX(TYPE(_),SET.NAME("_"))))</f>
        <v>0</v>
      </c>
      <c r="F764" s="2" t="b">
        <f>IFERROR(INDEX(ERROR(0),FORMULA.CONVERT(#REF!,#REF!,#REF!,#REF!,INDIRECT(SET.NAME({1,"_"},)))),RETURN(INDEX(TYPE(_),SET.NAME("_"))))</f>
        <v>0</v>
      </c>
      <c r="G764" s="2">
        <f>TYPE(INDEX(,FORMULA.CONVERT(#REF!,#REF!,#REF!,#REF!,INDEX(1,))))</f>
        <v>64</v>
      </c>
    </row>
    <row r="765" spans="1:7" x14ac:dyDescent="0.55000000000000004">
      <c r="A765" s="1" t="s">
        <v>1694</v>
      </c>
      <c r="B765" s="2">
        <f>COUNTIF(A:A,A765)-1</f>
        <v>4</v>
      </c>
      <c r="C765" s="2">
        <f>COUNTIF(A$1:A765,A765)-1</f>
        <v>0</v>
      </c>
      <c r="D765" s="2"/>
      <c r="E765" s="2"/>
      <c r="F765" s="2"/>
      <c r="G765" s="2"/>
    </row>
    <row r="766" spans="1:7" x14ac:dyDescent="0.55000000000000004">
      <c r="A766" s="1" t="s">
        <v>1694</v>
      </c>
      <c r="B766" s="2">
        <f>COUNTIF(A:A,A766)-1</f>
        <v>4</v>
      </c>
      <c r="C766" s="2">
        <f>COUNTIF(A$1:A766,A766)-1</f>
        <v>1</v>
      </c>
      <c r="D766" s="2" t="e">
        <f>GET.LINK.INFO(1,#REF!,#REF!,#REF!)</f>
        <v>#REF!</v>
      </c>
      <c r="E766" s="2" t="b">
        <f>IFERROR(INDEX(ERROR(0),GET.LINK.INFO(SET.NAME("_",+INDEX(1,)),#REF!,#REF!,#REF!)),RETURN(INDEX(TYPE(_),SET.NAME("_"))))</f>
        <v>0</v>
      </c>
      <c r="F766" s="2" t="b">
        <f>IFERROR(INDEX(ERROR(0),GET.LINK.INFO(INDIRECT(SET.NAME({1,"_"},)),#REF!,#REF!,#REF!)),RETURN(INDEX(TYPE(_),SET.NAME("_"))))</f>
        <v>0</v>
      </c>
      <c r="G766" s="2">
        <f>TYPE(INDEX(,GET.LINK.INFO(INDEX(1,),#REF!,#REF!,#REF!)))</f>
        <v>16</v>
      </c>
    </row>
    <row r="767" spans="1:7" x14ac:dyDescent="0.55000000000000004">
      <c r="A767" s="1" t="s">
        <v>1694</v>
      </c>
      <c r="B767" s="2">
        <f>COUNTIF(A:A,A767)-1</f>
        <v>4</v>
      </c>
      <c r="C767" s="2">
        <f>COUNTIF(A$1:A767,A767)-1</f>
        <v>2</v>
      </c>
      <c r="D767" s="2" t="e">
        <f>GET.LINK.INFO(#REF!,1,#REF!,#REF!)</f>
        <v>#REF!</v>
      </c>
      <c r="E767" s="2" t="b">
        <f>IFERROR(INDEX(ERROR(0),GET.LINK.INFO(#REF!,SET.NAME("_",+INDEX(1,)),#REF!,#REF!)),RETURN(INDEX(TYPE(_),SET.NAME("_"))))</f>
        <v>0</v>
      </c>
      <c r="F767" s="2" t="b">
        <f>IFERROR(INDEX(ERROR(0),GET.LINK.INFO(#REF!,INDIRECT(SET.NAME({1,"_"},)),#REF!,#REF!)),RETURN(INDEX(TYPE(_),SET.NAME("_"))))</f>
        <v>0</v>
      </c>
      <c r="G767" s="2">
        <f>TYPE(INDEX(,GET.LINK.INFO(#REF!,INDEX(1,),#REF!,#REF!)))</f>
        <v>16</v>
      </c>
    </row>
    <row r="768" spans="1:7" x14ac:dyDescent="0.55000000000000004">
      <c r="A768" s="1" t="s">
        <v>1694</v>
      </c>
      <c r="B768" s="2">
        <f>COUNTIF(A:A,A768)-1</f>
        <v>4</v>
      </c>
      <c r="C768" s="2">
        <f>COUNTIF(A$1:A768,A768)-1</f>
        <v>3</v>
      </c>
      <c r="D768" s="2" t="e">
        <f>GET.LINK.INFO(#REF!,#REF!,1,#REF!)</f>
        <v>#REF!</v>
      </c>
      <c r="E768" s="2" t="b">
        <f>IFERROR(INDEX(ERROR(0),GET.LINK.INFO(#REF!,#REF!,SET.NAME("_",+INDEX(1,)),#REF!)),RETURN(INDEX(TYPE(_),SET.NAME("_"))))</f>
        <v>0</v>
      </c>
      <c r="F768" s="2" t="b">
        <f>IFERROR(INDEX(ERROR(0),GET.LINK.INFO(#REF!,#REF!,INDIRECT(SET.NAME({1,"_"},)),#REF!)),RETURN(INDEX(TYPE(_),SET.NAME("_"))))</f>
        <v>0</v>
      </c>
      <c r="G768" s="2">
        <f>TYPE(INDEX(,GET.LINK.INFO(#REF!,#REF!,INDEX(1,),#REF!)))</f>
        <v>16</v>
      </c>
    </row>
    <row r="769" spans="1:7" x14ac:dyDescent="0.55000000000000004">
      <c r="A769" s="1" t="s">
        <v>1694</v>
      </c>
      <c r="B769" s="2">
        <f>COUNTIF(A:A,A769)-1</f>
        <v>4</v>
      </c>
      <c r="C769" s="2">
        <f>COUNTIF(A$1:A769,A769)-1</f>
        <v>4</v>
      </c>
      <c r="D769" s="2" t="e">
        <f>GET.LINK.INFO(#REF!,#REF!,#REF!,1)</f>
        <v>#REF!</v>
      </c>
      <c r="E769" s="2" t="b">
        <f>IFERROR(INDEX(ERROR(0),GET.LINK.INFO(#REF!,#REF!,#REF!,SET.NAME("_",+INDEX(1,)))),RETURN(INDEX(TYPE(_),SET.NAME("_"))))</f>
        <v>0</v>
      </c>
      <c r="F769" s="2" t="b">
        <f>IFERROR(INDEX(ERROR(0),GET.LINK.INFO(#REF!,#REF!,#REF!,INDIRECT(SET.NAME({1,"_"},)))),RETURN(INDEX(TYPE(_),SET.NAME("_"))))</f>
        <v>0</v>
      </c>
      <c r="G769" s="2">
        <f>TYPE(INDEX(,GET.LINK.INFO(#REF!,#REF!,#REF!,INDEX(1,))))</f>
        <v>16</v>
      </c>
    </row>
    <row r="770" spans="1:7" x14ac:dyDescent="0.55000000000000004">
      <c r="A770" s="1" t="s">
        <v>1695</v>
      </c>
      <c r="B770" s="2">
        <f>COUNTIF(A:A,A770)-1</f>
        <v>4</v>
      </c>
      <c r="C770" s="2">
        <f>COUNTIF(A$1:A770,A770)-1</f>
        <v>0</v>
      </c>
      <c r="D770" s="2"/>
      <c r="E770" s="2"/>
      <c r="F770" s="2"/>
      <c r="G770" s="2"/>
    </row>
    <row r="771" spans="1:7" x14ac:dyDescent="0.55000000000000004">
      <c r="A771" s="1" t="s">
        <v>1695</v>
      </c>
      <c r="B771" s="2">
        <f>COUNTIF(A:A,A771)-1</f>
        <v>4</v>
      </c>
      <c r="C771" s="2">
        <f>COUNTIF(A$1:A771,A771)-1</f>
        <v>1</v>
      </c>
      <c r="D771" s="2" t="e">
        <f>TEXT.BOX(1,#REF!,#REF!,#REF!)</f>
        <v>#REF!</v>
      </c>
      <c r="E771" s="2" t="b">
        <f>IFERROR(INDEX(ERROR(0),TEXT.BOX(SET.NAME("_",+INDEX(1,)),#REF!,#REF!,#REF!)),RETURN(INDEX(TYPE(_),SET.NAME("_"))))</f>
        <v>0</v>
      </c>
      <c r="F771" s="2" t="b">
        <f>IFERROR(INDEX(ERROR(0),TEXT.BOX(INDIRECT(SET.NAME({1,"_"},)),#REF!,#REF!,#REF!)),RETURN(INDEX(TYPE(_),SET.NAME("_"))))</f>
        <v>0</v>
      </c>
      <c r="G771" s="2">
        <f>TYPE(INDEX(,TEXT.BOX(INDEX(1,),#REF!,#REF!,#REF!)))</f>
        <v>16</v>
      </c>
    </row>
    <row r="772" spans="1:7" x14ac:dyDescent="0.55000000000000004">
      <c r="A772" s="1" t="s">
        <v>1695</v>
      </c>
      <c r="B772" s="2">
        <f>COUNTIF(A:A,A772)-1</f>
        <v>4</v>
      </c>
      <c r="C772" s="2">
        <f>COUNTIF(A$1:A772,A772)-1</f>
        <v>2</v>
      </c>
      <c r="D772" s="2" t="e">
        <f>TEXT.BOX(#REF!,1,#REF!,#REF!)</f>
        <v>#REF!</v>
      </c>
      <c r="E772" s="2" t="b">
        <f>IFERROR(INDEX(ERROR(0),TEXT.BOX(#REF!,SET.NAME("_",+INDEX(1,)),#REF!,#REF!)),RETURN(INDEX(TYPE(_),SET.NAME("_"))))</f>
        <v>0</v>
      </c>
      <c r="F772" s="2" t="b">
        <f>IFERROR(INDEX(ERROR(0),TEXT.BOX(#REF!,INDIRECT(SET.NAME({1,"_"},)),#REF!,#REF!)),RETURN(INDEX(TYPE(_),SET.NAME("_"))))</f>
        <v>0</v>
      </c>
      <c r="G772" s="2">
        <f>TYPE(INDEX(,TEXT.BOX(#REF!,INDEX(1,),#REF!,#REF!)))</f>
        <v>16</v>
      </c>
    </row>
    <row r="773" spans="1:7" x14ac:dyDescent="0.55000000000000004">
      <c r="A773" s="1" t="s">
        <v>1695</v>
      </c>
      <c r="B773" s="2">
        <f>COUNTIF(A:A,A773)-1</f>
        <v>4</v>
      </c>
      <c r="C773" s="2">
        <f>COUNTIF(A$1:A773,A773)-1</f>
        <v>3</v>
      </c>
      <c r="D773" s="2" t="e">
        <f>TEXT.BOX(#REF!,#REF!,1,#REF!)</f>
        <v>#REF!</v>
      </c>
      <c r="E773" s="2" t="b">
        <f>IFERROR(INDEX(ERROR(0),TEXT.BOX(#REF!,#REF!,SET.NAME("_",+INDEX(1,)),#REF!)),RETURN(INDEX(TYPE(_),SET.NAME("_"))))</f>
        <v>0</v>
      </c>
      <c r="F773" s="2" t="b">
        <f>IFERROR(INDEX(ERROR(0),TEXT.BOX(#REF!,#REF!,INDIRECT(SET.NAME({1,"_"},)),#REF!)),RETURN(INDEX(TYPE(_),SET.NAME("_"))))</f>
        <v>0</v>
      </c>
      <c r="G773" s="2">
        <f>TYPE(INDEX(,TEXT.BOX(#REF!,#REF!,INDEX(1,),#REF!)))</f>
        <v>16</v>
      </c>
    </row>
    <row r="774" spans="1:7" x14ac:dyDescent="0.55000000000000004">
      <c r="A774" s="1" t="s">
        <v>1695</v>
      </c>
      <c r="B774" s="2">
        <f>COUNTIF(A:A,A774)-1</f>
        <v>4</v>
      </c>
      <c r="C774" s="2">
        <f>COUNTIF(A$1:A774,A774)-1</f>
        <v>4</v>
      </c>
      <c r="D774" s="2" t="e">
        <f>TEXT.BOX(#REF!,#REF!,#REF!,1)</f>
        <v>#REF!</v>
      </c>
      <c r="E774" s="2" t="b">
        <f>IFERROR(INDEX(ERROR(0),TEXT.BOX(#REF!,#REF!,#REF!,SET.NAME("_",+INDEX(1,)))),RETURN(INDEX(TYPE(_),SET.NAME("_"))))</f>
        <v>0</v>
      </c>
      <c r="F774" s="2" t="b">
        <f>IFERROR(INDEX(ERROR(0),TEXT.BOX(#REF!,#REF!,#REF!,INDIRECT(SET.NAME({1,"_"},)))),RETURN(INDEX(TYPE(_),SET.NAME("_"))))</f>
        <v>0</v>
      </c>
      <c r="G774" s="2">
        <f>TYPE(INDEX(,TEXT.BOX(#REF!,#REF!,#REF!,INDEX(1,))))</f>
        <v>16</v>
      </c>
    </row>
    <row r="775" spans="1:7" x14ac:dyDescent="0.55000000000000004">
      <c r="A775" s="1" t="s">
        <v>1696</v>
      </c>
      <c r="B775" s="2">
        <f>COUNTIF(A:A,A775)-1</f>
        <v>1</v>
      </c>
      <c r="C775" s="2">
        <f>COUNTIF(A$1:A775,A775)-1</f>
        <v>0</v>
      </c>
      <c r="D775" s="2"/>
      <c r="E775" s="2"/>
      <c r="F775" s="2"/>
      <c r="G775" s="2"/>
    </row>
    <row r="776" spans="1:7" x14ac:dyDescent="0.55000000000000004">
      <c r="A776" s="1" t="s">
        <v>1696</v>
      </c>
      <c r="B776" s="2">
        <f>COUNTIF(A:A,A776)-1</f>
        <v>1</v>
      </c>
      <c r="C776" s="2">
        <f>COUNTIF(A$1:A776,A776)-1</f>
        <v>1</v>
      </c>
      <c r="D776" s="2" t="e">
        <f>INFO(1)</f>
        <v>#VALUE!</v>
      </c>
      <c r="E776" s="2" t="b">
        <f>IFERROR(INDEX(ERROR(0),INFO(SET.NAME("_",+INDEX(1,)))),RETURN(INDEX(TYPE(_),SET.NAME("_"))))</f>
        <v>0</v>
      </c>
      <c r="F776" s="2" t="b">
        <f>IFERROR(INDEX(ERROR(0),INFO(INDIRECT(SET.NAME({1,"_"},)))),RETURN(INDEX(TYPE(_),SET.NAME("_"))))</f>
        <v>0</v>
      </c>
      <c r="G776" s="2">
        <f>TYPE(INDEX(,INFO(INDEX(1,))))</f>
        <v>16</v>
      </c>
    </row>
    <row r="777" spans="1:7" x14ac:dyDescent="0.55000000000000004">
      <c r="A777" s="1" t="s">
        <v>1484</v>
      </c>
      <c r="B777" s="2">
        <f>COUNTIF(A:A,A777)-1</f>
        <v>0</v>
      </c>
      <c r="C777" s="2">
        <f>COUNTIF(A$1:A777,A777)-1</f>
        <v>0</v>
      </c>
      <c r="D777" s="2"/>
      <c r="E777" s="2"/>
      <c r="F777" s="2"/>
      <c r="G777" s="2"/>
    </row>
    <row r="778" spans="1:7" x14ac:dyDescent="0.55000000000000004">
      <c r="A778" s="1" t="s">
        <v>1697</v>
      </c>
      <c r="B778" s="2">
        <f>COUNTIF(A:A,A778)-1</f>
        <v>5</v>
      </c>
      <c r="C778" s="2">
        <f>COUNTIF(A$1:A778,A778)-1</f>
        <v>0</v>
      </c>
      <c r="D778" s="2"/>
      <c r="E778" s="2"/>
      <c r="F778" s="2"/>
      <c r="G778" s="2"/>
    </row>
    <row r="779" spans="1:7" x14ac:dyDescent="0.55000000000000004">
      <c r="A779" s="1" t="s">
        <v>1697</v>
      </c>
      <c r="B779" s="2">
        <f>COUNTIF(A:A,A779)-1</f>
        <v>5</v>
      </c>
      <c r="C779" s="2">
        <f>COUNTIF(A$1:A779,A779)-1</f>
        <v>1</v>
      </c>
      <c r="D779" s="2" t="e">
        <f>GET.OBJECT(1,#REF!,#REF!,#REF!,#REF!)</f>
        <v>#REF!</v>
      </c>
      <c r="E779" s="2" t="b">
        <f>IFERROR(INDEX(ERROR(0),GET.OBJECT(SET.NAME("_",+INDEX(1,)),#REF!,#REF!,#REF!,#REF!)),RETURN(INDEX(TYPE(_),SET.NAME("_"))))</f>
        <v>0</v>
      </c>
      <c r="F779" s="2" t="b">
        <f>IFERROR(INDEX(ERROR(0),GET.OBJECT(INDIRECT(SET.NAME({1,"_"},)),#REF!,#REF!,#REF!,#REF!)),RETURN(INDEX(TYPE(_),SET.NAME("_"))))</f>
        <v>0</v>
      </c>
      <c r="G779" s="2">
        <f>TYPE(INDEX(,GET.OBJECT(INDEX(1,),#REF!,#REF!,#REF!,#REF!)))</f>
        <v>16</v>
      </c>
    </row>
    <row r="780" spans="1:7" x14ac:dyDescent="0.55000000000000004">
      <c r="A780" s="1" t="s">
        <v>1697</v>
      </c>
      <c r="B780" s="2">
        <f>COUNTIF(A:A,A780)-1</f>
        <v>5</v>
      </c>
      <c r="C780" s="2">
        <f>COUNTIF(A$1:A780,A780)-1</f>
        <v>2</v>
      </c>
      <c r="D780" s="2" t="e">
        <f>GET.OBJECT(#REF!,1,#REF!,#REF!,#REF!)</f>
        <v>#REF!</v>
      </c>
      <c r="E780" s="2" t="b">
        <f>IFERROR(INDEX(ERROR(0),GET.OBJECT(#REF!,SET.NAME("_",+INDEX(1,)),#REF!,#REF!,#REF!)),RETURN(INDEX(TYPE(_),SET.NAME("_"))))</f>
        <v>0</v>
      </c>
      <c r="F780" s="2" t="b">
        <f>IFERROR(INDEX(ERROR(0),GET.OBJECT(#REF!,INDIRECT(SET.NAME({1,"_"},)),#REF!,#REF!,#REF!)),RETURN(INDEX(TYPE(_),SET.NAME("_"))))</f>
        <v>0</v>
      </c>
      <c r="G780" s="2">
        <f>TYPE(INDEX(,GET.OBJECT(#REF!,INDEX(1,),#REF!,#REF!,#REF!)))</f>
        <v>16</v>
      </c>
    </row>
    <row r="781" spans="1:7" x14ac:dyDescent="0.55000000000000004">
      <c r="A781" s="1" t="s">
        <v>1697</v>
      </c>
      <c r="B781" s="2">
        <f>COUNTIF(A:A,A781)-1</f>
        <v>5</v>
      </c>
      <c r="C781" s="2">
        <f>COUNTIF(A$1:A781,A781)-1</f>
        <v>3</v>
      </c>
      <c r="D781" s="2" t="e">
        <f>GET.OBJECT(#REF!,#REF!,1,#REF!,#REF!)</f>
        <v>#REF!</v>
      </c>
      <c r="E781" s="2" t="b">
        <f>IFERROR(INDEX(ERROR(0),GET.OBJECT(#REF!,#REF!,SET.NAME("_",+INDEX(1,)),#REF!,#REF!)),RETURN(INDEX(TYPE(_),SET.NAME("_"))))</f>
        <v>0</v>
      </c>
      <c r="F781" s="2" t="b">
        <f>IFERROR(INDEX(ERROR(0),GET.OBJECT(#REF!,#REF!,INDIRECT(SET.NAME({1,"_"},)),#REF!,#REF!)),RETURN(INDEX(TYPE(_),SET.NAME("_"))))</f>
        <v>0</v>
      </c>
      <c r="G781" s="2">
        <f>TYPE(INDEX(,GET.OBJECT(#REF!,#REF!,INDEX(1,),#REF!,#REF!)))</f>
        <v>16</v>
      </c>
    </row>
    <row r="782" spans="1:7" x14ac:dyDescent="0.55000000000000004">
      <c r="A782" s="1" t="s">
        <v>1697</v>
      </c>
      <c r="B782" s="2">
        <f>COUNTIF(A:A,A782)-1</f>
        <v>5</v>
      </c>
      <c r="C782" s="2">
        <f>COUNTIF(A$1:A782,A782)-1</f>
        <v>4</v>
      </c>
      <c r="D782" s="2" t="e">
        <f>GET.OBJECT(#REF!,#REF!,#REF!,1,#REF!)</f>
        <v>#REF!</v>
      </c>
      <c r="E782" s="2" t="b">
        <f>IFERROR(INDEX(ERROR(0),GET.OBJECT(#REF!,#REF!,#REF!,SET.NAME("_",+INDEX(1,)),#REF!)),RETURN(INDEX(TYPE(_),SET.NAME("_"))))</f>
        <v>0</v>
      </c>
      <c r="F782" s="2" t="b">
        <f>IFERROR(INDEX(ERROR(0),GET.OBJECT(#REF!,#REF!,#REF!,INDIRECT(SET.NAME({1,"_"},)),#REF!)),RETURN(INDEX(TYPE(_),SET.NAME("_"))))</f>
        <v>0</v>
      </c>
      <c r="G782" s="2">
        <f>TYPE(INDEX(,GET.OBJECT(#REF!,#REF!,#REF!,INDEX(1,),#REF!)))</f>
        <v>16</v>
      </c>
    </row>
    <row r="783" spans="1:7" x14ac:dyDescent="0.55000000000000004">
      <c r="A783" s="1" t="s">
        <v>1697</v>
      </c>
      <c r="B783" s="2">
        <f>COUNTIF(A:A,A783)-1</f>
        <v>5</v>
      </c>
      <c r="C783" s="2">
        <f>COUNTIF(A$1:A783,A783)-1</f>
        <v>5</v>
      </c>
      <c r="D783" s="2" t="e">
        <f>GET.OBJECT(#REF!,#REF!,#REF!,#REF!,1)</f>
        <v>#REF!</v>
      </c>
      <c r="E783" s="2" t="b">
        <f>IFERROR(INDEX(ERROR(0),GET.OBJECT(#REF!,#REF!,#REF!,#REF!,SET.NAME("_",+INDEX(1,)))),RETURN(INDEX(TYPE(_),SET.NAME("_"))))</f>
        <v>0</v>
      </c>
      <c r="F783" s="2" t="b">
        <f>IFERROR(INDEX(ERROR(0),GET.OBJECT(#REF!,#REF!,#REF!,#REF!,INDIRECT(SET.NAME({1,"_"},)))),RETURN(INDEX(TYPE(_),SET.NAME("_"))))</f>
        <v>0</v>
      </c>
      <c r="G783" s="2">
        <f>TYPE(INDEX(,GET.OBJECT(#REF!,#REF!,#REF!,#REF!,INDEX(1,))))</f>
        <v>16</v>
      </c>
    </row>
    <row r="784" spans="1:7" x14ac:dyDescent="0.55000000000000004">
      <c r="A784" s="1" t="s">
        <v>1698</v>
      </c>
      <c r="B784" s="2">
        <f>COUNTIF(A:A,A784)-1</f>
        <v>5</v>
      </c>
      <c r="C784" s="2">
        <f>COUNTIF(A$1:A784,A784)-1</f>
        <v>0</v>
      </c>
      <c r="D784" s="2"/>
      <c r="E784" s="2"/>
      <c r="F784" s="2"/>
      <c r="G784" s="2"/>
    </row>
    <row r="785" spans="1:7" x14ac:dyDescent="0.55000000000000004">
      <c r="A785" s="1" t="s">
        <v>1698</v>
      </c>
      <c r="B785" s="2">
        <f>COUNTIF(A:A,A785)-1</f>
        <v>5</v>
      </c>
      <c r="C785" s="2">
        <f>COUNTIF(A$1:A785,A785)-1</f>
        <v>1</v>
      </c>
      <c r="D785" s="2" t="e">
        <f>DB(1,#REF!,#REF!,#REF!,#REF!)</f>
        <v>#REF!</v>
      </c>
      <c r="E785" s="2" t="b">
        <f>IFERROR(INDEX(ERROR(0),DB(SET.NAME("_",+INDEX(1,)),#REF!,#REF!,#REF!,#REF!)),RETURN(INDEX(TYPE(_),SET.NAME("_"))))</f>
        <v>0</v>
      </c>
      <c r="F785" s="2" t="b">
        <f>IFERROR(INDEX(ERROR(0),DB(INDIRECT(SET.NAME({1,"_"},)),#REF!,#REF!,#REF!,#REF!)),RETURN(INDEX(TYPE(_),SET.NAME("_"))))</f>
        <v>0</v>
      </c>
      <c r="G785" s="2">
        <f>TYPE(INDEX(,DB(INDEX(1,),#REF!,#REF!,#REF!,#REF!)))</f>
        <v>16</v>
      </c>
    </row>
    <row r="786" spans="1:7" x14ac:dyDescent="0.55000000000000004">
      <c r="A786" s="1" t="s">
        <v>1698</v>
      </c>
      <c r="B786" s="2">
        <f>COUNTIF(A:A,A786)-1</f>
        <v>5</v>
      </c>
      <c r="C786" s="2">
        <f>COUNTIF(A$1:A786,A786)-1</f>
        <v>2</v>
      </c>
      <c r="D786" s="2" t="e">
        <f>DB(#REF!,1,#REF!,#REF!,#REF!)</f>
        <v>#REF!</v>
      </c>
      <c r="E786" s="2" t="b">
        <f>IFERROR(INDEX(ERROR(0),DB(#REF!,SET.NAME("_",+INDEX(1,)),#REF!,#REF!,#REF!)),RETURN(INDEX(TYPE(_),SET.NAME("_"))))</f>
        <v>0</v>
      </c>
      <c r="F786" s="2" t="b">
        <f>IFERROR(INDEX(ERROR(0),DB(#REF!,INDIRECT(SET.NAME({1,"_"},)),#REF!,#REF!,#REF!)),RETURN(INDEX(TYPE(_),SET.NAME("_"))))</f>
        <v>0</v>
      </c>
      <c r="G786" s="2">
        <f>TYPE(INDEX(,DB(#REF!,INDEX(1,),#REF!,#REF!,#REF!)))</f>
        <v>16</v>
      </c>
    </row>
    <row r="787" spans="1:7" x14ac:dyDescent="0.55000000000000004">
      <c r="A787" s="1" t="s">
        <v>1698</v>
      </c>
      <c r="B787" s="2">
        <f>COUNTIF(A:A,A787)-1</f>
        <v>5</v>
      </c>
      <c r="C787" s="2">
        <f>COUNTIF(A$1:A787,A787)-1</f>
        <v>3</v>
      </c>
      <c r="D787" s="2" t="e">
        <f>DB(#REF!,#REF!,1,#REF!,#REF!)</f>
        <v>#REF!</v>
      </c>
      <c r="E787" s="2" t="b">
        <f>IFERROR(INDEX(ERROR(0),DB(#REF!,#REF!,SET.NAME("_",+INDEX(1,)),#REF!,#REF!)),RETURN(INDEX(TYPE(_),SET.NAME("_"))))</f>
        <v>0</v>
      </c>
      <c r="F787" s="2" t="b">
        <f>IFERROR(INDEX(ERROR(0),DB(#REF!,#REF!,INDIRECT(SET.NAME({1,"_"},)),#REF!,#REF!)),RETURN(INDEX(TYPE(_),SET.NAME("_"))))</f>
        <v>0</v>
      </c>
      <c r="G787" s="2">
        <f>TYPE(INDEX(,DB(#REF!,#REF!,INDEX(1,),#REF!,#REF!)))</f>
        <v>16</v>
      </c>
    </row>
    <row r="788" spans="1:7" x14ac:dyDescent="0.55000000000000004">
      <c r="A788" s="1" t="s">
        <v>1698</v>
      </c>
      <c r="B788" s="2">
        <f>COUNTIF(A:A,A788)-1</f>
        <v>5</v>
      </c>
      <c r="C788" s="2">
        <f>COUNTIF(A$1:A788,A788)-1</f>
        <v>4</v>
      </c>
      <c r="D788" s="2" t="e">
        <f>DB(#REF!,#REF!,#REF!,1,#REF!)</f>
        <v>#REF!</v>
      </c>
      <c r="E788" s="2" t="b">
        <f>IFERROR(INDEX(ERROR(0),DB(#REF!,#REF!,#REF!,SET.NAME("_",+INDEX(1,)),#REF!)),RETURN(INDEX(TYPE(_),SET.NAME("_"))))</f>
        <v>0</v>
      </c>
      <c r="F788" s="2" t="b">
        <f>IFERROR(INDEX(ERROR(0),DB(#REF!,#REF!,#REF!,INDIRECT(SET.NAME({1,"_"},)),#REF!)),RETURN(INDEX(TYPE(_),SET.NAME("_"))))</f>
        <v>0</v>
      </c>
      <c r="G788" s="2">
        <f>TYPE(INDEX(,DB(#REF!,#REF!,#REF!,INDEX(1,),#REF!)))</f>
        <v>16</v>
      </c>
    </row>
    <row r="789" spans="1:7" x14ac:dyDescent="0.55000000000000004">
      <c r="A789" s="1" t="s">
        <v>1698</v>
      </c>
      <c r="B789" s="2">
        <f>COUNTIF(A:A,A789)-1</f>
        <v>5</v>
      </c>
      <c r="C789" s="2">
        <f>COUNTIF(A$1:A789,A789)-1</f>
        <v>5</v>
      </c>
      <c r="D789" s="2" t="e">
        <f>DB(#REF!,#REF!,#REF!,#REF!,1)</f>
        <v>#REF!</v>
      </c>
      <c r="E789" s="2" t="b">
        <f>IFERROR(INDEX(ERROR(0),DB(#REF!,#REF!,#REF!,#REF!,SET.NAME("_",+INDEX(1,)))),RETURN(INDEX(TYPE(_),SET.NAME("_"))))</f>
        <v>0</v>
      </c>
      <c r="F789" s="2" t="b">
        <f>IFERROR(INDEX(ERROR(0),DB(#REF!,#REF!,#REF!,#REF!,INDIRECT(SET.NAME({1,"_"},)))),RETURN(INDEX(TYPE(_),SET.NAME("_"))))</f>
        <v>0</v>
      </c>
      <c r="G789" s="2">
        <f>TYPE(INDEX(,DB(#REF!,#REF!,#REF!,#REF!,INDEX(1,))))</f>
        <v>16</v>
      </c>
    </row>
    <row r="790" spans="1:7" x14ac:dyDescent="0.55000000000000004">
      <c r="A790" s="1" t="s">
        <v>1699</v>
      </c>
      <c r="B790" s="2">
        <f>COUNTIF(A:A,A790)-1</f>
        <v>1</v>
      </c>
      <c r="C790" s="2">
        <f>COUNTIF(A$1:A790,A790)-1</f>
        <v>0</v>
      </c>
      <c r="D790" s="2"/>
      <c r="E790" s="2"/>
      <c r="F790" s="2"/>
      <c r="G790" s="2"/>
    </row>
    <row r="791" spans="1:7" x14ac:dyDescent="0.55000000000000004">
      <c r="A791" s="1" t="s">
        <v>1699</v>
      </c>
      <c r="B791" s="2">
        <f>COUNTIF(A:A,A791)-1</f>
        <v>1</v>
      </c>
      <c r="C791" s="2">
        <f>COUNTIF(A$1:A791,A791)-1</f>
        <v>1</v>
      </c>
      <c r="D791" s="2" t="b">
        <f>PAUSE(1)</f>
        <v>0</v>
      </c>
      <c r="E791" s="2" t="b">
        <f>IFERROR(INDEX(ERROR(0),PAUSE(SET.NAME("_",+INDEX(1,)))),RETURN(INDEX(TYPE(_),SET.NAME("_"))))</f>
        <v>0</v>
      </c>
      <c r="F791" s="2" t="b">
        <f>IFERROR(INDEX(ERROR(0),PAUSE(INDIRECT(SET.NAME({1,"_"},)))),RETURN(INDEX(TYPE(_),SET.NAME("_"))))</f>
        <v>0</v>
      </c>
      <c r="G791" s="2">
        <f>TYPE(INDEX(,PAUSE(INDEX(1,))))</f>
        <v>16</v>
      </c>
    </row>
    <row r="792" spans="1:7" x14ac:dyDescent="0.55000000000000004">
      <c r="A792" s="1" t="s">
        <v>1700</v>
      </c>
      <c r="B792" s="2">
        <f>COUNTIF(A:A,A792)-1</f>
        <v>1</v>
      </c>
      <c r="C792" s="2">
        <f>COUNTIF(A$1:A792,A792)-1</f>
        <v>0</v>
      </c>
      <c r="D792" s="2"/>
      <c r="E792" s="2"/>
      <c r="F792" s="2"/>
      <c r="G792" s="2"/>
    </row>
    <row r="793" spans="1:7" x14ac:dyDescent="0.55000000000000004">
      <c r="A793" s="1" t="s">
        <v>1700</v>
      </c>
      <c r="B793" s="2">
        <f>COUNTIF(A:A,A793)-1</f>
        <v>1</v>
      </c>
      <c r="C793" s="2">
        <f>COUNTIF(A$1:A793,A793)-1</f>
        <v>1</v>
      </c>
      <c r="D793" s="2" t="b">
        <f>RESUME(1)</f>
        <v>0</v>
      </c>
      <c r="E793" s="2" t="b">
        <f>IFERROR(INDEX(ERROR(0),RESUME(SET.NAME("_",+INDEX(1,)))),RETURN(INDEX(TYPE(_),SET.NAME("_"))))</f>
        <v>0</v>
      </c>
      <c r="F793" s="2" t="b">
        <f>IFERROR(INDEX(ERROR(0),RESUME(INDIRECT(SET.NAME({1,"_"},)))),RETURN(INDEX(TYPE(_),SET.NAME("_"))))</f>
        <v>0</v>
      </c>
      <c r="G793" s="2">
        <f>TYPE(INDEX(,RESUME(INDEX(1,))))</f>
        <v>16</v>
      </c>
    </row>
    <row r="794" spans="1:7" x14ac:dyDescent="0.55000000000000004">
      <c r="A794" s="1" t="s">
        <v>1701</v>
      </c>
      <c r="B794" s="2">
        <f>COUNTIF(A:A,A794)-1</f>
        <v>2</v>
      </c>
      <c r="C794" s="2">
        <f>COUNTIF(A$1:A794,A794)-1</f>
        <v>0</v>
      </c>
      <c r="D794" s="2"/>
      <c r="E794" s="2"/>
      <c r="F794" s="2"/>
      <c r="G794" s="2"/>
    </row>
    <row r="795" spans="1:7" x14ac:dyDescent="0.55000000000000004">
      <c r="A795" s="1" t="s">
        <v>1701</v>
      </c>
      <c r="B795" s="2">
        <f>COUNTIF(A:A,A795)-1</f>
        <v>2</v>
      </c>
      <c r="C795" s="2">
        <f>COUNTIF(A$1:A795,A795)-1</f>
        <v>1</v>
      </c>
      <c r="D795" s="2" t="e">
        <f>FREQUENCY(1,#REF!)</f>
        <v>#REF!</v>
      </c>
      <c r="E795" s="2" t="b">
        <f>IFERROR(INDEX(ERROR(0),FREQUENCY(SET.NAME("_",+INDEX(1,)),#REF!)),RETURN(INDEX(TYPE(_),SET.NAME("_"))))</f>
        <v>0</v>
      </c>
      <c r="F795" s="2" t="b">
        <f>IFERROR(INDEX(ERROR(0),FREQUENCY(INDIRECT(SET.NAME({1,"_"},)),#REF!)),RETURN(INDEX(TYPE(_),SET.NAME("_"))))</f>
        <v>0</v>
      </c>
      <c r="G795" s="2">
        <f>TYPE(INDEX(,FREQUENCY(INDEX(1,),#REF!)))</f>
        <v>16</v>
      </c>
    </row>
    <row r="796" spans="1:7" x14ac:dyDescent="0.55000000000000004">
      <c r="A796" s="1" t="s">
        <v>1701</v>
      </c>
      <c r="B796" s="2">
        <f>COUNTIF(A:A,A796)-1</f>
        <v>2</v>
      </c>
      <c r="C796" s="2">
        <f>COUNTIF(A$1:A796,A796)-1</f>
        <v>2</v>
      </c>
      <c r="D796" s="2" t="e">
        <f>FREQUENCY(#REF!,1)</f>
        <v>#REF!</v>
      </c>
      <c r="E796" s="2" t="b">
        <f>IFERROR(INDEX(ERROR(0),FREQUENCY(#REF!,SET.NAME("_",+INDEX(1,)))),RETURN(INDEX(TYPE(_),SET.NAME("_"))))</f>
        <v>0</v>
      </c>
      <c r="F796" s="2" t="b">
        <f>IFERROR(INDEX(ERROR(0),FREQUENCY(#REF!,INDIRECT(SET.NAME({1,"_"},)))),RETURN(INDEX(TYPE(_),SET.NAME("_"))))</f>
        <v>0</v>
      </c>
      <c r="G796" s="2">
        <f>TYPE(INDEX(,FREQUENCY(#REF!,INDEX(1,))))</f>
        <v>16</v>
      </c>
    </row>
    <row r="797" spans="1:7" x14ac:dyDescent="0.55000000000000004">
      <c r="A797" s="1" t="s">
        <v>1702</v>
      </c>
      <c r="B797" s="2">
        <f>COUNTIF(A:A,A797)-1</f>
        <v>2</v>
      </c>
      <c r="C797" s="2">
        <f>COUNTIF(A$1:A797,A797)-1</f>
        <v>0</v>
      </c>
      <c r="D797" s="2"/>
      <c r="E797" s="2"/>
      <c r="F797" s="2"/>
      <c r="G797" s="2"/>
    </row>
    <row r="798" spans="1:7" x14ac:dyDescent="0.55000000000000004">
      <c r="A798" s="1" t="s">
        <v>1702</v>
      </c>
      <c r="B798" s="2">
        <f>COUNTIF(A:A,A798)-1</f>
        <v>2</v>
      </c>
      <c r="C798" s="2">
        <f>COUNTIF(A$1:A798,A798)-1</f>
        <v>1</v>
      </c>
      <c r="D798" s="2" t="e">
        <f>ADD.TOOLBAR(1,#REF!)</f>
        <v>#REF!</v>
      </c>
      <c r="E798" s="2" t="b">
        <f>IFERROR(INDEX(ERROR(0),ADD.TOOLBAR(SET.NAME("_",+INDEX(1,)),#REF!)),RETURN(INDEX(TYPE(_),SET.NAME("_"))))</f>
        <v>0</v>
      </c>
      <c r="F798" s="2" t="b">
        <f>IFERROR(INDEX(ERROR(0),ADD.TOOLBAR(INDIRECT(SET.NAME({1,"_"},)),#REF!)),RETURN(INDEX(TYPE(_),SET.NAME("_"))))</f>
        <v>0</v>
      </c>
      <c r="G798" s="2">
        <f>TYPE(INDEX(,ADD.TOOLBAR(INDEX(1,),#REF!)))</f>
        <v>16</v>
      </c>
    </row>
    <row r="799" spans="1:7" x14ac:dyDescent="0.55000000000000004">
      <c r="A799" s="1" t="s">
        <v>1702</v>
      </c>
      <c r="B799" s="2">
        <f>COUNTIF(A:A,A799)-1</f>
        <v>2</v>
      </c>
      <c r="C799" s="2">
        <f>COUNTIF(A$1:A799,A799)-1</f>
        <v>2</v>
      </c>
      <c r="D799" s="2" t="e">
        <f>ADD.TOOLBAR(#REF!,1)</f>
        <v>#REF!</v>
      </c>
      <c r="E799" s="2" t="b">
        <f>IFERROR(INDEX(ERROR(0),ADD.TOOLBAR(#REF!,SET.NAME("_",+INDEX(1,)))),RETURN(INDEX(TYPE(_),SET.NAME("_"))))</f>
        <v>0</v>
      </c>
      <c r="F799" s="2" t="b">
        <f>IFERROR(INDEX(ERROR(0),ADD.TOOLBAR(#REF!,INDIRECT(SET.NAME({1,"_"},)))),RETURN(INDEX(TYPE(_),SET.NAME("_"))))</f>
        <v>0</v>
      </c>
      <c r="G799" s="2">
        <f>TYPE(INDEX(,ADD.TOOLBAR(#REF!,INDEX(1,))))</f>
        <v>16</v>
      </c>
    </row>
    <row r="800" spans="1:7" x14ac:dyDescent="0.55000000000000004">
      <c r="A800" s="1" t="s">
        <v>1703</v>
      </c>
      <c r="B800" s="2">
        <f>COUNTIF(A:A,A800)-1</f>
        <v>1</v>
      </c>
      <c r="C800" s="2">
        <f>COUNTIF(A$1:A800,A800)-1</f>
        <v>0</v>
      </c>
      <c r="D800" s="2"/>
      <c r="E800" s="2"/>
      <c r="F800" s="2"/>
      <c r="G800" s="2"/>
    </row>
    <row r="801" spans="1:7" x14ac:dyDescent="0.55000000000000004">
      <c r="A801" s="1" t="s">
        <v>1703</v>
      </c>
      <c r="B801" s="2">
        <f>COUNTIF(A:A,A801)-1</f>
        <v>1</v>
      </c>
      <c r="C801" s="2">
        <f>COUNTIF(A$1:A801,A801)-1</f>
        <v>1</v>
      </c>
      <c r="D801" s="2" t="b">
        <f>DELETE.TOOLBAR(1)</f>
        <v>0</v>
      </c>
      <c r="E801" s="2" t="b">
        <f>IFERROR(INDEX(ERROR(0),DELETE.TOOLBAR(SET.NAME("_",+INDEX(1,)))),RETURN(INDEX(TYPE(_),SET.NAME("_"))))</f>
        <v>0</v>
      </c>
      <c r="F801" s="2" t="b">
        <f>IFERROR(INDEX(ERROR(0),DELETE.TOOLBAR(INDIRECT(SET.NAME({1,"_"},)))),RETURN(INDEX(TYPE(_),SET.NAME("_"))))</f>
        <v>0</v>
      </c>
      <c r="G801" s="2">
        <f>TYPE(INDEX(,DELETE.TOOLBAR(INDEX(1,))))</f>
        <v>16</v>
      </c>
    </row>
    <row r="802" spans="1:7" x14ac:dyDescent="0.55000000000000004">
      <c r="A802" s="1" t="s">
        <v>1704</v>
      </c>
      <c r="B802" s="2">
        <f>COUNTIF(A:A,A802)-1</f>
        <v>1</v>
      </c>
      <c r="C802" s="2">
        <f>COUNTIF(A$1:A802,A802)-1</f>
        <v>0</v>
      </c>
      <c r="D802" s="2"/>
      <c r="E802" s="2"/>
      <c r="F802" s="2"/>
      <c r="G802" s="2"/>
    </row>
    <row r="803" spans="1:7" x14ac:dyDescent="0.55000000000000004">
      <c r="A803" s="1" t="s">
        <v>1704</v>
      </c>
      <c r="B803" s="2">
        <f>COUNTIF(A:A,A803)-1</f>
        <v>1</v>
      </c>
      <c r="C803" s="2">
        <f>COUNTIF(A$1:A803,A803)-1</f>
        <v>1</v>
      </c>
      <c r="D803" s="2" t="b">
        <f>RESET.TOOLBAR(1)</f>
        <v>0</v>
      </c>
      <c r="E803" s="2" t="b">
        <f>IFERROR(INDEX(ERROR(0),RESET.TOOLBAR(SET.NAME("_",+INDEX(1,)))),RETURN(INDEX(TYPE(_),SET.NAME("_"))))</f>
        <v>0</v>
      </c>
      <c r="F803" s="2" t="b">
        <f>IFERROR(INDEX(ERROR(0),RESET.TOOLBAR(INDIRECT(SET.NAME({1,"_"},)))),RETURN(INDEX(TYPE(_),SET.NAME("_"))))</f>
        <v>0</v>
      </c>
      <c r="G803" s="2">
        <f>TYPE(INDEX(,RESET.TOOLBAR(INDEX(1,))))</f>
        <v>16</v>
      </c>
    </row>
    <row r="804" spans="1:7" x14ac:dyDescent="0.55000000000000004">
      <c r="A804" s="1" t="s">
        <v>1705</v>
      </c>
      <c r="B804" s="2">
        <f>COUNTIF(A:A,A804)-1</f>
        <v>1</v>
      </c>
      <c r="C804" s="2">
        <f>COUNTIF(A$1:A804,A804)-1</f>
        <v>0</v>
      </c>
      <c r="D804" s="2"/>
      <c r="E804" s="2"/>
      <c r="F804" s="2"/>
      <c r="G804" s="2"/>
    </row>
    <row r="805" spans="1:7" x14ac:dyDescent="0.55000000000000004">
      <c r="A805" s="1" t="s">
        <v>1705</v>
      </c>
      <c r="B805" s="2">
        <f>COUNTIF(A:A,A805)-1</f>
        <v>1</v>
      </c>
      <c r="C805" s="2">
        <f>COUNTIF(A$1:A805,A805)-1</f>
        <v>1</v>
      </c>
      <c r="D805" s="2">
        <f>EVALUATE(1)</f>
        <v>1</v>
      </c>
      <c r="E805" s="2" t="b">
        <f>IFERROR(INDEX(ERROR(0),EVALUATE(SET.NAME("_",+INDEX(1,)))),RETURN(INDEX(TYPE(_),SET.NAME("_"))))</f>
        <v>0</v>
      </c>
      <c r="F805" s="2" t="b">
        <f>IFERROR(INDEX(ERROR(0),EVALUATE(INDIRECT(SET.NAME({1,"_"},)))),RETURN(INDEX(TYPE(_),SET.NAME("_"))))</f>
        <v>0</v>
      </c>
      <c r="G805" s="2">
        <f>TYPE(INDEX(,EVALUATE(INDEX(1,))))</f>
        <v>16</v>
      </c>
    </row>
    <row r="806" spans="1:7" x14ac:dyDescent="0.55000000000000004">
      <c r="A806" s="1" t="s">
        <v>1706</v>
      </c>
      <c r="B806" s="2">
        <f>COUNTIF(A:A,A806)-1</f>
        <v>2</v>
      </c>
      <c r="C806" s="2">
        <f>COUNTIF(A$1:A806,A806)-1</f>
        <v>0</v>
      </c>
      <c r="D806" s="2"/>
      <c r="E806" s="2"/>
      <c r="F806" s="2"/>
      <c r="G806" s="2"/>
    </row>
    <row r="807" spans="1:7" x14ac:dyDescent="0.55000000000000004">
      <c r="A807" s="1" t="s">
        <v>1706</v>
      </c>
      <c r="B807" s="2">
        <f>COUNTIF(A:A,A807)-1</f>
        <v>2</v>
      </c>
      <c r="C807" s="2">
        <f>COUNTIF(A$1:A807,A807)-1</f>
        <v>1</v>
      </c>
      <c r="D807" s="2" t="e">
        <f>GET.TOOLBAR(1,#REF!)</f>
        <v>#REF!</v>
      </c>
      <c r="E807" s="2" t="b">
        <f>IFERROR(INDEX(ERROR(0),GET.TOOLBAR(SET.NAME("_",+INDEX(1,)),#REF!)),RETURN(INDEX(TYPE(_),SET.NAME("_"))))</f>
        <v>0</v>
      </c>
      <c r="F807" s="2" t="b">
        <f>IFERROR(INDEX(ERROR(0),GET.TOOLBAR(INDIRECT(SET.NAME({1,"_"},)),#REF!)),RETURN(INDEX(TYPE(_),SET.NAME("_"))))</f>
        <v>0</v>
      </c>
      <c r="G807" s="2">
        <f>TYPE(INDEX(,GET.TOOLBAR(INDEX(1,),#REF!)))</f>
        <v>16</v>
      </c>
    </row>
    <row r="808" spans="1:7" x14ac:dyDescent="0.55000000000000004">
      <c r="A808" s="1" t="s">
        <v>1706</v>
      </c>
      <c r="B808" s="2">
        <f>COUNTIF(A:A,A808)-1</f>
        <v>2</v>
      </c>
      <c r="C808" s="2">
        <f>COUNTIF(A$1:A808,A808)-1</f>
        <v>2</v>
      </c>
      <c r="D808" s="2" t="e">
        <f>GET.TOOLBAR(#REF!,1)</f>
        <v>#REF!</v>
      </c>
      <c r="E808" s="2" t="b">
        <f>IFERROR(INDEX(ERROR(0),GET.TOOLBAR(#REF!,SET.NAME("_",+INDEX(1,)))),RETURN(INDEX(TYPE(_),SET.NAME("_"))))</f>
        <v>0</v>
      </c>
      <c r="F808" s="2" t="b">
        <f>IFERROR(INDEX(ERROR(0),GET.TOOLBAR(#REF!,INDIRECT(SET.NAME({1,"_"},)))),RETURN(INDEX(TYPE(_),SET.NAME("_"))))</f>
        <v>0</v>
      </c>
      <c r="G808" s="2">
        <f>TYPE(INDEX(,GET.TOOLBAR(#REF!,INDEX(1,))))</f>
        <v>16</v>
      </c>
    </row>
    <row r="809" spans="1:7" x14ac:dyDescent="0.55000000000000004">
      <c r="A809" s="1" t="s">
        <v>1707</v>
      </c>
      <c r="B809" s="2">
        <f>COUNTIF(A:A,A809)-1</f>
        <v>3</v>
      </c>
      <c r="C809" s="2">
        <f>COUNTIF(A$1:A809,A809)-1</f>
        <v>0</v>
      </c>
      <c r="D809" s="2"/>
      <c r="E809" s="2"/>
      <c r="F809" s="2"/>
      <c r="G809" s="2"/>
    </row>
    <row r="810" spans="1:7" x14ac:dyDescent="0.55000000000000004">
      <c r="A810" s="1" t="s">
        <v>1707</v>
      </c>
      <c r="B810" s="2">
        <f>COUNTIF(A:A,A810)-1</f>
        <v>3</v>
      </c>
      <c r="C810" s="2">
        <f>COUNTIF(A$1:A810,A810)-1</f>
        <v>1</v>
      </c>
      <c r="D810" s="2" t="e">
        <f>GET.TOOL(1,#REF!,#REF!)</f>
        <v>#REF!</v>
      </c>
      <c r="E810" s="2" t="b">
        <f>IFERROR(INDEX(ERROR(0),GET.TOOL(SET.NAME("_",+INDEX(1,)),#REF!,#REF!)),RETURN(INDEX(TYPE(_),SET.NAME("_"))))</f>
        <v>0</v>
      </c>
      <c r="F810" s="2" t="b">
        <f>IFERROR(INDEX(ERROR(0),GET.TOOL(INDIRECT(SET.NAME({1,"_"},)),#REF!,#REF!)),RETURN(INDEX(TYPE(_),SET.NAME("_"))))</f>
        <v>0</v>
      </c>
      <c r="G810" s="2">
        <f>TYPE(INDEX(,GET.TOOL(INDEX(1,),#REF!,#REF!)))</f>
        <v>16</v>
      </c>
    </row>
    <row r="811" spans="1:7" x14ac:dyDescent="0.55000000000000004">
      <c r="A811" s="1" t="s">
        <v>1707</v>
      </c>
      <c r="B811" s="2">
        <f>COUNTIF(A:A,A811)-1</f>
        <v>3</v>
      </c>
      <c r="C811" s="2">
        <f>COUNTIF(A$1:A811,A811)-1</f>
        <v>2</v>
      </c>
      <c r="D811" s="2" t="e">
        <f>GET.TOOL(#REF!,1,#REF!)</f>
        <v>#REF!</v>
      </c>
      <c r="E811" s="2" t="b">
        <f>IFERROR(INDEX(ERROR(0),GET.TOOL(#REF!,SET.NAME("_",+INDEX(1,)),#REF!)),RETURN(INDEX(TYPE(_),SET.NAME("_"))))</f>
        <v>0</v>
      </c>
      <c r="F811" s="2" t="b">
        <f>IFERROR(INDEX(ERROR(0),GET.TOOL(#REF!,INDIRECT(SET.NAME({1,"_"},)),#REF!)),RETURN(INDEX(TYPE(_),SET.NAME("_"))))</f>
        <v>0</v>
      </c>
      <c r="G811" s="2">
        <f>TYPE(INDEX(,GET.TOOL(#REF!,INDEX(1,),#REF!)))</f>
        <v>16</v>
      </c>
    </row>
    <row r="812" spans="1:7" x14ac:dyDescent="0.55000000000000004">
      <c r="A812" s="1" t="s">
        <v>1707</v>
      </c>
      <c r="B812" s="2">
        <f>COUNTIF(A:A,A812)-1</f>
        <v>3</v>
      </c>
      <c r="C812" s="2">
        <f>COUNTIF(A$1:A812,A812)-1</f>
        <v>3</v>
      </c>
      <c r="D812" s="2" t="e">
        <f>GET.TOOL(#REF!,#REF!,1)</f>
        <v>#REF!</v>
      </c>
      <c r="E812" s="2" t="b">
        <f>IFERROR(INDEX(ERROR(0),GET.TOOL(#REF!,#REF!,SET.NAME("_",+INDEX(1,)))),RETURN(INDEX(TYPE(_),SET.NAME("_"))))</f>
        <v>0</v>
      </c>
      <c r="F812" s="2" t="b">
        <f>IFERROR(INDEX(ERROR(0),GET.TOOL(#REF!,#REF!,INDIRECT(SET.NAME({1,"_"},)))),RETURN(INDEX(TYPE(_),SET.NAME("_"))))</f>
        <v>0</v>
      </c>
      <c r="G812" s="2">
        <f>TYPE(INDEX(,GET.TOOL(#REF!,#REF!,INDEX(1,))))</f>
        <v>16</v>
      </c>
    </row>
    <row r="813" spans="1:7" x14ac:dyDescent="0.55000000000000004">
      <c r="A813" s="1" t="s">
        <v>1708</v>
      </c>
      <c r="B813" s="2">
        <f>COUNTIF(A:A,A813)-1</f>
        <v>3</v>
      </c>
      <c r="C813" s="2">
        <f>COUNTIF(A$1:A813,A813)-1</f>
        <v>0</v>
      </c>
      <c r="D813" s="2"/>
      <c r="E813" s="2"/>
      <c r="F813" s="2"/>
      <c r="G813" s="2"/>
    </row>
    <row r="814" spans="1:7" x14ac:dyDescent="0.55000000000000004">
      <c r="A814" s="1" t="s">
        <v>1708</v>
      </c>
      <c r="B814" s="2">
        <f>COUNTIF(A:A,A814)-1</f>
        <v>3</v>
      </c>
      <c r="C814" s="2">
        <f>COUNTIF(A$1:A814,A814)-1</f>
        <v>1</v>
      </c>
      <c r="D814" s="2" t="e">
        <f>SPELLING.CHECK(1,#REF!,#REF!)</f>
        <v>#REF!</v>
      </c>
      <c r="E814" s="2" t="b">
        <f>IFERROR(INDEX(ERROR(0),SPELLING.CHECK(SET.NAME("_",+INDEX(1,)),#REF!,#REF!)),RETURN(INDEX(TYPE(_),SET.NAME("_"))))</f>
        <v>0</v>
      </c>
      <c r="F814" s="2" t="b">
        <f>IFERROR(INDEX(ERROR(0),SPELLING.CHECK(INDIRECT(SET.NAME({1,"_"},)),#REF!,#REF!)),RETURN(INDEX(TYPE(_),SET.NAME("_"))))</f>
        <v>0</v>
      </c>
      <c r="G814" s="2">
        <f>TYPE(INDEX(,SPELLING.CHECK(INDEX(1,),#REF!,#REF!)))</f>
        <v>16</v>
      </c>
    </row>
    <row r="815" spans="1:7" x14ac:dyDescent="0.55000000000000004">
      <c r="A815" s="1" t="s">
        <v>1708</v>
      </c>
      <c r="B815" s="2">
        <f>COUNTIF(A:A,A815)-1</f>
        <v>3</v>
      </c>
      <c r="C815" s="2">
        <f>COUNTIF(A$1:A815,A815)-1</f>
        <v>2</v>
      </c>
      <c r="D815" s="2" t="e">
        <f>SPELLING.CHECK(#REF!,1,#REF!)</f>
        <v>#REF!</v>
      </c>
      <c r="E815" s="2" t="b">
        <f>IFERROR(INDEX(ERROR(0),SPELLING.CHECK(#REF!,SET.NAME("_",+INDEX(1,)),#REF!)),RETURN(INDEX(TYPE(_),SET.NAME("_"))))</f>
        <v>0</v>
      </c>
      <c r="F815" s="2" t="b">
        <f>IFERROR(INDEX(ERROR(0),SPELLING.CHECK(#REF!,INDIRECT(SET.NAME({1,"_"},)),#REF!)),RETURN(INDEX(TYPE(_),SET.NAME("_"))))</f>
        <v>0</v>
      </c>
      <c r="G815" s="2">
        <f>TYPE(INDEX(,SPELLING.CHECK(#REF!,INDEX(1,),#REF!)))</f>
        <v>16</v>
      </c>
    </row>
    <row r="816" spans="1:7" x14ac:dyDescent="0.55000000000000004">
      <c r="A816" s="1" t="s">
        <v>1708</v>
      </c>
      <c r="B816" s="2">
        <f>COUNTIF(A:A,A816)-1</f>
        <v>3</v>
      </c>
      <c r="C816" s="2">
        <f>COUNTIF(A$1:A816,A816)-1</f>
        <v>3</v>
      </c>
      <c r="D816" s="2" t="e">
        <f>SPELLING.CHECK(#REF!,#REF!,1)</f>
        <v>#REF!</v>
      </c>
      <c r="E816" s="2" t="b">
        <f>IFERROR(INDEX(ERROR(0),SPELLING.CHECK(#REF!,#REF!,SET.NAME("_",+INDEX(1,)))),RETURN(INDEX(TYPE(_),SET.NAME("_"))))</f>
        <v>0</v>
      </c>
      <c r="F816" s="2" t="b">
        <f>IFERROR(INDEX(ERROR(0),SPELLING.CHECK(#REF!,#REF!,INDIRECT(SET.NAME({1,"_"},)))),RETURN(INDEX(TYPE(_),SET.NAME("_"))))</f>
        <v>0</v>
      </c>
      <c r="G816" s="2">
        <f>TYPE(INDEX(,SPELLING.CHECK(#REF!,#REF!,INDEX(1,))))</f>
        <v>16</v>
      </c>
    </row>
    <row r="817" spans="1:7" x14ac:dyDescent="0.55000000000000004">
      <c r="A817" s="1" t="s">
        <v>1709</v>
      </c>
      <c r="B817" s="2">
        <f>COUNTIF(A:A,A817)-1</f>
        <v>1</v>
      </c>
      <c r="C817" s="2">
        <f>COUNTIF(A$1:A817,A817)-1</f>
        <v>0</v>
      </c>
      <c r="D817" s="2"/>
      <c r="E817" s="2"/>
      <c r="F817" s="2"/>
      <c r="G817" s="2"/>
    </row>
    <row r="818" spans="1:7" x14ac:dyDescent="0.55000000000000004">
      <c r="A818" s="1" t="s">
        <v>1709</v>
      </c>
      <c r="B818" s="2">
        <f>COUNTIF(A:A,A818)-1</f>
        <v>1</v>
      </c>
      <c r="C818" s="2">
        <f>COUNTIF(A$1:A818,A818)-1</f>
        <v>1</v>
      </c>
      <c r="D818" s="2" t="e">
        <f>ERROR.TYPE(1)</f>
        <v>#N/A</v>
      </c>
      <c r="E818" s="2" t="b">
        <f>IFERROR(INDEX(ERROR(0),ERROR.TYPE(SET.NAME("_",+INDEX(1,)))),RETURN(INDEX(TYPE(_),SET.NAME("_"))))</f>
        <v>0</v>
      </c>
      <c r="F818" s="2" t="b">
        <f>IFERROR(INDEX(ERROR(0),ERROR.TYPE(INDIRECT(SET.NAME({1,"_"},)))),RETURN(INDEX(TYPE(_),SET.NAME("_"))))</f>
        <v>0</v>
      </c>
      <c r="G818" s="2">
        <f>TYPE(INDEX(,ERROR.TYPE(INDEX(1,))))</f>
        <v>16</v>
      </c>
    </row>
    <row r="819" spans="1:7" x14ac:dyDescent="0.55000000000000004">
      <c r="A819" s="1" t="s">
        <v>1710</v>
      </c>
      <c r="B819" s="2">
        <f>COUNTIF(A:A,A819)-1</f>
        <v>1</v>
      </c>
      <c r="C819" s="2">
        <f>COUNTIF(A$1:A819,A819)-1</f>
        <v>0</v>
      </c>
      <c r="D819" s="2"/>
      <c r="E819" s="2"/>
      <c r="F819" s="2"/>
      <c r="G819" s="2"/>
    </row>
    <row r="820" spans="1:7" x14ac:dyDescent="0.55000000000000004">
      <c r="A820" s="1" t="s">
        <v>1710</v>
      </c>
      <c r="B820" s="2">
        <f>COUNTIF(A:A,A820)-1</f>
        <v>1</v>
      </c>
      <c r="C820" s="2">
        <f>COUNTIF(A$1:A820,A820)-1</f>
        <v>1</v>
      </c>
      <c r="D820" s="2" t="b">
        <f>APP.TITLE(1)</f>
        <v>0</v>
      </c>
      <c r="E820" s="2" t="b">
        <f>IFERROR(INDEX(ERROR(0),APP.TITLE(SET.NAME("_",+INDEX(1,)))),RETURN(INDEX(TYPE(_),SET.NAME("_"))))</f>
        <v>0</v>
      </c>
      <c r="F820" s="2" t="b">
        <f>IFERROR(INDEX(ERROR(0),APP.TITLE(INDIRECT(SET.NAME({1,"_"},)))),RETURN(INDEX(TYPE(_),SET.NAME("_"))))</f>
        <v>0</v>
      </c>
      <c r="G820" s="2">
        <f>TYPE(INDEX(,APP.TITLE(INDEX(1,))))</f>
        <v>16</v>
      </c>
    </row>
    <row r="821" spans="1:7" x14ac:dyDescent="0.55000000000000004">
      <c r="A821" s="1" t="s">
        <v>1711</v>
      </c>
      <c r="B821" s="2">
        <f>COUNTIF(A:A,A821)-1</f>
        <v>1</v>
      </c>
      <c r="C821" s="2">
        <f>COUNTIF(A$1:A821,A821)-1</f>
        <v>0</v>
      </c>
      <c r="D821" s="2"/>
      <c r="E821" s="2"/>
      <c r="F821" s="2"/>
      <c r="G821" s="2"/>
    </row>
    <row r="822" spans="1:7" x14ac:dyDescent="0.55000000000000004">
      <c r="A822" s="1" t="s">
        <v>1711</v>
      </c>
      <c r="B822" s="2">
        <f>COUNTIF(A:A,A822)-1</f>
        <v>1</v>
      </c>
      <c r="C822" s="2">
        <f>COUNTIF(A$1:A822,A822)-1</f>
        <v>1</v>
      </c>
      <c r="D822" s="2" t="b">
        <f>WINDOW.TITLE(1)</f>
        <v>0</v>
      </c>
      <c r="E822" s="2" t="b">
        <f>IFERROR(INDEX(ERROR(0),WINDOW.TITLE(SET.NAME("_",+INDEX(1,)))),RETURN(INDEX(TYPE(_),SET.NAME("_"))))</f>
        <v>0</v>
      </c>
      <c r="F822" s="2" t="b">
        <f>IFERROR(INDEX(ERROR(0),WINDOW.TITLE(INDIRECT(SET.NAME({1,"_"},)))),RETURN(INDEX(TYPE(_),SET.NAME("_"))))</f>
        <v>0</v>
      </c>
      <c r="G822" s="2">
        <f>TYPE(INDEX(,WINDOW.TITLE(INDEX(1,))))</f>
        <v>16</v>
      </c>
    </row>
    <row r="823" spans="1:7" x14ac:dyDescent="0.55000000000000004">
      <c r="A823" s="1" t="s">
        <v>1712</v>
      </c>
      <c r="B823" s="2">
        <f>COUNTIF(A:A,A823)-1</f>
        <v>2</v>
      </c>
      <c r="C823" s="2">
        <f>COUNTIF(A$1:A823,A823)-1</f>
        <v>0</v>
      </c>
      <c r="D823" s="2"/>
      <c r="E823" s="2"/>
      <c r="F823" s="2"/>
      <c r="G823" s="2"/>
    </row>
    <row r="824" spans="1:7" x14ac:dyDescent="0.55000000000000004">
      <c r="A824" s="1" t="s">
        <v>1712</v>
      </c>
      <c r="B824" s="2">
        <f>COUNTIF(A:A,A824)-1</f>
        <v>2</v>
      </c>
      <c r="C824" s="2">
        <f>COUNTIF(A$1:A824,A824)-1</f>
        <v>1</v>
      </c>
      <c r="D824" s="2" t="e">
        <f>SAVE.TOOLBAR(1,#REF!)</f>
        <v>#REF!</v>
      </c>
      <c r="E824" s="2" t="b">
        <f>IFERROR(INDEX(ERROR(0),SAVE.TOOLBAR(SET.NAME("_",+INDEX(1,)),#REF!)),RETURN(INDEX(TYPE(_),SET.NAME("_"))))</f>
        <v>0</v>
      </c>
      <c r="F824" s="2" t="b">
        <f>IFERROR(INDEX(ERROR(0),SAVE.TOOLBAR(INDIRECT(SET.NAME({1,"_"},)),#REF!)),RETURN(INDEX(TYPE(_),SET.NAME("_"))))</f>
        <v>0</v>
      </c>
      <c r="G824" s="2">
        <f>TYPE(INDEX(,SAVE.TOOLBAR(INDEX(1,),#REF!)))</f>
        <v>16</v>
      </c>
    </row>
    <row r="825" spans="1:7" x14ac:dyDescent="0.55000000000000004">
      <c r="A825" s="1" t="s">
        <v>1712</v>
      </c>
      <c r="B825" s="2">
        <f>COUNTIF(A:A,A825)-1</f>
        <v>2</v>
      </c>
      <c r="C825" s="2">
        <f>COUNTIF(A$1:A825,A825)-1</f>
        <v>2</v>
      </c>
      <c r="D825" s="2" t="e">
        <f>SAVE.TOOLBAR(#REF!,1)</f>
        <v>#REF!</v>
      </c>
      <c r="E825" s="2" t="b">
        <f>IFERROR(INDEX(ERROR(0),SAVE.TOOLBAR(#REF!,SET.NAME("_",+INDEX(1,)))),RETURN(INDEX(TYPE(_),SET.NAME("_"))))</f>
        <v>0</v>
      </c>
      <c r="F825" s="2" t="b">
        <f>IFERROR(INDEX(ERROR(0),SAVE.TOOLBAR(#REF!,INDIRECT(SET.NAME({1,"_"},)))),RETURN(INDEX(TYPE(_),SET.NAME("_"))))</f>
        <v>0</v>
      </c>
      <c r="G825" s="2">
        <f>TYPE(INDEX(,SAVE.TOOLBAR(#REF!,INDEX(1,))))</f>
        <v>16</v>
      </c>
    </row>
    <row r="826" spans="1:7" x14ac:dyDescent="0.55000000000000004">
      <c r="A826" s="1" t="s">
        <v>1713</v>
      </c>
      <c r="B826" s="2">
        <f>COUNTIF(A:A,A826)-1</f>
        <v>3</v>
      </c>
      <c r="C826" s="2">
        <f>COUNTIF(A$1:A826,A826)-1</f>
        <v>0</v>
      </c>
      <c r="D826" s="2"/>
      <c r="E826" s="2"/>
      <c r="F826" s="2"/>
      <c r="G826" s="2"/>
    </row>
    <row r="827" spans="1:7" x14ac:dyDescent="0.55000000000000004">
      <c r="A827" s="1" t="s">
        <v>1713</v>
      </c>
      <c r="B827" s="2">
        <f>COUNTIF(A:A,A827)-1</f>
        <v>3</v>
      </c>
      <c r="C827" s="2">
        <f>COUNTIF(A$1:A827,A827)-1</f>
        <v>1</v>
      </c>
      <c r="D827" s="2" t="b">
        <f>ENABLE.TOOL(1,#REF!,#REF!)</f>
        <v>0</v>
      </c>
      <c r="E827" s="2" t="b">
        <f>IFERROR(INDEX(ERROR(0),ENABLE.TOOL(SET.NAME("_",+INDEX(1,)),#REF!,#REF!)),RETURN(INDEX(TYPE(_),SET.NAME("_"))))</f>
        <v>0</v>
      </c>
      <c r="F827" s="2" t="b">
        <f>IFERROR(INDEX(ERROR(0),ENABLE.TOOL(INDIRECT(SET.NAME({1,"_"},)),#REF!,#REF!)),RETURN(INDEX(TYPE(_),SET.NAME("_"))))</f>
        <v>0</v>
      </c>
      <c r="G827" s="2">
        <f>TYPE(INDEX(,ENABLE.TOOL(INDEX(1,),#REF!,#REF!)))</f>
        <v>16</v>
      </c>
    </row>
    <row r="828" spans="1:7" x14ac:dyDescent="0.55000000000000004">
      <c r="A828" s="1" t="s">
        <v>1713</v>
      </c>
      <c r="B828" s="2">
        <f>COUNTIF(A:A,A828)-1</f>
        <v>3</v>
      </c>
      <c r="C828" s="2">
        <f>COUNTIF(A$1:A828,A828)-1</f>
        <v>2</v>
      </c>
      <c r="D828" s="2" t="b">
        <f>ENABLE.TOOL(#REF!,1,#REF!)</f>
        <v>0</v>
      </c>
      <c r="E828" s="2" t="b">
        <f>IFERROR(INDEX(ERROR(0),ENABLE.TOOL(#REF!,SET.NAME("_",+INDEX(1,)),#REF!)),RETURN(INDEX(TYPE(_),SET.NAME("_"))))</f>
        <v>0</v>
      </c>
      <c r="F828" s="2" t="b">
        <f>IFERROR(INDEX(ERROR(0),ENABLE.TOOL(#REF!,INDIRECT(SET.NAME({1,"_"},)),#REF!)),RETURN(INDEX(TYPE(_),SET.NAME("_"))))</f>
        <v>0</v>
      </c>
      <c r="G828" s="2">
        <f>TYPE(INDEX(,ENABLE.TOOL(#REF!,INDEX(1,),#REF!)))</f>
        <v>16</v>
      </c>
    </row>
    <row r="829" spans="1:7" x14ac:dyDescent="0.55000000000000004">
      <c r="A829" s="1" t="s">
        <v>1713</v>
      </c>
      <c r="B829" s="2">
        <f>COUNTIF(A:A,A829)-1</f>
        <v>3</v>
      </c>
      <c r="C829" s="2">
        <f>COUNTIF(A$1:A829,A829)-1</f>
        <v>3</v>
      </c>
      <c r="D829" s="2" t="b">
        <f>ENABLE.TOOL(#REF!,#REF!,1)</f>
        <v>0</v>
      </c>
      <c r="E829" s="2" t="b">
        <f>IFERROR(INDEX(ERROR(0),ENABLE.TOOL(#REF!,#REF!,SET.NAME("_",+INDEX(1,)))),RETURN(INDEX(TYPE(_),SET.NAME("_"))))</f>
        <v>0</v>
      </c>
      <c r="F829" s="2" t="b">
        <f>IFERROR(INDEX(ERROR(0),ENABLE.TOOL(#REF!,#REF!,INDIRECT(SET.NAME({1,"_"},)))),RETURN(INDEX(TYPE(_),SET.NAME("_"))))</f>
        <v>0</v>
      </c>
      <c r="G829" s="2">
        <f>TYPE(INDEX(,ENABLE.TOOL(#REF!,#REF!,INDEX(1,))))</f>
        <v>16</v>
      </c>
    </row>
    <row r="830" spans="1:7" x14ac:dyDescent="0.55000000000000004">
      <c r="A830" s="1" t="s">
        <v>1714</v>
      </c>
      <c r="B830" s="2">
        <f>COUNTIF(A:A,A830)-1</f>
        <v>3</v>
      </c>
      <c r="C830" s="2">
        <f>COUNTIF(A$1:A830,A830)-1</f>
        <v>0</v>
      </c>
      <c r="D830" s="2"/>
      <c r="E830" s="2"/>
      <c r="F830" s="2"/>
      <c r="G830" s="2"/>
    </row>
    <row r="831" spans="1:7" x14ac:dyDescent="0.55000000000000004">
      <c r="A831" s="1" t="s">
        <v>1714</v>
      </c>
      <c r="B831" s="2">
        <f>COUNTIF(A:A,A831)-1</f>
        <v>3</v>
      </c>
      <c r="C831" s="2">
        <f>COUNTIF(A$1:A831,A831)-1</f>
        <v>1</v>
      </c>
      <c r="D831" s="2" t="b">
        <f>PRESS.TOOL(1,#REF!,#REF!)</f>
        <v>0</v>
      </c>
      <c r="E831" s="2" t="b">
        <f>IFERROR(INDEX(ERROR(0),PRESS.TOOL(SET.NAME("_",+INDEX(1,)),#REF!,#REF!)),RETURN(INDEX(TYPE(_),SET.NAME("_"))))</f>
        <v>0</v>
      </c>
      <c r="F831" s="2" t="b">
        <f>IFERROR(INDEX(ERROR(0),PRESS.TOOL(INDIRECT(SET.NAME({1,"_"},)),#REF!,#REF!)),RETURN(INDEX(TYPE(_),SET.NAME("_"))))</f>
        <v>0</v>
      </c>
      <c r="G831" s="2">
        <f>TYPE(INDEX(,PRESS.TOOL(INDEX(1,),#REF!,#REF!)))</f>
        <v>16</v>
      </c>
    </row>
    <row r="832" spans="1:7" x14ac:dyDescent="0.55000000000000004">
      <c r="A832" s="1" t="s">
        <v>1714</v>
      </c>
      <c r="B832" s="2">
        <f>COUNTIF(A:A,A832)-1</f>
        <v>3</v>
      </c>
      <c r="C832" s="2">
        <f>COUNTIF(A$1:A832,A832)-1</f>
        <v>2</v>
      </c>
      <c r="D832" s="2" t="b">
        <f>PRESS.TOOL(#REF!,1,#REF!)</f>
        <v>0</v>
      </c>
      <c r="E832" s="2" t="b">
        <f>IFERROR(INDEX(ERROR(0),PRESS.TOOL(#REF!,SET.NAME("_",+INDEX(1,)),#REF!)),RETURN(INDEX(TYPE(_),SET.NAME("_"))))</f>
        <v>0</v>
      </c>
      <c r="F832" s="2" t="b">
        <f>IFERROR(INDEX(ERROR(0),PRESS.TOOL(#REF!,INDIRECT(SET.NAME({1,"_"},)),#REF!)),RETURN(INDEX(TYPE(_),SET.NAME("_"))))</f>
        <v>0</v>
      </c>
      <c r="G832" s="2">
        <f>TYPE(INDEX(,PRESS.TOOL(#REF!,INDEX(1,),#REF!)))</f>
        <v>16</v>
      </c>
    </row>
    <row r="833" spans="1:7" x14ac:dyDescent="0.55000000000000004">
      <c r="A833" s="1" t="s">
        <v>1714</v>
      </c>
      <c r="B833" s="2">
        <f>COUNTIF(A:A,A833)-1</f>
        <v>3</v>
      </c>
      <c r="C833" s="2">
        <f>COUNTIF(A$1:A833,A833)-1</f>
        <v>3</v>
      </c>
      <c r="D833" s="2" t="b">
        <f>PRESS.TOOL(#REF!,#REF!,1)</f>
        <v>0</v>
      </c>
      <c r="E833" s="2" t="b">
        <f>IFERROR(INDEX(ERROR(0),PRESS.TOOL(#REF!,#REF!,SET.NAME("_",+INDEX(1,)))),RETURN(INDEX(TYPE(_),SET.NAME("_"))))</f>
        <v>0</v>
      </c>
      <c r="F833" s="2" t="b">
        <f>IFERROR(INDEX(ERROR(0),PRESS.TOOL(#REF!,#REF!,INDIRECT(SET.NAME({1,"_"},)))),RETURN(INDEX(TYPE(_),SET.NAME("_"))))</f>
        <v>0</v>
      </c>
      <c r="G833" s="2">
        <f>TYPE(INDEX(,PRESS.TOOL(#REF!,#REF!,INDEX(1,))))</f>
        <v>16</v>
      </c>
    </row>
    <row r="834" spans="1:7" x14ac:dyDescent="0.55000000000000004">
      <c r="A834" s="1" t="s">
        <v>1715</v>
      </c>
      <c r="B834" s="2">
        <f>COUNTIF(A:A,A834)-1</f>
        <v>3</v>
      </c>
      <c r="C834" s="2">
        <f>COUNTIF(A$1:A834,A834)-1</f>
        <v>0</v>
      </c>
      <c r="D834" s="2"/>
      <c r="E834" s="2"/>
      <c r="F834" s="2"/>
      <c r="G834" s="2"/>
    </row>
    <row r="835" spans="1:7" x14ac:dyDescent="0.55000000000000004">
      <c r="A835" s="1" t="s">
        <v>1715</v>
      </c>
      <c r="B835" s="2">
        <f>COUNTIF(A:A,A835)-1</f>
        <v>3</v>
      </c>
      <c r="C835" s="2">
        <f>COUNTIF(A$1:A835,A835)-1</f>
        <v>1</v>
      </c>
      <c r="D835" s="2" t="e">
        <f>REGISTER.ID(1,#REF!,#REF!)</f>
        <v>#REF!</v>
      </c>
      <c r="E835" s="2" t="b">
        <f>IFERROR(INDEX(ERROR(0),REGISTER.ID(SET.NAME("_",+INDEX(1,)),#REF!,#REF!)),RETURN(INDEX(TYPE(_),SET.NAME("_"))))</f>
        <v>0</v>
      </c>
      <c r="F835" s="2" t="b">
        <f>IFERROR(INDEX(ERROR(0),REGISTER.ID(INDIRECT(SET.NAME({1,"_"},)),#REF!,#REF!)),RETURN(INDEX(TYPE(_),SET.NAME("_"))))</f>
        <v>0</v>
      </c>
      <c r="G835" s="2">
        <f>TYPE(INDEX(,REGISTER.ID(INDEX(1,),#REF!,#REF!)))</f>
        <v>16</v>
      </c>
    </row>
    <row r="836" spans="1:7" x14ac:dyDescent="0.55000000000000004">
      <c r="A836" s="1" t="s">
        <v>1715</v>
      </c>
      <c r="B836" s="2">
        <f>COUNTIF(A:A,A836)-1</f>
        <v>3</v>
      </c>
      <c r="C836" s="2">
        <f>COUNTIF(A$1:A836,A836)-1</f>
        <v>2</v>
      </c>
      <c r="D836" s="2" t="e">
        <f>REGISTER.ID(#REF!,1,#REF!)</f>
        <v>#REF!</v>
      </c>
      <c r="E836" s="2" t="b">
        <f>IFERROR(INDEX(ERROR(0),REGISTER.ID(#REF!,SET.NAME("_",+INDEX(1,)),#REF!)),RETURN(INDEX(TYPE(_),SET.NAME("_"))))</f>
        <v>0</v>
      </c>
      <c r="F836" s="2" t="b">
        <f>IFERROR(INDEX(ERROR(0),REGISTER.ID(#REF!,INDIRECT(SET.NAME({1,"_"},)),#REF!)),RETURN(INDEX(TYPE(_),SET.NAME("_"))))</f>
        <v>0</v>
      </c>
      <c r="G836" s="2">
        <f>TYPE(INDEX(,REGISTER.ID(#REF!,INDEX(1,),#REF!)))</f>
        <v>16</v>
      </c>
    </row>
    <row r="837" spans="1:7" x14ac:dyDescent="0.55000000000000004">
      <c r="A837" s="1" t="s">
        <v>1715</v>
      </c>
      <c r="B837" s="2">
        <f>COUNTIF(A:A,A837)-1</f>
        <v>3</v>
      </c>
      <c r="C837" s="2">
        <f>COUNTIF(A$1:A837,A837)-1</f>
        <v>3</v>
      </c>
      <c r="D837" s="2" t="e">
        <f>REGISTER.ID(#REF!,#REF!,1)</f>
        <v>#REF!</v>
      </c>
      <c r="E837" s="2" t="b">
        <f>IFERROR(INDEX(ERROR(0),REGISTER.ID(#REF!,#REF!,SET.NAME("_",+INDEX(1,)))),RETURN(INDEX(TYPE(_),SET.NAME("_"))))</f>
        <v>0</v>
      </c>
      <c r="F837" s="2" t="b">
        <f>IFERROR(INDEX(ERROR(0),REGISTER.ID(#REF!,#REF!,INDIRECT(SET.NAME({1,"_"},)))),RETURN(INDEX(TYPE(_),SET.NAME("_"))))</f>
        <v>0</v>
      </c>
      <c r="G837" s="2">
        <f>TYPE(INDEX(,REGISTER.ID(#REF!,#REF!,INDEX(1,))))</f>
        <v>16</v>
      </c>
    </row>
    <row r="838" spans="1:7" x14ac:dyDescent="0.55000000000000004">
      <c r="A838" s="1" t="s">
        <v>1716</v>
      </c>
      <c r="B838" s="2">
        <f>COUNTIF(A:A,A838)-1</f>
        <v>2</v>
      </c>
      <c r="C838" s="2">
        <f>COUNTIF(A$1:A838,A838)-1</f>
        <v>0</v>
      </c>
      <c r="D838" s="2"/>
      <c r="E838" s="2"/>
      <c r="F838" s="2"/>
      <c r="G838" s="2"/>
    </row>
    <row r="839" spans="1:7" x14ac:dyDescent="0.55000000000000004">
      <c r="A839" s="1" t="s">
        <v>1716</v>
      </c>
      <c r="B839" s="2">
        <f>COUNTIF(A:A,A839)-1</f>
        <v>2</v>
      </c>
      <c r="C839" s="2">
        <f>COUNTIF(A$1:A839,A839)-1</f>
        <v>1</v>
      </c>
      <c r="D839" s="2" t="e">
        <f>GET.WORKBOOK(1,#REF!)</f>
        <v>#REF!</v>
      </c>
      <c r="E839" s="2" t="b">
        <f>IFERROR(INDEX(ERROR(0),GET.WORKBOOK(SET.NAME("_",+INDEX(1,)),#REF!)),RETURN(INDEX(TYPE(_),SET.NAME("_"))))</f>
        <v>0</v>
      </c>
      <c r="F839" s="2" t="b">
        <f>IFERROR(INDEX(ERROR(0),GET.WORKBOOK(INDIRECT(SET.NAME({1,"_"},)),#REF!)),RETURN(INDEX(TYPE(_),SET.NAME("_"))))</f>
        <v>0</v>
      </c>
      <c r="G839" s="2">
        <f>TYPE(INDEX(,GET.WORKBOOK(INDEX(1,),#REF!)))</f>
        <v>16</v>
      </c>
    </row>
    <row r="840" spans="1:7" x14ac:dyDescent="0.55000000000000004">
      <c r="A840" s="1" t="s">
        <v>1716</v>
      </c>
      <c r="B840" s="2">
        <f>COUNTIF(A:A,A840)-1</f>
        <v>2</v>
      </c>
      <c r="C840" s="2">
        <f>COUNTIF(A$1:A840,A840)-1</f>
        <v>2</v>
      </c>
      <c r="D840" s="2" t="e">
        <f>GET.WORKBOOK(#REF!,1)</f>
        <v>#REF!</v>
      </c>
      <c r="E840" s="2" t="b">
        <f>IFERROR(INDEX(ERROR(0),GET.WORKBOOK(#REF!,SET.NAME("_",+INDEX(1,)))),RETURN(INDEX(TYPE(_),SET.NAME("_"))))</f>
        <v>0</v>
      </c>
      <c r="F840" s="2" t="b">
        <f>IFERROR(INDEX(ERROR(0),GET.WORKBOOK(#REF!,INDIRECT(SET.NAME({1,"_"},)))),RETURN(INDEX(TYPE(_),SET.NAME("_"))))</f>
        <v>0</v>
      </c>
      <c r="G840" s="2">
        <f>TYPE(INDEX(,GET.WORKBOOK(#REF!,INDEX(1,))))</f>
        <v>16</v>
      </c>
    </row>
    <row r="841" spans="1:7" x14ac:dyDescent="0.55000000000000004">
      <c r="A841" s="1" t="s">
        <v>1717</v>
      </c>
      <c r="B841" s="2">
        <f>COUNTIF(A:A,A841)-1</f>
        <v>3</v>
      </c>
      <c r="C841" s="2">
        <f>COUNTIF(A$1:A841,A841)-1</f>
        <v>0</v>
      </c>
      <c r="D841" s="2"/>
      <c r="E841" s="2"/>
      <c r="F841" s="2"/>
      <c r="G841" s="2"/>
    </row>
    <row r="842" spans="1:7" x14ac:dyDescent="0.55000000000000004">
      <c r="A842" s="1" t="s">
        <v>1717</v>
      </c>
      <c r="B842" s="2">
        <f>COUNTIF(A:A,A842)-1</f>
        <v>3</v>
      </c>
      <c r="C842" s="2">
        <f>COUNTIF(A$1:A842,A842)-1</f>
        <v>1</v>
      </c>
      <c r="D842" s="2" t="e">
        <f>AVEDEV(1,#REF!,#REF!)</f>
        <v>#REF!</v>
      </c>
      <c r="E842" s="2" t="b">
        <f>IFERROR(INDEX(ERROR(0),AVEDEV(SET.NAME("_",+INDEX(1,)),#REF!,#REF!)),RETURN(INDEX(TYPE(_),SET.NAME("_"))))</f>
        <v>0</v>
      </c>
      <c r="F842" s="2" t="b">
        <f>IFERROR(INDEX(ERROR(0),AVEDEV(INDIRECT(SET.NAME({1,"_"},)),#REF!,#REF!)),RETURN(INDEX(TYPE(_),SET.NAME("_"))))</f>
        <v>0</v>
      </c>
      <c r="G842" s="2">
        <f>TYPE(INDEX(,AVEDEV(INDEX(1,),#REF!,#REF!)))</f>
        <v>16</v>
      </c>
    </row>
    <row r="843" spans="1:7" x14ac:dyDescent="0.55000000000000004">
      <c r="A843" s="1" t="s">
        <v>1717</v>
      </c>
      <c r="B843" s="2">
        <f>COUNTIF(A:A,A843)-1</f>
        <v>3</v>
      </c>
      <c r="C843" s="2">
        <f>COUNTIF(A$1:A843,A843)-1</f>
        <v>2</v>
      </c>
      <c r="D843" s="2" t="e">
        <f>AVEDEV(#REF!,1,#REF!)</f>
        <v>#REF!</v>
      </c>
      <c r="E843" s="2" t="b">
        <f>IFERROR(INDEX(ERROR(0),AVEDEV(#REF!,SET.NAME("_",+INDEX(1,)),#REF!)),RETURN(INDEX(TYPE(_),SET.NAME("_"))))</f>
        <v>0</v>
      </c>
      <c r="F843" s="2" t="b">
        <f>IFERROR(INDEX(ERROR(0),AVEDEV(#REF!,INDIRECT(SET.NAME({1,"_"},)),#REF!)),RETURN(INDEX(TYPE(_),SET.NAME("_"))))</f>
        <v>0</v>
      </c>
      <c r="G843" s="2">
        <f>TYPE(INDEX(,AVEDEV(#REF!,INDEX(1,),#REF!)))</f>
        <v>16</v>
      </c>
    </row>
    <row r="844" spans="1:7" x14ac:dyDescent="0.55000000000000004">
      <c r="A844" s="1" t="s">
        <v>1717</v>
      </c>
      <c r="B844" s="2">
        <f>COUNTIF(A:A,A844)-1</f>
        <v>3</v>
      </c>
      <c r="C844" s="2">
        <f>COUNTIF(A$1:A844,A844)-1</f>
        <v>3</v>
      </c>
      <c r="D844" s="2" t="e">
        <f>AVEDEV(#REF!,#REF!,1)</f>
        <v>#REF!</v>
      </c>
      <c r="E844" s="2" t="b">
        <f>IFERROR(INDEX(ERROR(0),AVEDEV(#REF!,#REF!,SET.NAME("_",+INDEX(1,)))),RETURN(INDEX(TYPE(_),SET.NAME("_"))))</f>
        <v>0</v>
      </c>
      <c r="F844" s="2" t="b">
        <f>IFERROR(INDEX(ERROR(0),AVEDEV(#REF!,#REF!,INDIRECT(SET.NAME({1,"_"},)))),RETURN(INDEX(TYPE(_),SET.NAME("_"))))</f>
        <v>0</v>
      </c>
      <c r="G844" s="2">
        <f>TYPE(INDEX(,AVEDEV(#REF!,#REF!,INDEX(1,))))</f>
        <v>16</v>
      </c>
    </row>
    <row r="845" spans="1:7" x14ac:dyDescent="0.55000000000000004">
      <c r="A845" s="1" t="s">
        <v>1718</v>
      </c>
      <c r="B845" s="2">
        <f>COUNTIF(A:A,A845)-1</f>
        <v>5</v>
      </c>
      <c r="C845" s="2">
        <f>COUNTIF(A$1:A845,A845)-1</f>
        <v>0</v>
      </c>
      <c r="D845" s="2"/>
      <c r="E845" s="2"/>
      <c r="F845" s="2"/>
      <c r="G845" s="2"/>
    </row>
    <row r="846" spans="1:7" x14ac:dyDescent="0.55000000000000004">
      <c r="A846" s="1" t="s">
        <v>1718</v>
      </c>
      <c r="B846" s="2">
        <f>COUNTIF(A:A,A846)-1</f>
        <v>5</v>
      </c>
      <c r="C846" s="2">
        <f>COUNTIF(A$1:A846,A846)-1</f>
        <v>1</v>
      </c>
      <c r="D846" s="2" t="e">
        <f>BETADIST(1,#REF!,#REF!,#REF!,#REF!)</f>
        <v>#REF!</v>
      </c>
      <c r="E846" s="2" t="b">
        <f>IFERROR(INDEX(ERROR(0),BETADIST(SET.NAME("_",+INDEX(1,)),#REF!,#REF!,#REF!,#REF!)),RETURN(INDEX(TYPE(_),SET.NAME("_"))))</f>
        <v>0</v>
      </c>
      <c r="F846" s="2" t="b">
        <f>IFERROR(INDEX(ERROR(0),BETADIST(INDIRECT(SET.NAME({1,"_"},)),#REF!,#REF!,#REF!,#REF!)),RETURN(INDEX(TYPE(_),SET.NAME("_"))))</f>
        <v>0</v>
      </c>
      <c r="G846" s="2">
        <f>TYPE(INDEX(,BETADIST(INDEX(1,),#REF!,#REF!,#REF!,#REF!)))</f>
        <v>16</v>
      </c>
    </row>
    <row r="847" spans="1:7" x14ac:dyDescent="0.55000000000000004">
      <c r="A847" s="1" t="s">
        <v>1718</v>
      </c>
      <c r="B847" s="2">
        <f>COUNTIF(A:A,A847)-1</f>
        <v>5</v>
      </c>
      <c r="C847" s="2">
        <f>COUNTIF(A$1:A847,A847)-1</f>
        <v>2</v>
      </c>
      <c r="D847" s="2" t="e">
        <f>BETADIST(#REF!,1,#REF!,#REF!,#REF!)</f>
        <v>#REF!</v>
      </c>
      <c r="E847" s="2" t="b">
        <f>IFERROR(INDEX(ERROR(0),BETADIST(#REF!,SET.NAME("_",+INDEX(1,)),#REF!,#REF!,#REF!)),RETURN(INDEX(TYPE(_),SET.NAME("_"))))</f>
        <v>0</v>
      </c>
      <c r="F847" s="2" t="b">
        <f>IFERROR(INDEX(ERROR(0),BETADIST(#REF!,INDIRECT(SET.NAME({1,"_"},)),#REF!,#REF!,#REF!)),RETURN(INDEX(TYPE(_),SET.NAME("_"))))</f>
        <v>0</v>
      </c>
      <c r="G847" s="2">
        <f>TYPE(INDEX(,BETADIST(#REF!,INDEX(1,),#REF!,#REF!,#REF!)))</f>
        <v>16</v>
      </c>
    </row>
    <row r="848" spans="1:7" x14ac:dyDescent="0.55000000000000004">
      <c r="A848" s="1" t="s">
        <v>1718</v>
      </c>
      <c r="B848" s="2">
        <f>COUNTIF(A:A,A848)-1</f>
        <v>5</v>
      </c>
      <c r="C848" s="2">
        <f>COUNTIF(A$1:A848,A848)-1</f>
        <v>3</v>
      </c>
      <c r="D848" s="2" t="e">
        <f>BETADIST(#REF!,#REF!,1,#REF!,#REF!)</f>
        <v>#REF!</v>
      </c>
      <c r="E848" s="2" t="b">
        <f>IFERROR(INDEX(ERROR(0),BETADIST(#REF!,#REF!,SET.NAME("_",+INDEX(1,)),#REF!,#REF!)),RETURN(INDEX(TYPE(_),SET.NAME("_"))))</f>
        <v>0</v>
      </c>
      <c r="F848" s="2" t="b">
        <f>IFERROR(INDEX(ERROR(0),BETADIST(#REF!,#REF!,INDIRECT(SET.NAME({1,"_"},)),#REF!,#REF!)),RETURN(INDEX(TYPE(_),SET.NAME("_"))))</f>
        <v>0</v>
      </c>
      <c r="G848" s="2">
        <f>TYPE(INDEX(,BETADIST(#REF!,#REF!,INDEX(1,),#REF!,#REF!)))</f>
        <v>16</v>
      </c>
    </row>
    <row r="849" spans="1:7" x14ac:dyDescent="0.55000000000000004">
      <c r="A849" s="1" t="s">
        <v>1718</v>
      </c>
      <c r="B849" s="2">
        <f>COUNTIF(A:A,A849)-1</f>
        <v>5</v>
      </c>
      <c r="C849" s="2">
        <f>COUNTIF(A$1:A849,A849)-1</f>
        <v>4</v>
      </c>
      <c r="D849" s="2" t="e">
        <f>BETADIST(#REF!,#REF!,#REF!,1,#REF!)</f>
        <v>#REF!</v>
      </c>
      <c r="E849" s="2" t="b">
        <f>IFERROR(INDEX(ERROR(0),BETADIST(#REF!,#REF!,#REF!,SET.NAME("_",+INDEX(1,)),#REF!)),RETURN(INDEX(TYPE(_),SET.NAME("_"))))</f>
        <v>0</v>
      </c>
      <c r="F849" s="2" t="b">
        <f>IFERROR(INDEX(ERROR(0),BETADIST(#REF!,#REF!,#REF!,INDIRECT(SET.NAME({1,"_"},)),#REF!)),RETURN(INDEX(TYPE(_),SET.NAME("_"))))</f>
        <v>0</v>
      </c>
      <c r="G849" s="2">
        <f>TYPE(INDEX(,BETADIST(#REF!,#REF!,#REF!,INDEX(1,),#REF!)))</f>
        <v>16</v>
      </c>
    </row>
    <row r="850" spans="1:7" x14ac:dyDescent="0.55000000000000004">
      <c r="A850" s="1" t="s">
        <v>1718</v>
      </c>
      <c r="B850" s="2">
        <f>COUNTIF(A:A,A850)-1</f>
        <v>5</v>
      </c>
      <c r="C850" s="2">
        <f>COUNTIF(A$1:A850,A850)-1</f>
        <v>5</v>
      </c>
      <c r="D850" s="2" t="e">
        <f>BETADIST(#REF!,#REF!,#REF!,#REF!,1)</f>
        <v>#REF!</v>
      </c>
      <c r="E850" s="2" t="b">
        <f>IFERROR(INDEX(ERROR(0),BETADIST(#REF!,#REF!,#REF!,#REF!,SET.NAME("_",+INDEX(1,)))),RETURN(INDEX(TYPE(_),SET.NAME("_"))))</f>
        <v>0</v>
      </c>
      <c r="F850" s="2" t="b">
        <f>IFERROR(INDEX(ERROR(0),BETADIST(#REF!,#REF!,#REF!,#REF!,INDIRECT(SET.NAME({1,"_"},)))),RETURN(INDEX(TYPE(_),SET.NAME("_"))))</f>
        <v>0</v>
      </c>
      <c r="G850" s="2">
        <f>TYPE(INDEX(,BETADIST(#REF!,#REF!,#REF!,#REF!,INDEX(1,))))</f>
        <v>16</v>
      </c>
    </row>
    <row r="851" spans="1:7" x14ac:dyDescent="0.55000000000000004">
      <c r="A851" s="1" t="s">
        <v>1719</v>
      </c>
      <c r="B851" s="2">
        <f>COUNTIF(A:A,A851)-1</f>
        <v>1</v>
      </c>
      <c r="C851" s="2">
        <f>COUNTIF(A$1:A851,A851)-1</f>
        <v>0</v>
      </c>
      <c r="D851" s="2"/>
      <c r="E851" s="2"/>
      <c r="F851" s="2"/>
      <c r="G851" s="2"/>
    </row>
    <row r="852" spans="1:7" x14ac:dyDescent="0.55000000000000004">
      <c r="A852" s="1" t="s">
        <v>1719</v>
      </c>
      <c r="B852" s="2">
        <f>COUNTIF(A:A,A852)-1</f>
        <v>1</v>
      </c>
      <c r="C852" s="2">
        <f>COUNTIF(A$1:A852,A852)-1</f>
        <v>1</v>
      </c>
      <c r="D852" s="2">
        <f>GAMMALN(1)</f>
        <v>0</v>
      </c>
      <c r="E852" s="2" t="b">
        <f>IFERROR(INDEX(ERROR(0),GAMMALN(SET.NAME("_",+INDEX(1,)))),RETURN(INDEX(TYPE(_),SET.NAME("_"))))</f>
        <v>0</v>
      </c>
      <c r="F852" s="2" t="b">
        <f>IFERROR(INDEX(ERROR(0),GAMMALN(INDIRECT(SET.NAME({1,"_"},)))),RETURN(INDEX(TYPE(_),SET.NAME("_"))))</f>
        <v>0</v>
      </c>
      <c r="G852" s="2">
        <f>TYPE(INDEX(,GAMMALN(INDEX(1,))))</f>
        <v>16</v>
      </c>
    </row>
    <row r="853" spans="1:7" x14ac:dyDescent="0.55000000000000004">
      <c r="A853" s="1" t="s">
        <v>1720</v>
      </c>
      <c r="B853" s="2">
        <f>COUNTIF(A:A,A853)-1</f>
        <v>5</v>
      </c>
      <c r="C853" s="2">
        <f>COUNTIF(A$1:A853,A853)-1</f>
        <v>0</v>
      </c>
      <c r="D853" s="2"/>
      <c r="E853" s="2"/>
      <c r="F853" s="2"/>
      <c r="G853" s="2"/>
    </row>
    <row r="854" spans="1:7" x14ac:dyDescent="0.55000000000000004">
      <c r="A854" s="1" t="s">
        <v>1720</v>
      </c>
      <c r="B854" s="2">
        <f>COUNTIF(A:A,A854)-1</f>
        <v>5</v>
      </c>
      <c r="C854" s="2">
        <f>COUNTIF(A$1:A854,A854)-1</f>
        <v>1</v>
      </c>
      <c r="D854" s="2" t="e">
        <f>BETAINV(1,#REF!,#REF!,#REF!,#REF!)</f>
        <v>#REF!</v>
      </c>
      <c r="E854" s="2" t="b">
        <f>IFERROR(INDEX(ERROR(0),BETAINV(SET.NAME("_",+INDEX(1,)),#REF!,#REF!,#REF!,#REF!)),RETURN(INDEX(TYPE(_),SET.NAME("_"))))</f>
        <v>0</v>
      </c>
      <c r="F854" s="2" t="b">
        <f>IFERROR(INDEX(ERROR(0),BETAINV(INDIRECT(SET.NAME({1,"_"},)),#REF!,#REF!,#REF!,#REF!)),RETURN(INDEX(TYPE(_),SET.NAME("_"))))</f>
        <v>0</v>
      </c>
      <c r="G854" s="2">
        <f>TYPE(INDEX(,BETAINV(INDEX(1,),#REF!,#REF!,#REF!,#REF!)))</f>
        <v>16</v>
      </c>
    </row>
    <row r="855" spans="1:7" x14ac:dyDescent="0.55000000000000004">
      <c r="A855" s="1" t="s">
        <v>1720</v>
      </c>
      <c r="B855" s="2">
        <f>COUNTIF(A:A,A855)-1</f>
        <v>5</v>
      </c>
      <c r="C855" s="2">
        <f>COUNTIF(A$1:A855,A855)-1</f>
        <v>2</v>
      </c>
      <c r="D855" s="2" t="e">
        <f>BETAINV(#REF!,1,#REF!,#REF!,#REF!)</f>
        <v>#REF!</v>
      </c>
      <c r="E855" s="2" t="b">
        <f>IFERROR(INDEX(ERROR(0),BETAINV(#REF!,SET.NAME("_",+INDEX(1,)),#REF!,#REF!,#REF!)),RETURN(INDEX(TYPE(_),SET.NAME("_"))))</f>
        <v>0</v>
      </c>
      <c r="F855" s="2" t="b">
        <f>IFERROR(INDEX(ERROR(0),BETAINV(#REF!,INDIRECT(SET.NAME({1,"_"},)),#REF!,#REF!,#REF!)),RETURN(INDEX(TYPE(_),SET.NAME("_"))))</f>
        <v>0</v>
      </c>
      <c r="G855" s="2">
        <f>TYPE(INDEX(,BETAINV(#REF!,INDEX(1,),#REF!,#REF!,#REF!)))</f>
        <v>16</v>
      </c>
    </row>
    <row r="856" spans="1:7" x14ac:dyDescent="0.55000000000000004">
      <c r="A856" s="1" t="s">
        <v>1720</v>
      </c>
      <c r="B856" s="2">
        <f>COUNTIF(A:A,A856)-1</f>
        <v>5</v>
      </c>
      <c r="C856" s="2">
        <f>COUNTIF(A$1:A856,A856)-1</f>
        <v>3</v>
      </c>
      <c r="D856" s="2" t="e">
        <f>BETAINV(#REF!,#REF!,1,#REF!,#REF!)</f>
        <v>#REF!</v>
      </c>
      <c r="E856" s="2" t="b">
        <f>IFERROR(INDEX(ERROR(0),BETAINV(#REF!,#REF!,SET.NAME("_",+INDEX(1,)),#REF!,#REF!)),RETURN(INDEX(TYPE(_),SET.NAME("_"))))</f>
        <v>0</v>
      </c>
      <c r="F856" s="2" t="b">
        <f>IFERROR(INDEX(ERROR(0),BETAINV(#REF!,#REF!,INDIRECT(SET.NAME({1,"_"},)),#REF!,#REF!)),RETURN(INDEX(TYPE(_),SET.NAME("_"))))</f>
        <v>0</v>
      </c>
      <c r="G856" s="2">
        <f>TYPE(INDEX(,BETAINV(#REF!,#REF!,INDEX(1,),#REF!,#REF!)))</f>
        <v>16</v>
      </c>
    </row>
    <row r="857" spans="1:7" x14ac:dyDescent="0.55000000000000004">
      <c r="A857" s="1" t="s">
        <v>1720</v>
      </c>
      <c r="B857" s="2">
        <f>COUNTIF(A:A,A857)-1</f>
        <v>5</v>
      </c>
      <c r="C857" s="2">
        <f>COUNTIF(A$1:A857,A857)-1</f>
        <v>4</v>
      </c>
      <c r="D857" s="2" t="e">
        <f>BETAINV(#REF!,#REF!,#REF!,1,#REF!)</f>
        <v>#REF!</v>
      </c>
      <c r="E857" s="2" t="b">
        <f>IFERROR(INDEX(ERROR(0),BETAINV(#REF!,#REF!,#REF!,SET.NAME("_",+INDEX(1,)),#REF!)),RETURN(INDEX(TYPE(_),SET.NAME("_"))))</f>
        <v>0</v>
      </c>
      <c r="F857" s="2" t="b">
        <f>IFERROR(INDEX(ERROR(0),BETAINV(#REF!,#REF!,#REF!,INDIRECT(SET.NAME({1,"_"},)),#REF!)),RETURN(INDEX(TYPE(_),SET.NAME("_"))))</f>
        <v>0</v>
      </c>
      <c r="G857" s="2">
        <f>TYPE(INDEX(,BETAINV(#REF!,#REF!,#REF!,INDEX(1,),#REF!)))</f>
        <v>16</v>
      </c>
    </row>
    <row r="858" spans="1:7" x14ac:dyDescent="0.55000000000000004">
      <c r="A858" s="1" t="s">
        <v>1720</v>
      </c>
      <c r="B858" s="2">
        <f>COUNTIF(A:A,A858)-1</f>
        <v>5</v>
      </c>
      <c r="C858" s="2">
        <f>COUNTIF(A$1:A858,A858)-1</f>
        <v>5</v>
      </c>
      <c r="D858" s="2" t="e">
        <f>BETAINV(#REF!,#REF!,#REF!,#REF!,1)</f>
        <v>#REF!</v>
      </c>
      <c r="E858" s="2" t="b">
        <f>IFERROR(INDEX(ERROR(0),BETAINV(#REF!,#REF!,#REF!,#REF!,SET.NAME("_",+INDEX(1,)))),RETURN(INDEX(TYPE(_),SET.NAME("_"))))</f>
        <v>0</v>
      </c>
      <c r="F858" s="2" t="b">
        <f>IFERROR(INDEX(ERROR(0),BETAINV(#REF!,#REF!,#REF!,#REF!,INDIRECT(SET.NAME({1,"_"},)))),RETURN(INDEX(TYPE(_),SET.NAME("_"))))</f>
        <v>0</v>
      </c>
      <c r="G858" s="2">
        <f>TYPE(INDEX(,BETAINV(#REF!,#REF!,#REF!,#REF!,INDEX(1,))))</f>
        <v>16</v>
      </c>
    </row>
    <row r="859" spans="1:7" x14ac:dyDescent="0.55000000000000004">
      <c r="A859" s="1" t="s">
        <v>1721</v>
      </c>
      <c r="B859" s="2">
        <f>COUNTIF(A:A,A859)-1</f>
        <v>4</v>
      </c>
      <c r="C859" s="2">
        <f>COUNTIF(A$1:A859,A859)-1</f>
        <v>0</v>
      </c>
      <c r="D859" s="2"/>
      <c r="E859" s="2"/>
      <c r="F859" s="2"/>
      <c r="G859" s="2"/>
    </row>
    <row r="860" spans="1:7" x14ac:dyDescent="0.55000000000000004">
      <c r="A860" s="1" t="s">
        <v>1721</v>
      </c>
      <c r="B860" s="2">
        <f>COUNTIF(A:A,A860)-1</f>
        <v>4</v>
      </c>
      <c r="C860" s="2">
        <f>COUNTIF(A$1:A860,A860)-1</f>
        <v>1</v>
      </c>
      <c r="D860" s="2" t="e">
        <f>BINOMDIST(1,#REF!,#REF!,#REF!)</f>
        <v>#REF!</v>
      </c>
      <c r="E860" s="2" t="b">
        <f>IFERROR(INDEX(ERROR(0),BINOMDIST(SET.NAME("_",+INDEX(1,)),#REF!,#REF!,#REF!)),RETURN(INDEX(TYPE(_),SET.NAME("_"))))</f>
        <v>0</v>
      </c>
      <c r="F860" s="2" t="b">
        <f>IFERROR(INDEX(ERROR(0),BINOMDIST(INDIRECT(SET.NAME({1,"_"},)),#REF!,#REF!,#REF!)),RETURN(INDEX(TYPE(_),SET.NAME("_"))))</f>
        <v>0</v>
      </c>
      <c r="G860" s="2">
        <f>TYPE(INDEX(,BINOMDIST(INDEX(1,),#REF!,#REF!,#REF!)))</f>
        <v>16</v>
      </c>
    </row>
    <row r="861" spans="1:7" x14ac:dyDescent="0.55000000000000004">
      <c r="A861" s="1" t="s">
        <v>1721</v>
      </c>
      <c r="B861" s="2">
        <f>COUNTIF(A:A,A861)-1</f>
        <v>4</v>
      </c>
      <c r="C861" s="2">
        <f>COUNTIF(A$1:A861,A861)-1</f>
        <v>2</v>
      </c>
      <c r="D861" s="2" t="e">
        <f>BINOMDIST(#REF!,1,#REF!,#REF!)</f>
        <v>#REF!</v>
      </c>
      <c r="E861" s="2" t="b">
        <f>IFERROR(INDEX(ERROR(0),BINOMDIST(#REF!,SET.NAME("_",+INDEX(1,)),#REF!,#REF!)),RETURN(INDEX(TYPE(_),SET.NAME("_"))))</f>
        <v>0</v>
      </c>
      <c r="F861" s="2" t="b">
        <f>IFERROR(INDEX(ERROR(0),BINOMDIST(#REF!,INDIRECT(SET.NAME({1,"_"},)),#REF!,#REF!)),RETURN(INDEX(TYPE(_),SET.NAME("_"))))</f>
        <v>0</v>
      </c>
      <c r="G861" s="2">
        <f>TYPE(INDEX(,BINOMDIST(#REF!,INDEX(1,),#REF!,#REF!)))</f>
        <v>16</v>
      </c>
    </row>
    <row r="862" spans="1:7" x14ac:dyDescent="0.55000000000000004">
      <c r="A862" s="1" t="s">
        <v>1721</v>
      </c>
      <c r="B862" s="2">
        <f>COUNTIF(A:A,A862)-1</f>
        <v>4</v>
      </c>
      <c r="C862" s="2">
        <f>COUNTIF(A$1:A862,A862)-1</f>
        <v>3</v>
      </c>
      <c r="D862" s="2" t="e">
        <f>BINOMDIST(#REF!,#REF!,1,#REF!)</f>
        <v>#REF!</v>
      </c>
      <c r="E862" s="2" t="b">
        <f>IFERROR(INDEX(ERROR(0),BINOMDIST(#REF!,#REF!,SET.NAME("_",+INDEX(1,)),#REF!)),RETURN(INDEX(TYPE(_),SET.NAME("_"))))</f>
        <v>0</v>
      </c>
      <c r="F862" s="2" t="b">
        <f>IFERROR(INDEX(ERROR(0),BINOMDIST(#REF!,#REF!,INDIRECT(SET.NAME({1,"_"},)),#REF!)),RETURN(INDEX(TYPE(_),SET.NAME("_"))))</f>
        <v>0</v>
      </c>
      <c r="G862" s="2">
        <f>TYPE(INDEX(,BINOMDIST(#REF!,#REF!,INDEX(1,),#REF!)))</f>
        <v>16</v>
      </c>
    </row>
    <row r="863" spans="1:7" x14ac:dyDescent="0.55000000000000004">
      <c r="A863" s="1" t="s">
        <v>1721</v>
      </c>
      <c r="B863" s="2">
        <f>COUNTIF(A:A,A863)-1</f>
        <v>4</v>
      </c>
      <c r="C863" s="2">
        <f>COUNTIF(A$1:A863,A863)-1</f>
        <v>4</v>
      </c>
      <c r="D863" s="2" t="e">
        <f>BINOMDIST(#REF!,#REF!,#REF!,1)</f>
        <v>#REF!</v>
      </c>
      <c r="E863" s="2" t="b">
        <f>IFERROR(INDEX(ERROR(0),BINOMDIST(#REF!,#REF!,#REF!,SET.NAME("_",+INDEX(1,)))),RETURN(INDEX(TYPE(_),SET.NAME("_"))))</f>
        <v>0</v>
      </c>
      <c r="F863" s="2" t="b">
        <f>IFERROR(INDEX(ERROR(0),BINOMDIST(#REF!,#REF!,#REF!,INDIRECT(SET.NAME({1,"_"},)))),RETURN(INDEX(TYPE(_),SET.NAME("_"))))</f>
        <v>0</v>
      </c>
      <c r="G863" s="2">
        <f>TYPE(INDEX(,BINOMDIST(#REF!,#REF!,#REF!,INDEX(1,))))</f>
        <v>16</v>
      </c>
    </row>
    <row r="864" spans="1:7" x14ac:dyDescent="0.55000000000000004">
      <c r="A864" s="1" t="s">
        <v>1722</v>
      </c>
      <c r="B864" s="2">
        <f>COUNTIF(A:A,A864)-1</f>
        <v>2</v>
      </c>
      <c r="C864" s="2">
        <f>COUNTIF(A$1:A864,A864)-1</f>
        <v>0</v>
      </c>
      <c r="D864" s="2"/>
      <c r="E864" s="2"/>
      <c r="F864" s="2"/>
      <c r="G864" s="2"/>
    </row>
    <row r="865" spans="1:7" x14ac:dyDescent="0.55000000000000004">
      <c r="A865" s="1" t="s">
        <v>1722</v>
      </c>
      <c r="B865" s="2">
        <f>COUNTIF(A:A,A865)-1</f>
        <v>2</v>
      </c>
      <c r="C865" s="2">
        <f>COUNTIF(A$1:A865,A865)-1</f>
        <v>1</v>
      </c>
      <c r="D865" s="2" t="e">
        <f>CHIDIST(1,#REF!)</f>
        <v>#REF!</v>
      </c>
      <c r="E865" s="2" t="b">
        <f>IFERROR(INDEX(ERROR(0),CHIDIST(SET.NAME("_",+INDEX(1,)),#REF!)),RETURN(INDEX(TYPE(_),SET.NAME("_"))))</f>
        <v>0</v>
      </c>
      <c r="F865" s="2" t="b">
        <f>IFERROR(INDEX(ERROR(0),CHIDIST(INDIRECT(SET.NAME({1,"_"},)),#REF!)),RETURN(INDEX(TYPE(_),SET.NAME("_"))))</f>
        <v>0</v>
      </c>
      <c r="G865" s="2">
        <f>TYPE(INDEX(,CHIDIST(INDEX(1,),#REF!)))</f>
        <v>16</v>
      </c>
    </row>
    <row r="866" spans="1:7" x14ac:dyDescent="0.55000000000000004">
      <c r="A866" s="1" t="s">
        <v>1722</v>
      </c>
      <c r="B866" s="2">
        <f>COUNTIF(A:A,A866)-1</f>
        <v>2</v>
      </c>
      <c r="C866" s="2">
        <f>COUNTIF(A$1:A866,A866)-1</f>
        <v>2</v>
      </c>
      <c r="D866" s="2" t="e">
        <f>CHIDIST(#REF!,1)</f>
        <v>#REF!</v>
      </c>
      <c r="E866" s="2" t="b">
        <f>IFERROR(INDEX(ERROR(0),CHIDIST(#REF!,SET.NAME("_",+INDEX(1,)))),RETURN(INDEX(TYPE(_),SET.NAME("_"))))</f>
        <v>0</v>
      </c>
      <c r="F866" s="2" t="b">
        <f>IFERROR(INDEX(ERROR(0),CHIDIST(#REF!,INDIRECT(SET.NAME({1,"_"},)))),RETURN(INDEX(TYPE(_),SET.NAME("_"))))</f>
        <v>0</v>
      </c>
      <c r="G866" s="2">
        <f>TYPE(INDEX(,CHIDIST(#REF!,INDEX(1,))))</f>
        <v>16</v>
      </c>
    </row>
    <row r="867" spans="1:7" x14ac:dyDescent="0.55000000000000004">
      <c r="A867" s="1" t="s">
        <v>1723</v>
      </c>
      <c r="B867" s="2">
        <f>COUNTIF(A:A,A867)-1</f>
        <v>2</v>
      </c>
      <c r="C867" s="2">
        <f>COUNTIF(A$1:A867,A867)-1</f>
        <v>0</v>
      </c>
      <c r="D867" s="2"/>
      <c r="E867" s="2"/>
      <c r="F867" s="2"/>
      <c r="G867" s="2"/>
    </row>
    <row r="868" spans="1:7" x14ac:dyDescent="0.55000000000000004">
      <c r="A868" s="1" t="s">
        <v>1723</v>
      </c>
      <c r="B868" s="2">
        <f>COUNTIF(A:A,A868)-1</f>
        <v>2</v>
      </c>
      <c r="C868" s="2">
        <f>COUNTIF(A$1:A868,A868)-1</f>
        <v>1</v>
      </c>
      <c r="D868" s="2" t="e">
        <f>CHIINV(1,#REF!)</f>
        <v>#REF!</v>
      </c>
      <c r="E868" s="2" t="b">
        <f>IFERROR(INDEX(ERROR(0),CHIINV(SET.NAME("_",+INDEX(1,)),#REF!)),RETURN(INDEX(TYPE(_),SET.NAME("_"))))</f>
        <v>0</v>
      </c>
      <c r="F868" s="2" t="b">
        <f>IFERROR(INDEX(ERROR(0),CHIINV(INDIRECT(SET.NAME({1,"_"},)),#REF!)),RETURN(INDEX(TYPE(_),SET.NAME("_"))))</f>
        <v>0</v>
      </c>
      <c r="G868" s="2">
        <f>TYPE(INDEX(,CHIINV(INDEX(1,),#REF!)))</f>
        <v>16</v>
      </c>
    </row>
    <row r="869" spans="1:7" x14ac:dyDescent="0.55000000000000004">
      <c r="A869" s="1" t="s">
        <v>1723</v>
      </c>
      <c r="B869" s="2">
        <f>COUNTIF(A:A,A869)-1</f>
        <v>2</v>
      </c>
      <c r="C869" s="2">
        <f>COUNTIF(A$1:A869,A869)-1</f>
        <v>2</v>
      </c>
      <c r="D869" s="2" t="e">
        <f>CHIINV(#REF!,1)</f>
        <v>#REF!</v>
      </c>
      <c r="E869" s="2" t="b">
        <f>IFERROR(INDEX(ERROR(0),CHIINV(#REF!,SET.NAME("_",+INDEX(1,)))),RETURN(INDEX(TYPE(_),SET.NAME("_"))))</f>
        <v>0</v>
      </c>
      <c r="F869" s="2" t="b">
        <f>IFERROR(INDEX(ERROR(0),CHIINV(#REF!,INDIRECT(SET.NAME({1,"_"},)))),RETURN(INDEX(TYPE(_),SET.NAME("_"))))</f>
        <v>0</v>
      </c>
      <c r="G869" s="2">
        <f>TYPE(INDEX(,CHIINV(#REF!,INDEX(1,))))</f>
        <v>16</v>
      </c>
    </row>
    <row r="870" spans="1:7" x14ac:dyDescent="0.55000000000000004">
      <c r="A870" s="1" t="s">
        <v>1724</v>
      </c>
      <c r="B870" s="2">
        <f>COUNTIF(A:A,A870)-1</f>
        <v>2</v>
      </c>
      <c r="C870" s="2">
        <f>COUNTIF(A$1:A870,A870)-1</f>
        <v>0</v>
      </c>
      <c r="D870" s="2"/>
      <c r="E870" s="2"/>
      <c r="F870" s="2"/>
      <c r="G870" s="2"/>
    </row>
    <row r="871" spans="1:7" x14ac:dyDescent="0.55000000000000004">
      <c r="A871" s="1" t="s">
        <v>1724</v>
      </c>
      <c r="B871" s="2">
        <f>COUNTIF(A:A,A871)-1</f>
        <v>2</v>
      </c>
      <c r="C871" s="2">
        <f>COUNTIF(A$1:A871,A871)-1</f>
        <v>1</v>
      </c>
      <c r="D871" s="2" t="e">
        <f>COMBIN(1,#REF!)</f>
        <v>#REF!</v>
      </c>
      <c r="E871" s="2" t="b">
        <f>IFERROR(INDEX(ERROR(0),COMBIN(SET.NAME("_",+INDEX(1,)),#REF!)),RETURN(INDEX(TYPE(_),SET.NAME("_"))))</f>
        <v>0</v>
      </c>
      <c r="F871" s="2" t="b">
        <f>IFERROR(INDEX(ERROR(0),COMBIN(INDIRECT(SET.NAME({1,"_"},)),#REF!)),RETURN(INDEX(TYPE(_),SET.NAME("_"))))</f>
        <v>0</v>
      </c>
      <c r="G871" s="2">
        <f>TYPE(INDEX(,COMBIN(INDEX(1,),#REF!)))</f>
        <v>16</v>
      </c>
    </row>
    <row r="872" spans="1:7" x14ac:dyDescent="0.55000000000000004">
      <c r="A872" s="1" t="s">
        <v>1724</v>
      </c>
      <c r="B872" s="2">
        <f>COUNTIF(A:A,A872)-1</f>
        <v>2</v>
      </c>
      <c r="C872" s="2">
        <f>COUNTIF(A$1:A872,A872)-1</f>
        <v>2</v>
      </c>
      <c r="D872" s="2" t="e">
        <f>COMBIN(#REF!,1)</f>
        <v>#REF!</v>
      </c>
      <c r="E872" s="2" t="b">
        <f>IFERROR(INDEX(ERROR(0),COMBIN(#REF!,SET.NAME("_",+INDEX(1,)))),RETURN(INDEX(TYPE(_),SET.NAME("_"))))</f>
        <v>0</v>
      </c>
      <c r="F872" s="2" t="b">
        <f>IFERROR(INDEX(ERROR(0),COMBIN(#REF!,INDIRECT(SET.NAME({1,"_"},)))),RETURN(INDEX(TYPE(_),SET.NAME("_"))))</f>
        <v>0</v>
      </c>
      <c r="G872" s="2">
        <f>TYPE(INDEX(,COMBIN(#REF!,INDEX(1,))))</f>
        <v>16</v>
      </c>
    </row>
    <row r="873" spans="1:7" x14ac:dyDescent="0.55000000000000004">
      <c r="A873" s="1" t="s">
        <v>1725</v>
      </c>
      <c r="B873" s="2">
        <f>COUNTIF(A:A,A873)-1</f>
        <v>3</v>
      </c>
      <c r="C873" s="2">
        <f>COUNTIF(A$1:A873,A873)-1</f>
        <v>0</v>
      </c>
      <c r="D873" s="2"/>
      <c r="E873" s="2"/>
      <c r="F873" s="2"/>
      <c r="G873" s="2"/>
    </row>
    <row r="874" spans="1:7" x14ac:dyDescent="0.55000000000000004">
      <c r="A874" s="1" t="s">
        <v>1725</v>
      </c>
      <c r="B874" s="2">
        <f>COUNTIF(A:A,A874)-1</f>
        <v>3</v>
      </c>
      <c r="C874" s="2">
        <f>COUNTIF(A$1:A874,A874)-1</f>
        <v>1</v>
      </c>
      <c r="D874" s="2" t="e">
        <f>CONFIDENCE(1,#REF!,#REF!)</f>
        <v>#REF!</v>
      </c>
      <c r="E874" s="2" t="b">
        <f>IFERROR(INDEX(ERROR(0),CONFIDENCE(SET.NAME("_",+INDEX(1,)),#REF!,#REF!)),RETURN(INDEX(TYPE(_),SET.NAME("_"))))</f>
        <v>0</v>
      </c>
      <c r="F874" s="2" t="b">
        <f>IFERROR(INDEX(ERROR(0),CONFIDENCE(INDIRECT(SET.NAME({1,"_"},)),#REF!,#REF!)),RETURN(INDEX(TYPE(_),SET.NAME("_"))))</f>
        <v>0</v>
      </c>
      <c r="G874" s="2">
        <f>TYPE(INDEX(,CONFIDENCE(INDEX(1,),#REF!,#REF!)))</f>
        <v>16</v>
      </c>
    </row>
    <row r="875" spans="1:7" x14ac:dyDescent="0.55000000000000004">
      <c r="A875" s="1" t="s">
        <v>1725</v>
      </c>
      <c r="B875" s="2">
        <f>COUNTIF(A:A,A875)-1</f>
        <v>3</v>
      </c>
      <c r="C875" s="2">
        <f>COUNTIF(A$1:A875,A875)-1</f>
        <v>2</v>
      </c>
      <c r="D875" s="2" t="e">
        <f>CONFIDENCE(#REF!,1,#REF!)</f>
        <v>#REF!</v>
      </c>
      <c r="E875" s="2" t="b">
        <f>IFERROR(INDEX(ERROR(0),CONFIDENCE(#REF!,SET.NAME("_",+INDEX(1,)),#REF!)),RETURN(INDEX(TYPE(_),SET.NAME("_"))))</f>
        <v>0</v>
      </c>
      <c r="F875" s="2" t="b">
        <f>IFERROR(INDEX(ERROR(0),CONFIDENCE(#REF!,INDIRECT(SET.NAME({1,"_"},)),#REF!)),RETURN(INDEX(TYPE(_),SET.NAME("_"))))</f>
        <v>0</v>
      </c>
      <c r="G875" s="2">
        <f>TYPE(INDEX(,CONFIDENCE(#REF!,INDEX(1,),#REF!)))</f>
        <v>16</v>
      </c>
    </row>
    <row r="876" spans="1:7" x14ac:dyDescent="0.55000000000000004">
      <c r="A876" s="1" t="s">
        <v>1725</v>
      </c>
      <c r="B876" s="2">
        <f>COUNTIF(A:A,A876)-1</f>
        <v>3</v>
      </c>
      <c r="C876" s="2">
        <f>COUNTIF(A$1:A876,A876)-1</f>
        <v>3</v>
      </c>
      <c r="D876" s="2" t="e">
        <f>CONFIDENCE(#REF!,#REF!,1)</f>
        <v>#REF!</v>
      </c>
      <c r="E876" s="2" t="b">
        <f>IFERROR(INDEX(ERROR(0),CONFIDENCE(#REF!,#REF!,SET.NAME("_",+INDEX(1,)))),RETURN(INDEX(TYPE(_),SET.NAME("_"))))</f>
        <v>0</v>
      </c>
      <c r="F876" s="2" t="b">
        <f>IFERROR(INDEX(ERROR(0),CONFIDENCE(#REF!,#REF!,INDIRECT(SET.NAME({1,"_"},)))),RETURN(INDEX(TYPE(_),SET.NAME("_"))))</f>
        <v>0</v>
      </c>
      <c r="G876" s="2">
        <f>TYPE(INDEX(,CONFIDENCE(#REF!,#REF!,INDEX(1,))))</f>
        <v>16</v>
      </c>
    </row>
    <row r="877" spans="1:7" x14ac:dyDescent="0.55000000000000004">
      <c r="A877" s="1" t="s">
        <v>1726</v>
      </c>
      <c r="B877" s="2">
        <f>COUNTIF(A:A,A877)-1</f>
        <v>3</v>
      </c>
      <c r="C877" s="2">
        <f>COUNTIF(A$1:A877,A877)-1</f>
        <v>0</v>
      </c>
      <c r="D877" s="2"/>
      <c r="E877" s="2"/>
      <c r="F877" s="2"/>
      <c r="G877" s="2"/>
    </row>
    <row r="878" spans="1:7" x14ac:dyDescent="0.55000000000000004">
      <c r="A878" s="1" t="s">
        <v>1726</v>
      </c>
      <c r="B878" s="2">
        <f>COUNTIF(A:A,A878)-1</f>
        <v>3</v>
      </c>
      <c r="C878" s="2">
        <f>COUNTIF(A$1:A878,A878)-1</f>
        <v>1</v>
      </c>
      <c r="D878" s="2" t="e">
        <f>CRITBINOM(1,#REF!,#REF!)</f>
        <v>#REF!</v>
      </c>
      <c r="E878" s="2" t="b">
        <f>IFERROR(INDEX(ERROR(0),CRITBINOM(SET.NAME("_",+INDEX(1,)),#REF!,#REF!)),RETURN(INDEX(TYPE(_),SET.NAME("_"))))</f>
        <v>0</v>
      </c>
      <c r="F878" s="2" t="b">
        <f>IFERROR(INDEX(ERROR(0),CRITBINOM(INDIRECT(SET.NAME({1,"_"},)),#REF!,#REF!)),RETURN(INDEX(TYPE(_),SET.NAME("_"))))</f>
        <v>0</v>
      </c>
      <c r="G878" s="2">
        <f>TYPE(INDEX(,CRITBINOM(INDEX(1,),#REF!,#REF!)))</f>
        <v>16</v>
      </c>
    </row>
    <row r="879" spans="1:7" x14ac:dyDescent="0.55000000000000004">
      <c r="A879" s="1" t="s">
        <v>1726</v>
      </c>
      <c r="B879" s="2">
        <f>COUNTIF(A:A,A879)-1</f>
        <v>3</v>
      </c>
      <c r="C879" s="2">
        <f>COUNTIF(A$1:A879,A879)-1</f>
        <v>2</v>
      </c>
      <c r="D879" s="2" t="e">
        <f>CRITBINOM(#REF!,1,#REF!)</f>
        <v>#REF!</v>
      </c>
      <c r="E879" s="2" t="b">
        <f>IFERROR(INDEX(ERROR(0),CRITBINOM(#REF!,SET.NAME("_",+INDEX(1,)),#REF!)),RETURN(INDEX(TYPE(_),SET.NAME("_"))))</f>
        <v>0</v>
      </c>
      <c r="F879" s="2" t="b">
        <f>IFERROR(INDEX(ERROR(0),CRITBINOM(#REF!,INDIRECT(SET.NAME({1,"_"},)),#REF!)),RETURN(INDEX(TYPE(_),SET.NAME("_"))))</f>
        <v>0</v>
      </c>
      <c r="G879" s="2">
        <f>TYPE(INDEX(,CRITBINOM(#REF!,INDEX(1,),#REF!)))</f>
        <v>16</v>
      </c>
    </row>
    <row r="880" spans="1:7" x14ac:dyDescent="0.55000000000000004">
      <c r="A880" s="1" t="s">
        <v>1726</v>
      </c>
      <c r="B880" s="2">
        <f>COUNTIF(A:A,A880)-1</f>
        <v>3</v>
      </c>
      <c r="C880" s="2">
        <f>COUNTIF(A$1:A880,A880)-1</f>
        <v>3</v>
      </c>
      <c r="D880" s="2" t="e">
        <f>CRITBINOM(#REF!,#REF!,1)</f>
        <v>#REF!</v>
      </c>
      <c r="E880" s="2" t="b">
        <f>IFERROR(INDEX(ERROR(0),CRITBINOM(#REF!,#REF!,SET.NAME("_",+INDEX(1,)))),RETURN(INDEX(TYPE(_),SET.NAME("_"))))</f>
        <v>0</v>
      </c>
      <c r="F880" s="2" t="b">
        <f>IFERROR(INDEX(ERROR(0),CRITBINOM(#REF!,#REF!,INDIRECT(SET.NAME({1,"_"},)))),RETURN(INDEX(TYPE(_),SET.NAME("_"))))</f>
        <v>0</v>
      </c>
      <c r="G880" s="2">
        <f>TYPE(INDEX(,CRITBINOM(#REF!,#REF!,INDEX(1,))))</f>
        <v>16</v>
      </c>
    </row>
    <row r="881" spans="1:7" x14ac:dyDescent="0.55000000000000004">
      <c r="A881" s="1" t="s">
        <v>1727</v>
      </c>
      <c r="B881" s="2">
        <f>COUNTIF(A:A,A881)-1</f>
        <v>1</v>
      </c>
      <c r="C881" s="2">
        <f>COUNTIF(A$1:A881,A881)-1</f>
        <v>0</v>
      </c>
      <c r="D881" s="2"/>
      <c r="E881" s="2"/>
      <c r="F881" s="2"/>
      <c r="G881" s="2"/>
    </row>
    <row r="882" spans="1:7" x14ac:dyDescent="0.55000000000000004">
      <c r="A882" s="1" t="s">
        <v>1727</v>
      </c>
      <c r="B882" s="2">
        <f>COUNTIF(A:A,A882)-1</f>
        <v>1</v>
      </c>
      <c r="C882" s="2">
        <f>COUNTIF(A$1:A882,A882)-1</f>
        <v>1</v>
      </c>
      <c r="D882" s="2">
        <f>EVEN(1)</f>
        <v>2</v>
      </c>
      <c r="E882" s="2" t="b">
        <f>IFERROR(INDEX(ERROR(0),EVEN(SET.NAME("_",+INDEX(1,)))),RETURN(INDEX(TYPE(_),SET.NAME("_"))))</f>
        <v>0</v>
      </c>
      <c r="F882" s="2" t="b">
        <f>IFERROR(INDEX(ERROR(0),EVEN(INDIRECT(SET.NAME({1,"_"},)))),RETURN(INDEX(TYPE(_),SET.NAME("_"))))</f>
        <v>0</v>
      </c>
      <c r="G882" s="2">
        <f>TYPE(INDEX(,EVEN(INDEX(1,))))</f>
        <v>16</v>
      </c>
    </row>
    <row r="883" spans="1:7" x14ac:dyDescent="0.55000000000000004">
      <c r="A883" s="1" t="s">
        <v>1728</v>
      </c>
      <c r="B883" s="2">
        <f>COUNTIF(A:A,A883)-1</f>
        <v>3</v>
      </c>
      <c r="C883" s="2">
        <f>COUNTIF(A$1:A883,A883)-1</f>
        <v>0</v>
      </c>
      <c r="D883" s="2"/>
      <c r="E883" s="2"/>
      <c r="F883" s="2"/>
      <c r="G883" s="2"/>
    </row>
    <row r="884" spans="1:7" x14ac:dyDescent="0.55000000000000004">
      <c r="A884" s="1" t="s">
        <v>1728</v>
      </c>
      <c r="B884" s="2">
        <f>COUNTIF(A:A,A884)-1</f>
        <v>3</v>
      </c>
      <c r="C884" s="2">
        <f>COUNTIF(A$1:A884,A884)-1</f>
        <v>1</v>
      </c>
      <c r="D884" s="2" t="e">
        <f>EXPONDIST(1,#REF!,#REF!)</f>
        <v>#REF!</v>
      </c>
      <c r="E884" s="2" t="b">
        <f>IFERROR(INDEX(ERROR(0),EXPONDIST(SET.NAME("_",+INDEX(1,)),#REF!,#REF!)),RETURN(INDEX(TYPE(_),SET.NAME("_"))))</f>
        <v>0</v>
      </c>
      <c r="F884" s="2" t="b">
        <f>IFERROR(INDEX(ERROR(0),EXPONDIST(INDIRECT(SET.NAME({1,"_"},)),#REF!,#REF!)),RETURN(INDEX(TYPE(_),SET.NAME("_"))))</f>
        <v>0</v>
      </c>
      <c r="G884" s="2">
        <f>TYPE(INDEX(,EXPONDIST(INDEX(1,),#REF!,#REF!)))</f>
        <v>16</v>
      </c>
    </row>
    <row r="885" spans="1:7" x14ac:dyDescent="0.55000000000000004">
      <c r="A885" s="1" t="s">
        <v>1728</v>
      </c>
      <c r="B885" s="2">
        <f>COUNTIF(A:A,A885)-1</f>
        <v>3</v>
      </c>
      <c r="C885" s="2">
        <f>COUNTIF(A$1:A885,A885)-1</f>
        <v>2</v>
      </c>
      <c r="D885" s="2" t="e">
        <f>EXPONDIST(#REF!,1,#REF!)</f>
        <v>#REF!</v>
      </c>
      <c r="E885" s="2" t="b">
        <f>IFERROR(INDEX(ERROR(0),EXPONDIST(#REF!,SET.NAME("_",+INDEX(1,)),#REF!)),RETURN(INDEX(TYPE(_),SET.NAME("_"))))</f>
        <v>0</v>
      </c>
      <c r="F885" s="2" t="b">
        <f>IFERROR(INDEX(ERROR(0),EXPONDIST(#REF!,INDIRECT(SET.NAME({1,"_"},)),#REF!)),RETURN(INDEX(TYPE(_),SET.NAME("_"))))</f>
        <v>0</v>
      </c>
      <c r="G885" s="2">
        <f>TYPE(INDEX(,EXPONDIST(#REF!,INDEX(1,),#REF!)))</f>
        <v>16</v>
      </c>
    </row>
    <row r="886" spans="1:7" x14ac:dyDescent="0.55000000000000004">
      <c r="A886" s="1" t="s">
        <v>1728</v>
      </c>
      <c r="B886" s="2">
        <f>COUNTIF(A:A,A886)-1</f>
        <v>3</v>
      </c>
      <c r="C886" s="2">
        <f>COUNTIF(A$1:A886,A886)-1</f>
        <v>3</v>
      </c>
      <c r="D886" s="2" t="e">
        <f>EXPONDIST(#REF!,#REF!,1)</f>
        <v>#REF!</v>
      </c>
      <c r="E886" s="2" t="b">
        <f>IFERROR(INDEX(ERROR(0),EXPONDIST(#REF!,#REF!,SET.NAME("_",+INDEX(1,)))),RETURN(INDEX(TYPE(_),SET.NAME("_"))))</f>
        <v>0</v>
      </c>
      <c r="F886" s="2" t="b">
        <f>IFERROR(INDEX(ERROR(0),EXPONDIST(#REF!,#REF!,INDIRECT(SET.NAME({1,"_"},)))),RETURN(INDEX(TYPE(_),SET.NAME("_"))))</f>
        <v>0</v>
      </c>
      <c r="G886" s="2">
        <f>TYPE(INDEX(,EXPONDIST(#REF!,#REF!,INDEX(1,))))</f>
        <v>16</v>
      </c>
    </row>
    <row r="887" spans="1:7" x14ac:dyDescent="0.55000000000000004">
      <c r="A887" s="1" t="s">
        <v>1729</v>
      </c>
      <c r="B887" s="2">
        <f>COUNTIF(A:A,A887)-1</f>
        <v>3</v>
      </c>
      <c r="C887" s="2">
        <f>COUNTIF(A$1:A887,A887)-1</f>
        <v>0</v>
      </c>
      <c r="D887" s="2"/>
      <c r="E887" s="2"/>
      <c r="F887" s="2"/>
      <c r="G887" s="2"/>
    </row>
    <row r="888" spans="1:7" x14ac:dyDescent="0.55000000000000004">
      <c r="A888" s="1" t="s">
        <v>1729</v>
      </c>
      <c r="B888" s="2">
        <f>COUNTIF(A:A,A888)-1</f>
        <v>3</v>
      </c>
      <c r="C888" s="2">
        <f>COUNTIF(A$1:A888,A888)-1</f>
        <v>1</v>
      </c>
      <c r="D888" s="2" t="e">
        <f>FDIST(1,#REF!,#REF!)</f>
        <v>#REF!</v>
      </c>
      <c r="E888" s="2" t="b">
        <f>IFERROR(INDEX(ERROR(0),FDIST(SET.NAME("_",+INDEX(1,)),#REF!,#REF!)),RETURN(INDEX(TYPE(_),SET.NAME("_"))))</f>
        <v>0</v>
      </c>
      <c r="F888" s="2" t="b">
        <f>IFERROR(INDEX(ERROR(0),FDIST(INDIRECT(SET.NAME({1,"_"},)),#REF!,#REF!)),RETURN(INDEX(TYPE(_),SET.NAME("_"))))</f>
        <v>0</v>
      </c>
      <c r="G888" s="2">
        <f>TYPE(INDEX(,FDIST(INDEX(1,),#REF!,#REF!)))</f>
        <v>16</v>
      </c>
    </row>
    <row r="889" spans="1:7" x14ac:dyDescent="0.55000000000000004">
      <c r="A889" s="1" t="s">
        <v>1729</v>
      </c>
      <c r="B889" s="2">
        <f>COUNTIF(A:A,A889)-1</f>
        <v>3</v>
      </c>
      <c r="C889" s="2">
        <f>COUNTIF(A$1:A889,A889)-1</f>
        <v>2</v>
      </c>
      <c r="D889" s="2" t="e">
        <f>FDIST(#REF!,1,#REF!)</f>
        <v>#REF!</v>
      </c>
      <c r="E889" s="2" t="b">
        <f>IFERROR(INDEX(ERROR(0),FDIST(#REF!,SET.NAME("_",+INDEX(1,)),#REF!)),RETURN(INDEX(TYPE(_),SET.NAME("_"))))</f>
        <v>0</v>
      </c>
      <c r="F889" s="2" t="b">
        <f>IFERROR(INDEX(ERROR(0),FDIST(#REF!,INDIRECT(SET.NAME({1,"_"},)),#REF!)),RETURN(INDEX(TYPE(_),SET.NAME("_"))))</f>
        <v>0</v>
      </c>
      <c r="G889" s="2">
        <f>TYPE(INDEX(,FDIST(#REF!,INDEX(1,),#REF!)))</f>
        <v>16</v>
      </c>
    </row>
    <row r="890" spans="1:7" x14ac:dyDescent="0.55000000000000004">
      <c r="A890" s="1" t="s">
        <v>1729</v>
      </c>
      <c r="B890" s="2">
        <f>COUNTIF(A:A,A890)-1</f>
        <v>3</v>
      </c>
      <c r="C890" s="2">
        <f>COUNTIF(A$1:A890,A890)-1</f>
        <v>3</v>
      </c>
      <c r="D890" s="2" t="e">
        <f>FDIST(#REF!,#REF!,1)</f>
        <v>#REF!</v>
      </c>
      <c r="E890" s="2" t="b">
        <f>IFERROR(INDEX(ERROR(0),FDIST(#REF!,#REF!,SET.NAME("_",+INDEX(1,)))),RETURN(INDEX(TYPE(_),SET.NAME("_"))))</f>
        <v>0</v>
      </c>
      <c r="F890" s="2" t="b">
        <f>IFERROR(INDEX(ERROR(0),FDIST(#REF!,#REF!,INDIRECT(SET.NAME({1,"_"},)))),RETURN(INDEX(TYPE(_),SET.NAME("_"))))</f>
        <v>0</v>
      </c>
      <c r="G890" s="2">
        <f>TYPE(INDEX(,FDIST(#REF!,#REF!,INDEX(1,))))</f>
        <v>16</v>
      </c>
    </row>
    <row r="891" spans="1:7" x14ac:dyDescent="0.55000000000000004">
      <c r="A891" s="1" t="s">
        <v>1730</v>
      </c>
      <c r="B891" s="2">
        <f>COUNTIF(A:A,A891)-1</f>
        <v>3</v>
      </c>
      <c r="C891" s="2">
        <f>COUNTIF(A$1:A891,A891)-1</f>
        <v>0</v>
      </c>
      <c r="D891" s="2"/>
      <c r="E891" s="2"/>
      <c r="F891" s="2"/>
      <c r="G891" s="2"/>
    </row>
    <row r="892" spans="1:7" x14ac:dyDescent="0.55000000000000004">
      <c r="A892" s="1" t="s">
        <v>1730</v>
      </c>
      <c r="B892" s="2">
        <f>COUNTIF(A:A,A892)-1</f>
        <v>3</v>
      </c>
      <c r="C892" s="2">
        <f>COUNTIF(A$1:A892,A892)-1</f>
        <v>1</v>
      </c>
      <c r="D892" s="2" t="e">
        <f>FINV(1,#REF!,#REF!)</f>
        <v>#REF!</v>
      </c>
      <c r="E892" s="2" t="b">
        <f>IFERROR(INDEX(ERROR(0),FINV(SET.NAME("_",+INDEX(1,)),#REF!,#REF!)),RETURN(INDEX(TYPE(_),SET.NAME("_"))))</f>
        <v>0</v>
      </c>
      <c r="F892" s="2" t="b">
        <f>IFERROR(INDEX(ERROR(0),FINV(INDIRECT(SET.NAME({1,"_"},)),#REF!,#REF!)),RETURN(INDEX(TYPE(_),SET.NAME("_"))))</f>
        <v>0</v>
      </c>
      <c r="G892" s="2">
        <f>TYPE(INDEX(,FINV(INDEX(1,),#REF!,#REF!)))</f>
        <v>16</v>
      </c>
    </row>
    <row r="893" spans="1:7" x14ac:dyDescent="0.55000000000000004">
      <c r="A893" s="1" t="s">
        <v>1730</v>
      </c>
      <c r="B893" s="2">
        <f>COUNTIF(A:A,A893)-1</f>
        <v>3</v>
      </c>
      <c r="C893" s="2">
        <f>COUNTIF(A$1:A893,A893)-1</f>
        <v>2</v>
      </c>
      <c r="D893" s="2" t="e">
        <f>FINV(#REF!,1,#REF!)</f>
        <v>#REF!</v>
      </c>
      <c r="E893" s="2" t="b">
        <f>IFERROR(INDEX(ERROR(0),FINV(#REF!,SET.NAME("_",+INDEX(1,)),#REF!)),RETURN(INDEX(TYPE(_),SET.NAME("_"))))</f>
        <v>0</v>
      </c>
      <c r="F893" s="2" t="b">
        <f>IFERROR(INDEX(ERROR(0),FINV(#REF!,INDIRECT(SET.NAME({1,"_"},)),#REF!)),RETURN(INDEX(TYPE(_),SET.NAME("_"))))</f>
        <v>0</v>
      </c>
      <c r="G893" s="2">
        <f>TYPE(INDEX(,FINV(#REF!,INDEX(1,),#REF!)))</f>
        <v>16</v>
      </c>
    </row>
    <row r="894" spans="1:7" x14ac:dyDescent="0.55000000000000004">
      <c r="A894" s="1" t="s">
        <v>1730</v>
      </c>
      <c r="B894" s="2">
        <f>COUNTIF(A:A,A894)-1</f>
        <v>3</v>
      </c>
      <c r="C894" s="2">
        <f>COUNTIF(A$1:A894,A894)-1</f>
        <v>3</v>
      </c>
      <c r="D894" s="2" t="e">
        <f>FINV(#REF!,#REF!,1)</f>
        <v>#REF!</v>
      </c>
      <c r="E894" s="2" t="b">
        <f>IFERROR(INDEX(ERROR(0),FINV(#REF!,#REF!,SET.NAME("_",+INDEX(1,)))),RETURN(INDEX(TYPE(_),SET.NAME("_"))))</f>
        <v>0</v>
      </c>
      <c r="F894" s="2" t="b">
        <f>IFERROR(INDEX(ERROR(0),FINV(#REF!,#REF!,INDIRECT(SET.NAME({1,"_"},)))),RETURN(INDEX(TYPE(_),SET.NAME("_"))))</f>
        <v>0</v>
      </c>
      <c r="G894" s="2">
        <f>TYPE(INDEX(,FINV(#REF!,#REF!,INDEX(1,))))</f>
        <v>16</v>
      </c>
    </row>
    <row r="895" spans="1:7" x14ac:dyDescent="0.55000000000000004">
      <c r="A895" s="1" t="s">
        <v>1731</v>
      </c>
      <c r="B895" s="2">
        <f>COUNTIF(A:A,A895)-1</f>
        <v>1</v>
      </c>
      <c r="C895" s="2">
        <f>COUNTIF(A$1:A895,A895)-1</f>
        <v>0</v>
      </c>
      <c r="D895" s="2"/>
      <c r="E895" s="2"/>
      <c r="F895" s="2"/>
      <c r="G895" s="2"/>
    </row>
    <row r="896" spans="1:7" x14ac:dyDescent="0.55000000000000004">
      <c r="A896" s="1" t="s">
        <v>1731</v>
      </c>
      <c r="B896" s="2">
        <f>COUNTIF(A:A,A896)-1</f>
        <v>1</v>
      </c>
      <c r="C896" s="2">
        <f>COUNTIF(A$1:A896,A896)-1</f>
        <v>1</v>
      </c>
      <c r="D896" s="2" t="e">
        <f>FISHER(1)</f>
        <v>#NUM!</v>
      </c>
      <c r="E896" s="2" t="b">
        <f>IFERROR(INDEX(ERROR(0),FISHER(SET.NAME("_",+INDEX(1,)))),RETURN(INDEX(TYPE(_),SET.NAME("_"))))</f>
        <v>0</v>
      </c>
      <c r="F896" s="2" t="b">
        <f>IFERROR(INDEX(ERROR(0),FISHER(INDIRECT(SET.NAME({1,"_"},)))),RETURN(INDEX(TYPE(_),SET.NAME("_"))))</f>
        <v>0</v>
      </c>
      <c r="G896" s="2">
        <f>TYPE(INDEX(,FISHER(INDEX(1,))))</f>
        <v>16</v>
      </c>
    </row>
    <row r="897" spans="1:7" x14ac:dyDescent="0.55000000000000004">
      <c r="A897" s="1" t="s">
        <v>1732</v>
      </c>
      <c r="B897" s="2">
        <f>COUNTIF(A:A,A897)-1</f>
        <v>1</v>
      </c>
      <c r="C897" s="2">
        <f>COUNTIF(A$1:A897,A897)-1</f>
        <v>0</v>
      </c>
      <c r="D897" s="2"/>
      <c r="E897" s="2"/>
      <c r="F897" s="2"/>
      <c r="G897" s="2"/>
    </row>
    <row r="898" spans="1:7" x14ac:dyDescent="0.55000000000000004">
      <c r="A898" s="1" t="s">
        <v>1732</v>
      </c>
      <c r="B898" s="2">
        <f>COUNTIF(A:A,A898)-1</f>
        <v>1</v>
      </c>
      <c r="C898" s="2">
        <f>COUNTIF(A$1:A898,A898)-1</f>
        <v>1</v>
      </c>
      <c r="D898" s="2">
        <f>FISHERINV(1)</f>
        <v>0.76159415595576485</v>
      </c>
      <c r="E898" s="2" t="b">
        <f>IFERROR(INDEX(ERROR(0),FISHERINV(SET.NAME("_",+INDEX(1,)))),RETURN(INDEX(TYPE(_),SET.NAME("_"))))</f>
        <v>0</v>
      </c>
      <c r="F898" s="2" t="b">
        <f>IFERROR(INDEX(ERROR(0),FISHERINV(INDIRECT(SET.NAME({1,"_"},)))),RETURN(INDEX(TYPE(_),SET.NAME("_"))))</f>
        <v>0</v>
      </c>
      <c r="G898" s="2">
        <f>TYPE(INDEX(,FISHERINV(INDEX(1,))))</f>
        <v>16</v>
      </c>
    </row>
    <row r="899" spans="1:7" x14ac:dyDescent="0.55000000000000004">
      <c r="A899" s="1" t="s">
        <v>1733</v>
      </c>
      <c r="B899" s="2">
        <f>COUNTIF(A:A,A899)-1</f>
        <v>2</v>
      </c>
      <c r="C899" s="2">
        <f>COUNTIF(A$1:A899,A899)-1</f>
        <v>0</v>
      </c>
      <c r="D899" s="2"/>
      <c r="E899" s="2"/>
      <c r="F899" s="2"/>
      <c r="G899" s="2"/>
    </row>
    <row r="900" spans="1:7" x14ac:dyDescent="0.55000000000000004">
      <c r="A900" s="1" t="s">
        <v>1733</v>
      </c>
      <c r="B900" s="2">
        <f>COUNTIF(A:A,A900)-1</f>
        <v>2</v>
      </c>
      <c r="C900" s="2">
        <f>COUNTIF(A$1:A900,A900)-1</f>
        <v>1</v>
      </c>
      <c r="D900" s="2" t="e">
        <f>FLOOR(1,#REF!)</f>
        <v>#REF!</v>
      </c>
      <c r="E900" s="2" t="b">
        <f>IFERROR(INDEX(ERROR(0),FLOOR(SET.NAME("_",+INDEX(1,)),#REF!)),RETURN(INDEX(TYPE(_),SET.NAME("_"))))</f>
        <v>0</v>
      </c>
      <c r="F900" s="2" t="b">
        <f>IFERROR(INDEX(ERROR(0),FLOOR(INDIRECT(SET.NAME({1,"_"},)),#REF!)),RETURN(INDEX(TYPE(_),SET.NAME("_"))))</f>
        <v>0</v>
      </c>
      <c r="G900" s="2">
        <f>TYPE(INDEX(,FLOOR(INDEX(1,),#REF!)))</f>
        <v>16</v>
      </c>
    </row>
    <row r="901" spans="1:7" x14ac:dyDescent="0.55000000000000004">
      <c r="A901" s="1" t="s">
        <v>1733</v>
      </c>
      <c r="B901" s="2">
        <f>COUNTIF(A:A,A901)-1</f>
        <v>2</v>
      </c>
      <c r="C901" s="2">
        <f>COUNTIF(A$1:A901,A901)-1</f>
        <v>2</v>
      </c>
      <c r="D901" s="2" t="e">
        <f>FLOOR(#REF!,1)</f>
        <v>#REF!</v>
      </c>
      <c r="E901" s="2" t="b">
        <f>IFERROR(INDEX(ERROR(0),FLOOR(#REF!,SET.NAME("_",+INDEX(1,)))),RETURN(INDEX(TYPE(_),SET.NAME("_"))))</f>
        <v>0</v>
      </c>
      <c r="F901" s="2" t="b">
        <f>IFERROR(INDEX(ERROR(0),FLOOR(#REF!,INDIRECT(SET.NAME({1,"_"},)))),RETURN(INDEX(TYPE(_),SET.NAME("_"))))</f>
        <v>0</v>
      </c>
      <c r="G901" s="2">
        <f>TYPE(INDEX(,FLOOR(#REF!,INDEX(1,))))</f>
        <v>16</v>
      </c>
    </row>
    <row r="902" spans="1:7" x14ac:dyDescent="0.55000000000000004">
      <c r="A902" s="1" t="s">
        <v>1734</v>
      </c>
      <c r="B902" s="2">
        <f>COUNTIF(A:A,A902)-1</f>
        <v>4</v>
      </c>
      <c r="C902" s="2">
        <f>COUNTIF(A$1:A902,A902)-1</f>
        <v>0</v>
      </c>
      <c r="D902" s="2"/>
      <c r="E902" s="2"/>
      <c r="F902" s="2"/>
      <c r="G902" s="2"/>
    </row>
    <row r="903" spans="1:7" x14ac:dyDescent="0.55000000000000004">
      <c r="A903" s="1" t="s">
        <v>1734</v>
      </c>
      <c r="B903" s="2">
        <f>COUNTIF(A:A,A903)-1</f>
        <v>4</v>
      </c>
      <c r="C903" s="2">
        <f>COUNTIF(A$1:A903,A903)-1</f>
        <v>1</v>
      </c>
      <c r="D903" s="2" t="e">
        <f>GAMMADIST(1,#REF!,#REF!,#REF!)</f>
        <v>#REF!</v>
      </c>
      <c r="E903" s="2" t="b">
        <f>IFERROR(INDEX(ERROR(0),GAMMADIST(SET.NAME("_",+INDEX(1,)),#REF!,#REF!,#REF!)),RETURN(INDEX(TYPE(_),SET.NAME("_"))))</f>
        <v>0</v>
      </c>
      <c r="F903" s="2" t="b">
        <f>IFERROR(INDEX(ERROR(0),GAMMADIST(INDIRECT(SET.NAME({1,"_"},)),#REF!,#REF!,#REF!)),RETURN(INDEX(TYPE(_),SET.NAME("_"))))</f>
        <v>0</v>
      </c>
      <c r="G903" s="2">
        <f>TYPE(INDEX(,GAMMADIST(INDEX(1,),#REF!,#REF!,#REF!)))</f>
        <v>16</v>
      </c>
    </row>
    <row r="904" spans="1:7" x14ac:dyDescent="0.55000000000000004">
      <c r="A904" s="1" t="s">
        <v>1734</v>
      </c>
      <c r="B904" s="2">
        <f>COUNTIF(A:A,A904)-1</f>
        <v>4</v>
      </c>
      <c r="C904" s="2">
        <f>COUNTIF(A$1:A904,A904)-1</f>
        <v>2</v>
      </c>
      <c r="D904" s="2" t="e">
        <f>GAMMADIST(#REF!,1,#REF!,#REF!)</f>
        <v>#REF!</v>
      </c>
      <c r="E904" s="2" t="b">
        <f>IFERROR(INDEX(ERROR(0),GAMMADIST(#REF!,SET.NAME("_",+INDEX(1,)),#REF!,#REF!)),RETURN(INDEX(TYPE(_),SET.NAME("_"))))</f>
        <v>0</v>
      </c>
      <c r="F904" s="2" t="b">
        <f>IFERROR(INDEX(ERROR(0),GAMMADIST(#REF!,INDIRECT(SET.NAME({1,"_"},)),#REF!,#REF!)),RETURN(INDEX(TYPE(_),SET.NAME("_"))))</f>
        <v>0</v>
      </c>
      <c r="G904" s="2">
        <f>TYPE(INDEX(,GAMMADIST(#REF!,INDEX(1,),#REF!,#REF!)))</f>
        <v>16</v>
      </c>
    </row>
    <row r="905" spans="1:7" x14ac:dyDescent="0.55000000000000004">
      <c r="A905" s="1" t="s">
        <v>1734</v>
      </c>
      <c r="B905" s="2">
        <f>COUNTIF(A:A,A905)-1</f>
        <v>4</v>
      </c>
      <c r="C905" s="2">
        <f>COUNTIF(A$1:A905,A905)-1</f>
        <v>3</v>
      </c>
      <c r="D905" s="2" t="e">
        <f>GAMMADIST(#REF!,#REF!,1,#REF!)</f>
        <v>#REF!</v>
      </c>
      <c r="E905" s="2" t="b">
        <f>IFERROR(INDEX(ERROR(0),GAMMADIST(#REF!,#REF!,SET.NAME("_",+INDEX(1,)),#REF!)),RETURN(INDEX(TYPE(_),SET.NAME("_"))))</f>
        <v>0</v>
      </c>
      <c r="F905" s="2" t="b">
        <f>IFERROR(INDEX(ERROR(0),GAMMADIST(#REF!,#REF!,INDIRECT(SET.NAME({1,"_"},)),#REF!)),RETURN(INDEX(TYPE(_),SET.NAME("_"))))</f>
        <v>0</v>
      </c>
      <c r="G905" s="2">
        <f>TYPE(INDEX(,GAMMADIST(#REF!,#REF!,INDEX(1,),#REF!)))</f>
        <v>16</v>
      </c>
    </row>
    <row r="906" spans="1:7" x14ac:dyDescent="0.55000000000000004">
      <c r="A906" s="1" t="s">
        <v>1734</v>
      </c>
      <c r="B906" s="2">
        <f>COUNTIF(A:A,A906)-1</f>
        <v>4</v>
      </c>
      <c r="C906" s="2">
        <f>COUNTIF(A$1:A906,A906)-1</f>
        <v>4</v>
      </c>
      <c r="D906" s="2" t="e">
        <f>GAMMADIST(#REF!,#REF!,#REF!,1)</f>
        <v>#REF!</v>
      </c>
      <c r="E906" s="2" t="b">
        <f>IFERROR(INDEX(ERROR(0),GAMMADIST(#REF!,#REF!,#REF!,SET.NAME("_",+INDEX(1,)))),RETURN(INDEX(TYPE(_),SET.NAME("_"))))</f>
        <v>0</v>
      </c>
      <c r="F906" s="2" t="b">
        <f>IFERROR(INDEX(ERROR(0),GAMMADIST(#REF!,#REF!,#REF!,INDIRECT(SET.NAME({1,"_"},)))),RETURN(INDEX(TYPE(_),SET.NAME("_"))))</f>
        <v>0</v>
      </c>
      <c r="G906" s="2">
        <f>TYPE(INDEX(,GAMMADIST(#REF!,#REF!,#REF!,INDEX(1,))))</f>
        <v>16</v>
      </c>
    </row>
    <row r="907" spans="1:7" x14ac:dyDescent="0.55000000000000004">
      <c r="A907" s="1" t="s">
        <v>1735</v>
      </c>
      <c r="B907" s="2">
        <f>COUNTIF(A:A,A907)-1</f>
        <v>3</v>
      </c>
      <c r="C907" s="2">
        <f>COUNTIF(A$1:A907,A907)-1</f>
        <v>0</v>
      </c>
      <c r="D907" s="2"/>
      <c r="E907" s="2"/>
      <c r="F907" s="2"/>
      <c r="G907" s="2"/>
    </row>
    <row r="908" spans="1:7" x14ac:dyDescent="0.55000000000000004">
      <c r="A908" s="1" t="s">
        <v>1735</v>
      </c>
      <c r="B908" s="2">
        <f>COUNTIF(A:A,A908)-1</f>
        <v>3</v>
      </c>
      <c r="C908" s="2">
        <f>COUNTIF(A$1:A908,A908)-1</f>
        <v>1</v>
      </c>
      <c r="D908" s="2" t="e">
        <f>GAMMAINV(1,#REF!,#REF!)</f>
        <v>#REF!</v>
      </c>
      <c r="E908" s="2" t="b">
        <f>IFERROR(INDEX(ERROR(0),GAMMAINV(SET.NAME("_",+INDEX(1,)),#REF!,#REF!)),RETURN(INDEX(TYPE(_),SET.NAME("_"))))</f>
        <v>0</v>
      </c>
      <c r="F908" s="2" t="b">
        <f>IFERROR(INDEX(ERROR(0),GAMMAINV(INDIRECT(SET.NAME({1,"_"},)),#REF!,#REF!)),RETURN(INDEX(TYPE(_),SET.NAME("_"))))</f>
        <v>0</v>
      </c>
      <c r="G908" s="2">
        <f>TYPE(INDEX(,GAMMAINV(INDEX(1,),#REF!,#REF!)))</f>
        <v>16</v>
      </c>
    </row>
    <row r="909" spans="1:7" x14ac:dyDescent="0.55000000000000004">
      <c r="A909" s="1" t="s">
        <v>1735</v>
      </c>
      <c r="B909" s="2">
        <f>COUNTIF(A:A,A909)-1</f>
        <v>3</v>
      </c>
      <c r="C909" s="2">
        <f>COUNTIF(A$1:A909,A909)-1</f>
        <v>2</v>
      </c>
      <c r="D909" s="2" t="e">
        <f>GAMMAINV(#REF!,1,#REF!)</f>
        <v>#REF!</v>
      </c>
      <c r="E909" s="2" t="b">
        <f>IFERROR(INDEX(ERROR(0),GAMMAINV(#REF!,SET.NAME("_",+INDEX(1,)),#REF!)),RETURN(INDEX(TYPE(_),SET.NAME("_"))))</f>
        <v>0</v>
      </c>
      <c r="F909" s="2" t="b">
        <f>IFERROR(INDEX(ERROR(0),GAMMAINV(#REF!,INDIRECT(SET.NAME({1,"_"},)),#REF!)),RETURN(INDEX(TYPE(_),SET.NAME("_"))))</f>
        <v>0</v>
      </c>
      <c r="G909" s="2">
        <f>TYPE(INDEX(,GAMMAINV(#REF!,INDEX(1,),#REF!)))</f>
        <v>16</v>
      </c>
    </row>
    <row r="910" spans="1:7" x14ac:dyDescent="0.55000000000000004">
      <c r="A910" s="1" t="s">
        <v>1735</v>
      </c>
      <c r="B910" s="2">
        <f>COUNTIF(A:A,A910)-1</f>
        <v>3</v>
      </c>
      <c r="C910" s="2">
        <f>COUNTIF(A$1:A910,A910)-1</f>
        <v>3</v>
      </c>
      <c r="D910" s="2" t="e">
        <f>GAMMAINV(#REF!,#REF!,1)</f>
        <v>#REF!</v>
      </c>
      <c r="E910" s="2" t="b">
        <f>IFERROR(INDEX(ERROR(0),GAMMAINV(#REF!,#REF!,SET.NAME("_",+INDEX(1,)))),RETURN(INDEX(TYPE(_),SET.NAME("_"))))</f>
        <v>0</v>
      </c>
      <c r="F910" s="2" t="b">
        <f>IFERROR(INDEX(ERROR(0),GAMMAINV(#REF!,#REF!,INDIRECT(SET.NAME({1,"_"},)))),RETURN(INDEX(TYPE(_),SET.NAME("_"))))</f>
        <v>0</v>
      </c>
      <c r="G910" s="2">
        <f>TYPE(INDEX(,GAMMAINV(#REF!,#REF!,INDEX(1,))))</f>
        <v>16</v>
      </c>
    </row>
    <row r="911" spans="1:7" x14ac:dyDescent="0.55000000000000004">
      <c r="A911" s="1" t="s">
        <v>1736</v>
      </c>
      <c r="B911" s="2">
        <f>COUNTIF(A:A,A911)-1</f>
        <v>2</v>
      </c>
      <c r="C911" s="2">
        <f>COUNTIF(A$1:A911,A911)-1</f>
        <v>0</v>
      </c>
      <c r="D911" s="2"/>
      <c r="E911" s="2"/>
      <c r="F911" s="2"/>
      <c r="G911" s="2"/>
    </row>
    <row r="912" spans="1:7" x14ac:dyDescent="0.55000000000000004">
      <c r="A912" s="1" t="s">
        <v>1736</v>
      </c>
      <c r="B912" s="2">
        <f>COUNTIF(A:A,A912)-1</f>
        <v>2</v>
      </c>
      <c r="C912" s="2">
        <f>COUNTIF(A$1:A912,A912)-1</f>
        <v>1</v>
      </c>
      <c r="D912" s="2" t="e">
        <f>CEILING(1,#REF!)</f>
        <v>#REF!</v>
      </c>
      <c r="E912" s="2" t="b">
        <f>IFERROR(INDEX(ERROR(0),CEILING(SET.NAME("_",+INDEX(1,)),#REF!)),RETURN(INDEX(TYPE(_),SET.NAME("_"))))</f>
        <v>0</v>
      </c>
      <c r="F912" s="2" t="b">
        <f>IFERROR(INDEX(ERROR(0),CEILING(INDIRECT(SET.NAME({1,"_"},)),#REF!)),RETURN(INDEX(TYPE(_),SET.NAME("_"))))</f>
        <v>0</v>
      </c>
      <c r="G912" s="2">
        <f>TYPE(INDEX(,CEILING(INDEX(1,),#REF!)))</f>
        <v>16</v>
      </c>
    </row>
    <row r="913" spans="1:7" x14ac:dyDescent="0.55000000000000004">
      <c r="A913" s="1" t="s">
        <v>1736</v>
      </c>
      <c r="B913" s="2">
        <f>COUNTIF(A:A,A913)-1</f>
        <v>2</v>
      </c>
      <c r="C913" s="2">
        <f>COUNTIF(A$1:A913,A913)-1</f>
        <v>2</v>
      </c>
      <c r="D913" s="2" t="e">
        <f>CEILING(#REF!,1)</f>
        <v>#REF!</v>
      </c>
      <c r="E913" s="2" t="b">
        <f>IFERROR(INDEX(ERROR(0),CEILING(#REF!,SET.NAME("_",+INDEX(1,)))),RETURN(INDEX(TYPE(_),SET.NAME("_"))))</f>
        <v>0</v>
      </c>
      <c r="F913" s="2" t="b">
        <f>IFERROR(INDEX(ERROR(0),CEILING(#REF!,INDIRECT(SET.NAME({1,"_"},)))),RETURN(INDEX(TYPE(_),SET.NAME("_"))))</f>
        <v>0</v>
      </c>
      <c r="G913" s="2">
        <f>TYPE(INDEX(,CEILING(#REF!,INDEX(1,))))</f>
        <v>16</v>
      </c>
    </row>
    <row r="914" spans="1:7" x14ac:dyDescent="0.55000000000000004">
      <c r="A914" s="1" t="s">
        <v>1737</v>
      </c>
      <c r="B914" s="2">
        <f>COUNTIF(A:A,A914)-1</f>
        <v>4</v>
      </c>
      <c r="C914" s="2">
        <f>COUNTIF(A$1:A914,A914)-1</f>
        <v>0</v>
      </c>
      <c r="D914" s="2"/>
      <c r="E914" s="2"/>
      <c r="F914" s="2"/>
      <c r="G914" s="2"/>
    </row>
    <row r="915" spans="1:7" x14ac:dyDescent="0.55000000000000004">
      <c r="A915" s="1" t="s">
        <v>1737</v>
      </c>
      <c r="B915" s="2">
        <f>COUNTIF(A:A,A915)-1</f>
        <v>4</v>
      </c>
      <c r="C915" s="2">
        <f>COUNTIF(A$1:A915,A915)-1</f>
        <v>1</v>
      </c>
      <c r="D915" s="2" t="e">
        <f>HYPGEOMDIST(1,#REF!,#REF!,#REF!)</f>
        <v>#REF!</v>
      </c>
      <c r="E915" s="2" t="b">
        <f>IFERROR(INDEX(ERROR(0),HYPGEOMDIST(SET.NAME("_",+INDEX(1,)),#REF!,#REF!,#REF!)),RETURN(INDEX(TYPE(_),SET.NAME("_"))))</f>
        <v>0</v>
      </c>
      <c r="F915" s="2" t="b">
        <f>IFERROR(INDEX(ERROR(0),HYPGEOMDIST(INDIRECT(SET.NAME({1,"_"},)),#REF!,#REF!,#REF!)),RETURN(INDEX(TYPE(_),SET.NAME("_"))))</f>
        <v>0</v>
      </c>
      <c r="G915" s="2">
        <f>TYPE(INDEX(,HYPGEOMDIST(INDEX(1,),#REF!,#REF!,#REF!)))</f>
        <v>16</v>
      </c>
    </row>
    <row r="916" spans="1:7" x14ac:dyDescent="0.55000000000000004">
      <c r="A916" s="1" t="s">
        <v>1737</v>
      </c>
      <c r="B916" s="2">
        <f>COUNTIF(A:A,A916)-1</f>
        <v>4</v>
      </c>
      <c r="C916" s="2">
        <f>COUNTIF(A$1:A916,A916)-1</f>
        <v>2</v>
      </c>
      <c r="D916" s="2" t="e">
        <f>HYPGEOMDIST(#REF!,1,#REF!,#REF!)</f>
        <v>#REF!</v>
      </c>
      <c r="E916" s="2" t="b">
        <f>IFERROR(INDEX(ERROR(0),HYPGEOMDIST(#REF!,SET.NAME("_",+INDEX(1,)),#REF!,#REF!)),RETURN(INDEX(TYPE(_),SET.NAME("_"))))</f>
        <v>0</v>
      </c>
      <c r="F916" s="2" t="b">
        <f>IFERROR(INDEX(ERROR(0),HYPGEOMDIST(#REF!,INDIRECT(SET.NAME({1,"_"},)),#REF!,#REF!)),RETURN(INDEX(TYPE(_),SET.NAME("_"))))</f>
        <v>0</v>
      </c>
      <c r="G916" s="2">
        <f>TYPE(INDEX(,HYPGEOMDIST(#REF!,INDEX(1,),#REF!,#REF!)))</f>
        <v>16</v>
      </c>
    </row>
    <row r="917" spans="1:7" x14ac:dyDescent="0.55000000000000004">
      <c r="A917" s="1" t="s">
        <v>1737</v>
      </c>
      <c r="B917" s="2">
        <f>COUNTIF(A:A,A917)-1</f>
        <v>4</v>
      </c>
      <c r="C917" s="2">
        <f>COUNTIF(A$1:A917,A917)-1</f>
        <v>3</v>
      </c>
      <c r="D917" s="2" t="e">
        <f>HYPGEOMDIST(#REF!,#REF!,1,#REF!)</f>
        <v>#REF!</v>
      </c>
      <c r="E917" s="2" t="b">
        <f>IFERROR(INDEX(ERROR(0),HYPGEOMDIST(#REF!,#REF!,SET.NAME("_",+INDEX(1,)),#REF!)),RETURN(INDEX(TYPE(_),SET.NAME("_"))))</f>
        <v>0</v>
      </c>
      <c r="F917" s="2" t="b">
        <f>IFERROR(INDEX(ERROR(0),HYPGEOMDIST(#REF!,#REF!,INDIRECT(SET.NAME({1,"_"},)),#REF!)),RETURN(INDEX(TYPE(_),SET.NAME("_"))))</f>
        <v>0</v>
      </c>
      <c r="G917" s="2">
        <f>TYPE(INDEX(,HYPGEOMDIST(#REF!,#REF!,INDEX(1,),#REF!)))</f>
        <v>16</v>
      </c>
    </row>
    <row r="918" spans="1:7" x14ac:dyDescent="0.55000000000000004">
      <c r="A918" s="1" t="s">
        <v>1737</v>
      </c>
      <c r="B918" s="2">
        <f>COUNTIF(A:A,A918)-1</f>
        <v>4</v>
      </c>
      <c r="C918" s="2">
        <f>COUNTIF(A$1:A918,A918)-1</f>
        <v>4</v>
      </c>
      <c r="D918" s="2" t="e">
        <f>HYPGEOMDIST(#REF!,#REF!,#REF!,1)</f>
        <v>#REF!</v>
      </c>
      <c r="E918" s="2" t="b">
        <f>IFERROR(INDEX(ERROR(0),HYPGEOMDIST(#REF!,#REF!,#REF!,SET.NAME("_",+INDEX(1,)))),RETURN(INDEX(TYPE(_),SET.NAME("_"))))</f>
        <v>0</v>
      </c>
      <c r="F918" s="2" t="b">
        <f>IFERROR(INDEX(ERROR(0),HYPGEOMDIST(#REF!,#REF!,#REF!,INDIRECT(SET.NAME({1,"_"},)))),RETURN(INDEX(TYPE(_),SET.NAME("_"))))</f>
        <v>0</v>
      </c>
      <c r="G918" s="2">
        <f>TYPE(INDEX(,HYPGEOMDIST(#REF!,#REF!,#REF!,INDEX(1,))))</f>
        <v>16</v>
      </c>
    </row>
    <row r="919" spans="1:7" x14ac:dyDescent="0.55000000000000004">
      <c r="A919" s="1" t="s">
        <v>1738</v>
      </c>
      <c r="B919" s="2">
        <f>COUNTIF(A:A,A919)-1</f>
        <v>3</v>
      </c>
      <c r="C919" s="2">
        <f>COUNTIF(A$1:A919,A919)-1</f>
        <v>0</v>
      </c>
      <c r="D919" s="2"/>
      <c r="E919" s="2"/>
      <c r="F919" s="2"/>
      <c r="G919" s="2"/>
    </row>
    <row r="920" spans="1:7" x14ac:dyDescent="0.55000000000000004">
      <c r="A920" s="1" t="s">
        <v>1738</v>
      </c>
      <c r="B920" s="2">
        <f>COUNTIF(A:A,A920)-1</f>
        <v>3</v>
      </c>
      <c r="C920" s="2">
        <f>COUNTIF(A$1:A920,A920)-1</f>
        <v>1</v>
      </c>
      <c r="D920" s="2" t="e">
        <f>LOGNORMDIST(1,#REF!,#REF!)</f>
        <v>#REF!</v>
      </c>
      <c r="E920" s="2" t="b">
        <f>IFERROR(INDEX(ERROR(0),LOGNORMDIST(SET.NAME("_",+INDEX(1,)),#REF!,#REF!)),RETURN(INDEX(TYPE(_),SET.NAME("_"))))</f>
        <v>0</v>
      </c>
      <c r="F920" s="2" t="b">
        <f>IFERROR(INDEX(ERROR(0),LOGNORMDIST(INDIRECT(SET.NAME({1,"_"},)),#REF!,#REF!)),RETURN(INDEX(TYPE(_),SET.NAME("_"))))</f>
        <v>0</v>
      </c>
      <c r="G920" s="2">
        <f>TYPE(INDEX(,LOGNORMDIST(INDEX(1,),#REF!,#REF!)))</f>
        <v>16</v>
      </c>
    </row>
    <row r="921" spans="1:7" x14ac:dyDescent="0.55000000000000004">
      <c r="A921" s="1" t="s">
        <v>1738</v>
      </c>
      <c r="B921" s="2">
        <f>COUNTIF(A:A,A921)-1</f>
        <v>3</v>
      </c>
      <c r="C921" s="2">
        <f>COUNTIF(A$1:A921,A921)-1</f>
        <v>2</v>
      </c>
      <c r="D921" s="2" t="e">
        <f>LOGNORMDIST(#REF!,1,#REF!)</f>
        <v>#REF!</v>
      </c>
      <c r="E921" s="2" t="b">
        <f>IFERROR(INDEX(ERROR(0),LOGNORMDIST(#REF!,SET.NAME("_",+INDEX(1,)),#REF!)),RETURN(INDEX(TYPE(_),SET.NAME("_"))))</f>
        <v>0</v>
      </c>
      <c r="F921" s="2" t="b">
        <f>IFERROR(INDEX(ERROR(0),LOGNORMDIST(#REF!,INDIRECT(SET.NAME({1,"_"},)),#REF!)),RETURN(INDEX(TYPE(_),SET.NAME("_"))))</f>
        <v>0</v>
      </c>
      <c r="G921" s="2">
        <f>TYPE(INDEX(,LOGNORMDIST(#REF!,INDEX(1,),#REF!)))</f>
        <v>16</v>
      </c>
    </row>
    <row r="922" spans="1:7" x14ac:dyDescent="0.55000000000000004">
      <c r="A922" s="1" t="s">
        <v>1738</v>
      </c>
      <c r="B922" s="2">
        <f>COUNTIF(A:A,A922)-1</f>
        <v>3</v>
      </c>
      <c r="C922" s="2">
        <f>COUNTIF(A$1:A922,A922)-1</f>
        <v>3</v>
      </c>
      <c r="D922" s="2" t="e">
        <f>LOGNORMDIST(#REF!,#REF!,1)</f>
        <v>#REF!</v>
      </c>
      <c r="E922" s="2" t="b">
        <f>IFERROR(INDEX(ERROR(0),LOGNORMDIST(#REF!,#REF!,SET.NAME("_",+INDEX(1,)))),RETURN(INDEX(TYPE(_),SET.NAME("_"))))</f>
        <v>0</v>
      </c>
      <c r="F922" s="2" t="b">
        <f>IFERROR(INDEX(ERROR(0),LOGNORMDIST(#REF!,#REF!,INDIRECT(SET.NAME({1,"_"},)))),RETURN(INDEX(TYPE(_),SET.NAME("_"))))</f>
        <v>0</v>
      </c>
      <c r="G922" s="2">
        <f>TYPE(INDEX(,LOGNORMDIST(#REF!,#REF!,INDEX(1,))))</f>
        <v>16</v>
      </c>
    </row>
    <row r="923" spans="1:7" x14ac:dyDescent="0.55000000000000004">
      <c r="A923" s="1" t="s">
        <v>1739</v>
      </c>
      <c r="B923" s="2">
        <f>COUNTIF(A:A,A923)-1</f>
        <v>3</v>
      </c>
      <c r="C923" s="2">
        <f>COUNTIF(A$1:A923,A923)-1</f>
        <v>0</v>
      </c>
      <c r="D923" s="2"/>
      <c r="E923" s="2"/>
      <c r="F923" s="2"/>
      <c r="G923" s="2"/>
    </row>
    <row r="924" spans="1:7" x14ac:dyDescent="0.55000000000000004">
      <c r="A924" s="1" t="s">
        <v>1739</v>
      </c>
      <c r="B924" s="2">
        <f>COUNTIF(A:A,A924)-1</f>
        <v>3</v>
      </c>
      <c r="C924" s="2">
        <f>COUNTIF(A$1:A924,A924)-1</f>
        <v>1</v>
      </c>
      <c r="D924" s="2" t="e">
        <f>LOGINV(1,#REF!,#REF!)</f>
        <v>#REF!</v>
      </c>
      <c r="E924" s="2" t="b">
        <f>IFERROR(INDEX(ERROR(0),LOGINV(SET.NAME("_",+INDEX(1,)),#REF!,#REF!)),RETURN(INDEX(TYPE(_),SET.NAME("_"))))</f>
        <v>0</v>
      </c>
      <c r="F924" s="2" t="b">
        <f>IFERROR(INDEX(ERROR(0),LOGINV(INDIRECT(SET.NAME({1,"_"},)),#REF!,#REF!)),RETURN(INDEX(TYPE(_),SET.NAME("_"))))</f>
        <v>0</v>
      </c>
      <c r="G924" s="2">
        <f>TYPE(INDEX(,LOGINV(INDEX(1,),#REF!,#REF!)))</f>
        <v>16</v>
      </c>
    </row>
    <row r="925" spans="1:7" x14ac:dyDescent="0.55000000000000004">
      <c r="A925" s="1" t="s">
        <v>1739</v>
      </c>
      <c r="B925" s="2">
        <f>COUNTIF(A:A,A925)-1</f>
        <v>3</v>
      </c>
      <c r="C925" s="2">
        <f>COUNTIF(A$1:A925,A925)-1</f>
        <v>2</v>
      </c>
      <c r="D925" s="2" t="e">
        <f>LOGINV(#REF!,1,#REF!)</f>
        <v>#REF!</v>
      </c>
      <c r="E925" s="2" t="b">
        <f>IFERROR(INDEX(ERROR(0),LOGINV(#REF!,SET.NAME("_",+INDEX(1,)),#REF!)),RETURN(INDEX(TYPE(_),SET.NAME("_"))))</f>
        <v>0</v>
      </c>
      <c r="F925" s="2" t="b">
        <f>IFERROR(INDEX(ERROR(0),LOGINV(#REF!,INDIRECT(SET.NAME({1,"_"},)),#REF!)),RETURN(INDEX(TYPE(_),SET.NAME("_"))))</f>
        <v>0</v>
      </c>
      <c r="G925" s="2">
        <f>TYPE(INDEX(,LOGINV(#REF!,INDEX(1,),#REF!)))</f>
        <v>16</v>
      </c>
    </row>
    <row r="926" spans="1:7" x14ac:dyDescent="0.55000000000000004">
      <c r="A926" s="1" t="s">
        <v>1739</v>
      </c>
      <c r="B926" s="2">
        <f>COUNTIF(A:A,A926)-1</f>
        <v>3</v>
      </c>
      <c r="C926" s="2">
        <f>COUNTIF(A$1:A926,A926)-1</f>
        <v>3</v>
      </c>
      <c r="D926" s="2" t="e">
        <f>LOGINV(#REF!,#REF!,1)</f>
        <v>#REF!</v>
      </c>
      <c r="E926" s="2" t="b">
        <f>IFERROR(INDEX(ERROR(0),LOGINV(#REF!,#REF!,SET.NAME("_",+INDEX(1,)))),RETURN(INDEX(TYPE(_),SET.NAME("_"))))</f>
        <v>0</v>
      </c>
      <c r="F926" s="2" t="b">
        <f>IFERROR(INDEX(ERROR(0),LOGINV(#REF!,#REF!,INDIRECT(SET.NAME({1,"_"},)))),RETURN(INDEX(TYPE(_),SET.NAME("_"))))</f>
        <v>0</v>
      </c>
      <c r="G926" s="2">
        <f>TYPE(INDEX(,LOGINV(#REF!,#REF!,INDEX(1,))))</f>
        <v>16</v>
      </c>
    </row>
    <row r="927" spans="1:7" x14ac:dyDescent="0.55000000000000004">
      <c r="A927" s="1" t="s">
        <v>1740</v>
      </c>
      <c r="B927" s="2">
        <f>COUNTIF(A:A,A927)-1</f>
        <v>3</v>
      </c>
      <c r="C927" s="2">
        <f>COUNTIF(A$1:A927,A927)-1</f>
        <v>0</v>
      </c>
      <c r="D927" s="2"/>
      <c r="E927" s="2"/>
      <c r="F927" s="2"/>
      <c r="G927" s="2"/>
    </row>
    <row r="928" spans="1:7" x14ac:dyDescent="0.55000000000000004">
      <c r="A928" s="1" t="s">
        <v>1740</v>
      </c>
      <c r="B928" s="2">
        <f>COUNTIF(A:A,A928)-1</f>
        <v>3</v>
      </c>
      <c r="C928" s="2">
        <f>COUNTIF(A$1:A928,A928)-1</f>
        <v>1</v>
      </c>
      <c r="D928" s="2" t="e">
        <f>NEGBINOMDIST(1,#REF!,#REF!)</f>
        <v>#REF!</v>
      </c>
      <c r="E928" s="2" t="b">
        <f>IFERROR(INDEX(ERROR(0),NEGBINOMDIST(SET.NAME("_",+INDEX(1,)),#REF!,#REF!)),RETURN(INDEX(TYPE(_),SET.NAME("_"))))</f>
        <v>0</v>
      </c>
      <c r="F928" s="2" t="b">
        <f>IFERROR(INDEX(ERROR(0),NEGBINOMDIST(INDIRECT(SET.NAME({1,"_"},)),#REF!,#REF!)),RETURN(INDEX(TYPE(_),SET.NAME("_"))))</f>
        <v>0</v>
      </c>
      <c r="G928" s="2">
        <f>TYPE(INDEX(,NEGBINOMDIST(INDEX(1,),#REF!,#REF!)))</f>
        <v>16</v>
      </c>
    </row>
    <row r="929" spans="1:7" x14ac:dyDescent="0.55000000000000004">
      <c r="A929" s="1" t="s">
        <v>1740</v>
      </c>
      <c r="B929" s="2">
        <f>COUNTIF(A:A,A929)-1</f>
        <v>3</v>
      </c>
      <c r="C929" s="2">
        <f>COUNTIF(A$1:A929,A929)-1</f>
        <v>2</v>
      </c>
      <c r="D929" s="2" t="e">
        <f>NEGBINOMDIST(#REF!,1,#REF!)</f>
        <v>#REF!</v>
      </c>
      <c r="E929" s="2" t="b">
        <f>IFERROR(INDEX(ERROR(0),NEGBINOMDIST(#REF!,SET.NAME("_",+INDEX(1,)),#REF!)),RETURN(INDEX(TYPE(_),SET.NAME("_"))))</f>
        <v>0</v>
      </c>
      <c r="F929" s="2" t="b">
        <f>IFERROR(INDEX(ERROR(0),NEGBINOMDIST(#REF!,INDIRECT(SET.NAME({1,"_"},)),#REF!)),RETURN(INDEX(TYPE(_),SET.NAME("_"))))</f>
        <v>0</v>
      </c>
      <c r="G929" s="2">
        <f>TYPE(INDEX(,NEGBINOMDIST(#REF!,INDEX(1,),#REF!)))</f>
        <v>16</v>
      </c>
    </row>
    <row r="930" spans="1:7" x14ac:dyDescent="0.55000000000000004">
      <c r="A930" s="1" t="s">
        <v>1740</v>
      </c>
      <c r="B930" s="2">
        <f>COUNTIF(A:A,A930)-1</f>
        <v>3</v>
      </c>
      <c r="C930" s="2">
        <f>COUNTIF(A$1:A930,A930)-1</f>
        <v>3</v>
      </c>
      <c r="D930" s="2" t="e">
        <f>NEGBINOMDIST(#REF!,#REF!,1)</f>
        <v>#REF!</v>
      </c>
      <c r="E930" s="2" t="b">
        <f>IFERROR(INDEX(ERROR(0),NEGBINOMDIST(#REF!,#REF!,SET.NAME("_",+INDEX(1,)))),RETURN(INDEX(TYPE(_),SET.NAME("_"))))</f>
        <v>0</v>
      </c>
      <c r="F930" s="2" t="b">
        <f>IFERROR(INDEX(ERROR(0),NEGBINOMDIST(#REF!,#REF!,INDIRECT(SET.NAME({1,"_"},)))),RETURN(INDEX(TYPE(_),SET.NAME("_"))))</f>
        <v>0</v>
      </c>
      <c r="G930" s="2">
        <f>TYPE(INDEX(,NEGBINOMDIST(#REF!,#REF!,INDEX(1,))))</f>
        <v>16</v>
      </c>
    </row>
    <row r="931" spans="1:7" x14ac:dyDescent="0.55000000000000004">
      <c r="A931" s="1" t="s">
        <v>1741</v>
      </c>
      <c r="B931" s="2">
        <f>COUNTIF(A:A,A931)-1</f>
        <v>4</v>
      </c>
      <c r="C931" s="2">
        <f>COUNTIF(A$1:A931,A931)-1</f>
        <v>0</v>
      </c>
      <c r="D931" s="2"/>
      <c r="E931" s="2"/>
      <c r="F931" s="2"/>
      <c r="G931" s="2"/>
    </row>
    <row r="932" spans="1:7" x14ac:dyDescent="0.55000000000000004">
      <c r="A932" s="1" t="s">
        <v>1741</v>
      </c>
      <c r="B932" s="2">
        <f>COUNTIF(A:A,A932)-1</f>
        <v>4</v>
      </c>
      <c r="C932" s="2">
        <f>COUNTIF(A$1:A932,A932)-1</f>
        <v>1</v>
      </c>
      <c r="D932" s="2" t="e">
        <f>NORMDIST(1,#REF!,#REF!,#REF!)</f>
        <v>#REF!</v>
      </c>
      <c r="E932" s="2" t="b">
        <f>IFERROR(INDEX(ERROR(0),NORMDIST(SET.NAME("_",+INDEX(1,)),#REF!,#REF!,#REF!)),RETURN(INDEX(TYPE(_),SET.NAME("_"))))</f>
        <v>0</v>
      </c>
      <c r="F932" s="2" t="b">
        <f>IFERROR(INDEX(ERROR(0),NORMDIST(INDIRECT(SET.NAME({1,"_"},)),#REF!,#REF!,#REF!)),RETURN(INDEX(TYPE(_),SET.NAME("_"))))</f>
        <v>0</v>
      </c>
      <c r="G932" s="2">
        <f>TYPE(INDEX(,NORMDIST(INDEX(1,),#REF!,#REF!,#REF!)))</f>
        <v>16</v>
      </c>
    </row>
    <row r="933" spans="1:7" x14ac:dyDescent="0.55000000000000004">
      <c r="A933" s="1" t="s">
        <v>1741</v>
      </c>
      <c r="B933" s="2">
        <f>COUNTIF(A:A,A933)-1</f>
        <v>4</v>
      </c>
      <c r="C933" s="2">
        <f>COUNTIF(A$1:A933,A933)-1</f>
        <v>2</v>
      </c>
      <c r="D933" s="2" t="e">
        <f>NORMDIST(#REF!,1,#REF!,#REF!)</f>
        <v>#REF!</v>
      </c>
      <c r="E933" s="2" t="b">
        <f>IFERROR(INDEX(ERROR(0),NORMDIST(#REF!,SET.NAME("_",+INDEX(1,)),#REF!,#REF!)),RETURN(INDEX(TYPE(_),SET.NAME("_"))))</f>
        <v>0</v>
      </c>
      <c r="F933" s="2" t="b">
        <f>IFERROR(INDEX(ERROR(0),NORMDIST(#REF!,INDIRECT(SET.NAME({1,"_"},)),#REF!,#REF!)),RETURN(INDEX(TYPE(_),SET.NAME("_"))))</f>
        <v>0</v>
      </c>
      <c r="G933" s="2">
        <f>TYPE(INDEX(,NORMDIST(#REF!,INDEX(1,),#REF!,#REF!)))</f>
        <v>16</v>
      </c>
    </row>
    <row r="934" spans="1:7" x14ac:dyDescent="0.55000000000000004">
      <c r="A934" s="1" t="s">
        <v>1741</v>
      </c>
      <c r="B934" s="2">
        <f>COUNTIF(A:A,A934)-1</f>
        <v>4</v>
      </c>
      <c r="C934" s="2">
        <f>COUNTIF(A$1:A934,A934)-1</f>
        <v>3</v>
      </c>
      <c r="D934" s="2" t="e">
        <f>NORMDIST(#REF!,#REF!,1,#REF!)</f>
        <v>#REF!</v>
      </c>
      <c r="E934" s="2" t="b">
        <f>IFERROR(INDEX(ERROR(0),NORMDIST(#REF!,#REF!,SET.NAME("_",+INDEX(1,)),#REF!)),RETURN(INDEX(TYPE(_),SET.NAME("_"))))</f>
        <v>0</v>
      </c>
      <c r="F934" s="2" t="b">
        <f>IFERROR(INDEX(ERROR(0),NORMDIST(#REF!,#REF!,INDIRECT(SET.NAME({1,"_"},)),#REF!)),RETURN(INDEX(TYPE(_),SET.NAME("_"))))</f>
        <v>0</v>
      </c>
      <c r="G934" s="2">
        <f>TYPE(INDEX(,NORMDIST(#REF!,#REF!,INDEX(1,),#REF!)))</f>
        <v>16</v>
      </c>
    </row>
    <row r="935" spans="1:7" x14ac:dyDescent="0.55000000000000004">
      <c r="A935" s="1" t="s">
        <v>1741</v>
      </c>
      <c r="B935" s="2">
        <f>COUNTIF(A:A,A935)-1</f>
        <v>4</v>
      </c>
      <c r="C935" s="2">
        <f>COUNTIF(A$1:A935,A935)-1</f>
        <v>4</v>
      </c>
      <c r="D935" s="2" t="e">
        <f>NORMDIST(#REF!,#REF!,#REF!,1)</f>
        <v>#REF!</v>
      </c>
      <c r="E935" s="2" t="b">
        <f>IFERROR(INDEX(ERROR(0),NORMDIST(#REF!,#REF!,#REF!,SET.NAME("_",+INDEX(1,)))),RETURN(INDEX(TYPE(_),SET.NAME("_"))))</f>
        <v>0</v>
      </c>
      <c r="F935" s="2" t="b">
        <f>IFERROR(INDEX(ERROR(0),NORMDIST(#REF!,#REF!,#REF!,INDIRECT(SET.NAME({1,"_"},)))),RETURN(INDEX(TYPE(_),SET.NAME("_"))))</f>
        <v>0</v>
      </c>
      <c r="G935" s="2">
        <f>TYPE(INDEX(,NORMDIST(#REF!,#REF!,#REF!,INDEX(1,))))</f>
        <v>16</v>
      </c>
    </row>
    <row r="936" spans="1:7" x14ac:dyDescent="0.55000000000000004">
      <c r="A936" s="1" t="s">
        <v>1742</v>
      </c>
      <c r="B936" s="2">
        <f>COUNTIF(A:A,A936)-1</f>
        <v>1</v>
      </c>
      <c r="C936" s="2">
        <f>COUNTIF(A$1:A936,A936)-1</f>
        <v>0</v>
      </c>
      <c r="D936" s="2"/>
      <c r="E936" s="2"/>
      <c r="F936" s="2"/>
      <c r="G936" s="2"/>
    </row>
    <row r="937" spans="1:7" x14ac:dyDescent="0.55000000000000004">
      <c r="A937" s="1" t="s">
        <v>1742</v>
      </c>
      <c r="B937" s="2">
        <f>COUNTIF(A:A,A937)-1</f>
        <v>1</v>
      </c>
      <c r="C937" s="2">
        <f>COUNTIF(A$1:A937,A937)-1</f>
        <v>1</v>
      </c>
      <c r="D937" s="2">
        <f>NORMSDIST(1)</f>
        <v>0.84134474606854304</v>
      </c>
      <c r="E937" s="2" t="b">
        <f>IFERROR(INDEX(ERROR(0),NORMSDIST(SET.NAME("_",+INDEX(1,)))),RETURN(INDEX(TYPE(_),SET.NAME("_"))))</f>
        <v>0</v>
      </c>
      <c r="F937" s="2" t="b">
        <f>IFERROR(INDEX(ERROR(0),NORMSDIST(INDIRECT(SET.NAME({1,"_"},)))),RETURN(INDEX(TYPE(_),SET.NAME("_"))))</f>
        <v>0</v>
      </c>
      <c r="G937" s="2">
        <f>TYPE(INDEX(,NORMSDIST(INDEX(1,))))</f>
        <v>16</v>
      </c>
    </row>
    <row r="938" spans="1:7" x14ac:dyDescent="0.55000000000000004">
      <c r="A938" s="1" t="s">
        <v>1743</v>
      </c>
      <c r="B938" s="2">
        <f>COUNTIF(A:A,A938)-1</f>
        <v>3</v>
      </c>
      <c r="C938" s="2">
        <f>COUNTIF(A$1:A938,A938)-1</f>
        <v>0</v>
      </c>
      <c r="D938" s="2"/>
      <c r="E938" s="2"/>
      <c r="F938" s="2"/>
      <c r="G938" s="2"/>
    </row>
    <row r="939" spans="1:7" x14ac:dyDescent="0.55000000000000004">
      <c r="A939" s="1" t="s">
        <v>1743</v>
      </c>
      <c r="B939" s="2">
        <f>COUNTIF(A:A,A939)-1</f>
        <v>3</v>
      </c>
      <c r="C939" s="2">
        <f>COUNTIF(A$1:A939,A939)-1</f>
        <v>1</v>
      </c>
      <c r="D939" s="2" t="e">
        <f>NORMINV(1,#REF!,#REF!)</f>
        <v>#REF!</v>
      </c>
      <c r="E939" s="2" t="b">
        <f>IFERROR(INDEX(ERROR(0),NORMINV(SET.NAME("_",+INDEX(1,)),#REF!,#REF!)),RETURN(INDEX(TYPE(_),SET.NAME("_"))))</f>
        <v>0</v>
      </c>
      <c r="F939" s="2" t="b">
        <f>IFERROR(INDEX(ERROR(0),NORMINV(INDIRECT(SET.NAME({1,"_"},)),#REF!,#REF!)),RETURN(INDEX(TYPE(_),SET.NAME("_"))))</f>
        <v>0</v>
      </c>
      <c r="G939" s="2">
        <f>TYPE(INDEX(,NORMINV(INDEX(1,),#REF!,#REF!)))</f>
        <v>16</v>
      </c>
    </row>
    <row r="940" spans="1:7" x14ac:dyDescent="0.55000000000000004">
      <c r="A940" s="1" t="s">
        <v>1743</v>
      </c>
      <c r="B940" s="2">
        <f>COUNTIF(A:A,A940)-1</f>
        <v>3</v>
      </c>
      <c r="C940" s="2">
        <f>COUNTIF(A$1:A940,A940)-1</f>
        <v>2</v>
      </c>
      <c r="D940" s="2" t="e">
        <f>NORMINV(#REF!,1,#REF!)</f>
        <v>#REF!</v>
      </c>
      <c r="E940" s="2" t="b">
        <f>IFERROR(INDEX(ERROR(0),NORMINV(#REF!,SET.NAME("_",+INDEX(1,)),#REF!)),RETURN(INDEX(TYPE(_),SET.NAME("_"))))</f>
        <v>0</v>
      </c>
      <c r="F940" s="2" t="b">
        <f>IFERROR(INDEX(ERROR(0),NORMINV(#REF!,INDIRECT(SET.NAME({1,"_"},)),#REF!)),RETURN(INDEX(TYPE(_),SET.NAME("_"))))</f>
        <v>0</v>
      </c>
      <c r="G940" s="2">
        <f>TYPE(INDEX(,NORMINV(#REF!,INDEX(1,),#REF!)))</f>
        <v>16</v>
      </c>
    </row>
    <row r="941" spans="1:7" x14ac:dyDescent="0.55000000000000004">
      <c r="A941" s="1" t="s">
        <v>1743</v>
      </c>
      <c r="B941" s="2">
        <f>COUNTIF(A:A,A941)-1</f>
        <v>3</v>
      </c>
      <c r="C941" s="2">
        <f>COUNTIF(A$1:A941,A941)-1</f>
        <v>3</v>
      </c>
      <c r="D941" s="2" t="e">
        <f>NORMINV(#REF!,#REF!,1)</f>
        <v>#REF!</v>
      </c>
      <c r="E941" s="2" t="b">
        <f>IFERROR(INDEX(ERROR(0),NORMINV(#REF!,#REF!,SET.NAME("_",+INDEX(1,)))),RETURN(INDEX(TYPE(_),SET.NAME("_"))))</f>
        <v>0</v>
      </c>
      <c r="F941" s="2" t="b">
        <f>IFERROR(INDEX(ERROR(0),NORMINV(#REF!,#REF!,INDIRECT(SET.NAME({1,"_"},)))),RETURN(INDEX(TYPE(_),SET.NAME("_"))))</f>
        <v>0</v>
      </c>
      <c r="G941" s="2">
        <f>TYPE(INDEX(,NORMINV(#REF!,#REF!,INDEX(1,))))</f>
        <v>16</v>
      </c>
    </row>
    <row r="942" spans="1:7" x14ac:dyDescent="0.55000000000000004">
      <c r="A942" s="1" t="s">
        <v>1744</v>
      </c>
      <c r="B942" s="2">
        <f>COUNTIF(A:A,A942)-1</f>
        <v>1</v>
      </c>
      <c r="C942" s="2">
        <f>COUNTIF(A$1:A942,A942)-1</f>
        <v>0</v>
      </c>
      <c r="D942" s="2"/>
      <c r="E942" s="2"/>
      <c r="F942" s="2"/>
      <c r="G942" s="2"/>
    </row>
    <row r="943" spans="1:7" x14ac:dyDescent="0.55000000000000004">
      <c r="A943" s="1" t="s">
        <v>1744</v>
      </c>
      <c r="B943" s="2">
        <f>COUNTIF(A:A,A943)-1</f>
        <v>1</v>
      </c>
      <c r="C943" s="2">
        <f>COUNTIF(A$1:A943,A943)-1</f>
        <v>1</v>
      </c>
      <c r="D943" s="2" t="e">
        <f>NORMSINV(1)</f>
        <v>#NUM!</v>
      </c>
      <c r="E943" s="2" t="b">
        <f>IFERROR(INDEX(ERROR(0),NORMSINV(SET.NAME("_",+INDEX(1,)))),RETURN(INDEX(TYPE(_),SET.NAME("_"))))</f>
        <v>0</v>
      </c>
      <c r="F943" s="2" t="b">
        <f>IFERROR(INDEX(ERROR(0),NORMSINV(INDIRECT(SET.NAME({1,"_"},)))),RETURN(INDEX(TYPE(_),SET.NAME("_"))))</f>
        <v>0</v>
      </c>
      <c r="G943" s="2">
        <f>TYPE(INDEX(,NORMSINV(INDEX(1,))))</f>
        <v>16</v>
      </c>
    </row>
    <row r="944" spans="1:7" x14ac:dyDescent="0.55000000000000004">
      <c r="A944" s="1" t="s">
        <v>1745</v>
      </c>
      <c r="B944" s="2">
        <f>COUNTIF(A:A,A944)-1</f>
        <v>3</v>
      </c>
      <c r="C944" s="2">
        <f>COUNTIF(A$1:A944,A944)-1</f>
        <v>0</v>
      </c>
      <c r="D944" s="2"/>
      <c r="E944" s="2"/>
      <c r="F944" s="2"/>
      <c r="G944" s="2"/>
    </row>
    <row r="945" spans="1:7" x14ac:dyDescent="0.55000000000000004">
      <c r="A945" s="1" t="s">
        <v>1745</v>
      </c>
      <c r="B945" s="2">
        <f>COUNTIF(A:A,A945)-1</f>
        <v>3</v>
      </c>
      <c r="C945" s="2">
        <f>COUNTIF(A$1:A945,A945)-1</f>
        <v>1</v>
      </c>
      <c r="D945" s="2" t="e">
        <f>STANDARDIZE(1,#REF!,#REF!)</f>
        <v>#REF!</v>
      </c>
      <c r="E945" s="2" t="b">
        <f>IFERROR(INDEX(ERROR(0),STANDARDIZE(SET.NAME("_",+INDEX(1,)),#REF!,#REF!)),RETURN(INDEX(TYPE(_),SET.NAME("_"))))</f>
        <v>0</v>
      </c>
      <c r="F945" s="2" t="b">
        <f>IFERROR(INDEX(ERROR(0),STANDARDIZE(INDIRECT(SET.NAME({1,"_"},)),#REF!,#REF!)),RETURN(INDEX(TYPE(_),SET.NAME("_"))))</f>
        <v>0</v>
      </c>
      <c r="G945" s="2">
        <f>TYPE(INDEX(,STANDARDIZE(INDEX(1,),#REF!,#REF!)))</f>
        <v>16</v>
      </c>
    </row>
    <row r="946" spans="1:7" x14ac:dyDescent="0.55000000000000004">
      <c r="A946" s="1" t="s">
        <v>1745</v>
      </c>
      <c r="B946" s="2">
        <f>COUNTIF(A:A,A946)-1</f>
        <v>3</v>
      </c>
      <c r="C946" s="2">
        <f>COUNTIF(A$1:A946,A946)-1</f>
        <v>2</v>
      </c>
      <c r="D946" s="2" t="e">
        <f>STANDARDIZE(#REF!,1,#REF!)</f>
        <v>#REF!</v>
      </c>
      <c r="E946" s="2" t="b">
        <f>IFERROR(INDEX(ERROR(0),STANDARDIZE(#REF!,SET.NAME("_",+INDEX(1,)),#REF!)),RETURN(INDEX(TYPE(_),SET.NAME("_"))))</f>
        <v>0</v>
      </c>
      <c r="F946" s="2" t="b">
        <f>IFERROR(INDEX(ERROR(0),STANDARDIZE(#REF!,INDIRECT(SET.NAME({1,"_"},)),#REF!)),RETURN(INDEX(TYPE(_),SET.NAME("_"))))</f>
        <v>0</v>
      </c>
      <c r="G946" s="2">
        <f>TYPE(INDEX(,STANDARDIZE(#REF!,INDEX(1,),#REF!)))</f>
        <v>16</v>
      </c>
    </row>
    <row r="947" spans="1:7" x14ac:dyDescent="0.55000000000000004">
      <c r="A947" s="1" t="s">
        <v>1745</v>
      </c>
      <c r="B947" s="2">
        <f>COUNTIF(A:A,A947)-1</f>
        <v>3</v>
      </c>
      <c r="C947" s="2">
        <f>COUNTIF(A$1:A947,A947)-1</f>
        <v>3</v>
      </c>
      <c r="D947" s="2" t="e">
        <f>STANDARDIZE(#REF!,#REF!,1)</f>
        <v>#REF!</v>
      </c>
      <c r="E947" s="2" t="b">
        <f>IFERROR(INDEX(ERROR(0),STANDARDIZE(#REF!,#REF!,SET.NAME("_",+INDEX(1,)))),RETURN(INDEX(TYPE(_),SET.NAME("_"))))</f>
        <v>0</v>
      </c>
      <c r="F947" s="2" t="b">
        <f>IFERROR(INDEX(ERROR(0),STANDARDIZE(#REF!,#REF!,INDIRECT(SET.NAME({1,"_"},)))),RETURN(INDEX(TYPE(_),SET.NAME("_"))))</f>
        <v>0</v>
      </c>
      <c r="G947" s="2">
        <f>TYPE(INDEX(,STANDARDIZE(#REF!,#REF!,INDEX(1,))))</f>
        <v>16</v>
      </c>
    </row>
    <row r="948" spans="1:7" x14ac:dyDescent="0.55000000000000004">
      <c r="A948" s="1" t="s">
        <v>1746</v>
      </c>
      <c r="B948" s="2">
        <f>COUNTIF(A:A,A948)-1</f>
        <v>1</v>
      </c>
      <c r="C948" s="2">
        <f>COUNTIF(A$1:A948,A948)-1</f>
        <v>0</v>
      </c>
      <c r="D948" s="2"/>
      <c r="E948" s="2"/>
      <c r="F948" s="2"/>
      <c r="G948" s="2"/>
    </row>
    <row r="949" spans="1:7" x14ac:dyDescent="0.55000000000000004">
      <c r="A949" s="1" t="s">
        <v>1746</v>
      </c>
      <c r="B949" s="2">
        <f>COUNTIF(A:A,A949)-1</f>
        <v>1</v>
      </c>
      <c r="C949" s="2">
        <f>COUNTIF(A$1:A949,A949)-1</f>
        <v>1</v>
      </c>
      <c r="D949" s="2">
        <f>ODD(1)</f>
        <v>1</v>
      </c>
      <c r="E949" s="2" t="b">
        <f>IFERROR(INDEX(ERROR(0),ODD(SET.NAME("_",+INDEX(1,)))),RETURN(INDEX(TYPE(_),SET.NAME("_"))))</f>
        <v>0</v>
      </c>
      <c r="F949" s="2" t="b">
        <f>IFERROR(INDEX(ERROR(0),ODD(INDIRECT(SET.NAME({1,"_"},)))),RETURN(INDEX(TYPE(_),SET.NAME("_"))))</f>
        <v>0</v>
      </c>
      <c r="G949" s="2">
        <f>TYPE(INDEX(,ODD(INDEX(1,))))</f>
        <v>16</v>
      </c>
    </row>
    <row r="950" spans="1:7" x14ac:dyDescent="0.55000000000000004">
      <c r="A950" s="1" t="s">
        <v>1747</v>
      </c>
      <c r="B950" s="2">
        <f>COUNTIF(A:A,A950)-1</f>
        <v>2</v>
      </c>
      <c r="C950" s="2">
        <f>COUNTIF(A$1:A950,A950)-1</f>
        <v>0</v>
      </c>
      <c r="D950" s="2"/>
      <c r="E950" s="2"/>
      <c r="F950" s="2"/>
      <c r="G950" s="2"/>
    </row>
    <row r="951" spans="1:7" x14ac:dyDescent="0.55000000000000004">
      <c r="A951" s="1" t="s">
        <v>1747</v>
      </c>
      <c r="B951" s="2">
        <f>COUNTIF(A:A,A951)-1</f>
        <v>2</v>
      </c>
      <c r="C951" s="2">
        <f>COUNTIF(A$1:A951,A951)-1</f>
        <v>1</v>
      </c>
      <c r="D951" s="2" t="e">
        <f>PERMUT(1,#REF!)</f>
        <v>#REF!</v>
      </c>
      <c r="E951" s="2" t="b">
        <f>IFERROR(INDEX(ERROR(0),PERMUT(SET.NAME("_",+INDEX(1,)),#REF!)),RETURN(INDEX(TYPE(_),SET.NAME("_"))))</f>
        <v>0</v>
      </c>
      <c r="F951" s="2" t="b">
        <f>IFERROR(INDEX(ERROR(0),PERMUT(INDIRECT(SET.NAME({1,"_"},)),#REF!)),RETURN(INDEX(TYPE(_),SET.NAME("_"))))</f>
        <v>0</v>
      </c>
      <c r="G951" s="2">
        <f>TYPE(INDEX(,PERMUT(INDEX(1,),#REF!)))</f>
        <v>16</v>
      </c>
    </row>
    <row r="952" spans="1:7" x14ac:dyDescent="0.55000000000000004">
      <c r="A952" s="1" t="s">
        <v>1747</v>
      </c>
      <c r="B952" s="2">
        <f>COUNTIF(A:A,A952)-1</f>
        <v>2</v>
      </c>
      <c r="C952" s="2">
        <f>COUNTIF(A$1:A952,A952)-1</f>
        <v>2</v>
      </c>
      <c r="D952" s="2" t="e">
        <f>PERMUT(#REF!,1)</f>
        <v>#REF!</v>
      </c>
      <c r="E952" s="2" t="b">
        <f>IFERROR(INDEX(ERROR(0),PERMUT(#REF!,SET.NAME("_",+INDEX(1,)))),RETURN(INDEX(TYPE(_),SET.NAME("_"))))</f>
        <v>0</v>
      </c>
      <c r="F952" s="2" t="b">
        <f>IFERROR(INDEX(ERROR(0),PERMUT(#REF!,INDIRECT(SET.NAME({1,"_"},)))),RETURN(INDEX(TYPE(_),SET.NAME("_"))))</f>
        <v>0</v>
      </c>
      <c r="G952" s="2">
        <f>TYPE(INDEX(,PERMUT(#REF!,INDEX(1,))))</f>
        <v>16</v>
      </c>
    </row>
    <row r="953" spans="1:7" x14ac:dyDescent="0.55000000000000004">
      <c r="A953" s="1" t="s">
        <v>1748</v>
      </c>
      <c r="B953" s="2">
        <f>COUNTIF(A:A,A953)-1</f>
        <v>3</v>
      </c>
      <c r="C953" s="2">
        <f>COUNTIF(A$1:A953,A953)-1</f>
        <v>0</v>
      </c>
      <c r="D953" s="2"/>
      <c r="E953" s="2"/>
      <c r="F953" s="2"/>
      <c r="G953" s="2"/>
    </row>
    <row r="954" spans="1:7" x14ac:dyDescent="0.55000000000000004">
      <c r="A954" s="1" t="s">
        <v>1748</v>
      </c>
      <c r="B954" s="2">
        <f>COUNTIF(A:A,A954)-1</f>
        <v>3</v>
      </c>
      <c r="C954" s="2">
        <f>COUNTIF(A$1:A954,A954)-1</f>
        <v>1</v>
      </c>
      <c r="D954" s="2" t="e">
        <f>POISSON(1,#REF!,#REF!)</f>
        <v>#REF!</v>
      </c>
      <c r="E954" s="2" t="b">
        <f>IFERROR(INDEX(ERROR(0),POISSON(SET.NAME("_",+INDEX(1,)),#REF!,#REF!)),RETURN(INDEX(TYPE(_),SET.NAME("_"))))</f>
        <v>0</v>
      </c>
      <c r="F954" s="2" t="b">
        <f>IFERROR(INDEX(ERROR(0),POISSON(INDIRECT(SET.NAME({1,"_"},)),#REF!,#REF!)),RETURN(INDEX(TYPE(_),SET.NAME("_"))))</f>
        <v>0</v>
      </c>
      <c r="G954" s="2">
        <f>TYPE(INDEX(,POISSON(INDEX(1,),#REF!,#REF!)))</f>
        <v>16</v>
      </c>
    </row>
    <row r="955" spans="1:7" x14ac:dyDescent="0.55000000000000004">
      <c r="A955" s="1" t="s">
        <v>1748</v>
      </c>
      <c r="B955" s="2">
        <f>COUNTIF(A:A,A955)-1</f>
        <v>3</v>
      </c>
      <c r="C955" s="2">
        <f>COUNTIF(A$1:A955,A955)-1</f>
        <v>2</v>
      </c>
      <c r="D955" s="2" t="e">
        <f>POISSON(#REF!,1,#REF!)</f>
        <v>#REF!</v>
      </c>
      <c r="E955" s="2" t="b">
        <f>IFERROR(INDEX(ERROR(0),POISSON(#REF!,SET.NAME("_",+INDEX(1,)),#REF!)),RETURN(INDEX(TYPE(_),SET.NAME("_"))))</f>
        <v>0</v>
      </c>
      <c r="F955" s="2" t="b">
        <f>IFERROR(INDEX(ERROR(0),POISSON(#REF!,INDIRECT(SET.NAME({1,"_"},)),#REF!)),RETURN(INDEX(TYPE(_),SET.NAME("_"))))</f>
        <v>0</v>
      </c>
      <c r="G955" s="2">
        <f>TYPE(INDEX(,POISSON(#REF!,INDEX(1,),#REF!)))</f>
        <v>16</v>
      </c>
    </row>
    <row r="956" spans="1:7" x14ac:dyDescent="0.55000000000000004">
      <c r="A956" s="1" t="s">
        <v>1748</v>
      </c>
      <c r="B956" s="2">
        <f>COUNTIF(A:A,A956)-1</f>
        <v>3</v>
      </c>
      <c r="C956" s="2">
        <f>COUNTIF(A$1:A956,A956)-1</f>
        <v>3</v>
      </c>
      <c r="D956" s="2" t="e">
        <f>POISSON(#REF!,#REF!,1)</f>
        <v>#REF!</v>
      </c>
      <c r="E956" s="2" t="b">
        <f>IFERROR(INDEX(ERROR(0),POISSON(#REF!,#REF!,SET.NAME("_",+INDEX(1,)))),RETURN(INDEX(TYPE(_),SET.NAME("_"))))</f>
        <v>0</v>
      </c>
      <c r="F956" s="2" t="b">
        <f>IFERROR(INDEX(ERROR(0),POISSON(#REF!,#REF!,INDIRECT(SET.NAME({1,"_"},)))),RETURN(INDEX(TYPE(_),SET.NAME("_"))))</f>
        <v>0</v>
      </c>
      <c r="G956" s="2">
        <f>TYPE(INDEX(,POISSON(#REF!,#REF!,INDEX(1,))))</f>
        <v>16</v>
      </c>
    </row>
    <row r="957" spans="1:7" x14ac:dyDescent="0.55000000000000004">
      <c r="A957" s="1" t="s">
        <v>1749</v>
      </c>
      <c r="B957" s="2">
        <f>COUNTIF(A:A,A957)-1</f>
        <v>3</v>
      </c>
      <c r="C957" s="2">
        <f>COUNTIF(A$1:A957,A957)-1</f>
        <v>0</v>
      </c>
      <c r="D957" s="2"/>
      <c r="E957" s="2"/>
      <c r="F957" s="2"/>
      <c r="G957" s="2"/>
    </row>
    <row r="958" spans="1:7" x14ac:dyDescent="0.55000000000000004">
      <c r="A958" s="1" t="s">
        <v>1749</v>
      </c>
      <c r="B958" s="2">
        <f>COUNTIF(A:A,A958)-1</f>
        <v>3</v>
      </c>
      <c r="C958" s="2">
        <f>COUNTIF(A$1:A958,A958)-1</f>
        <v>1</v>
      </c>
      <c r="D958" s="2" t="e">
        <f>TDIST(1,#REF!,#REF!)</f>
        <v>#REF!</v>
      </c>
      <c r="E958" s="2" t="b">
        <f>IFERROR(INDEX(ERROR(0),TDIST(SET.NAME("_",+INDEX(1,)),#REF!,#REF!)),RETURN(INDEX(TYPE(_),SET.NAME("_"))))</f>
        <v>0</v>
      </c>
      <c r="F958" s="2" t="b">
        <f>IFERROR(INDEX(ERROR(0),TDIST(INDIRECT(SET.NAME({1,"_"},)),#REF!,#REF!)),RETURN(INDEX(TYPE(_),SET.NAME("_"))))</f>
        <v>0</v>
      </c>
      <c r="G958" s="2">
        <f>TYPE(INDEX(,TDIST(INDEX(1,),#REF!,#REF!)))</f>
        <v>16</v>
      </c>
    </row>
    <row r="959" spans="1:7" x14ac:dyDescent="0.55000000000000004">
      <c r="A959" s="1" t="s">
        <v>1749</v>
      </c>
      <c r="B959" s="2">
        <f>COUNTIF(A:A,A959)-1</f>
        <v>3</v>
      </c>
      <c r="C959" s="2">
        <f>COUNTIF(A$1:A959,A959)-1</f>
        <v>2</v>
      </c>
      <c r="D959" s="2" t="e">
        <f>TDIST(#REF!,1,#REF!)</f>
        <v>#REF!</v>
      </c>
      <c r="E959" s="2" t="b">
        <f>IFERROR(INDEX(ERROR(0),TDIST(#REF!,SET.NAME("_",+INDEX(1,)),#REF!)),RETURN(INDEX(TYPE(_),SET.NAME("_"))))</f>
        <v>0</v>
      </c>
      <c r="F959" s="2" t="b">
        <f>IFERROR(INDEX(ERROR(0),TDIST(#REF!,INDIRECT(SET.NAME({1,"_"},)),#REF!)),RETURN(INDEX(TYPE(_),SET.NAME("_"))))</f>
        <v>0</v>
      </c>
      <c r="G959" s="2">
        <f>TYPE(INDEX(,TDIST(#REF!,INDEX(1,),#REF!)))</f>
        <v>16</v>
      </c>
    </row>
    <row r="960" spans="1:7" x14ac:dyDescent="0.55000000000000004">
      <c r="A960" s="1" t="s">
        <v>1749</v>
      </c>
      <c r="B960" s="2">
        <f>COUNTIF(A:A,A960)-1</f>
        <v>3</v>
      </c>
      <c r="C960" s="2">
        <f>COUNTIF(A$1:A960,A960)-1</f>
        <v>3</v>
      </c>
      <c r="D960" s="2" t="e">
        <f>TDIST(#REF!,#REF!,1)</f>
        <v>#REF!</v>
      </c>
      <c r="E960" s="2" t="b">
        <f>IFERROR(INDEX(ERROR(0),TDIST(#REF!,#REF!,SET.NAME("_",+INDEX(1,)))),RETURN(INDEX(TYPE(_),SET.NAME("_"))))</f>
        <v>0</v>
      </c>
      <c r="F960" s="2" t="b">
        <f>IFERROR(INDEX(ERROR(0),TDIST(#REF!,#REF!,INDIRECT(SET.NAME({1,"_"},)))),RETURN(INDEX(TYPE(_),SET.NAME("_"))))</f>
        <v>0</v>
      </c>
      <c r="G960" s="2">
        <f>TYPE(INDEX(,TDIST(#REF!,#REF!,INDEX(1,))))</f>
        <v>16</v>
      </c>
    </row>
    <row r="961" spans="1:7" x14ac:dyDescent="0.55000000000000004">
      <c r="A961" s="1" t="s">
        <v>1750</v>
      </c>
      <c r="B961" s="2">
        <f>COUNTIF(A:A,A961)-1</f>
        <v>4</v>
      </c>
      <c r="C961" s="2">
        <f>COUNTIF(A$1:A961,A961)-1</f>
        <v>0</v>
      </c>
      <c r="D961" s="2"/>
      <c r="E961" s="2"/>
      <c r="F961" s="2"/>
      <c r="G961" s="2"/>
    </row>
    <row r="962" spans="1:7" x14ac:dyDescent="0.55000000000000004">
      <c r="A962" s="1" t="s">
        <v>1750</v>
      </c>
      <c r="B962" s="2">
        <f>COUNTIF(A:A,A962)-1</f>
        <v>4</v>
      </c>
      <c r="C962" s="2">
        <f>COUNTIF(A$1:A962,A962)-1</f>
        <v>1</v>
      </c>
      <c r="D962" s="2" t="e">
        <f>WEIBULL(1,#REF!,#REF!,#REF!)</f>
        <v>#REF!</v>
      </c>
      <c r="E962" s="2" t="b">
        <f>IFERROR(INDEX(ERROR(0),WEIBULL(SET.NAME("_",+INDEX(1,)),#REF!,#REF!,#REF!)),RETURN(INDEX(TYPE(_),SET.NAME("_"))))</f>
        <v>0</v>
      </c>
      <c r="F962" s="2" t="b">
        <f>IFERROR(INDEX(ERROR(0),WEIBULL(INDIRECT(SET.NAME({1,"_"},)),#REF!,#REF!,#REF!)),RETURN(INDEX(TYPE(_),SET.NAME("_"))))</f>
        <v>0</v>
      </c>
      <c r="G962" s="2">
        <f>TYPE(INDEX(,WEIBULL(INDEX(1,),#REF!,#REF!,#REF!)))</f>
        <v>16</v>
      </c>
    </row>
    <row r="963" spans="1:7" x14ac:dyDescent="0.55000000000000004">
      <c r="A963" s="1" t="s">
        <v>1750</v>
      </c>
      <c r="B963" s="2">
        <f>COUNTIF(A:A,A963)-1</f>
        <v>4</v>
      </c>
      <c r="C963" s="2">
        <f>COUNTIF(A$1:A963,A963)-1</f>
        <v>2</v>
      </c>
      <c r="D963" s="2" t="e">
        <f>WEIBULL(#REF!,1,#REF!,#REF!)</f>
        <v>#REF!</v>
      </c>
      <c r="E963" s="2" t="b">
        <f>IFERROR(INDEX(ERROR(0),WEIBULL(#REF!,SET.NAME("_",+INDEX(1,)),#REF!,#REF!)),RETURN(INDEX(TYPE(_),SET.NAME("_"))))</f>
        <v>0</v>
      </c>
      <c r="F963" s="2" t="b">
        <f>IFERROR(INDEX(ERROR(0),WEIBULL(#REF!,INDIRECT(SET.NAME({1,"_"},)),#REF!,#REF!)),RETURN(INDEX(TYPE(_),SET.NAME("_"))))</f>
        <v>0</v>
      </c>
      <c r="G963" s="2">
        <f>TYPE(INDEX(,WEIBULL(#REF!,INDEX(1,),#REF!,#REF!)))</f>
        <v>16</v>
      </c>
    </row>
    <row r="964" spans="1:7" x14ac:dyDescent="0.55000000000000004">
      <c r="A964" s="1" t="s">
        <v>1750</v>
      </c>
      <c r="B964" s="2">
        <f>COUNTIF(A:A,A964)-1</f>
        <v>4</v>
      </c>
      <c r="C964" s="2">
        <f>COUNTIF(A$1:A964,A964)-1</f>
        <v>3</v>
      </c>
      <c r="D964" s="2" t="e">
        <f>WEIBULL(#REF!,#REF!,1,#REF!)</f>
        <v>#REF!</v>
      </c>
      <c r="E964" s="2" t="b">
        <f>IFERROR(INDEX(ERROR(0),WEIBULL(#REF!,#REF!,SET.NAME("_",+INDEX(1,)),#REF!)),RETURN(INDEX(TYPE(_),SET.NAME("_"))))</f>
        <v>0</v>
      </c>
      <c r="F964" s="2" t="b">
        <f>IFERROR(INDEX(ERROR(0),WEIBULL(#REF!,#REF!,INDIRECT(SET.NAME({1,"_"},)),#REF!)),RETURN(INDEX(TYPE(_),SET.NAME("_"))))</f>
        <v>0</v>
      </c>
      <c r="G964" s="2">
        <f>TYPE(INDEX(,WEIBULL(#REF!,#REF!,INDEX(1,),#REF!)))</f>
        <v>16</v>
      </c>
    </row>
    <row r="965" spans="1:7" x14ac:dyDescent="0.55000000000000004">
      <c r="A965" s="1" t="s">
        <v>1750</v>
      </c>
      <c r="B965" s="2">
        <f>COUNTIF(A:A,A965)-1</f>
        <v>4</v>
      </c>
      <c r="C965" s="2">
        <f>COUNTIF(A$1:A965,A965)-1</f>
        <v>4</v>
      </c>
      <c r="D965" s="2" t="e">
        <f>WEIBULL(#REF!,#REF!,#REF!,1)</f>
        <v>#REF!</v>
      </c>
      <c r="E965" s="2" t="b">
        <f>IFERROR(INDEX(ERROR(0),WEIBULL(#REF!,#REF!,#REF!,SET.NAME("_",+INDEX(1,)))),RETURN(INDEX(TYPE(_),SET.NAME("_"))))</f>
        <v>0</v>
      </c>
      <c r="F965" s="2" t="b">
        <f>IFERROR(INDEX(ERROR(0),WEIBULL(#REF!,#REF!,#REF!,INDIRECT(SET.NAME({1,"_"},)))),RETURN(INDEX(TYPE(_),SET.NAME("_"))))</f>
        <v>0</v>
      </c>
      <c r="G965" s="2">
        <f>TYPE(INDEX(,WEIBULL(#REF!,#REF!,#REF!,INDEX(1,))))</f>
        <v>16</v>
      </c>
    </row>
    <row r="966" spans="1:7" x14ac:dyDescent="0.55000000000000004">
      <c r="A966" s="1" t="s">
        <v>1751</v>
      </c>
      <c r="B966" s="2">
        <f>COUNTIF(A:A,A966)-1</f>
        <v>2</v>
      </c>
      <c r="C966" s="2">
        <f>COUNTIF(A$1:A966,A966)-1</f>
        <v>0</v>
      </c>
      <c r="D966" s="2"/>
      <c r="E966" s="2"/>
      <c r="F966" s="2"/>
      <c r="G966" s="2"/>
    </row>
    <row r="967" spans="1:7" x14ac:dyDescent="0.55000000000000004">
      <c r="A967" s="1" t="s">
        <v>1751</v>
      </c>
      <c r="B967" s="2">
        <f>COUNTIF(A:A,A967)-1</f>
        <v>2</v>
      </c>
      <c r="C967" s="2">
        <f>COUNTIF(A$1:A967,A967)-1</f>
        <v>1</v>
      </c>
      <c r="D967" s="2" t="e">
        <f>SUMXMY2(1,#REF!)</f>
        <v>#REF!</v>
      </c>
      <c r="E967" s="2" t="b">
        <f>IFERROR(INDEX(ERROR(0),SUMXMY2(SET.NAME("_",+INDEX(1,)),#REF!)),RETURN(INDEX(TYPE(_),SET.NAME("_"))))</f>
        <v>0</v>
      </c>
      <c r="F967" s="2" t="b">
        <f>IFERROR(INDEX(ERROR(0),SUMXMY2(INDIRECT(SET.NAME({1,"_"},)),#REF!)),RETURN(INDEX(TYPE(_),SET.NAME("_"))))</f>
        <v>0</v>
      </c>
      <c r="G967" s="2">
        <f>TYPE(INDEX(,SUMXMY2(INDEX(1,),#REF!)))</f>
        <v>16</v>
      </c>
    </row>
    <row r="968" spans="1:7" x14ac:dyDescent="0.55000000000000004">
      <c r="A968" s="1" t="s">
        <v>1751</v>
      </c>
      <c r="B968" s="2">
        <f>COUNTIF(A:A,A968)-1</f>
        <v>2</v>
      </c>
      <c r="C968" s="2">
        <f>COUNTIF(A$1:A968,A968)-1</f>
        <v>2</v>
      </c>
      <c r="D968" s="2" t="e">
        <f>SUMXMY2(#REF!,1)</f>
        <v>#REF!</v>
      </c>
      <c r="E968" s="2" t="b">
        <f>IFERROR(INDEX(ERROR(0),SUMXMY2(#REF!,SET.NAME("_",+INDEX(1,)))),RETURN(INDEX(TYPE(_),SET.NAME("_"))))</f>
        <v>0</v>
      </c>
      <c r="F968" s="2" t="b">
        <f>IFERROR(INDEX(ERROR(0),SUMXMY2(#REF!,INDIRECT(SET.NAME({1,"_"},)))),RETURN(INDEX(TYPE(_),SET.NAME("_"))))</f>
        <v>0</v>
      </c>
      <c r="G968" s="2">
        <f>TYPE(INDEX(,SUMXMY2(#REF!,INDEX(1,))))</f>
        <v>16</v>
      </c>
    </row>
    <row r="969" spans="1:7" x14ac:dyDescent="0.55000000000000004">
      <c r="A969" s="1" t="s">
        <v>2055</v>
      </c>
      <c r="B969" s="2">
        <f>COUNTIF(A:A,A969)-1</f>
        <v>2</v>
      </c>
      <c r="C969" s="2">
        <f>COUNTIF(A$1:A969,A969)-1</f>
        <v>0</v>
      </c>
      <c r="D969" s="2"/>
      <c r="E969" s="2"/>
      <c r="F969" s="2"/>
      <c r="G969" s="2"/>
    </row>
    <row r="970" spans="1:7" x14ac:dyDescent="0.55000000000000004">
      <c r="A970" s="1" t="s">
        <v>2055</v>
      </c>
      <c r="B970" s="2">
        <f>COUNTIF(A:A,A970)-1</f>
        <v>2</v>
      </c>
      <c r="C970" s="2">
        <f>COUNTIF(A$1:A970,A970)-1</f>
        <v>1</v>
      </c>
      <c r="D970" s="2" t="e">
        <f>SUMX2MY2(1,#REF!)</f>
        <v>#REF!</v>
      </c>
      <c r="E970" s="2" t="b">
        <f>IFERROR(INDEX(ERROR(0),SUMX2MY2(SET.NAME("_",+INDEX(1,)),#REF!)),RETURN(INDEX(TYPE(_),SET.NAME("_"))))</f>
        <v>0</v>
      </c>
      <c r="F970" s="2" t="b">
        <f>IFERROR(INDEX(ERROR(0),SUMX2MY2(INDIRECT(SET.NAME({1,"_"},)),#REF!)),RETURN(INDEX(TYPE(_),SET.NAME("_"))))</f>
        <v>0</v>
      </c>
      <c r="G970" s="2">
        <f>TYPE(INDEX(,SUMX2MY2(INDEX(1,),#REF!)))</f>
        <v>16</v>
      </c>
    </row>
    <row r="971" spans="1:7" x14ac:dyDescent="0.55000000000000004">
      <c r="A971" s="1" t="s">
        <v>2055</v>
      </c>
      <c r="B971" s="2">
        <f>COUNTIF(A:A,A971)-1</f>
        <v>2</v>
      </c>
      <c r="C971" s="2">
        <f>COUNTIF(A$1:A971,A971)-1</f>
        <v>2</v>
      </c>
      <c r="D971" s="2" t="e">
        <f>SUMX2MY2(#REF!,1)</f>
        <v>#REF!</v>
      </c>
      <c r="E971" s="2" t="b">
        <f>IFERROR(INDEX(ERROR(0),SUMX2MY2(#REF!,SET.NAME("_",+INDEX(1,)))),RETURN(INDEX(TYPE(_),SET.NAME("_"))))</f>
        <v>0</v>
      </c>
      <c r="F971" s="2" t="b">
        <f>IFERROR(INDEX(ERROR(0),SUMX2MY2(#REF!,INDIRECT(SET.NAME({1,"_"},)))),RETURN(INDEX(TYPE(_),SET.NAME("_"))))</f>
        <v>0</v>
      </c>
      <c r="G971" s="2">
        <f>TYPE(INDEX(,SUMX2MY2(#REF!,INDEX(1,))))</f>
        <v>16</v>
      </c>
    </row>
    <row r="972" spans="1:7" x14ac:dyDescent="0.55000000000000004">
      <c r="A972" s="1" t="s">
        <v>2056</v>
      </c>
      <c r="B972" s="2">
        <f>COUNTIF(A:A,A972)-1</f>
        <v>2</v>
      </c>
      <c r="C972" s="2">
        <f>COUNTIF(A$1:A972,A972)-1</f>
        <v>0</v>
      </c>
      <c r="D972" s="2"/>
      <c r="E972" s="2"/>
      <c r="F972" s="2"/>
      <c r="G972" s="2"/>
    </row>
    <row r="973" spans="1:7" x14ac:dyDescent="0.55000000000000004">
      <c r="A973" s="1" t="s">
        <v>2056</v>
      </c>
      <c r="B973" s="2">
        <f>COUNTIF(A:A,A973)-1</f>
        <v>2</v>
      </c>
      <c r="C973" s="2">
        <f>COUNTIF(A$1:A973,A973)-1</f>
        <v>1</v>
      </c>
      <c r="D973" s="2" t="e">
        <f>SUMX2PY2(1,#REF!)</f>
        <v>#REF!</v>
      </c>
      <c r="E973" s="2" t="b">
        <f>IFERROR(INDEX(ERROR(0),SUMX2PY2(SET.NAME("_",+INDEX(1,)),#REF!)),RETURN(INDEX(TYPE(_),SET.NAME("_"))))</f>
        <v>0</v>
      </c>
      <c r="F973" s="2" t="b">
        <f>IFERROR(INDEX(ERROR(0),SUMX2PY2(INDIRECT(SET.NAME({1,"_"},)),#REF!)),RETURN(INDEX(TYPE(_),SET.NAME("_"))))</f>
        <v>0</v>
      </c>
      <c r="G973" s="2">
        <f>TYPE(INDEX(,SUMX2PY2(INDEX(1,),#REF!)))</f>
        <v>16</v>
      </c>
    </row>
    <row r="974" spans="1:7" x14ac:dyDescent="0.55000000000000004">
      <c r="A974" s="1" t="s">
        <v>2056</v>
      </c>
      <c r="B974" s="2">
        <f>COUNTIF(A:A,A974)-1</f>
        <v>2</v>
      </c>
      <c r="C974" s="2">
        <f>COUNTIF(A$1:A974,A974)-1</f>
        <v>2</v>
      </c>
      <c r="D974" s="2" t="e">
        <f>SUMX2PY2(#REF!,1)</f>
        <v>#REF!</v>
      </c>
      <c r="E974" s="2" t="b">
        <f>IFERROR(INDEX(ERROR(0),SUMX2PY2(#REF!,SET.NAME("_",+INDEX(1,)))),RETURN(INDEX(TYPE(_),SET.NAME("_"))))</f>
        <v>0</v>
      </c>
      <c r="F974" s="2" t="b">
        <f>IFERROR(INDEX(ERROR(0),SUMX2PY2(#REF!,INDIRECT(SET.NAME({1,"_"},)))),RETURN(INDEX(TYPE(_),SET.NAME("_"))))</f>
        <v>0</v>
      </c>
      <c r="G974" s="2">
        <f>TYPE(INDEX(,SUMX2PY2(#REF!,INDEX(1,))))</f>
        <v>16</v>
      </c>
    </row>
    <row r="975" spans="1:7" x14ac:dyDescent="0.55000000000000004">
      <c r="A975" s="1" t="s">
        <v>1752</v>
      </c>
      <c r="B975" s="2">
        <f>COUNTIF(A:A,A975)-1</f>
        <v>2</v>
      </c>
      <c r="C975" s="2">
        <f>COUNTIF(A$1:A975,A975)-1</f>
        <v>0</v>
      </c>
      <c r="D975" s="2"/>
      <c r="E975" s="2"/>
      <c r="F975" s="2"/>
      <c r="G975" s="2"/>
    </row>
    <row r="976" spans="1:7" x14ac:dyDescent="0.55000000000000004">
      <c r="A976" s="1" t="s">
        <v>1752</v>
      </c>
      <c r="B976" s="2">
        <f>COUNTIF(A:A,A976)-1</f>
        <v>2</v>
      </c>
      <c r="C976" s="2">
        <f>COUNTIF(A$1:A976,A976)-1</f>
        <v>1</v>
      </c>
      <c r="D976" s="2" t="e">
        <f>CHITEST(1,#REF!)</f>
        <v>#REF!</v>
      </c>
      <c r="E976" s="2" t="b">
        <f>IFERROR(INDEX(ERROR(0),CHITEST(SET.NAME("_",+INDEX(1,)),#REF!)),RETURN(INDEX(TYPE(_),SET.NAME("_"))))</f>
        <v>0</v>
      </c>
      <c r="F976" s="2" t="b">
        <f>IFERROR(INDEX(ERROR(0),CHITEST(INDIRECT(SET.NAME({1,"_"},)),#REF!)),RETURN(INDEX(TYPE(_),SET.NAME("_"))))</f>
        <v>0</v>
      </c>
      <c r="G976" s="2">
        <f>TYPE(INDEX(,CHITEST(INDEX(1,),#REF!)))</f>
        <v>16</v>
      </c>
    </row>
    <row r="977" spans="1:7" x14ac:dyDescent="0.55000000000000004">
      <c r="A977" s="1" t="s">
        <v>1752</v>
      </c>
      <c r="B977" s="2">
        <f>COUNTIF(A:A,A977)-1</f>
        <v>2</v>
      </c>
      <c r="C977" s="2">
        <f>COUNTIF(A$1:A977,A977)-1</f>
        <v>2</v>
      </c>
      <c r="D977" s="2" t="e">
        <f>CHITEST(#REF!,1)</f>
        <v>#REF!</v>
      </c>
      <c r="E977" s="2" t="b">
        <f>IFERROR(INDEX(ERROR(0),CHITEST(#REF!,SET.NAME("_",+INDEX(1,)))),RETURN(INDEX(TYPE(_),SET.NAME("_"))))</f>
        <v>0</v>
      </c>
      <c r="F977" s="2" t="b">
        <f>IFERROR(INDEX(ERROR(0),CHITEST(#REF!,INDIRECT(SET.NAME({1,"_"},)))),RETURN(INDEX(TYPE(_),SET.NAME("_"))))</f>
        <v>0</v>
      </c>
      <c r="G977" s="2">
        <f>TYPE(INDEX(,CHITEST(#REF!,INDEX(1,))))</f>
        <v>16</v>
      </c>
    </row>
    <row r="978" spans="1:7" x14ac:dyDescent="0.55000000000000004">
      <c r="A978" s="1" t="s">
        <v>1753</v>
      </c>
      <c r="B978" s="2">
        <f>COUNTIF(A:A,A978)-1</f>
        <v>2</v>
      </c>
      <c r="C978" s="2">
        <f>COUNTIF(A$1:A978,A978)-1</f>
        <v>0</v>
      </c>
      <c r="D978" s="2"/>
      <c r="E978" s="2"/>
      <c r="F978" s="2"/>
      <c r="G978" s="2"/>
    </row>
    <row r="979" spans="1:7" x14ac:dyDescent="0.55000000000000004">
      <c r="A979" s="1" t="s">
        <v>1753</v>
      </c>
      <c r="B979" s="2">
        <f>COUNTIF(A:A,A979)-1</f>
        <v>2</v>
      </c>
      <c r="C979" s="2">
        <f>COUNTIF(A$1:A979,A979)-1</f>
        <v>1</v>
      </c>
      <c r="D979" s="2" t="e">
        <f>CORREL(1,#REF!)</f>
        <v>#REF!</v>
      </c>
      <c r="E979" s="2" t="b">
        <f>IFERROR(INDEX(ERROR(0),CORREL(SET.NAME("_",+INDEX(1,)),#REF!)),RETURN(INDEX(TYPE(_),SET.NAME("_"))))</f>
        <v>0</v>
      </c>
      <c r="F979" s="2" t="b">
        <f>IFERROR(INDEX(ERROR(0),CORREL(INDIRECT(SET.NAME({1,"_"},)),#REF!)),RETURN(INDEX(TYPE(_),SET.NAME("_"))))</f>
        <v>0</v>
      </c>
      <c r="G979" s="2">
        <f>TYPE(INDEX(,CORREL(INDEX(1,),#REF!)))</f>
        <v>16</v>
      </c>
    </row>
    <row r="980" spans="1:7" x14ac:dyDescent="0.55000000000000004">
      <c r="A980" s="1" t="s">
        <v>1753</v>
      </c>
      <c r="B980" s="2">
        <f>COUNTIF(A:A,A980)-1</f>
        <v>2</v>
      </c>
      <c r="C980" s="2">
        <f>COUNTIF(A$1:A980,A980)-1</f>
        <v>2</v>
      </c>
      <c r="D980" s="2" t="e">
        <f>CORREL(#REF!,1)</f>
        <v>#REF!</v>
      </c>
      <c r="E980" s="2" t="b">
        <f>IFERROR(INDEX(ERROR(0),CORREL(#REF!,SET.NAME("_",+INDEX(1,)))),RETURN(INDEX(TYPE(_),SET.NAME("_"))))</f>
        <v>0</v>
      </c>
      <c r="F980" s="2" t="b">
        <f>IFERROR(INDEX(ERROR(0),CORREL(#REF!,INDIRECT(SET.NAME({1,"_"},)))),RETURN(INDEX(TYPE(_),SET.NAME("_"))))</f>
        <v>0</v>
      </c>
      <c r="G980" s="2">
        <f>TYPE(INDEX(,CORREL(#REF!,INDEX(1,))))</f>
        <v>16</v>
      </c>
    </row>
    <row r="981" spans="1:7" x14ac:dyDescent="0.55000000000000004">
      <c r="A981" s="1" t="s">
        <v>1754</v>
      </c>
      <c r="B981" s="2">
        <f>COUNTIF(A:A,A981)-1</f>
        <v>2</v>
      </c>
      <c r="C981" s="2">
        <f>COUNTIF(A$1:A981,A981)-1</f>
        <v>0</v>
      </c>
      <c r="D981" s="2"/>
      <c r="E981" s="2"/>
      <c r="F981" s="2"/>
      <c r="G981" s="2"/>
    </row>
    <row r="982" spans="1:7" x14ac:dyDescent="0.55000000000000004">
      <c r="A982" s="1" t="s">
        <v>1754</v>
      </c>
      <c r="B982" s="2">
        <f>COUNTIF(A:A,A982)-1</f>
        <v>2</v>
      </c>
      <c r="C982" s="2">
        <f>COUNTIF(A$1:A982,A982)-1</f>
        <v>1</v>
      </c>
      <c r="D982" s="2" t="e">
        <f>COVAR(1,#REF!)</f>
        <v>#REF!</v>
      </c>
      <c r="E982" s="2" t="b">
        <f>IFERROR(INDEX(ERROR(0),COVAR(SET.NAME("_",+INDEX(1,)),#REF!)),RETURN(INDEX(TYPE(_),SET.NAME("_"))))</f>
        <v>0</v>
      </c>
      <c r="F982" s="2" t="b">
        <f>IFERROR(INDEX(ERROR(0),COVAR(INDIRECT(SET.NAME({1,"_"},)),#REF!)),RETURN(INDEX(TYPE(_),SET.NAME("_"))))</f>
        <v>0</v>
      </c>
      <c r="G982" s="2">
        <f>TYPE(INDEX(,COVAR(INDEX(1,),#REF!)))</f>
        <v>16</v>
      </c>
    </row>
    <row r="983" spans="1:7" x14ac:dyDescent="0.55000000000000004">
      <c r="A983" s="1" t="s">
        <v>1754</v>
      </c>
      <c r="B983" s="2">
        <f>COUNTIF(A:A,A983)-1</f>
        <v>2</v>
      </c>
      <c r="C983" s="2">
        <f>COUNTIF(A$1:A983,A983)-1</f>
        <v>2</v>
      </c>
      <c r="D983" s="2" t="e">
        <f>COVAR(#REF!,1)</f>
        <v>#REF!</v>
      </c>
      <c r="E983" s="2" t="b">
        <f>IFERROR(INDEX(ERROR(0),COVAR(#REF!,SET.NAME("_",+INDEX(1,)))),RETURN(INDEX(TYPE(_),SET.NAME("_"))))</f>
        <v>0</v>
      </c>
      <c r="F983" s="2" t="b">
        <f>IFERROR(INDEX(ERROR(0),COVAR(#REF!,INDIRECT(SET.NAME({1,"_"},)))),RETURN(INDEX(TYPE(_),SET.NAME("_"))))</f>
        <v>0</v>
      </c>
      <c r="G983" s="2">
        <f>TYPE(INDEX(,COVAR(#REF!,INDEX(1,))))</f>
        <v>16</v>
      </c>
    </row>
    <row r="984" spans="1:7" x14ac:dyDescent="0.55000000000000004">
      <c r="A984" s="1" t="s">
        <v>1755</v>
      </c>
      <c r="B984" s="2">
        <f>COUNTIF(A:A,A984)-1</f>
        <v>3</v>
      </c>
      <c r="C984" s="2">
        <f>COUNTIF(A$1:A984,A984)-1</f>
        <v>0</v>
      </c>
      <c r="D984" s="2"/>
      <c r="E984" s="2"/>
      <c r="F984" s="2"/>
      <c r="G984" s="2"/>
    </row>
    <row r="985" spans="1:7" x14ac:dyDescent="0.55000000000000004">
      <c r="A985" s="1" t="s">
        <v>1755</v>
      </c>
      <c r="B985" s="2">
        <f>COUNTIF(A:A,A985)-1</f>
        <v>3</v>
      </c>
      <c r="C985" s="2">
        <f>COUNTIF(A$1:A985,A985)-1</f>
        <v>1</v>
      </c>
      <c r="D985" s="2" t="e">
        <f>FORECAST(1,#REF!,#REF!)</f>
        <v>#REF!</v>
      </c>
      <c r="E985" s="2" t="b">
        <f>IFERROR(INDEX(ERROR(0),FORECAST(SET.NAME("_",+INDEX(1,)),#REF!,#REF!)),RETURN(INDEX(TYPE(_),SET.NAME("_"))))</f>
        <v>0</v>
      </c>
      <c r="F985" s="2" t="b">
        <f>IFERROR(INDEX(ERROR(0),FORECAST(INDIRECT(SET.NAME({1,"_"},)),#REF!,#REF!)),RETURN(INDEX(TYPE(_),SET.NAME("_"))))</f>
        <v>0</v>
      </c>
      <c r="G985" s="2">
        <f>TYPE(INDEX(,FORECAST(INDEX(1,),#REF!,#REF!)))</f>
        <v>16</v>
      </c>
    </row>
    <row r="986" spans="1:7" x14ac:dyDescent="0.55000000000000004">
      <c r="A986" s="1" t="s">
        <v>1755</v>
      </c>
      <c r="B986" s="2">
        <f>COUNTIF(A:A,A986)-1</f>
        <v>3</v>
      </c>
      <c r="C986" s="2">
        <f>COUNTIF(A$1:A986,A986)-1</f>
        <v>2</v>
      </c>
      <c r="D986" s="2" t="e">
        <f>FORECAST(#REF!,1,#REF!)</f>
        <v>#REF!</v>
      </c>
      <c r="E986" s="2" t="b">
        <f>IFERROR(INDEX(ERROR(0),FORECAST(#REF!,SET.NAME("_",+INDEX(1,)),#REF!)),RETURN(INDEX(TYPE(_),SET.NAME("_"))))</f>
        <v>0</v>
      </c>
      <c r="F986" s="2" t="b">
        <f>IFERROR(INDEX(ERROR(0),FORECAST(#REF!,INDIRECT(SET.NAME({1,"_"},)),#REF!)),RETURN(INDEX(TYPE(_),SET.NAME("_"))))</f>
        <v>0</v>
      </c>
      <c r="G986" s="2">
        <f>TYPE(INDEX(,FORECAST(#REF!,INDEX(1,),#REF!)))</f>
        <v>16</v>
      </c>
    </row>
    <row r="987" spans="1:7" x14ac:dyDescent="0.55000000000000004">
      <c r="A987" s="1" t="s">
        <v>1755</v>
      </c>
      <c r="B987" s="2">
        <f>COUNTIF(A:A,A987)-1</f>
        <v>3</v>
      </c>
      <c r="C987" s="2">
        <f>COUNTIF(A$1:A987,A987)-1</f>
        <v>3</v>
      </c>
      <c r="D987" s="2" t="e">
        <f>FORECAST(#REF!,#REF!,1)</f>
        <v>#REF!</v>
      </c>
      <c r="E987" s="2" t="b">
        <f>IFERROR(INDEX(ERROR(0),FORECAST(#REF!,#REF!,SET.NAME("_",+INDEX(1,)))),RETURN(INDEX(TYPE(_),SET.NAME("_"))))</f>
        <v>0</v>
      </c>
      <c r="F987" s="2" t="b">
        <f>IFERROR(INDEX(ERROR(0),FORECAST(#REF!,#REF!,INDIRECT(SET.NAME({1,"_"},)))),RETURN(INDEX(TYPE(_),SET.NAME("_"))))</f>
        <v>0</v>
      </c>
      <c r="G987" s="2">
        <f>TYPE(INDEX(,FORECAST(#REF!,#REF!,INDEX(1,))))</f>
        <v>16</v>
      </c>
    </row>
    <row r="988" spans="1:7" x14ac:dyDescent="0.55000000000000004">
      <c r="A988" s="1" t="s">
        <v>1756</v>
      </c>
      <c r="B988" s="2">
        <f>COUNTIF(A:A,A988)-1</f>
        <v>2</v>
      </c>
      <c r="C988" s="2">
        <f>COUNTIF(A$1:A988,A988)-1</f>
        <v>0</v>
      </c>
      <c r="D988" s="2"/>
      <c r="E988" s="2"/>
      <c r="F988" s="2"/>
      <c r="G988" s="2"/>
    </row>
    <row r="989" spans="1:7" x14ac:dyDescent="0.55000000000000004">
      <c r="A989" s="1" t="s">
        <v>1756</v>
      </c>
      <c r="B989" s="2">
        <f>COUNTIF(A:A,A989)-1</f>
        <v>2</v>
      </c>
      <c r="C989" s="2">
        <f>COUNTIF(A$1:A989,A989)-1</f>
        <v>1</v>
      </c>
      <c r="D989" s="2" t="e">
        <f>FTEST(1,#REF!)</f>
        <v>#REF!</v>
      </c>
      <c r="E989" s="2" t="b">
        <f>IFERROR(INDEX(ERROR(0),FTEST(SET.NAME("_",+INDEX(1,)),#REF!)),RETURN(INDEX(TYPE(_),SET.NAME("_"))))</f>
        <v>0</v>
      </c>
      <c r="F989" s="2" t="b">
        <f>IFERROR(INDEX(ERROR(0),FTEST(INDIRECT(SET.NAME({1,"_"},)),#REF!)),RETURN(INDEX(TYPE(_),SET.NAME("_"))))</f>
        <v>0</v>
      </c>
      <c r="G989" s="2">
        <f>TYPE(INDEX(,FTEST(INDEX(1,),#REF!)))</f>
        <v>16</v>
      </c>
    </row>
    <row r="990" spans="1:7" x14ac:dyDescent="0.55000000000000004">
      <c r="A990" s="1" t="s">
        <v>1756</v>
      </c>
      <c r="B990" s="2">
        <f>COUNTIF(A:A,A990)-1</f>
        <v>2</v>
      </c>
      <c r="C990" s="2">
        <f>COUNTIF(A$1:A990,A990)-1</f>
        <v>2</v>
      </c>
      <c r="D990" s="2" t="e">
        <f>FTEST(#REF!,1)</f>
        <v>#REF!</v>
      </c>
      <c r="E990" s="2" t="b">
        <f>IFERROR(INDEX(ERROR(0),FTEST(#REF!,SET.NAME("_",+INDEX(1,)))),RETURN(INDEX(TYPE(_),SET.NAME("_"))))</f>
        <v>0</v>
      </c>
      <c r="F990" s="2" t="b">
        <f>IFERROR(INDEX(ERROR(0),FTEST(#REF!,INDIRECT(SET.NAME({1,"_"},)))),RETURN(INDEX(TYPE(_),SET.NAME("_"))))</f>
        <v>0</v>
      </c>
      <c r="G990" s="2">
        <f>TYPE(INDEX(,FTEST(#REF!,INDEX(1,))))</f>
        <v>16</v>
      </c>
    </row>
    <row r="991" spans="1:7" x14ac:dyDescent="0.55000000000000004">
      <c r="A991" s="1" t="s">
        <v>1757</v>
      </c>
      <c r="B991" s="2">
        <f>COUNTIF(A:A,A991)-1</f>
        <v>2</v>
      </c>
      <c r="C991" s="2">
        <f>COUNTIF(A$1:A991,A991)-1</f>
        <v>0</v>
      </c>
      <c r="D991" s="2"/>
      <c r="E991" s="2"/>
      <c r="F991" s="2"/>
      <c r="G991" s="2"/>
    </row>
    <row r="992" spans="1:7" x14ac:dyDescent="0.55000000000000004">
      <c r="A992" s="1" t="s">
        <v>1757</v>
      </c>
      <c r="B992" s="2">
        <f>COUNTIF(A:A,A992)-1</f>
        <v>2</v>
      </c>
      <c r="C992" s="2">
        <f>COUNTIF(A$1:A992,A992)-1</f>
        <v>1</v>
      </c>
      <c r="D992" s="2" t="e">
        <f>INTERCEPT(1,#REF!)</f>
        <v>#REF!</v>
      </c>
      <c r="E992" s="2" t="b">
        <f>IFERROR(INDEX(ERROR(0),INTERCEPT(SET.NAME("_",+INDEX(1,)),#REF!)),RETURN(INDEX(TYPE(_),SET.NAME("_"))))</f>
        <v>0</v>
      </c>
      <c r="F992" s="2" t="b">
        <f>IFERROR(INDEX(ERROR(0),INTERCEPT(INDIRECT(SET.NAME({1,"_"},)),#REF!)),RETURN(INDEX(TYPE(_),SET.NAME("_"))))</f>
        <v>0</v>
      </c>
      <c r="G992" s="2">
        <f>TYPE(INDEX(,INTERCEPT(INDEX(1,),#REF!)))</f>
        <v>16</v>
      </c>
    </row>
    <row r="993" spans="1:7" x14ac:dyDescent="0.55000000000000004">
      <c r="A993" s="1" t="s">
        <v>1757</v>
      </c>
      <c r="B993" s="2">
        <f>COUNTIF(A:A,A993)-1</f>
        <v>2</v>
      </c>
      <c r="C993" s="2">
        <f>COUNTIF(A$1:A993,A993)-1</f>
        <v>2</v>
      </c>
      <c r="D993" s="2" t="e">
        <f>INTERCEPT(#REF!,1)</f>
        <v>#REF!</v>
      </c>
      <c r="E993" s="2" t="b">
        <f>IFERROR(INDEX(ERROR(0),INTERCEPT(#REF!,SET.NAME("_",+INDEX(1,)))),RETURN(INDEX(TYPE(_),SET.NAME("_"))))</f>
        <v>0</v>
      </c>
      <c r="F993" s="2" t="b">
        <f>IFERROR(INDEX(ERROR(0),INTERCEPT(#REF!,INDIRECT(SET.NAME({1,"_"},)))),RETURN(INDEX(TYPE(_),SET.NAME("_"))))</f>
        <v>0</v>
      </c>
      <c r="G993" s="2">
        <f>TYPE(INDEX(,INTERCEPT(#REF!,INDEX(1,))))</f>
        <v>16</v>
      </c>
    </row>
    <row r="994" spans="1:7" x14ac:dyDescent="0.55000000000000004">
      <c r="A994" s="1" t="s">
        <v>1758</v>
      </c>
      <c r="B994" s="2">
        <f>COUNTIF(A:A,A994)-1</f>
        <v>2</v>
      </c>
      <c r="C994" s="2">
        <f>COUNTIF(A$1:A994,A994)-1</f>
        <v>0</v>
      </c>
      <c r="D994" s="2"/>
      <c r="E994" s="2"/>
      <c r="F994" s="2"/>
      <c r="G994" s="2"/>
    </row>
    <row r="995" spans="1:7" x14ac:dyDescent="0.55000000000000004">
      <c r="A995" s="1" t="s">
        <v>1758</v>
      </c>
      <c r="B995" s="2">
        <f>COUNTIF(A:A,A995)-1</f>
        <v>2</v>
      </c>
      <c r="C995" s="2">
        <f>COUNTIF(A$1:A995,A995)-1</f>
        <v>1</v>
      </c>
      <c r="D995" s="2" t="e">
        <f>PEARSON(1,#REF!)</f>
        <v>#REF!</v>
      </c>
      <c r="E995" s="2" t="b">
        <f>IFERROR(INDEX(ERROR(0),PEARSON(SET.NAME("_",+INDEX(1,)),#REF!)),RETURN(INDEX(TYPE(_),SET.NAME("_"))))</f>
        <v>0</v>
      </c>
      <c r="F995" s="2" t="b">
        <f>IFERROR(INDEX(ERROR(0),PEARSON(INDIRECT(SET.NAME({1,"_"},)),#REF!)),RETURN(INDEX(TYPE(_),SET.NAME("_"))))</f>
        <v>0</v>
      </c>
      <c r="G995" s="2">
        <f>TYPE(INDEX(,PEARSON(INDEX(1,),#REF!)))</f>
        <v>16</v>
      </c>
    </row>
    <row r="996" spans="1:7" x14ac:dyDescent="0.55000000000000004">
      <c r="A996" s="1" t="s">
        <v>1758</v>
      </c>
      <c r="B996" s="2">
        <f>COUNTIF(A:A,A996)-1</f>
        <v>2</v>
      </c>
      <c r="C996" s="2">
        <f>COUNTIF(A$1:A996,A996)-1</f>
        <v>2</v>
      </c>
      <c r="D996" s="2" t="e">
        <f>PEARSON(#REF!,1)</f>
        <v>#REF!</v>
      </c>
      <c r="E996" s="2" t="b">
        <f>IFERROR(INDEX(ERROR(0),PEARSON(#REF!,SET.NAME("_",+INDEX(1,)))),RETURN(INDEX(TYPE(_),SET.NAME("_"))))</f>
        <v>0</v>
      </c>
      <c r="F996" s="2" t="b">
        <f>IFERROR(INDEX(ERROR(0),PEARSON(#REF!,INDIRECT(SET.NAME({1,"_"},)))),RETURN(INDEX(TYPE(_),SET.NAME("_"))))</f>
        <v>0</v>
      </c>
      <c r="G996" s="2">
        <f>TYPE(INDEX(,PEARSON(#REF!,INDEX(1,))))</f>
        <v>16</v>
      </c>
    </row>
    <row r="997" spans="1:7" x14ac:dyDescent="0.55000000000000004">
      <c r="A997" s="1" t="s">
        <v>1759</v>
      </c>
      <c r="B997" s="2">
        <f>COUNTIF(A:A,A997)-1</f>
        <v>2</v>
      </c>
      <c r="C997" s="2">
        <f>COUNTIF(A$1:A997,A997)-1</f>
        <v>0</v>
      </c>
      <c r="D997" s="2"/>
      <c r="E997" s="2"/>
      <c r="F997" s="2"/>
      <c r="G997" s="2"/>
    </row>
    <row r="998" spans="1:7" x14ac:dyDescent="0.55000000000000004">
      <c r="A998" s="1" t="s">
        <v>1759</v>
      </c>
      <c r="B998" s="2">
        <f>COUNTIF(A:A,A998)-1</f>
        <v>2</v>
      </c>
      <c r="C998" s="2">
        <f>COUNTIF(A$1:A998,A998)-1</f>
        <v>1</v>
      </c>
      <c r="D998" s="2" t="e">
        <f>RSQ(1,#REF!)</f>
        <v>#REF!</v>
      </c>
      <c r="E998" s="2" t="b">
        <f>IFERROR(INDEX(ERROR(0),RSQ(SET.NAME("_",+INDEX(1,)),#REF!)),RETURN(INDEX(TYPE(_),SET.NAME("_"))))</f>
        <v>0</v>
      </c>
      <c r="F998" s="2" t="b">
        <f>IFERROR(INDEX(ERROR(0),RSQ(INDIRECT(SET.NAME({1,"_"},)),#REF!)),RETURN(INDEX(TYPE(_),SET.NAME("_"))))</f>
        <v>0</v>
      </c>
      <c r="G998" s="2">
        <f>TYPE(INDEX(,RSQ(INDEX(1,),#REF!)))</f>
        <v>16</v>
      </c>
    </row>
    <row r="999" spans="1:7" x14ac:dyDescent="0.55000000000000004">
      <c r="A999" s="1" t="s">
        <v>1759</v>
      </c>
      <c r="B999" s="2">
        <f>COUNTIF(A:A,A999)-1</f>
        <v>2</v>
      </c>
      <c r="C999" s="2">
        <f>COUNTIF(A$1:A999,A999)-1</f>
        <v>2</v>
      </c>
      <c r="D999" s="2" t="e">
        <f>RSQ(#REF!,1)</f>
        <v>#REF!</v>
      </c>
      <c r="E999" s="2" t="b">
        <f>IFERROR(INDEX(ERROR(0),RSQ(#REF!,SET.NAME("_",+INDEX(1,)))),RETURN(INDEX(TYPE(_),SET.NAME("_"))))</f>
        <v>0</v>
      </c>
      <c r="F999" s="2" t="b">
        <f>IFERROR(INDEX(ERROR(0),RSQ(#REF!,INDIRECT(SET.NAME({1,"_"},)))),RETURN(INDEX(TYPE(_),SET.NAME("_"))))</f>
        <v>0</v>
      </c>
      <c r="G999" s="2">
        <f>TYPE(INDEX(,RSQ(#REF!,INDEX(1,))))</f>
        <v>16</v>
      </c>
    </row>
    <row r="1000" spans="1:7" x14ac:dyDescent="0.55000000000000004">
      <c r="A1000" s="1" t="s">
        <v>1760</v>
      </c>
      <c r="B1000" s="2">
        <f>COUNTIF(A:A,A1000)-1</f>
        <v>2</v>
      </c>
      <c r="C1000" s="2">
        <f>COUNTIF(A$1:A1000,A1000)-1</f>
        <v>0</v>
      </c>
      <c r="D1000" s="2"/>
      <c r="E1000" s="2"/>
      <c r="F1000" s="2"/>
      <c r="G1000" s="2"/>
    </row>
    <row r="1001" spans="1:7" x14ac:dyDescent="0.55000000000000004">
      <c r="A1001" s="1" t="s">
        <v>1760</v>
      </c>
      <c r="B1001" s="2">
        <f>COUNTIF(A:A,A1001)-1</f>
        <v>2</v>
      </c>
      <c r="C1001" s="2">
        <f>COUNTIF(A$1:A1001,A1001)-1</f>
        <v>1</v>
      </c>
      <c r="D1001" s="2" t="e">
        <f>STEYX(1,#REF!)</f>
        <v>#REF!</v>
      </c>
      <c r="E1001" s="2" t="b">
        <f>IFERROR(INDEX(ERROR(0),STEYX(SET.NAME("_",+INDEX(1,)),#REF!)),RETURN(INDEX(TYPE(_),SET.NAME("_"))))</f>
        <v>0</v>
      </c>
      <c r="F1001" s="2" t="b">
        <f>IFERROR(INDEX(ERROR(0),STEYX(INDIRECT(SET.NAME({1,"_"},)),#REF!)),RETURN(INDEX(TYPE(_),SET.NAME("_"))))</f>
        <v>0</v>
      </c>
      <c r="G1001" s="2">
        <f>TYPE(INDEX(,STEYX(INDEX(1,),#REF!)))</f>
        <v>16</v>
      </c>
    </row>
    <row r="1002" spans="1:7" x14ac:dyDescent="0.55000000000000004">
      <c r="A1002" s="1" t="s">
        <v>1760</v>
      </c>
      <c r="B1002" s="2">
        <f>COUNTIF(A:A,A1002)-1</f>
        <v>2</v>
      </c>
      <c r="C1002" s="2">
        <f>COUNTIF(A$1:A1002,A1002)-1</f>
        <v>2</v>
      </c>
      <c r="D1002" s="2" t="e">
        <f>STEYX(#REF!,1)</f>
        <v>#REF!</v>
      </c>
      <c r="E1002" s="2" t="b">
        <f>IFERROR(INDEX(ERROR(0),STEYX(#REF!,SET.NAME("_",+INDEX(1,)))),RETURN(INDEX(TYPE(_),SET.NAME("_"))))</f>
        <v>0</v>
      </c>
      <c r="F1002" s="2" t="b">
        <f>IFERROR(INDEX(ERROR(0),STEYX(#REF!,INDIRECT(SET.NAME({1,"_"},)))),RETURN(INDEX(TYPE(_),SET.NAME("_"))))</f>
        <v>0</v>
      </c>
      <c r="G1002" s="2">
        <f>TYPE(INDEX(,STEYX(#REF!,INDEX(1,))))</f>
        <v>16</v>
      </c>
    </row>
    <row r="1003" spans="1:7" x14ac:dyDescent="0.55000000000000004">
      <c r="A1003" s="1" t="s">
        <v>1761</v>
      </c>
      <c r="B1003" s="2">
        <f>COUNTIF(A:A,A1003)-1</f>
        <v>2</v>
      </c>
      <c r="C1003" s="2">
        <f>COUNTIF(A$1:A1003,A1003)-1</f>
        <v>0</v>
      </c>
      <c r="D1003" s="2"/>
      <c r="E1003" s="2"/>
      <c r="F1003" s="2"/>
      <c r="G1003" s="2"/>
    </row>
    <row r="1004" spans="1:7" x14ac:dyDescent="0.55000000000000004">
      <c r="A1004" s="1" t="s">
        <v>1761</v>
      </c>
      <c r="B1004" s="2">
        <f>COUNTIF(A:A,A1004)-1</f>
        <v>2</v>
      </c>
      <c r="C1004" s="2">
        <f>COUNTIF(A$1:A1004,A1004)-1</f>
        <v>1</v>
      </c>
      <c r="D1004" s="2" t="e">
        <f>SLOPE(1,#REF!)</f>
        <v>#REF!</v>
      </c>
      <c r="E1004" s="2" t="b">
        <f>IFERROR(INDEX(ERROR(0),SLOPE(SET.NAME("_",+INDEX(1,)),#REF!)),RETURN(INDEX(TYPE(_),SET.NAME("_"))))</f>
        <v>0</v>
      </c>
      <c r="F1004" s="2" t="b">
        <f>IFERROR(INDEX(ERROR(0),SLOPE(INDIRECT(SET.NAME({1,"_"},)),#REF!)),RETURN(INDEX(TYPE(_),SET.NAME("_"))))</f>
        <v>0</v>
      </c>
      <c r="G1004" s="2">
        <f>TYPE(INDEX(,SLOPE(INDEX(1,),#REF!)))</f>
        <v>16</v>
      </c>
    </row>
    <row r="1005" spans="1:7" x14ac:dyDescent="0.55000000000000004">
      <c r="A1005" s="1" t="s">
        <v>1761</v>
      </c>
      <c r="B1005" s="2">
        <f>COUNTIF(A:A,A1005)-1</f>
        <v>2</v>
      </c>
      <c r="C1005" s="2">
        <f>COUNTIF(A$1:A1005,A1005)-1</f>
        <v>2</v>
      </c>
      <c r="D1005" s="2" t="e">
        <f>SLOPE(#REF!,1)</f>
        <v>#REF!</v>
      </c>
      <c r="E1005" s="2" t="b">
        <f>IFERROR(INDEX(ERROR(0),SLOPE(#REF!,SET.NAME("_",+INDEX(1,)))),RETURN(INDEX(TYPE(_),SET.NAME("_"))))</f>
        <v>0</v>
      </c>
      <c r="F1005" s="2" t="b">
        <f>IFERROR(INDEX(ERROR(0),SLOPE(#REF!,INDIRECT(SET.NAME({1,"_"},)))),RETURN(INDEX(TYPE(_),SET.NAME("_"))))</f>
        <v>0</v>
      </c>
      <c r="G1005" s="2">
        <f>TYPE(INDEX(,SLOPE(#REF!,INDEX(1,))))</f>
        <v>16</v>
      </c>
    </row>
    <row r="1006" spans="1:7" x14ac:dyDescent="0.55000000000000004">
      <c r="A1006" s="1" t="s">
        <v>1762</v>
      </c>
      <c r="B1006" s="2">
        <f>COUNTIF(A:A,A1006)-1</f>
        <v>4</v>
      </c>
      <c r="C1006" s="2">
        <f>COUNTIF(A$1:A1006,A1006)-1</f>
        <v>0</v>
      </c>
      <c r="D1006" s="2"/>
      <c r="E1006" s="2"/>
      <c r="F1006" s="2"/>
      <c r="G1006" s="2"/>
    </row>
    <row r="1007" spans="1:7" x14ac:dyDescent="0.55000000000000004">
      <c r="A1007" s="1" t="s">
        <v>1762</v>
      </c>
      <c r="B1007" s="2">
        <f>COUNTIF(A:A,A1007)-1</f>
        <v>4</v>
      </c>
      <c r="C1007" s="2">
        <f>COUNTIF(A$1:A1007,A1007)-1</f>
        <v>1</v>
      </c>
      <c r="D1007" s="2" t="e">
        <f>TTEST(1,#REF!,#REF!,#REF!)</f>
        <v>#REF!</v>
      </c>
      <c r="E1007" s="2" t="b">
        <f>IFERROR(INDEX(ERROR(0),TTEST(SET.NAME("_",+INDEX(1,)),#REF!,#REF!,#REF!)),RETURN(INDEX(TYPE(_),SET.NAME("_"))))</f>
        <v>0</v>
      </c>
      <c r="F1007" s="2" t="b">
        <f>IFERROR(INDEX(ERROR(0),TTEST(INDIRECT(SET.NAME({1,"_"},)),#REF!,#REF!,#REF!)),RETURN(INDEX(TYPE(_),SET.NAME("_"))))</f>
        <v>0</v>
      </c>
      <c r="G1007" s="2">
        <f>TYPE(INDEX(,TTEST(INDEX(1,),#REF!,#REF!,#REF!)))</f>
        <v>16</v>
      </c>
    </row>
    <row r="1008" spans="1:7" x14ac:dyDescent="0.55000000000000004">
      <c r="A1008" s="1" t="s">
        <v>1762</v>
      </c>
      <c r="B1008" s="2">
        <f>COUNTIF(A:A,A1008)-1</f>
        <v>4</v>
      </c>
      <c r="C1008" s="2">
        <f>COUNTIF(A$1:A1008,A1008)-1</f>
        <v>2</v>
      </c>
      <c r="D1008" s="2" t="e">
        <f>TTEST(#REF!,1,#REF!,#REF!)</f>
        <v>#REF!</v>
      </c>
      <c r="E1008" s="2" t="b">
        <f>IFERROR(INDEX(ERROR(0),TTEST(#REF!,SET.NAME("_",+INDEX(1,)),#REF!,#REF!)),RETURN(INDEX(TYPE(_),SET.NAME("_"))))</f>
        <v>0</v>
      </c>
      <c r="F1008" s="2" t="b">
        <f>IFERROR(INDEX(ERROR(0),TTEST(#REF!,INDIRECT(SET.NAME({1,"_"},)),#REF!,#REF!)),RETURN(INDEX(TYPE(_),SET.NAME("_"))))</f>
        <v>0</v>
      </c>
      <c r="G1008" s="2">
        <f>TYPE(INDEX(,TTEST(#REF!,INDEX(1,),#REF!,#REF!)))</f>
        <v>16</v>
      </c>
    </row>
    <row r="1009" spans="1:7" x14ac:dyDescent="0.55000000000000004">
      <c r="A1009" s="1" t="s">
        <v>1762</v>
      </c>
      <c r="B1009" s="2">
        <f>COUNTIF(A:A,A1009)-1</f>
        <v>4</v>
      </c>
      <c r="C1009" s="2">
        <f>COUNTIF(A$1:A1009,A1009)-1</f>
        <v>3</v>
      </c>
      <c r="D1009" s="2" t="e">
        <f>TTEST(#REF!,#REF!,1,#REF!)</f>
        <v>#REF!</v>
      </c>
      <c r="E1009" s="2" t="b">
        <f>IFERROR(INDEX(ERROR(0),TTEST(#REF!,#REF!,SET.NAME("_",+INDEX(1,)),#REF!)),RETURN(INDEX(TYPE(_),SET.NAME("_"))))</f>
        <v>0</v>
      </c>
      <c r="F1009" s="2" t="b">
        <f>IFERROR(INDEX(ERROR(0),TTEST(#REF!,#REF!,INDIRECT(SET.NAME({1,"_"},)),#REF!)),RETURN(INDEX(TYPE(_),SET.NAME("_"))))</f>
        <v>0</v>
      </c>
      <c r="G1009" s="2">
        <f>TYPE(INDEX(,TTEST(#REF!,#REF!,INDEX(1,),#REF!)))</f>
        <v>16</v>
      </c>
    </row>
    <row r="1010" spans="1:7" x14ac:dyDescent="0.55000000000000004">
      <c r="A1010" s="1" t="s">
        <v>1762</v>
      </c>
      <c r="B1010" s="2">
        <f>COUNTIF(A:A,A1010)-1</f>
        <v>4</v>
      </c>
      <c r="C1010" s="2">
        <f>COUNTIF(A$1:A1010,A1010)-1</f>
        <v>4</v>
      </c>
      <c r="D1010" s="2" t="e">
        <f>TTEST(#REF!,#REF!,#REF!,1)</f>
        <v>#REF!</v>
      </c>
      <c r="E1010" s="2" t="b">
        <f>IFERROR(INDEX(ERROR(0),TTEST(#REF!,#REF!,#REF!,SET.NAME("_",+INDEX(1,)))),RETURN(INDEX(TYPE(_),SET.NAME("_"))))</f>
        <v>0</v>
      </c>
      <c r="F1010" s="2" t="b">
        <f>IFERROR(INDEX(ERROR(0),TTEST(#REF!,#REF!,#REF!,INDIRECT(SET.NAME({1,"_"},)))),RETURN(INDEX(TYPE(_),SET.NAME("_"))))</f>
        <v>0</v>
      </c>
      <c r="G1010" s="2">
        <f>TYPE(INDEX(,TTEST(#REF!,#REF!,#REF!,INDEX(1,))))</f>
        <v>16</v>
      </c>
    </row>
    <row r="1011" spans="1:7" x14ac:dyDescent="0.55000000000000004">
      <c r="A1011" s="1" t="s">
        <v>1763</v>
      </c>
      <c r="B1011" s="2">
        <f>COUNTIF(A:A,A1011)-1</f>
        <v>4</v>
      </c>
      <c r="C1011" s="2">
        <f>COUNTIF(A$1:A1011,A1011)-1</f>
        <v>0</v>
      </c>
      <c r="D1011" s="2"/>
      <c r="E1011" s="2"/>
      <c r="F1011" s="2"/>
      <c r="G1011" s="2"/>
    </row>
    <row r="1012" spans="1:7" x14ac:dyDescent="0.55000000000000004">
      <c r="A1012" s="1" t="s">
        <v>1763</v>
      </c>
      <c r="B1012" s="2">
        <f>COUNTIF(A:A,A1012)-1</f>
        <v>4</v>
      </c>
      <c r="C1012" s="2">
        <f>COUNTIF(A$1:A1012,A1012)-1</f>
        <v>1</v>
      </c>
      <c r="D1012" s="2" t="e">
        <f>PROB(1,#REF!,#REF!,#REF!)</f>
        <v>#REF!</v>
      </c>
      <c r="E1012" s="2" t="b">
        <f>IFERROR(INDEX(ERROR(0),PROB(SET.NAME("_",+INDEX(1,)),#REF!,#REF!,#REF!)),RETURN(INDEX(TYPE(_),SET.NAME("_"))))</f>
        <v>0</v>
      </c>
      <c r="F1012" s="2" t="b">
        <f>IFERROR(INDEX(ERROR(0),PROB(INDIRECT(SET.NAME({1,"_"},)),#REF!,#REF!,#REF!)),RETURN(INDEX(TYPE(_),SET.NAME("_"))))</f>
        <v>0</v>
      </c>
      <c r="G1012" s="2">
        <f>TYPE(INDEX(,PROB(INDEX(1,),#REF!,#REF!,#REF!)))</f>
        <v>16</v>
      </c>
    </row>
    <row r="1013" spans="1:7" x14ac:dyDescent="0.55000000000000004">
      <c r="A1013" s="1" t="s">
        <v>1763</v>
      </c>
      <c r="B1013" s="2">
        <f>COUNTIF(A:A,A1013)-1</f>
        <v>4</v>
      </c>
      <c r="C1013" s="2">
        <f>COUNTIF(A$1:A1013,A1013)-1</f>
        <v>2</v>
      </c>
      <c r="D1013" s="2" t="e">
        <f>PROB(#REF!,1,#REF!,#REF!)</f>
        <v>#REF!</v>
      </c>
      <c r="E1013" s="2" t="b">
        <f>IFERROR(INDEX(ERROR(0),PROB(#REF!,SET.NAME("_",+INDEX(1,)),#REF!,#REF!)),RETURN(INDEX(TYPE(_),SET.NAME("_"))))</f>
        <v>0</v>
      </c>
      <c r="F1013" s="2" t="b">
        <f>IFERROR(INDEX(ERROR(0),PROB(#REF!,INDIRECT(SET.NAME({1,"_"},)),#REF!,#REF!)),RETURN(INDEX(TYPE(_),SET.NAME("_"))))</f>
        <v>0</v>
      </c>
      <c r="G1013" s="2">
        <f>TYPE(INDEX(,PROB(#REF!,INDEX(1,),#REF!,#REF!)))</f>
        <v>16</v>
      </c>
    </row>
    <row r="1014" spans="1:7" x14ac:dyDescent="0.55000000000000004">
      <c r="A1014" s="1" t="s">
        <v>1763</v>
      </c>
      <c r="B1014" s="2">
        <f>COUNTIF(A:A,A1014)-1</f>
        <v>4</v>
      </c>
      <c r="C1014" s="2">
        <f>COUNTIF(A$1:A1014,A1014)-1</f>
        <v>3</v>
      </c>
      <c r="D1014" s="2" t="e">
        <f>PROB(#REF!,#REF!,1,#REF!)</f>
        <v>#REF!</v>
      </c>
      <c r="E1014" s="2" t="b">
        <f>IFERROR(INDEX(ERROR(0),PROB(#REF!,#REF!,SET.NAME("_",+INDEX(1,)),#REF!)),RETURN(INDEX(TYPE(_),SET.NAME("_"))))</f>
        <v>0</v>
      </c>
      <c r="F1014" s="2" t="b">
        <f>IFERROR(INDEX(ERROR(0),PROB(#REF!,#REF!,INDIRECT(SET.NAME({1,"_"},)),#REF!)),RETURN(INDEX(TYPE(_),SET.NAME("_"))))</f>
        <v>0</v>
      </c>
      <c r="G1014" s="2">
        <f>TYPE(INDEX(,PROB(#REF!,#REF!,INDEX(1,),#REF!)))</f>
        <v>16</v>
      </c>
    </row>
    <row r="1015" spans="1:7" x14ac:dyDescent="0.55000000000000004">
      <c r="A1015" s="1" t="s">
        <v>1763</v>
      </c>
      <c r="B1015" s="2">
        <f>COUNTIF(A:A,A1015)-1</f>
        <v>4</v>
      </c>
      <c r="C1015" s="2">
        <f>COUNTIF(A$1:A1015,A1015)-1</f>
        <v>4</v>
      </c>
      <c r="D1015" s="2" t="e">
        <f>PROB(#REF!,#REF!,#REF!,1)</f>
        <v>#REF!</v>
      </c>
      <c r="E1015" s="2" t="b">
        <f>IFERROR(INDEX(ERROR(0),PROB(#REF!,#REF!,#REF!,SET.NAME("_",+INDEX(1,)))),RETURN(INDEX(TYPE(_),SET.NAME("_"))))</f>
        <v>0</v>
      </c>
      <c r="F1015" s="2" t="b">
        <f>IFERROR(INDEX(ERROR(0),PROB(#REF!,#REF!,#REF!,INDIRECT(SET.NAME({1,"_"},)))),RETURN(INDEX(TYPE(_),SET.NAME("_"))))</f>
        <v>0</v>
      </c>
      <c r="G1015" s="2">
        <f>TYPE(INDEX(,PROB(#REF!,#REF!,#REF!,INDEX(1,))))</f>
        <v>16</v>
      </c>
    </row>
    <row r="1016" spans="1:7" x14ac:dyDescent="0.55000000000000004">
      <c r="A1016" s="1" t="s">
        <v>1764</v>
      </c>
      <c r="B1016" s="2">
        <f>COUNTIF(A:A,A1016)-1</f>
        <v>3</v>
      </c>
      <c r="C1016" s="2">
        <f>COUNTIF(A$1:A1016,A1016)-1</f>
        <v>0</v>
      </c>
      <c r="D1016" s="2"/>
      <c r="E1016" s="2"/>
      <c r="F1016" s="2"/>
      <c r="G1016" s="2"/>
    </row>
    <row r="1017" spans="1:7" x14ac:dyDescent="0.55000000000000004">
      <c r="A1017" s="1" t="s">
        <v>1764</v>
      </c>
      <c r="B1017" s="2">
        <f>COUNTIF(A:A,A1017)-1</f>
        <v>3</v>
      </c>
      <c r="C1017" s="2">
        <f>COUNTIF(A$1:A1017,A1017)-1</f>
        <v>1</v>
      </c>
      <c r="D1017" s="2" t="e">
        <f>DEVSQ(1,#REF!,#REF!)</f>
        <v>#REF!</v>
      </c>
      <c r="E1017" s="2" t="b">
        <f>IFERROR(INDEX(ERROR(0),DEVSQ(SET.NAME("_",+INDEX(1,)),#REF!,#REF!)),RETURN(INDEX(TYPE(_),SET.NAME("_"))))</f>
        <v>0</v>
      </c>
      <c r="F1017" s="2" t="b">
        <f>IFERROR(INDEX(ERROR(0),DEVSQ(INDIRECT(SET.NAME({1,"_"},)),#REF!,#REF!)),RETURN(INDEX(TYPE(_),SET.NAME("_"))))</f>
        <v>0</v>
      </c>
      <c r="G1017" s="2">
        <f>TYPE(INDEX(,DEVSQ(INDEX(1,),#REF!,#REF!)))</f>
        <v>16</v>
      </c>
    </row>
    <row r="1018" spans="1:7" x14ac:dyDescent="0.55000000000000004">
      <c r="A1018" s="1" t="s">
        <v>1764</v>
      </c>
      <c r="B1018" s="2">
        <f>COUNTIF(A:A,A1018)-1</f>
        <v>3</v>
      </c>
      <c r="C1018" s="2">
        <f>COUNTIF(A$1:A1018,A1018)-1</f>
        <v>2</v>
      </c>
      <c r="D1018" s="2" t="e">
        <f>DEVSQ(#REF!,1,#REF!)</f>
        <v>#REF!</v>
      </c>
      <c r="E1018" s="2" t="b">
        <f>IFERROR(INDEX(ERROR(0),DEVSQ(#REF!,SET.NAME("_",+INDEX(1,)),#REF!)),RETURN(INDEX(TYPE(_),SET.NAME("_"))))</f>
        <v>0</v>
      </c>
      <c r="F1018" s="2" t="b">
        <f>IFERROR(INDEX(ERROR(0),DEVSQ(#REF!,INDIRECT(SET.NAME({1,"_"},)),#REF!)),RETURN(INDEX(TYPE(_),SET.NAME("_"))))</f>
        <v>0</v>
      </c>
      <c r="G1018" s="2">
        <f>TYPE(INDEX(,DEVSQ(#REF!,INDEX(1,),#REF!)))</f>
        <v>16</v>
      </c>
    </row>
    <row r="1019" spans="1:7" x14ac:dyDescent="0.55000000000000004">
      <c r="A1019" s="1" t="s">
        <v>1764</v>
      </c>
      <c r="B1019" s="2">
        <f>COUNTIF(A:A,A1019)-1</f>
        <v>3</v>
      </c>
      <c r="C1019" s="2">
        <f>COUNTIF(A$1:A1019,A1019)-1</f>
        <v>3</v>
      </c>
      <c r="D1019" s="2" t="e">
        <f>DEVSQ(#REF!,#REF!,1)</f>
        <v>#REF!</v>
      </c>
      <c r="E1019" s="2" t="b">
        <f>IFERROR(INDEX(ERROR(0),DEVSQ(#REF!,#REF!,SET.NAME("_",+INDEX(1,)))),RETURN(INDEX(TYPE(_),SET.NAME("_"))))</f>
        <v>0</v>
      </c>
      <c r="F1019" s="2" t="b">
        <f>IFERROR(INDEX(ERROR(0),DEVSQ(#REF!,#REF!,INDIRECT(SET.NAME({1,"_"},)))),RETURN(INDEX(TYPE(_),SET.NAME("_"))))</f>
        <v>0</v>
      </c>
      <c r="G1019" s="2">
        <f>TYPE(INDEX(,DEVSQ(#REF!,#REF!,INDEX(1,))))</f>
        <v>16</v>
      </c>
    </row>
    <row r="1020" spans="1:7" x14ac:dyDescent="0.55000000000000004">
      <c r="A1020" s="1" t="s">
        <v>1765</v>
      </c>
      <c r="B1020" s="2">
        <f>COUNTIF(A:A,A1020)-1</f>
        <v>3</v>
      </c>
      <c r="C1020" s="2">
        <f>COUNTIF(A$1:A1020,A1020)-1</f>
        <v>0</v>
      </c>
      <c r="D1020" s="2"/>
      <c r="E1020" s="2"/>
      <c r="F1020" s="2"/>
      <c r="G1020" s="2"/>
    </row>
    <row r="1021" spans="1:7" x14ac:dyDescent="0.55000000000000004">
      <c r="A1021" s="1" t="s">
        <v>1765</v>
      </c>
      <c r="B1021" s="2">
        <f>COUNTIF(A:A,A1021)-1</f>
        <v>3</v>
      </c>
      <c r="C1021" s="2">
        <f>COUNTIF(A$1:A1021,A1021)-1</f>
        <v>1</v>
      </c>
      <c r="D1021" s="2" t="e">
        <f>GEOMEAN(1,#REF!,#REF!)</f>
        <v>#REF!</v>
      </c>
      <c r="E1021" s="2" t="b">
        <f>IFERROR(INDEX(ERROR(0),GEOMEAN(SET.NAME("_",+INDEX(1,)),#REF!,#REF!)),RETURN(INDEX(TYPE(_),SET.NAME("_"))))</f>
        <v>0</v>
      </c>
      <c r="F1021" s="2" t="b">
        <f>IFERROR(INDEX(ERROR(0),GEOMEAN(INDIRECT(SET.NAME({1,"_"},)),#REF!,#REF!)),RETURN(INDEX(TYPE(_),SET.NAME("_"))))</f>
        <v>0</v>
      </c>
      <c r="G1021" s="2">
        <f>TYPE(INDEX(,GEOMEAN(INDEX(1,),#REF!,#REF!)))</f>
        <v>16</v>
      </c>
    </row>
    <row r="1022" spans="1:7" x14ac:dyDescent="0.55000000000000004">
      <c r="A1022" s="1" t="s">
        <v>1765</v>
      </c>
      <c r="B1022" s="2">
        <f>COUNTIF(A:A,A1022)-1</f>
        <v>3</v>
      </c>
      <c r="C1022" s="2">
        <f>COUNTIF(A$1:A1022,A1022)-1</f>
        <v>2</v>
      </c>
      <c r="D1022" s="2" t="e">
        <f>GEOMEAN(#REF!,1,#REF!)</f>
        <v>#REF!</v>
      </c>
      <c r="E1022" s="2" t="b">
        <f>IFERROR(INDEX(ERROR(0),GEOMEAN(#REF!,SET.NAME("_",+INDEX(1,)),#REF!)),RETURN(INDEX(TYPE(_),SET.NAME("_"))))</f>
        <v>0</v>
      </c>
      <c r="F1022" s="2" t="b">
        <f>IFERROR(INDEX(ERROR(0),GEOMEAN(#REF!,INDIRECT(SET.NAME({1,"_"},)),#REF!)),RETURN(INDEX(TYPE(_),SET.NAME("_"))))</f>
        <v>0</v>
      </c>
      <c r="G1022" s="2">
        <f>TYPE(INDEX(,GEOMEAN(#REF!,INDEX(1,),#REF!)))</f>
        <v>16</v>
      </c>
    </row>
    <row r="1023" spans="1:7" x14ac:dyDescent="0.55000000000000004">
      <c r="A1023" s="1" t="s">
        <v>1765</v>
      </c>
      <c r="B1023" s="2">
        <f>COUNTIF(A:A,A1023)-1</f>
        <v>3</v>
      </c>
      <c r="C1023" s="2">
        <f>COUNTIF(A$1:A1023,A1023)-1</f>
        <v>3</v>
      </c>
      <c r="D1023" s="2" t="e">
        <f>GEOMEAN(#REF!,#REF!,1)</f>
        <v>#REF!</v>
      </c>
      <c r="E1023" s="2" t="b">
        <f>IFERROR(INDEX(ERROR(0),GEOMEAN(#REF!,#REF!,SET.NAME("_",+INDEX(1,)))),RETURN(INDEX(TYPE(_),SET.NAME("_"))))</f>
        <v>0</v>
      </c>
      <c r="F1023" s="2" t="b">
        <f>IFERROR(INDEX(ERROR(0),GEOMEAN(#REF!,#REF!,INDIRECT(SET.NAME({1,"_"},)))),RETURN(INDEX(TYPE(_),SET.NAME("_"))))</f>
        <v>0</v>
      </c>
      <c r="G1023" s="2">
        <f>TYPE(INDEX(,GEOMEAN(#REF!,#REF!,INDEX(1,))))</f>
        <v>16</v>
      </c>
    </row>
    <row r="1024" spans="1:7" x14ac:dyDescent="0.55000000000000004">
      <c r="A1024" s="1" t="s">
        <v>1766</v>
      </c>
      <c r="B1024" s="2">
        <f>COUNTIF(A:A,A1024)-1</f>
        <v>3</v>
      </c>
      <c r="C1024" s="2">
        <f>COUNTIF(A$1:A1024,A1024)-1</f>
        <v>0</v>
      </c>
      <c r="D1024" s="2"/>
      <c r="E1024" s="2"/>
      <c r="F1024" s="2"/>
      <c r="G1024" s="2"/>
    </row>
    <row r="1025" spans="1:7" x14ac:dyDescent="0.55000000000000004">
      <c r="A1025" s="1" t="s">
        <v>1766</v>
      </c>
      <c r="B1025" s="2">
        <f>COUNTIF(A:A,A1025)-1</f>
        <v>3</v>
      </c>
      <c r="C1025" s="2">
        <f>COUNTIF(A$1:A1025,A1025)-1</f>
        <v>1</v>
      </c>
      <c r="D1025" s="2" t="e">
        <f>HARMEAN(1,#REF!,#REF!)</f>
        <v>#REF!</v>
      </c>
      <c r="E1025" s="2" t="b">
        <f>IFERROR(INDEX(ERROR(0),HARMEAN(SET.NAME("_",+INDEX(1,)),#REF!,#REF!)),RETURN(INDEX(TYPE(_),SET.NAME("_"))))</f>
        <v>0</v>
      </c>
      <c r="F1025" s="2" t="b">
        <f>IFERROR(INDEX(ERROR(0),HARMEAN(INDIRECT(SET.NAME({1,"_"},)),#REF!,#REF!)),RETURN(INDEX(TYPE(_),SET.NAME("_"))))</f>
        <v>0</v>
      </c>
      <c r="G1025" s="2">
        <f>TYPE(INDEX(,HARMEAN(INDEX(1,),#REF!,#REF!)))</f>
        <v>16</v>
      </c>
    </row>
    <row r="1026" spans="1:7" x14ac:dyDescent="0.55000000000000004">
      <c r="A1026" s="1" t="s">
        <v>1766</v>
      </c>
      <c r="B1026" s="2">
        <f>COUNTIF(A:A,A1026)-1</f>
        <v>3</v>
      </c>
      <c r="C1026" s="2">
        <f>COUNTIF(A$1:A1026,A1026)-1</f>
        <v>2</v>
      </c>
      <c r="D1026" s="2" t="e">
        <f>HARMEAN(#REF!,1,#REF!)</f>
        <v>#REF!</v>
      </c>
      <c r="E1026" s="2" t="b">
        <f>IFERROR(INDEX(ERROR(0),HARMEAN(#REF!,SET.NAME("_",+INDEX(1,)),#REF!)),RETURN(INDEX(TYPE(_),SET.NAME("_"))))</f>
        <v>0</v>
      </c>
      <c r="F1026" s="2" t="b">
        <f>IFERROR(INDEX(ERROR(0),HARMEAN(#REF!,INDIRECT(SET.NAME({1,"_"},)),#REF!)),RETURN(INDEX(TYPE(_),SET.NAME("_"))))</f>
        <v>0</v>
      </c>
      <c r="G1026" s="2">
        <f>TYPE(INDEX(,HARMEAN(#REF!,INDEX(1,),#REF!)))</f>
        <v>16</v>
      </c>
    </row>
    <row r="1027" spans="1:7" x14ac:dyDescent="0.55000000000000004">
      <c r="A1027" s="1" t="s">
        <v>1766</v>
      </c>
      <c r="B1027" s="2">
        <f>COUNTIF(A:A,A1027)-1</f>
        <v>3</v>
      </c>
      <c r="C1027" s="2">
        <f>COUNTIF(A$1:A1027,A1027)-1</f>
        <v>3</v>
      </c>
      <c r="D1027" s="2" t="e">
        <f>HARMEAN(#REF!,#REF!,1)</f>
        <v>#REF!</v>
      </c>
      <c r="E1027" s="2" t="b">
        <f>IFERROR(INDEX(ERROR(0),HARMEAN(#REF!,#REF!,SET.NAME("_",+INDEX(1,)))),RETURN(INDEX(TYPE(_),SET.NAME("_"))))</f>
        <v>0</v>
      </c>
      <c r="F1027" s="2" t="b">
        <f>IFERROR(INDEX(ERROR(0),HARMEAN(#REF!,#REF!,INDIRECT(SET.NAME({1,"_"},)))),RETURN(INDEX(TYPE(_),SET.NAME("_"))))</f>
        <v>0</v>
      </c>
      <c r="G1027" s="2">
        <f>TYPE(INDEX(,HARMEAN(#REF!,#REF!,INDEX(1,))))</f>
        <v>16</v>
      </c>
    </row>
    <row r="1028" spans="1:7" x14ac:dyDescent="0.55000000000000004">
      <c r="A1028" s="1" t="s">
        <v>1767</v>
      </c>
      <c r="B1028" s="2">
        <f>COUNTIF(A:A,A1028)-1</f>
        <v>3</v>
      </c>
      <c r="C1028" s="2">
        <f>COUNTIF(A$1:A1028,A1028)-1</f>
        <v>0</v>
      </c>
      <c r="D1028" s="2"/>
      <c r="E1028" s="2"/>
      <c r="F1028" s="2"/>
      <c r="G1028" s="2"/>
    </row>
    <row r="1029" spans="1:7" x14ac:dyDescent="0.55000000000000004">
      <c r="A1029" s="1" t="s">
        <v>1767</v>
      </c>
      <c r="B1029" s="2">
        <f>COUNTIF(A:A,A1029)-1</f>
        <v>3</v>
      </c>
      <c r="C1029" s="2">
        <f>COUNTIF(A$1:A1029,A1029)-1</f>
        <v>1</v>
      </c>
      <c r="D1029" s="2" t="e">
        <f>SUMSQ(1,#REF!,#REF!)</f>
        <v>#REF!</v>
      </c>
      <c r="E1029" s="2" t="b">
        <f>IFERROR(INDEX(ERROR(0),SUMSQ(SET.NAME("_",+INDEX(1,)),#REF!,#REF!)),RETURN(INDEX(TYPE(_),SET.NAME("_"))))</f>
        <v>0</v>
      </c>
      <c r="F1029" s="2" t="b">
        <f>IFERROR(INDEX(ERROR(0),SUMSQ(INDIRECT(SET.NAME({1,"_"},)),#REF!,#REF!)),RETURN(INDEX(TYPE(_),SET.NAME("_"))))</f>
        <v>0</v>
      </c>
      <c r="G1029" s="2">
        <f>TYPE(INDEX(,SUMSQ(INDEX(1,),#REF!,#REF!)))</f>
        <v>16</v>
      </c>
    </row>
    <row r="1030" spans="1:7" x14ac:dyDescent="0.55000000000000004">
      <c r="A1030" s="1" t="s">
        <v>1767</v>
      </c>
      <c r="B1030" s="2">
        <f>COUNTIF(A:A,A1030)-1</f>
        <v>3</v>
      </c>
      <c r="C1030" s="2">
        <f>COUNTIF(A$1:A1030,A1030)-1</f>
        <v>2</v>
      </c>
      <c r="D1030" s="2" t="e">
        <f>SUMSQ(#REF!,1,#REF!)</f>
        <v>#REF!</v>
      </c>
      <c r="E1030" s="2" t="b">
        <f>IFERROR(INDEX(ERROR(0),SUMSQ(#REF!,SET.NAME("_",+INDEX(1,)),#REF!)),RETURN(INDEX(TYPE(_),SET.NAME("_"))))</f>
        <v>0</v>
      </c>
      <c r="F1030" s="2" t="b">
        <f>IFERROR(INDEX(ERROR(0),SUMSQ(#REF!,INDIRECT(SET.NAME({1,"_"},)),#REF!)),RETURN(INDEX(TYPE(_),SET.NAME("_"))))</f>
        <v>0</v>
      </c>
      <c r="G1030" s="2">
        <f>TYPE(INDEX(,SUMSQ(#REF!,INDEX(1,),#REF!)))</f>
        <v>16</v>
      </c>
    </row>
    <row r="1031" spans="1:7" x14ac:dyDescent="0.55000000000000004">
      <c r="A1031" s="1" t="s">
        <v>1767</v>
      </c>
      <c r="B1031" s="2">
        <f>COUNTIF(A:A,A1031)-1</f>
        <v>3</v>
      </c>
      <c r="C1031" s="2">
        <f>COUNTIF(A$1:A1031,A1031)-1</f>
        <v>3</v>
      </c>
      <c r="D1031" s="2" t="e">
        <f>SUMSQ(#REF!,#REF!,1)</f>
        <v>#REF!</v>
      </c>
      <c r="E1031" s="2" t="b">
        <f>IFERROR(INDEX(ERROR(0),SUMSQ(#REF!,#REF!,SET.NAME("_",+INDEX(1,)))),RETURN(INDEX(TYPE(_),SET.NAME("_"))))</f>
        <v>0</v>
      </c>
      <c r="F1031" s="2" t="b">
        <f>IFERROR(INDEX(ERROR(0),SUMSQ(#REF!,#REF!,INDIRECT(SET.NAME({1,"_"},)))),RETURN(INDEX(TYPE(_),SET.NAME("_"))))</f>
        <v>0</v>
      </c>
      <c r="G1031" s="2">
        <f>TYPE(INDEX(,SUMSQ(#REF!,#REF!,INDEX(1,))))</f>
        <v>16</v>
      </c>
    </row>
    <row r="1032" spans="1:7" x14ac:dyDescent="0.55000000000000004">
      <c r="A1032" s="1" t="s">
        <v>1768</v>
      </c>
      <c r="B1032" s="2">
        <f>COUNTIF(A:A,A1032)-1</f>
        <v>3</v>
      </c>
      <c r="C1032" s="2">
        <f>COUNTIF(A$1:A1032,A1032)-1</f>
        <v>0</v>
      </c>
      <c r="D1032" s="2"/>
      <c r="E1032" s="2"/>
      <c r="F1032" s="2"/>
      <c r="G1032" s="2"/>
    </row>
    <row r="1033" spans="1:7" x14ac:dyDescent="0.55000000000000004">
      <c r="A1033" s="1" t="s">
        <v>1768</v>
      </c>
      <c r="B1033" s="2">
        <f>COUNTIF(A:A,A1033)-1</f>
        <v>3</v>
      </c>
      <c r="C1033" s="2">
        <f>COUNTIF(A$1:A1033,A1033)-1</f>
        <v>1</v>
      </c>
      <c r="D1033" s="2" t="e">
        <f>KURT(1,#REF!,#REF!)</f>
        <v>#REF!</v>
      </c>
      <c r="E1033" s="2" t="b">
        <f>IFERROR(INDEX(ERROR(0),KURT(SET.NAME("_",+INDEX(1,)),#REF!,#REF!)),RETURN(INDEX(TYPE(_),SET.NAME("_"))))</f>
        <v>0</v>
      </c>
      <c r="F1033" s="2" t="b">
        <f>IFERROR(INDEX(ERROR(0),KURT(INDIRECT(SET.NAME({1,"_"},)),#REF!,#REF!)),RETURN(INDEX(TYPE(_),SET.NAME("_"))))</f>
        <v>0</v>
      </c>
      <c r="G1033" s="2">
        <f>TYPE(INDEX(,KURT(INDEX(1,),#REF!,#REF!)))</f>
        <v>16</v>
      </c>
    </row>
    <row r="1034" spans="1:7" x14ac:dyDescent="0.55000000000000004">
      <c r="A1034" s="1" t="s">
        <v>1768</v>
      </c>
      <c r="B1034" s="2">
        <f>COUNTIF(A:A,A1034)-1</f>
        <v>3</v>
      </c>
      <c r="C1034" s="2">
        <f>COUNTIF(A$1:A1034,A1034)-1</f>
        <v>2</v>
      </c>
      <c r="D1034" s="2" t="e">
        <f>KURT(#REF!,1,#REF!)</f>
        <v>#REF!</v>
      </c>
      <c r="E1034" s="2" t="b">
        <f>IFERROR(INDEX(ERROR(0),KURT(#REF!,SET.NAME("_",+INDEX(1,)),#REF!)),RETURN(INDEX(TYPE(_),SET.NAME("_"))))</f>
        <v>0</v>
      </c>
      <c r="F1034" s="2" t="b">
        <f>IFERROR(INDEX(ERROR(0),KURT(#REF!,INDIRECT(SET.NAME({1,"_"},)),#REF!)),RETURN(INDEX(TYPE(_),SET.NAME("_"))))</f>
        <v>0</v>
      </c>
      <c r="G1034" s="2">
        <f>TYPE(INDEX(,KURT(#REF!,INDEX(1,),#REF!)))</f>
        <v>16</v>
      </c>
    </row>
    <row r="1035" spans="1:7" x14ac:dyDescent="0.55000000000000004">
      <c r="A1035" s="1" t="s">
        <v>1768</v>
      </c>
      <c r="B1035" s="2">
        <f>COUNTIF(A:A,A1035)-1</f>
        <v>3</v>
      </c>
      <c r="C1035" s="2">
        <f>COUNTIF(A$1:A1035,A1035)-1</f>
        <v>3</v>
      </c>
      <c r="D1035" s="2" t="e">
        <f>KURT(#REF!,#REF!,1)</f>
        <v>#REF!</v>
      </c>
      <c r="E1035" s="2" t="b">
        <f>IFERROR(INDEX(ERROR(0),KURT(#REF!,#REF!,SET.NAME("_",+INDEX(1,)))),RETURN(INDEX(TYPE(_),SET.NAME("_"))))</f>
        <v>0</v>
      </c>
      <c r="F1035" s="2" t="b">
        <f>IFERROR(INDEX(ERROR(0),KURT(#REF!,#REF!,INDIRECT(SET.NAME({1,"_"},)))),RETURN(INDEX(TYPE(_),SET.NAME("_"))))</f>
        <v>0</v>
      </c>
      <c r="G1035" s="2">
        <f>TYPE(INDEX(,KURT(#REF!,#REF!,INDEX(1,))))</f>
        <v>16</v>
      </c>
    </row>
    <row r="1036" spans="1:7" x14ac:dyDescent="0.55000000000000004">
      <c r="A1036" s="1" t="s">
        <v>1769</v>
      </c>
      <c r="B1036" s="2">
        <f>COUNTIF(A:A,A1036)-1</f>
        <v>3</v>
      </c>
      <c r="C1036" s="2">
        <f>COUNTIF(A$1:A1036,A1036)-1</f>
        <v>0</v>
      </c>
      <c r="D1036" s="2"/>
      <c r="E1036" s="2"/>
      <c r="F1036" s="2"/>
      <c r="G1036" s="2"/>
    </row>
    <row r="1037" spans="1:7" x14ac:dyDescent="0.55000000000000004">
      <c r="A1037" s="1" t="s">
        <v>1769</v>
      </c>
      <c r="B1037" s="2">
        <f>COUNTIF(A:A,A1037)-1</f>
        <v>3</v>
      </c>
      <c r="C1037" s="2">
        <f>COUNTIF(A$1:A1037,A1037)-1</f>
        <v>1</v>
      </c>
      <c r="D1037" s="2" t="e">
        <f>SKEW(1,#REF!,#REF!)</f>
        <v>#REF!</v>
      </c>
      <c r="E1037" s="2" t="b">
        <f>IFERROR(INDEX(ERROR(0),SKEW(SET.NAME("_",+INDEX(1,)),#REF!,#REF!)),RETURN(INDEX(TYPE(_),SET.NAME("_"))))</f>
        <v>0</v>
      </c>
      <c r="F1037" s="2" t="b">
        <f>IFERROR(INDEX(ERROR(0),SKEW(INDIRECT(SET.NAME({1,"_"},)),#REF!,#REF!)),RETURN(INDEX(TYPE(_),SET.NAME("_"))))</f>
        <v>0</v>
      </c>
      <c r="G1037" s="2">
        <f>TYPE(INDEX(,SKEW(INDEX(1,),#REF!,#REF!)))</f>
        <v>16</v>
      </c>
    </row>
    <row r="1038" spans="1:7" x14ac:dyDescent="0.55000000000000004">
      <c r="A1038" s="1" t="s">
        <v>1769</v>
      </c>
      <c r="B1038" s="2">
        <f>COUNTIF(A:A,A1038)-1</f>
        <v>3</v>
      </c>
      <c r="C1038" s="2">
        <f>COUNTIF(A$1:A1038,A1038)-1</f>
        <v>2</v>
      </c>
      <c r="D1038" s="2" t="e">
        <f>SKEW(#REF!,1,#REF!)</f>
        <v>#REF!</v>
      </c>
      <c r="E1038" s="2" t="b">
        <f>IFERROR(INDEX(ERROR(0),SKEW(#REF!,SET.NAME("_",+INDEX(1,)),#REF!)),RETURN(INDEX(TYPE(_),SET.NAME("_"))))</f>
        <v>0</v>
      </c>
      <c r="F1038" s="2" t="b">
        <f>IFERROR(INDEX(ERROR(0),SKEW(#REF!,INDIRECT(SET.NAME({1,"_"},)),#REF!)),RETURN(INDEX(TYPE(_),SET.NAME("_"))))</f>
        <v>0</v>
      </c>
      <c r="G1038" s="2">
        <f>TYPE(INDEX(,SKEW(#REF!,INDEX(1,),#REF!)))</f>
        <v>16</v>
      </c>
    </row>
    <row r="1039" spans="1:7" x14ac:dyDescent="0.55000000000000004">
      <c r="A1039" s="1" t="s">
        <v>1769</v>
      </c>
      <c r="B1039" s="2">
        <f>COUNTIF(A:A,A1039)-1</f>
        <v>3</v>
      </c>
      <c r="C1039" s="2">
        <f>COUNTIF(A$1:A1039,A1039)-1</f>
        <v>3</v>
      </c>
      <c r="D1039" s="2" t="e">
        <f>SKEW(#REF!,#REF!,1)</f>
        <v>#REF!</v>
      </c>
      <c r="E1039" s="2" t="b">
        <f>IFERROR(INDEX(ERROR(0),SKEW(#REF!,#REF!,SET.NAME("_",+INDEX(1,)))),RETURN(INDEX(TYPE(_),SET.NAME("_"))))</f>
        <v>0</v>
      </c>
      <c r="F1039" s="2" t="b">
        <f>IFERROR(INDEX(ERROR(0),SKEW(#REF!,#REF!,INDIRECT(SET.NAME({1,"_"},)))),RETURN(INDEX(TYPE(_),SET.NAME("_"))))</f>
        <v>0</v>
      </c>
      <c r="G1039" s="2">
        <f>TYPE(INDEX(,SKEW(#REF!,#REF!,INDEX(1,))))</f>
        <v>16</v>
      </c>
    </row>
    <row r="1040" spans="1:7" x14ac:dyDescent="0.55000000000000004">
      <c r="A1040" s="1" t="s">
        <v>1770</v>
      </c>
      <c r="B1040" s="2">
        <f>COUNTIF(A:A,A1040)-1</f>
        <v>3</v>
      </c>
      <c r="C1040" s="2">
        <f>COUNTIF(A$1:A1040,A1040)-1</f>
        <v>0</v>
      </c>
      <c r="D1040" s="2"/>
      <c r="E1040" s="2"/>
      <c r="F1040" s="2"/>
      <c r="G1040" s="2"/>
    </row>
    <row r="1041" spans="1:7" x14ac:dyDescent="0.55000000000000004">
      <c r="A1041" s="1" t="s">
        <v>1770</v>
      </c>
      <c r="B1041" s="2">
        <f>COUNTIF(A:A,A1041)-1</f>
        <v>3</v>
      </c>
      <c r="C1041" s="2">
        <f>COUNTIF(A$1:A1041,A1041)-1</f>
        <v>1</v>
      </c>
      <c r="D1041" s="2" t="e">
        <f>ZTEST(1,#REF!,#REF!)</f>
        <v>#REF!</v>
      </c>
      <c r="E1041" s="2" t="b">
        <f>IFERROR(INDEX(ERROR(0),ZTEST(SET.NAME("_",+INDEX(1,)),#REF!,#REF!)),RETURN(INDEX(TYPE(_),SET.NAME("_"))))</f>
        <v>0</v>
      </c>
      <c r="F1041" s="2" t="b">
        <f>IFERROR(INDEX(ERROR(0),ZTEST(INDIRECT(SET.NAME({1,"_"},)),#REF!,#REF!)),RETURN(INDEX(TYPE(_),SET.NAME("_"))))</f>
        <v>0</v>
      </c>
      <c r="G1041" s="2">
        <f>TYPE(INDEX(,ZTEST(INDEX(1,),#REF!,#REF!)))</f>
        <v>16</v>
      </c>
    </row>
    <row r="1042" spans="1:7" x14ac:dyDescent="0.55000000000000004">
      <c r="A1042" s="1" t="s">
        <v>1770</v>
      </c>
      <c r="B1042" s="2">
        <f>COUNTIF(A:A,A1042)-1</f>
        <v>3</v>
      </c>
      <c r="C1042" s="2">
        <f>COUNTIF(A$1:A1042,A1042)-1</f>
        <v>2</v>
      </c>
      <c r="D1042" s="2" t="e">
        <f>ZTEST(#REF!,1,#REF!)</f>
        <v>#REF!</v>
      </c>
      <c r="E1042" s="2" t="b">
        <f>IFERROR(INDEX(ERROR(0),ZTEST(#REF!,SET.NAME("_",+INDEX(1,)),#REF!)),RETURN(INDEX(TYPE(_),SET.NAME("_"))))</f>
        <v>0</v>
      </c>
      <c r="F1042" s="2" t="b">
        <f>IFERROR(INDEX(ERROR(0),ZTEST(#REF!,INDIRECT(SET.NAME({1,"_"},)),#REF!)),RETURN(INDEX(TYPE(_),SET.NAME("_"))))</f>
        <v>0</v>
      </c>
      <c r="G1042" s="2">
        <f>TYPE(INDEX(,ZTEST(#REF!,INDEX(1,),#REF!)))</f>
        <v>16</v>
      </c>
    </row>
    <row r="1043" spans="1:7" x14ac:dyDescent="0.55000000000000004">
      <c r="A1043" s="1" t="s">
        <v>1770</v>
      </c>
      <c r="B1043" s="2">
        <f>COUNTIF(A:A,A1043)-1</f>
        <v>3</v>
      </c>
      <c r="C1043" s="2">
        <f>COUNTIF(A$1:A1043,A1043)-1</f>
        <v>3</v>
      </c>
      <c r="D1043" s="2" t="e">
        <f>ZTEST(#REF!,#REF!,1)</f>
        <v>#REF!</v>
      </c>
      <c r="E1043" s="2" t="b">
        <f>IFERROR(INDEX(ERROR(0),ZTEST(#REF!,#REF!,SET.NAME("_",+INDEX(1,)))),RETURN(INDEX(TYPE(_),SET.NAME("_"))))</f>
        <v>0</v>
      </c>
      <c r="F1043" s="2" t="b">
        <f>IFERROR(INDEX(ERROR(0),ZTEST(#REF!,#REF!,INDIRECT(SET.NAME({1,"_"},)))),RETURN(INDEX(TYPE(_),SET.NAME("_"))))</f>
        <v>0</v>
      </c>
      <c r="G1043" s="2">
        <f>TYPE(INDEX(,ZTEST(#REF!,#REF!,INDEX(1,))))</f>
        <v>16</v>
      </c>
    </row>
    <row r="1044" spans="1:7" x14ac:dyDescent="0.55000000000000004">
      <c r="A1044" s="1" t="s">
        <v>1771</v>
      </c>
      <c r="B1044" s="2">
        <f>COUNTIF(A:A,A1044)-1</f>
        <v>2</v>
      </c>
      <c r="C1044" s="2">
        <f>COUNTIF(A$1:A1044,A1044)-1</f>
        <v>0</v>
      </c>
      <c r="D1044" s="2"/>
      <c r="E1044" s="2"/>
      <c r="F1044" s="2"/>
      <c r="G1044" s="2"/>
    </row>
    <row r="1045" spans="1:7" x14ac:dyDescent="0.55000000000000004">
      <c r="A1045" s="1" t="s">
        <v>1771</v>
      </c>
      <c r="B1045" s="2">
        <f>COUNTIF(A:A,A1045)-1</f>
        <v>2</v>
      </c>
      <c r="C1045" s="2">
        <f>COUNTIF(A$1:A1045,A1045)-1</f>
        <v>1</v>
      </c>
      <c r="D1045" s="2" t="e">
        <f>LARGE(1,#REF!)</f>
        <v>#REF!</v>
      </c>
      <c r="E1045" s="2" t="b">
        <f>IFERROR(INDEX(ERROR(0),LARGE(SET.NAME("_",+INDEX(1,)),#REF!)),RETURN(INDEX(TYPE(_),SET.NAME("_"))))</f>
        <v>0</v>
      </c>
      <c r="F1045" s="2" t="b">
        <f>IFERROR(INDEX(ERROR(0),LARGE(INDIRECT(SET.NAME({1,"_"},)),#REF!)),RETURN(INDEX(TYPE(_),SET.NAME("_"))))</f>
        <v>0</v>
      </c>
      <c r="G1045" s="2">
        <f>TYPE(INDEX(,LARGE(INDEX(1,),#REF!)))</f>
        <v>16</v>
      </c>
    </row>
    <row r="1046" spans="1:7" x14ac:dyDescent="0.55000000000000004">
      <c r="A1046" s="1" t="s">
        <v>1771</v>
      </c>
      <c r="B1046" s="2">
        <f>COUNTIF(A:A,A1046)-1</f>
        <v>2</v>
      </c>
      <c r="C1046" s="2">
        <f>COUNTIF(A$1:A1046,A1046)-1</f>
        <v>2</v>
      </c>
      <c r="D1046" s="2" t="e">
        <f>LARGE(#REF!,1)</f>
        <v>#REF!</v>
      </c>
      <c r="E1046" s="2" t="b">
        <f>IFERROR(INDEX(ERROR(0),LARGE(#REF!,SET.NAME("_",+INDEX(1,)))),RETURN(INDEX(TYPE(_),SET.NAME("_"))))</f>
        <v>0</v>
      </c>
      <c r="F1046" s="2" t="b">
        <f>IFERROR(INDEX(ERROR(0),LARGE(#REF!,INDIRECT(SET.NAME({1,"_"},)))),RETURN(INDEX(TYPE(_),SET.NAME("_"))))</f>
        <v>0</v>
      </c>
      <c r="G1046" s="2">
        <f>TYPE(INDEX(,LARGE(#REF!,INDEX(1,))))</f>
        <v>16</v>
      </c>
    </row>
    <row r="1047" spans="1:7" x14ac:dyDescent="0.55000000000000004">
      <c r="A1047" s="1" t="s">
        <v>1772</v>
      </c>
      <c r="B1047" s="2">
        <f>COUNTIF(A:A,A1047)-1</f>
        <v>2</v>
      </c>
      <c r="C1047" s="2">
        <f>COUNTIF(A$1:A1047,A1047)-1</f>
        <v>0</v>
      </c>
      <c r="D1047" s="2"/>
      <c r="E1047" s="2"/>
      <c r="F1047" s="2"/>
      <c r="G1047" s="2"/>
    </row>
    <row r="1048" spans="1:7" x14ac:dyDescent="0.55000000000000004">
      <c r="A1048" s="1" t="s">
        <v>1772</v>
      </c>
      <c r="B1048" s="2">
        <f>COUNTIF(A:A,A1048)-1</f>
        <v>2</v>
      </c>
      <c r="C1048" s="2">
        <f>COUNTIF(A$1:A1048,A1048)-1</f>
        <v>1</v>
      </c>
      <c r="D1048" s="2" t="e">
        <f>SMALL(1,#REF!)</f>
        <v>#REF!</v>
      </c>
      <c r="E1048" s="2" t="b">
        <f>IFERROR(INDEX(ERROR(0),SMALL(SET.NAME("_",+INDEX(1,)),#REF!)),RETURN(INDEX(TYPE(_),SET.NAME("_"))))</f>
        <v>0</v>
      </c>
      <c r="F1048" s="2" t="b">
        <f>IFERROR(INDEX(ERROR(0),SMALL(INDIRECT(SET.NAME({1,"_"},)),#REF!)),RETURN(INDEX(TYPE(_),SET.NAME("_"))))</f>
        <v>0</v>
      </c>
      <c r="G1048" s="2">
        <f>TYPE(INDEX(,SMALL(INDEX(1,),#REF!)))</f>
        <v>16</v>
      </c>
    </row>
    <row r="1049" spans="1:7" x14ac:dyDescent="0.55000000000000004">
      <c r="A1049" s="1" t="s">
        <v>1772</v>
      </c>
      <c r="B1049" s="2">
        <f>COUNTIF(A:A,A1049)-1</f>
        <v>2</v>
      </c>
      <c r="C1049" s="2">
        <f>COUNTIF(A$1:A1049,A1049)-1</f>
        <v>2</v>
      </c>
      <c r="D1049" s="2" t="e">
        <f>SMALL(#REF!,1)</f>
        <v>#REF!</v>
      </c>
      <c r="E1049" s="2" t="b">
        <f>IFERROR(INDEX(ERROR(0),SMALL(#REF!,SET.NAME("_",+INDEX(1,)))),RETURN(INDEX(TYPE(_),SET.NAME("_"))))</f>
        <v>0</v>
      </c>
      <c r="F1049" s="2" t="b">
        <f>IFERROR(INDEX(ERROR(0),SMALL(#REF!,INDIRECT(SET.NAME({1,"_"},)))),RETURN(INDEX(TYPE(_),SET.NAME("_"))))</f>
        <v>0</v>
      </c>
      <c r="G1049" s="2">
        <f>TYPE(INDEX(,SMALL(#REF!,INDEX(1,))))</f>
        <v>16</v>
      </c>
    </row>
    <row r="1050" spans="1:7" x14ac:dyDescent="0.55000000000000004">
      <c r="A1050" s="1" t="s">
        <v>1773</v>
      </c>
      <c r="B1050" s="2">
        <f>COUNTIF(A:A,A1050)-1</f>
        <v>2</v>
      </c>
      <c r="C1050" s="2">
        <f>COUNTIF(A$1:A1050,A1050)-1</f>
        <v>0</v>
      </c>
      <c r="D1050" s="2"/>
      <c r="E1050" s="2"/>
      <c r="F1050" s="2"/>
      <c r="G1050" s="2"/>
    </row>
    <row r="1051" spans="1:7" x14ac:dyDescent="0.55000000000000004">
      <c r="A1051" s="1" t="s">
        <v>1773</v>
      </c>
      <c r="B1051" s="2">
        <f>COUNTIF(A:A,A1051)-1</f>
        <v>2</v>
      </c>
      <c r="C1051" s="2">
        <f>COUNTIF(A$1:A1051,A1051)-1</f>
        <v>1</v>
      </c>
      <c r="D1051" s="2" t="e">
        <f>QUARTILE(1,#REF!)</f>
        <v>#REF!</v>
      </c>
      <c r="E1051" s="2" t="b">
        <f>IFERROR(INDEX(ERROR(0),QUARTILE(SET.NAME("_",+INDEX(1,)),#REF!)),RETURN(INDEX(TYPE(_),SET.NAME("_"))))</f>
        <v>0</v>
      </c>
      <c r="F1051" s="2" t="b">
        <f>IFERROR(INDEX(ERROR(0),QUARTILE(INDIRECT(SET.NAME({1,"_"},)),#REF!)),RETURN(INDEX(TYPE(_),SET.NAME("_"))))</f>
        <v>0</v>
      </c>
      <c r="G1051" s="2">
        <f>TYPE(INDEX(,QUARTILE(INDEX(1,),#REF!)))</f>
        <v>16</v>
      </c>
    </row>
    <row r="1052" spans="1:7" x14ac:dyDescent="0.55000000000000004">
      <c r="A1052" s="1" t="s">
        <v>1773</v>
      </c>
      <c r="B1052" s="2">
        <f>COUNTIF(A:A,A1052)-1</f>
        <v>2</v>
      </c>
      <c r="C1052" s="2">
        <f>COUNTIF(A$1:A1052,A1052)-1</f>
        <v>2</v>
      </c>
      <c r="D1052" s="2" t="e">
        <f>QUARTILE(#REF!,1)</f>
        <v>#REF!</v>
      </c>
      <c r="E1052" s="2" t="b">
        <f>IFERROR(INDEX(ERROR(0),QUARTILE(#REF!,SET.NAME("_",+INDEX(1,)))),RETURN(INDEX(TYPE(_),SET.NAME("_"))))</f>
        <v>0</v>
      </c>
      <c r="F1052" s="2" t="b">
        <f>IFERROR(INDEX(ERROR(0),QUARTILE(#REF!,INDIRECT(SET.NAME({1,"_"},)))),RETURN(INDEX(TYPE(_),SET.NAME("_"))))</f>
        <v>0</v>
      </c>
      <c r="G1052" s="2">
        <f>TYPE(INDEX(,QUARTILE(#REF!,INDEX(1,))))</f>
        <v>16</v>
      </c>
    </row>
    <row r="1053" spans="1:7" x14ac:dyDescent="0.55000000000000004">
      <c r="A1053" s="1" t="s">
        <v>1774</v>
      </c>
      <c r="B1053" s="2">
        <f>COUNTIF(A:A,A1053)-1</f>
        <v>2</v>
      </c>
      <c r="C1053" s="2">
        <f>COUNTIF(A$1:A1053,A1053)-1</f>
        <v>0</v>
      </c>
      <c r="D1053" s="2"/>
      <c r="E1053" s="2"/>
      <c r="F1053" s="2"/>
      <c r="G1053" s="2"/>
    </row>
    <row r="1054" spans="1:7" x14ac:dyDescent="0.55000000000000004">
      <c r="A1054" s="1" t="s">
        <v>1774</v>
      </c>
      <c r="B1054" s="2">
        <f>COUNTIF(A:A,A1054)-1</f>
        <v>2</v>
      </c>
      <c r="C1054" s="2">
        <f>COUNTIF(A$1:A1054,A1054)-1</f>
        <v>1</v>
      </c>
      <c r="D1054" s="2" t="e">
        <f>PERCENTILE(1,#REF!)</f>
        <v>#REF!</v>
      </c>
      <c r="E1054" s="2" t="b">
        <f>IFERROR(INDEX(ERROR(0),PERCENTILE(SET.NAME("_",+INDEX(1,)),#REF!)),RETURN(INDEX(TYPE(_),SET.NAME("_"))))</f>
        <v>0</v>
      </c>
      <c r="F1054" s="2" t="b">
        <f>IFERROR(INDEX(ERROR(0),PERCENTILE(INDIRECT(SET.NAME({1,"_"},)),#REF!)),RETURN(INDEX(TYPE(_),SET.NAME("_"))))</f>
        <v>0</v>
      </c>
      <c r="G1054" s="2">
        <f>TYPE(INDEX(,PERCENTILE(INDEX(1,),#REF!)))</f>
        <v>16</v>
      </c>
    </row>
    <row r="1055" spans="1:7" x14ac:dyDescent="0.55000000000000004">
      <c r="A1055" s="1" t="s">
        <v>1774</v>
      </c>
      <c r="B1055" s="2">
        <f>COUNTIF(A:A,A1055)-1</f>
        <v>2</v>
      </c>
      <c r="C1055" s="2">
        <f>COUNTIF(A$1:A1055,A1055)-1</f>
        <v>2</v>
      </c>
      <c r="D1055" s="2" t="e">
        <f>PERCENTILE(#REF!,1)</f>
        <v>#REF!</v>
      </c>
      <c r="E1055" s="2" t="b">
        <f>IFERROR(INDEX(ERROR(0),PERCENTILE(#REF!,SET.NAME("_",+INDEX(1,)))),RETURN(INDEX(TYPE(_),SET.NAME("_"))))</f>
        <v>0</v>
      </c>
      <c r="F1055" s="2" t="b">
        <f>IFERROR(INDEX(ERROR(0),PERCENTILE(#REF!,INDIRECT(SET.NAME({1,"_"},)))),RETURN(INDEX(TYPE(_),SET.NAME("_"))))</f>
        <v>0</v>
      </c>
      <c r="G1055" s="2">
        <f>TYPE(INDEX(,PERCENTILE(#REF!,INDEX(1,))))</f>
        <v>16</v>
      </c>
    </row>
    <row r="1056" spans="1:7" x14ac:dyDescent="0.55000000000000004">
      <c r="A1056" s="1" t="s">
        <v>1775</v>
      </c>
      <c r="B1056" s="2">
        <f>COUNTIF(A:A,A1056)-1</f>
        <v>3</v>
      </c>
      <c r="C1056" s="2">
        <f>COUNTIF(A$1:A1056,A1056)-1</f>
        <v>0</v>
      </c>
      <c r="D1056" s="2"/>
      <c r="E1056" s="2"/>
      <c r="F1056" s="2"/>
      <c r="G1056" s="2"/>
    </row>
    <row r="1057" spans="1:7" x14ac:dyDescent="0.55000000000000004">
      <c r="A1057" s="1" t="s">
        <v>1775</v>
      </c>
      <c r="B1057" s="2">
        <f>COUNTIF(A:A,A1057)-1</f>
        <v>3</v>
      </c>
      <c r="C1057" s="2">
        <f>COUNTIF(A$1:A1057,A1057)-1</f>
        <v>1</v>
      </c>
      <c r="D1057" s="2" t="e">
        <f>PERCENTRANK(1,#REF!,#REF!)</f>
        <v>#REF!</v>
      </c>
      <c r="E1057" s="2" t="b">
        <f>IFERROR(INDEX(ERROR(0),PERCENTRANK(SET.NAME("_",+INDEX(1,)),#REF!,#REF!)),RETURN(INDEX(TYPE(_),SET.NAME("_"))))</f>
        <v>0</v>
      </c>
      <c r="F1057" s="2" t="b">
        <f>IFERROR(INDEX(ERROR(0),PERCENTRANK(INDIRECT(SET.NAME({1,"_"},)),#REF!,#REF!)),RETURN(INDEX(TYPE(_),SET.NAME("_"))))</f>
        <v>0</v>
      </c>
      <c r="G1057" s="2">
        <f>TYPE(INDEX(,PERCENTRANK(INDEX(1,),#REF!,#REF!)))</f>
        <v>16</v>
      </c>
    </row>
    <row r="1058" spans="1:7" x14ac:dyDescent="0.55000000000000004">
      <c r="A1058" s="1" t="s">
        <v>1775</v>
      </c>
      <c r="B1058" s="2">
        <f>COUNTIF(A:A,A1058)-1</f>
        <v>3</v>
      </c>
      <c r="C1058" s="2">
        <f>COUNTIF(A$1:A1058,A1058)-1</f>
        <v>2</v>
      </c>
      <c r="D1058" s="2" t="e">
        <f>PERCENTRANK(#REF!,1,#REF!)</f>
        <v>#REF!</v>
      </c>
      <c r="E1058" s="2" t="b">
        <f>IFERROR(INDEX(ERROR(0),PERCENTRANK(#REF!,SET.NAME("_",+INDEX(1,)),#REF!)),RETURN(INDEX(TYPE(_),SET.NAME("_"))))</f>
        <v>0</v>
      </c>
      <c r="F1058" s="2" t="b">
        <f>IFERROR(INDEX(ERROR(0),PERCENTRANK(#REF!,INDIRECT(SET.NAME({1,"_"},)),#REF!)),RETURN(INDEX(TYPE(_),SET.NAME("_"))))</f>
        <v>0</v>
      </c>
      <c r="G1058" s="2">
        <f>TYPE(INDEX(,PERCENTRANK(#REF!,INDEX(1,),#REF!)))</f>
        <v>16</v>
      </c>
    </row>
    <row r="1059" spans="1:7" x14ac:dyDescent="0.55000000000000004">
      <c r="A1059" s="1" t="s">
        <v>1775</v>
      </c>
      <c r="B1059" s="2">
        <f>COUNTIF(A:A,A1059)-1</f>
        <v>3</v>
      </c>
      <c r="C1059" s="2">
        <f>COUNTIF(A$1:A1059,A1059)-1</f>
        <v>3</v>
      </c>
      <c r="D1059" s="2" t="e">
        <f>PERCENTRANK(#REF!,#REF!,1)</f>
        <v>#REF!</v>
      </c>
      <c r="E1059" s="2" t="b">
        <f>IFERROR(INDEX(ERROR(0),PERCENTRANK(#REF!,#REF!,SET.NAME("_",+INDEX(1,)))),RETURN(INDEX(TYPE(_),SET.NAME("_"))))</f>
        <v>0</v>
      </c>
      <c r="F1059" s="2" t="b">
        <f>IFERROR(INDEX(ERROR(0),PERCENTRANK(#REF!,#REF!,INDIRECT(SET.NAME({1,"_"},)))),RETURN(INDEX(TYPE(_),SET.NAME("_"))))</f>
        <v>0</v>
      </c>
      <c r="G1059" s="2">
        <f>TYPE(INDEX(,PERCENTRANK(#REF!,#REF!,INDEX(1,))))</f>
        <v>16</v>
      </c>
    </row>
    <row r="1060" spans="1:7" x14ac:dyDescent="0.55000000000000004">
      <c r="A1060" s="1" t="s">
        <v>1776</v>
      </c>
      <c r="B1060" s="2">
        <f>COUNTIF(A:A,A1060)-1</f>
        <v>3</v>
      </c>
      <c r="C1060" s="2">
        <f>COUNTIF(A$1:A1060,A1060)-1</f>
        <v>0</v>
      </c>
      <c r="D1060" s="2"/>
      <c r="E1060" s="2"/>
      <c r="F1060" s="2"/>
      <c r="G1060" s="2"/>
    </row>
    <row r="1061" spans="1:7" x14ac:dyDescent="0.55000000000000004">
      <c r="A1061" s="1" t="s">
        <v>1776</v>
      </c>
      <c r="B1061" s="2">
        <f>COUNTIF(A:A,A1061)-1</f>
        <v>3</v>
      </c>
      <c r="C1061" s="2">
        <f>COUNTIF(A$1:A1061,A1061)-1</f>
        <v>1</v>
      </c>
      <c r="D1061" s="2" t="e">
        <f>MODE(1,#REF!,#REF!)</f>
        <v>#REF!</v>
      </c>
      <c r="E1061" s="2" t="b">
        <f>IFERROR(INDEX(ERROR(0),MODE(SET.NAME("_",+INDEX(1,)),#REF!,#REF!)),RETURN(INDEX(TYPE(_),SET.NAME("_"))))</f>
        <v>0</v>
      </c>
      <c r="F1061" s="2" t="b">
        <f>IFERROR(INDEX(ERROR(0),MODE(INDIRECT(SET.NAME({1,"_"},)),#REF!,#REF!)),RETURN(INDEX(TYPE(_),SET.NAME("_"))))</f>
        <v>0</v>
      </c>
      <c r="G1061" s="2">
        <f>TYPE(INDEX(,MODE(INDEX(1,),#REF!,#REF!)))</f>
        <v>16</v>
      </c>
    </row>
    <row r="1062" spans="1:7" x14ac:dyDescent="0.55000000000000004">
      <c r="A1062" s="1" t="s">
        <v>1776</v>
      </c>
      <c r="B1062" s="2">
        <f>COUNTIF(A:A,A1062)-1</f>
        <v>3</v>
      </c>
      <c r="C1062" s="2">
        <f>COUNTIF(A$1:A1062,A1062)-1</f>
        <v>2</v>
      </c>
      <c r="D1062" s="2" t="e">
        <f>MODE(#REF!,1,#REF!)</f>
        <v>#REF!</v>
      </c>
      <c r="E1062" s="2" t="b">
        <f>IFERROR(INDEX(ERROR(0),MODE(#REF!,SET.NAME("_",+INDEX(1,)),#REF!)),RETURN(INDEX(TYPE(_),SET.NAME("_"))))</f>
        <v>0</v>
      </c>
      <c r="F1062" s="2" t="b">
        <f>IFERROR(INDEX(ERROR(0),MODE(#REF!,INDIRECT(SET.NAME({1,"_"},)),#REF!)),RETURN(INDEX(TYPE(_),SET.NAME("_"))))</f>
        <v>0</v>
      </c>
      <c r="G1062" s="2">
        <f>TYPE(INDEX(,MODE(#REF!,INDEX(1,),#REF!)))</f>
        <v>16</v>
      </c>
    </row>
    <row r="1063" spans="1:7" x14ac:dyDescent="0.55000000000000004">
      <c r="A1063" s="1" t="s">
        <v>1776</v>
      </c>
      <c r="B1063" s="2">
        <f>COUNTIF(A:A,A1063)-1</f>
        <v>3</v>
      </c>
      <c r="C1063" s="2">
        <f>COUNTIF(A$1:A1063,A1063)-1</f>
        <v>3</v>
      </c>
      <c r="D1063" s="2" t="e">
        <f>MODE(#REF!,#REF!,1)</f>
        <v>#REF!</v>
      </c>
      <c r="E1063" s="2" t="b">
        <f>IFERROR(INDEX(ERROR(0),MODE(#REF!,#REF!,SET.NAME("_",+INDEX(1,)))),RETURN(INDEX(TYPE(_),SET.NAME("_"))))</f>
        <v>0</v>
      </c>
      <c r="F1063" s="2" t="b">
        <f>IFERROR(INDEX(ERROR(0),MODE(#REF!,#REF!,INDIRECT(SET.NAME({1,"_"},)))),RETURN(INDEX(TYPE(_),SET.NAME("_"))))</f>
        <v>0</v>
      </c>
      <c r="G1063" s="2">
        <f>TYPE(INDEX(,MODE(#REF!,#REF!,INDEX(1,))))</f>
        <v>16</v>
      </c>
    </row>
    <row r="1064" spans="1:7" x14ac:dyDescent="0.55000000000000004">
      <c r="A1064" s="1" t="s">
        <v>1777</v>
      </c>
      <c r="B1064" s="2">
        <f>COUNTIF(A:A,A1064)-1</f>
        <v>2</v>
      </c>
      <c r="C1064" s="2">
        <f>COUNTIF(A$1:A1064,A1064)-1</f>
        <v>0</v>
      </c>
      <c r="D1064" s="2"/>
      <c r="E1064" s="2"/>
      <c r="F1064" s="2"/>
      <c r="G1064" s="2"/>
    </row>
    <row r="1065" spans="1:7" x14ac:dyDescent="0.55000000000000004">
      <c r="A1065" s="1" t="s">
        <v>1777</v>
      </c>
      <c r="B1065" s="2">
        <f>COUNTIF(A:A,A1065)-1</f>
        <v>2</v>
      </c>
      <c r="C1065" s="2">
        <f>COUNTIF(A$1:A1065,A1065)-1</f>
        <v>1</v>
      </c>
      <c r="D1065" s="2" t="e">
        <f>TRIMMEAN(1,#REF!)</f>
        <v>#REF!</v>
      </c>
      <c r="E1065" s="2" t="b">
        <f>IFERROR(INDEX(ERROR(0),TRIMMEAN(SET.NAME("_",+INDEX(1,)),#REF!)),RETURN(INDEX(TYPE(_),SET.NAME("_"))))</f>
        <v>0</v>
      </c>
      <c r="F1065" s="2" t="b">
        <f>IFERROR(INDEX(ERROR(0),TRIMMEAN(INDIRECT(SET.NAME({1,"_"},)),#REF!)),RETURN(INDEX(TYPE(_),SET.NAME("_"))))</f>
        <v>0</v>
      </c>
      <c r="G1065" s="2">
        <f>TYPE(INDEX(,TRIMMEAN(INDEX(1,),#REF!)))</f>
        <v>16</v>
      </c>
    </row>
    <row r="1066" spans="1:7" x14ac:dyDescent="0.55000000000000004">
      <c r="A1066" s="1" t="s">
        <v>1777</v>
      </c>
      <c r="B1066" s="2">
        <f>COUNTIF(A:A,A1066)-1</f>
        <v>2</v>
      </c>
      <c r="C1066" s="2">
        <f>COUNTIF(A$1:A1066,A1066)-1</f>
        <v>2</v>
      </c>
      <c r="D1066" s="2" t="e">
        <f>TRIMMEAN(#REF!,1)</f>
        <v>#REF!</v>
      </c>
      <c r="E1066" s="2" t="b">
        <f>IFERROR(INDEX(ERROR(0),TRIMMEAN(#REF!,SET.NAME("_",+INDEX(1,)))),RETURN(INDEX(TYPE(_),SET.NAME("_"))))</f>
        <v>0</v>
      </c>
      <c r="F1066" s="2" t="b">
        <f>IFERROR(INDEX(ERROR(0),TRIMMEAN(#REF!,INDIRECT(SET.NAME({1,"_"},)))),RETURN(INDEX(TYPE(_),SET.NAME("_"))))</f>
        <v>0</v>
      </c>
      <c r="G1066" s="2">
        <f>TYPE(INDEX(,TRIMMEAN(#REF!,INDEX(1,))))</f>
        <v>16</v>
      </c>
    </row>
    <row r="1067" spans="1:7" x14ac:dyDescent="0.55000000000000004">
      <c r="A1067" s="1" t="s">
        <v>1778</v>
      </c>
      <c r="B1067" s="2">
        <f>COUNTIF(A:A,A1067)-1</f>
        <v>2</v>
      </c>
      <c r="C1067" s="2">
        <f>COUNTIF(A$1:A1067,A1067)-1</f>
        <v>0</v>
      </c>
      <c r="D1067" s="2"/>
      <c r="E1067" s="2"/>
      <c r="F1067" s="2"/>
      <c r="G1067" s="2"/>
    </row>
    <row r="1068" spans="1:7" x14ac:dyDescent="0.55000000000000004">
      <c r="A1068" s="1" t="s">
        <v>1778</v>
      </c>
      <c r="B1068" s="2">
        <f>COUNTIF(A:A,A1068)-1</f>
        <v>2</v>
      </c>
      <c r="C1068" s="2">
        <f>COUNTIF(A$1:A1068,A1068)-1</f>
        <v>1</v>
      </c>
      <c r="D1068" s="2" t="e">
        <f>TINV(1,#REF!)</f>
        <v>#REF!</v>
      </c>
      <c r="E1068" s="2" t="b">
        <f>IFERROR(INDEX(ERROR(0),TINV(SET.NAME("_",+INDEX(1,)),#REF!)),RETURN(INDEX(TYPE(_),SET.NAME("_"))))</f>
        <v>0</v>
      </c>
      <c r="F1068" s="2" t="b">
        <f>IFERROR(INDEX(ERROR(0),TINV(INDIRECT(SET.NAME({1,"_"},)),#REF!)),RETURN(INDEX(TYPE(_),SET.NAME("_"))))</f>
        <v>0</v>
      </c>
      <c r="G1068" s="2">
        <f>TYPE(INDEX(,TINV(INDEX(1,),#REF!)))</f>
        <v>16</v>
      </c>
    </row>
    <row r="1069" spans="1:7" x14ac:dyDescent="0.55000000000000004">
      <c r="A1069" s="1" t="s">
        <v>1778</v>
      </c>
      <c r="B1069" s="2">
        <f>COUNTIF(A:A,A1069)-1</f>
        <v>2</v>
      </c>
      <c r="C1069" s="2">
        <f>COUNTIF(A$1:A1069,A1069)-1</f>
        <v>2</v>
      </c>
      <c r="D1069" s="2" t="e">
        <f>TINV(#REF!,1)</f>
        <v>#REF!</v>
      </c>
      <c r="E1069" s="2" t="b">
        <f>IFERROR(INDEX(ERROR(0),TINV(#REF!,SET.NAME("_",+INDEX(1,)))),RETURN(INDEX(TYPE(_),SET.NAME("_"))))</f>
        <v>0</v>
      </c>
      <c r="F1069" s="2" t="b">
        <f>IFERROR(INDEX(ERROR(0),TINV(#REF!,INDIRECT(SET.NAME({1,"_"},)))),RETURN(INDEX(TYPE(_),SET.NAME("_"))))</f>
        <v>0</v>
      </c>
      <c r="G1069" s="2">
        <f>TYPE(INDEX(,TINV(#REF!,INDEX(1,))))</f>
        <v>16</v>
      </c>
    </row>
    <row r="1070" spans="1:7" x14ac:dyDescent="0.55000000000000004">
      <c r="A1070" s="1" t="s">
        <v>1779</v>
      </c>
      <c r="B1070" s="2">
        <f>COUNTIF(A:A,A1070)-1</f>
        <v>4</v>
      </c>
      <c r="C1070" s="2">
        <f>COUNTIF(A$1:A1070,A1070)-1</f>
        <v>0</v>
      </c>
      <c r="D1070" s="2"/>
      <c r="E1070" s="2"/>
      <c r="F1070" s="2"/>
      <c r="G1070" s="2"/>
    </row>
    <row r="1071" spans="1:7" x14ac:dyDescent="0.55000000000000004">
      <c r="A1071" s="1" t="s">
        <v>1779</v>
      </c>
      <c r="B1071" s="2">
        <f>COUNTIF(A:A,A1071)-1</f>
        <v>4</v>
      </c>
      <c r="C1071" s="2">
        <f>COUNTIF(A$1:A1071,A1071)-1</f>
        <v>1</v>
      </c>
      <c r="D1071" s="2" t="e">
        <f>MOVIE.COMMAND(1,#REF!,#REF!,#REF!)</f>
        <v>#REF!</v>
      </c>
      <c r="E1071" s="2" t="b">
        <f>IFERROR(INDEX(ERROR(0),MOVIE.COMMAND(SET.NAME("_",+INDEX(1,)),#REF!,#REF!,#REF!)),RETURN(INDEX(TYPE(_),SET.NAME("_"))))</f>
        <v>0</v>
      </c>
      <c r="F1071" s="2" t="b">
        <f>IFERROR(INDEX(ERROR(0),MOVIE.COMMAND(INDIRECT(SET.NAME({1,"_"},)),#REF!,#REF!,#REF!)),RETURN(INDEX(TYPE(_),SET.NAME("_"))))</f>
        <v>0</v>
      </c>
      <c r="G1071" s="2">
        <f>TYPE(INDEX(,MOVIE.COMMAND(INDEX(1,),#REF!,#REF!,#REF!)))</f>
        <v>16</v>
      </c>
    </row>
    <row r="1072" spans="1:7" x14ac:dyDescent="0.55000000000000004">
      <c r="A1072" s="1" t="s">
        <v>1779</v>
      </c>
      <c r="B1072" s="2">
        <f>COUNTIF(A:A,A1072)-1</f>
        <v>4</v>
      </c>
      <c r="C1072" s="2">
        <f>COUNTIF(A$1:A1072,A1072)-1</f>
        <v>2</v>
      </c>
      <c r="D1072" s="2" t="e">
        <f>MOVIE.COMMAND(#REF!,1,#REF!,#REF!)</f>
        <v>#REF!</v>
      </c>
      <c r="E1072" s="2" t="b">
        <f>IFERROR(INDEX(ERROR(0),MOVIE.COMMAND(#REF!,SET.NAME("_",+INDEX(1,)),#REF!,#REF!)),RETURN(INDEX(TYPE(_),SET.NAME("_"))))</f>
        <v>0</v>
      </c>
      <c r="F1072" s="2" t="b">
        <f>IFERROR(INDEX(ERROR(0),MOVIE.COMMAND(#REF!,INDIRECT(SET.NAME({1,"_"},)),#REF!,#REF!)),RETURN(INDEX(TYPE(_),SET.NAME("_"))))</f>
        <v>0</v>
      </c>
      <c r="G1072" s="2">
        <f>TYPE(INDEX(,MOVIE.COMMAND(#REF!,INDEX(1,),#REF!,#REF!)))</f>
        <v>16</v>
      </c>
    </row>
    <row r="1073" spans="1:7" x14ac:dyDescent="0.55000000000000004">
      <c r="A1073" s="1" t="s">
        <v>1779</v>
      </c>
      <c r="B1073" s="2">
        <f>COUNTIF(A:A,A1073)-1</f>
        <v>4</v>
      </c>
      <c r="C1073" s="2">
        <f>COUNTIF(A$1:A1073,A1073)-1</f>
        <v>3</v>
      </c>
      <c r="D1073" s="2" t="e">
        <f>MOVIE.COMMAND(#REF!,#REF!,1,#REF!)</f>
        <v>#REF!</v>
      </c>
      <c r="E1073" s="2" t="b">
        <f>IFERROR(INDEX(ERROR(0),MOVIE.COMMAND(#REF!,#REF!,SET.NAME("_",+INDEX(1,)),#REF!)),RETURN(INDEX(TYPE(_),SET.NAME("_"))))</f>
        <v>0</v>
      </c>
      <c r="F1073" s="2" t="b">
        <f>IFERROR(INDEX(ERROR(0),MOVIE.COMMAND(#REF!,#REF!,INDIRECT(SET.NAME({1,"_"},)),#REF!)),RETURN(INDEX(TYPE(_),SET.NAME("_"))))</f>
        <v>0</v>
      </c>
      <c r="G1073" s="2">
        <f>TYPE(INDEX(,MOVIE.COMMAND(#REF!,#REF!,INDEX(1,),#REF!)))</f>
        <v>16</v>
      </c>
    </row>
    <row r="1074" spans="1:7" x14ac:dyDescent="0.55000000000000004">
      <c r="A1074" s="1" t="s">
        <v>1779</v>
      </c>
      <c r="B1074" s="2">
        <f>COUNTIF(A:A,A1074)-1</f>
        <v>4</v>
      </c>
      <c r="C1074" s="2">
        <f>COUNTIF(A$1:A1074,A1074)-1</f>
        <v>4</v>
      </c>
      <c r="D1074" s="2" t="e">
        <f>MOVIE.COMMAND(#REF!,#REF!,#REF!,1)</f>
        <v>#REF!</v>
      </c>
      <c r="E1074" s="2" t="b">
        <f>IFERROR(INDEX(ERROR(0),MOVIE.COMMAND(#REF!,#REF!,#REF!,SET.NAME("_",+INDEX(1,)))),RETURN(INDEX(TYPE(_),SET.NAME("_"))))</f>
        <v>0</v>
      </c>
      <c r="F1074" s="2" t="b">
        <f>IFERROR(INDEX(ERROR(0),MOVIE.COMMAND(#REF!,#REF!,#REF!,INDIRECT(SET.NAME({1,"_"},)))),RETURN(INDEX(TYPE(_),SET.NAME("_"))))</f>
        <v>0</v>
      </c>
      <c r="G1074" s="2">
        <f>TYPE(INDEX(,MOVIE.COMMAND(#REF!,#REF!,#REF!,INDEX(1,))))</f>
        <v>16</v>
      </c>
    </row>
    <row r="1075" spans="1:7" x14ac:dyDescent="0.55000000000000004">
      <c r="A1075" s="1" t="s">
        <v>1780</v>
      </c>
      <c r="B1075" s="2">
        <f>COUNTIF(A:A,A1075)-1</f>
        <v>3</v>
      </c>
      <c r="C1075" s="2">
        <f>COUNTIF(A$1:A1075,A1075)-1</f>
        <v>0</v>
      </c>
      <c r="D1075" s="2"/>
      <c r="E1075" s="2"/>
      <c r="F1075" s="2"/>
      <c r="G1075" s="2"/>
    </row>
    <row r="1076" spans="1:7" x14ac:dyDescent="0.55000000000000004">
      <c r="A1076" s="1" t="s">
        <v>1780</v>
      </c>
      <c r="B1076" s="2">
        <f>COUNTIF(A:A,A1076)-1</f>
        <v>3</v>
      </c>
      <c r="C1076" s="2">
        <f>COUNTIF(A$1:A1076,A1076)-1</f>
        <v>1</v>
      </c>
      <c r="D1076" s="2" t="e">
        <f>GET.MOVIE(1,#REF!,#REF!)</f>
        <v>#REF!</v>
      </c>
      <c r="E1076" s="2" t="b">
        <f>IFERROR(INDEX(ERROR(0),GET.MOVIE(SET.NAME("_",+INDEX(1,)),#REF!,#REF!)),RETURN(INDEX(TYPE(_),SET.NAME("_"))))</f>
        <v>0</v>
      </c>
      <c r="F1076" s="2" t="b">
        <f>IFERROR(INDEX(ERROR(0),GET.MOVIE(INDIRECT(SET.NAME({1,"_"},)),#REF!,#REF!)),RETURN(INDEX(TYPE(_),SET.NAME("_"))))</f>
        <v>0</v>
      </c>
      <c r="G1076" s="2">
        <f>TYPE(INDEX(,GET.MOVIE(INDEX(1,),#REF!,#REF!)))</f>
        <v>16</v>
      </c>
    </row>
    <row r="1077" spans="1:7" x14ac:dyDescent="0.55000000000000004">
      <c r="A1077" s="1" t="s">
        <v>1780</v>
      </c>
      <c r="B1077" s="2">
        <f>COUNTIF(A:A,A1077)-1</f>
        <v>3</v>
      </c>
      <c r="C1077" s="2">
        <f>COUNTIF(A$1:A1077,A1077)-1</f>
        <v>2</v>
      </c>
      <c r="D1077" s="2" t="e">
        <f>GET.MOVIE(#REF!,1,#REF!)</f>
        <v>#REF!</v>
      </c>
      <c r="E1077" s="2" t="b">
        <f>IFERROR(INDEX(ERROR(0),GET.MOVIE(#REF!,SET.NAME("_",+INDEX(1,)),#REF!)),RETURN(INDEX(TYPE(_),SET.NAME("_"))))</f>
        <v>0</v>
      </c>
      <c r="F1077" s="2" t="b">
        <f>IFERROR(INDEX(ERROR(0),GET.MOVIE(#REF!,INDIRECT(SET.NAME({1,"_"},)),#REF!)),RETURN(INDEX(TYPE(_),SET.NAME("_"))))</f>
        <v>0</v>
      </c>
      <c r="G1077" s="2">
        <f>TYPE(INDEX(,GET.MOVIE(#REF!,INDEX(1,),#REF!)))</f>
        <v>16</v>
      </c>
    </row>
    <row r="1078" spans="1:7" x14ac:dyDescent="0.55000000000000004">
      <c r="A1078" s="1" t="s">
        <v>1780</v>
      </c>
      <c r="B1078" s="2">
        <f>COUNTIF(A:A,A1078)-1</f>
        <v>3</v>
      </c>
      <c r="C1078" s="2">
        <f>COUNTIF(A$1:A1078,A1078)-1</f>
        <v>3</v>
      </c>
      <c r="D1078" s="2" t="e">
        <f>GET.MOVIE(#REF!,#REF!,1)</f>
        <v>#REF!</v>
      </c>
      <c r="E1078" s="2" t="b">
        <f>IFERROR(INDEX(ERROR(0),GET.MOVIE(#REF!,#REF!,SET.NAME("_",+INDEX(1,)))),RETURN(INDEX(TYPE(_),SET.NAME("_"))))</f>
        <v>0</v>
      </c>
      <c r="F1078" s="2" t="b">
        <f>IFERROR(INDEX(ERROR(0),GET.MOVIE(#REF!,#REF!,INDIRECT(SET.NAME({1,"_"},)))),RETURN(INDEX(TYPE(_),SET.NAME("_"))))</f>
        <v>0</v>
      </c>
      <c r="G1078" s="2">
        <f>TYPE(INDEX(,GET.MOVIE(#REF!,#REF!,INDEX(1,))))</f>
        <v>16</v>
      </c>
    </row>
    <row r="1079" spans="1:7" x14ac:dyDescent="0.55000000000000004">
      <c r="A1079" s="1" t="s">
        <v>1781</v>
      </c>
      <c r="B1079" s="2">
        <f>COUNTIF(A:A,A1079)-1</f>
        <v>3</v>
      </c>
      <c r="C1079" s="2">
        <f>COUNTIF(A$1:A1079,A1079)-1</f>
        <v>0</v>
      </c>
      <c r="D1079" s="2"/>
      <c r="E1079" s="2"/>
      <c r="F1079" s="2"/>
      <c r="G1079" s="2"/>
    </row>
    <row r="1080" spans="1:7" x14ac:dyDescent="0.55000000000000004">
      <c r="A1080" s="1" t="s">
        <v>1781</v>
      </c>
      <c r="B1080" s="2">
        <f>COUNTIF(A:A,A1080)-1</f>
        <v>3</v>
      </c>
      <c r="C1080" s="2">
        <f>COUNTIF(A$1:A1080,A1080)-1</f>
        <v>1</v>
      </c>
      <c r="D1080" s="2" t="e">
        <f>CONCATENATE(1,#REF!,#REF!)</f>
        <v>#REF!</v>
      </c>
      <c r="E1080" s="2" t="b">
        <f>IFERROR(INDEX(ERROR(0),CONCATENATE(SET.NAME("_",+INDEX(1,)),#REF!,#REF!)),RETURN(INDEX(TYPE(_),SET.NAME("_"))))</f>
        <v>0</v>
      </c>
      <c r="F1080" s="2" t="b">
        <f>IFERROR(INDEX(ERROR(0),CONCATENATE(INDIRECT(SET.NAME({1,"_"},)),#REF!,#REF!)),RETURN(INDEX(TYPE(_),SET.NAME("_"))))</f>
        <v>0</v>
      </c>
      <c r="G1080" s="2">
        <f>TYPE(INDEX(,CONCATENATE(INDEX(1,),#REF!,#REF!)))</f>
        <v>16</v>
      </c>
    </row>
    <row r="1081" spans="1:7" x14ac:dyDescent="0.55000000000000004">
      <c r="A1081" s="1" t="s">
        <v>1781</v>
      </c>
      <c r="B1081" s="2">
        <f>COUNTIF(A:A,A1081)-1</f>
        <v>3</v>
      </c>
      <c r="C1081" s="2">
        <f>COUNTIF(A$1:A1081,A1081)-1</f>
        <v>2</v>
      </c>
      <c r="D1081" s="2" t="e">
        <f>CONCATENATE(#REF!,1,#REF!)</f>
        <v>#REF!</v>
      </c>
      <c r="E1081" s="2" t="b">
        <f>IFERROR(INDEX(ERROR(0),CONCATENATE(#REF!,SET.NAME("_",+INDEX(1,)),#REF!)),RETURN(INDEX(TYPE(_),SET.NAME("_"))))</f>
        <v>0</v>
      </c>
      <c r="F1081" s="2" t="b">
        <f>IFERROR(INDEX(ERROR(0),CONCATENATE(#REF!,INDIRECT(SET.NAME({1,"_"},)),#REF!)),RETURN(INDEX(TYPE(_),SET.NAME("_"))))</f>
        <v>0</v>
      </c>
      <c r="G1081" s="2">
        <f>TYPE(INDEX(,CONCATENATE(#REF!,INDEX(1,),#REF!)))</f>
        <v>16</v>
      </c>
    </row>
    <row r="1082" spans="1:7" x14ac:dyDescent="0.55000000000000004">
      <c r="A1082" s="1" t="s">
        <v>1781</v>
      </c>
      <c r="B1082" s="2">
        <f>COUNTIF(A:A,A1082)-1</f>
        <v>3</v>
      </c>
      <c r="C1082" s="2">
        <f>COUNTIF(A$1:A1082,A1082)-1</f>
        <v>3</v>
      </c>
      <c r="D1082" s="2" t="e">
        <f>CONCATENATE(#REF!,#REF!,1)</f>
        <v>#REF!</v>
      </c>
      <c r="E1082" s="2" t="b">
        <f>IFERROR(INDEX(ERROR(0),CONCATENATE(#REF!,#REF!,SET.NAME("_",+INDEX(1,)))),RETURN(INDEX(TYPE(_),SET.NAME("_"))))</f>
        <v>0</v>
      </c>
      <c r="F1082" s="2" t="b">
        <f>IFERROR(INDEX(ERROR(0),CONCATENATE(#REF!,#REF!,INDIRECT(SET.NAME({1,"_"},)))),RETURN(INDEX(TYPE(_),SET.NAME("_"))))</f>
        <v>0</v>
      </c>
      <c r="G1082" s="2">
        <f>TYPE(INDEX(,CONCATENATE(#REF!,#REF!,INDEX(1,))))</f>
        <v>16</v>
      </c>
    </row>
    <row r="1083" spans="1:7" x14ac:dyDescent="0.55000000000000004">
      <c r="A1083" s="1" t="s">
        <v>1782</v>
      </c>
      <c r="B1083" s="2">
        <f>COUNTIF(A:A,A1083)-1</f>
        <v>2</v>
      </c>
      <c r="C1083" s="2">
        <f>COUNTIF(A$1:A1083,A1083)-1</f>
        <v>0</v>
      </c>
      <c r="D1083" s="2"/>
      <c r="E1083" s="2"/>
      <c r="F1083" s="2"/>
      <c r="G1083" s="2"/>
    </row>
    <row r="1084" spans="1:7" x14ac:dyDescent="0.55000000000000004">
      <c r="A1084" s="1" t="s">
        <v>1782</v>
      </c>
      <c r="B1084" s="2">
        <f>COUNTIF(A:A,A1084)-1</f>
        <v>2</v>
      </c>
      <c r="C1084" s="2">
        <f>COUNTIF(A$1:A1084,A1084)-1</f>
        <v>1</v>
      </c>
      <c r="D1084" s="2" t="e">
        <f>POWER(1,#REF!)</f>
        <v>#REF!</v>
      </c>
      <c r="E1084" s="2" t="b">
        <f>IFERROR(INDEX(ERROR(0),POWER(SET.NAME("_",+INDEX(1,)),#REF!)),RETURN(INDEX(TYPE(_),SET.NAME("_"))))</f>
        <v>0</v>
      </c>
      <c r="F1084" s="2" t="b">
        <f>IFERROR(INDEX(ERROR(0),POWER(INDIRECT(SET.NAME({1,"_"},)),#REF!)),RETURN(INDEX(TYPE(_),SET.NAME("_"))))</f>
        <v>0</v>
      </c>
      <c r="G1084" s="2">
        <f>TYPE(INDEX(,POWER(INDEX(1,),#REF!)))</f>
        <v>16</v>
      </c>
    </row>
    <row r="1085" spans="1:7" x14ac:dyDescent="0.55000000000000004">
      <c r="A1085" s="1" t="s">
        <v>1782</v>
      </c>
      <c r="B1085" s="2">
        <f>COUNTIF(A:A,A1085)-1</f>
        <v>2</v>
      </c>
      <c r="C1085" s="2">
        <f>COUNTIF(A$1:A1085,A1085)-1</f>
        <v>2</v>
      </c>
      <c r="D1085" s="2" t="e">
        <f>POWER(#REF!,1)</f>
        <v>#REF!</v>
      </c>
      <c r="E1085" s="2" t="b">
        <f>IFERROR(INDEX(ERROR(0),POWER(#REF!,SET.NAME("_",+INDEX(1,)))),RETURN(INDEX(TYPE(_),SET.NAME("_"))))</f>
        <v>0</v>
      </c>
      <c r="F1085" s="2" t="b">
        <f>IFERROR(INDEX(ERROR(0),POWER(#REF!,INDIRECT(SET.NAME({1,"_"},)))),RETURN(INDEX(TYPE(_),SET.NAME("_"))))</f>
        <v>0</v>
      </c>
      <c r="G1085" s="2">
        <f>TYPE(INDEX(,POWER(#REF!,INDEX(1,))))</f>
        <v>16</v>
      </c>
    </row>
    <row r="1086" spans="1:7" x14ac:dyDescent="0.55000000000000004">
      <c r="A1086" s="1" t="s">
        <v>1783</v>
      </c>
      <c r="B1086" s="2">
        <f>COUNTIF(A:A,A1086)-1</f>
        <v>9</v>
      </c>
      <c r="C1086" s="2">
        <f>COUNTIF(A$1:A1086,A1086)-1</f>
        <v>0</v>
      </c>
      <c r="D1086" s="2"/>
      <c r="E1086" s="2"/>
      <c r="F1086" s="2"/>
      <c r="G1086" s="2"/>
    </row>
    <row r="1087" spans="1:7" x14ac:dyDescent="0.55000000000000004">
      <c r="A1087" s="1" t="s">
        <v>1783</v>
      </c>
      <c r="B1087" s="2">
        <f>COUNTIF(A:A,A1087)-1</f>
        <v>9</v>
      </c>
      <c r="C1087" s="2">
        <f>COUNTIF(A$1:A1087,A1087)-1</f>
        <v>1</v>
      </c>
      <c r="D1087" s="2" t="e">
        <f>PIVOT.ADD.DATA(1,#REF!,#REF!,#REF!,#REF!,#REF!,#REF!,#REF!,#REF!)</f>
        <v>#REF!</v>
      </c>
      <c r="E1087" s="2" t="b">
        <f>IFERROR(INDEX(ERROR(0),PIVOT.ADD.DATA(SET.NAME("_",+INDEX(1,)),#REF!,#REF!,#REF!,#REF!,#REF!,#REF!,#REF!,#REF!)),RETURN(INDEX(TYPE(_),SET.NAME("_"))))</f>
        <v>0</v>
      </c>
      <c r="F1087" s="2" t="b">
        <f>IFERROR(INDEX(ERROR(0),PIVOT.ADD.DATA(INDIRECT(SET.NAME({1,"_"},)),#REF!,#REF!,#REF!,#REF!,#REF!,#REF!,#REF!,#REF!)),RETURN(INDEX(TYPE(_),SET.NAME("_"))))</f>
        <v>0</v>
      </c>
      <c r="G1087" s="2">
        <f>TYPE(INDEX(,PIVOT.ADD.DATA(INDEX(1,),#REF!,#REF!,#REF!,#REF!,#REF!,#REF!,#REF!,#REF!)))</f>
        <v>16</v>
      </c>
    </row>
    <row r="1088" spans="1:7" x14ac:dyDescent="0.55000000000000004">
      <c r="A1088" s="1" t="s">
        <v>1783</v>
      </c>
      <c r="B1088" s="2">
        <f>COUNTIF(A:A,A1088)-1</f>
        <v>9</v>
      </c>
      <c r="C1088" s="2">
        <f>COUNTIF(A$1:A1088,A1088)-1</f>
        <v>2</v>
      </c>
      <c r="D1088" s="2" t="e">
        <f>PIVOT.ADD.DATA(#REF!,1,#REF!,#REF!,#REF!,#REF!,#REF!,#REF!,#REF!)</f>
        <v>#REF!</v>
      </c>
      <c r="E1088" s="2" t="b">
        <f>IFERROR(INDEX(ERROR(0),PIVOT.ADD.DATA(#REF!,SET.NAME("_",+INDEX(1,)),#REF!,#REF!,#REF!,#REF!,#REF!,#REF!,#REF!)),RETURN(INDEX(TYPE(_),SET.NAME("_"))))</f>
        <v>0</v>
      </c>
      <c r="F1088" s="2" t="b">
        <f>IFERROR(INDEX(ERROR(0),PIVOT.ADD.DATA(#REF!,INDIRECT(SET.NAME({1,"_"},)),#REF!,#REF!,#REF!,#REF!,#REF!,#REF!,#REF!)),RETURN(INDEX(TYPE(_),SET.NAME("_"))))</f>
        <v>0</v>
      </c>
      <c r="G1088" s="2">
        <f>TYPE(INDEX(,PIVOT.ADD.DATA(#REF!,INDEX(1,),#REF!,#REF!,#REF!,#REF!,#REF!,#REF!,#REF!)))</f>
        <v>16</v>
      </c>
    </row>
    <row r="1089" spans="1:7" x14ac:dyDescent="0.55000000000000004">
      <c r="A1089" s="1" t="s">
        <v>1783</v>
      </c>
      <c r="B1089" s="2">
        <f>COUNTIF(A:A,A1089)-1</f>
        <v>9</v>
      </c>
      <c r="C1089" s="2">
        <f>COUNTIF(A$1:A1089,A1089)-1</f>
        <v>3</v>
      </c>
      <c r="D1089" s="2" t="e">
        <f>PIVOT.ADD.DATA(#REF!,#REF!,1,#REF!,#REF!,#REF!,#REF!,#REF!,#REF!)</f>
        <v>#REF!</v>
      </c>
      <c r="E1089" s="2" t="b">
        <f>IFERROR(INDEX(ERROR(0),PIVOT.ADD.DATA(#REF!,#REF!,SET.NAME("_",+INDEX(1,)),#REF!,#REF!,#REF!,#REF!,#REF!,#REF!)),RETURN(INDEX(TYPE(_),SET.NAME("_"))))</f>
        <v>0</v>
      </c>
      <c r="F1089" s="2" t="b">
        <f>IFERROR(INDEX(ERROR(0),PIVOT.ADD.DATA(#REF!,#REF!,INDIRECT(SET.NAME({1,"_"},)),#REF!,#REF!,#REF!,#REF!,#REF!,#REF!)),RETURN(INDEX(TYPE(_),SET.NAME("_"))))</f>
        <v>0</v>
      </c>
      <c r="G1089" s="2">
        <f>TYPE(INDEX(,PIVOT.ADD.DATA(#REF!,#REF!,INDEX(1,),#REF!,#REF!,#REF!,#REF!,#REF!,#REF!)))</f>
        <v>16</v>
      </c>
    </row>
    <row r="1090" spans="1:7" x14ac:dyDescent="0.55000000000000004">
      <c r="A1090" s="1" t="s">
        <v>1783</v>
      </c>
      <c r="B1090" s="2">
        <f>COUNTIF(A:A,A1090)-1</f>
        <v>9</v>
      </c>
      <c r="C1090" s="2">
        <f>COUNTIF(A$1:A1090,A1090)-1</f>
        <v>4</v>
      </c>
      <c r="D1090" s="2" t="e">
        <f>PIVOT.ADD.DATA(#REF!,#REF!,#REF!,1,#REF!,#REF!,#REF!,#REF!,#REF!)</f>
        <v>#REF!</v>
      </c>
      <c r="E1090" s="2" t="b">
        <f>IFERROR(INDEX(ERROR(0),PIVOT.ADD.DATA(#REF!,#REF!,#REF!,SET.NAME("_",+INDEX(1,)),#REF!,#REF!,#REF!,#REF!,#REF!)),RETURN(INDEX(TYPE(_),SET.NAME("_"))))</f>
        <v>0</v>
      </c>
      <c r="F1090" s="2" t="b">
        <f>IFERROR(INDEX(ERROR(0),PIVOT.ADD.DATA(#REF!,#REF!,#REF!,INDIRECT(SET.NAME({1,"_"},)),#REF!,#REF!,#REF!,#REF!,#REF!)),RETURN(INDEX(TYPE(_),SET.NAME("_"))))</f>
        <v>0</v>
      </c>
      <c r="G1090" s="2">
        <f>TYPE(INDEX(,PIVOT.ADD.DATA(#REF!,#REF!,#REF!,INDEX(1,),#REF!,#REF!,#REF!,#REF!,#REF!)))</f>
        <v>16</v>
      </c>
    </row>
    <row r="1091" spans="1:7" x14ac:dyDescent="0.55000000000000004">
      <c r="A1091" s="1" t="s">
        <v>1783</v>
      </c>
      <c r="B1091" s="2">
        <f>COUNTIF(A:A,A1091)-1</f>
        <v>9</v>
      </c>
      <c r="C1091" s="2">
        <f>COUNTIF(A$1:A1091,A1091)-1</f>
        <v>5</v>
      </c>
      <c r="D1091" s="2" t="e">
        <f>PIVOT.ADD.DATA(#REF!,#REF!,#REF!,#REF!,1,#REF!,#REF!,#REF!,#REF!)</f>
        <v>#REF!</v>
      </c>
      <c r="E1091" s="2" t="b">
        <f>IFERROR(INDEX(ERROR(0),PIVOT.ADD.DATA(#REF!,#REF!,#REF!,#REF!,SET.NAME("_",+INDEX(1,)),#REF!,#REF!,#REF!,#REF!)),RETURN(INDEX(TYPE(_),SET.NAME("_"))))</f>
        <v>0</v>
      </c>
      <c r="F1091" s="2" t="b">
        <f>IFERROR(INDEX(ERROR(0),PIVOT.ADD.DATA(#REF!,#REF!,#REF!,#REF!,INDIRECT(SET.NAME({1,"_"},)),#REF!,#REF!,#REF!,#REF!)),RETURN(INDEX(TYPE(_),SET.NAME("_"))))</f>
        <v>0</v>
      </c>
      <c r="G1091" s="2">
        <f>TYPE(INDEX(,PIVOT.ADD.DATA(#REF!,#REF!,#REF!,#REF!,INDEX(1,),#REF!,#REF!,#REF!,#REF!)))</f>
        <v>16</v>
      </c>
    </row>
    <row r="1092" spans="1:7" x14ac:dyDescent="0.55000000000000004">
      <c r="A1092" s="1" t="s">
        <v>1783</v>
      </c>
      <c r="B1092" s="2">
        <f>COUNTIF(A:A,A1092)-1</f>
        <v>9</v>
      </c>
      <c r="C1092" s="2">
        <f>COUNTIF(A$1:A1092,A1092)-1</f>
        <v>6</v>
      </c>
      <c r="D1092" s="2" t="e">
        <f>PIVOT.ADD.DATA(#REF!,#REF!,#REF!,#REF!,#REF!,1,#REF!,#REF!,#REF!)</f>
        <v>#REF!</v>
      </c>
      <c r="E1092" s="2" t="b">
        <f>IFERROR(INDEX(ERROR(0),PIVOT.ADD.DATA(#REF!,#REF!,#REF!,#REF!,#REF!,SET.NAME("_",+INDEX(1,)),#REF!,#REF!,#REF!)),RETURN(INDEX(TYPE(_),SET.NAME("_"))))</f>
        <v>0</v>
      </c>
      <c r="F1092" s="2" t="b">
        <f>IFERROR(INDEX(ERROR(0),PIVOT.ADD.DATA(#REF!,#REF!,#REF!,#REF!,#REF!,INDIRECT(SET.NAME({1,"_"},)),#REF!,#REF!,#REF!)),RETURN(INDEX(TYPE(_),SET.NAME("_"))))</f>
        <v>0</v>
      </c>
      <c r="G1092" s="2">
        <f>TYPE(INDEX(,PIVOT.ADD.DATA(#REF!,#REF!,#REF!,#REF!,#REF!,INDEX(1,),#REF!,#REF!,#REF!)))</f>
        <v>16</v>
      </c>
    </row>
    <row r="1093" spans="1:7" x14ac:dyDescent="0.55000000000000004">
      <c r="A1093" s="1" t="s">
        <v>1783</v>
      </c>
      <c r="B1093" s="2">
        <f>COUNTIF(A:A,A1093)-1</f>
        <v>9</v>
      </c>
      <c r="C1093" s="2">
        <f>COUNTIF(A$1:A1093,A1093)-1</f>
        <v>7</v>
      </c>
      <c r="D1093" s="2" t="e">
        <f>PIVOT.ADD.DATA(#REF!,#REF!,#REF!,#REF!,#REF!,#REF!,1,#REF!,#REF!)</f>
        <v>#REF!</v>
      </c>
      <c r="E1093" s="2" t="b">
        <f>IFERROR(INDEX(ERROR(0),PIVOT.ADD.DATA(#REF!,#REF!,#REF!,#REF!,#REF!,#REF!,SET.NAME("_",+INDEX(1,)),#REF!,#REF!)),RETURN(INDEX(TYPE(_),SET.NAME("_"))))</f>
        <v>0</v>
      </c>
      <c r="F1093" s="2" t="b">
        <f>IFERROR(INDEX(ERROR(0),PIVOT.ADD.DATA(#REF!,#REF!,#REF!,#REF!,#REF!,#REF!,INDIRECT(SET.NAME({1,"_"},)),#REF!,#REF!)),RETURN(INDEX(TYPE(_),SET.NAME("_"))))</f>
        <v>0</v>
      </c>
      <c r="G1093" s="2">
        <f>TYPE(INDEX(,PIVOT.ADD.DATA(#REF!,#REF!,#REF!,#REF!,#REF!,#REF!,INDEX(1,),#REF!,#REF!)))</f>
        <v>16</v>
      </c>
    </row>
    <row r="1094" spans="1:7" x14ac:dyDescent="0.55000000000000004">
      <c r="A1094" s="1" t="s">
        <v>1783</v>
      </c>
      <c r="B1094" s="2">
        <f>COUNTIF(A:A,A1094)-1</f>
        <v>9</v>
      </c>
      <c r="C1094" s="2">
        <f>COUNTIF(A$1:A1094,A1094)-1</f>
        <v>8</v>
      </c>
      <c r="D1094" s="2" t="e">
        <f>PIVOT.ADD.DATA(#REF!,#REF!,#REF!,#REF!,#REF!,#REF!,#REF!,1,#REF!)</f>
        <v>#REF!</v>
      </c>
      <c r="E1094" s="2" t="b">
        <f>IFERROR(INDEX(ERROR(0),PIVOT.ADD.DATA(#REF!,#REF!,#REF!,#REF!,#REF!,#REF!,#REF!,SET.NAME("_",+INDEX(1,)),#REF!)),RETURN(INDEX(TYPE(_),SET.NAME("_"))))</f>
        <v>0</v>
      </c>
      <c r="F1094" s="2" t="b">
        <f>IFERROR(INDEX(ERROR(0),PIVOT.ADD.DATA(#REF!,#REF!,#REF!,#REF!,#REF!,#REF!,#REF!,INDIRECT(SET.NAME({1,"_"},)),#REF!)),RETURN(INDEX(TYPE(_),SET.NAME("_"))))</f>
        <v>0</v>
      </c>
      <c r="G1094" s="2">
        <f>TYPE(INDEX(,PIVOT.ADD.DATA(#REF!,#REF!,#REF!,#REF!,#REF!,#REF!,#REF!,INDEX(1,),#REF!)))</f>
        <v>16</v>
      </c>
    </row>
    <row r="1095" spans="1:7" x14ac:dyDescent="0.55000000000000004">
      <c r="A1095" s="1" t="s">
        <v>1783</v>
      </c>
      <c r="B1095" s="2">
        <f>COUNTIF(A:A,A1095)-1</f>
        <v>9</v>
      </c>
      <c r="C1095" s="2">
        <f>COUNTIF(A$1:A1095,A1095)-1</f>
        <v>9</v>
      </c>
      <c r="D1095" s="2" t="e">
        <f>PIVOT.ADD.DATA(#REF!,#REF!,#REF!,#REF!,#REF!,#REF!,#REF!,#REF!,1)</f>
        <v>#REF!</v>
      </c>
      <c r="E1095" s="2" t="b">
        <f>IFERROR(INDEX(ERROR(0),PIVOT.ADD.DATA(#REF!,#REF!,#REF!,#REF!,#REF!,#REF!,#REF!,#REF!,SET.NAME("_",+INDEX(1,)))),RETURN(INDEX(TYPE(_),SET.NAME("_"))))</f>
        <v>0</v>
      </c>
      <c r="F1095" s="2" t="b">
        <f>IFERROR(INDEX(ERROR(0),PIVOT.ADD.DATA(#REF!,#REF!,#REF!,#REF!,#REF!,#REF!,#REF!,#REF!,INDIRECT(SET.NAME({1,"_"},)))),RETURN(INDEX(TYPE(_),SET.NAME("_"))))</f>
        <v>0</v>
      </c>
      <c r="G1095" s="2">
        <f>TYPE(INDEX(,PIVOT.ADD.DATA(#REF!,#REF!,#REF!,#REF!,#REF!,#REF!,#REF!,#REF!,INDEX(1,))))</f>
        <v>16</v>
      </c>
    </row>
    <row r="1096" spans="1:7" x14ac:dyDescent="0.55000000000000004">
      <c r="A1096" s="1" t="s">
        <v>1784</v>
      </c>
      <c r="B1096" s="2">
        <f>COUNTIF(A:A,A1096)-1</f>
        <v>2</v>
      </c>
      <c r="C1096" s="2">
        <f>COUNTIF(A$1:A1096,A1096)-1</f>
        <v>0</v>
      </c>
      <c r="D1096" s="2"/>
      <c r="E1096" s="2"/>
      <c r="F1096" s="2"/>
      <c r="G1096" s="2"/>
    </row>
    <row r="1097" spans="1:7" x14ac:dyDescent="0.55000000000000004">
      <c r="A1097" s="1" t="s">
        <v>1784</v>
      </c>
      <c r="B1097" s="2">
        <f>COUNTIF(A:A,A1097)-1</f>
        <v>2</v>
      </c>
      <c r="C1097" s="2">
        <f>COUNTIF(A$1:A1097,A1097)-1</f>
        <v>1</v>
      </c>
      <c r="D1097" s="2" t="e">
        <f>GET.PIVOT.TABLE(1,#REF!)</f>
        <v>#REF!</v>
      </c>
      <c r="E1097" s="2" t="b">
        <f>IFERROR(INDEX(ERROR(0),GET.PIVOT.TABLE(SET.NAME("_",+INDEX(1,)),#REF!)),RETURN(INDEX(TYPE(_),SET.NAME("_"))))</f>
        <v>0</v>
      </c>
      <c r="F1097" s="2" t="b">
        <f>IFERROR(INDEX(ERROR(0),GET.PIVOT.TABLE(INDIRECT(SET.NAME({1,"_"},)),#REF!)),RETURN(INDEX(TYPE(_),SET.NAME("_"))))</f>
        <v>0</v>
      </c>
      <c r="G1097" s="2">
        <f>TYPE(INDEX(,GET.PIVOT.TABLE(INDEX(1,),#REF!)))</f>
        <v>16</v>
      </c>
    </row>
    <row r="1098" spans="1:7" x14ac:dyDescent="0.55000000000000004">
      <c r="A1098" s="1" t="s">
        <v>1784</v>
      </c>
      <c r="B1098" s="2">
        <f>COUNTIF(A:A,A1098)-1</f>
        <v>2</v>
      </c>
      <c r="C1098" s="2">
        <f>COUNTIF(A$1:A1098,A1098)-1</f>
        <v>2</v>
      </c>
      <c r="D1098" s="2" t="e">
        <f>GET.PIVOT.TABLE(#REF!,1)</f>
        <v>#REF!</v>
      </c>
      <c r="E1098" s="2" t="b">
        <f>IFERROR(INDEX(ERROR(0),GET.PIVOT.TABLE(#REF!,SET.NAME("_",+INDEX(1,)))),RETURN(INDEX(TYPE(_),SET.NAME("_"))))</f>
        <v>0</v>
      </c>
      <c r="F1098" s="2" t="b">
        <f>IFERROR(INDEX(ERROR(0),GET.PIVOT.TABLE(#REF!,INDIRECT(SET.NAME({1,"_"},)))),RETURN(INDEX(TYPE(_),SET.NAME("_"))))</f>
        <v>0</v>
      </c>
      <c r="G1098" s="2">
        <f>TYPE(INDEX(,GET.PIVOT.TABLE(#REF!,INDEX(1,))))</f>
        <v>16</v>
      </c>
    </row>
    <row r="1099" spans="1:7" x14ac:dyDescent="0.55000000000000004">
      <c r="A1099" s="1" t="s">
        <v>1785</v>
      </c>
      <c r="B1099" s="2">
        <f>COUNTIF(A:A,A1099)-1</f>
        <v>3</v>
      </c>
      <c r="C1099" s="2">
        <f>COUNTIF(A$1:A1099,A1099)-1</f>
        <v>0</v>
      </c>
      <c r="D1099" s="2"/>
      <c r="E1099" s="2"/>
      <c r="F1099" s="2"/>
      <c r="G1099" s="2"/>
    </row>
    <row r="1100" spans="1:7" x14ac:dyDescent="0.55000000000000004">
      <c r="A1100" s="1" t="s">
        <v>1785</v>
      </c>
      <c r="B1100" s="2">
        <f>COUNTIF(A:A,A1100)-1</f>
        <v>3</v>
      </c>
      <c r="C1100" s="2">
        <f>COUNTIF(A$1:A1100,A1100)-1</f>
        <v>1</v>
      </c>
      <c r="D1100" s="2" t="e">
        <f>GET.PIVOT.FIELD(1,#REF!,#REF!)</f>
        <v>#REF!</v>
      </c>
      <c r="E1100" s="2" t="b">
        <f>IFERROR(INDEX(ERROR(0),GET.PIVOT.FIELD(SET.NAME("_",+INDEX(1,)),#REF!,#REF!)),RETURN(INDEX(TYPE(_),SET.NAME("_"))))</f>
        <v>0</v>
      </c>
      <c r="F1100" s="2" t="b">
        <f>IFERROR(INDEX(ERROR(0),GET.PIVOT.FIELD(INDIRECT(SET.NAME({1,"_"},)),#REF!,#REF!)),RETURN(INDEX(TYPE(_),SET.NAME("_"))))</f>
        <v>0</v>
      </c>
      <c r="G1100" s="2">
        <f>TYPE(INDEX(,GET.PIVOT.FIELD(INDEX(1,),#REF!,#REF!)))</f>
        <v>16</v>
      </c>
    </row>
    <row r="1101" spans="1:7" x14ac:dyDescent="0.55000000000000004">
      <c r="A1101" s="1" t="s">
        <v>1785</v>
      </c>
      <c r="B1101" s="2">
        <f>COUNTIF(A:A,A1101)-1</f>
        <v>3</v>
      </c>
      <c r="C1101" s="2">
        <f>COUNTIF(A$1:A1101,A1101)-1</f>
        <v>2</v>
      </c>
      <c r="D1101" s="2" t="e">
        <f>GET.PIVOT.FIELD(#REF!,1,#REF!)</f>
        <v>#REF!</v>
      </c>
      <c r="E1101" s="2" t="b">
        <f>IFERROR(INDEX(ERROR(0),GET.PIVOT.FIELD(#REF!,SET.NAME("_",+INDEX(1,)),#REF!)),RETURN(INDEX(TYPE(_),SET.NAME("_"))))</f>
        <v>0</v>
      </c>
      <c r="F1101" s="2" t="b">
        <f>IFERROR(INDEX(ERROR(0),GET.PIVOT.FIELD(#REF!,INDIRECT(SET.NAME({1,"_"},)),#REF!)),RETURN(INDEX(TYPE(_),SET.NAME("_"))))</f>
        <v>0</v>
      </c>
      <c r="G1101" s="2">
        <f>TYPE(INDEX(,GET.PIVOT.FIELD(#REF!,INDEX(1,),#REF!)))</f>
        <v>16</v>
      </c>
    </row>
    <row r="1102" spans="1:7" x14ac:dyDescent="0.55000000000000004">
      <c r="A1102" s="1" t="s">
        <v>1785</v>
      </c>
      <c r="B1102" s="2">
        <f>COUNTIF(A:A,A1102)-1</f>
        <v>3</v>
      </c>
      <c r="C1102" s="2">
        <f>COUNTIF(A$1:A1102,A1102)-1</f>
        <v>3</v>
      </c>
      <c r="D1102" s="2" t="e">
        <f>GET.PIVOT.FIELD(#REF!,#REF!,1)</f>
        <v>#REF!</v>
      </c>
      <c r="E1102" s="2" t="b">
        <f>IFERROR(INDEX(ERROR(0),GET.PIVOT.FIELD(#REF!,#REF!,SET.NAME("_",+INDEX(1,)))),RETURN(INDEX(TYPE(_),SET.NAME("_"))))</f>
        <v>0</v>
      </c>
      <c r="F1102" s="2" t="b">
        <f>IFERROR(INDEX(ERROR(0),GET.PIVOT.FIELD(#REF!,#REF!,INDIRECT(SET.NAME({1,"_"},)))),RETURN(INDEX(TYPE(_),SET.NAME("_"))))</f>
        <v>0</v>
      </c>
      <c r="G1102" s="2">
        <f>TYPE(INDEX(,GET.PIVOT.FIELD(#REF!,#REF!,INDEX(1,))))</f>
        <v>16</v>
      </c>
    </row>
    <row r="1103" spans="1:7" x14ac:dyDescent="0.55000000000000004">
      <c r="A1103" s="1" t="s">
        <v>1786</v>
      </c>
      <c r="B1103" s="2">
        <f>COUNTIF(A:A,A1103)-1</f>
        <v>4</v>
      </c>
      <c r="C1103" s="2">
        <f>COUNTIF(A$1:A1103,A1103)-1</f>
        <v>0</v>
      </c>
      <c r="D1103" s="2"/>
      <c r="E1103" s="2"/>
      <c r="F1103" s="2"/>
      <c r="G1103" s="2"/>
    </row>
    <row r="1104" spans="1:7" x14ac:dyDescent="0.55000000000000004">
      <c r="A1104" s="1" t="s">
        <v>1786</v>
      </c>
      <c r="B1104" s="2">
        <f>COUNTIF(A:A,A1104)-1</f>
        <v>4</v>
      </c>
      <c r="C1104" s="2">
        <f>COUNTIF(A$1:A1104,A1104)-1</f>
        <v>1</v>
      </c>
      <c r="D1104" s="2" t="e">
        <f>GET.PIVOT.ITEM(1,#REF!,#REF!,#REF!)</f>
        <v>#REF!</v>
      </c>
      <c r="E1104" s="2" t="b">
        <f>IFERROR(INDEX(ERROR(0),GET.PIVOT.ITEM(SET.NAME("_",+INDEX(1,)),#REF!,#REF!,#REF!)),RETURN(INDEX(TYPE(_),SET.NAME("_"))))</f>
        <v>0</v>
      </c>
      <c r="F1104" s="2" t="b">
        <f>IFERROR(INDEX(ERROR(0),GET.PIVOT.ITEM(INDIRECT(SET.NAME({1,"_"},)),#REF!,#REF!,#REF!)),RETURN(INDEX(TYPE(_),SET.NAME("_"))))</f>
        <v>0</v>
      </c>
      <c r="G1104" s="2">
        <f>TYPE(INDEX(,GET.PIVOT.ITEM(INDEX(1,),#REF!,#REF!,#REF!)))</f>
        <v>16</v>
      </c>
    </row>
    <row r="1105" spans="1:7" x14ac:dyDescent="0.55000000000000004">
      <c r="A1105" s="1" t="s">
        <v>1786</v>
      </c>
      <c r="B1105" s="2">
        <f>COUNTIF(A:A,A1105)-1</f>
        <v>4</v>
      </c>
      <c r="C1105" s="2">
        <f>COUNTIF(A$1:A1105,A1105)-1</f>
        <v>2</v>
      </c>
      <c r="D1105" s="2" t="e">
        <f>GET.PIVOT.ITEM(#REF!,1,#REF!,#REF!)</f>
        <v>#REF!</v>
      </c>
      <c r="E1105" s="2" t="b">
        <f>IFERROR(INDEX(ERROR(0),GET.PIVOT.ITEM(#REF!,SET.NAME("_",+INDEX(1,)),#REF!,#REF!)),RETURN(INDEX(TYPE(_),SET.NAME("_"))))</f>
        <v>0</v>
      </c>
      <c r="F1105" s="2" t="b">
        <f>IFERROR(INDEX(ERROR(0),GET.PIVOT.ITEM(#REF!,INDIRECT(SET.NAME({1,"_"},)),#REF!,#REF!)),RETURN(INDEX(TYPE(_),SET.NAME("_"))))</f>
        <v>0</v>
      </c>
      <c r="G1105" s="2">
        <f>TYPE(INDEX(,GET.PIVOT.ITEM(#REF!,INDEX(1,),#REF!,#REF!)))</f>
        <v>16</v>
      </c>
    </row>
    <row r="1106" spans="1:7" x14ac:dyDescent="0.55000000000000004">
      <c r="A1106" s="1" t="s">
        <v>1786</v>
      </c>
      <c r="B1106" s="2">
        <f>COUNTIF(A:A,A1106)-1</f>
        <v>4</v>
      </c>
      <c r="C1106" s="2">
        <f>COUNTIF(A$1:A1106,A1106)-1</f>
        <v>3</v>
      </c>
      <c r="D1106" s="2" t="e">
        <f>GET.PIVOT.ITEM(#REF!,#REF!,1,#REF!)</f>
        <v>#REF!</v>
      </c>
      <c r="E1106" s="2" t="b">
        <f>IFERROR(INDEX(ERROR(0),GET.PIVOT.ITEM(#REF!,#REF!,SET.NAME("_",+INDEX(1,)),#REF!)),RETURN(INDEX(TYPE(_),SET.NAME("_"))))</f>
        <v>0</v>
      </c>
      <c r="F1106" s="2" t="b">
        <f>IFERROR(INDEX(ERROR(0),GET.PIVOT.ITEM(#REF!,#REF!,INDIRECT(SET.NAME({1,"_"},)),#REF!)),RETURN(INDEX(TYPE(_),SET.NAME("_"))))</f>
        <v>0</v>
      </c>
      <c r="G1106" s="2">
        <f>TYPE(INDEX(,GET.PIVOT.ITEM(#REF!,#REF!,INDEX(1,),#REF!)))</f>
        <v>16</v>
      </c>
    </row>
    <row r="1107" spans="1:7" x14ac:dyDescent="0.55000000000000004">
      <c r="A1107" s="1" t="s">
        <v>1786</v>
      </c>
      <c r="B1107" s="2">
        <f>COUNTIF(A:A,A1107)-1</f>
        <v>4</v>
      </c>
      <c r="C1107" s="2">
        <f>COUNTIF(A$1:A1107,A1107)-1</f>
        <v>4</v>
      </c>
      <c r="D1107" s="2" t="e">
        <f>GET.PIVOT.ITEM(#REF!,#REF!,#REF!,1)</f>
        <v>#REF!</v>
      </c>
      <c r="E1107" s="2" t="b">
        <f>IFERROR(INDEX(ERROR(0),GET.PIVOT.ITEM(#REF!,#REF!,#REF!,SET.NAME("_",+INDEX(1,)))),RETURN(INDEX(TYPE(_),SET.NAME("_"))))</f>
        <v>0</v>
      </c>
      <c r="F1107" s="2" t="b">
        <f>IFERROR(INDEX(ERROR(0),GET.PIVOT.ITEM(#REF!,#REF!,#REF!,INDIRECT(SET.NAME({1,"_"},)))),RETURN(INDEX(TYPE(_),SET.NAME("_"))))</f>
        <v>0</v>
      </c>
      <c r="G1107" s="2">
        <f>TYPE(INDEX(,GET.PIVOT.ITEM(#REF!,#REF!,#REF!,INDEX(1,))))</f>
        <v>16</v>
      </c>
    </row>
    <row r="1108" spans="1:7" x14ac:dyDescent="0.55000000000000004">
      <c r="A1108" s="1" t="s">
        <v>1787</v>
      </c>
      <c r="B1108" s="2">
        <f>COUNTIF(A:A,A1108)-1</f>
        <v>1</v>
      </c>
      <c r="C1108" s="2">
        <f>COUNTIF(A$1:A1108,A1108)-1</f>
        <v>0</v>
      </c>
      <c r="D1108" s="2"/>
      <c r="E1108" s="2"/>
      <c r="F1108" s="2"/>
      <c r="G1108" s="2"/>
    </row>
    <row r="1109" spans="1:7" x14ac:dyDescent="0.55000000000000004">
      <c r="A1109" s="1" t="s">
        <v>1787</v>
      </c>
      <c r="B1109" s="2">
        <f>COUNTIF(A:A,A1109)-1</f>
        <v>1</v>
      </c>
      <c r="C1109" s="2">
        <f>COUNTIF(A$1:A1109,A1109)-1</f>
        <v>1</v>
      </c>
      <c r="D1109" s="2">
        <f>RADIANS(1)</f>
        <v>1.7453292519943295E-2</v>
      </c>
      <c r="E1109" s="2" t="b">
        <f>IFERROR(INDEX(ERROR(0),RADIANS(SET.NAME("_",+INDEX(1,)))),RETURN(INDEX(TYPE(_),SET.NAME("_"))))</f>
        <v>0</v>
      </c>
      <c r="F1109" s="2" t="b">
        <f>IFERROR(INDEX(ERROR(0),RADIANS(INDIRECT(SET.NAME({1,"_"},)))),RETURN(INDEX(TYPE(_),SET.NAME("_"))))</f>
        <v>0</v>
      </c>
      <c r="G1109" s="2">
        <f>TYPE(INDEX(,RADIANS(INDEX(1,))))</f>
        <v>16</v>
      </c>
    </row>
    <row r="1110" spans="1:7" x14ac:dyDescent="0.55000000000000004">
      <c r="A1110" s="1" t="s">
        <v>1788</v>
      </c>
      <c r="B1110" s="2">
        <f>COUNTIF(A:A,A1110)-1</f>
        <v>1</v>
      </c>
      <c r="C1110" s="2">
        <f>COUNTIF(A$1:A1110,A1110)-1</f>
        <v>0</v>
      </c>
      <c r="D1110" s="2"/>
      <c r="E1110" s="2"/>
      <c r="F1110" s="2"/>
      <c r="G1110" s="2"/>
    </row>
    <row r="1111" spans="1:7" x14ac:dyDescent="0.55000000000000004">
      <c r="A1111" s="1" t="s">
        <v>1788</v>
      </c>
      <c r="B1111" s="2">
        <f>COUNTIF(A:A,A1111)-1</f>
        <v>1</v>
      </c>
      <c r="C1111" s="2">
        <f>COUNTIF(A$1:A1111,A1111)-1</f>
        <v>1</v>
      </c>
      <c r="D1111" s="2">
        <f>DEGREES(1)</f>
        <v>57.295779513082323</v>
      </c>
      <c r="E1111" s="2" t="b">
        <f>IFERROR(INDEX(ERROR(0),DEGREES(SET.NAME("_",+INDEX(1,)))),RETURN(INDEX(TYPE(_),SET.NAME("_"))))</f>
        <v>0</v>
      </c>
      <c r="F1111" s="2" t="b">
        <f>IFERROR(INDEX(ERROR(0),DEGREES(INDIRECT(SET.NAME({1,"_"},)))),RETURN(INDEX(TYPE(_),SET.NAME("_"))))</f>
        <v>0</v>
      </c>
      <c r="G1111" s="2">
        <f>TYPE(INDEX(,DEGREES(INDEX(1,))))</f>
        <v>16</v>
      </c>
    </row>
    <row r="1112" spans="1:7" x14ac:dyDescent="0.55000000000000004">
      <c r="A1112" s="1" t="s">
        <v>1789</v>
      </c>
      <c r="B1112" s="2">
        <f>COUNTIF(A:A,A1112)-1</f>
        <v>3</v>
      </c>
      <c r="C1112" s="2">
        <f>COUNTIF(A$1:A1112,A1112)-1</f>
        <v>0</v>
      </c>
      <c r="D1112" s="2"/>
      <c r="E1112" s="2"/>
      <c r="F1112" s="2"/>
      <c r="G1112" s="2"/>
    </row>
    <row r="1113" spans="1:7" x14ac:dyDescent="0.55000000000000004">
      <c r="A1113" s="1" t="s">
        <v>1789</v>
      </c>
      <c r="B1113" s="2">
        <f>COUNTIF(A:A,A1113)-1</f>
        <v>3</v>
      </c>
      <c r="C1113" s="2">
        <f>COUNTIF(A$1:A1113,A1113)-1</f>
        <v>1</v>
      </c>
      <c r="D1113" s="2" t="e">
        <f>SUBTOTAL(1,#REF!,#REF!)</f>
        <v>#REF!</v>
      </c>
      <c r="E1113" s="2" t="b">
        <f>IFERROR(INDEX(ERROR(0),SUBTOTAL(SET.NAME("_",+INDEX(1,)),#REF!,#REF!)),RETURN(INDEX(TYPE(_),SET.NAME("_"))))</f>
        <v>0</v>
      </c>
      <c r="F1113" s="2" t="b">
        <f>IFERROR(INDEX(ERROR(0),SUBTOTAL(INDIRECT(SET.NAME({1,"_"},)),#REF!,#REF!)),RETURN(INDEX(TYPE(_),SET.NAME("_"))))</f>
        <v>0</v>
      </c>
      <c r="G1113" s="2">
        <f>TYPE(INDEX(,SUBTOTAL(INDEX(1,),#REF!,#REF!)))</f>
        <v>16</v>
      </c>
    </row>
    <row r="1114" spans="1:7" x14ac:dyDescent="0.55000000000000004">
      <c r="A1114" s="1" t="s">
        <v>1789</v>
      </c>
      <c r="B1114" s="2">
        <f>COUNTIF(A:A,A1114)-1</f>
        <v>3</v>
      </c>
      <c r="C1114" s="2">
        <f>COUNTIF(A$1:A1114,A1114)-1</f>
        <v>2</v>
      </c>
      <c r="D1114" s="2" t="s">
        <v>2286</v>
      </c>
      <c r="E1114" s="2" t="s">
        <v>2224</v>
      </c>
      <c r="F1114" s="2" t="b">
        <f>IFERROR(INDEX(ERROR(0),SUBTOTAL(#REF!,INDIRECT(SET.NAME({1,"_"},)),#REF!)),RETURN(INDEX(TYPE(_),SET.NAME("_"))))</f>
        <v>0</v>
      </c>
      <c r="G1114" s="2">
        <f>TYPE(INDEX(,SUBTOTAL(#REF!,INDEX(1,),#REF!)))</f>
        <v>64</v>
      </c>
    </row>
    <row r="1115" spans="1:7" x14ac:dyDescent="0.55000000000000004">
      <c r="A1115" s="1" t="s">
        <v>1789</v>
      </c>
      <c r="B1115" s="2">
        <f>COUNTIF(A:A,A1115)-1</f>
        <v>3</v>
      </c>
      <c r="C1115" s="2">
        <f>COUNTIF(A$1:A1115,A1115)-1</f>
        <v>3</v>
      </c>
      <c r="D1115" s="2" t="s">
        <v>2287</v>
      </c>
      <c r="E1115" s="2" t="s">
        <v>2225</v>
      </c>
      <c r="F1115" s="2" t="b">
        <f>IFERROR(INDEX(ERROR(0),SUBTOTAL(#REF!,#REF!,INDIRECT(SET.NAME({1,"_"},)))),RETURN(INDEX(TYPE(_),SET.NAME("_"))))</f>
        <v>0</v>
      </c>
      <c r="G1115" s="2">
        <f>TYPE(INDEX(,SUBTOTAL(#REF!,#REF!,INDEX(1,))))</f>
        <v>64</v>
      </c>
    </row>
    <row r="1116" spans="1:7" x14ac:dyDescent="0.55000000000000004">
      <c r="A1116" s="1" t="s">
        <v>1790</v>
      </c>
      <c r="B1116" s="2">
        <f>COUNTIF(A:A,A1116)-1</f>
        <v>3</v>
      </c>
      <c r="C1116" s="2">
        <f>COUNTIF(A$1:A1116,A1116)-1</f>
        <v>0</v>
      </c>
      <c r="D1116" s="2"/>
      <c r="E1116" s="2"/>
      <c r="F1116" s="2"/>
      <c r="G1116" s="2"/>
    </row>
    <row r="1117" spans="1:7" x14ac:dyDescent="0.55000000000000004">
      <c r="A1117" s="1" t="s">
        <v>1790</v>
      </c>
      <c r="B1117" s="2">
        <f>COUNTIF(A:A,A1117)-1</f>
        <v>3</v>
      </c>
      <c r="C1117" s="2">
        <f>COUNTIF(A$1:A1117,A1117)-1</f>
        <v>1</v>
      </c>
      <c r="D1117" s="2" t="s">
        <v>2288</v>
      </c>
      <c r="E1117" s="2" t="s">
        <v>2226</v>
      </c>
      <c r="F1117" s="2" t="b">
        <f>IFERROR(INDEX(ERROR(0),SUMIF(INDIRECT(SET.NAME({1,"_"},)),#REF!,#REF!)),RETURN(INDEX(TYPE(_),SET.NAME("_"))))</f>
        <v>0</v>
      </c>
      <c r="G1117" s="2">
        <f>TYPE(INDEX(,SUMIF(INDEX(1,),#REF!,#REF!)))</f>
        <v>64</v>
      </c>
    </row>
    <row r="1118" spans="1:7" x14ac:dyDescent="0.55000000000000004">
      <c r="A1118" s="1" t="s">
        <v>1790</v>
      </c>
      <c r="B1118" s="2">
        <f>COUNTIF(A:A,A1118)-1</f>
        <v>3</v>
      </c>
      <c r="C1118" s="2">
        <f>COUNTIF(A$1:A1118,A1118)-1</f>
        <v>2</v>
      </c>
      <c r="D1118" s="2" t="e">
        <f>SUMIF(#REF!,1,#REF!)</f>
        <v>#REF!</v>
      </c>
      <c r="E1118" s="2" t="b">
        <f>IFERROR(INDEX(ERROR(0),SUMIF(#REF!,SET.NAME("_",+INDEX(1,)),#REF!)),RETURN(INDEX(TYPE(_),SET.NAME("_"))))</f>
        <v>0</v>
      </c>
      <c r="F1118" s="2" t="b">
        <f>IFERROR(INDEX(ERROR(0),SUMIF(#REF!,INDIRECT(SET.NAME({1,"_"},)),#REF!)),RETURN(INDEX(TYPE(_),SET.NAME("_"))))</f>
        <v>0</v>
      </c>
      <c r="G1118" s="2">
        <f>TYPE(INDEX(,SUMIF(#REF!,INDEX(1,),#REF!)))</f>
        <v>16</v>
      </c>
    </row>
    <row r="1119" spans="1:7" x14ac:dyDescent="0.55000000000000004">
      <c r="A1119" s="1" t="s">
        <v>1790</v>
      </c>
      <c r="B1119" s="2">
        <f>COUNTIF(A:A,A1119)-1</f>
        <v>3</v>
      </c>
      <c r="C1119" s="2">
        <f>COUNTIF(A$1:A1119,A1119)-1</f>
        <v>3</v>
      </c>
      <c r="D1119" s="2" t="s">
        <v>2289</v>
      </c>
      <c r="E1119" s="2" t="s">
        <v>2227</v>
      </c>
      <c r="F1119" s="2" t="b">
        <f>IFERROR(INDEX(ERROR(0),SUMIF(#REF!,#REF!,INDIRECT(SET.NAME({1,"_"},)))),RETURN(INDEX(TYPE(_),SET.NAME("_"))))</f>
        <v>0</v>
      </c>
      <c r="G1119" s="2">
        <f>TYPE(INDEX(,SUMIF(#REF!,#REF!,INDEX(1,))))</f>
        <v>64</v>
      </c>
    </row>
    <row r="1120" spans="1:7" x14ac:dyDescent="0.55000000000000004">
      <c r="A1120" s="1" t="s">
        <v>1791</v>
      </c>
      <c r="B1120" s="2">
        <f>COUNTIF(A:A,A1120)-1</f>
        <v>2</v>
      </c>
      <c r="C1120" s="2">
        <f>COUNTIF(A$1:A1120,A1120)-1</f>
        <v>0</v>
      </c>
      <c r="D1120" s="2"/>
      <c r="E1120" s="2"/>
      <c r="F1120" s="2"/>
      <c r="G1120" s="2"/>
    </row>
    <row r="1121" spans="1:7" x14ac:dyDescent="0.55000000000000004">
      <c r="A1121" s="1" t="s">
        <v>1791</v>
      </c>
      <c r="B1121" s="2">
        <f>COUNTIF(A:A,A1121)-1</f>
        <v>2</v>
      </c>
      <c r="C1121" s="2">
        <f>COUNTIF(A$1:A1121,A1121)-1</f>
        <v>1</v>
      </c>
      <c r="D1121" s="2" t="s">
        <v>2290</v>
      </c>
      <c r="E1121" s="2" t="s">
        <v>2228</v>
      </c>
      <c r="F1121" s="2" t="b">
        <f>IFERROR(INDEX(ERROR(0),COUNTIF(INDIRECT(SET.NAME({1,"_"},)),#REF!)),RETURN(INDEX(TYPE(_),SET.NAME("_"))))</f>
        <v>0</v>
      </c>
      <c r="G1121" s="2">
        <f>TYPE(INDEX(,COUNTIF(INDEX(1,),#REF!)))</f>
        <v>64</v>
      </c>
    </row>
    <row r="1122" spans="1:7" x14ac:dyDescent="0.55000000000000004">
      <c r="A1122" s="1" t="s">
        <v>1791</v>
      </c>
      <c r="B1122" s="2">
        <f>COUNTIF(A:A,A1122)-1</f>
        <v>2</v>
      </c>
      <c r="C1122" s="2">
        <f>COUNTIF(A$1:A1122,A1122)-1</f>
        <v>2</v>
      </c>
      <c r="D1122" s="2" t="e">
        <f>COUNTIF(#REF!,1)</f>
        <v>#REF!</v>
      </c>
      <c r="E1122" s="2" t="b">
        <f>IFERROR(INDEX(ERROR(0),COUNTIF(#REF!,SET.NAME("_",+INDEX(1,)))),RETURN(INDEX(TYPE(_),SET.NAME("_"))))</f>
        <v>0</v>
      </c>
      <c r="F1122" s="2" t="b">
        <f>IFERROR(INDEX(ERROR(0),COUNTIF(#REF!,INDIRECT(SET.NAME({1,"_"},)))),RETURN(INDEX(TYPE(_),SET.NAME("_"))))</f>
        <v>0</v>
      </c>
      <c r="G1122" s="2">
        <f>TYPE(INDEX(,COUNTIF(#REF!,INDEX(1,))))</f>
        <v>16</v>
      </c>
    </row>
    <row r="1123" spans="1:7" x14ac:dyDescent="0.55000000000000004">
      <c r="A1123" s="1" t="s">
        <v>1792</v>
      </c>
      <c r="B1123" s="2">
        <f>COUNTIF(A:A,A1123)-1</f>
        <v>1</v>
      </c>
      <c r="C1123" s="2">
        <f>COUNTIF(A$1:A1123,A1123)-1</f>
        <v>0</v>
      </c>
      <c r="D1123" s="2"/>
      <c r="E1123" s="2"/>
      <c r="F1123" s="2"/>
      <c r="G1123" s="2"/>
    </row>
    <row r="1124" spans="1:7" x14ac:dyDescent="0.55000000000000004">
      <c r="A1124" s="1" t="s">
        <v>1792</v>
      </c>
      <c r="B1124" s="2">
        <f>COUNTIF(A:A,A1124)-1</f>
        <v>1</v>
      </c>
      <c r="C1124" s="2">
        <f>COUNTIF(A$1:A1124,A1124)-1</f>
        <v>1</v>
      </c>
      <c r="D1124" s="2" t="s">
        <v>2291</v>
      </c>
      <c r="E1124" s="2" t="s">
        <v>2229</v>
      </c>
      <c r="F1124" s="2" t="b">
        <f>IFERROR(INDEX(ERROR(0),COUNTBLANK(INDIRECT(SET.NAME({1,"_"},)))),RETURN(INDEX(TYPE(_),SET.NAME("_"))))</f>
        <v>0</v>
      </c>
      <c r="G1124" s="2">
        <f>TYPE(INDEX(,COUNTBLANK(INDEX(1,))))</f>
        <v>64</v>
      </c>
    </row>
    <row r="1125" spans="1:7" x14ac:dyDescent="0.55000000000000004">
      <c r="A1125" s="1" t="s">
        <v>1793</v>
      </c>
      <c r="B1125" s="2">
        <f>COUNTIF(A:A,A1125)-1</f>
        <v>2</v>
      </c>
      <c r="C1125" s="2">
        <f>COUNTIF(A$1:A1125,A1125)-1</f>
        <v>0</v>
      </c>
      <c r="D1125" s="2"/>
      <c r="E1125" s="2"/>
      <c r="F1125" s="2"/>
      <c r="G1125" s="2"/>
    </row>
    <row r="1126" spans="1:7" x14ac:dyDescent="0.55000000000000004">
      <c r="A1126" s="1" t="s">
        <v>1793</v>
      </c>
      <c r="B1126" s="2">
        <f>COUNTIF(A:A,A1126)-1</f>
        <v>2</v>
      </c>
      <c r="C1126" s="2">
        <f>COUNTIF(A$1:A1126,A1126)-1</f>
        <v>1</v>
      </c>
      <c r="D1126" s="2" t="e">
        <f>SCENARIO.GET(1,#REF!)</f>
        <v>#REF!</v>
      </c>
      <c r="E1126" s="2" t="b">
        <f>IFERROR(INDEX(ERROR(0),SCENARIO.GET(SET.NAME("_",+INDEX(1,)),#REF!)),RETURN(INDEX(TYPE(_),SET.NAME("_"))))</f>
        <v>0</v>
      </c>
      <c r="F1126" s="2" t="b">
        <f>IFERROR(INDEX(ERROR(0),SCENARIO.GET(INDIRECT(SET.NAME({1,"_"},)),#REF!)),RETURN(INDEX(TYPE(_),SET.NAME("_"))))</f>
        <v>0</v>
      </c>
      <c r="G1126" s="2">
        <f>TYPE(INDEX(,SCENARIO.GET(INDEX(1,),#REF!)))</f>
        <v>16</v>
      </c>
    </row>
    <row r="1127" spans="1:7" x14ac:dyDescent="0.55000000000000004">
      <c r="A1127" s="1" t="s">
        <v>1793</v>
      </c>
      <c r="B1127" s="2">
        <f>COUNTIF(A:A,A1127)-1</f>
        <v>2</v>
      </c>
      <c r="C1127" s="2">
        <f>COUNTIF(A$1:A1127,A1127)-1</f>
        <v>2</v>
      </c>
      <c r="D1127" s="2" t="e">
        <f>SCENARIO.GET(#REF!,1)</f>
        <v>#REF!</v>
      </c>
      <c r="E1127" s="2" t="b">
        <f>IFERROR(INDEX(ERROR(0),SCENARIO.GET(#REF!,SET.NAME("_",+INDEX(1,)))),RETURN(INDEX(TYPE(_),SET.NAME("_"))))</f>
        <v>0</v>
      </c>
      <c r="F1127" s="2" t="b">
        <f>IFERROR(INDEX(ERROR(0),SCENARIO.GET(#REF!,INDIRECT(SET.NAME({1,"_"},)))),RETURN(INDEX(TYPE(_),SET.NAME("_"))))</f>
        <v>0</v>
      </c>
      <c r="G1127" s="2">
        <f>TYPE(INDEX(,SCENARIO.GET(#REF!,INDEX(1,))))</f>
        <v>16</v>
      </c>
    </row>
    <row r="1128" spans="1:7" x14ac:dyDescent="0.55000000000000004">
      <c r="A1128" s="1" t="s">
        <v>1794</v>
      </c>
      <c r="B1128" s="2">
        <f>COUNTIF(A:A,A1128)-1</f>
        <v>1</v>
      </c>
      <c r="C1128" s="2">
        <f>COUNTIF(A$1:A1128,A1128)-1</f>
        <v>0</v>
      </c>
      <c r="D1128" s="2"/>
      <c r="E1128" s="2"/>
      <c r="F1128" s="2"/>
      <c r="G1128" s="2"/>
    </row>
    <row r="1129" spans="1:7" x14ac:dyDescent="0.55000000000000004">
      <c r="A1129" s="1" t="s">
        <v>1794</v>
      </c>
      <c r="B1129" s="2">
        <f>COUNTIF(A:A,A1129)-1</f>
        <v>1</v>
      </c>
      <c r="C1129" s="2">
        <f>COUNTIF(A$1:A1129,A1129)-1</f>
        <v>1</v>
      </c>
      <c r="D1129" s="2" t="str">
        <f>OPTIONS.LISTS.GET(1)</f>
        <v>Mon</v>
      </c>
      <c r="E1129" s="2" t="b">
        <f>IFERROR(INDEX(ERROR(0),OPTIONS.LISTS.GET(SET.NAME("_",+INDEX(1,)))),RETURN(INDEX(TYPE(_),SET.NAME("_"))))</f>
        <v>0</v>
      </c>
      <c r="F1129" s="2" t="b">
        <f>IFERROR(INDEX(ERROR(0),OPTIONS.LISTS.GET(INDIRECT(SET.NAME({1,"_"},)))),RETURN(INDEX(TYPE(_),SET.NAME("_"))))</f>
        <v>0</v>
      </c>
      <c r="G1129" s="2">
        <f>TYPE(INDEX(,OPTIONS.LISTS.GET(INDEX(1,))))</f>
        <v>16</v>
      </c>
    </row>
    <row r="1130" spans="1:7" x14ac:dyDescent="0.55000000000000004">
      <c r="A1130" s="1" t="s">
        <v>1795</v>
      </c>
      <c r="B1130" s="2">
        <f>COUNTIF(A:A,A1130)-1</f>
        <v>4</v>
      </c>
      <c r="C1130" s="2">
        <f>COUNTIF(A$1:A1130,A1130)-1</f>
        <v>0</v>
      </c>
      <c r="D1130" s="2"/>
      <c r="E1130" s="2"/>
      <c r="F1130" s="2"/>
      <c r="G1130" s="2"/>
    </row>
    <row r="1131" spans="1:7" x14ac:dyDescent="0.55000000000000004">
      <c r="A1131" s="1" t="s">
        <v>1795</v>
      </c>
      <c r="B1131" s="2">
        <f>COUNTIF(A:A,A1131)-1</f>
        <v>4</v>
      </c>
      <c r="C1131" s="2">
        <f>COUNTIF(A$1:A1131,A1131)-1</f>
        <v>1</v>
      </c>
      <c r="D1131" s="2" t="e">
        <f>ISPMT(1,#REF!,#REF!,#REF!)</f>
        <v>#REF!</v>
      </c>
      <c r="E1131" s="2" t="b">
        <f>IFERROR(INDEX(ERROR(0),ISPMT(SET.NAME("_",+INDEX(1,)),#REF!,#REF!,#REF!)),RETURN(INDEX(TYPE(_),SET.NAME("_"))))</f>
        <v>0</v>
      </c>
      <c r="F1131" s="2" t="b">
        <f>IFERROR(INDEX(ERROR(0),ISPMT(INDIRECT(SET.NAME({1,"_"},)),#REF!,#REF!,#REF!)),RETURN(INDEX(TYPE(_),SET.NAME("_"))))</f>
        <v>0</v>
      </c>
      <c r="G1131" s="2">
        <f>TYPE(INDEX(,ISPMT(INDEX(1,),#REF!,#REF!,#REF!)))</f>
        <v>16</v>
      </c>
    </row>
    <row r="1132" spans="1:7" x14ac:dyDescent="0.55000000000000004">
      <c r="A1132" s="1" t="s">
        <v>1795</v>
      </c>
      <c r="B1132" s="2">
        <f>COUNTIF(A:A,A1132)-1</f>
        <v>4</v>
      </c>
      <c r="C1132" s="2">
        <f>COUNTIF(A$1:A1132,A1132)-1</f>
        <v>2</v>
      </c>
      <c r="D1132" s="2" t="e">
        <f>ISPMT(#REF!,1,#REF!,#REF!)</f>
        <v>#REF!</v>
      </c>
      <c r="E1132" s="2" t="b">
        <f>IFERROR(INDEX(ERROR(0),ISPMT(#REF!,SET.NAME("_",+INDEX(1,)),#REF!,#REF!)),RETURN(INDEX(TYPE(_),SET.NAME("_"))))</f>
        <v>0</v>
      </c>
      <c r="F1132" s="2" t="b">
        <f>IFERROR(INDEX(ERROR(0),ISPMT(#REF!,INDIRECT(SET.NAME({1,"_"},)),#REF!,#REF!)),RETURN(INDEX(TYPE(_),SET.NAME("_"))))</f>
        <v>0</v>
      </c>
      <c r="G1132" s="2">
        <f>TYPE(INDEX(,ISPMT(#REF!,INDEX(1,),#REF!,#REF!)))</f>
        <v>16</v>
      </c>
    </row>
    <row r="1133" spans="1:7" x14ac:dyDescent="0.55000000000000004">
      <c r="A1133" s="1" t="s">
        <v>1795</v>
      </c>
      <c r="B1133" s="2">
        <f>COUNTIF(A:A,A1133)-1</f>
        <v>4</v>
      </c>
      <c r="C1133" s="2">
        <f>COUNTIF(A$1:A1133,A1133)-1</f>
        <v>3</v>
      </c>
      <c r="D1133" s="2" t="e">
        <f>ISPMT(#REF!,#REF!,1,#REF!)</f>
        <v>#REF!</v>
      </c>
      <c r="E1133" s="2" t="b">
        <f>IFERROR(INDEX(ERROR(0),ISPMT(#REF!,#REF!,SET.NAME("_",+INDEX(1,)),#REF!)),RETURN(INDEX(TYPE(_),SET.NAME("_"))))</f>
        <v>0</v>
      </c>
      <c r="F1133" s="2" t="b">
        <f>IFERROR(INDEX(ERROR(0),ISPMT(#REF!,#REF!,INDIRECT(SET.NAME({1,"_"},)),#REF!)),RETURN(INDEX(TYPE(_),SET.NAME("_"))))</f>
        <v>0</v>
      </c>
      <c r="G1133" s="2">
        <f>TYPE(INDEX(,ISPMT(#REF!,#REF!,INDEX(1,),#REF!)))</f>
        <v>16</v>
      </c>
    </row>
    <row r="1134" spans="1:7" x14ac:dyDescent="0.55000000000000004">
      <c r="A1134" s="1" t="s">
        <v>1795</v>
      </c>
      <c r="B1134" s="2">
        <f>COUNTIF(A:A,A1134)-1</f>
        <v>4</v>
      </c>
      <c r="C1134" s="2">
        <f>COUNTIF(A$1:A1134,A1134)-1</f>
        <v>4</v>
      </c>
      <c r="D1134" s="2" t="e">
        <f>ISPMT(#REF!,#REF!,#REF!,1)</f>
        <v>#REF!</v>
      </c>
      <c r="E1134" s="2" t="b">
        <f>IFERROR(INDEX(ERROR(0),ISPMT(#REF!,#REF!,#REF!,SET.NAME("_",+INDEX(1,)))),RETURN(INDEX(TYPE(_),SET.NAME("_"))))</f>
        <v>0</v>
      </c>
      <c r="F1134" s="2" t="b">
        <f>IFERROR(INDEX(ERROR(0),ISPMT(#REF!,#REF!,#REF!,INDIRECT(SET.NAME({1,"_"},)))),RETURN(INDEX(TYPE(_),SET.NAME("_"))))</f>
        <v>0</v>
      </c>
      <c r="G1134" s="2">
        <f>TYPE(INDEX(,ISPMT(#REF!,#REF!,#REF!,INDEX(1,))))</f>
        <v>16</v>
      </c>
    </row>
    <row r="1135" spans="1:7" x14ac:dyDescent="0.55000000000000004">
      <c r="A1135" s="1" t="s">
        <v>2057</v>
      </c>
      <c r="B1135" s="2">
        <f>COUNTIF(A:A,A1135)-1</f>
        <v>3</v>
      </c>
      <c r="C1135" s="2">
        <f>COUNTIF(A$1:A1135,A1135)-1</f>
        <v>0</v>
      </c>
      <c r="D1135" s="2"/>
      <c r="E1135" s="2"/>
      <c r="F1135" s="2"/>
      <c r="G1135" s="2"/>
    </row>
    <row r="1136" spans="1:7" x14ac:dyDescent="0.55000000000000004">
      <c r="A1136" s="1" t="s">
        <v>2057</v>
      </c>
      <c r="B1136" s="2">
        <f>COUNTIF(A:A,A1136)-1</f>
        <v>3</v>
      </c>
      <c r="C1136" s="2">
        <f>COUNTIF(A$1:A1136,A1136)-1</f>
        <v>1</v>
      </c>
      <c r="D1136" s="2" t="e">
        <f>DATEDIF(1,#REF!,#REF!)</f>
        <v>#REF!</v>
      </c>
      <c r="E1136" s="2" t="b">
        <f>IFERROR(INDEX(ERROR(0),DATEDIF(SET.NAME("_",+INDEX(1,)),#REF!,#REF!)),RETURN(INDEX(TYPE(_),SET.NAME("_"))))</f>
        <v>0</v>
      </c>
      <c r="F1136" s="2" t="b">
        <f>IFERROR(INDEX(ERROR(0),DATEDIF(INDIRECT(SET.NAME({1,"_"},)),#REF!,#REF!)),RETURN(INDEX(TYPE(_),SET.NAME("_"))))</f>
        <v>0</v>
      </c>
      <c r="G1136" s="2">
        <f>TYPE(INDEX(,DATEDIF(INDEX(1,),#REF!,#REF!)))</f>
        <v>16</v>
      </c>
    </row>
    <row r="1137" spans="1:7" x14ac:dyDescent="0.55000000000000004">
      <c r="A1137" s="1" t="s">
        <v>2057</v>
      </c>
      <c r="B1137" s="2">
        <f>COUNTIF(A:A,A1137)-1</f>
        <v>3</v>
      </c>
      <c r="C1137" s="2">
        <f>COUNTIF(A$1:A1137,A1137)-1</f>
        <v>2</v>
      </c>
      <c r="D1137" s="2" t="e">
        <f>DATEDIF(#REF!,1,#REF!)</f>
        <v>#REF!</v>
      </c>
      <c r="E1137" s="2" t="b">
        <f>IFERROR(INDEX(ERROR(0),DATEDIF(#REF!,SET.NAME("_",+INDEX(1,)),#REF!)),RETURN(INDEX(TYPE(_),SET.NAME("_"))))</f>
        <v>0</v>
      </c>
      <c r="F1137" s="2" t="b">
        <f>IFERROR(INDEX(ERROR(0),DATEDIF(#REF!,INDIRECT(SET.NAME({1,"_"},)),#REF!)),RETURN(INDEX(TYPE(_),SET.NAME("_"))))</f>
        <v>0</v>
      </c>
      <c r="G1137" s="2">
        <f>TYPE(INDEX(,DATEDIF(#REF!,INDEX(1,),#REF!)))</f>
        <v>16</v>
      </c>
    </row>
    <row r="1138" spans="1:7" x14ac:dyDescent="0.55000000000000004">
      <c r="A1138" s="1" t="s">
        <v>2057</v>
      </c>
      <c r="B1138" s="2">
        <f>COUNTIF(A:A,A1138)-1</f>
        <v>3</v>
      </c>
      <c r="C1138" s="2">
        <f>COUNTIF(A$1:A1138,A1138)-1</f>
        <v>3</v>
      </c>
      <c r="D1138" s="2" t="e">
        <f>DATEDIF(#REF!,#REF!,1)</f>
        <v>#REF!</v>
      </c>
      <c r="E1138" s="2" t="b">
        <f>IFERROR(INDEX(ERROR(0),DATEDIF(#REF!,#REF!,SET.NAME("_",+INDEX(1,)))),RETURN(INDEX(TYPE(_),SET.NAME("_"))))</f>
        <v>0</v>
      </c>
      <c r="F1138" s="2" t="b">
        <f>IFERROR(INDEX(ERROR(0),DATEDIF(#REF!,#REF!,INDIRECT(SET.NAME({1,"_"},)))),RETURN(INDEX(TYPE(_),SET.NAME("_"))))</f>
        <v>0</v>
      </c>
      <c r="G1138" s="2">
        <f>TYPE(INDEX(,DATEDIF(#REF!,#REF!,INDEX(1,))))</f>
        <v>16</v>
      </c>
    </row>
    <row r="1139" spans="1:7" x14ac:dyDescent="0.55000000000000004">
      <c r="A1139" s="1" t="s">
        <v>2058</v>
      </c>
      <c r="B1139" s="2">
        <f>COUNTIF(A:A,A1139)-1</f>
        <v>1</v>
      </c>
      <c r="C1139" s="2">
        <f>COUNTIF(A$1:A1139,A1139)-1</f>
        <v>0</v>
      </c>
      <c r="D1139" s="2"/>
      <c r="E1139" s="2"/>
      <c r="F1139" s="2"/>
      <c r="G1139" s="2"/>
    </row>
    <row r="1140" spans="1:7" x14ac:dyDescent="0.55000000000000004">
      <c r="A1140" s="1" t="s">
        <v>2058</v>
      </c>
      <c r="B1140" s="2">
        <f>COUNTIF(A:A,A1140)-1</f>
        <v>1</v>
      </c>
      <c r="C1140" s="2">
        <f>COUNTIF(A$1:A1140,A1140)-1</f>
        <v>1</v>
      </c>
      <c r="D1140" s="2" t="e">
        <f>DATESTRING(1)</f>
        <v>#N/A</v>
      </c>
      <c r="E1140" s="2" t="b">
        <f>IFERROR(INDEX(ERROR(0),DATESTRING(SET.NAME("_",+INDEX(1,)))),RETURN(INDEX(TYPE(_),SET.NAME("_"))))</f>
        <v>0</v>
      </c>
      <c r="F1140" s="2" t="b">
        <f>IFERROR(INDEX(ERROR(0),DATESTRING(INDIRECT(SET.NAME({1,"_"},)))),RETURN(INDEX(TYPE(_),SET.NAME("_"))))</f>
        <v>0</v>
      </c>
      <c r="G1140" s="2">
        <f>TYPE(INDEX(,DATESTRING(INDEX(1,))))</f>
        <v>16</v>
      </c>
    </row>
    <row r="1141" spans="1:7" x14ac:dyDescent="0.55000000000000004">
      <c r="A1141" s="1" t="s">
        <v>2059</v>
      </c>
      <c r="B1141" s="2">
        <f>COUNTIF(A:A,A1141)-1</f>
        <v>2</v>
      </c>
      <c r="C1141" s="2">
        <f>COUNTIF(A$1:A1141,A1141)-1</f>
        <v>0</v>
      </c>
      <c r="D1141" s="2"/>
      <c r="E1141" s="2"/>
      <c r="F1141" s="2"/>
      <c r="G1141" s="2"/>
    </row>
    <row r="1142" spans="1:7" x14ac:dyDescent="0.55000000000000004">
      <c r="A1142" s="1" t="s">
        <v>2059</v>
      </c>
      <c r="B1142" s="2">
        <f>COUNTIF(A:A,A1142)-1</f>
        <v>2</v>
      </c>
      <c r="C1142" s="2">
        <f>COUNTIF(A$1:A1142,A1142)-1</f>
        <v>1</v>
      </c>
      <c r="D1142" s="2" t="e">
        <f>NUMBERSTRING(1,#REF!)</f>
        <v>#REF!</v>
      </c>
      <c r="E1142" s="2" t="b">
        <f>IFERROR(INDEX(ERROR(0),NUMBERSTRING(SET.NAME("_",+INDEX(1,)),#REF!)),RETURN(INDEX(TYPE(_),SET.NAME("_"))))</f>
        <v>0</v>
      </c>
      <c r="F1142" s="2" t="b">
        <f>IFERROR(INDEX(ERROR(0),NUMBERSTRING(INDIRECT(SET.NAME({1,"_"},)),#REF!)),RETURN(INDEX(TYPE(_),SET.NAME("_"))))</f>
        <v>0</v>
      </c>
      <c r="G1142" s="2">
        <f>TYPE(INDEX(,NUMBERSTRING(INDEX(1,),#REF!)))</f>
        <v>16</v>
      </c>
    </row>
    <row r="1143" spans="1:7" x14ac:dyDescent="0.55000000000000004">
      <c r="A1143" s="1" t="s">
        <v>2059</v>
      </c>
      <c r="B1143" s="2">
        <f>COUNTIF(A:A,A1143)-1</f>
        <v>2</v>
      </c>
      <c r="C1143" s="2">
        <f>COUNTIF(A$1:A1143,A1143)-1</f>
        <v>2</v>
      </c>
      <c r="D1143" s="2" t="e">
        <f>NUMBERSTRING(#REF!,1)</f>
        <v>#REF!</v>
      </c>
      <c r="E1143" s="2" t="b">
        <f>IFERROR(INDEX(ERROR(0),NUMBERSTRING(#REF!,SET.NAME("_",+INDEX(1,)))),RETURN(INDEX(TYPE(_),SET.NAME("_"))))</f>
        <v>0</v>
      </c>
      <c r="F1143" s="2" t="b">
        <f>IFERROR(INDEX(ERROR(0),NUMBERSTRING(#REF!,INDIRECT(SET.NAME({1,"_"},)))),RETURN(INDEX(TYPE(_),SET.NAME("_"))))</f>
        <v>0</v>
      </c>
      <c r="G1143" s="2">
        <f>TYPE(INDEX(,NUMBERSTRING(#REF!,INDEX(1,))))</f>
        <v>16</v>
      </c>
    </row>
    <row r="1144" spans="1:7" x14ac:dyDescent="0.55000000000000004">
      <c r="A1144" s="1" t="s">
        <v>1796</v>
      </c>
      <c r="B1144" s="2">
        <f>COUNTIF(A:A,A1144)-1</f>
        <v>2</v>
      </c>
      <c r="C1144" s="2">
        <f>COUNTIF(A$1:A1144,A1144)-1</f>
        <v>0</v>
      </c>
      <c r="D1144" s="2"/>
      <c r="E1144" s="2"/>
      <c r="F1144" s="2"/>
      <c r="G1144" s="2"/>
    </row>
    <row r="1145" spans="1:7" x14ac:dyDescent="0.55000000000000004">
      <c r="A1145" s="1" t="s">
        <v>1796</v>
      </c>
      <c r="B1145" s="2">
        <f>COUNTIF(A:A,A1145)-1</f>
        <v>2</v>
      </c>
      <c r="C1145" s="2">
        <f>COUNTIF(A$1:A1145,A1145)-1</f>
        <v>1</v>
      </c>
      <c r="D1145" s="2" t="e">
        <f>ROMAN(1,#REF!)</f>
        <v>#REF!</v>
      </c>
      <c r="E1145" s="2" t="b">
        <f>IFERROR(INDEX(ERROR(0),ROMAN(SET.NAME("_",+INDEX(1,)),#REF!)),RETURN(INDEX(TYPE(_),SET.NAME("_"))))</f>
        <v>0</v>
      </c>
      <c r="F1145" s="2" t="b">
        <f>IFERROR(INDEX(ERROR(0),ROMAN(INDIRECT(SET.NAME({1,"_"},)),#REF!)),RETURN(INDEX(TYPE(_),SET.NAME("_"))))</f>
        <v>0</v>
      </c>
      <c r="G1145" s="2">
        <f>TYPE(INDEX(,ROMAN(INDEX(1,),#REF!)))</f>
        <v>16</v>
      </c>
    </row>
    <row r="1146" spans="1:7" x14ac:dyDescent="0.55000000000000004">
      <c r="A1146" s="1" t="s">
        <v>1796</v>
      </c>
      <c r="B1146" s="2">
        <f>COUNTIF(A:A,A1146)-1</f>
        <v>2</v>
      </c>
      <c r="C1146" s="2">
        <f>COUNTIF(A$1:A1146,A1146)-1</f>
        <v>2</v>
      </c>
      <c r="D1146" s="2" t="e">
        <f>ROMAN(#REF!,1)</f>
        <v>#REF!</v>
      </c>
      <c r="E1146" s="2" t="b">
        <f>IFERROR(INDEX(ERROR(0),ROMAN(#REF!,SET.NAME("_",+INDEX(1,)))),RETURN(INDEX(TYPE(_),SET.NAME("_"))))</f>
        <v>0</v>
      </c>
      <c r="F1146" s="2" t="b">
        <f>IFERROR(INDEX(ERROR(0),ROMAN(#REF!,INDIRECT(SET.NAME({1,"_"},)))),RETURN(INDEX(TYPE(_),SET.NAME("_"))))</f>
        <v>0</v>
      </c>
      <c r="G1146" s="2">
        <f>TYPE(INDEX(,ROMAN(#REF!,INDEX(1,))))</f>
        <v>16</v>
      </c>
    </row>
    <row r="1147" spans="1:7" x14ac:dyDescent="0.55000000000000004">
      <c r="A1147" s="1" t="s">
        <v>1797</v>
      </c>
      <c r="B1147" s="2">
        <f>COUNTIF(A:A,A1147)-1</f>
        <v>4</v>
      </c>
      <c r="C1147" s="2">
        <f>COUNTIF(A$1:A1147,A1147)-1</f>
        <v>0</v>
      </c>
      <c r="D1147" s="2"/>
      <c r="E1147" s="2"/>
      <c r="F1147" s="2"/>
      <c r="G1147" s="2"/>
    </row>
    <row r="1148" spans="1:7" x14ac:dyDescent="0.55000000000000004">
      <c r="A1148" s="1" t="s">
        <v>1797</v>
      </c>
      <c r="B1148" s="2">
        <f>COUNTIF(A:A,A1148)-1</f>
        <v>4</v>
      </c>
      <c r="C1148" s="2">
        <f>COUNTIF(A$1:A1148,A1148)-1</f>
        <v>1</v>
      </c>
      <c r="D1148" s="2" t="e">
        <f>OPEN.DIALOG(1,#REF!,#REF!,#REF!)</f>
        <v>#REF!</v>
      </c>
      <c r="E1148" s="2" t="b">
        <f>IFERROR(INDEX(ERROR(0),OPEN.DIALOG(SET.NAME("_",+INDEX(1,)),#REF!,#REF!,#REF!)),RETURN(INDEX(TYPE(_),SET.NAME("_"))))</f>
        <v>0</v>
      </c>
      <c r="F1148" s="2" t="b">
        <f>IFERROR(INDEX(ERROR(0),OPEN.DIALOG(INDIRECT(SET.NAME({1,"_"},)),#REF!,#REF!,#REF!)),RETURN(INDEX(TYPE(_),SET.NAME("_"))))</f>
        <v>0</v>
      </c>
      <c r="G1148" s="2">
        <f>TYPE(INDEX(,OPEN.DIALOG(INDEX(1,),#REF!,#REF!,#REF!)))</f>
        <v>16</v>
      </c>
    </row>
    <row r="1149" spans="1:7" x14ac:dyDescent="0.55000000000000004">
      <c r="A1149" s="1" t="s">
        <v>1797</v>
      </c>
      <c r="B1149" s="2">
        <f>COUNTIF(A:A,A1149)-1</f>
        <v>4</v>
      </c>
      <c r="C1149" s="2">
        <f>COUNTIF(A$1:A1149,A1149)-1</f>
        <v>2</v>
      </c>
      <c r="D1149" s="2" t="e">
        <f>OPEN.DIALOG(#REF!,1,#REF!,#REF!)</f>
        <v>#REF!</v>
      </c>
      <c r="E1149" s="2" t="b">
        <f>IFERROR(INDEX(ERROR(0),OPEN.DIALOG(#REF!,SET.NAME("_",+INDEX(1,)),#REF!,#REF!)),RETURN(INDEX(TYPE(_),SET.NAME("_"))))</f>
        <v>0</v>
      </c>
      <c r="F1149" s="2" t="b">
        <f>IFERROR(INDEX(ERROR(0),OPEN.DIALOG(#REF!,INDIRECT(SET.NAME({1,"_"},)),#REF!,#REF!)),RETURN(INDEX(TYPE(_),SET.NAME("_"))))</f>
        <v>0</v>
      </c>
      <c r="G1149" s="2">
        <f>TYPE(INDEX(,OPEN.DIALOG(#REF!,INDEX(1,),#REF!,#REF!)))</f>
        <v>16</v>
      </c>
    </row>
    <row r="1150" spans="1:7" x14ac:dyDescent="0.55000000000000004">
      <c r="A1150" s="1" t="s">
        <v>1797</v>
      </c>
      <c r="B1150" s="2">
        <f>COUNTIF(A:A,A1150)-1</f>
        <v>4</v>
      </c>
      <c r="C1150" s="2">
        <f>COUNTIF(A$1:A1150,A1150)-1</f>
        <v>3</v>
      </c>
      <c r="D1150" s="2" t="e">
        <f>OPEN.DIALOG(#REF!,#REF!,1,#REF!)</f>
        <v>#REF!</v>
      </c>
      <c r="E1150" s="2" t="b">
        <f>IFERROR(INDEX(ERROR(0),OPEN.DIALOG(#REF!,#REF!,SET.NAME("_",+INDEX(1,)),#REF!)),RETURN(INDEX(TYPE(_),SET.NAME("_"))))</f>
        <v>0</v>
      </c>
      <c r="F1150" s="2" t="b">
        <f>IFERROR(INDEX(ERROR(0),OPEN.DIALOG(#REF!,#REF!,INDIRECT(SET.NAME({1,"_"},)),#REF!)),RETURN(INDEX(TYPE(_),SET.NAME("_"))))</f>
        <v>0</v>
      </c>
      <c r="G1150" s="2">
        <f>TYPE(INDEX(,OPEN.DIALOG(#REF!,#REF!,INDEX(1,),#REF!)))</f>
        <v>16</v>
      </c>
    </row>
    <row r="1151" spans="1:7" x14ac:dyDescent="0.55000000000000004">
      <c r="A1151" s="1" t="s">
        <v>1797</v>
      </c>
      <c r="B1151" s="2">
        <f>COUNTIF(A:A,A1151)-1</f>
        <v>4</v>
      </c>
      <c r="C1151" s="2">
        <f>COUNTIF(A$1:A1151,A1151)-1</f>
        <v>4</v>
      </c>
      <c r="D1151" s="2" t="e">
        <f>OPEN.DIALOG(#REF!,#REF!,#REF!,1)</f>
        <v>#REF!</v>
      </c>
      <c r="E1151" s="2" t="b">
        <f>IFERROR(INDEX(ERROR(0),OPEN.DIALOG(#REF!,#REF!,#REF!,SET.NAME("_",+INDEX(1,)))),RETURN(INDEX(TYPE(_),SET.NAME("_"))))</f>
        <v>0</v>
      </c>
      <c r="F1151" s="2" t="b">
        <f>IFERROR(INDEX(ERROR(0),OPEN.DIALOG(#REF!,#REF!,#REF!,INDIRECT(SET.NAME({1,"_"},)))),RETURN(INDEX(TYPE(_),SET.NAME("_"))))</f>
        <v>0</v>
      </c>
      <c r="G1151" s="2">
        <f>TYPE(INDEX(,OPEN.DIALOG(#REF!,#REF!,#REF!,INDEX(1,))))</f>
        <v>16</v>
      </c>
    </row>
    <row r="1152" spans="1:7" x14ac:dyDescent="0.55000000000000004">
      <c r="A1152" s="1" t="s">
        <v>1798</v>
      </c>
      <c r="B1152" s="2">
        <f>COUNTIF(A:A,A1152)-1</f>
        <v>5</v>
      </c>
      <c r="C1152" s="2">
        <f>COUNTIF(A$1:A1152,A1152)-1</f>
        <v>0</v>
      </c>
      <c r="D1152" s="2"/>
      <c r="E1152" s="2"/>
      <c r="F1152" s="2"/>
      <c r="G1152" s="2"/>
    </row>
    <row r="1153" spans="1:7" x14ac:dyDescent="0.55000000000000004">
      <c r="A1153" s="1" t="s">
        <v>1798</v>
      </c>
      <c r="B1153" s="2">
        <f>COUNTIF(A:A,A1153)-1</f>
        <v>5</v>
      </c>
      <c r="C1153" s="2">
        <f>COUNTIF(A$1:A1153,A1153)-1</f>
        <v>1</v>
      </c>
      <c r="D1153" s="2" t="e">
        <f>SAVE.DIALOG(1,#REF!,#REF!,#REF!,#REF!)</f>
        <v>#REF!</v>
      </c>
      <c r="E1153" s="2" t="b">
        <f>IFERROR(INDEX(ERROR(0),SAVE.DIALOG(SET.NAME("_",+INDEX(1,)),#REF!,#REF!,#REF!,#REF!)),RETURN(INDEX(TYPE(_),SET.NAME("_"))))</f>
        <v>0</v>
      </c>
      <c r="F1153" s="2" t="b">
        <f>IFERROR(INDEX(ERROR(0),SAVE.DIALOG(INDIRECT(SET.NAME({1,"_"},)),#REF!,#REF!,#REF!,#REF!)),RETURN(INDEX(TYPE(_),SET.NAME("_"))))</f>
        <v>0</v>
      </c>
      <c r="G1153" s="2">
        <f>TYPE(INDEX(,SAVE.DIALOG(INDEX(1,),#REF!,#REF!,#REF!,#REF!)))</f>
        <v>16</v>
      </c>
    </row>
    <row r="1154" spans="1:7" x14ac:dyDescent="0.55000000000000004">
      <c r="A1154" s="1" t="s">
        <v>1798</v>
      </c>
      <c r="B1154" s="2">
        <f>COUNTIF(A:A,A1154)-1</f>
        <v>5</v>
      </c>
      <c r="C1154" s="2">
        <f>COUNTIF(A$1:A1154,A1154)-1</f>
        <v>2</v>
      </c>
      <c r="D1154" s="2" t="e">
        <f>SAVE.DIALOG(#REF!,1,#REF!,#REF!,#REF!)</f>
        <v>#REF!</v>
      </c>
      <c r="E1154" s="2" t="b">
        <f>IFERROR(INDEX(ERROR(0),SAVE.DIALOG(#REF!,SET.NAME("_",+INDEX(1,)),#REF!,#REF!,#REF!)),RETURN(INDEX(TYPE(_),SET.NAME("_"))))</f>
        <v>0</v>
      </c>
      <c r="F1154" s="2" t="b">
        <f>IFERROR(INDEX(ERROR(0),SAVE.DIALOG(#REF!,INDIRECT(SET.NAME({1,"_"},)),#REF!,#REF!,#REF!)),RETURN(INDEX(TYPE(_),SET.NAME("_"))))</f>
        <v>0</v>
      </c>
      <c r="G1154" s="2">
        <f>TYPE(INDEX(,SAVE.DIALOG(#REF!,INDEX(1,),#REF!,#REF!,#REF!)))</f>
        <v>16</v>
      </c>
    </row>
    <row r="1155" spans="1:7" x14ac:dyDescent="0.55000000000000004">
      <c r="A1155" s="1" t="s">
        <v>1798</v>
      </c>
      <c r="B1155" s="2">
        <f>COUNTIF(A:A,A1155)-1</f>
        <v>5</v>
      </c>
      <c r="C1155" s="2">
        <f>COUNTIF(A$1:A1155,A1155)-1</f>
        <v>3</v>
      </c>
      <c r="D1155" s="2" t="e">
        <f>SAVE.DIALOG(#REF!,#REF!,1,#REF!,#REF!)</f>
        <v>#REF!</v>
      </c>
      <c r="E1155" s="2" t="b">
        <f>IFERROR(INDEX(ERROR(0),SAVE.DIALOG(#REF!,#REF!,SET.NAME("_",+INDEX(1,)),#REF!,#REF!)),RETURN(INDEX(TYPE(_),SET.NAME("_"))))</f>
        <v>0</v>
      </c>
      <c r="F1155" s="2" t="b">
        <f>IFERROR(INDEX(ERROR(0),SAVE.DIALOG(#REF!,#REF!,INDIRECT(SET.NAME({1,"_"},)),#REF!,#REF!)),RETURN(INDEX(TYPE(_),SET.NAME("_"))))</f>
        <v>0</v>
      </c>
      <c r="G1155" s="2">
        <f>TYPE(INDEX(,SAVE.DIALOG(#REF!,#REF!,INDEX(1,),#REF!,#REF!)))</f>
        <v>16</v>
      </c>
    </row>
    <row r="1156" spans="1:7" x14ac:dyDescent="0.55000000000000004">
      <c r="A1156" s="1" t="s">
        <v>1798</v>
      </c>
      <c r="B1156" s="2">
        <f>COUNTIF(A:A,A1156)-1</f>
        <v>5</v>
      </c>
      <c r="C1156" s="2">
        <f>COUNTIF(A$1:A1156,A1156)-1</f>
        <v>4</v>
      </c>
      <c r="D1156" s="2" t="e">
        <f>SAVE.DIALOG(#REF!,#REF!,#REF!,1,#REF!)</f>
        <v>#REF!</v>
      </c>
      <c r="E1156" s="2" t="b">
        <f>IFERROR(INDEX(ERROR(0),SAVE.DIALOG(#REF!,#REF!,#REF!,SET.NAME("_",+INDEX(1,)),#REF!)),RETURN(INDEX(TYPE(_),SET.NAME("_"))))</f>
        <v>0</v>
      </c>
      <c r="F1156" s="2" t="b">
        <f>IFERROR(INDEX(ERROR(0),SAVE.DIALOG(#REF!,#REF!,#REF!,INDIRECT(SET.NAME({1,"_"},)),#REF!)),RETURN(INDEX(TYPE(_),SET.NAME("_"))))</f>
        <v>0</v>
      </c>
      <c r="G1156" s="2">
        <f>TYPE(INDEX(,SAVE.DIALOG(#REF!,#REF!,#REF!,INDEX(1,),#REF!)))</f>
        <v>16</v>
      </c>
    </row>
    <row r="1157" spans="1:7" x14ac:dyDescent="0.55000000000000004">
      <c r="A1157" s="1" t="s">
        <v>1798</v>
      </c>
      <c r="B1157" s="2">
        <f>COUNTIF(A:A,A1157)-1</f>
        <v>5</v>
      </c>
      <c r="C1157" s="2">
        <f>COUNTIF(A$1:A1157,A1157)-1</f>
        <v>5</v>
      </c>
      <c r="D1157" s="2" t="e">
        <f>SAVE.DIALOG(#REF!,#REF!,#REF!,#REF!,1)</f>
        <v>#REF!</v>
      </c>
      <c r="E1157" s="2" t="b">
        <f>IFERROR(INDEX(ERROR(0),SAVE.DIALOG(#REF!,#REF!,#REF!,#REF!,SET.NAME("_",+INDEX(1,)))),RETURN(INDEX(TYPE(_),SET.NAME("_"))))</f>
        <v>0</v>
      </c>
      <c r="F1157" s="2" t="b">
        <f>IFERROR(INDEX(ERROR(0),SAVE.DIALOG(#REF!,#REF!,#REF!,#REF!,INDIRECT(SET.NAME({1,"_"},)))),RETURN(INDEX(TYPE(_),SET.NAME("_"))))</f>
        <v>0</v>
      </c>
      <c r="G1157" s="2">
        <f>TYPE(INDEX(,SAVE.DIALOG(#REF!,#REF!,#REF!,#REF!,INDEX(1,))))</f>
        <v>16</v>
      </c>
    </row>
    <row r="1158" spans="1:7" x14ac:dyDescent="0.55000000000000004">
      <c r="A1158" s="1" t="s">
        <v>1799</v>
      </c>
      <c r="B1158" s="2">
        <f>COUNTIF(A:A,A1158)-1</f>
        <v>2</v>
      </c>
      <c r="C1158" s="2">
        <f>COUNTIF(A$1:A1158,A1158)-1</f>
        <v>0</v>
      </c>
      <c r="D1158" s="2"/>
      <c r="E1158" s="2"/>
      <c r="F1158" s="2"/>
      <c r="G1158" s="2"/>
    </row>
    <row r="1159" spans="1:7" x14ac:dyDescent="0.55000000000000004">
      <c r="A1159" s="1" t="s">
        <v>1799</v>
      </c>
      <c r="B1159" s="2">
        <f>COUNTIF(A:A,A1159)-1</f>
        <v>2</v>
      </c>
      <c r="C1159" s="2">
        <f>COUNTIF(A$1:A1159,A1159)-1</f>
        <v>1</v>
      </c>
      <c r="D1159" s="2" t="e">
        <f>VIEW.GET(1,#REF!)</f>
        <v>#REF!</v>
      </c>
      <c r="E1159" s="2" t="b">
        <f>IFERROR(INDEX(ERROR(0),VIEW.GET(SET.NAME("_",+INDEX(1,)),#REF!)),RETURN(INDEX(TYPE(_),SET.NAME("_"))))</f>
        <v>0</v>
      </c>
      <c r="F1159" s="2" t="b">
        <f>IFERROR(INDEX(ERROR(0),VIEW.GET(INDIRECT(SET.NAME({1,"_"},)),#REF!)),RETURN(INDEX(TYPE(_),SET.NAME("_"))))</f>
        <v>0</v>
      </c>
      <c r="G1159" s="2">
        <f>TYPE(INDEX(,VIEW.GET(INDEX(1,),#REF!)))</f>
        <v>16</v>
      </c>
    </row>
    <row r="1160" spans="1:7" x14ac:dyDescent="0.55000000000000004">
      <c r="A1160" s="1" t="s">
        <v>1799</v>
      </c>
      <c r="B1160" s="2">
        <f>COUNTIF(A:A,A1160)-1</f>
        <v>2</v>
      </c>
      <c r="C1160" s="2">
        <f>COUNTIF(A$1:A1160,A1160)-1</f>
        <v>2</v>
      </c>
      <c r="D1160" s="2" t="e">
        <f>VIEW.GET(#REF!,1)</f>
        <v>#REF!</v>
      </c>
      <c r="E1160" s="2" t="b">
        <f>IFERROR(INDEX(ERROR(0),VIEW.GET(#REF!,SET.NAME("_",+INDEX(1,)))),RETURN(INDEX(TYPE(_),SET.NAME("_"))))</f>
        <v>0</v>
      </c>
      <c r="F1160" s="2" t="b">
        <f>IFERROR(INDEX(ERROR(0),VIEW.GET(#REF!,INDIRECT(SET.NAME({1,"_"},)))),RETURN(INDEX(TYPE(_),SET.NAME("_"))))</f>
        <v>0</v>
      </c>
      <c r="G1160" s="2">
        <f>TYPE(INDEX(,VIEW.GET(#REF!,INDEX(1,))))</f>
        <v>16</v>
      </c>
    </row>
    <row r="1161" spans="1:7" x14ac:dyDescent="0.55000000000000004">
      <c r="A1161" s="1" t="s">
        <v>1800</v>
      </c>
      <c r="B1161" s="2">
        <f>COUNTIF(A:A,A1161)-1</f>
        <v>6</v>
      </c>
      <c r="C1161" s="2">
        <f>COUNTIF(A$1:A1161,A1161)-1</f>
        <v>0</v>
      </c>
      <c r="D1161" s="2"/>
      <c r="E1161" s="2"/>
      <c r="F1161" s="2"/>
      <c r="G1161" s="2"/>
    </row>
    <row r="1162" spans="1:7" x14ac:dyDescent="0.55000000000000004">
      <c r="A1162" s="1" t="s">
        <v>1800</v>
      </c>
      <c r="B1162" s="2">
        <f>COUNTIF(A:A,A1162)-1</f>
        <v>6</v>
      </c>
      <c r="C1162" s="2">
        <f>COUNTIF(A$1:A1162,A1162)-1</f>
        <v>1</v>
      </c>
      <c r="D1162" s="2" t="e">
        <f>GETPIVOTDATA(1,#REF!,#REF!,#REF!,#REF!,#REF!)</f>
        <v>#REF!</v>
      </c>
      <c r="E1162" s="2" t="b">
        <f>IFERROR(INDEX(ERROR(0),GETPIVOTDATA(SET.NAME("_",+INDEX(1,)),#REF!,#REF!,#REF!,#REF!,#REF!)),RETURN(INDEX(TYPE(_),SET.NAME("_"))))</f>
        <v>0</v>
      </c>
      <c r="F1162" s="2" t="b">
        <f>IFERROR(INDEX(ERROR(0),GETPIVOTDATA(INDIRECT(SET.NAME({1,"_"},)),#REF!,#REF!,#REF!,#REF!,#REF!)),RETURN(INDEX(TYPE(_),SET.NAME("_"))))</f>
        <v>0</v>
      </c>
      <c r="G1162" s="2">
        <f>TYPE(INDEX(,GETPIVOTDATA(INDEX(1,),#REF!,#REF!,#REF!,#REF!,#REF!)))</f>
        <v>64</v>
      </c>
    </row>
    <row r="1163" spans="1:7" x14ac:dyDescent="0.55000000000000004">
      <c r="A1163" s="1" t="s">
        <v>1800</v>
      </c>
      <c r="B1163" s="2">
        <f>COUNTIF(A:A,A1163)-1</f>
        <v>6</v>
      </c>
      <c r="C1163" s="2">
        <f>COUNTIF(A$1:A1163,A1163)-1</f>
        <v>2</v>
      </c>
      <c r="D1163" s="2" t="e">
        <f>GETPIVOTDATA(#REF!,1,#REF!,#REF!,#REF!,#REF!)</f>
        <v>#REF!</v>
      </c>
      <c r="E1163" s="2" t="b">
        <f>IFERROR(INDEX(ERROR(0),GETPIVOTDATA(#REF!,SET.NAME("_",+INDEX(1,)),#REF!,#REF!,#REF!,#REF!)),RETURN(INDEX(TYPE(_),SET.NAME("_"))))</f>
        <v>0</v>
      </c>
      <c r="F1163" s="2" t="b">
        <f>IFERROR(INDEX(ERROR(0),GETPIVOTDATA(#REF!,INDIRECT(SET.NAME({1,"_"},)),#REF!,#REF!,#REF!,#REF!)),RETURN(INDEX(TYPE(_),SET.NAME("_"))))</f>
        <v>0</v>
      </c>
      <c r="G1163" s="2">
        <f>TYPE(INDEX(,GETPIVOTDATA(#REF!,INDEX(1,),#REF!,#REF!,#REF!,#REF!)))</f>
        <v>64</v>
      </c>
    </row>
    <row r="1164" spans="1:7" x14ac:dyDescent="0.55000000000000004">
      <c r="A1164" s="1" t="s">
        <v>1800</v>
      </c>
      <c r="B1164" s="2">
        <f>COUNTIF(A:A,A1164)-1</f>
        <v>6</v>
      </c>
      <c r="C1164" s="2">
        <f>COUNTIF(A$1:A1164,A1164)-1</f>
        <v>3</v>
      </c>
      <c r="D1164" s="2" t="e">
        <f>GETPIVOTDATA(#REF!,#REF!,1,#REF!,#REF!,#REF!)</f>
        <v>#REF!</v>
      </c>
      <c r="E1164" s="2" t="b">
        <f>IFERROR(INDEX(ERROR(0),GETPIVOTDATA(#REF!,#REF!,SET.NAME("_",+INDEX(1,)),#REF!,#REF!,#REF!)),RETURN(INDEX(TYPE(_),SET.NAME("_"))))</f>
        <v>0</v>
      </c>
      <c r="F1164" s="2" t="b">
        <f>IFERROR(INDEX(ERROR(0),GETPIVOTDATA(#REF!,#REF!,INDIRECT(SET.NAME({1,"_"},)),#REF!,#REF!,#REF!)),RETURN(INDEX(TYPE(_),SET.NAME("_"))))</f>
        <v>0</v>
      </c>
      <c r="G1164" s="2">
        <f>TYPE(INDEX(,GETPIVOTDATA(#REF!,#REF!,INDEX(1,),#REF!,#REF!,#REF!)))</f>
        <v>16</v>
      </c>
    </row>
    <row r="1165" spans="1:7" x14ac:dyDescent="0.55000000000000004">
      <c r="A1165" s="1" t="s">
        <v>1800</v>
      </c>
      <c r="B1165" s="2">
        <f>COUNTIF(A:A,A1165)-1</f>
        <v>6</v>
      </c>
      <c r="C1165" s="2">
        <f>COUNTIF(A$1:A1165,A1165)-1</f>
        <v>4</v>
      </c>
      <c r="D1165" s="2" t="e">
        <f>GETPIVOTDATA(#REF!,#REF!,#REF!,1,#REF!,#REF!)</f>
        <v>#REF!</v>
      </c>
      <c r="E1165" s="2" t="b">
        <f>IFERROR(INDEX(ERROR(0),GETPIVOTDATA(#REF!,#REF!,#REF!,SET.NAME("_",+INDEX(1,)),#REF!,#REF!)),RETURN(INDEX(TYPE(_),SET.NAME("_"))))</f>
        <v>0</v>
      </c>
      <c r="F1165" s="2" t="b">
        <f>IFERROR(INDEX(ERROR(0),GETPIVOTDATA(#REF!,#REF!,#REF!,INDIRECT(SET.NAME({1,"_"},)),#REF!,#REF!)),RETURN(INDEX(TYPE(_),SET.NAME("_"))))</f>
        <v>0</v>
      </c>
      <c r="G1165" s="2">
        <f>TYPE(INDEX(,GETPIVOTDATA(#REF!,#REF!,#REF!,INDEX(1,),#REF!,#REF!)))</f>
        <v>16</v>
      </c>
    </row>
    <row r="1166" spans="1:7" x14ac:dyDescent="0.55000000000000004">
      <c r="A1166" s="1" t="s">
        <v>1800</v>
      </c>
      <c r="B1166" s="2">
        <f>COUNTIF(A:A,A1166)-1</f>
        <v>6</v>
      </c>
      <c r="C1166" s="2">
        <f>COUNTIF(A$1:A1166,A1166)-1</f>
        <v>5</v>
      </c>
      <c r="D1166" s="2" t="e">
        <f>GETPIVOTDATA(#REF!,#REF!,#REF!,#REF!,1,#REF!)</f>
        <v>#REF!</v>
      </c>
      <c r="E1166" s="2" t="b">
        <f>IFERROR(INDEX(ERROR(0),GETPIVOTDATA(#REF!,#REF!,#REF!,#REF!,SET.NAME("_",+INDEX(1,)),#REF!)),RETURN(INDEX(TYPE(_),SET.NAME("_"))))</f>
        <v>0</v>
      </c>
      <c r="F1166" s="2" t="b">
        <f>IFERROR(INDEX(ERROR(0),GETPIVOTDATA(#REF!,#REF!,#REF!,#REF!,INDIRECT(SET.NAME({1,"_"},)),#REF!)),RETURN(INDEX(TYPE(_),SET.NAME("_"))))</f>
        <v>0</v>
      </c>
      <c r="G1166" s="2">
        <f>TYPE(INDEX(,GETPIVOTDATA(#REF!,#REF!,#REF!,#REF!,INDEX(1,),#REF!)))</f>
        <v>16</v>
      </c>
    </row>
    <row r="1167" spans="1:7" x14ac:dyDescent="0.55000000000000004">
      <c r="A1167" s="1" t="s">
        <v>1800</v>
      </c>
      <c r="B1167" s="2">
        <f>COUNTIF(A:A,A1167)-1</f>
        <v>6</v>
      </c>
      <c r="C1167" s="2">
        <f>COUNTIF(A$1:A1167,A1167)-1</f>
        <v>6</v>
      </c>
      <c r="D1167" s="2" t="e">
        <f>GETPIVOTDATA(#REF!,#REF!,#REF!,#REF!,#REF!,1)</f>
        <v>#REF!</v>
      </c>
      <c r="E1167" s="2" t="b">
        <f>IFERROR(INDEX(ERROR(0),GETPIVOTDATA(#REF!,#REF!,#REF!,#REF!,#REF!,SET.NAME("_",+INDEX(1,)))),RETURN(INDEX(TYPE(_),SET.NAME("_"))))</f>
        <v>0</v>
      </c>
      <c r="F1167" s="2" t="b">
        <f>IFERROR(INDEX(ERROR(0),GETPIVOTDATA(#REF!,#REF!,#REF!,#REF!,#REF!,INDIRECT(SET.NAME({1,"_"},)))),RETURN(INDEX(TYPE(_),SET.NAME("_"))))</f>
        <v>0</v>
      </c>
      <c r="G1167" s="2">
        <f>TYPE(INDEX(,GETPIVOTDATA(#REF!,#REF!,#REF!,#REF!,#REF!,INDEX(1,))))</f>
        <v>16</v>
      </c>
    </row>
    <row r="1168" spans="1:7" x14ac:dyDescent="0.55000000000000004">
      <c r="A1168" s="1" t="s">
        <v>1801</v>
      </c>
      <c r="B1168" s="2">
        <f>COUNTIF(A:A,A1168)-1</f>
        <v>2</v>
      </c>
      <c r="C1168" s="2">
        <f>COUNTIF(A$1:A1168,A1168)-1</f>
        <v>0</v>
      </c>
      <c r="D1168" s="2"/>
      <c r="E1168" s="2"/>
      <c r="F1168" s="2"/>
      <c r="G1168" s="2"/>
    </row>
    <row r="1169" spans="1:7" x14ac:dyDescent="0.55000000000000004">
      <c r="A1169" s="1" t="s">
        <v>1801</v>
      </c>
      <c r="B1169" s="2">
        <f>COUNTIF(A:A,A1169)-1</f>
        <v>2</v>
      </c>
      <c r="C1169" s="2">
        <f>COUNTIF(A$1:A1169,A1169)-1</f>
        <v>1</v>
      </c>
      <c r="D1169" s="2" t="e">
        <f>HYPERLINK(1,#REF!)</f>
        <v>#REF!</v>
      </c>
      <c r="E1169" s="2" t="b">
        <f>IFERROR(INDEX(ERROR(0),HYPERLINK(SET.NAME("_",+INDEX(1,)),#REF!)),RETURN(INDEX(TYPE(_),SET.NAME("_"))))</f>
        <v>0</v>
      </c>
      <c r="F1169" s="2" t="b">
        <f>IFERROR(INDEX(ERROR(0),HYPERLINK(INDIRECT(SET.NAME({1,"_"},)),#REF!)),RETURN(INDEX(TYPE(_),SET.NAME("_"))))</f>
        <v>0</v>
      </c>
      <c r="G1169" s="2">
        <f>TYPE(INDEX(,HYPERLINK(INDEX(1,),#REF!)))</f>
        <v>16</v>
      </c>
    </row>
    <row r="1170" spans="1:7" x14ac:dyDescent="0.55000000000000004">
      <c r="A1170" s="1" t="s">
        <v>1801</v>
      </c>
      <c r="B1170" s="2">
        <f>COUNTIF(A:A,A1170)-1</f>
        <v>2</v>
      </c>
      <c r="C1170" s="2">
        <f>COUNTIF(A$1:A1170,A1170)-1</f>
        <v>2</v>
      </c>
      <c r="D1170" s="2" t="e">
        <f>HYPERLINK(#REF!,1)</f>
        <v>#REF!</v>
      </c>
      <c r="E1170" s="2" t="b">
        <f>IFERROR(INDEX(ERROR(0),HYPERLINK(#REF!,SET.NAME("_",+INDEX(1,)))),RETURN(INDEX(TYPE(_),SET.NAME("_"))))</f>
        <v>0</v>
      </c>
      <c r="F1170" s="2" t="b">
        <f>IFERROR(INDEX(ERROR(0),HYPERLINK(#REF!,INDIRECT(SET.NAME({1,"_"},)))),RETURN(INDEX(TYPE(_),SET.NAME("_"))))</f>
        <v>0</v>
      </c>
      <c r="G1170" s="2">
        <f>TYPE(INDEX(,HYPERLINK(#REF!,INDEX(1,))))</f>
        <v>16</v>
      </c>
    </row>
    <row r="1171" spans="1:7" x14ac:dyDescent="0.55000000000000004">
      <c r="A1171" s="1" t="s">
        <v>1802</v>
      </c>
      <c r="B1171" s="2">
        <f>COUNTIF(A:A,A1171)-1</f>
        <v>1</v>
      </c>
      <c r="C1171" s="2">
        <f>COUNTIF(A$1:A1171,A1171)-1</f>
        <v>0</v>
      </c>
      <c r="D1171" s="2"/>
      <c r="E1171" s="2"/>
      <c r="F1171" s="2"/>
      <c r="G1171" s="2"/>
    </row>
    <row r="1172" spans="1:7" x14ac:dyDescent="0.55000000000000004">
      <c r="A1172" s="1" t="s">
        <v>1802</v>
      </c>
      <c r="B1172" s="2">
        <f>COUNTIF(A:A,A1172)-1</f>
        <v>1</v>
      </c>
      <c r="C1172" s="2">
        <f>COUNTIF(A$1:A1172,A1172)-1</f>
        <v>1</v>
      </c>
      <c r="D1172" s="2" t="s">
        <v>2292</v>
      </c>
      <c r="E1172" s="2" t="s">
        <v>2230</v>
      </c>
      <c r="F1172" s="2" t="b">
        <f>IFERROR(INDEX(ERROR(0),PHONETIC(INDIRECT(SET.NAME({1,"_"},)))),RETURN(INDEX(TYPE(_),SET.NAME("_"))))</f>
        <v>0</v>
      </c>
      <c r="G1172" s="2">
        <f>TYPE(INDEX(,PHONETIC(INDEX(1,))))</f>
        <v>64</v>
      </c>
    </row>
    <row r="1173" spans="1:7" x14ac:dyDescent="0.55000000000000004">
      <c r="A1173" s="1" t="s">
        <v>1803</v>
      </c>
      <c r="B1173" s="2">
        <f>COUNTIF(A:A,A1173)-1</f>
        <v>3</v>
      </c>
      <c r="C1173" s="2">
        <f>COUNTIF(A$1:A1173,A1173)-1</f>
        <v>0</v>
      </c>
      <c r="D1173" s="2"/>
      <c r="E1173" s="2"/>
      <c r="F1173" s="2"/>
      <c r="G1173" s="2"/>
    </row>
    <row r="1174" spans="1:7" x14ac:dyDescent="0.55000000000000004">
      <c r="A1174" s="1" t="s">
        <v>1803</v>
      </c>
      <c r="B1174" s="2">
        <f>COUNTIF(A:A,A1174)-1</f>
        <v>3</v>
      </c>
      <c r="C1174" s="2">
        <f>COUNTIF(A$1:A1174,A1174)-1</f>
        <v>1</v>
      </c>
      <c r="D1174" s="2" t="e">
        <f>AVERAGEA(1,#REF!,#REF!)</f>
        <v>#REF!</v>
      </c>
      <c r="E1174" s="2" t="b">
        <f>IFERROR(INDEX(ERROR(0),AVERAGEA(SET.NAME("_",+INDEX(1,)),#REF!,#REF!)),RETURN(INDEX(TYPE(_),SET.NAME("_"))))</f>
        <v>0</v>
      </c>
      <c r="F1174" s="2" t="b">
        <f>IFERROR(INDEX(ERROR(0),AVERAGEA(INDIRECT(SET.NAME({1,"_"},)),#REF!,#REF!)),RETURN(INDEX(TYPE(_),SET.NAME("_"))))</f>
        <v>0</v>
      </c>
      <c r="G1174" s="2">
        <f>TYPE(INDEX(,AVERAGEA(INDEX(1,),#REF!,#REF!)))</f>
        <v>16</v>
      </c>
    </row>
    <row r="1175" spans="1:7" x14ac:dyDescent="0.55000000000000004">
      <c r="A1175" s="1" t="s">
        <v>1803</v>
      </c>
      <c r="B1175" s="2">
        <f>COUNTIF(A:A,A1175)-1</f>
        <v>3</v>
      </c>
      <c r="C1175" s="2">
        <f>COUNTIF(A$1:A1175,A1175)-1</f>
        <v>2</v>
      </c>
      <c r="D1175" s="2" t="e">
        <f>AVERAGEA(#REF!,1,#REF!)</f>
        <v>#REF!</v>
      </c>
      <c r="E1175" s="2" t="b">
        <f>IFERROR(INDEX(ERROR(0),AVERAGEA(#REF!,SET.NAME("_",+INDEX(1,)),#REF!)),RETURN(INDEX(TYPE(_),SET.NAME("_"))))</f>
        <v>0</v>
      </c>
      <c r="F1175" s="2" t="b">
        <f>IFERROR(INDEX(ERROR(0),AVERAGEA(#REF!,INDIRECT(SET.NAME({1,"_"},)),#REF!)),RETURN(INDEX(TYPE(_),SET.NAME("_"))))</f>
        <v>0</v>
      </c>
      <c r="G1175" s="2">
        <f>TYPE(INDEX(,AVERAGEA(#REF!,INDEX(1,),#REF!)))</f>
        <v>16</v>
      </c>
    </row>
    <row r="1176" spans="1:7" x14ac:dyDescent="0.55000000000000004">
      <c r="A1176" s="1" t="s">
        <v>1803</v>
      </c>
      <c r="B1176" s="2">
        <f>COUNTIF(A:A,A1176)-1</f>
        <v>3</v>
      </c>
      <c r="C1176" s="2">
        <f>COUNTIF(A$1:A1176,A1176)-1</f>
        <v>3</v>
      </c>
      <c r="D1176" s="2" t="e">
        <f>AVERAGEA(#REF!,#REF!,1)</f>
        <v>#REF!</v>
      </c>
      <c r="E1176" s="2" t="b">
        <f>IFERROR(INDEX(ERROR(0),AVERAGEA(#REF!,#REF!,SET.NAME("_",+INDEX(1,)))),RETURN(INDEX(TYPE(_),SET.NAME("_"))))</f>
        <v>0</v>
      </c>
      <c r="F1176" s="2" t="b">
        <f>IFERROR(INDEX(ERROR(0),AVERAGEA(#REF!,#REF!,INDIRECT(SET.NAME({1,"_"},)))),RETURN(INDEX(TYPE(_),SET.NAME("_"))))</f>
        <v>0</v>
      </c>
      <c r="G1176" s="2">
        <f>TYPE(INDEX(,AVERAGEA(#REF!,#REF!,INDEX(1,))))</f>
        <v>16</v>
      </c>
    </row>
    <row r="1177" spans="1:7" x14ac:dyDescent="0.55000000000000004">
      <c r="A1177" s="1" t="s">
        <v>1804</v>
      </c>
      <c r="B1177" s="2">
        <f>COUNTIF(A:A,A1177)-1</f>
        <v>3</v>
      </c>
      <c r="C1177" s="2">
        <f>COUNTIF(A$1:A1177,A1177)-1</f>
        <v>0</v>
      </c>
      <c r="D1177" s="2"/>
      <c r="E1177" s="2"/>
      <c r="F1177" s="2"/>
      <c r="G1177" s="2"/>
    </row>
    <row r="1178" spans="1:7" x14ac:dyDescent="0.55000000000000004">
      <c r="A1178" s="1" t="s">
        <v>1804</v>
      </c>
      <c r="B1178" s="2">
        <f>COUNTIF(A:A,A1178)-1</f>
        <v>3</v>
      </c>
      <c r="C1178" s="2">
        <f>COUNTIF(A$1:A1178,A1178)-1</f>
        <v>1</v>
      </c>
      <c r="D1178" s="2" t="e">
        <f>MAXA(1,#REF!,#REF!)</f>
        <v>#REF!</v>
      </c>
      <c r="E1178" s="2" t="b">
        <f>IFERROR(INDEX(ERROR(0),MAXA(SET.NAME("_",+INDEX(1,)),#REF!,#REF!)),RETURN(INDEX(TYPE(_),SET.NAME("_"))))</f>
        <v>0</v>
      </c>
      <c r="F1178" s="2" t="b">
        <f>IFERROR(INDEX(ERROR(0),MAXA(INDIRECT(SET.NAME({1,"_"},)),#REF!,#REF!)),RETURN(INDEX(TYPE(_),SET.NAME("_"))))</f>
        <v>0</v>
      </c>
      <c r="G1178" s="2">
        <f>TYPE(INDEX(,MAXA(INDEX(1,),#REF!,#REF!)))</f>
        <v>16</v>
      </c>
    </row>
    <row r="1179" spans="1:7" x14ac:dyDescent="0.55000000000000004">
      <c r="A1179" s="1" t="s">
        <v>1804</v>
      </c>
      <c r="B1179" s="2">
        <f>COUNTIF(A:A,A1179)-1</f>
        <v>3</v>
      </c>
      <c r="C1179" s="2">
        <f>COUNTIF(A$1:A1179,A1179)-1</f>
        <v>2</v>
      </c>
      <c r="D1179" s="2" t="e">
        <f>MAXA(#REF!,1,#REF!)</f>
        <v>#REF!</v>
      </c>
      <c r="E1179" s="2" t="b">
        <f>IFERROR(INDEX(ERROR(0),MAXA(#REF!,SET.NAME("_",+INDEX(1,)),#REF!)),RETURN(INDEX(TYPE(_),SET.NAME("_"))))</f>
        <v>0</v>
      </c>
      <c r="F1179" s="2" t="b">
        <f>IFERROR(INDEX(ERROR(0),MAXA(#REF!,INDIRECT(SET.NAME({1,"_"},)),#REF!)),RETURN(INDEX(TYPE(_),SET.NAME("_"))))</f>
        <v>0</v>
      </c>
      <c r="G1179" s="2">
        <f>TYPE(INDEX(,MAXA(#REF!,INDEX(1,),#REF!)))</f>
        <v>16</v>
      </c>
    </row>
    <row r="1180" spans="1:7" x14ac:dyDescent="0.55000000000000004">
      <c r="A1180" s="1" t="s">
        <v>1804</v>
      </c>
      <c r="B1180" s="2">
        <f>COUNTIF(A:A,A1180)-1</f>
        <v>3</v>
      </c>
      <c r="C1180" s="2">
        <f>COUNTIF(A$1:A1180,A1180)-1</f>
        <v>3</v>
      </c>
      <c r="D1180" s="2" t="e">
        <f>MAXA(#REF!,#REF!,1)</f>
        <v>#REF!</v>
      </c>
      <c r="E1180" s="2" t="b">
        <f>IFERROR(INDEX(ERROR(0),MAXA(#REF!,#REF!,SET.NAME("_",+INDEX(1,)))),RETURN(INDEX(TYPE(_),SET.NAME("_"))))</f>
        <v>0</v>
      </c>
      <c r="F1180" s="2" t="b">
        <f>IFERROR(INDEX(ERROR(0),MAXA(#REF!,#REF!,INDIRECT(SET.NAME({1,"_"},)))),RETURN(INDEX(TYPE(_),SET.NAME("_"))))</f>
        <v>0</v>
      </c>
      <c r="G1180" s="2">
        <f>TYPE(INDEX(,MAXA(#REF!,#REF!,INDEX(1,))))</f>
        <v>16</v>
      </c>
    </row>
    <row r="1181" spans="1:7" x14ac:dyDescent="0.55000000000000004">
      <c r="A1181" s="1" t="s">
        <v>1805</v>
      </c>
      <c r="B1181" s="2">
        <f>COUNTIF(A:A,A1181)-1</f>
        <v>3</v>
      </c>
      <c r="C1181" s="2">
        <f>COUNTIF(A$1:A1181,A1181)-1</f>
        <v>0</v>
      </c>
      <c r="D1181" s="2"/>
      <c r="E1181" s="2"/>
      <c r="F1181" s="2"/>
      <c r="G1181" s="2"/>
    </row>
    <row r="1182" spans="1:7" x14ac:dyDescent="0.55000000000000004">
      <c r="A1182" s="1" t="s">
        <v>1805</v>
      </c>
      <c r="B1182" s="2">
        <f>COUNTIF(A:A,A1182)-1</f>
        <v>3</v>
      </c>
      <c r="C1182" s="2">
        <f>COUNTIF(A$1:A1182,A1182)-1</f>
        <v>1</v>
      </c>
      <c r="D1182" s="2" t="e">
        <f>MINA(1,#REF!,#REF!)</f>
        <v>#REF!</v>
      </c>
      <c r="E1182" s="2" t="b">
        <f>IFERROR(INDEX(ERROR(0),MINA(SET.NAME("_",+INDEX(1,)),#REF!,#REF!)),RETURN(INDEX(TYPE(_),SET.NAME("_"))))</f>
        <v>0</v>
      </c>
      <c r="F1182" s="2" t="b">
        <f>IFERROR(INDEX(ERROR(0),MINA(INDIRECT(SET.NAME({1,"_"},)),#REF!,#REF!)),RETURN(INDEX(TYPE(_),SET.NAME("_"))))</f>
        <v>0</v>
      </c>
      <c r="G1182" s="2">
        <f>TYPE(INDEX(,MINA(INDEX(1,),#REF!,#REF!)))</f>
        <v>16</v>
      </c>
    </row>
    <row r="1183" spans="1:7" x14ac:dyDescent="0.55000000000000004">
      <c r="A1183" s="1" t="s">
        <v>1805</v>
      </c>
      <c r="B1183" s="2">
        <f>COUNTIF(A:A,A1183)-1</f>
        <v>3</v>
      </c>
      <c r="C1183" s="2">
        <f>COUNTIF(A$1:A1183,A1183)-1</f>
        <v>2</v>
      </c>
      <c r="D1183" s="2" t="e">
        <f>MINA(#REF!,1,#REF!)</f>
        <v>#REF!</v>
      </c>
      <c r="E1183" s="2" t="b">
        <f>IFERROR(INDEX(ERROR(0),MINA(#REF!,SET.NAME("_",+INDEX(1,)),#REF!)),RETURN(INDEX(TYPE(_),SET.NAME("_"))))</f>
        <v>0</v>
      </c>
      <c r="F1183" s="2" t="b">
        <f>IFERROR(INDEX(ERROR(0),MINA(#REF!,INDIRECT(SET.NAME({1,"_"},)),#REF!)),RETURN(INDEX(TYPE(_),SET.NAME("_"))))</f>
        <v>0</v>
      </c>
      <c r="G1183" s="2">
        <f>TYPE(INDEX(,MINA(#REF!,INDEX(1,),#REF!)))</f>
        <v>16</v>
      </c>
    </row>
    <row r="1184" spans="1:7" x14ac:dyDescent="0.55000000000000004">
      <c r="A1184" s="1" t="s">
        <v>1805</v>
      </c>
      <c r="B1184" s="2">
        <f>COUNTIF(A:A,A1184)-1</f>
        <v>3</v>
      </c>
      <c r="C1184" s="2">
        <f>COUNTIF(A$1:A1184,A1184)-1</f>
        <v>3</v>
      </c>
      <c r="D1184" s="2" t="e">
        <f>MINA(#REF!,#REF!,1)</f>
        <v>#REF!</v>
      </c>
      <c r="E1184" s="2" t="b">
        <f>IFERROR(INDEX(ERROR(0),MINA(#REF!,#REF!,SET.NAME("_",+INDEX(1,)))),RETURN(INDEX(TYPE(_),SET.NAME("_"))))</f>
        <v>0</v>
      </c>
      <c r="F1184" s="2" t="b">
        <f>IFERROR(INDEX(ERROR(0),MINA(#REF!,#REF!,INDIRECT(SET.NAME({1,"_"},)))),RETURN(INDEX(TYPE(_),SET.NAME("_"))))</f>
        <v>0</v>
      </c>
      <c r="G1184" s="2">
        <f>TYPE(INDEX(,MINA(#REF!,#REF!,INDEX(1,))))</f>
        <v>16</v>
      </c>
    </row>
    <row r="1185" spans="1:7" x14ac:dyDescent="0.55000000000000004">
      <c r="A1185" s="1" t="s">
        <v>1806</v>
      </c>
      <c r="B1185" s="2">
        <f>COUNTIF(A:A,A1185)-1</f>
        <v>3</v>
      </c>
      <c r="C1185" s="2">
        <f>COUNTIF(A$1:A1185,A1185)-1</f>
        <v>0</v>
      </c>
      <c r="D1185" s="2"/>
      <c r="E1185" s="2"/>
      <c r="F1185" s="2"/>
      <c r="G1185" s="2"/>
    </row>
    <row r="1186" spans="1:7" x14ac:dyDescent="0.55000000000000004">
      <c r="A1186" s="1" t="s">
        <v>1806</v>
      </c>
      <c r="B1186" s="2">
        <f>COUNTIF(A:A,A1186)-1</f>
        <v>3</v>
      </c>
      <c r="C1186" s="2">
        <f>COUNTIF(A$1:A1186,A1186)-1</f>
        <v>1</v>
      </c>
      <c r="D1186" s="2" t="e">
        <f>STDEVPA(1,#REF!,#REF!)</f>
        <v>#REF!</v>
      </c>
      <c r="E1186" s="2" t="b">
        <f>IFERROR(INDEX(ERROR(0),STDEVPA(SET.NAME("_",+INDEX(1,)),#REF!,#REF!)),RETURN(INDEX(TYPE(_),SET.NAME("_"))))</f>
        <v>0</v>
      </c>
      <c r="F1186" s="2" t="b">
        <f>IFERROR(INDEX(ERROR(0),STDEVPA(INDIRECT(SET.NAME({1,"_"},)),#REF!,#REF!)),RETURN(INDEX(TYPE(_),SET.NAME("_"))))</f>
        <v>0</v>
      </c>
      <c r="G1186" s="2">
        <f>TYPE(INDEX(,STDEVPA(INDEX(1,),#REF!,#REF!)))</f>
        <v>16</v>
      </c>
    </row>
    <row r="1187" spans="1:7" x14ac:dyDescent="0.55000000000000004">
      <c r="A1187" s="1" t="s">
        <v>1806</v>
      </c>
      <c r="B1187" s="2">
        <f>COUNTIF(A:A,A1187)-1</f>
        <v>3</v>
      </c>
      <c r="C1187" s="2">
        <f>COUNTIF(A$1:A1187,A1187)-1</f>
        <v>2</v>
      </c>
      <c r="D1187" s="2" t="e">
        <f>STDEVPA(#REF!,1,#REF!)</f>
        <v>#REF!</v>
      </c>
      <c r="E1187" s="2" t="b">
        <f>IFERROR(INDEX(ERROR(0),STDEVPA(#REF!,SET.NAME("_",+INDEX(1,)),#REF!)),RETURN(INDEX(TYPE(_),SET.NAME("_"))))</f>
        <v>0</v>
      </c>
      <c r="F1187" s="2" t="b">
        <f>IFERROR(INDEX(ERROR(0),STDEVPA(#REF!,INDIRECT(SET.NAME({1,"_"},)),#REF!)),RETURN(INDEX(TYPE(_),SET.NAME("_"))))</f>
        <v>0</v>
      </c>
      <c r="G1187" s="2">
        <f>TYPE(INDEX(,STDEVPA(#REF!,INDEX(1,),#REF!)))</f>
        <v>16</v>
      </c>
    </row>
    <row r="1188" spans="1:7" x14ac:dyDescent="0.55000000000000004">
      <c r="A1188" s="1" t="s">
        <v>1806</v>
      </c>
      <c r="B1188" s="2">
        <f>COUNTIF(A:A,A1188)-1</f>
        <v>3</v>
      </c>
      <c r="C1188" s="2">
        <f>COUNTIF(A$1:A1188,A1188)-1</f>
        <v>3</v>
      </c>
      <c r="D1188" s="2" t="e">
        <f>STDEVPA(#REF!,#REF!,1)</f>
        <v>#REF!</v>
      </c>
      <c r="E1188" s="2" t="b">
        <f>IFERROR(INDEX(ERROR(0),STDEVPA(#REF!,#REF!,SET.NAME("_",+INDEX(1,)))),RETURN(INDEX(TYPE(_),SET.NAME("_"))))</f>
        <v>0</v>
      </c>
      <c r="F1188" s="2" t="b">
        <f>IFERROR(INDEX(ERROR(0),STDEVPA(#REF!,#REF!,INDIRECT(SET.NAME({1,"_"},)))),RETURN(INDEX(TYPE(_),SET.NAME("_"))))</f>
        <v>0</v>
      </c>
      <c r="G1188" s="2">
        <f>TYPE(INDEX(,STDEVPA(#REF!,#REF!,INDEX(1,))))</f>
        <v>16</v>
      </c>
    </row>
    <row r="1189" spans="1:7" x14ac:dyDescent="0.55000000000000004">
      <c r="A1189" s="1" t="s">
        <v>1807</v>
      </c>
      <c r="B1189" s="2">
        <f>COUNTIF(A:A,A1189)-1</f>
        <v>3</v>
      </c>
      <c r="C1189" s="2">
        <f>COUNTIF(A$1:A1189,A1189)-1</f>
        <v>0</v>
      </c>
      <c r="D1189" s="2"/>
      <c r="E1189" s="2"/>
      <c r="F1189" s="2"/>
      <c r="G1189" s="2"/>
    </row>
    <row r="1190" spans="1:7" x14ac:dyDescent="0.55000000000000004">
      <c r="A1190" s="1" t="s">
        <v>1807</v>
      </c>
      <c r="B1190" s="2">
        <f>COUNTIF(A:A,A1190)-1</f>
        <v>3</v>
      </c>
      <c r="C1190" s="2">
        <f>COUNTIF(A$1:A1190,A1190)-1</f>
        <v>1</v>
      </c>
      <c r="D1190" s="2" t="e">
        <f>VARPA(1,#REF!,#REF!)</f>
        <v>#REF!</v>
      </c>
      <c r="E1190" s="2" t="b">
        <f>IFERROR(INDEX(ERROR(0),VARPA(SET.NAME("_",+INDEX(1,)),#REF!,#REF!)),RETURN(INDEX(TYPE(_),SET.NAME("_"))))</f>
        <v>0</v>
      </c>
      <c r="F1190" s="2" t="b">
        <f>IFERROR(INDEX(ERROR(0),VARPA(INDIRECT(SET.NAME({1,"_"},)),#REF!,#REF!)),RETURN(INDEX(TYPE(_),SET.NAME("_"))))</f>
        <v>0</v>
      </c>
      <c r="G1190" s="2">
        <f>TYPE(INDEX(,VARPA(INDEX(1,),#REF!,#REF!)))</f>
        <v>16</v>
      </c>
    </row>
    <row r="1191" spans="1:7" x14ac:dyDescent="0.55000000000000004">
      <c r="A1191" s="1" t="s">
        <v>1807</v>
      </c>
      <c r="B1191" s="2">
        <f>COUNTIF(A:A,A1191)-1</f>
        <v>3</v>
      </c>
      <c r="C1191" s="2">
        <f>COUNTIF(A$1:A1191,A1191)-1</f>
        <v>2</v>
      </c>
      <c r="D1191" s="2" t="e">
        <f>VARPA(#REF!,1,#REF!)</f>
        <v>#REF!</v>
      </c>
      <c r="E1191" s="2" t="b">
        <f>IFERROR(INDEX(ERROR(0),VARPA(#REF!,SET.NAME("_",+INDEX(1,)),#REF!)),RETURN(INDEX(TYPE(_),SET.NAME("_"))))</f>
        <v>0</v>
      </c>
      <c r="F1191" s="2" t="b">
        <f>IFERROR(INDEX(ERROR(0),VARPA(#REF!,INDIRECT(SET.NAME({1,"_"},)),#REF!)),RETURN(INDEX(TYPE(_),SET.NAME("_"))))</f>
        <v>0</v>
      </c>
      <c r="G1191" s="2">
        <f>TYPE(INDEX(,VARPA(#REF!,INDEX(1,),#REF!)))</f>
        <v>16</v>
      </c>
    </row>
    <row r="1192" spans="1:7" x14ac:dyDescent="0.55000000000000004">
      <c r="A1192" s="1" t="s">
        <v>1807</v>
      </c>
      <c r="B1192" s="2">
        <f>COUNTIF(A:A,A1192)-1</f>
        <v>3</v>
      </c>
      <c r="C1192" s="2">
        <f>COUNTIF(A$1:A1192,A1192)-1</f>
        <v>3</v>
      </c>
      <c r="D1192" s="2" t="e">
        <f>VARPA(#REF!,#REF!,1)</f>
        <v>#REF!</v>
      </c>
      <c r="E1192" s="2" t="b">
        <f>IFERROR(INDEX(ERROR(0),VARPA(#REF!,#REF!,SET.NAME("_",+INDEX(1,)))),RETURN(INDEX(TYPE(_),SET.NAME("_"))))</f>
        <v>0</v>
      </c>
      <c r="F1192" s="2" t="b">
        <f>IFERROR(INDEX(ERROR(0),VARPA(#REF!,#REF!,INDIRECT(SET.NAME({1,"_"},)))),RETURN(INDEX(TYPE(_),SET.NAME("_"))))</f>
        <v>0</v>
      </c>
      <c r="G1192" s="2">
        <f>TYPE(INDEX(,VARPA(#REF!,#REF!,INDEX(1,))))</f>
        <v>16</v>
      </c>
    </row>
    <row r="1193" spans="1:7" x14ac:dyDescent="0.55000000000000004">
      <c r="A1193" s="1" t="s">
        <v>1808</v>
      </c>
      <c r="B1193" s="2">
        <f>COUNTIF(A:A,A1193)-1</f>
        <v>3</v>
      </c>
      <c r="C1193" s="2">
        <f>COUNTIF(A$1:A1193,A1193)-1</f>
        <v>0</v>
      </c>
      <c r="D1193" s="2"/>
      <c r="E1193" s="2"/>
      <c r="F1193" s="2"/>
      <c r="G1193" s="2"/>
    </row>
    <row r="1194" spans="1:7" x14ac:dyDescent="0.55000000000000004">
      <c r="A1194" s="1" t="s">
        <v>1808</v>
      </c>
      <c r="B1194" s="2">
        <f>COUNTIF(A:A,A1194)-1</f>
        <v>3</v>
      </c>
      <c r="C1194" s="2">
        <f>COUNTIF(A$1:A1194,A1194)-1</f>
        <v>1</v>
      </c>
      <c r="D1194" s="2" t="e">
        <f>STDEVA(1,#REF!,#REF!)</f>
        <v>#REF!</v>
      </c>
      <c r="E1194" s="2" t="b">
        <f>IFERROR(INDEX(ERROR(0),STDEVA(SET.NAME("_",+INDEX(1,)),#REF!,#REF!)),RETURN(INDEX(TYPE(_),SET.NAME("_"))))</f>
        <v>0</v>
      </c>
      <c r="F1194" s="2" t="b">
        <f>IFERROR(INDEX(ERROR(0),STDEVA(INDIRECT(SET.NAME({1,"_"},)),#REF!,#REF!)),RETURN(INDEX(TYPE(_),SET.NAME("_"))))</f>
        <v>0</v>
      </c>
      <c r="G1194" s="2">
        <f>TYPE(INDEX(,STDEVA(INDEX(1,),#REF!,#REF!)))</f>
        <v>16</v>
      </c>
    </row>
    <row r="1195" spans="1:7" x14ac:dyDescent="0.55000000000000004">
      <c r="A1195" s="1" t="s">
        <v>1808</v>
      </c>
      <c r="B1195" s="2">
        <f>COUNTIF(A:A,A1195)-1</f>
        <v>3</v>
      </c>
      <c r="C1195" s="2">
        <f>COUNTIF(A$1:A1195,A1195)-1</f>
        <v>2</v>
      </c>
      <c r="D1195" s="2" t="e">
        <f>STDEVA(#REF!,1,#REF!)</f>
        <v>#REF!</v>
      </c>
      <c r="E1195" s="2" t="b">
        <f>IFERROR(INDEX(ERROR(0),STDEVA(#REF!,SET.NAME("_",+INDEX(1,)),#REF!)),RETURN(INDEX(TYPE(_),SET.NAME("_"))))</f>
        <v>0</v>
      </c>
      <c r="F1195" s="2" t="b">
        <f>IFERROR(INDEX(ERROR(0),STDEVA(#REF!,INDIRECT(SET.NAME({1,"_"},)),#REF!)),RETURN(INDEX(TYPE(_),SET.NAME("_"))))</f>
        <v>0</v>
      </c>
      <c r="G1195" s="2">
        <f>TYPE(INDEX(,STDEVA(#REF!,INDEX(1,),#REF!)))</f>
        <v>16</v>
      </c>
    </row>
    <row r="1196" spans="1:7" x14ac:dyDescent="0.55000000000000004">
      <c r="A1196" s="1" t="s">
        <v>1808</v>
      </c>
      <c r="B1196" s="2">
        <f>COUNTIF(A:A,A1196)-1</f>
        <v>3</v>
      </c>
      <c r="C1196" s="2">
        <f>COUNTIF(A$1:A1196,A1196)-1</f>
        <v>3</v>
      </c>
      <c r="D1196" s="2" t="e">
        <f>STDEVA(#REF!,#REF!,1)</f>
        <v>#REF!</v>
      </c>
      <c r="E1196" s="2" t="b">
        <f>IFERROR(INDEX(ERROR(0),STDEVA(#REF!,#REF!,SET.NAME("_",+INDEX(1,)))),RETURN(INDEX(TYPE(_),SET.NAME("_"))))</f>
        <v>0</v>
      </c>
      <c r="F1196" s="2" t="b">
        <f>IFERROR(INDEX(ERROR(0),STDEVA(#REF!,#REF!,INDIRECT(SET.NAME({1,"_"},)))),RETURN(INDEX(TYPE(_),SET.NAME("_"))))</f>
        <v>0</v>
      </c>
      <c r="G1196" s="2">
        <f>TYPE(INDEX(,STDEVA(#REF!,#REF!,INDEX(1,))))</f>
        <v>16</v>
      </c>
    </row>
    <row r="1197" spans="1:7" x14ac:dyDescent="0.55000000000000004">
      <c r="A1197" s="1" t="s">
        <v>1809</v>
      </c>
      <c r="B1197" s="2">
        <f>COUNTIF(A:A,A1197)-1</f>
        <v>3</v>
      </c>
      <c r="C1197" s="2">
        <f>COUNTIF(A$1:A1197,A1197)-1</f>
        <v>0</v>
      </c>
      <c r="D1197" s="2"/>
      <c r="E1197" s="2"/>
      <c r="F1197" s="2"/>
      <c r="G1197" s="2"/>
    </row>
    <row r="1198" spans="1:7" x14ac:dyDescent="0.55000000000000004">
      <c r="A1198" s="1" t="s">
        <v>1809</v>
      </c>
      <c r="B1198" s="2">
        <f>COUNTIF(A:A,A1198)-1</f>
        <v>3</v>
      </c>
      <c r="C1198" s="2">
        <f>COUNTIF(A$1:A1198,A1198)-1</f>
        <v>1</v>
      </c>
      <c r="D1198" s="2" t="e">
        <f>VARA(1,#REF!,#REF!)</f>
        <v>#REF!</v>
      </c>
      <c r="E1198" s="2" t="b">
        <f>IFERROR(INDEX(ERROR(0),VARA(SET.NAME("_",+INDEX(1,)),#REF!,#REF!)),RETURN(INDEX(TYPE(_),SET.NAME("_"))))</f>
        <v>0</v>
      </c>
      <c r="F1198" s="2" t="b">
        <f>IFERROR(INDEX(ERROR(0),VARA(INDIRECT(SET.NAME({1,"_"},)),#REF!,#REF!)),RETURN(INDEX(TYPE(_),SET.NAME("_"))))</f>
        <v>0</v>
      </c>
      <c r="G1198" s="2">
        <f>TYPE(INDEX(,VARA(INDEX(1,),#REF!,#REF!)))</f>
        <v>16</v>
      </c>
    </row>
    <row r="1199" spans="1:7" x14ac:dyDescent="0.55000000000000004">
      <c r="A1199" s="1" t="s">
        <v>1809</v>
      </c>
      <c r="B1199" s="2">
        <f>COUNTIF(A:A,A1199)-1</f>
        <v>3</v>
      </c>
      <c r="C1199" s="2">
        <f>COUNTIF(A$1:A1199,A1199)-1</f>
        <v>2</v>
      </c>
      <c r="D1199" s="2" t="e">
        <f>VARA(#REF!,1,#REF!)</f>
        <v>#REF!</v>
      </c>
      <c r="E1199" s="2" t="b">
        <f>IFERROR(INDEX(ERROR(0),VARA(#REF!,SET.NAME("_",+INDEX(1,)),#REF!)),RETURN(INDEX(TYPE(_),SET.NAME("_"))))</f>
        <v>0</v>
      </c>
      <c r="F1199" s="2" t="b">
        <f>IFERROR(INDEX(ERROR(0),VARA(#REF!,INDIRECT(SET.NAME({1,"_"},)),#REF!)),RETURN(INDEX(TYPE(_),SET.NAME("_"))))</f>
        <v>0</v>
      </c>
      <c r="G1199" s="2">
        <f>TYPE(INDEX(,VARA(#REF!,INDEX(1,),#REF!)))</f>
        <v>16</v>
      </c>
    </row>
    <row r="1200" spans="1:7" x14ac:dyDescent="0.55000000000000004">
      <c r="A1200" s="1" t="s">
        <v>1809</v>
      </c>
      <c r="B1200" s="2">
        <f>COUNTIF(A:A,A1200)-1</f>
        <v>3</v>
      </c>
      <c r="C1200" s="2">
        <f>COUNTIF(A$1:A1200,A1200)-1</f>
        <v>3</v>
      </c>
      <c r="D1200" s="2" t="e">
        <f>VARA(#REF!,#REF!,1)</f>
        <v>#REF!</v>
      </c>
      <c r="E1200" s="2" t="b">
        <f>IFERROR(INDEX(ERROR(0),VARA(#REF!,#REF!,SET.NAME("_",+INDEX(1,)))),RETURN(INDEX(TYPE(_),SET.NAME("_"))))</f>
        <v>0</v>
      </c>
      <c r="F1200" s="2" t="b">
        <f>IFERROR(INDEX(ERROR(0),VARA(#REF!,#REF!,INDIRECT(SET.NAME({1,"_"},)))),RETURN(INDEX(TYPE(_),SET.NAME("_"))))</f>
        <v>0</v>
      </c>
      <c r="G1200" s="2">
        <f>TYPE(INDEX(,VARA(#REF!,#REF!,INDEX(1,))))</f>
        <v>16</v>
      </c>
    </row>
    <row r="1201" spans="1:7" x14ac:dyDescent="0.55000000000000004">
      <c r="A1201" s="1" t="s">
        <v>1810</v>
      </c>
      <c r="B1201" s="2">
        <f>COUNTIF(A:A,A1201)-1</f>
        <v>1</v>
      </c>
      <c r="C1201" s="2">
        <f>COUNTIF(A$1:A1201,A1201)-1</f>
        <v>0</v>
      </c>
      <c r="D1201" s="2"/>
      <c r="E1201" s="2"/>
      <c r="F1201" s="2"/>
      <c r="G1201" s="2"/>
    </row>
    <row r="1202" spans="1:7" x14ac:dyDescent="0.55000000000000004">
      <c r="A1202" s="1" t="s">
        <v>1810</v>
      </c>
      <c r="B1202" s="2">
        <f>COUNTIF(A:A,A1202)-1</f>
        <v>1</v>
      </c>
      <c r="C1202" s="2">
        <f>COUNTIF(A$1:A1202,A1202)-1</f>
        <v>1</v>
      </c>
      <c r="D1202" s="2" t="str">
        <f>BAHTTEXT(1)</f>
        <v>หนึ่งบาทถ้วน</v>
      </c>
      <c r="E1202" s="2" t="b">
        <f>IFERROR(INDEX(ERROR(0),BAHTTEXT(SET.NAME("_",+INDEX(1,)))),RETURN(INDEX(TYPE(_),SET.NAME("_"))))</f>
        <v>0</v>
      </c>
      <c r="F1202" s="2" t="b">
        <f>IFERROR(INDEX(ERROR(0),BAHTTEXT(INDIRECT(SET.NAME({1,"_"},)))),RETURN(INDEX(TYPE(_),SET.NAME("_"))))</f>
        <v>0</v>
      </c>
      <c r="G1202" s="2">
        <f>TYPE(INDEX(,BAHTTEXT(INDEX(1,))))</f>
        <v>16</v>
      </c>
    </row>
    <row r="1203" spans="1:7" x14ac:dyDescent="0.55000000000000004">
      <c r="A1203" s="1" t="s">
        <v>1811</v>
      </c>
      <c r="B1203" s="2">
        <f>COUNTIF(A:A,A1203)-1</f>
        <v>1</v>
      </c>
      <c r="C1203" s="2">
        <f>COUNTIF(A$1:A1203,A1203)-1</f>
        <v>0</v>
      </c>
      <c r="D1203" s="2"/>
      <c r="E1203" s="2"/>
      <c r="F1203" s="2"/>
      <c r="G1203" s="2"/>
    </row>
    <row r="1204" spans="1:7" x14ac:dyDescent="0.55000000000000004">
      <c r="A1204" s="1" t="s">
        <v>1811</v>
      </c>
      <c r="B1204" s="2">
        <f>COUNTIF(A:A,A1204)-1</f>
        <v>1</v>
      </c>
      <c r="C1204" s="2">
        <f>COUNTIF(A$1:A1204,A1204)-1</f>
        <v>1</v>
      </c>
      <c r="D1204" s="2" t="e">
        <f>THAIDAYOFWEEK(1)</f>
        <v>#VALUE!</v>
      </c>
      <c r="E1204" s="2" t="b">
        <f>IFERROR(INDEX(ERROR(0),THAIDAYOFWEEK(SET.NAME("_",+INDEX(1,)))),RETURN(INDEX(TYPE(_),SET.NAME("_"))))</f>
        <v>0</v>
      </c>
      <c r="F1204" s="2" t="b">
        <f>IFERROR(INDEX(ERROR(0),THAIDAYOFWEEK(INDIRECT(SET.NAME({1,"_"},)))),RETURN(INDEX(TYPE(_),SET.NAME("_"))))</f>
        <v>0</v>
      </c>
      <c r="G1204" s="2">
        <f>TYPE(INDEX(,THAIDAYOFWEEK(INDEX(1,))))</f>
        <v>16</v>
      </c>
    </row>
    <row r="1205" spans="1:7" x14ac:dyDescent="0.55000000000000004">
      <c r="A1205" s="1" t="s">
        <v>1812</v>
      </c>
      <c r="B1205" s="2">
        <f>COUNTIF(A:A,A1205)-1</f>
        <v>1</v>
      </c>
      <c r="C1205" s="2">
        <f>COUNTIF(A$1:A1205,A1205)-1</f>
        <v>0</v>
      </c>
      <c r="D1205" s="2"/>
      <c r="E1205" s="2"/>
      <c r="F1205" s="2"/>
      <c r="G1205" s="2"/>
    </row>
    <row r="1206" spans="1:7" x14ac:dyDescent="0.55000000000000004">
      <c r="A1206" s="1" t="s">
        <v>1812</v>
      </c>
      <c r="B1206" s="2">
        <f>COUNTIF(A:A,A1206)-1</f>
        <v>1</v>
      </c>
      <c r="C1206" s="2">
        <f>COUNTIF(A$1:A1206,A1206)-1</f>
        <v>1</v>
      </c>
      <c r="D1206" s="2" t="e">
        <f>THAIDIGIT(1)</f>
        <v>#VALUE!</v>
      </c>
      <c r="E1206" s="2" t="b">
        <f>IFERROR(INDEX(ERROR(0),THAIDIGIT(SET.NAME("_",+INDEX(1,)))),RETURN(INDEX(TYPE(_),SET.NAME("_"))))</f>
        <v>0</v>
      </c>
      <c r="F1206" s="2" t="b">
        <f>IFERROR(INDEX(ERROR(0),THAIDIGIT(INDIRECT(SET.NAME({1,"_"},)))),RETURN(INDEX(TYPE(_),SET.NAME("_"))))</f>
        <v>0</v>
      </c>
      <c r="G1206" s="2">
        <f>TYPE(INDEX(,THAIDIGIT(INDEX(1,))))</f>
        <v>16</v>
      </c>
    </row>
    <row r="1207" spans="1:7" x14ac:dyDescent="0.55000000000000004">
      <c r="A1207" s="1" t="s">
        <v>1813</v>
      </c>
      <c r="B1207" s="2">
        <f>COUNTIF(A:A,A1207)-1</f>
        <v>1</v>
      </c>
      <c r="C1207" s="2">
        <f>COUNTIF(A$1:A1207,A1207)-1</f>
        <v>0</v>
      </c>
      <c r="D1207" s="2"/>
      <c r="E1207" s="2"/>
      <c r="F1207" s="2"/>
      <c r="G1207" s="2"/>
    </row>
    <row r="1208" spans="1:7" x14ac:dyDescent="0.55000000000000004">
      <c r="A1208" s="1" t="s">
        <v>1813</v>
      </c>
      <c r="B1208" s="2">
        <f>COUNTIF(A:A,A1208)-1</f>
        <v>1</v>
      </c>
      <c r="C1208" s="2">
        <f>COUNTIF(A$1:A1208,A1208)-1</f>
        <v>1</v>
      </c>
      <c r="D1208" s="2" t="e">
        <f>THAIMONTHOFYEAR(1)</f>
        <v>#VALUE!</v>
      </c>
      <c r="E1208" s="2" t="b">
        <f>IFERROR(INDEX(ERROR(0),THAIMONTHOFYEAR(SET.NAME("_",+INDEX(1,)))),RETURN(INDEX(TYPE(_),SET.NAME("_"))))</f>
        <v>0</v>
      </c>
      <c r="F1208" s="2" t="b">
        <f>IFERROR(INDEX(ERROR(0),THAIMONTHOFYEAR(INDIRECT(SET.NAME({1,"_"},)))),RETURN(INDEX(TYPE(_),SET.NAME("_"))))</f>
        <v>0</v>
      </c>
      <c r="G1208" s="2">
        <f>TYPE(INDEX(,THAIMONTHOFYEAR(INDEX(1,))))</f>
        <v>16</v>
      </c>
    </row>
    <row r="1209" spans="1:7" x14ac:dyDescent="0.55000000000000004">
      <c r="A1209" s="1" t="s">
        <v>1814</v>
      </c>
      <c r="B1209" s="2">
        <f>COUNTIF(A:A,A1209)-1</f>
        <v>1</v>
      </c>
      <c r="C1209" s="2">
        <f>COUNTIF(A$1:A1209,A1209)-1</f>
        <v>0</v>
      </c>
      <c r="D1209" s="2"/>
      <c r="E1209" s="2"/>
      <c r="F1209" s="2"/>
      <c r="G1209" s="2"/>
    </row>
    <row r="1210" spans="1:7" x14ac:dyDescent="0.55000000000000004">
      <c r="A1210" s="1" t="s">
        <v>1814</v>
      </c>
      <c r="B1210" s="2">
        <f>COUNTIF(A:A,A1210)-1</f>
        <v>1</v>
      </c>
      <c r="C1210" s="2">
        <f>COUNTIF(A$1:A1210,A1210)-1</f>
        <v>1</v>
      </c>
      <c r="D1210" s="2" t="e">
        <f>THAINUMSOUND(1)</f>
        <v>#VALUE!</v>
      </c>
      <c r="E1210" s="2" t="b">
        <f>IFERROR(INDEX(ERROR(0),THAINUMSOUND(SET.NAME("_",+INDEX(1,)))),RETURN(INDEX(TYPE(_),SET.NAME("_"))))</f>
        <v>0</v>
      </c>
      <c r="F1210" s="2" t="b">
        <f>IFERROR(INDEX(ERROR(0),THAINUMSOUND(INDIRECT(SET.NAME({1,"_"},)))),RETURN(INDEX(TYPE(_),SET.NAME("_"))))</f>
        <v>0</v>
      </c>
      <c r="G1210" s="2">
        <f>TYPE(INDEX(,THAINUMSOUND(INDEX(1,))))</f>
        <v>16</v>
      </c>
    </row>
    <row r="1211" spans="1:7" x14ac:dyDescent="0.55000000000000004">
      <c r="A1211" s="1" t="s">
        <v>1815</v>
      </c>
      <c r="B1211" s="2">
        <f>COUNTIF(A:A,A1211)-1</f>
        <v>1</v>
      </c>
      <c r="C1211" s="2">
        <f>COUNTIF(A$1:A1211,A1211)-1</f>
        <v>0</v>
      </c>
      <c r="D1211" s="2"/>
      <c r="E1211" s="2"/>
      <c r="F1211" s="2"/>
      <c r="G1211" s="2"/>
    </row>
    <row r="1212" spans="1:7" x14ac:dyDescent="0.55000000000000004">
      <c r="A1212" s="1" t="s">
        <v>1815</v>
      </c>
      <c r="B1212" s="2">
        <f>COUNTIF(A:A,A1212)-1</f>
        <v>1</v>
      </c>
      <c r="C1212" s="2">
        <f>COUNTIF(A$1:A1212,A1212)-1</f>
        <v>1</v>
      </c>
      <c r="D1212" s="2" t="e">
        <f>THAINUMSTRING(1)</f>
        <v>#VALUE!</v>
      </c>
      <c r="E1212" s="2" t="b">
        <f>IFERROR(INDEX(ERROR(0),THAINUMSTRING(SET.NAME("_",+INDEX(1,)))),RETURN(INDEX(TYPE(_),SET.NAME("_"))))</f>
        <v>0</v>
      </c>
      <c r="F1212" s="2" t="b">
        <f>IFERROR(INDEX(ERROR(0),THAINUMSTRING(INDIRECT(SET.NAME({1,"_"},)))),RETURN(INDEX(TYPE(_),SET.NAME("_"))))</f>
        <v>0</v>
      </c>
      <c r="G1212" s="2">
        <f>TYPE(INDEX(,THAINUMSTRING(INDEX(1,))))</f>
        <v>16</v>
      </c>
    </row>
    <row r="1213" spans="1:7" x14ac:dyDescent="0.55000000000000004">
      <c r="A1213" s="1" t="s">
        <v>1816</v>
      </c>
      <c r="B1213" s="2">
        <f>COUNTIF(A:A,A1213)-1</f>
        <v>1</v>
      </c>
      <c r="C1213" s="2">
        <f>COUNTIF(A$1:A1213,A1213)-1</f>
        <v>0</v>
      </c>
      <c r="D1213" s="2"/>
      <c r="E1213" s="2"/>
      <c r="F1213" s="2"/>
      <c r="G1213" s="2"/>
    </row>
    <row r="1214" spans="1:7" x14ac:dyDescent="0.55000000000000004">
      <c r="A1214" s="1" t="s">
        <v>1816</v>
      </c>
      <c r="B1214" s="2">
        <f>COUNTIF(A:A,A1214)-1</f>
        <v>1</v>
      </c>
      <c r="C1214" s="2">
        <f>COUNTIF(A$1:A1214,A1214)-1</f>
        <v>1</v>
      </c>
      <c r="D1214" s="2" t="e">
        <f>THAISTRINGLENGTH(1)</f>
        <v>#VALUE!</v>
      </c>
      <c r="E1214" s="2" t="b">
        <f>IFERROR(INDEX(ERROR(0),THAISTRINGLENGTH(SET.NAME("_",+INDEX(1,)))),RETURN(INDEX(TYPE(_),SET.NAME("_"))))</f>
        <v>0</v>
      </c>
      <c r="F1214" s="2" t="b">
        <f>IFERROR(INDEX(ERROR(0),THAISTRINGLENGTH(INDIRECT(SET.NAME({1,"_"},)))),RETURN(INDEX(TYPE(_),SET.NAME("_"))))</f>
        <v>0</v>
      </c>
      <c r="G1214" s="2">
        <f>TYPE(INDEX(,THAISTRINGLENGTH(INDEX(1,))))</f>
        <v>16</v>
      </c>
    </row>
    <row r="1215" spans="1:7" x14ac:dyDescent="0.55000000000000004">
      <c r="A1215" s="1" t="s">
        <v>1817</v>
      </c>
      <c r="B1215" s="2">
        <f>COUNTIF(A:A,A1215)-1</f>
        <v>1</v>
      </c>
      <c r="C1215" s="2">
        <f>COUNTIF(A$1:A1215,A1215)-1</f>
        <v>0</v>
      </c>
      <c r="D1215" s="2"/>
      <c r="E1215" s="2"/>
      <c r="F1215" s="2"/>
      <c r="G1215" s="2"/>
    </row>
    <row r="1216" spans="1:7" x14ac:dyDescent="0.55000000000000004">
      <c r="A1216" s="1" t="s">
        <v>1817</v>
      </c>
      <c r="B1216" s="2">
        <f>COUNTIF(A:A,A1216)-1</f>
        <v>1</v>
      </c>
      <c r="C1216" s="2">
        <f>COUNTIF(A$1:A1216,A1216)-1</f>
        <v>1</v>
      </c>
      <c r="D1216" s="2" t="e">
        <f>ISTHAIDIGIT(1)</f>
        <v>#VALUE!</v>
      </c>
      <c r="E1216" s="2" t="b">
        <f>IFERROR(INDEX(ERROR(0),ISTHAIDIGIT(SET.NAME("_",+INDEX(1,)))),RETURN(INDEX(TYPE(_),SET.NAME("_"))))</f>
        <v>0</v>
      </c>
      <c r="F1216" s="2" t="b">
        <f>IFERROR(INDEX(ERROR(0),ISTHAIDIGIT(INDIRECT(SET.NAME({1,"_"},)))),RETURN(INDEX(TYPE(_),SET.NAME("_"))))</f>
        <v>0</v>
      </c>
      <c r="G1216" s="2">
        <f>TYPE(INDEX(,ISTHAIDIGIT(INDEX(1,))))</f>
        <v>16</v>
      </c>
    </row>
    <row r="1217" spans="1:7" x14ac:dyDescent="0.55000000000000004">
      <c r="A1217" s="1" t="s">
        <v>1818</v>
      </c>
      <c r="B1217" s="2">
        <f>COUNTIF(A:A,A1217)-1</f>
        <v>1</v>
      </c>
      <c r="C1217" s="2">
        <f>COUNTIF(A$1:A1217,A1217)-1</f>
        <v>0</v>
      </c>
      <c r="D1217" s="2"/>
      <c r="E1217" s="2"/>
      <c r="F1217" s="2"/>
      <c r="G1217" s="2"/>
    </row>
    <row r="1218" spans="1:7" x14ac:dyDescent="0.55000000000000004">
      <c r="A1218" s="1" t="s">
        <v>1818</v>
      </c>
      <c r="B1218" s="2">
        <f>COUNTIF(A:A,A1218)-1</f>
        <v>1</v>
      </c>
      <c r="C1218" s="2">
        <f>COUNTIF(A$1:A1218,A1218)-1</f>
        <v>1</v>
      </c>
      <c r="D1218" s="2" t="e">
        <f>ROUNDBAHTDOWN(1)</f>
        <v>#VALUE!</v>
      </c>
      <c r="E1218" s="2" t="b">
        <f>IFERROR(INDEX(ERROR(0),ROUNDBAHTDOWN(SET.NAME("_",+INDEX(1,)))),RETURN(INDEX(TYPE(_),SET.NAME("_"))))</f>
        <v>0</v>
      </c>
      <c r="F1218" s="2" t="b">
        <f>IFERROR(INDEX(ERROR(0),ROUNDBAHTDOWN(INDIRECT(SET.NAME({1,"_"},)))),RETURN(INDEX(TYPE(_),SET.NAME("_"))))</f>
        <v>0</v>
      </c>
      <c r="G1218" s="2">
        <f>TYPE(INDEX(,ROUNDBAHTDOWN(INDEX(1,))))</f>
        <v>16</v>
      </c>
    </row>
    <row r="1219" spans="1:7" x14ac:dyDescent="0.55000000000000004">
      <c r="A1219" s="1" t="s">
        <v>1819</v>
      </c>
      <c r="B1219" s="2">
        <f>COUNTIF(A:A,A1219)-1</f>
        <v>1</v>
      </c>
      <c r="C1219" s="2">
        <f>COUNTIF(A$1:A1219,A1219)-1</f>
        <v>0</v>
      </c>
      <c r="D1219" s="2"/>
      <c r="E1219" s="2"/>
      <c r="F1219" s="2"/>
      <c r="G1219" s="2"/>
    </row>
    <row r="1220" spans="1:7" x14ac:dyDescent="0.55000000000000004">
      <c r="A1220" s="1" t="s">
        <v>1819</v>
      </c>
      <c r="B1220" s="2">
        <f>COUNTIF(A:A,A1220)-1</f>
        <v>1</v>
      </c>
      <c r="C1220" s="2">
        <f>COUNTIF(A$1:A1220,A1220)-1</f>
        <v>1</v>
      </c>
      <c r="D1220" s="2" t="e">
        <f>ROUNDBAHTUP(1)</f>
        <v>#VALUE!</v>
      </c>
      <c r="E1220" s="2" t="b">
        <f>IFERROR(INDEX(ERROR(0),ROUNDBAHTUP(SET.NAME("_",+INDEX(1,)))),RETURN(INDEX(TYPE(_),SET.NAME("_"))))</f>
        <v>0</v>
      </c>
      <c r="F1220" s="2" t="b">
        <f>IFERROR(INDEX(ERROR(0),ROUNDBAHTUP(INDIRECT(SET.NAME({1,"_"},)))),RETURN(INDEX(TYPE(_),SET.NAME("_"))))</f>
        <v>0</v>
      </c>
      <c r="G1220" s="2">
        <f>TYPE(INDEX(,ROUNDBAHTUP(INDEX(1,))))</f>
        <v>16</v>
      </c>
    </row>
    <row r="1221" spans="1:7" x14ac:dyDescent="0.55000000000000004">
      <c r="A1221" s="1" t="s">
        <v>1820</v>
      </c>
      <c r="B1221" s="2">
        <f>COUNTIF(A:A,A1221)-1</f>
        <v>1</v>
      </c>
      <c r="C1221" s="2">
        <f>COUNTIF(A$1:A1221,A1221)-1</f>
        <v>0</v>
      </c>
      <c r="D1221" s="2"/>
      <c r="E1221" s="2"/>
      <c r="F1221" s="2"/>
      <c r="G1221" s="2"/>
    </row>
    <row r="1222" spans="1:7" x14ac:dyDescent="0.55000000000000004">
      <c r="A1222" s="1" t="s">
        <v>1820</v>
      </c>
      <c r="B1222" s="2">
        <f>COUNTIF(A:A,A1222)-1</f>
        <v>1</v>
      </c>
      <c r="C1222" s="2">
        <f>COUNTIF(A$1:A1222,A1222)-1</f>
        <v>1</v>
      </c>
      <c r="D1222" s="2" t="e">
        <f>THAIYEAR(1)</f>
        <v>#VALUE!</v>
      </c>
      <c r="E1222" s="2" t="b">
        <f>IFERROR(INDEX(ERROR(0),THAIYEAR(SET.NAME("_",+INDEX(1,)))),RETURN(INDEX(TYPE(_),SET.NAME("_"))))</f>
        <v>0</v>
      </c>
      <c r="F1222" s="2" t="b">
        <f>IFERROR(INDEX(ERROR(0),THAIYEAR(INDIRECT(SET.NAME({1,"_"},)))),RETURN(INDEX(TYPE(_),SET.NAME("_"))))</f>
        <v>0</v>
      </c>
      <c r="G1222" s="2">
        <f>TYPE(INDEX(,THAIYEAR(INDEX(1,))))</f>
        <v>16</v>
      </c>
    </row>
    <row r="1223" spans="1:7" x14ac:dyDescent="0.55000000000000004">
      <c r="A1223" s="1" t="s">
        <v>1821</v>
      </c>
      <c r="B1223" s="2">
        <f>COUNTIF(A:A,A1223)-1</f>
        <v>5</v>
      </c>
      <c r="C1223" s="2">
        <f>COUNTIF(A$1:A1223,A1223)-1</f>
        <v>0</v>
      </c>
      <c r="D1223" s="2"/>
      <c r="E1223" s="2"/>
      <c r="F1223" s="2"/>
      <c r="G1223" s="2"/>
    </row>
    <row r="1224" spans="1:7" x14ac:dyDescent="0.55000000000000004">
      <c r="A1224" s="1" t="s">
        <v>1821</v>
      </c>
      <c r="B1224" s="2">
        <f>COUNTIF(A:A,A1224)-1</f>
        <v>5</v>
      </c>
      <c r="C1224" s="2">
        <f>COUNTIF(A$1:A1224,A1224)-1</f>
        <v>1</v>
      </c>
      <c r="D1224" s="2" t="e">
        <f>RTD(1,#REF!,#REF!,#REF!,#REF!)</f>
        <v>#REF!</v>
      </c>
      <c r="E1224" s="2" t="b">
        <f>IFERROR(INDEX(ERROR(0),RTD(SET.NAME("_",+INDEX(1,)),#REF!,#REF!,#REF!,#REF!)),RETURN(INDEX(TYPE(_),SET.NAME("_"))))</f>
        <v>0</v>
      </c>
      <c r="F1224" s="2" t="b">
        <f>IFERROR(INDEX(ERROR(0),RTD(INDIRECT(SET.NAME({1,"_"},)),#REF!,#REF!,#REF!,#REF!)),RETURN(INDEX(TYPE(_),SET.NAME("_"))))</f>
        <v>0</v>
      </c>
      <c r="G1224" s="2">
        <f>TYPE(INDEX(,RTD(INDEX(1,),#REF!,#REF!,#REF!,#REF!)))</f>
        <v>16</v>
      </c>
    </row>
    <row r="1225" spans="1:7" x14ac:dyDescent="0.55000000000000004">
      <c r="A1225" s="1" t="s">
        <v>1821</v>
      </c>
      <c r="B1225" s="2">
        <f>COUNTIF(A:A,A1225)-1</f>
        <v>5</v>
      </c>
      <c r="C1225" s="2">
        <f>COUNTIF(A$1:A1225,A1225)-1</f>
        <v>2</v>
      </c>
      <c r="D1225" s="2" t="e">
        <f>RTD(#REF!,1,#REF!,#REF!,#REF!)</f>
        <v>#REF!</v>
      </c>
      <c r="E1225" s="2" t="b">
        <f>IFERROR(INDEX(ERROR(0),RTD(#REF!,SET.NAME("_",+INDEX(1,)),#REF!,#REF!,#REF!)),RETURN(INDEX(TYPE(_),SET.NAME("_"))))</f>
        <v>0</v>
      </c>
      <c r="F1225" s="2" t="b">
        <f>IFERROR(INDEX(ERROR(0),RTD(#REF!,INDIRECT(SET.NAME({1,"_"},)),#REF!,#REF!,#REF!)),RETURN(INDEX(TYPE(_),SET.NAME("_"))))</f>
        <v>0</v>
      </c>
      <c r="G1225" s="2">
        <f>TYPE(INDEX(,RTD(#REF!,INDEX(1,),#REF!,#REF!,#REF!)))</f>
        <v>16</v>
      </c>
    </row>
    <row r="1226" spans="1:7" x14ac:dyDescent="0.55000000000000004">
      <c r="A1226" s="1" t="s">
        <v>1821</v>
      </c>
      <c r="B1226" s="2">
        <f>COUNTIF(A:A,A1226)-1</f>
        <v>5</v>
      </c>
      <c r="C1226" s="2">
        <f>COUNTIF(A$1:A1226,A1226)-1</f>
        <v>3</v>
      </c>
      <c r="D1226" s="2" t="e">
        <f>RTD(#REF!,#REF!,1,#REF!,#REF!)</f>
        <v>#REF!</v>
      </c>
      <c r="E1226" s="2" t="b">
        <f>IFERROR(INDEX(ERROR(0),RTD(#REF!,#REF!,SET.NAME("_",+INDEX(1,)),#REF!,#REF!)),RETURN(INDEX(TYPE(_),SET.NAME("_"))))</f>
        <v>0</v>
      </c>
      <c r="F1226" s="2" t="b">
        <f>IFERROR(INDEX(ERROR(0),RTD(#REF!,#REF!,INDIRECT(SET.NAME({1,"_"},)),#REF!,#REF!)),RETURN(INDEX(TYPE(_),SET.NAME("_"))))</f>
        <v>0</v>
      </c>
      <c r="G1226" s="2">
        <f>TYPE(INDEX(,RTD(#REF!,#REF!,INDEX(1,),#REF!,#REF!)))</f>
        <v>16</v>
      </c>
    </row>
    <row r="1227" spans="1:7" x14ac:dyDescent="0.55000000000000004">
      <c r="A1227" s="1" t="s">
        <v>1821</v>
      </c>
      <c r="B1227" s="2">
        <f>COUNTIF(A:A,A1227)-1</f>
        <v>5</v>
      </c>
      <c r="C1227" s="2">
        <f>COUNTIF(A$1:A1227,A1227)-1</f>
        <v>4</v>
      </c>
      <c r="D1227" s="2" t="e">
        <f>RTD(#REF!,#REF!,#REF!,1,#REF!)</f>
        <v>#REF!</v>
      </c>
      <c r="E1227" s="2" t="b">
        <f>IFERROR(INDEX(ERROR(0),RTD(#REF!,#REF!,#REF!,SET.NAME("_",+INDEX(1,)),#REF!)),RETURN(INDEX(TYPE(_),SET.NAME("_"))))</f>
        <v>0</v>
      </c>
      <c r="F1227" s="2" t="b">
        <f>IFERROR(INDEX(ERROR(0),RTD(#REF!,#REF!,#REF!,INDIRECT(SET.NAME({1,"_"},)),#REF!)),RETURN(INDEX(TYPE(_),SET.NAME("_"))))</f>
        <v>0</v>
      </c>
      <c r="G1227" s="2">
        <f>TYPE(INDEX(,RTD(#REF!,#REF!,#REF!,INDEX(1,),#REF!)))</f>
        <v>16</v>
      </c>
    </row>
    <row r="1228" spans="1:7" x14ac:dyDescent="0.55000000000000004">
      <c r="A1228" s="1" t="s">
        <v>1821</v>
      </c>
      <c r="B1228" s="2">
        <f>COUNTIF(A:A,A1228)-1</f>
        <v>5</v>
      </c>
      <c r="C1228" s="2">
        <f>COUNTIF(A$1:A1228,A1228)-1</f>
        <v>5</v>
      </c>
      <c r="D1228" s="2" t="e">
        <f>RTD(#REF!,#REF!,#REF!,#REF!,1)</f>
        <v>#REF!</v>
      </c>
      <c r="E1228" s="2" t="b">
        <f>IFERROR(INDEX(ERROR(0),RTD(#REF!,#REF!,#REF!,#REF!,SET.NAME("_",+INDEX(1,)))),RETURN(INDEX(TYPE(_),SET.NAME("_"))))</f>
        <v>0</v>
      </c>
      <c r="F1228" s="2" t="b">
        <f>IFERROR(INDEX(ERROR(0),RTD(#REF!,#REF!,#REF!,#REF!,INDIRECT(SET.NAME({1,"_"},)))),RETURN(INDEX(TYPE(_),SET.NAME("_"))))</f>
        <v>0</v>
      </c>
      <c r="G1228" s="2">
        <f>TYPE(INDEX(,RTD(#REF!,#REF!,#REF!,#REF!,INDEX(1,))))</f>
        <v>16</v>
      </c>
    </row>
    <row r="1229" spans="1:7" x14ac:dyDescent="0.55000000000000004">
      <c r="A1229" s="1" t="s">
        <v>1822</v>
      </c>
      <c r="B1229" s="2">
        <f>COUNTIF(A:A,A1229)-1</f>
        <v>3</v>
      </c>
      <c r="C1229" s="2">
        <f>COUNTIF(A$1:A1229,A1229)-1</f>
        <v>0</v>
      </c>
      <c r="D1229" s="2"/>
      <c r="E1229" s="2"/>
      <c r="F1229" s="2"/>
      <c r="G1229" s="2"/>
    </row>
    <row r="1230" spans="1:7" x14ac:dyDescent="0.55000000000000004">
      <c r="A1230" s="1" t="s">
        <v>1822</v>
      </c>
      <c r="B1230" s="2">
        <f>COUNTIF(A:A,A1230)-1</f>
        <v>3</v>
      </c>
      <c r="C1230" s="2">
        <f>COUNTIF(A$1:A1230,A1230)-1</f>
        <v>1</v>
      </c>
      <c r="D1230" s="2" t="e">
        <f>CUBEVALUE(1,#REF!,#REF!)</f>
        <v>#REF!</v>
      </c>
      <c r="E1230" s="2" t="b">
        <f>IFERROR(INDEX(ERROR(0),CUBEVALUE(SET.NAME("_",+INDEX(1,)),#REF!,#REF!)),RETURN(INDEX(TYPE(_),SET.NAME("_"))))</f>
        <v>0</v>
      </c>
      <c r="F1230" s="2" t="b">
        <f>IFERROR(INDEX(ERROR(0),CUBEVALUE(INDIRECT(SET.NAME({1,"_"},)),#REF!,#REF!)),RETURN(INDEX(TYPE(_),SET.NAME("_"))))</f>
        <v>0</v>
      </c>
      <c r="G1230" s="2">
        <f>TYPE(INDEX(,CUBEVALUE(INDEX(1,),#REF!,#REF!)))</f>
        <v>16</v>
      </c>
    </row>
    <row r="1231" spans="1:7" x14ac:dyDescent="0.55000000000000004">
      <c r="A1231" s="1" t="s">
        <v>1822</v>
      </c>
      <c r="B1231" s="2">
        <f>COUNTIF(A:A,A1231)-1</f>
        <v>3</v>
      </c>
      <c r="C1231" s="2">
        <f>COUNTIF(A$1:A1231,A1231)-1</f>
        <v>2</v>
      </c>
      <c r="D1231" s="2" t="e">
        <f>CUBEVALUE(#REF!,1,#REF!)</f>
        <v>#REF!</v>
      </c>
      <c r="E1231" s="2" t="b">
        <f>IFERROR(INDEX(ERROR(0),CUBEVALUE(#REF!,SET.NAME("_",+INDEX(1,)),#REF!)),RETURN(INDEX(TYPE(_),SET.NAME("_"))))</f>
        <v>0</v>
      </c>
      <c r="F1231" s="2" t="b">
        <f>IFERROR(INDEX(ERROR(0),CUBEVALUE(#REF!,INDIRECT(SET.NAME({1,"_"},)),#REF!)),RETURN(INDEX(TYPE(_),SET.NAME("_"))))</f>
        <v>0</v>
      </c>
      <c r="G1231" s="2">
        <f>TYPE(INDEX(,CUBEVALUE(#REF!,INDEX(1,),#REF!)))</f>
        <v>16</v>
      </c>
    </row>
    <row r="1232" spans="1:7" x14ac:dyDescent="0.55000000000000004">
      <c r="A1232" s="1" t="s">
        <v>1822</v>
      </c>
      <c r="B1232" s="2">
        <f>COUNTIF(A:A,A1232)-1</f>
        <v>3</v>
      </c>
      <c r="C1232" s="2">
        <f>COUNTIF(A$1:A1232,A1232)-1</f>
        <v>3</v>
      </c>
      <c r="D1232" s="2" t="e">
        <f>CUBEVALUE(#REF!,#REF!,1)</f>
        <v>#REF!</v>
      </c>
      <c r="E1232" s="2" t="b">
        <f>IFERROR(INDEX(ERROR(0),CUBEVALUE(#REF!,#REF!,SET.NAME("_",+INDEX(1,)))),RETURN(INDEX(TYPE(_),SET.NAME("_"))))</f>
        <v>0</v>
      </c>
      <c r="F1232" s="2" t="b">
        <f>IFERROR(INDEX(ERROR(0),CUBEVALUE(#REF!,#REF!,INDIRECT(SET.NAME({1,"_"},)))),RETURN(INDEX(TYPE(_),SET.NAME("_"))))</f>
        <v>0</v>
      </c>
      <c r="G1232" s="2">
        <f>TYPE(INDEX(,CUBEVALUE(#REF!,#REF!,INDEX(1,))))</f>
        <v>16</v>
      </c>
    </row>
    <row r="1233" spans="1:7" x14ac:dyDescent="0.55000000000000004">
      <c r="A1233" s="1" t="s">
        <v>1823</v>
      </c>
      <c r="B1233" s="2">
        <f>COUNTIF(A:A,A1233)-1</f>
        <v>3</v>
      </c>
      <c r="C1233" s="2">
        <f>COUNTIF(A$1:A1233,A1233)-1</f>
        <v>0</v>
      </c>
      <c r="D1233" s="2"/>
      <c r="E1233" s="2"/>
      <c r="F1233" s="2"/>
      <c r="G1233" s="2"/>
    </row>
    <row r="1234" spans="1:7" x14ac:dyDescent="0.55000000000000004">
      <c r="A1234" s="1" t="s">
        <v>1823</v>
      </c>
      <c r="B1234" s="2">
        <f>COUNTIF(A:A,A1234)-1</f>
        <v>3</v>
      </c>
      <c r="C1234" s="2">
        <f>COUNTIF(A$1:A1234,A1234)-1</f>
        <v>1</v>
      </c>
      <c r="D1234" s="2" t="e">
        <f>CUBEMEMBER(1,#REF!,#REF!)</f>
        <v>#REF!</v>
      </c>
      <c r="E1234" s="2" t="b">
        <f>IFERROR(INDEX(ERROR(0),CUBEMEMBER(SET.NAME("_",+INDEX(1,)),#REF!,#REF!)),RETURN(INDEX(TYPE(_),SET.NAME("_"))))</f>
        <v>0</v>
      </c>
      <c r="F1234" s="2" t="b">
        <f>IFERROR(INDEX(ERROR(0),CUBEMEMBER(INDIRECT(SET.NAME({1,"_"},)),#REF!,#REF!)),RETURN(INDEX(TYPE(_),SET.NAME("_"))))</f>
        <v>0</v>
      </c>
      <c r="G1234" s="2">
        <f>TYPE(INDEX(,CUBEMEMBER(INDEX(1,),#REF!,#REF!)))</f>
        <v>16</v>
      </c>
    </row>
    <row r="1235" spans="1:7" x14ac:dyDescent="0.55000000000000004">
      <c r="A1235" s="1" t="s">
        <v>1823</v>
      </c>
      <c r="B1235" s="2">
        <f>COUNTIF(A:A,A1235)-1</f>
        <v>3</v>
      </c>
      <c r="C1235" s="2">
        <f>COUNTIF(A$1:A1235,A1235)-1</f>
        <v>2</v>
      </c>
      <c r="D1235" s="2" t="e">
        <f>CUBEMEMBER(#REF!,1,#REF!)</f>
        <v>#REF!</v>
      </c>
      <c r="E1235" s="2" t="b">
        <f>IFERROR(INDEX(ERROR(0),CUBEMEMBER(#REF!,SET.NAME("_",+INDEX(1,)),#REF!)),RETURN(INDEX(TYPE(_),SET.NAME("_"))))</f>
        <v>0</v>
      </c>
      <c r="F1235" s="2" t="b">
        <f>IFERROR(INDEX(ERROR(0),CUBEMEMBER(#REF!,INDIRECT(SET.NAME({1,"_"},)),#REF!)),RETURN(INDEX(TYPE(_),SET.NAME("_"))))</f>
        <v>0</v>
      </c>
      <c r="G1235" s="2">
        <f>TYPE(INDEX(,CUBEMEMBER(#REF!,INDEX(1,),#REF!)))</f>
        <v>16</v>
      </c>
    </row>
    <row r="1236" spans="1:7" x14ac:dyDescent="0.55000000000000004">
      <c r="A1236" s="1" t="s">
        <v>1823</v>
      </c>
      <c r="B1236" s="2">
        <f>COUNTIF(A:A,A1236)-1</f>
        <v>3</v>
      </c>
      <c r="C1236" s="2">
        <f>COUNTIF(A$1:A1236,A1236)-1</f>
        <v>3</v>
      </c>
      <c r="D1236" s="2" t="e">
        <f>CUBEMEMBER(#REF!,#REF!,1)</f>
        <v>#REF!</v>
      </c>
      <c r="E1236" s="2" t="b">
        <f>IFERROR(INDEX(ERROR(0),CUBEMEMBER(#REF!,#REF!,SET.NAME("_",+INDEX(1,)))),RETURN(INDEX(TYPE(_),SET.NAME("_"))))</f>
        <v>0</v>
      </c>
      <c r="F1236" s="2" t="b">
        <f>IFERROR(INDEX(ERROR(0),CUBEMEMBER(#REF!,#REF!,INDIRECT(SET.NAME({1,"_"},)))),RETURN(INDEX(TYPE(_),SET.NAME("_"))))</f>
        <v>0</v>
      </c>
      <c r="G1236" s="2">
        <f>TYPE(INDEX(,CUBEMEMBER(#REF!,#REF!,INDEX(1,))))</f>
        <v>16</v>
      </c>
    </row>
    <row r="1237" spans="1:7" x14ac:dyDescent="0.55000000000000004">
      <c r="A1237" s="1" t="s">
        <v>1824</v>
      </c>
      <c r="B1237" s="2">
        <f>COUNTIF(A:A,A1237)-1</f>
        <v>3</v>
      </c>
      <c r="C1237" s="2">
        <f>COUNTIF(A$1:A1237,A1237)-1</f>
        <v>0</v>
      </c>
      <c r="D1237" s="2"/>
      <c r="E1237" s="2"/>
      <c r="F1237" s="2"/>
      <c r="G1237" s="2"/>
    </row>
    <row r="1238" spans="1:7" x14ac:dyDescent="0.55000000000000004">
      <c r="A1238" s="1" t="s">
        <v>1824</v>
      </c>
      <c r="B1238" s="2">
        <f>COUNTIF(A:A,A1238)-1</f>
        <v>3</v>
      </c>
      <c r="C1238" s="2">
        <f>COUNTIF(A$1:A1238,A1238)-1</f>
        <v>1</v>
      </c>
      <c r="D1238" s="2" t="e">
        <f>CUBEMEMBERPROPERTY(1,#REF!,#REF!)</f>
        <v>#REF!</v>
      </c>
      <c r="E1238" s="2" t="b">
        <f>IFERROR(INDEX(ERROR(0),CUBEMEMBERPROPERTY(SET.NAME("_",+INDEX(1,)),#REF!,#REF!)),RETURN(INDEX(TYPE(_),SET.NAME("_"))))</f>
        <v>0</v>
      </c>
      <c r="F1238" s="2" t="b">
        <f>IFERROR(INDEX(ERROR(0),CUBEMEMBERPROPERTY(INDIRECT(SET.NAME({1,"_"},)),#REF!,#REF!)),RETURN(INDEX(TYPE(_),SET.NAME("_"))))</f>
        <v>0</v>
      </c>
      <c r="G1238" s="2">
        <f>TYPE(INDEX(,CUBEMEMBERPROPERTY(INDEX(1,),#REF!,#REF!)))</f>
        <v>16</v>
      </c>
    </row>
    <row r="1239" spans="1:7" x14ac:dyDescent="0.55000000000000004">
      <c r="A1239" s="1" t="s">
        <v>1824</v>
      </c>
      <c r="B1239" s="2">
        <f>COUNTIF(A:A,A1239)-1</f>
        <v>3</v>
      </c>
      <c r="C1239" s="2">
        <f>COUNTIF(A$1:A1239,A1239)-1</f>
        <v>2</v>
      </c>
      <c r="D1239" s="2" t="e">
        <f>CUBEMEMBERPROPERTY(#REF!,1,#REF!)</f>
        <v>#REF!</v>
      </c>
      <c r="E1239" s="2" t="b">
        <f>IFERROR(INDEX(ERROR(0),CUBEMEMBERPROPERTY(#REF!,SET.NAME("_",+INDEX(1,)),#REF!)),RETURN(INDEX(TYPE(_),SET.NAME("_"))))</f>
        <v>0</v>
      </c>
      <c r="F1239" s="2" t="b">
        <f>IFERROR(INDEX(ERROR(0),CUBEMEMBERPROPERTY(#REF!,INDIRECT(SET.NAME({1,"_"},)),#REF!)),RETURN(INDEX(TYPE(_),SET.NAME("_"))))</f>
        <v>0</v>
      </c>
      <c r="G1239" s="2">
        <f>TYPE(INDEX(,CUBEMEMBERPROPERTY(#REF!,INDEX(1,),#REF!)))</f>
        <v>16</v>
      </c>
    </row>
    <row r="1240" spans="1:7" x14ac:dyDescent="0.55000000000000004">
      <c r="A1240" s="1" t="s">
        <v>1824</v>
      </c>
      <c r="B1240" s="2">
        <f>COUNTIF(A:A,A1240)-1</f>
        <v>3</v>
      </c>
      <c r="C1240" s="2">
        <f>COUNTIF(A$1:A1240,A1240)-1</f>
        <v>3</v>
      </c>
      <c r="D1240" s="2" t="e">
        <f>CUBEMEMBERPROPERTY(#REF!,#REF!,1)</f>
        <v>#REF!</v>
      </c>
      <c r="E1240" s="2" t="b">
        <f>IFERROR(INDEX(ERROR(0),CUBEMEMBERPROPERTY(#REF!,#REF!,SET.NAME("_",+INDEX(1,)))),RETURN(INDEX(TYPE(_),SET.NAME("_"))))</f>
        <v>0</v>
      </c>
      <c r="F1240" s="2" t="b">
        <f>IFERROR(INDEX(ERROR(0),CUBEMEMBERPROPERTY(#REF!,#REF!,INDIRECT(SET.NAME({1,"_"},)))),RETURN(INDEX(TYPE(_),SET.NAME("_"))))</f>
        <v>0</v>
      </c>
      <c r="G1240" s="2">
        <f>TYPE(INDEX(,CUBEMEMBERPROPERTY(#REF!,#REF!,INDEX(1,))))</f>
        <v>16</v>
      </c>
    </row>
    <row r="1241" spans="1:7" x14ac:dyDescent="0.55000000000000004">
      <c r="A1241" s="1" t="s">
        <v>1825</v>
      </c>
      <c r="B1241" s="2">
        <f>COUNTIF(A:A,A1241)-1</f>
        <v>4</v>
      </c>
      <c r="C1241" s="2">
        <f>COUNTIF(A$1:A1241,A1241)-1</f>
        <v>0</v>
      </c>
      <c r="D1241" s="2"/>
      <c r="E1241" s="2"/>
      <c r="F1241" s="2"/>
      <c r="G1241" s="2"/>
    </row>
    <row r="1242" spans="1:7" x14ac:dyDescent="0.55000000000000004">
      <c r="A1242" s="1" t="s">
        <v>1825</v>
      </c>
      <c r="B1242" s="2">
        <f>COUNTIF(A:A,A1242)-1</f>
        <v>4</v>
      </c>
      <c r="C1242" s="2">
        <f>COUNTIF(A$1:A1242,A1242)-1</f>
        <v>1</v>
      </c>
      <c r="D1242" s="2" t="e">
        <f>CUBERANKEDMEMBER(1,#REF!,#REF!,#REF!)</f>
        <v>#REF!</v>
      </c>
      <c r="E1242" s="2" t="b">
        <f>IFERROR(INDEX(ERROR(0),CUBERANKEDMEMBER(SET.NAME("_",+INDEX(1,)),#REF!,#REF!,#REF!)),RETURN(INDEX(TYPE(_),SET.NAME("_"))))</f>
        <v>0</v>
      </c>
      <c r="F1242" s="2" t="b">
        <f>IFERROR(INDEX(ERROR(0),CUBERANKEDMEMBER(INDIRECT(SET.NAME({1,"_"},)),#REF!,#REF!,#REF!)),RETURN(INDEX(TYPE(_),SET.NAME("_"))))</f>
        <v>0</v>
      </c>
      <c r="G1242" s="2">
        <f>TYPE(INDEX(,CUBERANKEDMEMBER(INDEX(1,),#REF!,#REF!,#REF!)))</f>
        <v>16</v>
      </c>
    </row>
    <row r="1243" spans="1:7" x14ac:dyDescent="0.55000000000000004">
      <c r="A1243" s="1" t="s">
        <v>1825</v>
      </c>
      <c r="B1243" s="2">
        <f>COUNTIF(A:A,A1243)-1</f>
        <v>4</v>
      </c>
      <c r="C1243" s="2">
        <f>COUNTIF(A$1:A1243,A1243)-1</f>
        <v>2</v>
      </c>
      <c r="D1243" s="2" t="e">
        <f>CUBERANKEDMEMBER(#REF!,1,#REF!,#REF!)</f>
        <v>#REF!</v>
      </c>
      <c r="E1243" s="2" t="b">
        <f>IFERROR(INDEX(ERROR(0),CUBERANKEDMEMBER(#REF!,SET.NAME("_",+INDEX(1,)),#REF!,#REF!)),RETURN(INDEX(TYPE(_),SET.NAME("_"))))</f>
        <v>0</v>
      </c>
      <c r="F1243" s="2" t="b">
        <f>IFERROR(INDEX(ERROR(0),CUBERANKEDMEMBER(#REF!,INDIRECT(SET.NAME({1,"_"},)),#REF!,#REF!)),RETURN(INDEX(TYPE(_),SET.NAME("_"))))</f>
        <v>0</v>
      </c>
      <c r="G1243" s="2">
        <f>TYPE(INDEX(,CUBERANKEDMEMBER(#REF!,INDEX(1,),#REF!,#REF!)))</f>
        <v>16</v>
      </c>
    </row>
    <row r="1244" spans="1:7" x14ac:dyDescent="0.55000000000000004">
      <c r="A1244" s="1" t="s">
        <v>1825</v>
      </c>
      <c r="B1244" s="2">
        <f>COUNTIF(A:A,A1244)-1</f>
        <v>4</v>
      </c>
      <c r="C1244" s="2">
        <f>COUNTIF(A$1:A1244,A1244)-1</f>
        <v>3</v>
      </c>
      <c r="D1244" s="2" t="e">
        <f>CUBERANKEDMEMBER(#REF!,#REF!,1,#REF!)</f>
        <v>#REF!</v>
      </c>
      <c r="E1244" s="2" t="b">
        <f>IFERROR(INDEX(ERROR(0),CUBERANKEDMEMBER(#REF!,#REF!,SET.NAME("_",+INDEX(1,)),#REF!)),RETURN(INDEX(TYPE(_),SET.NAME("_"))))</f>
        <v>0</v>
      </c>
      <c r="F1244" s="2" t="b">
        <f>IFERROR(INDEX(ERROR(0),CUBERANKEDMEMBER(#REF!,#REF!,INDIRECT(SET.NAME({1,"_"},)),#REF!)),RETURN(INDEX(TYPE(_),SET.NAME("_"))))</f>
        <v>0</v>
      </c>
      <c r="G1244" s="2">
        <f>TYPE(INDEX(,CUBERANKEDMEMBER(#REF!,#REF!,INDEX(1,),#REF!)))</f>
        <v>16</v>
      </c>
    </row>
    <row r="1245" spans="1:7" x14ac:dyDescent="0.55000000000000004">
      <c r="A1245" s="1" t="s">
        <v>1825</v>
      </c>
      <c r="B1245" s="2">
        <f>COUNTIF(A:A,A1245)-1</f>
        <v>4</v>
      </c>
      <c r="C1245" s="2">
        <f>COUNTIF(A$1:A1245,A1245)-1</f>
        <v>4</v>
      </c>
      <c r="D1245" s="2" t="e">
        <f>CUBERANKEDMEMBER(#REF!,#REF!,#REF!,1)</f>
        <v>#REF!</v>
      </c>
      <c r="E1245" s="2" t="b">
        <f>IFERROR(INDEX(ERROR(0),CUBERANKEDMEMBER(#REF!,#REF!,#REF!,SET.NAME("_",+INDEX(1,)))),RETURN(INDEX(TYPE(_),SET.NAME("_"))))</f>
        <v>0</v>
      </c>
      <c r="F1245" s="2" t="b">
        <f>IFERROR(INDEX(ERROR(0),CUBERANKEDMEMBER(#REF!,#REF!,#REF!,INDIRECT(SET.NAME({1,"_"},)))),RETURN(INDEX(TYPE(_),SET.NAME("_"))))</f>
        <v>0</v>
      </c>
      <c r="G1245" s="2">
        <f>TYPE(INDEX(,CUBERANKEDMEMBER(#REF!,#REF!,#REF!,INDEX(1,))))</f>
        <v>16</v>
      </c>
    </row>
    <row r="1246" spans="1:7" x14ac:dyDescent="0.55000000000000004">
      <c r="A1246" s="1" t="s">
        <v>2060</v>
      </c>
      <c r="B1246" s="2">
        <f>COUNTIF(A:A,A1246)-1</f>
        <v>2</v>
      </c>
      <c r="C1246" s="2">
        <f>COUNTIF(A$1:A1246,A1246)-1</f>
        <v>0</v>
      </c>
      <c r="D1246" s="2"/>
      <c r="E1246" s="2"/>
      <c r="F1246" s="2"/>
      <c r="G1246" s="2"/>
    </row>
    <row r="1247" spans="1:7" x14ac:dyDescent="0.55000000000000004">
      <c r="A1247" s="1" t="s">
        <v>2060</v>
      </c>
      <c r="B1247" s="2">
        <f>COUNTIF(A:A,A1247)-1</f>
        <v>2</v>
      </c>
      <c r="C1247" s="2">
        <f>COUNTIF(A$1:A1247,A1247)-1</f>
        <v>1</v>
      </c>
      <c r="D1247" s="2" t="e">
        <f>HEX2BIN(1,#REF!)</f>
        <v>#REF!</v>
      </c>
      <c r="E1247" s="2" t="b">
        <f>IFERROR(INDEX(ERROR(0),HEX2BIN(SET.NAME("_",+INDEX(1,)),#REF!)),RETURN(INDEX(TYPE(_),SET.NAME("_"))))</f>
        <v>0</v>
      </c>
      <c r="F1247" s="2" t="b">
        <f>IFERROR(INDEX(ERROR(0),HEX2BIN(INDIRECT(SET.NAME({1,"_"},)),#REF!)),RETURN(INDEX(TYPE(_),SET.NAME("_"))))</f>
        <v>0</v>
      </c>
      <c r="G1247" s="2">
        <f>TYPE(INDEX(,HEX2BIN(INDEX(1,),#REF!)))</f>
        <v>64</v>
      </c>
    </row>
    <row r="1248" spans="1:7" x14ac:dyDescent="0.55000000000000004">
      <c r="A1248" s="1" t="s">
        <v>2060</v>
      </c>
      <c r="B1248" s="2">
        <f>COUNTIF(A:A,A1248)-1</f>
        <v>2</v>
      </c>
      <c r="C1248" s="2">
        <f>COUNTIF(A$1:A1248,A1248)-1</f>
        <v>2</v>
      </c>
      <c r="D1248" s="2" t="e">
        <f>HEX2BIN(#REF!,1)</f>
        <v>#REF!</v>
      </c>
      <c r="E1248" s="2" t="b">
        <f>IFERROR(INDEX(ERROR(0),HEX2BIN(#REF!,SET.NAME("_",+INDEX(1,)))),RETURN(INDEX(TYPE(_),SET.NAME("_"))))</f>
        <v>0</v>
      </c>
      <c r="F1248" s="2" t="b">
        <f>IFERROR(INDEX(ERROR(0),HEX2BIN(#REF!,INDIRECT(SET.NAME({1,"_"},)))),RETURN(INDEX(TYPE(_),SET.NAME("_"))))</f>
        <v>0</v>
      </c>
      <c r="G1248" s="2">
        <f>TYPE(INDEX(,HEX2BIN(#REF!,INDEX(1,))))</f>
        <v>64</v>
      </c>
    </row>
    <row r="1249" spans="1:7" x14ac:dyDescent="0.55000000000000004">
      <c r="A1249" s="1" t="s">
        <v>2061</v>
      </c>
      <c r="B1249" s="2">
        <f>COUNTIF(A:A,A1249)-1</f>
        <v>1</v>
      </c>
      <c r="C1249" s="2">
        <f>COUNTIF(A$1:A1249,A1249)-1</f>
        <v>0</v>
      </c>
      <c r="D1249" s="2"/>
      <c r="E1249" s="2"/>
      <c r="F1249" s="2"/>
      <c r="G1249" s="2"/>
    </row>
    <row r="1250" spans="1:7" x14ac:dyDescent="0.55000000000000004">
      <c r="A1250" s="1" t="s">
        <v>2061</v>
      </c>
      <c r="B1250" s="2">
        <f>COUNTIF(A:A,A1250)-1</f>
        <v>1</v>
      </c>
      <c r="C1250" s="2">
        <f>COUNTIF(A$1:A1250,A1250)-1</f>
        <v>1</v>
      </c>
      <c r="D1250" s="2">
        <f>HEX2DEC(1)</f>
        <v>1</v>
      </c>
      <c r="E1250" s="2" t="b">
        <f>IFERROR(INDEX(ERROR(0),HEX2DEC(SET.NAME("_",+INDEX(1,)))),RETURN(INDEX(TYPE(_),SET.NAME("_"))))</f>
        <v>0</v>
      </c>
      <c r="F1250" s="2" t="b">
        <f>IFERROR(INDEX(ERROR(0),HEX2DEC(INDIRECT(SET.NAME({1,"_"},)))),RETURN(INDEX(TYPE(_),SET.NAME("_"))))</f>
        <v>0</v>
      </c>
      <c r="G1250" s="2">
        <f>TYPE(INDEX(,HEX2DEC(INDEX(1,))))</f>
        <v>64</v>
      </c>
    </row>
    <row r="1251" spans="1:7" x14ac:dyDescent="0.55000000000000004">
      <c r="A1251" s="1" t="s">
        <v>2062</v>
      </c>
      <c r="B1251" s="2">
        <f>COUNTIF(A:A,A1251)-1</f>
        <v>2</v>
      </c>
      <c r="C1251" s="2">
        <f>COUNTIF(A$1:A1251,A1251)-1</f>
        <v>0</v>
      </c>
      <c r="D1251" s="2"/>
      <c r="E1251" s="2"/>
      <c r="F1251" s="2"/>
      <c r="G1251" s="2"/>
    </row>
    <row r="1252" spans="1:7" x14ac:dyDescent="0.55000000000000004">
      <c r="A1252" s="1" t="s">
        <v>2062</v>
      </c>
      <c r="B1252" s="2">
        <f>COUNTIF(A:A,A1252)-1</f>
        <v>2</v>
      </c>
      <c r="C1252" s="2">
        <f>COUNTIF(A$1:A1252,A1252)-1</f>
        <v>1</v>
      </c>
      <c r="D1252" s="2" t="e">
        <f>HEX2OCT(1,#REF!)</f>
        <v>#REF!</v>
      </c>
      <c r="E1252" s="2" t="b">
        <f>IFERROR(INDEX(ERROR(0),HEX2OCT(SET.NAME("_",+INDEX(1,)),#REF!)),RETURN(INDEX(TYPE(_),SET.NAME("_"))))</f>
        <v>0</v>
      </c>
      <c r="F1252" s="2" t="b">
        <f>IFERROR(INDEX(ERROR(0),HEX2OCT(INDIRECT(SET.NAME({1,"_"},)),#REF!)),RETURN(INDEX(TYPE(_),SET.NAME("_"))))</f>
        <v>0</v>
      </c>
      <c r="G1252" s="2">
        <f>TYPE(INDEX(,HEX2OCT(INDEX(1,),#REF!)))</f>
        <v>64</v>
      </c>
    </row>
    <row r="1253" spans="1:7" x14ac:dyDescent="0.55000000000000004">
      <c r="A1253" s="1" t="s">
        <v>2062</v>
      </c>
      <c r="B1253" s="2">
        <f>COUNTIF(A:A,A1253)-1</f>
        <v>2</v>
      </c>
      <c r="C1253" s="2">
        <f>COUNTIF(A$1:A1253,A1253)-1</f>
        <v>2</v>
      </c>
      <c r="D1253" s="2" t="e">
        <f>HEX2OCT(#REF!,1)</f>
        <v>#REF!</v>
      </c>
      <c r="E1253" s="2" t="b">
        <f>IFERROR(INDEX(ERROR(0),HEX2OCT(#REF!,SET.NAME("_",+INDEX(1,)))),RETURN(INDEX(TYPE(_),SET.NAME("_"))))</f>
        <v>0</v>
      </c>
      <c r="F1253" s="2" t="b">
        <f>IFERROR(INDEX(ERROR(0),HEX2OCT(#REF!,INDIRECT(SET.NAME({1,"_"},)))),RETURN(INDEX(TYPE(_),SET.NAME("_"))))</f>
        <v>0</v>
      </c>
      <c r="G1253" s="2">
        <f>TYPE(INDEX(,HEX2OCT(#REF!,INDEX(1,))))</f>
        <v>64</v>
      </c>
    </row>
    <row r="1254" spans="1:7" x14ac:dyDescent="0.55000000000000004">
      <c r="A1254" s="1" t="s">
        <v>2063</v>
      </c>
      <c r="B1254" s="2">
        <f>COUNTIF(A:A,A1254)-1</f>
        <v>2</v>
      </c>
      <c r="C1254" s="2">
        <f>COUNTIF(A$1:A1254,A1254)-1</f>
        <v>0</v>
      </c>
      <c r="D1254" s="2"/>
      <c r="E1254" s="2"/>
      <c r="F1254" s="2"/>
      <c r="G1254" s="2"/>
    </row>
    <row r="1255" spans="1:7" x14ac:dyDescent="0.55000000000000004">
      <c r="A1255" s="1" t="s">
        <v>2063</v>
      </c>
      <c r="B1255" s="2">
        <f>COUNTIF(A:A,A1255)-1</f>
        <v>2</v>
      </c>
      <c r="C1255" s="2">
        <f>COUNTIF(A$1:A1255,A1255)-1</f>
        <v>1</v>
      </c>
      <c r="D1255" s="2" t="e">
        <f>DEC2BIN(1,#REF!)</f>
        <v>#REF!</v>
      </c>
      <c r="E1255" s="2" t="b">
        <f>IFERROR(INDEX(ERROR(0),DEC2BIN(SET.NAME("_",+INDEX(1,)),#REF!)),RETURN(INDEX(TYPE(_),SET.NAME("_"))))</f>
        <v>0</v>
      </c>
      <c r="F1255" s="2" t="b">
        <f>IFERROR(INDEX(ERROR(0),DEC2BIN(INDIRECT(SET.NAME({1,"_"},)),#REF!)),RETURN(INDEX(TYPE(_),SET.NAME("_"))))</f>
        <v>0</v>
      </c>
      <c r="G1255" s="2">
        <f>TYPE(INDEX(,DEC2BIN(INDEX(1,),#REF!)))</f>
        <v>64</v>
      </c>
    </row>
    <row r="1256" spans="1:7" x14ac:dyDescent="0.55000000000000004">
      <c r="A1256" s="1" t="s">
        <v>2063</v>
      </c>
      <c r="B1256" s="2">
        <f>COUNTIF(A:A,A1256)-1</f>
        <v>2</v>
      </c>
      <c r="C1256" s="2">
        <f>COUNTIF(A$1:A1256,A1256)-1</f>
        <v>2</v>
      </c>
      <c r="D1256" s="2" t="e">
        <f>DEC2BIN(#REF!,1)</f>
        <v>#REF!</v>
      </c>
      <c r="E1256" s="2" t="b">
        <f>IFERROR(INDEX(ERROR(0),DEC2BIN(#REF!,SET.NAME("_",+INDEX(1,)))),RETURN(INDEX(TYPE(_),SET.NAME("_"))))</f>
        <v>0</v>
      </c>
      <c r="F1256" s="2" t="b">
        <f>IFERROR(INDEX(ERROR(0),DEC2BIN(#REF!,INDIRECT(SET.NAME({1,"_"},)))),RETURN(INDEX(TYPE(_),SET.NAME("_"))))</f>
        <v>0</v>
      </c>
      <c r="G1256" s="2">
        <f>TYPE(INDEX(,DEC2BIN(#REF!,INDEX(1,))))</f>
        <v>64</v>
      </c>
    </row>
    <row r="1257" spans="1:7" x14ac:dyDescent="0.55000000000000004">
      <c r="A1257" s="1" t="s">
        <v>2064</v>
      </c>
      <c r="B1257" s="2">
        <f>COUNTIF(A:A,A1257)-1</f>
        <v>2</v>
      </c>
      <c r="C1257" s="2">
        <f>COUNTIF(A$1:A1257,A1257)-1</f>
        <v>0</v>
      </c>
      <c r="D1257" s="2"/>
      <c r="E1257" s="2"/>
      <c r="F1257" s="2"/>
      <c r="G1257" s="2"/>
    </row>
    <row r="1258" spans="1:7" x14ac:dyDescent="0.55000000000000004">
      <c r="A1258" s="1" t="s">
        <v>2064</v>
      </c>
      <c r="B1258" s="2">
        <f>COUNTIF(A:A,A1258)-1</f>
        <v>2</v>
      </c>
      <c r="C1258" s="2">
        <f>COUNTIF(A$1:A1258,A1258)-1</f>
        <v>1</v>
      </c>
      <c r="D1258" s="2" t="e">
        <f>DEC2HEX(1,#REF!)</f>
        <v>#REF!</v>
      </c>
      <c r="E1258" s="2" t="b">
        <f>IFERROR(INDEX(ERROR(0),DEC2HEX(SET.NAME("_",+INDEX(1,)),#REF!)),RETURN(INDEX(TYPE(_),SET.NAME("_"))))</f>
        <v>0</v>
      </c>
      <c r="F1258" s="2" t="b">
        <f>IFERROR(INDEX(ERROR(0),DEC2HEX(INDIRECT(SET.NAME({1,"_"},)),#REF!)),RETURN(INDEX(TYPE(_),SET.NAME("_"))))</f>
        <v>0</v>
      </c>
      <c r="G1258" s="2">
        <f>TYPE(INDEX(,DEC2HEX(INDEX(1,),#REF!)))</f>
        <v>64</v>
      </c>
    </row>
    <row r="1259" spans="1:7" x14ac:dyDescent="0.55000000000000004">
      <c r="A1259" s="1" t="s">
        <v>2064</v>
      </c>
      <c r="B1259" s="2">
        <f>COUNTIF(A:A,A1259)-1</f>
        <v>2</v>
      </c>
      <c r="C1259" s="2">
        <f>COUNTIF(A$1:A1259,A1259)-1</f>
        <v>2</v>
      </c>
      <c r="D1259" s="2" t="e">
        <f>DEC2HEX(#REF!,1)</f>
        <v>#REF!</v>
      </c>
      <c r="E1259" s="2" t="b">
        <f>IFERROR(INDEX(ERROR(0),DEC2HEX(#REF!,SET.NAME("_",+INDEX(1,)))),RETURN(INDEX(TYPE(_),SET.NAME("_"))))</f>
        <v>0</v>
      </c>
      <c r="F1259" s="2" t="b">
        <f>IFERROR(INDEX(ERROR(0),DEC2HEX(#REF!,INDIRECT(SET.NAME({1,"_"},)))),RETURN(INDEX(TYPE(_),SET.NAME("_"))))</f>
        <v>0</v>
      </c>
      <c r="G1259" s="2">
        <f>TYPE(INDEX(,DEC2HEX(#REF!,INDEX(1,))))</f>
        <v>64</v>
      </c>
    </row>
    <row r="1260" spans="1:7" x14ac:dyDescent="0.55000000000000004">
      <c r="A1260" s="1" t="s">
        <v>2065</v>
      </c>
      <c r="B1260" s="2">
        <f>COUNTIF(A:A,A1260)-1</f>
        <v>2</v>
      </c>
      <c r="C1260" s="2">
        <f>COUNTIF(A$1:A1260,A1260)-1</f>
        <v>0</v>
      </c>
      <c r="D1260" s="2"/>
      <c r="E1260" s="2"/>
      <c r="F1260" s="2"/>
      <c r="G1260" s="2"/>
    </row>
    <row r="1261" spans="1:7" x14ac:dyDescent="0.55000000000000004">
      <c r="A1261" s="1" t="s">
        <v>2065</v>
      </c>
      <c r="B1261" s="2">
        <f>COUNTIF(A:A,A1261)-1</f>
        <v>2</v>
      </c>
      <c r="C1261" s="2">
        <f>COUNTIF(A$1:A1261,A1261)-1</f>
        <v>1</v>
      </c>
      <c r="D1261" s="2" t="e">
        <f>DEC2OCT(1,#REF!)</f>
        <v>#REF!</v>
      </c>
      <c r="E1261" s="2" t="b">
        <f>IFERROR(INDEX(ERROR(0),DEC2OCT(SET.NAME("_",+INDEX(1,)),#REF!)),RETURN(INDEX(TYPE(_),SET.NAME("_"))))</f>
        <v>0</v>
      </c>
      <c r="F1261" s="2" t="b">
        <f>IFERROR(INDEX(ERROR(0),DEC2OCT(INDIRECT(SET.NAME({1,"_"},)),#REF!)),RETURN(INDEX(TYPE(_),SET.NAME("_"))))</f>
        <v>0</v>
      </c>
      <c r="G1261" s="2">
        <f>TYPE(INDEX(,DEC2OCT(INDEX(1,),#REF!)))</f>
        <v>64</v>
      </c>
    </row>
    <row r="1262" spans="1:7" x14ac:dyDescent="0.55000000000000004">
      <c r="A1262" s="1" t="s">
        <v>2065</v>
      </c>
      <c r="B1262" s="2">
        <f>COUNTIF(A:A,A1262)-1</f>
        <v>2</v>
      </c>
      <c r="C1262" s="2">
        <f>COUNTIF(A$1:A1262,A1262)-1</f>
        <v>2</v>
      </c>
      <c r="D1262" s="2" t="e">
        <f>DEC2OCT(#REF!,1)</f>
        <v>#REF!</v>
      </c>
      <c r="E1262" s="2" t="b">
        <f>IFERROR(INDEX(ERROR(0),DEC2OCT(#REF!,SET.NAME("_",+INDEX(1,)))),RETURN(INDEX(TYPE(_),SET.NAME("_"))))</f>
        <v>0</v>
      </c>
      <c r="F1262" s="2" t="b">
        <f>IFERROR(INDEX(ERROR(0),DEC2OCT(#REF!,INDIRECT(SET.NAME({1,"_"},)))),RETURN(INDEX(TYPE(_),SET.NAME("_"))))</f>
        <v>0</v>
      </c>
      <c r="G1262" s="2">
        <f>TYPE(INDEX(,DEC2OCT(#REF!,INDEX(1,))))</f>
        <v>64</v>
      </c>
    </row>
    <row r="1263" spans="1:7" x14ac:dyDescent="0.55000000000000004">
      <c r="A1263" s="1" t="s">
        <v>2066</v>
      </c>
      <c r="B1263" s="2">
        <f>COUNTIF(A:A,A1263)-1</f>
        <v>2</v>
      </c>
      <c r="C1263" s="2">
        <f>COUNTIF(A$1:A1263,A1263)-1</f>
        <v>0</v>
      </c>
      <c r="D1263" s="2"/>
      <c r="E1263" s="2"/>
      <c r="F1263" s="2"/>
      <c r="G1263" s="2"/>
    </row>
    <row r="1264" spans="1:7" x14ac:dyDescent="0.55000000000000004">
      <c r="A1264" s="1" t="s">
        <v>2066</v>
      </c>
      <c r="B1264" s="2">
        <f>COUNTIF(A:A,A1264)-1</f>
        <v>2</v>
      </c>
      <c r="C1264" s="2">
        <f>COUNTIF(A$1:A1264,A1264)-1</f>
        <v>1</v>
      </c>
      <c r="D1264" s="2" t="e">
        <f>OCT2BIN(1,#REF!)</f>
        <v>#REF!</v>
      </c>
      <c r="E1264" s="2" t="b">
        <f>IFERROR(INDEX(ERROR(0),OCT2BIN(SET.NAME("_",+INDEX(1,)),#REF!)),RETURN(INDEX(TYPE(_),SET.NAME("_"))))</f>
        <v>0</v>
      </c>
      <c r="F1264" s="2" t="b">
        <f>IFERROR(INDEX(ERROR(0),OCT2BIN(INDIRECT(SET.NAME({1,"_"},)),#REF!)),RETURN(INDEX(TYPE(_),SET.NAME("_"))))</f>
        <v>0</v>
      </c>
      <c r="G1264" s="2">
        <f>TYPE(INDEX(,OCT2BIN(INDEX(1,),#REF!)))</f>
        <v>64</v>
      </c>
    </row>
    <row r="1265" spans="1:7" x14ac:dyDescent="0.55000000000000004">
      <c r="A1265" s="1" t="s">
        <v>2066</v>
      </c>
      <c r="B1265" s="2">
        <f>COUNTIF(A:A,A1265)-1</f>
        <v>2</v>
      </c>
      <c r="C1265" s="2">
        <f>COUNTIF(A$1:A1265,A1265)-1</f>
        <v>2</v>
      </c>
      <c r="D1265" s="2" t="e">
        <f>OCT2BIN(#REF!,1)</f>
        <v>#REF!</v>
      </c>
      <c r="E1265" s="2" t="b">
        <f>IFERROR(INDEX(ERROR(0),OCT2BIN(#REF!,SET.NAME("_",+INDEX(1,)))),RETURN(INDEX(TYPE(_),SET.NAME("_"))))</f>
        <v>0</v>
      </c>
      <c r="F1265" s="2" t="b">
        <f>IFERROR(INDEX(ERROR(0),OCT2BIN(#REF!,INDIRECT(SET.NAME({1,"_"},)))),RETURN(INDEX(TYPE(_),SET.NAME("_"))))</f>
        <v>0</v>
      </c>
      <c r="G1265" s="2">
        <f>TYPE(INDEX(,OCT2BIN(#REF!,INDEX(1,))))</f>
        <v>64</v>
      </c>
    </row>
    <row r="1266" spans="1:7" x14ac:dyDescent="0.55000000000000004">
      <c r="A1266" s="1" t="s">
        <v>2067</v>
      </c>
      <c r="B1266" s="2">
        <f>COUNTIF(A:A,A1266)-1</f>
        <v>2</v>
      </c>
      <c r="C1266" s="2">
        <f>COUNTIF(A$1:A1266,A1266)-1</f>
        <v>0</v>
      </c>
      <c r="D1266" s="2"/>
      <c r="E1266" s="2"/>
      <c r="F1266" s="2"/>
      <c r="G1266" s="2"/>
    </row>
    <row r="1267" spans="1:7" x14ac:dyDescent="0.55000000000000004">
      <c r="A1267" s="1" t="s">
        <v>2067</v>
      </c>
      <c r="B1267" s="2">
        <f>COUNTIF(A:A,A1267)-1</f>
        <v>2</v>
      </c>
      <c r="C1267" s="2">
        <f>COUNTIF(A$1:A1267,A1267)-1</f>
        <v>1</v>
      </c>
      <c r="D1267" s="2" t="e">
        <f>OCT2HEX(1,#REF!)</f>
        <v>#REF!</v>
      </c>
      <c r="E1267" s="2" t="b">
        <f>IFERROR(INDEX(ERROR(0),OCT2HEX(SET.NAME("_",+INDEX(1,)),#REF!)),RETURN(INDEX(TYPE(_),SET.NAME("_"))))</f>
        <v>0</v>
      </c>
      <c r="F1267" s="2" t="b">
        <f>IFERROR(INDEX(ERROR(0),OCT2HEX(INDIRECT(SET.NAME({1,"_"},)),#REF!)),RETURN(INDEX(TYPE(_),SET.NAME("_"))))</f>
        <v>0</v>
      </c>
      <c r="G1267" s="2">
        <f>TYPE(INDEX(,OCT2HEX(INDEX(1,),#REF!)))</f>
        <v>64</v>
      </c>
    </row>
    <row r="1268" spans="1:7" x14ac:dyDescent="0.55000000000000004">
      <c r="A1268" s="1" t="s">
        <v>2067</v>
      </c>
      <c r="B1268" s="2">
        <f>COUNTIF(A:A,A1268)-1</f>
        <v>2</v>
      </c>
      <c r="C1268" s="2">
        <f>COUNTIF(A$1:A1268,A1268)-1</f>
        <v>2</v>
      </c>
      <c r="D1268" s="2" t="e">
        <f>OCT2HEX(#REF!,1)</f>
        <v>#REF!</v>
      </c>
      <c r="E1268" s="2" t="b">
        <f>IFERROR(INDEX(ERROR(0),OCT2HEX(#REF!,SET.NAME("_",+INDEX(1,)))),RETURN(INDEX(TYPE(_),SET.NAME("_"))))</f>
        <v>0</v>
      </c>
      <c r="F1268" s="2" t="b">
        <f>IFERROR(INDEX(ERROR(0),OCT2HEX(#REF!,INDIRECT(SET.NAME({1,"_"},)))),RETURN(INDEX(TYPE(_),SET.NAME("_"))))</f>
        <v>0</v>
      </c>
      <c r="G1268" s="2">
        <f>TYPE(INDEX(,OCT2HEX(#REF!,INDEX(1,))))</f>
        <v>64</v>
      </c>
    </row>
    <row r="1269" spans="1:7" x14ac:dyDescent="0.55000000000000004">
      <c r="A1269" s="1" t="s">
        <v>2068</v>
      </c>
      <c r="B1269" s="2">
        <f>COUNTIF(A:A,A1269)-1</f>
        <v>1</v>
      </c>
      <c r="C1269" s="2">
        <f>COUNTIF(A$1:A1269,A1269)-1</f>
        <v>0</v>
      </c>
      <c r="D1269" s="2"/>
      <c r="E1269" s="2"/>
      <c r="F1269" s="2"/>
      <c r="G1269" s="2"/>
    </row>
    <row r="1270" spans="1:7" x14ac:dyDescent="0.55000000000000004">
      <c r="A1270" s="1" t="s">
        <v>2068</v>
      </c>
      <c r="B1270" s="2">
        <f>COUNTIF(A:A,A1270)-1</f>
        <v>1</v>
      </c>
      <c r="C1270" s="2">
        <f>COUNTIF(A$1:A1270,A1270)-1</f>
        <v>1</v>
      </c>
      <c r="D1270" s="2">
        <f>OCT2DEC(1)</f>
        <v>1</v>
      </c>
      <c r="E1270" s="2" t="b">
        <f>IFERROR(INDEX(ERROR(0),OCT2DEC(SET.NAME("_",+INDEX(1,)))),RETURN(INDEX(TYPE(_),SET.NAME("_"))))</f>
        <v>0</v>
      </c>
      <c r="F1270" s="2" t="b">
        <f>IFERROR(INDEX(ERROR(0),OCT2DEC(INDIRECT(SET.NAME({1,"_"},)))),RETURN(INDEX(TYPE(_),SET.NAME("_"))))</f>
        <v>0</v>
      </c>
      <c r="G1270" s="2">
        <f>TYPE(INDEX(,OCT2DEC(INDEX(1,))))</f>
        <v>64</v>
      </c>
    </row>
    <row r="1271" spans="1:7" x14ac:dyDescent="0.55000000000000004">
      <c r="A1271" s="1" t="s">
        <v>2069</v>
      </c>
      <c r="B1271" s="2">
        <f>COUNTIF(A:A,A1271)-1</f>
        <v>1</v>
      </c>
      <c r="C1271" s="2">
        <f>COUNTIF(A$1:A1271,A1271)-1</f>
        <v>0</v>
      </c>
      <c r="D1271" s="2"/>
      <c r="E1271" s="2"/>
      <c r="F1271" s="2"/>
      <c r="G1271" s="2"/>
    </row>
    <row r="1272" spans="1:7" x14ac:dyDescent="0.55000000000000004">
      <c r="A1272" s="1" t="s">
        <v>2069</v>
      </c>
      <c r="B1272" s="2">
        <f>COUNTIF(A:A,A1272)-1</f>
        <v>1</v>
      </c>
      <c r="C1272" s="2">
        <f>COUNTIF(A$1:A1272,A1272)-1</f>
        <v>1</v>
      </c>
      <c r="D1272" s="2">
        <f>BIN2DEC(1)</f>
        <v>1</v>
      </c>
      <c r="E1272" s="2" t="b">
        <f>IFERROR(INDEX(ERROR(0),BIN2DEC(SET.NAME("_",+INDEX(1,)))),RETURN(INDEX(TYPE(_),SET.NAME("_"))))</f>
        <v>0</v>
      </c>
      <c r="F1272" s="2" t="b">
        <f>IFERROR(INDEX(ERROR(0),BIN2DEC(INDIRECT(SET.NAME({1,"_"},)))),RETURN(INDEX(TYPE(_),SET.NAME("_"))))</f>
        <v>0</v>
      </c>
      <c r="G1272" s="2">
        <f>TYPE(INDEX(,BIN2DEC(INDEX(1,))))</f>
        <v>64</v>
      </c>
    </row>
    <row r="1273" spans="1:7" x14ac:dyDescent="0.55000000000000004">
      <c r="A1273" s="1" t="s">
        <v>2070</v>
      </c>
      <c r="B1273" s="2">
        <f>COUNTIF(A:A,A1273)-1</f>
        <v>2</v>
      </c>
      <c r="C1273" s="2">
        <f>COUNTIF(A$1:A1273,A1273)-1</f>
        <v>0</v>
      </c>
      <c r="D1273" s="2"/>
      <c r="E1273" s="2"/>
      <c r="F1273" s="2"/>
      <c r="G1273" s="2"/>
    </row>
    <row r="1274" spans="1:7" x14ac:dyDescent="0.55000000000000004">
      <c r="A1274" s="1" t="s">
        <v>2070</v>
      </c>
      <c r="B1274" s="2">
        <f>COUNTIF(A:A,A1274)-1</f>
        <v>2</v>
      </c>
      <c r="C1274" s="2">
        <f>COUNTIF(A$1:A1274,A1274)-1</f>
        <v>1</v>
      </c>
      <c r="D1274" s="2" t="e">
        <f>BIN2OCT(1,#REF!)</f>
        <v>#REF!</v>
      </c>
      <c r="E1274" s="2" t="b">
        <f>IFERROR(INDEX(ERROR(0),BIN2OCT(SET.NAME("_",+INDEX(1,)),#REF!)),RETURN(INDEX(TYPE(_),SET.NAME("_"))))</f>
        <v>0</v>
      </c>
      <c r="F1274" s="2" t="b">
        <f>IFERROR(INDEX(ERROR(0),BIN2OCT(INDIRECT(SET.NAME({1,"_"},)),#REF!)),RETURN(INDEX(TYPE(_),SET.NAME("_"))))</f>
        <v>0</v>
      </c>
      <c r="G1274" s="2">
        <f>TYPE(INDEX(,BIN2OCT(INDEX(1,),#REF!)))</f>
        <v>64</v>
      </c>
    </row>
    <row r="1275" spans="1:7" x14ac:dyDescent="0.55000000000000004">
      <c r="A1275" s="1" t="s">
        <v>2070</v>
      </c>
      <c r="B1275" s="2">
        <f>COUNTIF(A:A,A1275)-1</f>
        <v>2</v>
      </c>
      <c r="C1275" s="2">
        <f>COUNTIF(A$1:A1275,A1275)-1</f>
        <v>2</v>
      </c>
      <c r="D1275" s="2" t="e">
        <f>BIN2OCT(#REF!,1)</f>
        <v>#REF!</v>
      </c>
      <c r="E1275" s="2" t="b">
        <f>IFERROR(INDEX(ERROR(0),BIN2OCT(#REF!,SET.NAME("_",+INDEX(1,)))),RETURN(INDEX(TYPE(_),SET.NAME("_"))))</f>
        <v>0</v>
      </c>
      <c r="F1275" s="2" t="b">
        <f>IFERROR(INDEX(ERROR(0),BIN2OCT(#REF!,INDIRECT(SET.NAME({1,"_"},)))),RETURN(INDEX(TYPE(_),SET.NAME("_"))))</f>
        <v>0</v>
      </c>
      <c r="G1275" s="2">
        <f>TYPE(INDEX(,BIN2OCT(#REF!,INDEX(1,))))</f>
        <v>64</v>
      </c>
    </row>
    <row r="1276" spans="1:7" x14ac:dyDescent="0.55000000000000004">
      <c r="A1276" s="1" t="s">
        <v>2071</v>
      </c>
      <c r="B1276" s="2">
        <f>COUNTIF(A:A,A1276)-1</f>
        <v>2</v>
      </c>
      <c r="C1276" s="2">
        <f>COUNTIF(A$1:A1276,A1276)-1</f>
        <v>0</v>
      </c>
      <c r="D1276" s="2"/>
      <c r="E1276" s="2"/>
      <c r="F1276" s="2"/>
      <c r="G1276" s="2"/>
    </row>
    <row r="1277" spans="1:7" x14ac:dyDescent="0.55000000000000004">
      <c r="A1277" s="1" t="s">
        <v>2071</v>
      </c>
      <c r="B1277" s="2">
        <f>COUNTIF(A:A,A1277)-1</f>
        <v>2</v>
      </c>
      <c r="C1277" s="2">
        <f>COUNTIF(A$1:A1277,A1277)-1</f>
        <v>1</v>
      </c>
      <c r="D1277" s="2" t="e">
        <f>BIN2HEX(1,#REF!)</f>
        <v>#REF!</v>
      </c>
      <c r="E1277" s="2" t="b">
        <f>IFERROR(INDEX(ERROR(0),BIN2HEX(SET.NAME("_",+INDEX(1,)),#REF!)),RETURN(INDEX(TYPE(_),SET.NAME("_"))))</f>
        <v>0</v>
      </c>
      <c r="F1277" s="2" t="b">
        <f>IFERROR(INDEX(ERROR(0),BIN2HEX(INDIRECT(SET.NAME({1,"_"},)),#REF!)),RETURN(INDEX(TYPE(_),SET.NAME("_"))))</f>
        <v>0</v>
      </c>
      <c r="G1277" s="2">
        <f>TYPE(INDEX(,BIN2HEX(INDEX(1,),#REF!)))</f>
        <v>64</v>
      </c>
    </row>
    <row r="1278" spans="1:7" x14ac:dyDescent="0.55000000000000004">
      <c r="A1278" s="1" t="s">
        <v>2071</v>
      </c>
      <c r="B1278" s="2">
        <f>COUNTIF(A:A,A1278)-1</f>
        <v>2</v>
      </c>
      <c r="C1278" s="2">
        <f>COUNTIF(A$1:A1278,A1278)-1</f>
        <v>2</v>
      </c>
      <c r="D1278" s="2" t="e">
        <f>BIN2HEX(#REF!,1)</f>
        <v>#REF!</v>
      </c>
      <c r="E1278" s="2" t="b">
        <f>IFERROR(INDEX(ERROR(0),BIN2HEX(#REF!,SET.NAME("_",+INDEX(1,)))),RETURN(INDEX(TYPE(_),SET.NAME("_"))))</f>
        <v>0</v>
      </c>
      <c r="F1278" s="2" t="b">
        <f>IFERROR(INDEX(ERROR(0),BIN2HEX(#REF!,INDIRECT(SET.NAME({1,"_"},)))),RETURN(INDEX(TYPE(_),SET.NAME("_"))))</f>
        <v>0</v>
      </c>
      <c r="G1278" s="2">
        <f>TYPE(INDEX(,BIN2HEX(#REF!,INDEX(1,))))</f>
        <v>64</v>
      </c>
    </row>
    <row r="1279" spans="1:7" x14ac:dyDescent="0.55000000000000004">
      <c r="A1279" s="1" t="s">
        <v>1826</v>
      </c>
      <c r="B1279" s="2">
        <f>COUNTIF(A:A,A1279)-1</f>
        <v>2</v>
      </c>
      <c r="C1279" s="2">
        <f>COUNTIF(A$1:A1279,A1279)-1</f>
        <v>0</v>
      </c>
      <c r="D1279" s="2"/>
      <c r="E1279" s="2"/>
      <c r="F1279" s="2"/>
      <c r="G1279" s="2"/>
    </row>
    <row r="1280" spans="1:7" x14ac:dyDescent="0.55000000000000004">
      <c r="A1280" s="1" t="s">
        <v>1826</v>
      </c>
      <c r="B1280" s="2">
        <f>COUNTIF(A:A,A1280)-1</f>
        <v>2</v>
      </c>
      <c r="C1280" s="2">
        <f>COUNTIF(A$1:A1280,A1280)-1</f>
        <v>1</v>
      </c>
      <c r="D1280" s="2" t="e">
        <f>IMSUB(1,#REF!)</f>
        <v>#REF!</v>
      </c>
      <c r="E1280" s="2" t="b">
        <f>IFERROR(INDEX(ERROR(0),IMSUB(SET.NAME("_",+INDEX(1,)),#REF!)),RETURN(INDEX(TYPE(_),SET.NAME("_"))))</f>
        <v>0</v>
      </c>
      <c r="F1280" s="2" t="b">
        <f>IFERROR(INDEX(ERROR(0),IMSUB(INDIRECT(SET.NAME({1,"_"},)),#REF!)),RETURN(INDEX(TYPE(_),SET.NAME("_"))))</f>
        <v>0</v>
      </c>
      <c r="G1280" s="2">
        <f>TYPE(INDEX(,IMSUB(INDEX(1,),#REF!)))</f>
        <v>64</v>
      </c>
    </row>
    <row r="1281" spans="1:7" x14ac:dyDescent="0.55000000000000004">
      <c r="A1281" s="1" t="s">
        <v>1826</v>
      </c>
      <c r="B1281" s="2">
        <f>COUNTIF(A:A,A1281)-1</f>
        <v>2</v>
      </c>
      <c r="C1281" s="2">
        <f>COUNTIF(A$1:A1281,A1281)-1</f>
        <v>2</v>
      </c>
      <c r="D1281" s="2" t="e">
        <f>IMSUB(#REF!,1)</f>
        <v>#REF!</v>
      </c>
      <c r="E1281" s="2" t="b">
        <f>IFERROR(INDEX(ERROR(0),IMSUB(#REF!,SET.NAME("_",+INDEX(1,)))),RETURN(INDEX(TYPE(_),SET.NAME("_"))))</f>
        <v>0</v>
      </c>
      <c r="F1281" s="2" t="b">
        <f>IFERROR(INDEX(ERROR(0),IMSUB(#REF!,INDIRECT(SET.NAME({1,"_"},)))),RETURN(INDEX(TYPE(_),SET.NAME("_"))))</f>
        <v>0</v>
      </c>
      <c r="G1281" s="2">
        <f>TYPE(INDEX(,IMSUB(#REF!,INDEX(1,))))</f>
        <v>64</v>
      </c>
    </row>
    <row r="1282" spans="1:7" x14ac:dyDescent="0.55000000000000004">
      <c r="A1282" s="1" t="s">
        <v>1827</v>
      </c>
      <c r="B1282" s="2">
        <f>COUNTIF(A:A,A1282)-1</f>
        <v>2</v>
      </c>
      <c r="C1282" s="2">
        <f>COUNTIF(A$1:A1282,A1282)-1</f>
        <v>0</v>
      </c>
      <c r="D1282" s="2"/>
      <c r="E1282" s="2"/>
      <c r="F1282" s="2"/>
      <c r="G1282" s="2"/>
    </row>
    <row r="1283" spans="1:7" x14ac:dyDescent="0.55000000000000004">
      <c r="A1283" s="1" t="s">
        <v>1827</v>
      </c>
      <c r="B1283" s="2">
        <f>COUNTIF(A:A,A1283)-1</f>
        <v>2</v>
      </c>
      <c r="C1283" s="2">
        <f>COUNTIF(A$1:A1283,A1283)-1</f>
        <v>1</v>
      </c>
      <c r="D1283" s="2" t="e">
        <f>IMDIV(1,#REF!)</f>
        <v>#REF!</v>
      </c>
      <c r="E1283" s="2" t="b">
        <f>IFERROR(INDEX(ERROR(0),IMDIV(SET.NAME("_",+INDEX(1,)),#REF!)),RETURN(INDEX(TYPE(_),SET.NAME("_"))))</f>
        <v>0</v>
      </c>
      <c r="F1283" s="2" t="b">
        <f>IFERROR(INDEX(ERROR(0),IMDIV(INDIRECT(SET.NAME({1,"_"},)),#REF!)),RETURN(INDEX(TYPE(_),SET.NAME("_"))))</f>
        <v>0</v>
      </c>
      <c r="G1283" s="2">
        <f>TYPE(INDEX(,IMDIV(INDEX(1,),#REF!)))</f>
        <v>64</v>
      </c>
    </row>
    <row r="1284" spans="1:7" x14ac:dyDescent="0.55000000000000004">
      <c r="A1284" s="1" t="s">
        <v>1827</v>
      </c>
      <c r="B1284" s="2">
        <f>COUNTIF(A:A,A1284)-1</f>
        <v>2</v>
      </c>
      <c r="C1284" s="2">
        <f>COUNTIF(A$1:A1284,A1284)-1</f>
        <v>2</v>
      </c>
      <c r="D1284" s="2" t="e">
        <f>IMDIV(#REF!,1)</f>
        <v>#REF!</v>
      </c>
      <c r="E1284" s="2" t="b">
        <f>IFERROR(INDEX(ERROR(0),IMDIV(#REF!,SET.NAME("_",+INDEX(1,)))),RETURN(INDEX(TYPE(_),SET.NAME("_"))))</f>
        <v>0</v>
      </c>
      <c r="F1284" s="2" t="b">
        <f>IFERROR(INDEX(ERROR(0),IMDIV(#REF!,INDIRECT(SET.NAME({1,"_"},)))),RETURN(INDEX(TYPE(_),SET.NAME("_"))))</f>
        <v>0</v>
      </c>
      <c r="G1284" s="2">
        <f>TYPE(INDEX(,IMDIV(#REF!,INDEX(1,))))</f>
        <v>64</v>
      </c>
    </row>
    <row r="1285" spans="1:7" x14ac:dyDescent="0.55000000000000004">
      <c r="A1285" s="1" t="s">
        <v>1828</v>
      </c>
      <c r="B1285" s="2">
        <f>COUNTIF(A:A,A1285)-1</f>
        <v>2</v>
      </c>
      <c r="C1285" s="2">
        <f>COUNTIF(A$1:A1285,A1285)-1</f>
        <v>0</v>
      </c>
      <c r="D1285" s="2"/>
      <c r="E1285" s="2"/>
      <c r="F1285" s="2"/>
      <c r="G1285" s="2"/>
    </row>
    <row r="1286" spans="1:7" x14ac:dyDescent="0.55000000000000004">
      <c r="A1286" s="1" t="s">
        <v>1828</v>
      </c>
      <c r="B1286" s="2">
        <f>COUNTIF(A:A,A1286)-1</f>
        <v>2</v>
      </c>
      <c r="C1286" s="2">
        <f>COUNTIF(A$1:A1286,A1286)-1</f>
        <v>1</v>
      </c>
      <c r="D1286" s="2" t="e">
        <f>IMPOWER(1,#REF!)</f>
        <v>#REF!</v>
      </c>
      <c r="E1286" s="2" t="b">
        <f>IFERROR(INDEX(ERROR(0),IMPOWER(SET.NAME("_",+INDEX(1,)),#REF!)),RETURN(INDEX(TYPE(_),SET.NAME("_"))))</f>
        <v>0</v>
      </c>
      <c r="F1286" s="2" t="b">
        <f>IFERROR(INDEX(ERROR(0),IMPOWER(INDIRECT(SET.NAME({1,"_"},)),#REF!)),RETURN(INDEX(TYPE(_),SET.NAME("_"))))</f>
        <v>0</v>
      </c>
      <c r="G1286" s="2">
        <f>TYPE(INDEX(,IMPOWER(INDEX(1,),#REF!)))</f>
        <v>64</v>
      </c>
    </row>
    <row r="1287" spans="1:7" x14ac:dyDescent="0.55000000000000004">
      <c r="A1287" s="1" t="s">
        <v>1828</v>
      </c>
      <c r="B1287" s="2">
        <f>COUNTIF(A:A,A1287)-1</f>
        <v>2</v>
      </c>
      <c r="C1287" s="2">
        <f>COUNTIF(A$1:A1287,A1287)-1</f>
        <v>2</v>
      </c>
      <c r="D1287" s="2" t="e">
        <f>IMPOWER(#REF!,1)</f>
        <v>#REF!</v>
      </c>
      <c r="E1287" s="2" t="b">
        <f>IFERROR(INDEX(ERROR(0),IMPOWER(#REF!,SET.NAME("_",+INDEX(1,)))),RETURN(INDEX(TYPE(_),SET.NAME("_"))))</f>
        <v>0</v>
      </c>
      <c r="F1287" s="2" t="b">
        <f>IFERROR(INDEX(ERROR(0),IMPOWER(#REF!,INDIRECT(SET.NAME({1,"_"},)))),RETURN(INDEX(TYPE(_),SET.NAME("_"))))</f>
        <v>0</v>
      </c>
      <c r="G1287" s="2">
        <f>TYPE(INDEX(,IMPOWER(#REF!,INDEX(1,))))</f>
        <v>64</v>
      </c>
    </row>
    <row r="1288" spans="1:7" x14ac:dyDescent="0.55000000000000004">
      <c r="A1288" s="1" t="s">
        <v>1829</v>
      </c>
      <c r="B1288" s="2">
        <f>COUNTIF(A:A,A1288)-1</f>
        <v>1</v>
      </c>
      <c r="C1288" s="2">
        <f>COUNTIF(A$1:A1288,A1288)-1</f>
        <v>0</v>
      </c>
      <c r="D1288" s="2"/>
      <c r="E1288" s="2"/>
      <c r="F1288" s="2"/>
      <c r="G1288" s="2"/>
    </row>
    <row r="1289" spans="1:7" x14ac:dyDescent="0.55000000000000004">
      <c r="A1289" s="1" t="s">
        <v>1829</v>
      </c>
      <c r="B1289" s="2">
        <f>COUNTIF(A:A,A1289)-1</f>
        <v>1</v>
      </c>
      <c r="C1289" s="2">
        <f>COUNTIF(A$1:A1289,A1289)-1</f>
        <v>1</v>
      </c>
      <c r="D1289" s="2">
        <f>IMABS(1)</f>
        <v>1</v>
      </c>
      <c r="E1289" s="2" t="b">
        <f>IFERROR(INDEX(ERROR(0),IMABS(SET.NAME("_",+INDEX(1,)))),RETURN(INDEX(TYPE(_),SET.NAME("_"))))</f>
        <v>0</v>
      </c>
      <c r="F1289" s="2" t="b">
        <f>IFERROR(INDEX(ERROR(0),IMABS(INDIRECT(SET.NAME({1,"_"},)))),RETURN(INDEX(TYPE(_),SET.NAME("_"))))</f>
        <v>0</v>
      </c>
      <c r="G1289" s="2">
        <f>TYPE(INDEX(,IMABS(INDEX(1,))))</f>
        <v>64</v>
      </c>
    </row>
    <row r="1290" spans="1:7" x14ac:dyDescent="0.55000000000000004">
      <c r="A1290" s="1" t="s">
        <v>1830</v>
      </c>
      <c r="B1290" s="2">
        <f>COUNTIF(A:A,A1290)-1</f>
        <v>1</v>
      </c>
      <c r="C1290" s="2">
        <f>COUNTIF(A$1:A1290,A1290)-1</f>
        <v>0</v>
      </c>
      <c r="D1290" s="2"/>
      <c r="E1290" s="2"/>
      <c r="F1290" s="2"/>
      <c r="G1290" s="2"/>
    </row>
    <row r="1291" spans="1:7" x14ac:dyDescent="0.55000000000000004">
      <c r="A1291" s="1" t="s">
        <v>1830</v>
      </c>
      <c r="B1291" s="2">
        <f>COUNTIF(A:A,A1291)-1</f>
        <v>1</v>
      </c>
      <c r="C1291" s="2">
        <f>COUNTIF(A$1:A1291,A1291)-1</f>
        <v>1</v>
      </c>
      <c r="D1291" s="2" t="str">
        <f>IMSQRT(1)</f>
        <v>1</v>
      </c>
      <c r="E1291" s="2" t="b">
        <f>IFERROR(INDEX(ERROR(0),IMSQRT(SET.NAME("_",+INDEX(1,)))),RETURN(INDEX(TYPE(_),SET.NAME("_"))))</f>
        <v>0</v>
      </c>
      <c r="F1291" s="2" t="b">
        <f>IFERROR(INDEX(ERROR(0),IMSQRT(INDIRECT(SET.NAME({1,"_"},)))),RETURN(INDEX(TYPE(_),SET.NAME("_"))))</f>
        <v>0</v>
      </c>
      <c r="G1291" s="2">
        <f>TYPE(INDEX(,IMSQRT(INDEX(1,))))</f>
        <v>64</v>
      </c>
    </row>
    <row r="1292" spans="1:7" x14ac:dyDescent="0.55000000000000004">
      <c r="A1292" s="1" t="s">
        <v>1831</v>
      </c>
      <c r="B1292" s="2">
        <f>COUNTIF(A:A,A1292)-1</f>
        <v>1</v>
      </c>
      <c r="C1292" s="2">
        <f>COUNTIF(A$1:A1292,A1292)-1</f>
        <v>0</v>
      </c>
      <c r="D1292" s="2"/>
      <c r="E1292" s="2"/>
      <c r="F1292" s="2"/>
      <c r="G1292" s="2"/>
    </row>
    <row r="1293" spans="1:7" x14ac:dyDescent="0.55000000000000004">
      <c r="A1293" s="1" t="s">
        <v>1831</v>
      </c>
      <c r="B1293" s="2">
        <f>COUNTIF(A:A,A1293)-1</f>
        <v>1</v>
      </c>
      <c r="C1293" s="2">
        <f>COUNTIF(A$1:A1293,A1293)-1</f>
        <v>1</v>
      </c>
      <c r="D1293" s="2" t="str">
        <f>IMLN(1)</f>
        <v>0</v>
      </c>
      <c r="E1293" s="2" t="b">
        <f>IFERROR(INDEX(ERROR(0),IMLN(SET.NAME("_",+INDEX(1,)))),RETURN(INDEX(TYPE(_),SET.NAME("_"))))</f>
        <v>0</v>
      </c>
      <c r="F1293" s="2" t="b">
        <f>IFERROR(INDEX(ERROR(0),IMLN(INDIRECT(SET.NAME({1,"_"},)))),RETURN(INDEX(TYPE(_),SET.NAME("_"))))</f>
        <v>0</v>
      </c>
      <c r="G1293" s="2">
        <f>TYPE(INDEX(,IMLN(INDEX(1,))))</f>
        <v>64</v>
      </c>
    </row>
    <row r="1294" spans="1:7" x14ac:dyDescent="0.55000000000000004">
      <c r="A1294" s="1" t="s">
        <v>1832</v>
      </c>
      <c r="B1294" s="2">
        <f>COUNTIF(A:A,A1294)-1</f>
        <v>1</v>
      </c>
      <c r="C1294" s="2">
        <f>COUNTIF(A$1:A1294,A1294)-1</f>
        <v>0</v>
      </c>
      <c r="D1294" s="2"/>
      <c r="E1294" s="2"/>
      <c r="F1294" s="2"/>
      <c r="G1294" s="2"/>
    </row>
    <row r="1295" spans="1:7" x14ac:dyDescent="0.55000000000000004">
      <c r="A1295" s="1" t="s">
        <v>1832</v>
      </c>
      <c r="B1295" s="2">
        <f>COUNTIF(A:A,A1295)-1</f>
        <v>1</v>
      </c>
      <c r="C1295" s="2">
        <f>COUNTIF(A$1:A1295,A1295)-1</f>
        <v>1</v>
      </c>
      <c r="D1295" s="2" t="str">
        <f>IMLOG2(1)</f>
        <v>0</v>
      </c>
      <c r="E1295" s="2" t="b">
        <f>IFERROR(INDEX(ERROR(0),IMLOG2(SET.NAME("_",+INDEX(1,)))),RETURN(INDEX(TYPE(_),SET.NAME("_"))))</f>
        <v>0</v>
      </c>
      <c r="F1295" s="2" t="b">
        <f>IFERROR(INDEX(ERROR(0),IMLOG2(INDIRECT(SET.NAME({1,"_"},)))),RETURN(INDEX(TYPE(_),SET.NAME("_"))))</f>
        <v>0</v>
      </c>
      <c r="G1295" s="2">
        <f>TYPE(INDEX(,IMLOG2(INDEX(1,))))</f>
        <v>64</v>
      </c>
    </row>
    <row r="1296" spans="1:7" x14ac:dyDescent="0.55000000000000004">
      <c r="A1296" s="1" t="s">
        <v>1833</v>
      </c>
      <c r="B1296" s="2">
        <f>COUNTIF(A:A,A1296)-1</f>
        <v>1</v>
      </c>
      <c r="C1296" s="2">
        <f>COUNTIF(A$1:A1296,A1296)-1</f>
        <v>0</v>
      </c>
      <c r="D1296" s="2"/>
      <c r="E1296" s="2"/>
      <c r="F1296" s="2"/>
      <c r="G1296" s="2"/>
    </row>
    <row r="1297" spans="1:7" x14ac:dyDescent="0.55000000000000004">
      <c r="A1297" s="1" t="s">
        <v>1833</v>
      </c>
      <c r="B1297" s="2">
        <f>COUNTIF(A:A,A1297)-1</f>
        <v>1</v>
      </c>
      <c r="C1297" s="2">
        <f>COUNTIF(A$1:A1297,A1297)-1</f>
        <v>1</v>
      </c>
      <c r="D1297" s="2" t="str">
        <f>IMLOG10(1)</f>
        <v>0</v>
      </c>
      <c r="E1297" s="2" t="b">
        <f>IFERROR(INDEX(ERROR(0),IMLOG10(SET.NAME("_",+INDEX(1,)))),RETURN(INDEX(TYPE(_),SET.NAME("_"))))</f>
        <v>0</v>
      </c>
      <c r="F1297" s="2" t="b">
        <f>IFERROR(INDEX(ERROR(0),IMLOG10(INDIRECT(SET.NAME({1,"_"},)))),RETURN(INDEX(TYPE(_),SET.NAME("_"))))</f>
        <v>0</v>
      </c>
      <c r="G1297" s="2">
        <f>TYPE(INDEX(,IMLOG10(INDEX(1,))))</f>
        <v>64</v>
      </c>
    </row>
    <row r="1298" spans="1:7" x14ac:dyDescent="0.55000000000000004">
      <c r="A1298" s="1" t="s">
        <v>1834</v>
      </c>
      <c r="B1298" s="2">
        <f>COUNTIF(A:A,A1298)-1</f>
        <v>1</v>
      </c>
      <c r="C1298" s="2">
        <f>COUNTIF(A$1:A1298,A1298)-1</f>
        <v>0</v>
      </c>
      <c r="D1298" s="2"/>
      <c r="E1298" s="2"/>
      <c r="F1298" s="2"/>
      <c r="G1298" s="2"/>
    </row>
    <row r="1299" spans="1:7" x14ac:dyDescent="0.55000000000000004">
      <c r="A1299" s="1" t="s">
        <v>1834</v>
      </c>
      <c r="B1299" s="2">
        <f>COUNTIF(A:A,A1299)-1</f>
        <v>1</v>
      </c>
      <c r="C1299" s="2">
        <f>COUNTIF(A$1:A1299,A1299)-1</f>
        <v>1</v>
      </c>
      <c r="D1299" s="2" t="str">
        <f>IMSIN(1)</f>
        <v>0.841470984807897</v>
      </c>
      <c r="E1299" s="2" t="b">
        <f>IFERROR(INDEX(ERROR(0),IMSIN(SET.NAME("_",+INDEX(1,)))),RETURN(INDEX(TYPE(_),SET.NAME("_"))))</f>
        <v>0</v>
      </c>
      <c r="F1299" s="2" t="b">
        <f>IFERROR(INDEX(ERROR(0),IMSIN(INDIRECT(SET.NAME({1,"_"},)))),RETURN(INDEX(TYPE(_),SET.NAME("_"))))</f>
        <v>0</v>
      </c>
      <c r="G1299" s="2">
        <f>TYPE(INDEX(,IMSIN(INDEX(1,))))</f>
        <v>64</v>
      </c>
    </row>
    <row r="1300" spans="1:7" x14ac:dyDescent="0.55000000000000004">
      <c r="A1300" s="1" t="s">
        <v>1835</v>
      </c>
      <c r="B1300" s="2">
        <f>COUNTIF(A:A,A1300)-1</f>
        <v>1</v>
      </c>
      <c r="C1300" s="2">
        <f>COUNTIF(A$1:A1300,A1300)-1</f>
        <v>0</v>
      </c>
      <c r="D1300" s="2"/>
      <c r="E1300" s="2"/>
      <c r="F1300" s="2"/>
      <c r="G1300" s="2"/>
    </row>
    <row r="1301" spans="1:7" x14ac:dyDescent="0.55000000000000004">
      <c r="A1301" s="1" t="s">
        <v>1835</v>
      </c>
      <c r="B1301" s="2">
        <f>COUNTIF(A:A,A1301)-1</f>
        <v>1</v>
      </c>
      <c r="C1301" s="2">
        <f>COUNTIF(A$1:A1301,A1301)-1</f>
        <v>1</v>
      </c>
      <c r="D1301" s="2" t="str">
        <f>IMCOS(1)</f>
        <v>0.54030230586814</v>
      </c>
      <c r="E1301" s="2" t="b">
        <f>IFERROR(INDEX(ERROR(0),IMCOS(SET.NAME("_",+INDEX(1,)))),RETURN(INDEX(TYPE(_),SET.NAME("_"))))</f>
        <v>0</v>
      </c>
      <c r="F1301" s="2" t="b">
        <f>IFERROR(INDEX(ERROR(0),IMCOS(INDIRECT(SET.NAME({1,"_"},)))),RETURN(INDEX(TYPE(_),SET.NAME("_"))))</f>
        <v>0</v>
      </c>
      <c r="G1301" s="2">
        <f>TYPE(INDEX(,IMCOS(INDEX(1,))))</f>
        <v>64</v>
      </c>
    </row>
    <row r="1302" spans="1:7" x14ac:dyDescent="0.55000000000000004">
      <c r="A1302" s="1" t="s">
        <v>1836</v>
      </c>
      <c r="B1302" s="2">
        <f>COUNTIF(A:A,A1302)-1</f>
        <v>1</v>
      </c>
      <c r="C1302" s="2">
        <f>COUNTIF(A$1:A1302,A1302)-1</f>
        <v>0</v>
      </c>
      <c r="D1302" s="2"/>
      <c r="E1302" s="2"/>
      <c r="F1302" s="2"/>
      <c r="G1302" s="2"/>
    </row>
    <row r="1303" spans="1:7" x14ac:dyDescent="0.55000000000000004">
      <c r="A1303" s="1" t="s">
        <v>1836</v>
      </c>
      <c r="B1303" s="2">
        <f>COUNTIF(A:A,A1303)-1</f>
        <v>1</v>
      </c>
      <c r="C1303" s="2">
        <f>COUNTIF(A$1:A1303,A1303)-1</f>
        <v>1</v>
      </c>
      <c r="D1303" s="2" t="str">
        <f>IMEXP(1)</f>
        <v>2.71828182845905</v>
      </c>
      <c r="E1303" s="2" t="b">
        <f>IFERROR(INDEX(ERROR(0),IMEXP(SET.NAME("_",+INDEX(1,)))),RETURN(INDEX(TYPE(_),SET.NAME("_"))))</f>
        <v>0</v>
      </c>
      <c r="F1303" s="2" t="b">
        <f>IFERROR(INDEX(ERROR(0),IMEXP(INDIRECT(SET.NAME({1,"_"},)))),RETURN(INDEX(TYPE(_),SET.NAME("_"))))</f>
        <v>0</v>
      </c>
      <c r="G1303" s="2">
        <f>TYPE(INDEX(,IMEXP(INDEX(1,))))</f>
        <v>64</v>
      </c>
    </row>
    <row r="1304" spans="1:7" x14ac:dyDescent="0.55000000000000004">
      <c r="A1304" s="1" t="s">
        <v>1837</v>
      </c>
      <c r="B1304" s="2">
        <f>COUNTIF(A:A,A1304)-1</f>
        <v>1</v>
      </c>
      <c r="C1304" s="2">
        <f>COUNTIF(A$1:A1304,A1304)-1</f>
        <v>0</v>
      </c>
      <c r="D1304" s="2"/>
      <c r="E1304" s="2"/>
      <c r="F1304" s="2"/>
      <c r="G1304" s="2"/>
    </row>
    <row r="1305" spans="1:7" x14ac:dyDescent="0.55000000000000004">
      <c r="A1305" s="1" t="s">
        <v>1837</v>
      </c>
      <c r="B1305" s="2">
        <f>COUNTIF(A:A,A1305)-1</f>
        <v>1</v>
      </c>
      <c r="C1305" s="2">
        <f>COUNTIF(A$1:A1305,A1305)-1</f>
        <v>1</v>
      </c>
      <c r="D1305" s="2">
        <f>IMARGUMENT(1)</f>
        <v>0</v>
      </c>
      <c r="E1305" s="2" t="b">
        <f>IFERROR(INDEX(ERROR(0),IMARGUMENT(SET.NAME("_",+INDEX(1,)))),RETURN(INDEX(TYPE(_),SET.NAME("_"))))</f>
        <v>0</v>
      </c>
      <c r="F1305" s="2" t="b">
        <f>IFERROR(INDEX(ERROR(0),IMARGUMENT(INDIRECT(SET.NAME({1,"_"},)))),RETURN(INDEX(TYPE(_),SET.NAME("_"))))</f>
        <v>0</v>
      </c>
      <c r="G1305" s="2">
        <f>TYPE(INDEX(,IMARGUMENT(INDEX(1,))))</f>
        <v>64</v>
      </c>
    </row>
    <row r="1306" spans="1:7" x14ac:dyDescent="0.55000000000000004">
      <c r="A1306" s="1" t="s">
        <v>1838</v>
      </c>
      <c r="B1306" s="2">
        <f>COUNTIF(A:A,A1306)-1</f>
        <v>1</v>
      </c>
      <c r="C1306" s="2">
        <f>COUNTIF(A$1:A1306,A1306)-1</f>
        <v>0</v>
      </c>
      <c r="D1306" s="2"/>
      <c r="E1306" s="2"/>
      <c r="F1306" s="2"/>
      <c r="G1306" s="2"/>
    </row>
    <row r="1307" spans="1:7" x14ac:dyDescent="0.55000000000000004">
      <c r="A1307" s="1" t="s">
        <v>1838</v>
      </c>
      <c r="B1307" s="2">
        <f>COUNTIF(A:A,A1307)-1</f>
        <v>1</v>
      </c>
      <c r="C1307" s="2">
        <f>COUNTIF(A$1:A1307,A1307)-1</f>
        <v>1</v>
      </c>
      <c r="D1307" s="2" t="str">
        <f>IMCONJUGATE(1)</f>
        <v>1</v>
      </c>
      <c r="E1307" s="2" t="b">
        <f>IFERROR(INDEX(ERROR(0),IMCONJUGATE(SET.NAME("_",+INDEX(1,)))),RETURN(INDEX(TYPE(_),SET.NAME("_"))))</f>
        <v>0</v>
      </c>
      <c r="F1307" s="2" t="b">
        <f>IFERROR(INDEX(ERROR(0),IMCONJUGATE(INDIRECT(SET.NAME({1,"_"},)))),RETURN(INDEX(TYPE(_),SET.NAME("_"))))</f>
        <v>0</v>
      </c>
      <c r="G1307" s="2">
        <f>TYPE(INDEX(,IMCONJUGATE(INDEX(1,))))</f>
        <v>64</v>
      </c>
    </row>
    <row r="1308" spans="1:7" x14ac:dyDescent="0.55000000000000004">
      <c r="A1308" s="1" t="s">
        <v>1839</v>
      </c>
      <c r="B1308" s="2">
        <f>COUNTIF(A:A,A1308)-1</f>
        <v>1</v>
      </c>
      <c r="C1308" s="2">
        <f>COUNTIF(A$1:A1308,A1308)-1</f>
        <v>0</v>
      </c>
      <c r="D1308" s="2"/>
      <c r="E1308" s="2"/>
      <c r="F1308" s="2"/>
      <c r="G1308" s="2"/>
    </row>
    <row r="1309" spans="1:7" x14ac:dyDescent="0.55000000000000004">
      <c r="A1309" s="1" t="s">
        <v>1839</v>
      </c>
      <c r="B1309" s="2">
        <f>COUNTIF(A:A,A1309)-1</f>
        <v>1</v>
      </c>
      <c r="C1309" s="2">
        <f>COUNTIF(A$1:A1309,A1309)-1</f>
        <v>1</v>
      </c>
      <c r="D1309" s="2">
        <f>IMAGINARY(1)</f>
        <v>0</v>
      </c>
      <c r="E1309" s="2" t="b">
        <f>IFERROR(INDEX(ERROR(0),IMAGINARY(SET.NAME("_",+INDEX(1,)))),RETURN(INDEX(TYPE(_),SET.NAME("_"))))</f>
        <v>0</v>
      </c>
      <c r="F1309" s="2" t="b">
        <f>IFERROR(INDEX(ERROR(0),IMAGINARY(INDIRECT(SET.NAME({1,"_"},)))),RETURN(INDEX(TYPE(_),SET.NAME("_"))))</f>
        <v>0</v>
      </c>
      <c r="G1309" s="2">
        <f>TYPE(INDEX(,IMAGINARY(INDEX(1,))))</f>
        <v>64</v>
      </c>
    </row>
    <row r="1310" spans="1:7" x14ac:dyDescent="0.55000000000000004">
      <c r="A1310" s="1" t="s">
        <v>1840</v>
      </c>
      <c r="B1310" s="2">
        <f>COUNTIF(A:A,A1310)-1</f>
        <v>1</v>
      </c>
      <c r="C1310" s="2">
        <f>COUNTIF(A$1:A1310,A1310)-1</f>
        <v>0</v>
      </c>
      <c r="D1310" s="2"/>
      <c r="E1310" s="2"/>
      <c r="F1310" s="2"/>
      <c r="G1310" s="2"/>
    </row>
    <row r="1311" spans="1:7" x14ac:dyDescent="0.55000000000000004">
      <c r="A1311" s="1" t="s">
        <v>1840</v>
      </c>
      <c r="B1311" s="2">
        <f>COUNTIF(A:A,A1311)-1</f>
        <v>1</v>
      </c>
      <c r="C1311" s="2">
        <f>COUNTIF(A$1:A1311,A1311)-1</f>
        <v>1</v>
      </c>
      <c r="D1311" s="2">
        <f>IMREAL(1)</f>
        <v>1</v>
      </c>
      <c r="E1311" s="2" t="b">
        <f>IFERROR(INDEX(ERROR(0),IMREAL(SET.NAME("_",+INDEX(1,)))),RETURN(INDEX(TYPE(_),SET.NAME("_"))))</f>
        <v>0</v>
      </c>
      <c r="F1311" s="2" t="b">
        <f>IFERROR(INDEX(ERROR(0),IMREAL(INDIRECT(SET.NAME({1,"_"},)))),RETURN(INDEX(TYPE(_),SET.NAME("_"))))</f>
        <v>0</v>
      </c>
      <c r="G1311" s="2">
        <f>TYPE(INDEX(,IMREAL(INDEX(1,))))</f>
        <v>64</v>
      </c>
    </row>
    <row r="1312" spans="1:7" x14ac:dyDescent="0.55000000000000004">
      <c r="A1312" s="1" t="s">
        <v>1841</v>
      </c>
      <c r="B1312" s="2">
        <f>COUNTIF(A:A,A1312)-1</f>
        <v>3</v>
      </c>
      <c r="C1312" s="2">
        <f>COUNTIF(A$1:A1312,A1312)-1</f>
        <v>0</v>
      </c>
      <c r="D1312" s="2"/>
      <c r="E1312" s="2"/>
      <c r="F1312" s="2"/>
      <c r="G1312" s="2"/>
    </row>
    <row r="1313" spans="1:7" x14ac:dyDescent="0.55000000000000004">
      <c r="A1313" s="1" t="s">
        <v>1841</v>
      </c>
      <c r="B1313" s="2">
        <f>COUNTIF(A:A,A1313)-1</f>
        <v>3</v>
      </c>
      <c r="C1313" s="2">
        <f>COUNTIF(A$1:A1313,A1313)-1</f>
        <v>1</v>
      </c>
      <c r="D1313" s="2" t="e">
        <f>COMPLEX(1,#REF!,#REF!)</f>
        <v>#REF!</v>
      </c>
      <c r="E1313" s="2" t="b">
        <f>IFERROR(INDEX(ERROR(0),COMPLEX(SET.NAME("_",+INDEX(1,)),#REF!,#REF!)),RETURN(INDEX(TYPE(_),SET.NAME("_"))))</f>
        <v>0</v>
      </c>
      <c r="F1313" s="2" t="b">
        <f>IFERROR(INDEX(ERROR(0),COMPLEX(INDIRECT(SET.NAME({1,"_"},)),#REF!,#REF!)),RETURN(INDEX(TYPE(_),SET.NAME("_"))))</f>
        <v>0</v>
      </c>
      <c r="G1313" s="2">
        <f>TYPE(INDEX(,COMPLEX(INDEX(1,),#REF!,#REF!)))</f>
        <v>64</v>
      </c>
    </row>
    <row r="1314" spans="1:7" x14ac:dyDescent="0.55000000000000004">
      <c r="A1314" s="1" t="s">
        <v>1841</v>
      </c>
      <c r="B1314" s="2">
        <f>COUNTIF(A:A,A1314)-1</f>
        <v>3</v>
      </c>
      <c r="C1314" s="2">
        <f>COUNTIF(A$1:A1314,A1314)-1</f>
        <v>2</v>
      </c>
      <c r="D1314" s="2" t="e">
        <f>COMPLEX(#REF!,1,#REF!)</f>
        <v>#REF!</v>
      </c>
      <c r="E1314" s="2" t="b">
        <f>IFERROR(INDEX(ERROR(0),COMPLEX(#REF!,SET.NAME("_",+INDEX(1,)),#REF!)),RETURN(INDEX(TYPE(_),SET.NAME("_"))))</f>
        <v>0</v>
      </c>
      <c r="F1314" s="2" t="b">
        <f>IFERROR(INDEX(ERROR(0),COMPLEX(#REF!,INDIRECT(SET.NAME({1,"_"},)),#REF!)),RETURN(INDEX(TYPE(_),SET.NAME("_"))))</f>
        <v>0</v>
      </c>
      <c r="G1314" s="2">
        <f>TYPE(INDEX(,COMPLEX(#REF!,INDEX(1,),#REF!)))</f>
        <v>64</v>
      </c>
    </row>
    <row r="1315" spans="1:7" x14ac:dyDescent="0.55000000000000004">
      <c r="A1315" s="1" t="s">
        <v>1841</v>
      </c>
      <c r="B1315" s="2">
        <f>COUNTIF(A:A,A1315)-1</f>
        <v>3</v>
      </c>
      <c r="C1315" s="2">
        <f>COUNTIF(A$1:A1315,A1315)-1</f>
        <v>3</v>
      </c>
      <c r="D1315" s="2" t="e">
        <f>COMPLEX(#REF!,#REF!,1)</f>
        <v>#VALUE!</v>
      </c>
      <c r="E1315" s="2" t="b">
        <f>IFERROR(INDEX(ERROR(0),COMPLEX(#REF!,#REF!,SET.NAME("_",+INDEX(1,)))),RETURN(INDEX(TYPE(_),SET.NAME("_"))))</f>
        <v>0</v>
      </c>
      <c r="F1315" s="2" t="b">
        <f>IFERROR(INDEX(ERROR(0),COMPLEX(#REF!,#REF!,INDIRECT(SET.NAME({1,"_"},)))),RETURN(INDEX(TYPE(_),SET.NAME("_"))))</f>
        <v>0</v>
      </c>
      <c r="G1315" s="2">
        <f>TYPE(INDEX(,COMPLEX(#REF!,#REF!,INDEX(1,))))</f>
        <v>64</v>
      </c>
    </row>
    <row r="1316" spans="1:7" x14ac:dyDescent="0.55000000000000004">
      <c r="A1316" s="1" t="s">
        <v>1842</v>
      </c>
      <c r="B1316" s="2">
        <f>COUNTIF(A:A,A1316)-1</f>
        <v>3</v>
      </c>
      <c r="C1316" s="2">
        <f>COUNTIF(A$1:A1316,A1316)-1</f>
        <v>0</v>
      </c>
      <c r="D1316" s="2"/>
      <c r="E1316" s="2"/>
      <c r="F1316" s="2"/>
      <c r="G1316" s="2"/>
    </row>
    <row r="1317" spans="1:7" x14ac:dyDescent="0.55000000000000004">
      <c r="A1317" s="1" t="s">
        <v>1842</v>
      </c>
      <c r="B1317" s="2">
        <f>COUNTIF(A:A,A1317)-1</f>
        <v>3</v>
      </c>
      <c r="C1317" s="2">
        <f>COUNTIF(A$1:A1317,A1317)-1</f>
        <v>1</v>
      </c>
      <c r="D1317" s="2" t="e">
        <f>IMSUM(1,#REF!,#REF!)</f>
        <v>#REF!</v>
      </c>
      <c r="E1317" s="2" t="b">
        <f>IFERROR(INDEX(ERROR(0),IMSUM(SET.NAME("_",+INDEX(1,)),#REF!,#REF!)),RETURN(INDEX(TYPE(_),SET.NAME("_"))))</f>
        <v>0</v>
      </c>
      <c r="F1317" s="2" t="b">
        <f>IFERROR(INDEX(ERROR(0),IMSUM(INDIRECT(SET.NAME({1,"_"},)),#REF!,#REF!)),RETURN(INDEX(TYPE(_),SET.NAME("_"))))</f>
        <v>0</v>
      </c>
      <c r="G1317" s="2">
        <f>TYPE(INDEX(,IMSUM(INDEX(1,),#REF!,#REF!)))</f>
        <v>16</v>
      </c>
    </row>
    <row r="1318" spans="1:7" x14ac:dyDescent="0.55000000000000004">
      <c r="A1318" s="1" t="s">
        <v>1842</v>
      </c>
      <c r="B1318" s="2">
        <f>COUNTIF(A:A,A1318)-1</f>
        <v>3</v>
      </c>
      <c r="C1318" s="2">
        <f>COUNTIF(A$1:A1318,A1318)-1</f>
        <v>2</v>
      </c>
      <c r="D1318" s="2" t="e">
        <f>IMSUM(#REF!,1,#REF!)</f>
        <v>#REF!</v>
      </c>
      <c r="E1318" s="2" t="b">
        <f>IFERROR(INDEX(ERROR(0),IMSUM(#REF!,SET.NAME("_",+INDEX(1,)),#REF!)),RETURN(INDEX(TYPE(_),SET.NAME("_"))))</f>
        <v>0</v>
      </c>
      <c r="F1318" s="2" t="b">
        <f>IFERROR(INDEX(ERROR(0),IMSUM(#REF!,INDIRECT(SET.NAME({1,"_"},)),#REF!)),RETURN(INDEX(TYPE(_),SET.NAME("_"))))</f>
        <v>0</v>
      </c>
      <c r="G1318" s="2">
        <f>TYPE(INDEX(,IMSUM(#REF!,INDEX(1,),#REF!)))</f>
        <v>16</v>
      </c>
    </row>
    <row r="1319" spans="1:7" x14ac:dyDescent="0.55000000000000004">
      <c r="A1319" s="1" t="s">
        <v>1842</v>
      </c>
      <c r="B1319" s="2">
        <f>COUNTIF(A:A,A1319)-1</f>
        <v>3</v>
      </c>
      <c r="C1319" s="2">
        <f>COUNTIF(A$1:A1319,A1319)-1</f>
        <v>3</v>
      </c>
      <c r="D1319" s="2" t="e">
        <f>IMSUM(#REF!,#REF!,1)</f>
        <v>#REF!</v>
      </c>
      <c r="E1319" s="2" t="b">
        <f>IFERROR(INDEX(ERROR(0),IMSUM(#REF!,#REF!,SET.NAME("_",+INDEX(1,)))),RETURN(INDEX(TYPE(_),SET.NAME("_"))))</f>
        <v>0</v>
      </c>
      <c r="F1319" s="2" t="b">
        <f>IFERROR(INDEX(ERROR(0),IMSUM(#REF!,#REF!,INDIRECT(SET.NAME({1,"_"},)))),RETURN(INDEX(TYPE(_),SET.NAME("_"))))</f>
        <v>0</v>
      </c>
      <c r="G1319" s="2">
        <f>TYPE(INDEX(,IMSUM(#REF!,#REF!,INDEX(1,))))</f>
        <v>16</v>
      </c>
    </row>
    <row r="1320" spans="1:7" x14ac:dyDescent="0.55000000000000004">
      <c r="A1320" s="1" t="s">
        <v>1843</v>
      </c>
      <c r="B1320" s="2">
        <f>COUNTIF(A:A,A1320)-1</f>
        <v>3</v>
      </c>
      <c r="C1320" s="2">
        <f>COUNTIF(A$1:A1320,A1320)-1</f>
        <v>0</v>
      </c>
      <c r="D1320" s="2"/>
      <c r="E1320" s="2"/>
      <c r="F1320" s="2"/>
      <c r="G1320" s="2"/>
    </row>
    <row r="1321" spans="1:7" x14ac:dyDescent="0.55000000000000004">
      <c r="A1321" s="1" t="s">
        <v>1843</v>
      </c>
      <c r="B1321" s="2">
        <f>COUNTIF(A:A,A1321)-1</f>
        <v>3</v>
      </c>
      <c r="C1321" s="2">
        <f>COUNTIF(A$1:A1321,A1321)-1</f>
        <v>1</v>
      </c>
      <c r="D1321" s="2" t="e">
        <f>IMPRODUCT(1,#REF!,#REF!)</f>
        <v>#REF!</v>
      </c>
      <c r="E1321" s="2" t="b">
        <f>IFERROR(INDEX(ERROR(0),IMPRODUCT(SET.NAME("_",+INDEX(1,)),#REF!,#REF!)),RETURN(INDEX(TYPE(_),SET.NAME("_"))))</f>
        <v>0</v>
      </c>
      <c r="F1321" s="2" t="b">
        <f>IFERROR(INDEX(ERROR(0),IMPRODUCT(INDIRECT(SET.NAME({1,"_"},)),#REF!,#REF!)),RETURN(INDEX(TYPE(_),SET.NAME("_"))))</f>
        <v>0</v>
      </c>
      <c r="G1321" s="2">
        <f>TYPE(INDEX(,IMPRODUCT(INDEX(1,),#REF!,#REF!)))</f>
        <v>16</v>
      </c>
    </row>
    <row r="1322" spans="1:7" x14ac:dyDescent="0.55000000000000004">
      <c r="A1322" s="1" t="s">
        <v>1843</v>
      </c>
      <c r="B1322" s="2">
        <f>COUNTIF(A:A,A1322)-1</f>
        <v>3</v>
      </c>
      <c r="C1322" s="2">
        <f>COUNTIF(A$1:A1322,A1322)-1</f>
        <v>2</v>
      </c>
      <c r="D1322" s="2" t="e">
        <f>IMPRODUCT(#REF!,1,#REF!)</f>
        <v>#REF!</v>
      </c>
      <c r="E1322" s="2" t="b">
        <f>IFERROR(INDEX(ERROR(0),IMPRODUCT(#REF!,SET.NAME("_",+INDEX(1,)),#REF!)),RETURN(INDEX(TYPE(_),SET.NAME("_"))))</f>
        <v>0</v>
      </c>
      <c r="F1322" s="2" t="b">
        <f>IFERROR(INDEX(ERROR(0),IMPRODUCT(#REF!,INDIRECT(SET.NAME({1,"_"},)),#REF!)),RETURN(INDEX(TYPE(_),SET.NAME("_"))))</f>
        <v>0</v>
      </c>
      <c r="G1322" s="2">
        <f>TYPE(INDEX(,IMPRODUCT(#REF!,INDEX(1,),#REF!)))</f>
        <v>16</v>
      </c>
    </row>
    <row r="1323" spans="1:7" x14ac:dyDescent="0.55000000000000004">
      <c r="A1323" s="1" t="s">
        <v>1843</v>
      </c>
      <c r="B1323" s="2">
        <f>COUNTIF(A:A,A1323)-1</f>
        <v>3</v>
      </c>
      <c r="C1323" s="2">
        <f>COUNTIF(A$1:A1323,A1323)-1</f>
        <v>3</v>
      </c>
      <c r="D1323" s="2" t="e">
        <f>IMPRODUCT(#REF!,#REF!,1)</f>
        <v>#REF!</v>
      </c>
      <c r="E1323" s="2" t="b">
        <f>IFERROR(INDEX(ERROR(0),IMPRODUCT(#REF!,#REF!,SET.NAME("_",+INDEX(1,)))),RETURN(INDEX(TYPE(_),SET.NAME("_"))))</f>
        <v>0</v>
      </c>
      <c r="F1323" s="2" t="b">
        <f>IFERROR(INDEX(ERROR(0),IMPRODUCT(#REF!,#REF!,INDIRECT(SET.NAME({1,"_"},)))),RETURN(INDEX(TYPE(_),SET.NAME("_"))))</f>
        <v>0</v>
      </c>
      <c r="G1323" s="2">
        <f>TYPE(INDEX(,IMPRODUCT(#REF!,#REF!,INDEX(1,))))</f>
        <v>16</v>
      </c>
    </row>
    <row r="1324" spans="1:7" x14ac:dyDescent="0.55000000000000004">
      <c r="A1324" s="1" t="s">
        <v>1844</v>
      </c>
      <c r="B1324" s="2">
        <f>COUNTIF(A:A,A1324)-1</f>
        <v>4</v>
      </c>
      <c r="C1324" s="2">
        <f>COUNTIF(A$1:A1324,A1324)-1</f>
        <v>0</v>
      </c>
      <c r="D1324" s="2"/>
      <c r="E1324" s="2"/>
      <c r="F1324" s="2"/>
      <c r="G1324" s="2"/>
    </row>
    <row r="1325" spans="1:7" x14ac:dyDescent="0.55000000000000004">
      <c r="A1325" s="1" t="s">
        <v>1844</v>
      </c>
      <c r="B1325" s="2">
        <f>COUNTIF(A:A,A1325)-1</f>
        <v>4</v>
      </c>
      <c r="C1325" s="2">
        <f>COUNTIF(A$1:A1325,A1325)-1</f>
        <v>1</v>
      </c>
      <c r="D1325" s="2" t="e">
        <f>SERIESSUM(1,#REF!,#REF!,#REF!)</f>
        <v>#REF!</v>
      </c>
      <c r="E1325" s="2" t="b">
        <f>IFERROR(INDEX(ERROR(0),SERIESSUM(SET.NAME("_",+INDEX(1,)),#REF!,#REF!,#REF!)),RETURN(INDEX(TYPE(_),SET.NAME("_"))))</f>
        <v>0</v>
      </c>
      <c r="F1325" s="2" t="b">
        <f>IFERROR(INDEX(ERROR(0),SERIESSUM(INDIRECT(SET.NAME({1,"_"},)),#REF!,#REF!,#REF!)),RETURN(INDEX(TYPE(_),SET.NAME("_"))))</f>
        <v>0</v>
      </c>
      <c r="G1325" s="2">
        <f>TYPE(INDEX(,SERIESSUM(INDEX(1,),#REF!,#REF!,#REF!)))</f>
        <v>64</v>
      </c>
    </row>
    <row r="1326" spans="1:7" x14ac:dyDescent="0.55000000000000004">
      <c r="A1326" s="1" t="s">
        <v>1844</v>
      </c>
      <c r="B1326" s="2">
        <f>COUNTIF(A:A,A1326)-1</f>
        <v>4</v>
      </c>
      <c r="C1326" s="2">
        <f>COUNTIF(A$1:A1326,A1326)-1</f>
        <v>2</v>
      </c>
      <c r="D1326" s="2" t="e">
        <f>SERIESSUM(#REF!,1,#REF!,#REF!)</f>
        <v>#REF!</v>
      </c>
      <c r="E1326" s="2" t="b">
        <f>IFERROR(INDEX(ERROR(0),SERIESSUM(#REF!,SET.NAME("_",+INDEX(1,)),#REF!,#REF!)),RETURN(INDEX(TYPE(_),SET.NAME("_"))))</f>
        <v>0</v>
      </c>
      <c r="F1326" s="2" t="b">
        <f>IFERROR(INDEX(ERROR(0),SERIESSUM(#REF!,INDIRECT(SET.NAME({1,"_"},)),#REF!,#REF!)),RETURN(INDEX(TYPE(_),SET.NAME("_"))))</f>
        <v>0</v>
      </c>
      <c r="G1326" s="2">
        <f>TYPE(INDEX(,SERIESSUM(#REF!,INDEX(1,),#REF!,#REF!)))</f>
        <v>64</v>
      </c>
    </row>
    <row r="1327" spans="1:7" x14ac:dyDescent="0.55000000000000004">
      <c r="A1327" s="1" t="s">
        <v>1844</v>
      </c>
      <c r="B1327" s="2">
        <f>COUNTIF(A:A,A1327)-1</f>
        <v>4</v>
      </c>
      <c r="C1327" s="2">
        <f>COUNTIF(A$1:A1327,A1327)-1</f>
        <v>3</v>
      </c>
      <c r="D1327" s="2" t="e">
        <f>SERIESSUM(#REF!,#REF!,1,#REF!)</f>
        <v>#REF!</v>
      </c>
      <c r="E1327" s="2" t="b">
        <f>IFERROR(INDEX(ERROR(0),SERIESSUM(#REF!,#REF!,SET.NAME("_",+INDEX(1,)),#REF!)),RETURN(INDEX(TYPE(_),SET.NAME("_"))))</f>
        <v>0</v>
      </c>
      <c r="F1327" s="2" t="b">
        <f>IFERROR(INDEX(ERROR(0),SERIESSUM(#REF!,#REF!,INDIRECT(SET.NAME({1,"_"},)),#REF!)),RETURN(INDEX(TYPE(_),SET.NAME("_"))))</f>
        <v>0</v>
      </c>
      <c r="G1327" s="2">
        <f>TYPE(INDEX(,SERIESSUM(#REF!,#REF!,INDEX(1,),#REF!)))</f>
        <v>64</v>
      </c>
    </row>
    <row r="1328" spans="1:7" x14ac:dyDescent="0.55000000000000004">
      <c r="A1328" s="1" t="s">
        <v>1844</v>
      </c>
      <c r="B1328" s="2">
        <f>COUNTIF(A:A,A1328)-1</f>
        <v>4</v>
      </c>
      <c r="C1328" s="2">
        <f>COUNTIF(A$1:A1328,A1328)-1</f>
        <v>4</v>
      </c>
      <c r="D1328" s="2" t="e">
        <f>SERIESSUM(#REF!,#REF!,#REF!,1)</f>
        <v>#REF!</v>
      </c>
      <c r="E1328" s="2" t="b">
        <f>IFERROR(INDEX(ERROR(0),SERIESSUM(#REF!,#REF!,#REF!,SET.NAME("_",+INDEX(1,)))),RETURN(INDEX(TYPE(_),SET.NAME("_"))))</f>
        <v>0</v>
      </c>
      <c r="F1328" s="2" t="b">
        <f>IFERROR(INDEX(ERROR(0),SERIESSUM(#REF!,#REF!,#REF!,INDIRECT(SET.NAME({1,"_"},)))),RETURN(INDEX(TYPE(_),SET.NAME("_"))))</f>
        <v>0</v>
      </c>
      <c r="G1328" s="2">
        <f>TYPE(INDEX(,SERIESSUM(#REF!,#REF!,#REF!,INDEX(1,))))</f>
        <v>16</v>
      </c>
    </row>
    <row r="1329" spans="1:7" x14ac:dyDescent="0.55000000000000004">
      <c r="A1329" s="1" t="s">
        <v>1845</v>
      </c>
      <c r="B1329" s="2">
        <f>COUNTIF(A:A,A1329)-1</f>
        <v>1</v>
      </c>
      <c r="C1329" s="2">
        <f>COUNTIF(A$1:A1329,A1329)-1</f>
        <v>0</v>
      </c>
      <c r="D1329" s="2"/>
      <c r="E1329" s="2"/>
      <c r="F1329" s="2"/>
      <c r="G1329" s="2"/>
    </row>
    <row r="1330" spans="1:7" x14ac:dyDescent="0.55000000000000004">
      <c r="A1330" s="1" t="s">
        <v>1845</v>
      </c>
      <c r="B1330" s="2">
        <f>COUNTIF(A:A,A1330)-1</f>
        <v>1</v>
      </c>
      <c r="C1330" s="2">
        <f>COUNTIF(A$1:A1330,A1330)-1</f>
        <v>1</v>
      </c>
      <c r="D1330" s="2">
        <f>FACTDOUBLE(1)</f>
        <v>1</v>
      </c>
      <c r="E1330" s="2" t="b">
        <f>IFERROR(INDEX(ERROR(0),FACTDOUBLE(SET.NAME("_",+INDEX(1,)))),RETURN(INDEX(TYPE(_),SET.NAME("_"))))</f>
        <v>0</v>
      </c>
      <c r="F1330" s="2" t="b">
        <f>IFERROR(INDEX(ERROR(0),FACTDOUBLE(INDIRECT(SET.NAME({1,"_"},)))),RETURN(INDEX(TYPE(_),SET.NAME("_"))))</f>
        <v>0</v>
      </c>
      <c r="G1330" s="2">
        <f>TYPE(INDEX(,FACTDOUBLE(INDEX(1,))))</f>
        <v>64</v>
      </c>
    </row>
    <row r="1331" spans="1:7" x14ac:dyDescent="0.55000000000000004">
      <c r="A1331" s="1" t="s">
        <v>1846</v>
      </c>
      <c r="B1331" s="2">
        <f>COUNTIF(A:A,A1331)-1</f>
        <v>1</v>
      </c>
      <c r="C1331" s="2">
        <f>COUNTIF(A$1:A1331,A1331)-1</f>
        <v>0</v>
      </c>
      <c r="D1331" s="2"/>
      <c r="E1331" s="2"/>
      <c r="F1331" s="2"/>
      <c r="G1331" s="2"/>
    </row>
    <row r="1332" spans="1:7" x14ac:dyDescent="0.55000000000000004">
      <c r="A1332" s="1" t="s">
        <v>1846</v>
      </c>
      <c r="B1332" s="2">
        <f>COUNTIF(A:A,A1332)-1</f>
        <v>1</v>
      </c>
      <c r="C1332" s="2">
        <f>COUNTIF(A$1:A1332,A1332)-1</f>
        <v>1</v>
      </c>
      <c r="D1332" s="2">
        <f>SQRTPI(1)</f>
        <v>1.7724538509055159</v>
      </c>
      <c r="E1332" s="2" t="b">
        <f>IFERROR(INDEX(ERROR(0),SQRTPI(SET.NAME("_",+INDEX(1,)))),RETURN(INDEX(TYPE(_),SET.NAME("_"))))</f>
        <v>0</v>
      </c>
      <c r="F1332" s="2" t="b">
        <f>IFERROR(INDEX(ERROR(0),SQRTPI(INDIRECT(SET.NAME({1,"_"},)))),RETURN(INDEX(TYPE(_),SET.NAME("_"))))</f>
        <v>0</v>
      </c>
      <c r="G1332" s="2">
        <f>TYPE(INDEX(,SQRTPI(INDEX(1,))))</f>
        <v>64</v>
      </c>
    </row>
    <row r="1333" spans="1:7" x14ac:dyDescent="0.55000000000000004">
      <c r="A1333" s="1" t="s">
        <v>1847</v>
      </c>
      <c r="B1333" s="2">
        <f>COUNTIF(A:A,A1333)-1</f>
        <v>2</v>
      </c>
      <c r="C1333" s="2">
        <f>COUNTIF(A$1:A1333,A1333)-1</f>
        <v>0</v>
      </c>
      <c r="D1333" s="2"/>
      <c r="E1333" s="2"/>
      <c r="F1333" s="2"/>
      <c r="G1333" s="2"/>
    </row>
    <row r="1334" spans="1:7" x14ac:dyDescent="0.55000000000000004">
      <c r="A1334" s="1" t="s">
        <v>1847</v>
      </c>
      <c r="B1334" s="2">
        <f>COUNTIF(A:A,A1334)-1</f>
        <v>2</v>
      </c>
      <c r="C1334" s="2">
        <f>COUNTIF(A$1:A1334,A1334)-1</f>
        <v>1</v>
      </c>
      <c r="D1334" s="2" t="e">
        <f>QUOTIENT(1,#REF!)</f>
        <v>#REF!</v>
      </c>
      <c r="E1334" s="2" t="b">
        <f>IFERROR(INDEX(ERROR(0),QUOTIENT(SET.NAME("_",+INDEX(1,)),#REF!)),RETURN(INDEX(TYPE(_),SET.NAME("_"))))</f>
        <v>0</v>
      </c>
      <c r="F1334" s="2" t="b">
        <f>IFERROR(INDEX(ERROR(0),QUOTIENT(INDIRECT(SET.NAME({1,"_"},)),#REF!)),RETURN(INDEX(TYPE(_),SET.NAME("_"))))</f>
        <v>0</v>
      </c>
      <c r="G1334" s="2">
        <f>TYPE(INDEX(,QUOTIENT(INDEX(1,),#REF!)))</f>
        <v>64</v>
      </c>
    </row>
    <row r="1335" spans="1:7" x14ac:dyDescent="0.55000000000000004">
      <c r="A1335" s="1" t="s">
        <v>1847</v>
      </c>
      <c r="B1335" s="2">
        <f>COUNTIF(A:A,A1335)-1</f>
        <v>2</v>
      </c>
      <c r="C1335" s="2">
        <f>COUNTIF(A$1:A1335,A1335)-1</f>
        <v>2</v>
      </c>
      <c r="D1335" s="2" t="e">
        <f>QUOTIENT(#REF!,1)</f>
        <v>#REF!</v>
      </c>
      <c r="E1335" s="2" t="b">
        <f>IFERROR(INDEX(ERROR(0),QUOTIENT(#REF!,SET.NAME("_",+INDEX(1,)))),RETURN(INDEX(TYPE(_),SET.NAME("_"))))</f>
        <v>0</v>
      </c>
      <c r="F1335" s="2" t="b">
        <f>IFERROR(INDEX(ERROR(0),QUOTIENT(#REF!,INDIRECT(SET.NAME({1,"_"},)))),RETURN(INDEX(TYPE(_),SET.NAME("_"))))</f>
        <v>0</v>
      </c>
      <c r="G1335" s="2">
        <f>TYPE(INDEX(,QUOTIENT(#REF!,INDEX(1,))))</f>
        <v>64</v>
      </c>
    </row>
    <row r="1336" spans="1:7" x14ac:dyDescent="0.55000000000000004">
      <c r="A1336" s="1" t="s">
        <v>1848</v>
      </c>
      <c r="B1336" s="2">
        <f>COUNTIF(A:A,A1336)-1</f>
        <v>2</v>
      </c>
      <c r="C1336" s="2">
        <f>COUNTIF(A$1:A1336,A1336)-1</f>
        <v>0</v>
      </c>
      <c r="D1336" s="2"/>
      <c r="E1336" s="2"/>
      <c r="F1336" s="2"/>
      <c r="G1336" s="2"/>
    </row>
    <row r="1337" spans="1:7" x14ac:dyDescent="0.55000000000000004">
      <c r="A1337" s="1" t="s">
        <v>1848</v>
      </c>
      <c r="B1337" s="2">
        <f>COUNTIF(A:A,A1337)-1</f>
        <v>2</v>
      </c>
      <c r="C1337" s="2">
        <f>COUNTIF(A$1:A1337,A1337)-1</f>
        <v>1</v>
      </c>
      <c r="D1337" s="2" t="e">
        <f>DELTA(1,#REF!)</f>
        <v>#REF!</v>
      </c>
      <c r="E1337" s="2" t="b">
        <f>IFERROR(INDEX(ERROR(0),DELTA(SET.NAME("_",+INDEX(1,)),#REF!)),RETURN(INDEX(TYPE(_),SET.NAME("_"))))</f>
        <v>0</v>
      </c>
      <c r="F1337" s="2" t="b">
        <f>IFERROR(INDEX(ERROR(0),DELTA(INDIRECT(SET.NAME({1,"_"},)),#REF!)),RETURN(INDEX(TYPE(_),SET.NAME("_"))))</f>
        <v>0</v>
      </c>
      <c r="G1337" s="2">
        <f>TYPE(INDEX(,DELTA(INDEX(1,),#REF!)))</f>
        <v>64</v>
      </c>
    </row>
    <row r="1338" spans="1:7" x14ac:dyDescent="0.55000000000000004">
      <c r="A1338" s="1" t="s">
        <v>1848</v>
      </c>
      <c r="B1338" s="2">
        <f>COUNTIF(A:A,A1338)-1</f>
        <v>2</v>
      </c>
      <c r="C1338" s="2">
        <f>COUNTIF(A$1:A1338,A1338)-1</f>
        <v>2</v>
      </c>
      <c r="D1338" s="2" t="e">
        <f>DELTA(#REF!,1)</f>
        <v>#REF!</v>
      </c>
      <c r="E1338" s="2" t="b">
        <f>IFERROR(INDEX(ERROR(0),DELTA(#REF!,SET.NAME("_",+INDEX(1,)))),RETURN(INDEX(TYPE(_),SET.NAME("_"))))</f>
        <v>0</v>
      </c>
      <c r="F1338" s="2" t="b">
        <f>IFERROR(INDEX(ERROR(0),DELTA(#REF!,INDIRECT(SET.NAME({1,"_"},)))),RETURN(INDEX(TYPE(_),SET.NAME("_"))))</f>
        <v>0</v>
      </c>
      <c r="G1338" s="2">
        <f>TYPE(INDEX(,DELTA(#REF!,INDEX(1,))))</f>
        <v>64</v>
      </c>
    </row>
    <row r="1339" spans="1:7" x14ac:dyDescent="0.55000000000000004">
      <c r="A1339" s="1" t="s">
        <v>1849</v>
      </c>
      <c r="B1339" s="2">
        <f>COUNTIF(A:A,A1339)-1</f>
        <v>2</v>
      </c>
      <c r="C1339" s="2">
        <f>COUNTIF(A$1:A1339,A1339)-1</f>
        <v>0</v>
      </c>
      <c r="D1339" s="2"/>
      <c r="E1339" s="2"/>
      <c r="F1339" s="2"/>
      <c r="G1339" s="2"/>
    </row>
    <row r="1340" spans="1:7" x14ac:dyDescent="0.55000000000000004">
      <c r="A1340" s="1" t="s">
        <v>1849</v>
      </c>
      <c r="B1340" s="2">
        <f>COUNTIF(A:A,A1340)-1</f>
        <v>2</v>
      </c>
      <c r="C1340" s="2">
        <f>COUNTIF(A$1:A1340,A1340)-1</f>
        <v>1</v>
      </c>
      <c r="D1340" s="2" t="e">
        <f>GESTEP(1,#REF!)</f>
        <v>#REF!</v>
      </c>
      <c r="E1340" s="2" t="b">
        <f>IFERROR(INDEX(ERROR(0),GESTEP(SET.NAME("_",+INDEX(1,)),#REF!)),RETURN(INDEX(TYPE(_),SET.NAME("_"))))</f>
        <v>0</v>
      </c>
      <c r="F1340" s="2" t="b">
        <f>IFERROR(INDEX(ERROR(0),GESTEP(INDIRECT(SET.NAME({1,"_"},)),#REF!)),RETURN(INDEX(TYPE(_),SET.NAME("_"))))</f>
        <v>0</v>
      </c>
      <c r="G1340" s="2">
        <f>TYPE(INDEX(,GESTEP(INDEX(1,),#REF!)))</f>
        <v>64</v>
      </c>
    </row>
    <row r="1341" spans="1:7" x14ac:dyDescent="0.55000000000000004">
      <c r="A1341" s="1" t="s">
        <v>1849</v>
      </c>
      <c r="B1341" s="2">
        <f>COUNTIF(A:A,A1341)-1</f>
        <v>2</v>
      </c>
      <c r="C1341" s="2">
        <f>COUNTIF(A$1:A1341,A1341)-1</f>
        <v>2</v>
      </c>
      <c r="D1341" s="2" t="e">
        <f>GESTEP(#REF!,1)</f>
        <v>#REF!</v>
      </c>
      <c r="E1341" s="2" t="b">
        <f>IFERROR(INDEX(ERROR(0),GESTEP(#REF!,SET.NAME("_",+INDEX(1,)))),RETURN(INDEX(TYPE(_),SET.NAME("_"))))</f>
        <v>0</v>
      </c>
      <c r="F1341" s="2" t="b">
        <f>IFERROR(INDEX(ERROR(0),GESTEP(#REF!,INDIRECT(SET.NAME({1,"_"},)))),RETURN(INDEX(TYPE(_),SET.NAME("_"))))</f>
        <v>0</v>
      </c>
      <c r="G1341" s="2">
        <f>TYPE(INDEX(,GESTEP(#REF!,INDEX(1,))))</f>
        <v>64</v>
      </c>
    </row>
    <row r="1342" spans="1:7" x14ac:dyDescent="0.55000000000000004">
      <c r="A1342" s="1" t="s">
        <v>1850</v>
      </c>
      <c r="B1342" s="2">
        <f>COUNTIF(A:A,A1342)-1</f>
        <v>1</v>
      </c>
      <c r="C1342" s="2">
        <f>COUNTIF(A$1:A1342,A1342)-1</f>
        <v>0</v>
      </c>
      <c r="D1342" s="2"/>
      <c r="E1342" s="2"/>
      <c r="F1342" s="2"/>
      <c r="G1342" s="2"/>
    </row>
    <row r="1343" spans="1:7" x14ac:dyDescent="0.55000000000000004">
      <c r="A1343" s="1" t="s">
        <v>1850</v>
      </c>
      <c r="B1343" s="2">
        <f>COUNTIF(A:A,A1343)-1</f>
        <v>1</v>
      </c>
      <c r="C1343" s="2">
        <f>COUNTIF(A$1:A1343,A1343)-1</f>
        <v>1</v>
      </c>
      <c r="D1343" s="2" t="b">
        <f>ISEVEN(1)</f>
        <v>0</v>
      </c>
      <c r="E1343" s="2" t="b">
        <f>IFERROR(INDEX(ERROR(0),ISEVEN(SET.NAME("_",+INDEX(1,)))),RETURN(INDEX(TYPE(_),SET.NAME("_"))))</f>
        <v>0</v>
      </c>
      <c r="F1343" s="2" t="b">
        <f>IFERROR(INDEX(ERROR(0),ISEVEN(INDIRECT(SET.NAME({1,"_"},)))),RETURN(INDEX(TYPE(_),SET.NAME("_"))))</f>
        <v>0</v>
      </c>
      <c r="G1343" s="2">
        <f>TYPE(INDEX(,ISEVEN(INDEX(1,))))</f>
        <v>64</v>
      </c>
    </row>
    <row r="1344" spans="1:7" x14ac:dyDescent="0.55000000000000004">
      <c r="A1344" s="1" t="s">
        <v>1851</v>
      </c>
      <c r="B1344" s="2">
        <f>COUNTIF(A:A,A1344)-1</f>
        <v>1</v>
      </c>
      <c r="C1344" s="2">
        <f>COUNTIF(A$1:A1344,A1344)-1</f>
        <v>0</v>
      </c>
      <c r="D1344" s="2"/>
      <c r="E1344" s="2"/>
      <c r="F1344" s="2"/>
      <c r="G1344" s="2"/>
    </row>
    <row r="1345" spans="1:7" x14ac:dyDescent="0.55000000000000004">
      <c r="A1345" s="1" t="s">
        <v>1851</v>
      </c>
      <c r="B1345" s="2">
        <f>COUNTIF(A:A,A1345)-1</f>
        <v>1</v>
      </c>
      <c r="C1345" s="2">
        <f>COUNTIF(A$1:A1345,A1345)-1</f>
        <v>1</v>
      </c>
      <c r="D1345" s="2" t="b">
        <f>ISODD(1)</f>
        <v>1</v>
      </c>
      <c r="E1345" s="2" t="b">
        <f>IFERROR(INDEX(ERROR(0),ISODD(SET.NAME("_",+INDEX(1,)))),RETURN(INDEX(TYPE(_),SET.NAME("_"))))</f>
        <v>0</v>
      </c>
      <c r="F1345" s="2" t="b">
        <f>IFERROR(INDEX(ERROR(0),ISODD(INDIRECT(SET.NAME({1,"_"},)))),RETURN(INDEX(TYPE(_),SET.NAME("_"))))</f>
        <v>0</v>
      </c>
      <c r="G1345" s="2">
        <f>TYPE(INDEX(,ISODD(INDEX(1,))))</f>
        <v>64</v>
      </c>
    </row>
    <row r="1346" spans="1:7" x14ac:dyDescent="0.55000000000000004">
      <c r="A1346" s="1" t="s">
        <v>1852</v>
      </c>
      <c r="B1346" s="2">
        <f>COUNTIF(A:A,A1346)-1</f>
        <v>2</v>
      </c>
      <c r="C1346" s="2">
        <f>COUNTIF(A$1:A1346,A1346)-1</f>
        <v>0</v>
      </c>
      <c r="D1346" s="2"/>
      <c r="E1346" s="2"/>
      <c r="F1346" s="2"/>
      <c r="G1346" s="2"/>
    </row>
    <row r="1347" spans="1:7" x14ac:dyDescent="0.55000000000000004">
      <c r="A1347" s="1" t="s">
        <v>1852</v>
      </c>
      <c r="B1347" s="2">
        <f>COUNTIF(A:A,A1347)-1</f>
        <v>2</v>
      </c>
      <c r="C1347" s="2">
        <f>COUNTIF(A$1:A1347,A1347)-1</f>
        <v>1</v>
      </c>
      <c r="D1347" s="2" t="e">
        <f>MROUND(1,#REF!)</f>
        <v>#REF!</v>
      </c>
      <c r="E1347" s="2" t="b">
        <f>IFERROR(INDEX(ERROR(0),MROUND(SET.NAME("_",+INDEX(1,)),#REF!)),RETURN(INDEX(TYPE(_),SET.NAME("_"))))</f>
        <v>0</v>
      </c>
      <c r="F1347" s="2" t="b">
        <f>IFERROR(INDEX(ERROR(0),MROUND(INDIRECT(SET.NAME({1,"_"},)),#REF!)),RETURN(INDEX(TYPE(_),SET.NAME("_"))))</f>
        <v>0</v>
      </c>
      <c r="G1347" s="2">
        <f>TYPE(INDEX(,MROUND(INDEX(1,),#REF!)))</f>
        <v>64</v>
      </c>
    </row>
    <row r="1348" spans="1:7" x14ac:dyDescent="0.55000000000000004">
      <c r="A1348" s="1" t="s">
        <v>1852</v>
      </c>
      <c r="B1348" s="2">
        <f>COUNTIF(A:A,A1348)-1</f>
        <v>2</v>
      </c>
      <c r="C1348" s="2">
        <f>COUNTIF(A$1:A1348,A1348)-1</f>
        <v>2</v>
      </c>
      <c r="D1348" s="2" t="e">
        <f>MROUND(#REF!,1)</f>
        <v>#REF!</v>
      </c>
      <c r="E1348" s="2" t="b">
        <f>IFERROR(INDEX(ERROR(0),MROUND(#REF!,SET.NAME("_",+INDEX(1,)))),RETURN(INDEX(TYPE(_),SET.NAME("_"))))</f>
        <v>0</v>
      </c>
      <c r="F1348" s="2" t="b">
        <f>IFERROR(INDEX(ERROR(0),MROUND(#REF!,INDIRECT(SET.NAME({1,"_"},)))),RETURN(INDEX(TYPE(_),SET.NAME("_"))))</f>
        <v>0</v>
      </c>
      <c r="G1348" s="2">
        <f>TYPE(INDEX(,MROUND(#REF!,INDEX(1,))))</f>
        <v>64</v>
      </c>
    </row>
    <row r="1349" spans="1:7" x14ac:dyDescent="0.55000000000000004">
      <c r="A1349" s="1" t="s">
        <v>1853</v>
      </c>
      <c r="B1349" s="2">
        <f>COUNTIF(A:A,A1349)-1</f>
        <v>2</v>
      </c>
      <c r="C1349" s="2">
        <f>COUNTIF(A$1:A1349,A1349)-1</f>
        <v>0</v>
      </c>
      <c r="D1349" s="2"/>
      <c r="E1349" s="2"/>
      <c r="F1349" s="2"/>
      <c r="G1349" s="2"/>
    </row>
    <row r="1350" spans="1:7" x14ac:dyDescent="0.55000000000000004">
      <c r="A1350" s="1" t="s">
        <v>1853</v>
      </c>
      <c r="B1350" s="2">
        <f>COUNTIF(A:A,A1350)-1</f>
        <v>2</v>
      </c>
      <c r="C1350" s="2">
        <f>COUNTIF(A$1:A1350,A1350)-1</f>
        <v>1</v>
      </c>
      <c r="D1350" s="2" t="e">
        <f>ERF(1,#REF!)</f>
        <v>#REF!</v>
      </c>
      <c r="E1350" s="2" t="b">
        <f>IFERROR(INDEX(ERROR(0),ERF(SET.NAME("_",+INDEX(1,)),#REF!)),RETURN(INDEX(TYPE(_),SET.NAME("_"))))</f>
        <v>0</v>
      </c>
      <c r="F1350" s="2" t="b">
        <f>IFERROR(INDEX(ERROR(0),ERF(INDIRECT(SET.NAME({1,"_"},)),#REF!)),RETURN(INDEX(TYPE(_),SET.NAME("_"))))</f>
        <v>0</v>
      </c>
      <c r="G1350" s="2">
        <f>TYPE(INDEX(,ERF(INDEX(1,),#REF!)))</f>
        <v>64</v>
      </c>
    </row>
    <row r="1351" spans="1:7" x14ac:dyDescent="0.55000000000000004">
      <c r="A1351" s="1" t="s">
        <v>1853</v>
      </c>
      <c r="B1351" s="2">
        <f>COUNTIF(A:A,A1351)-1</f>
        <v>2</v>
      </c>
      <c r="C1351" s="2">
        <f>COUNTIF(A$1:A1351,A1351)-1</f>
        <v>2</v>
      </c>
      <c r="D1351" s="2" t="e">
        <f>ERF(#REF!,1)</f>
        <v>#REF!</v>
      </c>
      <c r="E1351" s="2" t="b">
        <f>IFERROR(INDEX(ERROR(0),ERF(#REF!,SET.NAME("_",+INDEX(1,)))),RETURN(INDEX(TYPE(_),SET.NAME("_"))))</f>
        <v>0</v>
      </c>
      <c r="F1351" s="2" t="b">
        <f>IFERROR(INDEX(ERROR(0),ERF(#REF!,INDIRECT(SET.NAME({1,"_"},)))),RETURN(INDEX(TYPE(_),SET.NAME("_"))))</f>
        <v>0</v>
      </c>
      <c r="G1351" s="2">
        <f>TYPE(INDEX(,ERF(#REF!,INDEX(1,))))</f>
        <v>64</v>
      </c>
    </row>
    <row r="1352" spans="1:7" x14ac:dyDescent="0.55000000000000004">
      <c r="A1352" s="1" t="s">
        <v>1854</v>
      </c>
      <c r="B1352" s="2">
        <f>COUNTIF(A:A,A1352)-1</f>
        <v>1</v>
      </c>
      <c r="C1352" s="2">
        <f>COUNTIF(A$1:A1352,A1352)-1</f>
        <v>0</v>
      </c>
      <c r="D1352" s="2"/>
      <c r="E1352" s="2"/>
      <c r="F1352" s="2"/>
      <c r="G1352" s="2"/>
    </row>
    <row r="1353" spans="1:7" x14ac:dyDescent="0.55000000000000004">
      <c r="A1353" s="1" t="s">
        <v>1854</v>
      </c>
      <c r="B1353" s="2">
        <f>COUNTIF(A:A,A1353)-1</f>
        <v>1</v>
      </c>
      <c r="C1353" s="2">
        <f>COUNTIF(A$1:A1353,A1353)-1</f>
        <v>1</v>
      </c>
      <c r="D1353" s="2">
        <f>ERFC(1)</f>
        <v>0.15729920705028513</v>
      </c>
      <c r="E1353" s="2" t="b">
        <f>IFERROR(INDEX(ERROR(0),ERFC(SET.NAME("_",+INDEX(1,)))),RETURN(INDEX(TYPE(_),SET.NAME("_"))))</f>
        <v>0</v>
      </c>
      <c r="F1353" s="2" t="b">
        <f>IFERROR(INDEX(ERROR(0),ERFC(INDIRECT(SET.NAME({1,"_"},)))),RETURN(INDEX(TYPE(_),SET.NAME("_"))))</f>
        <v>0</v>
      </c>
      <c r="G1353" s="2">
        <f>TYPE(INDEX(,ERFC(INDEX(1,))))</f>
        <v>64</v>
      </c>
    </row>
    <row r="1354" spans="1:7" x14ac:dyDescent="0.55000000000000004">
      <c r="A1354" s="1" t="s">
        <v>1855</v>
      </c>
      <c r="B1354" s="2">
        <f>COUNTIF(A:A,A1354)-1</f>
        <v>2</v>
      </c>
      <c r="C1354" s="2">
        <f>COUNTIF(A$1:A1354,A1354)-1</f>
        <v>0</v>
      </c>
      <c r="D1354" s="2"/>
      <c r="E1354" s="2"/>
      <c r="F1354" s="2"/>
      <c r="G1354" s="2"/>
    </row>
    <row r="1355" spans="1:7" x14ac:dyDescent="0.55000000000000004">
      <c r="A1355" s="1" t="s">
        <v>1855</v>
      </c>
      <c r="B1355" s="2">
        <f>COUNTIF(A:A,A1355)-1</f>
        <v>2</v>
      </c>
      <c r="C1355" s="2">
        <f>COUNTIF(A$1:A1355,A1355)-1</f>
        <v>1</v>
      </c>
      <c r="D1355" s="2" t="e">
        <f>BESSELJ(1,#REF!)</f>
        <v>#REF!</v>
      </c>
      <c r="E1355" s="2" t="b">
        <f>IFERROR(INDEX(ERROR(0),BESSELJ(SET.NAME("_",+INDEX(1,)),#REF!)),RETURN(INDEX(TYPE(_),SET.NAME("_"))))</f>
        <v>0</v>
      </c>
      <c r="F1355" s="2" t="b">
        <f>IFERROR(INDEX(ERROR(0),BESSELJ(INDIRECT(SET.NAME({1,"_"},)),#REF!)),RETURN(INDEX(TYPE(_),SET.NAME("_"))))</f>
        <v>0</v>
      </c>
      <c r="G1355" s="2">
        <f>TYPE(INDEX(,BESSELJ(INDEX(1,),#REF!)))</f>
        <v>64</v>
      </c>
    </row>
    <row r="1356" spans="1:7" x14ac:dyDescent="0.55000000000000004">
      <c r="A1356" s="1" t="s">
        <v>1855</v>
      </c>
      <c r="B1356" s="2">
        <f>COUNTIF(A:A,A1356)-1</f>
        <v>2</v>
      </c>
      <c r="C1356" s="2">
        <f>COUNTIF(A$1:A1356,A1356)-1</f>
        <v>2</v>
      </c>
      <c r="D1356" s="2" t="e">
        <f>BESSELJ(#REF!,1)</f>
        <v>#REF!</v>
      </c>
      <c r="E1356" s="2" t="b">
        <f>IFERROR(INDEX(ERROR(0),BESSELJ(#REF!,SET.NAME("_",+INDEX(1,)))),RETURN(INDEX(TYPE(_),SET.NAME("_"))))</f>
        <v>0</v>
      </c>
      <c r="F1356" s="2" t="b">
        <f>IFERROR(INDEX(ERROR(0),BESSELJ(#REF!,INDIRECT(SET.NAME({1,"_"},)))),RETURN(INDEX(TYPE(_),SET.NAME("_"))))</f>
        <v>0</v>
      </c>
      <c r="G1356" s="2">
        <f>TYPE(INDEX(,BESSELJ(#REF!,INDEX(1,))))</f>
        <v>64</v>
      </c>
    </row>
    <row r="1357" spans="1:7" x14ac:dyDescent="0.55000000000000004">
      <c r="A1357" s="1" t="s">
        <v>1856</v>
      </c>
      <c r="B1357" s="2">
        <f>COUNTIF(A:A,A1357)-1</f>
        <v>2</v>
      </c>
      <c r="C1357" s="2">
        <f>COUNTIF(A$1:A1357,A1357)-1</f>
        <v>0</v>
      </c>
      <c r="D1357" s="2"/>
      <c r="E1357" s="2"/>
      <c r="F1357" s="2"/>
      <c r="G1357" s="2"/>
    </row>
    <row r="1358" spans="1:7" x14ac:dyDescent="0.55000000000000004">
      <c r="A1358" s="1" t="s">
        <v>1856</v>
      </c>
      <c r="B1358" s="2">
        <f>COUNTIF(A:A,A1358)-1</f>
        <v>2</v>
      </c>
      <c r="C1358" s="2">
        <f>COUNTIF(A$1:A1358,A1358)-1</f>
        <v>1</v>
      </c>
      <c r="D1358" s="2" t="e">
        <f>BESSELK(1,#REF!)</f>
        <v>#REF!</v>
      </c>
      <c r="E1358" s="2" t="b">
        <f>IFERROR(INDEX(ERROR(0),BESSELK(SET.NAME("_",+INDEX(1,)),#REF!)),RETURN(INDEX(TYPE(_),SET.NAME("_"))))</f>
        <v>0</v>
      </c>
      <c r="F1358" s="2" t="b">
        <f>IFERROR(INDEX(ERROR(0),BESSELK(INDIRECT(SET.NAME({1,"_"},)),#REF!)),RETURN(INDEX(TYPE(_),SET.NAME("_"))))</f>
        <v>0</v>
      </c>
      <c r="G1358" s="2">
        <f>TYPE(INDEX(,BESSELK(INDEX(1,),#REF!)))</f>
        <v>64</v>
      </c>
    </row>
    <row r="1359" spans="1:7" x14ac:dyDescent="0.55000000000000004">
      <c r="A1359" s="1" t="s">
        <v>1856</v>
      </c>
      <c r="B1359" s="2">
        <f>COUNTIF(A:A,A1359)-1</f>
        <v>2</v>
      </c>
      <c r="C1359" s="2">
        <f>COUNTIF(A$1:A1359,A1359)-1</f>
        <v>2</v>
      </c>
      <c r="D1359" s="2" t="e">
        <f>BESSELK(#REF!,1)</f>
        <v>#REF!</v>
      </c>
      <c r="E1359" s="2" t="b">
        <f>IFERROR(INDEX(ERROR(0),BESSELK(#REF!,SET.NAME("_",+INDEX(1,)))),RETURN(INDEX(TYPE(_),SET.NAME("_"))))</f>
        <v>0</v>
      </c>
      <c r="F1359" s="2" t="b">
        <f>IFERROR(INDEX(ERROR(0),BESSELK(#REF!,INDIRECT(SET.NAME({1,"_"},)))),RETURN(INDEX(TYPE(_),SET.NAME("_"))))</f>
        <v>0</v>
      </c>
      <c r="G1359" s="2">
        <f>TYPE(INDEX(,BESSELK(#REF!,INDEX(1,))))</f>
        <v>64</v>
      </c>
    </row>
    <row r="1360" spans="1:7" x14ac:dyDescent="0.55000000000000004">
      <c r="A1360" s="1" t="s">
        <v>1857</v>
      </c>
      <c r="B1360" s="2">
        <f>COUNTIF(A:A,A1360)-1</f>
        <v>2</v>
      </c>
      <c r="C1360" s="2">
        <f>COUNTIF(A$1:A1360,A1360)-1</f>
        <v>0</v>
      </c>
      <c r="D1360" s="2"/>
      <c r="E1360" s="2"/>
      <c r="F1360" s="2"/>
      <c r="G1360" s="2"/>
    </row>
    <row r="1361" spans="1:7" x14ac:dyDescent="0.55000000000000004">
      <c r="A1361" s="1" t="s">
        <v>1857</v>
      </c>
      <c r="B1361" s="2">
        <f>COUNTIF(A:A,A1361)-1</f>
        <v>2</v>
      </c>
      <c r="C1361" s="2">
        <f>COUNTIF(A$1:A1361,A1361)-1</f>
        <v>1</v>
      </c>
      <c r="D1361" s="2" t="e">
        <f>BESSELY(1,#REF!)</f>
        <v>#REF!</v>
      </c>
      <c r="E1361" s="2" t="b">
        <f>IFERROR(INDEX(ERROR(0),BESSELY(SET.NAME("_",+INDEX(1,)),#REF!)),RETURN(INDEX(TYPE(_),SET.NAME("_"))))</f>
        <v>0</v>
      </c>
      <c r="F1361" s="2" t="b">
        <f>IFERROR(INDEX(ERROR(0),BESSELY(INDIRECT(SET.NAME({1,"_"},)),#REF!)),RETURN(INDEX(TYPE(_),SET.NAME("_"))))</f>
        <v>0</v>
      </c>
      <c r="G1361" s="2">
        <f>TYPE(INDEX(,BESSELY(INDEX(1,),#REF!)))</f>
        <v>64</v>
      </c>
    </row>
    <row r="1362" spans="1:7" x14ac:dyDescent="0.55000000000000004">
      <c r="A1362" s="1" t="s">
        <v>1857</v>
      </c>
      <c r="B1362" s="2">
        <f>COUNTIF(A:A,A1362)-1</f>
        <v>2</v>
      </c>
      <c r="C1362" s="2">
        <f>COUNTIF(A$1:A1362,A1362)-1</f>
        <v>2</v>
      </c>
      <c r="D1362" s="2" t="e">
        <f>BESSELY(#REF!,1)</f>
        <v>#REF!</v>
      </c>
      <c r="E1362" s="2" t="b">
        <f>IFERROR(INDEX(ERROR(0),BESSELY(#REF!,SET.NAME("_",+INDEX(1,)))),RETURN(INDEX(TYPE(_),SET.NAME("_"))))</f>
        <v>0</v>
      </c>
      <c r="F1362" s="2" t="b">
        <f>IFERROR(INDEX(ERROR(0),BESSELY(#REF!,INDIRECT(SET.NAME({1,"_"},)))),RETURN(INDEX(TYPE(_),SET.NAME("_"))))</f>
        <v>0</v>
      </c>
      <c r="G1362" s="2">
        <f>TYPE(INDEX(,BESSELY(#REF!,INDEX(1,))))</f>
        <v>64</v>
      </c>
    </row>
    <row r="1363" spans="1:7" x14ac:dyDescent="0.55000000000000004">
      <c r="A1363" s="1" t="s">
        <v>1858</v>
      </c>
      <c r="B1363" s="2">
        <f>COUNTIF(A:A,A1363)-1</f>
        <v>2</v>
      </c>
      <c r="C1363" s="2">
        <f>COUNTIF(A$1:A1363,A1363)-1</f>
        <v>0</v>
      </c>
      <c r="D1363" s="2"/>
      <c r="E1363" s="2"/>
      <c r="F1363" s="2"/>
      <c r="G1363" s="2"/>
    </row>
    <row r="1364" spans="1:7" x14ac:dyDescent="0.55000000000000004">
      <c r="A1364" s="1" t="s">
        <v>1858</v>
      </c>
      <c r="B1364" s="2">
        <f>COUNTIF(A:A,A1364)-1</f>
        <v>2</v>
      </c>
      <c r="C1364" s="2">
        <f>COUNTIF(A$1:A1364,A1364)-1</f>
        <v>1</v>
      </c>
      <c r="D1364" s="2" t="e">
        <f>BESSELI(1,#REF!)</f>
        <v>#REF!</v>
      </c>
      <c r="E1364" s="2" t="b">
        <f>IFERROR(INDEX(ERROR(0),BESSELI(SET.NAME("_",+INDEX(1,)),#REF!)),RETURN(INDEX(TYPE(_),SET.NAME("_"))))</f>
        <v>0</v>
      </c>
      <c r="F1364" s="2" t="b">
        <f>IFERROR(INDEX(ERROR(0),BESSELI(INDIRECT(SET.NAME({1,"_"},)),#REF!)),RETURN(INDEX(TYPE(_),SET.NAME("_"))))</f>
        <v>0</v>
      </c>
      <c r="G1364" s="2">
        <f>TYPE(INDEX(,BESSELI(INDEX(1,),#REF!)))</f>
        <v>64</v>
      </c>
    </row>
    <row r="1365" spans="1:7" x14ac:dyDescent="0.55000000000000004">
      <c r="A1365" s="1" t="s">
        <v>1858</v>
      </c>
      <c r="B1365" s="2">
        <f>COUNTIF(A:A,A1365)-1</f>
        <v>2</v>
      </c>
      <c r="C1365" s="2">
        <f>COUNTIF(A$1:A1365,A1365)-1</f>
        <v>2</v>
      </c>
      <c r="D1365" s="2" t="e">
        <f>BESSELI(#REF!,1)</f>
        <v>#REF!</v>
      </c>
      <c r="E1365" s="2" t="b">
        <f>IFERROR(INDEX(ERROR(0),BESSELI(#REF!,SET.NAME("_",+INDEX(1,)))),RETURN(INDEX(TYPE(_),SET.NAME("_"))))</f>
        <v>0</v>
      </c>
      <c r="F1365" s="2" t="b">
        <f>IFERROR(INDEX(ERROR(0),BESSELI(#REF!,INDIRECT(SET.NAME({1,"_"},)))),RETURN(INDEX(TYPE(_),SET.NAME("_"))))</f>
        <v>0</v>
      </c>
      <c r="G1365" s="2">
        <f>TYPE(INDEX(,BESSELI(#REF!,INDEX(1,))))</f>
        <v>64</v>
      </c>
    </row>
    <row r="1366" spans="1:7" x14ac:dyDescent="0.55000000000000004">
      <c r="A1366" s="1" t="s">
        <v>1859</v>
      </c>
      <c r="B1366" s="2">
        <f>COUNTIF(A:A,A1366)-1</f>
        <v>3</v>
      </c>
      <c r="C1366" s="2">
        <f>COUNTIF(A$1:A1366,A1366)-1</f>
        <v>0</v>
      </c>
      <c r="D1366" s="2"/>
      <c r="E1366" s="2"/>
      <c r="F1366" s="2"/>
      <c r="G1366" s="2"/>
    </row>
    <row r="1367" spans="1:7" x14ac:dyDescent="0.55000000000000004">
      <c r="A1367" s="1" t="s">
        <v>1859</v>
      </c>
      <c r="B1367" s="2">
        <f>COUNTIF(A:A,A1367)-1</f>
        <v>3</v>
      </c>
      <c r="C1367" s="2">
        <f>COUNTIF(A$1:A1367,A1367)-1</f>
        <v>1</v>
      </c>
      <c r="D1367" s="2" t="e">
        <f>XIRR(1,#REF!,#REF!)</f>
        <v>#REF!</v>
      </c>
      <c r="E1367" s="2" t="b">
        <f>IFERROR(INDEX(ERROR(0),XIRR(SET.NAME("_",+INDEX(1,)),#REF!,#REF!)),RETURN(INDEX(TYPE(_),SET.NAME("_"))))</f>
        <v>0</v>
      </c>
      <c r="F1367" s="2" t="b">
        <f>IFERROR(INDEX(ERROR(0),XIRR(INDIRECT(SET.NAME({1,"_"},)),#REF!,#REF!)),RETURN(INDEX(TYPE(_),SET.NAME("_"))))</f>
        <v>0</v>
      </c>
      <c r="G1367" s="2">
        <f>TYPE(INDEX(,XIRR(INDEX(1,),#REF!,#REF!)))</f>
        <v>16</v>
      </c>
    </row>
    <row r="1368" spans="1:7" x14ac:dyDescent="0.55000000000000004">
      <c r="A1368" s="1" t="s">
        <v>1859</v>
      </c>
      <c r="B1368" s="2">
        <f>COUNTIF(A:A,A1368)-1</f>
        <v>3</v>
      </c>
      <c r="C1368" s="2">
        <f>COUNTIF(A$1:A1368,A1368)-1</f>
        <v>2</v>
      </c>
      <c r="D1368" s="2" t="e">
        <f>XIRR(#REF!,1,#REF!)</f>
        <v>#REF!</v>
      </c>
      <c r="E1368" s="2" t="b">
        <f>IFERROR(INDEX(ERROR(0),XIRR(#REF!,SET.NAME("_",+INDEX(1,)),#REF!)),RETURN(INDEX(TYPE(_),SET.NAME("_"))))</f>
        <v>0</v>
      </c>
      <c r="F1368" s="2" t="b">
        <f>IFERROR(INDEX(ERROR(0),XIRR(#REF!,INDIRECT(SET.NAME({1,"_"},)),#REF!)),RETURN(INDEX(TYPE(_),SET.NAME("_"))))</f>
        <v>0</v>
      </c>
      <c r="G1368" s="2">
        <f>TYPE(INDEX(,XIRR(#REF!,INDEX(1,),#REF!)))</f>
        <v>16</v>
      </c>
    </row>
    <row r="1369" spans="1:7" x14ac:dyDescent="0.55000000000000004">
      <c r="A1369" s="1" t="s">
        <v>1859</v>
      </c>
      <c r="B1369" s="2">
        <f>COUNTIF(A:A,A1369)-1</f>
        <v>3</v>
      </c>
      <c r="C1369" s="2">
        <f>COUNTIF(A$1:A1369,A1369)-1</f>
        <v>3</v>
      </c>
      <c r="D1369" s="2" t="e">
        <f>XIRR(#REF!,#REF!,1)</f>
        <v>#REF!</v>
      </c>
      <c r="E1369" s="2" t="b">
        <f>IFERROR(INDEX(ERROR(0),XIRR(#REF!,#REF!,SET.NAME("_",+INDEX(1,)))),RETURN(INDEX(TYPE(_),SET.NAME("_"))))</f>
        <v>0</v>
      </c>
      <c r="F1369" s="2" t="b">
        <f>IFERROR(INDEX(ERROR(0),XIRR(#REF!,#REF!,INDIRECT(SET.NAME({1,"_"},)))),RETURN(INDEX(TYPE(_),SET.NAME("_"))))</f>
        <v>0</v>
      </c>
      <c r="G1369" s="2">
        <f>TYPE(INDEX(,XIRR(#REF!,#REF!,INDEX(1,))))</f>
        <v>64</v>
      </c>
    </row>
    <row r="1370" spans="1:7" x14ac:dyDescent="0.55000000000000004">
      <c r="A1370" s="1" t="s">
        <v>1860</v>
      </c>
      <c r="B1370" s="2">
        <f>COUNTIF(A:A,A1370)-1</f>
        <v>3</v>
      </c>
      <c r="C1370" s="2">
        <f>COUNTIF(A$1:A1370,A1370)-1</f>
        <v>0</v>
      </c>
      <c r="D1370" s="2"/>
      <c r="E1370" s="2"/>
      <c r="F1370" s="2"/>
      <c r="G1370" s="2"/>
    </row>
    <row r="1371" spans="1:7" x14ac:dyDescent="0.55000000000000004">
      <c r="A1371" s="1" t="s">
        <v>1860</v>
      </c>
      <c r="B1371" s="2">
        <f>COUNTIF(A:A,A1371)-1</f>
        <v>3</v>
      </c>
      <c r="C1371" s="2">
        <f>COUNTIF(A$1:A1371,A1371)-1</f>
        <v>1</v>
      </c>
      <c r="D1371" s="2" t="e">
        <f>XNPV(1,#REF!,#REF!)</f>
        <v>#REF!</v>
      </c>
      <c r="E1371" s="2" t="b">
        <f>IFERROR(INDEX(ERROR(0),XNPV(SET.NAME("_",+INDEX(1,)),#REF!,#REF!)),RETURN(INDEX(TYPE(_),SET.NAME("_"))))</f>
        <v>0</v>
      </c>
      <c r="F1371" s="2" t="b">
        <f>IFERROR(INDEX(ERROR(0),XNPV(INDIRECT(SET.NAME({1,"_"},)),#REF!,#REF!)),RETURN(INDEX(TYPE(_),SET.NAME("_"))))</f>
        <v>0</v>
      </c>
      <c r="G1371" s="2">
        <f>TYPE(INDEX(,XNPV(INDEX(1,),#REF!,#REF!)))</f>
        <v>64</v>
      </c>
    </row>
    <row r="1372" spans="1:7" x14ac:dyDescent="0.55000000000000004">
      <c r="A1372" s="1" t="s">
        <v>1860</v>
      </c>
      <c r="B1372" s="2">
        <f>COUNTIF(A:A,A1372)-1</f>
        <v>3</v>
      </c>
      <c r="C1372" s="2">
        <f>COUNTIF(A$1:A1372,A1372)-1</f>
        <v>2</v>
      </c>
      <c r="D1372" s="2" t="e">
        <f>XNPV(#REF!,1,#REF!)</f>
        <v>#REF!</v>
      </c>
      <c r="E1372" s="2" t="b">
        <f>IFERROR(INDEX(ERROR(0),XNPV(#REF!,SET.NAME("_",+INDEX(1,)),#REF!)),RETURN(INDEX(TYPE(_),SET.NAME("_"))))</f>
        <v>0</v>
      </c>
      <c r="F1372" s="2" t="b">
        <f>IFERROR(INDEX(ERROR(0),XNPV(#REF!,INDIRECT(SET.NAME({1,"_"},)),#REF!)),RETURN(INDEX(TYPE(_),SET.NAME("_"))))</f>
        <v>0</v>
      </c>
      <c r="G1372" s="2">
        <f>TYPE(INDEX(,XNPV(#REF!,INDEX(1,),#REF!)))</f>
        <v>16</v>
      </c>
    </row>
    <row r="1373" spans="1:7" x14ac:dyDescent="0.55000000000000004">
      <c r="A1373" s="1" t="s">
        <v>1860</v>
      </c>
      <c r="B1373" s="2">
        <f>COUNTIF(A:A,A1373)-1</f>
        <v>3</v>
      </c>
      <c r="C1373" s="2">
        <f>COUNTIF(A$1:A1373,A1373)-1</f>
        <v>3</v>
      </c>
      <c r="D1373" s="2" t="e">
        <f>XNPV(#REF!,#REF!,1)</f>
        <v>#REF!</v>
      </c>
      <c r="E1373" s="2" t="b">
        <f>IFERROR(INDEX(ERROR(0),XNPV(#REF!,#REF!,SET.NAME("_",+INDEX(1,)))),RETURN(INDEX(TYPE(_),SET.NAME("_"))))</f>
        <v>0</v>
      </c>
      <c r="F1373" s="2" t="b">
        <f>IFERROR(INDEX(ERROR(0),XNPV(#REF!,#REF!,INDIRECT(SET.NAME({1,"_"},)))),RETURN(INDEX(TYPE(_),SET.NAME("_"))))</f>
        <v>0</v>
      </c>
      <c r="G1373" s="2">
        <f>TYPE(INDEX(,XNPV(#REF!,#REF!,INDEX(1,))))</f>
        <v>16</v>
      </c>
    </row>
    <row r="1374" spans="1:7" x14ac:dyDescent="0.55000000000000004">
      <c r="A1374" s="1" t="s">
        <v>1861</v>
      </c>
      <c r="B1374" s="2">
        <f>COUNTIF(A:A,A1374)-1</f>
        <v>6</v>
      </c>
      <c r="C1374" s="2">
        <f>COUNTIF(A$1:A1374,A1374)-1</f>
        <v>0</v>
      </c>
      <c r="D1374" s="2"/>
      <c r="E1374" s="2"/>
      <c r="F1374" s="2"/>
      <c r="G1374" s="2"/>
    </row>
    <row r="1375" spans="1:7" x14ac:dyDescent="0.55000000000000004">
      <c r="A1375" s="1" t="s">
        <v>1861</v>
      </c>
      <c r="B1375" s="2">
        <f>COUNTIF(A:A,A1375)-1</f>
        <v>6</v>
      </c>
      <c r="C1375" s="2">
        <f>COUNTIF(A$1:A1375,A1375)-1</f>
        <v>1</v>
      </c>
      <c r="D1375" s="2" t="e">
        <f>PRICEMAT(1,#REF!,#REF!,#REF!,#REF!,#REF!)</f>
        <v>#REF!</v>
      </c>
      <c r="E1375" s="2" t="b">
        <f>IFERROR(INDEX(ERROR(0),PRICEMAT(SET.NAME("_",+INDEX(1,)),#REF!,#REF!,#REF!,#REF!,#REF!)),RETURN(INDEX(TYPE(_),SET.NAME("_"))))</f>
        <v>0</v>
      </c>
      <c r="F1375" s="2" t="b">
        <f>IFERROR(INDEX(ERROR(0),PRICEMAT(INDIRECT(SET.NAME({1,"_"},)),#REF!,#REF!,#REF!,#REF!,#REF!)),RETURN(INDEX(TYPE(_),SET.NAME("_"))))</f>
        <v>0</v>
      </c>
      <c r="G1375" s="2">
        <f>TYPE(INDEX(,PRICEMAT(INDEX(1,),#REF!,#REF!,#REF!,#REF!,#REF!)))</f>
        <v>64</v>
      </c>
    </row>
    <row r="1376" spans="1:7" x14ac:dyDescent="0.55000000000000004">
      <c r="A1376" s="1" t="s">
        <v>1861</v>
      </c>
      <c r="B1376" s="2">
        <f>COUNTIF(A:A,A1376)-1</f>
        <v>6</v>
      </c>
      <c r="C1376" s="2">
        <f>COUNTIF(A$1:A1376,A1376)-1</f>
        <v>2</v>
      </c>
      <c r="D1376" s="2" t="e">
        <f>PRICEMAT(#REF!,1,#REF!,#REF!,#REF!,#REF!)</f>
        <v>#REF!</v>
      </c>
      <c r="E1376" s="2" t="b">
        <f>IFERROR(INDEX(ERROR(0),PRICEMAT(#REF!,SET.NAME("_",+INDEX(1,)),#REF!,#REF!,#REF!,#REF!)),RETURN(INDEX(TYPE(_),SET.NAME("_"))))</f>
        <v>0</v>
      </c>
      <c r="F1376" s="2" t="b">
        <f>IFERROR(INDEX(ERROR(0),PRICEMAT(#REF!,INDIRECT(SET.NAME({1,"_"},)),#REF!,#REF!,#REF!,#REF!)),RETURN(INDEX(TYPE(_),SET.NAME("_"))))</f>
        <v>0</v>
      </c>
      <c r="G1376" s="2">
        <f>TYPE(INDEX(,PRICEMAT(#REF!,INDEX(1,),#REF!,#REF!,#REF!,#REF!)))</f>
        <v>64</v>
      </c>
    </row>
    <row r="1377" spans="1:7" x14ac:dyDescent="0.55000000000000004">
      <c r="A1377" s="1" t="s">
        <v>1861</v>
      </c>
      <c r="B1377" s="2">
        <f>COUNTIF(A:A,A1377)-1</f>
        <v>6</v>
      </c>
      <c r="C1377" s="2">
        <f>COUNTIF(A$1:A1377,A1377)-1</f>
        <v>3</v>
      </c>
      <c r="D1377" s="2" t="e">
        <f>PRICEMAT(#REF!,#REF!,1,#REF!,#REF!,#REF!)</f>
        <v>#REF!</v>
      </c>
      <c r="E1377" s="2" t="b">
        <f>IFERROR(INDEX(ERROR(0),PRICEMAT(#REF!,#REF!,SET.NAME("_",+INDEX(1,)),#REF!,#REF!,#REF!)),RETURN(INDEX(TYPE(_),SET.NAME("_"))))</f>
        <v>0</v>
      </c>
      <c r="F1377" s="2" t="b">
        <f>IFERROR(INDEX(ERROR(0),PRICEMAT(#REF!,#REF!,INDIRECT(SET.NAME({1,"_"},)),#REF!,#REF!,#REF!)),RETURN(INDEX(TYPE(_),SET.NAME("_"))))</f>
        <v>0</v>
      </c>
      <c r="G1377" s="2">
        <f>TYPE(INDEX(,PRICEMAT(#REF!,#REF!,INDEX(1,),#REF!,#REF!,#REF!)))</f>
        <v>64</v>
      </c>
    </row>
    <row r="1378" spans="1:7" x14ac:dyDescent="0.55000000000000004">
      <c r="A1378" s="1" t="s">
        <v>1861</v>
      </c>
      <c r="B1378" s="2">
        <f>COUNTIF(A:A,A1378)-1</f>
        <v>6</v>
      </c>
      <c r="C1378" s="2">
        <f>COUNTIF(A$1:A1378,A1378)-1</f>
        <v>4</v>
      </c>
      <c r="D1378" s="2" t="e">
        <f>PRICEMAT(#REF!,#REF!,#REF!,1,#REF!,#REF!)</f>
        <v>#REF!</v>
      </c>
      <c r="E1378" s="2" t="b">
        <f>IFERROR(INDEX(ERROR(0),PRICEMAT(#REF!,#REF!,#REF!,SET.NAME("_",+INDEX(1,)),#REF!,#REF!)),RETURN(INDEX(TYPE(_),SET.NAME("_"))))</f>
        <v>0</v>
      </c>
      <c r="F1378" s="2" t="b">
        <f>IFERROR(INDEX(ERROR(0),PRICEMAT(#REF!,#REF!,#REF!,INDIRECT(SET.NAME({1,"_"},)),#REF!,#REF!)),RETURN(INDEX(TYPE(_),SET.NAME("_"))))</f>
        <v>0</v>
      </c>
      <c r="G1378" s="2">
        <f>TYPE(INDEX(,PRICEMAT(#REF!,#REF!,#REF!,INDEX(1,),#REF!,#REF!)))</f>
        <v>64</v>
      </c>
    </row>
    <row r="1379" spans="1:7" x14ac:dyDescent="0.55000000000000004">
      <c r="A1379" s="1" t="s">
        <v>1861</v>
      </c>
      <c r="B1379" s="2">
        <f>COUNTIF(A:A,A1379)-1</f>
        <v>6</v>
      </c>
      <c r="C1379" s="2">
        <f>COUNTIF(A$1:A1379,A1379)-1</f>
        <v>5</v>
      </c>
      <c r="D1379" s="2" t="e">
        <f>PRICEMAT(#REF!,#REF!,#REF!,#REF!,1,#REF!)</f>
        <v>#REF!</v>
      </c>
      <c r="E1379" s="2" t="b">
        <f>IFERROR(INDEX(ERROR(0),PRICEMAT(#REF!,#REF!,#REF!,#REF!,SET.NAME("_",+INDEX(1,)),#REF!)),RETURN(INDEX(TYPE(_),SET.NAME("_"))))</f>
        <v>0</v>
      </c>
      <c r="F1379" s="2" t="b">
        <f>IFERROR(INDEX(ERROR(0),PRICEMAT(#REF!,#REF!,#REF!,#REF!,INDIRECT(SET.NAME({1,"_"},)),#REF!)),RETURN(INDEX(TYPE(_),SET.NAME("_"))))</f>
        <v>0</v>
      </c>
      <c r="G1379" s="2">
        <f>TYPE(INDEX(,PRICEMAT(#REF!,#REF!,#REF!,#REF!,INDEX(1,),#REF!)))</f>
        <v>64</v>
      </c>
    </row>
    <row r="1380" spans="1:7" x14ac:dyDescent="0.55000000000000004">
      <c r="A1380" s="1" t="s">
        <v>1861</v>
      </c>
      <c r="B1380" s="2">
        <f>COUNTIF(A:A,A1380)-1</f>
        <v>6</v>
      </c>
      <c r="C1380" s="2">
        <f>COUNTIF(A$1:A1380,A1380)-1</f>
        <v>6</v>
      </c>
      <c r="D1380" s="2" t="e">
        <f>PRICEMAT(#REF!,#REF!,#REF!,#REF!,#REF!,1)</f>
        <v>#REF!</v>
      </c>
      <c r="E1380" s="2" t="b">
        <f>IFERROR(INDEX(ERROR(0),PRICEMAT(#REF!,#REF!,#REF!,#REF!,#REF!,SET.NAME("_",+INDEX(1,)))),RETURN(INDEX(TYPE(_),SET.NAME("_"))))</f>
        <v>0</v>
      </c>
      <c r="F1380" s="2" t="b">
        <f>IFERROR(INDEX(ERROR(0),PRICEMAT(#REF!,#REF!,#REF!,#REF!,#REF!,INDIRECT(SET.NAME({1,"_"},)))),RETURN(INDEX(TYPE(_),SET.NAME("_"))))</f>
        <v>0</v>
      </c>
      <c r="G1380" s="2">
        <f>TYPE(INDEX(,PRICEMAT(#REF!,#REF!,#REF!,#REF!,#REF!,INDEX(1,))))</f>
        <v>64</v>
      </c>
    </row>
    <row r="1381" spans="1:7" x14ac:dyDescent="0.55000000000000004">
      <c r="A1381" s="1" t="s">
        <v>1862</v>
      </c>
      <c r="B1381" s="2">
        <f>COUNTIF(A:A,A1381)-1</f>
        <v>6</v>
      </c>
      <c r="C1381" s="2">
        <f>COUNTIF(A$1:A1381,A1381)-1</f>
        <v>0</v>
      </c>
      <c r="D1381" s="2"/>
      <c r="E1381" s="2"/>
      <c r="F1381" s="2"/>
      <c r="G1381" s="2"/>
    </row>
    <row r="1382" spans="1:7" x14ac:dyDescent="0.55000000000000004">
      <c r="A1382" s="1" t="s">
        <v>1862</v>
      </c>
      <c r="B1382" s="2">
        <f>COUNTIF(A:A,A1382)-1</f>
        <v>6</v>
      </c>
      <c r="C1382" s="2">
        <f>COUNTIF(A$1:A1382,A1382)-1</f>
        <v>1</v>
      </c>
      <c r="D1382" s="2" t="e">
        <f>YIELDMAT(1,#REF!,#REF!,#REF!,#REF!,#REF!)</f>
        <v>#REF!</v>
      </c>
      <c r="E1382" s="2" t="b">
        <f>IFERROR(INDEX(ERROR(0),YIELDMAT(SET.NAME("_",+INDEX(1,)),#REF!,#REF!,#REF!,#REF!,#REF!)),RETURN(INDEX(TYPE(_),SET.NAME("_"))))</f>
        <v>0</v>
      </c>
      <c r="F1382" s="2" t="b">
        <f>IFERROR(INDEX(ERROR(0),YIELDMAT(INDIRECT(SET.NAME({1,"_"},)),#REF!,#REF!,#REF!,#REF!,#REF!)),RETURN(INDEX(TYPE(_),SET.NAME("_"))))</f>
        <v>0</v>
      </c>
      <c r="G1382" s="2">
        <f>TYPE(INDEX(,YIELDMAT(INDEX(1,),#REF!,#REF!,#REF!,#REF!,#REF!)))</f>
        <v>64</v>
      </c>
    </row>
    <row r="1383" spans="1:7" x14ac:dyDescent="0.55000000000000004">
      <c r="A1383" s="1" t="s">
        <v>1862</v>
      </c>
      <c r="B1383" s="2">
        <f>COUNTIF(A:A,A1383)-1</f>
        <v>6</v>
      </c>
      <c r="C1383" s="2">
        <f>COUNTIF(A$1:A1383,A1383)-1</f>
        <v>2</v>
      </c>
      <c r="D1383" s="2" t="e">
        <f>YIELDMAT(#REF!,1,#REF!,#REF!,#REF!,#REF!)</f>
        <v>#REF!</v>
      </c>
      <c r="E1383" s="2" t="b">
        <f>IFERROR(INDEX(ERROR(0),YIELDMAT(#REF!,SET.NAME("_",+INDEX(1,)),#REF!,#REF!,#REF!,#REF!)),RETURN(INDEX(TYPE(_),SET.NAME("_"))))</f>
        <v>0</v>
      </c>
      <c r="F1383" s="2" t="b">
        <f>IFERROR(INDEX(ERROR(0),YIELDMAT(#REF!,INDIRECT(SET.NAME({1,"_"},)),#REF!,#REF!,#REF!,#REF!)),RETURN(INDEX(TYPE(_),SET.NAME("_"))))</f>
        <v>0</v>
      </c>
      <c r="G1383" s="2">
        <f>TYPE(INDEX(,YIELDMAT(#REF!,INDEX(1,),#REF!,#REF!,#REF!,#REF!)))</f>
        <v>64</v>
      </c>
    </row>
    <row r="1384" spans="1:7" x14ac:dyDescent="0.55000000000000004">
      <c r="A1384" s="1" t="s">
        <v>1862</v>
      </c>
      <c r="B1384" s="2">
        <f>COUNTIF(A:A,A1384)-1</f>
        <v>6</v>
      </c>
      <c r="C1384" s="2">
        <f>COUNTIF(A$1:A1384,A1384)-1</f>
        <v>3</v>
      </c>
      <c r="D1384" s="2" t="e">
        <f>YIELDMAT(#REF!,#REF!,1,#REF!,#REF!,#REF!)</f>
        <v>#REF!</v>
      </c>
      <c r="E1384" s="2" t="b">
        <f>IFERROR(INDEX(ERROR(0),YIELDMAT(#REF!,#REF!,SET.NAME("_",+INDEX(1,)),#REF!,#REF!,#REF!)),RETURN(INDEX(TYPE(_),SET.NAME("_"))))</f>
        <v>0</v>
      </c>
      <c r="F1384" s="2" t="b">
        <f>IFERROR(INDEX(ERROR(0),YIELDMAT(#REF!,#REF!,INDIRECT(SET.NAME({1,"_"},)),#REF!,#REF!,#REF!)),RETURN(INDEX(TYPE(_),SET.NAME("_"))))</f>
        <v>0</v>
      </c>
      <c r="G1384" s="2">
        <f>TYPE(INDEX(,YIELDMAT(#REF!,#REF!,INDEX(1,),#REF!,#REF!,#REF!)))</f>
        <v>64</v>
      </c>
    </row>
    <row r="1385" spans="1:7" x14ac:dyDescent="0.55000000000000004">
      <c r="A1385" s="1" t="s">
        <v>1862</v>
      </c>
      <c r="B1385" s="2">
        <f>COUNTIF(A:A,A1385)-1</f>
        <v>6</v>
      </c>
      <c r="C1385" s="2">
        <f>COUNTIF(A$1:A1385,A1385)-1</f>
        <v>4</v>
      </c>
      <c r="D1385" s="2" t="e">
        <f>YIELDMAT(#REF!,#REF!,#REF!,1,#REF!,#REF!)</f>
        <v>#REF!</v>
      </c>
      <c r="E1385" s="2" t="b">
        <f>IFERROR(INDEX(ERROR(0),YIELDMAT(#REF!,#REF!,#REF!,SET.NAME("_",+INDEX(1,)),#REF!,#REF!)),RETURN(INDEX(TYPE(_),SET.NAME("_"))))</f>
        <v>0</v>
      </c>
      <c r="F1385" s="2" t="b">
        <f>IFERROR(INDEX(ERROR(0),YIELDMAT(#REF!,#REF!,#REF!,INDIRECT(SET.NAME({1,"_"},)),#REF!,#REF!)),RETURN(INDEX(TYPE(_),SET.NAME("_"))))</f>
        <v>0</v>
      </c>
      <c r="G1385" s="2">
        <f>TYPE(INDEX(,YIELDMAT(#REF!,#REF!,#REF!,INDEX(1,),#REF!,#REF!)))</f>
        <v>64</v>
      </c>
    </row>
    <row r="1386" spans="1:7" x14ac:dyDescent="0.55000000000000004">
      <c r="A1386" s="1" t="s">
        <v>1862</v>
      </c>
      <c r="B1386" s="2">
        <f>COUNTIF(A:A,A1386)-1</f>
        <v>6</v>
      </c>
      <c r="C1386" s="2">
        <f>COUNTIF(A$1:A1386,A1386)-1</f>
        <v>5</v>
      </c>
      <c r="D1386" s="2" t="e">
        <f>YIELDMAT(#REF!,#REF!,#REF!,#REF!,1,#REF!)</f>
        <v>#REF!</v>
      </c>
      <c r="E1386" s="2" t="b">
        <f>IFERROR(INDEX(ERROR(0),YIELDMAT(#REF!,#REF!,#REF!,#REF!,SET.NAME("_",+INDEX(1,)),#REF!)),RETURN(INDEX(TYPE(_),SET.NAME("_"))))</f>
        <v>0</v>
      </c>
      <c r="F1386" s="2" t="b">
        <f>IFERROR(INDEX(ERROR(0),YIELDMAT(#REF!,#REF!,#REF!,#REF!,INDIRECT(SET.NAME({1,"_"},)),#REF!)),RETURN(INDEX(TYPE(_),SET.NAME("_"))))</f>
        <v>0</v>
      </c>
      <c r="G1386" s="2">
        <f>TYPE(INDEX(,YIELDMAT(#REF!,#REF!,#REF!,#REF!,INDEX(1,),#REF!)))</f>
        <v>64</v>
      </c>
    </row>
    <row r="1387" spans="1:7" x14ac:dyDescent="0.55000000000000004">
      <c r="A1387" s="1" t="s">
        <v>1862</v>
      </c>
      <c r="B1387" s="2">
        <f>COUNTIF(A:A,A1387)-1</f>
        <v>6</v>
      </c>
      <c r="C1387" s="2">
        <f>COUNTIF(A$1:A1387,A1387)-1</f>
        <v>6</v>
      </c>
      <c r="D1387" s="2" t="e">
        <f>YIELDMAT(#REF!,#REF!,#REF!,#REF!,#REF!,1)</f>
        <v>#REF!</v>
      </c>
      <c r="E1387" s="2" t="b">
        <f>IFERROR(INDEX(ERROR(0),YIELDMAT(#REF!,#REF!,#REF!,#REF!,#REF!,SET.NAME("_",+INDEX(1,)))),RETURN(INDEX(TYPE(_),SET.NAME("_"))))</f>
        <v>0</v>
      </c>
      <c r="F1387" s="2" t="b">
        <f>IFERROR(INDEX(ERROR(0),YIELDMAT(#REF!,#REF!,#REF!,#REF!,#REF!,INDIRECT(SET.NAME({1,"_"},)))),RETURN(INDEX(TYPE(_),SET.NAME("_"))))</f>
        <v>0</v>
      </c>
      <c r="G1387" s="2">
        <f>TYPE(INDEX(,YIELDMAT(#REF!,#REF!,#REF!,#REF!,#REF!,INDEX(1,))))</f>
        <v>64</v>
      </c>
    </row>
    <row r="1388" spans="1:7" x14ac:dyDescent="0.55000000000000004">
      <c r="A1388" s="1" t="s">
        <v>1863</v>
      </c>
      <c r="B1388" s="2">
        <f>COUNTIF(A:A,A1388)-1</f>
        <v>5</v>
      </c>
      <c r="C1388" s="2">
        <f>COUNTIF(A$1:A1388,A1388)-1</f>
        <v>0</v>
      </c>
      <c r="D1388" s="2"/>
      <c r="E1388" s="2"/>
      <c r="F1388" s="2"/>
      <c r="G1388" s="2"/>
    </row>
    <row r="1389" spans="1:7" x14ac:dyDescent="0.55000000000000004">
      <c r="A1389" s="1" t="s">
        <v>1863</v>
      </c>
      <c r="B1389" s="2">
        <f>COUNTIF(A:A,A1389)-1</f>
        <v>5</v>
      </c>
      <c r="C1389" s="2">
        <f>COUNTIF(A$1:A1389,A1389)-1</f>
        <v>1</v>
      </c>
      <c r="D1389" s="2" t="e">
        <f>INTRATE(1,#REF!,#REF!,#REF!,#REF!)</f>
        <v>#REF!</v>
      </c>
      <c r="E1389" s="2" t="b">
        <f>IFERROR(INDEX(ERROR(0),INTRATE(SET.NAME("_",+INDEX(1,)),#REF!,#REF!,#REF!,#REF!)),RETURN(INDEX(TYPE(_),SET.NAME("_"))))</f>
        <v>0</v>
      </c>
      <c r="F1389" s="2" t="b">
        <f>IFERROR(INDEX(ERROR(0),INTRATE(INDIRECT(SET.NAME({1,"_"},)),#REF!,#REF!,#REF!,#REF!)),RETURN(INDEX(TYPE(_),SET.NAME("_"))))</f>
        <v>0</v>
      </c>
      <c r="G1389" s="2">
        <f>TYPE(INDEX(,INTRATE(INDEX(1,),#REF!,#REF!,#REF!,#REF!)))</f>
        <v>64</v>
      </c>
    </row>
    <row r="1390" spans="1:7" x14ac:dyDescent="0.55000000000000004">
      <c r="A1390" s="1" t="s">
        <v>1863</v>
      </c>
      <c r="B1390" s="2">
        <f>COUNTIF(A:A,A1390)-1</f>
        <v>5</v>
      </c>
      <c r="C1390" s="2">
        <f>COUNTIF(A$1:A1390,A1390)-1</f>
        <v>2</v>
      </c>
      <c r="D1390" s="2" t="e">
        <f>INTRATE(#REF!,1,#REF!,#REF!,#REF!)</f>
        <v>#REF!</v>
      </c>
      <c r="E1390" s="2" t="b">
        <f>IFERROR(INDEX(ERROR(0),INTRATE(#REF!,SET.NAME("_",+INDEX(1,)),#REF!,#REF!,#REF!)),RETURN(INDEX(TYPE(_),SET.NAME("_"))))</f>
        <v>0</v>
      </c>
      <c r="F1390" s="2" t="b">
        <f>IFERROR(INDEX(ERROR(0),INTRATE(#REF!,INDIRECT(SET.NAME({1,"_"},)),#REF!,#REF!,#REF!)),RETURN(INDEX(TYPE(_),SET.NAME("_"))))</f>
        <v>0</v>
      </c>
      <c r="G1390" s="2">
        <f>TYPE(INDEX(,INTRATE(#REF!,INDEX(1,),#REF!,#REF!,#REF!)))</f>
        <v>64</v>
      </c>
    </row>
    <row r="1391" spans="1:7" x14ac:dyDescent="0.55000000000000004">
      <c r="A1391" s="1" t="s">
        <v>1863</v>
      </c>
      <c r="B1391" s="2">
        <f>COUNTIF(A:A,A1391)-1</f>
        <v>5</v>
      </c>
      <c r="C1391" s="2">
        <f>COUNTIF(A$1:A1391,A1391)-1</f>
        <v>3</v>
      </c>
      <c r="D1391" s="2" t="e">
        <f>INTRATE(#REF!,#REF!,1,#REF!,#REF!)</f>
        <v>#REF!</v>
      </c>
      <c r="E1391" s="2" t="b">
        <f>IFERROR(INDEX(ERROR(0),INTRATE(#REF!,#REF!,SET.NAME("_",+INDEX(1,)),#REF!,#REF!)),RETURN(INDEX(TYPE(_),SET.NAME("_"))))</f>
        <v>0</v>
      </c>
      <c r="F1391" s="2" t="b">
        <f>IFERROR(INDEX(ERROR(0),INTRATE(#REF!,#REF!,INDIRECT(SET.NAME({1,"_"},)),#REF!,#REF!)),RETURN(INDEX(TYPE(_),SET.NAME("_"))))</f>
        <v>0</v>
      </c>
      <c r="G1391" s="2">
        <f>TYPE(INDEX(,INTRATE(#REF!,#REF!,INDEX(1,),#REF!,#REF!)))</f>
        <v>64</v>
      </c>
    </row>
    <row r="1392" spans="1:7" x14ac:dyDescent="0.55000000000000004">
      <c r="A1392" s="1" t="s">
        <v>1863</v>
      </c>
      <c r="B1392" s="2">
        <f>COUNTIF(A:A,A1392)-1</f>
        <v>5</v>
      </c>
      <c r="C1392" s="2">
        <f>COUNTIF(A$1:A1392,A1392)-1</f>
        <v>4</v>
      </c>
      <c r="D1392" s="2" t="e">
        <f>INTRATE(#REF!,#REF!,#REF!,1,#REF!)</f>
        <v>#REF!</v>
      </c>
      <c r="E1392" s="2" t="b">
        <f>IFERROR(INDEX(ERROR(0),INTRATE(#REF!,#REF!,#REF!,SET.NAME("_",+INDEX(1,)),#REF!)),RETURN(INDEX(TYPE(_),SET.NAME("_"))))</f>
        <v>0</v>
      </c>
      <c r="F1392" s="2" t="b">
        <f>IFERROR(INDEX(ERROR(0),INTRATE(#REF!,#REF!,#REF!,INDIRECT(SET.NAME({1,"_"},)),#REF!)),RETURN(INDEX(TYPE(_),SET.NAME("_"))))</f>
        <v>0</v>
      </c>
      <c r="G1392" s="2">
        <f>TYPE(INDEX(,INTRATE(#REF!,#REF!,#REF!,INDEX(1,),#REF!)))</f>
        <v>64</v>
      </c>
    </row>
    <row r="1393" spans="1:7" x14ac:dyDescent="0.55000000000000004">
      <c r="A1393" s="1" t="s">
        <v>1863</v>
      </c>
      <c r="B1393" s="2">
        <f>COUNTIF(A:A,A1393)-1</f>
        <v>5</v>
      </c>
      <c r="C1393" s="2">
        <f>COUNTIF(A$1:A1393,A1393)-1</f>
        <v>5</v>
      </c>
      <c r="D1393" s="2" t="e">
        <f>INTRATE(#REF!,#REF!,#REF!,#REF!,1)</f>
        <v>#REF!</v>
      </c>
      <c r="E1393" s="2" t="b">
        <f>IFERROR(INDEX(ERROR(0),INTRATE(#REF!,#REF!,#REF!,#REF!,SET.NAME("_",+INDEX(1,)))),RETURN(INDEX(TYPE(_),SET.NAME("_"))))</f>
        <v>0</v>
      </c>
      <c r="F1393" s="2" t="b">
        <f>IFERROR(INDEX(ERROR(0),INTRATE(#REF!,#REF!,#REF!,#REF!,INDIRECT(SET.NAME({1,"_"},)))),RETURN(INDEX(TYPE(_),SET.NAME("_"))))</f>
        <v>0</v>
      </c>
      <c r="G1393" s="2">
        <f>TYPE(INDEX(,INTRATE(#REF!,#REF!,#REF!,#REF!,INDEX(1,))))</f>
        <v>64</v>
      </c>
    </row>
    <row r="1394" spans="1:7" x14ac:dyDescent="0.55000000000000004">
      <c r="A1394" s="1" t="s">
        <v>1864</v>
      </c>
      <c r="B1394" s="2">
        <f>COUNTIF(A:A,A1394)-1</f>
        <v>5</v>
      </c>
      <c r="C1394" s="2">
        <f>COUNTIF(A$1:A1394,A1394)-1</f>
        <v>0</v>
      </c>
      <c r="D1394" s="2"/>
      <c r="E1394" s="2"/>
      <c r="F1394" s="2"/>
      <c r="G1394" s="2"/>
    </row>
    <row r="1395" spans="1:7" x14ac:dyDescent="0.55000000000000004">
      <c r="A1395" s="1" t="s">
        <v>1864</v>
      </c>
      <c r="B1395" s="2">
        <f>COUNTIF(A:A,A1395)-1</f>
        <v>5</v>
      </c>
      <c r="C1395" s="2">
        <f>COUNTIF(A$1:A1395,A1395)-1</f>
        <v>1</v>
      </c>
      <c r="D1395" s="2" t="e">
        <f>RECEIVED(1,#REF!,#REF!,#REF!,#REF!)</f>
        <v>#REF!</v>
      </c>
      <c r="E1395" s="2" t="b">
        <f>IFERROR(INDEX(ERROR(0),RECEIVED(SET.NAME("_",+INDEX(1,)),#REF!,#REF!,#REF!,#REF!)),RETURN(INDEX(TYPE(_),SET.NAME("_"))))</f>
        <v>0</v>
      </c>
      <c r="F1395" s="2" t="b">
        <f>IFERROR(INDEX(ERROR(0),RECEIVED(INDIRECT(SET.NAME({1,"_"},)),#REF!,#REF!,#REF!,#REF!)),RETURN(INDEX(TYPE(_),SET.NAME("_"))))</f>
        <v>0</v>
      </c>
      <c r="G1395" s="2">
        <f>TYPE(INDEX(,RECEIVED(INDEX(1,),#REF!,#REF!,#REF!,#REF!)))</f>
        <v>64</v>
      </c>
    </row>
    <row r="1396" spans="1:7" x14ac:dyDescent="0.55000000000000004">
      <c r="A1396" s="1" t="s">
        <v>1864</v>
      </c>
      <c r="B1396" s="2">
        <f>COUNTIF(A:A,A1396)-1</f>
        <v>5</v>
      </c>
      <c r="C1396" s="2">
        <f>COUNTIF(A$1:A1396,A1396)-1</f>
        <v>2</v>
      </c>
      <c r="D1396" s="2" t="e">
        <f>RECEIVED(#REF!,1,#REF!,#REF!,#REF!)</f>
        <v>#REF!</v>
      </c>
      <c r="E1396" s="2" t="b">
        <f>IFERROR(INDEX(ERROR(0),RECEIVED(#REF!,SET.NAME("_",+INDEX(1,)),#REF!,#REF!,#REF!)),RETURN(INDEX(TYPE(_),SET.NAME("_"))))</f>
        <v>0</v>
      </c>
      <c r="F1396" s="2" t="b">
        <f>IFERROR(INDEX(ERROR(0),RECEIVED(#REF!,INDIRECT(SET.NAME({1,"_"},)),#REF!,#REF!,#REF!)),RETURN(INDEX(TYPE(_),SET.NAME("_"))))</f>
        <v>0</v>
      </c>
      <c r="G1396" s="2">
        <f>TYPE(INDEX(,RECEIVED(#REF!,INDEX(1,),#REF!,#REF!,#REF!)))</f>
        <v>64</v>
      </c>
    </row>
    <row r="1397" spans="1:7" x14ac:dyDescent="0.55000000000000004">
      <c r="A1397" s="1" t="s">
        <v>1864</v>
      </c>
      <c r="B1397" s="2">
        <f>COUNTIF(A:A,A1397)-1</f>
        <v>5</v>
      </c>
      <c r="C1397" s="2">
        <f>COUNTIF(A$1:A1397,A1397)-1</f>
        <v>3</v>
      </c>
      <c r="D1397" s="2" t="e">
        <f>RECEIVED(#REF!,#REF!,1,#REF!,#REF!)</f>
        <v>#REF!</v>
      </c>
      <c r="E1397" s="2" t="b">
        <f>IFERROR(INDEX(ERROR(0),RECEIVED(#REF!,#REF!,SET.NAME("_",+INDEX(1,)),#REF!,#REF!)),RETURN(INDEX(TYPE(_),SET.NAME("_"))))</f>
        <v>0</v>
      </c>
      <c r="F1397" s="2" t="b">
        <f>IFERROR(INDEX(ERROR(0),RECEIVED(#REF!,#REF!,INDIRECT(SET.NAME({1,"_"},)),#REF!,#REF!)),RETURN(INDEX(TYPE(_),SET.NAME("_"))))</f>
        <v>0</v>
      </c>
      <c r="G1397" s="2">
        <f>TYPE(INDEX(,RECEIVED(#REF!,#REF!,INDEX(1,),#REF!,#REF!)))</f>
        <v>64</v>
      </c>
    </row>
    <row r="1398" spans="1:7" x14ac:dyDescent="0.55000000000000004">
      <c r="A1398" s="1" t="s">
        <v>1864</v>
      </c>
      <c r="B1398" s="2">
        <f>COUNTIF(A:A,A1398)-1</f>
        <v>5</v>
      </c>
      <c r="C1398" s="2">
        <f>COUNTIF(A$1:A1398,A1398)-1</f>
        <v>4</v>
      </c>
      <c r="D1398" s="2" t="e">
        <f>RECEIVED(#REF!,#REF!,#REF!,1,#REF!)</f>
        <v>#REF!</v>
      </c>
      <c r="E1398" s="2" t="b">
        <f>IFERROR(INDEX(ERROR(0),RECEIVED(#REF!,#REF!,#REF!,SET.NAME("_",+INDEX(1,)),#REF!)),RETURN(INDEX(TYPE(_),SET.NAME("_"))))</f>
        <v>0</v>
      </c>
      <c r="F1398" s="2" t="b">
        <f>IFERROR(INDEX(ERROR(0),RECEIVED(#REF!,#REF!,#REF!,INDIRECT(SET.NAME({1,"_"},)),#REF!)),RETURN(INDEX(TYPE(_),SET.NAME("_"))))</f>
        <v>0</v>
      </c>
      <c r="G1398" s="2">
        <f>TYPE(INDEX(,RECEIVED(#REF!,#REF!,#REF!,INDEX(1,),#REF!)))</f>
        <v>64</v>
      </c>
    </row>
    <row r="1399" spans="1:7" x14ac:dyDescent="0.55000000000000004">
      <c r="A1399" s="1" t="s">
        <v>1864</v>
      </c>
      <c r="B1399" s="2">
        <f>COUNTIF(A:A,A1399)-1</f>
        <v>5</v>
      </c>
      <c r="C1399" s="2">
        <f>COUNTIF(A$1:A1399,A1399)-1</f>
        <v>5</v>
      </c>
      <c r="D1399" s="2" t="e">
        <f>RECEIVED(#REF!,#REF!,#REF!,#REF!,1)</f>
        <v>#REF!</v>
      </c>
      <c r="E1399" s="2" t="b">
        <f>IFERROR(INDEX(ERROR(0),RECEIVED(#REF!,#REF!,#REF!,#REF!,SET.NAME("_",+INDEX(1,)))),RETURN(INDEX(TYPE(_),SET.NAME("_"))))</f>
        <v>0</v>
      </c>
      <c r="F1399" s="2" t="b">
        <f>IFERROR(INDEX(ERROR(0),RECEIVED(#REF!,#REF!,#REF!,#REF!,INDIRECT(SET.NAME({1,"_"},)))),RETURN(INDEX(TYPE(_),SET.NAME("_"))))</f>
        <v>0</v>
      </c>
      <c r="G1399" s="2">
        <f>TYPE(INDEX(,RECEIVED(#REF!,#REF!,#REF!,#REF!,INDEX(1,))))</f>
        <v>64</v>
      </c>
    </row>
    <row r="1400" spans="1:7" x14ac:dyDescent="0.55000000000000004">
      <c r="A1400" s="1" t="s">
        <v>1865</v>
      </c>
      <c r="B1400" s="2">
        <f>COUNTIF(A:A,A1400)-1</f>
        <v>5</v>
      </c>
      <c r="C1400" s="2">
        <f>COUNTIF(A$1:A1400,A1400)-1</f>
        <v>0</v>
      </c>
      <c r="D1400" s="2"/>
      <c r="E1400" s="2"/>
      <c r="F1400" s="2"/>
      <c r="G1400" s="2"/>
    </row>
    <row r="1401" spans="1:7" x14ac:dyDescent="0.55000000000000004">
      <c r="A1401" s="1" t="s">
        <v>1865</v>
      </c>
      <c r="B1401" s="2">
        <f>COUNTIF(A:A,A1401)-1</f>
        <v>5</v>
      </c>
      <c r="C1401" s="2">
        <f>COUNTIF(A$1:A1401,A1401)-1</f>
        <v>1</v>
      </c>
      <c r="D1401" s="2" t="e">
        <f>DISC(1,#REF!,#REF!,#REF!,#REF!)</f>
        <v>#REF!</v>
      </c>
      <c r="E1401" s="2" t="b">
        <f>IFERROR(INDEX(ERROR(0),DISC(SET.NAME("_",+INDEX(1,)),#REF!,#REF!,#REF!,#REF!)),RETURN(INDEX(TYPE(_),SET.NAME("_"))))</f>
        <v>0</v>
      </c>
      <c r="F1401" s="2" t="b">
        <f>IFERROR(INDEX(ERROR(0),DISC(INDIRECT(SET.NAME({1,"_"},)),#REF!,#REF!,#REF!,#REF!)),RETURN(INDEX(TYPE(_),SET.NAME("_"))))</f>
        <v>0</v>
      </c>
      <c r="G1401" s="2">
        <f>TYPE(INDEX(,DISC(INDEX(1,),#REF!,#REF!,#REF!,#REF!)))</f>
        <v>64</v>
      </c>
    </row>
    <row r="1402" spans="1:7" x14ac:dyDescent="0.55000000000000004">
      <c r="A1402" s="1" t="s">
        <v>1865</v>
      </c>
      <c r="B1402" s="2">
        <f>COUNTIF(A:A,A1402)-1</f>
        <v>5</v>
      </c>
      <c r="C1402" s="2">
        <f>COUNTIF(A$1:A1402,A1402)-1</f>
        <v>2</v>
      </c>
      <c r="D1402" s="2" t="e">
        <f>DISC(#REF!,1,#REF!,#REF!,#REF!)</f>
        <v>#REF!</v>
      </c>
      <c r="E1402" s="2" t="b">
        <f>IFERROR(INDEX(ERROR(0),DISC(#REF!,SET.NAME("_",+INDEX(1,)),#REF!,#REF!,#REF!)),RETURN(INDEX(TYPE(_),SET.NAME("_"))))</f>
        <v>0</v>
      </c>
      <c r="F1402" s="2" t="b">
        <f>IFERROR(INDEX(ERROR(0),DISC(#REF!,INDIRECT(SET.NAME({1,"_"},)),#REF!,#REF!,#REF!)),RETURN(INDEX(TYPE(_),SET.NAME("_"))))</f>
        <v>0</v>
      </c>
      <c r="G1402" s="2">
        <f>TYPE(INDEX(,DISC(#REF!,INDEX(1,),#REF!,#REF!,#REF!)))</f>
        <v>64</v>
      </c>
    </row>
    <row r="1403" spans="1:7" x14ac:dyDescent="0.55000000000000004">
      <c r="A1403" s="1" t="s">
        <v>1865</v>
      </c>
      <c r="B1403" s="2">
        <f>COUNTIF(A:A,A1403)-1</f>
        <v>5</v>
      </c>
      <c r="C1403" s="2">
        <f>COUNTIF(A$1:A1403,A1403)-1</f>
        <v>3</v>
      </c>
      <c r="D1403" s="2" t="e">
        <f>DISC(#REF!,#REF!,1,#REF!,#REF!)</f>
        <v>#REF!</v>
      </c>
      <c r="E1403" s="2" t="b">
        <f>IFERROR(INDEX(ERROR(0),DISC(#REF!,#REF!,SET.NAME("_",+INDEX(1,)),#REF!,#REF!)),RETURN(INDEX(TYPE(_),SET.NAME("_"))))</f>
        <v>0</v>
      </c>
      <c r="F1403" s="2" t="b">
        <f>IFERROR(INDEX(ERROR(0),DISC(#REF!,#REF!,INDIRECT(SET.NAME({1,"_"},)),#REF!,#REF!)),RETURN(INDEX(TYPE(_),SET.NAME("_"))))</f>
        <v>0</v>
      </c>
      <c r="G1403" s="2">
        <f>TYPE(INDEX(,DISC(#REF!,#REF!,INDEX(1,),#REF!,#REF!)))</f>
        <v>64</v>
      </c>
    </row>
    <row r="1404" spans="1:7" x14ac:dyDescent="0.55000000000000004">
      <c r="A1404" s="1" t="s">
        <v>1865</v>
      </c>
      <c r="B1404" s="2">
        <f>COUNTIF(A:A,A1404)-1</f>
        <v>5</v>
      </c>
      <c r="C1404" s="2">
        <f>COUNTIF(A$1:A1404,A1404)-1</f>
        <v>4</v>
      </c>
      <c r="D1404" s="2" t="e">
        <f>DISC(#REF!,#REF!,#REF!,1,#REF!)</f>
        <v>#REF!</v>
      </c>
      <c r="E1404" s="2" t="b">
        <f>IFERROR(INDEX(ERROR(0),DISC(#REF!,#REF!,#REF!,SET.NAME("_",+INDEX(1,)),#REF!)),RETURN(INDEX(TYPE(_),SET.NAME("_"))))</f>
        <v>0</v>
      </c>
      <c r="F1404" s="2" t="b">
        <f>IFERROR(INDEX(ERROR(0),DISC(#REF!,#REF!,#REF!,INDIRECT(SET.NAME({1,"_"},)),#REF!)),RETURN(INDEX(TYPE(_),SET.NAME("_"))))</f>
        <v>0</v>
      </c>
      <c r="G1404" s="2">
        <f>TYPE(INDEX(,DISC(#REF!,#REF!,#REF!,INDEX(1,),#REF!)))</f>
        <v>64</v>
      </c>
    </row>
    <row r="1405" spans="1:7" x14ac:dyDescent="0.55000000000000004">
      <c r="A1405" s="1" t="s">
        <v>1865</v>
      </c>
      <c r="B1405" s="2">
        <f>COUNTIF(A:A,A1405)-1</f>
        <v>5</v>
      </c>
      <c r="C1405" s="2">
        <f>COUNTIF(A$1:A1405,A1405)-1</f>
        <v>5</v>
      </c>
      <c r="D1405" s="2" t="e">
        <f>DISC(#REF!,#REF!,#REF!,#REF!,1)</f>
        <v>#REF!</v>
      </c>
      <c r="E1405" s="2" t="b">
        <f>IFERROR(INDEX(ERROR(0),DISC(#REF!,#REF!,#REF!,#REF!,SET.NAME("_",+INDEX(1,)))),RETURN(INDEX(TYPE(_),SET.NAME("_"))))</f>
        <v>0</v>
      </c>
      <c r="F1405" s="2" t="b">
        <f>IFERROR(INDEX(ERROR(0),DISC(#REF!,#REF!,#REF!,#REF!,INDIRECT(SET.NAME({1,"_"},)))),RETURN(INDEX(TYPE(_),SET.NAME("_"))))</f>
        <v>0</v>
      </c>
      <c r="G1405" s="2">
        <f>TYPE(INDEX(,DISC(#REF!,#REF!,#REF!,#REF!,INDEX(1,))))</f>
        <v>64</v>
      </c>
    </row>
    <row r="1406" spans="1:7" x14ac:dyDescent="0.55000000000000004">
      <c r="A1406" s="1" t="s">
        <v>1866</v>
      </c>
      <c r="B1406" s="2">
        <f>COUNTIF(A:A,A1406)-1</f>
        <v>5</v>
      </c>
      <c r="C1406" s="2">
        <f>COUNTIF(A$1:A1406,A1406)-1</f>
        <v>0</v>
      </c>
      <c r="D1406" s="2"/>
      <c r="E1406" s="2"/>
      <c r="F1406" s="2"/>
      <c r="G1406" s="2"/>
    </row>
    <row r="1407" spans="1:7" x14ac:dyDescent="0.55000000000000004">
      <c r="A1407" s="1" t="s">
        <v>1866</v>
      </c>
      <c r="B1407" s="2">
        <f>COUNTIF(A:A,A1407)-1</f>
        <v>5</v>
      </c>
      <c r="C1407" s="2">
        <f>COUNTIF(A$1:A1407,A1407)-1</f>
        <v>1</v>
      </c>
      <c r="D1407" s="2" t="e">
        <f>PRICEDISC(1,#REF!,#REF!,#REF!,#REF!)</f>
        <v>#REF!</v>
      </c>
      <c r="E1407" s="2" t="b">
        <f>IFERROR(INDEX(ERROR(0),PRICEDISC(SET.NAME("_",+INDEX(1,)),#REF!,#REF!,#REF!,#REF!)),RETURN(INDEX(TYPE(_),SET.NAME("_"))))</f>
        <v>0</v>
      </c>
      <c r="F1407" s="2" t="b">
        <f>IFERROR(INDEX(ERROR(0),PRICEDISC(INDIRECT(SET.NAME({1,"_"},)),#REF!,#REF!,#REF!,#REF!)),RETURN(INDEX(TYPE(_),SET.NAME("_"))))</f>
        <v>0</v>
      </c>
      <c r="G1407" s="2">
        <f>TYPE(INDEX(,PRICEDISC(INDEX(1,),#REF!,#REF!,#REF!,#REF!)))</f>
        <v>64</v>
      </c>
    </row>
    <row r="1408" spans="1:7" x14ac:dyDescent="0.55000000000000004">
      <c r="A1408" s="1" t="s">
        <v>1866</v>
      </c>
      <c r="B1408" s="2">
        <f>COUNTIF(A:A,A1408)-1</f>
        <v>5</v>
      </c>
      <c r="C1408" s="2">
        <f>COUNTIF(A$1:A1408,A1408)-1</f>
        <v>2</v>
      </c>
      <c r="D1408" s="2" t="e">
        <f>PRICEDISC(#REF!,1,#REF!,#REF!,#REF!)</f>
        <v>#REF!</v>
      </c>
      <c r="E1408" s="2" t="b">
        <f>IFERROR(INDEX(ERROR(0),PRICEDISC(#REF!,SET.NAME("_",+INDEX(1,)),#REF!,#REF!,#REF!)),RETURN(INDEX(TYPE(_),SET.NAME("_"))))</f>
        <v>0</v>
      </c>
      <c r="F1408" s="2" t="b">
        <f>IFERROR(INDEX(ERROR(0),PRICEDISC(#REF!,INDIRECT(SET.NAME({1,"_"},)),#REF!,#REF!,#REF!)),RETURN(INDEX(TYPE(_),SET.NAME("_"))))</f>
        <v>0</v>
      </c>
      <c r="G1408" s="2">
        <f>TYPE(INDEX(,PRICEDISC(#REF!,INDEX(1,),#REF!,#REF!,#REF!)))</f>
        <v>64</v>
      </c>
    </row>
    <row r="1409" spans="1:7" x14ac:dyDescent="0.55000000000000004">
      <c r="A1409" s="1" t="s">
        <v>1866</v>
      </c>
      <c r="B1409" s="2">
        <f>COUNTIF(A:A,A1409)-1</f>
        <v>5</v>
      </c>
      <c r="C1409" s="2">
        <f>COUNTIF(A$1:A1409,A1409)-1</f>
        <v>3</v>
      </c>
      <c r="D1409" s="2" t="e">
        <f>PRICEDISC(#REF!,#REF!,1,#REF!,#REF!)</f>
        <v>#REF!</v>
      </c>
      <c r="E1409" s="2" t="b">
        <f>IFERROR(INDEX(ERROR(0),PRICEDISC(#REF!,#REF!,SET.NAME("_",+INDEX(1,)),#REF!,#REF!)),RETURN(INDEX(TYPE(_),SET.NAME("_"))))</f>
        <v>0</v>
      </c>
      <c r="F1409" s="2" t="b">
        <f>IFERROR(INDEX(ERROR(0),PRICEDISC(#REF!,#REF!,INDIRECT(SET.NAME({1,"_"},)),#REF!,#REF!)),RETURN(INDEX(TYPE(_),SET.NAME("_"))))</f>
        <v>0</v>
      </c>
      <c r="G1409" s="2">
        <f>TYPE(INDEX(,PRICEDISC(#REF!,#REF!,INDEX(1,),#REF!,#REF!)))</f>
        <v>64</v>
      </c>
    </row>
    <row r="1410" spans="1:7" x14ac:dyDescent="0.55000000000000004">
      <c r="A1410" s="1" t="s">
        <v>1866</v>
      </c>
      <c r="B1410" s="2">
        <f>COUNTIF(A:A,A1410)-1</f>
        <v>5</v>
      </c>
      <c r="C1410" s="2">
        <f>COUNTIF(A$1:A1410,A1410)-1</f>
        <v>4</v>
      </c>
      <c r="D1410" s="2" t="e">
        <f>PRICEDISC(#REF!,#REF!,#REF!,1,#REF!)</f>
        <v>#REF!</v>
      </c>
      <c r="E1410" s="2" t="b">
        <f>IFERROR(INDEX(ERROR(0),PRICEDISC(#REF!,#REF!,#REF!,SET.NAME("_",+INDEX(1,)),#REF!)),RETURN(INDEX(TYPE(_),SET.NAME("_"))))</f>
        <v>0</v>
      </c>
      <c r="F1410" s="2" t="b">
        <f>IFERROR(INDEX(ERROR(0),PRICEDISC(#REF!,#REF!,#REF!,INDIRECT(SET.NAME({1,"_"},)),#REF!)),RETURN(INDEX(TYPE(_),SET.NAME("_"))))</f>
        <v>0</v>
      </c>
      <c r="G1410" s="2">
        <f>TYPE(INDEX(,PRICEDISC(#REF!,#REF!,#REF!,INDEX(1,),#REF!)))</f>
        <v>64</v>
      </c>
    </row>
    <row r="1411" spans="1:7" x14ac:dyDescent="0.55000000000000004">
      <c r="A1411" s="1" t="s">
        <v>1866</v>
      </c>
      <c r="B1411" s="2">
        <f>COUNTIF(A:A,A1411)-1</f>
        <v>5</v>
      </c>
      <c r="C1411" s="2">
        <f>COUNTIF(A$1:A1411,A1411)-1</f>
        <v>5</v>
      </c>
      <c r="D1411" s="2" t="e">
        <f>PRICEDISC(#REF!,#REF!,#REF!,#REF!,1)</f>
        <v>#REF!</v>
      </c>
      <c r="E1411" s="2" t="b">
        <f>IFERROR(INDEX(ERROR(0),PRICEDISC(#REF!,#REF!,#REF!,#REF!,SET.NAME("_",+INDEX(1,)))),RETURN(INDEX(TYPE(_),SET.NAME("_"))))</f>
        <v>0</v>
      </c>
      <c r="F1411" s="2" t="b">
        <f>IFERROR(INDEX(ERROR(0),PRICEDISC(#REF!,#REF!,#REF!,#REF!,INDIRECT(SET.NAME({1,"_"},)))),RETURN(INDEX(TYPE(_),SET.NAME("_"))))</f>
        <v>0</v>
      </c>
      <c r="G1411" s="2">
        <f>TYPE(INDEX(,PRICEDISC(#REF!,#REF!,#REF!,#REF!,INDEX(1,))))</f>
        <v>64</v>
      </c>
    </row>
    <row r="1412" spans="1:7" x14ac:dyDescent="0.55000000000000004">
      <c r="A1412" s="1" t="s">
        <v>1867</v>
      </c>
      <c r="B1412" s="2">
        <f>COUNTIF(A:A,A1412)-1</f>
        <v>5</v>
      </c>
      <c r="C1412" s="2">
        <f>COUNTIF(A$1:A1412,A1412)-1</f>
        <v>0</v>
      </c>
      <c r="D1412" s="2"/>
      <c r="E1412" s="2"/>
      <c r="F1412" s="2"/>
      <c r="G1412" s="2"/>
    </row>
    <row r="1413" spans="1:7" x14ac:dyDescent="0.55000000000000004">
      <c r="A1413" s="1" t="s">
        <v>1867</v>
      </c>
      <c r="B1413" s="2">
        <f>COUNTIF(A:A,A1413)-1</f>
        <v>5</v>
      </c>
      <c r="C1413" s="2">
        <f>COUNTIF(A$1:A1413,A1413)-1</f>
        <v>1</v>
      </c>
      <c r="D1413" s="2" t="e">
        <f>YIELDDISC(1,#REF!,#REF!,#REF!,#REF!)</f>
        <v>#REF!</v>
      </c>
      <c r="E1413" s="2" t="b">
        <f>IFERROR(INDEX(ERROR(0),YIELDDISC(SET.NAME("_",+INDEX(1,)),#REF!,#REF!,#REF!,#REF!)),RETURN(INDEX(TYPE(_),SET.NAME("_"))))</f>
        <v>0</v>
      </c>
      <c r="F1413" s="2" t="b">
        <f>IFERROR(INDEX(ERROR(0),YIELDDISC(INDIRECT(SET.NAME({1,"_"},)),#REF!,#REF!,#REF!,#REF!)),RETURN(INDEX(TYPE(_),SET.NAME("_"))))</f>
        <v>0</v>
      </c>
      <c r="G1413" s="2">
        <f>TYPE(INDEX(,YIELDDISC(INDEX(1,),#REF!,#REF!,#REF!,#REF!)))</f>
        <v>64</v>
      </c>
    </row>
    <row r="1414" spans="1:7" x14ac:dyDescent="0.55000000000000004">
      <c r="A1414" s="1" t="s">
        <v>1867</v>
      </c>
      <c r="B1414" s="2">
        <f>COUNTIF(A:A,A1414)-1</f>
        <v>5</v>
      </c>
      <c r="C1414" s="2">
        <f>COUNTIF(A$1:A1414,A1414)-1</f>
        <v>2</v>
      </c>
      <c r="D1414" s="2" t="e">
        <f>YIELDDISC(#REF!,1,#REF!,#REF!,#REF!)</f>
        <v>#REF!</v>
      </c>
      <c r="E1414" s="2" t="b">
        <f>IFERROR(INDEX(ERROR(0),YIELDDISC(#REF!,SET.NAME("_",+INDEX(1,)),#REF!,#REF!,#REF!)),RETURN(INDEX(TYPE(_),SET.NAME("_"))))</f>
        <v>0</v>
      </c>
      <c r="F1414" s="2" t="b">
        <f>IFERROR(INDEX(ERROR(0),YIELDDISC(#REF!,INDIRECT(SET.NAME({1,"_"},)),#REF!,#REF!,#REF!)),RETURN(INDEX(TYPE(_),SET.NAME("_"))))</f>
        <v>0</v>
      </c>
      <c r="G1414" s="2">
        <f>TYPE(INDEX(,YIELDDISC(#REF!,INDEX(1,),#REF!,#REF!,#REF!)))</f>
        <v>64</v>
      </c>
    </row>
    <row r="1415" spans="1:7" x14ac:dyDescent="0.55000000000000004">
      <c r="A1415" s="1" t="s">
        <v>1867</v>
      </c>
      <c r="B1415" s="2">
        <f>COUNTIF(A:A,A1415)-1</f>
        <v>5</v>
      </c>
      <c r="C1415" s="2">
        <f>COUNTIF(A$1:A1415,A1415)-1</f>
        <v>3</v>
      </c>
      <c r="D1415" s="2" t="e">
        <f>YIELDDISC(#REF!,#REF!,1,#REF!,#REF!)</f>
        <v>#REF!</v>
      </c>
      <c r="E1415" s="2" t="b">
        <f>IFERROR(INDEX(ERROR(0),YIELDDISC(#REF!,#REF!,SET.NAME("_",+INDEX(1,)),#REF!,#REF!)),RETURN(INDEX(TYPE(_),SET.NAME("_"))))</f>
        <v>0</v>
      </c>
      <c r="F1415" s="2" t="b">
        <f>IFERROR(INDEX(ERROR(0),YIELDDISC(#REF!,#REF!,INDIRECT(SET.NAME({1,"_"},)),#REF!,#REF!)),RETURN(INDEX(TYPE(_),SET.NAME("_"))))</f>
        <v>0</v>
      </c>
      <c r="G1415" s="2">
        <f>TYPE(INDEX(,YIELDDISC(#REF!,#REF!,INDEX(1,),#REF!,#REF!)))</f>
        <v>64</v>
      </c>
    </row>
    <row r="1416" spans="1:7" x14ac:dyDescent="0.55000000000000004">
      <c r="A1416" s="1" t="s">
        <v>1867</v>
      </c>
      <c r="B1416" s="2">
        <f>COUNTIF(A:A,A1416)-1</f>
        <v>5</v>
      </c>
      <c r="C1416" s="2">
        <f>COUNTIF(A$1:A1416,A1416)-1</f>
        <v>4</v>
      </c>
      <c r="D1416" s="2" t="e">
        <f>YIELDDISC(#REF!,#REF!,#REF!,1,#REF!)</f>
        <v>#REF!</v>
      </c>
      <c r="E1416" s="2" t="b">
        <f>IFERROR(INDEX(ERROR(0),YIELDDISC(#REF!,#REF!,#REF!,SET.NAME("_",+INDEX(1,)),#REF!)),RETURN(INDEX(TYPE(_),SET.NAME("_"))))</f>
        <v>0</v>
      </c>
      <c r="F1416" s="2" t="b">
        <f>IFERROR(INDEX(ERROR(0),YIELDDISC(#REF!,#REF!,#REF!,INDIRECT(SET.NAME({1,"_"},)),#REF!)),RETURN(INDEX(TYPE(_),SET.NAME("_"))))</f>
        <v>0</v>
      </c>
      <c r="G1416" s="2">
        <f>TYPE(INDEX(,YIELDDISC(#REF!,#REF!,#REF!,INDEX(1,),#REF!)))</f>
        <v>64</v>
      </c>
    </row>
    <row r="1417" spans="1:7" x14ac:dyDescent="0.55000000000000004">
      <c r="A1417" s="1" t="s">
        <v>1867</v>
      </c>
      <c r="B1417" s="2">
        <f>COUNTIF(A:A,A1417)-1</f>
        <v>5</v>
      </c>
      <c r="C1417" s="2">
        <f>COUNTIF(A$1:A1417,A1417)-1</f>
        <v>5</v>
      </c>
      <c r="D1417" s="2" t="e">
        <f>YIELDDISC(#REF!,#REF!,#REF!,#REF!,1)</f>
        <v>#REF!</v>
      </c>
      <c r="E1417" s="2" t="b">
        <f>IFERROR(INDEX(ERROR(0),YIELDDISC(#REF!,#REF!,#REF!,#REF!,SET.NAME("_",+INDEX(1,)))),RETURN(INDEX(TYPE(_),SET.NAME("_"))))</f>
        <v>0</v>
      </c>
      <c r="F1417" s="2" t="b">
        <f>IFERROR(INDEX(ERROR(0),YIELDDISC(#REF!,#REF!,#REF!,#REF!,INDIRECT(SET.NAME({1,"_"},)))),RETURN(INDEX(TYPE(_),SET.NAME("_"))))</f>
        <v>0</v>
      </c>
      <c r="G1417" s="2">
        <f>TYPE(INDEX(,YIELDDISC(#REF!,#REF!,#REF!,#REF!,INDEX(1,))))</f>
        <v>64</v>
      </c>
    </row>
    <row r="1418" spans="1:7" x14ac:dyDescent="0.55000000000000004">
      <c r="A1418" s="1" t="s">
        <v>1868</v>
      </c>
      <c r="B1418" s="2">
        <f>COUNTIF(A:A,A1418)-1</f>
        <v>3</v>
      </c>
      <c r="C1418" s="2">
        <f>COUNTIF(A$1:A1418,A1418)-1</f>
        <v>0</v>
      </c>
      <c r="D1418" s="2"/>
      <c r="E1418" s="2"/>
      <c r="F1418" s="2"/>
      <c r="G1418" s="2"/>
    </row>
    <row r="1419" spans="1:7" x14ac:dyDescent="0.55000000000000004">
      <c r="A1419" s="1" t="s">
        <v>1868</v>
      </c>
      <c r="B1419" s="2">
        <f>COUNTIF(A:A,A1419)-1</f>
        <v>3</v>
      </c>
      <c r="C1419" s="2">
        <f>COUNTIF(A$1:A1419,A1419)-1</f>
        <v>1</v>
      </c>
      <c r="D1419" s="2" t="e">
        <f>TBILLEQ(1,#REF!,#REF!)</f>
        <v>#REF!</v>
      </c>
      <c r="E1419" s="2" t="b">
        <f>IFERROR(INDEX(ERROR(0),TBILLEQ(SET.NAME("_",+INDEX(1,)),#REF!,#REF!)),RETURN(INDEX(TYPE(_),SET.NAME("_"))))</f>
        <v>0</v>
      </c>
      <c r="F1419" s="2" t="b">
        <f>IFERROR(INDEX(ERROR(0),TBILLEQ(INDIRECT(SET.NAME({1,"_"},)),#REF!,#REF!)),RETURN(INDEX(TYPE(_),SET.NAME("_"))))</f>
        <v>0</v>
      </c>
      <c r="G1419" s="2">
        <f>TYPE(INDEX(,TBILLEQ(INDEX(1,),#REF!,#REF!)))</f>
        <v>64</v>
      </c>
    </row>
    <row r="1420" spans="1:7" x14ac:dyDescent="0.55000000000000004">
      <c r="A1420" s="1" t="s">
        <v>1868</v>
      </c>
      <c r="B1420" s="2">
        <f>COUNTIF(A:A,A1420)-1</f>
        <v>3</v>
      </c>
      <c r="C1420" s="2">
        <f>COUNTIF(A$1:A1420,A1420)-1</f>
        <v>2</v>
      </c>
      <c r="D1420" s="2" t="e">
        <f>TBILLEQ(#REF!,1,#REF!)</f>
        <v>#REF!</v>
      </c>
      <c r="E1420" s="2" t="b">
        <f>IFERROR(INDEX(ERROR(0),TBILLEQ(#REF!,SET.NAME("_",+INDEX(1,)),#REF!)),RETURN(INDEX(TYPE(_),SET.NAME("_"))))</f>
        <v>0</v>
      </c>
      <c r="F1420" s="2" t="b">
        <f>IFERROR(INDEX(ERROR(0),TBILLEQ(#REF!,INDIRECT(SET.NAME({1,"_"},)),#REF!)),RETURN(INDEX(TYPE(_),SET.NAME("_"))))</f>
        <v>0</v>
      </c>
      <c r="G1420" s="2">
        <f>TYPE(INDEX(,TBILLEQ(#REF!,INDEX(1,),#REF!)))</f>
        <v>64</v>
      </c>
    </row>
    <row r="1421" spans="1:7" x14ac:dyDescent="0.55000000000000004">
      <c r="A1421" s="1" t="s">
        <v>1868</v>
      </c>
      <c r="B1421" s="2">
        <f>COUNTIF(A:A,A1421)-1</f>
        <v>3</v>
      </c>
      <c r="C1421" s="2">
        <f>COUNTIF(A$1:A1421,A1421)-1</f>
        <v>3</v>
      </c>
      <c r="D1421" s="2" t="e">
        <f>TBILLEQ(#REF!,#REF!,1)</f>
        <v>#REF!</v>
      </c>
      <c r="E1421" s="2" t="b">
        <f>IFERROR(INDEX(ERROR(0),TBILLEQ(#REF!,#REF!,SET.NAME("_",+INDEX(1,)))),RETURN(INDEX(TYPE(_),SET.NAME("_"))))</f>
        <v>0</v>
      </c>
      <c r="F1421" s="2" t="b">
        <f>IFERROR(INDEX(ERROR(0),TBILLEQ(#REF!,#REF!,INDIRECT(SET.NAME({1,"_"},)))),RETURN(INDEX(TYPE(_),SET.NAME("_"))))</f>
        <v>0</v>
      </c>
      <c r="G1421" s="2">
        <f>TYPE(INDEX(,TBILLEQ(#REF!,#REF!,INDEX(1,))))</f>
        <v>64</v>
      </c>
    </row>
    <row r="1422" spans="1:7" x14ac:dyDescent="0.55000000000000004">
      <c r="A1422" s="1" t="s">
        <v>1869</v>
      </c>
      <c r="B1422" s="2">
        <f>COUNTIF(A:A,A1422)-1</f>
        <v>3</v>
      </c>
      <c r="C1422" s="2">
        <f>COUNTIF(A$1:A1422,A1422)-1</f>
        <v>0</v>
      </c>
      <c r="D1422" s="2"/>
      <c r="E1422" s="2"/>
      <c r="F1422" s="2"/>
      <c r="G1422" s="2"/>
    </row>
    <row r="1423" spans="1:7" x14ac:dyDescent="0.55000000000000004">
      <c r="A1423" s="1" t="s">
        <v>1869</v>
      </c>
      <c r="B1423" s="2">
        <f>COUNTIF(A:A,A1423)-1</f>
        <v>3</v>
      </c>
      <c r="C1423" s="2">
        <f>COUNTIF(A$1:A1423,A1423)-1</f>
        <v>1</v>
      </c>
      <c r="D1423" s="2" t="e">
        <f>TBILLPRICE(1,#REF!,#REF!)</f>
        <v>#REF!</v>
      </c>
      <c r="E1423" s="2" t="b">
        <f>IFERROR(INDEX(ERROR(0),TBILLPRICE(SET.NAME("_",+INDEX(1,)),#REF!,#REF!)),RETURN(INDEX(TYPE(_),SET.NAME("_"))))</f>
        <v>0</v>
      </c>
      <c r="F1423" s="2" t="b">
        <f>IFERROR(INDEX(ERROR(0),TBILLPRICE(INDIRECT(SET.NAME({1,"_"},)),#REF!,#REF!)),RETURN(INDEX(TYPE(_),SET.NAME("_"))))</f>
        <v>0</v>
      </c>
      <c r="G1423" s="2">
        <f>TYPE(INDEX(,TBILLPRICE(INDEX(1,),#REF!,#REF!)))</f>
        <v>64</v>
      </c>
    </row>
    <row r="1424" spans="1:7" x14ac:dyDescent="0.55000000000000004">
      <c r="A1424" s="1" t="s">
        <v>1869</v>
      </c>
      <c r="B1424" s="2">
        <f>COUNTIF(A:A,A1424)-1</f>
        <v>3</v>
      </c>
      <c r="C1424" s="2">
        <f>COUNTIF(A$1:A1424,A1424)-1</f>
        <v>2</v>
      </c>
      <c r="D1424" s="2" t="e">
        <f>TBILLPRICE(#REF!,1,#REF!)</f>
        <v>#REF!</v>
      </c>
      <c r="E1424" s="2" t="b">
        <f>IFERROR(INDEX(ERROR(0),TBILLPRICE(#REF!,SET.NAME("_",+INDEX(1,)),#REF!)),RETURN(INDEX(TYPE(_),SET.NAME("_"))))</f>
        <v>0</v>
      </c>
      <c r="F1424" s="2" t="b">
        <f>IFERROR(INDEX(ERROR(0),TBILLPRICE(#REF!,INDIRECT(SET.NAME({1,"_"},)),#REF!)),RETURN(INDEX(TYPE(_),SET.NAME("_"))))</f>
        <v>0</v>
      </c>
      <c r="G1424" s="2">
        <f>TYPE(INDEX(,TBILLPRICE(#REF!,INDEX(1,),#REF!)))</f>
        <v>64</v>
      </c>
    </row>
    <row r="1425" spans="1:7" x14ac:dyDescent="0.55000000000000004">
      <c r="A1425" s="1" t="s">
        <v>1869</v>
      </c>
      <c r="B1425" s="2">
        <f>COUNTIF(A:A,A1425)-1</f>
        <v>3</v>
      </c>
      <c r="C1425" s="2">
        <f>COUNTIF(A$1:A1425,A1425)-1</f>
        <v>3</v>
      </c>
      <c r="D1425" s="2" t="e">
        <f>TBILLPRICE(#REF!,#REF!,1)</f>
        <v>#REF!</v>
      </c>
      <c r="E1425" s="2" t="b">
        <f>IFERROR(INDEX(ERROR(0),TBILLPRICE(#REF!,#REF!,SET.NAME("_",+INDEX(1,)))),RETURN(INDEX(TYPE(_),SET.NAME("_"))))</f>
        <v>0</v>
      </c>
      <c r="F1425" s="2" t="b">
        <f>IFERROR(INDEX(ERROR(0),TBILLPRICE(#REF!,#REF!,INDIRECT(SET.NAME({1,"_"},)))),RETURN(INDEX(TYPE(_),SET.NAME("_"))))</f>
        <v>0</v>
      </c>
      <c r="G1425" s="2">
        <f>TYPE(INDEX(,TBILLPRICE(#REF!,#REF!,INDEX(1,))))</f>
        <v>64</v>
      </c>
    </row>
    <row r="1426" spans="1:7" x14ac:dyDescent="0.55000000000000004">
      <c r="A1426" s="1" t="s">
        <v>1870</v>
      </c>
      <c r="B1426" s="2">
        <f>COUNTIF(A:A,A1426)-1</f>
        <v>3</v>
      </c>
      <c r="C1426" s="2">
        <f>COUNTIF(A$1:A1426,A1426)-1</f>
        <v>0</v>
      </c>
      <c r="D1426" s="2"/>
      <c r="E1426" s="2"/>
      <c r="F1426" s="2"/>
      <c r="G1426" s="2"/>
    </row>
    <row r="1427" spans="1:7" x14ac:dyDescent="0.55000000000000004">
      <c r="A1427" s="1" t="s">
        <v>1870</v>
      </c>
      <c r="B1427" s="2">
        <f>COUNTIF(A:A,A1427)-1</f>
        <v>3</v>
      </c>
      <c r="C1427" s="2">
        <f>COUNTIF(A$1:A1427,A1427)-1</f>
        <v>1</v>
      </c>
      <c r="D1427" s="2" t="e">
        <f>TBILLYIELD(1,#REF!,#REF!)</f>
        <v>#REF!</v>
      </c>
      <c r="E1427" s="2" t="b">
        <f>IFERROR(INDEX(ERROR(0),TBILLYIELD(SET.NAME("_",+INDEX(1,)),#REF!,#REF!)),RETURN(INDEX(TYPE(_),SET.NAME("_"))))</f>
        <v>0</v>
      </c>
      <c r="F1427" s="2" t="b">
        <f>IFERROR(INDEX(ERROR(0),TBILLYIELD(INDIRECT(SET.NAME({1,"_"},)),#REF!,#REF!)),RETURN(INDEX(TYPE(_),SET.NAME("_"))))</f>
        <v>0</v>
      </c>
      <c r="G1427" s="2">
        <f>TYPE(INDEX(,TBILLYIELD(INDEX(1,),#REF!,#REF!)))</f>
        <v>64</v>
      </c>
    </row>
    <row r="1428" spans="1:7" x14ac:dyDescent="0.55000000000000004">
      <c r="A1428" s="1" t="s">
        <v>1870</v>
      </c>
      <c r="B1428" s="2">
        <f>COUNTIF(A:A,A1428)-1</f>
        <v>3</v>
      </c>
      <c r="C1428" s="2">
        <f>COUNTIF(A$1:A1428,A1428)-1</f>
        <v>2</v>
      </c>
      <c r="D1428" s="2" t="e">
        <f>TBILLYIELD(#REF!,1,#REF!)</f>
        <v>#REF!</v>
      </c>
      <c r="E1428" s="2" t="b">
        <f>IFERROR(INDEX(ERROR(0),TBILLYIELD(#REF!,SET.NAME("_",+INDEX(1,)),#REF!)),RETURN(INDEX(TYPE(_),SET.NAME("_"))))</f>
        <v>0</v>
      </c>
      <c r="F1428" s="2" t="b">
        <f>IFERROR(INDEX(ERROR(0),TBILLYIELD(#REF!,INDIRECT(SET.NAME({1,"_"},)),#REF!)),RETURN(INDEX(TYPE(_),SET.NAME("_"))))</f>
        <v>0</v>
      </c>
      <c r="G1428" s="2">
        <f>TYPE(INDEX(,TBILLYIELD(#REF!,INDEX(1,),#REF!)))</f>
        <v>64</v>
      </c>
    </row>
    <row r="1429" spans="1:7" x14ac:dyDescent="0.55000000000000004">
      <c r="A1429" s="1" t="s">
        <v>1870</v>
      </c>
      <c r="B1429" s="2">
        <f>COUNTIF(A:A,A1429)-1</f>
        <v>3</v>
      </c>
      <c r="C1429" s="2">
        <f>COUNTIF(A$1:A1429,A1429)-1</f>
        <v>3</v>
      </c>
      <c r="D1429" s="2" t="e">
        <f>TBILLYIELD(#REF!,#REF!,1)</f>
        <v>#REF!</v>
      </c>
      <c r="E1429" s="2" t="b">
        <f>IFERROR(INDEX(ERROR(0),TBILLYIELD(#REF!,#REF!,SET.NAME("_",+INDEX(1,)))),RETURN(INDEX(TYPE(_),SET.NAME("_"))))</f>
        <v>0</v>
      </c>
      <c r="F1429" s="2" t="b">
        <f>IFERROR(INDEX(ERROR(0),TBILLYIELD(#REF!,#REF!,INDIRECT(SET.NAME({1,"_"},)))),RETURN(INDEX(TYPE(_),SET.NAME("_"))))</f>
        <v>0</v>
      </c>
      <c r="G1429" s="2">
        <f>TYPE(INDEX(,TBILLYIELD(#REF!,#REF!,INDEX(1,))))</f>
        <v>64</v>
      </c>
    </row>
    <row r="1430" spans="1:7" x14ac:dyDescent="0.55000000000000004">
      <c r="A1430" s="1" t="s">
        <v>1871</v>
      </c>
      <c r="B1430" s="2">
        <f>COUNTIF(A:A,A1430)-1</f>
        <v>7</v>
      </c>
      <c r="C1430" s="2">
        <f>COUNTIF(A$1:A1430,A1430)-1</f>
        <v>0</v>
      </c>
      <c r="D1430" s="2"/>
      <c r="E1430" s="2"/>
      <c r="F1430" s="2"/>
      <c r="G1430" s="2"/>
    </row>
    <row r="1431" spans="1:7" x14ac:dyDescent="0.55000000000000004">
      <c r="A1431" s="1" t="s">
        <v>1871</v>
      </c>
      <c r="B1431" s="2">
        <f>COUNTIF(A:A,A1431)-1</f>
        <v>7</v>
      </c>
      <c r="C1431" s="2">
        <f>COUNTIF(A$1:A1431,A1431)-1</f>
        <v>1</v>
      </c>
      <c r="D1431" s="2" t="e">
        <f>PRICE(1,#REF!,#REF!,#REF!,#REF!,#REF!,#REF!)</f>
        <v>#REF!</v>
      </c>
      <c r="E1431" s="2" t="b">
        <f>IFERROR(INDEX(ERROR(0),PRICE(SET.NAME("_",+INDEX(1,)),#REF!,#REF!,#REF!,#REF!,#REF!,#REF!)),RETURN(INDEX(TYPE(_),SET.NAME("_"))))</f>
        <v>0</v>
      </c>
      <c r="F1431" s="2" t="b">
        <f>IFERROR(INDEX(ERROR(0),PRICE(INDIRECT(SET.NAME({1,"_"},)),#REF!,#REF!,#REF!,#REF!,#REF!,#REF!)),RETURN(INDEX(TYPE(_),SET.NAME("_"))))</f>
        <v>0</v>
      </c>
      <c r="G1431" s="2">
        <f>TYPE(INDEX(,PRICE(INDEX(1,),#REF!,#REF!,#REF!,#REF!,#REF!,#REF!)))</f>
        <v>64</v>
      </c>
    </row>
    <row r="1432" spans="1:7" x14ac:dyDescent="0.55000000000000004">
      <c r="A1432" s="1" t="s">
        <v>1871</v>
      </c>
      <c r="B1432" s="2">
        <f>COUNTIF(A:A,A1432)-1</f>
        <v>7</v>
      </c>
      <c r="C1432" s="2">
        <f>COUNTIF(A$1:A1432,A1432)-1</f>
        <v>2</v>
      </c>
      <c r="D1432" s="2" t="e">
        <f>PRICE(#REF!,1,#REF!,#REF!,#REF!,#REF!,#REF!)</f>
        <v>#REF!</v>
      </c>
      <c r="E1432" s="2" t="b">
        <f>IFERROR(INDEX(ERROR(0),PRICE(#REF!,SET.NAME("_",+INDEX(1,)),#REF!,#REF!,#REF!,#REF!,#REF!)),RETURN(INDEX(TYPE(_),SET.NAME("_"))))</f>
        <v>0</v>
      </c>
      <c r="F1432" s="2" t="b">
        <f>IFERROR(INDEX(ERROR(0),PRICE(#REF!,INDIRECT(SET.NAME({1,"_"},)),#REF!,#REF!,#REF!,#REF!,#REF!)),RETURN(INDEX(TYPE(_),SET.NAME("_"))))</f>
        <v>0</v>
      </c>
      <c r="G1432" s="2">
        <f>TYPE(INDEX(,PRICE(#REF!,INDEX(1,),#REF!,#REF!,#REF!,#REF!,#REF!)))</f>
        <v>64</v>
      </c>
    </row>
    <row r="1433" spans="1:7" x14ac:dyDescent="0.55000000000000004">
      <c r="A1433" s="1" t="s">
        <v>1871</v>
      </c>
      <c r="B1433" s="2">
        <f>COUNTIF(A:A,A1433)-1</f>
        <v>7</v>
      </c>
      <c r="C1433" s="2">
        <f>COUNTIF(A$1:A1433,A1433)-1</f>
        <v>3</v>
      </c>
      <c r="D1433" s="2" t="e">
        <f>PRICE(#REF!,#REF!,1,#REF!,#REF!,#REF!,#REF!)</f>
        <v>#REF!</v>
      </c>
      <c r="E1433" s="2" t="b">
        <f>IFERROR(INDEX(ERROR(0),PRICE(#REF!,#REF!,SET.NAME("_",+INDEX(1,)),#REF!,#REF!,#REF!,#REF!)),RETURN(INDEX(TYPE(_),SET.NAME("_"))))</f>
        <v>0</v>
      </c>
      <c r="F1433" s="2" t="b">
        <f>IFERROR(INDEX(ERROR(0),PRICE(#REF!,#REF!,INDIRECT(SET.NAME({1,"_"},)),#REF!,#REF!,#REF!,#REF!)),RETURN(INDEX(TYPE(_),SET.NAME("_"))))</f>
        <v>0</v>
      </c>
      <c r="G1433" s="2">
        <f>TYPE(INDEX(,PRICE(#REF!,#REF!,INDEX(1,),#REF!,#REF!,#REF!,#REF!)))</f>
        <v>64</v>
      </c>
    </row>
    <row r="1434" spans="1:7" x14ac:dyDescent="0.55000000000000004">
      <c r="A1434" s="1" t="s">
        <v>1871</v>
      </c>
      <c r="B1434" s="2">
        <f>COUNTIF(A:A,A1434)-1</f>
        <v>7</v>
      </c>
      <c r="C1434" s="2">
        <f>COUNTIF(A$1:A1434,A1434)-1</f>
        <v>4</v>
      </c>
      <c r="D1434" s="2" t="e">
        <f>PRICE(#REF!,#REF!,#REF!,1,#REF!,#REF!,#REF!)</f>
        <v>#REF!</v>
      </c>
      <c r="E1434" s="2" t="b">
        <f>IFERROR(INDEX(ERROR(0),PRICE(#REF!,#REF!,#REF!,SET.NAME("_",+INDEX(1,)),#REF!,#REF!,#REF!)),RETURN(INDEX(TYPE(_),SET.NAME("_"))))</f>
        <v>0</v>
      </c>
      <c r="F1434" s="2" t="b">
        <f>IFERROR(INDEX(ERROR(0),PRICE(#REF!,#REF!,#REF!,INDIRECT(SET.NAME({1,"_"},)),#REF!,#REF!,#REF!)),RETURN(INDEX(TYPE(_),SET.NAME("_"))))</f>
        <v>0</v>
      </c>
      <c r="G1434" s="2">
        <f>TYPE(INDEX(,PRICE(#REF!,#REF!,#REF!,INDEX(1,),#REF!,#REF!,#REF!)))</f>
        <v>64</v>
      </c>
    </row>
    <row r="1435" spans="1:7" x14ac:dyDescent="0.55000000000000004">
      <c r="A1435" s="1" t="s">
        <v>1871</v>
      </c>
      <c r="B1435" s="2">
        <f>COUNTIF(A:A,A1435)-1</f>
        <v>7</v>
      </c>
      <c r="C1435" s="2">
        <f>COUNTIF(A$1:A1435,A1435)-1</f>
        <v>5</v>
      </c>
      <c r="D1435" s="2" t="e">
        <f>PRICE(#REF!,#REF!,#REF!,#REF!,1,#REF!,#REF!)</f>
        <v>#REF!</v>
      </c>
      <c r="E1435" s="2" t="b">
        <f>IFERROR(INDEX(ERROR(0),PRICE(#REF!,#REF!,#REF!,#REF!,SET.NAME("_",+INDEX(1,)),#REF!,#REF!)),RETURN(INDEX(TYPE(_),SET.NAME("_"))))</f>
        <v>0</v>
      </c>
      <c r="F1435" s="2" t="b">
        <f>IFERROR(INDEX(ERROR(0),PRICE(#REF!,#REF!,#REF!,#REF!,INDIRECT(SET.NAME({1,"_"},)),#REF!,#REF!)),RETURN(INDEX(TYPE(_),SET.NAME("_"))))</f>
        <v>0</v>
      </c>
      <c r="G1435" s="2">
        <f>TYPE(INDEX(,PRICE(#REF!,#REF!,#REF!,#REF!,INDEX(1,),#REF!,#REF!)))</f>
        <v>64</v>
      </c>
    </row>
    <row r="1436" spans="1:7" x14ac:dyDescent="0.55000000000000004">
      <c r="A1436" s="1" t="s">
        <v>1871</v>
      </c>
      <c r="B1436" s="2">
        <f>COUNTIF(A:A,A1436)-1</f>
        <v>7</v>
      </c>
      <c r="C1436" s="2">
        <f>COUNTIF(A$1:A1436,A1436)-1</f>
        <v>6</v>
      </c>
      <c r="D1436" s="2" t="e">
        <f>PRICE(#REF!,#REF!,#REF!,#REF!,#REF!,1,#REF!)</f>
        <v>#REF!</v>
      </c>
      <c r="E1436" s="2" t="b">
        <f>IFERROR(INDEX(ERROR(0),PRICE(#REF!,#REF!,#REF!,#REF!,#REF!,SET.NAME("_",+INDEX(1,)),#REF!)),RETURN(INDEX(TYPE(_),SET.NAME("_"))))</f>
        <v>0</v>
      </c>
      <c r="F1436" s="2" t="b">
        <f>IFERROR(INDEX(ERROR(0),PRICE(#REF!,#REF!,#REF!,#REF!,#REF!,INDIRECT(SET.NAME({1,"_"},)),#REF!)),RETURN(INDEX(TYPE(_),SET.NAME("_"))))</f>
        <v>0</v>
      </c>
      <c r="G1436" s="2">
        <f>TYPE(INDEX(,PRICE(#REF!,#REF!,#REF!,#REF!,#REF!,INDEX(1,),#REF!)))</f>
        <v>64</v>
      </c>
    </row>
    <row r="1437" spans="1:7" x14ac:dyDescent="0.55000000000000004">
      <c r="A1437" s="1" t="s">
        <v>1871</v>
      </c>
      <c r="B1437" s="2">
        <f>COUNTIF(A:A,A1437)-1</f>
        <v>7</v>
      </c>
      <c r="C1437" s="2">
        <f>COUNTIF(A$1:A1437,A1437)-1</f>
        <v>7</v>
      </c>
      <c r="D1437" s="2" t="e">
        <f>PRICE(#REF!,#REF!,#REF!,#REF!,#REF!,#REF!,1)</f>
        <v>#REF!</v>
      </c>
      <c r="E1437" s="2" t="b">
        <f>IFERROR(INDEX(ERROR(0),PRICE(#REF!,#REF!,#REF!,#REF!,#REF!,#REF!,SET.NAME("_",+INDEX(1,)))),RETURN(INDEX(TYPE(_),SET.NAME("_"))))</f>
        <v>0</v>
      </c>
      <c r="F1437" s="2" t="b">
        <f>IFERROR(INDEX(ERROR(0),PRICE(#REF!,#REF!,#REF!,#REF!,#REF!,#REF!,INDIRECT(SET.NAME({1,"_"},)))),RETURN(INDEX(TYPE(_),SET.NAME("_"))))</f>
        <v>0</v>
      </c>
      <c r="G1437" s="2">
        <f>TYPE(INDEX(,PRICE(#REF!,#REF!,#REF!,#REF!,#REF!,#REF!,INDEX(1,))))</f>
        <v>64</v>
      </c>
    </row>
    <row r="1438" spans="1:7" x14ac:dyDescent="0.55000000000000004">
      <c r="A1438" s="1" t="s">
        <v>1872</v>
      </c>
      <c r="B1438" s="2">
        <f>COUNTIF(A:A,A1438)-1</f>
        <v>7</v>
      </c>
      <c r="C1438" s="2">
        <f>COUNTIF(A$1:A1438,A1438)-1</f>
        <v>0</v>
      </c>
      <c r="D1438" s="2"/>
      <c r="E1438" s="2"/>
      <c r="F1438" s="2"/>
      <c r="G1438" s="2"/>
    </row>
    <row r="1439" spans="1:7" x14ac:dyDescent="0.55000000000000004">
      <c r="A1439" s="1" t="s">
        <v>1872</v>
      </c>
      <c r="B1439" s="2">
        <f>COUNTIF(A:A,A1439)-1</f>
        <v>7</v>
      </c>
      <c r="C1439" s="2">
        <f>COUNTIF(A$1:A1439,A1439)-1</f>
        <v>1</v>
      </c>
      <c r="D1439" s="2" t="e">
        <f>YIELD(1,#REF!,#REF!,#REF!,#REF!,#REF!,#REF!)</f>
        <v>#REF!</v>
      </c>
      <c r="E1439" s="2" t="b">
        <f>IFERROR(INDEX(ERROR(0),YIELD(SET.NAME("_",+INDEX(1,)),#REF!,#REF!,#REF!,#REF!,#REF!,#REF!)),RETURN(INDEX(TYPE(_),SET.NAME("_"))))</f>
        <v>0</v>
      </c>
      <c r="F1439" s="2" t="b">
        <f>IFERROR(INDEX(ERROR(0),YIELD(INDIRECT(SET.NAME({1,"_"},)),#REF!,#REF!,#REF!,#REF!,#REF!,#REF!)),RETURN(INDEX(TYPE(_),SET.NAME("_"))))</f>
        <v>0</v>
      </c>
      <c r="G1439" s="2">
        <f>TYPE(INDEX(,YIELD(INDEX(1,),#REF!,#REF!,#REF!,#REF!,#REF!,#REF!)))</f>
        <v>64</v>
      </c>
    </row>
    <row r="1440" spans="1:7" x14ac:dyDescent="0.55000000000000004">
      <c r="A1440" s="1" t="s">
        <v>1872</v>
      </c>
      <c r="B1440" s="2">
        <f>COUNTIF(A:A,A1440)-1</f>
        <v>7</v>
      </c>
      <c r="C1440" s="2">
        <f>COUNTIF(A$1:A1440,A1440)-1</f>
        <v>2</v>
      </c>
      <c r="D1440" s="2" t="e">
        <f>YIELD(#REF!,1,#REF!,#REF!,#REF!,#REF!,#REF!)</f>
        <v>#REF!</v>
      </c>
      <c r="E1440" s="2" t="b">
        <f>IFERROR(INDEX(ERROR(0),YIELD(#REF!,SET.NAME("_",+INDEX(1,)),#REF!,#REF!,#REF!,#REF!,#REF!)),RETURN(INDEX(TYPE(_),SET.NAME("_"))))</f>
        <v>0</v>
      </c>
      <c r="F1440" s="2" t="b">
        <f>IFERROR(INDEX(ERROR(0),YIELD(#REF!,INDIRECT(SET.NAME({1,"_"},)),#REF!,#REF!,#REF!,#REF!,#REF!)),RETURN(INDEX(TYPE(_),SET.NAME("_"))))</f>
        <v>0</v>
      </c>
      <c r="G1440" s="2">
        <f>TYPE(INDEX(,YIELD(#REF!,INDEX(1,),#REF!,#REF!,#REF!,#REF!,#REF!)))</f>
        <v>64</v>
      </c>
    </row>
    <row r="1441" spans="1:7" x14ac:dyDescent="0.55000000000000004">
      <c r="A1441" s="1" t="s">
        <v>1872</v>
      </c>
      <c r="B1441" s="2">
        <f>COUNTIF(A:A,A1441)-1</f>
        <v>7</v>
      </c>
      <c r="C1441" s="2">
        <f>COUNTIF(A$1:A1441,A1441)-1</f>
        <v>3</v>
      </c>
      <c r="D1441" s="2" t="e">
        <f>YIELD(#REF!,#REF!,1,#REF!,#REF!,#REF!,#REF!)</f>
        <v>#REF!</v>
      </c>
      <c r="E1441" s="2" t="b">
        <f>IFERROR(INDEX(ERROR(0),YIELD(#REF!,#REF!,SET.NAME("_",+INDEX(1,)),#REF!,#REF!,#REF!,#REF!)),RETURN(INDEX(TYPE(_),SET.NAME("_"))))</f>
        <v>0</v>
      </c>
      <c r="F1441" s="2" t="b">
        <f>IFERROR(INDEX(ERROR(0),YIELD(#REF!,#REF!,INDIRECT(SET.NAME({1,"_"},)),#REF!,#REF!,#REF!,#REF!)),RETURN(INDEX(TYPE(_),SET.NAME("_"))))</f>
        <v>0</v>
      </c>
      <c r="G1441" s="2">
        <f>TYPE(INDEX(,YIELD(#REF!,#REF!,INDEX(1,),#REF!,#REF!,#REF!,#REF!)))</f>
        <v>64</v>
      </c>
    </row>
    <row r="1442" spans="1:7" x14ac:dyDescent="0.55000000000000004">
      <c r="A1442" s="1" t="s">
        <v>1872</v>
      </c>
      <c r="B1442" s="2">
        <f>COUNTIF(A:A,A1442)-1</f>
        <v>7</v>
      </c>
      <c r="C1442" s="2">
        <f>COUNTIF(A$1:A1442,A1442)-1</f>
        <v>4</v>
      </c>
      <c r="D1442" s="2" t="e">
        <f>YIELD(#REF!,#REF!,#REF!,1,#REF!,#REF!,#REF!)</f>
        <v>#REF!</v>
      </c>
      <c r="E1442" s="2" t="b">
        <f>IFERROR(INDEX(ERROR(0),YIELD(#REF!,#REF!,#REF!,SET.NAME("_",+INDEX(1,)),#REF!,#REF!,#REF!)),RETURN(INDEX(TYPE(_),SET.NAME("_"))))</f>
        <v>0</v>
      </c>
      <c r="F1442" s="2" t="b">
        <f>IFERROR(INDEX(ERROR(0),YIELD(#REF!,#REF!,#REF!,INDIRECT(SET.NAME({1,"_"},)),#REF!,#REF!,#REF!)),RETURN(INDEX(TYPE(_),SET.NAME("_"))))</f>
        <v>0</v>
      </c>
      <c r="G1442" s="2">
        <f>TYPE(INDEX(,YIELD(#REF!,#REF!,#REF!,INDEX(1,),#REF!,#REF!,#REF!)))</f>
        <v>64</v>
      </c>
    </row>
    <row r="1443" spans="1:7" x14ac:dyDescent="0.55000000000000004">
      <c r="A1443" s="1" t="s">
        <v>1872</v>
      </c>
      <c r="B1443" s="2">
        <f>COUNTIF(A:A,A1443)-1</f>
        <v>7</v>
      </c>
      <c r="C1443" s="2">
        <f>COUNTIF(A$1:A1443,A1443)-1</f>
        <v>5</v>
      </c>
      <c r="D1443" s="2" t="e">
        <f>YIELD(#REF!,#REF!,#REF!,#REF!,1,#REF!,#REF!)</f>
        <v>#REF!</v>
      </c>
      <c r="E1443" s="2" t="b">
        <f>IFERROR(INDEX(ERROR(0),YIELD(#REF!,#REF!,#REF!,#REF!,SET.NAME("_",+INDEX(1,)),#REF!,#REF!)),RETURN(INDEX(TYPE(_),SET.NAME("_"))))</f>
        <v>0</v>
      </c>
      <c r="F1443" s="2" t="b">
        <f>IFERROR(INDEX(ERROR(0),YIELD(#REF!,#REF!,#REF!,#REF!,INDIRECT(SET.NAME({1,"_"},)),#REF!,#REF!)),RETURN(INDEX(TYPE(_),SET.NAME("_"))))</f>
        <v>0</v>
      </c>
      <c r="G1443" s="2">
        <f>TYPE(INDEX(,YIELD(#REF!,#REF!,#REF!,#REF!,INDEX(1,),#REF!,#REF!)))</f>
        <v>64</v>
      </c>
    </row>
    <row r="1444" spans="1:7" x14ac:dyDescent="0.55000000000000004">
      <c r="A1444" s="1" t="s">
        <v>1872</v>
      </c>
      <c r="B1444" s="2">
        <f>COUNTIF(A:A,A1444)-1</f>
        <v>7</v>
      </c>
      <c r="C1444" s="2">
        <f>COUNTIF(A$1:A1444,A1444)-1</f>
        <v>6</v>
      </c>
      <c r="D1444" s="2" t="e">
        <f>YIELD(#REF!,#REF!,#REF!,#REF!,#REF!,1,#REF!)</f>
        <v>#REF!</v>
      </c>
      <c r="E1444" s="2" t="b">
        <f>IFERROR(INDEX(ERROR(0),YIELD(#REF!,#REF!,#REF!,#REF!,#REF!,SET.NAME("_",+INDEX(1,)),#REF!)),RETURN(INDEX(TYPE(_),SET.NAME("_"))))</f>
        <v>0</v>
      </c>
      <c r="F1444" s="2" t="b">
        <f>IFERROR(INDEX(ERROR(0),YIELD(#REF!,#REF!,#REF!,#REF!,#REF!,INDIRECT(SET.NAME({1,"_"},)),#REF!)),RETURN(INDEX(TYPE(_),SET.NAME("_"))))</f>
        <v>0</v>
      </c>
      <c r="G1444" s="2">
        <f>TYPE(INDEX(,YIELD(#REF!,#REF!,#REF!,#REF!,#REF!,INDEX(1,),#REF!)))</f>
        <v>64</v>
      </c>
    </row>
    <row r="1445" spans="1:7" x14ac:dyDescent="0.55000000000000004">
      <c r="A1445" s="1" t="s">
        <v>1872</v>
      </c>
      <c r="B1445" s="2">
        <f>COUNTIF(A:A,A1445)-1</f>
        <v>7</v>
      </c>
      <c r="C1445" s="2">
        <f>COUNTIF(A$1:A1445,A1445)-1</f>
        <v>7</v>
      </c>
      <c r="D1445" s="2" t="e">
        <f>YIELD(#REF!,#REF!,#REF!,#REF!,#REF!,#REF!,1)</f>
        <v>#REF!</v>
      </c>
      <c r="E1445" s="2" t="b">
        <f>IFERROR(INDEX(ERROR(0),YIELD(#REF!,#REF!,#REF!,#REF!,#REF!,#REF!,SET.NAME("_",+INDEX(1,)))),RETURN(INDEX(TYPE(_),SET.NAME("_"))))</f>
        <v>0</v>
      </c>
      <c r="F1445" s="2" t="b">
        <f>IFERROR(INDEX(ERROR(0),YIELD(#REF!,#REF!,#REF!,#REF!,#REF!,#REF!,INDIRECT(SET.NAME({1,"_"},)))),RETURN(INDEX(TYPE(_),SET.NAME("_"))))</f>
        <v>0</v>
      </c>
      <c r="G1445" s="2">
        <f>TYPE(INDEX(,YIELD(#REF!,#REF!,#REF!,#REF!,#REF!,#REF!,INDEX(1,))))</f>
        <v>64</v>
      </c>
    </row>
    <row r="1446" spans="1:7" x14ac:dyDescent="0.55000000000000004">
      <c r="A1446" s="1" t="s">
        <v>1873</v>
      </c>
      <c r="B1446" s="2">
        <f>COUNTIF(A:A,A1446)-1</f>
        <v>2</v>
      </c>
      <c r="C1446" s="2">
        <f>COUNTIF(A$1:A1446,A1446)-1</f>
        <v>0</v>
      </c>
      <c r="D1446" s="2"/>
      <c r="E1446" s="2"/>
      <c r="F1446" s="2"/>
      <c r="G1446" s="2"/>
    </row>
    <row r="1447" spans="1:7" x14ac:dyDescent="0.55000000000000004">
      <c r="A1447" s="1" t="s">
        <v>1873</v>
      </c>
      <c r="B1447" s="2">
        <f>COUNTIF(A:A,A1447)-1</f>
        <v>2</v>
      </c>
      <c r="C1447" s="2">
        <f>COUNTIF(A$1:A1447,A1447)-1</f>
        <v>1</v>
      </c>
      <c r="D1447" s="2" t="e">
        <f>DOLLARDE(1,#REF!)</f>
        <v>#REF!</v>
      </c>
      <c r="E1447" s="2" t="b">
        <f>IFERROR(INDEX(ERROR(0),DOLLARDE(SET.NAME("_",+INDEX(1,)),#REF!)),RETURN(INDEX(TYPE(_),SET.NAME("_"))))</f>
        <v>0</v>
      </c>
      <c r="F1447" s="2" t="b">
        <f>IFERROR(INDEX(ERROR(0),DOLLARDE(INDIRECT(SET.NAME({1,"_"},)),#REF!)),RETURN(INDEX(TYPE(_),SET.NAME("_"))))</f>
        <v>0</v>
      </c>
      <c r="G1447" s="2">
        <f>TYPE(INDEX(,DOLLARDE(INDEX(1,),#REF!)))</f>
        <v>64</v>
      </c>
    </row>
    <row r="1448" spans="1:7" x14ac:dyDescent="0.55000000000000004">
      <c r="A1448" s="1" t="s">
        <v>1873</v>
      </c>
      <c r="B1448" s="2">
        <f>COUNTIF(A:A,A1448)-1</f>
        <v>2</v>
      </c>
      <c r="C1448" s="2">
        <f>COUNTIF(A$1:A1448,A1448)-1</f>
        <v>2</v>
      </c>
      <c r="D1448" s="2" t="e">
        <f>DOLLARDE(#REF!,1)</f>
        <v>#REF!</v>
      </c>
      <c r="E1448" s="2" t="b">
        <f>IFERROR(INDEX(ERROR(0),DOLLARDE(#REF!,SET.NAME("_",+INDEX(1,)))),RETURN(INDEX(TYPE(_),SET.NAME("_"))))</f>
        <v>0</v>
      </c>
      <c r="F1448" s="2" t="b">
        <f>IFERROR(INDEX(ERROR(0),DOLLARDE(#REF!,INDIRECT(SET.NAME({1,"_"},)))),RETURN(INDEX(TYPE(_),SET.NAME("_"))))</f>
        <v>0</v>
      </c>
      <c r="G1448" s="2">
        <f>TYPE(INDEX(,DOLLARDE(#REF!,INDEX(1,))))</f>
        <v>64</v>
      </c>
    </row>
    <row r="1449" spans="1:7" x14ac:dyDescent="0.55000000000000004">
      <c r="A1449" s="1" t="s">
        <v>1874</v>
      </c>
      <c r="B1449" s="2">
        <f>COUNTIF(A:A,A1449)-1</f>
        <v>2</v>
      </c>
      <c r="C1449" s="2">
        <f>COUNTIF(A$1:A1449,A1449)-1</f>
        <v>0</v>
      </c>
      <c r="D1449" s="2"/>
      <c r="E1449" s="2"/>
      <c r="F1449" s="2"/>
      <c r="G1449" s="2"/>
    </row>
    <row r="1450" spans="1:7" x14ac:dyDescent="0.55000000000000004">
      <c r="A1450" s="1" t="s">
        <v>1874</v>
      </c>
      <c r="B1450" s="2">
        <f>COUNTIF(A:A,A1450)-1</f>
        <v>2</v>
      </c>
      <c r="C1450" s="2">
        <f>COUNTIF(A$1:A1450,A1450)-1</f>
        <v>1</v>
      </c>
      <c r="D1450" s="2" t="e">
        <f>DOLLARFR(1,#REF!)</f>
        <v>#REF!</v>
      </c>
      <c r="E1450" s="2" t="b">
        <f>IFERROR(INDEX(ERROR(0),DOLLARFR(SET.NAME("_",+INDEX(1,)),#REF!)),RETURN(INDEX(TYPE(_),SET.NAME("_"))))</f>
        <v>0</v>
      </c>
      <c r="F1450" s="2" t="b">
        <f>IFERROR(INDEX(ERROR(0),DOLLARFR(INDIRECT(SET.NAME({1,"_"},)),#REF!)),RETURN(INDEX(TYPE(_),SET.NAME("_"))))</f>
        <v>0</v>
      </c>
      <c r="G1450" s="2">
        <f>TYPE(INDEX(,DOLLARFR(INDEX(1,),#REF!)))</f>
        <v>64</v>
      </c>
    </row>
    <row r="1451" spans="1:7" x14ac:dyDescent="0.55000000000000004">
      <c r="A1451" s="1" t="s">
        <v>1874</v>
      </c>
      <c r="B1451" s="2">
        <f>COUNTIF(A:A,A1451)-1</f>
        <v>2</v>
      </c>
      <c r="C1451" s="2">
        <f>COUNTIF(A$1:A1451,A1451)-1</f>
        <v>2</v>
      </c>
      <c r="D1451" s="2" t="e">
        <f>DOLLARFR(#REF!,1)</f>
        <v>#REF!</v>
      </c>
      <c r="E1451" s="2" t="b">
        <f>IFERROR(INDEX(ERROR(0),DOLLARFR(#REF!,SET.NAME("_",+INDEX(1,)))),RETURN(INDEX(TYPE(_),SET.NAME("_"))))</f>
        <v>0</v>
      </c>
      <c r="F1451" s="2" t="b">
        <f>IFERROR(INDEX(ERROR(0),DOLLARFR(#REF!,INDIRECT(SET.NAME({1,"_"},)))),RETURN(INDEX(TYPE(_),SET.NAME("_"))))</f>
        <v>0</v>
      </c>
      <c r="G1451" s="2">
        <f>TYPE(INDEX(,DOLLARFR(#REF!,INDEX(1,))))</f>
        <v>64</v>
      </c>
    </row>
    <row r="1452" spans="1:7" x14ac:dyDescent="0.55000000000000004">
      <c r="A1452" s="1" t="s">
        <v>1875</v>
      </c>
      <c r="B1452" s="2">
        <f>COUNTIF(A:A,A1452)-1</f>
        <v>2</v>
      </c>
      <c r="C1452" s="2">
        <f>COUNTIF(A$1:A1452,A1452)-1</f>
        <v>0</v>
      </c>
      <c r="D1452" s="2"/>
      <c r="E1452" s="2"/>
      <c r="F1452" s="2"/>
      <c r="G1452" s="2"/>
    </row>
    <row r="1453" spans="1:7" x14ac:dyDescent="0.55000000000000004">
      <c r="A1453" s="1" t="s">
        <v>1875</v>
      </c>
      <c r="B1453" s="2">
        <f>COUNTIF(A:A,A1453)-1</f>
        <v>2</v>
      </c>
      <c r="C1453" s="2">
        <f>COUNTIF(A$1:A1453,A1453)-1</f>
        <v>1</v>
      </c>
      <c r="D1453" s="2" t="e">
        <f>NOMINAL(1,#REF!)</f>
        <v>#REF!</v>
      </c>
      <c r="E1453" s="2" t="b">
        <f>IFERROR(INDEX(ERROR(0),NOMINAL(SET.NAME("_",+INDEX(1,)),#REF!)),RETURN(INDEX(TYPE(_),SET.NAME("_"))))</f>
        <v>0</v>
      </c>
      <c r="F1453" s="2" t="b">
        <f>IFERROR(INDEX(ERROR(0),NOMINAL(INDIRECT(SET.NAME({1,"_"},)),#REF!)),RETURN(INDEX(TYPE(_),SET.NAME("_"))))</f>
        <v>0</v>
      </c>
      <c r="G1453" s="2">
        <f>TYPE(INDEX(,NOMINAL(INDEX(1,),#REF!)))</f>
        <v>64</v>
      </c>
    </row>
    <row r="1454" spans="1:7" x14ac:dyDescent="0.55000000000000004">
      <c r="A1454" s="1" t="s">
        <v>1875</v>
      </c>
      <c r="B1454" s="2">
        <f>COUNTIF(A:A,A1454)-1</f>
        <v>2</v>
      </c>
      <c r="C1454" s="2">
        <f>COUNTIF(A$1:A1454,A1454)-1</f>
        <v>2</v>
      </c>
      <c r="D1454" s="2" t="e">
        <f>NOMINAL(#REF!,1)</f>
        <v>#REF!</v>
      </c>
      <c r="E1454" s="2" t="b">
        <f>IFERROR(INDEX(ERROR(0),NOMINAL(#REF!,SET.NAME("_",+INDEX(1,)))),RETURN(INDEX(TYPE(_),SET.NAME("_"))))</f>
        <v>0</v>
      </c>
      <c r="F1454" s="2" t="b">
        <f>IFERROR(INDEX(ERROR(0),NOMINAL(#REF!,INDIRECT(SET.NAME({1,"_"},)))),RETURN(INDEX(TYPE(_),SET.NAME("_"))))</f>
        <v>0</v>
      </c>
      <c r="G1454" s="2">
        <f>TYPE(INDEX(,NOMINAL(#REF!,INDEX(1,))))</f>
        <v>64</v>
      </c>
    </row>
    <row r="1455" spans="1:7" x14ac:dyDescent="0.55000000000000004">
      <c r="A1455" s="1" t="s">
        <v>1876</v>
      </c>
      <c r="B1455" s="2">
        <f>COUNTIF(A:A,A1455)-1</f>
        <v>2</v>
      </c>
      <c r="C1455" s="2">
        <f>COUNTIF(A$1:A1455,A1455)-1</f>
        <v>0</v>
      </c>
      <c r="D1455" s="2"/>
      <c r="E1455" s="2"/>
      <c r="F1455" s="2"/>
      <c r="G1455" s="2"/>
    </row>
    <row r="1456" spans="1:7" x14ac:dyDescent="0.55000000000000004">
      <c r="A1456" s="1" t="s">
        <v>1876</v>
      </c>
      <c r="B1456" s="2">
        <f>COUNTIF(A:A,A1456)-1</f>
        <v>2</v>
      </c>
      <c r="C1456" s="2">
        <f>COUNTIF(A$1:A1456,A1456)-1</f>
        <v>1</v>
      </c>
      <c r="D1456" s="2" t="e">
        <f>EFFECT(1,#REF!)</f>
        <v>#REF!</v>
      </c>
      <c r="E1456" s="2" t="b">
        <f>IFERROR(INDEX(ERROR(0),EFFECT(SET.NAME("_",+INDEX(1,)),#REF!)),RETURN(INDEX(TYPE(_),SET.NAME("_"))))</f>
        <v>0</v>
      </c>
      <c r="F1456" s="2" t="b">
        <f>IFERROR(INDEX(ERROR(0),EFFECT(INDIRECT(SET.NAME({1,"_"},)),#REF!)),RETURN(INDEX(TYPE(_),SET.NAME("_"))))</f>
        <v>0</v>
      </c>
      <c r="G1456" s="2">
        <f>TYPE(INDEX(,EFFECT(INDEX(1,),#REF!)))</f>
        <v>64</v>
      </c>
    </row>
    <row r="1457" spans="1:7" x14ac:dyDescent="0.55000000000000004">
      <c r="A1457" s="1" t="s">
        <v>1876</v>
      </c>
      <c r="B1457" s="2">
        <f>COUNTIF(A:A,A1457)-1</f>
        <v>2</v>
      </c>
      <c r="C1457" s="2">
        <f>COUNTIF(A$1:A1457,A1457)-1</f>
        <v>2</v>
      </c>
      <c r="D1457" s="2" t="e">
        <f>EFFECT(#REF!,1)</f>
        <v>#REF!</v>
      </c>
      <c r="E1457" s="2" t="b">
        <f>IFERROR(INDEX(ERROR(0),EFFECT(#REF!,SET.NAME("_",+INDEX(1,)))),RETURN(INDEX(TYPE(_),SET.NAME("_"))))</f>
        <v>0</v>
      </c>
      <c r="F1457" s="2" t="b">
        <f>IFERROR(INDEX(ERROR(0),EFFECT(#REF!,INDIRECT(SET.NAME({1,"_"},)))),RETURN(INDEX(TYPE(_),SET.NAME("_"))))</f>
        <v>0</v>
      </c>
      <c r="G1457" s="2">
        <f>TYPE(INDEX(,EFFECT(#REF!,INDEX(1,))))</f>
        <v>64</v>
      </c>
    </row>
    <row r="1458" spans="1:7" x14ac:dyDescent="0.55000000000000004">
      <c r="A1458" s="1" t="s">
        <v>1877</v>
      </c>
      <c r="B1458" s="2">
        <f>COUNTIF(A:A,A1458)-1</f>
        <v>6</v>
      </c>
      <c r="C1458" s="2">
        <f>COUNTIF(A$1:A1458,A1458)-1</f>
        <v>0</v>
      </c>
      <c r="D1458" s="2"/>
      <c r="E1458" s="2"/>
      <c r="F1458" s="2"/>
      <c r="G1458" s="2"/>
    </row>
    <row r="1459" spans="1:7" x14ac:dyDescent="0.55000000000000004">
      <c r="A1459" s="1" t="s">
        <v>1877</v>
      </c>
      <c r="B1459" s="2">
        <f>COUNTIF(A:A,A1459)-1</f>
        <v>6</v>
      </c>
      <c r="C1459" s="2">
        <f>COUNTIF(A$1:A1459,A1459)-1</f>
        <v>1</v>
      </c>
      <c r="D1459" s="2" t="e">
        <f>CUMPRINC(1,#REF!,#REF!,#REF!,#REF!,#REF!)</f>
        <v>#REF!</v>
      </c>
      <c r="E1459" s="2" t="b">
        <f>IFERROR(INDEX(ERROR(0),CUMPRINC(SET.NAME("_",+INDEX(1,)),#REF!,#REF!,#REF!,#REF!,#REF!)),RETURN(INDEX(TYPE(_),SET.NAME("_"))))</f>
        <v>0</v>
      </c>
      <c r="F1459" s="2" t="b">
        <f>IFERROR(INDEX(ERROR(0),CUMPRINC(INDIRECT(SET.NAME({1,"_"},)),#REF!,#REF!,#REF!,#REF!,#REF!)),RETURN(INDEX(TYPE(_),SET.NAME("_"))))</f>
        <v>0</v>
      </c>
      <c r="G1459" s="2">
        <f>TYPE(INDEX(,CUMPRINC(INDEX(1,),#REF!,#REF!,#REF!,#REF!,#REF!)))</f>
        <v>64</v>
      </c>
    </row>
    <row r="1460" spans="1:7" x14ac:dyDescent="0.55000000000000004">
      <c r="A1460" s="1" t="s">
        <v>1877</v>
      </c>
      <c r="B1460" s="2">
        <f>COUNTIF(A:A,A1460)-1</f>
        <v>6</v>
      </c>
      <c r="C1460" s="2">
        <f>COUNTIF(A$1:A1460,A1460)-1</f>
        <v>2</v>
      </c>
      <c r="D1460" s="2" t="e">
        <f>CUMPRINC(#REF!,1,#REF!,#REF!,#REF!,#REF!)</f>
        <v>#REF!</v>
      </c>
      <c r="E1460" s="2" t="b">
        <f>IFERROR(INDEX(ERROR(0),CUMPRINC(#REF!,SET.NAME("_",+INDEX(1,)),#REF!,#REF!,#REF!,#REF!)),RETURN(INDEX(TYPE(_),SET.NAME("_"))))</f>
        <v>0</v>
      </c>
      <c r="F1460" s="2" t="b">
        <f>IFERROR(INDEX(ERROR(0),CUMPRINC(#REF!,INDIRECT(SET.NAME({1,"_"},)),#REF!,#REF!,#REF!,#REF!)),RETURN(INDEX(TYPE(_),SET.NAME("_"))))</f>
        <v>0</v>
      </c>
      <c r="G1460" s="2">
        <f>TYPE(INDEX(,CUMPRINC(#REF!,INDEX(1,),#REF!,#REF!,#REF!,#REF!)))</f>
        <v>64</v>
      </c>
    </row>
    <row r="1461" spans="1:7" x14ac:dyDescent="0.55000000000000004">
      <c r="A1461" s="1" t="s">
        <v>1877</v>
      </c>
      <c r="B1461" s="2">
        <f>COUNTIF(A:A,A1461)-1</f>
        <v>6</v>
      </c>
      <c r="C1461" s="2">
        <f>COUNTIF(A$1:A1461,A1461)-1</f>
        <v>3</v>
      </c>
      <c r="D1461" s="2" t="e">
        <f>CUMPRINC(#REF!,#REF!,1,#REF!,#REF!,#REF!)</f>
        <v>#REF!</v>
      </c>
      <c r="E1461" s="2" t="b">
        <f>IFERROR(INDEX(ERROR(0),CUMPRINC(#REF!,#REF!,SET.NAME("_",+INDEX(1,)),#REF!,#REF!,#REF!)),RETURN(INDEX(TYPE(_),SET.NAME("_"))))</f>
        <v>0</v>
      </c>
      <c r="F1461" s="2" t="b">
        <f>IFERROR(INDEX(ERROR(0),CUMPRINC(#REF!,#REF!,INDIRECT(SET.NAME({1,"_"},)),#REF!,#REF!,#REF!)),RETURN(INDEX(TYPE(_),SET.NAME("_"))))</f>
        <v>0</v>
      </c>
      <c r="G1461" s="2">
        <f>TYPE(INDEX(,CUMPRINC(#REF!,#REF!,INDEX(1,),#REF!,#REF!,#REF!)))</f>
        <v>64</v>
      </c>
    </row>
    <row r="1462" spans="1:7" x14ac:dyDescent="0.55000000000000004">
      <c r="A1462" s="1" t="s">
        <v>1877</v>
      </c>
      <c r="B1462" s="2">
        <f>COUNTIF(A:A,A1462)-1</f>
        <v>6</v>
      </c>
      <c r="C1462" s="2">
        <f>COUNTIF(A$1:A1462,A1462)-1</f>
        <v>4</v>
      </c>
      <c r="D1462" s="2" t="e">
        <f>CUMPRINC(#REF!,#REF!,#REF!,1,#REF!,#REF!)</f>
        <v>#REF!</v>
      </c>
      <c r="E1462" s="2" t="b">
        <f>IFERROR(INDEX(ERROR(0),CUMPRINC(#REF!,#REF!,#REF!,SET.NAME("_",+INDEX(1,)),#REF!,#REF!)),RETURN(INDEX(TYPE(_),SET.NAME("_"))))</f>
        <v>0</v>
      </c>
      <c r="F1462" s="2" t="b">
        <f>IFERROR(INDEX(ERROR(0),CUMPRINC(#REF!,#REF!,#REF!,INDIRECT(SET.NAME({1,"_"},)),#REF!,#REF!)),RETURN(INDEX(TYPE(_),SET.NAME("_"))))</f>
        <v>0</v>
      </c>
      <c r="G1462" s="2">
        <f>TYPE(INDEX(,CUMPRINC(#REF!,#REF!,#REF!,INDEX(1,),#REF!,#REF!)))</f>
        <v>64</v>
      </c>
    </row>
    <row r="1463" spans="1:7" x14ac:dyDescent="0.55000000000000004">
      <c r="A1463" s="1" t="s">
        <v>1877</v>
      </c>
      <c r="B1463" s="2">
        <f>COUNTIF(A:A,A1463)-1</f>
        <v>6</v>
      </c>
      <c r="C1463" s="2">
        <f>COUNTIF(A$1:A1463,A1463)-1</f>
        <v>5</v>
      </c>
      <c r="D1463" s="2" t="e">
        <f>CUMPRINC(#REF!,#REF!,#REF!,#REF!,1,#REF!)</f>
        <v>#REF!</v>
      </c>
      <c r="E1463" s="2" t="b">
        <f>IFERROR(INDEX(ERROR(0),CUMPRINC(#REF!,#REF!,#REF!,#REF!,SET.NAME("_",+INDEX(1,)),#REF!)),RETURN(INDEX(TYPE(_),SET.NAME("_"))))</f>
        <v>0</v>
      </c>
      <c r="F1463" s="2" t="b">
        <f>IFERROR(INDEX(ERROR(0),CUMPRINC(#REF!,#REF!,#REF!,#REF!,INDIRECT(SET.NAME({1,"_"},)),#REF!)),RETURN(INDEX(TYPE(_),SET.NAME("_"))))</f>
        <v>0</v>
      </c>
      <c r="G1463" s="2">
        <f>TYPE(INDEX(,CUMPRINC(#REF!,#REF!,#REF!,#REF!,INDEX(1,),#REF!)))</f>
        <v>64</v>
      </c>
    </row>
    <row r="1464" spans="1:7" x14ac:dyDescent="0.55000000000000004">
      <c r="A1464" s="1" t="s">
        <v>1877</v>
      </c>
      <c r="B1464" s="2">
        <f>COUNTIF(A:A,A1464)-1</f>
        <v>6</v>
      </c>
      <c r="C1464" s="2">
        <f>COUNTIF(A$1:A1464,A1464)-1</f>
        <v>6</v>
      </c>
      <c r="D1464" s="2" t="e">
        <f>CUMPRINC(#REF!,#REF!,#REF!,#REF!,#REF!,1)</f>
        <v>#REF!</v>
      </c>
      <c r="E1464" s="2" t="b">
        <f>IFERROR(INDEX(ERROR(0),CUMPRINC(#REF!,#REF!,#REF!,#REF!,#REF!,SET.NAME("_",+INDEX(1,)))),RETURN(INDEX(TYPE(_),SET.NAME("_"))))</f>
        <v>0</v>
      </c>
      <c r="F1464" s="2" t="b">
        <f>IFERROR(INDEX(ERROR(0),CUMPRINC(#REF!,#REF!,#REF!,#REF!,#REF!,INDIRECT(SET.NAME({1,"_"},)))),RETURN(INDEX(TYPE(_),SET.NAME("_"))))</f>
        <v>0</v>
      </c>
      <c r="G1464" s="2">
        <f>TYPE(INDEX(,CUMPRINC(#REF!,#REF!,#REF!,#REF!,#REF!,INDEX(1,))))</f>
        <v>64</v>
      </c>
    </row>
    <row r="1465" spans="1:7" x14ac:dyDescent="0.55000000000000004">
      <c r="A1465" s="1" t="s">
        <v>1878</v>
      </c>
      <c r="B1465" s="2">
        <f>COUNTIF(A:A,A1465)-1</f>
        <v>6</v>
      </c>
      <c r="C1465" s="2">
        <f>COUNTIF(A$1:A1465,A1465)-1</f>
        <v>0</v>
      </c>
      <c r="D1465" s="2"/>
      <c r="E1465" s="2"/>
      <c r="F1465" s="2"/>
      <c r="G1465" s="2"/>
    </row>
    <row r="1466" spans="1:7" x14ac:dyDescent="0.55000000000000004">
      <c r="A1466" s="1" t="s">
        <v>1878</v>
      </c>
      <c r="B1466" s="2">
        <f>COUNTIF(A:A,A1466)-1</f>
        <v>6</v>
      </c>
      <c r="C1466" s="2">
        <f>COUNTIF(A$1:A1466,A1466)-1</f>
        <v>1</v>
      </c>
      <c r="D1466" s="2" t="e">
        <f>CUMIPMT(1,#REF!,#REF!,#REF!,#REF!,#REF!)</f>
        <v>#REF!</v>
      </c>
      <c r="E1466" s="2" t="b">
        <f>IFERROR(INDEX(ERROR(0),CUMIPMT(SET.NAME("_",+INDEX(1,)),#REF!,#REF!,#REF!,#REF!,#REF!)),RETURN(INDEX(TYPE(_),SET.NAME("_"))))</f>
        <v>0</v>
      </c>
      <c r="F1466" s="2" t="b">
        <f>IFERROR(INDEX(ERROR(0),CUMIPMT(INDIRECT(SET.NAME({1,"_"},)),#REF!,#REF!,#REF!,#REF!,#REF!)),RETURN(INDEX(TYPE(_),SET.NAME("_"))))</f>
        <v>0</v>
      </c>
      <c r="G1466" s="2">
        <f>TYPE(INDEX(,CUMIPMT(INDEX(1,),#REF!,#REF!,#REF!,#REF!,#REF!)))</f>
        <v>64</v>
      </c>
    </row>
    <row r="1467" spans="1:7" x14ac:dyDescent="0.55000000000000004">
      <c r="A1467" s="1" t="s">
        <v>1878</v>
      </c>
      <c r="B1467" s="2">
        <f>COUNTIF(A:A,A1467)-1</f>
        <v>6</v>
      </c>
      <c r="C1467" s="2">
        <f>COUNTIF(A$1:A1467,A1467)-1</f>
        <v>2</v>
      </c>
      <c r="D1467" s="2" t="e">
        <f>CUMIPMT(#REF!,1,#REF!,#REF!,#REF!,#REF!)</f>
        <v>#REF!</v>
      </c>
      <c r="E1467" s="2" t="b">
        <f>IFERROR(INDEX(ERROR(0),CUMIPMT(#REF!,SET.NAME("_",+INDEX(1,)),#REF!,#REF!,#REF!,#REF!)),RETURN(INDEX(TYPE(_),SET.NAME("_"))))</f>
        <v>0</v>
      </c>
      <c r="F1467" s="2" t="b">
        <f>IFERROR(INDEX(ERROR(0),CUMIPMT(#REF!,INDIRECT(SET.NAME({1,"_"},)),#REF!,#REF!,#REF!,#REF!)),RETURN(INDEX(TYPE(_),SET.NAME("_"))))</f>
        <v>0</v>
      </c>
      <c r="G1467" s="2">
        <f>TYPE(INDEX(,CUMIPMT(#REF!,INDEX(1,),#REF!,#REF!,#REF!,#REF!)))</f>
        <v>64</v>
      </c>
    </row>
    <row r="1468" spans="1:7" x14ac:dyDescent="0.55000000000000004">
      <c r="A1468" s="1" t="s">
        <v>1878</v>
      </c>
      <c r="B1468" s="2">
        <f>COUNTIF(A:A,A1468)-1</f>
        <v>6</v>
      </c>
      <c r="C1468" s="2">
        <f>COUNTIF(A$1:A1468,A1468)-1</f>
        <v>3</v>
      </c>
      <c r="D1468" s="2" t="e">
        <f>CUMIPMT(#REF!,#REF!,1,#REF!,#REF!,#REF!)</f>
        <v>#REF!</v>
      </c>
      <c r="E1468" s="2" t="b">
        <f>IFERROR(INDEX(ERROR(0),CUMIPMT(#REF!,#REF!,SET.NAME("_",+INDEX(1,)),#REF!,#REF!,#REF!)),RETURN(INDEX(TYPE(_),SET.NAME("_"))))</f>
        <v>0</v>
      </c>
      <c r="F1468" s="2" t="b">
        <f>IFERROR(INDEX(ERROR(0),CUMIPMT(#REF!,#REF!,INDIRECT(SET.NAME({1,"_"},)),#REF!,#REF!,#REF!)),RETURN(INDEX(TYPE(_),SET.NAME("_"))))</f>
        <v>0</v>
      </c>
      <c r="G1468" s="2">
        <f>TYPE(INDEX(,CUMIPMT(#REF!,#REF!,INDEX(1,),#REF!,#REF!,#REF!)))</f>
        <v>64</v>
      </c>
    </row>
    <row r="1469" spans="1:7" x14ac:dyDescent="0.55000000000000004">
      <c r="A1469" s="1" t="s">
        <v>1878</v>
      </c>
      <c r="B1469" s="2">
        <f>COUNTIF(A:A,A1469)-1</f>
        <v>6</v>
      </c>
      <c r="C1469" s="2">
        <f>COUNTIF(A$1:A1469,A1469)-1</f>
        <v>4</v>
      </c>
      <c r="D1469" s="2" t="e">
        <f>CUMIPMT(#REF!,#REF!,#REF!,1,#REF!,#REF!)</f>
        <v>#REF!</v>
      </c>
      <c r="E1469" s="2" t="b">
        <f>IFERROR(INDEX(ERROR(0),CUMIPMT(#REF!,#REF!,#REF!,SET.NAME("_",+INDEX(1,)),#REF!,#REF!)),RETURN(INDEX(TYPE(_),SET.NAME("_"))))</f>
        <v>0</v>
      </c>
      <c r="F1469" s="2" t="b">
        <f>IFERROR(INDEX(ERROR(0),CUMIPMT(#REF!,#REF!,#REF!,INDIRECT(SET.NAME({1,"_"},)),#REF!,#REF!)),RETURN(INDEX(TYPE(_),SET.NAME("_"))))</f>
        <v>0</v>
      </c>
      <c r="G1469" s="2">
        <f>TYPE(INDEX(,CUMIPMT(#REF!,#REF!,#REF!,INDEX(1,),#REF!,#REF!)))</f>
        <v>64</v>
      </c>
    </row>
    <row r="1470" spans="1:7" x14ac:dyDescent="0.55000000000000004">
      <c r="A1470" s="1" t="s">
        <v>1878</v>
      </c>
      <c r="B1470" s="2">
        <f>COUNTIF(A:A,A1470)-1</f>
        <v>6</v>
      </c>
      <c r="C1470" s="2">
        <f>COUNTIF(A$1:A1470,A1470)-1</f>
        <v>5</v>
      </c>
      <c r="D1470" s="2" t="e">
        <f>CUMIPMT(#REF!,#REF!,#REF!,#REF!,1,#REF!)</f>
        <v>#REF!</v>
      </c>
      <c r="E1470" s="2" t="b">
        <f>IFERROR(INDEX(ERROR(0),CUMIPMT(#REF!,#REF!,#REF!,#REF!,SET.NAME("_",+INDEX(1,)),#REF!)),RETURN(INDEX(TYPE(_),SET.NAME("_"))))</f>
        <v>0</v>
      </c>
      <c r="F1470" s="2" t="b">
        <f>IFERROR(INDEX(ERROR(0),CUMIPMT(#REF!,#REF!,#REF!,#REF!,INDIRECT(SET.NAME({1,"_"},)),#REF!)),RETURN(INDEX(TYPE(_),SET.NAME("_"))))</f>
        <v>0</v>
      </c>
      <c r="G1470" s="2">
        <f>TYPE(INDEX(,CUMIPMT(#REF!,#REF!,#REF!,#REF!,INDEX(1,),#REF!)))</f>
        <v>64</v>
      </c>
    </row>
    <row r="1471" spans="1:7" x14ac:dyDescent="0.55000000000000004">
      <c r="A1471" s="1" t="s">
        <v>1878</v>
      </c>
      <c r="B1471" s="2">
        <f>COUNTIF(A:A,A1471)-1</f>
        <v>6</v>
      </c>
      <c r="C1471" s="2">
        <f>COUNTIF(A$1:A1471,A1471)-1</f>
        <v>6</v>
      </c>
      <c r="D1471" s="2" t="e">
        <f>CUMIPMT(#REF!,#REF!,#REF!,#REF!,#REF!,1)</f>
        <v>#REF!</v>
      </c>
      <c r="E1471" s="2" t="b">
        <f>IFERROR(INDEX(ERROR(0),CUMIPMT(#REF!,#REF!,#REF!,#REF!,#REF!,SET.NAME("_",+INDEX(1,)))),RETURN(INDEX(TYPE(_),SET.NAME("_"))))</f>
        <v>0</v>
      </c>
      <c r="F1471" s="2" t="b">
        <f>IFERROR(INDEX(ERROR(0),CUMIPMT(#REF!,#REF!,#REF!,#REF!,#REF!,INDIRECT(SET.NAME({1,"_"},)))),RETURN(INDEX(TYPE(_),SET.NAME("_"))))</f>
        <v>0</v>
      </c>
      <c r="G1471" s="2">
        <f>TYPE(INDEX(,CUMIPMT(#REF!,#REF!,#REF!,#REF!,#REF!,INDEX(1,))))</f>
        <v>64</v>
      </c>
    </row>
    <row r="1472" spans="1:7" x14ac:dyDescent="0.55000000000000004">
      <c r="A1472" s="1" t="s">
        <v>1879</v>
      </c>
      <c r="B1472" s="2">
        <f>COUNTIF(A:A,A1472)-1</f>
        <v>2</v>
      </c>
      <c r="C1472" s="2">
        <f>COUNTIF(A$1:A1472,A1472)-1</f>
        <v>0</v>
      </c>
      <c r="D1472" s="2"/>
      <c r="E1472" s="2"/>
      <c r="F1472" s="2"/>
      <c r="G1472" s="2"/>
    </row>
    <row r="1473" spans="1:7" x14ac:dyDescent="0.55000000000000004">
      <c r="A1473" s="1" t="s">
        <v>1879</v>
      </c>
      <c r="B1473" s="2">
        <f>COUNTIF(A:A,A1473)-1</f>
        <v>2</v>
      </c>
      <c r="C1473" s="2">
        <f>COUNTIF(A$1:A1473,A1473)-1</f>
        <v>1</v>
      </c>
      <c r="D1473" s="2" t="e">
        <f>EDATE(1,#REF!)</f>
        <v>#REF!</v>
      </c>
      <c r="E1473" s="2" t="b">
        <f>IFERROR(INDEX(ERROR(0),EDATE(SET.NAME("_",+INDEX(1,)),#REF!)),RETURN(INDEX(TYPE(_),SET.NAME("_"))))</f>
        <v>0</v>
      </c>
      <c r="F1473" s="2" t="b">
        <f>IFERROR(INDEX(ERROR(0),EDATE(INDIRECT(SET.NAME({1,"_"},)),#REF!)),RETURN(INDEX(TYPE(_),SET.NAME("_"))))</f>
        <v>0</v>
      </c>
      <c r="G1473" s="2">
        <f>TYPE(INDEX(,EDATE(INDEX(1,),#REF!)))</f>
        <v>64</v>
      </c>
    </row>
    <row r="1474" spans="1:7" x14ac:dyDescent="0.55000000000000004">
      <c r="A1474" s="1" t="s">
        <v>1879</v>
      </c>
      <c r="B1474" s="2">
        <f>COUNTIF(A:A,A1474)-1</f>
        <v>2</v>
      </c>
      <c r="C1474" s="2">
        <f>COUNTIF(A$1:A1474,A1474)-1</f>
        <v>2</v>
      </c>
      <c r="D1474" s="2" t="e">
        <f>EDATE(#REF!,1)</f>
        <v>#REF!</v>
      </c>
      <c r="E1474" s="2" t="b">
        <f>IFERROR(INDEX(ERROR(0),EDATE(#REF!,SET.NAME("_",+INDEX(1,)))),RETURN(INDEX(TYPE(_),SET.NAME("_"))))</f>
        <v>0</v>
      </c>
      <c r="F1474" s="2" t="b">
        <f>IFERROR(INDEX(ERROR(0),EDATE(#REF!,INDIRECT(SET.NAME({1,"_"},)))),RETURN(INDEX(TYPE(_),SET.NAME("_"))))</f>
        <v>0</v>
      </c>
      <c r="G1474" s="2">
        <f>TYPE(INDEX(,EDATE(#REF!,INDEX(1,))))</f>
        <v>64</v>
      </c>
    </row>
    <row r="1475" spans="1:7" x14ac:dyDescent="0.55000000000000004">
      <c r="A1475" s="1" t="s">
        <v>1880</v>
      </c>
      <c r="B1475" s="2">
        <f>COUNTIF(A:A,A1475)-1</f>
        <v>2</v>
      </c>
      <c r="C1475" s="2">
        <f>COUNTIF(A$1:A1475,A1475)-1</f>
        <v>0</v>
      </c>
      <c r="D1475" s="2"/>
      <c r="E1475" s="2"/>
      <c r="F1475" s="2"/>
      <c r="G1475" s="2"/>
    </row>
    <row r="1476" spans="1:7" x14ac:dyDescent="0.55000000000000004">
      <c r="A1476" s="1" t="s">
        <v>1880</v>
      </c>
      <c r="B1476" s="2">
        <f>COUNTIF(A:A,A1476)-1</f>
        <v>2</v>
      </c>
      <c r="C1476" s="2">
        <f>COUNTIF(A$1:A1476,A1476)-1</f>
        <v>1</v>
      </c>
      <c r="D1476" s="2" t="e">
        <f>EOMONTH(1,#REF!)</f>
        <v>#REF!</v>
      </c>
      <c r="E1476" s="2" t="b">
        <f>IFERROR(INDEX(ERROR(0),EOMONTH(SET.NAME("_",+INDEX(1,)),#REF!)),RETURN(INDEX(TYPE(_),SET.NAME("_"))))</f>
        <v>0</v>
      </c>
      <c r="F1476" s="2" t="b">
        <f>IFERROR(INDEX(ERROR(0),EOMONTH(INDIRECT(SET.NAME({1,"_"},)),#REF!)),RETURN(INDEX(TYPE(_),SET.NAME("_"))))</f>
        <v>0</v>
      </c>
      <c r="G1476" s="2">
        <f>TYPE(INDEX(,EOMONTH(INDEX(1,),#REF!)))</f>
        <v>64</v>
      </c>
    </row>
    <row r="1477" spans="1:7" x14ac:dyDescent="0.55000000000000004">
      <c r="A1477" s="1" t="s">
        <v>1880</v>
      </c>
      <c r="B1477" s="2">
        <f>COUNTIF(A:A,A1477)-1</f>
        <v>2</v>
      </c>
      <c r="C1477" s="2">
        <f>COUNTIF(A$1:A1477,A1477)-1</f>
        <v>2</v>
      </c>
      <c r="D1477" s="2" t="e">
        <f>EOMONTH(#REF!,1)</f>
        <v>#REF!</v>
      </c>
      <c r="E1477" s="2" t="b">
        <f>IFERROR(INDEX(ERROR(0),EOMONTH(#REF!,SET.NAME("_",+INDEX(1,)))),RETURN(INDEX(TYPE(_),SET.NAME("_"))))</f>
        <v>0</v>
      </c>
      <c r="F1477" s="2" t="b">
        <f>IFERROR(INDEX(ERROR(0),EOMONTH(#REF!,INDIRECT(SET.NAME({1,"_"},)))),RETURN(INDEX(TYPE(_),SET.NAME("_"))))</f>
        <v>0</v>
      </c>
      <c r="G1477" s="2">
        <f>TYPE(INDEX(,EOMONTH(#REF!,INDEX(1,))))</f>
        <v>64</v>
      </c>
    </row>
    <row r="1478" spans="1:7" x14ac:dyDescent="0.55000000000000004">
      <c r="A1478" s="1" t="s">
        <v>1881</v>
      </c>
      <c r="B1478" s="2">
        <f>COUNTIF(A:A,A1478)-1</f>
        <v>3</v>
      </c>
      <c r="C1478" s="2">
        <f>COUNTIF(A$1:A1478,A1478)-1</f>
        <v>0</v>
      </c>
      <c r="D1478" s="2"/>
      <c r="E1478" s="2"/>
      <c r="F1478" s="2"/>
      <c r="G1478" s="2"/>
    </row>
    <row r="1479" spans="1:7" x14ac:dyDescent="0.55000000000000004">
      <c r="A1479" s="1" t="s">
        <v>1881</v>
      </c>
      <c r="B1479" s="2">
        <f>COUNTIF(A:A,A1479)-1</f>
        <v>3</v>
      </c>
      <c r="C1479" s="2">
        <f>COUNTIF(A$1:A1479,A1479)-1</f>
        <v>1</v>
      </c>
      <c r="D1479" s="2" t="e">
        <f>YEARFRAC(1,#REF!,#REF!)</f>
        <v>#REF!</v>
      </c>
      <c r="E1479" s="2" t="b">
        <f>IFERROR(INDEX(ERROR(0),YEARFRAC(SET.NAME("_",+INDEX(1,)),#REF!,#REF!)),RETURN(INDEX(TYPE(_),SET.NAME("_"))))</f>
        <v>0</v>
      </c>
      <c r="F1479" s="2" t="b">
        <f>IFERROR(INDEX(ERROR(0),YEARFRAC(INDIRECT(SET.NAME({1,"_"},)),#REF!,#REF!)),RETURN(INDEX(TYPE(_),SET.NAME("_"))))</f>
        <v>0</v>
      </c>
      <c r="G1479" s="2">
        <f>TYPE(INDEX(,YEARFRAC(INDEX(1,),#REF!,#REF!)))</f>
        <v>64</v>
      </c>
    </row>
    <row r="1480" spans="1:7" x14ac:dyDescent="0.55000000000000004">
      <c r="A1480" s="1" t="s">
        <v>1881</v>
      </c>
      <c r="B1480" s="2">
        <f>COUNTIF(A:A,A1480)-1</f>
        <v>3</v>
      </c>
      <c r="C1480" s="2">
        <f>COUNTIF(A$1:A1480,A1480)-1</f>
        <v>2</v>
      </c>
      <c r="D1480" s="2" t="e">
        <f>YEARFRAC(#REF!,1,#REF!)</f>
        <v>#REF!</v>
      </c>
      <c r="E1480" s="2" t="b">
        <f>IFERROR(INDEX(ERROR(0),YEARFRAC(#REF!,SET.NAME("_",+INDEX(1,)),#REF!)),RETURN(INDEX(TYPE(_),SET.NAME("_"))))</f>
        <v>0</v>
      </c>
      <c r="F1480" s="2" t="b">
        <f>IFERROR(INDEX(ERROR(0),YEARFRAC(#REF!,INDIRECT(SET.NAME({1,"_"},)),#REF!)),RETURN(INDEX(TYPE(_),SET.NAME("_"))))</f>
        <v>0</v>
      </c>
      <c r="G1480" s="2">
        <f>TYPE(INDEX(,YEARFRAC(#REF!,INDEX(1,),#REF!)))</f>
        <v>64</v>
      </c>
    </row>
    <row r="1481" spans="1:7" x14ac:dyDescent="0.55000000000000004">
      <c r="A1481" s="1" t="s">
        <v>1881</v>
      </c>
      <c r="B1481" s="2">
        <f>COUNTIF(A:A,A1481)-1</f>
        <v>3</v>
      </c>
      <c r="C1481" s="2">
        <f>COUNTIF(A$1:A1481,A1481)-1</f>
        <v>3</v>
      </c>
      <c r="D1481" s="2" t="e">
        <f>YEARFRAC(#REF!,#REF!,1)</f>
        <v>#REF!</v>
      </c>
      <c r="E1481" s="2" t="b">
        <f>IFERROR(INDEX(ERROR(0),YEARFRAC(#REF!,#REF!,SET.NAME("_",+INDEX(1,)))),RETURN(INDEX(TYPE(_),SET.NAME("_"))))</f>
        <v>0</v>
      </c>
      <c r="F1481" s="2" t="b">
        <f>IFERROR(INDEX(ERROR(0),YEARFRAC(#REF!,#REF!,INDIRECT(SET.NAME({1,"_"},)))),RETURN(INDEX(TYPE(_),SET.NAME("_"))))</f>
        <v>0</v>
      </c>
      <c r="G1481" s="2">
        <f>TYPE(INDEX(,YEARFRAC(#REF!,#REF!,INDEX(1,))))</f>
        <v>64</v>
      </c>
    </row>
    <row r="1482" spans="1:7" x14ac:dyDescent="0.55000000000000004">
      <c r="A1482" s="1" t="s">
        <v>1882</v>
      </c>
      <c r="B1482" s="2">
        <f>COUNTIF(A:A,A1482)-1</f>
        <v>4</v>
      </c>
      <c r="C1482" s="2">
        <f>COUNTIF(A$1:A1482,A1482)-1</f>
        <v>0</v>
      </c>
      <c r="D1482" s="2"/>
      <c r="E1482" s="2"/>
      <c r="F1482" s="2"/>
      <c r="G1482" s="2"/>
    </row>
    <row r="1483" spans="1:7" x14ac:dyDescent="0.55000000000000004">
      <c r="A1483" s="1" t="s">
        <v>1882</v>
      </c>
      <c r="B1483" s="2">
        <f>COUNTIF(A:A,A1483)-1</f>
        <v>4</v>
      </c>
      <c r="C1483" s="2">
        <f>COUNTIF(A$1:A1483,A1483)-1</f>
        <v>1</v>
      </c>
      <c r="D1483" s="2" t="e">
        <f>COUPDAYBS(1,#REF!,#REF!,#REF!)</f>
        <v>#REF!</v>
      </c>
      <c r="E1483" s="2" t="b">
        <f>IFERROR(INDEX(ERROR(0),COUPDAYBS(SET.NAME("_",+INDEX(1,)),#REF!,#REF!,#REF!)),RETURN(INDEX(TYPE(_),SET.NAME("_"))))</f>
        <v>0</v>
      </c>
      <c r="F1483" s="2" t="b">
        <f>IFERROR(INDEX(ERROR(0),COUPDAYBS(INDIRECT(SET.NAME({1,"_"},)),#REF!,#REF!,#REF!)),RETURN(INDEX(TYPE(_),SET.NAME("_"))))</f>
        <v>0</v>
      </c>
      <c r="G1483" s="2">
        <f>TYPE(INDEX(,COUPDAYBS(INDEX(1,),#REF!,#REF!,#REF!)))</f>
        <v>64</v>
      </c>
    </row>
    <row r="1484" spans="1:7" x14ac:dyDescent="0.55000000000000004">
      <c r="A1484" s="1" t="s">
        <v>1882</v>
      </c>
      <c r="B1484" s="2">
        <f>COUNTIF(A:A,A1484)-1</f>
        <v>4</v>
      </c>
      <c r="C1484" s="2">
        <f>COUNTIF(A$1:A1484,A1484)-1</f>
        <v>2</v>
      </c>
      <c r="D1484" s="2" t="e">
        <f>COUPDAYBS(#REF!,1,#REF!,#REF!)</f>
        <v>#REF!</v>
      </c>
      <c r="E1484" s="2" t="b">
        <f>IFERROR(INDEX(ERROR(0),COUPDAYBS(#REF!,SET.NAME("_",+INDEX(1,)),#REF!,#REF!)),RETURN(INDEX(TYPE(_),SET.NAME("_"))))</f>
        <v>0</v>
      </c>
      <c r="F1484" s="2" t="b">
        <f>IFERROR(INDEX(ERROR(0),COUPDAYBS(#REF!,INDIRECT(SET.NAME({1,"_"},)),#REF!,#REF!)),RETURN(INDEX(TYPE(_),SET.NAME("_"))))</f>
        <v>0</v>
      </c>
      <c r="G1484" s="2">
        <f>TYPE(INDEX(,COUPDAYBS(#REF!,INDEX(1,),#REF!,#REF!)))</f>
        <v>64</v>
      </c>
    </row>
    <row r="1485" spans="1:7" x14ac:dyDescent="0.55000000000000004">
      <c r="A1485" s="1" t="s">
        <v>1882</v>
      </c>
      <c r="B1485" s="2">
        <f>COUNTIF(A:A,A1485)-1</f>
        <v>4</v>
      </c>
      <c r="C1485" s="2">
        <f>COUNTIF(A$1:A1485,A1485)-1</f>
        <v>3</v>
      </c>
      <c r="D1485" s="2" t="e">
        <f>COUPDAYBS(#REF!,#REF!,1,#REF!)</f>
        <v>#REF!</v>
      </c>
      <c r="E1485" s="2" t="b">
        <f>IFERROR(INDEX(ERROR(0),COUPDAYBS(#REF!,#REF!,SET.NAME("_",+INDEX(1,)),#REF!)),RETURN(INDEX(TYPE(_),SET.NAME("_"))))</f>
        <v>0</v>
      </c>
      <c r="F1485" s="2" t="b">
        <f>IFERROR(INDEX(ERROR(0),COUPDAYBS(#REF!,#REF!,INDIRECT(SET.NAME({1,"_"},)),#REF!)),RETURN(INDEX(TYPE(_),SET.NAME("_"))))</f>
        <v>0</v>
      </c>
      <c r="G1485" s="2">
        <f>TYPE(INDEX(,COUPDAYBS(#REF!,#REF!,INDEX(1,),#REF!)))</f>
        <v>64</v>
      </c>
    </row>
    <row r="1486" spans="1:7" x14ac:dyDescent="0.55000000000000004">
      <c r="A1486" s="1" t="s">
        <v>1882</v>
      </c>
      <c r="B1486" s="2">
        <f>COUNTIF(A:A,A1486)-1</f>
        <v>4</v>
      </c>
      <c r="C1486" s="2">
        <f>COUNTIF(A$1:A1486,A1486)-1</f>
        <v>4</v>
      </c>
      <c r="D1486" s="2" t="e">
        <f>COUPDAYBS(#REF!,#REF!,#REF!,1)</f>
        <v>#REF!</v>
      </c>
      <c r="E1486" s="2" t="b">
        <f>IFERROR(INDEX(ERROR(0),COUPDAYBS(#REF!,#REF!,#REF!,SET.NAME("_",+INDEX(1,)))),RETURN(INDEX(TYPE(_),SET.NAME("_"))))</f>
        <v>0</v>
      </c>
      <c r="F1486" s="2" t="b">
        <f>IFERROR(INDEX(ERROR(0),COUPDAYBS(#REF!,#REF!,#REF!,INDIRECT(SET.NAME({1,"_"},)))),RETURN(INDEX(TYPE(_),SET.NAME("_"))))</f>
        <v>0</v>
      </c>
      <c r="G1486" s="2">
        <f>TYPE(INDEX(,COUPDAYBS(#REF!,#REF!,#REF!,INDEX(1,))))</f>
        <v>64</v>
      </c>
    </row>
    <row r="1487" spans="1:7" x14ac:dyDescent="0.55000000000000004">
      <c r="A1487" s="1" t="s">
        <v>1883</v>
      </c>
      <c r="B1487" s="2">
        <f>COUNTIF(A:A,A1487)-1</f>
        <v>4</v>
      </c>
      <c r="C1487" s="2">
        <f>COUNTIF(A$1:A1487,A1487)-1</f>
        <v>0</v>
      </c>
      <c r="D1487" s="2"/>
      <c r="E1487" s="2"/>
      <c r="F1487" s="2"/>
      <c r="G1487" s="2"/>
    </row>
    <row r="1488" spans="1:7" x14ac:dyDescent="0.55000000000000004">
      <c r="A1488" s="1" t="s">
        <v>1883</v>
      </c>
      <c r="B1488" s="2">
        <f>COUNTIF(A:A,A1488)-1</f>
        <v>4</v>
      </c>
      <c r="C1488" s="2">
        <f>COUNTIF(A$1:A1488,A1488)-1</f>
        <v>1</v>
      </c>
      <c r="D1488" s="2" t="e">
        <f>COUPDAYS(1,#REF!,#REF!,#REF!)</f>
        <v>#REF!</v>
      </c>
      <c r="E1488" s="2" t="b">
        <f>IFERROR(INDEX(ERROR(0),COUPDAYS(SET.NAME("_",+INDEX(1,)),#REF!,#REF!,#REF!)),RETURN(INDEX(TYPE(_),SET.NAME("_"))))</f>
        <v>0</v>
      </c>
      <c r="F1488" s="2" t="b">
        <f>IFERROR(INDEX(ERROR(0),COUPDAYS(INDIRECT(SET.NAME({1,"_"},)),#REF!,#REF!,#REF!)),RETURN(INDEX(TYPE(_),SET.NAME("_"))))</f>
        <v>0</v>
      </c>
      <c r="G1488" s="2">
        <f>TYPE(INDEX(,COUPDAYS(INDEX(1,),#REF!,#REF!,#REF!)))</f>
        <v>64</v>
      </c>
    </row>
    <row r="1489" spans="1:7" x14ac:dyDescent="0.55000000000000004">
      <c r="A1489" s="1" t="s">
        <v>1883</v>
      </c>
      <c r="B1489" s="2">
        <f>COUNTIF(A:A,A1489)-1</f>
        <v>4</v>
      </c>
      <c r="C1489" s="2">
        <f>COUNTIF(A$1:A1489,A1489)-1</f>
        <v>2</v>
      </c>
      <c r="D1489" s="2" t="e">
        <f>COUPDAYS(#REF!,1,#REF!,#REF!)</f>
        <v>#REF!</v>
      </c>
      <c r="E1489" s="2" t="b">
        <f>IFERROR(INDEX(ERROR(0),COUPDAYS(#REF!,SET.NAME("_",+INDEX(1,)),#REF!,#REF!)),RETURN(INDEX(TYPE(_),SET.NAME("_"))))</f>
        <v>0</v>
      </c>
      <c r="F1489" s="2" t="b">
        <f>IFERROR(INDEX(ERROR(0),COUPDAYS(#REF!,INDIRECT(SET.NAME({1,"_"},)),#REF!,#REF!)),RETURN(INDEX(TYPE(_),SET.NAME("_"))))</f>
        <v>0</v>
      </c>
      <c r="G1489" s="2">
        <f>TYPE(INDEX(,COUPDAYS(#REF!,INDEX(1,),#REF!,#REF!)))</f>
        <v>64</v>
      </c>
    </row>
    <row r="1490" spans="1:7" x14ac:dyDescent="0.55000000000000004">
      <c r="A1490" s="1" t="s">
        <v>1883</v>
      </c>
      <c r="B1490" s="2">
        <f>COUNTIF(A:A,A1490)-1</f>
        <v>4</v>
      </c>
      <c r="C1490" s="2">
        <f>COUNTIF(A$1:A1490,A1490)-1</f>
        <v>3</v>
      </c>
      <c r="D1490" s="2" t="e">
        <f>COUPDAYS(#REF!,#REF!,1,#REF!)</f>
        <v>#REF!</v>
      </c>
      <c r="E1490" s="2" t="b">
        <f>IFERROR(INDEX(ERROR(0),COUPDAYS(#REF!,#REF!,SET.NAME("_",+INDEX(1,)),#REF!)),RETURN(INDEX(TYPE(_),SET.NAME("_"))))</f>
        <v>0</v>
      </c>
      <c r="F1490" s="2" t="b">
        <f>IFERROR(INDEX(ERROR(0),COUPDAYS(#REF!,#REF!,INDIRECT(SET.NAME({1,"_"},)),#REF!)),RETURN(INDEX(TYPE(_),SET.NAME("_"))))</f>
        <v>0</v>
      </c>
      <c r="G1490" s="2">
        <f>TYPE(INDEX(,COUPDAYS(#REF!,#REF!,INDEX(1,),#REF!)))</f>
        <v>64</v>
      </c>
    </row>
    <row r="1491" spans="1:7" x14ac:dyDescent="0.55000000000000004">
      <c r="A1491" s="1" t="s">
        <v>1883</v>
      </c>
      <c r="B1491" s="2">
        <f>COUNTIF(A:A,A1491)-1</f>
        <v>4</v>
      </c>
      <c r="C1491" s="2">
        <f>COUNTIF(A$1:A1491,A1491)-1</f>
        <v>4</v>
      </c>
      <c r="D1491" s="2" t="e">
        <f>COUPDAYS(#REF!,#REF!,#REF!,1)</f>
        <v>#REF!</v>
      </c>
      <c r="E1491" s="2" t="b">
        <f>IFERROR(INDEX(ERROR(0),COUPDAYS(#REF!,#REF!,#REF!,SET.NAME("_",+INDEX(1,)))),RETURN(INDEX(TYPE(_),SET.NAME("_"))))</f>
        <v>0</v>
      </c>
      <c r="F1491" s="2" t="b">
        <f>IFERROR(INDEX(ERROR(0),COUPDAYS(#REF!,#REF!,#REF!,INDIRECT(SET.NAME({1,"_"},)))),RETURN(INDEX(TYPE(_),SET.NAME("_"))))</f>
        <v>0</v>
      </c>
      <c r="G1491" s="2">
        <f>TYPE(INDEX(,COUPDAYS(#REF!,#REF!,#REF!,INDEX(1,))))</f>
        <v>64</v>
      </c>
    </row>
    <row r="1492" spans="1:7" x14ac:dyDescent="0.55000000000000004">
      <c r="A1492" s="1" t="s">
        <v>1884</v>
      </c>
      <c r="B1492" s="2">
        <f>COUNTIF(A:A,A1492)-1</f>
        <v>4</v>
      </c>
      <c r="C1492" s="2">
        <f>COUNTIF(A$1:A1492,A1492)-1</f>
        <v>0</v>
      </c>
      <c r="D1492" s="2"/>
      <c r="E1492" s="2"/>
      <c r="F1492" s="2"/>
      <c r="G1492" s="2"/>
    </row>
    <row r="1493" spans="1:7" x14ac:dyDescent="0.55000000000000004">
      <c r="A1493" s="1" t="s">
        <v>1884</v>
      </c>
      <c r="B1493" s="2">
        <f>COUNTIF(A:A,A1493)-1</f>
        <v>4</v>
      </c>
      <c r="C1493" s="2">
        <f>COUNTIF(A$1:A1493,A1493)-1</f>
        <v>1</v>
      </c>
      <c r="D1493" s="2" t="e">
        <f>COUPDAYSNC(1,#REF!,#REF!,#REF!)</f>
        <v>#REF!</v>
      </c>
      <c r="E1493" s="2" t="b">
        <f>IFERROR(INDEX(ERROR(0),COUPDAYSNC(SET.NAME("_",+INDEX(1,)),#REF!,#REF!,#REF!)),RETURN(INDEX(TYPE(_),SET.NAME("_"))))</f>
        <v>0</v>
      </c>
      <c r="F1493" s="2" t="b">
        <f>IFERROR(INDEX(ERROR(0),COUPDAYSNC(INDIRECT(SET.NAME({1,"_"},)),#REF!,#REF!,#REF!)),RETURN(INDEX(TYPE(_),SET.NAME("_"))))</f>
        <v>0</v>
      </c>
      <c r="G1493" s="2">
        <f>TYPE(INDEX(,COUPDAYSNC(INDEX(1,),#REF!,#REF!,#REF!)))</f>
        <v>64</v>
      </c>
    </row>
    <row r="1494" spans="1:7" x14ac:dyDescent="0.55000000000000004">
      <c r="A1494" s="1" t="s">
        <v>1884</v>
      </c>
      <c r="B1494" s="2">
        <f>COUNTIF(A:A,A1494)-1</f>
        <v>4</v>
      </c>
      <c r="C1494" s="2">
        <f>COUNTIF(A$1:A1494,A1494)-1</f>
        <v>2</v>
      </c>
      <c r="D1494" s="2" t="e">
        <f>COUPDAYSNC(#REF!,1,#REF!,#REF!)</f>
        <v>#REF!</v>
      </c>
      <c r="E1494" s="2" t="b">
        <f>IFERROR(INDEX(ERROR(0),COUPDAYSNC(#REF!,SET.NAME("_",+INDEX(1,)),#REF!,#REF!)),RETURN(INDEX(TYPE(_),SET.NAME("_"))))</f>
        <v>0</v>
      </c>
      <c r="F1494" s="2" t="b">
        <f>IFERROR(INDEX(ERROR(0),COUPDAYSNC(#REF!,INDIRECT(SET.NAME({1,"_"},)),#REF!,#REF!)),RETURN(INDEX(TYPE(_),SET.NAME("_"))))</f>
        <v>0</v>
      </c>
      <c r="G1494" s="2">
        <f>TYPE(INDEX(,COUPDAYSNC(#REF!,INDEX(1,),#REF!,#REF!)))</f>
        <v>64</v>
      </c>
    </row>
    <row r="1495" spans="1:7" x14ac:dyDescent="0.55000000000000004">
      <c r="A1495" s="1" t="s">
        <v>1884</v>
      </c>
      <c r="B1495" s="2">
        <f>COUNTIF(A:A,A1495)-1</f>
        <v>4</v>
      </c>
      <c r="C1495" s="2">
        <f>COUNTIF(A$1:A1495,A1495)-1</f>
        <v>3</v>
      </c>
      <c r="D1495" s="2" t="e">
        <f>COUPDAYSNC(#REF!,#REF!,1,#REF!)</f>
        <v>#REF!</v>
      </c>
      <c r="E1495" s="2" t="b">
        <f>IFERROR(INDEX(ERROR(0),COUPDAYSNC(#REF!,#REF!,SET.NAME("_",+INDEX(1,)),#REF!)),RETURN(INDEX(TYPE(_),SET.NAME("_"))))</f>
        <v>0</v>
      </c>
      <c r="F1495" s="2" t="b">
        <f>IFERROR(INDEX(ERROR(0),COUPDAYSNC(#REF!,#REF!,INDIRECT(SET.NAME({1,"_"},)),#REF!)),RETURN(INDEX(TYPE(_),SET.NAME("_"))))</f>
        <v>0</v>
      </c>
      <c r="G1495" s="2">
        <f>TYPE(INDEX(,COUPDAYSNC(#REF!,#REF!,INDEX(1,),#REF!)))</f>
        <v>64</v>
      </c>
    </row>
    <row r="1496" spans="1:7" x14ac:dyDescent="0.55000000000000004">
      <c r="A1496" s="1" t="s">
        <v>1884</v>
      </c>
      <c r="B1496" s="2">
        <f>COUNTIF(A:A,A1496)-1</f>
        <v>4</v>
      </c>
      <c r="C1496" s="2">
        <f>COUNTIF(A$1:A1496,A1496)-1</f>
        <v>4</v>
      </c>
      <c r="D1496" s="2" t="e">
        <f>COUPDAYSNC(#REF!,#REF!,#REF!,1)</f>
        <v>#REF!</v>
      </c>
      <c r="E1496" s="2" t="b">
        <f>IFERROR(INDEX(ERROR(0),COUPDAYSNC(#REF!,#REF!,#REF!,SET.NAME("_",+INDEX(1,)))),RETURN(INDEX(TYPE(_),SET.NAME("_"))))</f>
        <v>0</v>
      </c>
      <c r="F1496" s="2" t="b">
        <f>IFERROR(INDEX(ERROR(0),COUPDAYSNC(#REF!,#REF!,#REF!,INDIRECT(SET.NAME({1,"_"},)))),RETURN(INDEX(TYPE(_),SET.NAME("_"))))</f>
        <v>0</v>
      </c>
      <c r="G1496" s="2">
        <f>TYPE(INDEX(,COUPDAYSNC(#REF!,#REF!,#REF!,INDEX(1,))))</f>
        <v>64</v>
      </c>
    </row>
    <row r="1497" spans="1:7" x14ac:dyDescent="0.55000000000000004">
      <c r="A1497" s="1" t="s">
        <v>1885</v>
      </c>
      <c r="B1497" s="2">
        <f>COUNTIF(A:A,A1497)-1</f>
        <v>4</v>
      </c>
      <c r="C1497" s="2">
        <f>COUNTIF(A$1:A1497,A1497)-1</f>
        <v>0</v>
      </c>
      <c r="D1497" s="2"/>
      <c r="E1497" s="2"/>
      <c r="F1497" s="2"/>
      <c r="G1497" s="2"/>
    </row>
    <row r="1498" spans="1:7" x14ac:dyDescent="0.55000000000000004">
      <c r="A1498" s="1" t="s">
        <v>1885</v>
      </c>
      <c r="B1498" s="2">
        <f>COUNTIF(A:A,A1498)-1</f>
        <v>4</v>
      </c>
      <c r="C1498" s="2">
        <f>COUNTIF(A$1:A1498,A1498)-1</f>
        <v>1</v>
      </c>
      <c r="D1498" s="2" t="e">
        <f>COUPNCD(1,#REF!,#REF!,#REF!)</f>
        <v>#REF!</v>
      </c>
      <c r="E1498" s="2" t="b">
        <f>IFERROR(INDEX(ERROR(0),COUPNCD(SET.NAME("_",+INDEX(1,)),#REF!,#REF!,#REF!)),RETURN(INDEX(TYPE(_),SET.NAME("_"))))</f>
        <v>0</v>
      </c>
      <c r="F1498" s="2" t="b">
        <f>IFERROR(INDEX(ERROR(0),COUPNCD(INDIRECT(SET.NAME({1,"_"},)),#REF!,#REF!,#REF!)),RETURN(INDEX(TYPE(_),SET.NAME("_"))))</f>
        <v>0</v>
      </c>
      <c r="G1498" s="2">
        <f>TYPE(INDEX(,COUPNCD(INDEX(1,),#REF!,#REF!,#REF!)))</f>
        <v>64</v>
      </c>
    </row>
    <row r="1499" spans="1:7" x14ac:dyDescent="0.55000000000000004">
      <c r="A1499" s="1" t="s">
        <v>1885</v>
      </c>
      <c r="B1499" s="2">
        <f>COUNTIF(A:A,A1499)-1</f>
        <v>4</v>
      </c>
      <c r="C1499" s="2">
        <f>COUNTIF(A$1:A1499,A1499)-1</f>
        <v>2</v>
      </c>
      <c r="D1499" s="2" t="e">
        <f>COUPNCD(#REF!,1,#REF!,#REF!)</f>
        <v>#REF!</v>
      </c>
      <c r="E1499" s="2" t="b">
        <f>IFERROR(INDEX(ERROR(0),COUPNCD(#REF!,SET.NAME("_",+INDEX(1,)),#REF!,#REF!)),RETURN(INDEX(TYPE(_),SET.NAME("_"))))</f>
        <v>0</v>
      </c>
      <c r="F1499" s="2" t="b">
        <f>IFERROR(INDEX(ERROR(0),COUPNCD(#REF!,INDIRECT(SET.NAME({1,"_"},)),#REF!,#REF!)),RETURN(INDEX(TYPE(_),SET.NAME("_"))))</f>
        <v>0</v>
      </c>
      <c r="G1499" s="2">
        <f>TYPE(INDEX(,COUPNCD(#REF!,INDEX(1,),#REF!,#REF!)))</f>
        <v>64</v>
      </c>
    </row>
    <row r="1500" spans="1:7" x14ac:dyDescent="0.55000000000000004">
      <c r="A1500" s="1" t="s">
        <v>1885</v>
      </c>
      <c r="B1500" s="2">
        <f>COUNTIF(A:A,A1500)-1</f>
        <v>4</v>
      </c>
      <c r="C1500" s="2">
        <f>COUNTIF(A$1:A1500,A1500)-1</f>
        <v>3</v>
      </c>
      <c r="D1500" s="2" t="e">
        <f>COUPNCD(#REF!,#REF!,1,#REF!)</f>
        <v>#REF!</v>
      </c>
      <c r="E1500" s="2" t="b">
        <f>IFERROR(INDEX(ERROR(0),COUPNCD(#REF!,#REF!,SET.NAME("_",+INDEX(1,)),#REF!)),RETURN(INDEX(TYPE(_),SET.NAME("_"))))</f>
        <v>0</v>
      </c>
      <c r="F1500" s="2" t="b">
        <f>IFERROR(INDEX(ERROR(0),COUPNCD(#REF!,#REF!,INDIRECT(SET.NAME({1,"_"},)),#REF!)),RETURN(INDEX(TYPE(_),SET.NAME("_"))))</f>
        <v>0</v>
      </c>
      <c r="G1500" s="2">
        <f>TYPE(INDEX(,COUPNCD(#REF!,#REF!,INDEX(1,),#REF!)))</f>
        <v>64</v>
      </c>
    </row>
    <row r="1501" spans="1:7" x14ac:dyDescent="0.55000000000000004">
      <c r="A1501" s="1" t="s">
        <v>1885</v>
      </c>
      <c r="B1501" s="2">
        <f>COUNTIF(A:A,A1501)-1</f>
        <v>4</v>
      </c>
      <c r="C1501" s="2">
        <f>COUNTIF(A$1:A1501,A1501)-1</f>
        <v>4</v>
      </c>
      <c r="D1501" s="2" t="e">
        <f>COUPNCD(#REF!,#REF!,#REF!,1)</f>
        <v>#REF!</v>
      </c>
      <c r="E1501" s="2" t="b">
        <f>IFERROR(INDEX(ERROR(0),COUPNCD(#REF!,#REF!,#REF!,SET.NAME("_",+INDEX(1,)))),RETURN(INDEX(TYPE(_),SET.NAME("_"))))</f>
        <v>0</v>
      </c>
      <c r="F1501" s="2" t="b">
        <f>IFERROR(INDEX(ERROR(0),COUPNCD(#REF!,#REF!,#REF!,INDIRECT(SET.NAME({1,"_"},)))),RETURN(INDEX(TYPE(_),SET.NAME("_"))))</f>
        <v>0</v>
      </c>
      <c r="G1501" s="2">
        <f>TYPE(INDEX(,COUPNCD(#REF!,#REF!,#REF!,INDEX(1,))))</f>
        <v>64</v>
      </c>
    </row>
    <row r="1502" spans="1:7" x14ac:dyDescent="0.55000000000000004">
      <c r="A1502" s="1" t="s">
        <v>1886</v>
      </c>
      <c r="B1502" s="2">
        <f>COUNTIF(A:A,A1502)-1</f>
        <v>4</v>
      </c>
      <c r="C1502" s="2">
        <f>COUNTIF(A$1:A1502,A1502)-1</f>
        <v>0</v>
      </c>
      <c r="D1502" s="2"/>
      <c r="E1502" s="2"/>
      <c r="F1502" s="2"/>
      <c r="G1502" s="2"/>
    </row>
    <row r="1503" spans="1:7" x14ac:dyDescent="0.55000000000000004">
      <c r="A1503" s="1" t="s">
        <v>1886</v>
      </c>
      <c r="B1503" s="2">
        <f>COUNTIF(A:A,A1503)-1</f>
        <v>4</v>
      </c>
      <c r="C1503" s="2">
        <f>COUNTIF(A$1:A1503,A1503)-1</f>
        <v>1</v>
      </c>
      <c r="D1503" s="2" t="e">
        <f>COUPNUM(1,#REF!,#REF!,#REF!)</f>
        <v>#REF!</v>
      </c>
      <c r="E1503" s="2" t="b">
        <f>IFERROR(INDEX(ERROR(0),COUPNUM(SET.NAME("_",+INDEX(1,)),#REF!,#REF!,#REF!)),RETURN(INDEX(TYPE(_),SET.NAME("_"))))</f>
        <v>0</v>
      </c>
      <c r="F1503" s="2" t="b">
        <f>IFERROR(INDEX(ERROR(0),COUPNUM(INDIRECT(SET.NAME({1,"_"},)),#REF!,#REF!,#REF!)),RETURN(INDEX(TYPE(_),SET.NAME("_"))))</f>
        <v>0</v>
      </c>
      <c r="G1503" s="2">
        <f>TYPE(INDEX(,COUPNUM(INDEX(1,),#REF!,#REF!,#REF!)))</f>
        <v>64</v>
      </c>
    </row>
    <row r="1504" spans="1:7" x14ac:dyDescent="0.55000000000000004">
      <c r="A1504" s="1" t="s">
        <v>1886</v>
      </c>
      <c r="B1504" s="2">
        <f>COUNTIF(A:A,A1504)-1</f>
        <v>4</v>
      </c>
      <c r="C1504" s="2">
        <f>COUNTIF(A$1:A1504,A1504)-1</f>
        <v>2</v>
      </c>
      <c r="D1504" s="2" t="e">
        <f>COUPNUM(#REF!,1,#REF!,#REF!)</f>
        <v>#REF!</v>
      </c>
      <c r="E1504" s="2" t="b">
        <f>IFERROR(INDEX(ERROR(0),COUPNUM(#REF!,SET.NAME("_",+INDEX(1,)),#REF!,#REF!)),RETURN(INDEX(TYPE(_),SET.NAME("_"))))</f>
        <v>0</v>
      </c>
      <c r="F1504" s="2" t="b">
        <f>IFERROR(INDEX(ERROR(0),COUPNUM(#REF!,INDIRECT(SET.NAME({1,"_"},)),#REF!,#REF!)),RETURN(INDEX(TYPE(_),SET.NAME("_"))))</f>
        <v>0</v>
      </c>
      <c r="G1504" s="2">
        <f>TYPE(INDEX(,COUPNUM(#REF!,INDEX(1,),#REF!,#REF!)))</f>
        <v>64</v>
      </c>
    </row>
    <row r="1505" spans="1:7" x14ac:dyDescent="0.55000000000000004">
      <c r="A1505" s="1" t="s">
        <v>1886</v>
      </c>
      <c r="B1505" s="2">
        <f>COUNTIF(A:A,A1505)-1</f>
        <v>4</v>
      </c>
      <c r="C1505" s="2">
        <f>COUNTIF(A$1:A1505,A1505)-1</f>
        <v>3</v>
      </c>
      <c r="D1505" s="2" t="e">
        <f>COUPNUM(#REF!,#REF!,1,#REF!)</f>
        <v>#REF!</v>
      </c>
      <c r="E1505" s="2" t="b">
        <f>IFERROR(INDEX(ERROR(0),COUPNUM(#REF!,#REF!,SET.NAME("_",+INDEX(1,)),#REF!)),RETURN(INDEX(TYPE(_),SET.NAME("_"))))</f>
        <v>0</v>
      </c>
      <c r="F1505" s="2" t="b">
        <f>IFERROR(INDEX(ERROR(0),COUPNUM(#REF!,#REF!,INDIRECT(SET.NAME({1,"_"},)),#REF!)),RETURN(INDEX(TYPE(_),SET.NAME("_"))))</f>
        <v>0</v>
      </c>
      <c r="G1505" s="2">
        <f>TYPE(INDEX(,COUPNUM(#REF!,#REF!,INDEX(1,),#REF!)))</f>
        <v>64</v>
      </c>
    </row>
    <row r="1506" spans="1:7" x14ac:dyDescent="0.55000000000000004">
      <c r="A1506" s="1" t="s">
        <v>1886</v>
      </c>
      <c r="B1506" s="2">
        <f>COUNTIF(A:A,A1506)-1</f>
        <v>4</v>
      </c>
      <c r="C1506" s="2">
        <f>COUNTIF(A$1:A1506,A1506)-1</f>
        <v>4</v>
      </c>
      <c r="D1506" s="2" t="e">
        <f>COUPNUM(#REF!,#REF!,#REF!,1)</f>
        <v>#REF!</v>
      </c>
      <c r="E1506" s="2" t="b">
        <f>IFERROR(INDEX(ERROR(0),COUPNUM(#REF!,#REF!,#REF!,SET.NAME("_",+INDEX(1,)))),RETURN(INDEX(TYPE(_),SET.NAME("_"))))</f>
        <v>0</v>
      </c>
      <c r="F1506" s="2" t="b">
        <f>IFERROR(INDEX(ERROR(0),COUPNUM(#REF!,#REF!,#REF!,INDIRECT(SET.NAME({1,"_"},)))),RETURN(INDEX(TYPE(_),SET.NAME("_"))))</f>
        <v>0</v>
      </c>
      <c r="G1506" s="2">
        <f>TYPE(INDEX(,COUPNUM(#REF!,#REF!,#REF!,INDEX(1,))))</f>
        <v>64</v>
      </c>
    </row>
    <row r="1507" spans="1:7" x14ac:dyDescent="0.55000000000000004">
      <c r="A1507" s="1" t="s">
        <v>1887</v>
      </c>
      <c r="B1507" s="2">
        <f>COUNTIF(A:A,A1507)-1</f>
        <v>4</v>
      </c>
      <c r="C1507" s="2">
        <f>COUNTIF(A$1:A1507,A1507)-1</f>
        <v>0</v>
      </c>
      <c r="D1507" s="2"/>
      <c r="E1507" s="2"/>
      <c r="F1507" s="2"/>
      <c r="G1507" s="2"/>
    </row>
    <row r="1508" spans="1:7" x14ac:dyDescent="0.55000000000000004">
      <c r="A1508" s="1" t="s">
        <v>1887</v>
      </c>
      <c r="B1508" s="2">
        <f>COUNTIF(A:A,A1508)-1</f>
        <v>4</v>
      </c>
      <c r="C1508" s="2">
        <f>COUNTIF(A$1:A1508,A1508)-1</f>
        <v>1</v>
      </c>
      <c r="D1508" s="2" t="e">
        <f>COUPPCD(1,#REF!,#REF!,#REF!)</f>
        <v>#REF!</v>
      </c>
      <c r="E1508" s="2" t="b">
        <f>IFERROR(INDEX(ERROR(0),COUPPCD(SET.NAME("_",+INDEX(1,)),#REF!,#REF!,#REF!)),RETURN(INDEX(TYPE(_),SET.NAME("_"))))</f>
        <v>0</v>
      </c>
      <c r="F1508" s="2" t="b">
        <f>IFERROR(INDEX(ERROR(0),COUPPCD(INDIRECT(SET.NAME({1,"_"},)),#REF!,#REF!,#REF!)),RETURN(INDEX(TYPE(_),SET.NAME("_"))))</f>
        <v>0</v>
      </c>
      <c r="G1508" s="2">
        <f>TYPE(INDEX(,COUPPCD(INDEX(1,),#REF!,#REF!,#REF!)))</f>
        <v>64</v>
      </c>
    </row>
    <row r="1509" spans="1:7" x14ac:dyDescent="0.55000000000000004">
      <c r="A1509" s="1" t="s">
        <v>1887</v>
      </c>
      <c r="B1509" s="2">
        <f>COUNTIF(A:A,A1509)-1</f>
        <v>4</v>
      </c>
      <c r="C1509" s="2">
        <f>COUNTIF(A$1:A1509,A1509)-1</f>
        <v>2</v>
      </c>
      <c r="D1509" s="2" t="e">
        <f>COUPPCD(#REF!,1,#REF!,#REF!)</f>
        <v>#REF!</v>
      </c>
      <c r="E1509" s="2" t="b">
        <f>IFERROR(INDEX(ERROR(0),COUPPCD(#REF!,SET.NAME("_",+INDEX(1,)),#REF!,#REF!)),RETURN(INDEX(TYPE(_),SET.NAME("_"))))</f>
        <v>0</v>
      </c>
      <c r="F1509" s="2" t="b">
        <f>IFERROR(INDEX(ERROR(0),COUPPCD(#REF!,INDIRECT(SET.NAME({1,"_"},)),#REF!,#REF!)),RETURN(INDEX(TYPE(_),SET.NAME("_"))))</f>
        <v>0</v>
      </c>
      <c r="G1509" s="2">
        <f>TYPE(INDEX(,COUPPCD(#REF!,INDEX(1,),#REF!,#REF!)))</f>
        <v>64</v>
      </c>
    </row>
    <row r="1510" spans="1:7" x14ac:dyDescent="0.55000000000000004">
      <c r="A1510" s="1" t="s">
        <v>1887</v>
      </c>
      <c r="B1510" s="2">
        <f>COUNTIF(A:A,A1510)-1</f>
        <v>4</v>
      </c>
      <c r="C1510" s="2">
        <f>COUNTIF(A$1:A1510,A1510)-1</f>
        <v>3</v>
      </c>
      <c r="D1510" s="2" t="e">
        <f>COUPPCD(#REF!,#REF!,1,#REF!)</f>
        <v>#REF!</v>
      </c>
      <c r="E1510" s="2" t="b">
        <f>IFERROR(INDEX(ERROR(0),COUPPCD(#REF!,#REF!,SET.NAME("_",+INDEX(1,)),#REF!)),RETURN(INDEX(TYPE(_),SET.NAME("_"))))</f>
        <v>0</v>
      </c>
      <c r="F1510" s="2" t="b">
        <f>IFERROR(INDEX(ERROR(0),COUPPCD(#REF!,#REF!,INDIRECT(SET.NAME({1,"_"},)),#REF!)),RETURN(INDEX(TYPE(_),SET.NAME("_"))))</f>
        <v>0</v>
      </c>
      <c r="G1510" s="2">
        <f>TYPE(INDEX(,COUPPCD(#REF!,#REF!,INDEX(1,),#REF!)))</f>
        <v>64</v>
      </c>
    </row>
    <row r="1511" spans="1:7" x14ac:dyDescent="0.55000000000000004">
      <c r="A1511" s="1" t="s">
        <v>1887</v>
      </c>
      <c r="B1511" s="2">
        <f>COUNTIF(A:A,A1511)-1</f>
        <v>4</v>
      </c>
      <c r="C1511" s="2">
        <f>COUNTIF(A$1:A1511,A1511)-1</f>
        <v>4</v>
      </c>
      <c r="D1511" s="2" t="e">
        <f>COUPPCD(#REF!,#REF!,#REF!,1)</f>
        <v>#REF!</v>
      </c>
      <c r="E1511" s="2" t="b">
        <f>IFERROR(INDEX(ERROR(0),COUPPCD(#REF!,#REF!,#REF!,SET.NAME("_",+INDEX(1,)))),RETURN(INDEX(TYPE(_),SET.NAME("_"))))</f>
        <v>0</v>
      </c>
      <c r="F1511" s="2" t="b">
        <f>IFERROR(INDEX(ERROR(0),COUPPCD(#REF!,#REF!,#REF!,INDIRECT(SET.NAME({1,"_"},)))),RETURN(INDEX(TYPE(_),SET.NAME("_"))))</f>
        <v>0</v>
      </c>
      <c r="G1511" s="2">
        <f>TYPE(INDEX(,COUPPCD(#REF!,#REF!,#REF!,INDEX(1,))))</f>
        <v>64</v>
      </c>
    </row>
    <row r="1512" spans="1:7" x14ac:dyDescent="0.55000000000000004">
      <c r="A1512" s="1" t="s">
        <v>1888</v>
      </c>
      <c r="B1512" s="2">
        <f>COUNTIF(A:A,A1512)-1</f>
        <v>6</v>
      </c>
      <c r="C1512" s="2">
        <f>COUNTIF(A$1:A1512,A1512)-1</f>
        <v>0</v>
      </c>
      <c r="D1512" s="2"/>
      <c r="E1512" s="2"/>
      <c r="F1512" s="2"/>
      <c r="G1512" s="2"/>
    </row>
    <row r="1513" spans="1:7" x14ac:dyDescent="0.55000000000000004">
      <c r="A1513" s="1" t="s">
        <v>1888</v>
      </c>
      <c r="B1513" s="2">
        <f>COUNTIF(A:A,A1513)-1</f>
        <v>6</v>
      </c>
      <c r="C1513" s="2">
        <f>COUNTIF(A$1:A1513,A1513)-1</f>
        <v>1</v>
      </c>
      <c r="D1513" s="2" t="e">
        <f>DURATION(1,#REF!,#REF!,#REF!,#REF!,#REF!)</f>
        <v>#REF!</v>
      </c>
      <c r="E1513" s="2" t="b">
        <f>IFERROR(INDEX(ERROR(0),DURATION(SET.NAME("_",+INDEX(1,)),#REF!,#REF!,#REF!,#REF!,#REF!)),RETURN(INDEX(TYPE(_),SET.NAME("_"))))</f>
        <v>0</v>
      </c>
      <c r="F1513" s="2" t="b">
        <f>IFERROR(INDEX(ERROR(0),DURATION(INDIRECT(SET.NAME({1,"_"},)),#REF!,#REF!,#REF!,#REF!,#REF!)),RETURN(INDEX(TYPE(_),SET.NAME("_"))))</f>
        <v>0</v>
      </c>
      <c r="G1513" s="2">
        <f>TYPE(INDEX(,DURATION(INDEX(1,),#REF!,#REF!,#REF!,#REF!,#REF!)))</f>
        <v>64</v>
      </c>
    </row>
    <row r="1514" spans="1:7" x14ac:dyDescent="0.55000000000000004">
      <c r="A1514" s="1" t="s">
        <v>1888</v>
      </c>
      <c r="B1514" s="2">
        <f>COUNTIF(A:A,A1514)-1</f>
        <v>6</v>
      </c>
      <c r="C1514" s="2">
        <f>COUNTIF(A$1:A1514,A1514)-1</f>
        <v>2</v>
      </c>
      <c r="D1514" s="2" t="e">
        <f>DURATION(#REF!,1,#REF!,#REF!,#REF!,#REF!)</f>
        <v>#REF!</v>
      </c>
      <c r="E1514" s="2" t="b">
        <f>IFERROR(INDEX(ERROR(0),DURATION(#REF!,SET.NAME("_",+INDEX(1,)),#REF!,#REF!,#REF!,#REF!)),RETURN(INDEX(TYPE(_),SET.NAME("_"))))</f>
        <v>0</v>
      </c>
      <c r="F1514" s="2" t="b">
        <f>IFERROR(INDEX(ERROR(0),DURATION(#REF!,INDIRECT(SET.NAME({1,"_"},)),#REF!,#REF!,#REF!,#REF!)),RETURN(INDEX(TYPE(_),SET.NAME("_"))))</f>
        <v>0</v>
      </c>
      <c r="G1514" s="2">
        <f>TYPE(INDEX(,DURATION(#REF!,INDEX(1,),#REF!,#REF!,#REF!,#REF!)))</f>
        <v>64</v>
      </c>
    </row>
    <row r="1515" spans="1:7" x14ac:dyDescent="0.55000000000000004">
      <c r="A1515" s="1" t="s">
        <v>1888</v>
      </c>
      <c r="B1515" s="2">
        <f>COUNTIF(A:A,A1515)-1</f>
        <v>6</v>
      </c>
      <c r="C1515" s="2">
        <f>COUNTIF(A$1:A1515,A1515)-1</f>
        <v>3</v>
      </c>
      <c r="D1515" s="2" t="e">
        <f>DURATION(#REF!,#REF!,1,#REF!,#REF!,#REF!)</f>
        <v>#REF!</v>
      </c>
      <c r="E1515" s="2" t="b">
        <f>IFERROR(INDEX(ERROR(0),DURATION(#REF!,#REF!,SET.NAME("_",+INDEX(1,)),#REF!,#REF!,#REF!)),RETURN(INDEX(TYPE(_),SET.NAME("_"))))</f>
        <v>0</v>
      </c>
      <c r="F1515" s="2" t="b">
        <f>IFERROR(INDEX(ERROR(0),DURATION(#REF!,#REF!,INDIRECT(SET.NAME({1,"_"},)),#REF!,#REF!,#REF!)),RETURN(INDEX(TYPE(_),SET.NAME("_"))))</f>
        <v>0</v>
      </c>
      <c r="G1515" s="2">
        <f>TYPE(INDEX(,DURATION(#REF!,#REF!,INDEX(1,),#REF!,#REF!,#REF!)))</f>
        <v>64</v>
      </c>
    </row>
    <row r="1516" spans="1:7" x14ac:dyDescent="0.55000000000000004">
      <c r="A1516" s="1" t="s">
        <v>1888</v>
      </c>
      <c r="B1516" s="2">
        <f>COUNTIF(A:A,A1516)-1</f>
        <v>6</v>
      </c>
      <c r="C1516" s="2">
        <f>COUNTIF(A$1:A1516,A1516)-1</f>
        <v>4</v>
      </c>
      <c r="D1516" s="2" t="e">
        <f>DURATION(#REF!,#REF!,#REF!,1,#REF!,#REF!)</f>
        <v>#REF!</v>
      </c>
      <c r="E1516" s="2" t="b">
        <f>IFERROR(INDEX(ERROR(0),DURATION(#REF!,#REF!,#REF!,SET.NAME("_",+INDEX(1,)),#REF!,#REF!)),RETURN(INDEX(TYPE(_),SET.NAME("_"))))</f>
        <v>0</v>
      </c>
      <c r="F1516" s="2" t="b">
        <f>IFERROR(INDEX(ERROR(0),DURATION(#REF!,#REF!,#REF!,INDIRECT(SET.NAME({1,"_"},)),#REF!,#REF!)),RETURN(INDEX(TYPE(_),SET.NAME("_"))))</f>
        <v>0</v>
      </c>
      <c r="G1516" s="2">
        <f>TYPE(INDEX(,DURATION(#REF!,#REF!,#REF!,INDEX(1,),#REF!,#REF!)))</f>
        <v>64</v>
      </c>
    </row>
    <row r="1517" spans="1:7" x14ac:dyDescent="0.55000000000000004">
      <c r="A1517" s="1" t="s">
        <v>1888</v>
      </c>
      <c r="B1517" s="2">
        <f>COUNTIF(A:A,A1517)-1</f>
        <v>6</v>
      </c>
      <c r="C1517" s="2">
        <f>COUNTIF(A$1:A1517,A1517)-1</f>
        <v>5</v>
      </c>
      <c r="D1517" s="2" t="e">
        <f>DURATION(#REF!,#REF!,#REF!,#REF!,1,#REF!)</f>
        <v>#REF!</v>
      </c>
      <c r="E1517" s="2" t="b">
        <f>IFERROR(INDEX(ERROR(0),DURATION(#REF!,#REF!,#REF!,#REF!,SET.NAME("_",+INDEX(1,)),#REF!)),RETURN(INDEX(TYPE(_),SET.NAME("_"))))</f>
        <v>0</v>
      </c>
      <c r="F1517" s="2" t="b">
        <f>IFERROR(INDEX(ERROR(0),DURATION(#REF!,#REF!,#REF!,#REF!,INDIRECT(SET.NAME({1,"_"},)),#REF!)),RETURN(INDEX(TYPE(_),SET.NAME("_"))))</f>
        <v>0</v>
      </c>
      <c r="G1517" s="2">
        <f>TYPE(INDEX(,DURATION(#REF!,#REF!,#REF!,#REF!,INDEX(1,),#REF!)))</f>
        <v>64</v>
      </c>
    </row>
    <row r="1518" spans="1:7" x14ac:dyDescent="0.55000000000000004">
      <c r="A1518" s="1" t="s">
        <v>1888</v>
      </c>
      <c r="B1518" s="2">
        <f>COUNTIF(A:A,A1518)-1</f>
        <v>6</v>
      </c>
      <c r="C1518" s="2">
        <f>COUNTIF(A$1:A1518,A1518)-1</f>
        <v>6</v>
      </c>
      <c r="D1518" s="2" t="e">
        <f>DURATION(#REF!,#REF!,#REF!,#REF!,#REF!,1)</f>
        <v>#REF!</v>
      </c>
      <c r="E1518" s="2" t="b">
        <f>IFERROR(INDEX(ERROR(0),DURATION(#REF!,#REF!,#REF!,#REF!,#REF!,SET.NAME("_",+INDEX(1,)))),RETURN(INDEX(TYPE(_),SET.NAME("_"))))</f>
        <v>0</v>
      </c>
      <c r="F1518" s="2" t="b">
        <f>IFERROR(INDEX(ERROR(0),DURATION(#REF!,#REF!,#REF!,#REF!,#REF!,INDIRECT(SET.NAME({1,"_"},)))),RETURN(INDEX(TYPE(_),SET.NAME("_"))))</f>
        <v>0</v>
      </c>
      <c r="G1518" s="2">
        <f>TYPE(INDEX(,DURATION(#REF!,#REF!,#REF!,#REF!,#REF!,INDEX(1,))))</f>
        <v>64</v>
      </c>
    </row>
    <row r="1519" spans="1:7" x14ac:dyDescent="0.55000000000000004">
      <c r="A1519" s="1" t="s">
        <v>1889</v>
      </c>
      <c r="B1519" s="2">
        <f>COUNTIF(A:A,A1519)-1</f>
        <v>6</v>
      </c>
      <c r="C1519" s="2">
        <f>COUNTIF(A$1:A1519,A1519)-1</f>
        <v>0</v>
      </c>
      <c r="D1519" s="2"/>
      <c r="E1519" s="2"/>
      <c r="F1519" s="2"/>
      <c r="G1519" s="2"/>
    </row>
    <row r="1520" spans="1:7" x14ac:dyDescent="0.55000000000000004">
      <c r="A1520" s="1" t="s">
        <v>1889</v>
      </c>
      <c r="B1520" s="2">
        <f>COUNTIF(A:A,A1520)-1</f>
        <v>6</v>
      </c>
      <c r="C1520" s="2">
        <f>COUNTIF(A$1:A1520,A1520)-1</f>
        <v>1</v>
      </c>
      <c r="D1520" s="2" t="e">
        <f>MDURATION(1,#REF!,#REF!,#REF!,#REF!,#REF!)</f>
        <v>#REF!</v>
      </c>
      <c r="E1520" s="2" t="b">
        <f>IFERROR(INDEX(ERROR(0),MDURATION(SET.NAME("_",+INDEX(1,)),#REF!,#REF!,#REF!,#REF!,#REF!)),RETURN(INDEX(TYPE(_),SET.NAME("_"))))</f>
        <v>0</v>
      </c>
      <c r="F1520" s="2" t="b">
        <f>IFERROR(INDEX(ERROR(0),MDURATION(INDIRECT(SET.NAME({1,"_"},)),#REF!,#REF!,#REF!,#REF!,#REF!)),RETURN(INDEX(TYPE(_),SET.NAME("_"))))</f>
        <v>0</v>
      </c>
      <c r="G1520" s="2">
        <f>TYPE(INDEX(,MDURATION(INDEX(1,),#REF!,#REF!,#REF!,#REF!,#REF!)))</f>
        <v>64</v>
      </c>
    </row>
    <row r="1521" spans="1:7" x14ac:dyDescent="0.55000000000000004">
      <c r="A1521" s="1" t="s">
        <v>1889</v>
      </c>
      <c r="B1521" s="2">
        <f>COUNTIF(A:A,A1521)-1</f>
        <v>6</v>
      </c>
      <c r="C1521" s="2">
        <f>COUNTIF(A$1:A1521,A1521)-1</f>
        <v>2</v>
      </c>
      <c r="D1521" s="2" t="e">
        <f>MDURATION(#REF!,1,#REF!,#REF!,#REF!,#REF!)</f>
        <v>#REF!</v>
      </c>
      <c r="E1521" s="2" t="b">
        <f>IFERROR(INDEX(ERROR(0),MDURATION(#REF!,SET.NAME("_",+INDEX(1,)),#REF!,#REF!,#REF!,#REF!)),RETURN(INDEX(TYPE(_),SET.NAME("_"))))</f>
        <v>0</v>
      </c>
      <c r="F1521" s="2" t="b">
        <f>IFERROR(INDEX(ERROR(0),MDURATION(#REF!,INDIRECT(SET.NAME({1,"_"},)),#REF!,#REF!,#REF!,#REF!)),RETURN(INDEX(TYPE(_),SET.NAME("_"))))</f>
        <v>0</v>
      </c>
      <c r="G1521" s="2">
        <f>TYPE(INDEX(,MDURATION(#REF!,INDEX(1,),#REF!,#REF!,#REF!,#REF!)))</f>
        <v>64</v>
      </c>
    </row>
    <row r="1522" spans="1:7" x14ac:dyDescent="0.55000000000000004">
      <c r="A1522" s="1" t="s">
        <v>1889</v>
      </c>
      <c r="B1522" s="2">
        <f>COUNTIF(A:A,A1522)-1</f>
        <v>6</v>
      </c>
      <c r="C1522" s="2">
        <f>COUNTIF(A$1:A1522,A1522)-1</f>
        <v>3</v>
      </c>
      <c r="D1522" s="2" t="e">
        <f>MDURATION(#REF!,#REF!,1,#REF!,#REF!,#REF!)</f>
        <v>#REF!</v>
      </c>
      <c r="E1522" s="2" t="b">
        <f>IFERROR(INDEX(ERROR(0),MDURATION(#REF!,#REF!,SET.NAME("_",+INDEX(1,)),#REF!,#REF!,#REF!)),RETURN(INDEX(TYPE(_),SET.NAME("_"))))</f>
        <v>0</v>
      </c>
      <c r="F1522" s="2" t="b">
        <f>IFERROR(INDEX(ERROR(0),MDURATION(#REF!,#REF!,INDIRECT(SET.NAME({1,"_"},)),#REF!,#REF!,#REF!)),RETURN(INDEX(TYPE(_),SET.NAME("_"))))</f>
        <v>0</v>
      </c>
      <c r="G1522" s="2">
        <f>TYPE(INDEX(,MDURATION(#REF!,#REF!,INDEX(1,),#REF!,#REF!,#REF!)))</f>
        <v>64</v>
      </c>
    </row>
    <row r="1523" spans="1:7" x14ac:dyDescent="0.55000000000000004">
      <c r="A1523" s="1" t="s">
        <v>1889</v>
      </c>
      <c r="B1523" s="2">
        <f>COUNTIF(A:A,A1523)-1</f>
        <v>6</v>
      </c>
      <c r="C1523" s="2">
        <f>COUNTIF(A$1:A1523,A1523)-1</f>
        <v>4</v>
      </c>
      <c r="D1523" s="2" t="e">
        <f>MDURATION(#REF!,#REF!,#REF!,1,#REF!,#REF!)</f>
        <v>#REF!</v>
      </c>
      <c r="E1523" s="2" t="b">
        <f>IFERROR(INDEX(ERROR(0),MDURATION(#REF!,#REF!,#REF!,SET.NAME("_",+INDEX(1,)),#REF!,#REF!)),RETURN(INDEX(TYPE(_),SET.NAME("_"))))</f>
        <v>0</v>
      </c>
      <c r="F1523" s="2" t="b">
        <f>IFERROR(INDEX(ERROR(0),MDURATION(#REF!,#REF!,#REF!,INDIRECT(SET.NAME({1,"_"},)),#REF!,#REF!)),RETURN(INDEX(TYPE(_),SET.NAME("_"))))</f>
        <v>0</v>
      </c>
      <c r="G1523" s="2">
        <f>TYPE(INDEX(,MDURATION(#REF!,#REF!,#REF!,INDEX(1,),#REF!,#REF!)))</f>
        <v>64</v>
      </c>
    </row>
    <row r="1524" spans="1:7" x14ac:dyDescent="0.55000000000000004">
      <c r="A1524" s="1" t="s">
        <v>1889</v>
      </c>
      <c r="B1524" s="2">
        <f>COUNTIF(A:A,A1524)-1</f>
        <v>6</v>
      </c>
      <c r="C1524" s="2">
        <f>COUNTIF(A$1:A1524,A1524)-1</f>
        <v>5</v>
      </c>
      <c r="D1524" s="2" t="e">
        <f>MDURATION(#REF!,#REF!,#REF!,#REF!,1,#REF!)</f>
        <v>#REF!</v>
      </c>
      <c r="E1524" s="2" t="b">
        <f>IFERROR(INDEX(ERROR(0),MDURATION(#REF!,#REF!,#REF!,#REF!,SET.NAME("_",+INDEX(1,)),#REF!)),RETURN(INDEX(TYPE(_),SET.NAME("_"))))</f>
        <v>0</v>
      </c>
      <c r="F1524" s="2" t="b">
        <f>IFERROR(INDEX(ERROR(0),MDURATION(#REF!,#REF!,#REF!,#REF!,INDIRECT(SET.NAME({1,"_"},)),#REF!)),RETURN(INDEX(TYPE(_),SET.NAME("_"))))</f>
        <v>0</v>
      </c>
      <c r="G1524" s="2">
        <f>TYPE(INDEX(,MDURATION(#REF!,#REF!,#REF!,#REF!,INDEX(1,),#REF!)))</f>
        <v>64</v>
      </c>
    </row>
    <row r="1525" spans="1:7" x14ac:dyDescent="0.55000000000000004">
      <c r="A1525" s="1" t="s">
        <v>1889</v>
      </c>
      <c r="B1525" s="2">
        <f>COUNTIF(A:A,A1525)-1</f>
        <v>6</v>
      </c>
      <c r="C1525" s="2">
        <f>COUNTIF(A$1:A1525,A1525)-1</f>
        <v>6</v>
      </c>
      <c r="D1525" s="2" t="e">
        <f>MDURATION(#REF!,#REF!,#REF!,#REF!,#REF!,1)</f>
        <v>#REF!</v>
      </c>
      <c r="E1525" s="2" t="b">
        <f>IFERROR(INDEX(ERROR(0),MDURATION(#REF!,#REF!,#REF!,#REF!,#REF!,SET.NAME("_",+INDEX(1,)))),RETURN(INDEX(TYPE(_),SET.NAME("_"))))</f>
        <v>0</v>
      </c>
      <c r="F1525" s="2" t="b">
        <f>IFERROR(INDEX(ERROR(0),MDURATION(#REF!,#REF!,#REF!,#REF!,#REF!,INDIRECT(SET.NAME({1,"_"},)))),RETURN(INDEX(TYPE(_),SET.NAME("_"))))</f>
        <v>0</v>
      </c>
      <c r="G1525" s="2">
        <f>TYPE(INDEX(,MDURATION(#REF!,#REF!,#REF!,#REF!,#REF!,INDEX(1,))))</f>
        <v>64</v>
      </c>
    </row>
    <row r="1526" spans="1:7" x14ac:dyDescent="0.55000000000000004">
      <c r="A1526" s="1" t="s">
        <v>1890</v>
      </c>
      <c r="B1526" s="2">
        <f>COUNTIF(A:A,A1526)-1</f>
        <v>8</v>
      </c>
      <c r="C1526" s="2">
        <f>COUNTIF(A$1:A1526,A1526)-1</f>
        <v>0</v>
      </c>
      <c r="D1526" s="2"/>
      <c r="E1526" s="2"/>
      <c r="F1526" s="2"/>
      <c r="G1526" s="2"/>
    </row>
    <row r="1527" spans="1:7" x14ac:dyDescent="0.55000000000000004">
      <c r="A1527" s="1" t="s">
        <v>1890</v>
      </c>
      <c r="B1527" s="2">
        <f>COUNTIF(A:A,A1527)-1</f>
        <v>8</v>
      </c>
      <c r="C1527" s="2">
        <f>COUNTIF(A$1:A1527,A1527)-1</f>
        <v>1</v>
      </c>
      <c r="D1527" s="2" t="e">
        <f>ODDLPRICE(1,#REF!,#REF!,#REF!,#REF!,#REF!,#REF!,#REF!)</f>
        <v>#REF!</v>
      </c>
      <c r="E1527" s="2" t="b">
        <f>IFERROR(INDEX(ERROR(0),ODDLPRICE(SET.NAME("_",+INDEX(1,)),#REF!,#REF!,#REF!,#REF!,#REF!,#REF!,#REF!)),RETURN(INDEX(TYPE(_),SET.NAME("_"))))</f>
        <v>0</v>
      </c>
      <c r="F1527" s="2" t="b">
        <f>IFERROR(INDEX(ERROR(0),ODDLPRICE(INDIRECT(SET.NAME({1,"_"},)),#REF!,#REF!,#REF!,#REF!,#REF!,#REF!,#REF!)),RETURN(INDEX(TYPE(_),SET.NAME("_"))))</f>
        <v>0</v>
      </c>
      <c r="G1527" s="2">
        <f>TYPE(INDEX(,ODDLPRICE(INDEX(1,),#REF!,#REF!,#REF!,#REF!,#REF!,#REF!,#REF!)))</f>
        <v>64</v>
      </c>
    </row>
    <row r="1528" spans="1:7" x14ac:dyDescent="0.55000000000000004">
      <c r="A1528" s="1" t="s">
        <v>1890</v>
      </c>
      <c r="B1528" s="2">
        <f>COUNTIF(A:A,A1528)-1</f>
        <v>8</v>
      </c>
      <c r="C1528" s="2">
        <f>COUNTIF(A$1:A1528,A1528)-1</f>
        <v>2</v>
      </c>
      <c r="D1528" s="2" t="e">
        <f>ODDLPRICE(#REF!,1,#REF!,#REF!,#REF!,#REF!,#REF!,#REF!)</f>
        <v>#REF!</v>
      </c>
      <c r="E1528" s="2" t="b">
        <f>IFERROR(INDEX(ERROR(0),ODDLPRICE(#REF!,SET.NAME("_",+INDEX(1,)),#REF!,#REF!,#REF!,#REF!,#REF!,#REF!)),RETURN(INDEX(TYPE(_),SET.NAME("_"))))</f>
        <v>0</v>
      </c>
      <c r="F1528" s="2" t="b">
        <f>IFERROR(INDEX(ERROR(0),ODDLPRICE(#REF!,INDIRECT(SET.NAME({1,"_"},)),#REF!,#REF!,#REF!,#REF!,#REF!,#REF!)),RETURN(INDEX(TYPE(_),SET.NAME("_"))))</f>
        <v>0</v>
      </c>
      <c r="G1528" s="2">
        <f>TYPE(INDEX(,ODDLPRICE(#REF!,INDEX(1,),#REF!,#REF!,#REF!,#REF!,#REF!,#REF!)))</f>
        <v>64</v>
      </c>
    </row>
    <row r="1529" spans="1:7" x14ac:dyDescent="0.55000000000000004">
      <c r="A1529" s="1" t="s">
        <v>1890</v>
      </c>
      <c r="B1529" s="2">
        <f>COUNTIF(A:A,A1529)-1</f>
        <v>8</v>
      </c>
      <c r="C1529" s="2">
        <f>COUNTIF(A$1:A1529,A1529)-1</f>
        <v>3</v>
      </c>
      <c r="D1529" s="2" t="e">
        <f>ODDLPRICE(#REF!,#REF!,1,#REF!,#REF!,#REF!,#REF!,#REF!)</f>
        <v>#REF!</v>
      </c>
      <c r="E1529" s="2" t="b">
        <f>IFERROR(INDEX(ERROR(0),ODDLPRICE(#REF!,#REF!,SET.NAME("_",+INDEX(1,)),#REF!,#REF!,#REF!,#REF!,#REF!)),RETURN(INDEX(TYPE(_),SET.NAME("_"))))</f>
        <v>0</v>
      </c>
      <c r="F1529" s="2" t="b">
        <f>IFERROR(INDEX(ERROR(0),ODDLPRICE(#REF!,#REF!,INDIRECT(SET.NAME({1,"_"},)),#REF!,#REF!,#REF!,#REF!,#REF!)),RETURN(INDEX(TYPE(_),SET.NAME("_"))))</f>
        <v>0</v>
      </c>
      <c r="G1529" s="2">
        <f>TYPE(INDEX(,ODDLPRICE(#REF!,#REF!,INDEX(1,),#REF!,#REF!,#REF!,#REF!,#REF!)))</f>
        <v>64</v>
      </c>
    </row>
    <row r="1530" spans="1:7" x14ac:dyDescent="0.55000000000000004">
      <c r="A1530" s="1" t="s">
        <v>1890</v>
      </c>
      <c r="B1530" s="2">
        <f>COUNTIF(A:A,A1530)-1</f>
        <v>8</v>
      </c>
      <c r="C1530" s="2">
        <f>COUNTIF(A$1:A1530,A1530)-1</f>
        <v>4</v>
      </c>
      <c r="D1530" s="2" t="e">
        <f>ODDLPRICE(#REF!,#REF!,#REF!,1,#REF!,#REF!,#REF!,#REF!)</f>
        <v>#REF!</v>
      </c>
      <c r="E1530" s="2" t="b">
        <f>IFERROR(INDEX(ERROR(0),ODDLPRICE(#REF!,#REF!,#REF!,SET.NAME("_",+INDEX(1,)),#REF!,#REF!,#REF!,#REF!)),RETURN(INDEX(TYPE(_),SET.NAME("_"))))</f>
        <v>0</v>
      </c>
      <c r="F1530" s="2" t="b">
        <f>IFERROR(INDEX(ERROR(0),ODDLPRICE(#REF!,#REF!,#REF!,INDIRECT(SET.NAME({1,"_"},)),#REF!,#REF!,#REF!,#REF!)),RETURN(INDEX(TYPE(_),SET.NAME("_"))))</f>
        <v>0</v>
      </c>
      <c r="G1530" s="2">
        <f>TYPE(INDEX(,ODDLPRICE(#REF!,#REF!,#REF!,INDEX(1,),#REF!,#REF!,#REF!,#REF!)))</f>
        <v>64</v>
      </c>
    </row>
    <row r="1531" spans="1:7" x14ac:dyDescent="0.55000000000000004">
      <c r="A1531" s="1" t="s">
        <v>1890</v>
      </c>
      <c r="B1531" s="2">
        <f>COUNTIF(A:A,A1531)-1</f>
        <v>8</v>
      </c>
      <c r="C1531" s="2">
        <f>COUNTIF(A$1:A1531,A1531)-1</f>
        <v>5</v>
      </c>
      <c r="D1531" s="2" t="e">
        <f>ODDLPRICE(#REF!,#REF!,#REF!,#REF!,1,#REF!,#REF!,#REF!)</f>
        <v>#REF!</v>
      </c>
      <c r="E1531" s="2" t="b">
        <f>IFERROR(INDEX(ERROR(0),ODDLPRICE(#REF!,#REF!,#REF!,#REF!,SET.NAME("_",+INDEX(1,)),#REF!,#REF!,#REF!)),RETURN(INDEX(TYPE(_),SET.NAME("_"))))</f>
        <v>0</v>
      </c>
      <c r="F1531" s="2" t="b">
        <f>IFERROR(INDEX(ERROR(0),ODDLPRICE(#REF!,#REF!,#REF!,#REF!,INDIRECT(SET.NAME({1,"_"},)),#REF!,#REF!,#REF!)),RETURN(INDEX(TYPE(_),SET.NAME("_"))))</f>
        <v>0</v>
      </c>
      <c r="G1531" s="2">
        <f>TYPE(INDEX(,ODDLPRICE(#REF!,#REF!,#REF!,#REF!,INDEX(1,),#REF!,#REF!,#REF!)))</f>
        <v>64</v>
      </c>
    </row>
    <row r="1532" spans="1:7" x14ac:dyDescent="0.55000000000000004">
      <c r="A1532" s="1" t="s">
        <v>1890</v>
      </c>
      <c r="B1532" s="2">
        <f>COUNTIF(A:A,A1532)-1</f>
        <v>8</v>
      </c>
      <c r="C1532" s="2">
        <f>COUNTIF(A$1:A1532,A1532)-1</f>
        <v>6</v>
      </c>
      <c r="D1532" s="2" t="e">
        <f>ODDLPRICE(#REF!,#REF!,#REF!,#REF!,#REF!,1,#REF!,#REF!)</f>
        <v>#REF!</v>
      </c>
      <c r="E1532" s="2" t="b">
        <f>IFERROR(INDEX(ERROR(0),ODDLPRICE(#REF!,#REF!,#REF!,#REF!,#REF!,SET.NAME("_",+INDEX(1,)),#REF!,#REF!)),RETURN(INDEX(TYPE(_),SET.NAME("_"))))</f>
        <v>0</v>
      </c>
      <c r="F1532" s="2" t="b">
        <f>IFERROR(INDEX(ERROR(0),ODDLPRICE(#REF!,#REF!,#REF!,#REF!,#REF!,INDIRECT(SET.NAME({1,"_"},)),#REF!,#REF!)),RETURN(INDEX(TYPE(_),SET.NAME("_"))))</f>
        <v>0</v>
      </c>
      <c r="G1532" s="2">
        <f>TYPE(INDEX(,ODDLPRICE(#REF!,#REF!,#REF!,#REF!,#REF!,INDEX(1,),#REF!,#REF!)))</f>
        <v>64</v>
      </c>
    </row>
    <row r="1533" spans="1:7" x14ac:dyDescent="0.55000000000000004">
      <c r="A1533" s="1" t="s">
        <v>1890</v>
      </c>
      <c r="B1533" s="2">
        <f>COUNTIF(A:A,A1533)-1</f>
        <v>8</v>
      </c>
      <c r="C1533" s="2">
        <f>COUNTIF(A$1:A1533,A1533)-1</f>
        <v>7</v>
      </c>
      <c r="D1533" s="2" t="e">
        <f>ODDLPRICE(#REF!,#REF!,#REF!,#REF!,#REF!,#REF!,1,#REF!)</f>
        <v>#REF!</v>
      </c>
      <c r="E1533" s="2" t="b">
        <f>IFERROR(INDEX(ERROR(0),ODDLPRICE(#REF!,#REF!,#REF!,#REF!,#REF!,#REF!,SET.NAME("_",+INDEX(1,)),#REF!)),RETURN(INDEX(TYPE(_),SET.NAME("_"))))</f>
        <v>0</v>
      </c>
      <c r="F1533" s="2" t="b">
        <f>IFERROR(INDEX(ERROR(0),ODDLPRICE(#REF!,#REF!,#REF!,#REF!,#REF!,#REF!,INDIRECT(SET.NAME({1,"_"},)),#REF!)),RETURN(INDEX(TYPE(_),SET.NAME("_"))))</f>
        <v>0</v>
      </c>
      <c r="G1533" s="2">
        <f>TYPE(INDEX(,ODDLPRICE(#REF!,#REF!,#REF!,#REF!,#REF!,#REF!,INDEX(1,),#REF!)))</f>
        <v>64</v>
      </c>
    </row>
    <row r="1534" spans="1:7" x14ac:dyDescent="0.55000000000000004">
      <c r="A1534" s="1" t="s">
        <v>1890</v>
      </c>
      <c r="B1534" s="2">
        <f>COUNTIF(A:A,A1534)-1</f>
        <v>8</v>
      </c>
      <c r="C1534" s="2">
        <f>COUNTIF(A$1:A1534,A1534)-1</f>
        <v>8</v>
      </c>
      <c r="D1534" s="2" t="e">
        <f>ODDLPRICE(#REF!,#REF!,#REF!,#REF!,#REF!,#REF!,#REF!,1)</f>
        <v>#REF!</v>
      </c>
      <c r="E1534" s="2" t="b">
        <f>IFERROR(INDEX(ERROR(0),ODDLPRICE(#REF!,#REF!,#REF!,#REF!,#REF!,#REF!,#REF!,SET.NAME("_",+INDEX(1,)))),RETURN(INDEX(TYPE(_),SET.NAME("_"))))</f>
        <v>0</v>
      </c>
      <c r="F1534" s="2" t="b">
        <f>IFERROR(INDEX(ERROR(0),ODDLPRICE(#REF!,#REF!,#REF!,#REF!,#REF!,#REF!,#REF!,INDIRECT(SET.NAME({1,"_"},)))),RETURN(INDEX(TYPE(_),SET.NAME("_"))))</f>
        <v>0</v>
      </c>
      <c r="G1534" s="2">
        <f>TYPE(INDEX(,ODDLPRICE(#REF!,#REF!,#REF!,#REF!,#REF!,#REF!,#REF!,INDEX(1,))))</f>
        <v>64</v>
      </c>
    </row>
    <row r="1535" spans="1:7" x14ac:dyDescent="0.55000000000000004">
      <c r="A1535" s="1" t="s">
        <v>1891</v>
      </c>
      <c r="B1535" s="2">
        <f>COUNTIF(A:A,A1535)-1</f>
        <v>8</v>
      </c>
      <c r="C1535" s="2">
        <f>COUNTIF(A$1:A1535,A1535)-1</f>
        <v>0</v>
      </c>
      <c r="D1535" s="2"/>
      <c r="E1535" s="2"/>
      <c r="F1535" s="2"/>
      <c r="G1535" s="2"/>
    </row>
    <row r="1536" spans="1:7" x14ac:dyDescent="0.55000000000000004">
      <c r="A1536" s="1" t="s">
        <v>1891</v>
      </c>
      <c r="B1536" s="2">
        <f>COUNTIF(A:A,A1536)-1</f>
        <v>8</v>
      </c>
      <c r="C1536" s="2">
        <f>COUNTIF(A$1:A1536,A1536)-1</f>
        <v>1</v>
      </c>
      <c r="D1536" s="2" t="e">
        <f>ODDLYIELD(1,#REF!,#REF!,#REF!,#REF!,#REF!,#REF!,#REF!)</f>
        <v>#REF!</v>
      </c>
      <c r="E1536" s="2" t="b">
        <f>IFERROR(INDEX(ERROR(0),ODDLYIELD(SET.NAME("_",+INDEX(1,)),#REF!,#REF!,#REF!,#REF!,#REF!,#REF!,#REF!)),RETURN(INDEX(TYPE(_),SET.NAME("_"))))</f>
        <v>0</v>
      </c>
      <c r="F1536" s="2" t="b">
        <f>IFERROR(INDEX(ERROR(0),ODDLYIELD(INDIRECT(SET.NAME({1,"_"},)),#REF!,#REF!,#REF!,#REF!,#REF!,#REF!,#REF!)),RETURN(INDEX(TYPE(_),SET.NAME("_"))))</f>
        <v>0</v>
      </c>
      <c r="G1536" s="2">
        <f>TYPE(INDEX(,ODDLYIELD(INDEX(1,),#REF!,#REF!,#REF!,#REF!,#REF!,#REF!,#REF!)))</f>
        <v>64</v>
      </c>
    </row>
    <row r="1537" spans="1:7" x14ac:dyDescent="0.55000000000000004">
      <c r="A1537" s="1" t="s">
        <v>1891</v>
      </c>
      <c r="B1537" s="2">
        <f>COUNTIF(A:A,A1537)-1</f>
        <v>8</v>
      </c>
      <c r="C1537" s="2">
        <f>COUNTIF(A$1:A1537,A1537)-1</f>
        <v>2</v>
      </c>
      <c r="D1537" s="2" t="e">
        <f>ODDLYIELD(#REF!,1,#REF!,#REF!,#REF!,#REF!,#REF!,#REF!)</f>
        <v>#REF!</v>
      </c>
      <c r="E1537" s="2" t="b">
        <f>IFERROR(INDEX(ERROR(0),ODDLYIELD(#REF!,SET.NAME("_",+INDEX(1,)),#REF!,#REF!,#REF!,#REF!,#REF!,#REF!)),RETURN(INDEX(TYPE(_),SET.NAME("_"))))</f>
        <v>0</v>
      </c>
      <c r="F1537" s="2" t="b">
        <f>IFERROR(INDEX(ERROR(0),ODDLYIELD(#REF!,INDIRECT(SET.NAME({1,"_"},)),#REF!,#REF!,#REF!,#REF!,#REF!,#REF!)),RETURN(INDEX(TYPE(_),SET.NAME("_"))))</f>
        <v>0</v>
      </c>
      <c r="G1537" s="2">
        <f>TYPE(INDEX(,ODDLYIELD(#REF!,INDEX(1,),#REF!,#REF!,#REF!,#REF!,#REF!,#REF!)))</f>
        <v>64</v>
      </c>
    </row>
    <row r="1538" spans="1:7" x14ac:dyDescent="0.55000000000000004">
      <c r="A1538" s="1" t="s">
        <v>1891</v>
      </c>
      <c r="B1538" s="2">
        <f>COUNTIF(A:A,A1538)-1</f>
        <v>8</v>
      </c>
      <c r="C1538" s="2">
        <f>COUNTIF(A$1:A1538,A1538)-1</f>
        <v>3</v>
      </c>
      <c r="D1538" s="2" t="e">
        <f>ODDLYIELD(#REF!,#REF!,1,#REF!,#REF!,#REF!,#REF!,#REF!)</f>
        <v>#REF!</v>
      </c>
      <c r="E1538" s="2" t="b">
        <f>IFERROR(INDEX(ERROR(0),ODDLYIELD(#REF!,#REF!,SET.NAME("_",+INDEX(1,)),#REF!,#REF!,#REF!,#REF!,#REF!)),RETURN(INDEX(TYPE(_),SET.NAME("_"))))</f>
        <v>0</v>
      </c>
      <c r="F1538" s="2" t="b">
        <f>IFERROR(INDEX(ERROR(0),ODDLYIELD(#REF!,#REF!,INDIRECT(SET.NAME({1,"_"},)),#REF!,#REF!,#REF!,#REF!,#REF!)),RETURN(INDEX(TYPE(_),SET.NAME("_"))))</f>
        <v>0</v>
      </c>
      <c r="G1538" s="2">
        <f>TYPE(INDEX(,ODDLYIELD(#REF!,#REF!,INDEX(1,),#REF!,#REF!,#REF!,#REF!,#REF!)))</f>
        <v>64</v>
      </c>
    </row>
    <row r="1539" spans="1:7" x14ac:dyDescent="0.55000000000000004">
      <c r="A1539" s="1" t="s">
        <v>1891</v>
      </c>
      <c r="B1539" s="2">
        <f>COUNTIF(A:A,A1539)-1</f>
        <v>8</v>
      </c>
      <c r="C1539" s="2">
        <f>COUNTIF(A$1:A1539,A1539)-1</f>
        <v>4</v>
      </c>
      <c r="D1539" s="2" t="e">
        <f>ODDLYIELD(#REF!,#REF!,#REF!,1,#REF!,#REF!,#REF!,#REF!)</f>
        <v>#REF!</v>
      </c>
      <c r="E1539" s="2" t="b">
        <f>IFERROR(INDEX(ERROR(0),ODDLYIELD(#REF!,#REF!,#REF!,SET.NAME("_",+INDEX(1,)),#REF!,#REF!,#REF!,#REF!)),RETURN(INDEX(TYPE(_),SET.NAME("_"))))</f>
        <v>0</v>
      </c>
      <c r="F1539" s="2" t="b">
        <f>IFERROR(INDEX(ERROR(0),ODDLYIELD(#REF!,#REF!,#REF!,INDIRECT(SET.NAME({1,"_"},)),#REF!,#REF!,#REF!,#REF!)),RETURN(INDEX(TYPE(_),SET.NAME("_"))))</f>
        <v>0</v>
      </c>
      <c r="G1539" s="2">
        <f>TYPE(INDEX(,ODDLYIELD(#REF!,#REF!,#REF!,INDEX(1,),#REF!,#REF!,#REF!,#REF!)))</f>
        <v>64</v>
      </c>
    </row>
    <row r="1540" spans="1:7" x14ac:dyDescent="0.55000000000000004">
      <c r="A1540" s="1" t="s">
        <v>1891</v>
      </c>
      <c r="B1540" s="2">
        <f>COUNTIF(A:A,A1540)-1</f>
        <v>8</v>
      </c>
      <c r="C1540" s="2">
        <f>COUNTIF(A$1:A1540,A1540)-1</f>
        <v>5</v>
      </c>
      <c r="D1540" s="2" t="e">
        <f>ODDLYIELD(#REF!,#REF!,#REF!,#REF!,1,#REF!,#REF!,#REF!)</f>
        <v>#REF!</v>
      </c>
      <c r="E1540" s="2" t="b">
        <f>IFERROR(INDEX(ERROR(0),ODDLYIELD(#REF!,#REF!,#REF!,#REF!,SET.NAME("_",+INDEX(1,)),#REF!,#REF!,#REF!)),RETURN(INDEX(TYPE(_),SET.NAME("_"))))</f>
        <v>0</v>
      </c>
      <c r="F1540" s="2" t="b">
        <f>IFERROR(INDEX(ERROR(0),ODDLYIELD(#REF!,#REF!,#REF!,#REF!,INDIRECT(SET.NAME({1,"_"},)),#REF!,#REF!,#REF!)),RETURN(INDEX(TYPE(_),SET.NAME("_"))))</f>
        <v>0</v>
      </c>
      <c r="G1540" s="2">
        <f>TYPE(INDEX(,ODDLYIELD(#REF!,#REF!,#REF!,#REF!,INDEX(1,),#REF!,#REF!,#REF!)))</f>
        <v>64</v>
      </c>
    </row>
    <row r="1541" spans="1:7" x14ac:dyDescent="0.55000000000000004">
      <c r="A1541" s="1" t="s">
        <v>1891</v>
      </c>
      <c r="B1541" s="2">
        <f>COUNTIF(A:A,A1541)-1</f>
        <v>8</v>
      </c>
      <c r="C1541" s="2">
        <f>COUNTIF(A$1:A1541,A1541)-1</f>
        <v>6</v>
      </c>
      <c r="D1541" s="2" t="e">
        <f>ODDLYIELD(#REF!,#REF!,#REF!,#REF!,#REF!,1,#REF!,#REF!)</f>
        <v>#REF!</v>
      </c>
      <c r="E1541" s="2" t="b">
        <f>IFERROR(INDEX(ERROR(0),ODDLYIELD(#REF!,#REF!,#REF!,#REF!,#REF!,SET.NAME("_",+INDEX(1,)),#REF!,#REF!)),RETURN(INDEX(TYPE(_),SET.NAME("_"))))</f>
        <v>0</v>
      </c>
      <c r="F1541" s="2" t="b">
        <f>IFERROR(INDEX(ERROR(0),ODDLYIELD(#REF!,#REF!,#REF!,#REF!,#REF!,INDIRECT(SET.NAME({1,"_"},)),#REF!,#REF!)),RETURN(INDEX(TYPE(_),SET.NAME("_"))))</f>
        <v>0</v>
      </c>
      <c r="G1541" s="2">
        <f>TYPE(INDEX(,ODDLYIELD(#REF!,#REF!,#REF!,#REF!,#REF!,INDEX(1,),#REF!,#REF!)))</f>
        <v>64</v>
      </c>
    </row>
    <row r="1542" spans="1:7" x14ac:dyDescent="0.55000000000000004">
      <c r="A1542" s="1" t="s">
        <v>1891</v>
      </c>
      <c r="B1542" s="2">
        <f>COUNTIF(A:A,A1542)-1</f>
        <v>8</v>
      </c>
      <c r="C1542" s="2">
        <f>COUNTIF(A$1:A1542,A1542)-1</f>
        <v>7</v>
      </c>
      <c r="D1542" s="2" t="e">
        <f>ODDLYIELD(#REF!,#REF!,#REF!,#REF!,#REF!,#REF!,1,#REF!)</f>
        <v>#REF!</v>
      </c>
      <c r="E1542" s="2" t="b">
        <f>IFERROR(INDEX(ERROR(0),ODDLYIELD(#REF!,#REF!,#REF!,#REF!,#REF!,#REF!,SET.NAME("_",+INDEX(1,)),#REF!)),RETURN(INDEX(TYPE(_),SET.NAME("_"))))</f>
        <v>0</v>
      </c>
      <c r="F1542" s="2" t="b">
        <f>IFERROR(INDEX(ERROR(0),ODDLYIELD(#REF!,#REF!,#REF!,#REF!,#REF!,#REF!,INDIRECT(SET.NAME({1,"_"},)),#REF!)),RETURN(INDEX(TYPE(_),SET.NAME("_"))))</f>
        <v>0</v>
      </c>
      <c r="G1542" s="2">
        <f>TYPE(INDEX(,ODDLYIELD(#REF!,#REF!,#REF!,#REF!,#REF!,#REF!,INDEX(1,),#REF!)))</f>
        <v>64</v>
      </c>
    </row>
    <row r="1543" spans="1:7" x14ac:dyDescent="0.55000000000000004">
      <c r="A1543" s="1" t="s">
        <v>1891</v>
      </c>
      <c r="B1543" s="2">
        <f>COUNTIF(A:A,A1543)-1</f>
        <v>8</v>
      </c>
      <c r="C1543" s="2">
        <f>COUNTIF(A$1:A1543,A1543)-1</f>
        <v>8</v>
      </c>
      <c r="D1543" s="2" t="e">
        <f>ODDLYIELD(#REF!,#REF!,#REF!,#REF!,#REF!,#REF!,#REF!,1)</f>
        <v>#REF!</v>
      </c>
      <c r="E1543" s="2" t="b">
        <f>IFERROR(INDEX(ERROR(0),ODDLYIELD(#REF!,#REF!,#REF!,#REF!,#REF!,#REF!,#REF!,SET.NAME("_",+INDEX(1,)))),RETURN(INDEX(TYPE(_),SET.NAME("_"))))</f>
        <v>0</v>
      </c>
      <c r="F1543" s="2" t="b">
        <f>IFERROR(INDEX(ERROR(0),ODDLYIELD(#REF!,#REF!,#REF!,#REF!,#REF!,#REF!,#REF!,INDIRECT(SET.NAME({1,"_"},)))),RETURN(INDEX(TYPE(_),SET.NAME("_"))))</f>
        <v>0</v>
      </c>
      <c r="G1543" s="2">
        <f>TYPE(INDEX(,ODDLYIELD(#REF!,#REF!,#REF!,#REF!,#REF!,#REF!,#REF!,INDEX(1,))))</f>
        <v>64</v>
      </c>
    </row>
    <row r="1544" spans="1:7" x14ac:dyDescent="0.55000000000000004">
      <c r="A1544" s="1" t="s">
        <v>1892</v>
      </c>
      <c r="B1544" s="2">
        <f>COUNTIF(A:A,A1544)-1</f>
        <v>9</v>
      </c>
      <c r="C1544" s="2">
        <f>COUNTIF(A$1:A1544,A1544)-1</f>
        <v>0</v>
      </c>
      <c r="D1544" s="2"/>
      <c r="E1544" s="2"/>
      <c r="F1544" s="2"/>
      <c r="G1544" s="2"/>
    </row>
    <row r="1545" spans="1:7" x14ac:dyDescent="0.55000000000000004">
      <c r="A1545" s="1" t="s">
        <v>1892</v>
      </c>
      <c r="B1545" s="2">
        <f>COUNTIF(A:A,A1545)-1</f>
        <v>9</v>
      </c>
      <c r="C1545" s="2">
        <f>COUNTIF(A$1:A1545,A1545)-1</f>
        <v>1</v>
      </c>
      <c r="D1545" s="2" t="e">
        <f>ODDFPRICE(1,#REF!,#REF!,#REF!,#REF!,#REF!,#REF!,#REF!,#REF!)</f>
        <v>#REF!</v>
      </c>
      <c r="E1545" s="2" t="b">
        <f>IFERROR(INDEX(ERROR(0),ODDFPRICE(SET.NAME("_",+INDEX(1,)),#REF!,#REF!,#REF!,#REF!,#REF!,#REF!,#REF!,#REF!)),RETURN(INDEX(TYPE(_),SET.NAME("_"))))</f>
        <v>0</v>
      </c>
      <c r="F1545" s="2" t="b">
        <f>IFERROR(INDEX(ERROR(0),ODDFPRICE(INDIRECT(SET.NAME({1,"_"},)),#REF!,#REF!,#REF!,#REF!,#REF!,#REF!,#REF!,#REF!)),RETURN(INDEX(TYPE(_),SET.NAME("_"))))</f>
        <v>0</v>
      </c>
      <c r="G1545" s="2">
        <f>TYPE(INDEX(,ODDFPRICE(INDEX(1,),#REF!,#REF!,#REF!,#REF!,#REF!,#REF!,#REF!,#REF!)))</f>
        <v>64</v>
      </c>
    </row>
    <row r="1546" spans="1:7" x14ac:dyDescent="0.55000000000000004">
      <c r="A1546" s="1" t="s">
        <v>1892</v>
      </c>
      <c r="B1546" s="2">
        <f>COUNTIF(A:A,A1546)-1</f>
        <v>9</v>
      </c>
      <c r="C1546" s="2">
        <f>COUNTIF(A$1:A1546,A1546)-1</f>
        <v>2</v>
      </c>
      <c r="D1546" s="2" t="e">
        <f>ODDFPRICE(#REF!,1,#REF!,#REF!,#REF!,#REF!,#REF!,#REF!,#REF!)</f>
        <v>#REF!</v>
      </c>
      <c r="E1546" s="2" t="b">
        <f>IFERROR(INDEX(ERROR(0),ODDFPRICE(#REF!,SET.NAME("_",+INDEX(1,)),#REF!,#REF!,#REF!,#REF!,#REF!,#REF!,#REF!)),RETURN(INDEX(TYPE(_),SET.NAME("_"))))</f>
        <v>0</v>
      </c>
      <c r="F1546" s="2" t="b">
        <f>IFERROR(INDEX(ERROR(0),ODDFPRICE(#REF!,INDIRECT(SET.NAME({1,"_"},)),#REF!,#REF!,#REF!,#REF!,#REF!,#REF!,#REF!)),RETURN(INDEX(TYPE(_),SET.NAME("_"))))</f>
        <v>0</v>
      </c>
      <c r="G1546" s="2">
        <f>TYPE(INDEX(,ODDFPRICE(#REF!,INDEX(1,),#REF!,#REF!,#REF!,#REF!,#REF!,#REF!,#REF!)))</f>
        <v>64</v>
      </c>
    </row>
    <row r="1547" spans="1:7" x14ac:dyDescent="0.55000000000000004">
      <c r="A1547" s="1" t="s">
        <v>1892</v>
      </c>
      <c r="B1547" s="2">
        <f>COUNTIF(A:A,A1547)-1</f>
        <v>9</v>
      </c>
      <c r="C1547" s="2">
        <f>COUNTIF(A$1:A1547,A1547)-1</f>
        <v>3</v>
      </c>
      <c r="D1547" s="2" t="e">
        <f>ODDFPRICE(#REF!,#REF!,1,#REF!,#REF!,#REF!,#REF!,#REF!,#REF!)</f>
        <v>#REF!</v>
      </c>
      <c r="E1547" s="2" t="b">
        <f>IFERROR(INDEX(ERROR(0),ODDFPRICE(#REF!,#REF!,SET.NAME("_",+INDEX(1,)),#REF!,#REF!,#REF!,#REF!,#REF!,#REF!)),RETURN(INDEX(TYPE(_),SET.NAME("_"))))</f>
        <v>0</v>
      </c>
      <c r="F1547" s="2" t="b">
        <f>IFERROR(INDEX(ERROR(0),ODDFPRICE(#REF!,#REF!,INDIRECT(SET.NAME({1,"_"},)),#REF!,#REF!,#REF!,#REF!,#REF!,#REF!)),RETURN(INDEX(TYPE(_),SET.NAME("_"))))</f>
        <v>0</v>
      </c>
      <c r="G1547" s="2">
        <f>TYPE(INDEX(,ODDFPRICE(#REF!,#REF!,INDEX(1,),#REF!,#REF!,#REF!,#REF!,#REF!,#REF!)))</f>
        <v>64</v>
      </c>
    </row>
    <row r="1548" spans="1:7" x14ac:dyDescent="0.55000000000000004">
      <c r="A1548" s="1" t="s">
        <v>1892</v>
      </c>
      <c r="B1548" s="2">
        <f>COUNTIF(A:A,A1548)-1</f>
        <v>9</v>
      </c>
      <c r="C1548" s="2">
        <f>COUNTIF(A$1:A1548,A1548)-1</f>
        <v>4</v>
      </c>
      <c r="D1548" s="2" t="e">
        <f>ODDFPRICE(#REF!,#REF!,#REF!,1,#REF!,#REF!,#REF!,#REF!,#REF!)</f>
        <v>#REF!</v>
      </c>
      <c r="E1548" s="2" t="b">
        <f>IFERROR(INDEX(ERROR(0),ODDFPRICE(#REF!,#REF!,#REF!,SET.NAME("_",+INDEX(1,)),#REF!,#REF!,#REF!,#REF!,#REF!)),RETURN(INDEX(TYPE(_),SET.NAME("_"))))</f>
        <v>0</v>
      </c>
      <c r="F1548" s="2" t="b">
        <f>IFERROR(INDEX(ERROR(0),ODDFPRICE(#REF!,#REF!,#REF!,INDIRECT(SET.NAME({1,"_"},)),#REF!,#REF!,#REF!,#REF!,#REF!)),RETURN(INDEX(TYPE(_),SET.NAME("_"))))</f>
        <v>0</v>
      </c>
      <c r="G1548" s="2">
        <f>TYPE(INDEX(,ODDFPRICE(#REF!,#REF!,#REF!,INDEX(1,),#REF!,#REF!,#REF!,#REF!,#REF!)))</f>
        <v>64</v>
      </c>
    </row>
    <row r="1549" spans="1:7" x14ac:dyDescent="0.55000000000000004">
      <c r="A1549" s="1" t="s">
        <v>1892</v>
      </c>
      <c r="B1549" s="2">
        <f>COUNTIF(A:A,A1549)-1</f>
        <v>9</v>
      </c>
      <c r="C1549" s="2">
        <f>COUNTIF(A$1:A1549,A1549)-1</f>
        <v>5</v>
      </c>
      <c r="D1549" s="2" t="e">
        <f>ODDFPRICE(#REF!,#REF!,#REF!,#REF!,1,#REF!,#REF!,#REF!,#REF!)</f>
        <v>#REF!</v>
      </c>
      <c r="E1549" s="2" t="b">
        <f>IFERROR(INDEX(ERROR(0),ODDFPRICE(#REF!,#REF!,#REF!,#REF!,SET.NAME("_",+INDEX(1,)),#REF!,#REF!,#REF!,#REF!)),RETURN(INDEX(TYPE(_),SET.NAME("_"))))</f>
        <v>0</v>
      </c>
      <c r="F1549" s="2" t="b">
        <f>IFERROR(INDEX(ERROR(0),ODDFPRICE(#REF!,#REF!,#REF!,#REF!,INDIRECT(SET.NAME({1,"_"},)),#REF!,#REF!,#REF!,#REF!)),RETURN(INDEX(TYPE(_),SET.NAME("_"))))</f>
        <v>0</v>
      </c>
      <c r="G1549" s="2">
        <f>TYPE(INDEX(,ODDFPRICE(#REF!,#REF!,#REF!,#REF!,INDEX(1,),#REF!,#REF!,#REF!,#REF!)))</f>
        <v>64</v>
      </c>
    </row>
    <row r="1550" spans="1:7" x14ac:dyDescent="0.55000000000000004">
      <c r="A1550" s="1" t="s">
        <v>1892</v>
      </c>
      <c r="B1550" s="2">
        <f>COUNTIF(A:A,A1550)-1</f>
        <v>9</v>
      </c>
      <c r="C1550" s="2">
        <f>COUNTIF(A$1:A1550,A1550)-1</f>
        <v>6</v>
      </c>
      <c r="D1550" s="2" t="e">
        <f>ODDFPRICE(#REF!,#REF!,#REF!,#REF!,#REF!,1,#REF!,#REF!,#REF!)</f>
        <v>#REF!</v>
      </c>
      <c r="E1550" s="2" t="b">
        <f>IFERROR(INDEX(ERROR(0),ODDFPRICE(#REF!,#REF!,#REF!,#REF!,#REF!,SET.NAME("_",+INDEX(1,)),#REF!,#REF!,#REF!)),RETURN(INDEX(TYPE(_),SET.NAME("_"))))</f>
        <v>0</v>
      </c>
      <c r="F1550" s="2" t="b">
        <f>IFERROR(INDEX(ERROR(0),ODDFPRICE(#REF!,#REF!,#REF!,#REF!,#REF!,INDIRECT(SET.NAME({1,"_"},)),#REF!,#REF!,#REF!)),RETURN(INDEX(TYPE(_),SET.NAME("_"))))</f>
        <v>0</v>
      </c>
      <c r="G1550" s="2">
        <f>TYPE(INDEX(,ODDFPRICE(#REF!,#REF!,#REF!,#REF!,#REF!,INDEX(1,),#REF!,#REF!,#REF!)))</f>
        <v>64</v>
      </c>
    </row>
    <row r="1551" spans="1:7" x14ac:dyDescent="0.55000000000000004">
      <c r="A1551" s="1" t="s">
        <v>1892</v>
      </c>
      <c r="B1551" s="2">
        <f>COUNTIF(A:A,A1551)-1</f>
        <v>9</v>
      </c>
      <c r="C1551" s="2">
        <f>COUNTIF(A$1:A1551,A1551)-1</f>
        <v>7</v>
      </c>
      <c r="D1551" s="2" t="e">
        <f>ODDFPRICE(#REF!,#REF!,#REF!,#REF!,#REF!,#REF!,1,#REF!,#REF!)</f>
        <v>#REF!</v>
      </c>
      <c r="E1551" s="2" t="b">
        <f>IFERROR(INDEX(ERROR(0),ODDFPRICE(#REF!,#REF!,#REF!,#REF!,#REF!,#REF!,SET.NAME("_",+INDEX(1,)),#REF!,#REF!)),RETURN(INDEX(TYPE(_),SET.NAME("_"))))</f>
        <v>0</v>
      </c>
      <c r="F1551" s="2" t="b">
        <f>IFERROR(INDEX(ERROR(0),ODDFPRICE(#REF!,#REF!,#REF!,#REF!,#REF!,#REF!,INDIRECT(SET.NAME({1,"_"},)),#REF!,#REF!)),RETURN(INDEX(TYPE(_),SET.NAME("_"))))</f>
        <v>0</v>
      </c>
      <c r="G1551" s="2">
        <f>TYPE(INDEX(,ODDFPRICE(#REF!,#REF!,#REF!,#REF!,#REF!,#REF!,INDEX(1,),#REF!,#REF!)))</f>
        <v>64</v>
      </c>
    </row>
    <row r="1552" spans="1:7" x14ac:dyDescent="0.55000000000000004">
      <c r="A1552" s="1" t="s">
        <v>1892</v>
      </c>
      <c r="B1552" s="2">
        <f>COUNTIF(A:A,A1552)-1</f>
        <v>9</v>
      </c>
      <c r="C1552" s="2">
        <f>COUNTIF(A$1:A1552,A1552)-1</f>
        <v>8</v>
      </c>
      <c r="D1552" s="2" t="e">
        <f>ODDFPRICE(#REF!,#REF!,#REF!,#REF!,#REF!,#REF!,#REF!,1,#REF!)</f>
        <v>#REF!</v>
      </c>
      <c r="E1552" s="2" t="b">
        <f>IFERROR(INDEX(ERROR(0),ODDFPRICE(#REF!,#REF!,#REF!,#REF!,#REF!,#REF!,#REF!,SET.NAME("_",+INDEX(1,)),#REF!)),RETURN(INDEX(TYPE(_),SET.NAME("_"))))</f>
        <v>0</v>
      </c>
      <c r="F1552" s="2" t="b">
        <f>IFERROR(INDEX(ERROR(0),ODDFPRICE(#REF!,#REF!,#REF!,#REF!,#REF!,#REF!,#REF!,INDIRECT(SET.NAME({1,"_"},)),#REF!)),RETURN(INDEX(TYPE(_),SET.NAME("_"))))</f>
        <v>0</v>
      </c>
      <c r="G1552" s="2">
        <f>TYPE(INDEX(,ODDFPRICE(#REF!,#REF!,#REF!,#REF!,#REF!,#REF!,#REF!,INDEX(1,),#REF!)))</f>
        <v>64</v>
      </c>
    </row>
    <row r="1553" spans="1:7" x14ac:dyDescent="0.55000000000000004">
      <c r="A1553" s="1" t="s">
        <v>1892</v>
      </c>
      <c r="B1553" s="2">
        <f>COUNTIF(A:A,A1553)-1</f>
        <v>9</v>
      </c>
      <c r="C1553" s="2">
        <f>COUNTIF(A$1:A1553,A1553)-1</f>
        <v>9</v>
      </c>
      <c r="D1553" s="2" t="e">
        <f>ODDFPRICE(#REF!,#REF!,#REF!,#REF!,#REF!,#REF!,#REF!,#REF!,1)</f>
        <v>#REF!</v>
      </c>
      <c r="E1553" s="2" t="b">
        <f>IFERROR(INDEX(ERROR(0),ODDFPRICE(#REF!,#REF!,#REF!,#REF!,#REF!,#REF!,#REF!,#REF!,SET.NAME("_",+INDEX(1,)))),RETURN(INDEX(TYPE(_),SET.NAME("_"))))</f>
        <v>0</v>
      </c>
      <c r="F1553" s="2" t="b">
        <f>IFERROR(INDEX(ERROR(0),ODDFPRICE(#REF!,#REF!,#REF!,#REF!,#REF!,#REF!,#REF!,#REF!,INDIRECT(SET.NAME({1,"_"},)))),RETURN(INDEX(TYPE(_),SET.NAME("_"))))</f>
        <v>0</v>
      </c>
      <c r="G1553" s="2">
        <f>TYPE(INDEX(,ODDFPRICE(#REF!,#REF!,#REF!,#REF!,#REF!,#REF!,#REF!,#REF!,INDEX(1,))))</f>
        <v>64</v>
      </c>
    </row>
    <row r="1554" spans="1:7" x14ac:dyDescent="0.55000000000000004">
      <c r="A1554" s="1" t="s">
        <v>1893</v>
      </c>
      <c r="B1554" s="2">
        <f>COUNTIF(A:A,A1554)-1</f>
        <v>9</v>
      </c>
      <c r="C1554" s="2">
        <f>COUNTIF(A$1:A1554,A1554)-1</f>
        <v>0</v>
      </c>
      <c r="D1554" s="2"/>
      <c r="E1554" s="2"/>
      <c r="F1554" s="2"/>
      <c r="G1554" s="2"/>
    </row>
    <row r="1555" spans="1:7" x14ac:dyDescent="0.55000000000000004">
      <c r="A1555" s="1" t="s">
        <v>1893</v>
      </c>
      <c r="B1555" s="2">
        <f>COUNTIF(A:A,A1555)-1</f>
        <v>9</v>
      </c>
      <c r="C1555" s="2">
        <f>COUNTIF(A$1:A1555,A1555)-1</f>
        <v>1</v>
      </c>
      <c r="D1555" s="2" t="e">
        <f>ODDFYIELD(1,#REF!,#REF!,#REF!,#REF!,#REF!,#REF!,#REF!,#REF!)</f>
        <v>#REF!</v>
      </c>
      <c r="E1555" s="2" t="b">
        <f>IFERROR(INDEX(ERROR(0),ODDFYIELD(SET.NAME("_",+INDEX(1,)),#REF!,#REF!,#REF!,#REF!,#REF!,#REF!,#REF!,#REF!)),RETURN(INDEX(TYPE(_),SET.NAME("_"))))</f>
        <v>0</v>
      </c>
      <c r="F1555" s="2" t="b">
        <f>IFERROR(INDEX(ERROR(0),ODDFYIELD(INDIRECT(SET.NAME({1,"_"},)),#REF!,#REF!,#REF!,#REF!,#REF!,#REF!,#REF!,#REF!)),RETURN(INDEX(TYPE(_),SET.NAME("_"))))</f>
        <v>0</v>
      </c>
      <c r="G1555" s="2">
        <f>TYPE(INDEX(,ODDFYIELD(INDEX(1,),#REF!,#REF!,#REF!,#REF!,#REF!,#REF!,#REF!,#REF!)))</f>
        <v>64</v>
      </c>
    </row>
    <row r="1556" spans="1:7" x14ac:dyDescent="0.55000000000000004">
      <c r="A1556" s="1" t="s">
        <v>1893</v>
      </c>
      <c r="B1556" s="2">
        <f>COUNTIF(A:A,A1556)-1</f>
        <v>9</v>
      </c>
      <c r="C1556" s="2">
        <f>COUNTIF(A$1:A1556,A1556)-1</f>
        <v>2</v>
      </c>
      <c r="D1556" s="2" t="e">
        <f>ODDFYIELD(#REF!,1,#REF!,#REF!,#REF!,#REF!,#REF!,#REF!,#REF!)</f>
        <v>#REF!</v>
      </c>
      <c r="E1556" s="2" t="b">
        <f>IFERROR(INDEX(ERROR(0),ODDFYIELD(#REF!,SET.NAME("_",+INDEX(1,)),#REF!,#REF!,#REF!,#REF!,#REF!,#REF!,#REF!)),RETURN(INDEX(TYPE(_),SET.NAME("_"))))</f>
        <v>0</v>
      </c>
      <c r="F1556" s="2" t="b">
        <f>IFERROR(INDEX(ERROR(0),ODDFYIELD(#REF!,INDIRECT(SET.NAME({1,"_"},)),#REF!,#REF!,#REF!,#REF!,#REF!,#REF!,#REF!)),RETURN(INDEX(TYPE(_),SET.NAME("_"))))</f>
        <v>0</v>
      </c>
      <c r="G1556" s="2">
        <f>TYPE(INDEX(,ODDFYIELD(#REF!,INDEX(1,),#REF!,#REF!,#REF!,#REF!,#REF!,#REF!,#REF!)))</f>
        <v>64</v>
      </c>
    </row>
    <row r="1557" spans="1:7" x14ac:dyDescent="0.55000000000000004">
      <c r="A1557" s="1" t="s">
        <v>1893</v>
      </c>
      <c r="B1557" s="2">
        <f>COUNTIF(A:A,A1557)-1</f>
        <v>9</v>
      </c>
      <c r="C1557" s="2">
        <f>COUNTIF(A$1:A1557,A1557)-1</f>
        <v>3</v>
      </c>
      <c r="D1557" s="2" t="e">
        <f>ODDFYIELD(#REF!,#REF!,1,#REF!,#REF!,#REF!,#REF!,#REF!,#REF!)</f>
        <v>#REF!</v>
      </c>
      <c r="E1557" s="2" t="b">
        <f>IFERROR(INDEX(ERROR(0),ODDFYIELD(#REF!,#REF!,SET.NAME("_",+INDEX(1,)),#REF!,#REF!,#REF!,#REF!,#REF!,#REF!)),RETURN(INDEX(TYPE(_),SET.NAME("_"))))</f>
        <v>0</v>
      </c>
      <c r="F1557" s="2" t="b">
        <f>IFERROR(INDEX(ERROR(0),ODDFYIELD(#REF!,#REF!,INDIRECT(SET.NAME({1,"_"},)),#REF!,#REF!,#REF!,#REF!,#REF!,#REF!)),RETURN(INDEX(TYPE(_),SET.NAME("_"))))</f>
        <v>0</v>
      </c>
      <c r="G1557" s="2">
        <f>TYPE(INDEX(,ODDFYIELD(#REF!,#REF!,INDEX(1,),#REF!,#REF!,#REF!,#REF!,#REF!,#REF!)))</f>
        <v>64</v>
      </c>
    </row>
    <row r="1558" spans="1:7" x14ac:dyDescent="0.55000000000000004">
      <c r="A1558" s="1" t="s">
        <v>1893</v>
      </c>
      <c r="B1558" s="2">
        <f>COUNTIF(A:A,A1558)-1</f>
        <v>9</v>
      </c>
      <c r="C1558" s="2">
        <f>COUNTIF(A$1:A1558,A1558)-1</f>
        <v>4</v>
      </c>
      <c r="D1558" s="2" t="e">
        <f>ODDFYIELD(#REF!,#REF!,#REF!,1,#REF!,#REF!,#REF!,#REF!,#REF!)</f>
        <v>#REF!</v>
      </c>
      <c r="E1558" s="2" t="b">
        <f>IFERROR(INDEX(ERROR(0),ODDFYIELD(#REF!,#REF!,#REF!,SET.NAME("_",+INDEX(1,)),#REF!,#REF!,#REF!,#REF!,#REF!)),RETURN(INDEX(TYPE(_),SET.NAME("_"))))</f>
        <v>0</v>
      </c>
      <c r="F1558" s="2" t="b">
        <f>IFERROR(INDEX(ERROR(0),ODDFYIELD(#REF!,#REF!,#REF!,INDIRECT(SET.NAME({1,"_"},)),#REF!,#REF!,#REF!,#REF!,#REF!)),RETURN(INDEX(TYPE(_),SET.NAME("_"))))</f>
        <v>0</v>
      </c>
      <c r="G1558" s="2">
        <f>TYPE(INDEX(,ODDFYIELD(#REF!,#REF!,#REF!,INDEX(1,),#REF!,#REF!,#REF!,#REF!,#REF!)))</f>
        <v>64</v>
      </c>
    </row>
    <row r="1559" spans="1:7" x14ac:dyDescent="0.55000000000000004">
      <c r="A1559" s="1" t="s">
        <v>1893</v>
      </c>
      <c r="B1559" s="2">
        <f>COUNTIF(A:A,A1559)-1</f>
        <v>9</v>
      </c>
      <c r="C1559" s="2">
        <f>COUNTIF(A$1:A1559,A1559)-1</f>
        <v>5</v>
      </c>
      <c r="D1559" s="2" t="e">
        <f>ODDFYIELD(#REF!,#REF!,#REF!,#REF!,1,#REF!,#REF!,#REF!,#REF!)</f>
        <v>#REF!</v>
      </c>
      <c r="E1559" s="2" t="b">
        <f>IFERROR(INDEX(ERROR(0),ODDFYIELD(#REF!,#REF!,#REF!,#REF!,SET.NAME("_",+INDEX(1,)),#REF!,#REF!,#REF!,#REF!)),RETURN(INDEX(TYPE(_),SET.NAME("_"))))</f>
        <v>0</v>
      </c>
      <c r="F1559" s="2" t="b">
        <f>IFERROR(INDEX(ERROR(0),ODDFYIELD(#REF!,#REF!,#REF!,#REF!,INDIRECT(SET.NAME({1,"_"},)),#REF!,#REF!,#REF!,#REF!)),RETURN(INDEX(TYPE(_),SET.NAME("_"))))</f>
        <v>0</v>
      </c>
      <c r="G1559" s="2">
        <f>TYPE(INDEX(,ODDFYIELD(#REF!,#REF!,#REF!,#REF!,INDEX(1,),#REF!,#REF!,#REF!,#REF!)))</f>
        <v>64</v>
      </c>
    </row>
    <row r="1560" spans="1:7" x14ac:dyDescent="0.55000000000000004">
      <c r="A1560" s="1" t="s">
        <v>1893</v>
      </c>
      <c r="B1560" s="2">
        <f>COUNTIF(A:A,A1560)-1</f>
        <v>9</v>
      </c>
      <c r="C1560" s="2">
        <f>COUNTIF(A$1:A1560,A1560)-1</f>
        <v>6</v>
      </c>
      <c r="D1560" s="2" t="e">
        <f>ODDFYIELD(#REF!,#REF!,#REF!,#REF!,#REF!,1,#REF!,#REF!,#REF!)</f>
        <v>#REF!</v>
      </c>
      <c r="E1560" s="2" t="b">
        <f>IFERROR(INDEX(ERROR(0),ODDFYIELD(#REF!,#REF!,#REF!,#REF!,#REF!,SET.NAME("_",+INDEX(1,)),#REF!,#REF!,#REF!)),RETURN(INDEX(TYPE(_),SET.NAME("_"))))</f>
        <v>0</v>
      </c>
      <c r="F1560" s="2" t="b">
        <f>IFERROR(INDEX(ERROR(0),ODDFYIELD(#REF!,#REF!,#REF!,#REF!,#REF!,INDIRECT(SET.NAME({1,"_"},)),#REF!,#REF!,#REF!)),RETURN(INDEX(TYPE(_),SET.NAME("_"))))</f>
        <v>0</v>
      </c>
      <c r="G1560" s="2">
        <f>TYPE(INDEX(,ODDFYIELD(#REF!,#REF!,#REF!,#REF!,#REF!,INDEX(1,),#REF!,#REF!,#REF!)))</f>
        <v>64</v>
      </c>
    </row>
    <row r="1561" spans="1:7" x14ac:dyDescent="0.55000000000000004">
      <c r="A1561" s="1" t="s">
        <v>1893</v>
      </c>
      <c r="B1561" s="2">
        <f>COUNTIF(A:A,A1561)-1</f>
        <v>9</v>
      </c>
      <c r="C1561" s="2">
        <f>COUNTIF(A$1:A1561,A1561)-1</f>
        <v>7</v>
      </c>
      <c r="D1561" s="2" t="e">
        <f>ODDFYIELD(#REF!,#REF!,#REF!,#REF!,#REF!,#REF!,1,#REF!,#REF!)</f>
        <v>#REF!</v>
      </c>
      <c r="E1561" s="2" t="b">
        <f>IFERROR(INDEX(ERROR(0),ODDFYIELD(#REF!,#REF!,#REF!,#REF!,#REF!,#REF!,SET.NAME("_",+INDEX(1,)),#REF!,#REF!)),RETURN(INDEX(TYPE(_),SET.NAME("_"))))</f>
        <v>0</v>
      </c>
      <c r="F1561" s="2" t="b">
        <f>IFERROR(INDEX(ERROR(0),ODDFYIELD(#REF!,#REF!,#REF!,#REF!,#REF!,#REF!,INDIRECT(SET.NAME({1,"_"},)),#REF!,#REF!)),RETURN(INDEX(TYPE(_),SET.NAME("_"))))</f>
        <v>0</v>
      </c>
      <c r="G1561" s="2">
        <f>TYPE(INDEX(,ODDFYIELD(#REF!,#REF!,#REF!,#REF!,#REF!,#REF!,INDEX(1,),#REF!,#REF!)))</f>
        <v>64</v>
      </c>
    </row>
    <row r="1562" spans="1:7" x14ac:dyDescent="0.55000000000000004">
      <c r="A1562" s="1" t="s">
        <v>1893</v>
      </c>
      <c r="B1562" s="2">
        <f>COUNTIF(A:A,A1562)-1</f>
        <v>9</v>
      </c>
      <c r="C1562" s="2">
        <f>COUNTIF(A$1:A1562,A1562)-1</f>
        <v>8</v>
      </c>
      <c r="D1562" s="2" t="e">
        <f>ODDFYIELD(#REF!,#REF!,#REF!,#REF!,#REF!,#REF!,#REF!,1,#REF!)</f>
        <v>#REF!</v>
      </c>
      <c r="E1562" s="2" t="b">
        <f>IFERROR(INDEX(ERROR(0),ODDFYIELD(#REF!,#REF!,#REF!,#REF!,#REF!,#REF!,#REF!,SET.NAME("_",+INDEX(1,)),#REF!)),RETURN(INDEX(TYPE(_),SET.NAME("_"))))</f>
        <v>0</v>
      </c>
      <c r="F1562" s="2" t="b">
        <f>IFERROR(INDEX(ERROR(0),ODDFYIELD(#REF!,#REF!,#REF!,#REF!,#REF!,#REF!,#REF!,INDIRECT(SET.NAME({1,"_"},)),#REF!)),RETURN(INDEX(TYPE(_),SET.NAME("_"))))</f>
        <v>0</v>
      </c>
      <c r="G1562" s="2">
        <f>TYPE(INDEX(,ODDFYIELD(#REF!,#REF!,#REF!,#REF!,#REF!,#REF!,#REF!,INDEX(1,),#REF!)))</f>
        <v>64</v>
      </c>
    </row>
    <row r="1563" spans="1:7" x14ac:dyDescent="0.55000000000000004">
      <c r="A1563" s="1" t="s">
        <v>1893</v>
      </c>
      <c r="B1563" s="2">
        <f>COUNTIF(A:A,A1563)-1</f>
        <v>9</v>
      </c>
      <c r="C1563" s="2">
        <f>COUNTIF(A$1:A1563,A1563)-1</f>
        <v>9</v>
      </c>
      <c r="D1563" s="2" t="e">
        <f>ODDFYIELD(#REF!,#REF!,#REF!,#REF!,#REF!,#REF!,#REF!,#REF!,1)</f>
        <v>#REF!</v>
      </c>
      <c r="E1563" s="2" t="b">
        <f>IFERROR(INDEX(ERROR(0),ODDFYIELD(#REF!,#REF!,#REF!,#REF!,#REF!,#REF!,#REF!,#REF!,SET.NAME("_",+INDEX(1,)))),RETURN(INDEX(TYPE(_),SET.NAME("_"))))</f>
        <v>0</v>
      </c>
      <c r="F1563" s="2" t="b">
        <f>IFERROR(INDEX(ERROR(0),ODDFYIELD(#REF!,#REF!,#REF!,#REF!,#REF!,#REF!,#REF!,#REF!,INDIRECT(SET.NAME({1,"_"},)))),RETURN(INDEX(TYPE(_),SET.NAME("_"))))</f>
        <v>0</v>
      </c>
      <c r="G1563" s="2">
        <f>TYPE(INDEX(,ODDFYIELD(#REF!,#REF!,#REF!,#REF!,#REF!,#REF!,#REF!,#REF!,INDEX(1,))))</f>
        <v>64</v>
      </c>
    </row>
    <row r="1564" spans="1:7" x14ac:dyDescent="0.55000000000000004">
      <c r="A1564" s="1" t="s">
        <v>1894</v>
      </c>
      <c r="B1564" s="2">
        <f>COUNTIF(A:A,A1564)-1</f>
        <v>2</v>
      </c>
      <c r="C1564" s="2">
        <f>COUNTIF(A$1:A1564,A1564)-1</f>
        <v>0</v>
      </c>
      <c r="D1564" s="2"/>
      <c r="E1564" s="2"/>
      <c r="F1564" s="2"/>
      <c r="G1564" s="2"/>
    </row>
    <row r="1565" spans="1:7" x14ac:dyDescent="0.55000000000000004">
      <c r="A1565" s="1" t="s">
        <v>1894</v>
      </c>
      <c r="B1565" s="2">
        <f>COUNTIF(A:A,A1565)-1</f>
        <v>2</v>
      </c>
      <c r="C1565" s="2">
        <f>COUNTIF(A$1:A1565,A1565)-1</f>
        <v>1</v>
      </c>
      <c r="D1565" s="2" t="e">
        <f>RANDBETWEEN(1,#REF!)</f>
        <v>#REF!</v>
      </c>
      <c r="E1565" s="2" t="b">
        <f>IFERROR(INDEX(ERROR(0),RANDBETWEEN(SET.NAME("_",+INDEX(1,)),#REF!)),RETURN(INDEX(TYPE(_),SET.NAME("_"))))</f>
        <v>0</v>
      </c>
      <c r="F1565" s="2" t="b">
        <f>IFERROR(INDEX(ERROR(0),RANDBETWEEN(INDIRECT(SET.NAME({1,"_"},)),#REF!)),RETURN(INDEX(TYPE(_),SET.NAME("_"))))</f>
        <v>0</v>
      </c>
      <c r="G1565" s="2">
        <f>TYPE(INDEX(,RANDBETWEEN(INDEX(1,),#REF!)))</f>
        <v>64</v>
      </c>
    </row>
    <row r="1566" spans="1:7" x14ac:dyDescent="0.55000000000000004">
      <c r="A1566" s="1" t="s">
        <v>1894</v>
      </c>
      <c r="B1566" s="2">
        <f>COUNTIF(A:A,A1566)-1</f>
        <v>2</v>
      </c>
      <c r="C1566" s="2">
        <f>COUNTIF(A$1:A1566,A1566)-1</f>
        <v>2</v>
      </c>
      <c r="D1566" s="2" t="e">
        <f>RANDBETWEEN(#REF!,1)</f>
        <v>#REF!</v>
      </c>
      <c r="E1566" s="2" t="b">
        <f>IFERROR(INDEX(ERROR(0),RANDBETWEEN(#REF!,SET.NAME("_",+INDEX(1,)))),RETURN(INDEX(TYPE(_),SET.NAME("_"))))</f>
        <v>0</v>
      </c>
      <c r="F1566" s="2" t="b">
        <f>IFERROR(INDEX(ERROR(0),RANDBETWEEN(#REF!,INDIRECT(SET.NAME({1,"_"},)))),RETURN(INDEX(TYPE(_),SET.NAME("_"))))</f>
        <v>0</v>
      </c>
      <c r="G1566" s="2">
        <f>TYPE(INDEX(,RANDBETWEEN(#REF!,INDEX(1,))))</f>
        <v>64</v>
      </c>
    </row>
    <row r="1567" spans="1:7" x14ac:dyDescent="0.55000000000000004">
      <c r="A1567" s="1" t="s">
        <v>1895</v>
      </c>
      <c r="B1567" s="2">
        <f>COUNTIF(A:A,A1567)-1</f>
        <v>2</v>
      </c>
      <c r="C1567" s="2">
        <f>COUNTIF(A$1:A1567,A1567)-1</f>
        <v>0</v>
      </c>
      <c r="D1567" s="2"/>
      <c r="E1567" s="2"/>
      <c r="F1567" s="2"/>
      <c r="G1567" s="2"/>
    </row>
    <row r="1568" spans="1:7" x14ac:dyDescent="0.55000000000000004">
      <c r="A1568" s="1" t="s">
        <v>1895</v>
      </c>
      <c r="B1568" s="2">
        <f>COUNTIF(A:A,A1568)-1</f>
        <v>2</v>
      </c>
      <c r="C1568" s="2">
        <f>COUNTIF(A$1:A1568,A1568)-1</f>
        <v>1</v>
      </c>
      <c r="D1568" s="2" t="e">
        <f>WEEKNUM(1,#REF!)</f>
        <v>#REF!</v>
      </c>
      <c r="E1568" s="2" t="b">
        <f>IFERROR(INDEX(ERROR(0),WEEKNUM(SET.NAME("_",+INDEX(1,)),#REF!)),RETURN(INDEX(TYPE(_),SET.NAME("_"))))</f>
        <v>0</v>
      </c>
      <c r="F1568" s="2" t="b">
        <f>IFERROR(INDEX(ERROR(0),WEEKNUM(INDIRECT(SET.NAME({1,"_"},)),#REF!)),RETURN(INDEX(TYPE(_),SET.NAME("_"))))</f>
        <v>0</v>
      </c>
      <c r="G1568" s="2">
        <f>TYPE(INDEX(,WEEKNUM(INDEX(1,),#REF!)))</f>
        <v>64</v>
      </c>
    </row>
    <row r="1569" spans="1:7" x14ac:dyDescent="0.55000000000000004">
      <c r="A1569" s="1" t="s">
        <v>1895</v>
      </c>
      <c r="B1569" s="2">
        <f>COUNTIF(A:A,A1569)-1</f>
        <v>2</v>
      </c>
      <c r="C1569" s="2">
        <f>COUNTIF(A$1:A1569,A1569)-1</f>
        <v>2</v>
      </c>
      <c r="D1569" s="2" t="e">
        <f>WEEKNUM(#REF!,1)</f>
        <v>#REF!</v>
      </c>
      <c r="E1569" s="2" t="b">
        <f>IFERROR(INDEX(ERROR(0),WEEKNUM(#REF!,SET.NAME("_",+INDEX(1,)))),RETURN(INDEX(TYPE(_),SET.NAME("_"))))</f>
        <v>0</v>
      </c>
      <c r="F1569" s="2" t="b">
        <f>IFERROR(INDEX(ERROR(0),WEEKNUM(#REF!,INDIRECT(SET.NAME({1,"_"},)))),RETURN(INDEX(TYPE(_),SET.NAME("_"))))</f>
        <v>0</v>
      </c>
      <c r="G1569" s="2">
        <f>TYPE(INDEX(,WEEKNUM(#REF!,INDEX(1,))))</f>
        <v>64</v>
      </c>
    </row>
    <row r="1570" spans="1:7" x14ac:dyDescent="0.55000000000000004">
      <c r="A1570" s="1" t="s">
        <v>1896</v>
      </c>
      <c r="B1570" s="2">
        <f>COUNTIF(A:A,A1570)-1</f>
        <v>7</v>
      </c>
      <c r="C1570" s="2">
        <f>COUNTIF(A$1:A1570,A1570)-1</f>
        <v>0</v>
      </c>
      <c r="D1570" s="2"/>
      <c r="E1570" s="2"/>
      <c r="F1570" s="2"/>
      <c r="G1570" s="2"/>
    </row>
    <row r="1571" spans="1:7" x14ac:dyDescent="0.55000000000000004">
      <c r="A1571" s="1" t="s">
        <v>1896</v>
      </c>
      <c r="B1571" s="2">
        <f>COUNTIF(A:A,A1571)-1</f>
        <v>7</v>
      </c>
      <c r="C1571" s="2">
        <f>COUNTIF(A$1:A1571,A1571)-1</f>
        <v>1</v>
      </c>
      <c r="D1571" s="2" t="e">
        <f>AMORDEGRC(1,#REF!,#REF!,#REF!,#REF!,#REF!,#REF!)</f>
        <v>#REF!</v>
      </c>
      <c r="E1571" s="2" t="b">
        <f>IFERROR(INDEX(ERROR(0),AMORDEGRC(SET.NAME("_",+INDEX(1,)),#REF!,#REF!,#REF!,#REF!,#REF!,#REF!)),RETURN(INDEX(TYPE(_),SET.NAME("_"))))</f>
        <v>0</v>
      </c>
      <c r="F1571" s="2" t="b">
        <f>IFERROR(INDEX(ERROR(0),AMORDEGRC(INDIRECT(SET.NAME({1,"_"},)),#REF!,#REF!,#REF!,#REF!,#REF!,#REF!)),RETURN(INDEX(TYPE(_),SET.NAME("_"))))</f>
        <v>0</v>
      </c>
      <c r="G1571" s="2">
        <f>TYPE(INDEX(,AMORDEGRC(INDEX(1,),#REF!,#REF!,#REF!,#REF!,#REF!,#REF!)))</f>
        <v>64</v>
      </c>
    </row>
    <row r="1572" spans="1:7" x14ac:dyDescent="0.55000000000000004">
      <c r="A1572" s="1" t="s">
        <v>1896</v>
      </c>
      <c r="B1572" s="2">
        <f>COUNTIF(A:A,A1572)-1</f>
        <v>7</v>
      </c>
      <c r="C1572" s="2">
        <f>COUNTIF(A$1:A1572,A1572)-1</f>
        <v>2</v>
      </c>
      <c r="D1572" s="2" t="e">
        <f>AMORDEGRC(#REF!,1,#REF!,#REF!,#REF!,#REF!,#REF!)</f>
        <v>#REF!</v>
      </c>
      <c r="E1572" s="2" t="b">
        <f>IFERROR(INDEX(ERROR(0),AMORDEGRC(#REF!,SET.NAME("_",+INDEX(1,)),#REF!,#REF!,#REF!,#REF!,#REF!)),RETURN(INDEX(TYPE(_),SET.NAME("_"))))</f>
        <v>0</v>
      </c>
      <c r="F1572" s="2" t="b">
        <f>IFERROR(INDEX(ERROR(0),AMORDEGRC(#REF!,INDIRECT(SET.NAME({1,"_"},)),#REF!,#REF!,#REF!,#REF!,#REF!)),RETURN(INDEX(TYPE(_),SET.NAME("_"))))</f>
        <v>0</v>
      </c>
      <c r="G1572" s="2">
        <f>TYPE(INDEX(,AMORDEGRC(#REF!,INDEX(1,),#REF!,#REF!,#REF!,#REF!,#REF!)))</f>
        <v>64</v>
      </c>
    </row>
    <row r="1573" spans="1:7" x14ac:dyDescent="0.55000000000000004">
      <c r="A1573" s="1" t="s">
        <v>1896</v>
      </c>
      <c r="B1573" s="2">
        <f>COUNTIF(A:A,A1573)-1</f>
        <v>7</v>
      </c>
      <c r="C1573" s="2">
        <f>COUNTIF(A$1:A1573,A1573)-1</f>
        <v>3</v>
      </c>
      <c r="D1573" s="2" t="e">
        <f>AMORDEGRC(#REF!,#REF!,1,#REF!,#REF!,#REF!,#REF!)</f>
        <v>#REF!</v>
      </c>
      <c r="E1573" s="2" t="b">
        <f>IFERROR(INDEX(ERROR(0),AMORDEGRC(#REF!,#REF!,SET.NAME("_",+INDEX(1,)),#REF!,#REF!,#REF!,#REF!)),RETURN(INDEX(TYPE(_),SET.NAME("_"))))</f>
        <v>0</v>
      </c>
      <c r="F1573" s="2" t="b">
        <f>IFERROR(INDEX(ERROR(0),AMORDEGRC(#REF!,#REF!,INDIRECT(SET.NAME({1,"_"},)),#REF!,#REF!,#REF!,#REF!)),RETURN(INDEX(TYPE(_),SET.NAME("_"))))</f>
        <v>0</v>
      </c>
      <c r="G1573" s="2">
        <f>TYPE(INDEX(,AMORDEGRC(#REF!,#REF!,INDEX(1,),#REF!,#REF!,#REF!,#REF!)))</f>
        <v>64</v>
      </c>
    </row>
    <row r="1574" spans="1:7" x14ac:dyDescent="0.55000000000000004">
      <c r="A1574" s="1" t="s">
        <v>1896</v>
      </c>
      <c r="B1574" s="2">
        <f>COUNTIF(A:A,A1574)-1</f>
        <v>7</v>
      </c>
      <c r="C1574" s="2">
        <f>COUNTIF(A$1:A1574,A1574)-1</f>
        <v>4</v>
      </c>
      <c r="D1574" s="2" t="e">
        <f>AMORDEGRC(#REF!,#REF!,#REF!,1,#REF!,#REF!,#REF!)</f>
        <v>#REF!</v>
      </c>
      <c r="E1574" s="2" t="b">
        <f>IFERROR(INDEX(ERROR(0),AMORDEGRC(#REF!,#REF!,#REF!,SET.NAME("_",+INDEX(1,)),#REF!,#REF!,#REF!)),RETURN(INDEX(TYPE(_),SET.NAME("_"))))</f>
        <v>0</v>
      </c>
      <c r="F1574" s="2" t="b">
        <f>IFERROR(INDEX(ERROR(0),AMORDEGRC(#REF!,#REF!,#REF!,INDIRECT(SET.NAME({1,"_"},)),#REF!,#REF!,#REF!)),RETURN(INDEX(TYPE(_),SET.NAME("_"))))</f>
        <v>0</v>
      </c>
      <c r="G1574" s="2">
        <f>TYPE(INDEX(,AMORDEGRC(#REF!,#REF!,#REF!,INDEX(1,),#REF!,#REF!,#REF!)))</f>
        <v>64</v>
      </c>
    </row>
    <row r="1575" spans="1:7" x14ac:dyDescent="0.55000000000000004">
      <c r="A1575" s="1" t="s">
        <v>1896</v>
      </c>
      <c r="B1575" s="2">
        <f>COUNTIF(A:A,A1575)-1</f>
        <v>7</v>
      </c>
      <c r="C1575" s="2">
        <f>COUNTIF(A$1:A1575,A1575)-1</f>
        <v>5</v>
      </c>
      <c r="D1575" s="2" t="e">
        <f>AMORDEGRC(#REF!,#REF!,#REF!,#REF!,1,#REF!,#REF!)</f>
        <v>#REF!</v>
      </c>
      <c r="E1575" s="2" t="b">
        <f>IFERROR(INDEX(ERROR(0),AMORDEGRC(#REF!,#REF!,#REF!,#REF!,SET.NAME("_",+INDEX(1,)),#REF!,#REF!)),RETURN(INDEX(TYPE(_),SET.NAME("_"))))</f>
        <v>0</v>
      </c>
      <c r="F1575" s="2" t="b">
        <f>IFERROR(INDEX(ERROR(0),AMORDEGRC(#REF!,#REF!,#REF!,#REF!,INDIRECT(SET.NAME({1,"_"},)),#REF!,#REF!)),RETURN(INDEX(TYPE(_),SET.NAME("_"))))</f>
        <v>0</v>
      </c>
      <c r="G1575" s="2">
        <f>TYPE(INDEX(,AMORDEGRC(#REF!,#REF!,#REF!,#REF!,INDEX(1,),#REF!,#REF!)))</f>
        <v>64</v>
      </c>
    </row>
    <row r="1576" spans="1:7" x14ac:dyDescent="0.55000000000000004">
      <c r="A1576" s="1" t="s">
        <v>1896</v>
      </c>
      <c r="B1576" s="2">
        <f>COUNTIF(A:A,A1576)-1</f>
        <v>7</v>
      </c>
      <c r="C1576" s="2">
        <f>COUNTIF(A$1:A1576,A1576)-1</f>
        <v>6</v>
      </c>
      <c r="D1576" s="2" t="e">
        <f>AMORDEGRC(#REF!,#REF!,#REF!,#REF!,#REF!,1,#REF!)</f>
        <v>#REF!</v>
      </c>
      <c r="E1576" s="2" t="b">
        <f>IFERROR(INDEX(ERROR(0),AMORDEGRC(#REF!,#REF!,#REF!,#REF!,#REF!,SET.NAME("_",+INDEX(1,)),#REF!)),RETURN(INDEX(TYPE(_),SET.NAME("_"))))</f>
        <v>0</v>
      </c>
      <c r="F1576" s="2" t="b">
        <f>IFERROR(INDEX(ERROR(0),AMORDEGRC(#REF!,#REF!,#REF!,#REF!,#REF!,INDIRECT(SET.NAME({1,"_"},)),#REF!)),RETURN(INDEX(TYPE(_),SET.NAME("_"))))</f>
        <v>0</v>
      </c>
      <c r="G1576" s="2">
        <f>TYPE(INDEX(,AMORDEGRC(#REF!,#REF!,#REF!,#REF!,#REF!,INDEX(1,),#REF!)))</f>
        <v>64</v>
      </c>
    </row>
    <row r="1577" spans="1:7" x14ac:dyDescent="0.55000000000000004">
      <c r="A1577" s="1" t="s">
        <v>1896</v>
      </c>
      <c r="B1577" s="2">
        <f>COUNTIF(A:A,A1577)-1</f>
        <v>7</v>
      </c>
      <c r="C1577" s="2">
        <f>COUNTIF(A$1:A1577,A1577)-1</f>
        <v>7</v>
      </c>
      <c r="D1577" s="2" t="e">
        <f>AMORDEGRC(#REF!,#REF!,#REF!,#REF!,#REF!,#REF!,1)</f>
        <v>#REF!</v>
      </c>
      <c r="E1577" s="2" t="b">
        <f>IFERROR(INDEX(ERROR(0),AMORDEGRC(#REF!,#REF!,#REF!,#REF!,#REF!,#REF!,SET.NAME("_",+INDEX(1,)))),RETURN(INDEX(TYPE(_),SET.NAME("_"))))</f>
        <v>0</v>
      </c>
      <c r="F1577" s="2" t="b">
        <f>IFERROR(INDEX(ERROR(0),AMORDEGRC(#REF!,#REF!,#REF!,#REF!,#REF!,#REF!,INDIRECT(SET.NAME({1,"_"},)))),RETURN(INDEX(TYPE(_),SET.NAME("_"))))</f>
        <v>0</v>
      </c>
      <c r="G1577" s="2">
        <f>TYPE(INDEX(,AMORDEGRC(#REF!,#REF!,#REF!,#REF!,#REF!,#REF!,INDEX(1,))))</f>
        <v>64</v>
      </c>
    </row>
    <row r="1578" spans="1:7" x14ac:dyDescent="0.55000000000000004">
      <c r="A1578" s="1" t="s">
        <v>1897</v>
      </c>
      <c r="B1578" s="2">
        <f>COUNTIF(A:A,A1578)-1</f>
        <v>7</v>
      </c>
      <c r="C1578" s="2">
        <f>COUNTIF(A$1:A1578,A1578)-1</f>
        <v>0</v>
      </c>
      <c r="D1578" s="2"/>
      <c r="E1578" s="2"/>
      <c r="F1578" s="2"/>
      <c r="G1578" s="2"/>
    </row>
    <row r="1579" spans="1:7" x14ac:dyDescent="0.55000000000000004">
      <c r="A1579" s="1" t="s">
        <v>1897</v>
      </c>
      <c r="B1579" s="2">
        <f>COUNTIF(A:A,A1579)-1</f>
        <v>7</v>
      </c>
      <c r="C1579" s="2">
        <f>COUNTIF(A$1:A1579,A1579)-1</f>
        <v>1</v>
      </c>
      <c r="D1579" s="2" t="e">
        <f>AMORLINC(1,#REF!,#REF!,#REF!,#REF!,#REF!,#REF!)</f>
        <v>#REF!</v>
      </c>
      <c r="E1579" s="2" t="b">
        <f>IFERROR(INDEX(ERROR(0),AMORLINC(SET.NAME("_",+INDEX(1,)),#REF!,#REF!,#REF!,#REF!,#REF!,#REF!)),RETURN(INDEX(TYPE(_),SET.NAME("_"))))</f>
        <v>0</v>
      </c>
      <c r="F1579" s="2" t="b">
        <f>IFERROR(INDEX(ERROR(0),AMORLINC(INDIRECT(SET.NAME({1,"_"},)),#REF!,#REF!,#REF!,#REF!,#REF!,#REF!)),RETURN(INDEX(TYPE(_),SET.NAME("_"))))</f>
        <v>0</v>
      </c>
      <c r="G1579" s="2">
        <f>TYPE(INDEX(,AMORLINC(INDEX(1,),#REF!,#REF!,#REF!,#REF!,#REF!,#REF!)))</f>
        <v>64</v>
      </c>
    </row>
    <row r="1580" spans="1:7" x14ac:dyDescent="0.55000000000000004">
      <c r="A1580" s="1" t="s">
        <v>1897</v>
      </c>
      <c r="B1580" s="2">
        <f>COUNTIF(A:A,A1580)-1</f>
        <v>7</v>
      </c>
      <c r="C1580" s="2">
        <f>COUNTIF(A$1:A1580,A1580)-1</f>
        <v>2</v>
      </c>
      <c r="D1580" s="2" t="e">
        <f>AMORLINC(#REF!,1,#REF!,#REF!,#REF!,#REF!,#REF!)</f>
        <v>#REF!</v>
      </c>
      <c r="E1580" s="2" t="b">
        <f>IFERROR(INDEX(ERROR(0),AMORLINC(#REF!,SET.NAME("_",+INDEX(1,)),#REF!,#REF!,#REF!,#REF!,#REF!)),RETURN(INDEX(TYPE(_),SET.NAME("_"))))</f>
        <v>0</v>
      </c>
      <c r="F1580" s="2" t="b">
        <f>IFERROR(INDEX(ERROR(0),AMORLINC(#REF!,INDIRECT(SET.NAME({1,"_"},)),#REF!,#REF!,#REF!,#REF!,#REF!)),RETURN(INDEX(TYPE(_),SET.NAME("_"))))</f>
        <v>0</v>
      </c>
      <c r="G1580" s="2">
        <f>TYPE(INDEX(,AMORLINC(#REF!,INDEX(1,),#REF!,#REF!,#REF!,#REF!,#REF!)))</f>
        <v>64</v>
      </c>
    </row>
    <row r="1581" spans="1:7" x14ac:dyDescent="0.55000000000000004">
      <c r="A1581" s="1" t="s">
        <v>1897</v>
      </c>
      <c r="B1581" s="2">
        <f>COUNTIF(A:A,A1581)-1</f>
        <v>7</v>
      </c>
      <c r="C1581" s="2">
        <f>COUNTIF(A$1:A1581,A1581)-1</f>
        <v>3</v>
      </c>
      <c r="D1581" s="2" t="e">
        <f>AMORLINC(#REF!,#REF!,1,#REF!,#REF!,#REF!,#REF!)</f>
        <v>#REF!</v>
      </c>
      <c r="E1581" s="2" t="b">
        <f>IFERROR(INDEX(ERROR(0),AMORLINC(#REF!,#REF!,SET.NAME("_",+INDEX(1,)),#REF!,#REF!,#REF!,#REF!)),RETURN(INDEX(TYPE(_),SET.NAME("_"))))</f>
        <v>0</v>
      </c>
      <c r="F1581" s="2" t="b">
        <f>IFERROR(INDEX(ERROR(0),AMORLINC(#REF!,#REF!,INDIRECT(SET.NAME({1,"_"},)),#REF!,#REF!,#REF!,#REF!)),RETURN(INDEX(TYPE(_),SET.NAME("_"))))</f>
        <v>0</v>
      </c>
      <c r="G1581" s="2">
        <f>TYPE(INDEX(,AMORLINC(#REF!,#REF!,INDEX(1,),#REF!,#REF!,#REF!,#REF!)))</f>
        <v>64</v>
      </c>
    </row>
    <row r="1582" spans="1:7" x14ac:dyDescent="0.55000000000000004">
      <c r="A1582" s="1" t="s">
        <v>1897</v>
      </c>
      <c r="B1582" s="2">
        <f>COUNTIF(A:A,A1582)-1</f>
        <v>7</v>
      </c>
      <c r="C1582" s="2">
        <f>COUNTIF(A$1:A1582,A1582)-1</f>
        <v>4</v>
      </c>
      <c r="D1582" s="2" t="e">
        <f>AMORLINC(#REF!,#REF!,#REF!,1,#REF!,#REF!,#REF!)</f>
        <v>#REF!</v>
      </c>
      <c r="E1582" s="2" t="b">
        <f>IFERROR(INDEX(ERROR(0),AMORLINC(#REF!,#REF!,#REF!,SET.NAME("_",+INDEX(1,)),#REF!,#REF!,#REF!)),RETURN(INDEX(TYPE(_),SET.NAME("_"))))</f>
        <v>0</v>
      </c>
      <c r="F1582" s="2" t="b">
        <f>IFERROR(INDEX(ERROR(0),AMORLINC(#REF!,#REF!,#REF!,INDIRECT(SET.NAME({1,"_"},)),#REF!,#REF!,#REF!)),RETURN(INDEX(TYPE(_),SET.NAME("_"))))</f>
        <v>0</v>
      </c>
      <c r="G1582" s="2">
        <f>TYPE(INDEX(,AMORLINC(#REF!,#REF!,#REF!,INDEX(1,),#REF!,#REF!,#REF!)))</f>
        <v>64</v>
      </c>
    </row>
    <row r="1583" spans="1:7" x14ac:dyDescent="0.55000000000000004">
      <c r="A1583" s="1" t="s">
        <v>1897</v>
      </c>
      <c r="B1583" s="2">
        <f>COUNTIF(A:A,A1583)-1</f>
        <v>7</v>
      </c>
      <c r="C1583" s="2">
        <f>COUNTIF(A$1:A1583,A1583)-1</f>
        <v>5</v>
      </c>
      <c r="D1583" s="2" t="e">
        <f>AMORLINC(#REF!,#REF!,#REF!,#REF!,1,#REF!,#REF!)</f>
        <v>#REF!</v>
      </c>
      <c r="E1583" s="2" t="b">
        <f>IFERROR(INDEX(ERROR(0),AMORLINC(#REF!,#REF!,#REF!,#REF!,SET.NAME("_",+INDEX(1,)),#REF!,#REF!)),RETURN(INDEX(TYPE(_),SET.NAME("_"))))</f>
        <v>0</v>
      </c>
      <c r="F1583" s="2" t="b">
        <f>IFERROR(INDEX(ERROR(0),AMORLINC(#REF!,#REF!,#REF!,#REF!,INDIRECT(SET.NAME({1,"_"},)),#REF!,#REF!)),RETURN(INDEX(TYPE(_),SET.NAME("_"))))</f>
        <v>0</v>
      </c>
      <c r="G1583" s="2">
        <f>TYPE(INDEX(,AMORLINC(#REF!,#REF!,#REF!,#REF!,INDEX(1,),#REF!,#REF!)))</f>
        <v>64</v>
      </c>
    </row>
    <row r="1584" spans="1:7" x14ac:dyDescent="0.55000000000000004">
      <c r="A1584" s="1" t="s">
        <v>1897</v>
      </c>
      <c r="B1584" s="2">
        <f>COUNTIF(A:A,A1584)-1</f>
        <v>7</v>
      </c>
      <c r="C1584" s="2">
        <f>COUNTIF(A$1:A1584,A1584)-1</f>
        <v>6</v>
      </c>
      <c r="D1584" s="2" t="e">
        <f>AMORLINC(#REF!,#REF!,#REF!,#REF!,#REF!,1,#REF!)</f>
        <v>#REF!</v>
      </c>
      <c r="E1584" s="2" t="b">
        <f>IFERROR(INDEX(ERROR(0),AMORLINC(#REF!,#REF!,#REF!,#REF!,#REF!,SET.NAME("_",+INDEX(1,)),#REF!)),RETURN(INDEX(TYPE(_),SET.NAME("_"))))</f>
        <v>0</v>
      </c>
      <c r="F1584" s="2" t="b">
        <f>IFERROR(INDEX(ERROR(0),AMORLINC(#REF!,#REF!,#REF!,#REF!,#REF!,INDIRECT(SET.NAME({1,"_"},)),#REF!)),RETURN(INDEX(TYPE(_),SET.NAME("_"))))</f>
        <v>0</v>
      </c>
      <c r="G1584" s="2">
        <f>TYPE(INDEX(,AMORLINC(#REF!,#REF!,#REF!,#REF!,#REF!,INDEX(1,),#REF!)))</f>
        <v>64</v>
      </c>
    </row>
    <row r="1585" spans="1:7" x14ac:dyDescent="0.55000000000000004">
      <c r="A1585" s="1" t="s">
        <v>1897</v>
      </c>
      <c r="B1585" s="2">
        <f>COUNTIF(A:A,A1585)-1</f>
        <v>7</v>
      </c>
      <c r="C1585" s="2">
        <f>COUNTIF(A$1:A1585,A1585)-1</f>
        <v>7</v>
      </c>
      <c r="D1585" s="2" t="e">
        <f>AMORLINC(#REF!,#REF!,#REF!,#REF!,#REF!,#REF!,1)</f>
        <v>#REF!</v>
      </c>
      <c r="E1585" s="2" t="b">
        <f>IFERROR(INDEX(ERROR(0),AMORLINC(#REF!,#REF!,#REF!,#REF!,#REF!,#REF!,SET.NAME("_",+INDEX(1,)))),RETURN(INDEX(TYPE(_),SET.NAME("_"))))</f>
        <v>0</v>
      </c>
      <c r="F1585" s="2" t="b">
        <f>IFERROR(INDEX(ERROR(0),AMORLINC(#REF!,#REF!,#REF!,#REF!,#REF!,#REF!,INDIRECT(SET.NAME({1,"_"},)))),RETURN(INDEX(TYPE(_),SET.NAME("_"))))</f>
        <v>0</v>
      </c>
      <c r="G1585" s="2">
        <f>TYPE(INDEX(,AMORLINC(#REF!,#REF!,#REF!,#REF!,#REF!,#REF!,INDEX(1,))))</f>
        <v>64</v>
      </c>
    </row>
    <row r="1586" spans="1:7" x14ac:dyDescent="0.55000000000000004">
      <c r="A1586" s="1" t="s">
        <v>1898</v>
      </c>
      <c r="B1586" s="2">
        <f>COUNTIF(A:A,A1586)-1</f>
        <v>3</v>
      </c>
      <c r="C1586" s="2">
        <f>COUNTIF(A$1:A1586,A1586)-1</f>
        <v>0</v>
      </c>
      <c r="D1586" s="2"/>
      <c r="E1586" s="2"/>
      <c r="F1586" s="2"/>
      <c r="G1586" s="2"/>
    </row>
    <row r="1587" spans="1:7" x14ac:dyDescent="0.55000000000000004">
      <c r="A1587" s="1" t="s">
        <v>1898</v>
      </c>
      <c r="B1587" s="2">
        <f>COUNTIF(A:A,A1587)-1</f>
        <v>3</v>
      </c>
      <c r="C1587" s="2">
        <f>COUNTIF(A$1:A1587,A1587)-1</f>
        <v>1</v>
      </c>
      <c r="D1587" s="2" t="e">
        <f>CONVERT(1,#REF!,#REF!)</f>
        <v>#REF!</v>
      </c>
      <c r="E1587" s="2" t="b">
        <f>IFERROR(INDEX(ERROR(0),CONVERT(SET.NAME("_",+INDEX(1,)),#REF!,#REF!)),RETURN(INDEX(TYPE(_),SET.NAME("_"))))</f>
        <v>0</v>
      </c>
      <c r="F1587" s="2" t="b">
        <f>IFERROR(INDEX(ERROR(0),CONVERT(INDIRECT(SET.NAME({1,"_"},)),#REF!,#REF!)),RETURN(INDEX(TYPE(_),SET.NAME("_"))))</f>
        <v>0</v>
      </c>
      <c r="G1587" s="2">
        <f>TYPE(INDEX(,CONVERT(INDEX(1,),#REF!,#REF!)))</f>
        <v>64</v>
      </c>
    </row>
    <row r="1588" spans="1:7" x14ac:dyDescent="0.55000000000000004">
      <c r="A1588" s="1" t="s">
        <v>1898</v>
      </c>
      <c r="B1588" s="2">
        <f>COUNTIF(A:A,A1588)-1</f>
        <v>3</v>
      </c>
      <c r="C1588" s="2">
        <f>COUNTIF(A$1:A1588,A1588)-1</f>
        <v>2</v>
      </c>
      <c r="D1588" s="2" t="e">
        <f>CONVERT(#REF!,1,#REF!)</f>
        <v>#REF!</v>
      </c>
      <c r="E1588" s="2" t="b">
        <f>IFERROR(INDEX(ERROR(0),CONVERT(#REF!,SET.NAME("_",+INDEX(1,)),#REF!)),RETURN(INDEX(TYPE(_),SET.NAME("_"))))</f>
        <v>0</v>
      </c>
      <c r="F1588" s="2" t="b">
        <f>IFERROR(INDEX(ERROR(0),CONVERT(#REF!,INDIRECT(SET.NAME({1,"_"},)),#REF!)),RETURN(INDEX(TYPE(_),SET.NAME("_"))))</f>
        <v>0</v>
      </c>
      <c r="G1588" s="2">
        <f>TYPE(INDEX(,CONVERT(#REF!,INDEX(1,),#REF!)))</f>
        <v>64</v>
      </c>
    </row>
    <row r="1589" spans="1:7" x14ac:dyDescent="0.55000000000000004">
      <c r="A1589" s="1" t="s">
        <v>1898</v>
      </c>
      <c r="B1589" s="2">
        <f>COUNTIF(A:A,A1589)-1</f>
        <v>3</v>
      </c>
      <c r="C1589" s="2">
        <f>COUNTIF(A$1:A1589,A1589)-1</f>
        <v>3</v>
      </c>
      <c r="D1589" s="2" t="e">
        <f>CONVERT(#REF!,#REF!,1)</f>
        <v>#REF!</v>
      </c>
      <c r="E1589" s="2" t="b">
        <f>IFERROR(INDEX(ERROR(0),CONVERT(#REF!,#REF!,SET.NAME("_",+INDEX(1,)))),RETURN(INDEX(TYPE(_),SET.NAME("_"))))</f>
        <v>0</v>
      </c>
      <c r="F1589" s="2" t="b">
        <f>IFERROR(INDEX(ERROR(0),CONVERT(#REF!,#REF!,INDIRECT(SET.NAME({1,"_"},)))),RETURN(INDEX(TYPE(_),SET.NAME("_"))))</f>
        <v>0</v>
      </c>
      <c r="G1589" s="2">
        <f>TYPE(INDEX(,CONVERT(#REF!,#REF!,INDEX(1,))))</f>
        <v>64</v>
      </c>
    </row>
    <row r="1590" spans="1:7" x14ac:dyDescent="0.55000000000000004">
      <c r="A1590" s="1" t="s">
        <v>1899</v>
      </c>
      <c r="B1590" s="2">
        <f>COUNTIF(A:A,A1590)-1</f>
        <v>8</v>
      </c>
      <c r="C1590" s="2">
        <f>COUNTIF(A$1:A1590,A1590)-1</f>
        <v>0</v>
      </c>
      <c r="D1590" s="2"/>
      <c r="E1590" s="2"/>
      <c r="F1590" s="2"/>
      <c r="G1590" s="2"/>
    </row>
    <row r="1591" spans="1:7" x14ac:dyDescent="0.55000000000000004">
      <c r="A1591" s="1" t="s">
        <v>1899</v>
      </c>
      <c r="B1591" s="2">
        <f>COUNTIF(A:A,A1591)-1</f>
        <v>8</v>
      </c>
      <c r="C1591" s="2">
        <f>COUNTIF(A$1:A1591,A1591)-1</f>
        <v>1</v>
      </c>
      <c r="D1591" s="2" t="e">
        <f>ACCRINT(1,#REF!,#REF!,#REF!,#REF!,#REF!,#REF!,#REF!)</f>
        <v>#REF!</v>
      </c>
      <c r="E1591" s="2" t="b">
        <f>IFERROR(INDEX(ERROR(0),ACCRINT(SET.NAME("_",+INDEX(1,)),#REF!,#REF!,#REF!,#REF!,#REF!,#REF!,#REF!)),RETURN(INDEX(TYPE(_),SET.NAME("_"))))</f>
        <v>0</v>
      </c>
      <c r="F1591" s="2" t="b">
        <f>IFERROR(INDEX(ERROR(0),ACCRINT(INDIRECT(SET.NAME({1,"_"},)),#REF!,#REF!,#REF!,#REF!,#REF!,#REF!,#REF!)),RETURN(INDEX(TYPE(_),SET.NAME("_"))))</f>
        <v>0</v>
      </c>
      <c r="G1591" s="2">
        <f>TYPE(INDEX(,ACCRINT(INDEX(1,),#REF!,#REF!,#REF!,#REF!,#REF!,#REF!,#REF!)))</f>
        <v>64</v>
      </c>
    </row>
    <row r="1592" spans="1:7" x14ac:dyDescent="0.55000000000000004">
      <c r="A1592" s="1" t="s">
        <v>1899</v>
      </c>
      <c r="B1592" s="2">
        <f>COUNTIF(A:A,A1592)-1</f>
        <v>8</v>
      </c>
      <c r="C1592" s="2">
        <f>COUNTIF(A$1:A1592,A1592)-1</f>
        <v>2</v>
      </c>
      <c r="D1592" s="2" t="e">
        <f>ACCRINT(#REF!,1,#REF!,#REF!,#REF!,#REF!,#REF!,#REF!)</f>
        <v>#REF!</v>
      </c>
      <c r="E1592" s="2" t="b">
        <f>IFERROR(INDEX(ERROR(0),ACCRINT(#REF!,SET.NAME("_",+INDEX(1,)),#REF!,#REF!,#REF!,#REF!,#REF!,#REF!)),RETURN(INDEX(TYPE(_),SET.NAME("_"))))</f>
        <v>0</v>
      </c>
      <c r="F1592" s="2" t="b">
        <f>IFERROR(INDEX(ERROR(0),ACCRINT(#REF!,INDIRECT(SET.NAME({1,"_"},)),#REF!,#REF!,#REF!,#REF!,#REF!,#REF!)),RETURN(INDEX(TYPE(_),SET.NAME("_"))))</f>
        <v>0</v>
      </c>
      <c r="G1592" s="2">
        <f>TYPE(INDEX(,ACCRINT(#REF!,INDEX(1,),#REF!,#REF!,#REF!,#REF!,#REF!,#REF!)))</f>
        <v>64</v>
      </c>
    </row>
    <row r="1593" spans="1:7" x14ac:dyDescent="0.55000000000000004">
      <c r="A1593" s="1" t="s">
        <v>1899</v>
      </c>
      <c r="B1593" s="2">
        <f>COUNTIF(A:A,A1593)-1</f>
        <v>8</v>
      </c>
      <c r="C1593" s="2">
        <f>COUNTIF(A$1:A1593,A1593)-1</f>
        <v>3</v>
      </c>
      <c r="D1593" s="2" t="e">
        <f>ACCRINT(#REF!,#REF!,1,#REF!,#REF!,#REF!,#REF!,#REF!)</f>
        <v>#REF!</v>
      </c>
      <c r="E1593" s="2" t="b">
        <f>IFERROR(INDEX(ERROR(0),ACCRINT(#REF!,#REF!,SET.NAME("_",+INDEX(1,)),#REF!,#REF!,#REF!,#REF!,#REF!)),RETURN(INDEX(TYPE(_),SET.NAME("_"))))</f>
        <v>0</v>
      </c>
      <c r="F1593" s="2" t="b">
        <f>IFERROR(INDEX(ERROR(0),ACCRINT(#REF!,#REF!,INDIRECT(SET.NAME({1,"_"},)),#REF!,#REF!,#REF!,#REF!,#REF!)),RETURN(INDEX(TYPE(_),SET.NAME("_"))))</f>
        <v>0</v>
      </c>
      <c r="G1593" s="2">
        <f>TYPE(INDEX(,ACCRINT(#REF!,#REF!,INDEX(1,),#REF!,#REF!,#REF!,#REF!,#REF!)))</f>
        <v>64</v>
      </c>
    </row>
    <row r="1594" spans="1:7" x14ac:dyDescent="0.55000000000000004">
      <c r="A1594" s="1" t="s">
        <v>1899</v>
      </c>
      <c r="B1594" s="2">
        <f>COUNTIF(A:A,A1594)-1</f>
        <v>8</v>
      </c>
      <c r="C1594" s="2">
        <f>COUNTIF(A$1:A1594,A1594)-1</f>
        <v>4</v>
      </c>
      <c r="D1594" s="2" t="e">
        <f>ACCRINT(#REF!,#REF!,#REF!,1,#REF!,#REF!,#REF!,#REF!)</f>
        <v>#REF!</v>
      </c>
      <c r="E1594" s="2" t="b">
        <f>IFERROR(INDEX(ERROR(0),ACCRINT(#REF!,#REF!,#REF!,SET.NAME("_",+INDEX(1,)),#REF!,#REF!,#REF!,#REF!)),RETURN(INDEX(TYPE(_),SET.NAME("_"))))</f>
        <v>0</v>
      </c>
      <c r="F1594" s="2" t="b">
        <f>IFERROR(INDEX(ERROR(0),ACCRINT(#REF!,#REF!,#REF!,INDIRECT(SET.NAME({1,"_"},)),#REF!,#REF!,#REF!,#REF!)),RETURN(INDEX(TYPE(_),SET.NAME("_"))))</f>
        <v>0</v>
      </c>
      <c r="G1594" s="2">
        <f>TYPE(INDEX(,ACCRINT(#REF!,#REF!,#REF!,INDEX(1,),#REF!,#REF!,#REF!,#REF!)))</f>
        <v>64</v>
      </c>
    </row>
    <row r="1595" spans="1:7" x14ac:dyDescent="0.55000000000000004">
      <c r="A1595" s="1" t="s">
        <v>1899</v>
      </c>
      <c r="B1595" s="2">
        <f>COUNTIF(A:A,A1595)-1</f>
        <v>8</v>
      </c>
      <c r="C1595" s="2">
        <f>COUNTIF(A$1:A1595,A1595)-1</f>
        <v>5</v>
      </c>
      <c r="D1595" s="2" t="e">
        <f>ACCRINT(#REF!,#REF!,#REF!,#REF!,1,#REF!,#REF!,#REF!)</f>
        <v>#REF!</v>
      </c>
      <c r="E1595" s="2" t="b">
        <f>IFERROR(INDEX(ERROR(0),ACCRINT(#REF!,#REF!,#REF!,#REF!,SET.NAME("_",+INDEX(1,)),#REF!,#REF!,#REF!)),RETURN(INDEX(TYPE(_),SET.NAME("_"))))</f>
        <v>0</v>
      </c>
      <c r="F1595" s="2" t="b">
        <f>IFERROR(INDEX(ERROR(0),ACCRINT(#REF!,#REF!,#REF!,#REF!,INDIRECT(SET.NAME({1,"_"},)),#REF!,#REF!,#REF!)),RETURN(INDEX(TYPE(_),SET.NAME("_"))))</f>
        <v>0</v>
      </c>
      <c r="G1595" s="2">
        <f>TYPE(INDEX(,ACCRINT(#REF!,#REF!,#REF!,#REF!,INDEX(1,),#REF!,#REF!,#REF!)))</f>
        <v>64</v>
      </c>
    </row>
    <row r="1596" spans="1:7" x14ac:dyDescent="0.55000000000000004">
      <c r="A1596" s="1" t="s">
        <v>1899</v>
      </c>
      <c r="B1596" s="2">
        <f>COUNTIF(A:A,A1596)-1</f>
        <v>8</v>
      </c>
      <c r="C1596" s="2">
        <f>COUNTIF(A$1:A1596,A1596)-1</f>
        <v>6</v>
      </c>
      <c r="D1596" s="2" t="e">
        <f>ACCRINT(#REF!,#REF!,#REF!,#REF!,#REF!,1,#REF!,#REF!)</f>
        <v>#REF!</v>
      </c>
      <c r="E1596" s="2" t="b">
        <f>IFERROR(INDEX(ERROR(0),ACCRINT(#REF!,#REF!,#REF!,#REF!,#REF!,SET.NAME("_",+INDEX(1,)),#REF!,#REF!)),RETURN(INDEX(TYPE(_),SET.NAME("_"))))</f>
        <v>0</v>
      </c>
      <c r="F1596" s="2" t="b">
        <f>IFERROR(INDEX(ERROR(0),ACCRINT(#REF!,#REF!,#REF!,#REF!,#REF!,INDIRECT(SET.NAME({1,"_"},)),#REF!,#REF!)),RETURN(INDEX(TYPE(_),SET.NAME("_"))))</f>
        <v>0</v>
      </c>
      <c r="G1596" s="2">
        <f>TYPE(INDEX(,ACCRINT(#REF!,#REF!,#REF!,#REF!,#REF!,INDEX(1,),#REF!,#REF!)))</f>
        <v>64</v>
      </c>
    </row>
    <row r="1597" spans="1:7" x14ac:dyDescent="0.55000000000000004">
      <c r="A1597" s="1" t="s">
        <v>1899</v>
      </c>
      <c r="B1597" s="2">
        <f>COUNTIF(A:A,A1597)-1</f>
        <v>8</v>
      </c>
      <c r="C1597" s="2">
        <f>COUNTIF(A$1:A1597,A1597)-1</f>
        <v>7</v>
      </c>
      <c r="D1597" s="2" t="e">
        <f>ACCRINT(#REF!,#REF!,#REF!,#REF!,#REF!,#REF!,1,#REF!)</f>
        <v>#REF!</v>
      </c>
      <c r="E1597" s="2" t="b">
        <f>IFERROR(INDEX(ERROR(0),ACCRINT(#REF!,#REF!,#REF!,#REF!,#REF!,#REF!,SET.NAME("_",+INDEX(1,)),#REF!)),RETURN(INDEX(TYPE(_),SET.NAME("_"))))</f>
        <v>0</v>
      </c>
      <c r="F1597" s="2" t="b">
        <f>IFERROR(INDEX(ERROR(0),ACCRINT(#REF!,#REF!,#REF!,#REF!,#REF!,#REF!,INDIRECT(SET.NAME({1,"_"},)),#REF!)),RETURN(INDEX(TYPE(_),SET.NAME("_"))))</f>
        <v>0</v>
      </c>
      <c r="G1597" s="2">
        <f>TYPE(INDEX(,ACCRINT(#REF!,#REF!,#REF!,#REF!,#REF!,#REF!,INDEX(1,),#REF!)))</f>
        <v>64</v>
      </c>
    </row>
    <row r="1598" spans="1:7" x14ac:dyDescent="0.55000000000000004">
      <c r="A1598" s="1" t="s">
        <v>1899</v>
      </c>
      <c r="B1598" s="2">
        <f>COUNTIF(A:A,A1598)-1</f>
        <v>8</v>
      </c>
      <c r="C1598" s="2">
        <f>COUNTIF(A$1:A1598,A1598)-1</f>
        <v>8</v>
      </c>
      <c r="D1598" s="2" t="e">
        <f>ACCRINT(#REF!,#REF!,#REF!,#REF!,#REF!,#REF!,#REF!,1)</f>
        <v>#REF!</v>
      </c>
      <c r="E1598" s="2" t="b">
        <f>IFERROR(INDEX(ERROR(0),ACCRINT(#REF!,#REF!,#REF!,#REF!,#REF!,#REF!,#REF!,SET.NAME("_",+INDEX(1,)))),RETURN(INDEX(TYPE(_),SET.NAME("_"))))</f>
        <v>0</v>
      </c>
      <c r="F1598" s="2" t="b">
        <f>IFERROR(INDEX(ERROR(0),ACCRINT(#REF!,#REF!,#REF!,#REF!,#REF!,#REF!,#REF!,INDIRECT(SET.NAME({1,"_"},)))),RETURN(INDEX(TYPE(_),SET.NAME("_"))))</f>
        <v>0</v>
      </c>
      <c r="G1598" s="2">
        <f>TYPE(INDEX(,ACCRINT(#REF!,#REF!,#REF!,#REF!,#REF!,#REF!,#REF!,INDEX(1,))))</f>
        <v>64</v>
      </c>
    </row>
    <row r="1599" spans="1:7" x14ac:dyDescent="0.55000000000000004">
      <c r="A1599" s="1" t="s">
        <v>1900</v>
      </c>
      <c r="B1599" s="2">
        <f>COUNTIF(A:A,A1599)-1</f>
        <v>5</v>
      </c>
      <c r="C1599" s="2">
        <f>COUNTIF(A$1:A1599,A1599)-1</f>
        <v>0</v>
      </c>
      <c r="D1599" s="2"/>
      <c r="E1599" s="2"/>
      <c r="F1599" s="2"/>
      <c r="G1599" s="2"/>
    </row>
    <row r="1600" spans="1:7" x14ac:dyDescent="0.55000000000000004">
      <c r="A1600" s="1" t="s">
        <v>1900</v>
      </c>
      <c r="B1600" s="2">
        <f>COUNTIF(A:A,A1600)-1</f>
        <v>5</v>
      </c>
      <c r="C1600" s="2">
        <f>COUNTIF(A$1:A1600,A1600)-1</f>
        <v>1</v>
      </c>
      <c r="D1600" s="2" t="e">
        <f>ACCRINTM(1,#REF!,#REF!,#REF!,#REF!)</f>
        <v>#REF!</v>
      </c>
      <c r="E1600" s="2" t="b">
        <f>IFERROR(INDEX(ERROR(0),ACCRINTM(SET.NAME("_",+INDEX(1,)),#REF!,#REF!,#REF!,#REF!)),RETURN(INDEX(TYPE(_),SET.NAME("_"))))</f>
        <v>0</v>
      </c>
      <c r="F1600" s="2" t="b">
        <f>IFERROR(INDEX(ERROR(0),ACCRINTM(INDIRECT(SET.NAME({1,"_"},)),#REF!,#REF!,#REF!,#REF!)),RETURN(INDEX(TYPE(_),SET.NAME("_"))))</f>
        <v>0</v>
      </c>
      <c r="G1600" s="2">
        <f>TYPE(INDEX(,ACCRINTM(INDEX(1,),#REF!,#REF!,#REF!,#REF!)))</f>
        <v>64</v>
      </c>
    </row>
    <row r="1601" spans="1:7" x14ac:dyDescent="0.55000000000000004">
      <c r="A1601" s="1" t="s">
        <v>1900</v>
      </c>
      <c r="B1601" s="2">
        <f>COUNTIF(A:A,A1601)-1</f>
        <v>5</v>
      </c>
      <c r="C1601" s="2">
        <f>COUNTIF(A$1:A1601,A1601)-1</f>
        <v>2</v>
      </c>
      <c r="D1601" s="2" t="e">
        <f>ACCRINTM(#REF!,1,#REF!,#REF!,#REF!)</f>
        <v>#REF!</v>
      </c>
      <c r="E1601" s="2" t="b">
        <f>IFERROR(INDEX(ERROR(0),ACCRINTM(#REF!,SET.NAME("_",+INDEX(1,)),#REF!,#REF!,#REF!)),RETURN(INDEX(TYPE(_),SET.NAME("_"))))</f>
        <v>0</v>
      </c>
      <c r="F1601" s="2" t="b">
        <f>IFERROR(INDEX(ERROR(0),ACCRINTM(#REF!,INDIRECT(SET.NAME({1,"_"},)),#REF!,#REF!,#REF!)),RETURN(INDEX(TYPE(_),SET.NAME("_"))))</f>
        <v>0</v>
      </c>
      <c r="G1601" s="2">
        <f>TYPE(INDEX(,ACCRINTM(#REF!,INDEX(1,),#REF!,#REF!,#REF!)))</f>
        <v>64</v>
      </c>
    </row>
    <row r="1602" spans="1:7" x14ac:dyDescent="0.55000000000000004">
      <c r="A1602" s="1" t="s">
        <v>1900</v>
      </c>
      <c r="B1602" s="2">
        <f>COUNTIF(A:A,A1602)-1</f>
        <v>5</v>
      </c>
      <c r="C1602" s="2">
        <f>COUNTIF(A$1:A1602,A1602)-1</f>
        <v>3</v>
      </c>
      <c r="D1602" s="2" t="e">
        <f>ACCRINTM(#REF!,#REF!,1,#REF!,#REF!)</f>
        <v>#REF!</v>
      </c>
      <c r="E1602" s="2" t="b">
        <f>IFERROR(INDEX(ERROR(0),ACCRINTM(#REF!,#REF!,SET.NAME("_",+INDEX(1,)),#REF!,#REF!)),RETURN(INDEX(TYPE(_),SET.NAME("_"))))</f>
        <v>0</v>
      </c>
      <c r="F1602" s="2" t="b">
        <f>IFERROR(INDEX(ERROR(0),ACCRINTM(#REF!,#REF!,INDIRECT(SET.NAME({1,"_"},)),#REF!,#REF!)),RETURN(INDEX(TYPE(_),SET.NAME("_"))))</f>
        <v>0</v>
      </c>
      <c r="G1602" s="2">
        <f>TYPE(INDEX(,ACCRINTM(#REF!,#REF!,INDEX(1,),#REF!,#REF!)))</f>
        <v>64</v>
      </c>
    </row>
    <row r="1603" spans="1:7" x14ac:dyDescent="0.55000000000000004">
      <c r="A1603" s="1" t="s">
        <v>1900</v>
      </c>
      <c r="B1603" s="2">
        <f>COUNTIF(A:A,A1603)-1</f>
        <v>5</v>
      </c>
      <c r="C1603" s="2">
        <f>COUNTIF(A$1:A1603,A1603)-1</f>
        <v>4</v>
      </c>
      <c r="D1603" s="2" t="e">
        <f>ACCRINTM(#REF!,#REF!,#REF!,1,#REF!)</f>
        <v>#REF!</v>
      </c>
      <c r="E1603" s="2" t="b">
        <f>IFERROR(INDEX(ERROR(0),ACCRINTM(#REF!,#REF!,#REF!,SET.NAME("_",+INDEX(1,)),#REF!)),RETURN(INDEX(TYPE(_),SET.NAME("_"))))</f>
        <v>0</v>
      </c>
      <c r="F1603" s="2" t="b">
        <f>IFERROR(INDEX(ERROR(0),ACCRINTM(#REF!,#REF!,#REF!,INDIRECT(SET.NAME({1,"_"},)),#REF!)),RETURN(INDEX(TYPE(_),SET.NAME("_"))))</f>
        <v>0</v>
      </c>
      <c r="G1603" s="2">
        <f>TYPE(INDEX(,ACCRINTM(#REF!,#REF!,#REF!,INDEX(1,),#REF!)))</f>
        <v>64</v>
      </c>
    </row>
    <row r="1604" spans="1:7" x14ac:dyDescent="0.55000000000000004">
      <c r="A1604" s="1" t="s">
        <v>1900</v>
      </c>
      <c r="B1604" s="2">
        <f>COUNTIF(A:A,A1604)-1</f>
        <v>5</v>
      </c>
      <c r="C1604" s="2">
        <f>COUNTIF(A$1:A1604,A1604)-1</f>
        <v>5</v>
      </c>
      <c r="D1604" s="2" t="e">
        <f>ACCRINTM(#REF!,#REF!,#REF!,#REF!,1)</f>
        <v>#REF!</v>
      </c>
      <c r="E1604" s="2" t="b">
        <f>IFERROR(INDEX(ERROR(0),ACCRINTM(#REF!,#REF!,#REF!,#REF!,SET.NAME("_",+INDEX(1,)))),RETURN(INDEX(TYPE(_),SET.NAME("_"))))</f>
        <v>0</v>
      </c>
      <c r="F1604" s="2" t="b">
        <f>IFERROR(INDEX(ERROR(0),ACCRINTM(#REF!,#REF!,#REF!,#REF!,INDIRECT(SET.NAME({1,"_"},)))),RETURN(INDEX(TYPE(_),SET.NAME("_"))))</f>
        <v>0</v>
      </c>
      <c r="G1604" s="2">
        <f>TYPE(INDEX(,ACCRINTM(#REF!,#REF!,#REF!,#REF!,INDEX(1,))))</f>
        <v>64</v>
      </c>
    </row>
    <row r="1605" spans="1:7" x14ac:dyDescent="0.55000000000000004">
      <c r="A1605" s="1" t="s">
        <v>1901</v>
      </c>
      <c r="B1605" s="2">
        <f>COUNTIF(A:A,A1605)-1</f>
        <v>3</v>
      </c>
      <c r="C1605" s="2">
        <f>COUNTIF(A$1:A1605,A1605)-1</f>
        <v>0</v>
      </c>
      <c r="D1605" s="2"/>
      <c r="E1605" s="2"/>
      <c r="F1605" s="2"/>
      <c r="G1605" s="2"/>
    </row>
    <row r="1606" spans="1:7" x14ac:dyDescent="0.55000000000000004">
      <c r="A1606" s="1" t="s">
        <v>1901</v>
      </c>
      <c r="B1606" s="2">
        <f>COUNTIF(A:A,A1606)-1</f>
        <v>3</v>
      </c>
      <c r="C1606" s="2">
        <f>COUNTIF(A$1:A1606,A1606)-1</f>
        <v>1</v>
      </c>
      <c r="D1606" s="2" t="e">
        <f>WORKDAY(1,#REF!,#REF!)</f>
        <v>#REF!</v>
      </c>
      <c r="E1606" s="2" t="b">
        <f>IFERROR(INDEX(ERROR(0),WORKDAY(SET.NAME("_",+INDEX(1,)),#REF!,#REF!)),RETURN(INDEX(TYPE(_),SET.NAME("_"))))</f>
        <v>0</v>
      </c>
      <c r="F1606" s="2" t="b">
        <f>IFERROR(INDEX(ERROR(0),WORKDAY(INDIRECT(SET.NAME({1,"_"},)),#REF!,#REF!)),RETURN(INDEX(TYPE(_),SET.NAME("_"))))</f>
        <v>0</v>
      </c>
      <c r="G1606" s="2">
        <f>TYPE(INDEX(,WORKDAY(INDEX(1,),#REF!,#REF!)))</f>
        <v>64</v>
      </c>
    </row>
    <row r="1607" spans="1:7" x14ac:dyDescent="0.55000000000000004">
      <c r="A1607" s="1" t="s">
        <v>1901</v>
      </c>
      <c r="B1607" s="2">
        <f>COUNTIF(A:A,A1607)-1</f>
        <v>3</v>
      </c>
      <c r="C1607" s="2">
        <f>COUNTIF(A$1:A1607,A1607)-1</f>
        <v>2</v>
      </c>
      <c r="D1607" s="2" t="e">
        <f>WORKDAY(#REF!,1,#REF!)</f>
        <v>#REF!</v>
      </c>
      <c r="E1607" s="2" t="b">
        <f>IFERROR(INDEX(ERROR(0),WORKDAY(#REF!,SET.NAME("_",+INDEX(1,)),#REF!)),RETURN(INDEX(TYPE(_),SET.NAME("_"))))</f>
        <v>0</v>
      </c>
      <c r="F1607" s="2" t="b">
        <f>IFERROR(INDEX(ERROR(0),WORKDAY(#REF!,INDIRECT(SET.NAME({1,"_"},)),#REF!)),RETURN(INDEX(TYPE(_),SET.NAME("_"))))</f>
        <v>0</v>
      </c>
      <c r="G1607" s="2">
        <f>TYPE(INDEX(,WORKDAY(#REF!,INDEX(1,),#REF!)))</f>
        <v>64</v>
      </c>
    </row>
    <row r="1608" spans="1:7" x14ac:dyDescent="0.55000000000000004">
      <c r="A1608" s="1" t="s">
        <v>1901</v>
      </c>
      <c r="B1608" s="2">
        <f>COUNTIF(A:A,A1608)-1</f>
        <v>3</v>
      </c>
      <c r="C1608" s="2">
        <f>COUNTIF(A$1:A1608,A1608)-1</f>
        <v>3</v>
      </c>
      <c r="D1608" s="2" t="e">
        <f>WORKDAY(#REF!,#REF!,1)</f>
        <v>#REF!</v>
      </c>
      <c r="E1608" s="2" t="b">
        <f>IFERROR(INDEX(ERROR(0),WORKDAY(#REF!,#REF!,SET.NAME("_",+INDEX(1,)))),RETURN(INDEX(TYPE(_),SET.NAME("_"))))</f>
        <v>0</v>
      </c>
      <c r="F1608" s="2" t="b">
        <f>IFERROR(INDEX(ERROR(0),WORKDAY(#REF!,#REF!,INDIRECT(SET.NAME({1,"_"},)))),RETURN(INDEX(TYPE(_),SET.NAME("_"))))</f>
        <v>0</v>
      </c>
      <c r="G1608" s="2">
        <f>TYPE(INDEX(,WORKDAY(#REF!,#REF!,INDEX(1,))))</f>
        <v>16</v>
      </c>
    </row>
    <row r="1609" spans="1:7" x14ac:dyDescent="0.55000000000000004">
      <c r="A1609" s="1" t="s">
        <v>1902</v>
      </c>
      <c r="B1609" s="2">
        <f>COUNTIF(A:A,A1609)-1</f>
        <v>3</v>
      </c>
      <c r="C1609" s="2">
        <f>COUNTIF(A$1:A1609,A1609)-1</f>
        <v>0</v>
      </c>
      <c r="D1609" s="2"/>
      <c r="E1609" s="2"/>
      <c r="F1609" s="2"/>
      <c r="G1609" s="2"/>
    </row>
    <row r="1610" spans="1:7" x14ac:dyDescent="0.55000000000000004">
      <c r="A1610" s="1" t="s">
        <v>1902</v>
      </c>
      <c r="B1610" s="2">
        <f>COUNTIF(A:A,A1610)-1</f>
        <v>3</v>
      </c>
      <c r="C1610" s="2">
        <f>COUNTIF(A$1:A1610,A1610)-1</f>
        <v>1</v>
      </c>
      <c r="D1610" s="2" t="e">
        <f>NETWORKDAYS(1,#REF!,#REF!)</f>
        <v>#REF!</v>
      </c>
      <c r="E1610" s="2" t="b">
        <f>IFERROR(INDEX(ERROR(0),NETWORKDAYS(SET.NAME("_",+INDEX(1,)),#REF!,#REF!)),RETURN(INDEX(TYPE(_),SET.NAME("_"))))</f>
        <v>0</v>
      </c>
      <c r="F1610" s="2" t="b">
        <f>IFERROR(INDEX(ERROR(0),NETWORKDAYS(INDIRECT(SET.NAME({1,"_"},)),#REF!,#REF!)),RETURN(INDEX(TYPE(_),SET.NAME("_"))))</f>
        <v>0</v>
      </c>
      <c r="G1610" s="2">
        <f>TYPE(INDEX(,NETWORKDAYS(INDEX(1,),#REF!,#REF!)))</f>
        <v>64</v>
      </c>
    </row>
    <row r="1611" spans="1:7" x14ac:dyDescent="0.55000000000000004">
      <c r="A1611" s="1" t="s">
        <v>1902</v>
      </c>
      <c r="B1611" s="2">
        <f>COUNTIF(A:A,A1611)-1</f>
        <v>3</v>
      </c>
      <c r="C1611" s="2">
        <f>COUNTIF(A$1:A1611,A1611)-1</f>
        <v>2</v>
      </c>
      <c r="D1611" s="2" t="e">
        <f>NETWORKDAYS(#REF!,1,#REF!)</f>
        <v>#REF!</v>
      </c>
      <c r="E1611" s="2" t="b">
        <f>IFERROR(INDEX(ERROR(0),NETWORKDAYS(#REF!,SET.NAME("_",+INDEX(1,)),#REF!)),RETURN(INDEX(TYPE(_),SET.NAME("_"))))</f>
        <v>0</v>
      </c>
      <c r="F1611" s="2" t="b">
        <f>IFERROR(INDEX(ERROR(0),NETWORKDAYS(#REF!,INDIRECT(SET.NAME({1,"_"},)),#REF!)),RETURN(INDEX(TYPE(_),SET.NAME("_"))))</f>
        <v>0</v>
      </c>
      <c r="G1611" s="2">
        <f>TYPE(INDEX(,NETWORKDAYS(#REF!,INDEX(1,),#REF!)))</f>
        <v>64</v>
      </c>
    </row>
    <row r="1612" spans="1:7" x14ac:dyDescent="0.55000000000000004">
      <c r="A1612" s="1" t="s">
        <v>1902</v>
      </c>
      <c r="B1612" s="2">
        <f>COUNTIF(A:A,A1612)-1</f>
        <v>3</v>
      </c>
      <c r="C1612" s="2">
        <f>COUNTIF(A$1:A1612,A1612)-1</f>
        <v>3</v>
      </c>
      <c r="D1612" s="2" t="e">
        <f>NETWORKDAYS(#REF!,#REF!,1)</f>
        <v>#REF!</v>
      </c>
      <c r="E1612" s="2" t="b">
        <f>IFERROR(INDEX(ERROR(0),NETWORKDAYS(#REF!,#REF!,SET.NAME("_",+INDEX(1,)))),RETURN(INDEX(TYPE(_),SET.NAME("_"))))</f>
        <v>0</v>
      </c>
      <c r="F1612" s="2" t="b">
        <f>IFERROR(INDEX(ERROR(0),NETWORKDAYS(#REF!,#REF!,INDIRECT(SET.NAME({1,"_"},)))),RETURN(INDEX(TYPE(_),SET.NAME("_"))))</f>
        <v>0</v>
      </c>
      <c r="G1612" s="2">
        <f>TYPE(INDEX(,NETWORKDAYS(#REF!,#REF!,INDEX(1,))))</f>
        <v>16</v>
      </c>
    </row>
    <row r="1613" spans="1:7" x14ac:dyDescent="0.55000000000000004">
      <c r="A1613" s="1" t="s">
        <v>1903</v>
      </c>
      <c r="B1613" s="2">
        <f>COUNTIF(A:A,A1613)-1</f>
        <v>3</v>
      </c>
      <c r="C1613" s="2">
        <f>COUNTIF(A$1:A1613,A1613)-1</f>
        <v>0</v>
      </c>
      <c r="D1613" s="2"/>
      <c r="E1613" s="2"/>
      <c r="F1613" s="2"/>
      <c r="G1613" s="2"/>
    </row>
    <row r="1614" spans="1:7" x14ac:dyDescent="0.55000000000000004">
      <c r="A1614" s="1" t="s">
        <v>1903</v>
      </c>
      <c r="B1614" s="2">
        <f>COUNTIF(A:A,A1614)-1</f>
        <v>3</v>
      </c>
      <c r="C1614" s="2">
        <f>COUNTIF(A$1:A1614,A1614)-1</f>
        <v>1</v>
      </c>
      <c r="D1614" s="2" t="e">
        <f>GCD(1,#REF!,#REF!)</f>
        <v>#REF!</v>
      </c>
      <c r="E1614" s="2" t="b">
        <f>IFERROR(INDEX(ERROR(0),GCD(SET.NAME("_",+INDEX(1,)),#REF!,#REF!)),RETURN(INDEX(TYPE(_),SET.NAME("_"))))</f>
        <v>0</v>
      </c>
      <c r="F1614" s="2" t="b">
        <f>IFERROR(INDEX(ERROR(0),GCD(INDIRECT(SET.NAME({1,"_"},)),#REF!,#REF!)),RETURN(INDEX(TYPE(_),SET.NAME("_"))))</f>
        <v>0</v>
      </c>
      <c r="G1614" s="2">
        <f>TYPE(INDEX(,GCD(INDEX(1,),#REF!,#REF!)))</f>
        <v>16</v>
      </c>
    </row>
    <row r="1615" spans="1:7" x14ac:dyDescent="0.55000000000000004">
      <c r="A1615" s="1" t="s">
        <v>1903</v>
      </c>
      <c r="B1615" s="2">
        <f>COUNTIF(A:A,A1615)-1</f>
        <v>3</v>
      </c>
      <c r="C1615" s="2">
        <f>COUNTIF(A$1:A1615,A1615)-1</f>
        <v>2</v>
      </c>
      <c r="D1615" s="2" t="e">
        <f>GCD(#REF!,1,#REF!)</f>
        <v>#REF!</v>
      </c>
      <c r="E1615" s="2" t="b">
        <f>IFERROR(INDEX(ERROR(0),GCD(#REF!,SET.NAME("_",+INDEX(1,)),#REF!)),RETURN(INDEX(TYPE(_),SET.NAME("_"))))</f>
        <v>0</v>
      </c>
      <c r="F1615" s="2" t="b">
        <f>IFERROR(INDEX(ERROR(0),GCD(#REF!,INDIRECT(SET.NAME({1,"_"},)),#REF!)),RETURN(INDEX(TYPE(_),SET.NAME("_"))))</f>
        <v>0</v>
      </c>
      <c r="G1615" s="2">
        <f>TYPE(INDEX(,GCD(#REF!,INDEX(1,),#REF!)))</f>
        <v>16</v>
      </c>
    </row>
    <row r="1616" spans="1:7" x14ac:dyDescent="0.55000000000000004">
      <c r="A1616" s="1" t="s">
        <v>1903</v>
      </c>
      <c r="B1616" s="2">
        <f>COUNTIF(A:A,A1616)-1</f>
        <v>3</v>
      </c>
      <c r="C1616" s="2">
        <f>COUNTIF(A$1:A1616,A1616)-1</f>
        <v>3</v>
      </c>
      <c r="D1616" s="2" t="e">
        <f>GCD(#REF!,#REF!,1)</f>
        <v>#REF!</v>
      </c>
      <c r="E1616" s="2" t="b">
        <f>IFERROR(INDEX(ERROR(0),GCD(#REF!,#REF!,SET.NAME("_",+INDEX(1,)))),RETURN(INDEX(TYPE(_),SET.NAME("_"))))</f>
        <v>0</v>
      </c>
      <c r="F1616" s="2" t="b">
        <f>IFERROR(INDEX(ERROR(0),GCD(#REF!,#REF!,INDIRECT(SET.NAME({1,"_"},)))),RETURN(INDEX(TYPE(_),SET.NAME("_"))))</f>
        <v>0</v>
      </c>
      <c r="G1616" s="2">
        <f>TYPE(INDEX(,GCD(#REF!,#REF!,INDEX(1,))))</f>
        <v>16</v>
      </c>
    </row>
    <row r="1617" spans="1:7" x14ac:dyDescent="0.55000000000000004">
      <c r="A1617" s="1" t="s">
        <v>1904</v>
      </c>
      <c r="B1617" s="2">
        <f>COUNTIF(A:A,A1617)-1</f>
        <v>3</v>
      </c>
      <c r="C1617" s="2">
        <f>COUNTIF(A$1:A1617,A1617)-1</f>
        <v>0</v>
      </c>
      <c r="D1617" s="2"/>
      <c r="E1617" s="2"/>
      <c r="F1617" s="2"/>
      <c r="G1617" s="2"/>
    </row>
    <row r="1618" spans="1:7" x14ac:dyDescent="0.55000000000000004">
      <c r="A1618" s="1" t="s">
        <v>1904</v>
      </c>
      <c r="B1618" s="2">
        <f>COUNTIF(A:A,A1618)-1</f>
        <v>3</v>
      </c>
      <c r="C1618" s="2">
        <f>COUNTIF(A$1:A1618,A1618)-1</f>
        <v>1</v>
      </c>
      <c r="D1618" s="2" t="e">
        <f>MULTINOMIAL(1,#REF!,#REF!)</f>
        <v>#REF!</v>
      </c>
      <c r="E1618" s="2" t="b">
        <f>IFERROR(INDEX(ERROR(0),MULTINOMIAL(SET.NAME("_",+INDEX(1,)),#REF!,#REF!)),RETURN(INDEX(TYPE(_),SET.NAME("_"))))</f>
        <v>0</v>
      </c>
      <c r="F1618" s="2" t="b">
        <f>IFERROR(INDEX(ERROR(0),MULTINOMIAL(INDIRECT(SET.NAME({1,"_"},)),#REF!,#REF!)),RETURN(INDEX(TYPE(_),SET.NAME("_"))))</f>
        <v>0</v>
      </c>
      <c r="G1618" s="2">
        <f>TYPE(INDEX(,MULTINOMIAL(INDEX(1,),#REF!,#REF!)))</f>
        <v>16</v>
      </c>
    </row>
    <row r="1619" spans="1:7" x14ac:dyDescent="0.55000000000000004">
      <c r="A1619" s="1" t="s">
        <v>1904</v>
      </c>
      <c r="B1619" s="2">
        <f>COUNTIF(A:A,A1619)-1</f>
        <v>3</v>
      </c>
      <c r="C1619" s="2">
        <f>COUNTIF(A$1:A1619,A1619)-1</f>
        <v>2</v>
      </c>
      <c r="D1619" s="2" t="e">
        <f>MULTINOMIAL(#REF!,1,#REF!)</f>
        <v>#REF!</v>
      </c>
      <c r="E1619" s="2" t="b">
        <f>IFERROR(INDEX(ERROR(0),MULTINOMIAL(#REF!,SET.NAME("_",+INDEX(1,)),#REF!)),RETURN(INDEX(TYPE(_),SET.NAME("_"))))</f>
        <v>0</v>
      </c>
      <c r="F1619" s="2" t="b">
        <f>IFERROR(INDEX(ERROR(0),MULTINOMIAL(#REF!,INDIRECT(SET.NAME({1,"_"},)),#REF!)),RETURN(INDEX(TYPE(_),SET.NAME("_"))))</f>
        <v>0</v>
      </c>
      <c r="G1619" s="2">
        <f>TYPE(INDEX(,MULTINOMIAL(#REF!,INDEX(1,),#REF!)))</f>
        <v>16</v>
      </c>
    </row>
    <row r="1620" spans="1:7" x14ac:dyDescent="0.55000000000000004">
      <c r="A1620" s="1" t="s">
        <v>1904</v>
      </c>
      <c r="B1620" s="2">
        <f>COUNTIF(A:A,A1620)-1</f>
        <v>3</v>
      </c>
      <c r="C1620" s="2">
        <f>COUNTIF(A$1:A1620,A1620)-1</f>
        <v>3</v>
      </c>
      <c r="D1620" s="2" t="e">
        <f>MULTINOMIAL(#REF!,#REF!,1)</f>
        <v>#REF!</v>
      </c>
      <c r="E1620" s="2" t="b">
        <f>IFERROR(INDEX(ERROR(0),MULTINOMIAL(#REF!,#REF!,SET.NAME("_",+INDEX(1,)))),RETURN(INDEX(TYPE(_),SET.NAME("_"))))</f>
        <v>0</v>
      </c>
      <c r="F1620" s="2" t="b">
        <f>IFERROR(INDEX(ERROR(0),MULTINOMIAL(#REF!,#REF!,INDIRECT(SET.NAME({1,"_"},)))),RETURN(INDEX(TYPE(_),SET.NAME("_"))))</f>
        <v>0</v>
      </c>
      <c r="G1620" s="2">
        <f>TYPE(INDEX(,MULTINOMIAL(#REF!,#REF!,INDEX(1,))))</f>
        <v>16</v>
      </c>
    </row>
    <row r="1621" spans="1:7" x14ac:dyDescent="0.55000000000000004">
      <c r="A1621" s="1" t="s">
        <v>1905</v>
      </c>
      <c r="B1621" s="2">
        <f>COUNTIF(A:A,A1621)-1</f>
        <v>3</v>
      </c>
      <c r="C1621" s="2">
        <f>COUNTIF(A$1:A1621,A1621)-1</f>
        <v>0</v>
      </c>
      <c r="D1621" s="2"/>
      <c r="E1621" s="2"/>
      <c r="F1621" s="2"/>
      <c r="G1621" s="2"/>
    </row>
    <row r="1622" spans="1:7" x14ac:dyDescent="0.55000000000000004">
      <c r="A1622" s="1" t="s">
        <v>1905</v>
      </c>
      <c r="B1622" s="2">
        <f>COUNTIF(A:A,A1622)-1</f>
        <v>3</v>
      </c>
      <c r="C1622" s="2">
        <f>COUNTIF(A$1:A1622,A1622)-1</f>
        <v>1</v>
      </c>
      <c r="D1622" s="2" t="e">
        <f>LCM(1,#REF!,#REF!)</f>
        <v>#REF!</v>
      </c>
      <c r="E1622" s="2" t="b">
        <f>IFERROR(INDEX(ERROR(0),LCM(SET.NAME("_",+INDEX(1,)),#REF!,#REF!)),RETURN(INDEX(TYPE(_),SET.NAME("_"))))</f>
        <v>0</v>
      </c>
      <c r="F1622" s="2" t="b">
        <f>IFERROR(INDEX(ERROR(0),LCM(INDIRECT(SET.NAME({1,"_"},)),#REF!,#REF!)),RETURN(INDEX(TYPE(_),SET.NAME("_"))))</f>
        <v>0</v>
      </c>
      <c r="G1622" s="2">
        <f>TYPE(INDEX(,LCM(INDEX(1,),#REF!,#REF!)))</f>
        <v>16</v>
      </c>
    </row>
    <row r="1623" spans="1:7" x14ac:dyDescent="0.55000000000000004">
      <c r="A1623" s="1" t="s">
        <v>1905</v>
      </c>
      <c r="B1623" s="2">
        <f>COUNTIF(A:A,A1623)-1</f>
        <v>3</v>
      </c>
      <c r="C1623" s="2">
        <f>COUNTIF(A$1:A1623,A1623)-1</f>
        <v>2</v>
      </c>
      <c r="D1623" s="2" t="e">
        <f>LCM(#REF!,1,#REF!)</f>
        <v>#REF!</v>
      </c>
      <c r="E1623" s="2" t="b">
        <f>IFERROR(INDEX(ERROR(0),LCM(#REF!,SET.NAME("_",+INDEX(1,)),#REF!)),RETURN(INDEX(TYPE(_),SET.NAME("_"))))</f>
        <v>0</v>
      </c>
      <c r="F1623" s="2" t="b">
        <f>IFERROR(INDEX(ERROR(0),LCM(#REF!,INDIRECT(SET.NAME({1,"_"},)),#REF!)),RETURN(INDEX(TYPE(_),SET.NAME("_"))))</f>
        <v>0</v>
      </c>
      <c r="G1623" s="2">
        <f>TYPE(INDEX(,LCM(#REF!,INDEX(1,),#REF!)))</f>
        <v>16</v>
      </c>
    </row>
    <row r="1624" spans="1:7" x14ac:dyDescent="0.55000000000000004">
      <c r="A1624" s="1" t="s">
        <v>1905</v>
      </c>
      <c r="B1624" s="2">
        <f>COUNTIF(A:A,A1624)-1</f>
        <v>3</v>
      </c>
      <c r="C1624" s="2">
        <f>COUNTIF(A$1:A1624,A1624)-1</f>
        <v>3</v>
      </c>
      <c r="D1624" s="2" t="e">
        <f>LCM(#REF!,#REF!,1)</f>
        <v>#REF!</v>
      </c>
      <c r="E1624" s="2" t="b">
        <f>IFERROR(INDEX(ERROR(0),LCM(#REF!,#REF!,SET.NAME("_",+INDEX(1,)))),RETURN(INDEX(TYPE(_),SET.NAME("_"))))</f>
        <v>0</v>
      </c>
      <c r="F1624" s="2" t="b">
        <f>IFERROR(INDEX(ERROR(0),LCM(#REF!,#REF!,INDIRECT(SET.NAME({1,"_"},)))),RETURN(INDEX(TYPE(_),SET.NAME("_"))))</f>
        <v>0</v>
      </c>
      <c r="G1624" s="2">
        <f>TYPE(INDEX(,LCM(#REF!,#REF!,INDEX(1,))))</f>
        <v>16</v>
      </c>
    </row>
    <row r="1625" spans="1:7" x14ac:dyDescent="0.55000000000000004">
      <c r="A1625" s="1" t="s">
        <v>1906</v>
      </c>
      <c r="B1625" s="2">
        <f>COUNTIF(A:A,A1625)-1</f>
        <v>2</v>
      </c>
      <c r="C1625" s="2">
        <f>COUNTIF(A$1:A1625,A1625)-1</f>
        <v>0</v>
      </c>
      <c r="D1625" s="2"/>
      <c r="E1625" s="2"/>
      <c r="F1625" s="2"/>
      <c r="G1625" s="2"/>
    </row>
    <row r="1626" spans="1:7" x14ac:dyDescent="0.55000000000000004">
      <c r="A1626" s="1" t="s">
        <v>1906</v>
      </c>
      <c r="B1626" s="2">
        <f>COUNTIF(A:A,A1626)-1</f>
        <v>2</v>
      </c>
      <c r="C1626" s="2">
        <f>COUNTIF(A$1:A1626,A1626)-1</f>
        <v>1</v>
      </c>
      <c r="D1626" s="2" t="e">
        <f>FVSCHEDULE(1,#REF!)</f>
        <v>#REF!</v>
      </c>
      <c r="E1626" s="2" t="b">
        <f>IFERROR(INDEX(ERROR(0),FVSCHEDULE(SET.NAME("_",+INDEX(1,)),#REF!)),RETURN(INDEX(TYPE(_),SET.NAME("_"))))</f>
        <v>0</v>
      </c>
      <c r="F1626" s="2" t="b">
        <f>IFERROR(INDEX(ERROR(0),FVSCHEDULE(INDIRECT(SET.NAME({1,"_"},)),#REF!)),RETURN(INDEX(TYPE(_),SET.NAME("_"))))</f>
        <v>0</v>
      </c>
      <c r="G1626" s="2">
        <f>TYPE(INDEX(,FVSCHEDULE(INDEX(1,),#REF!)))</f>
        <v>64</v>
      </c>
    </row>
    <row r="1627" spans="1:7" x14ac:dyDescent="0.55000000000000004">
      <c r="A1627" s="1" t="s">
        <v>1906</v>
      </c>
      <c r="B1627" s="2">
        <f>COUNTIF(A:A,A1627)-1</f>
        <v>2</v>
      </c>
      <c r="C1627" s="2">
        <f>COUNTIF(A$1:A1627,A1627)-1</f>
        <v>2</v>
      </c>
      <c r="D1627" s="2" t="e">
        <f>FVSCHEDULE(#REF!,1)</f>
        <v>#REF!</v>
      </c>
      <c r="E1627" s="2" t="b">
        <f>IFERROR(INDEX(ERROR(0),FVSCHEDULE(#REF!,SET.NAME("_",+INDEX(1,)))),RETURN(INDEX(TYPE(_),SET.NAME("_"))))</f>
        <v>0</v>
      </c>
      <c r="F1627" s="2" t="b">
        <f>IFERROR(INDEX(ERROR(0),FVSCHEDULE(#REF!,INDIRECT(SET.NAME({1,"_"},)))),RETURN(INDEX(TYPE(_),SET.NAME("_"))))</f>
        <v>0</v>
      </c>
      <c r="G1627" s="2">
        <f>TYPE(INDEX(,FVSCHEDULE(#REF!,INDEX(1,))))</f>
        <v>16</v>
      </c>
    </row>
    <row r="1628" spans="1:7" x14ac:dyDescent="0.55000000000000004">
      <c r="A1628" s="1" t="s">
        <v>1907</v>
      </c>
      <c r="B1628" s="2">
        <f>COUNTIF(A:A,A1628)-1</f>
        <v>4</v>
      </c>
      <c r="C1628" s="2">
        <f>COUNTIF(A$1:A1628,A1628)-1</f>
        <v>0</v>
      </c>
      <c r="D1628" s="2"/>
      <c r="E1628" s="2"/>
      <c r="F1628" s="2"/>
      <c r="G1628" s="2"/>
    </row>
    <row r="1629" spans="1:7" x14ac:dyDescent="0.55000000000000004">
      <c r="A1629" s="1" t="s">
        <v>1907</v>
      </c>
      <c r="B1629" s="2">
        <f>COUNTIF(A:A,A1629)-1</f>
        <v>4</v>
      </c>
      <c r="C1629" s="2">
        <f>COUNTIF(A$1:A1629,A1629)-1</f>
        <v>1</v>
      </c>
      <c r="D1629" s="2" t="e">
        <f>CUBEKPIMEMBER(1,#REF!,#REF!,#REF!)</f>
        <v>#REF!</v>
      </c>
      <c r="E1629" s="2" t="b">
        <f>IFERROR(INDEX(ERROR(0),CUBEKPIMEMBER(SET.NAME("_",+INDEX(1,)),#REF!,#REF!,#REF!)),RETURN(INDEX(TYPE(_),SET.NAME("_"))))</f>
        <v>0</v>
      </c>
      <c r="F1629" s="2" t="b">
        <f>IFERROR(INDEX(ERROR(0),CUBEKPIMEMBER(INDIRECT(SET.NAME({1,"_"},)),#REF!,#REF!,#REF!)),RETURN(INDEX(TYPE(_),SET.NAME("_"))))</f>
        <v>0</v>
      </c>
      <c r="G1629" s="2">
        <f>TYPE(INDEX(,CUBEKPIMEMBER(INDEX(1,),#REF!,#REF!,#REF!)))</f>
        <v>16</v>
      </c>
    </row>
    <row r="1630" spans="1:7" x14ac:dyDescent="0.55000000000000004">
      <c r="A1630" s="1" t="s">
        <v>1907</v>
      </c>
      <c r="B1630" s="2">
        <f>COUNTIF(A:A,A1630)-1</f>
        <v>4</v>
      </c>
      <c r="C1630" s="2">
        <f>COUNTIF(A$1:A1630,A1630)-1</f>
        <v>2</v>
      </c>
      <c r="D1630" s="2" t="e">
        <f>CUBEKPIMEMBER(#REF!,1,#REF!,#REF!)</f>
        <v>#REF!</v>
      </c>
      <c r="E1630" s="2" t="b">
        <f>IFERROR(INDEX(ERROR(0),CUBEKPIMEMBER(#REF!,SET.NAME("_",+INDEX(1,)),#REF!,#REF!)),RETURN(INDEX(TYPE(_),SET.NAME("_"))))</f>
        <v>0</v>
      </c>
      <c r="F1630" s="2" t="b">
        <f>IFERROR(INDEX(ERROR(0),CUBEKPIMEMBER(#REF!,INDIRECT(SET.NAME({1,"_"},)),#REF!,#REF!)),RETURN(INDEX(TYPE(_),SET.NAME("_"))))</f>
        <v>0</v>
      </c>
      <c r="G1630" s="2">
        <f>TYPE(INDEX(,CUBEKPIMEMBER(#REF!,INDEX(1,),#REF!,#REF!)))</f>
        <v>16</v>
      </c>
    </row>
    <row r="1631" spans="1:7" x14ac:dyDescent="0.55000000000000004">
      <c r="A1631" s="1" t="s">
        <v>1907</v>
      </c>
      <c r="B1631" s="2">
        <f>COUNTIF(A:A,A1631)-1</f>
        <v>4</v>
      </c>
      <c r="C1631" s="2">
        <f>COUNTIF(A$1:A1631,A1631)-1</f>
        <v>3</v>
      </c>
      <c r="D1631" s="2" t="e">
        <f>CUBEKPIMEMBER(#REF!,#REF!,1,#REF!)</f>
        <v>#REF!</v>
      </c>
      <c r="E1631" s="2" t="b">
        <f>IFERROR(INDEX(ERROR(0),CUBEKPIMEMBER(#REF!,#REF!,SET.NAME("_",+INDEX(1,)),#REF!)),RETURN(INDEX(TYPE(_),SET.NAME("_"))))</f>
        <v>0</v>
      </c>
      <c r="F1631" s="2" t="b">
        <f>IFERROR(INDEX(ERROR(0),CUBEKPIMEMBER(#REF!,#REF!,INDIRECT(SET.NAME({1,"_"},)),#REF!)),RETURN(INDEX(TYPE(_),SET.NAME("_"))))</f>
        <v>0</v>
      </c>
      <c r="G1631" s="2">
        <f>TYPE(INDEX(,CUBEKPIMEMBER(#REF!,#REF!,INDEX(1,),#REF!)))</f>
        <v>16</v>
      </c>
    </row>
    <row r="1632" spans="1:7" x14ac:dyDescent="0.55000000000000004">
      <c r="A1632" s="1" t="s">
        <v>1907</v>
      </c>
      <c r="B1632" s="2">
        <f>COUNTIF(A:A,A1632)-1</f>
        <v>4</v>
      </c>
      <c r="C1632" s="2">
        <f>COUNTIF(A$1:A1632,A1632)-1</f>
        <v>4</v>
      </c>
      <c r="D1632" s="2" t="e">
        <f>CUBEKPIMEMBER(#REF!,#REF!,#REF!,1)</f>
        <v>#REF!</v>
      </c>
      <c r="E1632" s="2" t="b">
        <f>IFERROR(INDEX(ERROR(0),CUBEKPIMEMBER(#REF!,#REF!,#REF!,SET.NAME("_",+INDEX(1,)))),RETURN(INDEX(TYPE(_),SET.NAME("_"))))</f>
        <v>0</v>
      </c>
      <c r="F1632" s="2" t="b">
        <f>IFERROR(INDEX(ERROR(0),CUBEKPIMEMBER(#REF!,#REF!,#REF!,INDIRECT(SET.NAME({1,"_"},)))),RETURN(INDEX(TYPE(_),SET.NAME("_"))))</f>
        <v>0</v>
      </c>
      <c r="G1632" s="2">
        <f>TYPE(INDEX(,CUBEKPIMEMBER(#REF!,#REF!,#REF!,INDEX(1,))))</f>
        <v>16</v>
      </c>
    </row>
    <row r="1633" spans="1:7" x14ac:dyDescent="0.55000000000000004">
      <c r="A1633" s="1" t="s">
        <v>1908</v>
      </c>
      <c r="B1633" s="2">
        <f>COUNTIF(A:A,A1633)-1</f>
        <v>5</v>
      </c>
      <c r="C1633" s="2">
        <f>COUNTIF(A$1:A1633,A1633)-1</f>
        <v>0</v>
      </c>
      <c r="D1633" s="2"/>
      <c r="E1633" s="2"/>
      <c r="F1633" s="2"/>
      <c r="G1633" s="2"/>
    </row>
    <row r="1634" spans="1:7" x14ac:dyDescent="0.55000000000000004">
      <c r="A1634" s="1" t="s">
        <v>1908</v>
      </c>
      <c r="B1634" s="2">
        <f>COUNTIF(A:A,A1634)-1</f>
        <v>5</v>
      </c>
      <c r="C1634" s="2">
        <f>COUNTIF(A$1:A1634,A1634)-1</f>
        <v>1</v>
      </c>
      <c r="D1634" s="2" t="e">
        <f>CUBESET(1,#REF!,#REF!,#REF!,#REF!)</f>
        <v>#REF!</v>
      </c>
      <c r="E1634" s="2" t="b">
        <f>IFERROR(INDEX(ERROR(0),CUBESET(SET.NAME("_",+INDEX(1,)),#REF!,#REF!,#REF!,#REF!)),RETURN(INDEX(TYPE(_),SET.NAME("_"))))</f>
        <v>0</v>
      </c>
      <c r="F1634" s="2" t="b">
        <f>IFERROR(INDEX(ERROR(0),CUBESET(INDIRECT(SET.NAME({1,"_"},)),#REF!,#REF!,#REF!,#REF!)),RETURN(INDEX(TYPE(_),SET.NAME("_"))))</f>
        <v>0</v>
      </c>
      <c r="G1634" s="2">
        <f>TYPE(INDEX(,CUBESET(INDEX(1,),#REF!,#REF!,#REF!,#REF!)))</f>
        <v>16</v>
      </c>
    </row>
    <row r="1635" spans="1:7" x14ac:dyDescent="0.55000000000000004">
      <c r="A1635" s="1" t="s">
        <v>1908</v>
      </c>
      <c r="B1635" s="2">
        <f>COUNTIF(A:A,A1635)-1</f>
        <v>5</v>
      </c>
      <c r="C1635" s="2">
        <f>COUNTIF(A$1:A1635,A1635)-1</f>
        <v>2</v>
      </c>
      <c r="D1635" s="2" t="e">
        <f>CUBESET(#REF!,1,#REF!,#REF!,#REF!)</f>
        <v>#REF!</v>
      </c>
      <c r="E1635" s="2" t="b">
        <f>IFERROR(INDEX(ERROR(0),CUBESET(#REF!,SET.NAME("_",+INDEX(1,)),#REF!,#REF!,#REF!)),RETURN(INDEX(TYPE(_),SET.NAME("_"))))</f>
        <v>0</v>
      </c>
      <c r="F1635" s="2" t="b">
        <f>IFERROR(INDEX(ERROR(0),CUBESET(#REF!,INDIRECT(SET.NAME({1,"_"},)),#REF!,#REF!,#REF!)),RETURN(INDEX(TYPE(_),SET.NAME("_"))))</f>
        <v>0</v>
      </c>
      <c r="G1635" s="2">
        <f>TYPE(INDEX(,CUBESET(#REF!,INDEX(1,),#REF!,#REF!,#REF!)))</f>
        <v>16</v>
      </c>
    </row>
    <row r="1636" spans="1:7" x14ac:dyDescent="0.55000000000000004">
      <c r="A1636" s="1" t="s">
        <v>1908</v>
      </c>
      <c r="B1636" s="2">
        <f>COUNTIF(A:A,A1636)-1</f>
        <v>5</v>
      </c>
      <c r="C1636" s="2">
        <f>COUNTIF(A$1:A1636,A1636)-1</f>
        <v>3</v>
      </c>
      <c r="D1636" s="2" t="e">
        <f>CUBESET(#REF!,#REF!,1,#REF!,#REF!)</f>
        <v>#REF!</v>
      </c>
      <c r="E1636" s="2" t="b">
        <f>IFERROR(INDEX(ERROR(0),CUBESET(#REF!,#REF!,SET.NAME("_",+INDEX(1,)),#REF!,#REF!)),RETURN(INDEX(TYPE(_),SET.NAME("_"))))</f>
        <v>0</v>
      </c>
      <c r="F1636" s="2" t="b">
        <f>IFERROR(INDEX(ERROR(0),CUBESET(#REF!,#REF!,INDIRECT(SET.NAME({1,"_"},)),#REF!,#REF!)),RETURN(INDEX(TYPE(_),SET.NAME("_"))))</f>
        <v>0</v>
      </c>
      <c r="G1636" s="2">
        <f>TYPE(INDEX(,CUBESET(#REF!,#REF!,INDEX(1,),#REF!,#REF!)))</f>
        <v>16</v>
      </c>
    </row>
    <row r="1637" spans="1:7" x14ac:dyDescent="0.55000000000000004">
      <c r="A1637" s="1" t="s">
        <v>1908</v>
      </c>
      <c r="B1637" s="2">
        <f>COUNTIF(A:A,A1637)-1</f>
        <v>5</v>
      </c>
      <c r="C1637" s="2">
        <f>COUNTIF(A$1:A1637,A1637)-1</f>
        <v>4</v>
      </c>
      <c r="D1637" s="2" t="e">
        <f>CUBESET(#REF!,#REF!,#REF!,1,#REF!)</f>
        <v>#REF!</v>
      </c>
      <c r="E1637" s="2" t="b">
        <f>IFERROR(INDEX(ERROR(0),CUBESET(#REF!,#REF!,#REF!,SET.NAME("_",+INDEX(1,)),#REF!)),RETURN(INDEX(TYPE(_),SET.NAME("_"))))</f>
        <v>0</v>
      </c>
      <c r="F1637" s="2" t="b">
        <f>IFERROR(INDEX(ERROR(0),CUBESET(#REF!,#REF!,#REF!,INDIRECT(SET.NAME({1,"_"},)),#REF!)),RETURN(INDEX(TYPE(_),SET.NAME("_"))))</f>
        <v>0</v>
      </c>
      <c r="G1637" s="2">
        <f>TYPE(INDEX(,CUBESET(#REF!,#REF!,#REF!,INDEX(1,),#REF!)))</f>
        <v>16</v>
      </c>
    </row>
    <row r="1638" spans="1:7" x14ac:dyDescent="0.55000000000000004">
      <c r="A1638" s="1" t="s">
        <v>1908</v>
      </c>
      <c r="B1638" s="2">
        <f>COUNTIF(A:A,A1638)-1</f>
        <v>5</v>
      </c>
      <c r="C1638" s="2">
        <f>COUNTIF(A$1:A1638,A1638)-1</f>
        <v>5</v>
      </c>
      <c r="D1638" s="2" t="e">
        <f>CUBESET(#REF!,#REF!,#REF!,#REF!,1)</f>
        <v>#REF!</v>
      </c>
      <c r="E1638" s="2" t="b">
        <f>IFERROR(INDEX(ERROR(0),CUBESET(#REF!,#REF!,#REF!,#REF!,SET.NAME("_",+INDEX(1,)))),RETURN(INDEX(TYPE(_),SET.NAME("_"))))</f>
        <v>0</v>
      </c>
      <c r="F1638" s="2" t="b">
        <f>IFERROR(INDEX(ERROR(0),CUBESET(#REF!,#REF!,#REF!,#REF!,INDIRECT(SET.NAME({1,"_"},)))),RETURN(INDEX(TYPE(_),SET.NAME("_"))))</f>
        <v>0</v>
      </c>
      <c r="G1638" s="2">
        <f>TYPE(INDEX(,CUBESET(#REF!,#REF!,#REF!,#REF!,INDEX(1,))))</f>
        <v>16</v>
      </c>
    </row>
    <row r="1639" spans="1:7" x14ac:dyDescent="0.55000000000000004">
      <c r="A1639" s="1" t="s">
        <v>1909</v>
      </c>
      <c r="B1639" s="2">
        <f>COUNTIF(A:A,A1639)-1</f>
        <v>1</v>
      </c>
      <c r="C1639" s="2">
        <f>COUNTIF(A$1:A1639,A1639)-1</f>
        <v>0</v>
      </c>
      <c r="D1639" s="2"/>
      <c r="E1639" s="2"/>
      <c r="F1639" s="2"/>
      <c r="G1639" s="2"/>
    </row>
    <row r="1640" spans="1:7" x14ac:dyDescent="0.55000000000000004">
      <c r="A1640" s="1" t="s">
        <v>1909</v>
      </c>
      <c r="B1640" s="2">
        <f>COUNTIF(A:A,A1640)-1</f>
        <v>1</v>
      </c>
      <c r="C1640" s="2">
        <f>COUNTIF(A$1:A1640,A1640)-1</f>
        <v>1</v>
      </c>
      <c r="D1640" s="2" t="e">
        <f>CUBESETCOUNT(1)</f>
        <v>#N/A</v>
      </c>
      <c r="E1640" s="2" t="b">
        <f>IFERROR(INDEX(ERROR(0),CUBESETCOUNT(SET.NAME("_",+INDEX(1,)))),RETURN(INDEX(TYPE(_),SET.NAME("_"))))</f>
        <v>0</v>
      </c>
      <c r="F1640" s="2" t="b">
        <f>IFERROR(INDEX(ERROR(0),CUBESETCOUNT(INDIRECT(SET.NAME({1,"_"},)))),RETURN(INDEX(TYPE(_),SET.NAME("_"))))</f>
        <v>0</v>
      </c>
      <c r="G1640" s="2">
        <f>TYPE(INDEX(,CUBESETCOUNT(INDEX(1,))))</f>
        <v>16</v>
      </c>
    </row>
    <row r="1641" spans="1:7" x14ac:dyDescent="0.55000000000000004">
      <c r="A1641" s="1" t="s">
        <v>1910</v>
      </c>
      <c r="B1641" s="2">
        <f>COUNTIF(A:A,A1641)-1</f>
        <v>2</v>
      </c>
      <c r="C1641" s="2">
        <f>COUNTIF(A$1:A1641,A1641)-1</f>
        <v>0</v>
      </c>
      <c r="D1641" s="2"/>
      <c r="E1641" s="2"/>
      <c r="F1641" s="2"/>
      <c r="G1641" s="2"/>
    </row>
    <row r="1642" spans="1:7" x14ac:dyDescent="0.55000000000000004">
      <c r="A1642" s="1" t="s">
        <v>1910</v>
      </c>
      <c r="B1642" s="2">
        <f>COUNTIF(A:A,A1642)-1</f>
        <v>2</v>
      </c>
      <c r="C1642" s="2">
        <f>COUNTIF(A$1:A1642,A1642)-1</f>
        <v>1</v>
      </c>
      <c r="D1642" s="2">
        <f>IFERROR(1,#REF!)</f>
        <v>1</v>
      </c>
      <c r="E1642" s="2" t="b">
        <f>IFERROR(INDEX(ERROR(0),IFERROR(SET.NAME("_",+INDEX(1,)),#REF!)),RETURN(INDEX(TYPE(_),SET.NAME("_"))))</f>
        <v>0</v>
      </c>
      <c r="F1642" s="2" t="b">
        <f>IFERROR(INDEX(ERROR(0),IFERROR(INDIRECT(SET.NAME({1,"_"},)),#REF!)),RETURN(INDEX(TYPE(_),SET.NAME("_"))))</f>
        <v>0</v>
      </c>
      <c r="G1642" s="2">
        <f>TYPE(INDEX(,IFERROR(INDEX(1,),#REF!)))</f>
        <v>16</v>
      </c>
    </row>
    <row r="1643" spans="1:7" x14ac:dyDescent="0.55000000000000004">
      <c r="A1643" s="1" t="s">
        <v>1910</v>
      </c>
      <c r="B1643" s="2">
        <f>COUNTIF(A:A,A1643)-1</f>
        <v>2</v>
      </c>
      <c r="C1643" s="2">
        <f>COUNTIF(A$1:A1643,A1643)-1</f>
        <v>2</v>
      </c>
      <c r="D1643" s="2">
        <f>IFERROR(#REF!,1)</f>
        <v>1</v>
      </c>
      <c r="E1643" s="2" t="b">
        <f>IFERROR(INDEX(ERROR(0),IFERROR(#REF!,SET.NAME("_",+INDEX(1,)))),RETURN(INDEX(TYPE(_),SET.NAME("_"))))</f>
        <v>0</v>
      </c>
      <c r="F1643" s="2" t="b">
        <f>IFERROR(INDEX(ERROR(0),IFERROR(#REF!,INDIRECT(SET.NAME({1,"_"},)))),RETURN(INDEX(TYPE(_),SET.NAME("_"))))</f>
        <v>0</v>
      </c>
      <c r="G1643" s="2">
        <f>TYPE(INDEX(,IFERROR(#REF!,INDEX(1,))))</f>
        <v>16</v>
      </c>
    </row>
    <row r="1644" spans="1:7" x14ac:dyDescent="0.55000000000000004">
      <c r="A1644" s="1" t="s">
        <v>1911</v>
      </c>
      <c r="B1644" s="2">
        <f>COUNTIF(A:A,A1644)-1</f>
        <v>4</v>
      </c>
      <c r="C1644" s="2">
        <f>COUNTIF(A$1:A1644,A1644)-1</f>
        <v>0</v>
      </c>
      <c r="D1644" s="2"/>
      <c r="E1644" s="2"/>
      <c r="F1644" s="2"/>
      <c r="G1644" s="2"/>
    </row>
    <row r="1645" spans="1:7" x14ac:dyDescent="0.55000000000000004">
      <c r="A1645" s="1" t="s">
        <v>1911</v>
      </c>
      <c r="B1645" s="2">
        <f>COUNTIF(A:A,A1645)-1</f>
        <v>4</v>
      </c>
      <c r="C1645" s="2">
        <f>COUNTIF(A$1:A1645,A1645)-1</f>
        <v>1</v>
      </c>
      <c r="D1645" s="2" t="s">
        <v>2293</v>
      </c>
      <c r="E1645" s="2" t="s">
        <v>2294</v>
      </c>
      <c r="F1645" s="2" t="b">
        <f>IFERROR(INDEX(ERROR(0),COUNTIFS(INDIRECT(SET.NAME({1,"_"},)),#REF!,#REF!,#REF!)),RETURN(INDEX(TYPE(_),SET.NAME("_"))))</f>
        <v>0</v>
      </c>
      <c r="G1645" s="2">
        <f>TYPE(INDEX(,COUNTIFS(INDEX(1,),#REF!,#REF!,#REF!)))</f>
        <v>64</v>
      </c>
    </row>
    <row r="1646" spans="1:7" x14ac:dyDescent="0.55000000000000004">
      <c r="A1646" s="1" t="s">
        <v>1911</v>
      </c>
      <c r="B1646" s="2">
        <f>COUNTIF(A:A,A1646)-1</f>
        <v>4</v>
      </c>
      <c r="C1646" s="2">
        <f>COUNTIF(A$1:A1646,A1646)-1</f>
        <v>2</v>
      </c>
      <c r="D1646" s="2" t="e">
        <f>COUNTIFS(#REF!,1,#REF!,#REF!)</f>
        <v>#REF!</v>
      </c>
      <c r="E1646" s="2" t="b">
        <f>IFERROR(INDEX(ERROR(0),COUNTIFS(#REF!,SET.NAME("_",+INDEX(1,)),#REF!,#REF!)),RETURN(INDEX(TYPE(_),SET.NAME("_"))))</f>
        <v>0</v>
      </c>
      <c r="F1646" s="2" t="b">
        <f>IFERROR(INDEX(ERROR(0),COUNTIFS(#REF!,INDIRECT(SET.NAME({1,"_"},)),#REF!,#REF!)),RETURN(INDEX(TYPE(_),SET.NAME("_"))))</f>
        <v>0</v>
      </c>
      <c r="G1646" s="2">
        <f>TYPE(INDEX(,COUNTIFS(#REF!,INDEX(1,),#REF!,#REF!)))</f>
        <v>16</v>
      </c>
    </row>
    <row r="1647" spans="1:7" x14ac:dyDescent="0.55000000000000004">
      <c r="A1647" s="1" t="s">
        <v>1911</v>
      </c>
      <c r="B1647" s="2">
        <f>COUNTIF(A:A,A1647)-1</f>
        <v>4</v>
      </c>
      <c r="C1647" s="2">
        <f>COUNTIF(A$1:A1647,A1647)-1</f>
        <v>3</v>
      </c>
      <c r="D1647" s="2" t="s">
        <v>2295</v>
      </c>
      <c r="E1647" s="2" t="s">
        <v>2296</v>
      </c>
      <c r="F1647" s="2" t="b">
        <f>IFERROR(INDEX(ERROR(0),COUNTIFS(#REF!,#REF!,INDIRECT(SET.NAME({1,"_"},)),#REF!)),RETURN(INDEX(TYPE(_),SET.NAME("_"))))</f>
        <v>0</v>
      </c>
      <c r="G1647" s="2">
        <f>TYPE(INDEX(,COUNTIFS(#REF!,#REF!,INDEX(1,),#REF!)))</f>
        <v>64</v>
      </c>
    </row>
    <row r="1648" spans="1:7" x14ac:dyDescent="0.55000000000000004">
      <c r="A1648" s="1" t="s">
        <v>1911</v>
      </c>
      <c r="B1648" s="2">
        <f>COUNTIF(A:A,A1648)-1</f>
        <v>4</v>
      </c>
      <c r="C1648" s="2">
        <f>COUNTIF(A$1:A1648,A1648)-1</f>
        <v>4</v>
      </c>
      <c r="D1648" s="2" t="e">
        <f>COUNTIFS(#REF!,#REF!,#REF!,1)</f>
        <v>#REF!</v>
      </c>
      <c r="E1648" s="2" t="b">
        <f>IFERROR(INDEX(ERROR(0),COUNTIFS(#REF!,#REF!,#REF!,SET.NAME("_",+INDEX(1,)))),RETURN(INDEX(TYPE(_),SET.NAME("_"))))</f>
        <v>0</v>
      </c>
      <c r="F1648" s="2" t="b">
        <f>IFERROR(INDEX(ERROR(0),COUNTIFS(#REF!,#REF!,#REF!,INDIRECT(SET.NAME({1,"_"},)))),RETURN(INDEX(TYPE(_),SET.NAME("_"))))</f>
        <v>0</v>
      </c>
      <c r="G1648" s="2">
        <f>TYPE(INDEX(,COUNTIFS(#REF!,#REF!,#REF!,INDEX(1,))))</f>
        <v>16</v>
      </c>
    </row>
    <row r="1649" spans="1:7" x14ac:dyDescent="0.55000000000000004">
      <c r="A1649" s="1" t="s">
        <v>1912</v>
      </c>
      <c r="B1649" s="2">
        <f>COUNTIF(A:A,A1649)-1</f>
        <v>5</v>
      </c>
      <c r="C1649" s="2">
        <f>COUNTIF(A$1:A1649,A1649)-1</f>
        <v>0</v>
      </c>
      <c r="D1649" s="2"/>
      <c r="E1649" s="2"/>
      <c r="F1649" s="2"/>
      <c r="G1649" s="2"/>
    </row>
    <row r="1650" spans="1:7" x14ac:dyDescent="0.55000000000000004">
      <c r="A1650" s="1" t="s">
        <v>1912</v>
      </c>
      <c r="B1650" s="2">
        <f>COUNTIF(A:A,A1650)-1</f>
        <v>5</v>
      </c>
      <c r="C1650" s="2">
        <f>COUNTIF(A$1:A1650,A1650)-1</f>
        <v>1</v>
      </c>
      <c r="D1650" s="2" t="s">
        <v>2297</v>
      </c>
      <c r="E1650" s="2" t="s">
        <v>2298</v>
      </c>
      <c r="F1650" s="2" t="b">
        <f>IFERROR(INDEX(ERROR(0),SUMIFS(INDIRECT(SET.NAME({1,"_"},)),#REF!,#REF!,#REF!,#REF!)),RETURN(INDEX(TYPE(_),SET.NAME("_"))))</f>
        <v>0</v>
      </c>
      <c r="G1650" s="2">
        <f>TYPE(INDEX(,SUMIFS(INDEX(1,),#REF!,#REF!,#REF!,#REF!)))</f>
        <v>64</v>
      </c>
    </row>
    <row r="1651" spans="1:7" x14ac:dyDescent="0.55000000000000004">
      <c r="A1651" s="1" t="s">
        <v>1912</v>
      </c>
      <c r="B1651" s="2">
        <f>COUNTIF(A:A,A1651)-1</f>
        <v>5</v>
      </c>
      <c r="C1651" s="2">
        <f>COUNTIF(A$1:A1651,A1651)-1</f>
        <v>2</v>
      </c>
      <c r="D1651" s="2" t="s">
        <v>2299</v>
      </c>
      <c r="E1651" s="2" t="s">
        <v>2300</v>
      </c>
      <c r="F1651" s="2" t="b">
        <f>IFERROR(INDEX(ERROR(0),SUMIFS(#REF!,INDIRECT(SET.NAME({1,"_"},)),#REF!,#REF!,#REF!)),RETURN(INDEX(TYPE(_),SET.NAME("_"))))</f>
        <v>0</v>
      </c>
      <c r="G1651" s="2">
        <f>TYPE(INDEX(,SUMIFS(#REF!,INDEX(1,),#REF!,#REF!,#REF!)))</f>
        <v>64</v>
      </c>
    </row>
    <row r="1652" spans="1:7" x14ac:dyDescent="0.55000000000000004">
      <c r="A1652" s="1" t="s">
        <v>1912</v>
      </c>
      <c r="B1652" s="2">
        <f>COUNTIF(A:A,A1652)-1</f>
        <v>5</v>
      </c>
      <c r="C1652" s="2">
        <f>COUNTIF(A$1:A1652,A1652)-1</f>
        <v>3</v>
      </c>
      <c r="D1652" s="2" t="e">
        <f>SUMIFS(#REF!,#REF!,1,#REF!,#REF!)</f>
        <v>#REF!</v>
      </c>
      <c r="E1652" s="2" t="b">
        <f>IFERROR(INDEX(ERROR(0),SUMIFS(#REF!,#REF!,SET.NAME("_",+INDEX(1,)),#REF!,#REF!)),RETURN(INDEX(TYPE(_),SET.NAME("_"))))</f>
        <v>0</v>
      </c>
      <c r="F1652" s="2" t="b">
        <f>IFERROR(INDEX(ERROR(0),SUMIFS(#REF!,#REF!,INDIRECT(SET.NAME({1,"_"},)),#REF!,#REF!)),RETURN(INDEX(TYPE(_),SET.NAME("_"))))</f>
        <v>0</v>
      </c>
      <c r="G1652" s="2">
        <f>TYPE(INDEX(,SUMIFS(#REF!,#REF!,INDEX(1,),#REF!,#REF!)))</f>
        <v>16</v>
      </c>
    </row>
    <row r="1653" spans="1:7" x14ac:dyDescent="0.55000000000000004">
      <c r="A1653" s="1" t="s">
        <v>1912</v>
      </c>
      <c r="B1653" s="2">
        <f>COUNTIF(A:A,A1653)-1</f>
        <v>5</v>
      </c>
      <c r="C1653" s="2">
        <f>COUNTIF(A$1:A1653,A1653)-1</f>
        <v>4</v>
      </c>
      <c r="D1653" s="2" t="s">
        <v>2301</v>
      </c>
      <c r="E1653" s="2" t="s">
        <v>2302</v>
      </c>
      <c r="F1653" s="2" t="b">
        <f>IFERROR(INDEX(ERROR(0),SUMIFS(#REF!,#REF!,#REF!,INDIRECT(SET.NAME({1,"_"},)),#REF!)),RETURN(INDEX(TYPE(_),SET.NAME("_"))))</f>
        <v>0</v>
      </c>
      <c r="G1653" s="2">
        <f>TYPE(INDEX(,SUMIFS(#REF!,#REF!,#REF!,INDEX(1,),#REF!)))</f>
        <v>64</v>
      </c>
    </row>
    <row r="1654" spans="1:7" x14ac:dyDescent="0.55000000000000004">
      <c r="A1654" s="1" t="s">
        <v>1912</v>
      </c>
      <c r="B1654" s="2">
        <f>COUNTIF(A:A,A1654)-1</f>
        <v>5</v>
      </c>
      <c r="C1654" s="2">
        <f>COUNTIF(A$1:A1654,A1654)-1</f>
        <v>5</v>
      </c>
      <c r="D1654" s="2" t="e">
        <f>SUMIFS(#REF!,#REF!,#REF!,#REF!,1)</f>
        <v>#REF!</v>
      </c>
      <c r="E1654" s="2" t="b">
        <f>IFERROR(INDEX(ERROR(0),SUMIFS(#REF!,#REF!,#REF!,#REF!,SET.NAME("_",+INDEX(1,)))),RETURN(INDEX(TYPE(_),SET.NAME("_"))))</f>
        <v>0</v>
      </c>
      <c r="F1654" s="2" t="b">
        <f>IFERROR(INDEX(ERROR(0),SUMIFS(#REF!,#REF!,#REF!,#REF!,INDIRECT(SET.NAME({1,"_"},)))),RETURN(INDEX(TYPE(_),SET.NAME("_"))))</f>
        <v>0</v>
      </c>
      <c r="G1654" s="2">
        <f>TYPE(INDEX(,SUMIFS(#REF!,#REF!,#REF!,#REF!,INDEX(1,))))</f>
        <v>16</v>
      </c>
    </row>
    <row r="1655" spans="1:7" x14ac:dyDescent="0.55000000000000004">
      <c r="A1655" s="1" t="s">
        <v>1913</v>
      </c>
      <c r="B1655" s="2">
        <f>COUNTIF(A:A,A1655)-1</f>
        <v>3</v>
      </c>
      <c r="C1655" s="2">
        <f>COUNTIF(A$1:A1655,A1655)-1</f>
        <v>0</v>
      </c>
      <c r="D1655" s="2"/>
      <c r="E1655" s="2"/>
      <c r="F1655" s="2"/>
      <c r="G1655" s="2"/>
    </row>
    <row r="1656" spans="1:7" x14ac:dyDescent="0.55000000000000004">
      <c r="A1656" s="1" t="s">
        <v>1913</v>
      </c>
      <c r="B1656" s="2">
        <f>COUNTIF(A:A,A1656)-1</f>
        <v>3</v>
      </c>
      <c r="C1656" s="2">
        <f>COUNTIF(A$1:A1656,A1656)-1</f>
        <v>1</v>
      </c>
      <c r="D1656" s="2" t="s">
        <v>2303</v>
      </c>
      <c r="E1656" s="2" t="s">
        <v>2231</v>
      </c>
      <c r="F1656" s="2" t="b">
        <f>IFERROR(INDEX(ERROR(0),AVERAGEIF(INDIRECT(SET.NAME({1,"_"},)),#REF!,#REF!)),RETURN(INDEX(TYPE(_),SET.NAME("_"))))</f>
        <v>0</v>
      </c>
      <c r="G1656" s="2">
        <f>TYPE(INDEX(,AVERAGEIF(INDEX(1,),#REF!,#REF!)))</f>
        <v>64</v>
      </c>
    </row>
    <row r="1657" spans="1:7" x14ac:dyDescent="0.55000000000000004">
      <c r="A1657" s="1" t="s">
        <v>1913</v>
      </c>
      <c r="B1657" s="2">
        <f>COUNTIF(A:A,A1657)-1</f>
        <v>3</v>
      </c>
      <c r="C1657" s="2">
        <f>COUNTIF(A$1:A1657,A1657)-1</f>
        <v>2</v>
      </c>
      <c r="D1657" s="2" t="e">
        <f>AVERAGEIF(#REF!,1,#REF!)</f>
        <v>#REF!</v>
      </c>
      <c r="E1657" s="2" t="b">
        <f>IFERROR(INDEX(ERROR(0),AVERAGEIF(#REF!,SET.NAME("_",+INDEX(1,)),#REF!)),RETURN(INDEX(TYPE(_),SET.NAME("_"))))</f>
        <v>0</v>
      </c>
      <c r="F1657" s="2" t="b">
        <f>IFERROR(INDEX(ERROR(0),AVERAGEIF(#REF!,INDIRECT(SET.NAME({1,"_"},)),#REF!)),RETURN(INDEX(TYPE(_),SET.NAME("_"))))</f>
        <v>0</v>
      </c>
      <c r="G1657" s="2">
        <f>TYPE(INDEX(,AVERAGEIF(#REF!,INDEX(1,),#REF!)))</f>
        <v>16</v>
      </c>
    </row>
    <row r="1658" spans="1:7" x14ac:dyDescent="0.55000000000000004">
      <c r="A1658" s="1" t="s">
        <v>1913</v>
      </c>
      <c r="B1658" s="2">
        <f>COUNTIF(A:A,A1658)-1</f>
        <v>3</v>
      </c>
      <c r="C1658" s="2">
        <f>COUNTIF(A$1:A1658,A1658)-1</f>
        <v>3</v>
      </c>
      <c r="D1658" s="2" t="s">
        <v>2304</v>
      </c>
      <c r="E1658" s="2" t="s">
        <v>2232</v>
      </c>
      <c r="F1658" s="2" t="b">
        <f>IFERROR(INDEX(ERROR(0),AVERAGEIF(#REF!,#REF!,INDIRECT(SET.NAME({1,"_"},)))),RETURN(INDEX(TYPE(_),SET.NAME("_"))))</f>
        <v>0</v>
      </c>
      <c r="G1658" s="2">
        <f>TYPE(INDEX(,AVERAGEIF(#REF!,#REF!,INDEX(1,))))</f>
        <v>64</v>
      </c>
    </row>
    <row r="1659" spans="1:7" x14ac:dyDescent="0.55000000000000004">
      <c r="A1659" s="1" t="s">
        <v>1914</v>
      </c>
      <c r="B1659" s="2">
        <f>COUNTIF(A:A,A1659)-1</f>
        <v>5</v>
      </c>
      <c r="C1659" s="2">
        <f>COUNTIF(A$1:A1659,A1659)-1</f>
        <v>0</v>
      </c>
      <c r="D1659" s="2"/>
      <c r="E1659" s="2"/>
      <c r="F1659" s="2"/>
      <c r="G1659" s="2"/>
    </row>
    <row r="1660" spans="1:7" x14ac:dyDescent="0.55000000000000004">
      <c r="A1660" s="1" t="s">
        <v>1914</v>
      </c>
      <c r="B1660" s="2">
        <f>COUNTIF(A:A,A1660)-1</f>
        <v>5</v>
      </c>
      <c r="C1660" s="2">
        <f>COUNTIF(A$1:A1660,A1660)-1</f>
        <v>1</v>
      </c>
      <c r="D1660" s="2" t="s">
        <v>2305</v>
      </c>
      <c r="E1660" s="2" t="s">
        <v>2306</v>
      </c>
      <c r="F1660" s="2" t="b">
        <f>IFERROR(INDEX(ERROR(0),AVERAGEIFS(INDIRECT(SET.NAME({1,"_"},)),#REF!,#REF!,#REF!,#REF!)),RETURN(INDEX(TYPE(_),SET.NAME("_"))))</f>
        <v>0</v>
      </c>
      <c r="G1660" s="2">
        <f>TYPE(INDEX(,AVERAGEIFS(INDEX(1,),#REF!,#REF!,#REF!,#REF!)))</f>
        <v>64</v>
      </c>
    </row>
    <row r="1661" spans="1:7" x14ac:dyDescent="0.55000000000000004">
      <c r="A1661" s="1" t="s">
        <v>1914</v>
      </c>
      <c r="B1661" s="2">
        <f>COUNTIF(A:A,A1661)-1</f>
        <v>5</v>
      </c>
      <c r="C1661" s="2">
        <f>COUNTIF(A$1:A1661,A1661)-1</f>
        <v>2</v>
      </c>
      <c r="D1661" s="2" t="s">
        <v>2307</v>
      </c>
      <c r="E1661" s="2" t="s">
        <v>2308</v>
      </c>
      <c r="F1661" s="2" t="b">
        <f>IFERROR(INDEX(ERROR(0),AVERAGEIFS(#REF!,INDIRECT(SET.NAME({1,"_"},)),#REF!,#REF!,#REF!)),RETURN(INDEX(TYPE(_),SET.NAME("_"))))</f>
        <v>0</v>
      </c>
      <c r="G1661" s="2">
        <f>TYPE(INDEX(,AVERAGEIFS(#REF!,INDEX(1,),#REF!,#REF!,#REF!)))</f>
        <v>64</v>
      </c>
    </row>
    <row r="1662" spans="1:7" x14ac:dyDescent="0.55000000000000004">
      <c r="A1662" s="1" t="s">
        <v>1914</v>
      </c>
      <c r="B1662" s="2">
        <f>COUNTIF(A:A,A1662)-1</f>
        <v>5</v>
      </c>
      <c r="C1662" s="2">
        <f>COUNTIF(A$1:A1662,A1662)-1</f>
        <v>3</v>
      </c>
      <c r="D1662" s="2" t="e">
        <f>AVERAGEIFS(#REF!,#REF!,1,#REF!,#REF!)</f>
        <v>#REF!</v>
      </c>
      <c r="E1662" s="2" t="b">
        <f>IFERROR(INDEX(ERROR(0),AVERAGEIFS(#REF!,#REF!,SET.NAME("_",+INDEX(1,)),#REF!,#REF!)),RETURN(INDEX(TYPE(_),SET.NAME("_"))))</f>
        <v>0</v>
      </c>
      <c r="F1662" s="2" t="b">
        <f>IFERROR(INDEX(ERROR(0),AVERAGEIFS(#REF!,#REF!,INDIRECT(SET.NAME({1,"_"},)),#REF!,#REF!)),RETURN(INDEX(TYPE(_),SET.NAME("_"))))</f>
        <v>0</v>
      </c>
      <c r="G1662" s="2">
        <f>TYPE(INDEX(,AVERAGEIFS(#REF!,#REF!,INDEX(1,),#REF!,#REF!)))</f>
        <v>16</v>
      </c>
    </row>
    <row r="1663" spans="1:7" x14ac:dyDescent="0.55000000000000004">
      <c r="A1663" s="1" t="s">
        <v>1914</v>
      </c>
      <c r="B1663" s="2">
        <f>COUNTIF(A:A,A1663)-1</f>
        <v>5</v>
      </c>
      <c r="C1663" s="2">
        <f>COUNTIF(A$1:A1663,A1663)-1</f>
        <v>4</v>
      </c>
      <c r="D1663" s="2" t="s">
        <v>2309</v>
      </c>
      <c r="E1663" s="2" t="s">
        <v>2310</v>
      </c>
      <c r="F1663" s="2" t="b">
        <f>IFERROR(INDEX(ERROR(0),AVERAGEIFS(#REF!,#REF!,#REF!,INDIRECT(SET.NAME({1,"_"},)),#REF!)),RETURN(INDEX(TYPE(_),SET.NAME("_"))))</f>
        <v>0</v>
      </c>
      <c r="G1663" s="2">
        <f>TYPE(INDEX(,AVERAGEIFS(#REF!,#REF!,#REF!,INDEX(1,),#REF!)))</f>
        <v>64</v>
      </c>
    </row>
    <row r="1664" spans="1:7" x14ac:dyDescent="0.55000000000000004">
      <c r="A1664" s="1" t="s">
        <v>1914</v>
      </c>
      <c r="B1664" s="2">
        <f>COUNTIF(A:A,A1664)-1</f>
        <v>5</v>
      </c>
      <c r="C1664" s="2">
        <f>COUNTIF(A$1:A1664,A1664)-1</f>
        <v>5</v>
      </c>
      <c r="D1664" s="2" t="e">
        <f>AVERAGEIFS(#REF!,#REF!,#REF!,#REF!,1)</f>
        <v>#REF!</v>
      </c>
      <c r="E1664" s="2" t="b">
        <f>IFERROR(INDEX(ERROR(0),AVERAGEIFS(#REF!,#REF!,#REF!,#REF!,SET.NAME("_",+INDEX(1,)))),RETURN(INDEX(TYPE(_),SET.NAME("_"))))</f>
        <v>0</v>
      </c>
      <c r="F1664" s="2" t="b">
        <f>IFERROR(INDEX(ERROR(0),AVERAGEIFS(#REF!,#REF!,#REF!,#REF!,INDIRECT(SET.NAME({1,"_"},)))),RETURN(INDEX(TYPE(_),SET.NAME("_"))))</f>
        <v>0</v>
      </c>
      <c r="G1664" s="2">
        <f>TYPE(INDEX(,AVERAGEIFS(#REF!,#REF!,#REF!,#REF!,INDEX(1,))))</f>
        <v>16</v>
      </c>
    </row>
    <row r="1665" spans="1:7" x14ac:dyDescent="0.55000000000000004">
      <c r="A1665" s="1" t="s">
        <v>1915</v>
      </c>
      <c r="B1665" s="2">
        <f>COUNTIF(A:A,A1665)-1</f>
        <v>6</v>
      </c>
      <c r="C1665" s="2">
        <f>COUNTIF(A$1:A1665,A1665)-1</f>
        <v>0</v>
      </c>
      <c r="D1665" s="2"/>
      <c r="E1665" s="2"/>
      <c r="F1665" s="2"/>
      <c r="G1665" s="2"/>
    </row>
    <row r="1666" spans="1:7" x14ac:dyDescent="0.55000000000000004">
      <c r="A1666" s="1" t="s">
        <v>1915</v>
      </c>
      <c r="B1666" s="2">
        <f>COUNTIF(A:A,A1666)-1</f>
        <v>6</v>
      </c>
      <c r="C1666" s="2">
        <f>COUNTIF(A$1:A1666,A1666)-1</f>
        <v>1</v>
      </c>
      <c r="D1666" s="2" t="e">
        <f>_xlfn.AGGREGATE(1,#REF!,#REF!,#REF!,#REF!,#REF!)</f>
        <v>#REF!</v>
      </c>
      <c r="E1666" s="2" t="b">
        <f>IFERROR(INDEX(ERROR(0),_xlfn.AGGREGATE(SET.NAME("_",+INDEX(1,)),#REF!,#REF!,#REF!,#REF!,#REF!)),RETURN(INDEX(TYPE(_),SET.NAME("_"))))</f>
        <v>0</v>
      </c>
      <c r="F1666" s="2" t="b">
        <f>IFERROR(INDEX(ERROR(0),_xlfn.AGGREGATE(INDIRECT(SET.NAME({1,"_"},)),#REF!,#REF!,#REF!,#REF!,#REF!)),RETURN(INDEX(TYPE(_),SET.NAME("_"))))</f>
        <v>0</v>
      </c>
      <c r="G1666" s="2">
        <f>TYPE(INDEX(,_xlfn.AGGREGATE(INDEX(1,),#REF!,#REF!,#REF!,#REF!,#REF!)))</f>
        <v>16</v>
      </c>
    </row>
    <row r="1667" spans="1:7" x14ac:dyDescent="0.55000000000000004">
      <c r="A1667" s="1" t="s">
        <v>1915</v>
      </c>
      <c r="B1667" s="2">
        <f>COUNTIF(A:A,A1667)-1</f>
        <v>6</v>
      </c>
      <c r="C1667" s="2">
        <f>COUNTIF(A$1:A1667,A1667)-1</f>
        <v>2</v>
      </c>
      <c r="D1667" s="2" t="e">
        <f>_xlfn.AGGREGATE(#REF!,1,#REF!,#REF!,#REF!,#REF!)</f>
        <v>#REF!</v>
      </c>
      <c r="E1667" s="2" t="b">
        <f>IFERROR(INDEX(ERROR(0),_xlfn.AGGREGATE(#REF!,SET.NAME("_",+INDEX(1,)),#REF!,#REF!,#REF!,#REF!)),RETURN(INDEX(TYPE(_),SET.NAME("_"))))</f>
        <v>0</v>
      </c>
      <c r="F1667" s="2" t="b">
        <f>IFERROR(INDEX(ERROR(0),_xlfn.AGGREGATE(#REF!,INDIRECT(SET.NAME({1,"_"},)),#REF!,#REF!,#REF!,#REF!)),RETURN(INDEX(TYPE(_),SET.NAME("_"))))</f>
        <v>0</v>
      </c>
      <c r="G1667" s="2">
        <f>TYPE(INDEX(,_xlfn.AGGREGATE(#REF!,INDEX(1,),#REF!,#REF!,#REF!,#REF!)))</f>
        <v>16</v>
      </c>
    </row>
    <row r="1668" spans="1:7" x14ac:dyDescent="0.55000000000000004">
      <c r="A1668" s="1" t="s">
        <v>1915</v>
      </c>
      <c r="B1668" s="2">
        <f>COUNTIF(A:A,A1668)-1</f>
        <v>6</v>
      </c>
      <c r="C1668" s="2">
        <f>COUNTIF(A$1:A1668,A1668)-1</f>
        <v>3</v>
      </c>
      <c r="D1668" s="2" t="e">
        <f>_xlfn.AGGREGATE(#REF!,#REF!,1,#REF!,#REF!,#REF!)</f>
        <v>#REF!</v>
      </c>
      <c r="E1668" s="2" t="b">
        <f>IFERROR(INDEX(ERROR(0),_xlfn.AGGREGATE(#REF!,#REF!,SET.NAME("_",+INDEX(1,)),#REF!,#REF!,#REF!)),RETURN(INDEX(TYPE(_),SET.NAME("_"))))</f>
        <v>0</v>
      </c>
      <c r="F1668" s="2" t="b">
        <f>IFERROR(INDEX(ERROR(0),_xlfn.AGGREGATE(#REF!,#REF!,INDIRECT(SET.NAME({1,"_"},)),#REF!,#REF!,#REF!)),RETURN(INDEX(TYPE(_),SET.NAME("_"))))</f>
        <v>0</v>
      </c>
      <c r="G1668" s="2">
        <f>TYPE(INDEX(,_xlfn.AGGREGATE(#REF!,#REF!,INDEX(1,),#REF!,#REF!,#REF!)))</f>
        <v>16</v>
      </c>
    </row>
    <row r="1669" spans="1:7" x14ac:dyDescent="0.55000000000000004">
      <c r="A1669" s="1" t="s">
        <v>1915</v>
      </c>
      <c r="B1669" s="2">
        <f>COUNTIF(A:A,A1669)-1</f>
        <v>6</v>
      </c>
      <c r="C1669" s="2">
        <f>COUNTIF(A$1:A1669,A1669)-1</f>
        <v>4</v>
      </c>
      <c r="D1669" s="2" t="e">
        <f>_xlfn.AGGREGATE(#REF!,#REF!,#REF!,1,#REF!,#REF!)</f>
        <v>#REF!</v>
      </c>
      <c r="E1669" s="2" t="b">
        <f>IFERROR(INDEX(ERROR(0),_xlfn.AGGREGATE(#REF!,#REF!,#REF!,SET.NAME("_",+INDEX(1,)),#REF!,#REF!)),RETURN(INDEX(TYPE(_),SET.NAME("_"))))</f>
        <v>0</v>
      </c>
      <c r="F1669" s="2" t="b">
        <f>IFERROR(INDEX(ERROR(0),_xlfn.AGGREGATE(#REF!,#REF!,#REF!,INDIRECT(SET.NAME({1,"_"},)),#REF!,#REF!)),RETURN(INDEX(TYPE(_),SET.NAME("_"))))</f>
        <v>0</v>
      </c>
      <c r="G1669" s="2">
        <f>TYPE(INDEX(,_xlfn.AGGREGATE(#REF!,#REF!,#REF!,INDEX(1,),#REF!,#REF!)))</f>
        <v>64</v>
      </c>
    </row>
    <row r="1670" spans="1:7" x14ac:dyDescent="0.55000000000000004">
      <c r="A1670" s="1" t="s">
        <v>1915</v>
      </c>
      <c r="B1670" s="2">
        <f>COUNTIF(A:A,A1670)-1</f>
        <v>6</v>
      </c>
      <c r="C1670" s="2">
        <f>COUNTIF(A$1:A1670,A1670)-1</f>
        <v>5</v>
      </c>
      <c r="D1670" s="2" t="s">
        <v>2311</v>
      </c>
      <c r="E1670" s="2" t="s">
        <v>2312</v>
      </c>
      <c r="F1670" s="2" t="b">
        <f>IFERROR(INDEX(ERROR(0),_xlfn.AGGREGATE(#REF!,#REF!,#REF!,#REF!,INDIRECT(SET.NAME({1,"_"},)),#REF!)),RETURN(INDEX(TYPE(_),SET.NAME("_"))))</f>
        <v>0</v>
      </c>
      <c r="G1670" s="2">
        <f>TYPE(INDEX(,_xlfn.AGGREGATE(#REF!,#REF!,#REF!,#REF!,INDEX(1,),#REF!)))</f>
        <v>64</v>
      </c>
    </row>
    <row r="1671" spans="1:7" x14ac:dyDescent="0.55000000000000004">
      <c r="A1671" s="1" t="s">
        <v>1915</v>
      </c>
      <c r="B1671" s="2">
        <f>COUNTIF(A:A,A1671)-1</f>
        <v>6</v>
      </c>
      <c r="C1671" s="2">
        <f>COUNTIF(A$1:A1671,A1671)-1</f>
        <v>6</v>
      </c>
      <c r="D1671" s="2" t="s">
        <v>2313</v>
      </c>
      <c r="E1671" s="2" t="s">
        <v>2314</v>
      </c>
      <c r="F1671" s="2" t="b">
        <f>IFERROR(INDEX(ERROR(0),_xlfn.AGGREGATE(#REF!,#REF!,#REF!,#REF!,#REF!,INDIRECT(SET.NAME({1,"_"},)))),RETURN(INDEX(TYPE(_),SET.NAME("_"))))</f>
        <v>0</v>
      </c>
      <c r="G1671" s="2">
        <f>TYPE(INDEX(,_xlfn.AGGREGATE(#REF!,#REF!,#REF!,#REF!,#REF!,INDEX(1,))))</f>
        <v>64</v>
      </c>
    </row>
    <row r="1672" spans="1:7" x14ac:dyDescent="0.55000000000000004">
      <c r="A1672" s="1" t="s">
        <v>2072</v>
      </c>
      <c r="B1672" s="2">
        <f>COUNTIF(A:A,A1672)-1</f>
        <v>4</v>
      </c>
      <c r="C1672" s="2">
        <f>COUNTIF(A$1:A1672,A1672)-1</f>
        <v>0</v>
      </c>
      <c r="D1672" s="2"/>
      <c r="E1672" s="2"/>
      <c r="F1672" s="2"/>
      <c r="G1672" s="2"/>
    </row>
    <row r="1673" spans="1:7" x14ac:dyDescent="0.55000000000000004">
      <c r="A1673" s="1" t="s">
        <v>2072</v>
      </c>
      <c r="B1673" s="2">
        <f>COUNTIF(A:A,A1673)-1</f>
        <v>4</v>
      </c>
      <c r="C1673" s="2">
        <f>COUNTIF(A$1:A1673,A1673)-1</f>
        <v>1</v>
      </c>
      <c r="D1673" s="2" t="e">
        <f>_xlfn.BINOM.DIST(1,#REF!,#REF!,#REF!)</f>
        <v>#REF!</v>
      </c>
      <c r="E1673" s="2" t="b">
        <f>IFERROR(INDEX(ERROR(0),_xlfn.BINOM.DIST(SET.NAME("_",+INDEX(1,)),#REF!,#REF!,#REF!)),RETURN(INDEX(TYPE(_),SET.NAME("_"))))</f>
        <v>0</v>
      </c>
      <c r="F1673" s="2" t="b">
        <f>IFERROR(INDEX(ERROR(0),_xlfn.BINOM.DIST(INDIRECT(SET.NAME({1,"_"},)),#REF!,#REF!,#REF!)),RETURN(INDEX(TYPE(_),SET.NAME("_"))))</f>
        <v>0</v>
      </c>
      <c r="G1673" s="2">
        <f>TYPE(INDEX(,_xlfn.BINOM.DIST(INDEX(1,),#REF!,#REF!,#REF!)))</f>
        <v>16</v>
      </c>
    </row>
    <row r="1674" spans="1:7" x14ac:dyDescent="0.55000000000000004">
      <c r="A1674" s="1" t="s">
        <v>2072</v>
      </c>
      <c r="B1674" s="2">
        <f>COUNTIF(A:A,A1674)-1</f>
        <v>4</v>
      </c>
      <c r="C1674" s="2">
        <f>COUNTIF(A$1:A1674,A1674)-1</f>
        <v>2</v>
      </c>
      <c r="D1674" s="2" t="e">
        <f>_xlfn.BINOM.DIST(#REF!,1,#REF!,#REF!)</f>
        <v>#REF!</v>
      </c>
      <c r="E1674" s="2" t="b">
        <f>IFERROR(INDEX(ERROR(0),_xlfn.BINOM.DIST(#REF!,SET.NAME("_",+INDEX(1,)),#REF!,#REF!)),RETURN(INDEX(TYPE(_),SET.NAME("_"))))</f>
        <v>0</v>
      </c>
      <c r="F1674" s="2" t="b">
        <f>IFERROR(INDEX(ERROR(0),_xlfn.BINOM.DIST(#REF!,INDIRECT(SET.NAME({1,"_"},)),#REF!,#REF!)),RETURN(INDEX(TYPE(_),SET.NAME("_"))))</f>
        <v>0</v>
      </c>
      <c r="G1674" s="2">
        <f>TYPE(INDEX(,_xlfn.BINOM.DIST(#REF!,INDEX(1,),#REF!,#REF!)))</f>
        <v>16</v>
      </c>
    </row>
    <row r="1675" spans="1:7" x14ac:dyDescent="0.55000000000000004">
      <c r="A1675" s="1" t="s">
        <v>2072</v>
      </c>
      <c r="B1675" s="2">
        <f>COUNTIF(A:A,A1675)-1</f>
        <v>4</v>
      </c>
      <c r="C1675" s="2">
        <f>COUNTIF(A$1:A1675,A1675)-1</f>
        <v>3</v>
      </c>
      <c r="D1675" s="2" t="e">
        <f>_xlfn.BINOM.DIST(#REF!,#REF!,1,#REF!)</f>
        <v>#REF!</v>
      </c>
      <c r="E1675" s="2" t="b">
        <f>IFERROR(INDEX(ERROR(0),_xlfn.BINOM.DIST(#REF!,#REF!,SET.NAME("_",+INDEX(1,)),#REF!)),RETURN(INDEX(TYPE(_),SET.NAME("_"))))</f>
        <v>0</v>
      </c>
      <c r="F1675" s="2" t="b">
        <f>IFERROR(INDEX(ERROR(0),_xlfn.BINOM.DIST(#REF!,#REF!,INDIRECT(SET.NAME({1,"_"},)),#REF!)),RETURN(INDEX(TYPE(_),SET.NAME("_"))))</f>
        <v>0</v>
      </c>
      <c r="G1675" s="2">
        <f>TYPE(INDEX(,_xlfn.BINOM.DIST(#REF!,#REF!,INDEX(1,),#REF!)))</f>
        <v>16</v>
      </c>
    </row>
    <row r="1676" spans="1:7" x14ac:dyDescent="0.55000000000000004">
      <c r="A1676" s="1" t="s">
        <v>2072</v>
      </c>
      <c r="B1676" s="2">
        <f>COUNTIF(A:A,A1676)-1</f>
        <v>4</v>
      </c>
      <c r="C1676" s="2">
        <f>COUNTIF(A$1:A1676,A1676)-1</f>
        <v>4</v>
      </c>
      <c r="D1676" s="2" t="e">
        <f>_xlfn.BINOM.DIST(#REF!,#REF!,#REF!,1)</f>
        <v>#REF!</v>
      </c>
      <c r="E1676" s="2" t="b">
        <f>IFERROR(INDEX(ERROR(0),_xlfn.BINOM.DIST(#REF!,#REF!,#REF!,SET.NAME("_",+INDEX(1,)))),RETURN(INDEX(TYPE(_),SET.NAME("_"))))</f>
        <v>0</v>
      </c>
      <c r="F1676" s="2" t="b">
        <f>IFERROR(INDEX(ERROR(0),_xlfn.BINOM.DIST(#REF!,#REF!,#REF!,INDIRECT(SET.NAME({1,"_"},)))),RETURN(INDEX(TYPE(_),SET.NAME("_"))))</f>
        <v>0</v>
      </c>
      <c r="G1676" s="2">
        <f>TYPE(INDEX(,_xlfn.BINOM.DIST(#REF!,#REF!,#REF!,INDEX(1,))))</f>
        <v>16</v>
      </c>
    </row>
    <row r="1677" spans="1:7" x14ac:dyDescent="0.55000000000000004">
      <c r="A1677" s="1" t="s">
        <v>2073</v>
      </c>
      <c r="B1677" s="2">
        <f>COUNTIF(A:A,A1677)-1</f>
        <v>3</v>
      </c>
      <c r="C1677" s="2">
        <f>COUNTIF(A$1:A1677,A1677)-1</f>
        <v>0</v>
      </c>
      <c r="D1677" s="2"/>
      <c r="E1677" s="2"/>
      <c r="F1677" s="2"/>
      <c r="G1677" s="2"/>
    </row>
    <row r="1678" spans="1:7" x14ac:dyDescent="0.55000000000000004">
      <c r="A1678" s="1" t="s">
        <v>2073</v>
      </c>
      <c r="B1678" s="2">
        <f>COUNTIF(A:A,A1678)-1</f>
        <v>3</v>
      </c>
      <c r="C1678" s="2">
        <f>COUNTIF(A$1:A1678,A1678)-1</f>
        <v>1</v>
      </c>
      <c r="D1678" s="2" t="e">
        <f>_xlfn.BINOM.INV(1,#REF!,#REF!)</f>
        <v>#REF!</v>
      </c>
      <c r="E1678" s="2" t="b">
        <f>IFERROR(INDEX(ERROR(0),_xlfn.BINOM.INV(SET.NAME("_",+INDEX(1,)),#REF!,#REF!)),RETURN(INDEX(TYPE(_),SET.NAME("_"))))</f>
        <v>0</v>
      </c>
      <c r="F1678" s="2" t="b">
        <f>IFERROR(INDEX(ERROR(0),_xlfn.BINOM.INV(INDIRECT(SET.NAME({1,"_"},)),#REF!,#REF!)),RETURN(INDEX(TYPE(_),SET.NAME("_"))))</f>
        <v>0</v>
      </c>
      <c r="G1678" s="2">
        <f>TYPE(INDEX(,_xlfn.BINOM.INV(INDEX(1,),#REF!,#REF!)))</f>
        <v>16</v>
      </c>
    </row>
    <row r="1679" spans="1:7" x14ac:dyDescent="0.55000000000000004">
      <c r="A1679" s="1" t="s">
        <v>2073</v>
      </c>
      <c r="B1679" s="2">
        <f>COUNTIF(A:A,A1679)-1</f>
        <v>3</v>
      </c>
      <c r="C1679" s="2">
        <f>COUNTIF(A$1:A1679,A1679)-1</f>
        <v>2</v>
      </c>
      <c r="D1679" s="2" t="e">
        <f>_xlfn.BINOM.INV(#REF!,1,#REF!)</f>
        <v>#REF!</v>
      </c>
      <c r="E1679" s="2" t="b">
        <f>IFERROR(INDEX(ERROR(0),_xlfn.BINOM.INV(#REF!,SET.NAME("_",+INDEX(1,)),#REF!)),RETURN(INDEX(TYPE(_),SET.NAME("_"))))</f>
        <v>0</v>
      </c>
      <c r="F1679" s="2" t="b">
        <f>IFERROR(INDEX(ERROR(0),_xlfn.BINOM.INV(#REF!,INDIRECT(SET.NAME({1,"_"},)),#REF!)),RETURN(INDEX(TYPE(_),SET.NAME("_"))))</f>
        <v>0</v>
      </c>
      <c r="G1679" s="2">
        <f>TYPE(INDEX(,_xlfn.BINOM.INV(#REF!,INDEX(1,),#REF!)))</f>
        <v>16</v>
      </c>
    </row>
    <row r="1680" spans="1:7" x14ac:dyDescent="0.55000000000000004">
      <c r="A1680" s="1" t="s">
        <v>2073</v>
      </c>
      <c r="B1680" s="2">
        <f>COUNTIF(A:A,A1680)-1</f>
        <v>3</v>
      </c>
      <c r="C1680" s="2">
        <f>COUNTIF(A$1:A1680,A1680)-1</f>
        <v>3</v>
      </c>
      <c r="D1680" s="2" t="e">
        <f>_xlfn.BINOM.INV(#REF!,#REF!,1)</f>
        <v>#REF!</v>
      </c>
      <c r="E1680" s="2" t="b">
        <f>IFERROR(INDEX(ERROR(0),_xlfn.BINOM.INV(#REF!,#REF!,SET.NAME("_",+INDEX(1,)))),RETURN(INDEX(TYPE(_),SET.NAME("_"))))</f>
        <v>0</v>
      </c>
      <c r="F1680" s="2" t="b">
        <f>IFERROR(INDEX(ERROR(0),_xlfn.BINOM.INV(#REF!,#REF!,INDIRECT(SET.NAME({1,"_"},)))),RETURN(INDEX(TYPE(_),SET.NAME("_"))))</f>
        <v>0</v>
      </c>
      <c r="G1680" s="2">
        <f>TYPE(INDEX(,_xlfn.BINOM.INV(#REF!,#REF!,INDEX(1,))))</f>
        <v>16</v>
      </c>
    </row>
    <row r="1681" spans="1:7" x14ac:dyDescent="0.55000000000000004">
      <c r="A1681" s="1" t="s">
        <v>2074</v>
      </c>
      <c r="B1681" s="2">
        <f>COUNTIF(A:A,A1681)-1</f>
        <v>3</v>
      </c>
      <c r="C1681" s="2">
        <f>COUNTIF(A$1:A1681,A1681)-1</f>
        <v>0</v>
      </c>
      <c r="D1681" s="2"/>
      <c r="E1681" s="2"/>
      <c r="F1681" s="2"/>
      <c r="G1681" s="2"/>
    </row>
    <row r="1682" spans="1:7" x14ac:dyDescent="0.55000000000000004">
      <c r="A1682" s="1" t="s">
        <v>2074</v>
      </c>
      <c r="B1682" s="2">
        <f>COUNTIF(A:A,A1682)-1</f>
        <v>3</v>
      </c>
      <c r="C1682" s="2">
        <f>COUNTIF(A$1:A1682,A1682)-1</f>
        <v>1</v>
      </c>
      <c r="D1682" s="2" t="e">
        <f>_xlfn.CONFIDENCE.NORM(1,#REF!,#REF!)</f>
        <v>#REF!</v>
      </c>
      <c r="E1682" s="2" t="b">
        <f>IFERROR(INDEX(ERROR(0),_xlfn.CONFIDENCE.NORM(SET.NAME("_",+INDEX(1,)),#REF!,#REF!)),RETURN(INDEX(TYPE(_),SET.NAME("_"))))</f>
        <v>0</v>
      </c>
      <c r="F1682" s="2" t="b">
        <f>IFERROR(INDEX(ERROR(0),_xlfn.CONFIDENCE.NORM(INDIRECT(SET.NAME({1,"_"},)),#REF!,#REF!)),RETURN(INDEX(TYPE(_),SET.NAME("_"))))</f>
        <v>0</v>
      </c>
      <c r="G1682" s="2">
        <f>TYPE(INDEX(,_xlfn.CONFIDENCE.NORM(INDEX(1,),#REF!,#REF!)))</f>
        <v>16</v>
      </c>
    </row>
    <row r="1683" spans="1:7" x14ac:dyDescent="0.55000000000000004">
      <c r="A1683" s="1" t="s">
        <v>2074</v>
      </c>
      <c r="B1683" s="2">
        <f>COUNTIF(A:A,A1683)-1</f>
        <v>3</v>
      </c>
      <c r="C1683" s="2">
        <f>COUNTIF(A$1:A1683,A1683)-1</f>
        <v>2</v>
      </c>
      <c r="D1683" s="2" t="e">
        <f>_xlfn.CONFIDENCE.NORM(#REF!,1,#REF!)</f>
        <v>#REF!</v>
      </c>
      <c r="E1683" s="2" t="b">
        <f>IFERROR(INDEX(ERROR(0),_xlfn.CONFIDENCE.NORM(#REF!,SET.NAME("_",+INDEX(1,)),#REF!)),RETURN(INDEX(TYPE(_),SET.NAME("_"))))</f>
        <v>0</v>
      </c>
      <c r="F1683" s="2" t="b">
        <f>IFERROR(INDEX(ERROR(0),_xlfn.CONFIDENCE.NORM(#REF!,INDIRECT(SET.NAME({1,"_"},)),#REF!)),RETURN(INDEX(TYPE(_),SET.NAME("_"))))</f>
        <v>0</v>
      </c>
      <c r="G1683" s="2">
        <f>TYPE(INDEX(,_xlfn.CONFIDENCE.NORM(#REF!,INDEX(1,),#REF!)))</f>
        <v>16</v>
      </c>
    </row>
    <row r="1684" spans="1:7" x14ac:dyDescent="0.55000000000000004">
      <c r="A1684" s="1" t="s">
        <v>2074</v>
      </c>
      <c r="B1684" s="2">
        <f>COUNTIF(A:A,A1684)-1</f>
        <v>3</v>
      </c>
      <c r="C1684" s="2">
        <f>COUNTIF(A$1:A1684,A1684)-1</f>
        <v>3</v>
      </c>
      <c r="D1684" s="2" t="e">
        <f>_xlfn.CONFIDENCE.NORM(#REF!,#REF!,1)</f>
        <v>#REF!</v>
      </c>
      <c r="E1684" s="2" t="b">
        <f>IFERROR(INDEX(ERROR(0),_xlfn.CONFIDENCE.NORM(#REF!,#REF!,SET.NAME("_",+INDEX(1,)))),RETURN(INDEX(TYPE(_),SET.NAME("_"))))</f>
        <v>0</v>
      </c>
      <c r="F1684" s="2" t="b">
        <f>IFERROR(INDEX(ERROR(0),_xlfn.CONFIDENCE.NORM(#REF!,#REF!,INDIRECT(SET.NAME({1,"_"},)))),RETURN(INDEX(TYPE(_),SET.NAME("_"))))</f>
        <v>0</v>
      </c>
      <c r="G1684" s="2">
        <f>TYPE(INDEX(,_xlfn.CONFIDENCE.NORM(#REF!,#REF!,INDEX(1,))))</f>
        <v>16</v>
      </c>
    </row>
    <row r="1685" spans="1:7" x14ac:dyDescent="0.55000000000000004">
      <c r="A1685" s="1" t="s">
        <v>2075</v>
      </c>
      <c r="B1685" s="2">
        <f>COUNTIF(A:A,A1685)-1</f>
        <v>3</v>
      </c>
      <c r="C1685" s="2">
        <f>COUNTIF(A$1:A1685,A1685)-1</f>
        <v>0</v>
      </c>
      <c r="D1685" s="2"/>
      <c r="E1685" s="2"/>
      <c r="F1685" s="2"/>
      <c r="G1685" s="2"/>
    </row>
    <row r="1686" spans="1:7" x14ac:dyDescent="0.55000000000000004">
      <c r="A1686" s="1" t="s">
        <v>2075</v>
      </c>
      <c r="B1686" s="2">
        <f>COUNTIF(A:A,A1686)-1</f>
        <v>3</v>
      </c>
      <c r="C1686" s="2">
        <f>COUNTIF(A$1:A1686,A1686)-1</f>
        <v>1</v>
      </c>
      <c r="D1686" s="2" t="e">
        <f>_xlfn.CONFIDENCE.T(1,#REF!,#REF!)</f>
        <v>#REF!</v>
      </c>
      <c r="E1686" s="2" t="b">
        <f>IFERROR(INDEX(ERROR(0),_xlfn.CONFIDENCE.T(SET.NAME("_",+INDEX(1,)),#REF!,#REF!)),RETURN(INDEX(TYPE(_),SET.NAME("_"))))</f>
        <v>0</v>
      </c>
      <c r="F1686" s="2" t="b">
        <f>IFERROR(INDEX(ERROR(0),_xlfn.CONFIDENCE.T(INDIRECT(SET.NAME({1,"_"},)),#REF!,#REF!)),RETURN(INDEX(TYPE(_),SET.NAME("_"))))</f>
        <v>0</v>
      </c>
      <c r="G1686" s="2">
        <f>TYPE(INDEX(,_xlfn.CONFIDENCE.T(INDEX(1,),#REF!,#REF!)))</f>
        <v>16</v>
      </c>
    </row>
    <row r="1687" spans="1:7" x14ac:dyDescent="0.55000000000000004">
      <c r="A1687" s="1" t="s">
        <v>2075</v>
      </c>
      <c r="B1687" s="2">
        <f>COUNTIF(A:A,A1687)-1</f>
        <v>3</v>
      </c>
      <c r="C1687" s="2">
        <f>COUNTIF(A$1:A1687,A1687)-1</f>
        <v>2</v>
      </c>
      <c r="D1687" s="2" t="e">
        <f>_xlfn.CONFIDENCE.T(#REF!,1,#REF!)</f>
        <v>#REF!</v>
      </c>
      <c r="E1687" s="2" t="b">
        <f>IFERROR(INDEX(ERROR(0),_xlfn.CONFIDENCE.T(#REF!,SET.NAME("_",+INDEX(1,)),#REF!)),RETURN(INDEX(TYPE(_),SET.NAME("_"))))</f>
        <v>0</v>
      </c>
      <c r="F1687" s="2" t="b">
        <f>IFERROR(INDEX(ERROR(0),_xlfn.CONFIDENCE.T(#REF!,INDIRECT(SET.NAME({1,"_"},)),#REF!)),RETURN(INDEX(TYPE(_),SET.NAME("_"))))</f>
        <v>0</v>
      </c>
      <c r="G1687" s="2">
        <f>TYPE(INDEX(,_xlfn.CONFIDENCE.T(#REF!,INDEX(1,),#REF!)))</f>
        <v>16</v>
      </c>
    </row>
    <row r="1688" spans="1:7" x14ac:dyDescent="0.55000000000000004">
      <c r="A1688" s="1" t="s">
        <v>2075</v>
      </c>
      <c r="B1688" s="2">
        <f>COUNTIF(A:A,A1688)-1</f>
        <v>3</v>
      </c>
      <c r="C1688" s="2">
        <f>COUNTIF(A$1:A1688,A1688)-1</f>
        <v>3</v>
      </c>
      <c r="D1688" s="2" t="e">
        <f>_xlfn.CONFIDENCE.T(#REF!,#REF!,1)</f>
        <v>#REF!</v>
      </c>
      <c r="E1688" s="2" t="b">
        <f>IFERROR(INDEX(ERROR(0),_xlfn.CONFIDENCE.T(#REF!,#REF!,SET.NAME("_",+INDEX(1,)))),RETURN(INDEX(TYPE(_),SET.NAME("_"))))</f>
        <v>0</v>
      </c>
      <c r="F1688" s="2" t="b">
        <f>IFERROR(INDEX(ERROR(0),_xlfn.CONFIDENCE.T(#REF!,#REF!,INDIRECT(SET.NAME({1,"_"},)))),RETURN(INDEX(TYPE(_),SET.NAME("_"))))</f>
        <v>0</v>
      </c>
      <c r="G1688" s="2">
        <f>TYPE(INDEX(,_xlfn.CONFIDENCE.T(#REF!,#REF!,INDEX(1,))))</f>
        <v>16</v>
      </c>
    </row>
    <row r="1689" spans="1:7" x14ac:dyDescent="0.55000000000000004">
      <c r="A1689" s="1" t="s">
        <v>2076</v>
      </c>
      <c r="B1689" s="2">
        <f>COUNTIF(A:A,A1689)-1</f>
        <v>2</v>
      </c>
      <c r="C1689" s="2">
        <f>COUNTIF(A$1:A1689,A1689)-1</f>
        <v>0</v>
      </c>
      <c r="D1689" s="2"/>
      <c r="E1689" s="2"/>
      <c r="F1689" s="2"/>
      <c r="G1689" s="2"/>
    </row>
    <row r="1690" spans="1:7" x14ac:dyDescent="0.55000000000000004">
      <c r="A1690" s="1" t="s">
        <v>2076</v>
      </c>
      <c r="B1690" s="2">
        <f>COUNTIF(A:A,A1690)-1</f>
        <v>2</v>
      </c>
      <c r="C1690" s="2">
        <f>COUNTIF(A$1:A1690,A1690)-1</f>
        <v>1</v>
      </c>
      <c r="D1690" s="2" t="e">
        <f>_xlfn.CHISQ.TEST(1,#REF!)</f>
        <v>#REF!</v>
      </c>
      <c r="E1690" s="2" t="b">
        <f>IFERROR(INDEX(ERROR(0),_xlfn.CHISQ.TEST(SET.NAME("_",+INDEX(1,)),#REF!)),RETURN(INDEX(TYPE(_),SET.NAME("_"))))</f>
        <v>0</v>
      </c>
      <c r="F1690" s="2" t="b">
        <f>IFERROR(INDEX(ERROR(0),_xlfn.CHISQ.TEST(INDIRECT(SET.NAME({1,"_"},)),#REF!)),RETURN(INDEX(TYPE(_),SET.NAME("_"))))</f>
        <v>0</v>
      </c>
      <c r="G1690" s="2">
        <f>TYPE(INDEX(,_xlfn.CHISQ.TEST(INDEX(1,),#REF!)))</f>
        <v>16</v>
      </c>
    </row>
    <row r="1691" spans="1:7" x14ac:dyDescent="0.55000000000000004">
      <c r="A1691" s="1" t="s">
        <v>2076</v>
      </c>
      <c r="B1691" s="2">
        <f>COUNTIF(A:A,A1691)-1</f>
        <v>2</v>
      </c>
      <c r="C1691" s="2">
        <f>COUNTIF(A$1:A1691,A1691)-1</f>
        <v>2</v>
      </c>
      <c r="D1691" s="2" t="e">
        <f>_xlfn.CHISQ.TEST(#REF!,1)</f>
        <v>#REF!</v>
      </c>
      <c r="E1691" s="2" t="b">
        <f>IFERROR(INDEX(ERROR(0),_xlfn.CHISQ.TEST(#REF!,SET.NAME("_",+INDEX(1,)))),RETURN(INDEX(TYPE(_),SET.NAME("_"))))</f>
        <v>0</v>
      </c>
      <c r="F1691" s="2" t="b">
        <f>IFERROR(INDEX(ERROR(0),_xlfn.CHISQ.TEST(#REF!,INDIRECT(SET.NAME({1,"_"},)))),RETURN(INDEX(TYPE(_),SET.NAME("_"))))</f>
        <v>0</v>
      </c>
      <c r="G1691" s="2">
        <f>TYPE(INDEX(,_xlfn.CHISQ.TEST(#REF!,INDEX(1,))))</f>
        <v>16</v>
      </c>
    </row>
    <row r="1692" spans="1:7" x14ac:dyDescent="0.55000000000000004">
      <c r="A1692" s="1" t="s">
        <v>2077</v>
      </c>
      <c r="B1692" s="2">
        <f>COUNTIF(A:A,A1692)-1</f>
        <v>2</v>
      </c>
      <c r="C1692" s="2">
        <f>COUNTIF(A$1:A1692,A1692)-1</f>
        <v>0</v>
      </c>
      <c r="D1692" s="2"/>
      <c r="E1692" s="2"/>
      <c r="F1692" s="2"/>
      <c r="G1692" s="2"/>
    </row>
    <row r="1693" spans="1:7" x14ac:dyDescent="0.55000000000000004">
      <c r="A1693" s="1" t="s">
        <v>2077</v>
      </c>
      <c r="B1693" s="2">
        <f>COUNTIF(A:A,A1693)-1</f>
        <v>2</v>
      </c>
      <c r="C1693" s="2">
        <f>COUNTIF(A$1:A1693,A1693)-1</f>
        <v>1</v>
      </c>
      <c r="D1693" s="2" t="e">
        <f>_xlfn.F.TEST(1,#REF!)</f>
        <v>#REF!</v>
      </c>
      <c r="E1693" s="2" t="b">
        <f>IFERROR(INDEX(ERROR(0),_xlfn.F.TEST(SET.NAME("_",+INDEX(1,)),#REF!)),RETURN(INDEX(TYPE(_),SET.NAME("_"))))</f>
        <v>0</v>
      </c>
      <c r="F1693" s="2" t="b">
        <f>IFERROR(INDEX(ERROR(0),_xlfn.F.TEST(INDIRECT(SET.NAME({1,"_"},)),#REF!)),RETURN(INDEX(TYPE(_),SET.NAME("_"))))</f>
        <v>0</v>
      </c>
      <c r="G1693" s="2">
        <f>TYPE(INDEX(,_xlfn.F.TEST(INDEX(1,),#REF!)))</f>
        <v>16</v>
      </c>
    </row>
    <row r="1694" spans="1:7" x14ac:dyDescent="0.55000000000000004">
      <c r="A1694" s="1" t="s">
        <v>2077</v>
      </c>
      <c r="B1694" s="2">
        <f>COUNTIF(A:A,A1694)-1</f>
        <v>2</v>
      </c>
      <c r="C1694" s="2">
        <f>COUNTIF(A$1:A1694,A1694)-1</f>
        <v>2</v>
      </c>
      <c r="D1694" s="2" t="e">
        <f>_xlfn.F.TEST(#REF!,1)</f>
        <v>#REF!</v>
      </c>
      <c r="E1694" s="2" t="b">
        <f>IFERROR(INDEX(ERROR(0),_xlfn.F.TEST(#REF!,SET.NAME("_",+INDEX(1,)))),RETURN(INDEX(TYPE(_),SET.NAME("_"))))</f>
        <v>0</v>
      </c>
      <c r="F1694" s="2" t="b">
        <f>IFERROR(INDEX(ERROR(0),_xlfn.F.TEST(#REF!,INDIRECT(SET.NAME({1,"_"},)))),RETURN(INDEX(TYPE(_),SET.NAME("_"))))</f>
        <v>0</v>
      </c>
      <c r="G1694" s="2">
        <f>TYPE(INDEX(,_xlfn.F.TEST(#REF!,INDEX(1,))))</f>
        <v>16</v>
      </c>
    </row>
    <row r="1695" spans="1:7" x14ac:dyDescent="0.55000000000000004">
      <c r="A1695" s="1" t="s">
        <v>2078</v>
      </c>
      <c r="B1695" s="2">
        <f>COUNTIF(A:A,A1695)-1</f>
        <v>2</v>
      </c>
      <c r="C1695" s="2">
        <f>COUNTIF(A$1:A1695,A1695)-1</f>
        <v>0</v>
      </c>
      <c r="D1695" s="2"/>
      <c r="E1695" s="2"/>
      <c r="F1695" s="2"/>
      <c r="G1695" s="2"/>
    </row>
    <row r="1696" spans="1:7" x14ac:dyDescent="0.55000000000000004">
      <c r="A1696" s="1" t="s">
        <v>2078</v>
      </c>
      <c r="B1696" s="2">
        <f>COUNTIF(A:A,A1696)-1</f>
        <v>2</v>
      </c>
      <c r="C1696" s="2">
        <f>COUNTIF(A$1:A1696,A1696)-1</f>
        <v>1</v>
      </c>
      <c r="D1696" s="2" t="e">
        <f>_xlfn.COVARIANCE.P(1,#REF!)</f>
        <v>#REF!</v>
      </c>
      <c r="E1696" s="2" t="b">
        <f>IFERROR(INDEX(ERROR(0),_xlfn.COVARIANCE.P(SET.NAME("_",+INDEX(1,)),#REF!)),RETURN(INDEX(TYPE(_),SET.NAME("_"))))</f>
        <v>0</v>
      </c>
      <c r="F1696" s="2" t="b">
        <f>IFERROR(INDEX(ERROR(0),_xlfn.COVARIANCE.P(INDIRECT(SET.NAME({1,"_"},)),#REF!)),RETURN(INDEX(TYPE(_),SET.NAME("_"))))</f>
        <v>0</v>
      </c>
      <c r="G1696" s="2">
        <f>TYPE(INDEX(,_xlfn.COVARIANCE.P(INDEX(1,),#REF!)))</f>
        <v>16</v>
      </c>
    </row>
    <row r="1697" spans="1:7" x14ac:dyDescent="0.55000000000000004">
      <c r="A1697" s="1" t="s">
        <v>2078</v>
      </c>
      <c r="B1697" s="2">
        <f>COUNTIF(A:A,A1697)-1</f>
        <v>2</v>
      </c>
      <c r="C1697" s="2">
        <f>COUNTIF(A$1:A1697,A1697)-1</f>
        <v>2</v>
      </c>
      <c r="D1697" s="2" t="e">
        <f>_xlfn.COVARIANCE.P(#REF!,1)</f>
        <v>#REF!</v>
      </c>
      <c r="E1697" s="2" t="b">
        <f>IFERROR(INDEX(ERROR(0),_xlfn.COVARIANCE.P(#REF!,SET.NAME("_",+INDEX(1,)))),RETURN(INDEX(TYPE(_),SET.NAME("_"))))</f>
        <v>0</v>
      </c>
      <c r="F1697" s="2" t="b">
        <f>IFERROR(INDEX(ERROR(0),_xlfn.COVARIANCE.P(#REF!,INDIRECT(SET.NAME({1,"_"},)))),RETURN(INDEX(TYPE(_),SET.NAME("_"))))</f>
        <v>0</v>
      </c>
      <c r="G1697" s="2">
        <f>TYPE(INDEX(,_xlfn.COVARIANCE.P(#REF!,INDEX(1,))))</f>
        <v>16</v>
      </c>
    </row>
    <row r="1698" spans="1:7" x14ac:dyDescent="0.55000000000000004">
      <c r="A1698" s="1" t="s">
        <v>2079</v>
      </c>
      <c r="B1698" s="2">
        <f>COUNTIF(A:A,A1698)-1</f>
        <v>2</v>
      </c>
      <c r="C1698" s="2">
        <f>COUNTIF(A$1:A1698,A1698)-1</f>
        <v>0</v>
      </c>
      <c r="D1698" s="2"/>
      <c r="E1698" s="2"/>
      <c r="F1698" s="2"/>
      <c r="G1698" s="2"/>
    </row>
    <row r="1699" spans="1:7" x14ac:dyDescent="0.55000000000000004">
      <c r="A1699" s="1" t="s">
        <v>2079</v>
      </c>
      <c r="B1699" s="2">
        <f>COUNTIF(A:A,A1699)-1</f>
        <v>2</v>
      </c>
      <c r="C1699" s="2">
        <f>COUNTIF(A$1:A1699,A1699)-1</f>
        <v>1</v>
      </c>
      <c r="D1699" s="2" t="e">
        <f>_xlfn.COVARIANCE.S(1,#REF!)</f>
        <v>#REF!</v>
      </c>
      <c r="E1699" s="2" t="b">
        <f>IFERROR(INDEX(ERROR(0),_xlfn.COVARIANCE.S(SET.NAME("_",+INDEX(1,)),#REF!)),RETURN(INDEX(TYPE(_),SET.NAME("_"))))</f>
        <v>0</v>
      </c>
      <c r="F1699" s="2" t="b">
        <f>IFERROR(INDEX(ERROR(0),_xlfn.COVARIANCE.S(INDIRECT(SET.NAME({1,"_"},)),#REF!)),RETURN(INDEX(TYPE(_),SET.NAME("_"))))</f>
        <v>0</v>
      </c>
      <c r="G1699" s="2">
        <f>TYPE(INDEX(,_xlfn.COVARIANCE.S(INDEX(1,),#REF!)))</f>
        <v>16</v>
      </c>
    </row>
    <row r="1700" spans="1:7" x14ac:dyDescent="0.55000000000000004">
      <c r="A1700" s="1" t="s">
        <v>2079</v>
      </c>
      <c r="B1700" s="2">
        <f>COUNTIF(A:A,A1700)-1</f>
        <v>2</v>
      </c>
      <c r="C1700" s="2">
        <f>COUNTIF(A$1:A1700,A1700)-1</f>
        <v>2</v>
      </c>
      <c r="D1700" s="2" t="e">
        <f>_xlfn.COVARIANCE.S(#REF!,1)</f>
        <v>#REF!</v>
      </c>
      <c r="E1700" s="2" t="b">
        <f>IFERROR(INDEX(ERROR(0),_xlfn.COVARIANCE.S(#REF!,SET.NAME("_",+INDEX(1,)))),RETURN(INDEX(TYPE(_),SET.NAME("_"))))</f>
        <v>0</v>
      </c>
      <c r="F1700" s="2" t="b">
        <f>IFERROR(INDEX(ERROR(0),_xlfn.COVARIANCE.S(#REF!,INDIRECT(SET.NAME({1,"_"},)))),RETURN(INDEX(TYPE(_),SET.NAME("_"))))</f>
        <v>0</v>
      </c>
      <c r="G1700" s="2">
        <f>TYPE(INDEX(,_xlfn.COVARIANCE.S(#REF!,INDEX(1,))))</f>
        <v>16</v>
      </c>
    </row>
    <row r="1701" spans="1:7" x14ac:dyDescent="0.55000000000000004">
      <c r="A1701" s="1" t="s">
        <v>2080</v>
      </c>
      <c r="B1701" s="2">
        <f>COUNTIF(A:A,A1701)-1</f>
        <v>3</v>
      </c>
      <c r="C1701" s="2">
        <f>COUNTIF(A$1:A1701,A1701)-1</f>
        <v>0</v>
      </c>
      <c r="D1701" s="2"/>
      <c r="E1701" s="2"/>
      <c r="F1701" s="2"/>
      <c r="G1701" s="2"/>
    </row>
    <row r="1702" spans="1:7" x14ac:dyDescent="0.55000000000000004">
      <c r="A1702" s="1" t="s">
        <v>2080</v>
      </c>
      <c r="B1702" s="2">
        <f>COUNTIF(A:A,A1702)-1</f>
        <v>3</v>
      </c>
      <c r="C1702" s="2">
        <f>COUNTIF(A$1:A1702,A1702)-1</f>
        <v>1</v>
      </c>
      <c r="D1702" s="2" t="e">
        <f>_xlfn.EXPON.DIST(1,#REF!,#REF!)</f>
        <v>#REF!</v>
      </c>
      <c r="E1702" s="2" t="b">
        <f>IFERROR(INDEX(ERROR(0),_xlfn.EXPON.DIST(SET.NAME("_",+INDEX(1,)),#REF!,#REF!)),RETURN(INDEX(TYPE(_),SET.NAME("_"))))</f>
        <v>0</v>
      </c>
      <c r="F1702" s="2" t="b">
        <f>IFERROR(INDEX(ERROR(0),_xlfn.EXPON.DIST(INDIRECT(SET.NAME({1,"_"},)),#REF!,#REF!)),RETURN(INDEX(TYPE(_),SET.NAME("_"))))</f>
        <v>0</v>
      </c>
      <c r="G1702" s="2">
        <f>TYPE(INDEX(,_xlfn.EXPON.DIST(INDEX(1,),#REF!,#REF!)))</f>
        <v>16</v>
      </c>
    </row>
    <row r="1703" spans="1:7" x14ac:dyDescent="0.55000000000000004">
      <c r="A1703" s="1" t="s">
        <v>2080</v>
      </c>
      <c r="B1703" s="2">
        <f>COUNTIF(A:A,A1703)-1</f>
        <v>3</v>
      </c>
      <c r="C1703" s="2">
        <f>COUNTIF(A$1:A1703,A1703)-1</f>
        <v>2</v>
      </c>
      <c r="D1703" s="2" t="e">
        <f>_xlfn.EXPON.DIST(#REF!,1,#REF!)</f>
        <v>#REF!</v>
      </c>
      <c r="E1703" s="2" t="b">
        <f>IFERROR(INDEX(ERROR(0),_xlfn.EXPON.DIST(#REF!,SET.NAME("_",+INDEX(1,)),#REF!)),RETURN(INDEX(TYPE(_),SET.NAME("_"))))</f>
        <v>0</v>
      </c>
      <c r="F1703" s="2" t="b">
        <f>IFERROR(INDEX(ERROR(0),_xlfn.EXPON.DIST(#REF!,INDIRECT(SET.NAME({1,"_"},)),#REF!)),RETURN(INDEX(TYPE(_),SET.NAME("_"))))</f>
        <v>0</v>
      </c>
      <c r="G1703" s="2">
        <f>TYPE(INDEX(,_xlfn.EXPON.DIST(#REF!,INDEX(1,),#REF!)))</f>
        <v>16</v>
      </c>
    </row>
    <row r="1704" spans="1:7" x14ac:dyDescent="0.55000000000000004">
      <c r="A1704" s="1" t="s">
        <v>2080</v>
      </c>
      <c r="B1704" s="2">
        <f>COUNTIF(A:A,A1704)-1</f>
        <v>3</v>
      </c>
      <c r="C1704" s="2">
        <f>COUNTIF(A$1:A1704,A1704)-1</f>
        <v>3</v>
      </c>
      <c r="D1704" s="2" t="e">
        <f>_xlfn.EXPON.DIST(#REF!,#REF!,1)</f>
        <v>#REF!</v>
      </c>
      <c r="E1704" s="2" t="b">
        <f>IFERROR(INDEX(ERROR(0),_xlfn.EXPON.DIST(#REF!,#REF!,SET.NAME("_",+INDEX(1,)))),RETURN(INDEX(TYPE(_),SET.NAME("_"))))</f>
        <v>0</v>
      </c>
      <c r="F1704" s="2" t="b">
        <f>IFERROR(INDEX(ERROR(0),_xlfn.EXPON.DIST(#REF!,#REF!,INDIRECT(SET.NAME({1,"_"},)))),RETURN(INDEX(TYPE(_),SET.NAME("_"))))</f>
        <v>0</v>
      </c>
      <c r="G1704" s="2">
        <f>TYPE(INDEX(,_xlfn.EXPON.DIST(#REF!,#REF!,INDEX(1,))))</f>
        <v>16</v>
      </c>
    </row>
    <row r="1705" spans="1:7" x14ac:dyDescent="0.55000000000000004">
      <c r="A1705" s="1" t="s">
        <v>2081</v>
      </c>
      <c r="B1705" s="2">
        <f>COUNTIF(A:A,A1705)-1</f>
        <v>4</v>
      </c>
      <c r="C1705" s="2">
        <f>COUNTIF(A$1:A1705,A1705)-1</f>
        <v>0</v>
      </c>
      <c r="D1705" s="2"/>
      <c r="E1705" s="2"/>
      <c r="F1705" s="2"/>
      <c r="G1705" s="2"/>
    </row>
    <row r="1706" spans="1:7" x14ac:dyDescent="0.55000000000000004">
      <c r="A1706" s="1" t="s">
        <v>2081</v>
      </c>
      <c r="B1706" s="2">
        <f>COUNTIF(A:A,A1706)-1</f>
        <v>4</v>
      </c>
      <c r="C1706" s="2">
        <f>COUNTIF(A$1:A1706,A1706)-1</f>
        <v>1</v>
      </c>
      <c r="D1706" s="2" t="e">
        <f>_xlfn.GAMMA.DIST(1,#REF!,#REF!,#REF!)</f>
        <v>#REF!</v>
      </c>
      <c r="E1706" s="2" t="b">
        <f>IFERROR(INDEX(ERROR(0),_xlfn.GAMMA.DIST(SET.NAME("_",+INDEX(1,)),#REF!,#REF!,#REF!)),RETURN(INDEX(TYPE(_),SET.NAME("_"))))</f>
        <v>0</v>
      </c>
      <c r="F1706" s="2" t="b">
        <f>IFERROR(INDEX(ERROR(0),_xlfn.GAMMA.DIST(INDIRECT(SET.NAME({1,"_"},)),#REF!,#REF!,#REF!)),RETURN(INDEX(TYPE(_),SET.NAME("_"))))</f>
        <v>0</v>
      </c>
      <c r="G1706" s="2">
        <f>TYPE(INDEX(,_xlfn.GAMMA.DIST(INDEX(1,),#REF!,#REF!,#REF!)))</f>
        <v>16</v>
      </c>
    </row>
    <row r="1707" spans="1:7" x14ac:dyDescent="0.55000000000000004">
      <c r="A1707" s="1" t="s">
        <v>2081</v>
      </c>
      <c r="B1707" s="2">
        <f>COUNTIF(A:A,A1707)-1</f>
        <v>4</v>
      </c>
      <c r="C1707" s="2">
        <f>COUNTIF(A$1:A1707,A1707)-1</f>
        <v>2</v>
      </c>
      <c r="D1707" s="2" t="e">
        <f>_xlfn.GAMMA.DIST(#REF!,1,#REF!,#REF!)</f>
        <v>#REF!</v>
      </c>
      <c r="E1707" s="2" t="b">
        <f>IFERROR(INDEX(ERROR(0),_xlfn.GAMMA.DIST(#REF!,SET.NAME("_",+INDEX(1,)),#REF!,#REF!)),RETURN(INDEX(TYPE(_),SET.NAME("_"))))</f>
        <v>0</v>
      </c>
      <c r="F1707" s="2" t="b">
        <f>IFERROR(INDEX(ERROR(0),_xlfn.GAMMA.DIST(#REF!,INDIRECT(SET.NAME({1,"_"},)),#REF!,#REF!)),RETURN(INDEX(TYPE(_),SET.NAME("_"))))</f>
        <v>0</v>
      </c>
      <c r="G1707" s="2">
        <f>TYPE(INDEX(,_xlfn.GAMMA.DIST(#REF!,INDEX(1,),#REF!,#REF!)))</f>
        <v>16</v>
      </c>
    </row>
    <row r="1708" spans="1:7" x14ac:dyDescent="0.55000000000000004">
      <c r="A1708" s="1" t="s">
        <v>2081</v>
      </c>
      <c r="B1708" s="2">
        <f>COUNTIF(A:A,A1708)-1</f>
        <v>4</v>
      </c>
      <c r="C1708" s="2">
        <f>COUNTIF(A$1:A1708,A1708)-1</f>
        <v>3</v>
      </c>
      <c r="D1708" s="2" t="e">
        <f>_xlfn.GAMMA.DIST(#REF!,#REF!,1,#REF!)</f>
        <v>#REF!</v>
      </c>
      <c r="E1708" s="2" t="b">
        <f>IFERROR(INDEX(ERROR(0),_xlfn.GAMMA.DIST(#REF!,#REF!,SET.NAME("_",+INDEX(1,)),#REF!)),RETURN(INDEX(TYPE(_),SET.NAME("_"))))</f>
        <v>0</v>
      </c>
      <c r="F1708" s="2" t="b">
        <f>IFERROR(INDEX(ERROR(0),_xlfn.GAMMA.DIST(#REF!,#REF!,INDIRECT(SET.NAME({1,"_"},)),#REF!)),RETURN(INDEX(TYPE(_),SET.NAME("_"))))</f>
        <v>0</v>
      </c>
      <c r="G1708" s="2">
        <f>TYPE(INDEX(,_xlfn.GAMMA.DIST(#REF!,#REF!,INDEX(1,),#REF!)))</f>
        <v>16</v>
      </c>
    </row>
    <row r="1709" spans="1:7" x14ac:dyDescent="0.55000000000000004">
      <c r="A1709" s="1" t="s">
        <v>2081</v>
      </c>
      <c r="B1709" s="2">
        <f>COUNTIF(A:A,A1709)-1</f>
        <v>4</v>
      </c>
      <c r="C1709" s="2">
        <f>COUNTIF(A$1:A1709,A1709)-1</f>
        <v>4</v>
      </c>
      <c r="D1709" s="2" t="e">
        <f>_xlfn.GAMMA.DIST(#REF!,#REF!,#REF!,1)</f>
        <v>#REF!</v>
      </c>
      <c r="E1709" s="2" t="b">
        <f>IFERROR(INDEX(ERROR(0),_xlfn.GAMMA.DIST(#REF!,#REF!,#REF!,SET.NAME("_",+INDEX(1,)))),RETURN(INDEX(TYPE(_),SET.NAME("_"))))</f>
        <v>0</v>
      </c>
      <c r="F1709" s="2" t="b">
        <f>IFERROR(INDEX(ERROR(0),_xlfn.GAMMA.DIST(#REF!,#REF!,#REF!,INDIRECT(SET.NAME({1,"_"},)))),RETURN(INDEX(TYPE(_),SET.NAME("_"))))</f>
        <v>0</v>
      </c>
      <c r="G1709" s="2">
        <f>TYPE(INDEX(,_xlfn.GAMMA.DIST(#REF!,#REF!,#REF!,INDEX(1,))))</f>
        <v>16</v>
      </c>
    </row>
    <row r="1710" spans="1:7" x14ac:dyDescent="0.55000000000000004">
      <c r="A1710" s="1" t="s">
        <v>2082</v>
      </c>
      <c r="B1710" s="2">
        <f>COUNTIF(A:A,A1710)-1</f>
        <v>3</v>
      </c>
      <c r="C1710" s="2">
        <f>COUNTIF(A$1:A1710,A1710)-1</f>
        <v>0</v>
      </c>
      <c r="D1710" s="2"/>
      <c r="E1710" s="2"/>
      <c r="F1710" s="2"/>
      <c r="G1710" s="2"/>
    </row>
    <row r="1711" spans="1:7" x14ac:dyDescent="0.55000000000000004">
      <c r="A1711" s="1" t="s">
        <v>2082</v>
      </c>
      <c r="B1711" s="2">
        <f>COUNTIF(A:A,A1711)-1</f>
        <v>3</v>
      </c>
      <c r="C1711" s="2">
        <f>COUNTIF(A$1:A1711,A1711)-1</f>
        <v>1</v>
      </c>
      <c r="D1711" s="2" t="e">
        <f>_xlfn.GAMMA.INV(1,#REF!,#REF!)</f>
        <v>#REF!</v>
      </c>
      <c r="E1711" s="2" t="b">
        <f>IFERROR(INDEX(ERROR(0),_xlfn.GAMMA.INV(SET.NAME("_",+INDEX(1,)),#REF!,#REF!)),RETURN(INDEX(TYPE(_),SET.NAME("_"))))</f>
        <v>0</v>
      </c>
      <c r="F1711" s="2" t="b">
        <f>IFERROR(INDEX(ERROR(0),_xlfn.GAMMA.INV(INDIRECT(SET.NAME({1,"_"},)),#REF!,#REF!)),RETURN(INDEX(TYPE(_),SET.NAME("_"))))</f>
        <v>0</v>
      </c>
      <c r="G1711" s="2">
        <f>TYPE(INDEX(,_xlfn.GAMMA.INV(INDEX(1,),#REF!,#REF!)))</f>
        <v>16</v>
      </c>
    </row>
    <row r="1712" spans="1:7" x14ac:dyDescent="0.55000000000000004">
      <c r="A1712" s="1" t="s">
        <v>2082</v>
      </c>
      <c r="B1712" s="2">
        <f>COUNTIF(A:A,A1712)-1</f>
        <v>3</v>
      </c>
      <c r="C1712" s="2">
        <f>COUNTIF(A$1:A1712,A1712)-1</f>
        <v>2</v>
      </c>
      <c r="D1712" s="2" t="e">
        <f>_xlfn.GAMMA.INV(#REF!,1,#REF!)</f>
        <v>#REF!</v>
      </c>
      <c r="E1712" s="2" t="b">
        <f>IFERROR(INDEX(ERROR(0),_xlfn.GAMMA.INV(#REF!,SET.NAME("_",+INDEX(1,)),#REF!)),RETURN(INDEX(TYPE(_),SET.NAME("_"))))</f>
        <v>0</v>
      </c>
      <c r="F1712" s="2" t="b">
        <f>IFERROR(INDEX(ERROR(0),_xlfn.GAMMA.INV(#REF!,INDIRECT(SET.NAME({1,"_"},)),#REF!)),RETURN(INDEX(TYPE(_),SET.NAME("_"))))</f>
        <v>0</v>
      </c>
      <c r="G1712" s="2">
        <f>TYPE(INDEX(,_xlfn.GAMMA.INV(#REF!,INDEX(1,),#REF!)))</f>
        <v>16</v>
      </c>
    </row>
    <row r="1713" spans="1:7" x14ac:dyDescent="0.55000000000000004">
      <c r="A1713" s="1" t="s">
        <v>2082</v>
      </c>
      <c r="B1713" s="2">
        <f>COUNTIF(A:A,A1713)-1</f>
        <v>3</v>
      </c>
      <c r="C1713" s="2">
        <f>COUNTIF(A$1:A1713,A1713)-1</f>
        <v>3</v>
      </c>
      <c r="D1713" s="2" t="e">
        <f>_xlfn.GAMMA.INV(#REF!,#REF!,1)</f>
        <v>#REF!</v>
      </c>
      <c r="E1713" s="2" t="b">
        <f>IFERROR(INDEX(ERROR(0),_xlfn.GAMMA.INV(#REF!,#REF!,SET.NAME("_",+INDEX(1,)))),RETURN(INDEX(TYPE(_),SET.NAME("_"))))</f>
        <v>0</v>
      </c>
      <c r="F1713" s="2" t="b">
        <f>IFERROR(INDEX(ERROR(0),_xlfn.GAMMA.INV(#REF!,#REF!,INDIRECT(SET.NAME({1,"_"},)))),RETURN(INDEX(TYPE(_),SET.NAME("_"))))</f>
        <v>0</v>
      </c>
      <c r="G1713" s="2">
        <f>TYPE(INDEX(,_xlfn.GAMMA.INV(#REF!,#REF!,INDEX(1,))))</f>
        <v>16</v>
      </c>
    </row>
    <row r="1714" spans="1:7" x14ac:dyDescent="0.55000000000000004">
      <c r="A1714" s="1" t="s">
        <v>2083</v>
      </c>
      <c r="B1714" s="2">
        <f>COUNTIF(A:A,A1714)-1</f>
        <v>3</v>
      </c>
      <c r="C1714" s="2">
        <f>COUNTIF(A$1:A1714,A1714)-1</f>
        <v>0</v>
      </c>
      <c r="D1714" s="2"/>
      <c r="E1714" s="2"/>
      <c r="F1714" s="2"/>
      <c r="G1714" s="2"/>
    </row>
    <row r="1715" spans="1:7" x14ac:dyDescent="0.55000000000000004">
      <c r="A1715" s="1" t="s">
        <v>2083</v>
      </c>
      <c r="B1715" s="2">
        <f>COUNTIF(A:A,A1715)-1</f>
        <v>3</v>
      </c>
      <c r="C1715" s="2">
        <f>COUNTIF(A$1:A1715,A1715)-1</f>
        <v>1</v>
      </c>
      <c r="D1715" s="2" t="e">
        <f>_xlfn.MODE.MULT(1,#REF!,#REF!)</f>
        <v>#REF!</v>
      </c>
      <c r="E1715" s="2" t="b">
        <f>IFERROR(INDEX(ERROR(0),_xlfn.MODE.MULT(SET.NAME("_",+INDEX(1,)),#REF!,#REF!)),RETURN(INDEX(TYPE(_),SET.NAME("_"))))</f>
        <v>0</v>
      </c>
      <c r="F1715" s="2" t="b">
        <f>IFERROR(INDEX(ERROR(0),_xlfn.MODE.MULT(INDIRECT(SET.NAME({1,"_"},)),#REF!,#REF!)),RETURN(INDEX(TYPE(_),SET.NAME("_"))))</f>
        <v>0</v>
      </c>
      <c r="G1715" s="2">
        <f>TYPE(INDEX(,_xlfn.MODE.MULT(INDEX(1,),#REF!,#REF!)))</f>
        <v>16</v>
      </c>
    </row>
    <row r="1716" spans="1:7" x14ac:dyDescent="0.55000000000000004">
      <c r="A1716" s="1" t="s">
        <v>2083</v>
      </c>
      <c r="B1716" s="2">
        <f>COUNTIF(A:A,A1716)-1</f>
        <v>3</v>
      </c>
      <c r="C1716" s="2">
        <f>COUNTIF(A$1:A1716,A1716)-1</f>
        <v>2</v>
      </c>
      <c r="D1716" s="2" t="e">
        <f>_xlfn.MODE.MULT(#REF!,1,#REF!)</f>
        <v>#REF!</v>
      </c>
      <c r="E1716" s="2" t="b">
        <f>IFERROR(INDEX(ERROR(0),_xlfn.MODE.MULT(#REF!,SET.NAME("_",+INDEX(1,)),#REF!)),RETURN(INDEX(TYPE(_),SET.NAME("_"))))</f>
        <v>0</v>
      </c>
      <c r="F1716" s="2" t="b">
        <f>IFERROR(INDEX(ERROR(0),_xlfn.MODE.MULT(#REF!,INDIRECT(SET.NAME({1,"_"},)),#REF!)),RETURN(INDEX(TYPE(_),SET.NAME("_"))))</f>
        <v>0</v>
      </c>
      <c r="G1716" s="2">
        <f>TYPE(INDEX(,_xlfn.MODE.MULT(#REF!,INDEX(1,),#REF!)))</f>
        <v>16</v>
      </c>
    </row>
    <row r="1717" spans="1:7" x14ac:dyDescent="0.55000000000000004">
      <c r="A1717" s="1" t="s">
        <v>2083</v>
      </c>
      <c r="B1717" s="2">
        <f>COUNTIF(A:A,A1717)-1</f>
        <v>3</v>
      </c>
      <c r="C1717" s="2">
        <f>COUNTIF(A$1:A1717,A1717)-1</f>
        <v>3</v>
      </c>
      <c r="D1717" s="2" t="e">
        <f>_xlfn.MODE.MULT(#REF!,#REF!,1)</f>
        <v>#REF!</v>
      </c>
      <c r="E1717" s="2" t="b">
        <f>IFERROR(INDEX(ERROR(0),_xlfn.MODE.MULT(#REF!,#REF!,SET.NAME("_",+INDEX(1,)))),RETURN(INDEX(TYPE(_),SET.NAME("_"))))</f>
        <v>0</v>
      </c>
      <c r="F1717" s="2" t="b">
        <f>IFERROR(INDEX(ERROR(0),_xlfn.MODE.MULT(#REF!,#REF!,INDIRECT(SET.NAME({1,"_"},)))),RETURN(INDEX(TYPE(_),SET.NAME("_"))))</f>
        <v>0</v>
      </c>
      <c r="G1717" s="2">
        <f>TYPE(INDEX(,_xlfn.MODE.MULT(#REF!,#REF!,INDEX(1,))))</f>
        <v>16</v>
      </c>
    </row>
    <row r="1718" spans="1:7" x14ac:dyDescent="0.55000000000000004">
      <c r="A1718" s="1" t="s">
        <v>2084</v>
      </c>
      <c r="B1718" s="2">
        <f>COUNTIF(A:A,A1718)-1</f>
        <v>3</v>
      </c>
      <c r="C1718" s="2">
        <f>COUNTIF(A$1:A1718,A1718)-1</f>
        <v>0</v>
      </c>
      <c r="D1718" s="2"/>
      <c r="E1718" s="2"/>
      <c r="F1718" s="2"/>
      <c r="G1718" s="2"/>
    </row>
    <row r="1719" spans="1:7" x14ac:dyDescent="0.55000000000000004">
      <c r="A1719" s="1" t="s">
        <v>2084</v>
      </c>
      <c r="B1719" s="2">
        <f>COUNTIF(A:A,A1719)-1</f>
        <v>3</v>
      </c>
      <c r="C1719" s="2">
        <f>COUNTIF(A$1:A1719,A1719)-1</f>
        <v>1</v>
      </c>
      <c r="D1719" s="2" t="e">
        <f>_xlfn.MODE.SNGL(1,#REF!,#REF!)</f>
        <v>#REF!</v>
      </c>
      <c r="E1719" s="2" t="b">
        <f>IFERROR(INDEX(ERROR(0),_xlfn.MODE.SNGL(SET.NAME("_",+INDEX(1,)),#REF!,#REF!)),RETURN(INDEX(TYPE(_),SET.NAME("_"))))</f>
        <v>0</v>
      </c>
      <c r="F1719" s="2" t="b">
        <f>IFERROR(INDEX(ERROR(0),_xlfn.MODE.SNGL(INDIRECT(SET.NAME({1,"_"},)),#REF!,#REF!)),RETURN(INDEX(TYPE(_),SET.NAME("_"))))</f>
        <v>0</v>
      </c>
      <c r="G1719" s="2">
        <f>TYPE(INDEX(,_xlfn.MODE.SNGL(INDEX(1,),#REF!,#REF!)))</f>
        <v>16</v>
      </c>
    </row>
    <row r="1720" spans="1:7" x14ac:dyDescent="0.55000000000000004">
      <c r="A1720" s="1" t="s">
        <v>2084</v>
      </c>
      <c r="B1720" s="2">
        <f>COUNTIF(A:A,A1720)-1</f>
        <v>3</v>
      </c>
      <c r="C1720" s="2">
        <f>COUNTIF(A$1:A1720,A1720)-1</f>
        <v>2</v>
      </c>
      <c r="D1720" s="2" t="e">
        <f>_xlfn.MODE.SNGL(#REF!,1,#REF!)</f>
        <v>#REF!</v>
      </c>
      <c r="E1720" s="2" t="b">
        <f>IFERROR(INDEX(ERROR(0),_xlfn.MODE.SNGL(#REF!,SET.NAME("_",+INDEX(1,)),#REF!)),RETURN(INDEX(TYPE(_),SET.NAME("_"))))</f>
        <v>0</v>
      </c>
      <c r="F1720" s="2" t="b">
        <f>IFERROR(INDEX(ERROR(0),_xlfn.MODE.SNGL(#REF!,INDIRECT(SET.NAME({1,"_"},)),#REF!)),RETURN(INDEX(TYPE(_),SET.NAME("_"))))</f>
        <v>0</v>
      </c>
      <c r="G1720" s="2">
        <f>TYPE(INDEX(,_xlfn.MODE.SNGL(#REF!,INDEX(1,),#REF!)))</f>
        <v>16</v>
      </c>
    </row>
    <row r="1721" spans="1:7" x14ac:dyDescent="0.55000000000000004">
      <c r="A1721" s="1" t="s">
        <v>2084</v>
      </c>
      <c r="B1721" s="2">
        <f>COUNTIF(A:A,A1721)-1</f>
        <v>3</v>
      </c>
      <c r="C1721" s="2">
        <f>COUNTIF(A$1:A1721,A1721)-1</f>
        <v>3</v>
      </c>
      <c r="D1721" s="2" t="e">
        <f>_xlfn.MODE.SNGL(#REF!,#REF!,1)</f>
        <v>#REF!</v>
      </c>
      <c r="E1721" s="2" t="b">
        <f>IFERROR(INDEX(ERROR(0),_xlfn.MODE.SNGL(#REF!,#REF!,SET.NAME("_",+INDEX(1,)))),RETURN(INDEX(TYPE(_),SET.NAME("_"))))</f>
        <v>0</v>
      </c>
      <c r="F1721" s="2" t="b">
        <f>IFERROR(INDEX(ERROR(0),_xlfn.MODE.SNGL(#REF!,#REF!,INDIRECT(SET.NAME({1,"_"},)))),RETURN(INDEX(TYPE(_),SET.NAME("_"))))</f>
        <v>0</v>
      </c>
      <c r="G1721" s="2">
        <f>TYPE(INDEX(,_xlfn.MODE.SNGL(#REF!,#REF!,INDEX(1,))))</f>
        <v>16</v>
      </c>
    </row>
    <row r="1722" spans="1:7" x14ac:dyDescent="0.55000000000000004">
      <c r="A1722" s="1" t="s">
        <v>2085</v>
      </c>
      <c r="B1722" s="2">
        <f>COUNTIF(A:A,A1722)-1</f>
        <v>4</v>
      </c>
      <c r="C1722" s="2">
        <f>COUNTIF(A$1:A1722,A1722)-1</f>
        <v>0</v>
      </c>
      <c r="D1722" s="2"/>
      <c r="E1722" s="2"/>
      <c r="F1722" s="2"/>
      <c r="G1722" s="2"/>
    </row>
    <row r="1723" spans="1:7" x14ac:dyDescent="0.55000000000000004">
      <c r="A1723" s="1" t="s">
        <v>2085</v>
      </c>
      <c r="B1723" s="2">
        <f>COUNTIF(A:A,A1723)-1</f>
        <v>4</v>
      </c>
      <c r="C1723" s="2">
        <f>COUNTIF(A$1:A1723,A1723)-1</f>
        <v>1</v>
      </c>
      <c r="D1723" s="2" t="e">
        <f>_xlfn.NORM.DIST(1,#REF!,#REF!,#REF!)</f>
        <v>#REF!</v>
      </c>
      <c r="E1723" s="2" t="b">
        <f>IFERROR(INDEX(ERROR(0),_xlfn.NORM.DIST(SET.NAME("_",+INDEX(1,)),#REF!,#REF!,#REF!)),RETURN(INDEX(TYPE(_),SET.NAME("_"))))</f>
        <v>0</v>
      </c>
      <c r="F1723" s="2" t="b">
        <f>IFERROR(INDEX(ERROR(0),_xlfn.NORM.DIST(INDIRECT(SET.NAME({1,"_"},)),#REF!,#REF!,#REF!)),RETURN(INDEX(TYPE(_),SET.NAME("_"))))</f>
        <v>0</v>
      </c>
      <c r="G1723" s="2">
        <f>TYPE(INDEX(,_xlfn.NORM.DIST(INDEX(1,),#REF!,#REF!,#REF!)))</f>
        <v>16</v>
      </c>
    </row>
    <row r="1724" spans="1:7" x14ac:dyDescent="0.55000000000000004">
      <c r="A1724" s="1" t="s">
        <v>2085</v>
      </c>
      <c r="B1724" s="2">
        <f>COUNTIF(A:A,A1724)-1</f>
        <v>4</v>
      </c>
      <c r="C1724" s="2">
        <f>COUNTIF(A$1:A1724,A1724)-1</f>
        <v>2</v>
      </c>
      <c r="D1724" s="2" t="e">
        <f>_xlfn.NORM.DIST(#REF!,1,#REF!,#REF!)</f>
        <v>#REF!</v>
      </c>
      <c r="E1724" s="2" t="b">
        <f>IFERROR(INDEX(ERROR(0),_xlfn.NORM.DIST(#REF!,SET.NAME("_",+INDEX(1,)),#REF!,#REF!)),RETURN(INDEX(TYPE(_),SET.NAME("_"))))</f>
        <v>0</v>
      </c>
      <c r="F1724" s="2" t="b">
        <f>IFERROR(INDEX(ERROR(0),_xlfn.NORM.DIST(#REF!,INDIRECT(SET.NAME({1,"_"},)),#REF!,#REF!)),RETURN(INDEX(TYPE(_),SET.NAME("_"))))</f>
        <v>0</v>
      </c>
      <c r="G1724" s="2">
        <f>TYPE(INDEX(,_xlfn.NORM.DIST(#REF!,INDEX(1,),#REF!,#REF!)))</f>
        <v>16</v>
      </c>
    </row>
    <row r="1725" spans="1:7" x14ac:dyDescent="0.55000000000000004">
      <c r="A1725" s="1" t="s">
        <v>2085</v>
      </c>
      <c r="B1725" s="2">
        <f>COUNTIF(A:A,A1725)-1</f>
        <v>4</v>
      </c>
      <c r="C1725" s="2">
        <f>COUNTIF(A$1:A1725,A1725)-1</f>
        <v>3</v>
      </c>
      <c r="D1725" s="2" t="e">
        <f>_xlfn.NORM.DIST(#REF!,#REF!,1,#REF!)</f>
        <v>#REF!</v>
      </c>
      <c r="E1725" s="2" t="b">
        <f>IFERROR(INDEX(ERROR(0),_xlfn.NORM.DIST(#REF!,#REF!,SET.NAME("_",+INDEX(1,)),#REF!)),RETURN(INDEX(TYPE(_),SET.NAME("_"))))</f>
        <v>0</v>
      </c>
      <c r="F1725" s="2" t="b">
        <f>IFERROR(INDEX(ERROR(0),_xlfn.NORM.DIST(#REF!,#REF!,INDIRECT(SET.NAME({1,"_"},)),#REF!)),RETURN(INDEX(TYPE(_),SET.NAME("_"))))</f>
        <v>0</v>
      </c>
      <c r="G1725" s="2">
        <f>TYPE(INDEX(,_xlfn.NORM.DIST(#REF!,#REF!,INDEX(1,),#REF!)))</f>
        <v>16</v>
      </c>
    </row>
    <row r="1726" spans="1:7" x14ac:dyDescent="0.55000000000000004">
      <c r="A1726" s="1" t="s">
        <v>2085</v>
      </c>
      <c r="B1726" s="2">
        <f>COUNTIF(A:A,A1726)-1</f>
        <v>4</v>
      </c>
      <c r="C1726" s="2">
        <f>COUNTIF(A$1:A1726,A1726)-1</f>
        <v>4</v>
      </c>
      <c r="D1726" s="2" t="e">
        <f>_xlfn.NORM.DIST(#REF!,#REF!,#REF!,1)</f>
        <v>#REF!</v>
      </c>
      <c r="E1726" s="2" t="b">
        <f>IFERROR(INDEX(ERROR(0),_xlfn.NORM.DIST(#REF!,#REF!,#REF!,SET.NAME("_",+INDEX(1,)))),RETURN(INDEX(TYPE(_),SET.NAME("_"))))</f>
        <v>0</v>
      </c>
      <c r="F1726" s="2" t="b">
        <f>IFERROR(INDEX(ERROR(0),_xlfn.NORM.DIST(#REF!,#REF!,#REF!,INDIRECT(SET.NAME({1,"_"},)))),RETURN(INDEX(TYPE(_),SET.NAME("_"))))</f>
        <v>0</v>
      </c>
      <c r="G1726" s="2">
        <f>TYPE(INDEX(,_xlfn.NORM.DIST(#REF!,#REF!,#REF!,INDEX(1,))))</f>
        <v>16</v>
      </c>
    </row>
    <row r="1727" spans="1:7" x14ac:dyDescent="0.55000000000000004">
      <c r="A1727" s="1" t="s">
        <v>2086</v>
      </c>
      <c r="B1727" s="2">
        <f>COUNTIF(A:A,A1727)-1</f>
        <v>3</v>
      </c>
      <c r="C1727" s="2">
        <f>COUNTIF(A$1:A1727,A1727)-1</f>
        <v>0</v>
      </c>
      <c r="D1727" s="2"/>
      <c r="E1727" s="2"/>
      <c r="F1727" s="2"/>
      <c r="G1727" s="2"/>
    </row>
    <row r="1728" spans="1:7" x14ac:dyDescent="0.55000000000000004">
      <c r="A1728" s="1" t="s">
        <v>2086</v>
      </c>
      <c r="B1728" s="2">
        <f>COUNTIF(A:A,A1728)-1</f>
        <v>3</v>
      </c>
      <c r="C1728" s="2">
        <f>COUNTIF(A$1:A1728,A1728)-1</f>
        <v>1</v>
      </c>
      <c r="D1728" s="2" t="e">
        <f>_xlfn.NORM.INV(1,#REF!,#REF!)</f>
        <v>#REF!</v>
      </c>
      <c r="E1728" s="2" t="b">
        <f>IFERROR(INDEX(ERROR(0),_xlfn.NORM.INV(SET.NAME("_",+INDEX(1,)),#REF!,#REF!)),RETURN(INDEX(TYPE(_),SET.NAME("_"))))</f>
        <v>0</v>
      </c>
      <c r="F1728" s="2" t="b">
        <f>IFERROR(INDEX(ERROR(0),_xlfn.NORM.INV(INDIRECT(SET.NAME({1,"_"},)),#REF!,#REF!)),RETURN(INDEX(TYPE(_),SET.NAME("_"))))</f>
        <v>0</v>
      </c>
      <c r="G1728" s="2">
        <f>TYPE(INDEX(,_xlfn.NORM.INV(INDEX(1,),#REF!,#REF!)))</f>
        <v>16</v>
      </c>
    </row>
    <row r="1729" spans="1:7" x14ac:dyDescent="0.55000000000000004">
      <c r="A1729" s="1" t="s">
        <v>2086</v>
      </c>
      <c r="B1729" s="2">
        <f>COUNTIF(A:A,A1729)-1</f>
        <v>3</v>
      </c>
      <c r="C1729" s="2">
        <f>COUNTIF(A$1:A1729,A1729)-1</f>
        <v>2</v>
      </c>
      <c r="D1729" s="2" t="e">
        <f>_xlfn.NORM.INV(#REF!,1,#REF!)</f>
        <v>#REF!</v>
      </c>
      <c r="E1729" s="2" t="b">
        <f>IFERROR(INDEX(ERROR(0),_xlfn.NORM.INV(#REF!,SET.NAME("_",+INDEX(1,)),#REF!)),RETURN(INDEX(TYPE(_),SET.NAME("_"))))</f>
        <v>0</v>
      </c>
      <c r="F1729" s="2" t="b">
        <f>IFERROR(INDEX(ERROR(0),_xlfn.NORM.INV(#REF!,INDIRECT(SET.NAME({1,"_"},)),#REF!)),RETURN(INDEX(TYPE(_),SET.NAME("_"))))</f>
        <v>0</v>
      </c>
      <c r="G1729" s="2">
        <f>TYPE(INDEX(,_xlfn.NORM.INV(#REF!,INDEX(1,),#REF!)))</f>
        <v>16</v>
      </c>
    </row>
    <row r="1730" spans="1:7" x14ac:dyDescent="0.55000000000000004">
      <c r="A1730" s="1" t="s">
        <v>2086</v>
      </c>
      <c r="B1730" s="2">
        <f>COUNTIF(A:A,A1730)-1</f>
        <v>3</v>
      </c>
      <c r="C1730" s="2">
        <f>COUNTIF(A$1:A1730,A1730)-1</f>
        <v>3</v>
      </c>
      <c r="D1730" s="2" t="e">
        <f>_xlfn.NORM.INV(#REF!,#REF!,1)</f>
        <v>#REF!</v>
      </c>
      <c r="E1730" s="2" t="b">
        <f>IFERROR(INDEX(ERROR(0),_xlfn.NORM.INV(#REF!,#REF!,SET.NAME("_",+INDEX(1,)))),RETURN(INDEX(TYPE(_),SET.NAME("_"))))</f>
        <v>0</v>
      </c>
      <c r="F1730" s="2" t="b">
        <f>IFERROR(INDEX(ERROR(0),_xlfn.NORM.INV(#REF!,#REF!,INDIRECT(SET.NAME({1,"_"},)))),RETURN(INDEX(TYPE(_),SET.NAME("_"))))</f>
        <v>0</v>
      </c>
      <c r="G1730" s="2">
        <f>TYPE(INDEX(,_xlfn.NORM.INV(#REF!,#REF!,INDEX(1,))))</f>
        <v>16</v>
      </c>
    </row>
    <row r="1731" spans="1:7" x14ac:dyDescent="0.55000000000000004">
      <c r="A1731" s="1" t="s">
        <v>2087</v>
      </c>
      <c r="B1731" s="2">
        <f>COUNTIF(A:A,A1731)-1</f>
        <v>2</v>
      </c>
      <c r="C1731" s="2">
        <f>COUNTIF(A$1:A1731,A1731)-1</f>
        <v>0</v>
      </c>
      <c r="D1731" s="2"/>
      <c r="E1731" s="2"/>
      <c r="F1731" s="2"/>
      <c r="G1731" s="2"/>
    </row>
    <row r="1732" spans="1:7" x14ac:dyDescent="0.55000000000000004">
      <c r="A1732" s="1" t="s">
        <v>2087</v>
      </c>
      <c r="B1732" s="2">
        <f>COUNTIF(A:A,A1732)-1</f>
        <v>2</v>
      </c>
      <c r="C1732" s="2">
        <f>COUNTIF(A$1:A1732,A1732)-1</f>
        <v>1</v>
      </c>
      <c r="D1732" s="2" t="e">
        <f>_xlfn.PERCENTILE.EXC(1,#REF!)</f>
        <v>#REF!</v>
      </c>
      <c r="E1732" s="2" t="b">
        <f>IFERROR(INDEX(ERROR(0),_xlfn.PERCENTILE.EXC(SET.NAME("_",+INDEX(1,)),#REF!)),RETURN(INDEX(TYPE(_),SET.NAME("_"))))</f>
        <v>0</v>
      </c>
      <c r="F1732" s="2" t="b">
        <f>IFERROR(INDEX(ERROR(0),_xlfn.PERCENTILE.EXC(INDIRECT(SET.NAME({1,"_"},)),#REF!)),RETURN(INDEX(TYPE(_),SET.NAME("_"))))</f>
        <v>0</v>
      </c>
      <c r="G1732" s="2">
        <f>TYPE(INDEX(,_xlfn.PERCENTILE.EXC(INDEX(1,),#REF!)))</f>
        <v>16</v>
      </c>
    </row>
    <row r="1733" spans="1:7" x14ac:dyDescent="0.55000000000000004">
      <c r="A1733" s="1" t="s">
        <v>2087</v>
      </c>
      <c r="B1733" s="2">
        <f>COUNTIF(A:A,A1733)-1</f>
        <v>2</v>
      </c>
      <c r="C1733" s="2">
        <f>COUNTIF(A$1:A1733,A1733)-1</f>
        <v>2</v>
      </c>
      <c r="D1733" s="2" t="e">
        <f>_xlfn.PERCENTILE.EXC(#REF!,1)</f>
        <v>#REF!</v>
      </c>
      <c r="E1733" s="2" t="b">
        <f>IFERROR(INDEX(ERROR(0),_xlfn.PERCENTILE.EXC(#REF!,SET.NAME("_",+INDEX(1,)))),RETURN(INDEX(TYPE(_),SET.NAME("_"))))</f>
        <v>0</v>
      </c>
      <c r="F1733" s="2" t="b">
        <f>IFERROR(INDEX(ERROR(0),_xlfn.PERCENTILE.EXC(#REF!,INDIRECT(SET.NAME({1,"_"},)))),RETURN(INDEX(TYPE(_),SET.NAME("_"))))</f>
        <v>0</v>
      </c>
      <c r="G1733" s="2">
        <f>TYPE(INDEX(,_xlfn.PERCENTILE.EXC(#REF!,INDEX(1,))))</f>
        <v>16</v>
      </c>
    </row>
    <row r="1734" spans="1:7" x14ac:dyDescent="0.55000000000000004">
      <c r="A1734" s="1" t="s">
        <v>2088</v>
      </c>
      <c r="B1734" s="2">
        <f>COUNTIF(A:A,A1734)-1</f>
        <v>2</v>
      </c>
      <c r="C1734" s="2">
        <f>COUNTIF(A$1:A1734,A1734)-1</f>
        <v>0</v>
      </c>
      <c r="D1734" s="2"/>
      <c r="E1734" s="2"/>
      <c r="F1734" s="2"/>
      <c r="G1734" s="2"/>
    </row>
    <row r="1735" spans="1:7" x14ac:dyDescent="0.55000000000000004">
      <c r="A1735" s="1" t="s">
        <v>2088</v>
      </c>
      <c r="B1735" s="2">
        <f>COUNTIF(A:A,A1735)-1</f>
        <v>2</v>
      </c>
      <c r="C1735" s="2">
        <f>COUNTIF(A$1:A1735,A1735)-1</f>
        <v>1</v>
      </c>
      <c r="D1735" s="2" t="e">
        <f>_xlfn.PERCENTILE.INC(1,#REF!)</f>
        <v>#REF!</v>
      </c>
      <c r="E1735" s="2" t="b">
        <f>IFERROR(INDEX(ERROR(0),_xlfn.PERCENTILE.INC(SET.NAME("_",+INDEX(1,)),#REF!)),RETURN(INDEX(TYPE(_),SET.NAME("_"))))</f>
        <v>0</v>
      </c>
      <c r="F1735" s="2" t="b">
        <f>IFERROR(INDEX(ERROR(0),_xlfn.PERCENTILE.INC(INDIRECT(SET.NAME({1,"_"},)),#REF!)),RETURN(INDEX(TYPE(_),SET.NAME("_"))))</f>
        <v>0</v>
      </c>
      <c r="G1735" s="2">
        <f>TYPE(INDEX(,_xlfn.PERCENTILE.INC(INDEX(1,),#REF!)))</f>
        <v>16</v>
      </c>
    </row>
    <row r="1736" spans="1:7" x14ac:dyDescent="0.55000000000000004">
      <c r="A1736" s="1" t="s">
        <v>2088</v>
      </c>
      <c r="B1736" s="2">
        <f>COUNTIF(A:A,A1736)-1</f>
        <v>2</v>
      </c>
      <c r="C1736" s="2">
        <f>COUNTIF(A$1:A1736,A1736)-1</f>
        <v>2</v>
      </c>
      <c r="D1736" s="2" t="e">
        <f>_xlfn.PERCENTILE.INC(#REF!,1)</f>
        <v>#REF!</v>
      </c>
      <c r="E1736" s="2" t="b">
        <f>IFERROR(INDEX(ERROR(0),_xlfn.PERCENTILE.INC(#REF!,SET.NAME("_",+INDEX(1,)))),RETURN(INDEX(TYPE(_),SET.NAME("_"))))</f>
        <v>0</v>
      </c>
      <c r="F1736" s="2" t="b">
        <f>IFERROR(INDEX(ERROR(0),_xlfn.PERCENTILE.INC(#REF!,INDIRECT(SET.NAME({1,"_"},)))),RETURN(INDEX(TYPE(_),SET.NAME("_"))))</f>
        <v>0</v>
      </c>
      <c r="G1736" s="2">
        <f>TYPE(INDEX(,_xlfn.PERCENTILE.INC(#REF!,INDEX(1,))))</f>
        <v>16</v>
      </c>
    </row>
    <row r="1737" spans="1:7" x14ac:dyDescent="0.55000000000000004">
      <c r="A1737" s="1" t="s">
        <v>2089</v>
      </c>
      <c r="B1737" s="2">
        <f>COUNTIF(A:A,A1737)-1</f>
        <v>3</v>
      </c>
      <c r="C1737" s="2">
        <f>COUNTIF(A$1:A1737,A1737)-1</f>
        <v>0</v>
      </c>
      <c r="D1737" s="2"/>
      <c r="E1737" s="2"/>
      <c r="F1737" s="2"/>
      <c r="G1737" s="2"/>
    </row>
    <row r="1738" spans="1:7" x14ac:dyDescent="0.55000000000000004">
      <c r="A1738" s="1" t="s">
        <v>2089</v>
      </c>
      <c r="B1738" s="2">
        <f>COUNTIF(A:A,A1738)-1</f>
        <v>3</v>
      </c>
      <c r="C1738" s="2">
        <f>COUNTIF(A$1:A1738,A1738)-1</f>
        <v>1</v>
      </c>
      <c r="D1738" s="2" t="e">
        <f>_xlfn.PERCENTRANK.EXC(1,#REF!,#REF!)</f>
        <v>#REF!</v>
      </c>
      <c r="E1738" s="2" t="b">
        <f>IFERROR(INDEX(ERROR(0),_xlfn.PERCENTRANK.EXC(SET.NAME("_",+INDEX(1,)),#REF!,#REF!)),RETURN(INDEX(TYPE(_),SET.NAME("_"))))</f>
        <v>0</v>
      </c>
      <c r="F1738" s="2" t="b">
        <f>IFERROR(INDEX(ERROR(0),_xlfn.PERCENTRANK.EXC(INDIRECT(SET.NAME({1,"_"},)),#REF!,#REF!)),RETURN(INDEX(TYPE(_),SET.NAME("_"))))</f>
        <v>0</v>
      </c>
      <c r="G1738" s="2">
        <f>TYPE(INDEX(,_xlfn.PERCENTRANK.EXC(INDEX(1,),#REF!,#REF!)))</f>
        <v>16</v>
      </c>
    </row>
    <row r="1739" spans="1:7" x14ac:dyDescent="0.55000000000000004">
      <c r="A1739" s="1" t="s">
        <v>2089</v>
      </c>
      <c r="B1739" s="2">
        <f>COUNTIF(A:A,A1739)-1</f>
        <v>3</v>
      </c>
      <c r="C1739" s="2">
        <f>COUNTIF(A$1:A1739,A1739)-1</f>
        <v>2</v>
      </c>
      <c r="D1739" s="2" t="e">
        <f>_xlfn.PERCENTRANK.EXC(#REF!,1,#REF!)</f>
        <v>#REF!</v>
      </c>
      <c r="E1739" s="2" t="b">
        <f>IFERROR(INDEX(ERROR(0),_xlfn.PERCENTRANK.EXC(#REF!,SET.NAME("_",+INDEX(1,)),#REF!)),RETURN(INDEX(TYPE(_),SET.NAME("_"))))</f>
        <v>0</v>
      </c>
      <c r="F1739" s="2" t="b">
        <f>IFERROR(INDEX(ERROR(0),_xlfn.PERCENTRANK.EXC(#REF!,INDIRECT(SET.NAME({1,"_"},)),#REF!)),RETURN(INDEX(TYPE(_),SET.NAME("_"))))</f>
        <v>0</v>
      </c>
      <c r="G1739" s="2">
        <f>TYPE(INDEX(,_xlfn.PERCENTRANK.EXC(#REF!,INDEX(1,),#REF!)))</f>
        <v>16</v>
      </c>
    </row>
    <row r="1740" spans="1:7" x14ac:dyDescent="0.55000000000000004">
      <c r="A1740" s="1" t="s">
        <v>2089</v>
      </c>
      <c r="B1740" s="2">
        <f>COUNTIF(A:A,A1740)-1</f>
        <v>3</v>
      </c>
      <c r="C1740" s="2">
        <f>COUNTIF(A$1:A1740,A1740)-1</f>
        <v>3</v>
      </c>
      <c r="D1740" s="2" t="e">
        <f>_xlfn.PERCENTRANK.EXC(#REF!,#REF!,1)</f>
        <v>#REF!</v>
      </c>
      <c r="E1740" s="2" t="b">
        <f>IFERROR(INDEX(ERROR(0),_xlfn.PERCENTRANK.EXC(#REF!,#REF!,SET.NAME("_",+INDEX(1,)))),RETURN(INDEX(TYPE(_),SET.NAME("_"))))</f>
        <v>0</v>
      </c>
      <c r="F1740" s="2" t="b">
        <f>IFERROR(INDEX(ERROR(0),_xlfn.PERCENTRANK.EXC(#REF!,#REF!,INDIRECT(SET.NAME({1,"_"},)))),RETURN(INDEX(TYPE(_),SET.NAME("_"))))</f>
        <v>0</v>
      </c>
      <c r="G1740" s="2">
        <f>TYPE(INDEX(,_xlfn.PERCENTRANK.EXC(#REF!,#REF!,INDEX(1,))))</f>
        <v>16</v>
      </c>
    </row>
    <row r="1741" spans="1:7" x14ac:dyDescent="0.55000000000000004">
      <c r="A1741" s="1" t="s">
        <v>2090</v>
      </c>
      <c r="B1741" s="2">
        <f>COUNTIF(A:A,A1741)-1</f>
        <v>3</v>
      </c>
      <c r="C1741" s="2">
        <f>COUNTIF(A$1:A1741,A1741)-1</f>
        <v>0</v>
      </c>
      <c r="D1741" s="2"/>
      <c r="E1741" s="2"/>
      <c r="F1741" s="2"/>
      <c r="G1741" s="2"/>
    </row>
    <row r="1742" spans="1:7" x14ac:dyDescent="0.55000000000000004">
      <c r="A1742" s="1" t="s">
        <v>2090</v>
      </c>
      <c r="B1742" s="2">
        <f>COUNTIF(A:A,A1742)-1</f>
        <v>3</v>
      </c>
      <c r="C1742" s="2">
        <f>COUNTIF(A$1:A1742,A1742)-1</f>
        <v>1</v>
      </c>
      <c r="D1742" s="2" t="e">
        <f>_xlfn.PERCENTRANK.INC(1,#REF!,#REF!)</f>
        <v>#REF!</v>
      </c>
      <c r="E1742" s="2" t="b">
        <f>IFERROR(INDEX(ERROR(0),_xlfn.PERCENTRANK.INC(SET.NAME("_",+INDEX(1,)),#REF!,#REF!)),RETURN(INDEX(TYPE(_),SET.NAME("_"))))</f>
        <v>0</v>
      </c>
      <c r="F1742" s="2" t="b">
        <f>IFERROR(INDEX(ERROR(0),_xlfn.PERCENTRANK.INC(INDIRECT(SET.NAME({1,"_"},)),#REF!,#REF!)),RETURN(INDEX(TYPE(_),SET.NAME("_"))))</f>
        <v>0</v>
      </c>
      <c r="G1742" s="2">
        <f>TYPE(INDEX(,_xlfn.PERCENTRANK.INC(INDEX(1,),#REF!,#REF!)))</f>
        <v>16</v>
      </c>
    </row>
    <row r="1743" spans="1:7" x14ac:dyDescent="0.55000000000000004">
      <c r="A1743" s="1" t="s">
        <v>2090</v>
      </c>
      <c r="B1743" s="2">
        <f>COUNTIF(A:A,A1743)-1</f>
        <v>3</v>
      </c>
      <c r="C1743" s="2">
        <f>COUNTIF(A$1:A1743,A1743)-1</f>
        <v>2</v>
      </c>
      <c r="D1743" s="2" t="e">
        <f>_xlfn.PERCENTRANK.INC(#REF!,1,#REF!)</f>
        <v>#REF!</v>
      </c>
      <c r="E1743" s="2" t="b">
        <f>IFERROR(INDEX(ERROR(0),_xlfn.PERCENTRANK.INC(#REF!,SET.NAME("_",+INDEX(1,)),#REF!)),RETURN(INDEX(TYPE(_),SET.NAME("_"))))</f>
        <v>0</v>
      </c>
      <c r="F1743" s="2" t="b">
        <f>IFERROR(INDEX(ERROR(0),_xlfn.PERCENTRANK.INC(#REF!,INDIRECT(SET.NAME({1,"_"},)),#REF!)),RETURN(INDEX(TYPE(_),SET.NAME("_"))))</f>
        <v>0</v>
      </c>
      <c r="G1743" s="2">
        <f>TYPE(INDEX(,_xlfn.PERCENTRANK.INC(#REF!,INDEX(1,),#REF!)))</f>
        <v>16</v>
      </c>
    </row>
    <row r="1744" spans="1:7" x14ac:dyDescent="0.55000000000000004">
      <c r="A1744" s="1" t="s">
        <v>2090</v>
      </c>
      <c r="B1744" s="2">
        <f>COUNTIF(A:A,A1744)-1</f>
        <v>3</v>
      </c>
      <c r="C1744" s="2">
        <f>COUNTIF(A$1:A1744,A1744)-1</f>
        <v>3</v>
      </c>
      <c r="D1744" s="2" t="e">
        <f>_xlfn.PERCENTRANK.INC(#REF!,#REF!,1)</f>
        <v>#REF!</v>
      </c>
      <c r="E1744" s="2" t="b">
        <f>IFERROR(INDEX(ERROR(0),_xlfn.PERCENTRANK.INC(#REF!,#REF!,SET.NAME("_",+INDEX(1,)))),RETURN(INDEX(TYPE(_),SET.NAME("_"))))</f>
        <v>0</v>
      </c>
      <c r="F1744" s="2" t="b">
        <f>IFERROR(INDEX(ERROR(0),_xlfn.PERCENTRANK.INC(#REF!,#REF!,INDIRECT(SET.NAME({1,"_"},)))),RETURN(INDEX(TYPE(_),SET.NAME("_"))))</f>
        <v>0</v>
      </c>
      <c r="G1744" s="2">
        <f>TYPE(INDEX(,_xlfn.PERCENTRANK.INC(#REF!,#REF!,INDEX(1,))))</f>
        <v>16</v>
      </c>
    </row>
    <row r="1745" spans="1:7" x14ac:dyDescent="0.55000000000000004">
      <c r="A1745" s="1" t="s">
        <v>2091</v>
      </c>
      <c r="B1745" s="2">
        <f>COUNTIF(A:A,A1745)-1</f>
        <v>3</v>
      </c>
      <c r="C1745" s="2">
        <f>COUNTIF(A$1:A1745,A1745)-1</f>
        <v>0</v>
      </c>
      <c r="D1745" s="2"/>
      <c r="E1745" s="2"/>
      <c r="F1745" s="2"/>
      <c r="G1745" s="2"/>
    </row>
    <row r="1746" spans="1:7" x14ac:dyDescent="0.55000000000000004">
      <c r="A1746" s="1" t="s">
        <v>2091</v>
      </c>
      <c r="B1746" s="2">
        <f>COUNTIF(A:A,A1746)-1</f>
        <v>3</v>
      </c>
      <c r="C1746" s="2">
        <f>COUNTIF(A$1:A1746,A1746)-1</f>
        <v>1</v>
      </c>
      <c r="D1746" s="2" t="e">
        <f>_xlfn.POISSON.DIST(1,#REF!,#REF!)</f>
        <v>#REF!</v>
      </c>
      <c r="E1746" s="2" t="b">
        <f>IFERROR(INDEX(ERROR(0),_xlfn.POISSON.DIST(SET.NAME("_",+INDEX(1,)),#REF!,#REF!)),RETURN(INDEX(TYPE(_),SET.NAME("_"))))</f>
        <v>0</v>
      </c>
      <c r="F1746" s="2" t="b">
        <f>IFERROR(INDEX(ERROR(0),_xlfn.POISSON.DIST(INDIRECT(SET.NAME({1,"_"},)),#REF!,#REF!)),RETURN(INDEX(TYPE(_),SET.NAME("_"))))</f>
        <v>0</v>
      </c>
      <c r="G1746" s="2">
        <f>TYPE(INDEX(,_xlfn.POISSON.DIST(INDEX(1,),#REF!,#REF!)))</f>
        <v>16</v>
      </c>
    </row>
    <row r="1747" spans="1:7" x14ac:dyDescent="0.55000000000000004">
      <c r="A1747" s="1" t="s">
        <v>2091</v>
      </c>
      <c r="B1747" s="2">
        <f>COUNTIF(A:A,A1747)-1</f>
        <v>3</v>
      </c>
      <c r="C1747" s="2">
        <f>COUNTIF(A$1:A1747,A1747)-1</f>
        <v>2</v>
      </c>
      <c r="D1747" s="2" t="e">
        <f>_xlfn.POISSON.DIST(#REF!,1,#REF!)</f>
        <v>#REF!</v>
      </c>
      <c r="E1747" s="2" t="b">
        <f>IFERROR(INDEX(ERROR(0),_xlfn.POISSON.DIST(#REF!,SET.NAME("_",+INDEX(1,)),#REF!)),RETURN(INDEX(TYPE(_),SET.NAME("_"))))</f>
        <v>0</v>
      </c>
      <c r="F1747" s="2" t="b">
        <f>IFERROR(INDEX(ERROR(0),_xlfn.POISSON.DIST(#REF!,INDIRECT(SET.NAME({1,"_"},)),#REF!)),RETURN(INDEX(TYPE(_),SET.NAME("_"))))</f>
        <v>0</v>
      </c>
      <c r="G1747" s="2">
        <f>TYPE(INDEX(,_xlfn.POISSON.DIST(#REF!,INDEX(1,),#REF!)))</f>
        <v>16</v>
      </c>
    </row>
    <row r="1748" spans="1:7" x14ac:dyDescent="0.55000000000000004">
      <c r="A1748" s="1" t="s">
        <v>2091</v>
      </c>
      <c r="B1748" s="2">
        <f>COUNTIF(A:A,A1748)-1</f>
        <v>3</v>
      </c>
      <c r="C1748" s="2">
        <f>COUNTIF(A$1:A1748,A1748)-1</f>
        <v>3</v>
      </c>
      <c r="D1748" s="2" t="e">
        <f>_xlfn.POISSON.DIST(#REF!,#REF!,1)</f>
        <v>#REF!</v>
      </c>
      <c r="E1748" s="2" t="b">
        <f>IFERROR(INDEX(ERROR(0),_xlfn.POISSON.DIST(#REF!,#REF!,SET.NAME("_",+INDEX(1,)))),RETURN(INDEX(TYPE(_),SET.NAME("_"))))</f>
        <v>0</v>
      </c>
      <c r="F1748" s="2" t="b">
        <f>IFERROR(INDEX(ERROR(0),_xlfn.POISSON.DIST(#REF!,#REF!,INDIRECT(SET.NAME({1,"_"},)))),RETURN(INDEX(TYPE(_),SET.NAME("_"))))</f>
        <v>0</v>
      </c>
      <c r="G1748" s="2">
        <f>TYPE(INDEX(,_xlfn.POISSON.DIST(#REF!,#REF!,INDEX(1,))))</f>
        <v>16</v>
      </c>
    </row>
    <row r="1749" spans="1:7" x14ac:dyDescent="0.55000000000000004">
      <c r="A1749" s="1" t="s">
        <v>2092</v>
      </c>
      <c r="B1749" s="2">
        <f>COUNTIF(A:A,A1749)-1</f>
        <v>2</v>
      </c>
      <c r="C1749" s="2">
        <f>COUNTIF(A$1:A1749,A1749)-1</f>
        <v>0</v>
      </c>
      <c r="D1749" s="2"/>
      <c r="E1749" s="2"/>
      <c r="F1749" s="2"/>
      <c r="G1749" s="2"/>
    </row>
    <row r="1750" spans="1:7" x14ac:dyDescent="0.55000000000000004">
      <c r="A1750" s="1" t="s">
        <v>2092</v>
      </c>
      <c r="B1750" s="2">
        <f>COUNTIF(A:A,A1750)-1</f>
        <v>2</v>
      </c>
      <c r="C1750" s="2">
        <f>COUNTIF(A$1:A1750,A1750)-1</f>
        <v>1</v>
      </c>
      <c r="D1750" s="2" t="e">
        <f>_xlfn.QUARTILE.EXC(1,#REF!)</f>
        <v>#REF!</v>
      </c>
      <c r="E1750" s="2" t="b">
        <f>IFERROR(INDEX(ERROR(0),_xlfn.QUARTILE.EXC(SET.NAME("_",+INDEX(1,)),#REF!)),RETURN(INDEX(TYPE(_),SET.NAME("_"))))</f>
        <v>0</v>
      </c>
      <c r="F1750" s="2" t="b">
        <f>IFERROR(INDEX(ERROR(0),_xlfn.QUARTILE.EXC(INDIRECT(SET.NAME({1,"_"},)),#REF!)),RETURN(INDEX(TYPE(_),SET.NAME("_"))))</f>
        <v>0</v>
      </c>
      <c r="G1750" s="2">
        <f>TYPE(INDEX(,_xlfn.QUARTILE.EXC(INDEX(1,),#REF!)))</f>
        <v>16</v>
      </c>
    </row>
    <row r="1751" spans="1:7" x14ac:dyDescent="0.55000000000000004">
      <c r="A1751" s="1" t="s">
        <v>2092</v>
      </c>
      <c r="B1751" s="2">
        <f>COUNTIF(A:A,A1751)-1</f>
        <v>2</v>
      </c>
      <c r="C1751" s="2">
        <f>COUNTIF(A$1:A1751,A1751)-1</f>
        <v>2</v>
      </c>
      <c r="D1751" s="2" t="e">
        <f>_xlfn.QUARTILE.EXC(#REF!,1)</f>
        <v>#REF!</v>
      </c>
      <c r="E1751" s="2" t="b">
        <f>IFERROR(INDEX(ERROR(0),_xlfn.QUARTILE.EXC(#REF!,SET.NAME("_",+INDEX(1,)))),RETURN(INDEX(TYPE(_),SET.NAME("_"))))</f>
        <v>0</v>
      </c>
      <c r="F1751" s="2" t="b">
        <f>IFERROR(INDEX(ERROR(0),_xlfn.QUARTILE.EXC(#REF!,INDIRECT(SET.NAME({1,"_"},)))),RETURN(INDEX(TYPE(_),SET.NAME("_"))))</f>
        <v>0</v>
      </c>
      <c r="G1751" s="2">
        <f>TYPE(INDEX(,_xlfn.QUARTILE.EXC(#REF!,INDEX(1,))))</f>
        <v>16</v>
      </c>
    </row>
    <row r="1752" spans="1:7" x14ac:dyDescent="0.55000000000000004">
      <c r="A1752" s="1" t="s">
        <v>2093</v>
      </c>
      <c r="B1752" s="2">
        <f>COUNTIF(A:A,A1752)-1</f>
        <v>2</v>
      </c>
      <c r="C1752" s="2">
        <f>COUNTIF(A$1:A1752,A1752)-1</f>
        <v>0</v>
      </c>
      <c r="D1752" s="2"/>
      <c r="E1752" s="2"/>
      <c r="F1752" s="2"/>
      <c r="G1752" s="2"/>
    </row>
    <row r="1753" spans="1:7" x14ac:dyDescent="0.55000000000000004">
      <c r="A1753" s="1" t="s">
        <v>2093</v>
      </c>
      <c r="B1753" s="2">
        <f>COUNTIF(A:A,A1753)-1</f>
        <v>2</v>
      </c>
      <c r="C1753" s="2">
        <f>COUNTIF(A$1:A1753,A1753)-1</f>
        <v>1</v>
      </c>
      <c r="D1753" s="2" t="e">
        <f>_xlfn.QUARTILE.INC(1,#REF!)</f>
        <v>#REF!</v>
      </c>
      <c r="E1753" s="2" t="b">
        <f>IFERROR(INDEX(ERROR(0),_xlfn.QUARTILE.INC(SET.NAME("_",+INDEX(1,)),#REF!)),RETURN(INDEX(TYPE(_),SET.NAME("_"))))</f>
        <v>0</v>
      </c>
      <c r="F1753" s="2" t="b">
        <f>IFERROR(INDEX(ERROR(0),_xlfn.QUARTILE.INC(INDIRECT(SET.NAME({1,"_"},)),#REF!)),RETURN(INDEX(TYPE(_),SET.NAME("_"))))</f>
        <v>0</v>
      </c>
      <c r="G1753" s="2">
        <f>TYPE(INDEX(,_xlfn.QUARTILE.INC(INDEX(1,),#REF!)))</f>
        <v>16</v>
      </c>
    </row>
    <row r="1754" spans="1:7" x14ac:dyDescent="0.55000000000000004">
      <c r="A1754" s="1" t="s">
        <v>2093</v>
      </c>
      <c r="B1754" s="2">
        <f>COUNTIF(A:A,A1754)-1</f>
        <v>2</v>
      </c>
      <c r="C1754" s="2">
        <f>COUNTIF(A$1:A1754,A1754)-1</f>
        <v>2</v>
      </c>
      <c r="D1754" s="2" t="e">
        <f>_xlfn.QUARTILE.INC(#REF!,1)</f>
        <v>#REF!</v>
      </c>
      <c r="E1754" s="2" t="b">
        <f>IFERROR(INDEX(ERROR(0),_xlfn.QUARTILE.INC(#REF!,SET.NAME("_",+INDEX(1,)))),RETURN(INDEX(TYPE(_),SET.NAME("_"))))</f>
        <v>0</v>
      </c>
      <c r="F1754" s="2" t="b">
        <f>IFERROR(INDEX(ERROR(0),_xlfn.QUARTILE.INC(#REF!,INDIRECT(SET.NAME({1,"_"},)))),RETURN(INDEX(TYPE(_),SET.NAME("_"))))</f>
        <v>0</v>
      </c>
      <c r="G1754" s="2">
        <f>TYPE(INDEX(,_xlfn.QUARTILE.INC(#REF!,INDEX(1,))))</f>
        <v>16</v>
      </c>
    </row>
    <row r="1755" spans="1:7" x14ac:dyDescent="0.55000000000000004">
      <c r="A1755" s="1" t="s">
        <v>2094</v>
      </c>
      <c r="B1755" s="2">
        <f>COUNTIF(A:A,A1755)-1</f>
        <v>3</v>
      </c>
      <c r="C1755" s="2">
        <f>COUNTIF(A$1:A1755,A1755)-1</f>
        <v>0</v>
      </c>
      <c r="D1755" s="2"/>
      <c r="E1755" s="2"/>
      <c r="F1755" s="2"/>
      <c r="G1755" s="2"/>
    </row>
    <row r="1756" spans="1:7" x14ac:dyDescent="0.55000000000000004">
      <c r="A1756" s="1" t="s">
        <v>2094</v>
      </c>
      <c r="B1756" s="2">
        <f>COUNTIF(A:A,A1756)-1</f>
        <v>3</v>
      </c>
      <c r="C1756" s="2">
        <f>COUNTIF(A$1:A1756,A1756)-1</f>
        <v>1</v>
      </c>
      <c r="D1756" s="2" t="e">
        <f>_xlfn.RANK.AVG(1,#REF!,#REF!)</f>
        <v>#REF!</v>
      </c>
      <c r="E1756" s="2" t="b">
        <f>IFERROR(INDEX(ERROR(0),_xlfn.RANK.AVG(SET.NAME("_",+INDEX(1,)),#REF!,#REF!)),RETURN(INDEX(TYPE(_),SET.NAME("_"))))</f>
        <v>0</v>
      </c>
      <c r="F1756" s="2" t="b">
        <f>IFERROR(INDEX(ERROR(0),_xlfn.RANK.AVG(INDIRECT(SET.NAME({1,"_"},)),#REF!,#REF!)),RETURN(INDEX(TYPE(_),SET.NAME("_"))))</f>
        <v>0</v>
      </c>
      <c r="G1756" s="2">
        <f>TYPE(INDEX(,_xlfn.RANK.AVG(INDEX(1,),#REF!,#REF!)))</f>
        <v>16</v>
      </c>
    </row>
    <row r="1757" spans="1:7" x14ac:dyDescent="0.55000000000000004">
      <c r="A1757" s="1" t="s">
        <v>2094</v>
      </c>
      <c r="B1757" s="2">
        <f>COUNTIF(A:A,A1757)-1</f>
        <v>3</v>
      </c>
      <c r="C1757" s="2">
        <f>COUNTIF(A$1:A1757,A1757)-1</f>
        <v>2</v>
      </c>
      <c r="D1757" s="2" t="s">
        <v>2315</v>
      </c>
      <c r="E1757" s="2" t="s">
        <v>2233</v>
      </c>
      <c r="F1757" s="2" t="b">
        <f>IFERROR(INDEX(ERROR(0),_xlfn.RANK.AVG(#REF!,INDIRECT(SET.NAME({1,"_"},)),#REF!)),RETURN(INDEX(TYPE(_),SET.NAME("_"))))</f>
        <v>0</v>
      </c>
      <c r="G1757" s="2">
        <f>TYPE(INDEX(,_xlfn.RANK.AVG(#REF!,INDEX(1,),#REF!)))</f>
        <v>64</v>
      </c>
    </row>
    <row r="1758" spans="1:7" x14ac:dyDescent="0.55000000000000004">
      <c r="A1758" s="1" t="s">
        <v>2094</v>
      </c>
      <c r="B1758" s="2">
        <f>COUNTIF(A:A,A1758)-1</f>
        <v>3</v>
      </c>
      <c r="C1758" s="2">
        <f>COUNTIF(A$1:A1758,A1758)-1</f>
        <v>3</v>
      </c>
      <c r="D1758" s="2" t="e">
        <f>_xlfn.RANK.AVG(#REF!,#REF!,1)</f>
        <v>#REF!</v>
      </c>
      <c r="E1758" s="2" t="b">
        <f>IFERROR(INDEX(ERROR(0),_xlfn.RANK.AVG(#REF!,#REF!,SET.NAME("_",+INDEX(1,)))),RETURN(INDEX(TYPE(_),SET.NAME("_"))))</f>
        <v>0</v>
      </c>
      <c r="F1758" s="2" t="b">
        <f>IFERROR(INDEX(ERROR(0),_xlfn.RANK.AVG(#REF!,#REF!,INDIRECT(SET.NAME({1,"_"},)))),RETURN(INDEX(TYPE(_),SET.NAME("_"))))</f>
        <v>0</v>
      </c>
      <c r="G1758" s="2">
        <f>TYPE(INDEX(,_xlfn.RANK.AVG(#REF!,#REF!,INDEX(1,))))</f>
        <v>16</v>
      </c>
    </row>
    <row r="1759" spans="1:7" x14ac:dyDescent="0.55000000000000004">
      <c r="A1759" s="1" t="s">
        <v>2095</v>
      </c>
      <c r="B1759" s="2">
        <f>COUNTIF(A:A,A1759)-1</f>
        <v>3</v>
      </c>
      <c r="C1759" s="2">
        <f>COUNTIF(A$1:A1759,A1759)-1</f>
        <v>0</v>
      </c>
      <c r="D1759" s="2"/>
      <c r="E1759" s="2"/>
      <c r="F1759" s="2"/>
      <c r="G1759" s="2"/>
    </row>
    <row r="1760" spans="1:7" x14ac:dyDescent="0.55000000000000004">
      <c r="A1760" s="1" t="s">
        <v>2095</v>
      </c>
      <c r="B1760" s="2">
        <f>COUNTIF(A:A,A1760)-1</f>
        <v>3</v>
      </c>
      <c r="C1760" s="2">
        <f>COUNTIF(A$1:A1760,A1760)-1</f>
        <v>1</v>
      </c>
      <c r="D1760" s="2" t="e">
        <f>_xlfn.RANK.EQ(1,#REF!,#REF!)</f>
        <v>#REF!</v>
      </c>
      <c r="E1760" s="2" t="b">
        <f>IFERROR(INDEX(ERROR(0),_xlfn.RANK.EQ(SET.NAME("_",+INDEX(1,)),#REF!,#REF!)),RETURN(INDEX(TYPE(_),SET.NAME("_"))))</f>
        <v>0</v>
      </c>
      <c r="F1760" s="2" t="b">
        <f>IFERROR(INDEX(ERROR(0),_xlfn.RANK.EQ(INDIRECT(SET.NAME({1,"_"},)),#REF!,#REF!)),RETURN(INDEX(TYPE(_),SET.NAME("_"))))</f>
        <v>0</v>
      </c>
      <c r="G1760" s="2">
        <f>TYPE(INDEX(,_xlfn.RANK.EQ(INDEX(1,),#REF!,#REF!)))</f>
        <v>16</v>
      </c>
    </row>
    <row r="1761" spans="1:7" x14ac:dyDescent="0.55000000000000004">
      <c r="A1761" s="1" t="s">
        <v>2095</v>
      </c>
      <c r="B1761" s="2">
        <f>COUNTIF(A:A,A1761)-1</f>
        <v>3</v>
      </c>
      <c r="C1761" s="2">
        <f>COUNTIF(A$1:A1761,A1761)-1</f>
        <v>2</v>
      </c>
      <c r="D1761" s="2" t="s">
        <v>2316</v>
      </c>
      <c r="E1761" s="2" t="s">
        <v>2234</v>
      </c>
      <c r="F1761" s="2" t="b">
        <f>IFERROR(INDEX(ERROR(0),_xlfn.RANK.EQ(#REF!,INDIRECT(SET.NAME({1,"_"},)),#REF!)),RETURN(INDEX(TYPE(_),SET.NAME("_"))))</f>
        <v>0</v>
      </c>
      <c r="G1761" s="2">
        <f>TYPE(INDEX(,_xlfn.RANK.EQ(#REF!,INDEX(1,),#REF!)))</f>
        <v>64</v>
      </c>
    </row>
    <row r="1762" spans="1:7" x14ac:dyDescent="0.55000000000000004">
      <c r="A1762" s="1" t="s">
        <v>2095</v>
      </c>
      <c r="B1762" s="2">
        <f>COUNTIF(A:A,A1762)-1</f>
        <v>3</v>
      </c>
      <c r="C1762" s="2">
        <f>COUNTIF(A$1:A1762,A1762)-1</f>
        <v>3</v>
      </c>
      <c r="D1762" s="2" t="e">
        <f>_xlfn.RANK.EQ(#REF!,#REF!,1)</f>
        <v>#REF!</v>
      </c>
      <c r="E1762" s="2" t="b">
        <f>IFERROR(INDEX(ERROR(0),_xlfn.RANK.EQ(#REF!,#REF!,SET.NAME("_",+INDEX(1,)))),RETURN(INDEX(TYPE(_),SET.NAME("_"))))</f>
        <v>0</v>
      </c>
      <c r="F1762" s="2" t="b">
        <f>IFERROR(INDEX(ERROR(0),_xlfn.RANK.EQ(#REF!,#REF!,INDIRECT(SET.NAME({1,"_"},)))),RETURN(INDEX(TYPE(_),SET.NAME("_"))))</f>
        <v>0</v>
      </c>
      <c r="G1762" s="2">
        <f>TYPE(INDEX(,_xlfn.RANK.EQ(#REF!,#REF!,INDEX(1,))))</f>
        <v>16</v>
      </c>
    </row>
    <row r="1763" spans="1:7" x14ac:dyDescent="0.55000000000000004">
      <c r="A1763" s="1" t="s">
        <v>2096</v>
      </c>
      <c r="B1763" s="2">
        <f>COUNTIF(A:A,A1763)-1</f>
        <v>3</v>
      </c>
      <c r="C1763" s="2">
        <f>COUNTIF(A$1:A1763,A1763)-1</f>
        <v>0</v>
      </c>
      <c r="D1763" s="2"/>
      <c r="E1763" s="2"/>
      <c r="F1763" s="2"/>
      <c r="G1763" s="2"/>
    </row>
    <row r="1764" spans="1:7" x14ac:dyDescent="0.55000000000000004">
      <c r="A1764" s="1" t="s">
        <v>2096</v>
      </c>
      <c r="B1764" s="2">
        <f>COUNTIF(A:A,A1764)-1</f>
        <v>3</v>
      </c>
      <c r="C1764" s="2">
        <f>COUNTIF(A$1:A1764,A1764)-1</f>
        <v>1</v>
      </c>
      <c r="D1764" s="2" t="e">
        <f>_xlfn.STDEV.S(1,#REF!,#REF!)</f>
        <v>#REF!</v>
      </c>
      <c r="E1764" s="2" t="b">
        <f>IFERROR(INDEX(ERROR(0),_xlfn.STDEV.S(SET.NAME("_",+INDEX(1,)),#REF!,#REF!)),RETURN(INDEX(TYPE(_),SET.NAME("_"))))</f>
        <v>0</v>
      </c>
      <c r="F1764" s="2" t="b">
        <f>IFERROR(INDEX(ERROR(0),_xlfn.STDEV.S(INDIRECT(SET.NAME({1,"_"},)),#REF!,#REF!)),RETURN(INDEX(TYPE(_),SET.NAME("_"))))</f>
        <v>0</v>
      </c>
      <c r="G1764" s="2">
        <f>TYPE(INDEX(,_xlfn.STDEV.S(INDEX(1,),#REF!,#REF!)))</f>
        <v>16</v>
      </c>
    </row>
    <row r="1765" spans="1:7" x14ac:dyDescent="0.55000000000000004">
      <c r="A1765" s="1" t="s">
        <v>2096</v>
      </c>
      <c r="B1765" s="2">
        <f>COUNTIF(A:A,A1765)-1</f>
        <v>3</v>
      </c>
      <c r="C1765" s="2">
        <f>COUNTIF(A$1:A1765,A1765)-1</f>
        <v>2</v>
      </c>
      <c r="D1765" s="2" t="e">
        <f>_xlfn.STDEV.S(#REF!,1,#REF!)</f>
        <v>#REF!</v>
      </c>
      <c r="E1765" s="2" t="b">
        <f>IFERROR(INDEX(ERROR(0),_xlfn.STDEV.S(#REF!,SET.NAME("_",+INDEX(1,)),#REF!)),RETURN(INDEX(TYPE(_),SET.NAME("_"))))</f>
        <v>0</v>
      </c>
      <c r="F1765" s="2" t="b">
        <f>IFERROR(INDEX(ERROR(0),_xlfn.STDEV.S(#REF!,INDIRECT(SET.NAME({1,"_"},)),#REF!)),RETURN(INDEX(TYPE(_),SET.NAME("_"))))</f>
        <v>0</v>
      </c>
      <c r="G1765" s="2">
        <f>TYPE(INDEX(,_xlfn.STDEV.S(#REF!,INDEX(1,),#REF!)))</f>
        <v>16</v>
      </c>
    </row>
    <row r="1766" spans="1:7" x14ac:dyDescent="0.55000000000000004">
      <c r="A1766" s="1" t="s">
        <v>2096</v>
      </c>
      <c r="B1766" s="2">
        <f>COUNTIF(A:A,A1766)-1</f>
        <v>3</v>
      </c>
      <c r="C1766" s="2">
        <f>COUNTIF(A$1:A1766,A1766)-1</f>
        <v>3</v>
      </c>
      <c r="D1766" s="2" t="e">
        <f>_xlfn.STDEV.S(#REF!,#REF!,1)</f>
        <v>#REF!</v>
      </c>
      <c r="E1766" s="2" t="b">
        <f>IFERROR(INDEX(ERROR(0),_xlfn.STDEV.S(#REF!,#REF!,SET.NAME("_",+INDEX(1,)))),RETURN(INDEX(TYPE(_),SET.NAME("_"))))</f>
        <v>0</v>
      </c>
      <c r="F1766" s="2" t="b">
        <f>IFERROR(INDEX(ERROR(0),_xlfn.STDEV.S(#REF!,#REF!,INDIRECT(SET.NAME({1,"_"},)))),RETURN(INDEX(TYPE(_),SET.NAME("_"))))</f>
        <v>0</v>
      </c>
      <c r="G1766" s="2">
        <f>TYPE(INDEX(,_xlfn.STDEV.S(#REF!,#REF!,INDEX(1,))))</f>
        <v>16</v>
      </c>
    </row>
    <row r="1767" spans="1:7" x14ac:dyDescent="0.55000000000000004">
      <c r="A1767" s="1" t="s">
        <v>2097</v>
      </c>
      <c r="B1767" s="2">
        <f>COUNTIF(A:A,A1767)-1</f>
        <v>3</v>
      </c>
      <c r="C1767" s="2">
        <f>COUNTIF(A$1:A1767,A1767)-1</f>
        <v>0</v>
      </c>
      <c r="D1767" s="2"/>
      <c r="E1767" s="2"/>
      <c r="F1767" s="2"/>
      <c r="G1767" s="2"/>
    </row>
    <row r="1768" spans="1:7" x14ac:dyDescent="0.55000000000000004">
      <c r="A1768" s="1" t="s">
        <v>2097</v>
      </c>
      <c r="B1768" s="2">
        <f>COUNTIF(A:A,A1768)-1</f>
        <v>3</v>
      </c>
      <c r="C1768" s="2">
        <f>COUNTIF(A$1:A1768,A1768)-1</f>
        <v>1</v>
      </c>
      <c r="D1768" s="2" t="e">
        <f>_xlfn.STDEV.P(1,#REF!,#REF!)</f>
        <v>#REF!</v>
      </c>
      <c r="E1768" s="2" t="b">
        <f>IFERROR(INDEX(ERROR(0),_xlfn.STDEV.P(SET.NAME("_",+INDEX(1,)),#REF!,#REF!)),RETURN(INDEX(TYPE(_),SET.NAME("_"))))</f>
        <v>0</v>
      </c>
      <c r="F1768" s="2" t="b">
        <f>IFERROR(INDEX(ERROR(0),_xlfn.STDEV.P(INDIRECT(SET.NAME({1,"_"},)),#REF!,#REF!)),RETURN(INDEX(TYPE(_),SET.NAME("_"))))</f>
        <v>0</v>
      </c>
      <c r="G1768" s="2">
        <f>TYPE(INDEX(,_xlfn.STDEV.P(INDEX(1,),#REF!,#REF!)))</f>
        <v>16</v>
      </c>
    </row>
    <row r="1769" spans="1:7" x14ac:dyDescent="0.55000000000000004">
      <c r="A1769" s="1" t="s">
        <v>2097</v>
      </c>
      <c r="B1769" s="2">
        <f>COUNTIF(A:A,A1769)-1</f>
        <v>3</v>
      </c>
      <c r="C1769" s="2">
        <f>COUNTIF(A$1:A1769,A1769)-1</f>
        <v>2</v>
      </c>
      <c r="D1769" s="2" t="e">
        <f>_xlfn.STDEV.P(#REF!,1,#REF!)</f>
        <v>#REF!</v>
      </c>
      <c r="E1769" s="2" t="b">
        <f>IFERROR(INDEX(ERROR(0),_xlfn.STDEV.P(#REF!,SET.NAME("_",+INDEX(1,)),#REF!)),RETURN(INDEX(TYPE(_),SET.NAME("_"))))</f>
        <v>0</v>
      </c>
      <c r="F1769" s="2" t="b">
        <f>IFERROR(INDEX(ERROR(0),_xlfn.STDEV.P(#REF!,INDIRECT(SET.NAME({1,"_"},)),#REF!)),RETURN(INDEX(TYPE(_),SET.NAME("_"))))</f>
        <v>0</v>
      </c>
      <c r="G1769" s="2">
        <f>TYPE(INDEX(,_xlfn.STDEV.P(#REF!,INDEX(1,),#REF!)))</f>
        <v>16</v>
      </c>
    </row>
    <row r="1770" spans="1:7" x14ac:dyDescent="0.55000000000000004">
      <c r="A1770" s="1" t="s">
        <v>2097</v>
      </c>
      <c r="B1770" s="2">
        <f>COUNTIF(A:A,A1770)-1</f>
        <v>3</v>
      </c>
      <c r="C1770" s="2">
        <f>COUNTIF(A$1:A1770,A1770)-1</f>
        <v>3</v>
      </c>
      <c r="D1770" s="2" t="e">
        <f>_xlfn.STDEV.P(#REF!,#REF!,1)</f>
        <v>#REF!</v>
      </c>
      <c r="E1770" s="2" t="b">
        <f>IFERROR(INDEX(ERROR(0),_xlfn.STDEV.P(#REF!,#REF!,SET.NAME("_",+INDEX(1,)))),RETURN(INDEX(TYPE(_),SET.NAME("_"))))</f>
        <v>0</v>
      </c>
      <c r="F1770" s="2" t="b">
        <f>IFERROR(INDEX(ERROR(0),_xlfn.STDEV.P(#REF!,#REF!,INDIRECT(SET.NAME({1,"_"},)))),RETURN(INDEX(TYPE(_),SET.NAME("_"))))</f>
        <v>0</v>
      </c>
      <c r="G1770" s="2">
        <f>TYPE(INDEX(,_xlfn.STDEV.P(#REF!,#REF!,INDEX(1,))))</f>
        <v>16</v>
      </c>
    </row>
    <row r="1771" spans="1:7" x14ac:dyDescent="0.55000000000000004">
      <c r="A1771" s="1" t="s">
        <v>2098</v>
      </c>
      <c r="B1771" s="2">
        <f>COUNTIF(A:A,A1771)-1</f>
        <v>3</v>
      </c>
      <c r="C1771" s="2">
        <f>COUNTIF(A$1:A1771,A1771)-1</f>
        <v>0</v>
      </c>
      <c r="D1771" s="2"/>
      <c r="E1771" s="2"/>
      <c r="F1771" s="2"/>
      <c r="G1771" s="2"/>
    </row>
    <row r="1772" spans="1:7" x14ac:dyDescent="0.55000000000000004">
      <c r="A1772" s="1" t="s">
        <v>2098</v>
      </c>
      <c r="B1772" s="2">
        <f>COUNTIF(A:A,A1772)-1</f>
        <v>3</v>
      </c>
      <c r="C1772" s="2">
        <f>COUNTIF(A$1:A1772,A1772)-1</f>
        <v>1</v>
      </c>
      <c r="D1772" s="2" t="e">
        <f>_xlfn.T.DIST(1,#REF!,#REF!)</f>
        <v>#REF!</v>
      </c>
      <c r="E1772" s="2" t="b">
        <f>IFERROR(INDEX(ERROR(0),_xlfn.T.DIST(SET.NAME("_",+INDEX(1,)),#REF!,#REF!)),RETURN(INDEX(TYPE(_),SET.NAME("_"))))</f>
        <v>0</v>
      </c>
      <c r="F1772" s="2" t="b">
        <f>IFERROR(INDEX(ERROR(0),_xlfn.T.DIST(INDIRECT(SET.NAME({1,"_"},)),#REF!,#REF!)),RETURN(INDEX(TYPE(_),SET.NAME("_"))))</f>
        <v>0</v>
      </c>
      <c r="G1772" s="2">
        <f>TYPE(INDEX(,_xlfn.T.DIST(INDEX(1,),#REF!,#REF!)))</f>
        <v>16</v>
      </c>
    </row>
    <row r="1773" spans="1:7" x14ac:dyDescent="0.55000000000000004">
      <c r="A1773" s="1" t="s">
        <v>2098</v>
      </c>
      <c r="B1773" s="2">
        <f>COUNTIF(A:A,A1773)-1</f>
        <v>3</v>
      </c>
      <c r="C1773" s="2">
        <f>COUNTIF(A$1:A1773,A1773)-1</f>
        <v>2</v>
      </c>
      <c r="D1773" s="2" t="e">
        <f>_xlfn.T.DIST(#REF!,1,#REF!)</f>
        <v>#REF!</v>
      </c>
      <c r="E1773" s="2" t="b">
        <f>IFERROR(INDEX(ERROR(0),_xlfn.T.DIST(#REF!,SET.NAME("_",+INDEX(1,)),#REF!)),RETURN(INDEX(TYPE(_),SET.NAME("_"))))</f>
        <v>0</v>
      </c>
      <c r="F1773" s="2" t="b">
        <f>IFERROR(INDEX(ERROR(0),_xlfn.T.DIST(#REF!,INDIRECT(SET.NAME({1,"_"},)),#REF!)),RETURN(INDEX(TYPE(_),SET.NAME("_"))))</f>
        <v>0</v>
      </c>
      <c r="G1773" s="2">
        <f>TYPE(INDEX(,_xlfn.T.DIST(#REF!,INDEX(1,),#REF!)))</f>
        <v>16</v>
      </c>
    </row>
    <row r="1774" spans="1:7" x14ac:dyDescent="0.55000000000000004">
      <c r="A1774" s="1" t="s">
        <v>2098</v>
      </c>
      <c r="B1774" s="2">
        <f>COUNTIF(A:A,A1774)-1</f>
        <v>3</v>
      </c>
      <c r="C1774" s="2">
        <f>COUNTIF(A$1:A1774,A1774)-1</f>
        <v>3</v>
      </c>
      <c r="D1774" s="2" t="e">
        <f>_xlfn.T.DIST(#REF!,#REF!,1)</f>
        <v>#REF!</v>
      </c>
      <c r="E1774" s="2" t="b">
        <f>IFERROR(INDEX(ERROR(0),_xlfn.T.DIST(#REF!,#REF!,SET.NAME("_",+INDEX(1,)))),RETURN(INDEX(TYPE(_),SET.NAME("_"))))</f>
        <v>0</v>
      </c>
      <c r="F1774" s="2" t="b">
        <f>IFERROR(INDEX(ERROR(0),_xlfn.T.DIST(#REF!,#REF!,INDIRECT(SET.NAME({1,"_"},)))),RETURN(INDEX(TYPE(_),SET.NAME("_"))))</f>
        <v>0</v>
      </c>
      <c r="G1774" s="2">
        <f>TYPE(INDEX(,_xlfn.T.DIST(#REF!,#REF!,INDEX(1,))))</f>
        <v>16</v>
      </c>
    </row>
    <row r="1775" spans="1:7" x14ac:dyDescent="0.55000000000000004">
      <c r="A1775" s="1" t="s">
        <v>2099</v>
      </c>
      <c r="B1775" s="2">
        <f>COUNTIF(A:A,A1775)-1</f>
        <v>2</v>
      </c>
      <c r="C1775" s="2">
        <f>COUNTIF(A$1:A1775,A1775)-1</f>
        <v>0</v>
      </c>
      <c r="D1775" s="2"/>
      <c r="E1775" s="2"/>
      <c r="F1775" s="2"/>
      <c r="G1775" s="2"/>
    </row>
    <row r="1776" spans="1:7" x14ac:dyDescent="0.55000000000000004">
      <c r="A1776" s="1" t="s">
        <v>2099</v>
      </c>
      <c r="B1776" s="2">
        <f>COUNTIF(A:A,A1776)-1</f>
        <v>2</v>
      </c>
      <c r="C1776" s="2">
        <f>COUNTIF(A$1:A1776,A1776)-1</f>
        <v>1</v>
      </c>
      <c r="D1776" s="2" t="e">
        <f>_xlfn.T.DIST.2T(1,#REF!)</f>
        <v>#REF!</v>
      </c>
      <c r="E1776" s="2" t="b">
        <f>IFERROR(INDEX(ERROR(0),_xlfn.T.DIST.2T(SET.NAME("_",+INDEX(1,)),#REF!)),RETURN(INDEX(TYPE(_),SET.NAME("_"))))</f>
        <v>0</v>
      </c>
      <c r="F1776" s="2" t="b">
        <f>IFERROR(INDEX(ERROR(0),_xlfn.T.DIST.2T(INDIRECT(SET.NAME({1,"_"},)),#REF!)),RETURN(INDEX(TYPE(_),SET.NAME("_"))))</f>
        <v>0</v>
      </c>
      <c r="G1776" s="2">
        <f>TYPE(INDEX(,_xlfn.T.DIST.2T(INDEX(1,),#REF!)))</f>
        <v>16</v>
      </c>
    </row>
    <row r="1777" spans="1:7" x14ac:dyDescent="0.55000000000000004">
      <c r="A1777" s="1" t="s">
        <v>2099</v>
      </c>
      <c r="B1777" s="2">
        <f>COUNTIF(A:A,A1777)-1</f>
        <v>2</v>
      </c>
      <c r="C1777" s="2">
        <f>COUNTIF(A$1:A1777,A1777)-1</f>
        <v>2</v>
      </c>
      <c r="D1777" s="2" t="e">
        <f>_xlfn.T.DIST.2T(#REF!,1)</f>
        <v>#REF!</v>
      </c>
      <c r="E1777" s="2" t="b">
        <f>IFERROR(INDEX(ERROR(0),_xlfn.T.DIST.2T(#REF!,SET.NAME("_",+INDEX(1,)))),RETURN(INDEX(TYPE(_),SET.NAME("_"))))</f>
        <v>0</v>
      </c>
      <c r="F1777" s="2" t="b">
        <f>IFERROR(INDEX(ERROR(0),_xlfn.T.DIST.2T(#REF!,INDIRECT(SET.NAME({1,"_"},)))),RETURN(INDEX(TYPE(_),SET.NAME("_"))))</f>
        <v>0</v>
      </c>
      <c r="G1777" s="2">
        <f>TYPE(INDEX(,_xlfn.T.DIST.2T(#REF!,INDEX(1,))))</f>
        <v>16</v>
      </c>
    </row>
    <row r="1778" spans="1:7" x14ac:dyDescent="0.55000000000000004">
      <c r="A1778" s="1" t="s">
        <v>2100</v>
      </c>
      <c r="B1778" s="2">
        <f>COUNTIF(A:A,A1778)-1</f>
        <v>2</v>
      </c>
      <c r="C1778" s="2">
        <f>COUNTIF(A$1:A1778,A1778)-1</f>
        <v>0</v>
      </c>
      <c r="D1778" s="2"/>
      <c r="E1778" s="2"/>
      <c r="F1778" s="2"/>
      <c r="G1778" s="2"/>
    </row>
    <row r="1779" spans="1:7" x14ac:dyDescent="0.55000000000000004">
      <c r="A1779" s="1" t="s">
        <v>2100</v>
      </c>
      <c r="B1779" s="2">
        <f>COUNTIF(A:A,A1779)-1</f>
        <v>2</v>
      </c>
      <c r="C1779" s="2">
        <f>COUNTIF(A$1:A1779,A1779)-1</f>
        <v>1</v>
      </c>
      <c r="D1779" s="2" t="e">
        <f>_xlfn.T.DIST.RT(1,#REF!)</f>
        <v>#REF!</v>
      </c>
      <c r="E1779" s="2" t="b">
        <f>IFERROR(INDEX(ERROR(0),_xlfn.T.DIST.RT(SET.NAME("_",+INDEX(1,)),#REF!)),RETURN(INDEX(TYPE(_),SET.NAME("_"))))</f>
        <v>0</v>
      </c>
      <c r="F1779" s="2" t="b">
        <f>IFERROR(INDEX(ERROR(0),_xlfn.T.DIST.RT(INDIRECT(SET.NAME({1,"_"},)),#REF!)),RETURN(INDEX(TYPE(_),SET.NAME("_"))))</f>
        <v>0</v>
      </c>
      <c r="G1779" s="2">
        <f>TYPE(INDEX(,_xlfn.T.DIST.RT(INDEX(1,),#REF!)))</f>
        <v>16</v>
      </c>
    </row>
    <row r="1780" spans="1:7" x14ac:dyDescent="0.55000000000000004">
      <c r="A1780" s="1" t="s">
        <v>2100</v>
      </c>
      <c r="B1780" s="2">
        <f>COUNTIF(A:A,A1780)-1</f>
        <v>2</v>
      </c>
      <c r="C1780" s="2">
        <f>COUNTIF(A$1:A1780,A1780)-1</f>
        <v>2</v>
      </c>
      <c r="D1780" s="2" t="e">
        <f>_xlfn.T.DIST.RT(#REF!,1)</f>
        <v>#REF!</v>
      </c>
      <c r="E1780" s="2" t="b">
        <f>IFERROR(INDEX(ERROR(0),_xlfn.T.DIST.RT(#REF!,SET.NAME("_",+INDEX(1,)))),RETURN(INDEX(TYPE(_),SET.NAME("_"))))</f>
        <v>0</v>
      </c>
      <c r="F1780" s="2" t="b">
        <f>IFERROR(INDEX(ERROR(0),_xlfn.T.DIST.RT(#REF!,INDIRECT(SET.NAME({1,"_"},)))),RETURN(INDEX(TYPE(_),SET.NAME("_"))))</f>
        <v>0</v>
      </c>
      <c r="G1780" s="2">
        <f>TYPE(INDEX(,_xlfn.T.DIST.RT(#REF!,INDEX(1,))))</f>
        <v>16</v>
      </c>
    </row>
    <row r="1781" spans="1:7" x14ac:dyDescent="0.55000000000000004">
      <c r="A1781" s="1" t="s">
        <v>2101</v>
      </c>
      <c r="B1781" s="2">
        <f>COUNTIF(A:A,A1781)-1</f>
        <v>2</v>
      </c>
      <c r="C1781" s="2">
        <f>COUNTIF(A$1:A1781,A1781)-1</f>
        <v>0</v>
      </c>
      <c r="D1781" s="2"/>
      <c r="E1781" s="2"/>
      <c r="F1781" s="2"/>
      <c r="G1781" s="2"/>
    </row>
    <row r="1782" spans="1:7" x14ac:dyDescent="0.55000000000000004">
      <c r="A1782" s="1" t="s">
        <v>2101</v>
      </c>
      <c r="B1782" s="2">
        <f>COUNTIF(A:A,A1782)-1</f>
        <v>2</v>
      </c>
      <c r="C1782" s="2">
        <f>COUNTIF(A$1:A1782,A1782)-1</f>
        <v>1</v>
      </c>
      <c r="D1782" s="2" t="e">
        <f>_xlfn.T.INV(1,#REF!)</f>
        <v>#REF!</v>
      </c>
      <c r="E1782" s="2" t="b">
        <f>IFERROR(INDEX(ERROR(0),_xlfn.T.INV(SET.NAME("_",+INDEX(1,)),#REF!)),RETURN(INDEX(TYPE(_),SET.NAME("_"))))</f>
        <v>0</v>
      </c>
      <c r="F1782" s="2" t="b">
        <f>IFERROR(INDEX(ERROR(0),_xlfn.T.INV(INDIRECT(SET.NAME({1,"_"},)),#REF!)),RETURN(INDEX(TYPE(_),SET.NAME("_"))))</f>
        <v>0</v>
      </c>
      <c r="G1782" s="2">
        <f>TYPE(INDEX(,_xlfn.T.INV(INDEX(1,),#REF!)))</f>
        <v>16</v>
      </c>
    </row>
    <row r="1783" spans="1:7" x14ac:dyDescent="0.55000000000000004">
      <c r="A1783" s="1" t="s">
        <v>2101</v>
      </c>
      <c r="B1783" s="2">
        <f>COUNTIF(A:A,A1783)-1</f>
        <v>2</v>
      </c>
      <c r="C1783" s="2">
        <f>COUNTIF(A$1:A1783,A1783)-1</f>
        <v>2</v>
      </c>
      <c r="D1783" s="2" t="e">
        <f>_xlfn.T.INV(#REF!,1)</f>
        <v>#REF!</v>
      </c>
      <c r="E1783" s="2" t="b">
        <f>IFERROR(INDEX(ERROR(0),_xlfn.T.INV(#REF!,SET.NAME("_",+INDEX(1,)))),RETURN(INDEX(TYPE(_),SET.NAME("_"))))</f>
        <v>0</v>
      </c>
      <c r="F1783" s="2" t="b">
        <f>IFERROR(INDEX(ERROR(0),_xlfn.T.INV(#REF!,INDIRECT(SET.NAME({1,"_"},)))),RETURN(INDEX(TYPE(_),SET.NAME("_"))))</f>
        <v>0</v>
      </c>
      <c r="G1783" s="2">
        <f>TYPE(INDEX(,_xlfn.T.INV(#REF!,INDEX(1,))))</f>
        <v>16</v>
      </c>
    </row>
    <row r="1784" spans="1:7" x14ac:dyDescent="0.55000000000000004">
      <c r="A1784" s="1" t="s">
        <v>2102</v>
      </c>
      <c r="B1784" s="2">
        <f>COUNTIF(A:A,A1784)-1</f>
        <v>2</v>
      </c>
      <c r="C1784" s="2">
        <f>COUNTIF(A$1:A1784,A1784)-1</f>
        <v>0</v>
      </c>
      <c r="D1784" s="2"/>
      <c r="E1784" s="2"/>
      <c r="F1784" s="2"/>
      <c r="G1784" s="2"/>
    </row>
    <row r="1785" spans="1:7" x14ac:dyDescent="0.55000000000000004">
      <c r="A1785" s="1" t="s">
        <v>2102</v>
      </c>
      <c r="B1785" s="2">
        <f>COUNTIF(A:A,A1785)-1</f>
        <v>2</v>
      </c>
      <c r="C1785" s="2">
        <f>COUNTIF(A$1:A1785,A1785)-1</f>
        <v>1</v>
      </c>
      <c r="D1785" s="2" t="e">
        <f>_xlfn.T.INV.2T(1,#REF!)</f>
        <v>#REF!</v>
      </c>
      <c r="E1785" s="2" t="b">
        <f>IFERROR(INDEX(ERROR(0),_xlfn.T.INV.2T(SET.NAME("_",+INDEX(1,)),#REF!)),RETURN(INDEX(TYPE(_),SET.NAME("_"))))</f>
        <v>0</v>
      </c>
      <c r="F1785" s="2" t="b">
        <f>IFERROR(INDEX(ERROR(0),_xlfn.T.INV.2T(INDIRECT(SET.NAME({1,"_"},)),#REF!)),RETURN(INDEX(TYPE(_),SET.NAME("_"))))</f>
        <v>0</v>
      </c>
      <c r="G1785" s="2">
        <f>TYPE(INDEX(,_xlfn.T.INV.2T(INDEX(1,),#REF!)))</f>
        <v>16</v>
      </c>
    </row>
    <row r="1786" spans="1:7" x14ac:dyDescent="0.55000000000000004">
      <c r="A1786" s="1" t="s">
        <v>2102</v>
      </c>
      <c r="B1786" s="2">
        <f>COUNTIF(A:A,A1786)-1</f>
        <v>2</v>
      </c>
      <c r="C1786" s="2">
        <f>COUNTIF(A$1:A1786,A1786)-1</f>
        <v>2</v>
      </c>
      <c r="D1786" s="2" t="e">
        <f>_xlfn.T.INV.2T(#REF!,1)</f>
        <v>#REF!</v>
      </c>
      <c r="E1786" s="2" t="b">
        <f>IFERROR(INDEX(ERROR(0),_xlfn.T.INV.2T(#REF!,SET.NAME("_",+INDEX(1,)))),RETURN(INDEX(TYPE(_),SET.NAME("_"))))</f>
        <v>0</v>
      </c>
      <c r="F1786" s="2" t="b">
        <f>IFERROR(INDEX(ERROR(0),_xlfn.T.INV.2T(#REF!,INDIRECT(SET.NAME({1,"_"},)))),RETURN(INDEX(TYPE(_),SET.NAME("_"))))</f>
        <v>0</v>
      </c>
      <c r="G1786" s="2">
        <f>TYPE(INDEX(,_xlfn.T.INV.2T(#REF!,INDEX(1,))))</f>
        <v>16</v>
      </c>
    </row>
    <row r="1787" spans="1:7" x14ac:dyDescent="0.55000000000000004">
      <c r="A1787" s="1" t="s">
        <v>2103</v>
      </c>
      <c r="B1787" s="2">
        <f>COUNTIF(A:A,A1787)-1</f>
        <v>3</v>
      </c>
      <c r="C1787" s="2">
        <f>COUNTIF(A$1:A1787,A1787)-1</f>
        <v>0</v>
      </c>
      <c r="D1787" s="2"/>
      <c r="E1787" s="2"/>
      <c r="F1787" s="2"/>
      <c r="G1787" s="2"/>
    </row>
    <row r="1788" spans="1:7" x14ac:dyDescent="0.55000000000000004">
      <c r="A1788" s="1" t="s">
        <v>2103</v>
      </c>
      <c r="B1788" s="2">
        <f>COUNTIF(A:A,A1788)-1</f>
        <v>3</v>
      </c>
      <c r="C1788" s="2">
        <f>COUNTIF(A$1:A1788,A1788)-1</f>
        <v>1</v>
      </c>
      <c r="D1788" s="2" t="e">
        <f>_xlfn.VAR.S(1,#REF!,#REF!)</f>
        <v>#REF!</v>
      </c>
      <c r="E1788" s="2" t="b">
        <f>IFERROR(INDEX(ERROR(0),_xlfn.VAR.S(SET.NAME("_",+INDEX(1,)),#REF!,#REF!)),RETURN(INDEX(TYPE(_),SET.NAME("_"))))</f>
        <v>0</v>
      </c>
      <c r="F1788" s="2" t="b">
        <f>IFERROR(INDEX(ERROR(0),_xlfn.VAR.S(INDIRECT(SET.NAME({1,"_"},)),#REF!,#REF!)),RETURN(INDEX(TYPE(_),SET.NAME("_"))))</f>
        <v>0</v>
      </c>
      <c r="G1788" s="2">
        <f>TYPE(INDEX(,_xlfn.VAR.S(INDEX(1,),#REF!,#REF!)))</f>
        <v>16</v>
      </c>
    </row>
    <row r="1789" spans="1:7" x14ac:dyDescent="0.55000000000000004">
      <c r="A1789" s="1" t="s">
        <v>2103</v>
      </c>
      <c r="B1789" s="2">
        <f>COUNTIF(A:A,A1789)-1</f>
        <v>3</v>
      </c>
      <c r="C1789" s="2">
        <f>COUNTIF(A$1:A1789,A1789)-1</f>
        <v>2</v>
      </c>
      <c r="D1789" s="2" t="e">
        <f>_xlfn.VAR.S(#REF!,1,#REF!)</f>
        <v>#REF!</v>
      </c>
      <c r="E1789" s="2" t="b">
        <f>IFERROR(INDEX(ERROR(0),_xlfn.VAR.S(#REF!,SET.NAME("_",+INDEX(1,)),#REF!)),RETURN(INDEX(TYPE(_),SET.NAME("_"))))</f>
        <v>0</v>
      </c>
      <c r="F1789" s="2" t="b">
        <f>IFERROR(INDEX(ERROR(0),_xlfn.VAR.S(#REF!,INDIRECT(SET.NAME({1,"_"},)),#REF!)),RETURN(INDEX(TYPE(_),SET.NAME("_"))))</f>
        <v>0</v>
      </c>
      <c r="G1789" s="2">
        <f>TYPE(INDEX(,_xlfn.VAR.S(#REF!,INDEX(1,),#REF!)))</f>
        <v>16</v>
      </c>
    </row>
    <row r="1790" spans="1:7" x14ac:dyDescent="0.55000000000000004">
      <c r="A1790" s="1" t="s">
        <v>2103</v>
      </c>
      <c r="B1790" s="2">
        <f>COUNTIF(A:A,A1790)-1</f>
        <v>3</v>
      </c>
      <c r="C1790" s="2">
        <f>COUNTIF(A$1:A1790,A1790)-1</f>
        <v>3</v>
      </c>
      <c r="D1790" s="2" t="e">
        <f>_xlfn.VAR.S(#REF!,#REF!,1)</f>
        <v>#REF!</v>
      </c>
      <c r="E1790" s="2" t="b">
        <f>IFERROR(INDEX(ERROR(0),_xlfn.VAR.S(#REF!,#REF!,SET.NAME("_",+INDEX(1,)))),RETURN(INDEX(TYPE(_),SET.NAME("_"))))</f>
        <v>0</v>
      </c>
      <c r="F1790" s="2" t="b">
        <f>IFERROR(INDEX(ERROR(0),_xlfn.VAR.S(#REF!,#REF!,INDIRECT(SET.NAME({1,"_"},)))),RETURN(INDEX(TYPE(_),SET.NAME("_"))))</f>
        <v>0</v>
      </c>
      <c r="G1790" s="2">
        <f>TYPE(INDEX(,_xlfn.VAR.S(#REF!,#REF!,INDEX(1,))))</f>
        <v>16</v>
      </c>
    </row>
    <row r="1791" spans="1:7" x14ac:dyDescent="0.55000000000000004">
      <c r="A1791" s="1" t="s">
        <v>2104</v>
      </c>
      <c r="B1791" s="2">
        <f>COUNTIF(A:A,A1791)-1</f>
        <v>3</v>
      </c>
      <c r="C1791" s="2">
        <f>COUNTIF(A$1:A1791,A1791)-1</f>
        <v>0</v>
      </c>
      <c r="D1791" s="2"/>
      <c r="E1791" s="2"/>
      <c r="F1791" s="2"/>
      <c r="G1791" s="2"/>
    </row>
    <row r="1792" spans="1:7" x14ac:dyDescent="0.55000000000000004">
      <c r="A1792" s="1" t="s">
        <v>2104</v>
      </c>
      <c r="B1792" s="2">
        <f>COUNTIF(A:A,A1792)-1</f>
        <v>3</v>
      </c>
      <c r="C1792" s="2">
        <f>COUNTIF(A$1:A1792,A1792)-1</f>
        <v>1</v>
      </c>
      <c r="D1792" s="2" t="e">
        <f>_xlfn.VAR.P(1,#REF!,#REF!)</f>
        <v>#REF!</v>
      </c>
      <c r="E1792" s="2" t="b">
        <f>IFERROR(INDEX(ERROR(0),_xlfn.VAR.P(SET.NAME("_",+INDEX(1,)),#REF!,#REF!)),RETURN(INDEX(TYPE(_),SET.NAME("_"))))</f>
        <v>0</v>
      </c>
      <c r="F1792" s="2" t="b">
        <f>IFERROR(INDEX(ERROR(0),_xlfn.VAR.P(INDIRECT(SET.NAME({1,"_"},)),#REF!,#REF!)),RETURN(INDEX(TYPE(_),SET.NAME("_"))))</f>
        <v>0</v>
      </c>
      <c r="G1792" s="2">
        <f>TYPE(INDEX(,_xlfn.VAR.P(INDEX(1,),#REF!,#REF!)))</f>
        <v>16</v>
      </c>
    </row>
    <row r="1793" spans="1:7" x14ac:dyDescent="0.55000000000000004">
      <c r="A1793" s="1" t="s">
        <v>2104</v>
      </c>
      <c r="B1793" s="2">
        <f>COUNTIF(A:A,A1793)-1</f>
        <v>3</v>
      </c>
      <c r="C1793" s="2">
        <f>COUNTIF(A$1:A1793,A1793)-1</f>
        <v>2</v>
      </c>
      <c r="D1793" s="2" t="e">
        <f>_xlfn.VAR.P(#REF!,1,#REF!)</f>
        <v>#REF!</v>
      </c>
      <c r="E1793" s="2" t="b">
        <f>IFERROR(INDEX(ERROR(0),_xlfn.VAR.P(#REF!,SET.NAME("_",+INDEX(1,)),#REF!)),RETURN(INDEX(TYPE(_),SET.NAME("_"))))</f>
        <v>0</v>
      </c>
      <c r="F1793" s="2" t="b">
        <f>IFERROR(INDEX(ERROR(0),_xlfn.VAR.P(#REF!,INDIRECT(SET.NAME({1,"_"},)),#REF!)),RETURN(INDEX(TYPE(_),SET.NAME("_"))))</f>
        <v>0</v>
      </c>
      <c r="G1793" s="2">
        <f>TYPE(INDEX(,_xlfn.VAR.P(#REF!,INDEX(1,),#REF!)))</f>
        <v>16</v>
      </c>
    </row>
    <row r="1794" spans="1:7" x14ac:dyDescent="0.55000000000000004">
      <c r="A1794" s="1" t="s">
        <v>2104</v>
      </c>
      <c r="B1794" s="2">
        <f>COUNTIF(A:A,A1794)-1</f>
        <v>3</v>
      </c>
      <c r="C1794" s="2">
        <f>COUNTIF(A$1:A1794,A1794)-1</f>
        <v>3</v>
      </c>
      <c r="D1794" s="2" t="e">
        <f>_xlfn.VAR.P(#REF!,#REF!,1)</f>
        <v>#REF!</v>
      </c>
      <c r="E1794" s="2" t="b">
        <f>IFERROR(INDEX(ERROR(0),_xlfn.VAR.P(#REF!,#REF!,SET.NAME("_",+INDEX(1,)))),RETURN(INDEX(TYPE(_),SET.NAME("_"))))</f>
        <v>0</v>
      </c>
      <c r="F1794" s="2" t="b">
        <f>IFERROR(INDEX(ERROR(0),_xlfn.VAR.P(#REF!,#REF!,INDIRECT(SET.NAME({1,"_"},)))),RETURN(INDEX(TYPE(_),SET.NAME("_"))))</f>
        <v>0</v>
      </c>
      <c r="G1794" s="2">
        <f>TYPE(INDEX(,_xlfn.VAR.P(#REF!,#REF!,INDEX(1,))))</f>
        <v>16</v>
      </c>
    </row>
    <row r="1795" spans="1:7" x14ac:dyDescent="0.55000000000000004">
      <c r="A1795" s="1" t="s">
        <v>2105</v>
      </c>
      <c r="B1795" s="2">
        <f>COUNTIF(A:A,A1795)-1</f>
        <v>4</v>
      </c>
      <c r="C1795" s="2">
        <f>COUNTIF(A$1:A1795,A1795)-1</f>
        <v>0</v>
      </c>
      <c r="D1795" s="2"/>
      <c r="E1795" s="2"/>
      <c r="F1795" s="2"/>
      <c r="G1795" s="2"/>
    </row>
    <row r="1796" spans="1:7" x14ac:dyDescent="0.55000000000000004">
      <c r="A1796" s="1" t="s">
        <v>2105</v>
      </c>
      <c r="B1796" s="2">
        <f>COUNTIF(A:A,A1796)-1</f>
        <v>4</v>
      </c>
      <c r="C1796" s="2">
        <f>COUNTIF(A$1:A1796,A1796)-1</f>
        <v>1</v>
      </c>
      <c r="D1796" s="2" t="e">
        <f>_xlfn.WEIBULL.DIST(1,#REF!,#REF!,#REF!)</f>
        <v>#REF!</v>
      </c>
      <c r="E1796" s="2" t="b">
        <f>IFERROR(INDEX(ERROR(0),_xlfn.WEIBULL.DIST(SET.NAME("_",+INDEX(1,)),#REF!,#REF!,#REF!)),RETURN(INDEX(TYPE(_),SET.NAME("_"))))</f>
        <v>0</v>
      </c>
      <c r="F1796" s="2" t="b">
        <f>IFERROR(INDEX(ERROR(0),_xlfn.WEIBULL.DIST(INDIRECT(SET.NAME({1,"_"},)),#REF!,#REF!,#REF!)),RETURN(INDEX(TYPE(_),SET.NAME("_"))))</f>
        <v>0</v>
      </c>
      <c r="G1796" s="2">
        <f>TYPE(INDEX(,_xlfn.WEIBULL.DIST(INDEX(1,),#REF!,#REF!,#REF!)))</f>
        <v>16</v>
      </c>
    </row>
    <row r="1797" spans="1:7" x14ac:dyDescent="0.55000000000000004">
      <c r="A1797" s="1" t="s">
        <v>2105</v>
      </c>
      <c r="B1797" s="2">
        <f>COUNTIF(A:A,A1797)-1</f>
        <v>4</v>
      </c>
      <c r="C1797" s="2">
        <f>COUNTIF(A$1:A1797,A1797)-1</f>
        <v>2</v>
      </c>
      <c r="D1797" s="2" t="e">
        <f>_xlfn.WEIBULL.DIST(#REF!,1,#REF!,#REF!)</f>
        <v>#REF!</v>
      </c>
      <c r="E1797" s="2" t="b">
        <f>IFERROR(INDEX(ERROR(0),_xlfn.WEIBULL.DIST(#REF!,SET.NAME("_",+INDEX(1,)),#REF!,#REF!)),RETURN(INDEX(TYPE(_),SET.NAME("_"))))</f>
        <v>0</v>
      </c>
      <c r="F1797" s="2" t="b">
        <f>IFERROR(INDEX(ERROR(0),_xlfn.WEIBULL.DIST(#REF!,INDIRECT(SET.NAME({1,"_"},)),#REF!,#REF!)),RETURN(INDEX(TYPE(_),SET.NAME("_"))))</f>
        <v>0</v>
      </c>
      <c r="G1797" s="2">
        <f>TYPE(INDEX(,_xlfn.WEIBULL.DIST(#REF!,INDEX(1,),#REF!,#REF!)))</f>
        <v>16</v>
      </c>
    </row>
    <row r="1798" spans="1:7" x14ac:dyDescent="0.55000000000000004">
      <c r="A1798" s="1" t="s">
        <v>2105</v>
      </c>
      <c r="B1798" s="2">
        <f>COUNTIF(A:A,A1798)-1</f>
        <v>4</v>
      </c>
      <c r="C1798" s="2">
        <f>COUNTIF(A$1:A1798,A1798)-1</f>
        <v>3</v>
      </c>
      <c r="D1798" s="2" t="e">
        <f>_xlfn.WEIBULL.DIST(#REF!,#REF!,1,#REF!)</f>
        <v>#REF!</v>
      </c>
      <c r="E1798" s="2" t="b">
        <f>IFERROR(INDEX(ERROR(0),_xlfn.WEIBULL.DIST(#REF!,#REF!,SET.NAME("_",+INDEX(1,)),#REF!)),RETURN(INDEX(TYPE(_),SET.NAME("_"))))</f>
        <v>0</v>
      </c>
      <c r="F1798" s="2" t="b">
        <f>IFERROR(INDEX(ERROR(0),_xlfn.WEIBULL.DIST(#REF!,#REF!,INDIRECT(SET.NAME({1,"_"},)),#REF!)),RETURN(INDEX(TYPE(_),SET.NAME("_"))))</f>
        <v>0</v>
      </c>
      <c r="G1798" s="2">
        <f>TYPE(INDEX(,_xlfn.WEIBULL.DIST(#REF!,#REF!,INDEX(1,),#REF!)))</f>
        <v>16</v>
      </c>
    </row>
    <row r="1799" spans="1:7" x14ac:dyDescent="0.55000000000000004">
      <c r="A1799" s="1" t="s">
        <v>2105</v>
      </c>
      <c r="B1799" s="2">
        <f>COUNTIF(A:A,A1799)-1</f>
        <v>4</v>
      </c>
      <c r="C1799" s="2">
        <f>COUNTIF(A$1:A1799,A1799)-1</f>
        <v>4</v>
      </c>
      <c r="D1799" s="2" t="e">
        <f>_xlfn.WEIBULL.DIST(#REF!,#REF!,#REF!,1)</f>
        <v>#REF!</v>
      </c>
      <c r="E1799" s="2" t="b">
        <f>IFERROR(INDEX(ERROR(0),_xlfn.WEIBULL.DIST(#REF!,#REF!,#REF!,SET.NAME("_",+INDEX(1,)))),RETURN(INDEX(TYPE(_),SET.NAME("_"))))</f>
        <v>0</v>
      </c>
      <c r="F1799" s="2" t="b">
        <f>IFERROR(INDEX(ERROR(0),_xlfn.WEIBULL.DIST(#REF!,#REF!,#REF!,INDIRECT(SET.NAME({1,"_"},)))),RETURN(INDEX(TYPE(_),SET.NAME("_"))))</f>
        <v>0</v>
      </c>
      <c r="G1799" s="2">
        <f>TYPE(INDEX(,_xlfn.WEIBULL.DIST(#REF!,#REF!,#REF!,INDEX(1,))))</f>
        <v>16</v>
      </c>
    </row>
    <row r="1800" spans="1:7" x14ac:dyDescent="0.55000000000000004">
      <c r="A1800" s="1" t="s">
        <v>2106</v>
      </c>
      <c r="B1800" s="2">
        <f>COUNTIF(A:A,A1800)-1</f>
        <v>4</v>
      </c>
      <c r="C1800" s="2">
        <f>COUNTIF(A$1:A1800,A1800)-1</f>
        <v>0</v>
      </c>
      <c r="D1800" s="2"/>
      <c r="E1800" s="2"/>
      <c r="F1800" s="2"/>
      <c r="G1800" s="2"/>
    </row>
    <row r="1801" spans="1:7" x14ac:dyDescent="0.55000000000000004">
      <c r="A1801" s="1" t="s">
        <v>2106</v>
      </c>
      <c r="B1801" s="2">
        <f>COUNTIF(A:A,A1801)-1</f>
        <v>4</v>
      </c>
      <c r="C1801" s="2">
        <f>COUNTIF(A$1:A1801,A1801)-1</f>
        <v>1</v>
      </c>
      <c r="D1801" s="2" t="e">
        <f>NETWORKDAYS.INTL(1,#REF!,#REF!,#REF!)</f>
        <v>#VALUE!</v>
      </c>
      <c r="E1801" s="2" t="b">
        <f>IFERROR(INDEX(ERROR(0),NETWORKDAYS.INTL(SET.NAME("_",+INDEX(1,)),#REF!,#REF!,#REF!)),RETURN(INDEX(TYPE(_),SET.NAME("_"))))</f>
        <v>0</v>
      </c>
      <c r="F1801" s="2" t="b">
        <f>IFERROR(INDEX(ERROR(0),NETWORKDAYS.INTL(INDIRECT(SET.NAME({1,"_"},)),#REF!,#REF!,#REF!)),RETURN(INDEX(TYPE(_),SET.NAME("_"))))</f>
        <v>0</v>
      </c>
      <c r="G1801" s="2">
        <f>TYPE(INDEX(,NETWORKDAYS.INTL(INDEX(1,),#REF!,#REF!,#REF!)))</f>
        <v>64</v>
      </c>
    </row>
    <row r="1802" spans="1:7" x14ac:dyDescent="0.55000000000000004">
      <c r="A1802" s="1" t="s">
        <v>2106</v>
      </c>
      <c r="B1802" s="2">
        <f>COUNTIF(A:A,A1802)-1</f>
        <v>4</v>
      </c>
      <c r="C1802" s="2">
        <f>COUNTIF(A$1:A1802,A1802)-1</f>
        <v>2</v>
      </c>
      <c r="D1802" s="2" t="e">
        <f>NETWORKDAYS.INTL(#REF!,1,#REF!,#REF!)</f>
        <v>#VALUE!</v>
      </c>
      <c r="E1802" s="2" t="b">
        <f>IFERROR(INDEX(ERROR(0),NETWORKDAYS.INTL(#REF!,SET.NAME("_",+INDEX(1,)),#REF!,#REF!)),RETURN(INDEX(TYPE(_),SET.NAME("_"))))</f>
        <v>0</v>
      </c>
      <c r="F1802" s="2" t="b">
        <f>IFERROR(INDEX(ERROR(0),NETWORKDAYS.INTL(#REF!,INDIRECT(SET.NAME({1,"_"},)),#REF!,#REF!)),RETURN(INDEX(TYPE(_),SET.NAME("_"))))</f>
        <v>0</v>
      </c>
      <c r="G1802" s="2">
        <f>TYPE(INDEX(,NETWORKDAYS.INTL(#REF!,INDEX(1,),#REF!,#REF!)))</f>
        <v>64</v>
      </c>
    </row>
    <row r="1803" spans="1:7" x14ac:dyDescent="0.55000000000000004">
      <c r="A1803" s="1" t="s">
        <v>2106</v>
      </c>
      <c r="B1803" s="2">
        <f>COUNTIF(A:A,A1803)-1</f>
        <v>4</v>
      </c>
      <c r="C1803" s="2">
        <f>COUNTIF(A$1:A1803,A1803)-1</f>
        <v>3</v>
      </c>
      <c r="D1803" s="2" t="e">
        <f>NETWORKDAYS.INTL(#REF!,#REF!,1,#REF!)</f>
        <v>#REF!</v>
      </c>
      <c r="E1803" s="2" t="b">
        <f>IFERROR(INDEX(ERROR(0),NETWORKDAYS.INTL(#REF!,#REF!,SET.NAME("_",+INDEX(1,)),#REF!)),RETURN(INDEX(TYPE(_),SET.NAME("_"))))</f>
        <v>0</v>
      </c>
      <c r="F1803" s="2" t="b">
        <f>IFERROR(INDEX(ERROR(0),NETWORKDAYS.INTL(#REF!,#REF!,INDIRECT(SET.NAME({1,"_"},)),#REF!)),RETURN(INDEX(TYPE(_),SET.NAME("_"))))</f>
        <v>0</v>
      </c>
      <c r="G1803" s="2">
        <f>TYPE(INDEX(,NETWORKDAYS.INTL(#REF!,#REF!,INDEX(1,),#REF!)))</f>
        <v>16</v>
      </c>
    </row>
    <row r="1804" spans="1:7" x14ac:dyDescent="0.55000000000000004">
      <c r="A1804" s="1" t="s">
        <v>2106</v>
      </c>
      <c r="B1804" s="2">
        <f>COUNTIF(A:A,A1804)-1</f>
        <v>4</v>
      </c>
      <c r="C1804" s="2">
        <f>COUNTIF(A$1:A1804,A1804)-1</f>
        <v>4</v>
      </c>
      <c r="D1804" s="2" t="e">
        <f>NETWORKDAYS.INTL(#REF!,#REF!,#REF!,1)</f>
        <v>#VALUE!</v>
      </c>
      <c r="E1804" s="2" t="b">
        <f>IFERROR(INDEX(ERROR(0),NETWORKDAYS.INTL(#REF!,#REF!,#REF!,SET.NAME("_",+INDEX(1,)))),RETURN(INDEX(TYPE(_),SET.NAME("_"))))</f>
        <v>0</v>
      </c>
      <c r="F1804" s="2" t="b">
        <f>IFERROR(INDEX(ERROR(0),NETWORKDAYS.INTL(#REF!,#REF!,#REF!,INDIRECT(SET.NAME({1,"_"},)))),RETURN(INDEX(TYPE(_),SET.NAME("_"))))</f>
        <v>0</v>
      </c>
      <c r="G1804" s="2">
        <f>TYPE(INDEX(,NETWORKDAYS.INTL(#REF!,#REF!,#REF!,INDEX(1,))))</f>
        <v>16</v>
      </c>
    </row>
    <row r="1805" spans="1:7" x14ac:dyDescent="0.55000000000000004">
      <c r="A1805" s="1" t="s">
        <v>2107</v>
      </c>
      <c r="B1805" s="2">
        <f>COUNTIF(A:A,A1805)-1</f>
        <v>4</v>
      </c>
      <c r="C1805" s="2">
        <f>COUNTIF(A$1:A1805,A1805)-1</f>
        <v>0</v>
      </c>
      <c r="D1805" s="2"/>
      <c r="E1805" s="2"/>
      <c r="F1805" s="2"/>
      <c r="G1805" s="2"/>
    </row>
    <row r="1806" spans="1:7" x14ac:dyDescent="0.55000000000000004">
      <c r="A1806" s="1" t="s">
        <v>2107</v>
      </c>
      <c r="B1806" s="2">
        <f>COUNTIF(A:A,A1806)-1</f>
        <v>4</v>
      </c>
      <c r="C1806" s="2">
        <f>COUNTIF(A$1:A1806,A1806)-1</f>
        <v>1</v>
      </c>
      <c r="D1806" s="2" t="e">
        <f>WORKDAY.INTL(1,#REF!,#REF!,#REF!)</f>
        <v>#REF!</v>
      </c>
      <c r="E1806" s="2" t="b">
        <f>IFERROR(INDEX(ERROR(0),WORKDAY.INTL(SET.NAME("_",+INDEX(1,)),#REF!,#REF!,#REF!)),RETURN(INDEX(TYPE(_),SET.NAME("_"))))</f>
        <v>0</v>
      </c>
      <c r="F1806" s="2" t="b">
        <f>IFERROR(INDEX(ERROR(0),WORKDAY.INTL(INDIRECT(SET.NAME({1,"_"},)),#REF!,#REF!,#REF!)),RETURN(INDEX(TYPE(_),SET.NAME("_"))))</f>
        <v>0</v>
      </c>
      <c r="G1806" s="2">
        <f>TYPE(INDEX(,WORKDAY.INTL(INDEX(1,),#REF!,#REF!,#REF!)))</f>
        <v>64</v>
      </c>
    </row>
    <row r="1807" spans="1:7" x14ac:dyDescent="0.55000000000000004">
      <c r="A1807" s="1" t="s">
        <v>2107</v>
      </c>
      <c r="B1807" s="2">
        <f>COUNTIF(A:A,A1807)-1</f>
        <v>4</v>
      </c>
      <c r="C1807" s="2">
        <f>COUNTIF(A$1:A1807,A1807)-1</f>
        <v>2</v>
      </c>
      <c r="D1807" s="2" t="e">
        <f>WORKDAY.INTL(#REF!,1,#REF!,#REF!)</f>
        <v>#REF!</v>
      </c>
      <c r="E1807" s="2" t="b">
        <f>IFERROR(INDEX(ERROR(0),WORKDAY.INTL(#REF!,SET.NAME("_",+INDEX(1,)),#REF!,#REF!)),RETURN(INDEX(TYPE(_),SET.NAME("_"))))</f>
        <v>0</v>
      </c>
      <c r="F1807" s="2" t="b">
        <f>IFERROR(INDEX(ERROR(0),WORKDAY.INTL(#REF!,INDIRECT(SET.NAME({1,"_"},)),#REF!,#REF!)),RETURN(INDEX(TYPE(_),SET.NAME("_"))))</f>
        <v>0</v>
      </c>
      <c r="G1807" s="2">
        <f>TYPE(INDEX(,WORKDAY.INTL(#REF!,INDEX(1,),#REF!,#REF!)))</f>
        <v>64</v>
      </c>
    </row>
    <row r="1808" spans="1:7" x14ac:dyDescent="0.55000000000000004">
      <c r="A1808" s="1" t="s">
        <v>2107</v>
      </c>
      <c r="B1808" s="2">
        <f>COUNTIF(A:A,A1808)-1</f>
        <v>4</v>
      </c>
      <c r="C1808" s="2">
        <f>COUNTIF(A$1:A1808,A1808)-1</f>
        <v>3</v>
      </c>
      <c r="D1808" s="2" t="e">
        <f>WORKDAY.INTL(#REF!,#REF!,1,#REF!)</f>
        <v>#REF!</v>
      </c>
      <c r="E1808" s="2" t="b">
        <f>IFERROR(INDEX(ERROR(0),WORKDAY.INTL(#REF!,#REF!,SET.NAME("_",+INDEX(1,)),#REF!)),RETURN(INDEX(TYPE(_),SET.NAME("_"))))</f>
        <v>0</v>
      </c>
      <c r="F1808" s="2" t="b">
        <f>IFERROR(INDEX(ERROR(0),WORKDAY.INTL(#REF!,#REF!,INDIRECT(SET.NAME({1,"_"},)),#REF!)),RETURN(INDEX(TYPE(_),SET.NAME("_"))))</f>
        <v>0</v>
      </c>
      <c r="G1808" s="2">
        <f>TYPE(INDEX(,WORKDAY.INTL(#REF!,#REF!,INDEX(1,),#REF!)))</f>
        <v>16</v>
      </c>
    </row>
    <row r="1809" spans="1:7" x14ac:dyDescent="0.55000000000000004">
      <c r="A1809" s="1" t="s">
        <v>2107</v>
      </c>
      <c r="B1809" s="2">
        <f>COUNTIF(A:A,A1809)-1</f>
        <v>4</v>
      </c>
      <c r="C1809" s="2">
        <f>COUNTIF(A$1:A1809,A1809)-1</f>
        <v>4</v>
      </c>
      <c r="D1809" s="2" t="e">
        <f>WORKDAY.INTL(#REF!,#REF!,#REF!,1)</f>
        <v>#REF!</v>
      </c>
      <c r="E1809" s="2" t="b">
        <f>IFERROR(INDEX(ERROR(0),WORKDAY.INTL(#REF!,#REF!,#REF!,SET.NAME("_",+INDEX(1,)))),RETURN(INDEX(TYPE(_),SET.NAME("_"))))</f>
        <v>0</v>
      </c>
      <c r="F1809" s="2" t="b">
        <f>IFERROR(INDEX(ERROR(0),WORKDAY.INTL(#REF!,#REF!,#REF!,INDIRECT(SET.NAME({1,"_"},)))),RETURN(INDEX(TYPE(_),SET.NAME("_"))))</f>
        <v>0</v>
      </c>
      <c r="G1809" s="2">
        <f>TYPE(INDEX(,WORKDAY.INTL(#REF!,#REF!,#REF!,INDEX(1,))))</f>
        <v>16</v>
      </c>
    </row>
    <row r="1810" spans="1:7" x14ac:dyDescent="0.55000000000000004">
      <c r="A1810" s="1" t="s">
        <v>2108</v>
      </c>
      <c r="B1810" s="2">
        <f>COUNTIF(A:A,A1810)-1</f>
        <v>2</v>
      </c>
      <c r="C1810" s="2">
        <f>COUNTIF(A$1:A1810,A1810)-1</f>
        <v>0</v>
      </c>
      <c r="D1810" s="2"/>
      <c r="E1810" s="2"/>
      <c r="F1810" s="2"/>
      <c r="G1810" s="2"/>
    </row>
    <row r="1811" spans="1:7" x14ac:dyDescent="0.55000000000000004">
      <c r="A1811" s="1" t="s">
        <v>2108</v>
      </c>
      <c r="B1811" s="2">
        <f>COUNTIF(A:A,A1811)-1</f>
        <v>2</v>
      </c>
      <c r="C1811" s="2">
        <f>COUNTIF(A$1:A1811,A1811)-1</f>
        <v>1</v>
      </c>
      <c r="D1811" s="2" t="e">
        <f>ECMA.CEILING(1,#REF!)</f>
        <v>#REF!</v>
      </c>
      <c r="E1811" s="2" t="b">
        <f>IFERROR(INDEX(ERROR(0),ECMA.CEILING(SET.NAME("_",+INDEX(1,)),#REF!)),RETURN(INDEX(TYPE(_),SET.NAME("_"))))</f>
        <v>0</v>
      </c>
      <c r="F1811" s="2" t="b">
        <f>IFERROR(INDEX(ERROR(0),ECMA.CEILING(INDIRECT(SET.NAME({1,"_"},)),#REF!)),RETURN(INDEX(TYPE(_),SET.NAME("_"))))</f>
        <v>0</v>
      </c>
      <c r="G1811" s="2">
        <f>TYPE(INDEX(,ECMA.CEILING(INDEX(1,),#REF!)))</f>
        <v>16</v>
      </c>
    </row>
    <row r="1812" spans="1:7" x14ac:dyDescent="0.55000000000000004">
      <c r="A1812" s="1" t="s">
        <v>2108</v>
      </c>
      <c r="B1812" s="2">
        <f>COUNTIF(A:A,A1812)-1</f>
        <v>2</v>
      </c>
      <c r="C1812" s="2">
        <f>COUNTIF(A$1:A1812,A1812)-1</f>
        <v>2</v>
      </c>
      <c r="D1812" s="2" t="e">
        <f>ECMA.CEILING(#REF!,1)</f>
        <v>#REF!</v>
      </c>
      <c r="E1812" s="2" t="b">
        <f>IFERROR(INDEX(ERROR(0),ECMA.CEILING(#REF!,SET.NAME("_",+INDEX(1,)))),RETURN(INDEX(TYPE(_),SET.NAME("_"))))</f>
        <v>0</v>
      </c>
      <c r="F1812" s="2" t="b">
        <f>IFERROR(INDEX(ERROR(0),ECMA.CEILING(#REF!,INDIRECT(SET.NAME({1,"_"},)))),RETURN(INDEX(TYPE(_),SET.NAME("_"))))</f>
        <v>0</v>
      </c>
      <c r="G1812" s="2">
        <f>TYPE(INDEX(,ECMA.CEILING(#REF!,INDEX(1,))))</f>
        <v>16</v>
      </c>
    </row>
    <row r="1813" spans="1:7" x14ac:dyDescent="0.55000000000000004">
      <c r="A1813" s="1" t="s">
        <v>2109</v>
      </c>
      <c r="B1813" s="2">
        <f>COUNTIF(A:A,A1813)-1</f>
        <v>2</v>
      </c>
      <c r="C1813" s="2">
        <f>COUNTIF(A$1:A1813,A1813)-1</f>
        <v>0</v>
      </c>
      <c r="D1813" s="2"/>
      <c r="E1813" s="2"/>
      <c r="F1813" s="2"/>
      <c r="G1813" s="2"/>
    </row>
    <row r="1814" spans="1:7" x14ac:dyDescent="0.55000000000000004">
      <c r="A1814" s="1" t="s">
        <v>2109</v>
      </c>
      <c r="B1814" s="2">
        <f>COUNTIF(A:A,A1814)-1</f>
        <v>2</v>
      </c>
      <c r="C1814" s="2">
        <f>COUNTIF(A$1:A1814,A1814)-1</f>
        <v>1</v>
      </c>
      <c r="D1814" s="2" t="e">
        <f>ISO.CEILING(1,#REF!)</f>
        <v>#REF!</v>
      </c>
      <c r="E1814" s="2" t="b">
        <f>IFERROR(INDEX(ERROR(0),ISO.CEILING(SET.NAME("_",+INDEX(1,)),#REF!)),RETURN(INDEX(TYPE(_),SET.NAME("_"))))</f>
        <v>0</v>
      </c>
      <c r="F1814" s="2" t="b">
        <f>IFERROR(INDEX(ERROR(0),ISO.CEILING(INDIRECT(SET.NAME({1,"_"},)),#REF!)),RETURN(INDEX(TYPE(_),SET.NAME("_"))))</f>
        <v>0</v>
      </c>
      <c r="G1814" s="2">
        <f>TYPE(INDEX(,ISO.CEILING(INDEX(1,),#REF!)))</f>
        <v>16</v>
      </c>
    </row>
    <row r="1815" spans="1:7" x14ac:dyDescent="0.55000000000000004">
      <c r="A1815" s="1" t="s">
        <v>2109</v>
      </c>
      <c r="B1815" s="2">
        <f>COUNTIF(A:A,A1815)-1</f>
        <v>2</v>
      </c>
      <c r="C1815" s="2">
        <f>COUNTIF(A$1:A1815,A1815)-1</f>
        <v>2</v>
      </c>
      <c r="D1815" s="2" t="e">
        <f>ISO.CEILING(#REF!,1)</f>
        <v>#REF!</v>
      </c>
      <c r="E1815" s="2" t="b">
        <f>IFERROR(INDEX(ERROR(0),ISO.CEILING(#REF!,SET.NAME("_",+INDEX(1,)))),RETURN(INDEX(TYPE(_),SET.NAME("_"))))</f>
        <v>0</v>
      </c>
      <c r="F1815" s="2" t="b">
        <f>IFERROR(INDEX(ERROR(0),ISO.CEILING(#REF!,INDIRECT(SET.NAME({1,"_"},)))),RETURN(INDEX(TYPE(_),SET.NAME("_"))))</f>
        <v>0</v>
      </c>
      <c r="G1815" s="2">
        <f>TYPE(INDEX(,ISO.CEILING(#REF!,INDEX(1,))))</f>
        <v>16</v>
      </c>
    </row>
    <row r="1816" spans="1:7" x14ac:dyDescent="0.55000000000000004">
      <c r="A1816" s="1" t="s">
        <v>2110</v>
      </c>
      <c r="B1816" s="2">
        <f>COUNTIF(A:A,A1816)-1</f>
        <v>6</v>
      </c>
      <c r="C1816" s="2">
        <f>COUNTIF(A$1:A1816,A1816)-1</f>
        <v>0</v>
      </c>
      <c r="D1816" s="2"/>
      <c r="E1816" s="2"/>
      <c r="F1816" s="2"/>
      <c r="G1816" s="2"/>
    </row>
    <row r="1817" spans="1:7" x14ac:dyDescent="0.55000000000000004">
      <c r="A1817" s="1" t="s">
        <v>2110</v>
      </c>
      <c r="B1817" s="2">
        <f>COUNTIF(A:A,A1817)-1</f>
        <v>6</v>
      </c>
      <c r="C1817" s="2">
        <f>COUNTIF(A$1:A1817,A1817)-1</f>
        <v>1</v>
      </c>
      <c r="D1817" s="2" t="e">
        <f>_xlfn.BETA.DIST(1,#REF!,#REF!,#REF!,#REF!,#REF!)</f>
        <v>#REF!</v>
      </c>
      <c r="E1817" s="2" t="b">
        <f>IFERROR(INDEX(ERROR(0),_xlfn.BETA.DIST(SET.NAME("_",+INDEX(1,)),#REF!,#REF!,#REF!,#REF!,#REF!)),RETURN(INDEX(TYPE(_),SET.NAME("_"))))</f>
        <v>0</v>
      </c>
      <c r="F1817" s="2" t="b">
        <f>IFERROR(INDEX(ERROR(0),_xlfn.BETA.DIST(INDIRECT(SET.NAME({1,"_"},)),#REF!,#REF!,#REF!,#REF!,#REF!)),RETURN(INDEX(TYPE(_),SET.NAME("_"))))</f>
        <v>0</v>
      </c>
      <c r="G1817" s="2">
        <f>TYPE(INDEX(,_xlfn.BETA.DIST(INDEX(1,),#REF!,#REF!,#REF!,#REF!,#REF!)))</f>
        <v>16</v>
      </c>
    </row>
    <row r="1818" spans="1:7" x14ac:dyDescent="0.55000000000000004">
      <c r="A1818" s="1" t="s">
        <v>2110</v>
      </c>
      <c r="B1818" s="2">
        <f>COUNTIF(A:A,A1818)-1</f>
        <v>6</v>
      </c>
      <c r="C1818" s="2">
        <f>COUNTIF(A$1:A1818,A1818)-1</f>
        <v>2</v>
      </c>
      <c r="D1818" s="2" t="e">
        <f>_xlfn.BETA.DIST(#REF!,1,#REF!,#REF!,#REF!,#REF!)</f>
        <v>#REF!</v>
      </c>
      <c r="E1818" s="2" t="b">
        <f>IFERROR(INDEX(ERROR(0),_xlfn.BETA.DIST(#REF!,SET.NAME("_",+INDEX(1,)),#REF!,#REF!,#REF!,#REF!)),RETURN(INDEX(TYPE(_),SET.NAME("_"))))</f>
        <v>0</v>
      </c>
      <c r="F1818" s="2" t="b">
        <f>IFERROR(INDEX(ERROR(0),_xlfn.BETA.DIST(#REF!,INDIRECT(SET.NAME({1,"_"},)),#REF!,#REF!,#REF!,#REF!)),RETURN(INDEX(TYPE(_),SET.NAME("_"))))</f>
        <v>0</v>
      </c>
      <c r="G1818" s="2">
        <f>TYPE(INDEX(,_xlfn.BETA.DIST(#REF!,INDEX(1,),#REF!,#REF!,#REF!,#REF!)))</f>
        <v>16</v>
      </c>
    </row>
    <row r="1819" spans="1:7" x14ac:dyDescent="0.55000000000000004">
      <c r="A1819" s="1" t="s">
        <v>2110</v>
      </c>
      <c r="B1819" s="2">
        <f>COUNTIF(A:A,A1819)-1</f>
        <v>6</v>
      </c>
      <c r="C1819" s="2">
        <f>COUNTIF(A$1:A1819,A1819)-1</f>
        <v>3</v>
      </c>
      <c r="D1819" s="2" t="e">
        <f>_xlfn.BETA.DIST(#REF!,#REF!,1,#REF!,#REF!,#REF!)</f>
        <v>#REF!</v>
      </c>
      <c r="E1819" s="2" t="b">
        <f>IFERROR(INDEX(ERROR(0),_xlfn.BETA.DIST(#REF!,#REF!,SET.NAME("_",+INDEX(1,)),#REF!,#REF!,#REF!)),RETURN(INDEX(TYPE(_),SET.NAME("_"))))</f>
        <v>0</v>
      </c>
      <c r="F1819" s="2" t="b">
        <f>IFERROR(INDEX(ERROR(0),_xlfn.BETA.DIST(#REF!,#REF!,INDIRECT(SET.NAME({1,"_"},)),#REF!,#REF!,#REF!)),RETURN(INDEX(TYPE(_),SET.NAME("_"))))</f>
        <v>0</v>
      </c>
      <c r="G1819" s="2">
        <f>TYPE(INDEX(,_xlfn.BETA.DIST(#REF!,#REF!,INDEX(1,),#REF!,#REF!,#REF!)))</f>
        <v>16</v>
      </c>
    </row>
    <row r="1820" spans="1:7" x14ac:dyDescent="0.55000000000000004">
      <c r="A1820" s="1" t="s">
        <v>2110</v>
      </c>
      <c r="B1820" s="2">
        <f>COUNTIF(A:A,A1820)-1</f>
        <v>6</v>
      </c>
      <c r="C1820" s="2">
        <f>COUNTIF(A$1:A1820,A1820)-1</f>
        <v>4</v>
      </c>
      <c r="D1820" s="2" t="e">
        <f>_xlfn.BETA.DIST(#REF!,#REF!,#REF!,1,#REF!,#REF!)</f>
        <v>#REF!</v>
      </c>
      <c r="E1820" s="2" t="b">
        <f>IFERROR(INDEX(ERROR(0),_xlfn.BETA.DIST(#REF!,#REF!,#REF!,SET.NAME("_",+INDEX(1,)),#REF!,#REF!)),RETURN(INDEX(TYPE(_),SET.NAME("_"))))</f>
        <v>0</v>
      </c>
      <c r="F1820" s="2" t="b">
        <f>IFERROR(INDEX(ERROR(0),_xlfn.BETA.DIST(#REF!,#REF!,#REF!,INDIRECT(SET.NAME({1,"_"},)),#REF!,#REF!)),RETURN(INDEX(TYPE(_),SET.NAME("_"))))</f>
        <v>0</v>
      </c>
      <c r="G1820" s="2">
        <f>TYPE(INDEX(,_xlfn.BETA.DIST(#REF!,#REF!,#REF!,INDEX(1,),#REF!,#REF!)))</f>
        <v>16</v>
      </c>
    </row>
    <row r="1821" spans="1:7" x14ac:dyDescent="0.55000000000000004">
      <c r="A1821" s="1" t="s">
        <v>2110</v>
      </c>
      <c r="B1821" s="2">
        <f>COUNTIF(A:A,A1821)-1</f>
        <v>6</v>
      </c>
      <c r="C1821" s="2">
        <f>COUNTIF(A$1:A1821,A1821)-1</f>
        <v>5</v>
      </c>
      <c r="D1821" s="2" t="e">
        <f>_xlfn.BETA.DIST(#REF!,#REF!,#REF!,#REF!,1,#REF!)</f>
        <v>#REF!</v>
      </c>
      <c r="E1821" s="2" t="b">
        <f>IFERROR(INDEX(ERROR(0),_xlfn.BETA.DIST(#REF!,#REF!,#REF!,#REF!,SET.NAME("_",+INDEX(1,)),#REF!)),RETURN(INDEX(TYPE(_),SET.NAME("_"))))</f>
        <v>0</v>
      </c>
      <c r="F1821" s="2" t="b">
        <f>IFERROR(INDEX(ERROR(0),_xlfn.BETA.DIST(#REF!,#REF!,#REF!,#REF!,INDIRECT(SET.NAME({1,"_"},)),#REF!)),RETURN(INDEX(TYPE(_),SET.NAME("_"))))</f>
        <v>0</v>
      </c>
      <c r="G1821" s="2">
        <f>TYPE(INDEX(,_xlfn.BETA.DIST(#REF!,#REF!,#REF!,#REF!,INDEX(1,),#REF!)))</f>
        <v>16</v>
      </c>
    </row>
    <row r="1822" spans="1:7" x14ac:dyDescent="0.55000000000000004">
      <c r="A1822" s="1" t="s">
        <v>2110</v>
      </c>
      <c r="B1822" s="2">
        <f>COUNTIF(A:A,A1822)-1</f>
        <v>6</v>
      </c>
      <c r="C1822" s="2">
        <f>COUNTIF(A$1:A1822,A1822)-1</f>
        <v>6</v>
      </c>
      <c r="D1822" s="2" t="e">
        <f>_xlfn.BETA.DIST(#REF!,#REF!,#REF!,#REF!,#REF!,1)</f>
        <v>#REF!</v>
      </c>
      <c r="E1822" s="2" t="b">
        <f>IFERROR(INDEX(ERROR(0),_xlfn.BETA.DIST(#REF!,#REF!,#REF!,#REF!,#REF!,SET.NAME("_",+INDEX(1,)))),RETURN(INDEX(TYPE(_),SET.NAME("_"))))</f>
        <v>0</v>
      </c>
      <c r="F1822" s="2" t="b">
        <f>IFERROR(INDEX(ERROR(0),_xlfn.BETA.DIST(#REF!,#REF!,#REF!,#REF!,#REF!,INDIRECT(SET.NAME({1,"_"},)))),RETURN(INDEX(TYPE(_),SET.NAME("_"))))</f>
        <v>0</v>
      </c>
      <c r="G1822" s="2">
        <f>TYPE(INDEX(,_xlfn.BETA.DIST(#REF!,#REF!,#REF!,#REF!,#REF!,INDEX(1,))))</f>
        <v>16</v>
      </c>
    </row>
    <row r="1823" spans="1:7" x14ac:dyDescent="0.55000000000000004">
      <c r="A1823" s="1" t="s">
        <v>2111</v>
      </c>
      <c r="B1823" s="2">
        <f>COUNTIF(A:A,A1823)-1</f>
        <v>5</v>
      </c>
      <c r="C1823" s="2">
        <f>COUNTIF(A$1:A1823,A1823)-1</f>
        <v>0</v>
      </c>
      <c r="D1823" s="2"/>
      <c r="E1823" s="2"/>
      <c r="F1823" s="2"/>
      <c r="G1823" s="2"/>
    </row>
    <row r="1824" spans="1:7" x14ac:dyDescent="0.55000000000000004">
      <c r="A1824" s="1" t="s">
        <v>2111</v>
      </c>
      <c r="B1824" s="2">
        <f>COUNTIF(A:A,A1824)-1</f>
        <v>5</v>
      </c>
      <c r="C1824" s="2">
        <f>COUNTIF(A$1:A1824,A1824)-1</f>
        <v>1</v>
      </c>
      <c r="D1824" s="2" t="e">
        <f>_xlfn.BETA.INV(1,#REF!,#REF!,#REF!,#REF!)</f>
        <v>#REF!</v>
      </c>
      <c r="E1824" s="2" t="b">
        <f>IFERROR(INDEX(ERROR(0),_xlfn.BETA.INV(SET.NAME("_",+INDEX(1,)),#REF!,#REF!,#REF!,#REF!)),RETURN(INDEX(TYPE(_),SET.NAME("_"))))</f>
        <v>0</v>
      </c>
      <c r="F1824" s="2" t="b">
        <f>IFERROR(INDEX(ERROR(0),_xlfn.BETA.INV(INDIRECT(SET.NAME({1,"_"},)),#REF!,#REF!,#REF!,#REF!)),RETURN(INDEX(TYPE(_),SET.NAME("_"))))</f>
        <v>0</v>
      </c>
      <c r="G1824" s="2">
        <f>TYPE(INDEX(,_xlfn.BETA.INV(INDEX(1,),#REF!,#REF!,#REF!,#REF!)))</f>
        <v>16</v>
      </c>
    </row>
    <row r="1825" spans="1:7" x14ac:dyDescent="0.55000000000000004">
      <c r="A1825" s="1" t="s">
        <v>2111</v>
      </c>
      <c r="B1825" s="2">
        <f>COUNTIF(A:A,A1825)-1</f>
        <v>5</v>
      </c>
      <c r="C1825" s="2">
        <f>COUNTIF(A$1:A1825,A1825)-1</f>
        <v>2</v>
      </c>
      <c r="D1825" s="2" t="e">
        <f>_xlfn.BETA.INV(#REF!,1,#REF!,#REF!,#REF!)</f>
        <v>#REF!</v>
      </c>
      <c r="E1825" s="2" t="b">
        <f>IFERROR(INDEX(ERROR(0),_xlfn.BETA.INV(#REF!,SET.NAME("_",+INDEX(1,)),#REF!,#REF!,#REF!)),RETURN(INDEX(TYPE(_),SET.NAME("_"))))</f>
        <v>0</v>
      </c>
      <c r="F1825" s="2" t="b">
        <f>IFERROR(INDEX(ERROR(0),_xlfn.BETA.INV(#REF!,INDIRECT(SET.NAME({1,"_"},)),#REF!,#REF!,#REF!)),RETURN(INDEX(TYPE(_),SET.NAME("_"))))</f>
        <v>0</v>
      </c>
      <c r="G1825" s="2">
        <f>TYPE(INDEX(,_xlfn.BETA.INV(#REF!,INDEX(1,),#REF!,#REF!,#REF!)))</f>
        <v>16</v>
      </c>
    </row>
    <row r="1826" spans="1:7" x14ac:dyDescent="0.55000000000000004">
      <c r="A1826" s="1" t="s">
        <v>2111</v>
      </c>
      <c r="B1826" s="2">
        <f>COUNTIF(A:A,A1826)-1</f>
        <v>5</v>
      </c>
      <c r="C1826" s="2">
        <f>COUNTIF(A$1:A1826,A1826)-1</f>
        <v>3</v>
      </c>
      <c r="D1826" s="2" t="e">
        <f>_xlfn.BETA.INV(#REF!,#REF!,1,#REF!,#REF!)</f>
        <v>#REF!</v>
      </c>
      <c r="E1826" s="2" t="b">
        <f>IFERROR(INDEX(ERROR(0),_xlfn.BETA.INV(#REF!,#REF!,SET.NAME("_",+INDEX(1,)),#REF!,#REF!)),RETURN(INDEX(TYPE(_),SET.NAME("_"))))</f>
        <v>0</v>
      </c>
      <c r="F1826" s="2" t="b">
        <f>IFERROR(INDEX(ERROR(0),_xlfn.BETA.INV(#REF!,#REF!,INDIRECT(SET.NAME({1,"_"},)),#REF!,#REF!)),RETURN(INDEX(TYPE(_),SET.NAME("_"))))</f>
        <v>0</v>
      </c>
      <c r="G1826" s="2">
        <f>TYPE(INDEX(,_xlfn.BETA.INV(#REF!,#REF!,INDEX(1,),#REF!,#REF!)))</f>
        <v>16</v>
      </c>
    </row>
    <row r="1827" spans="1:7" x14ac:dyDescent="0.55000000000000004">
      <c r="A1827" s="1" t="s">
        <v>2111</v>
      </c>
      <c r="B1827" s="2">
        <f>COUNTIF(A:A,A1827)-1</f>
        <v>5</v>
      </c>
      <c r="C1827" s="2">
        <f>COUNTIF(A$1:A1827,A1827)-1</f>
        <v>4</v>
      </c>
      <c r="D1827" s="2" t="e">
        <f>_xlfn.BETA.INV(#REF!,#REF!,#REF!,1,#REF!)</f>
        <v>#REF!</v>
      </c>
      <c r="E1827" s="2" t="b">
        <f>IFERROR(INDEX(ERROR(0),_xlfn.BETA.INV(#REF!,#REF!,#REF!,SET.NAME("_",+INDEX(1,)),#REF!)),RETURN(INDEX(TYPE(_),SET.NAME("_"))))</f>
        <v>0</v>
      </c>
      <c r="F1827" s="2" t="b">
        <f>IFERROR(INDEX(ERROR(0),_xlfn.BETA.INV(#REF!,#REF!,#REF!,INDIRECT(SET.NAME({1,"_"},)),#REF!)),RETURN(INDEX(TYPE(_),SET.NAME("_"))))</f>
        <v>0</v>
      </c>
      <c r="G1827" s="2">
        <f>TYPE(INDEX(,_xlfn.BETA.INV(#REF!,#REF!,#REF!,INDEX(1,),#REF!)))</f>
        <v>16</v>
      </c>
    </row>
    <row r="1828" spans="1:7" x14ac:dyDescent="0.55000000000000004">
      <c r="A1828" s="1" t="s">
        <v>2111</v>
      </c>
      <c r="B1828" s="2">
        <f>COUNTIF(A:A,A1828)-1</f>
        <v>5</v>
      </c>
      <c r="C1828" s="2">
        <f>COUNTIF(A$1:A1828,A1828)-1</f>
        <v>5</v>
      </c>
      <c r="D1828" s="2" t="e">
        <f>_xlfn.BETA.INV(#REF!,#REF!,#REF!,#REF!,1)</f>
        <v>#REF!</v>
      </c>
      <c r="E1828" s="2" t="b">
        <f>IFERROR(INDEX(ERROR(0),_xlfn.BETA.INV(#REF!,#REF!,#REF!,#REF!,SET.NAME("_",+INDEX(1,)))),RETURN(INDEX(TYPE(_),SET.NAME("_"))))</f>
        <v>0</v>
      </c>
      <c r="F1828" s="2" t="b">
        <f>IFERROR(INDEX(ERROR(0),_xlfn.BETA.INV(#REF!,#REF!,#REF!,#REF!,INDIRECT(SET.NAME({1,"_"},)))),RETURN(INDEX(TYPE(_),SET.NAME("_"))))</f>
        <v>0</v>
      </c>
      <c r="G1828" s="2">
        <f>TYPE(INDEX(,_xlfn.BETA.INV(#REF!,#REF!,#REF!,#REF!,INDEX(1,))))</f>
        <v>16</v>
      </c>
    </row>
    <row r="1829" spans="1:7" x14ac:dyDescent="0.55000000000000004">
      <c r="A1829" s="1" t="s">
        <v>2112</v>
      </c>
      <c r="B1829" s="2">
        <f>COUNTIF(A:A,A1829)-1</f>
        <v>3</v>
      </c>
      <c r="C1829" s="2">
        <f>COUNTIF(A$1:A1829,A1829)-1</f>
        <v>0</v>
      </c>
      <c r="D1829" s="2"/>
      <c r="E1829" s="2"/>
      <c r="F1829" s="2"/>
      <c r="G1829" s="2"/>
    </row>
    <row r="1830" spans="1:7" x14ac:dyDescent="0.55000000000000004">
      <c r="A1830" s="1" t="s">
        <v>2112</v>
      </c>
      <c r="B1830" s="2">
        <f>COUNTIF(A:A,A1830)-1</f>
        <v>3</v>
      </c>
      <c r="C1830" s="2">
        <f>COUNTIF(A$1:A1830,A1830)-1</f>
        <v>1</v>
      </c>
      <c r="D1830" s="2" t="e">
        <f>_xlfn.CHISQ.DIST(1,#REF!,#REF!)</f>
        <v>#REF!</v>
      </c>
      <c r="E1830" s="2" t="b">
        <f>IFERROR(INDEX(ERROR(0),_xlfn.CHISQ.DIST(SET.NAME("_",+INDEX(1,)),#REF!,#REF!)),RETURN(INDEX(TYPE(_),SET.NAME("_"))))</f>
        <v>0</v>
      </c>
      <c r="F1830" s="2" t="b">
        <f>IFERROR(INDEX(ERROR(0),_xlfn.CHISQ.DIST(INDIRECT(SET.NAME({1,"_"},)),#REF!,#REF!)),RETURN(INDEX(TYPE(_),SET.NAME("_"))))</f>
        <v>0</v>
      </c>
      <c r="G1830" s="2">
        <f>TYPE(INDEX(,_xlfn.CHISQ.DIST(INDEX(1,),#REF!,#REF!)))</f>
        <v>16</v>
      </c>
    </row>
    <row r="1831" spans="1:7" x14ac:dyDescent="0.55000000000000004">
      <c r="A1831" s="1" t="s">
        <v>2112</v>
      </c>
      <c r="B1831" s="2">
        <f>COUNTIF(A:A,A1831)-1</f>
        <v>3</v>
      </c>
      <c r="C1831" s="2">
        <f>COUNTIF(A$1:A1831,A1831)-1</f>
        <v>2</v>
      </c>
      <c r="D1831" s="2" t="e">
        <f>_xlfn.CHISQ.DIST(#REF!,1,#REF!)</f>
        <v>#REF!</v>
      </c>
      <c r="E1831" s="2" t="b">
        <f>IFERROR(INDEX(ERROR(0),_xlfn.CHISQ.DIST(#REF!,SET.NAME("_",+INDEX(1,)),#REF!)),RETURN(INDEX(TYPE(_),SET.NAME("_"))))</f>
        <v>0</v>
      </c>
      <c r="F1831" s="2" t="b">
        <f>IFERROR(INDEX(ERROR(0),_xlfn.CHISQ.DIST(#REF!,INDIRECT(SET.NAME({1,"_"},)),#REF!)),RETURN(INDEX(TYPE(_),SET.NAME("_"))))</f>
        <v>0</v>
      </c>
      <c r="G1831" s="2">
        <f>TYPE(INDEX(,_xlfn.CHISQ.DIST(#REF!,INDEX(1,),#REF!)))</f>
        <v>16</v>
      </c>
    </row>
    <row r="1832" spans="1:7" x14ac:dyDescent="0.55000000000000004">
      <c r="A1832" s="1" t="s">
        <v>2112</v>
      </c>
      <c r="B1832" s="2">
        <f>COUNTIF(A:A,A1832)-1</f>
        <v>3</v>
      </c>
      <c r="C1832" s="2">
        <f>COUNTIF(A$1:A1832,A1832)-1</f>
        <v>3</v>
      </c>
      <c r="D1832" s="2" t="e">
        <f>_xlfn.CHISQ.DIST(#REF!,#REF!,1)</f>
        <v>#REF!</v>
      </c>
      <c r="E1832" s="2" t="b">
        <f>IFERROR(INDEX(ERROR(0),_xlfn.CHISQ.DIST(#REF!,#REF!,SET.NAME("_",+INDEX(1,)))),RETURN(INDEX(TYPE(_),SET.NAME("_"))))</f>
        <v>0</v>
      </c>
      <c r="F1832" s="2" t="b">
        <f>IFERROR(INDEX(ERROR(0),_xlfn.CHISQ.DIST(#REF!,#REF!,INDIRECT(SET.NAME({1,"_"},)))),RETURN(INDEX(TYPE(_),SET.NAME("_"))))</f>
        <v>0</v>
      </c>
      <c r="G1832" s="2">
        <f>TYPE(INDEX(,_xlfn.CHISQ.DIST(#REF!,#REF!,INDEX(1,))))</f>
        <v>16</v>
      </c>
    </row>
    <row r="1833" spans="1:7" x14ac:dyDescent="0.55000000000000004">
      <c r="A1833" s="1" t="s">
        <v>2113</v>
      </c>
      <c r="B1833" s="2">
        <f>COUNTIF(A:A,A1833)-1</f>
        <v>2</v>
      </c>
      <c r="C1833" s="2">
        <f>COUNTIF(A$1:A1833,A1833)-1</f>
        <v>0</v>
      </c>
      <c r="D1833" s="2"/>
      <c r="E1833" s="2"/>
      <c r="F1833" s="2"/>
      <c r="G1833" s="2"/>
    </row>
    <row r="1834" spans="1:7" x14ac:dyDescent="0.55000000000000004">
      <c r="A1834" s="1" t="s">
        <v>2113</v>
      </c>
      <c r="B1834" s="2">
        <f>COUNTIF(A:A,A1834)-1</f>
        <v>2</v>
      </c>
      <c r="C1834" s="2">
        <f>COUNTIF(A$1:A1834,A1834)-1</f>
        <v>1</v>
      </c>
      <c r="D1834" s="2" t="e">
        <f>_xlfn.CHISQ.DIST.RT(1,#REF!)</f>
        <v>#REF!</v>
      </c>
      <c r="E1834" s="2" t="b">
        <f>IFERROR(INDEX(ERROR(0),_xlfn.CHISQ.DIST.RT(SET.NAME("_",+INDEX(1,)),#REF!)),RETURN(INDEX(TYPE(_),SET.NAME("_"))))</f>
        <v>0</v>
      </c>
      <c r="F1834" s="2" t="b">
        <f>IFERROR(INDEX(ERROR(0),_xlfn.CHISQ.DIST.RT(INDIRECT(SET.NAME({1,"_"},)),#REF!)),RETURN(INDEX(TYPE(_),SET.NAME("_"))))</f>
        <v>0</v>
      </c>
      <c r="G1834" s="2">
        <f>TYPE(INDEX(,_xlfn.CHISQ.DIST.RT(INDEX(1,),#REF!)))</f>
        <v>16</v>
      </c>
    </row>
    <row r="1835" spans="1:7" x14ac:dyDescent="0.55000000000000004">
      <c r="A1835" s="1" t="s">
        <v>2113</v>
      </c>
      <c r="B1835" s="2">
        <f>COUNTIF(A:A,A1835)-1</f>
        <v>2</v>
      </c>
      <c r="C1835" s="2">
        <f>COUNTIF(A$1:A1835,A1835)-1</f>
        <v>2</v>
      </c>
      <c r="D1835" s="2" t="e">
        <f>_xlfn.CHISQ.DIST.RT(#REF!,1)</f>
        <v>#REF!</v>
      </c>
      <c r="E1835" s="2" t="b">
        <f>IFERROR(INDEX(ERROR(0),_xlfn.CHISQ.DIST.RT(#REF!,SET.NAME("_",+INDEX(1,)))),RETURN(INDEX(TYPE(_),SET.NAME("_"))))</f>
        <v>0</v>
      </c>
      <c r="F1835" s="2" t="b">
        <f>IFERROR(INDEX(ERROR(0),_xlfn.CHISQ.DIST.RT(#REF!,INDIRECT(SET.NAME({1,"_"},)))),RETURN(INDEX(TYPE(_),SET.NAME("_"))))</f>
        <v>0</v>
      </c>
      <c r="G1835" s="2">
        <f>TYPE(INDEX(,_xlfn.CHISQ.DIST.RT(#REF!,INDEX(1,))))</f>
        <v>16</v>
      </c>
    </row>
    <row r="1836" spans="1:7" x14ac:dyDescent="0.55000000000000004">
      <c r="A1836" s="1" t="s">
        <v>2114</v>
      </c>
      <c r="B1836" s="2">
        <f>COUNTIF(A:A,A1836)-1</f>
        <v>2</v>
      </c>
      <c r="C1836" s="2">
        <f>COUNTIF(A$1:A1836,A1836)-1</f>
        <v>0</v>
      </c>
      <c r="D1836" s="2"/>
      <c r="E1836" s="2"/>
      <c r="F1836" s="2"/>
      <c r="G1836" s="2"/>
    </row>
    <row r="1837" spans="1:7" x14ac:dyDescent="0.55000000000000004">
      <c r="A1837" s="1" t="s">
        <v>2114</v>
      </c>
      <c r="B1837" s="2">
        <f>COUNTIF(A:A,A1837)-1</f>
        <v>2</v>
      </c>
      <c r="C1837" s="2">
        <f>COUNTIF(A$1:A1837,A1837)-1</f>
        <v>1</v>
      </c>
      <c r="D1837" s="2" t="e">
        <f>_xlfn.CHISQ.INV(1,#REF!)</f>
        <v>#REF!</v>
      </c>
      <c r="E1837" s="2" t="b">
        <f>IFERROR(INDEX(ERROR(0),_xlfn.CHISQ.INV(SET.NAME("_",+INDEX(1,)),#REF!)),RETURN(INDEX(TYPE(_),SET.NAME("_"))))</f>
        <v>0</v>
      </c>
      <c r="F1837" s="2" t="b">
        <f>IFERROR(INDEX(ERROR(0),_xlfn.CHISQ.INV(INDIRECT(SET.NAME({1,"_"},)),#REF!)),RETURN(INDEX(TYPE(_),SET.NAME("_"))))</f>
        <v>0</v>
      </c>
      <c r="G1837" s="2">
        <f>TYPE(INDEX(,_xlfn.CHISQ.INV(INDEX(1,),#REF!)))</f>
        <v>16</v>
      </c>
    </row>
    <row r="1838" spans="1:7" x14ac:dyDescent="0.55000000000000004">
      <c r="A1838" s="1" t="s">
        <v>2114</v>
      </c>
      <c r="B1838" s="2">
        <f>COUNTIF(A:A,A1838)-1</f>
        <v>2</v>
      </c>
      <c r="C1838" s="2">
        <f>COUNTIF(A$1:A1838,A1838)-1</f>
        <v>2</v>
      </c>
      <c r="D1838" s="2" t="e">
        <f>_xlfn.CHISQ.INV(#REF!,1)</f>
        <v>#REF!</v>
      </c>
      <c r="E1838" s="2" t="b">
        <f>IFERROR(INDEX(ERROR(0),_xlfn.CHISQ.INV(#REF!,SET.NAME("_",+INDEX(1,)))),RETURN(INDEX(TYPE(_),SET.NAME("_"))))</f>
        <v>0</v>
      </c>
      <c r="F1838" s="2" t="b">
        <f>IFERROR(INDEX(ERROR(0),_xlfn.CHISQ.INV(#REF!,INDIRECT(SET.NAME({1,"_"},)))),RETURN(INDEX(TYPE(_),SET.NAME("_"))))</f>
        <v>0</v>
      </c>
      <c r="G1838" s="2">
        <f>TYPE(INDEX(,_xlfn.CHISQ.INV(#REF!,INDEX(1,))))</f>
        <v>16</v>
      </c>
    </row>
    <row r="1839" spans="1:7" x14ac:dyDescent="0.55000000000000004">
      <c r="A1839" s="1" t="s">
        <v>2115</v>
      </c>
      <c r="B1839" s="2">
        <f>COUNTIF(A:A,A1839)-1</f>
        <v>2</v>
      </c>
      <c r="C1839" s="2">
        <f>COUNTIF(A$1:A1839,A1839)-1</f>
        <v>0</v>
      </c>
      <c r="D1839" s="2"/>
      <c r="E1839" s="2"/>
      <c r="F1839" s="2"/>
      <c r="G1839" s="2"/>
    </row>
    <row r="1840" spans="1:7" x14ac:dyDescent="0.55000000000000004">
      <c r="A1840" s="1" t="s">
        <v>2115</v>
      </c>
      <c r="B1840" s="2">
        <f>COUNTIF(A:A,A1840)-1</f>
        <v>2</v>
      </c>
      <c r="C1840" s="2">
        <f>COUNTIF(A$1:A1840,A1840)-1</f>
        <v>1</v>
      </c>
      <c r="D1840" s="2" t="e">
        <f>_xlfn.CHISQ.INV.RT(1,#REF!)</f>
        <v>#REF!</v>
      </c>
      <c r="E1840" s="2" t="b">
        <f>IFERROR(INDEX(ERROR(0),_xlfn.CHISQ.INV.RT(SET.NAME("_",+INDEX(1,)),#REF!)),RETURN(INDEX(TYPE(_),SET.NAME("_"))))</f>
        <v>0</v>
      </c>
      <c r="F1840" s="2" t="b">
        <f>IFERROR(INDEX(ERROR(0),_xlfn.CHISQ.INV.RT(INDIRECT(SET.NAME({1,"_"},)),#REF!)),RETURN(INDEX(TYPE(_),SET.NAME("_"))))</f>
        <v>0</v>
      </c>
      <c r="G1840" s="2">
        <f>TYPE(INDEX(,_xlfn.CHISQ.INV.RT(INDEX(1,),#REF!)))</f>
        <v>16</v>
      </c>
    </row>
    <row r="1841" spans="1:7" x14ac:dyDescent="0.55000000000000004">
      <c r="A1841" s="1" t="s">
        <v>2115</v>
      </c>
      <c r="B1841" s="2">
        <f>COUNTIF(A:A,A1841)-1</f>
        <v>2</v>
      </c>
      <c r="C1841" s="2">
        <f>COUNTIF(A$1:A1841,A1841)-1</f>
        <v>2</v>
      </c>
      <c r="D1841" s="2" t="e">
        <f>_xlfn.CHISQ.INV.RT(#REF!,1)</f>
        <v>#REF!</v>
      </c>
      <c r="E1841" s="2" t="b">
        <f>IFERROR(INDEX(ERROR(0),_xlfn.CHISQ.INV.RT(#REF!,SET.NAME("_",+INDEX(1,)))),RETURN(INDEX(TYPE(_),SET.NAME("_"))))</f>
        <v>0</v>
      </c>
      <c r="F1841" s="2" t="b">
        <f>IFERROR(INDEX(ERROR(0),_xlfn.CHISQ.INV.RT(#REF!,INDIRECT(SET.NAME({1,"_"},)))),RETURN(INDEX(TYPE(_),SET.NAME("_"))))</f>
        <v>0</v>
      </c>
      <c r="G1841" s="2">
        <f>TYPE(INDEX(,_xlfn.CHISQ.INV.RT(#REF!,INDEX(1,))))</f>
        <v>16</v>
      </c>
    </row>
    <row r="1842" spans="1:7" x14ac:dyDescent="0.55000000000000004">
      <c r="A1842" s="1" t="s">
        <v>2116</v>
      </c>
      <c r="B1842" s="2">
        <f>COUNTIF(A:A,A1842)-1</f>
        <v>4</v>
      </c>
      <c r="C1842" s="2">
        <f>COUNTIF(A$1:A1842,A1842)-1</f>
        <v>0</v>
      </c>
      <c r="D1842" s="2"/>
      <c r="E1842" s="2"/>
      <c r="F1842" s="2"/>
      <c r="G1842" s="2"/>
    </row>
    <row r="1843" spans="1:7" x14ac:dyDescent="0.55000000000000004">
      <c r="A1843" s="1" t="s">
        <v>2116</v>
      </c>
      <c r="B1843" s="2">
        <f>COUNTIF(A:A,A1843)-1</f>
        <v>4</v>
      </c>
      <c r="C1843" s="2">
        <f>COUNTIF(A$1:A1843,A1843)-1</f>
        <v>1</v>
      </c>
      <c r="D1843" s="2" t="e">
        <f>_xlfn.F.DIST(1,#REF!,#REF!,#REF!)</f>
        <v>#REF!</v>
      </c>
      <c r="E1843" s="2" t="b">
        <f>IFERROR(INDEX(ERROR(0),_xlfn.F.DIST(SET.NAME("_",+INDEX(1,)),#REF!,#REF!,#REF!)),RETURN(INDEX(TYPE(_),SET.NAME("_"))))</f>
        <v>0</v>
      </c>
      <c r="F1843" s="2" t="b">
        <f>IFERROR(INDEX(ERROR(0),_xlfn.F.DIST(INDIRECT(SET.NAME({1,"_"},)),#REF!,#REF!,#REF!)),RETURN(INDEX(TYPE(_),SET.NAME("_"))))</f>
        <v>0</v>
      </c>
      <c r="G1843" s="2">
        <f>TYPE(INDEX(,_xlfn.F.DIST(INDEX(1,),#REF!,#REF!,#REF!)))</f>
        <v>16</v>
      </c>
    </row>
    <row r="1844" spans="1:7" x14ac:dyDescent="0.55000000000000004">
      <c r="A1844" s="1" t="s">
        <v>2116</v>
      </c>
      <c r="B1844" s="2">
        <f>COUNTIF(A:A,A1844)-1</f>
        <v>4</v>
      </c>
      <c r="C1844" s="2">
        <f>COUNTIF(A$1:A1844,A1844)-1</f>
        <v>2</v>
      </c>
      <c r="D1844" s="2" t="e">
        <f>_xlfn.F.DIST(#REF!,1,#REF!,#REF!)</f>
        <v>#REF!</v>
      </c>
      <c r="E1844" s="2" t="b">
        <f>IFERROR(INDEX(ERROR(0),_xlfn.F.DIST(#REF!,SET.NAME("_",+INDEX(1,)),#REF!,#REF!)),RETURN(INDEX(TYPE(_),SET.NAME("_"))))</f>
        <v>0</v>
      </c>
      <c r="F1844" s="2" t="b">
        <f>IFERROR(INDEX(ERROR(0),_xlfn.F.DIST(#REF!,INDIRECT(SET.NAME({1,"_"},)),#REF!,#REF!)),RETURN(INDEX(TYPE(_),SET.NAME("_"))))</f>
        <v>0</v>
      </c>
      <c r="G1844" s="2">
        <f>TYPE(INDEX(,_xlfn.F.DIST(#REF!,INDEX(1,),#REF!,#REF!)))</f>
        <v>16</v>
      </c>
    </row>
    <row r="1845" spans="1:7" x14ac:dyDescent="0.55000000000000004">
      <c r="A1845" s="1" t="s">
        <v>2116</v>
      </c>
      <c r="B1845" s="2">
        <f>COUNTIF(A:A,A1845)-1</f>
        <v>4</v>
      </c>
      <c r="C1845" s="2">
        <f>COUNTIF(A$1:A1845,A1845)-1</f>
        <v>3</v>
      </c>
      <c r="D1845" s="2" t="e">
        <f>_xlfn.F.DIST(#REF!,#REF!,1,#REF!)</f>
        <v>#REF!</v>
      </c>
      <c r="E1845" s="2" t="b">
        <f>IFERROR(INDEX(ERROR(0),_xlfn.F.DIST(#REF!,#REF!,SET.NAME("_",+INDEX(1,)),#REF!)),RETURN(INDEX(TYPE(_),SET.NAME("_"))))</f>
        <v>0</v>
      </c>
      <c r="F1845" s="2" t="b">
        <f>IFERROR(INDEX(ERROR(0),_xlfn.F.DIST(#REF!,#REF!,INDIRECT(SET.NAME({1,"_"},)),#REF!)),RETURN(INDEX(TYPE(_),SET.NAME("_"))))</f>
        <v>0</v>
      </c>
      <c r="G1845" s="2">
        <f>TYPE(INDEX(,_xlfn.F.DIST(#REF!,#REF!,INDEX(1,),#REF!)))</f>
        <v>16</v>
      </c>
    </row>
    <row r="1846" spans="1:7" x14ac:dyDescent="0.55000000000000004">
      <c r="A1846" s="1" t="s">
        <v>2116</v>
      </c>
      <c r="B1846" s="2">
        <f>COUNTIF(A:A,A1846)-1</f>
        <v>4</v>
      </c>
      <c r="C1846" s="2">
        <f>COUNTIF(A$1:A1846,A1846)-1</f>
        <v>4</v>
      </c>
      <c r="D1846" s="2" t="e">
        <f>_xlfn.F.DIST(#REF!,#REF!,#REF!,1)</f>
        <v>#REF!</v>
      </c>
      <c r="E1846" s="2" t="b">
        <f>IFERROR(INDEX(ERROR(0),_xlfn.F.DIST(#REF!,#REF!,#REF!,SET.NAME("_",+INDEX(1,)))),RETURN(INDEX(TYPE(_),SET.NAME("_"))))</f>
        <v>0</v>
      </c>
      <c r="F1846" s="2" t="b">
        <f>IFERROR(INDEX(ERROR(0),_xlfn.F.DIST(#REF!,#REF!,#REF!,INDIRECT(SET.NAME({1,"_"},)))),RETURN(INDEX(TYPE(_),SET.NAME("_"))))</f>
        <v>0</v>
      </c>
      <c r="G1846" s="2">
        <f>TYPE(INDEX(,_xlfn.F.DIST(#REF!,#REF!,#REF!,INDEX(1,))))</f>
        <v>16</v>
      </c>
    </row>
    <row r="1847" spans="1:7" x14ac:dyDescent="0.55000000000000004">
      <c r="A1847" s="1" t="s">
        <v>2117</v>
      </c>
      <c r="B1847" s="2">
        <f>COUNTIF(A:A,A1847)-1</f>
        <v>3</v>
      </c>
      <c r="C1847" s="2">
        <f>COUNTIF(A$1:A1847,A1847)-1</f>
        <v>0</v>
      </c>
      <c r="D1847" s="2"/>
      <c r="E1847" s="2"/>
      <c r="F1847" s="2"/>
      <c r="G1847" s="2"/>
    </row>
    <row r="1848" spans="1:7" x14ac:dyDescent="0.55000000000000004">
      <c r="A1848" s="1" t="s">
        <v>2117</v>
      </c>
      <c r="B1848" s="2">
        <f>COUNTIF(A:A,A1848)-1</f>
        <v>3</v>
      </c>
      <c r="C1848" s="2">
        <f>COUNTIF(A$1:A1848,A1848)-1</f>
        <v>1</v>
      </c>
      <c r="D1848" s="2" t="e">
        <f>_xlfn.F.DIST.RT(1,#REF!,#REF!)</f>
        <v>#REF!</v>
      </c>
      <c r="E1848" s="2" t="b">
        <f>IFERROR(INDEX(ERROR(0),_xlfn.F.DIST.RT(SET.NAME("_",+INDEX(1,)),#REF!,#REF!)),RETURN(INDEX(TYPE(_),SET.NAME("_"))))</f>
        <v>0</v>
      </c>
      <c r="F1848" s="2" t="b">
        <f>IFERROR(INDEX(ERROR(0),_xlfn.F.DIST.RT(INDIRECT(SET.NAME({1,"_"},)),#REF!,#REF!)),RETURN(INDEX(TYPE(_),SET.NAME("_"))))</f>
        <v>0</v>
      </c>
      <c r="G1848" s="2">
        <f>TYPE(INDEX(,_xlfn.F.DIST.RT(INDEX(1,),#REF!,#REF!)))</f>
        <v>16</v>
      </c>
    </row>
    <row r="1849" spans="1:7" x14ac:dyDescent="0.55000000000000004">
      <c r="A1849" s="1" t="s">
        <v>2117</v>
      </c>
      <c r="B1849" s="2">
        <f>COUNTIF(A:A,A1849)-1</f>
        <v>3</v>
      </c>
      <c r="C1849" s="2">
        <f>COUNTIF(A$1:A1849,A1849)-1</f>
        <v>2</v>
      </c>
      <c r="D1849" s="2" t="e">
        <f>_xlfn.F.DIST.RT(#REF!,1,#REF!)</f>
        <v>#REF!</v>
      </c>
      <c r="E1849" s="2" t="b">
        <f>IFERROR(INDEX(ERROR(0),_xlfn.F.DIST.RT(#REF!,SET.NAME("_",+INDEX(1,)),#REF!)),RETURN(INDEX(TYPE(_),SET.NAME("_"))))</f>
        <v>0</v>
      </c>
      <c r="F1849" s="2" t="b">
        <f>IFERROR(INDEX(ERROR(0),_xlfn.F.DIST.RT(#REF!,INDIRECT(SET.NAME({1,"_"},)),#REF!)),RETURN(INDEX(TYPE(_),SET.NAME("_"))))</f>
        <v>0</v>
      </c>
      <c r="G1849" s="2">
        <f>TYPE(INDEX(,_xlfn.F.DIST.RT(#REF!,INDEX(1,),#REF!)))</f>
        <v>16</v>
      </c>
    </row>
    <row r="1850" spans="1:7" x14ac:dyDescent="0.55000000000000004">
      <c r="A1850" s="1" t="s">
        <v>2117</v>
      </c>
      <c r="B1850" s="2">
        <f>COUNTIF(A:A,A1850)-1</f>
        <v>3</v>
      </c>
      <c r="C1850" s="2">
        <f>COUNTIF(A$1:A1850,A1850)-1</f>
        <v>3</v>
      </c>
      <c r="D1850" s="2" t="e">
        <f>_xlfn.F.DIST.RT(#REF!,#REF!,1)</f>
        <v>#REF!</v>
      </c>
      <c r="E1850" s="2" t="b">
        <f>IFERROR(INDEX(ERROR(0),_xlfn.F.DIST.RT(#REF!,#REF!,SET.NAME("_",+INDEX(1,)))),RETURN(INDEX(TYPE(_),SET.NAME("_"))))</f>
        <v>0</v>
      </c>
      <c r="F1850" s="2" t="b">
        <f>IFERROR(INDEX(ERROR(0),_xlfn.F.DIST.RT(#REF!,#REF!,INDIRECT(SET.NAME({1,"_"},)))),RETURN(INDEX(TYPE(_),SET.NAME("_"))))</f>
        <v>0</v>
      </c>
      <c r="G1850" s="2">
        <f>TYPE(INDEX(,_xlfn.F.DIST.RT(#REF!,#REF!,INDEX(1,))))</f>
        <v>16</v>
      </c>
    </row>
    <row r="1851" spans="1:7" x14ac:dyDescent="0.55000000000000004">
      <c r="A1851" s="1" t="s">
        <v>2118</v>
      </c>
      <c r="B1851" s="2">
        <f>COUNTIF(A:A,A1851)-1</f>
        <v>3</v>
      </c>
      <c r="C1851" s="2">
        <f>COUNTIF(A$1:A1851,A1851)-1</f>
        <v>0</v>
      </c>
      <c r="D1851" s="2"/>
      <c r="E1851" s="2"/>
      <c r="F1851" s="2"/>
      <c r="G1851" s="2"/>
    </row>
    <row r="1852" spans="1:7" x14ac:dyDescent="0.55000000000000004">
      <c r="A1852" s="1" t="s">
        <v>2118</v>
      </c>
      <c r="B1852" s="2">
        <f>COUNTIF(A:A,A1852)-1</f>
        <v>3</v>
      </c>
      <c r="C1852" s="2">
        <f>COUNTIF(A$1:A1852,A1852)-1</f>
        <v>1</v>
      </c>
      <c r="D1852" s="2" t="e">
        <f>_xlfn.F.INV(1,#REF!,#REF!)</f>
        <v>#REF!</v>
      </c>
      <c r="E1852" s="2" t="b">
        <f>IFERROR(INDEX(ERROR(0),_xlfn.F.INV(SET.NAME("_",+INDEX(1,)),#REF!,#REF!)),RETURN(INDEX(TYPE(_),SET.NAME("_"))))</f>
        <v>0</v>
      </c>
      <c r="F1852" s="2" t="b">
        <f>IFERROR(INDEX(ERROR(0),_xlfn.F.INV(INDIRECT(SET.NAME({1,"_"},)),#REF!,#REF!)),RETURN(INDEX(TYPE(_),SET.NAME("_"))))</f>
        <v>0</v>
      </c>
      <c r="G1852" s="2">
        <f>TYPE(INDEX(,_xlfn.F.INV(INDEX(1,),#REF!,#REF!)))</f>
        <v>16</v>
      </c>
    </row>
    <row r="1853" spans="1:7" x14ac:dyDescent="0.55000000000000004">
      <c r="A1853" s="1" t="s">
        <v>2118</v>
      </c>
      <c r="B1853" s="2">
        <f>COUNTIF(A:A,A1853)-1</f>
        <v>3</v>
      </c>
      <c r="C1853" s="2">
        <f>COUNTIF(A$1:A1853,A1853)-1</f>
        <v>2</v>
      </c>
      <c r="D1853" s="2" t="e">
        <f>_xlfn.F.INV(#REF!,1,#REF!)</f>
        <v>#REF!</v>
      </c>
      <c r="E1853" s="2" t="b">
        <f>IFERROR(INDEX(ERROR(0),_xlfn.F.INV(#REF!,SET.NAME("_",+INDEX(1,)),#REF!)),RETURN(INDEX(TYPE(_),SET.NAME("_"))))</f>
        <v>0</v>
      </c>
      <c r="F1853" s="2" t="b">
        <f>IFERROR(INDEX(ERROR(0),_xlfn.F.INV(#REF!,INDIRECT(SET.NAME({1,"_"},)),#REF!)),RETURN(INDEX(TYPE(_),SET.NAME("_"))))</f>
        <v>0</v>
      </c>
      <c r="G1853" s="2">
        <f>TYPE(INDEX(,_xlfn.F.INV(#REF!,INDEX(1,),#REF!)))</f>
        <v>16</v>
      </c>
    </row>
    <row r="1854" spans="1:7" x14ac:dyDescent="0.55000000000000004">
      <c r="A1854" s="1" t="s">
        <v>2118</v>
      </c>
      <c r="B1854" s="2">
        <f>COUNTIF(A:A,A1854)-1</f>
        <v>3</v>
      </c>
      <c r="C1854" s="2">
        <f>COUNTIF(A$1:A1854,A1854)-1</f>
        <v>3</v>
      </c>
      <c r="D1854" s="2" t="e">
        <f>_xlfn.F.INV(#REF!,#REF!,1)</f>
        <v>#REF!</v>
      </c>
      <c r="E1854" s="2" t="b">
        <f>IFERROR(INDEX(ERROR(0),_xlfn.F.INV(#REF!,#REF!,SET.NAME("_",+INDEX(1,)))),RETURN(INDEX(TYPE(_),SET.NAME("_"))))</f>
        <v>0</v>
      </c>
      <c r="F1854" s="2" t="b">
        <f>IFERROR(INDEX(ERROR(0),_xlfn.F.INV(#REF!,#REF!,INDIRECT(SET.NAME({1,"_"},)))),RETURN(INDEX(TYPE(_),SET.NAME("_"))))</f>
        <v>0</v>
      </c>
      <c r="G1854" s="2">
        <f>TYPE(INDEX(,_xlfn.F.INV(#REF!,#REF!,INDEX(1,))))</f>
        <v>16</v>
      </c>
    </row>
    <row r="1855" spans="1:7" x14ac:dyDescent="0.55000000000000004">
      <c r="A1855" s="1" t="s">
        <v>2119</v>
      </c>
      <c r="B1855" s="2">
        <f>COUNTIF(A:A,A1855)-1</f>
        <v>3</v>
      </c>
      <c r="C1855" s="2">
        <f>COUNTIF(A$1:A1855,A1855)-1</f>
        <v>0</v>
      </c>
      <c r="D1855" s="2"/>
      <c r="E1855" s="2"/>
      <c r="F1855" s="2"/>
      <c r="G1855" s="2"/>
    </row>
    <row r="1856" spans="1:7" x14ac:dyDescent="0.55000000000000004">
      <c r="A1856" s="1" t="s">
        <v>2119</v>
      </c>
      <c r="B1856" s="2">
        <f>COUNTIF(A:A,A1856)-1</f>
        <v>3</v>
      </c>
      <c r="C1856" s="2">
        <f>COUNTIF(A$1:A1856,A1856)-1</f>
        <v>1</v>
      </c>
      <c r="D1856" s="2" t="e">
        <f>_xlfn.F.INV.RT(1,#REF!,#REF!)</f>
        <v>#REF!</v>
      </c>
      <c r="E1856" s="2" t="b">
        <f>IFERROR(INDEX(ERROR(0),_xlfn.F.INV.RT(SET.NAME("_",+INDEX(1,)),#REF!,#REF!)),RETURN(INDEX(TYPE(_),SET.NAME("_"))))</f>
        <v>0</v>
      </c>
      <c r="F1856" s="2" t="b">
        <f>IFERROR(INDEX(ERROR(0),_xlfn.F.INV.RT(INDIRECT(SET.NAME({1,"_"},)),#REF!,#REF!)),RETURN(INDEX(TYPE(_),SET.NAME("_"))))</f>
        <v>0</v>
      </c>
      <c r="G1856" s="2">
        <f>TYPE(INDEX(,_xlfn.F.INV.RT(INDEX(1,),#REF!,#REF!)))</f>
        <v>16</v>
      </c>
    </row>
    <row r="1857" spans="1:7" x14ac:dyDescent="0.55000000000000004">
      <c r="A1857" s="1" t="s">
        <v>2119</v>
      </c>
      <c r="B1857" s="2">
        <f>COUNTIF(A:A,A1857)-1</f>
        <v>3</v>
      </c>
      <c r="C1857" s="2">
        <f>COUNTIF(A$1:A1857,A1857)-1</f>
        <v>2</v>
      </c>
      <c r="D1857" s="2" t="e">
        <f>_xlfn.F.INV.RT(#REF!,1,#REF!)</f>
        <v>#REF!</v>
      </c>
      <c r="E1857" s="2" t="b">
        <f>IFERROR(INDEX(ERROR(0),_xlfn.F.INV.RT(#REF!,SET.NAME("_",+INDEX(1,)),#REF!)),RETURN(INDEX(TYPE(_),SET.NAME("_"))))</f>
        <v>0</v>
      </c>
      <c r="F1857" s="2" t="b">
        <f>IFERROR(INDEX(ERROR(0),_xlfn.F.INV.RT(#REF!,INDIRECT(SET.NAME({1,"_"},)),#REF!)),RETURN(INDEX(TYPE(_),SET.NAME("_"))))</f>
        <v>0</v>
      </c>
      <c r="G1857" s="2">
        <f>TYPE(INDEX(,_xlfn.F.INV.RT(#REF!,INDEX(1,),#REF!)))</f>
        <v>16</v>
      </c>
    </row>
    <row r="1858" spans="1:7" x14ac:dyDescent="0.55000000000000004">
      <c r="A1858" s="1" t="s">
        <v>2119</v>
      </c>
      <c r="B1858" s="2">
        <f>COUNTIF(A:A,A1858)-1</f>
        <v>3</v>
      </c>
      <c r="C1858" s="2">
        <f>COUNTIF(A$1:A1858,A1858)-1</f>
        <v>3</v>
      </c>
      <c r="D1858" s="2" t="e">
        <f>_xlfn.F.INV.RT(#REF!,#REF!,1)</f>
        <v>#REF!</v>
      </c>
      <c r="E1858" s="2" t="b">
        <f>IFERROR(INDEX(ERROR(0),_xlfn.F.INV.RT(#REF!,#REF!,SET.NAME("_",+INDEX(1,)))),RETURN(INDEX(TYPE(_),SET.NAME("_"))))</f>
        <v>0</v>
      </c>
      <c r="F1858" s="2" t="b">
        <f>IFERROR(INDEX(ERROR(0),_xlfn.F.INV.RT(#REF!,#REF!,INDIRECT(SET.NAME({1,"_"},)))),RETURN(INDEX(TYPE(_),SET.NAME("_"))))</f>
        <v>0</v>
      </c>
      <c r="G1858" s="2">
        <f>TYPE(INDEX(,_xlfn.F.INV.RT(#REF!,#REF!,INDEX(1,))))</f>
        <v>16</v>
      </c>
    </row>
    <row r="1859" spans="1:7" x14ac:dyDescent="0.55000000000000004">
      <c r="A1859" s="1" t="s">
        <v>2120</v>
      </c>
      <c r="B1859" s="2">
        <f>COUNTIF(A:A,A1859)-1</f>
        <v>5</v>
      </c>
      <c r="C1859" s="2">
        <f>COUNTIF(A$1:A1859,A1859)-1</f>
        <v>0</v>
      </c>
      <c r="D1859" s="2"/>
      <c r="E1859" s="2"/>
      <c r="F1859" s="2"/>
      <c r="G1859" s="2"/>
    </row>
    <row r="1860" spans="1:7" x14ac:dyDescent="0.55000000000000004">
      <c r="A1860" s="1" t="s">
        <v>2120</v>
      </c>
      <c r="B1860" s="2">
        <f>COUNTIF(A:A,A1860)-1</f>
        <v>5</v>
      </c>
      <c r="C1860" s="2">
        <f>COUNTIF(A$1:A1860,A1860)-1</f>
        <v>1</v>
      </c>
      <c r="D1860" s="2" t="e">
        <f>_xlfn.HYPGEOM.DIST(1,#REF!,#REF!,#REF!,#REF!)</f>
        <v>#REF!</v>
      </c>
      <c r="E1860" s="2" t="b">
        <f>IFERROR(INDEX(ERROR(0),_xlfn.HYPGEOM.DIST(SET.NAME("_",+INDEX(1,)),#REF!,#REF!,#REF!,#REF!)),RETURN(INDEX(TYPE(_),SET.NAME("_"))))</f>
        <v>0</v>
      </c>
      <c r="F1860" s="2" t="b">
        <f>IFERROR(INDEX(ERROR(0),_xlfn.HYPGEOM.DIST(INDIRECT(SET.NAME({1,"_"},)),#REF!,#REF!,#REF!,#REF!)),RETURN(INDEX(TYPE(_),SET.NAME("_"))))</f>
        <v>0</v>
      </c>
      <c r="G1860" s="2">
        <f>TYPE(INDEX(,_xlfn.HYPGEOM.DIST(INDEX(1,),#REF!,#REF!,#REF!,#REF!)))</f>
        <v>16</v>
      </c>
    </row>
    <row r="1861" spans="1:7" x14ac:dyDescent="0.55000000000000004">
      <c r="A1861" s="1" t="s">
        <v>2120</v>
      </c>
      <c r="B1861" s="2">
        <f>COUNTIF(A:A,A1861)-1</f>
        <v>5</v>
      </c>
      <c r="C1861" s="2">
        <f>COUNTIF(A$1:A1861,A1861)-1</f>
        <v>2</v>
      </c>
      <c r="D1861" s="2" t="e">
        <f>_xlfn.HYPGEOM.DIST(#REF!,1,#REF!,#REF!,#REF!)</f>
        <v>#REF!</v>
      </c>
      <c r="E1861" s="2" t="b">
        <f>IFERROR(INDEX(ERROR(0),_xlfn.HYPGEOM.DIST(#REF!,SET.NAME("_",+INDEX(1,)),#REF!,#REF!,#REF!)),RETURN(INDEX(TYPE(_),SET.NAME("_"))))</f>
        <v>0</v>
      </c>
      <c r="F1861" s="2" t="b">
        <f>IFERROR(INDEX(ERROR(0),_xlfn.HYPGEOM.DIST(#REF!,INDIRECT(SET.NAME({1,"_"},)),#REF!,#REF!,#REF!)),RETURN(INDEX(TYPE(_),SET.NAME("_"))))</f>
        <v>0</v>
      </c>
      <c r="G1861" s="2">
        <f>TYPE(INDEX(,_xlfn.HYPGEOM.DIST(#REF!,INDEX(1,),#REF!,#REF!,#REF!)))</f>
        <v>16</v>
      </c>
    </row>
    <row r="1862" spans="1:7" x14ac:dyDescent="0.55000000000000004">
      <c r="A1862" s="1" t="s">
        <v>2120</v>
      </c>
      <c r="B1862" s="2">
        <f>COUNTIF(A:A,A1862)-1</f>
        <v>5</v>
      </c>
      <c r="C1862" s="2">
        <f>COUNTIF(A$1:A1862,A1862)-1</f>
        <v>3</v>
      </c>
      <c r="D1862" s="2" t="e">
        <f>_xlfn.HYPGEOM.DIST(#REF!,#REF!,1,#REF!,#REF!)</f>
        <v>#REF!</v>
      </c>
      <c r="E1862" s="2" t="b">
        <f>IFERROR(INDEX(ERROR(0),_xlfn.HYPGEOM.DIST(#REF!,#REF!,SET.NAME("_",+INDEX(1,)),#REF!,#REF!)),RETURN(INDEX(TYPE(_),SET.NAME("_"))))</f>
        <v>0</v>
      </c>
      <c r="F1862" s="2" t="b">
        <f>IFERROR(INDEX(ERROR(0),_xlfn.HYPGEOM.DIST(#REF!,#REF!,INDIRECT(SET.NAME({1,"_"},)),#REF!,#REF!)),RETURN(INDEX(TYPE(_),SET.NAME("_"))))</f>
        <v>0</v>
      </c>
      <c r="G1862" s="2">
        <f>TYPE(INDEX(,_xlfn.HYPGEOM.DIST(#REF!,#REF!,INDEX(1,),#REF!,#REF!)))</f>
        <v>16</v>
      </c>
    </row>
    <row r="1863" spans="1:7" x14ac:dyDescent="0.55000000000000004">
      <c r="A1863" s="1" t="s">
        <v>2120</v>
      </c>
      <c r="B1863" s="2">
        <f>COUNTIF(A:A,A1863)-1</f>
        <v>5</v>
      </c>
      <c r="C1863" s="2">
        <f>COUNTIF(A$1:A1863,A1863)-1</f>
        <v>4</v>
      </c>
      <c r="D1863" s="2" t="e">
        <f>_xlfn.HYPGEOM.DIST(#REF!,#REF!,#REF!,1,#REF!)</f>
        <v>#REF!</v>
      </c>
      <c r="E1863" s="2" t="b">
        <f>IFERROR(INDEX(ERROR(0),_xlfn.HYPGEOM.DIST(#REF!,#REF!,#REF!,SET.NAME("_",+INDEX(1,)),#REF!)),RETURN(INDEX(TYPE(_),SET.NAME("_"))))</f>
        <v>0</v>
      </c>
      <c r="F1863" s="2" t="b">
        <f>IFERROR(INDEX(ERROR(0),_xlfn.HYPGEOM.DIST(#REF!,#REF!,#REF!,INDIRECT(SET.NAME({1,"_"},)),#REF!)),RETURN(INDEX(TYPE(_),SET.NAME("_"))))</f>
        <v>0</v>
      </c>
      <c r="G1863" s="2">
        <f>TYPE(INDEX(,_xlfn.HYPGEOM.DIST(#REF!,#REF!,#REF!,INDEX(1,),#REF!)))</f>
        <v>16</v>
      </c>
    </row>
    <row r="1864" spans="1:7" x14ac:dyDescent="0.55000000000000004">
      <c r="A1864" s="1" t="s">
        <v>2120</v>
      </c>
      <c r="B1864" s="2">
        <f>COUNTIF(A:A,A1864)-1</f>
        <v>5</v>
      </c>
      <c r="C1864" s="2">
        <f>COUNTIF(A$1:A1864,A1864)-1</f>
        <v>5</v>
      </c>
      <c r="D1864" s="2" t="e">
        <f>_xlfn.HYPGEOM.DIST(#REF!,#REF!,#REF!,#REF!,1)</f>
        <v>#REF!</v>
      </c>
      <c r="E1864" s="2" t="b">
        <f>IFERROR(INDEX(ERROR(0),_xlfn.HYPGEOM.DIST(#REF!,#REF!,#REF!,#REF!,SET.NAME("_",+INDEX(1,)))),RETURN(INDEX(TYPE(_),SET.NAME("_"))))</f>
        <v>0</v>
      </c>
      <c r="F1864" s="2" t="b">
        <f>IFERROR(INDEX(ERROR(0),_xlfn.HYPGEOM.DIST(#REF!,#REF!,#REF!,#REF!,INDIRECT(SET.NAME({1,"_"},)))),RETURN(INDEX(TYPE(_),SET.NAME("_"))))</f>
        <v>0</v>
      </c>
      <c r="G1864" s="2">
        <f>TYPE(INDEX(,_xlfn.HYPGEOM.DIST(#REF!,#REF!,#REF!,#REF!,INDEX(1,))))</f>
        <v>16</v>
      </c>
    </row>
    <row r="1865" spans="1:7" x14ac:dyDescent="0.55000000000000004">
      <c r="A1865" s="1" t="s">
        <v>2121</v>
      </c>
      <c r="B1865" s="2">
        <f>COUNTIF(A:A,A1865)-1</f>
        <v>4</v>
      </c>
      <c r="C1865" s="2">
        <f>COUNTIF(A$1:A1865,A1865)-1</f>
        <v>0</v>
      </c>
      <c r="D1865" s="2"/>
      <c r="E1865" s="2"/>
      <c r="F1865" s="2"/>
      <c r="G1865" s="2"/>
    </row>
    <row r="1866" spans="1:7" x14ac:dyDescent="0.55000000000000004">
      <c r="A1866" s="1" t="s">
        <v>2121</v>
      </c>
      <c r="B1866" s="2">
        <f>COUNTIF(A:A,A1866)-1</f>
        <v>4</v>
      </c>
      <c r="C1866" s="2">
        <f>COUNTIF(A$1:A1866,A1866)-1</f>
        <v>1</v>
      </c>
      <c r="D1866" s="2" t="e">
        <f>_xlfn.LOGNORM.DIST(1,#REF!,#REF!,#REF!)</f>
        <v>#REF!</v>
      </c>
      <c r="E1866" s="2" t="b">
        <f>IFERROR(INDEX(ERROR(0),_xlfn.LOGNORM.DIST(SET.NAME("_",+INDEX(1,)),#REF!,#REF!,#REF!)),RETURN(INDEX(TYPE(_),SET.NAME("_"))))</f>
        <v>0</v>
      </c>
      <c r="F1866" s="2" t="b">
        <f>IFERROR(INDEX(ERROR(0),_xlfn.LOGNORM.DIST(INDIRECT(SET.NAME({1,"_"},)),#REF!,#REF!,#REF!)),RETURN(INDEX(TYPE(_),SET.NAME("_"))))</f>
        <v>0</v>
      </c>
      <c r="G1866" s="2">
        <f>TYPE(INDEX(,_xlfn.LOGNORM.DIST(INDEX(1,),#REF!,#REF!,#REF!)))</f>
        <v>16</v>
      </c>
    </row>
    <row r="1867" spans="1:7" x14ac:dyDescent="0.55000000000000004">
      <c r="A1867" s="1" t="s">
        <v>2121</v>
      </c>
      <c r="B1867" s="2">
        <f>COUNTIF(A:A,A1867)-1</f>
        <v>4</v>
      </c>
      <c r="C1867" s="2">
        <f>COUNTIF(A$1:A1867,A1867)-1</f>
        <v>2</v>
      </c>
      <c r="D1867" s="2" t="e">
        <f>_xlfn.LOGNORM.DIST(#REF!,1,#REF!,#REF!)</f>
        <v>#REF!</v>
      </c>
      <c r="E1867" s="2" t="b">
        <f>IFERROR(INDEX(ERROR(0),_xlfn.LOGNORM.DIST(#REF!,SET.NAME("_",+INDEX(1,)),#REF!,#REF!)),RETURN(INDEX(TYPE(_),SET.NAME("_"))))</f>
        <v>0</v>
      </c>
      <c r="F1867" s="2" t="b">
        <f>IFERROR(INDEX(ERROR(0),_xlfn.LOGNORM.DIST(#REF!,INDIRECT(SET.NAME({1,"_"},)),#REF!,#REF!)),RETURN(INDEX(TYPE(_),SET.NAME("_"))))</f>
        <v>0</v>
      </c>
      <c r="G1867" s="2">
        <f>TYPE(INDEX(,_xlfn.LOGNORM.DIST(#REF!,INDEX(1,),#REF!,#REF!)))</f>
        <v>16</v>
      </c>
    </row>
    <row r="1868" spans="1:7" x14ac:dyDescent="0.55000000000000004">
      <c r="A1868" s="1" t="s">
        <v>2121</v>
      </c>
      <c r="B1868" s="2">
        <f>COUNTIF(A:A,A1868)-1</f>
        <v>4</v>
      </c>
      <c r="C1868" s="2">
        <f>COUNTIF(A$1:A1868,A1868)-1</f>
        <v>3</v>
      </c>
      <c r="D1868" s="2" t="e">
        <f>_xlfn.LOGNORM.DIST(#REF!,#REF!,1,#REF!)</f>
        <v>#REF!</v>
      </c>
      <c r="E1868" s="2" t="b">
        <f>IFERROR(INDEX(ERROR(0),_xlfn.LOGNORM.DIST(#REF!,#REF!,SET.NAME("_",+INDEX(1,)),#REF!)),RETURN(INDEX(TYPE(_),SET.NAME("_"))))</f>
        <v>0</v>
      </c>
      <c r="F1868" s="2" t="b">
        <f>IFERROR(INDEX(ERROR(0),_xlfn.LOGNORM.DIST(#REF!,#REF!,INDIRECT(SET.NAME({1,"_"},)),#REF!)),RETURN(INDEX(TYPE(_),SET.NAME("_"))))</f>
        <v>0</v>
      </c>
      <c r="G1868" s="2">
        <f>TYPE(INDEX(,_xlfn.LOGNORM.DIST(#REF!,#REF!,INDEX(1,),#REF!)))</f>
        <v>16</v>
      </c>
    </row>
    <row r="1869" spans="1:7" x14ac:dyDescent="0.55000000000000004">
      <c r="A1869" s="1" t="s">
        <v>2121</v>
      </c>
      <c r="B1869" s="2">
        <f>COUNTIF(A:A,A1869)-1</f>
        <v>4</v>
      </c>
      <c r="C1869" s="2">
        <f>COUNTIF(A$1:A1869,A1869)-1</f>
        <v>4</v>
      </c>
      <c r="D1869" s="2" t="e">
        <f>_xlfn.LOGNORM.DIST(#REF!,#REF!,#REF!,1)</f>
        <v>#REF!</v>
      </c>
      <c r="E1869" s="2" t="b">
        <f>IFERROR(INDEX(ERROR(0),_xlfn.LOGNORM.DIST(#REF!,#REF!,#REF!,SET.NAME("_",+INDEX(1,)))),RETURN(INDEX(TYPE(_),SET.NAME("_"))))</f>
        <v>0</v>
      </c>
      <c r="F1869" s="2" t="b">
        <f>IFERROR(INDEX(ERROR(0),_xlfn.LOGNORM.DIST(#REF!,#REF!,#REF!,INDIRECT(SET.NAME({1,"_"},)))),RETURN(INDEX(TYPE(_),SET.NAME("_"))))</f>
        <v>0</v>
      </c>
      <c r="G1869" s="2">
        <f>TYPE(INDEX(,_xlfn.LOGNORM.DIST(#REF!,#REF!,#REF!,INDEX(1,))))</f>
        <v>16</v>
      </c>
    </row>
    <row r="1870" spans="1:7" x14ac:dyDescent="0.55000000000000004">
      <c r="A1870" s="1" t="s">
        <v>2122</v>
      </c>
      <c r="B1870" s="2">
        <f>COUNTIF(A:A,A1870)-1</f>
        <v>3</v>
      </c>
      <c r="C1870" s="2">
        <f>COUNTIF(A$1:A1870,A1870)-1</f>
        <v>0</v>
      </c>
      <c r="D1870" s="2"/>
      <c r="E1870" s="2"/>
      <c r="F1870" s="2"/>
      <c r="G1870" s="2"/>
    </row>
    <row r="1871" spans="1:7" x14ac:dyDescent="0.55000000000000004">
      <c r="A1871" s="1" t="s">
        <v>2122</v>
      </c>
      <c r="B1871" s="2">
        <f>COUNTIF(A:A,A1871)-1</f>
        <v>3</v>
      </c>
      <c r="C1871" s="2">
        <f>COUNTIF(A$1:A1871,A1871)-1</f>
        <v>1</v>
      </c>
      <c r="D1871" s="2" t="e">
        <f>_xlfn.LOGNORM.INV(1,#REF!,#REF!)</f>
        <v>#REF!</v>
      </c>
      <c r="E1871" s="2" t="b">
        <f>IFERROR(INDEX(ERROR(0),_xlfn.LOGNORM.INV(SET.NAME("_",+INDEX(1,)),#REF!,#REF!)),RETURN(INDEX(TYPE(_),SET.NAME("_"))))</f>
        <v>0</v>
      </c>
      <c r="F1871" s="2" t="b">
        <f>IFERROR(INDEX(ERROR(0),_xlfn.LOGNORM.INV(INDIRECT(SET.NAME({1,"_"},)),#REF!,#REF!)),RETURN(INDEX(TYPE(_),SET.NAME("_"))))</f>
        <v>0</v>
      </c>
      <c r="G1871" s="2">
        <f>TYPE(INDEX(,_xlfn.LOGNORM.INV(INDEX(1,),#REF!,#REF!)))</f>
        <v>16</v>
      </c>
    </row>
    <row r="1872" spans="1:7" x14ac:dyDescent="0.55000000000000004">
      <c r="A1872" s="1" t="s">
        <v>2122</v>
      </c>
      <c r="B1872" s="2">
        <f>COUNTIF(A:A,A1872)-1</f>
        <v>3</v>
      </c>
      <c r="C1872" s="2">
        <f>COUNTIF(A$1:A1872,A1872)-1</f>
        <v>2</v>
      </c>
      <c r="D1872" s="2" t="e">
        <f>_xlfn.LOGNORM.INV(#REF!,1,#REF!)</f>
        <v>#REF!</v>
      </c>
      <c r="E1872" s="2" t="b">
        <f>IFERROR(INDEX(ERROR(0),_xlfn.LOGNORM.INV(#REF!,SET.NAME("_",+INDEX(1,)),#REF!)),RETURN(INDEX(TYPE(_),SET.NAME("_"))))</f>
        <v>0</v>
      </c>
      <c r="F1872" s="2" t="b">
        <f>IFERROR(INDEX(ERROR(0),_xlfn.LOGNORM.INV(#REF!,INDIRECT(SET.NAME({1,"_"},)),#REF!)),RETURN(INDEX(TYPE(_),SET.NAME("_"))))</f>
        <v>0</v>
      </c>
      <c r="G1872" s="2">
        <f>TYPE(INDEX(,_xlfn.LOGNORM.INV(#REF!,INDEX(1,),#REF!)))</f>
        <v>16</v>
      </c>
    </row>
    <row r="1873" spans="1:7" x14ac:dyDescent="0.55000000000000004">
      <c r="A1873" s="1" t="s">
        <v>2122</v>
      </c>
      <c r="B1873" s="2">
        <f>COUNTIF(A:A,A1873)-1</f>
        <v>3</v>
      </c>
      <c r="C1873" s="2">
        <f>COUNTIF(A$1:A1873,A1873)-1</f>
        <v>3</v>
      </c>
      <c r="D1873" s="2" t="e">
        <f>_xlfn.LOGNORM.INV(#REF!,#REF!,1)</f>
        <v>#REF!</v>
      </c>
      <c r="E1873" s="2" t="b">
        <f>IFERROR(INDEX(ERROR(0),_xlfn.LOGNORM.INV(#REF!,#REF!,SET.NAME("_",+INDEX(1,)))),RETURN(INDEX(TYPE(_),SET.NAME("_"))))</f>
        <v>0</v>
      </c>
      <c r="F1873" s="2" t="b">
        <f>IFERROR(INDEX(ERROR(0),_xlfn.LOGNORM.INV(#REF!,#REF!,INDIRECT(SET.NAME({1,"_"},)))),RETURN(INDEX(TYPE(_),SET.NAME("_"))))</f>
        <v>0</v>
      </c>
      <c r="G1873" s="2">
        <f>TYPE(INDEX(,_xlfn.LOGNORM.INV(#REF!,#REF!,INDEX(1,))))</f>
        <v>16</v>
      </c>
    </row>
    <row r="1874" spans="1:7" x14ac:dyDescent="0.55000000000000004">
      <c r="A1874" s="1" t="s">
        <v>2123</v>
      </c>
      <c r="B1874" s="2">
        <f>COUNTIF(A:A,A1874)-1</f>
        <v>4</v>
      </c>
      <c r="C1874" s="2">
        <f>COUNTIF(A$1:A1874,A1874)-1</f>
        <v>0</v>
      </c>
      <c r="D1874" s="2"/>
      <c r="E1874" s="2"/>
      <c r="F1874" s="2"/>
      <c r="G1874" s="2"/>
    </row>
    <row r="1875" spans="1:7" x14ac:dyDescent="0.55000000000000004">
      <c r="A1875" s="1" t="s">
        <v>2123</v>
      </c>
      <c r="B1875" s="2">
        <f>COUNTIF(A:A,A1875)-1</f>
        <v>4</v>
      </c>
      <c r="C1875" s="2">
        <f>COUNTIF(A$1:A1875,A1875)-1</f>
        <v>1</v>
      </c>
      <c r="D1875" s="2" t="e">
        <f>_xlfn.NEGBINOM.DIST(1,#REF!,#REF!,#REF!)</f>
        <v>#REF!</v>
      </c>
      <c r="E1875" s="2" t="b">
        <f>IFERROR(INDEX(ERROR(0),_xlfn.NEGBINOM.DIST(SET.NAME("_",+INDEX(1,)),#REF!,#REF!,#REF!)),RETURN(INDEX(TYPE(_),SET.NAME("_"))))</f>
        <v>0</v>
      </c>
      <c r="F1875" s="2" t="b">
        <f>IFERROR(INDEX(ERROR(0),_xlfn.NEGBINOM.DIST(INDIRECT(SET.NAME({1,"_"},)),#REF!,#REF!,#REF!)),RETURN(INDEX(TYPE(_),SET.NAME("_"))))</f>
        <v>0</v>
      </c>
      <c r="G1875" s="2">
        <f>TYPE(INDEX(,_xlfn.NEGBINOM.DIST(INDEX(1,),#REF!,#REF!,#REF!)))</f>
        <v>16</v>
      </c>
    </row>
    <row r="1876" spans="1:7" x14ac:dyDescent="0.55000000000000004">
      <c r="A1876" s="1" t="s">
        <v>2123</v>
      </c>
      <c r="B1876" s="2">
        <f>COUNTIF(A:A,A1876)-1</f>
        <v>4</v>
      </c>
      <c r="C1876" s="2">
        <f>COUNTIF(A$1:A1876,A1876)-1</f>
        <v>2</v>
      </c>
      <c r="D1876" s="2" t="e">
        <f>_xlfn.NEGBINOM.DIST(#REF!,1,#REF!,#REF!)</f>
        <v>#REF!</v>
      </c>
      <c r="E1876" s="2" t="b">
        <f>IFERROR(INDEX(ERROR(0),_xlfn.NEGBINOM.DIST(#REF!,SET.NAME("_",+INDEX(1,)),#REF!,#REF!)),RETURN(INDEX(TYPE(_),SET.NAME("_"))))</f>
        <v>0</v>
      </c>
      <c r="F1876" s="2" t="b">
        <f>IFERROR(INDEX(ERROR(0),_xlfn.NEGBINOM.DIST(#REF!,INDIRECT(SET.NAME({1,"_"},)),#REF!,#REF!)),RETURN(INDEX(TYPE(_),SET.NAME("_"))))</f>
        <v>0</v>
      </c>
      <c r="G1876" s="2">
        <f>TYPE(INDEX(,_xlfn.NEGBINOM.DIST(#REF!,INDEX(1,),#REF!,#REF!)))</f>
        <v>16</v>
      </c>
    </row>
    <row r="1877" spans="1:7" x14ac:dyDescent="0.55000000000000004">
      <c r="A1877" s="1" t="s">
        <v>2123</v>
      </c>
      <c r="B1877" s="2">
        <f>COUNTIF(A:A,A1877)-1</f>
        <v>4</v>
      </c>
      <c r="C1877" s="2">
        <f>COUNTIF(A$1:A1877,A1877)-1</f>
        <v>3</v>
      </c>
      <c r="D1877" s="2" t="e">
        <f>_xlfn.NEGBINOM.DIST(#REF!,#REF!,1,#REF!)</f>
        <v>#REF!</v>
      </c>
      <c r="E1877" s="2" t="b">
        <f>IFERROR(INDEX(ERROR(0),_xlfn.NEGBINOM.DIST(#REF!,#REF!,SET.NAME("_",+INDEX(1,)),#REF!)),RETURN(INDEX(TYPE(_),SET.NAME("_"))))</f>
        <v>0</v>
      </c>
      <c r="F1877" s="2" t="b">
        <f>IFERROR(INDEX(ERROR(0),_xlfn.NEGBINOM.DIST(#REF!,#REF!,INDIRECT(SET.NAME({1,"_"},)),#REF!)),RETURN(INDEX(TYPE(_),SET.NAME("_"))))</f>
        <v>0</v>
      </c>
      <c r="G1877" s="2">
        <f>TYPE(INDEX(,_xlfn.NEGBINOM.DIST(#REF!,#REF!,INDEX(1,),#REF!)))</f>
        <v>16</v>
      </c>
    </row>
    <row r="1878" spans="1:7" x14ac:dyDescent="0.55000000000000004">
      <c r="A1878" s="1" t="s">
        <v>2123</v>
      </c>
      <c r="B1878" s="2">
        <f>COUNTIF(A:A,A1878)-1</f>
        <v>4</v>
      </c>
      <c r="C1878" s="2">
        <f>COUNTIF(A$1:A1878,A1878)-1</f>
        <v>4</v>
      </c>
      <c r="D1878" s="2" t="e">
        <f>_xlfn.NEGBINOM.DIST(#REF!,#REF!,#REF!,1)</f>
        <v>#REF!</v>
      </c>
      <c r="E1878" s="2" t="b">
        <f>IFERROR(INDEX(ERROR(0),_xlfn.NEGBINOM.DIST(#REF!,#REF!,#REF!,SET.NAME("_",+INDEX(1,)))),RETURN(INDEX(TYPE(_),SET.NAME("_"))))</f>
        <v>0</v>
      </c>
      <c r="F1878" s="2" t="b">
        <f>IFERROR(INDEX(ERROR(0),_xlfn.NEGBINOM.DIST(#REF!,#REF!,#REF!,INDIRECT(SET.NAME({1,"_"},)))),RETURN(INDEX(TYPE(_),SET.NAME("_"))))</f>
        <v>0</v>
      </c>
      <c r="G1878" s="2">
        <f>TYPE(INDEX(,_xlfn.NEGBINOM.DIST(#REF!,#REF!,#REF!,INDEX(1,))))</f>
        <v>16</v>
      </c>
    </row>
    <row r="1879" spans="1:7" x14ac:dyDescent="0.55000000000000004">
      <c r="A1879" s="1" t="s">
        <v>2124</v>
      </c>
      <c r="B1879" s="2">
        <f>COUNTIF(A:A,A1879)-1</f>
        <v>2</v>
      </c>
      <c r="C1879" s="2">
        <f>COUNTIF(A$1:A1879,A1879)-1</f>
        <v>0</v>
      </c>
      <c r="D1879" s="2"/>
      <c r="E1879" s="2"/>
      <c r="F1879" s="2"/>
      <c r="G1879" s="2"/>
    </row>
    <row r="1880" spans="1:7" x14ac:dyDescent="0.55000000000000004">
      <c r="A1880" s="1" t="s">
        <v>2124</v>
      </c>
      <c r="B1880" s="2">
        <f>COUNTIF(A:A,A1880)-1</f>
        <v>2</v>
      </c>
      <c r="C1880" s="2">
        <f>COUNTIF(A$1:A1880,A1880)-1</f>
        <v>1</v>
      </c>
      <c r="D1880" s="2" t="e">
        <f>_xlfn.NORM.S.DIST(1,#REF!)</f>
        <v>#REF!</v>
      </c>
      <c r="E1880" s="2" t="b">
        <f>IFERROR(INDEX(ERROR(0),_xlfn.NORM.S.DIST(SET.NAME("_",+INDEX(1,)),#REF!)),RETURN(INDEX(TYPE(_),SET.NAME("_"))))</f>
        <v>0</v>
      </c>
      <c r="F1880" s="2" t="b">
        <f>IFERROR(INDEX(ERROR(0),_xlfn.NORM.S.DIST(INDIRECT(SET.NAME({1,"_"},)),#REF!)),RETURN(INDEX(TYPE(_),SET.NAME("_"))))</f>
        <v>0</v>
      </c>
      <c r="G1880" s="2">
        <f>TYPE(INDEX(,_xlfn.NORM.S.DIST(INDEX(1,),#REF!)))</f>
        <v>16</v>
      </c>
    </row>
    <row r="1881" spans="1:7" x14ac:dyDescent="0.55000000000000004">
      <c r="A1881" s="1" t="s">
        <v>2124</v>
      </c>
      <c r="B1881" s="2">
        <f>COUNTIF(A:A,A1881)-1</f>
        <v>2</v>
      </c>
      <c r="C1881" s="2">
        <f>COUNTIF(A$1:A1881,A1881)-1</f>
        <v>2</v>
      </c>
      <c r="D1881" s="2" t="e">
        <f>_xlfn.NORM.S.DIST(#REF!,1)</f>
        <v>#REF!</v>
      </c>
      <c r="E1881" s="2" t="b">
        <f>IFERROR(INDEX(ERROR(0),_xlfn.NORM.S.DIST(#REF!,SET.NAME("_",+INDEX(1,)))),RETURN(INDEX(TYPE(_),SET.NAME("_"))))</f>
        <v>0</v>
      </c>
      <c r="F1881" s="2" t="b">
        <f>IFERROR(INDEX(ERROR(0),_xlfn.NORM.S.DIST(#REF!,INDIRECT(SET.NAME({1,"_"},)))),RETURN(INDEX(TYPE(_),SET.NAME("_"))))</f>
        <v>0</v>
      </c>
      <c r="G1881" s="2">
        <f>TYPE(INDEX(,_xlfn.NORM.S.DIST(#REF!,INDEX(1,))))</f>
        <v>16</v>
      </c>
    </row>
    <row r="1882" spans="1:7" x14ac:dyDescent="0.55000000000000004">
      <c r="A1882" s="1" t="s">
        <v>2125</v>
      </c>
      <c r="B1882" s="2">
        <f>COUNTIF(A:A,A1882)-1</f>
        <v>1</v>
      </c>
      <c r="C1882" s="2">
        <f>COUNTIF(A$1:A1882,A1882)-1</f>
        <v>0</v>
      </c>
      <c r="D1882" s="2"/>
      <c r="E1882" s="2"/>
      <c r="F1882" s="2"/>
      <c r="G1882" s="2"/>
    </row>
    <row r="1883" spans="1:7" x14ac:dyDescent="0.55000000000000004">
      <c r="A1883" s="1" t="s">
        <v>2125</v>
      </c>
      <c r="B1883" s="2">
        <f>COUNTIF(A:A,A1883)-1</f>
        <v>1</v>
      </c>
      <c r="C1883" s="2">
        <f>COUNTIF(A$1:A1883,A1883)-1</f>
        <v>1</v>
      </c>
      <c r="D1883" s="2" t="e">
        <f>_xlfn.NORM.S.INV(1)</f>
        <v>#NUM!</v>
      </c>
      <c r="E1883" s="2" t="b">
        <f>IFERROR(INDEX(ERROR(0),_xlfn.NORM.S.INV(SET.NAME("_",+INDEX(1,)))),RETURN(INDEX(TYPE(_),SET.NAME("_"))))</f>
        <v>0</v>
      </c>
      <c r="F1883" s="2" t="b">
        <f>IFERROR(INDEX(ERROR(0),_xlfn.NORM.S.INV(INDIRECT(SET.NAME({1,"_"},)))),RETURN(INDEX(TYPE(_),SET.NAME("_"))))</f>
        <v>0</v>
      </c>
      <c r="G1883" s="2">
        <f>TYPE(INDEX(,_xlfn.NORM.S.INV(INDEX(1,))))</f>
        <v>16</v>
      </c>
    </row>
    <row r="1884" spans="1:7" x14ac:dyDescent="0.55000000000000004">
      <c r="A1884" s="1" t="s">
        <v>2126</v>
      </c>
      <c r="B1884" s="2">
        <f>COUNTIF(A:A,A1884)-1</f>
        <v>4</v>
      </c>
      <c r="C1884" s="2">
        <f>COUNTIF(A$1:A1884,A1884)-1</f>
        <v>0</v>
      </c>
      <c r="D1884" s="2"/>
      <c r="E1884" s="2"/>
      <c r="F1884" s="2"/>
      <c r="G1884" s="2"/>
    </row>
    <row r="1885" spans="1:7" x14ac:dyDescent="0.55000000000000004">
      <c r="A1885" s="1" t="s">
        <v>2126</v>
      </c>
      <c r="B1885" s="2">
        <f>COUNTIF(A:A,A1885)-1</f>
        <v>4</v>
      </c>
      <c r="C1885" s="2">
        <f>COUNTIF(A$1:A1885,A1885)-1</f>
        <v>1</v>
      </c>
      <c r="D1885" s="2" t="e">
        <f>_xlfn.T.TEST(1,#REF!,#REF!,#REF!)</f>
        <v>#REF!</v>
      </c>
      <c r="E1885" s="2" t="b">
        <f>IFERROR(INDEX(ERROR(0),_xlfn.T.TEST(SET.NAME("_",+INDEX(1,)),#REF!,#REF!,#REF!)),RETURN(INDEX(TYPE(_),SET.NAME("_"))))</f>
        <v>0</v>
      </c>
      <c r="F1885" s="2" t="b">
        <f>IFERROR(INDEX(ERROR(0),_xlfn.T.TEST(INDIRECT(SET.NAME({1,"_"},)),#REF!,#REF!,#REF!)),RETURN(INDEX(TYPE(_),SET.NAME("_"))))</f>
        <v>0</v>
      </c>
      <c r="G1885" s="2">
        <f>TYPE(INDEX(,_xlfn.T.TEST(INDEX(1,),#REF!,#REF!,#REF!)))</f>
        <v>16</v>
      </c>
    </row>
    <row r="1886" spans="1:7" x14ac:dyDescent="0.55000000000000004">
      <c r="A1886" s="1" t="s">
        <v>2126</v>
      </c>
      <c r="B1886" s="2">
        <f>COUNTIF(A:A,A1886)-1</f>
        <v>4</v>
      </c>
      <c r="C1886" s="2">
        <f>COUNTIF(A$1:A1886,A1886)-1</f>
        <v>2</v>
      </c>
      <c r="D1886" s="2" t="e">
        <f>_xlfn.T.TEST(#REF!,1,#REF!,#REF!)</f>
        <v>#REF!</v>
      </c>
      <c r="E1886" s="2" t="b">
        <f>IFERROR(INDEX(ERROR(0),_xlfn.T.TEST(#REF!,SET.NAME("_",+INDEX(1,)),#REF!,#REF!)),RETURN(INDEX(TYPE(_),SET.NAME("_"))))</f>
        <v>0</v>
      </c>
      <c r="F1886" s="2" t="b">
        <f>IFERROR(INDEX(ERROR(0),_xlfn.T.TEST(#REF!,INDIRECT(SET.NAME({1,"_"},)),#REF!,#REF!)),RETURN(INDEX(TYPE(_),SET.NAME("_"))))</f>
        <v>0</v>
      </c>
      <c r="G1886" s="2">
        <f>TYPE(INDEX(,_xlfn.T.TEST(#REF!,INDEX(1,),#REF!,#REF!)))</f>
        <v>16</v>
      </c>
    </row>
    <row r="1887" spans="1:7" x14ac:dyDescent="0.55000000000000004">
      <c r="A1887" s="1" t="s">
        <v>2126</v>
      </c>
      <c r="B1887" s="2">
        <f>COUNTIF(A:A,A1887)-1</f>
        <v>4</v>
      </c>
      <c r="C1887" s="2">
        <f>COUNTIF(A$1:A1887,A1887)-1</f>
        <v>3</v>
      </c>
      <c r="D1887" s="2" t="e">
        <f>_xlfn.T.TEST(#REF!,#REF!,1,#REF!)</f>
        <v>#REF!</v>
      </c>
      <c r="E1887" s="2" t="b">
        <f>IFERROR(INDEX(ERROR(0),_xlfn.T.TEST(#REF!,#REF!,SET.NAME("_",+INDEX(1,)),#REF!)),RETURN(INDEX(TYPE(_),SET.NAME("_"))))</f>
        <v>0</v>
      </c>
      <c r="F1887" s="2" t="b">
        <f>IFERROR(INDEX(ERROR(0),_xlfn.T.TEST(#REF!,#REF!,INDIRECT(SET.NAME({1,"_"},)),#REF!)),RETURN(INDEX(TYPE(_),SET.NAME("_"))))</f>
        <v>0</v>
      </c>
      <c r="G1887" s="2">
        <f>TYPE(INDEX(,_xlfn.T.TEST(#REF!,#REF!,INDEX(1,),#REF!)))</f>
        <v>16</v>
      </c>
    </row>
    <row r="1888" spans="1:7" x14ac:dyDescent="0.55000000000000004">
      <c r="A1888" s="1" t="s">
        <v>2126</v>
      </c>
      <c r="B1888" s="2">
        <f>COUNTIF(A:A,A1888)-1</f>
        <v>4</v>
      </c>
      <c r="C1888" s="2">
        <f>COUNTIF(A$1:A1888,A1888)-1</f>
        <v>4</v>
      </c>
      <c r="D1888" s="2" t="e">
        <f>_xlfn.T.TEST(#REF!,#REF!,#REF!,1)</f>
        <v>#REF!</v>
      </c>
      <c r="E1888" s="2" t="b">
        <f>IFERROR(INDEX(ERROR(0),_xlfn.T.TEST(#REF!,#REF!,#REF!,SET.NAME("_",+INDEX(1,)))),RETURN(INDEX(TYPE(_),SET.NAME("_"))))</f>
        <v>0</v>
      </c>
      <c r="F1888" s="2" t="b">
        <f>IFERROR(INDEX(ERROR(0),_xlfn.T.TEST(#REF!,#REF!,#REF!,INDIRECT(SET.NAME({1,"_"},)))),RETURN(INDEX(TYPE(_),SET.NAME("_"))))</f>
        <v>0</v>
      </c>
      <c r="G1888" s="2">
        <f>TYPE(INDEX(,_xlfn.T.TEST(#REF!,#REF!,#REF!,INDEX(1,))))</f>
        <v>16</v>
      </c>
    </row>
    <row r="1889" spans="1:7" x14ac:dyDescent="0.55000000000000004">
      <c r="A1889" s="1" t="s">
        <v>2127</v>
      </c>
      <c r="B1889" s="2">
        <f>COUNTIF(A:A,A1889)-1</f>
        <v>3</v>
      </c>
      <c r="C1889" s="2">
        <f>COUNTIF(A$1:A1889,A1889)-1</f>
        <v>0</v>
      </c>
      <c r="D1889" s="2"/>
      <c r="E1889" s="2"/>
      <c r="F1889" s="2"/>
      <c r="G1889" s="2"/>
    </row>
    <row r="1890" spans="1:7" x14ac:dyDescent="0.55000000000000004">
      <c r="A1890" s="1" t="s">
        <v>2127</v>
      </c>
      <c r="B1890" s="2">
        <f>COUNTIF(A:A,A1890)-1</f>
        <v>3</v>
      </c>
      <c r="C1890" s="2">
        <f>COUNTIF(A$1:A1890,A1890)-1</f>
        <v>1</v>
      </c>
      <c r="D1890" s="2" t="e">
        <f>_xlfn.Z.TEST(1,#REF!,#REF!)</f>
        <v>#REF!</v>
      </c>
      <c r="E1890" s="2" t="b">
        <f>IFERROR(INDEX(ERROR(0),_xlfn.Z.TEST(SET.NAME("_",+INDEX(1,)),#REF!,#REF!)),RETURN(INDEX(TYPE(_),SET.NAME("_"))))</f>
        <v>0</v>
      </c>
      <c r="F1890" s="2" t="b">
        <f>IFERROR(INDEX(ERROR(0),_xlfn.Z.TEST(INDIRECT(SET.NAME({1,"_"},)),#REF!,#REF!)),RETURN(INDEX(TYPE(_),SET.NAME("_"))))</f>
        <v>0</v>
      </c>
      <c r="G1890" s="2">
        <f>TYPE(INDEX(,_xlfn.Z.TEST(INDEX(1,),#REF!,#REF!)))</f>
        <v>16</v>
      </c>
    </row>
    <row r="1891" spans="1:7" x14ac:dyDescent="0.55000000000000004">
      <c r="A1891" s="1" t="s">
        <v>2127</v>
      </c>
      <c r="B1891" s="2">
        <f>COUNTIF(A:A,A1891)-1</f>
        <v>3</v>
      </c>
      <c r="C1891" s="2">
        <f>COUNTIF(A$1:A1891,A1891)-1</f>
        <v>2</v>
      </c>
      <c r="D1891" s="2" t="e">
        <f>_xlfn.Z.TEST(#REF!,1,#REF!)</f>
        <v>#REF!</v>
      </c>
      <c r="E1891" s="2" t="b">
        <f>IFERROR(INDEX(ERROR(0),_xlfn.Z.TEST(#REF!,SET.NAME("_",+INDEX(1,)),#REF!)),RETURN(INDEX(TYPE(_),SET.NAME("_"))))</f>
        <v>0</v>
      </c>
      <c r="F1891" s="2" t="b">
        <f>IFERROR(INDEX(ERROR(0),_xlfn.Z.TEST(#REF!,INDIRECT(SET.NAME({1,"_"},)),#REF!)),RETURN(INDEX(TYPE(_),SET.NAME("_"))))</f>
        <v>0</v>
      </c>
      <c r="G1891" s="2">
        <f>TYPE(INDEX(,_xlfn.Z.TEST(#REF!,INDEX(1,),#REF!)))</f>
        <v>16</v>
      </c>
    </row>
    <row r="1892" spans="1:7" x14ac:dyDescent="0.55000000000000004">
      <c r="A1892" s="1" t="s">
        <v>2127</v>
      </c>
      <c r="B1892" s="2">
        <f>COUNTIF(A:A,A1892)-1</f>
        <v>3</v>
      </c>
      <c r="C1892" s="2">
        <f>COUNTIF(A$1:A1892,A1892)-1</f>
        <v>3</v>
      </c>
      <c r="D1892" s="2" t="e">
        <f>_xlfn.Z.TEST(#REF!,#REF!,1)</f>
        <v>#REF!</v>
      </c>
      <c r="E1892" s="2" t="b">
        <f>IFERROR(INDEX(ERROR(0),_xlfn.Z.TEST(#REF!,#REF!,SET.NAME("_",+INDEX(1,)))),RETURN(INDEX(TYPE(_),SET.NAME("_"))))</f>
        <v>0</v>
      </c>
      <c r="F1892" s="2" t="b">
        <f>IFERROR(INDEX(ERROR(0),_xlfn.Z.TEST(#REF!,#REF!,INDIRECT(SET.NAME({1,"_"},)))),RETURN(INDEX(TYPE(_),SET.NAME("_"))))</f>
        <v>0</v>
      </c>
      <c r="G1892" s="2">
        <f>TYPE(INDEX(,_xlfn.Z.TEST(#REF!,#REF!,INDEX(1,))))</f>
        <v>16</v>
      </c>
    </row>
    <row r="1893" spans="1:7" x14ac:dyDescent="0.55000000000000004">
      <c r="A1893" s="1" t="s">
        <v>2128</v>
      </c>
      <c r="B1893" s="2">
        <f>COUNTIF(A:A,A1893)-1</f>
        <v>1</v>
      </c>
      <c r="C1893" s="2">
        <f>COUNTIF(A$1:A1893,A1893)-1</f>
        <v>0</v>
      </c>
      <c r="D1893" s="2"/>
      <c r="E1893" s="2"/>
      <c r="F1893" s="2"/>
      <c r="G1893" s="2"/>
    </row>
    <row r="1894" spans="1:7" x14ac:dyDescent="0.55000000000000004">
      <c r="A1894" s="1" t="s">
        <v>2128</v>
      </c>
      <c r="B1894" s="2">
        <f>COUNTIF(A:A,A1894)-1</f>
        <v>1</v>
      </c>
      <c r="C1894" s="2">
        <f>COUNTIF(A$1:A1894,A1894)-1</f>
        <v>1</v>
      </c>
      <c r="D1894" s="2">
        <f>_xlfn.ERF.PRECISE(1)</f>
        <v>0.84270079294971489</v>
      </c>
      <c r="E1894" s="2" t="b">
        <f>IFERROR(INDEX(ERROR(0),_xlfn.ERF.PRECISE(SET.NAME("_",+INDEX(1,)))),RETURN(INDEX(TYPE(_),SET.NAME("_"))))</f>
        <v>0</v>
      </c>
      <c r="F1894" s="2" t="b">
        <f>IFERROR(INDEX(ERROR(0),_xlfn.ERF.PRECISE(INDIRECT(SET.NAME({1,"_"},)))),RETURN(INDEX(TYPE(_),SET.NAME("_"))))</f>
        <v>0</v>
      </c>
      <c r="G1894" s="2">
        <f>TYPE(INDEX(,_xlfn.ERF.PRECISE(INDEX(1,))))</f>
        <v>64</v>
      </c>
    </row>
    <row r="1895" spans="1:7" x14ac:dyDescent="0.55000000000000004">
      <c r="A1895" s="1" t="s">
        <v>2129</v>
      </c>
      <c r="B1895" s="2">
        <f>COUNTIF(A:A,A1895)-1</f>
        <v>1</v>
      </c>
      <c r="C1895" s="2">
        <f>COUNTIF(A$1:A1895,A1895)-1</f>
        <v>0</v>
      </c>
      <c r="D1895" s="2"/>
      <c r="E1895" s="2"/>
      <c r="F1895" s="2"/>
      <c r="G1895" s="2"/>
    </row>
    <row r="1896" spans="1:7" x14ac:dyDescent="0.55000000000000004">
      <c r="A1896" s="1" t="s">
        <v>2129</v>
      </c>
      <c r="B1896" s="2">
        <f>COUNTIF(A:A,A1896)-1</f>
        <v>1</v>
      </c>
      <c r="C1896" s="2">
        <f>COUNTIF(A$1:A1896,A1896)-1</f>
        <v>1</v>
      </c>
      <c r="D1896" s="2">
        <f>_xlfn.ERFC.PRECISE(1)</f>
        <v>0.15729920705028513</v>
      </c>
      <c r="E1896" s="2" t="b">
        <f>IFERROR(INDEX(ERROR(0),_xlfn.ERFC.PRECISE(SET.NAME("_",+INDEX(1,)))),RETURN(INDEX(TYPE(_),SET.NAME("_"))))</f>
        <v>0</v>
      </c>
      <c r="F1896" s="2" t="b">
        <f>IFERROR(INDEX(ERROR(0),_xlfn.ERFC.PRECISE(INDIRECT(SET.NAME({1,"_"},)))),RETURN(INDEX(TYPE(_),SET.NAME("_"))))</f>
        <v>0</v>
      </c>
      <c r="G1896" s="2">
        <f>TYPE(INDEX(,_xlfn.ERFC.PRECISE(INDEX(1,))))</f>
        <v>64</v>
      </c>
    </row>
    <row r="1897" spans="1:7" x14ac:dyDescent="0.55000000000000004">
      <c r="A1897" s="1" t="s">
        <v>2130</v>
      </c>
      <c r="B1897" s="2">
        <f>COUNTIF(A:A,A1897)-1</f>
        <v>1</v>
      </c>
      <c r="C1897" s="2">
        <f>COUNTIF(A$1:A1897,A1897)-1</f>
        <v>0</v>
      </c>
      <c r="D1897" s="2"/>
      <c r="E1897" s="2"/>
      <c r="F1897" s="2"/>
      <c r="G1897" s="2"/>
    </row>
    <row r="1898" spans="1:7" x14ac:dyDescent="0.55000000000000004">
      <c r="A1898" s="1" t="s">
        <v>2130</v>
      </c>
      <c r="B1898" s="2">
        <f>COUNTIF(A:A,A1898)-1</f>
        <v>1</v>
      </c>
      <c r="C1898" s="2">
        <f>COUNTIF(A$1:A1898,A1898)-1</f>
        <v>1</v>
      </c>
      <c r="D1898" s="2">
        <f>_xlfn.GAMMALN.PRECISE(1)</f>
        <v>0</v>
      </c>
      <c r="E1898" s="2" t="b">
        <f>IFERROR(INDEX(ERROR(0),_xlfn.GAMMALN.PRECISE(SET.NAME("_",+INDEX(1,)))),RETURN(INDEX(TYPE(_),SET.NAME("_"))))</f>
        <v>0</v>
      </c>
      <c r="F1898" s="2" t="b">
        <f>IFERROR(INDEX(ERROR(0),_xlfn.GAMMALN.PRECISE(INDIRECT(SET.NAME({1,"_"},)))),RETURN(INDEX(TYPE(_),SET.NAME("_"))))</f>
        <v>0</v>
      </c>
      <c r="G1898" s="2">
        <f>TYPE(INDEX(,_xlfn.GAMMALN.PRECISE(INDEX(1,))))</f>
        <v>16</v>
      </c>
    </row>
    <row r="1899" spans="1:7" x14ac:dyDescent="0.55000000000000004">
      <c r="A1899" s="1" t="s">
        <v>2131</v>
      </c>
      <c r="B1899" s="2">
        <f>COUNTIF(A:A,A1899)-1</f>
        <v>2</v>
      </c>
      <c r="C1899" s="2">
        <f>COUNTIF(A$1:A1899,A1899)-1</f>
        <v>0</v>
      </c>
      <c r="D1899" s="2"/>
      <c r="E1899" s="2"/>
      <c r="F1899" s="2"/>
      <c r="G1899" s="2"/>
    </row>
    <row r="1900" spans="1:7" x14ac:dyDescent="0.55000000000000004">
      <c r="A1900" s="1" t="s">
        <v>2131</v>
      </c>
      <c r="B1900" s="2">
        <f>COUNTIF(A:A,A1900)-1</f>
        <v>2</v>
      </c>
      <c r="C1900" s="2">
        <f>COUNTIF(A$1:A1900,A1900)-1</f>
        <v>1</v>
      </c>
      <c r="D1900" s="2" t="e">
        <f>_xlfn.CEILING.PRECISE(1,#REF!)</f>
        <v>#REF!</v>
      </c>
      <c r="E1900" s="2" t="b">
        <f>IFERROR(INDEX(ERROR(0),_xlfn.CEILING.PRECISE(SET.NAME("_",+INDEX(1,)),#REF!)),RETURN(INDEX(TYPE(_),SET.NAME("_"))))</f>
        <v>0</v>
      </c>
      <c r="F1900" s="2" t="b">
        <f>IFERROR(INDEX(ERROR(0),_xlfn.CEILING.PRECISE(INDIRECT(SET.NAME({1,"_"},)),#REF!)),RETURN(INDEX(TYPE(_),SET.NAME("_"))))</f>
        <v>0</v>
      </c>
      <c r="G1900" s="2">
        <f>TYPE(INDEX(,_xlfn.CEILING.PRECISE(INDEX(1,),#REF!)))</f>
        <v>16</v>
      </c>
    </row>
    <row r="1901" spans="1:7" x14ac:dyDescent="0.55000000000000004">
      <c r="A1901" s="1" t="s">
        <v>2131</v>
      </c>
      <c r="B1901" s="2">
        <f>COUNTIF(A:A,A1901)-1</f>
        <v>2</v>
      </c>
      <c r="C1901" s="2">
        <f>COUNTIF(A$1:A1901,A1901)-1</f>
        <v>2</v>
      </c>
      <c r="D1901" s="2" t="e">
        <f>_xlfn.CEILING.PRECISE(#REF!,1)</f>
        <v>#REF!</v>
      </c>
      <c r="E1901" s="2" t="b">
        <f>IFERROR(INDEX(ERROR(0),_xlfn.CEILING.PRECISE(#REF!,SET.NAME("_",+INDEX(1,)))),RETURN(INDEX(TYPE(_),SET.NAME("_"))))</f>
        <v>0</v>
      </c>
      <c r="F1901" s="2" t="b">
        <f>IFERROR(INDEX(ERROR(0),_xlfn.CEILING.PRECISE(#REF!,INDIRECT(SET.NAME({1,"_"},)))),RETURN(INDEX(TYPE(_),SET.NAME("_"))))</f>
        <v>0</v>
      </c>
      <c r="G1901" s="2">
        <f>TYPE(INDEX(,_xlfn.CEILING.PRECISE(#REF!,INDEX(1,))))</f>
        <v>16</v>
      </c>
    </row>
    <row r="1902" spans="1:7" x14ac:dyDescent="0.55000000000000004">
      <c r="A1902" s="1" t="s">
        <v>2132</v>
      </c>
      <c r="B1902" s="2">
        <f>COUNTIF(A:A,A1902)-1</f>
        <v>2</v>
      </c>
      <c r="C1902" s="2">
        <f>COUNTIF(A$1:A1902,A1902)-1</f>
        <v>0</v>
      </c>
      <c r="D1902" s="2"/>
      <c r="E1902" s="2"/>
      <c r="F1902" s="2"/>
      <c r="G1902" s="2"/>
    </row>
    <row r="1903" spans="1:7" x14ac:dyDescent="0.55000000000000004">
      <c r="A1903" s="1" t="s">
        <v>2132</v>
      </c>
      <c r="B1903" s="2">
        <f>COUNTIF(A:A,A1903)-1</f>
        <v>2</v>
      </c>
      <c r="C1903" s="2">
        <f>COUNTIF(A$1:A1903,A1903)-1</f>
        <v>1</v>
      </c>
      <c r="D1903" s="2" t="e">
        <f>_xlfn.FLOOR.PRECISE(1,#REF!)</f>
        <v>#REF!</v>
      </c>
      <c r="E1903" s="2" t="b">
        <f>IFERROR(INDEX(ERROR(0),_xlfn.FLOOR.PRECISE(SET.NAME("_",+INDEX(1,)),#REF!)),RETURN(INDEX(TYPE(_),SET.NAME("_"))))</f>
        <v>0</v>
      </c>
      <c r="F1903" s="2" t="b">
        <f>IFERROR(INDEX(ERROR(0),_xlfn.FLOOR.PRECISE(INDIRECT(SET.NAME({1,"_"},)),#REF!)),RETURN(INDEX(TYPE(_),SET.NAME("_"))))</f>
        <v>0</v>
      </c>
      <c r="G1903" s="2">
        <f>TYPE(INDEX(,_xlfn.FLOOR.PRECISE(INDEX(1,),#REF!)))</f>
        <v>16</v>
      </c>
    </row>
    <row r="1904" spans="1:7" x14ac:dyDescent="0.55000000000000004">
      <c r="A1904" s="1" t="s">
        <v>2132</v>
      </c>
      <c r="B1904" s="2">
        <f>COUNTIF(A:A,A1904)-1</f>
        <v>2</v>
      </c>
      <c r="C1904" s="2">
        <f>COUNTIF(A$1:A1904,A1904)-1</f>
        <v>2</v>
      </c>
      <c r="D1904" s="2" t="e">
        <f>_xlfn.FLOOR.PRECISE(#REF!,1)</f>
        <v>#REF!</v>
      </c>
      <c r="E1904" s="2" t="b">
        <f>IFERROR(INDEX(ERROR(0),_xlfn.FLOOR.PRECISE(#REF!,SET.NAME("_",+INDEX(1,)))),RETURN(INDEX(TYPE(_),SET.NAME("_"))))</f>
        <v>0</v>
      </c>
      <c r="F1904" s="2" t="b">
        <f>IFERROR(INDEX(ERROR(0),_xlfn.FLOOR.PRECISE(#REF!,INDIRECT(SET.NAME({1,"_"},)))),RETURN(INDEX(TYPE(_),SET.NAME("_"))))</f>
        <v>0</v>
      </c>
      <c r="G1904" s="2">
        <f>TYPE(INDEX(,_xlfn.FLOOR.PRECISE(#REF!,INDEX(1,))))</f>
        <v>16</v>
      </c>
    </row>
    <row r="1905" spans="1:7" x14ac:dyDescent="0.55000000000000004">
      <c r="A1905" s="1" t="s">
        <v>2133</v>
      </c>
      <c r="B1905" s="2">
        <f>COUNTIF(A:A,A1905)-1</f>
        <v>1</v>
      </c>
      <c r="C1905" s="2">
        <f>COUNTIF(A$1:A1905,A1905)-1</f>
        <v>0</v>
      </c>
      <c r="D1905" s="2"/>
      <c r="E1905" s="2"/>
      <c r="F1905" s="2"/>
      <c r="G1905" s="2"/>
    </row>
    <row r="1906" spans="1:7" x14ac:dyDescent="0.55000000000000004">
      <c r="A1906" s="1" t="s">
        <v>2133</v>
      </c>
      <c r="B1906" s="2">
        <f>COUNTIF(A:A,A1906)-1</f>
        <v>1</v>
      </c>
      <c r="C1906" s="2">
        <f>COUNTIF(A$1:A1906,A1906)-1</f>
        <v>1</v>
      </c>
      <c r="D1906" s="2">
        <f>_xlfn.ACOT(1)</f>
        <v>0.78539816339744828</v>
      </c>
      <c r="E1906" s="2" t="b">
        <f>IFERROR(INDEX(ERROR(0),_xlfn.ACOT(SET.NAME("_",+INDEX(1,)))),RETURN(INDEX(TYPE(_),SET.NAME("_"))))</f>
        <v>0</v>
      </c>
      <c r="F1906" s="2" t="b">
        <f>IFERROR(INDEX(ERROR(0),_xlfn.ACOT(INDIRECT(SET.NAME({1,"_"},)))),RETURN(INDEX(TYPE(_),SET.NAME("_"))))</f>
        <v>0</v>
      </c>
      <c r="G1906" s="2">
        <f>TYPE(INDEX(,_xlfn.ACOT(INDEX(1,))))</f>
        <v>16</v>
      </c>
    </row>
    <row r="1907" spans="1:7" x14ac:dyDescent="0.55000000000000004">
      <c r="A1907" s="1" t="s">
        <v>2134</v>
      </c>
      <c r="B1907" s="2">
        <f>COUNTIF(A:A,A1907)-1</f>
        <v>1</v>
      </c>
      <c r="C1907" s="2">
        <f>COUNTIF(A$1:A1907,A1907)-1</f>
        <v>0</v>
      </c>
      <c r="D1907" s="2"/>
      <c r="E1907" s="2"/>
      <c r="F1907" s="2"/>
      <c r="G1907" s="2"/>
    </row>
    <row r="1908" spans="1:7" x14ac:dyDescent="0.55000000000000004">
      <c r="A1908" s="1" t="s">
        <v>2134</v>
      </c>
      <c r="B1908" s="2">
        <f>COUNTIF(A:A,A1908)-1</f>
        <v>1</v>
      </c>
      <c r="C1908" s="2">
        <f>COUNTIF(A$1:A1908,A1908)-1</f>
        <v>1</v>
      </c>
      <c r="D1908" s="2" t="e">
        <f>_xlfn.ACOTH(1)</f>
        <v>#NUM!</v>
      </c>
      <c r="E1908" s="2" t="b">
        <f>IFERROR(INDEX(ERROR(0),_xlfn.ACOTH(SET.NAME("_",+INDEX(1,)))),RETURN(INDEX(TYPE(_),SET.NAME("_"))))</f>
        <v>0</v>
      </c>
      <c r="F1908" s="2" t="b">
        <f>IFERROR(INDEX(ERROR(0),_xlfn.ACOTH(INDIRECT(SET.NAME({1,"_"},)))),RETURN(INDEX(TYPE(_),SET.NAME("_"))))</f>
        <v>0</v>
      </c>
      <c r="G1908" s="2">
        <f>TYPE(INDEX(,_xlfn.ACOTH(INDEX(1,))))</f>
        <v>16</v>
      </c>
    </row>
    <row r="1909" spans="1:7" x14ac:dyDescent="0.55000000000000004">
      <c r="A1909" s="1" t="s">
        <v>2135</v>
      </c>
      <c r="B1909" s="2">
        <f>COUNTIF(A:A,A1909)-1</f>
        <v>1</v>
      </c>
      <c r="C1909" s="2">
        <f>COUNTIF(A$1:A1909,A1909)-1</f>
        <v>0</v>
      </c>
      <c r="D1909" s="2"/>
      <c r="E1909" s="2"/>
      <c r="F1909" s="2"/>
      <c r="G1909" s="2"/>
    </row>
    <row r="1910" spans="1:7" x14ac:dyDescent="0.55000000000000004">
      <c r="A1910" s="1" t="s">
        <v>2135</v>
      </c>
      <c r="B1910" s="2">
        <f>COUNTIF(A:A,A1910)-1</f>
        <v>1</v>
      </c>
      <c r="C1910" s="2">
        <f>COUNTIF(A$1:A1910,A1910)-1</f>
        <v>1</v>
      </c>
      <c r="D1910" s="2">
        <f>_xlfn.COT(1)</f>
        <v>0.64209261593433065</v>
      </c>
      <c r="E1910" s="2" t="b">
        <f>IFERROR(INDEX(ERROR(0),_xlfn.COT(SET.NAME("_",+INDEX(1,)))),RETURN(INDEX(TYPE(_),SET.NAME("_"))))</f>
        <v>0</v>
      </c>
      <c r="F1910" s="2" t="b">
        <f>IFERROR(INDEX(ERROR(0),_xlfn.COT(INDIRECT(SET.NAME({1,"_"},)))),RETURN(INDEX(TYPE(_),SET.NAME("_"))))</f>
        <v>0</v>
      </c>
      <c r="G1910" s="2">
        <f>TYPE(INDEX(,_xlfn.COT(INDEX(1,))))</f>
        <v>16</v>
      </c>
    </row>
    <row r="1911" spans="1:7" x14ac:dyDescent="0.55000000000000004">
      <c r="A1911" s="1" t="s">
        <v>2136</v>
      </c>
      <c r="B1911" s="2">
        <f>COUNTIF(A:A,A1911)-1</f>
        <v>1</v>
      </c>
      <c r="C1911" s="2">
        <f>COUNTIF(A$1:A1911,A1911)-1</f>
        <v>0</v>
      </c>
      <c r="D1911" s="2"/>
      <c r="E1911" s="2"/>
      <c r="F1911" s="2"/>
      <c r="G1911" s="2"/>
    </row>
    <row r="1912" spans="1:7" x14ac:dyDescent="0.55000000000000004">
      <c r="A1912" s="1" t="s">
        <v>2136</v>
      </c>
      <c r="B1912" s="2">
        <f>COUNTIF(A:A,A1912)-1</f>
        <v>1</v>
      </c>
      <c r="C1912" s="2">
        <f>COUNTIF(A$1:A1912,A1912)-1</f>
        <v>1</v>
      </c>
      <c r="D1912" s="2">
        <f>_xlfn.COTH(1)</f>
        <v>1.3130352854993315</v>
      </c>
      <c r="E1912" s="2" t="b">
        <f>IFERROR(INDEX(ERROR(0),_xlfn.COTH(SET.NAME("_",+INDEX(1,)))),RETURN(INDEX(TYPE(_),SET.NAME("_"))))</f>
        <v>0</v>
      </c>
      <c r="F1912" s="2" t="b">
        <f>IFERROR(INDEX(ERROR(0),_xlfn.COTH(INDIRECT(SET.NAME({1,"_"},)))),RETURN(INDEX(TYPE(_),SET.NAME("_"))))</f>
        <v>0</v>
      </c>
      <c r="G1912" s="2">
        <f>TYPE(INDEX(,_xlfn.COTH(INDEX(1,))))</f>
        <v>16</v>
      </c>
    </row>
    <row r="1913" spans="1:7" x14ac:dyDescent="0.55000000000000004">
      <c r="A1913" s="1" t="s">
        <v>2137</v>
      </c>
      <c r="B1913" s="2">
        <f>COUNTIF(A:A,A1913)-1</f>
        <v>1</v>
      </c>
      <c r="C1913" s="2">
        <f>COUNTIF(A$1:A1913,A1913)-1</f>
        <v>0</v>
      </c>
      <c r="D1913" s="2"/>
      <c r="E1913" s="2"/>
      <c r="F1913" s="2"/>
      <c r="G1913" s="2"/>
    </row>
    <row r="1914" spans="1:7" x14ac:dyDescent="0.55000000000000004">
      <c r="A1914" s="1" t="s">
        <v>2137</v>
      </c>
      <c r="B1914" s="2">
        <f>COUNTIF(A:A,A1914)-1</f>
        <v>1</v>
      </c>
      <c r="C1914" s="2">
        <f>COUNTIF(A$1:A1914,A1914)-1</f>
        <v>1</v>
      </c>
      <c r="D1914" s="2">
        <f>_xlfn.CSC(1)</f>
        <v>1.1883951057781212</v>
      </c>
      <c r="E1914" s="2" t="b">
        <f>IFERROR(INDEX(ERROR(0),_xlfn.CSC(SET.NAME("_",+INDEX(1,)))),RETURN(INDEX(TYPE(_),SET.NAME("_"))))</f>
        <v>0</v>
      </c>
      <c r="F1914" s="2" t="b">
        <f>IFERROR(INDEX(ERROR(0),_xlfn.CSC(INDIRECT(SET.NAME({1,"_"},)))),RETURN(INDEX(TYPE(_),SET.NAME("_"))))</f>
        <v>0</v>
      </c>
      <c r="G1914" s="2">
        <f>TYPE(INDEX(,_xlfn.CSC(INDEX(1,))))</f>
        <v>16</v>
      </c>
    </row>
    <row r="1915" spans="1:7" x14ac:dyDescent="0.55000000000000004">
      <c r="A1915" s="1" t="s">
        <v>2138</v>
      </c>
      <c r="B1915" s="2">
        <f>COUNTIF(A:A,A1915)-1</f>
        <v>1</v>
      </c>
      <c r="C1915" s="2">
        <f>COUNTIF(A$1:A1915,A1915)-1</f>
        <v>0</v>
      </c>
      <c r="D1915" s="2"/>
      <c r="E1915" s="2"/>
      <c r="F1915" s="2"/>
      <c r="G1915" s="2"/>
    </row>
    <row r="1916" spans="1:7" x14ac:dyDescent="0.55000000000000004">
      <c r="A1916" s="1" t="s">
        <v>2138</v>
      </c>
      <c r="B1916" s="2">
        <f>COUNTIF(A:A,A1916)-1</f>
        <v>1</v>
      </c>
      <c r="C1916" s="2">
        <f>COUNTIF(A$1:A1916,A1916)-1</f>
        <v>1</v>
      </c>
      <c r="D1916" s="2">
        <f>_xlfn.CSCH(1)</f>
        <v>0.85091812823932156</v>
      </c>
      <c r="E1916" s="2" t="b">
        <f>IFERROR(INDEX(ERROR(0),_xlfn.CSCH(SET.NAME("_",+INDEX(1,)))),RETURN(INDEX(TYPE(_),SET.NAME("_"))))</f>
        <v>0</v>
      </c>
      <c r="F1916" s="2" t="b">
        <f>IFERROR(INDEX(ERROR(0),_xlfn.CSCH(INDIRECT(SET.NAME({1,"_"},)))),RETURN(INDEX(TYPE(_),SET.NAME("_"))))</f>
        <v>0</v>
      </c>
      <c r="G1916" s="2">
        <f>TYPE(INDEX(,_xlfn.CSCH(INDEX(1,))))</f>
        <v>16</v>
      </c>
    </row>
    <row r="1917" spans="1:7" x14ac:dyDescent="0.55000000000000004">
      <c r="A1917" s="1" t="s">
        <v>2139</v>
      </c>
      <c r="B1917" s="2">
        <f>COUNTIF(A:A,A1917)-1</f>
        <v>1</v>
      </c>
      <c r="C1917" s="2">
        <f>COUNTIF(A$1:A1917,A1917)-1</f>
        <v>0</v>
      </c>
      <c r="D1917" s="2"/>
      <c r="E1917" s="2"/>
      <c r="F1917" s="2"/>
      <c r="G1917" s="2"/>
    </row>
    <row r="1918" spans="1:7" x14ac:dyDescent="0.55000000000000004">
      <c r="A1918" s="1" t="s">
        <v>2139</v>
      </c>
      <c r="B1918" s="2">
        <f>COUNTIF(A:A,A1918)-1</f>
        <v>1</v>
      </c>
      <c r="C1918" s="2">
        <f>COUNTIF(A$1:A1918,A1918)-1</f>
        <v>1</v>
      </c>
      <c r="D1918" s="2">
        <f>_xlfn.SEC(1)</f>
        <v>1.8508157176809255</v>
      </c>
      <c r="E1918" s="2" t="b">
        <f>IFERROR(INDEX(ERROR(0),_xlfn.SEC(SET.NAME("_",+INDEX(1,)))),RETURN(INDEX(TYPE(_),SET.NAME("_"))))</f>
        <v>0</v>
      </c>
      <c r="F1918" s="2" t="b">
        <f>IFERROR(INDEX(ERROR(0),_xlfn.SEC(INDIRECT(SET.NAME({1,"_"},)))),RETURN(INDEX(TYPE(_),SET.NAME("_"))))</f>
        <v>0</v>
      </c>
      <c r="G1918" s="2">
        <f>TYPE(INDEX(,_xlfn.SEC(INDEX(1,))))</f>
        <v>16</v>
      </c>
    </row>
    <row r="1919" spans="1:7" x14ac:dyDescent="0.55000000000000004">
      <c r="A1919" s="1" t="s">
        <v>2140</v>
      </c>
      <c r="B1919" s="2">
        <f>COUNTIF(A:A,A1919)-1</f>
        <v>1</v>
      </c>
      <c r="C1919" s="2">
        <f>COUNTIF(A$1:A1919,A1919)-1</f>
        <v>0</v>
      </c>
      <c r="D1919" s="2"/>
      <c r="E1919" s="2"/>
      <c r="F1919" s="2"/>
      <c r="G1919" s="2"/>
    </row>
    <row r="1920" spans="1:7" x14ac:dyDescent="0.55000000000000004">
      <c r="A1920" s="1" t="s">
        <v>2140</v>
      </c>
      <c r="B1920" s="2">
        <f>COUNTIF(A:A,A1920)-1</f>
        <v>1</v>
      </c>
      <c r="C1920" s="2">
        <f>COUNTIF(A$1:A1920,A1920)-1</f>
        <v>1</v>
      </c>
      <c r="D1920" s="2">
        <f>_xlfn.SECH(1)</f>
        <v>0.64805427366388546</v>
      </c>
      <c r="E1920" s="2" t="b">
        <f>IFERROR(INDEX(ERROR(0),_xlfn.SECH(SET.NAME("_",+INDEX(1,)))),RETURN(INDEX(TYPE(_),SET.NAME("_"))))</f>
        <v>0</v>
      </c>
      <c r="F1920" s="2" t="b">
        <f>IFERROR(INDEX(ERROR(0),_xlfn.SECH(INDIRECT(SET.NAME({1,"_"},)))),RETURN(INDEX(TYPE(_),SET.NAME("_"))))</f>
        <v>0</v>
      </c>
      <c r="G1920" s="2">
        <f>TYPE(INDEX(,_xlfn.SECH(INDEX(1,))))</f>
        <v>16</v>
      </c>
    </row>
    <row r="1921" spans="1:7" x14ac:dyDescent="0.55000000000000004">
      <c r="A1921" s="1" t="s">
        <v>2141</v>
      </c>
      <c r="B1921" s="2">
        <f>COUNTIF(A:A,A1921)-1</f>
        <v>1</v>
      </c>
      <c r="C1921" s="2">
        <f>COUNTIF(A$1:A1921,A1921)-1</f>
        <v>0</v>
      </c>
      <c r="D1921" s="2"/>
      <c r="E1921" s="2"/>
      <c r="F1921" s="2"/>
      <c r="G1921" s="2"/>
    </row>
    <row r="1922" spans="1:7" x14ac:dyDescent="0.55000000000000004">
      <c r="A1922" s="1" t="s">
        <v>2141</v>
      </c>
      <c r="B1922" s="2">
        <f>COUNTIF(A:A,A1922)-1</f>
        <v>1</v>
      </c>
      <c r="C1922" s="2">
        <f>COUNTIF(A$1:A1922,A1922)-1</f>
        <v>1</v>
      </c>
      <c r="D1922" s="2" t="str">
        <f>_xlfn.IMTAN(1)</f>
        <v>1.5574077246549</v>
      </c>
      <c r="E1922" s="2" t="b">
        <f>IFERROR(INDEX(ERROR(0),_xlfn.IMTAN(SET.NAME("_",+INDEX(1,)))),RETURN(INDEX(TYPE(_),SET.NAME("_"))))</f>
        <v>0</v>
      </c>
      <c r="F1922" s="2" t="b">
        <f>IFERROR(INDEX(ERROR(0),_xlfn.IMTAN(INDIRECT(SET.NAME({1,"_"},)))),RETURN(INDEX(TYPE(_),SET.NAME("_"))))</f>
        <v>0</v>
      </c>
      <c r="G1922" s="2">
        <f>TYPE(INDEX(,_xlfn.IMTAN(INDEX(1,))))</f>
        <v>64</v>
      </c>
    </row>
    <row r="1923" spans="1:7" x14ac:dyDescent="0.55000000000000004">
      <c r="A1923" s="1" t="s">
        <v>2142</v>
      </c>
      <c r="B1923" s="2">
        <f>COUNTIF(A:A,A1923)-1</f>
        <v>1</v>
      </c>
      <c r="C1923" s="2">
        <f>COUNTIF(A$1:A1923,A1923)-1</f>
        <v>0</v>
      </c>
      <c r="D1923" s="2"/>
      <c r="E1923" s="2"/>
      <c r="F1923" s="2"/>
      <c r="G1923" s="2"/>
    </row>
    <row r="1924" spans="1:7" x14ac:dyDescent="0.55000000000000004">
      <c r="A1924" s="1" t="s">
        <v>2142</v>
      </c>
      <c r="B1924" s="2">
        <f>COUNTIF(A:A,A1924)-1</f>
        <v>1</v>
      </c>
      <c r="C1924" s="2">
        <f>COUNTIF(A$1:A1924,A1924)-1</f>
        <v>1</v>
      </c>
      <c r="D1924" s="2" t="str">
        <f>_xlfn.IMCOT(1)</f>
        <v>0.642092615934331</v>
      </c>
      <c r="E1924" s="2" t="b">
        <f>IFERROR(INDEX(ERROR(0),_xlfn.IMCOT(SET.NAME("_",+INDEX(1,)))),RETURN(INDEX(TYPE(_),SET.NAME("_"))))</f>
        <v>0</v>
      </c>
      <c r="F1924" s="2" t="b">
        <f>IFERROR(INDEX(ERROR(0),_xlfn.IMCOT(INDIRECT(SET.NAME({1,"_"},)))),RETURN(INDEX(TYPE(_),SET.NAME("_"))))</f>
        <v>0</v>
      </c>
      <c r="G1924" s="2">
        <f>TYPE(INDEX(,_xlfn.IMCOT(INDEX(1,))))</f>
        <v>64</v>
      </c>
    </row>
    <row r="1925" spans="1:7" x14ac:dyDescent="0.55000000000000004">
      <c r="A1925" s="1" t="s">
        <v>2143</v>
      </c>
      <c r="B1925" s="2">
        <f>COUNTIF(A:A,A1925)-1</f>
        <v>1</v>
      </c>
      <c r="C1925" s="2">
        <f>COUNTIF(A$1:A1925,A1925)-1</f>
        <v>0</v>
      </c>
      <c r="D1925" s="2"/>
      <c r="E1925" s="2"/>
      <c r="F1925" s="2"/>
      <c r="G1925" s="2"/>
    </row>
    <row r="1926" spans="1:7" x14ac:dyDescent="0.55000000000000004">
      <c r="A1926" s="1" t="s">
        <v>2143</v>
      </c>
      <c r="B1926" s="2">
        <f>COUNTIF(A:A,A1926)-1</f>
        <v>1</v>
      </c>
      <c r="C1926" s="2">
        <f>COUNTIF(A$1:A1926,A1926)-1</f>
        <v>1</v>
      </c>
      <c r="D1926" s="2" t="str">
        <f>_xlfn.IMCSC(1)</f>
        <v>1.18839510577812</v>
      </c>
      <c r="E1926" s="2" t="b">
        <f>IFERROR(INDEX(ERROR(0),_xlfn.IMCSC(SET.NAME("_",+INDEX(1,)))),RETURN(INDEX(TYPE(_),SET.NAME("_"))))</f>
        <v>0</v>
      </c>
      <c r="F1926" s="2" t="b">
        <f>IFERROR(INDEX(ERROR(0),_xlfn.IMCSC(INDIRECT(SET.NAME({1,"_"},)))),RETURN(INDEX(TYPE(_),SET.NAME("_"))))</f>
        <v>0</v>
      </c>
      <c r="G1926" s="2">
        <f>TYPE(INDEX(,_xlfn.IMCSC(INDEX(1,))))</f>
        <v>64</v>
      </c>
    </row>
    <row r="1927" spans="1:7" x14ac:dyDescent="0.55000000000000004">
      <c r="A1927" s="1" t="s">
        <v>2144</v>
      </c>
      <c r="B1927" s="2">
        <f>COUNTIF(A:A,A1927)-1</f>
        <v>1</v>
      </c>
      <c r="C1927" s="2">
        <f>COUNTIF(A$1:A1927,A1927)-1</f>
        <v>0</v>
      </c>
      <c r="D1927" s="2"/>
      <c r="E1927" s="2"/>
      <c r="F1927" s="2"/>
      <c r="G1927" s="2"/>
    </row>
    <row r="1928" spans="1:7" x14ac:dyDescent="0.55000000000000004">
      <c r="A1928" s="1" t="s">
        <v>2144</v>
      </c>
      <c r="B1928" s="2">
        <f>COUNTIF(A:A,A1928)-1</f>
        <v>1</v>
      </c>
      <c r="C1928" s="2">
        <f>COUNTIF(A$1:A1928,A1928)-1</f>
        <v>1</v>
      </c>
      <c r="D1928" s="2" t="str">
        <f>_xlfn.IMCSCH(1)</f>
        <v>0.850918128239322</v>
      </c>
      <c r="E1928" s="2" t="b">
        <f>IFERROR(INDEX(ERROR(0),_xlfn.IMCSCH(SET.NAME("_",+INDEX(1,)))),RETURN(INDEX(TYPE(_),SET.NAME("_"))))</f>
        <v>0</v>
      </c>
      <c r="F1928" s="2" t="b">
        <f>IFERROR(INDEX(ERROR(0),_xlfn.IMCSCH(INDIRECT(SET.NAME({1,"_"},)))),RETURN(INDEX(TYPE(_),SET.NAME("_"))))</f>
        <v>0</v>
      </c>
      <c r="G1928" s="2">
        <f>TYPE(INDEX(,_xlfn.IMCSCH(INDEX(1,))))</f>
        <v>64</v>
      </c>
    </row>
    <row r="1929" spans="1:7" x14ac:dyDescent="0.55000000000000004">
      <c r="A1929" s="1" t="s">
        <v>2145</v>
      </c>
      <c r="B1929" s="2">
        <f>COUNTIF(A:A,A1929)-1</f>
        <v>1</v>
      </c>
      <c r="C1929" s="2">
        <f>COUNTIF(A$1:A1929,A1929)-1</f>
        <v>0</v>
      </c>
      <c r="D1929" s="2"/>
      <c r="E1929" s="2"/>
      <c r="F1929" s="2"/>
      <c r="G1929" s="2"/>
    </row>
    <row r="1930" spans="1:7" x14ac:dyDescent="0.55000000000000004">
      <c r="A1930" s="1" t="s">
        <v>2145</v>
      </c>
      <c r="B1930" s="2">
        <f>COUNTIF(A:A,A1930)-1</f>
        <v>1</v>
      </c>
      <c r="C1930" s="2">
        <f>COUNTIF(A$1:A1930,A1930)-1</f>
        <v>1</v>
      </c>
      <c r="D1930" s="2" t="str">
        <f>_xlfn.IMSEC(1)</f>
        <v>1.85081571768093</v>
      </c>
      <c r="E1930" s="2" t="b">
        <f>IFERROR(INDEX(ERROR(0),_xlfn.IMSEC(SET.NAME("_",+INDEX(1,)))),RETURN(INDEX(TYPE(_),SET.NAME("_"))))</f>
        <v>0</v>
      </c>
      <c r="F1930" s="2" t="b">
        <f>IFERROR(INDEX(ERROR(0),_xlfn.IMSEC(INDIRECT(SET.NAME({1,"_"},)))),RETURN(INDEX(TYPE(_),SET.NAME("_"))))</f>
        <v>0</v>
      </c>
      <c r="G1930" s="2">
        <f>TYPE(INDEX(,_xlfn.IMSEC(INDEX(1,))))</f>
        <v>64</v>
      </c>
    </row>
    <row r="1931" spans="1:7" x14ac:dyDescent="0.55000000000000004">
      <c r="A1931" s="1" t="s">
        <v>2146</v>
      </c>
      <c r="B1931" s="2">
        <f>COUNTIF(A:A,A1931)-1</f>
        <v>1</v>
      </c>
      <c r="C1931" s="2">
        <f>COUNTIF(A$1:A1931,A1931)-1</f>
        <v>0</v>
      </c>
      <c r="D1931" s="2"/>
      <c r="E1931" s="2"/>
      <c r="F1931" s="2"/>
      <c r="G1931" s="2"/>
    </row>
    <row r="1932" spans="1:7" x14ac:dyDescent="0.55000000000000004">
      <c r="A1932" s="1" t="s">
        <v>2146</v>
      </c>
      <c r="B1932" s="2">
        <f>COUNTIF(A:A,A1932)-1</f>
        <v>1</v>
      </c>
      <c r="C1932" s="2">
        <f>COUNTIF(A$1:A1932,A1932)-1</f>
        <v>1</v>
      </c>
      <c r="D1932" s="2" t="str">
        <f>_xlfn.IMSECH(1)</f>
        <v>0.648054273663885</v>
      </c>
      <c r="E1932" s="2" t="b">
        <f>IFERROR(INDEX(ERROR(0),_xlfn.IMSECH(SET.NAME("_",+INDEX(1,)))),RETURN(INDEX(TYPE(_),SET.NAME("_"))))</f>
        <v>0</v>
      </c>
      <c r="F1932" s="2" t="b">
        <f>IFERROR(INDEX(ERROR(0),_xlfn.IMSECH(INDIRECT(SET.NAME({1,"_"},)))),RETURN(INDEX(TYPE(_),SET.NAME("_"))))</f>
        <v>0</v>
      </c>
      <c r="G1932" s="2">
        <f>TYPE(INDEX(,_xlfn.IMSECH(INDEX(1,))))</f>
        <v>64</v>
      </c>
    </row>
    <row r="1933" spans="1:7" x14ac:dyDescent="0.55000000000000004">
      <c r="A1933" s="1" t="s">
        <v>2147</v>
      </c>
      <c r="B1933" s="2">
        <f>COUNTIF(A:A,A1933)-1</f>
        <v>2</v>
      </c>
      <c r="C1933" s="2">
        <f>COUNTIF(A$1:A1933,A1933)-1</f>
        <v>0</v>
      </c>
      <c r="D1933" s="2"/>
      <c r="E1933" s="2"/>
      <c r="F1933" s="2"/>
      <c r="G1933" s="2"/>
    </row>
    <row r="1934" spans="1:7" x14ac:dyDescent="0.55000000000000004">
      <c r="A1934" s="1" t="s">
        <v>2147</v>
      </c>
      <c r="B1934" s="2">
        <f>COUNTIF(A:A,A1934)-1</f>
        <v>2</v>
      </c>
      <c r="C1934" s="2">
        <f>COUNTIF(A$1:A1934,A1934)-1</f>
        <v>1</v>
      </c>
      <c r="D1934" s="2" t="e">
        <f>_xlfn.BITAND(1,#REF!)</f>
        <v>#REF!</v>
      </c>
      <c r="E1934" s="2" t="b">
        <f>IFERROR(INDEX(ERROR(0),_xlfn.BITAND(SET.NAME("_",+INDEX(1,)),#REF!)),RETURN(INDEX(TYPE(_),SET.NAME("_"))))</f>
        <v>0</v>
      </c>
      <c r="F1934" s="2" t="b">
        <f>IFERROR(INDEX(ERROR(0),_xlfn.BITAND(INDIRECT(SET.NAME({1,"_"},)),#REF!)),RETURN(INDEX(TYPE(_),SET.NAME("_"))))</f>
        <v>0</v>
      </c>
      <c r="G1934" s="2">
        <f>TYPE(INDEX(,_xlfn.BITAND(INDEX(1,),#REF!)))</f>
        <v>16</v>
      </c>
    </row>
    <row r="1935" spans="1:7" x14ac:dyDescent="0.55000000000000004">
      <c r="A1935" s="1" t="s">
        <v>2147</v>
      </c>
      <c r="B1935" s="2">
        <f>COUNTIF(A:A,A1935)-1</f>
        <v>2</v>
      </c>
      <c r="C1935" s="2">
        <f>COUNTIF(A$1:A1935,A1935)-1</f>
        <v>2</v>
      </c>
      <c r="D1935" s="2" t="e">
        <f>_xlfn.BITAND(#REF!,1)</f>
        <v>#REF!</v>
      </c>
      <c r="E1935" s="2" t="b">
        <f>IFERROR(INDEX(ERROR(0),_xlfn.BITAND(#REF!,SET.NAME("_",+INDEX(1,)))),RETURN(INDEX(TYPE(_),SET.NAME("_"))))</f>
        <v>0</v>
      </c>
      <c r="F1935" s="2" t="b">
        <f>IFERROR(INDEX(ERROR(0),_xlfn.BITAND(#REF!,INDIRECT(SET.NAME({1,"_"},)))),RETURN(INDEX(TYPE(_),SET.NAME("_"))))</f>
        <v>0</v>
      </c>
      <c r="G1935" s="2">
        <f>TYPE(INDEX(,_xlfn.BITAND(#REF!,INDEX(1,))))</f>
        <v>16</v>
      </c>
    </row>
    <row r="1936" spans="1:7" x14ac:dyDescent="0.55000000000000004">
      <c r="A1936" s="1" t="s">
        <v>2148</v>
      </c>
      <c r="B1936" s="2">
        <f>COUNTIF(A:A,A1936)-1</f>
        <v>2</v>
      </c>
      <c r="C1936" s="2">
        <f>COUNTIF(A$1:A1936,A1936)-1</f>
        <v>0</v>
      </c>
      <c r="D1936" s="2"/>
      <c r="E1936" s="2"/>
      <c r="F1936" s="2"/>
      <c r="G1936" s="2"/>
    </row>
    <row r="1937" spans="1:7" x14ac:dyDescent="0.55000000000000004">
      <c r="A1937" s="1" t="s">
        <v>2148</v>
      </c>
      <c r="B1937" s="2">
        <f>COUNTIF(A:A,A1937)-1</f>
        <v>2</v>
      </c>
      <c r="C1937" s="2">
        <f>COUNTIF(A$1:A1937,A1937)-1</f>
        <v>1</v>
      </c>
      <c r="D1937" s="2" t="e">
        <f>_xlfn.BITOR(1,#REF!)</f>
        <v>#REF!</v>
      </c>
      <c r="E1937" s="2" t="b">
        <f>IFERROR(INDEX(ERROR(0),_xlfn.BITOR(SET.NAME("_",+INDEX(1,)),#REF!)),RETURN(INDEX(TYPE(_),SET.NAME("_"))))</f>
        <v>0</v>
      </c>
      <c r="F1937" s="2" t="b">
        <f>IFERROR(INDEX(ERROR(0),_xlfn.BITOR(INDIRECT(SET.NAME({1,"_"},)),#REF!)),RETURN(INDEX(TYPE(_),SET.NAME("_"))))</f>
        <v>0</v>
      </c>
      <c r="G1937" s="2">
        <f>TYPE(INDEX(,_xlfn.BITOR(INDEX(1,),#REF!)))</f>
        <v>16</v>
      </c>
    </row>
    <row r="1938" spans="1:7" x14ac:dyDescent="0.55000000000000004">
      <c r="A1938" s="1" t="s">
        <v>2148</v>
      </c>
      <c r="B1938" s="2">
        <f>COUNTIF(A:A,A1938)-1</f>
        <v>2</v>
      </c>
      <c r="C1938" s="2">
        <f>COUNTIF(A$1:A1938,A1938)-1</f>
        <v>2</v>
      </c>
      <c r="D1938" s="2" t="e">
        <f>_xlfn.BITOR(#REF!,1)</f>
        <v>#REF!</v>
      </c>
      <c r="E1938" s="2" t="b">
        <f>IFERROR(INDEX(ERROR(0),_xlfn.BITOR(#REF!,SET.NAME("_",+INDEX(1,)))),RETURN(INDEX(TYPE(_),SET.NAME("_"))))</f>
        <v>0</v>
      </c>
      <c r="F1938" s="2" t="b">
        <f>IFERROR(INDEX(ERROR(0),_xlfn.BITOR(#REF!,INDIRECT(SET.NAME({1,"_"},)))),RETURN(INDEX(TYPE(_),SET.NAME("_"))))</f>
        <v>0</v>
      </c>
      <c r="G1938" s="2">
        <f>TYPE(INDEX(,_xlfn.BITOR(#REF!,INDEX(1,))))</f>
        <v>16</v>
      </c>
    </row>
    <row r="1939" spans="1:7" x14ac:dyDescent="0.55000000000000004">
      <c r="A1939" s="1" t="s">
        <v>2149</v>
      </c>
      <c r="B1939" s="2">
        <f>COUNTIF(A:A,A1939)-1</f>
        <v>2</v>
      </c>
      <c r="C1939" s="2">
        <f>COUNTIF(A$1:A1939,A1939)-1</f>
        <v>0</v>
      </c>
      <c r="D1939" s="2"/>
      <c r="E1939" s="2"/>
      <c r="F1939" s="2"/>
      <c r="G1939" s="2"/>
    </row>
    <row r="1940" spans="1:7" x14ac:dyDescent="0.55000000000000004">
      <c r="A1940" s="1" t="s">
        <v>2149</v>
      </c>
      <c r="B1940" s="2">
        <f>COUNTIF(A:A,A1940)-1</f>
        <v>2</v>
      </c>
      <c r="C1940" s="2">
        <f>COUNTIF(A$1:A1940,A1940)-1</f>
        <v>1</v>
      </c>
      <c r="D1940" s="2" t="e">
        <f>_xlfn.BITXOR(1,#REF!)</f>
        <v>#REF!</v>
      </c>
      <c r="E1940" s="2" t="b">
        <f>IFERROR(INDEX(ERROR(0),_xlfn.BITXOR(SET.NAME("_",+INDEX(1,)),#REF!)),RETURN(INDEX(TYPE(_),SET.NAME("_"))))</f>
        <v>0</v>
      </c>
      <c r="F1940" s="2" t="b">
        <f>IFERROR(INDEX(ERROR(0),_xlfn.BITXOR(INDIRECT(SET.NAME({1,"_"},)),#REF!)),RETURN(INDEX(TYPE(_),SET.NAME("_"))))</f>
        <v>0</v>
      </c>
      <c r="G1940" s="2">
        <f>TYPE(INDEX(,_xlfn.BITXOR(INDEX(1,),#REF!)))</f>
        <v>16</v>
      </c>
    </row>
    <row r="1941" spans="1:7" x14ac:dyDescent="0.55000000000000004">
      <c r="A1941" s="1" t="s">
        <v>2149</v>
      </c>
      <c r="B1941" s="2">
        <f>COUNTIF(A:A,A1941)-1</f>
        <v>2</v>
      </c>
      <c r="C1941" s="2">
        <f>COUNTIF(A$1:A1941,A1941)-1</f>
        <v>2</v>
      </c>
      <c r="D1941" s="2" t="e">
        <f>_xlfn.BITXOR(#REF!,1)</f>
        <v>#REF!</v>
      </c>
      <c r="E1941" s="2" t="b">
        <f>IFERROR(INDEX(ERROR(0),_xlfn.BITXOR(#REF!,SET.NAME("_",+INDEX(1,)))),RETURN(INDEX(TYPE(_),SET.NAME("_"))))</f>
        <v>0</v>
      </c>
      <c r="F1941" s="2" t="b">
        <f>IFERROR(INDEX(ERROR(0),_xlfn.BITXOR(#REF!,INDIRECT(SET.NAME({1,"_"},)))),RETURN(INDEX(TYPE(_),SET.NAME("_"))))</f>
        <v>0</v>
      </c>
      <c r="G1941" s="2">
        <f>TYPE(INDEX(,_xlfn.BITXOR(#REF!,INDEX(1,))))</f>
        <v>16</v>
      </c>
    </row>
    <row r="1942" spans="1:7" x14ac:dyDescent="0.55000000000000004">
      <c r="A1942" s="1" t="s">
        <v>2150</v>
      </c>
      <c r="B1942" s="2">
        <f>COUNTIF(A:A,A1942)-1</f>
        <v>2</v>
      </c>
      <c r="C1942" s="2">
        <f>COUNTIF(A$1:A1942,A1942)-1</f>
        <v>0</v>
      </c>
      <c r="D1942" s="2"/>
      <c r="E1942" s="2"/>
      <c r="F1942" s="2"/>
      <c r="G1942" s="2"/>
    </row>
    <row r="1943" spans="1:7" x14ac:dyDescent="0.55000000000000004">
      <c r="A1943" s="1" t="s">
        <v>2150</v>
      </c>
      <c r="B1943" s="2">
        <f>COUNTIF(A:A,A1943)-1</f>
        <v>2</v>
      </c>
      <c r="C1943" s="2">
        <f>COUNTIF(A$1:A1943,A1943)-1</f>
        <v>1</v>
      </c>
      <c r="D1943" s="2" t="e">
        <f>_xlfn.BITLSHIFT(1,#REF!)</f>
        <v>#REF!</v>
      </c>
      <c r="E1943" s="2" t="b">
        <f>IFERROR(INDEX(ERROR(0),_xlfn.BITLSHIFT(SET.NAME("_",+INDEX(1,)),#REF!)),RETURN(INDEX(TYPE(_),SET.NAME("_"))))</f>
        <v>0</v>
      </c>
      <c r="F1943" s="2" t="b">
        <f>IFERROR(INDEX(ERROR(0),_xlfn.BITLSHIFT(INDIRECT(SET.NAME({1,"_"},)),#REF!)),RETURN(INDEX(TYPE(_),SET.NAME("_"))))</f>
        <v>0</v>
      </c>
      <c r="G1943" s="2">
        <f>TYPE(INDEX(,_xlfn.BITLSHIFT(INDEX(1,),#REF!)))</f>
        <v>16</v>
      </c>
    </row>
    <row r="1944" spans="1:7" x14ac:dyDescent="0.55000000000000004">
      <c r="A1944" s="1" t="s">
        <v>2150</v>
      </c>
      <c r="B1944" s="2">
        <f>COUNTIF(A:A,A1944)-1</f>
        <v>2</v>
      </c>
      <c r="C1944" s="2">
        <f>COUNTIF(A$1:A1944,A1944)-1</f>
        <v>2</v>
      </c>
      <c r="D1944" s="2" t="e">
        <f>_xlfn.BITLSHIFT(#REF!,1)</f>
        <v>#REF!</v>
      </c>
      <c r="E1944" s="2" t="b">
        <f>IFERROR(INDEX(ERROR(0),_xlfn.BITLSHIFT(#REF!,SET.NAME("_",+INDEX(1,)))),RETURN(INDEX(TYPE(_),SET.NAME("_"))))</f>
        <v>0</v>
      </c>
      <c r="F1944" s="2" t="b">
        <f>IFERROR(INDEX(ERROR(0),_xlfn.BITLSHIFT(#REF!,INDIRECT(SET.NAME({1,"_"},)))),RETURN(INDEX(TYPE(_),SET.NAME("_"))))</f>
        <v>0</v>
      </c>
      <c r="G1944" s="2">
        <f>TYPE(INDEX(,_xlfn.BITLSHIFT(#REF!,INDEX(1,))))</f>
        <v>16</v>
      </c>
    </row>
    <row r="1945" spans="1:7" x14ac:dyDescent="0.55000000000000004">
      <c r="A1945" s="1" t="s">
        <v>2151</v>
      </c>
      <c r="B1945" s="2">
        <f>COUNTIF(A:A,A1945)-1</f>
        <v>2</v>
      </c>
      <c r="C1945" s="2">
        <f>COUNTIF(A$1:A1945,A1945)-1</f>
        <v>0</v>
      </c>
      <c r="D1945" s="2"/>
      <c r="E1945" s="2"/>
      <c r="F1945" s="2"/>
      <c r="G1945" s="2"/>
    </row>
    <row r="1946" spans="1:7" x14ac:dyDescent="0.55000000000000004">
      <c r="A1946" s="1" t="s">
        <v>2151</v>
      </c>
      <c r="B1946" s="2">
        <f>COUNTIF(A:A,A1946)-1</f>
        <v>2</v>
      </c>
      <c r="C1946" s="2">
        <f>COUNTIF(A$1:A1946,A1946)-1</f>
        <v>1</v>
      </c>
      <c r="D1946" s="2" t="e">
        <f>_xlfn.BITRSHIFT(1,#REF!)</f>
        <v>#REF!</v>
      </c>
      <c r="E1946" s="2" t="b">
        <f>IFERROR(INDEX(ERROR(0),_xlfn.BITRSHIFT(SET.NAME("_",+INDEX(1,)),#REF!)),RETURN(INDEX(TYPE(_),SET.NAME("_"))))</f>
        <v>0</v>
      </c>
      <c r="F1946" s="2" t="b">
        <f>IFERROR(INDEX(ERROR(0),_xlfn.BITRSHIFT(INDIRECT(SET.NAME({1,"_"},)),#REF!)),RETURN(INDEX(TYPE(_),SET.NAME("_"))))</f>
        <v>0</v>
      </c>
      <c r="G1946" s="2">
        <f>TYPE(INDEX(,_xlfn.BITRSHIFT(INDEX(1,),#REF!)))</f>
        <v>16</v>
      </c>
    </row>
    <row r="1947" spans="1:7" x14ac:dyDescent="0.55000000000000004">
      <c r="A1947" s="1" t="s">
        <v>2151</v>
      </c>
      <c r="B1947" s="2">
        <f>COUNTIF(A:A,A1947)-1</f>
        <v>2</v>
      </c>
      <c r="C1947" s="2">
        <f>COUNTIF(A$1:A1947,A1947)-1</f>
        <v>2</v>
      </c>
      <c r="D1947" s="2" t="e">
        <f>_xlfn.BITRSHIFT(#REF!,1)</f>
        <v>#REF!</v>
      </c>
      <c r="E1947" s="2" t="b">
        <f>IFERROR(INDEX(ERROR(0),_xlfn.BITRSHIFT(#REF!,SET.NAME("_",+INDEX(1,)))),RETURN(INDEX(TYPE(_),SET.NAME("_"))))</f>
        <v>0</v>
      </c>
      <c r="F1947" s="2" t="b">
        <f>IFERROR(INDEX(ERROR(0),_xlfn.BITRSHIFT(#REF!,INDIRECT(SET.NAME({1,"_"},)))),RETURN(INDEX(TYPE(_),SET.NAME("_"))))</f>
        <v>0</v>
      </c>
      <c r="G1947" s="2">
        <f>TYPE(INDEX(,_xlfn.BITRSHIFT(#REF!,INDEX(1,))))</f>
        <v>16</v>
      </c>
    </row>
    <row r="1948" spans="1:7" x14ac:dyDescent="0.55000000000000004">
      <c r="A1948" s="1" t="s">
        <v>2152</v>
      </c>
      <c r="B1948" s="2">
        <f>COUNTIF(A:A,A1948)-1</f>
        <v>2</v>
      </c>
      <c r="C1948" s="2">
        <f>COUNTIF(A$1:A1948,A1948)-1</f>
        <v>0</v>
      </c>
      <c r="D1948" s="2"/>
      <c r="E1948" s="2"/>
      <c r="F1948" s="2"/>
      <c r="G1948" s="2"/>
    </row>
    <row r="1949" spans="1:7" x14ac:dyDescent="0.55000000000000004">
      <c r="A1949" s="1" t="s">
        <v>2152</v>
      </c>
      <c r="B1949" s="2">
        <f>COUNTIF(A:A,A1949)-1</f>
        <v>2</v>
      </c>
      <c r="C1949" s="2">
        <f>COUNTIF(A$1:A1949,A1949)-1</f>
        <v>1</v>
      </c>
      <c r="D1949" s="2" t="e">
        <f>_xlfn.PERMUTATIONA(1,#REF!)</f>
        <v>#REF!</v>
      </c>
      <c r="E1949" s="2" t="b">
        <f>IFERROR(INDEX(ERROR(0),_xlfn.PERMUTATIONA(SET.NAME("_",+INDEX(1,)),#REF!)),RETURN(INDEX(TYPE(_),SET.NAME("_"))))</f>
        <v>0</v>
      </c>
      <c r="F1949" s="2" t="b">
        <f>IFERROR(INDEX(ERROR(0),_xlfn.PERMUTATIONA(INDIRECT(SET.NAME({1,"_"},)),#REF!)),RETURN(INDEX(TYPE(_),SET.NAME("_"))))</f>
        <v>0</v>
      </c>
      <c r="G1949" s="2">
        <f>TYPE(INDEX(,_xlfn.PERMUTATIONA(INDEX(1,),#REF!)))</f>
        <v>16</v>
      </c>
    </row>
    <row r="1950" spans="1:7" x14ac:dyDescent="0.55000000000000004">
      <c r="A1950" s="1" t="s">
        <v>2152</v>
      </c>
      <c r="B1950" s="2">
        <f>COUNTIF(A:A,A1950)-1</f>
        <v>2</v>
      </c>
      <c r="C1950" s="2">
        <f>COUNTIF(A$1:A1950,A1950)-1</f>
        <v>2</v>
      </c>
      <c r="D1950" s="2" t="e">
        <f>_xlfn.PERMUTATIONA(#REF!,1)</f>
        <v>#REF!</v>
      </c>
      <c r="E1950" s="2" t="b">
        <f>IFERROR(INDEX(ERROR(0),_xlfn.PERMUTATIONA(#REF!,SET.NAME("_",+INDEX(1,)))),RETURN(INDEX(TYPE(_),SET.NAME("_"))))</f>
        <v>0</v>
      </c>
      <c r="F1950" s="2" t="b">
        <f>IFERROR(INDEX(ERROR(0),_xlfn.PERMUTATIONA(#REF!,INDIRECT(SET.NAME({1,"_"},)))),RETURN(INDEX(TYPE(_),SET.NAME("_"))))</f>
        <v>0</v>
      </c>
      <c r="G1950" s="2">
        <f>TYPE(INDEX(,_xlfn.PERMUTATIONA(#REF!,INDEX(1,))))</f>
        <v>16</v>
      </c>
    </row>
    <row r="1951" spans="1:7" x14ac:dyDescent="0.55000000000000004">
      <c r="A1951" s="1" t="s">
        <v>2153</v>
      </c>
      <c r="B1951" s="2">
        <f>COUNTIF(A:A,A1951)-1</f>
        <v>2</v>
      </c>
      <c r="C1951" s="2">
        <f>COUNTIF(A$1:A1951,A1951)-1</f>
        <v>0</v>
      </c>
      <c r="D1951" s="2"/>
      <c r="E1951" s="2"/>
      <c r="F1951" s="2"/>
      <c r="G1951" s="2"/>
    </row>
    <row r="1952" spans="1:7" x14ac:dyDescent="0.55000000000000004">
      <c r="A1952" s="1" t="s">
        <v>2153</v>
      </c>
      <c r="B1952" s="2">
        <f>COUNTIF(A:A,A1952)-1</f>
        <v>2</v>
      </c>
      <c r="C1952" s="2">
        <f>COUNTIF(A$1:A1952,A1952)-1</f>
        <v>1</v>
      </c>
      <c r="D1952" s="2" t="e">
        <f>_xlfn.COMBINA(1,#REF!)</f>
        <v>#REF!</v>
      </c>
      <c r="E1952" s="2" t="b">
        <f>IFERROR(INDEX(ERROR(0),_xlfn.COMBINA(SET.NAME("_",+INDEX(1,)),#REF!)),RETURN(INDEX(TYPE(_),SET.NAME("_"))))</f>
        <v>0</v>
      </c>
      <c r="F1952" s="2" t="b">
        <f>IFERROR(INDEX(ERROR(0),_xlfn.COMBINA(INDIRECT(SET.NAME({1,"_"},)),#REF!)),RETURN(INDEX(TYPE(_),SET.NAME("_"))))</f>
        <v>0</v>
      </c>
      <c r="G1952" s="2">
        <f>TYPE(INDEX(,_xlfn.COMBINA(INDEX(1,),#REF!)))</f>
        <v>16</v>
      </c>
    </row>
    <row r="1953" spans="1:7" x14ac:dyDescent="0.55000000000000004">
      <c r="A1953" s="1" t="s">
        <v>2153</v>
      </c>
      <c r="B1953" s="2">
        <f>COUNTIF(A:A,A1953)-1</f>
        <v>2</v>
      </c>
      <c r="C1953" s="2">
        <f>COUNTIF(A$1:A1953,A1953)-1</f>
        <v>2</v>
      </c>
      <c r="D1953" s="2" t="e">
        <f>_xlfn.COMBINA(#REF!,1)</f>
        <v>#REF!</v>
      </c>
      <c r="E1953" s="2" t="b">
        <f>IFERROR(INDEX(ERROR(0),_xlfn.COMBINA(#REF!,SET.NAME("_",+INDEX(1,)))),RETURN(INDEX(TYPE(_),SET.NAME("_"))))</f>
        <v>0</v>
      </c>
      <c r="F1953" s="2" t="b">
        <f>IFERROR(INDEX(ERROR(0),_xlfn.COMBINA(#REF!,INDIRECT(SET.NAME({1,"_"},)))),RETURN(INDEX(TYPE(_),SET.NAME("_"))))</f>
        <v>0</v>
      </c>
      <c r="G1953" s="2">
        <f>TYPE(INDEX(,_xlfn.COMBINA(#REF!,INDEX(1,))))</f>
        <v>16</v>
      </c>
    </row>
    <row r="1954" spans="1:7" x14ac:dyDescent="0.55000000000000004">
      <c r="A1954" s="1" t="s">
        <v>2154</v>
      </c>
      <c r="B1954" s="2">
        <f>COUNTIF(A:A,A1954)-1</f>
        <v>3</v>
      </c>
      <c r="C1954" s="2">
        <f>COUNTIF(A$1:A1954,A1954)-1</f>
        <v>0</v>
      </c>
      <c r="D1954" s="2"/>
      <c r="E1954" s="2"/>
      <c r="F1954" s="2"/>
      <c r="G1954" s="2"/>
    </row>
    <row r="1955" spans="1:7" x14ac:dyDescent="0.55000000000000004">
      <c r="A1955" s="1" t="s">
        <v>2154</v>
      </c>
      <c r="B1955" s="2">
        <f>COUNTIF(A:A,A1955)-1</f>
        <v>3</v>
      </c>
      <c r="C1955" s="2">
        <f>COUNTIF(A$1:A1955,A1955)-1</f>
        <v>1</v>
      </c>
      <c r="D1955" s="2" t="e">
        <f>_xlfn.XOR(1,#REF!,#REF!)</f>
        <v>#REF!</v>
      </c>
      <c r="E1955" s="2" t="b">
        <f>IFERROR(INDEX(ERROR(0),_xlfn.XOR(SET.NAME("_",+INDEX(1,)),#REF!,#REF!)),RETURN(INDEX(TYPE(_),SET.NAME("_"))))</f>
        <v>0</v>
      </c>
      <c r="F1955" s="2" t="b">
        <f>IFERROR(INDEX(ERROR(0),_xlfn.XOR(INDIRECT(SET.NAME({1,"_"},)),#REF!,#REF!)),RETURN(INDEX(TYPE(_),SET.NAME("_"))))</f>
        <v>0</v>
      </c>
      <c r="G1955" s="2">
        <f>TYPE(INDEX(,_xlfn.XOR(INDEX(1,),#REF!,#REF!)))</f>
        <v>16</v>
      </c>
    </row>
    <row r="1956" spans="1:7" x14ac:dyDescent="0.55000000000000004">
      <c r="A1956" s="1" t="s">
        <v>2154</v>
      </c>
      <c r="B1956" s="2">
        <f>COUNTIF(A:A,A1956)-1</f>
        <v>3</v>
      </c>
      <c r="C1956" s="2">
        <f>COUNTIF(A$1:A1956,A1956)-1</f>
        <v>2</v>
      </c>
      <c r="D1956" s="2" t="e">
        <f>_xlfn.XOR(#REF!,1,#REF!)</f>
        <v>#REF!</v>
      </c>
      <c r="E1956" s="2" t="b">
        <f>IFERROR(INDEX(ERROR(0),_xlfn.XOR(#REF!,SET.NAME("_",+INDEX(1,)),#REF!)),RETURN(INDEX(TYPE(_),SET.NAME("_"))))</f>
        <v>0</v>
      </c>
      <c r="F1956" s="2" t="b">
        <f>IFERROR(INDEX(ERROR(0),_xlfn.XOR(#REF!,INDIRECT(SET.NAME({1,"_"},)),#REF!)),RETURN(INDEX(TYPE(_),SET.NAME("_"))))</f>
        <v>0</v>
      </c>
      <c r="G1956" s="2">
        <f>TYPE(INDEX(,_xlfn.XOR(#REF!,INDEX(1,),#REF!)))</f>
        <v>16</v>
      </c>
    </row>
    <row r="1957" spans="1:7" x14ac:dyDescent="0.55000000000000004">
      <c r="A1957" s="1" t="s">
        <v>2154</v>
      </c>
      <c r="B1957" s="2">
        <f>COUNTIF(A:A,A1957)-1</f>
        <v>3</v>
      </c>
      <c r="C1957" s="2">
        <f>COUNTIF(A$1:A1957,A1957)-1</f>
        <v>3</v>
      </c>
      <c r="D1957" s="2" t="e">
        <f>_xlfn.XOR(#REF!,#REF!,1)</f>
        <v>#REF!</v>
      </c>
      <c r="E1957" s="2" t="b">
        <f>IFERROR(INDEX(ERROR(0),_xlfn.XOR(#REF!,#REF!,SET.NAME("_",+INDEX(1,)))),RETURN(INDEX(TYPE(_),SET.NAME("_"))))</f>
        <v>0</v>
      </c>
      <c r="F1957" s="2" t="b">
        <f>IFERROR(INDEX(ERROR(0),_xlfn.XOR(#REF!,#REF!,INDIRECT(SET.NAME({1,"_"},)))),RETURN(INDEX(TYPE(_),SET.NAME("_"))))</f>
        <v>0</v>
      </c>
      <c r="G1957" s="2">
        <f>TYPE(INDEX(,_xlfn.XOR(#REF!,#REF!,INDEX(1,))))</f>
        <v>16</v>
      </c>
    </row>
    <row r="1958" spans="1:7" x14ac:dyDescent="0.55000000000000004">
      <c r="A1958" s="1" t="s">
        <v>2155</v>
      </c>
      <c r="B1958" s="2">
        <f>COUNTIF(A:A,A1958)-1</f>
        <v>3</v>
      </c>
      <c r="C1958" s="2">
        <f>COUNTIF(A$1:A1958,A1958)-1</f>
        <v>0</v>
      </c>
      <c r="D1958" s="2"/>
      <c r="E1958" s="2"/>
      <c r="F1958" s="2"/>
      <c r="G1958" s="2"/>
    </row>
    <row r="1959" spans="1:7" x14ac:dyDescent="0.55000000000000004">
      <c r="A1959" s="1" t="s">
        <v>2155</v>
      </c>
      <c r="B1959" s="2">
        <f>COUNTIF(A:A,A1959)-1</f>
        <v>3</v>
      </c>
      <c r="C1959" s="2">
        <f>COUNTIF(A$1:A1959,A1959)-1</f>
        <v>1</v>
      </c>
      <c r="D1959" s="2" t="e">
        <f>_xlfn.PDURATION(1,#REF!,#REF!)</f>
        <v>#REF!</v>
      </c>
      <c r="E1959" s="2" t="b">
        <f>IFERROR(INDEX(ERROR(0),_xlfn.PDURATION(SET.NAME("_",+INDEX(1,)),#REF!,#REF!)),RETURN(INDEX(TYPE(_),SET.NAME("_"))))</f>
        <v>0</v>
      </c>
      <c r="F1959" s="2" t="b">
        <f>IFERROR(INDEX(ERROR(0),_xlfn.PDURATION(INDIRECT(SET.NAME({1,"_"},)),#REF!,#REF!)),RETURN(INDEX(TYPE(_),SET.NAME("_"))))</f>
        <v>0</v>
      </c>
      <c r="G1959" s="2">
        <f>TYPE(INDEX(,_xlfn.PDURATION(INDEX(1,),#REF!,#REF!)))</f>
        <v>16</v>
      </c>
    </row>
    <row r="1960" spans="1:7" x14ac:dyDescent="0.55000000000000004">
      <c r="A1960" s="1" t="s">
        <v>2155</v>
      </c>
      <c r="B1960" s="2">
        <f>COUNTIF(A:A,A1960)-1</f>
        <v>3</v>
      </c>
      <c r="C1960" s="2">
        <f>COUNTIF(A$1:A1960,A1960)-1</f>
        <v>2</v>
      </c>
      <c r="D1960" s="2" t="e">
        <f>_xlfn.PDURATION(#REF!,1,#REF!)</f>
        <v>#REF!</v>
      </c>
      <c r="E1960" s="2" t="b">
        <f>IFERROR(INDEX(ERROR(0),_xlfn.PDURATION(#REF!,SET.NAME("_",+INDEX(1,)),#REF!)),RETURN(INDEX(TYPE(_),SET.NAME("_"))))</f>
        <v>0</v>
      </c>
      <c r="F1960" s="2" t="b">
        <f>IFERROR(INDEX(ERROR(0),_xlfn.PDURATION(#REF!,INDIRECT(SET.NAME({1,"_"},)),#REF!)),RETURN(INDEX(TYPE(_),SET.NAME("_"))))</f>
        <v>0</v>
      </c>
      <c r="G1960" s="2">
        <f>TYPE(INDEX(,_xlfn.PDURATION(#REF!,INDEX(1,),#REF!)))</f>
        <v>16</v>
      </c>
    </row>
    <row r="1961" spans="1:7" x14ac:dyDescent="0.55000000000000004">
      <c r="A1961" s="1" t="s">
        <v>2155</v>
      </c>
      <c r="B1961" s="2">
        <f>COUNTIF(A:A,A1961)-1</f>
        <v>3</v>
      </c>
      <c r="C1961" s="2">
        <f>COUNTIF(A$1:A1961,A1961)-1</f>
        <v>3</v>
      </c>
      <c r="D1961" s="2" t="e">
        <f>_xlfn.PDURATION(#REF!,#REF!,1)</f>
        <v>#REF!</v>
      </c>
      <c r="E1961" s="2" t="b">
        <f>IFERROR(INDEX(ERROR(0),_xlfn.PDURATION(#REF!,#REF!,SET.NAME("_",+INDEX(1,)))),RETURN(INDEX(TYPE(_),SET.NAME("_"))))</f>
        <v>0</v>
      </c>
      <c r="F1961" s="2" t="b">
        <f>IFERROR(INDEX(ERROR(0),_xlfn.PDURATION(#REF!,#REF!,INDIRECT(SET.NAME({1,"_"},)))),RETURN(INDEX(TYPE(_),SET.NAME("_"))))</f>
        <v>0</v>
      </c>
      <c r="G1961" s="2">
        <f>TYPE(INDEX(,_xlfn.PDURATION(#REF!,#REF!,INDEX(1,))))</f>
        <v>16</v>
      </c>
    </row>
    <row r="1962" spans="1:7" x14ac:dyDescent="0.55000000000000004">
      <c r="A1962" s="1" t="s">
        <v>2156</v>
      </c>
      <c r="B1962" s="2">
        <f>COUNTIF(A:A,A1962)-1</f>
        <v>3</v>
      </c>
      <c r="C1962" s="2">
        <f>COUNTIF(A$1:A1962,A1962)-1</f>
        <v>0</v>
      </c>
      <c r="D1962" s="2"/>
      <c r="E1962" s="2"/>
      <c r="F1962" s="2"/>
      <c r="G1962" s="2"/>
    </row>
    <row r="1963" spans="1:7" x14ac:dyDescent="0.55000000000000004">
      <c r="A1963" s="1" t="s">
        <v>2156</v>
      </c>
      <c r="B1963" s="2">
        <f>COUNTIF(A:A,A1963)-1</f>
        <v>3</v>
      </c>
      <c r="C1963" s="2">
        <f>COUNTIF(A$1:A1963,A1963)-1</f>
        <v>1</v>
      </c>
      <c r="D1963" s="2" t="e">
        <f>_xlfn.BASE(1,#REF!,#REF!)</f>
        <v>#REF!</v>
      </c>
      <c r="E1963" s="2" t="b">
        <f>IFERROR(INDEX(ERROR(0),_xlfn.BASE(SET.NAME("_",+INDEX(1,)),#REF!,#REF!)),RETURN(INDEX(TYPE(_),SET.NAME("_"))))</f>
        <v>0</v>
      </c>
      <c r="F1963" s="2" t="b">
        <f>IFERROR(INDEX(ERROR(0),_xlfn.BASE(INDIRECT(SET.NAME({1,"_"},)),#REF!,#REF!)),RETURN(INDEX(TYPE(_),SET.NAME("_"))))</f>
        <v>0</v>
      </c>
      <c r="G1963" s="2">
        <f>TYPE(INDEX(,_xlfn.BASE(INDEX(1,),#REF!,#REF!)))</f>
        <v>16</v>
      </c>
    </row>
    <row r="1964" spans="1:7" x14ac:dyDescent="0.55000000000000004">
      <c r="A1964" s="1" t="s">
        <v>2156</v>
      </c>
      <c r="B1964" s="2">
        <f>COUNTIF(A:A,A1964)-1</f>
        <v>3</v>
      </c>
      <c r="C1964" s="2">
        <f>COUNTIF(A$1:A1964,A1964)-1</f>
        <v>2</v>
      </c>
      <c r="D1964" s="2" t="e">
        <f>_xlfn.BASE(#REF!,1,#REF!)</f>
        <v>#REF!</v>
      </c>
      <c r="E1964" s="2" t="b">
        <f>IFERROR(INDEX(ERROR(0),_xlfn.BASE(#REF!,SET.NAME("_",+INDEX(1,)),#REF!)),RETURN(INDEX(TYPE(_),SET.NAME("_"))))</f>
        <v>0</v>
      </c>
      <c r="F1964" s="2" t="b">
        <f>IFERROR(INDEX(ERROR(0),_xlfn.BASE(#REF!,INDIRECT(SET.NAME({1,"_"},)),#REF!)),RETURN(INDEX(TYPE(_),SET.NAME("_"))))</f>
        <v>0</v>
      </c>
      <c r="G1964" s="2">
        <f>TYPE(INDEX(,_xlfn.BASE(#REF!,INDEX(1,),#REF!)))</f>
        <v>16</v>
      </c>
    </row>
    <row r="1965" spans="1:7" x14ac:dyDescent="0.55000000000000004">
      <c r="A1965" s="1" t="s">
        <v>2156</v>
      </c>
      <c r="B1965" s="2">
        <f>COUNTIF(A:A,A1965)-1</f>
        <v>3</v>
      </c>
      <c r="C1965" s="2">
        <f>COUNTIF(A$1:A1965,A1965)-1</f>
        <v>3</v>
      </c>
      <c r="D1965" s="2" t="e">
        <f>_xlfn.BASE(#REF!,#REF!,1)</f>
        <v>#REF!</v>
      </c>
      <c r="E1965" s="2" t="b">
        <f>IFERROR(INDEX(ERROR(0),_xlfn.BASE(#REF!,#REF!,SET.NAME("_",+INDEX(1,)))),RETURN(INDEX(TYPE(_),SET.NAME("_"))))</f>
        <v>0</v>
      </c>
      <c r="F1965" s="2" t="b">
        <f>IFERROR(INDEX(ERROR(0),_xlfn.BASE(#REF!,#REF!,INDIRECT(SET.NAME({1,"_"},)))),RETURN(INDEX(TYPE(_),SET.NAME("_"))))</f>
        <v>0</v>
      </c>
      <c r="G1965" s="2">
        <f>TYPE(INDEX(,_xlfn.BASE(#REF!,#REF!,INDEX(1,))))</f>
        <v>16</v>
      </c>
    </row>
    <row r="1966" spans="1:7" x14ac:dyDescent="0.55000000000000004">
      <c r="A1966" s="1" t="s">
        <v>2157</v>
      </c>
      <c r="B1966" s="2">
        <f>COUNTIF(A:A,A1966)-1</f>
        <v>2</v>
      </c>
      <c r="C1966" s="2">
        <f>COUNTIF(A$1:A1966,A1966)-1</f>
        <v>0</v>
      </c>
      <c r="D1966" s="2"/>
      <c r="E1966" s="2"/>
      <c r="F1966" s="2"/>
      <c r="G1966" s="2"/>
    </row>
    <row r="1967" spans="1:7" x14ac:dyDescent="0.55000000000000004">
      <c r="A1967" s="1" t="s">
        <v>2157</v>
      </c>
      <c r="B1967" s="2">
        <f>COUNTIF(A:A,A1967)-1</f>
        <v>2</v>
      </c>
      <c r="C1967" s="2">
        <f>COUNTIF(A$1:A1967,A1967)-1</f>
        <v>1</v>
      </c>
      <c r="D1967" s="2" t="e">
        <f>_xlfn.DECIMAL(1,#REF!)</f>
        <v>#REF!</v>
      </c>
      <c r="E1967" s="2" t="b">
        <f>IFERROR(INDEX(ERROR(0),_xlfn.DECIMAL(SET.NAME("_",+INDEX(1,)),#REF!)),RETURN(INDEX(TYPE(_),SET.NAME("_"))))</f>
        <v>0</v>
      </c>
      <c r="F1967" s="2" t="b">
        <f>IFERROR(INDEX(ERROR(0),_xlfn.DECIMAL(INDIRECT(SET.NAME({1,"_"},)),#REF!)),RETURN(INDEX(TYPE(_),SET.NAME("_"))))</f>
        <v>0</v>
      </c>
      <c r="G1967" s="2">
        <f>TYPE(INDEX(,_xlfn.DECIMAL(INDEX(1,),#REF!)))</f>
        <v>16</v>
      </c>
    </row>
    <row r="1968" spans="1:7" x14ac:dyDescent="0.55000000000000004">
      <c r="A1968" s="1" t="s">
        <v>2157</v>
      </c>
      <c r="B1968" s="2">
        <f>COUNTIF(A:A,A1968)-1</f>
        <v>2</v>
      </c>
      <c r="C1968" s="2">
        <f>COUNTIF(A$1:A1968,A1968)-1</f>
        <v>2</v>
      </c>
      <c r="D1968" s="2" t="e">
        <f>_xlfn.DECIMAL(#REF!,1)</f>
        <v>#REF!</v>
      </c>
      <c r="E1968" s="2" t="b">
        <f>IFERROR(INDEX(ERROR(0),_xlfn.DECIMAL(#REF!,SET.NAME("_",+INDEX(1,)))),RETURN(INDEX(TYPE(_),SET.NAME("_"))))</f>
        <v>0</v>
      </c>
      <c r="F1968" s="2" t="b">
        <f>IFERROR(INDEX(ERROR(0),_xlfn.DECIMAL(#REF!,INDIRECT(SET.NAME({1,"_"},)))),RETURN(INDEX(TYPE(_),SET.NAME("_"))))</f>
        <v>0</v>
      </c>
      <c r="G1968" s="2">
        <f>TYPE(INDEX(,_xlfn.DECIMAL(#REF!,INDEX(1,))))</f>
        <v>16</v>
      </c>
    </row>
    <row r="1969" spans="1:7" x14ac:dyDescent="0.55000000000000004">
      <c r="A1969" s="1" t="s">
        <v>2158</v>
      </c>
      <c r="B1969" s="2">
        <f>COUNTIF(A:A,A1969)-1</f>
        <v>2</v>
      </c>
      <c r="C1969" s="2">
        <f>COUNTIF(A$1:A1969,A1969)-1</f>
        <v>0</v>
      </c>
      <c r="D1969" s="2"/>
      <c r="E1969" s="2"/>
      <c r="F1969" s="2"/>
      <c r="G1969" s="2"/>
    </row>
    <row r="1970" spans="1:7" x14ac:dyDescent="0.55000000000000004">
      <c r="A1970" s="1" t="s">
        <v>2158</v>
      </c>
      <c r="B1970" s="2">
        <f>COUNTIF(A:A,A1970)-1</f>
        <v>2</v>
      </c>
      <c r="C1970" s="2">
        <f>COUNTIF(A$1:A1970,A1970)-1</f>
        <v>1</v>
      </c>
      <c r="D1970" s="2" t="e">
        <f>_xlfn.DAYS(1,#REF!)</f>
        <v>#REF!</v>
      </c>
      <c r="E1970" s="2" t="b">
        <f>IFERROR(INDEX(ERROR(0),_xlfn.DAYS(SET.NAME("_",+INDEX(1,)),#REF!)),RETURN(INDEX(TYPE(_),SET.NAME("_"))))</f>
        <v>0</v>
      </c>
      <c r="F1970" s="2" t="b">
        <f>IFERROR(INDEX(ERROR(0),_xlfn.DAYS(INDIRECT(SET.NAME({1,"_"},)),#REF!)),RETURN(INDEX(TYPE(_),SET.NAME("_"))))</f>
        <v>0</v>
      </c>
      <c r="G1970" s="2">
        <f>TYPE(INDEX(,_xlfn.DAYS(INDEX(1,),#REF!)))</f>
        <v>16</v>
      </c>
    </row>
    <row r="1971" spans="1:7" x14ac:dyDescent="0.55000000000000004">
      <c r="A1971" s="1" t="s">
        <v>2158</v>
      </c>
      <c r="B1971" s="2">
        <f>COUNTIF(A:A,A1971)-1</f>
        <v>2</v>
      </c>
      <c r="C1971" s="2">
        <f>COUNTIF(A$1:A1971,A1971)-1</f>
        <v>2</v>
      </c>
      <c r="D1971" s="2" t="e">
        <f>_xlfn.DAYS(#REF!,1)</f>
        <v>#REF!</v>
      </c>
      <c r="E1971" s="2" t="b">
        <f>IFERROR(INDEX(ERROR(0),_xlfn.DAYS(#REF!,SET.NAME("_",+INDEX(1,)))),RETURN(INDEX(TYPE(_),SET.NAME("_"))))</f>
        <v>0</v>
      </c>
      <c r="F1971" s="2" t="b">
        <f>IFERROR(INDEX(ERROR(0),_xlfn.DAYS(#REF!,INDIRECT(SET.NAME({1,"_"},)))),RETURN(INDEX(TYPE(_),SET.NAME("_"))))</f>
        <v>0</v>
      </c>
      <c r="G1971" s="2">
        <f>TYPE(INDEX(,_xlfn.DAYS(#REF!,INDEX(1,))))</f>
        <v>16</v>
      </c>
    </row>
    <row r="1972" spans="1:7" x14ac:dyDescent="0.55000000000000004">
      <c r="A1972" s="1" t="s">
        <v>2159</v>
      </c>
      <c r="B1972" s="2">
        <f>COUNTIF(A:A,A1972)-1</f>
        <v>4</v>
      </c>
      <c r="C1972" s="2">
        <f>COUNTIF(A$1:A1972,A1972)-1</f>
        <v>0</v>
      </c>
      <c r="D1972" s="2"/>
      <c r="E1972" s="2"/>
      <c r="F1972" s="2"/>
      <c r="G1972" s="2"/>
    </row>
    <row r="1973" spans="1:7" x14ac:dyDescent="0.55000000000000004">
      <c r="A1973" s="1" t="s">
        <v>2159</v>
      </c>
      <c r="B1973" s="2">
        <f>COUNTIF(A:A,A1973)-1</f>
        <v>4</v>
      </c>
      <c r="C1973" s="2">
        <f>COUNTIF(A$1:A1973,A1973)-1</f>
        <v>1</v>
      </c>
      <c r="D1973" s="2" t="e">
        <f>_xlfn.BINOM.DIST.RANGE(1,#REF!,#REF!,#REF!)</f>
        <v>#REF!</v>
      </c>
      <c r="E1973" s="2" t="b">
        <f>IFERROR(INDEX(ERROR(0),_xlfn.BINOM.DIST.RANGE(SET.NAME("_",+INDEX(1,)),#REF!,#REF!,#REF!)),RETURN(INDEX(TYPE(_),SET.NAME("_"))))</f>
        <v>0</v>
      </c>
      <c r="F1973" s="2" t="b">
        <f>IFERROR(INDEX(ERROR(0),_xlfn.BINOM.DIST.RANGE(INDIRECT(SET.NAME({1,"_"},)),#REF!,#REF!,#REF!)),RETURN(INDEX(TYPE(_),SET.NAME("_"))))</f>
        <v>0</v>
      </c>
      <c r="G1973" s="2">
        <f>TYPE(INDEX(,_xlfn.BINOM.DIST.RANGE(INDEX(1,),#REF!,#REF!,#REF!)))</f>
        <v>16</v>
      </c>
    </row>
    <row r="1974" spans="1:7" x14ac:dyDescent="0.55000000000000004">
      <c r="A1974" s="1" t="s">
        <v>2159</v>
      </c>
      <c r="B1974" s="2">
        <f>COUNTIF(A:A,A1974)-1</f>
        <v>4</v>
      </c>
      <c r="C1974" s="2">
        <f>COUNTIF(A$1:A1974,A1974)-1</f>
        <v>2</v>
      </c>
      <c r="D1974" s="2" t="e">
        <f>_xlfn.BINOM.DIST.RANGE(#REF!,1,#REF!,#REF!)</f>
        <v>#REF!</v>
      </c>
      <c r="E1974" s="2" t="b">
        <f>IFERROR(INDEX(ERROR(0),_xlfn.BINOM.DIST.RANGE(#REF!,SET.NAME("_",+INDEX(1,)),#REF!,#REF!)),RETURN(INDEX(TYPE(_),SET.NAME("_"))))</f>
        <v>0</v>
      </c>
      <c r="F1974" s="2" t="b">
        <f>IFERROR(INDEX(ERROR(0),_xlfn.BINOM.DIST.RANGE(#REF!,INDIRECT(SET.NAME({1,"_"},)),#REF!,#REF!)),RETURN(INDEX(TYPE(_),SET.NAME("_"))))</f>
        <v>0</v>
      </c>
      <c r="G1974" s="2">
        <f>TYPE(INDEX(,_xlfn.BINOM.DIST.RANGE(#REF!,INDEX(1,),#REF!,#REF!)))</f>
        <v>16</v>
      </c>
    </row>
    <row r="1975" spans="1:7" x14ac:dyDescent="0.55000000000000004">
      <c r="A1975" s="1" t="s">
        <v>2159</v>
      </c>
      <c r="B1975" s="2">
        <f>COUNTIF(A:A,A1975)-1</f>
        <v>4</v>
      </c>
      <c r="C1975" s="2">
        <f>COUNTIF(A$1:A1975,A1975)-1</f>
        <v>3</v>
      </c>
      <c r="D1975" s="2" t="e">
        <f>_xlfn.BINOM.DIST.RANGE(#REF!,#REF!,1,#REF!)</f>
        <v>#REF!</v>
      </c>
      <c r="E1975" s="2" t="b">
        <f>IFERROR(INDEX(ERROR(0),_xlfn.BINOM.DIST.RANGE(#REF!,#REF!,SET.NAME("_",+INDEX(1,)),#REF!)),RETURN(INDEX(TYPE(_),SET.NAME("_"))))</f>
        <v>0</v>
      </c>
      <c r="F1975" s="2" t="b">
        <f>IFERROR(INDEX(ERROR(0),_xlfn.BINOM.DIST.RANGE(#REF!,#REF!,INDIRECT(SET.NAME({1,"_"},)),#REF!)),RETURN(INDEX(TYPE(_),SET.NAME("_"))))</f>
        <v>0</v>
      </c>
      <c r="G1975" s="2">
        <f>TYPE(INDEX(,_xlfn.BINOM.DIST.RANGE(#REF!,#REF!,INDEX(1,),#REF!)))</f>
        <v>16</v>
      </c>
    </row>
    <row r="1976" spans="1:7" x14ac:dyDescent="0.55000000000000004">
      <c r="A1976" s="1" t="s">
        <v>2159</v>
      </c>
      <c r="B1976" s="2">
        <f>COUNTIF(A:A,A1976)-1</f>
        <v>4</v>
      </c>
      <c r="C1976" s="2">
        <f>COUNTIF(A$1:A1976,A1976)-1</f>
        <v>4</v>
      </c>
      <c r="D1976" s="2" t="e">
        <f>_xlfn.BINOM.DIST.RANGE(#REF!,#REF!,#REF!,1)</f>
        <v>#REF!</v>
      </c>
      <c r="E1976" s="2" t="b">
        <f>IFERROR(INDEX(ERROR(0),_xlfn.BINOM.DIST.RANGE(#REF!,#REF!,#REF!,SET.NAME("_",+INDEX(1,)))),RETURN(INDEX(TYPE(_),SET.NAME("_"))))</f>
        <v>0</v>
      </c>
      <c r="F1976" s="2" t="b">
        <f>IFERROR(INDEX(ERROR(0),_xlfn.BINOM.DIST.RANGE(#REF!,#REF!,#REF!,INDIRECT(SET.NAME({1,"_"},)))),RETURN(INDEX(TYPE(_),SET.NAME("_"))))</f>
        <v>0</v>
      </c>
      <c r="G1976" s="2">
        <f>TYPE(INDEX(,_xlfn.BINOM.DIST.RANGE(#REF!,#REF!,#REF!,INDEX(1,))))</f>
        <v>16</v>
      </c>
    </row>
    <row r="1977" spans="1:7" x14ac:dyDescent="0.55000000000000004">
      <c r="A1977" s="1" t="s">
        <v>2160</v>
      </c>
      <c r="B1977" s="2">
        <f>COUNTIF(A:A,A1977)-1</f>
        <v>1</v>
      </c>
      <c r="C1977" s="2">
        <f>COUNTIF(A$1:A1977,A1977)-1</f>
        <v>0</v>
      </c>
      <c r="D1977" s="2"/>
      <c r="E1977" s="2"/>
      <c r="F1977" s="2"/>
      <c r="G1977" s="2"/>
    </row>
    <row r="1978" spans="1:7" x14ac:dyDescent="0.55000000000000004">
      <c r="A1978" s="1" t="s">
        <v>2160</v>
      </c>
      <c r="B1978" s="2">
        <f>COUNTIF(A:A,A1978)-1</f>
        <v>1</v>
      </c>
      <c r="C1978" s="2">
        <f>COUNTIF(A$1:A1978,A1978)-1</f>
        <v>1</v>
      </c>
      <c r="D1978" s="2">
        <f>_xlfn.GAMMA(1)</f>
        <v>1</v>
      </c>
      <c r="E1978" s="2" t="b">
        <f>IFERROR(INDEX(ERROR(0),_xlfn.GAMMA(SET.NAME("_",+INDEX(1,)))),RETURN(INDEX(TYPE(_),SET.NAME("_"))))</f>
        <v>0</v>
      </c>
      <c r="F1978" s="2" t="b">
        <f>IFERROR(INDEX(ERROR(0),_xlfn.GAMMA(INDIRECT(SET.NAME({1,"_"},)))),RETURN(INDEX(TYPE(_),SET.NAME("_"))))</f>
        <v>0</v>
      </c>
      <c r="G1978" s="2">
        <f>TYPE(INDEX(,_xlfn.GAMMA(INDEX(1,))))</f>
        <v>16</v>
      </c>
    </row>
    <row r="1979" spans="1:7" x14ac:dyDescent="0.55000000000000004">
      <c r="A1979" s="1" t="s">
        <v>2161</v>
      </c>
      <c r="B1979" s="2">
        <f>COUNTIF(A:A,A1979)-1</f>
        <v>3</v>
      </c>
      <c r="C1979" s="2">
        <f>COUNTIF(A$1:A1979,A1979)-1</f>
        <v>0</v>
      </c>
      <c r="D1979" s="2"/>
      <c r="E1979" s="2"/>
      <c r="F1979" s="2"/>
      <c r="G1979" s="2"/>
    </row>
    <row r="1980" spans="1:7" x14ac:dyDescent="0.55000000000000004">
      <c r="A1980" s="1" t="s">
        <v>2161</v>
      </c>
      <c r="B1980" s="2">
        <f>COUNTIF(A:A,A1980)-1</f>
        <v>3</v>
      </c>
      <c r="C1980" s="2">
        <f>COUNTIF(A$1:A1980,A1980)-1</f>
        <v>1</v>
      </c>
      <c r="D1980" s="2" t="e">
        <f>_xlfn.SKEW.P(1,#REF!,#REF!)</f>
        <v>#REF!</v>
      </c>
      <c r="E1980" s="2" t="b">
        <f>IFERROR(INDEX(ERROR(0),_xlfn.SKEW.P(SET.NAME("_",+INDEX(1,)),#REF!,#REF!)),RETURN(INDEX(TYPE(_),SET.NAME("_"))))</f>
        <v>0</v>
      </c>
      <c r="F1980" s="2" t="b">
        <f>IFERROR(INDEX(ERROR(0),_xlfn.SKEW.P(INDIRECT(SET.NAME({1,"_"},)),#REF!,#REF!)),RETURN(INDEX(TYPE(_),SET.NAME("_"))))</f>
        <v>0</v>
      </c>
      <c r="G1980" s="2">
        <f>TYPE(INDEX(,_xlfn.SKEW.P(INDEX(1,),#REF!,#REF!)))</f>
        <v>16</v>
      </c>
    </row>
    <row r="1981" spans="1:7" x14ac:dyDescent="0.55000000000000004">
      <c r="A1981" s="1" t="s">
        <v>2161</v>
      </c>
      <c r="B1981" s="2">
        <f>COUNTIF(A:A,A1981)-1</f>
        <v>3</v>
      </c>
      <c r="C1981" s="2">
        <f>COUNTIF(A$1:A1981,A1981)-1</f>
        <v>2</v>
      </c>
      <c r="D1981" s="2" t="e">
        <f>_xlfn.SKEW.P(#REF!,1,#REF!)</f>
        <v>#REF!</v>
      </c>
      <c r="E1981" s="2" t="b">
        <f>IFERROR(INDEX(ERROR(0),_xlfn.SKEW.P(#REF!,SET.NAME("_",+INDEX(1,)),#REF!)),RETURN(INDEX(TYPE(_),SET.NAME("_"))))</f>
        <v>0</v>
      </c>
      <c r="F1981" s="2" t="b">
        <f>IFERROR(INDEX(ERROR(0),_xlfn.SKEW.P(#REF!,INDIRECT(SET.NAME({1,"_"},)),#REF!)),RETURN(INDEX(TYPE(_),SET.NAME("_"))))</f>
        <v>0</v>
      </c>
      <c r="G1981" s="2">
        <f>TYPE(INDEX(,_xlfn.SKEW.P(#REF!,INDEX(1,),#REF!)))</f>
        <v>16</v>
      </c>
    </row>
    <row r="1982" spans="1:7" x14ac:dyDescent="0.55000000000000004">
      <c r="A1982" s="1" t="s">
        <v>2161</v>
      </c>
      <c r="B1982" s="2">
        <f>COUNTIF(A:A,A1982)-1</f>
        <v>3</v>
      </c>
      <c r="C1982" s="2">
        <f>COUNTIF(A$1:A1982,A1982)-1</f>
        <v>3</v>
      </c>
      <c r="D1982" s="2" t="e">
        <f>_xlfn.SKEW.P(#REF!,#REF!,1)</f>
        <v>#REF!</v>
      </c>
      <c r="E1982" s="2" t="b">
        <f>IFERROR(INDEX(ERROR(0),_xlfn.SKEW.P(#REF!,#REF!,SET.NAME("_",+INDEX(1,)))),RETURN(INDEX(TYPE(_),SET.NAME("_"))))</f>
        <v>0</v>
      </c>
      <c r="F1982" s="2" t="b">
        <f>IFERROR(INDEX(ERROR(0),_xlfn.SKEW.P(#REF!,#REF!,INDIRECT(SET.NAME({1,"_"},)))),RETURN(INDEX(TYPE(_),SET.NAME("_"))))</f>
        <v>0</v>
      </c>
      <c r="G1982" s="2">
        <f>TYPE(INDEX(,_xlfn.SKEW.P(#REF!,#REF!,INDEX(1,))))</f>
        <v>16</v>
      </c>
    </row>
    <row r="1983" spans="1:7" x14ac:dyDescent="0.55000000000000004">
      <c r="A1983" s="1" t="s">
        <v>2162</v>
      </c>
      <c r="B1983" s="2">
        <f>COUNTIF(A:A,A1983)-1</f>
        <v>1</v>
      </c>
      <c r="C1983" s="2">
        <f>COUNTIF(A$1:A1983,A1983)-1</f>
        <v>0</v>
      </c>
      <c r="D1983" s="2"/>
      <c r="E1983" s="2"/>
      <c r="F1983" s="2"/>
      <c r="G1983" s="2"/>
    </row>
    <row r="1984" spans="1:7" x14ac:dyDescent="0.55000000000000004">
      <c r="A1984" s="1" t="s">
        <v>2162</v>
      </c>
      <c r="B1984" s="2">
        <f>COUNTIF(A:A,A1984)-1</f>
        <v>1</v>
      </c>
      <c r="C1984" s="2">
        <f>COUNTIF(A$1:A1984,A1984)-1</f>
        <v>1</v>
      </c>
      <c r="D1984" s="2">
        <f>_xlfn.GAUSS(1)</f>
        <v>0.34134474606854304</v>
      </c>
      <c r="E1984" s="2" t="b">
        <f>IFERROR(INDEX(ERROR(0),_xlfn.GAUSS(SET.NAME("_",+INDEX(1,)))),RETURN(INDEX(TYPE(_),SET.NAME("_"))))</f>
        <v>0</v>
      </c>
      <c r="F1984" s="2" t="b">
        <f>IFERROR(INDEX(ERROR(0),_xlfn.GAUSS(INDIRECT(SET.NAME({1,"_"},)))),RETURN(INDEX(TYPE(_),SET.NAME("_"))))</f>
        <v>0</v>
      </c>
      <c r="G1984" s="2">
        <f>TYPE(INDEX(,_xlfn.GAUSS(INDEX(1,))))</f>
        <v>16</v>
      </c>
    </row>
    <row r="1985" spans="1:7" x14ac:dyDescent="0.55000000000000004">
      <c r="A1985" s="1" t="s">
        <v>2163</v>
      </c>
      <c r="B1985" s="2">
        <f>COUNTIF(A:A,A1985)-1</f>
        <v>1</v>
      </c>
      <c r="C1985" s="2">
        <f>COUNTIF(A$1:A1985,A1985)-1</f>
        <v>0</v>
      </c>
      <c r="D1985" s="2"/>
      <c r="E1985" s="2"/>
      <c r="F1985" s="2"/>
      <c r="G1985" s="2"/>
    </row>
    <row r="1986" spans="1:7" x14ac:dyDescent="0.55000000000000004">
      <c r="A1986" s="1" t="s">
        <v>2163</v>
      </c>
      <c r="B1986" s="2">
        <f>COUNTIF(A:A,A1986)-1</f>
        <v>1</v>
      </c>
      <c r="C1986" s="2">
        <f>COUNTIF(A$1:A1986,A1986)-1</f>
        <v>1</v>
      </c>
      <c r="D1986" s="2">
        <f>_xlfn.PHI(1)</f>
        <v>0.24197072451914337</v>
      </c>
      <c r="E1986" s="2" t="b">
        <f>IFERROR(INDEX(ERROR(0),_xlfn.PHI(SET.NAME("_",+INDEX(1,)))),RETURN(INDEX(TYPE(_),SET.NAME("_"))))</f>
        <v>0</v>
      </c>
      <c r="F1986" s="2" t="b">
        <f>IFERROR(INDEX(ERROR(0),_xlfn.PHI(INDIRECT(SET.NAME({1,"_"},)))),RETURN(INDEX(TYPE(_),SET.NAME("_"))))</f>
        <v>0</v>
      </c>
      <c r="G1986" s="2">
        <f>TYPE(INDEX(,_xlfn.PHI(INDEX(1,))))</f>
        <v>16</v>
      </c>
    </row>
    <row r="1987" spans="1:7" x14ac:dyDescent="0.55000000000000004">
      <c r="A1987" s="1" t="s">
        <v>2164</v>
      </c>
      <c r="B1987" s="2">
        <f>COUNTIF(A:A,A1987)-1</f>
        <v>3</v>
      </c>
      <c r="C1987" s="2">
        <f>COUNTIF(A$1:A1987,A1987)-1</f>
        <v>0</v>
      </c>
      <c r="D1987" s="2"/>
      <c r="E1987" s="2"/>
      <c r="F1987" s="2"/>
      <c r="G1987" s="2"/>
    </row>
    <row r="1988" spans="1:7" x14ac:dyDescent="0.55000000000000004">
      <c r="A1988" s="1" t="s">
        <v>2164</v>
      </c>
      <c r="B1988" s="2">
        <f>COUNTIF(A:A,A1988)-1</f>
        <v>3</v>
      </c>
      <c r="C1988" s="2">
        <f>COUNTIF(A$1:A1988,A1988)-1</f>
        <v>1</v>
      </c>
      <c r="D1988" s="2" t="e">
        <f>_xlfn.RRI(1,#REF!,#REF!)</f>
        <v>#REF!</v>
      </c>
      <c r="E1988" s="2" t="b">
        <f>IFERROR(INDEX(ERROR(0),_xlfn.RRI(SET.NAME("_",+INDEX(1,)),#REF!,#REF!)),RETURN(INDEX(TYPE(_),SET.NAME("_"))))</f>
        <v>0</v>
      </c>
      <c r="F1988" s="2" t="b">
        <f>IFERROR(INDEX(ERROR(0),_xlfn.RRI(INDIRECT(SET.NAME({1,"_"},)),#REF!,#REF!)),RETURN(INDEX(TYPE(_),SET.NAME("_"))))</f>
        <v>0</v>
      </c>
      <c r="G1988" s="2">
        <f>TYPE(INDEX(,_xlfn.RRI(INDEX(1,),#REF!,#REF!)))</f>
        <v>16</v>
      </c>
    </row>
    <row r="1989" spans="1:7" x14ac:dyDescent="0.55000000000000004">
      <c r="A1989" s="1" t="s">
        <v>2164</v>
      </c>
      <c r="B1989" s="2">
        <f>COUNTIF(A:A,A1989)-1</f>
        <v>3</v>
      </c>
      <c r="C1989" s="2">
        <f>COUNTIF(A$1:A1989,A1989)-1</f>
        <v>2</v>
      </c>
      <c r="D1989" s="2" t="e">
        <f>_xlfn.RRI(#REF!,1,#REF!)</f>
        <v>#REF!</v>
      </c>
      <c r="E1989" s="2" t="b">
        <f>IFERROR(INDEX(ERROR(0),_xlfn.RRI(#REF!,SET.NAME("_",+INDEX(1,)),#REF!)),RETURN(INDEX(TYPE(_),SET.NAME("_"))))</f>
        <v>0</v>
      </c>
      <c r="F1989" s="2" t="b">
        <f>IFERROR(INDEX(ERROR(0),_xlfn.RRI(#REF!,INDIRECT(SET.NAME({1,"_"},)),#REF!)),RETURN(INDEX(TYPE(_),SET.NAME("_"))))</f>
        <v>0</v>
      </c>
      <c r="G1989" s="2">
        <f>TYPE(INDEX(,_xlfn.RRI(#REF!,INDEX(1,),#REF!)))</f>
        <v>16</v>
      </c>
    </row>
    <row r="1990" spans="1:7" x14ac:dyDescent="0.55000000000000004">
      <c r="A1990" s="1" t="s">
        <v>2164</v>
      </c>
      <c r="B1990" s="2">
        <f>COUNTIF(A:A,A1990)-1</f>
        <v>3</v>
      </c>
      <c r="C1990" s="2">
        <f>COUNTIF(A$1:A1990,A1990)-1</f>
        <v>3</v>
      </c>
      <c r="D1990" s="2" t="e">
        <f>_xlfn.RRI(#REF!,#REF!,1)</f>
        <v>#REF!</v>
      </c>
      <c r="E1990" s="2" t="b">
        <f>IFERROR(INDEX(ERROR(0),_xlfn.RRI(#REF!,#REF!,SET.NAME("_",+INDEX(1,)))),RETURN(INDEX(TYPE(_),SET.NAME("_"))))</f>
        <v>0</v>
      </c>
      <c r="F1990" s="2" t="b">
        <f>IFERROR(INDEX(ERROR(0),_xlfn.RRI(#REF!,#REF!,INDIRECT(SET.NAME({1,"_"},)))),RETURN(INDEX(TYPE(_),SET.NAME("_"))))</f>
        <v>0</v>
      </c>
      <c r="G1990" s="2">
        <f>TYPE(INDEX(,_xlfn.RRI(#REF!,#REF!,INDEX(1,))))</f>
        <v>16</v>
      </c>
    </row>
    <row r="1991" spans="1:7" x14ac:dyDescent="0.55000000000000004">
      <c r="A1991" s="1" t="s">
        <v>2165</v>
      </c>
      <c r="B1991" s="2">
        <f>COUNTIF(A:A,A1991)-1</f>
        <v>1</v>
      </c>
      <c r="C1991" s="2">
        <f>COUNTIF(A$1:A1991,A1991)-1</f>
        <v>0</v>
      </c>
      <c r="D1991" s="2"/>
      <c r="E1991" s="2"/>
      <c r="F1991" s="2"/>
      <c r="G1991" s="2"/>
    </row>
    <row r="1992" spans="1:7" x14ac:dyDescent="0.55000000000000004">
      <c r="A1992" s="1" t="s">
        <v>2165</v>
      </c>
      <c r="B1992" s="2">
        <f>COUNTIF(A:A,A1992)-1</f>
        <v>1</v>
      </c>
      <c r="C1992" s="2">
        <f>COUNTIF(A$1:A1992,A1992)-1</f>
        <v>1</v>
      </c>
      <c r="D1992" s="2" t="str">
        <f>_xlfn.UNICHAR(1)</f>
        <v>_x0001_</v>
      </c>
      <c r="E1992" s="2" t="b">
        <f>IFERROR(INDEX(ERROR(0),_xlfn.UNICHAR(SET.NAME("_",+INDEX(1,)))),RETURN(INDEX(TYPE(_),SET.NAME("_"))))</f>
        <v>0</v>
      </c>
      <c r="F1992" s="2" t="b">
        <f>IFERROR(INDEX(ERROR(0),_xlfn.UNICHAR(INDIRECT(SET.NAME({1,"_"},)))),RETURN(INDEX(TYPE(_),SET.NAME("_"))))</f>
        <v>0</v>
      </c>
      <c r="G1992" s="2">
        <f>TYPE(INDEX(,_xlfn.UNICHAR(INDEX(1,))))</f>
        <v>16</v>
      </c>
    </row>
    <row r="1993" spans="1:7" x14ac:dyDescent="0.55000000000000004">
      <c r="A1993" s="1" t="s">
        <v>2166</v>
      </c>
      <c r="B1993" s="2">
        <f>COUNTIF(A:A,A1993)-1</f>
        <v>1</v>
      </c>
      <c r="C1993" s="2">
        <f>COUNTIF(A$1:A1993,A1993)-1</f>
        <v>0</v>
      </c>
      <c r="D1993" s="2"/>
      <c r="E1993" s="2"/>
      <c r="F1993" s="2"/>
      <c r="G1993" s="2"/>
    </row>
    <row r="1994" spans="1:7" x14ac:dyDescent="0.55000000000000004">
      <c r="A1994" s="1" t="s">
        <v>2166</v>
      </c>
      <c r="B1994" s="2">
        <f>COUNTIF(A:A,A1994)-1</f>
        <v>1</v>
      </c>
      <c r="C1994" s="2">
        <f>COUNTIF(A$1:A1994,A1994)-1</f>
        <v>1</v>
      </c>
      <c r="D1994" s="2">
        <f>_xlfn.UNICODE(1)</f>
        <v>49</v>
      </c>
      <c r="E1994" s="2" t="b">
        <f>IFERROR(INDEX(ERROR(0),_xlfn.UNICODE(SET.NAME("_",+INDEX(1,)))),RETURN(INDEX(TYPE(_),SET.NAME("_"))))</f>
        <v>0</v>
      </c>
      <c r="F1994" s="2" t="b">
        <f>IFERROR(INDEX(ERROR(0),_xlfn.UNICODE(INDIRECT(SET.NAME({1,"_"},)))),RETURN(INDEX(TYPE(_),SET.NAME("_"))))</f>
        <v>0</v>
      </c>
      <c r="G1994" s="2">
        <f>TYPE(INDEX(,_xlfn.UNICODE(INDEX(1,))))</f>
        <v>16</v>
      </c>
    </row>
    <row r="1995" spans="1:7" x14ac:dyDescent="0.55000000000000004">
      <c r="A1995" s="1" t="s">
        <v>2167</v>
      </c>
      <c r="B1995" s="2">
        <f>COUNTIF(A:A,A1995)-1</f>
        <v>1</v>
      </c>
      <c r="C1995" s="2">
        <f>COUNTIF(A$1:A1995,A1995)-1</f>
        <v>0</v>
      </c>
      <c r="D1995" s="2"/>
      <c r="E1995" s="2"/>
      <c r="F1995" s="2"/>
      <c r="G1995" s="2"/>
    </row>
    <row r="1996" spans="1:7" x14ac:dyDescent="0.55000000000000004">
      <c r="A1996" s="1" t="s">
        <v>2167</v>
      </c>
      <c r="B1996" s="2">
        <f>COUNTIF(A:A,A1996)-1</f>
        <v>1</v>
      </c>
      <c r="C1996" s="2">
        <f>COUNTIF(A$1:A1996,A1996)-1</f>
        <v>1</v>
      </c>
      <c r="D1996" s="2">
        <f>_xlfn.MUNIT(1)</f>
        <v>1</v>
      </c>
      <c r="E1996" s="2" t="b">
        <f>IFERROR(INDEX(ERROR(0),_xlfn.MUNIT(SET.NAME("_",+INDEX(1,)))),RETURN(INDEX(TYPE(_),SET.NAME("_"))))</f>
        <v>0</v>
      </c>
      <c r="F1996" s="2" t="b">
        <f>IFERROR(INDEX(ERROR(0),_xlfn.MUNIT(INDIRECT(SET.NAME({1,"_"},)))),RETURN(INDEX(TYPE(_),SET.NAME("_"))))</f>
        <v>0</v>
      </c>
      <c r="G1996" s="2">
        <f>TYPE(INDEX(,_xlfn.MUNIT(INDEX(1,))))</f>
        <v>16</v>
      </c>
    </row>
    <row r="1997" spans="1:7" x14ac:dyDescent="0.55000000000000004">
      <c r="A1997" s="1" t="s">
        <v>2168</v>
      </c>
      <c r="B1997" s="2">
        <f>COUNTIF(A:A,A1997)-1</f>
        <v>1</v>
      </c>
      <c r="C1997" s="2">
        <f>COUNTIF(A$1:A1997,A1997)-1</f>
        <v>0</v>
      </c>
      <c r="D1997" s="2"/>
      <c r="E1997" s="2"/>
      <c r="F1997" s="2"/>
      <c r="G1997" s="2"/>
    </row>
    <row r="1998" spans="1:7" x14ac:dyDescent="0.55000000000000004">
      <c r="A1998" s="1" t="s">
        <v>2168</v>
      </c>
      <c r="B1998" s="2">
        <f>COUNTIF(A:A,A1998)-1</f>
        <v>1</v>
      </c>
      <c r="C1998" s="2">
        <f>COUNTIF(A$1:A1998,A1998)-1</f>
        <v>1</v>
      </c>
      <c r="D1998" s="2" t="e">
        <f>_xlfn.ARABIC(1)</f>
        <v>#VALUE!</v>
      </c>
      <c r="E1998" s="2" t="b">
        <f>IFERROR(INDEX(ERROR(0),_xlfn.ARABIC(SET.NAME("_",+INDEX(1,)))),RETURN(INDEX(TYPE(_),SET.NAME("_"))))</f>
        <v>0</v>
      </c>
      <c r="F1998" s="2" t="b">
        <f>IFERROR(INDEX(ERROR(0),_xlfn.ARABIC(INDIRECT(SET.NAME({1,"_"},)))),RETURN(INDEX(TYPE(_),SET.NAME("_"))))</f>
        <v>0</v>
      </c>
      <c r="G1998" s="2">
        <f>TYPE(INDEX(,_xlfn.ARABIC(INDEX(1,))))</f>
        <v>16</v>
      </c>
    </row>
    <row r="1999" spans="1:7" x14ac:dyDescent="0.55000000000000004">
      <c r="A1999" s="1" t="s">
        <v>2169</v>
      </c>
      <c r="B1999" s="2">
        <f>COUNTIF(A:A,A1999)-1</f>
        <v>1</v>
      </c>
      <c r="C1999" s="2">
        <f>COUNTIF(A$1:A1999,A1999)-1</f>
        <v>0</v>
      </c>
      <c r="D1999" s="2"/>
      <c r="E1999" s="2"/>
      <c r="F1999" s="2"/>
      <c r="G1999" s="2"/>
    </row>
    <row r="2000" spans="1:7" x14ac:dyDescent="0.55000000000000004">
      <c r="A2000" s="1" t="s">
        <v>2169</v>
      </c>
      <c r="B2000" s="2">
        <f>COUNTIF(A:A,A2000)-1</f>
        <v>1</v>
      </c>
      <c r="C2000" s="2">
        <f>COUNTIF(A$1:A2000,A2000)-1</f>
        <v>1</v>
      </c>
      <c r="D2000" s="2">
        <f>_xlfn.ISOWEEKNUM(1)</f>
        <v>52</v>
      </c>
      <c r="E2000" s="2" t="b">
        <f>IFERROR(INDEX(ERROR(0),_xlfn.ISOWEEKNUM(SET.NAME("_",+INDEX(1,)))),RETURN(INDEX(TYPE(_),SET.NAME("_"))))</f>
        <v>0</v>
      </c>
      <c r="F2000" s="2" t="b">
        <f>IFERROR(INDEX(ERROR(0),_xlfn.ISOWEEKNUM(INDIRECT(SET.NAME({1,"_"},)))),RETURN(INDEX(TYPE(_),SET.NAME("_"))))</f>
        <v>0</v>
      </c>
      <c r="G2000" s="2">
        <f>TYPE(INDEX(,_xlfn.ISOWEEKNUM(INDEX(1,))))</f>
        <v>16</v>
      </c>
    </row>
    <row r="2001" spans="1:7" x14ac:dyDescent="0.55000000000000004">
      <c r="A2001" s="1" t="s">
        <v>2170</v>
      </c>
      <c r="B2001" s="2">
        <f>COUNTIF(A:A,A2001)-1</f>
        <v>3</v>
      </c>
      <c r="C2001" s="2">
        <f>COUNTIF(A$1:A2001,A2001)-1</f>
        <v>0</v>
      </c>
      <c r="D2001" s="2"/>
      <c r="E2001" s="2"/>
      <c r="F2001" s="2"/>
      <c r="G2001" s="2"/>
    </row>
    <row r="2002" spans="1:7" x14ac:dyDescent="0.55000000000000004">
      <c r="A2002" s="1" t="s">
        <v>2170</v>
      </c>
      <c r="B2002" s="2">
        <f>COUNTIF(A:A,A2002)-1</f>
        <v>3</v>
      </c>
      <c r="C2002" s="2">
        <f>COUNTIF(A$1:A2002,A2002)-1</f>
        <v>1</v>
      </c>
      <c r="D2002" s="2" t="e">
        <f>_xlfn.NUMBERVALUE(1,#REF!,#REF!)</f>
        <v>#REF!</v>
      </c>
      <c r="E2002" s="2" t="b">
        <f>IFERROR(INDEX(ERROR(0),_xlfn.NUMBERVALUE(SET.NAME("_",+INDEX(1,)),#REF!,#REF!)),RETURN(INDEX(TYPE(_),SET.NAME("_"))))</f>
        <v>0</v>
      </c>
      <c r="F2002" s="2" t="b">
        <f>IFERROR(INDEX(ERROR(0),_xlfn.NUMBERVALUE(INDIRECT(SET.NAME({1,"_"},)),#REF!,#REF!)),RETURN(INDEX(TYPE(_),SET.NAME("_"))))</f>
        <v>0</v>
      </c>
      <c r="G2002" s="2">
        <f>TYPE(INDEX(,_xlfn.NUMBERVALUE(INDEX(1,),#REF!,#REF!)))</f>
        <v>16</v>
      </c>
    </row>
    <row r="2003" spans="1:7" x14ac:dyDescent="0.55000000000000004">
      <c r="A2003" s="1" t="s">
        <v>2170</v>
      </c>
      <c r="B2003" s="2">
        <f>COUNTIF(A:A,A2003)-1</f>
        <v>3</v>
      </c>
      <c r="C2003" s="2">
        <f>COUNTIF(A$1:A2003,A2003)-1</f>
        <v>2</v>
      </c>
      <c r="D2003" s="2" t="e">
        <f>_xlfn.NUMBERVALUE(#REF!,1,#REF!)</f>
        <v>#REF!</v>
      </c>
      <c r="E2003" s="2" t="b">
        <f>IFERROR(INDEX(ERROR(0),_xlfn.NUMBERVALUE(#REF!,SET.NAME("_",+INDEX(1,)),#REF!)),RETURN(INDEX(TYPE(_),SET.NAME("_"))))</f>
        <v>0</v>
      </c>
      <c r="F2003" s="2" t="b">
        <f>IFERROR(INDEX(ERROR(0),_xlfn.NUMBERVALUE(#REF!,INDIRECT(SET.NAME({1,"_"},)),#REF!)),RETURN(INDEX(TYPE(_),SET.NAME("_"))))</f>
        <v>0</v>
      </c>
      <c r="G2003" s="2">
        <f>TYPE(INDEX(,_xlfn.NUMBERVALUE(#REF!,INDEX(1,),#REF!)))</f>
        <v>16</v>
      </c>
    </row>
    <row r="2004" spans="1:7" x14ac:dyDescent="0.55000000000000004">
      <c r="A2004" s="1" t="s">
        <v>2170</v>
      </c>
      <c r="B2004" s="2">
        <f>COUNTIF(A:A,A2004)-1</f>
        <v>3</v>
      </c>
      <c r="C2004" s="2">
        <f>COUNTIF(A$1:A2004,A2004)-1</f>
        <v>3</v>
      </c>
      <c r="D2004" s="2" t="e">
        <f>_xlfn.NUMBERVALUE(#REF!,#REF!,1)</f>
        <v>#REF!</v>
      </c>
      <c r="E2004" s="2" t="b">
        <f>IFERROR(INDEX(ERROR(0),_xlfn.NUMBERVALUE(#REF!,#REF!,SET.NAME("_",+INDEX(1,)))),RETURN(INDEX(TYPE(_),SET.NAME("_"))))</f>
        <v>0</v>
      </c>
      <c r="F2004" s="2" t="b">
        <f>IFERROR(INDEX(ERROR(0),_xlfn.NUMBERVALUE(#REF!,#REF!,INDIRECT(SET.NAME({1,"_"},)))),RETURN(INDEX(TYPE(_),SET.NAME("_"))))</f>
        <v>0</v>
      </c>
      <c r="G2004" s="2">
        <f>TYPE(INDEX(,_xlfn.NUMBERVALUE(#REF!,#REF!,INDEX(1,))))</f>
        <v>16</v>
      </c>
    </row>
    <row r="2005" spans="1:7" x14ac:dyDescent="0.55000000000000004">
      <c r="A2005" s="1" t="s">
        <v>2171</v>
      </c>
      <c r="B2005" s="2">
        <f>COUNTIF(A:A,A2005)-1</f>
        <v>1</v>
      </c>
      <c r="C2005" s="2">
        <f>COUNTIF(A$1:A2005,A2005)-1</f>
        <v>0</v>
      </c>
      <c r="D2005" s="2"/>
      <c r="E2005" s="2"/>
      <c r="F2005" s="2"/>
      <c r="G2005" s="2"/>
    </row>
    <row r="2006" spans="1:7" x14ac:dyDescent="0.55000000000000004">
      <c r="A2006" s="1" t="s">
        <v>2171</v>
      </c>
      <c r="B2006" s="2">
        <f>COUNTIF(A:A,A2006)-1</f>
        <v>1</v>
      </c>
      <c r="C2006" s="2">
        <f>COUNTIF(A$1:A2006,A2006)-1</f>
        <v>1</v>
      </c>
      <c r="D2006" s="2" t="e">
        <f>_xlfn.SHEET(1)</f>
        <v>#N/A</v>
      </c>
      <c r="E2006" s="2" t="b">
        <f>IFERROR(INDEX(ERROR(0),_xlfn.SHEET(SET.NAME("_",+INDEX(1,)))),RETURN(INDEX(TYPE(_),SET.NAME("_"))))</f>
        <v>0</v>
      </c>
      <c r="F2006" s="2" t="b">
        <f>IFERROR(INDEX(ERROR(0),_xlfn.SHEET(INDIRECT(SET.NAME({1,"_"},)))),RETURN(INDEX(TYPE(_),SET.NAME("_"))))</f>
        <v>0</v>
      </c>
      <c r="G2006" s="2">
        <f>TYPE(INDEX(,_xlfn.SHEET(INDEX(1,))))</f>
        <v>16</v>
      </c>
    </row>
    <row r="2007" spans="1:7" x14ac:dyDescent="0.55000000000000004">
      <c r="A2007" s="1" t="s">
        <v>2172</v>
      </c>
      <c r="B2007" s="2">
        <f>COUNTIF(A:A,A2007)-1</f>
        <v>1</v>
      </c>
      <c r="C2007" s="2">
        <f>COUNTIF(A$1:A2007,A2007)-1</f>
        <v>0</v>
      </c>
      <c r="D2007" s="2"/>
      <c r="E2007" s="2"/>
      <c r="F2007" s="2"/>
      <c r="G2007" s="2"/>
    </row>
    <row r="2008" spans="1:7" x14ac:dyDescent="0.55000000000000004">
      <c r="A2008" s="1" t="s">
        <v>2172</v>
      </c>
      <c r="B2008" s="2">
        <f>COUNTIF(A:A,A2008)-1</f>
        <v>1</v>
      </c>
      <c r="C2008" s="2">
        <f>COUNTIF(A$1:A2008,A2008)-1</f>
        <v>1</v>
      </c>
      <c r="D2008" s="2" t="e">
        <f>_xlfn.SHEETS(1)</f>
        <v>#N/A</v>
      </c>
      <c r="E2008" s="2" t="b">
        <f>IFERROR(INDEX(ERROR(0),_xlfn.SHEETS(SET.NAME("_",+INDEX(1,)))),RETURN(INDEX(TYPE(_),SET.NAME("_"))))</f>
        <v>0</v>
      </c>
      <c r="F2008" s="2" t="b">
        <f>IFERROR(INDEX(ERROR(0),_xlfn.SHEETS(INDIRECT(SET.NAME({1,"_"},)))),RETURN(INDEX(TYPE(_),SET.NAME("_"))))</f>
        <v>0</v>
      </c>
      <c r="G2008" s="2">
        <f>TYPE(INDEX(,_xlfn.SHEETS(INDEX(1,))))</f>
        <v>16</v>
      </c>
    </row>
    <row r="2009" spans="1:7" x14ac:dyDescent="0.55000000000000004">
      <c r="A2009" s="1" t="s">
        <v>2173</v>
      </c>
      <c r="B2009" s="2">
        <f>COUNTIF(A:A,A2009)-1</f>
        <v>1</v>
      </c>
      <c r="C2009" s="2">
        <f>COUNTIF(A$1:A2009,A2009)-1</f>
        <v>0</v>
      </c>
      <c r="D2009" s="2"/>
      <c r="E2009" s="2"/>
      <c r="F2009" s="2"/>
      <c r="G2009" s="2"/>
    </row>
    <row r="2010" spans="1:7" x14ac:dyDescent="0.55000000000000004">
      <c r="A2010" s="1" t="s">
        <v>2173</v>
      </c>
      <c r="B2010" s="2">
        <f>COUNTIF(A:A,A2010)-1</f>
        <v>1</v>
      </c>
      <c r="C2010" s="2">
        <f>COUNTIF(A$1:A2010,A2010)-1</f>
        <v>1</v>
      </c>
      <c r="D2010" s="2" t="s">
        <v>2317</v>
      </c>
      <c r="E2010" s="2" t="s">
        <v>2235</v>
      </c>
      <c r="F2010" s="2" t="b">
        <f>IFERROR(INDEX(ERROR(0),_xlfn.FORMULATEXT(INDIRECT(SET.NAME({1,"_"},)))),RETURN(INDEX(TYPE(_),SET.NAME("_"))))</f>
        <v>0</v>
      </c>
      <c r="G2010" s="2">
        <f>TYPE(INDEX(,_xlfn.FORMULATEXT(INDEX(1,))))</f>
        <v>64</v>
      </c>
    </row>
    <row r="2011" spans="1:7" x14ac:dyDescent="0.55000000000000004">
      <c r="A2011" s="1" t="s">
        <v>2174</v>
      </c>
      <c r="B2011" s="2">
        <f>COUNTIF(A:A,A2011)-1</f>
        <v>1</v>
      </c>
      <c r="C2011" s="2">
        <f>COUNTIF(A$1:A2011,A2011)-1</f>
        <v>0</v>
      </c>
      <c r="D2011" s="2"/>
      <c r="E2011" s="2"/>
      <c r="F2011" s="2"/>
      <c r="G2011" s="2"/>
    </row>
    <row r="2012" spans="1:7" x14ac:dyDescent="0.55000000000000004">
      <c r="A2012" s="1" t="s">
        <v>2174</v>
      </c>
      <c r="B2012" s="2">
        <f>COUNTIF(A:A,A2012)-1</f>
        <v>1</v>
      </c>
      <c r="C2012" s="2">
        <f>COUNTIF(A$1:A2012,A2012)-1</f>
        <v>1</v>
      </c>
      <c r="D2012" s="2" t="s">
        <v>2318</v>
      </c>
      <c r="E2012" s="2" t="s">
        <v>2236</v>
      </c>
      <c r="F2012" s="2" t="b">
        <f>IFERROR(INDEX(ERROR(0),_xlfn.ISFORMULA(INDIRECT(SET.NAME({1,"_"},)))),RETURN(INDEX(TYPE(_),SET.NAME("_"))))</f>
        <v>0</v>
      </c>
      <c r="G2012" s="2">
        <f>TYPE(INDEX(,_xlfn.ISFORMULA(INDEX(1,))))</f>
        <v>64</v>
      </c>
    </row>
    <row r="2013" spans="1:7" x14ac:dyDescent="0.55000000000000004">
      <c r="A2013" s="1" t="s">
        <v>2175</v>
      </c>
      <c r="B2013" s="2">
        <f>COUNTIF(A:A,A2013)-1</f>
        <v>2</v>
      </c>
      <c r="C2013" s="2">
        <f>COUNTIF(A$1:A2013,A2013)-1</f>
        <v>0</v>
      </c>
      <c r="D2013" s="2"/>
      <c r="E2013" s="2"/>
      <c r="F2013" s="2"/>
      <c r="G2013" s="2"/>
    </row>
    <row r="2014" spans="1:7" x14ac:dyDescent="0.55000000000000004">
      <c r="A2014" s="1" t="s">
        <v>2175</v>
      </c>
      <c r="B2014" s="2">
        <f>COUNTIF(A:A,A2014)-1</f>
        <v>2</v>
      </c>
      <c r="C2014" s="2">
        <f>COUNTIF(A$1:A2014,A2014)-1</f>
        <v>1</v>
      </c>
      <c r="D2014" s="2">
        <f>_xlfn.IFNA(1,#REF!)</f>
        <v>1</v>
      </c>
      <c r="E2014" s="2" t="b">
        <f>IFERROR(INDEX(ERROR(0),_xlfn.IFNA(SET.NAME("_",+INDEX(1,)),#REF!)),RETURN(INDEX(TYPE(_),SET.NAME("_"))))</f>
        <v>0</v>
      </c>
      <c r="F2014" s="2" t="b">
        <f>IFERROR(INDEX(ERROR(0),_xlfn.IFNA(INDIRECT(SET.NAME({1,"_"},)),#REF!)),RETURN(INDEX(TYPE(_),SET.NAME("_"))))</f>
        <v>0</v>
      </c>
      <c r="G2014" s="2">
        <f>TYPE(INDEX(,_xlfn.IFNA(INDEX(1,),#REF!)))</f>
        <v>16</v>
      </c>
    </row>
    <row r="2015" spans="1:7" x14ac:dyDescent="0.55000000000000004">
      <c r="A2015" s="1" t="s">
        <v>2175</v>
      </c>
      <c r="B2015" s="2">
        <f>COUNTIF(A:A,A2015)-1</f>
        <v>2</v>
      </c>
      <c r="C2015" s="2">
        <f>COUNTIF(A$1:A2015,A2015)-1</f>
        <v>2</v>
      </c>
      <c r="D2015" s="2" t="e">
        <f>_xlfn.IFNA(#REF!,1)</f>
        <v>#REF!</v>
      </c>
      <c r="E2015" s="2" t="b">
        <f>IFERROR(INDEX(ERROR(0),_xlfn.IFNA(#REF!,SET.NAME("_",+INDEX(1,)))),RETURN(INDEX(TYPE(_),SET.NAME("_"))))</f>
        <v>0</v>
      </c>
      <c r="F2015" s="2" t="b">
        <f>IFERROR(INDEX(ERROR(0),_xlfn.IFNA(#REF!,INDIRECT(SET.NAME({1,"_"},)))),RETURN(INDEX(TYPE(_),SET.NAME("_"))))</f>
        <v>0</v>
      </c>
      <c r="G2015" s="2">
        <f>TYPE(INDEX(,_xlfn.IFNA(#REF!,INDEX(1,))))</f>
        <v>16</v>
      </c>
    </row>
    <row r="2016" spans="1:7" x14ac:dyDescent="0.55000000000000004">
      <c r="A2016" s="1" t="s">
        <v>2176</v>
      </c>
      <c r="B2016" s="2">
        <f>COUNTIF(A:A,A2016)-1</f>
        <v>3</v>
      </c>
      <c r="C2016" s="2">
        <f>COUNTIF(A$1:A2016,A2016)-1</f>
        <v>0</v>
      </c>
      <c r="D2016" s="2"/>
      <c r="E2016" s="2"/>
      <c r="F2016" s="2"/>
      <c r="G2016" s="2"/>
    </row>
    <row r="2017" spans="1:7" x14ac:dyDescent="0.55000000000000004">
      <c r="A2017" s="1" t="s">
        <v>2176</v>
      </c>
      <c r="B2017" s="2">
        <f>COUNTIF(A:A,A2017)-1</f>
        <v>3</v>
      </c>
      <c r="C2017" s="2">
        <f>COUNTIF(A$1:A2017,A2017)-1</f>
        <v>1</v>
      </c>
      <c r="D2017" s="2" t="e">
        <f>_xlfn.CEILING.MATH(1,#REF!,#REF!)</f>
        <v>#REF!</v>
      </c>
      <c r="E2017" s="2" t="b">
        <f>IFERROR(INDEX(ERROR(0),_xlfn.CEILING.MATH(SET.NAME("_",+INDEX(1,)),#REF!,#REF!)),RETURN(INDEX(TYPE(_),SET.NAME("_"))))</f>
        <v>0</v>
      </c>
      <c r="F2017" s="2" t="b">
        <f>IFERROR(INDEX(ERROR(0),_xlfn.CEILING.MATH(INDIRECT(SET.NAME({1,"_"},)),#REF!,#REF!)),RETURN(INDEX(TYPE(_),SET.NAME("_"))))</f>
        <v>0</v>
      </c>
      <c r="G2017" s="2">
        <f>TYPE(INDEX(,_xlfn.CEILING.MATH(INDEX(1,),#REF!,#REF!)))</f>
        <v>16</v>
      </c>
    </row>
    <row r="2018" spans="1:7" x14ac:dyDescent="0.55000000000000004">
      <c r="A2018" s="1" t="s">
        <v>2176</v>
      </c>
      <c r="B2018" s="2">
        <f>COUNTIF(A:A,A2018)-1</f>
        <v>3</v>
      </c>
      <c r="C2018" s="2">
        <f>COUNTIF(A$1:A2018,A2018)-1</f>
        <v>2</v>
      </c>
      <c r="D2018" s="2" t="e">
        <f>_xlfn.CEILING.MATH(#REF!,1,#REF!)</f>
        <v>#REF!</v>
      </c>
      <c r="E2018" s="2" t="b">
        <f>IFERROR(INDEX(ERROR(0),_xlfn.CEILING.MATH(#REF!,SET.NAME("_",+INDEX(1,)),#REF!)),RETURN(INDEX(TYPE(_),SET.NAME("_"))))</f>
        <v>0</v>
      </c>
      <c r="F2018" s="2" t="b">
        <f>IFERROR(INDEX(ERROR(0),_xlfn.CEILING.MATH(#REF!,INDIRECT(SET.NAME({1,"_"},)),#REF!)),RETURN(INDEX(TYPE(_),SET.NAME("_"))))</f>
        <v>0</v>
      </c>
      <c r="G2018" s="2">
        <f>TYPE(INDEX(,_xlfn.CEILING.MATH(#REF!,INDEX(1,),#REF!)))</f>
        <v>16</v>
      </c>
    </row>
    <row r="2019" spans="1:7" x14ac:dyDescent="0.55000000000000004">
      <c r="A2019" s="1" t="s">
        <v>2176</v>
      </c>
      <c r="B2019" s="2">
        <f>COUNTIF(A:A,A2019)-1</f>
        <v>3</v>
      </c>
      <c r="C2019" s="2">
        <f>COUNTIF(A$1:A2019,A2019)-1</f>
        <v>3</v>
      </c>
      <c r="D2019" s="2" t="e">
        <f>_xlfn.CEILING.MATH(#REF!,#REF!,1)</f>
        <v>#REF!</v>
      </c>
      <c r="E2019" s="2" t="b">
        <f>IFERROR(INDEX(ERROR(0),_xlfn.CEILING.MATH(#REF!,#REF!,SET.NAME("_",+INDEX(1,)))),RETURN(INDEX(TYPE(_),SET.NAME("_"))))</f>
        <v>0</v>
      </c>
      <c r="F2019" s="2" t="b">
        <f>IFERROR(INDEX(ERROR(0),_xlfn.CEILING.MATH(#REF!,#REF!,INDIRECT(SET.NAME({1,"_"},)))),RETURN(INDEX(TYPE(_),SET.NAME("_"))))</f>
        <v>0</v>
      </c>
      <c r="G2019" s="2">
        <f>TYPE(INDEX(,_xlfn.CEILING.MATH(#REF!,#REF!,INDEX(1,))))</f>
        <v>16</v>
      </c>
    </row>
    <row r="2020" spans="1:7" x14ac:dyDescent="0.55000000000000004">
      <c r="A2020" s="1" t="s">
        <v>2177</v>
      </c>
      <c r="B2020" s="2">
        <f>COUNTIF(A:A,A2020)-1</f>
        <v>3</v>
      </c>
      <c r="C2020" s="2">
        <f>COUNTIF(A$1:A2020,A2020)-1</f>
        <v>0</v>
      </c>
      <c r="D2020" s="2"/>
      <c r="E2020" s="2"/>
      <c r="F2020" s="2"/>
      <c r="G2020" s="2"/>
    </row>
    <row r="2021" spans="1:7" x14ac:dyDescent="0.55000000000000004">
      <c r="A2021" s="1" t="s">
        <v>2177</v>
      </c>
      <c r="B2021" s="2">
        <f>COUNTIF(A:A,A2021)-1</f>
        <v>3</v>
      </c>
      <c r="C2021" s="2">
        <f>COUNTIF(A$1:A2021,A2021)-1</f>
        <v>1</v>
      </c>
      <c r="D2021" s="2" t="e">
        <f>_xlfn.FLOOR.MATH(1,#REF!,#REF!)</f>
        <v>#REF!</v>
      </c>
      <c r="E2021" s="2" t="b">
        <f>IFERROR(INDEX(ERROR(0),_xlfn.FLOOR.MATH(SET.NAME("_",+INDEX(1,)),#REF!,#REF!)),RETURN(INDEX(TYPE(_),SET.NAME("_"))))</f>
        <v>0</v>
      </c>
      <c r="F2021" s="2" t="b">
        <f>IFERROR(INDEX(ERROR(0),_xlfn.FLOOR.MATH(INDIRECT(SET.NAME({1,"_"},)),#REF!,#REF!)),RETURN(INDEX(TYPE(_),SET.NAME("_"))))</f>
        <v>0</v>
      </c>
      <c r="G2021" s="2">
        <f>TYPE(INDEX(,_xlfn.FLOOR.MATH(INDEX(1,),#REF!,#REF!)))</f>
        <v>16</v>
      </c>
    </row>
    <row r="2022" spans="1:7" x14ac:dyDescent="0.55000000000000004">
      <c r="A2022" s="1" t="s">
        <v>2177</v>
      </c>
      <c r="B2022" s="2">
        <f>COUNTIF(A:A,A2022)-1</f>
        <v>3</v>
      </c>
      <c r="C2022" s="2">
        <f>COUNTIF(A$1:A2022,A2022)-1</f>
        <v>2</v>
      </c>
      <c r="D2022" s="2" t="e">
        <f>_xlfn.FLOOR.MATH(#REF!,1,#REF!)</f>
        <v>#REF!</v>
      </c>
      <c r="E2022" s="2" t="b">
        <f>IFERROR(INDEX(ERROR(0),_xlfn.FLOOR.MATH(#REF!,SET.NAME("_",+INDEX(1,)),#REF!)),RETURN(INDEX(TYPE(_),SET.NAME("_"))))</f>
        <v>0</v>
      </c>
      <c r="F2022" s="2" t="b">
        <f>IFERROR(INDEX(ERROR(0),_xlfn.FLOOR.MATH(#REF!,INDIRECT(SET.NAME({1,"_"},)),#REF!)),RETURN(INDEX(TYPE(_),SET.NAME("_"))))</f>
        <v>0</v>
      </c>
      <c r="G2022" s="2">
        <f>TYPE(INDEX(,_xlfn.FLOOR.MATH(#REF!,INDEX(1,),#REF!)))</f>
        <v>16</v>
      </c>
    </row>
    <row r="2023" spans="1:7" x14ac:dyDescent="0.55000000000000004">
      <c r="A2023" s="1" t="s">
        <v>2177</v>
      </c>
      <c r="B2023" s="2">
        <f>COUNTIF(A:A,A2023)-1</f>
        <v>3</v>
      </c>
      <c r="C2023" s="2">
        <f>COUNTIF(A$1:A2023,A2023)-1</f>
        <v>3</v>
      </c>
      <c r="D2023" s="2" t="e">
        <f>_xlfn.FLOOR.MATH(#REF!,#REF!,1)</f>
        <v>#REF!</v>
      </c>
      <c r="E2023" s="2" t="b">
        <f>IFERROR(INDEX(ERROR(0),_xlfn.FLOOR.MATH(#REF!,#REF!,SET.NAME("_",+INDEX(1,)))),RETURN(INDEX(TYPE(_),SET.NAME("_"))))</f>
        <v>0</v>
      </c>
      <c r="F2023" s="2" t="b">
        <f>IFERROR(INDEX(ERROR(0),_xlfn.FLOOR.MATH(#REF!,#REF!,INDIRECT(SET.NAME({1,"_"},)))),RETURN(INDEX(TYPE(_),SET.NAME("_"))))</f>
        <v>0</v>
      </c>
      <c r="G2023" s="2">
        <f>TYPE(INDEX(,_xlfn.FLOOR.MATH(#REF!,#REF!,INDEX(1,))))</f>
        <v>16</v>
      </c>
    </row>
    <row r="2024" spans="1:7" x14ac:dyDescent="0.55000000000000004">
      <c r="A2024" s="1" t="s">
        <v>2178</v>
      </c>
      <c r="B2024" s="2">
        <f>COUNTIF(A:A,A2024)-1</f>
        <v>1</v>
      </c>
      <c r="C2024" s="2">
        <f>COUNTIF(A$1:A2024,A2024)-1</f>
        <v>0</v>
      </c>
      <c r="D2024" s="2"/>
      <c r="E2024" s="2"/>
      <c r="F2024" s="2"/>
      <c r="G2024" s="2"/>
    </row>
    <row r="2025" spans="1:7" x14ac:dyDescent="0.55000000000000004">
      <c r="A2025" s="1" t="s">
        <v>2178</v>
      </c>
      <c r="B2025" s="2">
        <f>COUNTIF(A:A,A2025)-1</f>
        <v>1</v>
      </c>
      <c r="C2025" s="2">
        <f>COUNTIF(A$1:A2025,A2025)-1</f>
        <v>1</v>
      </c>
      <c r="D2025" s="2" t="str">
        <f>_xlfn.IMSINH(1)</f>
        <v>1.1752011936438</v>
      </c>
      <c r="E2025" s="2" t="b">
        <f>IFERROR(INDEX(ERROR(0),_xlfn.IMSINH(SET.NAME("_",+INDEX(1,)))),RETURN(INDEX(TYPE(_),SET.NAME("_"))))</f>
        <v>0</v>
      </c>
      <c r="F2025" s="2" t="b">
        <f>IFERROR(INDEX(ERROR(0),_xlfn.IMSINH(INDIRECT(SET.NAME({1,"_"},)))),RETURN(INDEX(TYPE(_),SET.NAME("_"))))</f>
        <v>0</v>
      </c>
      <c r="G2025" s="2">
        <f>TYPE(INDEX(,_xlfn.IMSINH(INDEX(1,))))</f>
        <v>64</v>
      </c>
    </row>
    <row r="2026" spans="1:7" x14ac:dyDescent="0.55000000000000004">
      <c r="A2026" s="1" t="s">
        <v>2179</v>
      </c>
      <c r="B2026" s="2">
        <f>COUNTIF(A:A,A2026)-1</f>
        <v>1</v>
      </c>
      <c r="C2026" s="2">
        <f>COUNTIF(A$1:A2026,A2026)-1</f>
        <v>0</v>
      </c>
      <c r="D2026" s="2"/>
      <c r="E2026" s="2"/>
      <c r="F2026" s="2"/>
      <c r="G2026" s="2"/>
    </row>
    <row r="2027" spans="1:7" x14ac:dyDescent="0.55000000000000004">
      <c r="A2027" s="1" t="s">
        <v>2179</v>
      </c>
      <c r="B2027" s="2">
        <f>COUNTIF(A:A,A2027)-1</f>
        <v>1</v>
      </c>
      <c r="C2027" s="2">
        <f>COUNTIF(A$1:A2027,A2027)-1</f>
        <v>1</v>
      </c>
      <c r="D2027" s="2" t="str">
        <f>_xlfn.IMCOSH(1)</f>
        <v>1.54308063481524</v>
      </c>
      <c r="E2027" s="2" t="b">
        <f>IFERROR(INDEX(ERROR(0),_xlfn.IMCOSH(SET.NAME("_",+INDEX(1,)))),RETURN(INDEX(TYPE(_),SET.NAME("_"))))</f>
        <v>0</v>
      </c>
      <c r="F2027" s="2" t="b">
        <f>IFERROR(INDEX(ERROR(0),_xlfn.IMCOSH(INDIRECT(SET.NAME({1,"_"},)))),RETURN(INDEX(TYPE(_),SET.NAME("_"))))</f>
        <v>0</v>
      </c>
      <c r="G2027" s="2">
        <f>TYPE(INDEX(,_xlfn.IMCOSH(INDEX(1,))))</f>
        <v>64</v>
      </c>
    </row>
    <row r="2028" spans="1:7" x14ac:dyDescent="0.55000000000000004">
      <c r="A2028" s="1" t="s">
        <v>2180</v>
      </c>
      <c r="B2028" s="2">
        <f>COUNTIF(A:A,A2028)-1</f>
        <v>2</v>
      </c>
      <c r="C2028" s="2">
        <f>COUNTIF(A$1:A2028,A2028)-1</f>
        <v>0</v>
      </c>
      <c r="D2028" s="2"/>
      <c r="E2028" s="2"/>
      <c r="F2028" s="2"/>
      <c r="G2028" s="2"/>
    </row>
    <row r="2029" spans="1:7" x14ac:dyDescent="0.55000000000000004">
      <c r="A2029" s="1" t="s">
        <v>2180</v>
      </c>
      <c r="B2029" s="2">
        <f>COUNTIF(A:A,A2029)-1</f>
        <v>2</v>
      </c>
      <c r="C2029" s="2">
        <f>COUNTIF(A$1:A2029,A2029)-1</f>
        <v>1</v>
      </c>
      <c r="D2029" s="2" t="e">
        <f>_xlfn.FILTERXML(1,#REF!)</f>
        <v>#REF!</v>
      </c>
      <c r="E2029" s="2" t="b">
        <f>IFERROR(INDEX(ERROR(0),_xlfn.FILTERXML(SET.NAME("_",+INDEX(1,)),#REF!)),RETURN(INDEX(TYPE(_),SET.NAME("_"))))</f>
        <v>0</v>
      </c>
      <c r="F2029" s="2" t="b">
        <f>IFERROR(INDEX(ERROR(0),_xlfn.FILTERXML(INDIRECT(SET.NAME({1,"_"},)),#REF!)),RETURN(INDEX(TYPE(_),SET.NAME("_"))))</f>
        <v>0</v>
      </c>
      <c r="G2029" s="2">
        <f>TYPE(INDEX(,_xlfn.FILTERXML(INDEX(1,),#REF!)))</f>
        <v>16</v>
      </c>
    </row>
    <row r="2030" spans="1:7" x14ac:dyDescent="0.55000000000000004">
      <c r="A2030" s="1" t="s">
        <v>2180</v>
      </c>
      <c r="B2030" s="2">
        <f>COUNTIF(A:A,A2030)-1</f>
        <v>2</v>
      </c>
      <c r="C2030" s="2">
        <f>COUNTIF(A$1:A2030,A2030)-1</f>
        <v>2</v>
      </c>
      <c r="D2030" s="2" t="e">
        <f>_xlfn.FILTERXML(#REF!,1)</f>
        <v>#REF!</v>
      </c>
      <c r="E2030" s="2" t="b">
        <f>IFERROR(INDEX(ERROR(0),_xlfn.FILTERXML(#REF!,SET.NAME("_",+INDEX(1,)))),RETURN(INDEX(TYPE(_),SET.NAME("_"))))</f>
        <v>0</v>
      </c>
      <c r="F2030" s="2" t="b">
        <f>IFERROR(INDEX(ERROR(0),_xlfn.FILTERXML(#REF!,INDIRECT(SET.NAME({1,"_"},)))),RETURN(INDEX(TYPE(_),SET.NAME("_"))))</f>
        <v>0</v>
      </c>
      <c r="G2030" s="2">
        <f>TYPE(INDEX(,_xlfn.FILTERXML(#REF!,INDEX(1,))))</f>
        <v>16</v>
      </c>
    </row>
    <row r="2031" spans="1:7" x14ac:dyDescent="0.55000000000000004">
      <c r="A2031" s="1" t="s">
        <v>2181</v>
      </c>
      <c r="B2031" s="2">
        <f>COUNTIF(A:A,A2031)-1</f>
        <v>1</v>
      </c>
      <c r="C2031" s="2">
        <f>COUNTIF(A$1:A2031,A2031)-1</f>
        <v>0</v>
      </c>
      <c r="D2031" s="2"/>
      <c r="E2031" s="2"/>
      <c r="F2031" s="2"/>
      <c r="G2031" s="2"/>
    </row>
    <row r="2032" spans="1:7" x14ac:dyDescent="0.55000000000000004">
      <c r="A2032" s="1" t="s">
        <v>2181</v>
      </c>
      <c r="B2032" s="2">
        <f>COUNTIF(A:A,A2032)-1</f>
        <v>1</v>
      </c>
      <c r="C2032" s="2">
        <f>COUNTIF(A$1:A2032,A2032)-1</f>
        <v>1</v>
      </c>
      <c r="D2032" s="2" t="e">
        <f>_xlfn.WEBSERVICE(1)</f>
        <v>#VALUE!</v>
      </c>
      <c r="E2032" s="2" t="b">
        <f>IFERROR(INDEX(ERROR(0),_xlfn.WEBSERVICE(SET.NAME("_",+INDEX(1,)))),RETURN(INDEX(TYPE(_),SET.NAME("_"))))</f>
        <v>0</v>
      </c>
      <c r="F2032" s="2" t="b">
        <f>IFERROR(INDEX(ERROR(0),_xlfn.WEBSERVICE(INDIRECT(SET.NAME({1,"_"},)))),RETURN(INDEX(TYPE(_),SET.NAME("_"))))</f>
        <v>0</v>
      </c>
      <c r="G2032" s="2">
        <f>TYPE(INDEX(,_xlfn.WEBSERVICE(INDEX(1,))))</f>
        <v>16</v>
      </c>
    </row>
    <row r="2033" spans="1:7" x14ac:dyDescent="0.55000000000000004">
      <c r="A2033" s="1" t="s">
        <v>2182</v>
      </c>
      <c r="B2033" s="2">
        <f>COUNTIF(A:A,A2033)-1</f>
        <v>1</v>
      </c>
      <c r="C2033" s="2">
        <f>COUNTIF(A$1:A2033,A2033)-1</f>
        <v>0</v>
      </c>
      <c r="D2033" s="2"/>
      <c r="E2033" s="2"/>
      <c r="F2033" s="2"/>
      <c r="G2033" s="2"/>
    </row>
    <row r="2034" spans="1:7" x14ac:dyDescent="0.55000000000000004">
      <c r="A2034" s="1" t="s">
        <v>2182</v>
      </c>
      <c r="B2034" s="2">
        <f>COUNTIF(A:A,A2034)-1</f>
        <v>1</v>
      </c>
      <c r="C2034" s="2">
        <f>COUNTIF(A$1:A2034,A2034)-1</f>
        <v>1</v>
      </c>
      <c r="D2034" s="2" t="str">
        <f>_xlfn.ENCODEURL(1)</f>
        <v>1</v>
      </c>
      <c r="E2034" s="2" t="b">
        <f>IFERROR(INDEX(ERROR(0),_xlfn.ENCODEURL(SET.NAME("_",+INDEX(1,)))),RETURN(INDEX(TYPE(_),SET.NAME("_"))))</f>
        <v>0</v>
      </c>
      <c r="F2034" s="2" t="b">
        <f>IFERROR(INDEX(ERROR(0),_xlfn.ENCODEURL(INDIRECT(SET.NAME({1,"_"},)))),RETURN(INDEX(TYPE(_),SET.NAME("_"))))</f>
        <v>0</v>
      </c>
      <c r="G2034" s="2">
        <f>TYPE(INDEX(,_xlfn.ENCODEURL(INDEX(1,))))</f>
        <v>16</v>
      </c>
    </row>
    <row r="2035" spans="1:7" x14ac:dyDescent="0.55000000000000004">
      <c r="A2035" s="1" t="s">
        <v>2183</v>
      </c>
      <c r="B2035" s="2">
        <f>COUNTIF(A:A,A2035)-1</f>
        <v>6</v>
      </c>
      <c r="C2035" s="2">
        <f>COUNTIF(A$1:A2035,A2035)-1</f>
        <v>0</v>
      </c>
      <c r="D2035" s="2"/>
      <c r="E2035" s="2"/>
      <c r="F2035" s="2"/>
      <c r="G2035" s="2"/>
    </row>
    <row r="2036" spans="1:7" x14ac:dyDescent="0.55000000000000004">
      <c r="A2036" s="1" t="s">
        <v>2183</v>
      </c>
      <c r="B2036" s="2">
        <f>COUNTIF(A:A,A2036)-1</f>
        <v>6</v>
      </c>
      <c r="C2036" s="2">
        <f>COUNTIF(A$1:A2036,A2036)-1</f>
        <v>1</v>
      </c>
      <c r="D2036" s="2" t="e">
        <f>_xlfn.FORECAST.ETS(1,#REF!,#REF!,#REF!,#REF!,#REF!)</f>
        <v>#REF!</v>
      </c>
      <c r="E2036" s="2" t="b">
        <f>IFERROR(INDEX(ERROR(0),_xlfn.FORECAST.ETS(SET.NAME("_",+INDEX(1,)),#REF!,#REF!,#REF!,#REF!,#REF!)),RETURN(INDEX(TYPE(_),SET.NAME("_"))))</f>
        <v>0</v>
      </c>
      <c r="F2036" s="2" t="b">
        <f>IFERROR(INDEX(ERROR(0),_xlfn.FORECAST.ETS(INDIRECT(SET.NAME({1,"_"},)),#REF!,#REF!,#REF!,#REF!,#REF!)),RETURN(INDEX(TYPE(_),SET.NAME("_"))))</f>
        <v>0</v>
      </c>
      <c r="G2036" s="2">
        <f>TYPE(INDEX(,_xlfn.FORECAST.ETS(INDEX(1,),#REF!,#REF!,#REF!,#REF!,#REF!)))</f>
        <v>16</v>
      </c>
    </row>
    <row r="2037" spans="1:7" x14ac:dyDescent="0.55000000000000004">
      <c r="A2037" s="1" t="s">
        <v>2183</v>
      </c>
      <c r="B2037" s="2">
        <f>COUNTIF(A:A,A2037)-1</f>
        <v>6</v>
      </c>
      <c r="C2037" s="2">
        <f>COUNTIF(A$1:A2037,A2037)-1</f>
        <v>2</v>
      </c>
      <c r="D2037" s="2" t="e">
        <f>_xlfn.FORECAST.ETS(#REF!,1,#REF!,#REF!,#REF!,#REF!)</f>
        <v>#REF!</v>
      </c>
      <c r="E2037" s="2" t="b">
        <f>IFERROR(INDEX(ERROR(0),_xlfn.FORECAST.ETS(#REF!,SET.NAME("_",+INDEX(1,)),#REF!,#REF!,#REF!,#REF!)),RETURN(INDEX(TYPE(_),SET.NAME("_"))))</f>
        <v>0</v>
      </c>
      <c r="F2037" s="2" t="b">
        <f>IFERROR(INDEX(ERROR(0),_xlfn.FORECAST.ETS(#REF!,INDIRECT(SET.NAME({1,"_"},)),#REF!,#REF!,#REF!,#REF!)),RETURN(INDEX(TYPE(_),SET.NAME("_"))))</f>
        <v>0</v>
      </c>
      <c r="G2037" s="2">
        <f>TYPE(INDEX(,_xlfn.FORECAST.ETS(#REF!,INDEX(1,),#REF!,#REF!,#REF!,#REF!)))</f>
        <v>16</v>
      </c>
    </row>
    <row r="2038" spans="1:7" x14ac:dyDescent="0.55000000000000004">
      <c r="A2038" s="1" t="s">
        <v>2183</v>
      </c>
      <c r="B2038" s="2">
        <f>COUNTIF(A:A,A2038)-1</f>
        <v>6</v>
      </c>
      <c r="C2038" s="2">
        <f>COUNTIF(A$1:A2038,A2038)-1</f>
        <v>3</v>
      </c>
      <c r="D2038" s="2" t="e">
        <f>_xlfn.FORECAST.ETS(#REF!,#REF!,1,#REF!,#REF!,#REF!)</f>
        <v>#REF!</v>
      </c>
      <c r="E2038" s="2" t="b">
        <f>IFERROR(INDEX(ERROR(0),_xlfn.FORECAST.ETS(#REF!,#REF!,SET.NAME("_",+INDEX(1,)),#REF!,#REF!,#REF!)),RETURN(INDEX(TYPE(_),SET.NAME("_"))))</f>
        <v>0</v>
      </c>
      <c r="F2038" s="2" t="b">
        <f>IFERROR(INDEX(ERROR(0),_xlfn.FORECAST.ETS(#REF!,#REF!,INDIRECT(SET.NAME({1,"_"},)),#REF!,#REF!,#REF!)),RETURN(INDEX(TYPE(_),SET.NAME("_"))))</f>
        <v>0</v>
      </c>
      <c r="G2038" s="2">
        <f>TYPE(INDEX(,_xlfn.FORECAST.ETS(#REF!,#REF!,INDEX(1,),#REF!,#REF!,#REF!)))</f>
        <v>16</v>
      </c>
    </row>
    <row r="2039" spans="1:7" x14ac:dyDescent="0.55000000000000004">
      <c r="A2039" s="1" t="s">
        <v>2183</v>
      </c>
      <c r="B2039" s="2">
        <f>COUNTIF(A:A,A2039)-1</f>
        <v>6</v>
      </c>
      <c r="C2039" s="2">
        <f>COUNTIF(A$1:A2039,A2039)-1</f>
        <v>4</v>
      </c>
      <c r="D2039" s="2" t="e">
        <f>_xlfn.FORECAST.ETS(#REF!,#REF!,#REF!,1,#REF!,#REF!)</f>
        <v>#REF!</v>
      </c>
      <c r="E2039" s="2" t="b">
        <f>IFERROR(INDEX(ERROR(0),_xlfn.FORECAST.ETS(#REF!,#REF!,#REF!,SET.NAME("_",+INDEX(1,)),#REF!,#REF!)),RETURN(INDEX(TYPE(_),SET.NAME("_"))))</f>
        <v>0</v>
      </c>
      <c r="F2039" s="2" t="b">
        <f>IFERROR(INDEX(ERROR(0),_xlfn.FORECAST.ETS(#REF!,#REF!,#REF!,INDIRECT(SET.NAME({1,"_"},)),#REF!,#REF!)),RETURN(INDEX(TYPE(_),SET.NAME("_"))))</f>
        <v>0</v>
      </c>
      <c r="G2039" s="2">
        <f>TYPE(INDEX(,_xlfn.FORECAST.ETS(#REF!,#REF!,#REF!,INDEX(1,),#REF!,#REF!)))</f>
        <v>16</v>
      </c>
    </row>
    <row r="2040" spans="1:7" x14ac:dyDescent="0.55000000000000004">
      <c r="A2040" s="1" t="s">
        <v>2183</v>
      </c>
      <c r="B2040" s="2">
        <f>COUNTIF(A:A,A2040)-1</f>
        <v>6</v>
      </c>
      <c r="C2040" s="2">
        <f>COUNTIF(A$1:A2040,A2040)-1</f>
        <v>5</v>
      </c>
      <c r="D2040" s="2" t="e">
        <f>_xlfn.FORECAST.ETS(#REF!,#REF!,#REF!,#REF!,1,#REF!)</f>
        <v>#REF!</v>
      </c>
      <c r="E2040" s="2" t="b">
        <f>IFERROR(INDEX(ERROR(0),_xlfn.FORECAST.ETS(#REF!,#REF!,#REF!,#REF!,SET.NAME("_",+INDEX(1,)),#REF!)),RETURN(INDEX(TYPE(_),SET.NAME("_"))))</f>
        <v>0</v>
      </c>
      <c r="F2040" s="2" t="b">
        <f>IFERROR(INDEX(ERROR(0),_xlfn.FORECAST.ETS(#REF!,#REF!,#REF!,#REF!,INDIRECT(SET.NAME({1,"_"},)),#REF!)),RETURN(INDEX(TYPE(_),SET.NAME("_"))))</f>
        <v>0</v>
      </c>
      <c r="G2040" s="2">
        <f>TYPE(INDEX(,_xlfn.FORECAST.ETS(#REF!,#REF!,#REF!,#REF!,INDEX(1,),#REF!)))</f>
        <v>16</v>
      </c>
    </row>
    <row r="2041" spans="1:7" x14ac:dyDescent="0.55000000000000004">
      <c r="A2041" s="1" t="s">
        <v>2183</v>
      </c>
      <c r="B2041" s="2">
        <f>COUNTIF(A:A,A2041)-1</f>
        <v>6</v>
      </c>
      <c r="C2041" s="2">
        <f>COUNTIF(A$1:A2041,A2041)-1</f>
        <v>6</v>
      </c>
      <c r="D2041" s="2" t="e">
        <f>_xlfn.FORECAST.ETS(#REF!,#REF!,#REF!,#REF!,#REF!,1)</f>
        <v>#REF!</v>
      </c>
      <c r="E2041" s="2" t="b">
        <f>IFERROR(INDEX(ERROR(0),_xlfn.FORECAST.ETS(#REF!,#REF!,#REF!,#REF!,#REF!,SET.NAME("_",+INDEX(1,)))),RETURN(INDEX(TYPE(_),SET.NAME("_"))))</f>
        <v>0</v>
      </c>
      <c r="F2041" s="2" t="b">
        <f>IFERROR(INDEX(ERROR(0),_xlfn.FORECAST.ETS(#REF!,#REF!,#REF!,#REF!,#REF!,INDIRECT(SET.NAME({1,"_"},)))),RETURN(INDEX(TYPE(_),SET.NAME("_"))))</f>
        <v>0</v>
      </c>
      <c r="G2041" s="2">
        <f>TYPE(INDEX(,_xlfn.FORECAST.ETS(#REF!,#REF!,#REF!,#REF!,#REF!,INDEX(1,))))</f>
        <v>16</v>
      </c>
    </row>
    <row r="2042" spans="1:7" x14ac:dyDescent="0.55000000000000004">
      <c r="A2042" s="1" t="s">
        <v>2184</v>
      </c>
      <c r="B2042" s="2">
        <f>COUNTIF(A:A,A2042)-1</f>
        <v>7</v>
      </c>
      <c r="C2042" s="2">
        <f>COUNTIF(A$1:A2042,A2042)-1</f>
        <v>0</v>
      </c>
      <c r="D2042" s="2"/>
      <c r="E2042" s="2"/>
      <c r="F2042" s="2"/>
      <c r="G2042" s="2"/>
    </row>
    <row r="2043" spans="1:7" x14ac:dyDescent="0.55000000000000004">
      <c r="A2043" s="1" t="s">
        <v>2184</v>
      </c>
      <c r="B2043" s="2">
        <f>COUNTIF(A:A,A2043)-1</f>
        <v>7</v>
      </c>
      <c r="C2043" s="2">
        <f>COUNTIF(A$1:A2043,A2043)-1</f>
        <v>1</v>
      </c>
      <c r="D2043" s="2" t="e">
        <f>_xlfn.FORECAST.ETS.CONFINT(1,#REF!,#REF!,#REF!,#REF!,#REF!,#REF!)</f>
        <v>#REF!</v>
      </c>
      <c r="E2043" s="2" t="b">
        <f>IFERROR(INDEX(ERROR(0),_xlfn.FORECAST.ETS.CONFINT(SET.NAME("_",+INDEX(1,)),#REF!,#REF!,#REF!,#REF!,#REF!,#REF!)),RETURN(INDEX(TYPE(_),SET.NAME("_"))))</f>
        <v>0</v>
      </c>
      <c r="F2043" s="2" t="b">
        <f>IFERROR(INDEX(ERROR(0),_xlfn.FORECAST.ETS.CONFINT(INDIRECT(SET.NAME({1,"_"},)),#REF!,#REF!,#REF!,#REF!,#REF!,#REF!)),RETURN(INDEX(TYPE(_),SET.NAME("_"))))</f>
        <v>0</v>
      </c>
      <c r="G2043" s="2">
        <f>TYPE(INDEX(,_xlfn.FORECAST.ETS.CONFINT(INDEX(1,),#REF!,#REF!,#REF!,#REF!,#REF!,#REF!)))</f>
        <v>16</v>
      </c>
    </row>
    <row r="2044" spans="1:7" x14ac:dyDescent="0.55000000000000004">
      <c r="A2044" s="1" t="s">
        <v>2184</v>
      </c>
      <c r="B2044" s="2">
        <f>COUNTIF(A:A,A2044)-1</f>
        <v>7</v>
      </c>
      <c r="C2044" s="2">
        <f>COUNTIF(A$1:A2044,A2044)-1</f>
        <v>2</v>
      </c>
      <c r="D2044" s="2" t="e">
        <f>_xlfn.FORECAST.ETS.CONFINT(#REF!,1,#REF!,#REF!,#REF!,#REF!,#REF!)</f>
        <v>#REF!</v>
      </c>
      <c r="E2044" s="2" t="b">
        <f>IFERROR(INDEX(ERROR(0),_xlfn.FORECAST.ETS.CONFINT(#REF!,SET.NAME("_",+INDEX(1,)),#REF!,#REF!,#REF!,#REF!,#REF!)),RETURN(INDEX(TYPE(_),SET.NAME("_"))))</f>
        <v>0</v>
      </c>
      <c r="F2044" s="2" t="b">
        <f>IFERROR(INDEX(ERROR(0),_xlfn.FORECAST.ETS.CONFINT(#REF!,INDIRECT(SET.NAME({1,"_"},)),#REF!,#REF!,#REF!,#REF!,#REF!)),RETURN(INDEX(TYPE(_),SET.NAME("_"))))</f>
        <v>0</v>
      </c>
      <c r="G2044" s="2">
        <f>TYPE(INDEX(,_xlfn.FORECAST.ETS.CONFINT(#REF!,INDEX(1,),#REF!,#REF!,#REF!,#REF!,#REF!)))</f>
        <v>16</v>
      </c>
    </row>
    <row r="2045" spans="1:7" x14ac:dyDescent="0.55000000000000004">
      <c r="A2045" s="1" t="s">
        <v>2184</v>
      </c>
      <c r="B2045" s="2">
        <f>COUNTIF(A:A,A2045)-1</f>
        <v>7</v>
      </c>
      <c r="C2045" s="2">
        <f>COUNTIF(A$1:A2045,A2045)-1</f>
        <v>3</v>
      </c>
      <c r="D2045" s="2" t="e">
        <f>_xlfn.FORECAST.ETS.CONFINT(#REF!,#REF!,1,#REF!,#REF!,#REF!,#REF!)</f>
        <v>#REF!</v>
      </c>
      <c r="E2045" s="2" t="b">
        <f>IFERROR(INDEX(ERROR(0),_xlfn.FORECAST.ETS.CONFINT(#REF!,#REF!,SET.NAME("_",+INDEX(1,)),#REF!,#REF!,#REF!,#REF!)),RETURN(INDEX(TYPE(_),SET.NAME("_"))))</f>
        <v>0</v>
      </c>
      <c r="F2045" s="2" t="b">
        <f>IFERROR(INDEX(ERROR(0),_xlfn.FORECAST.ETS.CONFINT(#REF!,#REF!,INDIRECT(SET.NAME({1,"_"},)),#REF!,#REF!,#REF!,#REF!)),RETURN(INDEX(TYPE(_),SET.NAME("_"))))</f>
        <v>0</v>
      </c>
      <c r="G2045" s="2">
        <f>TYPE(INDEX(,_xlfn.FORECAST.ETS.CONFINT(#REF!,#REF!,INDEX(1,),#REF!,#REF!,#REF!,#REF!)))</f>
        <v>16</v>
      </c>
    </row>
    <row r="2046" spans="1:7" x14ac:dyDescent="0.55000000000000004">
      <c r="A2046" s="1" t="s">
        <v>2184</v>
      </c>
      <c r="B2046" s="2">
        <f>COUNTIF(A:A,A2046)-1</f>
        <v>7</v>
      </c>
      <c r="C2046" s="2">
        <f>COUNTIF(A$1:A2046,A2046)-1</f>
        <v>4</v>
      </c>
      <c r="D2046" s="2" t="e">
        <f>_xlfn.FORECAST.ETS.CONFINT(#REF!,#REF!,#REF!,1,#REF!,#REF!,#REF!)</f>
        <v>#REF!</v>
      </c>
      <c r="E2046" s="2" t="b">
        <f>IFERROR(INDEX(ERROR(0),_xlfn.FORECAST.ETS.CONFINT(#REF!,#REF!,#REF!,SET.NAME("_",+INDEX(1,)),#REF!,#REF!,#REF!)),RETURN(INDEX(TYPE(_),SET.NAME("_"))))</f>
        <v>0</v>
      </c>
      <c r="F2046" s="2" t="b">
        <f>IFERROR(INDEX(ERROR(0),_xlfn.FORECAST.ETS.CONFINT(#REF!,#REF!,#REF!,INDIRECT(SET.NAME({1,"_"},)),#REF!,#REF!,#REF!)),RETURN(INDEX(TYPE(_),SET.NAME("_"))))</f>
        <v>0</v>
      </c>
      <c r="G2046" s="2">
        <f>TYPE(INDEX(,_xlfn.FORECAST.ETS.CONFINT(#REF!,#REF!,#REF!,INDEX(1,),#REF!,#REF!,#REF!)))</f>
        <v>16</v>
      </c>
    </row>
    <row r="2047" spans="1:7" x14ac:dyDescent="0.55000000000000004">
      <c r="A2047" s="1" t="s">
        <v>2184</v>
      </c>
      <c r="B2047" s="2">
        <f>COUNTIF(A:A,A2047)-1</f>
        <v>7</v>
      </c>
      <c r="C2047" s="2">
        <f>COUNTIF(A$1:A2047,A2047)-1</f>
        <v>5</v>
      </c>
      <c r="D2047" s="2" t="e">
        <f>_xlfn.FORECAST.ETS.CONFINT(#REF!,#REF!,#REF!,#REF!,1,#REF!,#REF!)</f>
        <v>#REF!</v>
      </c>
      <c r="E2047" s="2" t="b">
        <f>IFERROR(INDEX(ERROR(0),_xlfn.FORECAST.ETS.CONFINT(#REF!,#REF!,#REF!,#REF!,SET.NAME("_",+INDEX(1,)),#REF!,#REF!)),RETURN(INDEX(TYPE(_),SET.NAME("_"))))</f>
        <v>0</v>
      </c>
      <c r="F2047" s="2" t="b">
        <f>IFERROR(INDEX(ERROR(0),_xlfn.FORECAST.ETS.CONFINT(#REF!,#REF!,#REF!,#REF!,INDIRECT(SET.NAME({1,"_"},)),#REF!,#REF!)),RETURN(INDEX(TYPE(_),SET.NAME("_"))))</f>
        <v>0</v>
      </c>
      <c r="G2047" s="2">
        <f>TYPE(INDEX(,_xlfn.FORECAST.ETS.CONFINT(#REF!,#REF!,#REF!,#REF!,INDEX(1,),#REF!,#REF!)))</f>
        <v>16</v>
      </c>
    </row>
    <row r="2048" spans="1:7" x14ac:dyDescent="0.55000000000000004">
      <c r="A2048" s="1" t="s">
        <v>2184</v>
      </c>
      <c r="B2048" s="2">
        <f>COUNTIF(A:A,A2048)-1</f>
        <v>7</v>
      </c>
      <c r="C2048" s="2">
        <f>COUNTIF(A$1:A2048,A2048)-1</f>
        <v>6</v>
      </c>
      <c r="D2048" s="2" t="e">
        <f>_xlfn.FORECAST.ETS.CONFINT(#REF!,#REF!,#REF!,#REF!,#REF!,1,#REF!)</f>
        <v>#REF!</v>
      </c>
      <c r="E2048" s="2" t="b">
        <f>IFERROR(INDEX(ERROR(0),_xlfn.FORECAST.ETS.CONFINT(#REF!,#REF!,#REF!,#REF!,#REF!,SET.NAME("_",+INDEX(1,)),#REF!)),RETURN(INDEX(TYPE(_),SET.NAME("_"))))</f>
        <v>0</v>
      </c>
      <c r="F2048" s="2" t="b">
        <f>IFERROR(INDEX(ERROR(0),_xlfn.FORECAST.ETS.CONFINT(#REF!,#REF!,#REF!,#REF!,#REF!,INDIRECT(SET.NAME({1,"_"},)),#REF!)),RETURN(INDEX(TYPE(_),SET.NAME("_"))))</f>
        <v>0</v>
      </c>
      <c r="G2048" s="2">
        <f>TYPE(INDEX(,_xlfn.FORECAST.ETS.CONFINT(#REF!,#REF!,#REF!,#REF!,#REF!,INDEX(1,),#REF!)))</f>
        <v>16</v>
      </c>
    </row>
    <row r="2049" spans="1:7" x14ac:dyDescent="0.55000000000000004">
      <c r="A2049" s="1" t="s">
        <v>2184</v>
      </c>
      <c r="B2049" s="2">
        <f>COUNTIF(A:A,A2049)-1</f>
        <v>7</v>
      </c>
      <c r="C2049" s="2">
        <f>COUNTIF(A$1:A2049,A2049)-1</f>
        <v>7</v>
      </c>
      <c r="D2049" s="2" t="e">
        <f>_xlfn.FORECAST.ETS.CONFINT(#REF!,#REF!,#REF!,#REF!,#REF!,#REF!,1)</f>
        <v>#REF!</v>
      </c>
      <c r="E2049" s="2" t="b">
        <f>IFERROR(INDEX(ERROR(0),_xlfn.FORECAST.ETS.CONFINT(#REF!,#REF!,#REF!,#REF!,#REF!,#REF!,SET.NAME("_",+INDEX(1,)))),RETURN(INDEX(TYPE(_),SET.NAME("_"))))</f>
        <v>0</v>
      </c>
      <c r="F2049" s="2" t="b">
        <f>IFERROR(INDEX(ERROR(0),_xlfn.FORECAST.ETS.CONFINT(#REF!,#REF!,#REF!,#REF!,#REF!,#REF!,INDIRECT(SET.NAME({1,"_"},)))),RETURN(INDEX(TYPE(_),SET.NAME("_"))))</f>
        <v>0</v>
      </c>
      <c r="G2049" s="2">
        <f>TYPE(INDEX(,_xlfn.FORECAST.ETS.CONFINT(#REF!,#REF!,#REF!,#REF!,#REF!,#REF!,INDEX(1,))))</f>
        <v>16</v>
      </c>
    </row>
    <row r="2050" spans="1:7" x14ac:dyDescent="0.55000000000000004">
      <c r="A2050" s="1" t="s">
        <v>2185</v>
      </c>
      <c r="B2050" s="2">
        <f>COUNTIF(A:A,A2050)-1</f>
        <v>4</v>
      </c>
      <c r="C2050" s="2">
        <f>COUNTIF(A$1:A2050,A2050)-1</f>
        <v>0</v>
      </c>
      <c r="D2050" s="2"/>
      <c r="E2050" s="2"/>
      <c r="F2050" s="2"/>
      <c r="G2050" s="2"/>
    </row>
    <row r="2051" spans="1:7" x14ac:dyDescent="0.55000000000000004">
      <c r="A2051" s="1" t="s">
        <v>2185</v>
      </c>
      <c r="B2051" s="2">
        <f>COUNTIF(A:A,A2051)-1</f>
        <v>4</v>
      </c>
      <c r="C2051" s="2">
        <f>COUNTIF(A$1:A2051,A2051)-1</f>
        <v>1</v>
      </c>
      <c r="D2051" s="2" t="e">
        <f>_xlfn.FORECAST.ETS.SEASONALITY(1,#REF!,#REF!,#REF!)</f>
        <v>#REF!</v>
      </c>
      <c r="E2051" s="2" t="b">
        <f>IFERROR(INDEX(ERROR(0),_xlfn.FORECAST.ETS.SEASONALITY(SET.NAME("_",+INDEX(1,)),#REF!,#REF!,#REF!)),RETURN(INDEX(TYPE(_),SET.NAME("_"))))</f>
        <v>0</v>
      </c>
      <c r="F2051" s="2" t="b">
        <f>IFERROR(INDEX(ERROR(0),_xlfn.FORECAST.ETS.SEASONALITY(INDIRECT(SET.NAME({1,"_"},)),#REF!,#REF!,#REF!)),RETURN(INDEX(TYPE(_),SET.NAME("_"))))</f>
        <v>0</v>
      </c>
      <c r="G2051" s="2">
        <f>TYPE(INDEX(,_xlfn.FORECAST.ETS.SEASONALITY(INDEX(1,),#REF!,#REF!,#REF!)))</f>
        <v>16</v>
      </c>
    </row>
    <row r="2052" spans="1:7" x14ac:dyDescent="0.55000000000000004">
      <c r="A2052" s="1" t="s">
        <v>2185</v>
      </c>
      <c r="B2052" s="2">
        <f>COUNTIF(A:A,A2052)-1</f>
        <v>4</v>
      </c>
      <c r="C2052" s="2">
        <f>COUNTIF(A$1:A2052,A2052)-1</f>
        <v>2</v>
      </c>
      <c r="D2052" s="2" t="e">
        <f>_xlfn.FORECAST.ETS.SEASONALITY(#REF!,1,#REF!,#REF!)</f>
        <v>#REF!</v>
      </c>
      <c r="E2052" s="2" t="b">
        <f>IFERROR(INDEX(ERROR(0),_xlfn.FORECAST.ETS.SEASONALITY(#REF!,SET.NAME("_",+INDEX(1,)),#REF!,#REF!)),RETURN(INDEX(TYPE(_),SET.NAME("_"))))</f>
        <v>0</v>
      </c>
      <c r="F2052" s="2" t="b">
        <f>IFERROR(INDEX(ERROR(0),_xlfn.FORECAST.ETS.SEASONALITY(#REF!,INDIRECT(SET.NAME({1,"_"},)),#REF!,#REF!)),RETURN(INDEX(TYPE(_),SET.NAME("_"))))</f>
        <v>0</v>
      </c>
      <c r="G2052" s="2">
        <f>TYPE(INDEX(,_xlfn.FORECAST.ETS.SEASONALITY(#REF!,INDEX(1,),#REF!,#REF!)))</f>
        <v>16</v>
      </c>
    </row>
    <row r="2053" spans="1:7" x14ac:dyDescent="0.55000000000000004">
      <c r="A2053" s="1" t="s">
        <v>2185</v>
      </c>
      <c r="B2053" s="2">
        <f>COUNTIF(A:A,A2053)-1</f>
        <v>4</v>
      </c>
      <c r="C2053" s="2">
        <f>COUNTIF(A$1:A2053,A2053)-1</f>
        <v>3</v>
      </c>
      <c r="D2053" s="2" t="e">
        <f>_xlfn.FORECAST.ETS.SEASONALITY(#REF!,#REF!,1,#REF!)</f>
        <v>#REF!</v>
      </c>
      <c r="E2053" s="2" t="b">
        <f>IFERROR(INDEX(ERROR(0),_xlfn.FORECAST.ETS.SEASONALITY(#REF!,#REF!,SET.NAME("_",+INDEX(1,)),#REF!)),RETURN(INDEX(TYPE(_),SET.NAME("_"))))</f>
        <v>0</v>
      </c>
      <c r="F2053" s="2" t="b">
        <f>IFERROR(INDEX(ERROR(0),_xlfn.FORECAST.ETS.SEASONALITY(#REF!,#REF!,INDIRECT(SET.NAME({1,"_"},)),#REF!)),RETURN(INDEX(TYPE(_),SET.NAME("_"))))</f>
        <v>0</v>
      </c>
      <c r="G2053" s="2">
        <f>TYPE(INDEX(,_xlfn.FORECAST.ETS.SEASONALITY(#REF!,#REF!,INDEX(1,),#REF!)))</f>
        <v>16</v>
      </c>
    </row>
    <row r="2054" spans="1:7" x14ac:dyDescent="0.55000000000000004">
      <c r="A2054" s="1" t="s">
        <v>2185</v>
      </c>
      <c r="B2054" s="2">
        <f>COUNTIF(A:A,A2054)-1</f>
        <v>4</v>
      </c>
      <c r="C2054" s="2">
        <f>COUNTIF(A$1:A2054,A2054)-1</f>
        <v>4</v>
      </c>
      <c r="D2054" s="2" t="e">
        <f>_xlfn.FORECAST.ETS.SEASONALITY(#REF!,#REF!,#REF!,1)</f>
        <v>#REF!</v>
      </c>
      <c r="E2054" s="2" t="b">
        <f>IFERROR(INDEX(ERROR(0),_xlfn.FORECAST.ETS.SEASONALITY(#REF!,#REF!,#REF!,SET.NAME("_",+INDEX(1,)))),RETURN(INDEX(TYPE(_),SET.NAME("_"))))</f>
        <v>0</v>
      </c>
      <c r="F2054" s="2" t="b">
        <f>IFERROR(INDEX(ERROR(0),_xlfn.FORECAST.ETS.SEASONALITY(#REF!,#REF!,#REF!,INDIRECT(SET.NAME({1,"_"},)))),RETURN(INDEX(TYPE(_),SET.NAME("_"))))</f>
        <v>0</v>
      </c>
      <c r="G2054" s="2">
        <f>TYPE(INDEX(,_xlfn.FORECAST.ETS.SEASONALITY(#REF!,#REF!,#REF!,INDEX(1,))))</f>
        <v>16</v>
      </c>
    </row>
    <row r="2055" spans="1:7" x14ac:dyDescent="0.55000000000000004">
      <c r="A2055" s="1" t="s">
        <v>2186</v>
      </c>
      <c r="B2055" s="2">
        <f>COUNTIF(A:A,A2055)-1</f>
        <v>6</v>
      </c>
      <c r="C2055" s="2">
        <f>COUNTIF(A$1:A2055,A2055)-1</f>
        <v>0</v>
      </c>
      <c r="D2055" s="2"/>
      <c r="E2055" s="2"/>
      <c r="F2055" s="2"/>
      <c r="G2055" s="2"/>
    </row>
    <row r="2056" spans="1:7" x14ac:dyDescent="0.55000000000000004">
      <c r="A2056" s="1" t="s">
        <v>2186</v>
      </c>
      <c r="B2056" s="2">
        <f>COUNTIF(A:A,A2056)-1</f>
        <v>6</v>
      </c>
      <c r="C2056" s="2">
        <f>COUNTIF(A$1:A2056,A2056)-1</f>
        <v>1</v>
      </c>
      <c r="D2056" s="2" t="e">
        <f>_xlfn.FORECAST.ETS.STAT(1,#REF!,#REF!,#REF!,#REF!,#REF!)</f>
        <v>#REF!</v>
      </c>
      <c r="E2056" s="2" t="b">
        <f>IFERROR(INDEX(ERROR(0),_xlfn.FORECAST.ETS.STAT(SET.NAME("_",+INDEX(1,)),#REF!,#REF!,#REF!,#REF!,#REF!)),RETURN(INDEX(TYPE(_),SET.NAME("_"))))</f>
        <v>0</v>
      </c>
      <c r="F2056" s="2" t="b">
        <f>IFERROR(INDEX(ERROR(0),_xlfn.FORECAST.ETS.STAT(INDIRECT(SET.NAME({1,"_"},)),#REF!,#REF!,#REF!,#REF!,#REF!)),RETURN(INDEX(TYPE(_),SET.NAME("_"))))</f>
        <v>0</v>
      </c>
      <c r="G2056" s="2">
        <f>TYPE(INDEX(,_xlfn.FORECAST.ETS.STAT(INDEX(1,),#REF!,#REF!,#REF!,#REF!,#REF!)))</f>
        <v>16</v>
      </c>
    </row>
    <row r="2057" spans="1:7" x14ac:dyDescent="0.55000000000000004">
      <c r="A2057" s="1" t="s">
        <v>2186</v>
      </c>
      <c r="B2057" s="2">
        <f>COUNTIF(A:A,A2057)-1</f>
        <v>6</v>
      </c>
      <c r="C2057" s="2">
        <f>COUNTIF(A$1:A2057,A2057)-1</f>
        <v>2</v>
      </c>
      <c r="D2057" s="2" t="e">
        <f>_xlfn.FORECAST.ETS.STAT(#REF!,1,#REF!,#REF!,#REF!,#REF!)</f>
        <v>#REF!</v>
      </c>
      <c r="E2057" s="2" t="b">
        <f>IFERROR(INDEX(ERROR(0),_xlfn.FORECAST.ETS.STAT(#REF!,SET.NAME("_",+INDEX(1,)),#REF!,#REF!,#REF!,#REF!)),RETURN(INDEX(TYPE(_),SET.NAME("_"))))</f>
        <v>0</v>
      </c>
      <c r="F2057" s="2" t="b">
        <f>IFERROR(INDEX(ERROR(0),_xlfn.FORECAST.ETS.STAT(#REF!,INDIRECT(SET.NAME({1,"_"},)),#REF!,#REF!,#REF!,#REF!)),RETURN(INDEX(TYPE(_),SET.NAME("_"))))</f>
        <v>0</v>
      </c>
      <c r="G2057" s="2">
        <f>TYPE(INDEX(,_xlfn.FORECAST.ETS.STAT(#REF!,INDEX(1,),#REF!,#REF!,#REF!,#REF!)))</f>
        <v>16</v>
      </c>
    </row>
    <row r="2058" spans="1:7" x14ac:dyDescent="0.55000000000000004">
      <c r="A2058" s="1" t="s">
        <v>2186</v>
      </c>
      <c r="B2058" s="2">
        <f>COUNTIF(A:A,A2058)-1</f>
        <v>6</v>
      </c>
      <c r="C2058" s="2">
        <f>COUNTIF(A$1:A2058,A2058)-1</f>
        <v>3</v>
      </c>
      <c r="D2058" s="2" t="e">
        <f>_xlfn.FORECAST.ETS.STAT(#REF!,#REF!,1,#REF!,#REF!,#REF!)</f>
        <v>#REF!</v>
      </c>
      <c r="E2058" s="2" t="b">
        <f>IFERROR(INDEX(ERROR(0),_xlfn.FORECAST.ETS.STAT(#REF!,#REF!,SET.NAME("_",+INDEX(1,)),#REF!,#REF!,#REF!)),RETURN(INDEX(TYPE(_),SET.NAME("_"))))</f>
        <v>0</v>
      </c>
      <c r="F2058" s="2" t="b">
        <f>IFERROR(INDEX(ERROR(0),_xlfn.FORECAST.ETS.STAT(#REF!,#REF!,INDIRECT(SET.NAME({1,"_"},)),#REF!,#REF!,#REF!)),RETURN(INDEX(TYPE(_),SET.NAME("_"))))</f>
        <v>0</v>
      </c>
      <c r="G2058" s="2">
        <f>TYPE(INDEX(,_xlfn.FORECAST.ETS.STAT(#REF!,#REF!,INDEX(1,),#REF!,#REF!,#REF!)))</f>
        <v>16</v>
      </c>
    </row>
    <row r="2059" spans="1:7" x14ac:dyDescent="0.55000000000000004">
      <c r="A2059" s="1" t="s">
        <v>2186</v>
      </c>
      <c r="B2059" s="2">
        <f>COUNTIF(A:A,A2059)-1</f>
        <v>6</v>
      </c>
      <c r="C2059" s="2">
        <f>COUNTIF(A$1:A2059,A2059)-1</f>
        <v>4</v>
      </c>
      <c r="D2059" s="2" t="e">
        <f>_xlfn.FORECAST.ETS.STAT(#REF!,#REF!,#REF!,1,#REF!,#REF!)</f>
        <v>#REF!</v>
      </c>
      <c r="E2059" s="2" t="b">
        <f>IFERROR(INDEX(ERROR(0),_xlfn.FORECAST.ETS.STAT(#REF!,#REF!,#REF!,SET.NAME("_",+INDEX(1,)),#REF!,#REF!)),RETURN(INDEX(TYPE(_),SET.NAME("_"))))</f>
        <v>0</v>
      </c>
      <c r="F2059" s="2" t="b">
        <f>IFERROR(INDEX(ERROR(0),_xlfn.FORECAST.ETS.STAT(#REF!,#REF!,#REF!,INDIRECT(SET.NAME({1,"_"},)),#REF!,#REF!)),RETURN(INDEX(TYPE(_),SET.NAME("_"))))</f>
        <v>0</v>
      </c>
      <c r="G2059" s="2">
        <f>TYPE(INDEX(,_xlfn.FORECAST.ETS.STAT(#REF!,#REF!,#REF!,INDEX(1,),#REF!,#REF!)))</f>
        <v>16</v>
      </c>
    </row>
    <row r="2060" spans="1:7" x14ac:dyDescent="0.55000000000000004">
      <c r="A2060" s="1" t="s">
        <v>2186</v>
      </c>
      <c r="B2060" s="2">
        <f>COUNTIF(A:A,A2060)-1</f>
        <v>6</v>
      </c>
      <c r="C2060" s="2">
        <f>COUNTIF(A$1:A2060,A2060)-1</f>
        <v>5</v>
      </c>
      <c r="D2060" s="2" t="e">
        <f>_xlfn.FORECAST.ETS.STAT(#REF!,#REF!,#REF!,#REF!,1,#REF!)</f>
        <v>#REF!</v>
      </c>
      <c r="E2060" s="2" t="b">
        <f>IFERROR(INDEX(ERROR(0),_xlfn.FORECAST.ETS.STAT(#REF!,#REF!,#REF!,#REF!,SET.NAME("_",+INDEX(1,)),#REF!)),RETURN(INDEX(TYPE(_),SET.NAME("_"))))</f>
        <v>0</v>
      </c>
      <c r="F2060" s="2" t="b">
        <f>IFERROR(INDEX(ERROR(0),_xlfn.FORECAST.ETS.STAT(#REF!,#REF!,#REF!,#REF!,INDIRECT(SET.NAME({1,"_"},)),#REF!)),RETURN(INDEX(TYPE(_),SET.NAME("_"))))</f>
        <v>0</v>
      </c>
      <c r="G2060" s="2">
        <f>TYPE(INDEX(,_xlfn.FORECAST.ETS.STAT(#REF!,#REF!,#REF!,#REF!,INDEX(1,),#REF!)))</f>
        <v>16</v>
      </c>
    </row>
    <row r="2061" spans="1:7" x14ac:dyDescent="0.55000000000000004">
      <c r="A2061" s="1" t="s">
        <v>2186</v>
      </c>
      <c r="B2061" s="2">
        <f>COUNTIF(A:A,A2061)-1</f>
        <v>6</v>
      </c>
      <c r="C2061" s="2">
        <f>COUNTIF(A$1:A2061,A2061)-1</f>
        <v>6</v>
      </c>
      <c r="D2061" s="2" t="e">
        <f>_xlfn.FORECAST.ETS.STAT(#REF!,#REF!,#REF!,#REF!,#REF!,1)</f>
        <v>#REF!</v>
      </c>
      <c r="E2061" s="2" t="b">
        <f>IFERROR(INDEX(ERROR(0),_xlfn.FORECAST.ETS.STAT(#REF!,#REF!,#REF!,#REF!,#REF!,SET.NAME("_",+INDEX(1,)))),RETURN(INDEX(TYPE(_),SET.NAME("_"))))</f>
        <v>0</v>
      </c>
      <c r="F2061" s="2" t="b">
        <f>IFERROR(INDEX(ERROR(0),_xlfn.FORECAST.ETS.STAT(#REF!,#REF!,#REF!,#REF!,#REF!,INDIRECT(SET.NAME({1,"_"},)))),RETURN(INDEX(TYPE(_),SET.NAME("_"))))</f>
        <v>0</v>
      </c>
      <c r="G2061" s="2">
        <f>TYPE(INDEX(,_xlfn.FORECAST.ETS.STAT(#REF!,#REF!,#REF!,#REF!,#REF!,INDEX(1,))))</f>
        <v>16</v>
      </c>
    </row>
    <row r="2062" spans="1:7" x14ac:dyDescent="0.55000000000000004">
      <c r="A2062" s="1" t="s">
        <v>2187</v>
      </c>
      <c r="B2062" s="2">
        <f>COUNTIF(A:A,A2062)-1</f>
        <v>3</v>
      </c>
      <c r="C2062" s="2">
        <f>COUNTIF(A$1:A2062,A2062)-1</f>
        <v>0</v>
      </c>
      <c r="D2062" s="2"/>
      <c r="E2062" s="2"/>
      <c r="F2062" s="2"/>
      <c r="G2062" s="2"/>
    </row>
    <row r="2063" spans="1:7" x14ac:dyDescent="0.55000000000000004">
      <c r="A2063" s="1" t="s">
        <v>2187</v>
      </c>
      <c r="B2063" s="2">
        <f>COUNTIF(A:A,A2063)-1</f>
        <v>3</v>
      </c>
      <c r="C2063" s="2">
        <f>COUNTIF(A$1:A2063,A2063)-1</f>
        <v>1</v>
      </c>
      <c r="D2063" s="2" t="e">
        <f>_xlfn.FORECAST.LINEAR(1,#REF!,#REF!)</f>
        <v>#REF!</v>
      </c>
      <c r="E2063" s="2" t="b">
        <f>IFERROR(INDEX(ERROR(0),_xlfn.FORECAST.LINEAR(SET.NAME("_",+INDEX(1,)),#REF!,#REF!)),RETURN(INDEX(TYPE(_),SET.NAME("_"))))</f>
        <v>0</v>
      </c>
      <c r="F2063" s="2" t="b">
        <f>IFERROR(INDEX(ERROR(0),_xlfn.FORECAST.LINEAR(INDIRECT(SET.NAME({1,"_"},)),#REF!,#REF!)),RETURN(INDEX(TYPE(_),SET.NAME("_"))))</f>
        <v>0</v>
      </c>
      <c r="G2063" s="2">
        <f>TYPE(INDEX(,_xlfn.FORECAST.LINEAR(INDEX(1,),#REF!,#REF!)))</f>
        <v>16</v>
      </c>
    </row>
    <row r="2064" spans="1:7" x14ac:dyDescent="0.55000000000000004">
      <c r="A2064" s="1" t="s">
        <v>2187</v>
      </c>
      <c r="B2064" s="2">
        <f>COUNTIF(A:A,A2064)-1</f>
        <v>3</v>
      </c>
      <c r="C2064" s="2">
        <f>COUNTIF(A$1:A2064,A2064)-1</f>
        <v>2</v>
      </c>
      <c r="D2064" s="2" t="e">
        <f>_xlfn.FORECAST.LINEAR(#REF!,1,#REF!)</f>
        <v>#REF!</v>
      </c>
      <c r="E2064" s="2" t="b">
        <f>IFERROR(INDEX(ERROR(0),_xlfn.FORECAST.LINEAR(#REF!,SET.NAME("_",+INDEX(1,)),#REF!)),RETURN(INDEX(TYPE(_),SET.NAME("_"))))</f>
        <v>0</v>
      </c>
      <c r="F2064" s="2" t="b">
        <f>IFERROR(INDEX(ERROR(0),_xlfn.FORECAST.LINEAR(#REF!,INDIRECT(SET.NAME({1,"_"},)),#REF!)),RETURN(INDEX(TYPE(_),SET.NAME("_"))))</f>
        <v>0</v>
      </c>
      <c r="G2064" s="2">
        <f>TYPE(INDEX(,_xlfn.FORECAST.LINEAR(#REF!,INDEX(1,),#REF!)))</f>
        <v>16</v>
      </c>
    </row>
    <row r="2065" spans="1:7" x14ac:dyDescent="0.55000000000000004">
      <c r="A2065" s="1" t="s">
        <v>2187</v>
      </c>
      <c r="B2065" s="2">
        <f>COUNTIF(A:A,A2065)-1</f>
        <v>3</v>
      </c>
      <c r="C2065" s="2">
        <f>COUNTIF(A$1:A2065,A2065)-1</f>
        <v>3</v>
      </c>
      <c r="D2065" s="2" t="e">
        <f>_xlfn.FORECAST.LINEAR(#REF!,#REF!,1)</f>
        <v>#REF!</v>
      </c>
      <c r="E2065" s="2" t="b">
        <f>IFERROR(INDEX(ERROR(0),_xlfn.FORECAST.LINEAR(#REF!,#REF!,SET.NAME("_",+INDEX(1,)))),RETURN(INDEX(TYPE(_),SET.NAME("_"))))</f>
        <v>0</v>
      </c>
      <c r="F2065" s="2" t="b">
        <f>IFERROR(INDEX(ERROR(0),_xlfn.FORECAST.LINEAR(#REF!,#REF!,INDIRECT(SET.NAME({1,"_"},)))),RETURN(INDEX(TYPE(_),SET.NAME("_"))))</f>
        <v>0</v>
      </c>
      <c r="G2065" s="2">
        <f>TYPE(INDEX(,_xlfn.FORECAST.LINEAR(#REF!,#REF!,INDEX(1,))))</f>
        <v>16</v>
      </c>
    </row>
    <row r="2066" spans="1:7" x14ac:dyDescent="0.55000000000000004">
      <c r="A2066" s="1" t="s">
        <v>2188</v>
      </c>
      <c r="B2066" s="2">
        <f>COUNTIF(A:A,A2066)-1</f>
        <v>3</v>
      </c>
      <c r="C2066" s="2">
        <f>COUNTIF(A$1:A2066,A2066)-1</f>
        <v>0</v>
      </c>
      <c r="D2066" s="2"/>
      <c r="E2066" s="2"/>
      <c r="F2066" s="2"/>
      <c r="G2066" s="2"/>
    </row>
    <row r="2067" spans="1:7" x14ac:dyDescent="0.55000000000000004">
      <c r="A2067" s="1" t="s">
        <v>2188</v>
      </c>
      <c r="B2067" s="2">
        <f>COUNTIF(A:A,A2067)-1</f>
        <v>3</v>
      </c>
      <c r="C2067" s="2">
        <f>COUNTIF(A$1:A2067,A2067)-1</f>
        <v>1</v>
      </c>
      <c r="D2067" s="2" t="e">
        <f>CONCAT(1,#REF!,#REF!)</f>
        <v>#NAME?</v>
      </c>
      <c r="E2067" s="2" t="b">
        <f>IFERROR(INDEX(ERROR(0),CONCAT(SET.NAME("_",+INDEX(1,)),#REF!,#REF!)),RETURN(INDEX(TYPE(_),SET.NAME("_"))))</f>
        <v>0</v>
      </c>
      <c r="F2067" s="2" t="b">
        <f>IFERROR(INDEX(ERROR(0),CONCAT(INDIRECT(SET.NAME({1,"_"},)),#REF!,#REF!)),RETURN(INDEX(TYPE(_),SET.NAME("_"))))</f>
        <v>0</v>
      </c>
      <c r="G2067" s="2">
        <f>TYPE(INDEX(,CONCAT(INDEX(1,),#REF!,#REF!)))</f>
        <v>16</v>
      </c>
    </row>
    <row r="2068" spans="1:7" x14ac:dyDescent="0.55000000000000004">
      <c r="A2068" s="1" t="s">
        <v>2188</v>
      </c>
      <c r="B2068" s="2">
        <f>COUNTIF(A:A,A2068)-1</f>
        <v>3</v>
      </c>
      <c r="C2068" s="2">
        <f>COUNTIF(A$1:A2068,A2068)-1</f>
        <v>2</v>
      </c>
      <c r="D2068" s="2" t="e">
        <f>CONCAT(#REF!,1,#REF!)</f>
        <v>#NAME?</v>
      </c>
      <c r="E2068" s="2" t="b">
        <f>IFERROR(INDEX(ERROR(0),CONCAT(#REF!,SET.NAME("_",+INDEX(1,)),#REF!)),RETURN(INDEX(TYPE(_),SET.NAME("_"))))</f>
        <v>0</v>
      </c>
      <c r="F2068" s="2" t="b">
        <f>IFERROR(INDEX(ERROR(0),CONCAT(#REF!,INDIRECT(SET.NAME({1,"_"},)),#REF!)),RETURN(INDEX(TYPE(_),SET.NAME("_"))))</f>
        <v>0</v>
      </c>
      <c r="G2068" s="2">
        <f>TYPE(INDEX(,CONCAT(#REF!,INDEX(1,),#REF!)))</f>
        <v>16</v>
      </c>
    </row>
    <row r="2069" spans="1:7" x14ac:dyDescent="0.55000000000000004">
      <c r="A2069" s="1" t="s">
        <v>2188</v>
      </c>
      <c r="B2069" s="2">
        <f>COUNTIF(A:A,A2069)-1</f>
        <v>3</v>
      </c>
      <c r="C2069" s="2">
        <f>COUNTIF(A$1:A2069,A2069)-1</f>
        <v>3</v>
      </c>
      <c r="D2069" s="2" t="e">
        <f>CONCAT(#REF!,#REF!,1)</f>
        <v>#NAME?</v>
      </c>
      <c r="E2069" s="2" t="b">
        <f>IFERROR(INDEX(ERROR(0),CONCAT(#REF!,#REF!,SET.NAME("_",+INDEX(1,)))),RETURN(INDEX(TYPE(_),SET.NAME("_"))))</f>
        <v>0</v>
      </c>
      <c r="F2069" s="2" t="b">
        <f>IFERROR(INDEX(ERROR(0),CONCAT(#REF!,#REF!,INDIRECT(SET.NAME({1,"_"},)))),RETURN(INDEX(TYPE(_),SET.NAME("_"))))</f>
        <v>0</v>
      </c>
      <c r="G2069" s="2">
        <f>TYPE(INDEX(,CONCAT(#REF!,#REF!,INDEX(1,))))</f>
        <v>16</v>
      </c>
    </row>
    <row r="2070" spans="1:7" x14ac:dyDescent="0.55000000000000004">
      <c r="A2070" s="1" t="s">
        <v>2189</v>
      </c>
      <c r="B2070" s="2">
        <f>COUNTIF(A:A,A2070)-1</f>
        <v>3</v>
      </c>
      <c r="C2070" s="2">
        <f>COUNTIF(A$1:A2070,A2070)-1</f>
        <v>0</v>
      </c>
      <c r="D2070" s="2"/>
      <c r="E2070" s="2"/>
      <c r="F2070" s="2"/>
      <c r="G2070" s="2"/>
    </row>
    <row r="2071" spans="1:7" x14ac:dyDescent="0.55000000000000004">
      <c r="A2071" s="1" t="s">
        <v>2189</v>
      </c>
      <c r="B2071" s="2">
        <f>COUNTIF(A:A,A2071)-1</f>
        <v>3</v>
      </c>
      <c r="C2071" s="2">
        <f>COUNTIF(A$1:A2071,A2071)-1</f>
        <v>1</v>
      </c>
      <c r="D2071" s="2" t="e">
        <f>IFS(1,#REF!,#REF!)</f>
        <v>#NAME?</v>
      </c>
      <c r="E2071" s="2" t="b">
        <f>IFERROR(INDEX(ERROR(0),IFS(SET.NAME("_",+INDEX(1,)),#REF!,#REF!)),RETURN(INDEX(TYPE(_),SET.NAME("_"))))</f>
        <v>0</v>
      </c>
      <c r="F2071" s="2" t="b">
        <f>IFERROR(INDEX(ERROR(0),IFS(INDIRECT(SET.NAME({1,"_"},)),#REF!,#REF!)),RETURN(INDEX(TYPE(_),SET.NAME("_"))))</f>
        <v>0</v>
      </c>
      <c r="G2071" s="2">
        <f>TYPE(INDEX(,IFS(INDEX(1,),#REF!,#REF!)))</f>
        <v>16</v>
      </c>
    </row>
    <row r="2072" spans="1:7" x14ac:dyDescent="0.55000000000000004">
      <c r="A2072" s="1" t="s">
        <v>2189</v>
      </c>
      <c r="B2072" s="2">
        <f>COUNTIF(A:A,A2072)-1</f>
        <v>3</v>
      </c>
      <c r="C2072" s="2">
        <f>COUNTIF(A$1:A2072,A2072)-1</f>
        <v>2</v>
      </c>
      <c r="D2072" s="2" t="e">
        <f>IFS(#REF!,1,#REF!)</f>
        <v>#NAME?</v>
      </c>
      <c r="E2072" s="2" t="b">
        <f>IFERROR(INDEX(ERROR(0),IFS(#REF!,SET.NAME("_",+INDEX(1,)),#REF!)),RETURN(INDEX(TYPE(_),SET.NAME("_"))))</f>
        <v>0</v>
      </c>
      <c r="F2072" s="2" t="b">
        <f>IFERROR(INDEX(ERROR(0),IFS(#REF!,INDIRECT(SET.NAME({1,"_"},)),#REF!)),RETURN(INDEX(TYPE(_),SET.NAME("_"))))</f>
        <v>0</v>
      </c>
      <c r="G2072" s="2">
        <f>TYPE(INDEX(,IFS(#REF!,INDEX(1,),#REF!)))</f>
        <v>16</v>
      </c>
    </row>
    <row r="2073" spans="1:7" x14ac:dyDescent="0.55000000000000004">
      <c r="A2073" s="1" t="s">
        <v>2189</v>
      </c>
      <c r="B2073" s="2">
        <f>COUNTIF(A:A,A2073)-1</f>
        <v>3</v>
      </c>
      <c r="C2073" s="2">
        <f>COUNTIF(A$1:A2073,A2073)-1</f>
        <v>3</v>
      </c>
      <c r="D2073" s="2" t="e">
        <f>IFS(#REF!,#REF!,1)</f>
        <v>#NAME?</v>
      </c>
      <c r="E2073" s="2" t="b">
        <f>IFERROR(INDEX(ERROR(0),IFS(#REF!,#REF!,SET.NAME("_",+INDEX(1,)))),RETURN(INDEX(TYPE(_),SET.NAME("_"))))</f>
        <v>0</v>
      </c>
      <c r="F2073" s="2" t="b">
        <f>IFERROR(INDEX(ERROR(0),IFS(#REF!,#REF!,INDIRECT(SET.NAME({1,"_"},)))),RETURN(INDEX(TYPE(_),SET.NAME("_"))))</f>
        <v>0</v>
      </c>
      <c r="G2073" s="2">
        <f>TYPE(INDEX(,IFS(#REF!,#REF!,INDEX(1,))))</f>
        <v>16</v>
      </c>
    </row>
    <row r="2074" spans="1:7" x14ac:dyDescent="0.55000000000000004">
      <c r="A2074" s="1" t="s">
        <v>2190</v>
      </c>
      <c r="B2074" s="2">
        <f>COUNTIF(A:A,A2074)-1</f>
        <v>5</v>
      </c>
      <c r="C2074" s="2">
        <f>COUNTIF(A$1:A2074,A2074)-1</f>
        <v>0</v>
      </c>
      <c r="D2074" s="2"/>
      <c r="E2074" s="2"/>
      <c r="F2074" s="2"/>
      <c r="G2074" s="2"/>
    </row>
    <row r="2075" spans="1:7" x14ac:dyDescent="0.55000000000000004">
      <c r="A2075" s="1" t="s">
        <v>2190</v>
      </c>
      <c r="B2075" s="2">
        <f>COUNTIF(A:A,A2075)-1</f>
        <v>5</v>
      </c>
      <c r="C2075" s="2">
        <f>COUNTIF(A$1:A2075,A2075)-1</f>
        <v>1</v>
      </c>
      <c r="D2075" s="2" t="e">
        <f>MAXIFS(1,#REF!,#REF!,#REF!,#REF!)</f>
        <v>#NAME?</v>
      </c>
      <c r="E2075" s="2" t="b">
        <f>IFERROR(INDEX(ERROR(0),MAXIFS(SET.NAME("_",+INDEX(1,)),#REF!,#REF!,#REF!,#REF!)),RETURN(INDEX(TYPE(_),SET.NAME("_"))))</f>
        <v>0</v>
      </c>
      <c r="F2075" s="2" t="b">
        <f>IFERROR(INDEX(ERROR(0),MAXIFS(INDIRECT(SET.NAME({1,"_"},)),#REF!,#REF!,#REF!,#REF!)),RETURN(INDEX(TYPE(_),SET.NAME("_"))))</f>
        <v>0</v>
      </c>
      <c r="G2075" s="2">
        <f>TYPE(INDEX(,MAXIFS(INDEX(1,),#REF!,#REF!,#REF!,#REF!)))</f>
        <v>16</v>
      </c>
    </row>
    <row r="2076" spans="1:7" x14ac:dyDescent="0.55000000000000004">
      <c r="A2076" s="1" t="s">
        <v>2190</v>
      </c>
      <c r="B2076" s="2">
        <f>COUNTIF(A:A,A2076)-1</f>
        <v>5</v>
      </c>
      <c r="C2076" s="2">
        <f>COUNTIF(A$1:A2076,A2076)-1</f>
        <v>2</v>
      </c>
      <c r="D2076" s="2" t="e">
        <f>MAXIFS(#REF!,1,#REF!,#REF!,#REF!)</f>
        <v>#NAME?</v>
      </c>
      <c r="E2076" s="2" t="b">
        <f>IFERROR(INDEX(ERROR(0),MAXIFS(#REF!,SET.NAME("_",+INDEX(1,)),#REF!,#REF!,#REF!)),RETURN(INDEX(TYPE(_),SET.NAME("_"))))</f>
        <v>0</v>
      </c>
      <c r="F2076" s="2" t="b">
        <f>IFERROR(INDEX(ERROR(0),MAXIFS(#REF!,INDIRECT(SET.NAME({1,"_"},)),#REF!,#REF!,#REF!)),RETURN(INDEX(TYPE(_),SET.NAME("_"))))</f>
        <v>0</v>
      </c>
      <c r="G2076" s="2">
        <f>TYPE(INDEX(,MAXIFS(#REF!,INDEX(1,),#REF!,#REF!,#REF!)))</f>
        <v>16</v>
      </c>
    </row>
    <row r="2077" spans="1:7" x14ac:dyDescent="0.55000000000000004">
      <c r="A2077" s="1" t="s">
        <v>2190</v>
      </c>
      <c r="B2077" s="2">
        <f>COUNTIF(A:A,A2077)-1</f>
        <v>5</v>
      </c>
      <c r="C2077" s="2">
        <f>COUNTIF(A$1:A2077,A2077)-1</f>
        <v>3</v>
      </c>
      <c r="D2077" s="2" t="e">
        <f>MAXIFS(#REF!,#REF!,1,#REF!,#REF!)</f>
        <v>#NAME?</v>
      </c>
      <c r="E2077" s="2" t="b">
        <f>IFERROR(INDEX(ERROR(0),MAXIFS(#REF!,#REF!,SET.NAME("_",+INDEX(1,)),#REF!,#REF!)),RETURN(INDEX(TYPE(_),SET.NAME("_"))))</f>
        <v>0</v>
      </c>
      <c r="F2077" s="2" t="b">
        <f>IFERROR(INDEX(ERROR(0),MAXIFS(#REF!,#REF!,INDIRECT(SET.NAME({1,"_"},)),#REF!,#REF!)),RETURN(INDEX(TYPE(_),SET.NAME("_"))))</f>
        <v>0</v>
      </c>
      <c r="G2077" s="2">
        <f>TYPE(INDEX(,MAXIFS(#REF!,#REF!,INDEX(1,),#REF!,#REF!)))</f>
        <v>16</v>
      </c>
    </row>
    <row r="2078" spans="1:7" x14ac:dyDescent="0.55000000000000004">
      <c r="A2078" s="1" t="s">
        <v>2190</v>
      </c>
      <c r="B2078" s="2">
        <f>COUNTIF(A:A,A2078)-1</f>
        <v>5</v>
      </c>
      <c r="C2078" s="2">
        <f>COUNTIF(A$1:A2078,A2078)-1</f>
        <v>4</v>
      </c>
      <c r="D2078" s="2" t="e">
        <f>MAXIFS(#REF!,#REF!,#REF!,1,#REF!)</f>
        <v>#NAME?</v>
      </c>
      <c r="E2078" s="2" t="b">
        <f>IFERROR(INDEX(ERROR(0),MAXIFS(#REF!,#REF!,#REF!,SET.NAME("_",+INDEX(1,)),#REF!)),RETURN(INDEX(TYPE(_),SET.NAME("_"))))</f>
        <v>0</v>
      </c>
      <c r="F2078" s="2" t="b">
        <f>IFERROR(INDEX(ERROR(0),MAXIFS(#REF!,#REF!,#REF!,INDIRECT(SET.NAME({1,"_"},)),#REF!)),RETURN(INDEX(TYPE(_),SET.NAME("_"))))</f>
        <v>0</v>
      </c>
      <c r="G2078" s="2">
        <f>TYPE(INDEX(,MAXIFS(#REF!,#REF!,#REF!,INDEX(1,),#REF!)))</f>
        <v>16</v>
      </c>
    </row>
    <row r="2079" spans="1:7" x14ac:dyDescent="0.55000000000000004">
      <c r="A2079" s="1" t="s">
        <v>2190</v>
      </c>
      <c r="B2079" s="2">
        <f>COUNTIF(A:A,A2079)-1</f>
        <v>5</v>
      </c>
      <c r="C2079" s="2">
        <f>COUNTIF(A$1:A2079,A2079)-1</f>
        <v>5</v>
      </c>
      <c r="D2079" s="2" t="e">
        <f>MAXIFS(#REF!,#REF!,#REF!,#REF!,1)</f>
        <v>#NAME?</v>
      </c>
      <c r="E2079" s="2" t="b">
        <f>IFERROR(INDEX(ERROR(0),MAXIFS(#REF!,#REF!,#REF!,#REF!,SET.NAME("_",+INDEX(1,)))),RETURN(INDEX(TYPE(_),SET.NAME("_"))))</f>
        <v>0</v>
      </c>
      <c r="F2079" s="2" t="b">
        <f>IFERROR(INDEX(ERROR(0),MAXIFS(#REF!,#REF!,#REF!,#REF!,INDIRECT(SET.NAME({1,"_"},)))),RETURN(INDEX(TYPE(_),SET.NAME("_"))))</f>
        <v>0</v>
      </c>
      <c r="G2079" s="2">
        <f>TYPE(INDEX(,MAXIFS(#REF!,#REF!,#REF!,#REF!,INDEX(1,))))</f>
        <v>16</v>
      </c>
    </row>
    <row r="2080" spans="1:7" x14ac:dyDescent="0.55000000000000004">
      <c r="A2080" s="1" t="s">
        <v>2191</v>
      </c>
      <c r="B2080" s="2">
        <f>COUNTIF(A:A,A2080)-1</f>
        <v>5</v>
      </c>
      <c r="C2080" s="2">
        <f>COUNTIF(A$1:A2080,A2080)-1</f>
        <v>0</v>
      </c>
      <c r="D2080" s="2"/>
      <c r="E2080" s="2"/>
      <c r="F2080" s="2"/>
      <c r="G2080" s="2"/>
    </row>
    <row r="2081" spans="1:7" x14ac:dyDescent="0.55000000000000004">
      <c r="A2081" s="1" t="s">
        <v>2191</v>
      </c>
      <c r="B2081" s="2">
        <f>COUNTIF(A:A,A2081)-1</f>
        <v>5</v>
      </c>
      <c r="C2081" s="2">
        <f>COUNTIF(A$1:A2081,A2081)-1</f>
        <v>1</v>
      </c>
      <c r="D2081" s="2" t="e">
        <f>MINIFS(1,#REF!,#REF!,#REF!,#REF!)</f>
        <v>#NAME?</v>
      </c>
      <c r="E2081" s="2" t="b">
        <f>IFERROR(INDEX(ERROR(0),MINIFS(SET.NAME("_",+INDEX(1,)),#REF!,#REF!,#REF!,#REF!)),RETURN(INDEX(TYPE(_),SET.NAME("_"))))</f>
        <v>0</v>
      </c>
      <c r="F2081" s="2" t="b">
        <f>IFERROR(INDEX(ERROR(0),MINIFS(INDIRECT(SET.NAME({1,"_"},)),#REF!,#REF!,#REF!,#REF!)),RETURN(INDEX(TYPE(_),SET.NAME("_"))))</f>
        <v>0</v>
      </c>
      <c r="G2081" s="2">
        <f>TYPE(INDEX(,MINIFS(INDEX(1,),#REF!,#REF!,#REF!,#REF!)))</f>
        <v>16</v>
      </c>
    </row>
    <row r="2082" spans="1:7" x14ac:dyDescent="0.55000000000000004">
      <c r="A2082" s="1" t="s">
        <v>2191</v>
      </c>
      <c r="B2082" s="2">
        <f>COUNTIF(A:A,A2082)-1</f>
        <v>5</v>
      </c>
      <c r="C2082" s="2">
        <f>COUNTIF(A$1:A2082,A2082)-1</f>
        <v>2</v>
      </c>
      <c r="D2082" s="2" t="e">
        <f>MINIFS(#REF!,1,#REF!,#REF!,#REF!)</f>
        <v>#NAME?</v>
      </c>
      <c r="E2082" s="2" t="b">
        <f>IFERROR(INDEX(ERROR(0),MINIFS(#REF!,SET.NAME("_",+INDEX(1,)),#REF!,#REF!,#REF!)),RETURN(INDEX(TYPE(_),SET.NAME("_"))))</f>
        <v>0</v>
      </c>
      <c r="F2082" s="2" t="b">
        <f>IFERROR(INDEX(ERROR(0),MINIFS(#REF!,INDIRECT(SET.NAME({1,"_"},)),#REF!,#REF!,#REF!)),RETURN(INDEX(TYPE(_),SET.NAME("_"))))</f>
        <v>0</v>
      </c>
      <c r="G2082" s="2">
        <f>TYPE(INDEX(,MINIFS(#REF!,INDEX(1,),#REF!,#REF!,#REF!)))</f>
        <v>16</v>
      </c>
    </row>
    <row r="2083" spans="1:7" x14ac:dyDescent="0.55000000000000004">
      <c r="A2083" s="1" t="s">
        <v>2191</v>
      </c>
      <c r="B2083" s="2">
        <f>COUNTIF(A:A,A2083)-1</f>
        <v>5</v>
      </c>
      <c r="C2083" s="2">
        <f>COUNTIF(A$1:A2083,A2083)-1</f>
        <v>3</v>
      </c>
      <c r="D2083" s="2" t="e">
        <f>MINIFS(#REF!,#REF!,1,#REF!,#REF!)</f>
        <v>#NAME?</v>
      </c>
      <c r="E2083" s="2" t="b">
        <f>IFERROR(INDEX(ERROR(0),MINIFS(#REF!,#REF!,SET.NAME("_",+INDEX(1,)),#REF!,#REF!)),RETURN(INDEX(TYPE(_),SET.NAME("_"))))</f>
        <v>0</v>
      </c>
      <c r="F2083" s="2" t="b">
        <f>IFERROR(INDEX(ERROR(0),MINIFS(#REF!,#REF!,INDIRECT(SET.NAME({1,"_"},)),#REF!,#REF!)),RETURN(INDEX(TYPE(_),SET.NAME("_"))))</f>
        <v>0</v>
      </c>
      <c r="G2083" s="2">
        <f>TYPE(INDEX(,MINIFS(#REF!,#REF!,INDEX(1,),#REF!,#REF!)))</f>
        <v>16</v>
      </c>
    </row>
    <row r="2084" spans="1:7" x14ac:dyDescent="0.55000000000000004">
      <c r="A2084" s="1" t="s">
        <v>2191</v>
      </c>
      <c r="B2084" s="2">
        <f>COUNTIF(A:A,A2084)-1</f>
        <v>5</v>
      </c>
      <c r="C2084" s="2">
        <f>COUNTIF(A$1:A2084,A2084)-1</f>
        <v>4</v>
      </c>
      <c r="D2084" s="2" t="e">
        <f>MINIFS(#REF!,#REF!,#REF!,1,#REF!)</f>
        <v>#NAME?</v>
      </c>
      <c r="E2084" s="2" t="b">
        <f>IFERROR(INDEX(ERROR(0),MINIFS(#REF!,#REF!,#REF!,SET.NAME("_",+INDEX(1,)),#REF!)),RETURN(INDEX(TYPE(_),SET.NAME("_"))))</f>
        <v>0</v>
      </c>
      <c r="F2084" s="2" t="b">
        <f>IFERROR(INDEX(ERROR(0),MINIFS(#REF!,#REF!,#REF!,INDIRECT(SET.NAME({1,"_"},)),#REF!)),RETURN(INDEX(TYPE(_),SET.NAME("_"))))</f>
        <v>0</v>
      </c>
      <c r="G2084" s="2">
        <f>TYPE(INDEX(,MINIFS(#REF!,#REF!,#REF!,INDEX(1,),#REF!)))</f>
        <v>16</v>
      </c>
    </row>
    <row r="2085" spans="1:7" x14ac:dyDescent="0.55000000000000004">
      <c r="A2085" s="1" t="s">
        <v>2191</v>
      </c>
      <c r="B2085" s="2">
        <f>COUNTIF(A:A,A2085)-1</f>
        <v>5</v>
      </c>
      <c r="C2085" s="2">
        <f>COUNTIF(A$1:A2085,A2085)-1</f>
        <v>5</v>
      </c>
      <c r="D2085" s="2" t="e">
        <f>MINIFS(#REF!,#REF!,#REF!,#REF!,1)</f>
        <v>#NAME?</v>
      </c>
      <c r="E2085" s="2" t="b">
        <f>IFERROR(INDEX(ERROR(0),MINIFS(#REF!,#REF!,#REF!,#REF!,SET.NAME("_",+INDEX(1,)))),RETURN(INDEX(TYPE(_),SET.NAME("_"))))</f>
        <v>0</v>
      </c>
      <c r="F2085" s="2" t="b">
        <f>IFERROR(INDEX(ERROR(0),MINIFS(#REF!,#REF!,#REF!,#REF!,INDIRECT(SET.NAME({1,"_"},)))),RETURN(INDEX(TYPE(_),SET.NAME("_"))))</f>
        <v>0</v>
      </c>
      <c r="G2085" s="2">
        <f>TYPE(INDEX(,MINIFS(#REF!,#REF!,#REF!,#REF!,INDEX(1,))))</f>
        <v>16</v>
      </c>
    </row>
    <row r="2086" spans="1:7" x14ac:dyDescent="0.55000000000000004">
      <c r="A2086" s="1" t="s">
        <v>2192</v>
      </c>
      <c r="B2086" s="2">
        <f>COUNTIF(A:A,A2086)-1</f>
        <v>6</v>
      </c>
      <c r="C2086" s="2">
        <f>COUNTIF(A$1:A2086,A2086)-1</f>
        <v>0</v>
      </c>
      <c r="D2086" s="2"/>
      <c r="E2086" s="2"/>
      <c r="F2086" s="2"/>
      <c r="G2086" s="2"/>
    </row>
    <row r="2087" spans="1:7" x14ac:dyDescent="0.55000000000000004">
      <c r="A2087" s="1" t="s">
        <v>2192</v>
      </c>
      <c r="B2087" s="2">
        <f>COUNTIF(A:A,A2087)-1</f>
        <v>6</v>
      </c>
      <c r="C2087" s="2">
        <f>COUNTIF(A$1:A2087,A2087)-1</f>
        <v>1</v>
      </c>
      <c r="D2087" s="2" t="e">
        <f>SWITCH(1,#REF!,#REF!,#REF!,#REF!,#REF!)</f>
        <v>#NAME?</v>
      </c>
      <c r="E2087" s="2" t="b">
        <f>IFERROR(INDEX(ERROR(0),SWITCH(SET.NAME("_",+INDEX(1,)),#REF!,#REF!,#REF!,#REF!,#REF!)),RETURN(INDEX(TYPE(_),SET.NAME("_"))))</f>
        <v>0</v>
      </c>
      <c r="F2087" s="2" t="b">
        <f>IFERROR(INDEX(ERROR(0),SWITCH(INDIRECT(SET.NAME({1,"_"},)),#REF!,#REF!,#REF!,#REF!,#REF!)),RETURN(INDEX(TYPE(_),SET.NAME("_"))))</f>
        <v>0</v>
      </c>
      <c r="G2087" s="2">
        <f>TYPE(INDEX(,SWITCH(INDEX(1,),#REF!,#REF!,#REF!,#REF!,#REF!)))</f>
        <v>16</v>
      </c>
    </row>
    <row r="2088" spans="1:7" x14ac:dyDescent="0.55000000000000004">
      <c r="A2088" s="1" t="s">
        <v>2192</v>
      </c>
      <c r="B2088" s="2">
        <f>COUNTIF(A:A,A2088)-1</f>
        <v>6</v>
      </c>
      <c r="C2088" s="2">
        <f>COUNTIF(A$1:A2088,A2088)-1</f>
        <v>2</v>
      </c>
      <c r="D2088" s="2" t="e">
        <f>SWITCH(#REF!,1,#REF!,#REF!,#REF!,#REF!)</f>
        <v>#NAME?</v>
      </c>
      <c r="E2088" s="2" t="b">
        <f>IFERROR(INDEX(ERROR(0),SWITCH(#REF!,SET.NAME("_",+INDEX(1,)),#REF!,#REF!,#REF!,#REF!)),RETURN(INDEX(TYPE(_),SET.NAME("_"))))</f>
        <v>0</v>
      </c>
      <c r="F2088" s="2" t="b">
        <f>IFERROR(INDEX(ERROR(0),SWITCH(#REF!,INDIRECT(SET.NAME({1,"_"},)),#REF!,#REF!,#REF!,#REF!)),RETURN(INDEX(TYPE(_),SET.NAME("_"))))</f>
        <v>0</v>
      </c>
      <c r="G2088" s="2">
        <f>TYPE(INDEX(,SWITCH(#REF!,INDEX(1,),#REF!,#REF!,#REF!,#REF!)))</f>
        <v>16</v>
      </c>
    </row>
    <row r="2089" spans="1:7" x14ac:dyDescent="0.55000000000000004">
      <c r="A2089" s="1" t="s">
        <v>2192</v>
      </c>
      <c r="B2089" s="2">
        <f>COUNTIF(A:A,A2089)-1</f>
        <v>6</v>
      </c>
      <c r="C2089" s="2">
        <f>COUNTIF(A$1:A2089,A2089)-1</f>
        <v>3</v>
      </c>
      <c r="D2089" s="2" t="e">
        <f>SWITCH(#REF!,#REF!,1,#REF!,#REF!,#REF!)</f>
        <v>#NAME?</v>
      </c>
      <c r="E2089" s="2" t="b">
        <f>IFERROR(INDEX(ERROR(0),SWITCH(#REF!,#REF!,SET.NAME("_",+INDEX(1,)),#REF!,#REF!,#REF!)),RETURN(INDEX(TYPE(_),SET.NAME("_"))))</f>
        <v>0</v>
      </c>
      <c r="F2089" s="2" t="b">
        <f>IFERROR(INDEX(ERROR(0),SWITCH(#REF!,#REF!,INDIRECT(SET.NAME({1,"_"},)),#REF!,#REF!,#REF!)),RETURN(INDEX(TYPE(_),SET.NAME("_"))))</f>
        <v>0</v>
      </c>
      <c r="G2089" s="2">
        <f>TYPE(INDEX(,SWITCH(#REF!,#REF!,INDEX(1,),#REF!,#REF!,#REF!)))</f>
        <v>16</v>
      </c>
    </row>
    <row r="2090" spans="1:7" x14ac:dyDescent="0.55000000000000004">
      <c r="A2090" s="1" t="s">
        <v>2192</v>
      </c>
      <c r="B2090" s="2">
        <f>COUNTIF(A:A,A2090)-1</f>
        <v>6</v>
      </c>
      <c r="C2090" s="2">
        <f>COUNTIF(A$1:A2090,A2090)-1</f>
        <v>4</v>
      </c>
      <c r="D2090" s="2" t="e">
        <f>SWITCH(#REF!,#REF!,#REF!,1,#REF!,#REF!)</f>
        <v>#NAME?</v>
      </c>
      <c r="E2090" s="2" t="b">
        <f>IFERROR(INDEX(ERROR(0),SWITCH(#REF!,#REF!,#REF!,SET.NAME("_",+INDEX(1,)),#REF!,#REF!)),RETURN(INDEX(TYPE(_),SET.NAME("_"))))</f>
        <v>0</v>
      </c>
      <c r="F2090" s="2" t="b">
        <f>IFERROR(INDEX(ERROR(0),SWITCH(#REF!,#REF!,#REF!,INDIRECT(SET.NAME({1,"_"},)),#REF!,#REF!)),RETURN(INDEX(TYPE(_),SET.NAME("_"))))</f>
        <v>0</v>
      </c>
      <c r="G2090" s="2">
        <f>TYPE(INDEX(,SWITCH(#REF!,#REF!,#REF!,INDEX(1,),#REF!,#REF!)))</f>
        <v>16</v>
      </c>
    </row>
    <row r="2091" spans="1:7" x14ac:dyDescent="0.55000000000000004">
      <c r="A2091" s="1" t="s">
        <v>2192</v>
      </c>
      <c r="B2091" s="2">
        <f>COUNTIF(A:A,A2091)-1</f>
        <v>6</v>
      </c>
      <c r="C2091" s="2">
        <f>COUNTIF(A$1:A2091,A2091)-1</f>
        <v>5</v>
      </c>
      <c r="D2091" s="2" t="e">
        <f>SWITCH(#REF!,#REF!,#REF!,#REF!,1,#REF!)</f>
        <v>#NAME?</v>
      </c>
      <c r="E2091" s="2" t="b">
        <f>IFERROR(INDEX(ERROR(0),SWITCH(#REF!,#REF!,#REF!,#REF!,SET.NAME("_",+INDEX(1,)),#REF!)),RETURN(INDEX(TYPE(_),SET.NAME("_"))))</f>
        <v>0</v>
      </c>
      <c r="F2091" s="2" t="b">
        <f>IFERROR(INDEX(ERROR(0),SWITCH(#REF!,#REF!,#REF!,#REF!,INDIRECT(SET.NAME({1,"_"},)),#REF!)),RETURN(INDEX(TYPE(_),SET.NAME("_"))))</f>
        <v>0</v>
      </c>
      <c r="G2091" s="2">
        <f>TYPE(INDEX(,SWITCH(#REF!,#REF!,#REF!,#REF!,INDEX(1,),#REF!)))</f>
        <v>16</v>
      </c>
    </row>
    <row r="2092" spans="1:7" x14ac:dyDescent="0.55000000000000004">
      <c r="A2092" s="1" t="s">
        <v>2192</v>
      </c>
      <c r="B2092" s="2">
        <f>COUNTIF(A:A,A2092)-1</f>
        <v>6</v>
      </c>
      <c r="C2092" s="2">
        <f>COUNTIF(A$1:A2092,A2092)-1</f>
        <v>6</v>
      </c>
      <c r="D2092" s="2" t="e">
        <f>SWITCH(#REF!,#REF!,#REF!,#REF!,#REF!,1)</f>
        <v>#NAME?</v>
      </c>
      <c r="E2092" s="2" t="b">
        <f>IFERROR(INDEX(ERROR(0),SWITCH(#REF!,#REF!,#REF!,#REF!,#REF!,SET.NAME("_",+INDEX(1,)))),RETURN(INDEX(TYPE(_),SET.NAME("_"))))</f>
        <v>0</v>
      </c>
      <c r="F2092" s="2" t="b">
        <f>IFERROR(INDEX(ERROR(0),SWITCH(#REF!,#REF!,#REF!,#REF!,#REF!,INDIRECT(SET.NAME({1,"_"},)))),RETURN(INDEX(TYPE(_),SET.NAME("_"))))</f>
        <v>0</v>
      </c>
      <c r="G2092" s="2">
        <f>TYPE(INDEX(,SWITCH(#REF!,#REF!,#REF!,#REF!,#REF!,INDEX(1,))))</f>
        <v>16</v>
      </c>
    </row>
    <row r="2093" spans="1:7" x14ac:dyDescent="0.55000000000000004">
      <c r="A2093" s="1" t="s">
        <v>2193</v>
      </c>
      <c r="B2093" s="2">
        <f>COUNTIF(A:A,A2093)-1</f>
        <v>4</v>
      </c>
      <c r="C2093" s="2">
        <f>COUNTIF(A$1:A2093,A2093)-1</f>
        <v>0</v>
      </c>
      <c r="D2093" s="2"/>
      <c r="E2093" s="2"/>
      <c r="F2093" s="2"/>
      <c r="G2093" s="2"/>
    </row>
    <row r="2094" spans="1:7" x14ac:dyDescent="0.55000000000000004">
      <c r="A2094" s="1" t="s">
        <v>2193</v>
      </c>
      <c r="B2094" s="2">
        <f>COUNTIF(A:A,A2094)-1</f>
        <v>4</v>
      </c>
      <c r="C2094" s="2">
        <f>COUNTIF(A$1:A2094,A2094)-1</f>
        <v>1</v>
      </c>
      <c r="D2094" s="2" t="e">
        <f>TEXTJOIN(1,#REF!,#REF!,#REF!)</f>
        <v>#NAME?</v>
      </c>
      <c r="E2094" s="2" t="b">
        <f>IFERROR(INDEX(ERROR(0),TEXTJOIN(SET.NAME("_",+INDEX(1,)),#REF!,#REF!,#REF!)),RETURN(INDEX(TYPE(_),SET.NAME("_"))))</f>
        <v>0</v>
      </c>
      <c r="F2094" s="2" t="b">
        <f>IFERROR(INDEX(ERROR(0),TEXTJOIN(INDIRECT(SET.NAME({1,"_"},)),#REF!,#REF!,#REF!)),RETURN(INDEX(TYPE(_),SET.NAME("_"))))</f>
        <v>0</v>
      </c>
      <c r="G2094" s="2">
        <f>TYPE(INDEX(,TEXTJOIN(INDEX(1,),#REF!,#REF!,#REF!)))</f>
        <v>16</v>
      </c>
    </row>
    <row r="2095" spans="1:7" x14ac:dyDescent="0.55000000000000004">
      <c r="A2095" s="1" t="s">
        <v>2193</v>
      </c>
      <c r="B2095" s="2">
        <f>COUNTIF(A:A,A2095)-1</f>
        <v>4</v>
      </c>
      <c r="C2095" s="2">
        <f>COUNTIF(A$1:A2095,A2095)-1</f>
        <v>2</v>
      </c>
      <c r="D2095" s="2" t="e">
        <f>TEXTJOIN(#REF!,1,#REF!,#REF!)</f>
        <v>#NAME?</v>
      </c>
      <c r="E2095" s="2" t="b">
        <f>IFERROR(INDEX(ERROR(0),TEXTJOIN(#REF!,SET.NAME("_",+INDEX(1,)),#REF!,#REF!)),RETURN(INDEX(TYPE(_),SET.NAME("_"))))</f>
        <v>0</v>
      </c>
      <c r="F2095" s="2" t="b">
        <f>IFERROR(INDEX(ERROR(0),TEXTJOIN(#REF!,INDIRECT(SET.NAME({1,"_"},)),#REF!,#REF!)),RETURN(INDEX(TYPE(_),SET.NAME("_"))))</f>
        <v>0</v>
      </c>
      <c r="G2095" s="2">
        <f>TYPE(INDEX(,TEXTJOIN(#REF!,INDEX(1,),#REF!,#REF!)))</f>
        <v>16</v>
      </c>
    </row>
    <row r="2096" spans="1:7" x14ac:dyDescent="0.55000000000000004">
      <c r="A2096" s="1" t="s">
        <v>2193</v>
      </c>
      <c r="B2096" s="2">
        <f>COUNTIF(A:A,A2096)-1</f>
        <v>4</v>
      </c>
      <c r="C2096" s="2">
        <f>COUNTIF(A$1:A2096,A2096)-1</f>
        <v>3</v>
      </c>
      <c r="D2096" s="2" t="e">
        <f>TEXTJOIN(#REF!,#REF!,1,#REF!)</f>
        <v>#NAME?</v>
      </c>
      <c r="E2096" s="2" t="b">
        <f>IFERROR(INDEX(ERROR(0),TEXTJOIN(#REF!,#REF!,SET.NAME("_",+INDEX(1,)),#REF!)),RETURN(INDEX(TYPE(_),SET.NAME("_"))))</f>
        <v>0</v>
      </c>
      <c r="F2096" s="2" t="b">
        <f>IFERROR(INDEX(ERROR(0),TEXTJOIN(#REF!,#REF!,INDIRECT(SET.NAME({1,"_"},)),#REF!)),RETURN(INDEX(TYPE(_),SET.NAME("_"))))</f>
        <v>0</v>
      </c>
      <c r="G2096" s="2">
        <f>TYPE(INDEX(,TEXTJOIN(#REF!,#REF!,INDEX(1,),#REF!)))</f>
        <v>16</v>
      </c>
    </row>
    <row r="2097" spans="1:7" x14ac:dyDescent="0.55000000000000004">
      <c r="A2097" s="1" t="s">
        <v>2193</v>
      </c>
      <c r="B2097" s="2">
        <f>COUNTIF(A:A,A2097)-1</f>
        <v>4</v>
      </c>
      <c r="C2097" s="2">
        <f>COUNTIF(A$1:A2097,A2097)-1</f>
        <v>4</v>
      </c>
      <c r="D2097" s="2" t="e">
        <f>TEXTJOIN(#REF!,#REF!,#REF!,1)</f>
        <v>#NAME?</v>
      </c>
      <c r="E2097" s="2" t="b">
        <f>IFERROR(INDEX(ERROR(0),TEXTJOIN(#REF!,#REF!,#REF!,SET.NAME("_",+INDEX(1,)))),RETURN(INDEX(TYPE(_),SET.NAME("_"))))</f>
        <v>0</v>
      </c>
      <c r="F2097" s="2" t="b">
        <f>IFERROR(INDEX(ERROR(0),TEXTJOIN(#REF!,#REF!,#REF!,INDIRECT(SET.NAME({1,"_"},)))),RETURN(INDEX(TYPE(_),SET.NAME("_"))))</f>
        <v>0</v>
      </c>
      <c r="G2097" s="2">
        <f>TYPE(INDEX(,TEXTJOIN(#REF!,#REF!,#REF!,INDEX(1,))))</f>
        <v>16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01"/>
  <sheetViews>
    <sheetView tabSelected="1" workbookViewId="0"/>
  </sheetViews>
  <sheetFormatPr defaultRowHeight="14.4" x14ac:dyDescent="0.55000000000000004"/>
  <cols>
    <col min="1" max="4" width="8.83984375" style="1"/>
    <col min="6" max="8" width="8.83984375" style="1"/>
  </cols>
  <sheetData>
    <row r="1" spans="1:8" x14ac:dyDescent="0.55000000000000004">
      <c r="A1" s="4" t="s">
        <v>2575</v>
      </c>
      <c r="B1" s="4" t="s">
        <v>1211</v>
      </c>
      <c r="C1" s="4" t="s">
        <v>1193</v>
      </c>
      <c r="D1" s="4" t="s">
        <v>1210</v>
      </c>
      <c r="E1" s="4" t="s">
        <v>1555</v>
      </c>
      <c r="F1" s="4" t="s">
        <v>1192</v>
      </c>
      <c r="G1" s="4" t="s">
        <v>1191</v>
      </c>
      <c r="H1" s="4" t="s">
        <v>1559</v>
      </c>
    </row>
    <row r="2" spans="1:8" x14ac:dyDescent="0.55000000000000004">
      <c r="A2" s="1">
        <v>0</v>
      </c>
      <c r="B2" s="1" t="s">
        <v>1</v>
      </c>
      <c r="C2" s="1" t="s">
        <v>1199</v>
      </c>
      <c r="D2" s="1" t="s">
        <v>2</v>
      </c>
      <c r="E2" t="s">
        <v>2322</v>
      </c>
      <c r="H2" s="2" t="str">
        <f>INDEX(Type!I:I,MATCH(D2,Type!A:A,0))</f>
        <v>v(var, [var], …)</v>
      </c>
    </row>
    <row r="3" spans="1:8" x14ac:dyDescent="0.55000000000000004">
      <c r="A3" s="1">
        <v>1</v>
      </c>
      <c r="B3" s="1" t="s">
        <v>3</v>
      </c>
      <c r="C3" s="1" t="s">
        <v>1197</v>
      </c>
      <c r="D3" s="1" t="s">
        <v>4</v>
      </c>
      <c r="E3" t="s">
        <v>2323</v>
      </c>
      <c r="H3" s="2" t="str">
        <f>INDEX(Type!I:I,MATCH(D3,Type!A:A,0))</f>
        <v>var(va, [var], [var])</v>
      </c>
    </row>
    <row r="4" spans="1:8" x14ac:dyDescent="0.55000000000000004">
      <c r="A4" s="1">
        <v>2</v>
      </c>
      <c r="B4" s="1" t="s">
        <v>5</v>
      </c>
      <c r="C4" s="1" t="s">
        <v>1203</v>
      </c>
      <c r="D4" s="1" t="s">
        <v>6</v>
      </c>
      <c r="E4" t="s">
        <v>1218</v>
      </c>
      <c r="H4" s="2" t="str">
        <f>INDEX(Type!I:I,MATCH(D4,Type!A:A,0))</f>
        <v>v(v)</v>
      </c>
    </row>
    <row r="5" spans="1:8" x14ac:dyDescent="0.55000000000000004">
      <c r="A5" s="1">
        <v>3</v>
      </c>
      <c r="B5" s="1" t="s">
        <v>7</v>
      </c>
      <c r="C5" s="1" t="s">
        <v>1203</v>
      </c>
      <c r="D5" s="1" t="s">
        <v>8</v>
      </c>
      <c r="E5" t="s">
        <v>1218</v>
      </c>
      <c r="H5" s="2" t="str">
        <f>INDEX(Type!I:I,MATCH(D5,Type!A:A,0))</f>
        <v>v(v)</v>
      </c>
    </row>
    <row r="6" spans="1:8" x14ac:dyDescent="0.55000000000000004">
      <c r="A6" s="1">
        <v>4</v>
      </c>
      <c r="B6" s="1" t="s">
        <v>9</v>
      </c>
      <c r="C6" s="1" t="s">
        <v>1194</v>
      </c>
      <c r="D6" s="1" t="s">
        <v>10</v>
      </c>
      <c r="E6" t="s">
        <v>2324</v>
      </c>
      <c r="H6" s="2" t="str">
        <f>INDEX(Type!I:I,MATCH(D6,Type!A:A,0))</f>
        <v>v(var, [var], …)</v>
      </c>
    </row>
    <row r="7" spans="1:8" x14ac:dyDescent="0.55000000000000004">
      <c r="A7" s="1">
        <v>5</v>
      </c>
      <c r="B7" s="1" t="s">
        <v>11</v>
      </c>
      <c r="C7" s="1" t="s">
        <v>1199</v>
      </c>
      <c r="D7" s="1" t="s">
        <v>12</v>
      </c>
      <c r="E7" t="s">
        <v>2324</v>
      </c>
      <c r="H7" s="2" t="str">
        <f>INDEX(Type!I:I,MATCH(D7,Type!A:A,0))</f>
        <v>v(var, [var], …)</v>
      </c>
    </row>
    <row r="8" spans="1:8" x14ac:dyDescent="0.55000000000000004">
      <c r="A8" s="1">
        <v>6</v>
      </c>
      <c r="B8" s="1" t="s">
        <v>13</v>
      </c>
      <c r="C8" s="1" t="s">
        <v>1199</v>
      </c>
      <c r="D8" s="1" t="s">
        <v>14</v>
      </c>
      <c r="E8" t="s">
        <v>2324</v>
      </c>
      <c r="H8" s="2" t="str">
        <f>INDEX(Type!I:I,MATCH(D8,Type!A:A,0))</f>
        <v>v(var, [var], …)</v>
      </c>
    </row>
    <row r="9" spans="1:8" x14ac:dyDescent="0.55000000000000004">
      <c r="A9" s="1">
        <v>7</v>
      </c>
      <c r="B9" s="1" t="s">
        <v>15</v>
      </c>
      <c r="C9" s="1" t="s">
        <v>1199</v>
      </c>
      <c r="D9" s="1" t="s">
        <v>16</v>
      </c>
      <c r="E9" t="s">
        <v>2324</v>
      </c>
      <c r="H9" s="2" t="str">
        <f>INDEX(Type!I:I,MATCH(D9,Type!A:A,0))</f>
        <v>v(var, [var], …)</v>
      </c>
    </row>
    <row r="10" spans="1:8" x14ac:dyDescent="0.55000000000000004">
      <c r="A10" s="1">
        <v>8</v>
      </c>
      <c r="B10" s="1" t="s">
        <v>17</v>
      </c>
      <c r="C10" s="1" t="s">
        <v>1196</v>
      </c>
      <c r="D10" s="1" t="s">
        <v>18</v>
      </c>
      <c r="E10" t="s">
        <v>1221</v>
      </c>
      <c r="H10" s="2" t="str">
        <f>INDEX(Type!I:I,MATCH(D10,Type!A:A,0))</f>
        <v>va([r])</v>
      </c>
    </row>
    <row r="11" spans="1:8" x14ac:dyDescent="0.55000000000000004">
      <c r="A11" s="1">
        <v>9</v>
      </c>
      <c r="B11" s="1" t="s">
        <v>19</v>
      </c>
      <c r="C11" s="1" t="s">
        <v>1196</v>
      </c>
      <c r="D11" s="1" t="s">
        <v>20</v>
      </c>
      <c r="E11" t="s">
        <v>1221</v>
      </c>
      <c r="H11" s="2" t="str">
        <f>INDEX(Type!I:I,MATCH(D11,Type!A:A,0))</f>
        <v>va([r])</v>
      </c>
    </row>
    <row r="12" spans="1:8" x14ac:dyDescent="0.55000000000000004">
      <c r="A12" s="1">
        <v>10</v>
      </c>
      <c r="B12" s="1" t="s">
        <v>21</v>
      </c>
      <c r="C12" s="1" t="s">
        <v>1203</v>
      </c>
      <c r="D12" s="1" t="s">
        <v>22</v>
      </c>
      <c r="H12" s="2" t="str">
        <f>INDEX(Type!I:I,MATCH(D12,Type!A:A,0))</f>
        <v>v()</v>
      </c>
    </row>
    <row r="13" spans="1:8" x14ac:dyDescent="0.55000000000000004">
      <c r="A13" s="1">
        <v>11</v>
      </c>
      <c r="B13" s="1" t="s">
        <v>23</v>
      </c>
      <c r="C13" s="1" t="s">
        <v>1195</v>
      </c>
      <c r="D13" s="1" t="s">
        <v>24</v>
      </c>
      <c r="E13" t="s">
        <v>2325</v>
      </c>
      <c r="H13" s="2" t="str">
        <f>INDEX(Type!I:I,MATCH(D13,Type!A:A,0))</f>
        <v>v(v, var, [var], …)</v>
      </c>
    </row>
    <row r="14" spans="1:8" x14ac:dyDescent="0.55000000000000004">
      <c r="A14" s="1">
        <v>12</v>
      </c>
      <c r="B14" s="1" t="s">
        <v>25</v>
      </c>
      <c r="C14" s="1" t="s">
        <v>1201</v>
      </c>
      <c r="D14" s="1" t="s">
        <v>26</v>
      </c>
      <c r="E14" t="s">
        <v>2324</v>
      </c>
      <c r="H14" s="2" t="str">
        <f>INDEX(Type!I:I,MATCH(D14,Type!A:A,0))</f>
        <v>v(var, [var], …)</v>
      </c>
    </row>
    <row r="15" spans="1:8" x14ac:dyDescent="0.55000000000000004">
      <c r="A15" s="1">
        <v>13</v>
      </c>
      <c r="B15" s="1" t="s">
        <v>27</v>
      </c>
      <c r="C15" s="1" t="s">
        <v>1198</v>
      </c>
      <c r="D15" s="1" t="s">
        <v>28</v>
      </c>
      <c r="E15" t="s">
        <v>2326</v>
      </c>
      <c r="H15" s="2" t="str">
        <f>INDEX(Type!I:I,MATCH(D15,Type!A:A,0))</f>
        <v>v(v, [v])</v>
      </c>
    </row>
    <row r="16" spans="1:8" x14ac:dyDescent="0.55000000000000004">
      <c r="A16" s="1">
        <v>14</v>
      </c>
      <c r="B16" s="1" t="s">
        <v>29</v>
      </c>
      <c r="C16" s="1" t="s">
        <v>1198</v>
      </c>
      <c r="D16" s="1" t="s">
        <v>30</v>
      </c>
      <c r="E16" t="s">
        <v>2327</v>
      </c>
      <c r="H16" s="2" t="str">
        <f>INDEX(Type!I:I,MATCH(D16,Type!A:A,0))</f>
        <v>v(v, [v], [v])</v>
      </c>
    </row>
    <row r="17" spans="1:8" x14ac:dyDescent="0.55000000000000004">
      <c r="A17" s="1">
        <v>15</v>
      </c>
      <c r="B17" s="1" t="s">
        <v>31</v>
      </c>
      <c r="C17" s="1" t="s">
        <v>1194</v>
      </c>
      <c r="D17" s="1" t="s">
        <v>32</v>
      </c>
      <c r="E17" t="s">
        <v>1223</v>
      </c>
      <c r="H17" s="2" t="str">
        <f>INDEX(Type!I:I,MATCH(D17,Type!A:A,0))</f>
        <v>v(v)</v>
      </c>
    </row>
    <row r="18" spans="1:8" x14ac:dyDescent="0.55000000000000004">
      <c r="A18" s="1">
        <v>16</v>
      </c>
      <c r="B18" s="1" t="s">
        <v>33</v>
      </c>
      <c r="C18" s="1" t="s">
        <v>1194</v>
      </c>
      <c r="D18" s="1" t="s">
        <v>34</v>
      </c>
      <c r="E18" t="s">
        <v>1223</v>
      </c>
      <c r="H18" s="2" t="str">
        <f>INDEX(Type!I:I,MATCH(D18,Type!A:A,0))</f>
        <v>v(v)</v>
      </c>
    </row>
    <row r="19" spans="1:8" x14ac:dyDescent="0.55000000000000004">
      <c r="A19" s="1">
        <v>17</v>
      </c>
      <c r="B19" s="1" t="s">
        <v>35</v>
      </c>
      <c r="C19" s="1" t="s">
        <v>1194</v>
      </c>
      <c r="D19" s="1" t="s">
        <v>36</v>
      </c>
      <c r="E19" t="s">
        <v>1223</v>
      </c>
      <c r="H19" s="2" t="str">
        <f>INDEX(Type!I:I,MATCH(D19,Type!A:A,0))</f>
        <v>v(v)</v>
      </c>
    </row>
    <row r="20" spans="1:8" x14ac:dyDescent="0.55000000000000004">
      <c r="A20" s="1">
        <v>18</v>
      </c>
      <c r="B20" s="1" t="s">
        <v>37</v>
      </c>
      <c r="C20" s="1" t="s">
        <v>1194</v>
      </c>
      <c r="D20" s="1" t="s">
        <v>38</v>
      </c>
      <c r="E20" t="s">
        <v>1223</v>
      </c>
      <c r="H20" s="2" t="str">
        <f>INDEX(Type!I:I,MATCH(D20,Type!A:A,0))</f>
        <v>v(v)</v>
      </c>
    </row>
    <row r="21" spans="1:8" x14ac:dyDescent="0.55000000000000004">
      <c r="A21" s="1">
        <v>19</v>
      </c>
      <c r="B21" s="1" t="s">
        <v>39</v>
      </c>
      <c r="C21" s="1" t="s">
        <v>1194</v>
      </c>
      <c r="D21" s="1" t="s">
        <v>40</v>
      </c>
      <c r="H21" s="2" t="str">
        <f>INDEX(Type!I:I,MATCH(D21,Type!A:A,0))</f>
        <v>v()</v>
      </c>
    </row>
    <row r="22" spans="1:8" x14ac:dyDescent="0.55000000000000004">
      <c r="A22" s="1">
        <v>20</v>
      </c>
      <c r="B22" s="1" t="s">
        <v>41</v>
      </c>
      <c r="C22" s="1" t="s">
        <v>1194</v>
      </c>
      <c r="D22" s="1" t="s">
        <v>42</v>
      </c>
      <c r="E22" t="s">
        <v>1223</v>
      </c>
      <c r="H22" s="2" t="str">
        <f>INDEX(Type!I:I,MATCH(D22,Type!A:A,0))</f>
        <v>v(v)</v>
      </c>
    </row>
    <row r="23" spans="1:8" x14ac:dyDescent="0.55000000000000004">
      <c r="A23" s="1">
        <v>21</v>
      </c>
      <c r="B23" s="1" t="s">
        <v>43</v>
      </c>
      <c r="C23" s="1" t="s">
        <v>1194</v>
      </c>
      <c r="D23" s="1" t="s">
        <v>44</v>
      </c>
      <c r="E23" t="s">
        <v>1223</v>
      </c>
      <c r="H23" s="2" t="str">
        <f>INDEX(Type!I:I,MATCH(D23,Type!A:A,0))</f>
        <v>v(v)</v>
      </c>
    </row>
    <row r="24" spans="1:8" x14ac:dyDescent="0.55000000000000004">
      <c r="A24" s="1">
        <v>22</v>
      </c>
      <c r="B24" s="1" t="s">
        <v>45</v>
      </c>
      <c r="C24" s="1" t="s">
        <v>1194</v>
      </c>
      <c r="D24" s="1" t="s">
        <v>46</v>
      </c>
      <c r="E24" t="s">
        <v>1223</v>
      </c>
      <c r="H24" s="2" t="str">
        <f>INDEX(Type!I:I,MATCH(D24,Type!A:A,0))</f>
        <v>v(v)</v>
      </c>
    </row>
    <row r="25" spans="1:8" x14ac:dyDescent="0.55000000000000004">
      <c r="A25" s="1">
        <v>23</v>
      </c>
      <c r="B25" s="1" t="s">
        <v>47</v>
      </c>
      <c r="C25" s="1" t="s">
        <v>1194</v>
      </c>
      <c r="D25" s="1" t="s">
        <v>48</v>
      </c>
      <c r="E25" t="s">
        <v>1223</v>
      </c>
      <c r="H25" s="2" t="str">
        <f>INDEX(Type!I:I,MATCH(D25,Type!A:A,0))</f>
        <v>v(v)</v>
      </c>
    </row>
    <row r="26" spans="1:8" x14ac:dyDescent="0.55000000000000004">
      <c r="A26" s="1">
        <v>24</v>
      </c>
      <c r="B26" s="1" t="s">
        <v>49</v>
      </c>
      <c r="C26" s="1" t="s">
        <v>1194</v>
      </c>
      <c r="D26" s="1" t="s">
        <v>50</v>
      </c>
      <c r="E26" t="s">
        <v>1223</v>
      </c>
      <c r="H26" s="2" t="str">
        <f>INDEX(Type!I:I,MATCH(D26,Type!A:A,0))</f>
        <v>v(v)</v>
      </c>
    </row>
    <row r="27" spans="1:8" x14ac:dyDescent="0.55000000000000004">
      <c r="A27" s="1">
        <v>25</v>
      </c>
      <c r="B27" s="1" t="s">
        <v>51</v>
      </c>
      <c r="C27" s="1" t="s">
        <v>1194</v>
      </c>
      <c r="D27" s="1" t="s">
        <v>52</v>
      </c>
      <c r="E27" t="s">
        <v>1223</v>
      </c>
      <c r="H27" s="2" t="str">
        <f>INDEX(Type!I:I,MATCH(D27,Type!A:A,0))</f>
        <v>v(v)</v>
      </c>
    </row>
    <row r="28" spans="1:8" x14ac:dyDescent="0.55000000000000004">
      <c r="A28" s="1">
        <v>26</v>
      </c>
      <c r="B28" s="1" t="s">
        <v>53</v>
      </c>
      <c r="C28" s="1" t="s">
        <v>1194</v>
      </c>
      <c r="D28" s="1" t="s">
        <v>54</v>
      </c>
      <c r="E28" t="s">
        <v>1223</v>
      </c>
      <c r="H28" s="2" t="str">
        <f>INDEX(Type!I:I,MATCH(D28,Type!A:A,0))</f>
        <v>v(v)</v>
      </c>
    </row>
    <row r="29" spans="1:8" x14ac:dyDescent="0.55000000000000004">
      <c r="A29" s="1">
        <v>27</v>
      </c>
      <c r="B29" s="1" t="s">
        <v>55</v>
      </c>
      <c r="C29" s="1" t="s">
        <v>1194</v>
      </c>
      <c r="D29" s="1" t="s">
        <v>56</v>
      </c>
      <c r="E29" t="s">
        <v>2328</v>
      </c>
      <c r="H29" s="2" t="str">
        <f>INDEX(Type!I:I,MATCH(D29,Type!A:A,0))</f>
        <v>v(v, v)</v>
      </c>
    </row>
    <row r="30" spans="1:8" x14ac:dyDescent="0.55000000000000004">
      <c r="A30" s="1">
        <v>28</v>
      </c>
      <c r="B30" s="1" t="s">
        <v>57</v>
      </c>
      <c r="C30" s="1" t="s">
        <v>1196</v>
      </c>
      <c r="D30" s="1" t="s">
        <v>58</v>
      </c>
      <c r="E30" t="s">
        <v>2329</v>
      </c>
      <c r="H30" s="2" t="str">
        <f>INDEX(Type!I:I,MATCH(D30,Type!A:A,0))</f>
        <v>v(v, ar, [ar])</v>
      </c>
    </row>
    <row r="31" spans="1:8" x14ac:dyDescent="0.55000000000000004">
      <c r="A31" s="1">
        <v>29</v>
      </c>
      <c r="B31" s="1" t="s">
        <v>59</v>
      </c>
      <c r="C31" s="1" t="s">
        <v>1196</v>
      </c>
      <c r="D31" s="1" t="s">
        <v>60</v>
      </c>
      <c r="E31" t="s">
        <v>2330</v>
      </c>
      <c r="H31" s="2" t="str">
        <f>INDEX(Type!I:I,MATCH(D31,Type!A:A,0))</f>
        <v>var(ar, v, [v], [v])</v>
      </c>
    </row>
    <row r="32" spans="1:8" x14ac:dyDescent="0.55000000000000004">
      <c r="A32" s="1">
        <v>30</v>
      </c>
      <c r="B32" s="1" t="s">
        <v>61</v>
      </c>
      <c r="C32" s="1" t="s">
        <v>1198</v>
      </c>
      <c r="D32" s="1" t="s">
        <v>62</v>
      </c>
      <c r="E32" t="s">
        <v>2331</v>
      </c>
      <c r="H32" s="2" t="str">
        <f>INDEX(Type!I:I,MATCH(D32,Type!A:A,0))</f>
        <v>v(v, v)</v>
      </c>
    </row>
    <row r="33" spans="1:8" x14ac:dyDescent="0.55000000000000004">
      <c r="A33" s="1">
        <v>31</v>
      </c>
      <c r="B33" s="1" t="s">
        <v>63</v>
      </c>
      <c r="C33" s="1" t="s">
        <v>1198</v>
      </c>
      <c r="D33" s="1" t="s">
        <v>64</v>
      </c>
      <c r="E33" t="s">
        <v>2332</v>
      </c>
      <c r="H33" s="2" t="str">
        <f>INDEX(Type!I:I,MATCH(D33,Type!A:A,0))</f>
        <v>v(v, v, v)</v>
      </c>
    </row>
    <row r="34" spans="1:8" x14ac:dyDescent="0.55000000000000004">
      <c r="A34" s="1">
        <v>32</v>
      </c>
      <c r="B34" s="1" t="s">
        <v>65</v>
      </c>
      <c r="C34" s="1" t="s">
        <v>1198</v>
      </c>
      <c r="D34" s="1" t="s">
        <v>66</v>
      </c>
      <c r="E34" t="s">
        <v>1233</v>
      </c>
      <c r="H34" s="2" t="str">
        <f>INDEX(Type!I:I,MATCH(D34,Type!A:A,0))</f>
        <v>v(v)</v>
      </c>
    </row>
    <row r="35" spans="1:8" x14ac:dyDescent="0.55000000000000004">
      <c r="A35" s="1">
        <v>33</v>
      </c>
      <c r="B35" s="1" t="s">
        <v>67</v>
      </c>
      <c r="C35" s="1" t="s">
        <v>1198</v>
      </c>
      <c r="D35" s="1" t="s">
        <v>68</v>
      </c>
      <c r="E35" t="s">
        <v>1233</v>
      </c>
      <c r="H35" s="2" t="str">
        <f>INDEX(Type!I:I,MATCH(D35,Type!A:A,0))</f>
        <v>v(v)</v>
      </c>
    </row>
    <row r="36" spans="1:8" x14ac:dyDescent="0.55000000000000004">
      <c r="A36" s="1">
        <v>34</v>
      </c>
      <c r="B36" s="1" t="s">
        <v>69</v>
      </c>
      <c r="C36" s="1" t="s">
        <v>1197</v>
      </c>
      <c r="D36" s="1" t="s">
        <v>70</v>
      </c>
      <c r="H36" s="2" t="str">
        <f>INDEX(Type!I:I,MATCH(D36,Type!A:A,0))</f>
        <v/>
      </c>
    </row>
    <row r="37" spans="1:8" x14ac:dyDescent="0.55000000000000004">
      <c r="A37" s="1">
        <v>35</v>
      </c>
      <c r="B37" s="1" t="s">
        <v>71</v>
      </c>
      <c r="C37" s="1" t="s">
        <v>1197</v>
      </c>
      <c r="D37" s="1" t="s">
        <v>72</v>
      </c>
      <c r="H37" s="2" t="str">
        <f>INDEX(Type!I:I,MATCH(D37,Type!A:A,0))</f>
        <v/>
      </c>
    </row>
    <row r="38" spans="1:8" x14ac:dyDescent="0.55000000000000004">
      <c r="A38" s="1">
        <v>36</v>
      </c>
      <c r="B38" s="1" t="s">
        <v>73</v>
      </c>
      <c r="C38" s="1" t="s">
        <v>1197</v>
      </c>
      <c r="D38" s="1" t="s">
        <v>74</v>
      </c>
      <c r="E38" t="s">
        <v>2333</v>
      </c>
      <c r="H38" s="2" t="str">
        <f>INDEX(Type!I:I,MATCH(D38,Type!A:A,0))</f>
        <v>v(var, [var], …)</v>
      </c>
    </row>
    <row r="39" spans="1:8" x14ac:dyDescent="0.55000000000000004">
      <c r="A39" s="1">
        <v>37</v>
      </c>
      <c r="B39" s="1" t="s">
        <v>75</v>
      </c>
      <c r="C39" s="1" t="s">
        <v>1197</v>
      </c>
      <c r="D39" s="1" t="s">
        <v>76</v>
      </c>
      <c r="E39" t="s">
        <v>2333</v>
      </c>
      <c r="H39" s="2" t="str">
        <f>INDEX(Type!I:I,MATCH(D39,Type!A:A,0))</f>
        <v>v(var, [var], …)</v>
      </c>
    </row>
    <row r="40" spans="1:8" x14ac:dyDescent="0.55000000000000004">
      <c r="A40" s="1">
        <v>38</v>
      </c>
      <c r="B40" s="1" t="s">
        <v>77</v>
      </c>
      <c r="C40" s="1" t="s">
        <v>1197</v>
      </c>
      <c r="D40" s="1" t="s">
        <v>78</v>
      </c>
      <c r="E40" t="s">
        <v>1239</v>
      </c>
      <c r="H40" s="2" t="str">
        <f>INDEX(Type!I:I,MATCH(D40,Type!A:A,0))</f>
        <v>v(v)</v>
      </c>
    </row>
    <row r="41" spans="1:8" x14ac:dyDescent="0.55000000000000004">
      <c r="A41" s="1">
        <v>39</v>
      </c>
      <c r="B41" s="1" t="s">
        <v>79</v>
      </c>
      <c r="C41" s="1" t="s">
        <v>1194</v>
      </c>
      <c r="D41" s="1" t="s">
        <v>80</v>
      </c>
      <c r="E41" t="s">
        <v>2334</v>
      </c>
      <c r="H41" s="2" t="str">
        <f>INDEX(Type!I:I,MATCH(D41,Type!A:A,0))</f>
        <v>v(v, v)</v>
      </c>
    </row>
    <row r="42" spans="1:8" x14ac:dyDescent="0.55000000000000004">
      <c r="A42" s="1">
        <v>40</v>
      </c>
      <c r="B42" s="1" t="s">
        <v>81</v>
      </c>
      <c r="C42" s="1" t="s">
        <v>1206</v>
      </c>
      <c r="D42" s="1" t="s">
        <v>82</v>
      </c>
      <c r="E42" t="s">
        <v>2335</v>
      </c>
      <c r="H42" s="2" t="str">
        <f>INDEX(Type!I:I,MATCH(D42,Type!A:A,0))</f>
        <v>v(r, vr, vr)</v>
      </c>
    </row>
    <row r="43" spans="1:8" x14ac:dyDescent="0.55000000000000004">
      <c r="A43" s="1">
        <v>41</v>
      </c>
      <c r="B43" s="1" t="s">
        <v>83</v>
      </c>
      <c r="C43" s="1" t="s">
        <v>1206</v>
      </c>
      <c r="D43" s="1" t="s">
        <v>84</v>
      </c>
      <c r="E43" t="s">
        <v>2335</v>
      </c>
      <c r="H43" s="2" t="str">
        <f>INDEX(Type!I:I,MATCH(D43,Type!A:A,0))</f>
        <v>v(r, vr, vr)</v>
      </c>
    </row>
    <row r="44" spans="1:8" x14ac:dyDescent="0.55000000000000004">
      <c r="A44" s="1">
        <v>42</v>
      </c>
      <c r="B44" s="1" t="s">
        <v>85</v>
      </c>
      <c r="C44" s="1" t="s">
        <v>1206</v>
      </c>
      <c r="D44" s="1" t="s">
        <v>86</v>
      </c>
      <c r="E44" t="s">
        <v>2335</v>
      </c>
      <c r="H44" s="2" t="str">
        <f>INDEX(Type!I:I,MATCH(D44,Type!A:A,0))</f>
        <v>v(r, vr, vr)</v>
      </c>
    </row>
    <row r="45" spans="1:8" x14ac:dyDescent="0.55000000000000004">
      <c r="A45" s="1">
        <v>43</v>
      </c>
      <c r="B45" s="1" t="s">
        <v>87</v>
      </c>
      <c r="C45" s="1" t="s">
        <v>1206</v>
      </c>
      <c r="D45" s="1" t="s">
        <v>88</v>
      </c>
      <c r="E45" t="s">
        <v>2335</v>
      </c>
      <c r="H45" s="2" t="str">
        <f>INDEX(Type!I:I,MATCH(D45,Type!A:A,0))</f>
        <v>v(r, vr, vr)</v>
      </c>
    </row>
    <row r="46" spans="1:8" x14ac:dyDescent="0.55000000000000004">
      <c r="A46" s="1">
        <v>44</v>
      </c>
      <c r="B46" s="1" t="s">
        <v>89</v>
      </c>
      <c r="C46" s="1" t="s">
        <v>1206</v>
      </c>
      <c r="D46" s="1" t="s">
        <v>90</v>
      </c>
      <c r="E46" t="s">
        <v>2335</v>
      </c>
      <c r="H46" s="2" t="str">
        <f>INDEX(Type!I:I,MATCH(D46,Type!A:A,0))</f>
        <v>v(r, vr, vr)</v>
      </c>
    </row>
    <row r="47" spans="1:8" x14ac:dyDescent="0.55000000000000004">
      <c r="A47" s="1">
        <v>45</v>
      </c>
      <c r="B47" s="1" t="s">
        <v>91</v>
      </c>
      <c r="C47" s="1" t="s">
        <v>1206</v>
      </c>
      <c r="D47" s="1" t="s">
        <v>92</v>
      </c>
      <c r="E47" t="s">
        <v>2335</v>
      </c>
      <c r="H47" s="2" t="str">
        <f>INDEX(Type!I:I,MATCH(D47,Type!A:A,0))</f>
        <v>v(r, vr, vr)</v>
      </c>
    </row>
    <row r="48" spans="1:8" x14ac:dyDescent="0.55000000000000004">
      <c r="A48" s="1">
        <v>46</v>
      </c>
      <c r="B48" s="1" t="s">
        <v>93</v>
      </c>
      <c r="C48" s="1" t="s">
        <v>1201</v>
      </c>
      <c r="D48" s="1" t="s">
        <v>94</v>
      </c>
      <c r="E48" t="s">
        <v>2324</v>
      </c>
      <c r="H48" s="2" t="str">
        <f>INDEX(Type!I:I,MATCH(D48,Type!A:A,0))</f>
        <v>v(var, [var], …)</v>
      </c>
    </row>
    <row r="49" spans="1:8" x14ac:dyDescent="0.55000000000000004">
      <c r="A49" s="1">
        <v>47</v>
      </c>
      <c r="B49" s="1" t="s">
        <v>95</v>
      </c>
      <c r="C49" s="1" t="s">
        <v>1206</v>
      </c>
      <c r="D49" s="1" t="s">
        <v>96</v>
      </c>
      <c r="E49" t="s">
        <v>2335</v>
      </c>
      <c r="H49" s="2" t="str">
        <f>INDEX(Type!I:I,MATCH(D49,Type!A:A,0))</f>
        <v>v(r, vr, vr)</v>
      </c>
    </row>
    <row r="50" spans="1:8" x14ac:dyDescent="0.55000000000000004">
      <c r="A50" s="1">
        <v>48</v>
      </c>
      <c r="B50" s="1" t="s">
        <v>97</v>
      </c>
      <c r="C50" s="1" t="s">
        <v>1198</v>
      </c>
      <c r="D50" s="1" t="s">
        <v>98</v>
      </c>
      <c r="E50" t="s">
        <v>2336</v>
      </c>
      <c r="H50" s="2" t="str">
        <f>INDEX(Type!I:I,MATCH(D50,Type!A:A,0))</f>
        <v>v(v, v)</v>
      </c>
    </row>
    <row r="51" spans="1:8" x14ac:dyDescent="0.55000000000000004">
      <c r="A51" s="1">
        <v>49</v>
      </c>
      <c r="B51" s="1" t="s">
        <v>99</v>
      </c>
      <c r="C51" s="1" t="s">
        <v>1199</v>
      </c>
      <c r="D51" s="1" t="s">
        <v>100</v>
      </c>
      <c r="E51" t="s">
        <v>2337</v>
      </c>
      <c r="H51" s="2" t="str">
        <f>INDEX(Type!I:I,MATCH(D51,Type!A:A,0))</f>
        <v>a(ar, [ar], [vr], [vr])</v>
      </c>
    </row>
    <row r="52" spans="1:8" x14ac:dyDescent="0.55000000000000004">
      <c r="A52" s="1">
        <v>50</v>
      </c>
      <c r="B52" s="1" t="s">
        <v>101</v>
      </c>
      <c r="C52" s="1" t="s">
        <v>1199</v>
      </c>
      <c r="D52" s="1" t="s">
        <v>102</v>
      </c>
      <c r="E52" t="s">
        <v>2338</v>
      </c>
      <c r="H52" s="2" t="str">
        <f>INDEX(Type!I:I,MATCH(D52,Type!A:A,0))</f>
        <v>a(ar, [ar], [ar], [vr])</v>
      </c>
    </row>
    <row r="53" spans="1:8" x14ac:dyDescent="0.55000000000000004">
      <c r="A53" s="1">
        <v>51</v>
      </c>
      <c r="B53" s="1" t="s">
        <v>103</v>
      </c>
      <c r="C53" s="1" t="s">
        <v>1199</v>
      </c>
      <c r="D53" s="1" t="s">
        <v>104</v>
      </c>
      <c r="E53" t="s">
        <v>2337</v>
      </c>
      <c r="H53" s="2" t="str">
        <f>INDEX(Type!I:I,MATCH(D53,Type!A:A,0))</f>
        <v>a(ar, [ar], [vr], [vr])</v>
      </c>
    </row>
    <row r="54" spans="1:8" x14ac:dyDescent="0.55000000000000004">
      <c r="A54" s="1">
        <v>52</v>
      </c>
      <c r="B54" s="1" t="s">
        <v>105</v>
      </c>
      <c r="C54" s="1" t="s">
        <v>1199</v>
      </c>
      <c r="D54" s="1" t="s">
        <v>106</v>
      </c>
      <c r="E54" t="s">
        <v>2338</v>
      </c>
      <c r="H54" s="2" t="str">
        <f>INDEX(Type!I:I,MATCH(D54,Type!A:A,0))</f>
        <v>a(ar, [ar], [ar], [vr])</v>
      </c>
    </row>
    <row r="55" spans="1:8" x14ac:dyDescent="0.55000000000000004">
      <c r="A55" s="1">
        <v>53</v>
      </c>
      <c r="B55" s="1" t="s">
        <v>107</v>
      </c>
      <c r="C55" s="1" t="s">
        <v>1209</v>
      </c>
      <c r="D55" s="1" t="s">
        <v>108</v>
      </c>
      <c r="E55" t="s">
        <v>1221</v>
      </c>
      <c r="H55" s="2" t="str">
        <f>INDEX(Type!I:I,MATCH(D55,Type!A:A,0))</f>
        <v>v(r)</v>
      </c>
    </row>
    <row r="56" spans="1:8" x14ac:dyDescent="0.55000000000000004">
      <c r="A56" s="1">
        <v>54</v>
      </c>
      <c r="B56" s="1" t="s">
        <v>109</v>
      </c>
      <c r="C56" s="1" t="s">
        <v>1209</v>
      </c>
      <c r="D56" s="1" t="s">
        <v>110</v>
      </c>
      <c r="E56" t="s">
        <v>2001</v>
      </c>
      <c r="H56" s="2" t="str">
        <f>INDEX(Type!I:I,MATCH(D56,Type!A:A,0))</f>
        <v>v([v])</v>
      </c>
    </row>
    <row r="57" spans="1:8" x14ac:dyDescent="0.55000000000000004">
      <c r="A57" s="1">
        <v>55</v>
      </c>
      <c r="B57" s="1" t="s">
        <v>111</v>
      </c>
      <c r="C57" s="1" t="s">
        <v>1209</v>
      </c>
      <c r="D57" s="1" t="s">
        <v>112</v>
      </c>
      <c r="E57" t="s">
        <v>1218</v>
      </c>
      <c r="H57" s="2" t="str">
        <f>INDEX(Type!I:I,MATCH(D57,Type!A:A,0))</f>
        <v>v([var])</v>
      </c>
    </row>
    <row r="58" spans="1:8" x14ac:dyDescent="0.55000000000000004">
      <c r="A58" s="1">
        <v>56</v>
      </c>
      <c r="B58" s="1" t="s">
        <v>113</v>
      </c>
      <c r="C58" s="1" t="s">
        <v>1195</v>
      </c>
      <c r="D58" s="1" t="s">
        <v>114</v>
      </c>
      <c r="E58" t="s">
        <v>2339</v>
      </c>
      <c r="H58" s="2" t="str">
        <f>INDEX(Type!I:I,MATCH(D58,Type!A:A,0))</f>
        <v>v(v, v, v, [v], [v])</v>
      </c>
    </row>
    <row r="59" spans="1:8" x14ac:dyDescent="0.55000000000000004">
      <c r="A59" s="1">
        <v>57</v>
      </c>
      <c r="B59" s="1" t="s">
        <v>115</v>
      </c>
      <c r="C59" s="1" t="s">
        <v>1195</v>
      </c>
      <c r="D59" s="1" t="s">
        <v>116</v>
      </c>
      <c r="E59" t="s">
        <v>2340</v>
      </c>
      <c r="H59" s="2" t="str">
        <f>INDEX(Type!I:I,MATCH(D59,Type!A:A,0))</f>
        <v>v(v, v, v, [v], [v])</v>
      </c>
    </row>
    <row r="60" spans="1:8" x14ac:dyDescent="0.55000000000000004">
      <c r="A60" s="1">
        <v>58</v>
      </c>
      <c r="B60" s="1" t="s">
        <v>117</v>
      </c>
      <c r="C60" s="1" t="s">
        <v>1195</v>
      </c>
      <c r="D60" s="1" t="s">
        <v>118</v>
      </c>
      <c r="E60" t="s">
        <v>2341</v>
      </c>
      <c r="H60" s="2" t="str">
        <f>INDEX(Type!I:I,MATCH(D60,Type!A:A,0))</f>
        <v>v(v, v, v, [v], [v])</v>
      </c>
    </row>
    <row r="61" spans="1:8" x14ac:dyDescent="0.55000000000000004">
      <c r="A61" s="1">
        <v>59</v>
      </c>
      <c r="B61" s="1" t="s">
        <v>119</v>
      </c>
      <c r="C61" s="1" t="s">
        <v>1195</v>
      </c>
      <c r="D61" s="1" t="s">
        <v>120</v>
      </c>
      <c r="E61" t="s">
        <v>2342</v>
      </c>
      <c r="H61" s="2" t="str">
        <f>INDEX(Type!I:I,MATCH(D61,Type!A:A,0))</f>
        <v>v(v, v, v, [v], [v])</v>
      </c>
    </row>
    <row r="62" spans="1:8" x14ac:dyDescent="0.55000000000000004">
      <c r="A62" s="1">
        <v>60</v>
      </c>
      <c r="B62" s="1" t="s">
        <v>121</v>
      </c>
      <c r="C62" s="1" t="s">
        <v>1195</v>
      </c>
      <c r="D62" s="1" t="s">
        <v>122</v>
      </c>
      <c r="E62" t="s">
        <v>2343</v>
      </c>
      <c r="H62" s="2" t="str">
        <f>INDEX(Type!I:I,MATCH(D62,Type!A:A,0))</f>
        <v>v(v, v, v, [v], [v], [v])</v>
      </c>
    </row>
    <row r="63" spans="1:8" x14ac:dyDescent="0.55000000000000004">
      <c r="A63" s="1">
        <v>61</v>
      </c>
      <c r="B63" s="1" t="s">
        <v>123</v>
      </c>
      <c r="C63" s="1" t="s">
        <v>1195</v>
      </c>
      <c r="D63" s="1" t="s">
        <v>124</v>
      </c>
      <c r="E63" t="s">
        <v>2344</v>
      </c>
      <c r="H63" s="2" t="str">
        <f>INDEX(Type!I:I,MATCH(D63,Type!A:A,0))</f>
        <v>v(ar, v, v)</v>
      </c>
    </row>
    <row r="64" spans="1:8" x14ac:dyDescent="0.55000000000000004">
      <c r="A64" s="1">
        <v>62</v>
      </c>
      <c r="B64" s="1" t="s">
        <v>125</v>
      </c>
      <c r="C64" s="1" t="s">
        <v>1195</v>
      </c>
      <c r="D64" s="1" t="s">
        <v>126</v>
      </c>
      <c r="E64" t="s">
        <v>2345</v>
      </c>
      <c r="H64" s="2" t="str">
        <f>INDEX(Type!I:I,MATCH(D64,Type!A:A,0))</f>
        <v>v(ar, [v])</v>
      </c>
    </row>
    <row r="65" spans="1:8" x14ac:dyDescent="0.55000000000000004">
      <c r="A65" s="1">
        <v>63</v>
      </c>
      <c r="B65" s="1" t="s">
        <v>127</v>
      </c>
      <c r="C65" s="1" t="s">
        <v>1194</v>
      </c>
      <c r="D65" s="1" t="s">
        <v>128</v>
      </c>
      <c r="H65" s="2" t="str">
        <f>INDEX(Type!I:I,MATCH(D65,Type!A:A,0))</f>
        <v>v()</v>
      </c>
    </row>
    <row r="66" spans="1:8" x14ac:dyDescent="0.55000000000000004">
      <c r="A66" s="1">
        <v>64</v>
      </c>
      <c r="B66" s="1" t="s">
        <v>129</v>
      </c>
      <c r="C66" s="1" t="s">
        <v>1196</v>
      </c>
      <c r="D66" s="1" t="s">
        <v>130</v>
      </c>
      <c r="E66" t="s">
        <v>2346</v>
      </c>
      <c r="H66" s="2" t="str">
        <f>INDEX(Type!I:I,MATCH(D66,Type!A:A,0))</f>
        <v>v(v, var, [vr])</v>
      </c>
    </row>
    <row r="67" spans="1:8" x14ac:dyDescent="0.55000000000000004">
      <c r="A67" s="1">
        <v>65</v>
      </c>
      <c r="B67" s="1" t="s">
        <v>131</v>
      </c>
      <c r="C67" s="1" t="s">
        <v>1205</v>
      </c>
      <c r="D67" s="1" t="s">
        <v>132</v>
      </c>
      <c r="E67" t="s">
        <v>2347</v>
      </c>
      <c r="H67" s="2" t="str">
        <f>INDEX(Type!I:I,MATCH(D67,Type!A:A,0))</f>
        <v>v(v, v, v)</v>
      </c>
    </row>
    <row r="68" spans="1:8" x14ac:dyDescent="0.55000000000000004">
      <c r="A68" s="1">
        <v>66</v>
      </c>
      <c r="B68" s="1" t="s">
        <v>133</v>
      </c>
      <c r="C68" s="1" t="s">
        <v>1205</v>
      </c>
      <c r="D68" s="1" t="s">
        <v>134</v>
      </c>
      <c r="E68" t="s">
        <v>2348</v>
      </c>
      <c r="H68" s="2" t="str">
        <f>INDEX(Type!I:I,MATCH(D68,Type!A:A,0))</f>
        <v>v(v, v, v)</v>
      </c>
    </row>
    <row r="69" spans="1:8" x14ac:dyDescent="0.55000000000000004">
      <c r="A69" s="1">
        <v>67</v>
      </c>
      <c r="B69" s="1" t="s">
        <v>135</v>
      </c>
      <c r="C69" s="1" t="s">
        <v>1205</v>
      </c>
      <c r="D69" s="1" t="s">
        <v>136</v>
      </c>
      <c r="E69" t="s">
        <v>1266</v>
      </c>
      <c r="H69" s="2" t="str">
        <f>INDEX(Type!I:I,MATCH(D69,Type!A:A,0))</f>
        <v>v(v)</v>
      </c>
    </row>
    <row r="70" spans="1:8" x14ac:dyDescent="0.55000000000000004">
      <c r="A70" s="1">
        <v>68</v>
      </c>
      <c r="B70" s="1" t="s">
        <v>137</v>
      </c>
      <c r="C70" s="1" t="s">
        <v>1205</v>
      </c>
      <c r="D70" s="1" t="s">
        <v>138</v>
      </c>
      <c r="E70" t="s">
        <v>1266</v>
      </c>
      <c r="H70" s="2" t="str">
        <f>INDEX(Type!I:I,MATCH(D70,Type!A:A,0))</f>
        <v>v(v)</v>
      </c>
    </row>
    <row r="71" spans="1:8" x14ac:dyDescent="0.55000000000000004">
      <c r="A71" s="1">
        <v>69</v>
      </c>
      <c r="B71" s="1" t="s">
        <v>139</v>
      </c>
      <c r="C71" s="1" t="s">
        <v>1205</v>
      </c>
      <c r="D71" s="1" t="s">
        <v>140</v>
      </c>
      <c r="E71" t="s">
        <v>1266</v>
      </c>
      <c r="H71" s="2" t="str">
        <f>INDEX(Type!I:I,MATCH(D71,Type!A:A,0))</f>
        <v>v(v)</v>
      </c>
    </row>
    <row r="72" spans="1:8" x14ac:dyDescent="0.55000000000000004">
      <c r="A72" s="1">
        <v>70</v>
      </c>
      <c r="B72" s="1" t="s">
        <v>141</v>
      </c>
      <c r="C72" s="1" t="s">
        <v>1205</v>
      </c>
      <c r="D72" s="1" t="s">
        <v>142</v>
      </c>
      <c r="E72" t="s">
        <v>2349</v>
      </c>
      <c r="H72" s="2" t="str">
        <f>INDEX(Type!I:I,MATCH(D72,Type!A:A,0))</f>
        <v>v(v, [v])</v>
      </c>
    </row>
    <row r="73" spans="1:8" x14ac:dyDescent="0.55000000000000004">
      <c r="A73" s="1">
        <v>71</v>
      </c>
      <c r="B73" s="1" t="s">
        <v>143</v>
      </c>
      <c r="C73" s="1" t="s">
        <v>1205</v>
      </c>
      <c r="D73" s="1" t="s">
        <v>144</v>
      </c>
      <c r="E73" t="s">
        <v>1266</v>
      </c>
      <c r="H73" s="2" t="str">
        <f>INDEX(Type!I:I,MATCH(D73,Type!A:A,0))</f>
        <v>v(v)</v>
      </c>
    </row>
    <row r="74" spans="1:8" x14ac:dyDescent="0.55000000000000004">
      <c r="A74" s="1">
        <v>72</v>
      </c>
      <c r="B74" s="1" t="s">
        <v>145</v>
      </c>
      <c r="C74" s="1" t="s">
        <v>1205</v>
      </c>
      <c r="D74" s="1" t="s">
        <v>146</v>
      </c>
      <c r="E74" t="s">
        <v>1266</v>
      </c>
      <c r="H74" s="2" t="str">
        <f>INDEX(Type!I:I,MATCH(D74,Type!A:A,0))</f>
        <v>v(v)</v>
      </c>
    </row>
    <row r="75" spans="1:8" x14ac:dyDescent="0.55000000000000004">
      <c r="A75" s="1">
        <v>73</v>
      </c>
      <c r="B75" s="1" t="s">
        <v>147</v>
      </c>
      <c r="C75" s="1" t="s">
        <v>1205</v>
      </c>
      <c r="D75" s="1" t="s">
        <v>148</v>
      </c>
      <c r="E75" t="s">
        <v>1266</v>
      </c>
      <c r="H75" s="2" t="str">
        <f>INDEX(Type!I:I,MATCH(D75,Type!A:A,0))</f>
        <v>v(v)</v>
      </c>
    </row>
    <row r="76" spans="1:8" x14ac:dyDescent="0.55000000000000004">
      <c r="A76" s="1">
        <v>74</v>
      </c>
      <c r="B76" s="1" t="s">
        <v>149</v>
      </c>
      <c r="C76" s="1" t="s">
        <v>1205</v>
      </c>
      <c r="D76" s="1" t="s">
        <v>150</v>
      </c>
      <c r="H76" s="2" t="str">
        <f>INDEX(Type!I:I,MATCH(D76,Type!A:A,0))</f>
        <v>v()</v>
      </c>
    </row>
    <row r="77" spans="1:8" x14ac:dyDescent="0.55000000000000004">
      <c r="A77" s="1">
        <v>75</v>
      </c>
      <c r="B77" s="1" t="s">
        <v>151</v>
      </c>
      <c r="C77" s="1" t="s">
        <v>1196</v>
      </c>
      <c r="D77" s="1" t="s">
        <v>152</v>
      </c>
      <c r="E77" t="s">
        <v>1221</v>
      </c>
      <c r="H77" s="2" t="str">
        <f>INDEX(Type!I:I,MATCH(D77,Type!A:A,0))</f>
        <v>v(r)</v>
      </c>
    </row>
    <row r="78" spans="1:8" x14ac:dyDescent="0.55000000000000004">
      <c r="A78" s="1">
        <v>76</v>
      </c>
      <c r="B78" s="1" t="s">
        <v>153</v>
      </c>
      <c r="C78" s="1" t="s">
        <v>1196</v>
      </c>
      <c r="D78" s="1" t="s">
        <v>154</v>
      </c>
      <c r="E78" t="s">
        <v>1230</v>
      </c>
      <c r="H78" s="2" t="str">
        <f>INDEX(Type!I:I,MATCH(D78,Type!A:A,0))</f>
        <v>v(ar)</v>
      </c>
    </row>
    <row r="79" spans="1:8" x14ac:dyDescent="0.55000000000000004">
      <c r="A79" s="1">
        <v>77</v>
      </c>
      <c r="B79" s="1" t="s">
        <v>155</v>
      </c>
      <c r="C79" s="1" t="s">
        <v>1196</v>
      </c>
      <c r="D79" s="1" t="s">
        <v>156</v>
      </c>
      <c r="E79" t="s">
        <v>1230</v>
      </c>
      <c r="H79" s="2" t="str">
        <f>INDEX(Type!I:I,MATCH(D79,Type!A:A,0))</f>
        <v>v(ar)</v>
      </c>
    </row>
    <row r="80" spans="1:8" x14ac:dyDescent="0.55000000000000004">
      <c r="A80" s="1">
        <v>78</v>
      </c>
      <c r="B80" s="1" t="s">
        <v>157</v>
      </c>
      <c r="C80" s="1" t="s">
        <v>1196</v>
      </c>
      <c r="D80" s="1" t="s">
        <v>158</v>
      </c>
      <c r="E80" t="s">
        <v>2350</v>
      </c>
      <c r="H80" s="2" t="str">
        <f>INDEX(Type!I:I,MATCH(D80,Type!A:A,0))</f>
        <v>r(r, v, v, [v], [v])</v>
      </c>
    </row>
    <row r="81" spans="1:8" x14ac:dyDescent="0.55000000000000004">
      <c r="A81" s="1">
        <v>79</v>
      </c>
      <c r="B81" s="1" t="s">
        <v>159</v>
      </c>
      <c r="C81" s="1" t="s">
        <v>1209</v>
      </c>
      <c r="D81" s="1" t="s">
        <v>160</v>
      </c>
      <c r="E81" t="s">
        <v>2351</v>
      </c>
      <c r="H81" s="2" t="str">
        <f>INDEX(Type!I:I,MATCH(D81,Type!A:A,0))</f>
        <v>r(v, r)</v>
      </c>
    </row>
    <row r="82" spans="1:8" x14ac:dyDescent="0.55000000000000004">
      <c r="A82" s="1">
        <v>80</v>
      </c>
      <c r="B82" s="1" t="s">
        <v>161</v>
      </c>
      <c r="C82" s="1" t="s">
        <v>1209</v>
      </c>
      <c r="D82" s="1" t="s">
        <v>162</v>
      </c>
      <c r="E82" t="s">
        <v>2352</v>
      </c>
      <c r="H82" s="2" t="str">
        <f>INDEX(Type!I:I,MATCH(D82,Type!A:A,0))</f>
        <v>v(r, r)</v>
      </c>
    </row>
    <row r="83" spans="1:8" x14ac:dyDescent="0.55000000000000004">
      <c r="A83" s="1">
        <v>81</v>
      </c>
      <c r="B83" s="1" t="s">
        <v>163</v>
      </c>
      <c r="C83" s="1" t="s">
        <v>1209</v>
      </c>
      <c r="D83" s="1" t="s">
        <v>164</v>
      </c>
      <c r="E83" t="s">
        <v>2353</v>
      </c>
      <c r="H83" s="2" t="str">
        <f>INDEX(Type!I:I,MATCH(D83,Type!A:A,0))</f>
        <v>v([v], [vr])</v>
      </c>
    </row>
    <row r="84" spans="1:8" x14ac:dyDescent="0.55000000000000004">
      <c r="A84" s="1">
        <v>82</v>
      </c>
      <c r="B84" s="1" t="s">
        <v>165</v>
      </c>
      <c r="C84" s="1" t="s">
        <v>1209</v>
      </c>
      <c r="D84" s="1" t="s">
        <v>166</v>
      </c>
      <c r="E84" t="s">
        <v>2354</v>
      </c>
      <c r="H84" s="2" t="str">
        <f>INDEX(Type!I:I,MATCH(D84,Type!A:A,0))</f>
        <v>v(v, v, [v])</v>
      </c>
    </row>
    <row r="85" spans="1:8" x14ac:dyDescent="0.55000000000000004">
      <c r="A85" s="1">
        <v>83</v>
      </c>
      <c r="B85" s="1" t="s">
        <v>167</v>
      </c>
      <c r="C85" s="1" t="s">
        <v>1196</v>
      </c>
      <c r="D85" s="1" t="s">
        <v>168</v>
      </c>
      <c r="E85" t="s">
        <v>1230</v>
      </c>
      <c r="H85" s="2" t="str">
        <f>INDEX(Type!I:I,MATCH(D85,Type!A:A,0))</f>
        <v>a(va)</v>
      </c>
    </row>
    <row r="86" spans="1:8" x14ac:dyDescent="0.55000000000000004">
      <c r="A86" s="1">
        <v>84</v>
      </c>
      <c r="B86" s="1" t="s">
        <v>169</v>
      </c>
      <c r="C86" s="1" t="s">
        <v>1209</v>
      </c>
      <c r="D86" s="1" t="s">
        <v>170</v>
      </c>
      <c r="E86" t="s">
        <v>2355</v>
      </c>
      <c r="H86" s="2" t="str">
        <f>INDEX(Type!I:I,MATCH(D86,Type!A:A,0))</f>
        <v>v([v], [vr])</v>
      </c>
    </row>
    <row r="87" spans="1:8" x14ac:dyDescent="0.55000000000000004">
      <c r="A87" s="1">
        <v>85</v>
      </c>
      <c r="B87" s="1" t="s">
        <v>171</v>
      </c>
      <c r="C87" s="1" t="s">
        <v>1209</v>
      </c>
      <c r="D87" s="1" t="s">
        <v>172</v>
      </c>
      <c r="H87" s="2" t="str">
        <f>INDEX(Type!I:I,MATCH(D87,Type!A:A,0))</f>
        <v>v()</v>
      </c>
    </row>
    <row r="88" spans="1:8" x14ac:dyDescent="0.55000000000000004">
      <c r="A88" s="1">
        <v>86</v>
      </c>
      <c r="B88" s="1" t="s">
        <v>173</v>
      </c>
      <c r="C88" s="1" t="s">
        <v>1203</v>
      </c>
      <c r="D88" s="1" t="s">
        <v>174</v>
      </c>
      <c r="E88" t="s">
        <v>1218</v>
      </c>
      <c r="H88" s="2" t="str">
        <f>INDEX(Type!I:I,MATCH(D88,Type!A:A,0))</f>
        <v>v(va)</v>
      </c>
    </row>
    <row r="89" spans="1:8" x14ac:dyDescent="0.55000000000000004">
      <c r="A89" s="1">
        <v>87</v>
      </c>
      <c r="B89" s="1" t="s">
        <v>175</v>
      </c>
      <c r="C89" s="1" t="s">
        <v>1209</v>
      </c>
      <c r="D89" s="1" t="s">
        <v>176</v>
      </c>
      <c r="E89" t="s">
        <v>1239</v>
      </c>
      <c r="H89" s="2" t="str">
        <f>INDEX(Type!I:I,MATCH(D89,Type!A:A,0))</f>
        <v>v([v])</v>
      </c>
    </row>
    <row r="90" spans="1:8" x14ac:dyDescent="0.55000000000000004">
      <c r="A90" s="1">
        <v>88</v>
      </c>
      <c r="B90" s="1" t="s">
        <v>177</v>
      </c>
      <c r="C90" s="1" t="s">
        <v>1209</v>
      </c>
      <c r="D90" s="1" t="s">
        <v>178</v>
      </c>
      <c r="E90" t="s">
        <v>2356</v>
      </c>
      <c r="H90" s="2" t="str">
        <f>INDEX(Type!I:I,MATCH(D90,Type!A:A,0))</f>
        <v>v(v, [var])</v>
      </c>
    </row>
    <row r="91" spans="1:8" x14ac:dyDescent="0.55000000000000004">
      <c r="A91" s="1">
        <v>89</v>
      </c>
      <c r="B91" s="1" t="s">
        <v>179</v>
      </c>
      <c r="C91" s="1" t="s">
        <v>1209</v>
      </c>
      <c r="D91" s="1" t="s">
        <v>180</v>
      </c>
      <c r="H91" s="2" t="str">
        <f>INDEX(Type!I:I,MATCH(D91,Type!A:A,0))</f>
        <v>r()</v>
      </c>
    </row>
    <row r="92" spans="1:8" x14ac:dyDescent="0.55000000000000004">
      <c r="A92" s="1">
        <v>90</v>
      </c>
      <c r="B92" s="1" t="s">
        <v>181</v>
      </c>
      <c r="C92" s="1" t="s">
        <v>1209</v>
      </c>
      <c r="D92" s="1" t="s">
        <v>182</v>
      </c>
      <c r="E92" t="s">
        <v>1221</v>
      </c>
      <c r="H92" s="2" t="str">
        <f>INDEX(Type!I:I,MATCH(D92,Type!A:A,0))</f>
        <v>va(r)</v>
      </c>
    </row>
    <row r="93" spans="1:8" x14ac:dyDescent="0.55000000000000004">
      <c r="A93" s="1">
        <v>91</v>
      </c>
      <c r="B93" s="1" t="s">
        <v>183</v>
      </c>
      <c r="C93" s="1" t="s">
        <v>1209</v>
      </c>
      <c r="D93" s="1" t="s">
        <v>184</v>
      </c>
      <c r="E93" t="s">
        <v>2357</v>
      </c>
      <c r="H93" s="2" t="str">
        <f>INDEX(Type!I:I,MATCH(D93,Type!A:A,0))</f>
        <v>va([v], [v])</v>
      </c>
    </row>
    <row r="94" spans="1:8" x14ac:dyDescent="0.55000000000000004">
      <c r="A94" s="1">
        <v>92</v>
      </c>
      <c r="B94" s="1" t="s">
        <v>185</v>
      </c>
      <c r="C94" s="1" t="s">
        <v>1209</v>
      </c>
      <c r="D94" s="1" t="s">
        <v>186</v>
      </c>
      <c r="H94" s="2" t="str">
        <f>INDEX(Type!I:I,MATCH(D94,Type!A:A,0))</f>
        <v>v()</v>
      </c>
    </row>
    <row r="95" spans="1:8" x14ac:dyDescent="0.55000000000000004">
      <c r="A95" s="1">
        <v>93</v>
      </c>
      <c r="B95" s="1" t="s">
        <v>187</v>
      </c>
      <c r="C95" s="1" t="s">
        <v>1209</v>
      </c>
      <c r="D95" s="1" t="s">
        <v>188</v>
      </c>
      <c r="E95" t="s">
        <v>2357</v>
      </c>
      <c r="H95" s="2" t="str">
        <f>INDEX(Type!I:I,MATCH(D95,Type!A:A,0))</f>
        <v>va([v], [v])</v>
      </c>
    </row>
    <row r="96" spans="1:8" x14ac:dyDescent="0.55000000000000004">
      <c r="A96" s="1">
        <v>94</v>
      </c>
      <c r="B96" s="1" t="s">
        <v>189</v>
      </c>
      <c r="C96" s="1" t="s">
        <v>1209</v>
      </c>
      <c r="D96" s="1" t="s">
        <v>190</v>
      </c>
      <c r="H96" s="2" t="str">
        <f>INDEX(Type!I:I,MATCH(D96,Type!A:A,0))</f>
        <v>r()</v>
      </c>
    </row>
    <row r="97" spans="1:8" x14ac:dyDescent="0.55000000000000004">
      <c r="A97" s="1">
        <v>95</v>
      </c>
      <c r="B97" s="1" t="s">
        <v>191</v>
      </c>
      <c r="C97" s="1" t="s">
        <v>1209</v>
      </c>
      <c r="D97" s="1" t="s">
        <v>192</v>
      </c>
      <c r="H97" s="2" t="str">
        <f>INDEX(Type!I:I,MATCH(D97,Type!A:A,0))</f>
        <v>r()</v>
      </c>
    </row>
    <row r="98" spans="1:8" x14ac:dyDescent="0.55000000000000004">
      <c r="A98" s="1">
        <v>96</v>
      </c>
      <c r="B98" s="1" t="s">
        <v>193</v>
      </c>
      <c r="C98" s="1" t="s">
        <v>1209</v>
      </c>
      <c r="D98" s="1" t="s">
        <v>194</v>
      </c>
      <c r="E98" t="s">
        <v>1921</v>
      </c>
      <c r="H98" s="2" t="str">
        <f>INDEX(Type!I:I,MATCH(D98,Type!A:A,0))</f>
        <v>v([v])</v>
      </c>
    </row>
    <row r="99" spans="1:8" x14ac:dyDescent="0.55000000000000004">
      <c r="A99" s="1">
        <v>97</v>
      </c>
      <c r="B99" s="1" t="s">
        <v>195</v>
      </c>
      <c r="C99" s="1" t="s">
        <v>1194</v>
      </c>
      <c r="D99" s="1" t="s">
        <v>196</v>
      </c>
      <c r="E99" t="s">
        <v>2358</v>
      </c>
      <c r="H99" s="2" t="str">
        <f>INDEX(Type!I:I,MATCH(D99,Type!A:A,0))</f>
        <v>v(v, v)</v>
      </c>
    </row>
    <row r="100" spans="1:8" x14ac:dyDescent="0.55000000000000004">
      <c r="A100" s="1">
        <v>98</v>
      </c>
      <c r="B100" s="1" t="s">
        <v>197</v>
      </c>
      <c r="C100" s="1" t="s">
        <v>1194</v>
      </c>
      <c r="D100" s="1" t="s">
        <v>198</v>
      </c>
      <c r="E100" t="s">
        <v>1223</v>
      </c>
      <c r="H100" s="2" t="str">
        <f>INDEX(Type!I:I,MATCH(D100,Type!A:A,0))</f>
        <v>v(v)</v>
      </c>
    </row>
    <row r="101" spans="1:8" x14ac:dyDescent="0.55000000000000004">
      <c r="A101" s="1">
        <v>99</v>
      </c>
      <c r="B101" s="1" t="s">
        <v>199</v>
      </c>
      <c r="C101" s="1" t="s">
        <v>1194</v>
      </c>
      <c r="D101" s="1" t="s">
        <v>200</v>
      </c>
      <c r="E101" t="s">
        <v>1223</v>
      </c>
      <c r="H101" s="2" t="str">
        <f>INDEX(Type!I:I,MATCH(D101,Type!A:A,0))</f>
        <v>v(v)</v>
      </c>
    </row>
    <row r="102" spans="1:8" x14ac:dyDescent="0.55000000000000004">
      <c r="A102" s="1">
        <v>100</v>
      </c>
      <c r="B102" s="1" t="s">
        <v>201</v>
      </c>
      <c r="C102" s="1" t="s">
        <v>1196</v>
      </c>
      <c r="D102" s="1" t="s">
        <v>202</v>
      </c>
      <c r="E102" t="s">
        <v>2359</v>
      </c>
      <c r="H102" s="2" t="str">
        <f>INDEX(Type!I:I,MATCH(D102,Type!A:A,0))</f>
        <v>var(va, var, [var], …)</v>
      </c>
    </row>
    <row r="103" spans="1:8" x14ac:dyDescent="0.55000000000000004">
      <c r="A103" s="1">
        <v>101</v>
      </c>
      <c r="B103" s="1" t="s">
        <v>203</v>
      </c>
      <c r="C103" s="1" t="s">
        <v>1196</v>
      </c>
      <c r="D103" s="1" t="s">
        <v>204</v>
      </c>
      <c r="E103" t="s">
        <v>2360</v>
      </c>
      <c r="H103" s="2" t="str">
        <f>INDEX(Type!I:I,MATCH(D103,Type!A:A,0))</f>
        <v>va(v, var, var, [v])</v>
      </c>
    </row>
    <row r="104" spans="1:8" x14ac:dyDescent="0.55000000000000004">
      <c r="A104" s="1">
        <v>102</v>
      </c>
      <c r="B104" s="1" t="s">
        <v>205</v>
      </c>
      <c r="C104" s="1" t="s">
        <v>1196</v>
      </c>
      <c r="D104" s="1" t="s">
        <v>206</v>
      </c>
      <c r="E104" t="s">
        <v>2361</v>
      </c>
      <c r="H104" s="2" t="str">
        <f>INDEX(Type!I:I,MATCH(D104,Type!A:A,0))</f>
        <v>va(v, var, var, [v])</v>
      </c>
    </row>
    <row r="105" spans="1:8" x14ac:dyDescent="0.55000000000000004">
      <c r="A105" s="1">
        <v>103</v>
      </c>
      <c r="B105" s="1" t="s">
        <v>207</v>
      </c>
      <c r="C105" s="1" t="s">
        <v>1209</v>
      </c>
      <c r="D105" s="1" t="s">
        <v>208</v>
      </c>
      <c r="E105" t="s">
        <v>2362</v>
      </c>
      <c r="H105" s="2" t="str">
        <f>INDEX(Type!I:I,MATCH(D105,Type!A:A,0))</f>
        <v>va([v], [v])</v>
      </c>
    </row>
    <row r="106" spans="1:8" x14ac:dyDescent="0.55000000000000004">
      <c r="A106" s="1">
        <v>104</v>
      </c>
      <c r="B106" s="1" t="s">
        <v>209</v>
      </c>
      <c r="C106" s="1" t="s">
        <v>1209</v>
      </c>
      <c r="D106" s="1" t="s">
        <v>210</v>
      </c>
      <c r="E106" t="s">
        <v>2363</v>
      </c>
      <c r="H106" s="2" t="str">
        <f>INDEX(Type!I:I,MATCH(D106,Type!A:A,0))</f>
        <v>var(v, [v], [v], [v], [v], [v], [v])</v>
      </c>
    </row>
    <row r="107" spans="1:8" x14ac:dyDescent="0.55000000000000004">
      <c r="A107" s="1">
        <v>105</v>
      </c>
      <c r="B107" s="1" t="s">
        <v>211</v>
      </c>
      <c r="C107" s="1" t="s">
        <v>1203</v>
      </c>
      <c r="D107" s="1" t="s">
        <v>212</v>
      </c>
      <c r="E107" t="s">
        <v>1218</v>
      </c>
      <c r="H107" s="2" t="str">
        <f>INDEX(Type!I:I,MATCH(D107,Type!A:A,0))</f>
        <v>v(var)</v>
      </c>
    </row>
    <row r="108" spans="1:8" x14ac:dyDescent="0.55000000000000004">
      <c r="A108" s="1">
        <v>106</v>
      </c>
      <c r="B108" s="1" t="s">
        <v>213</v>
      </c>
      <c r="C108" s="1" t="s">
        <v>1209</v>
      </c>
      <c r="D108" s="1" t="s">
        <v>214</v>
      </c>
      <c r="E108" t="s">
        <v>1221</v>
      </c>
      <c r="H108" s="2" t="str">
        <f>INDEX(Type!I:I,MATCH(D108,Type!A:A,0))</f>
        <v>v(vr)</v>
      </c>
    </row>
    <row r="109" spans="1:8" x14ac:dyDescent="0.55000000000000004">
      <c r="A109" s="1">
        <v>107</v>
      </c>
      <c r="B109" s="1" t="s">
        <v>215</v>
      </c>
      <c r="C109" s="1" t="s">
        <v>1209</v>
      </c>
      <c r="D109" s="1" t="s">
        <v>216</v>
      </c>
      <c r="E109" t="s">
        <v>2364</v>
      </c>
      <c r="H109" s="2" t="str">
        <f>INDEX(Type!I:I,MATCH(D109,Type!A:A,0))</f>
        <v>v(v, [v])</v>
      </c>
    </row>
    <row r="110" spans="1:8" x14ac:dyDescent="0.55000000000000004">
      <c r="A110" s="1">
        <v>108</v>
      </c>
      <c r="B110" s="1" t="s">
        <v>217</v>
      </c>
      <c r="C110" s="1" t="s">
        <v>1209</v>
      </c>
      <c r="D110" s="1" t="s">
        <v>218</v>
      </c>
      <c r="E110" t="s">
        <v>2365</v>
      </c>
      <c r="H110" s="2" t="str">
        <f>INDEX(Type!I:I,MATCH(D110,Type!A:A,0))</f>
        <v>v(r, va)</v>
      </c>
    </row>
    <row r="111" spans="1:8" x14ac:dyDescent="0.55000000000000004">
      <c r="A111" s="1">
        <v>109</v>
      </c>
      <c r="B111" s="1" t="s">
        <v>219</v>
      </c>
      <c r="C111" s="1" t="s">
        <v>1194</v>
      </c>
      <c r="D111" s="1" t="s">
        <v>220</v>
      </c>
      <c r="E111" t="s">
        <v>2366</v>
      </c>
      <c r="H111" s="2" t="str">
        <f>INDEX(Type!I:I,MATCH(D111,Type!A:A,0))</f>
        <v>v(v, [v])</v>
      </c>
    </row>
    <row r="112" spans="1:8" x14ac:dyDescent="0.55000000000000004">
      <c r="A112" s="1">
        <v>110</v>
      </c>
      <c r="B112" s="1" t="s">
        <v>221</v>
      </c>
      <c r="C112" s="1" t="s">
        <v>1209</v>
      </c>
      <c r="D112" s="1" t="s">
        <v>222</v>
      </c>
      <c r="E112" t="s">
        <v>2367</v>
      </c>
      <c r="H112" s="2" t="str">
        <f>INDEX(Type!I:I,MATCH(D112,Type!A:A,0))</f>
        <v>v(v, [v])</v>
      </c>
    </row>
    <row r="113" spans="1:8" x14ac:dyDescent="0.55000000000000004">
      <c r="A113" s="1">
        <v>111</v>
      </c>
      <c r="B113" s="1" t="s">
        <v>223</v>
      </c>
      <c r="C113" s="1" t="s">
        <v>1198</v>
      </c>
      <c r="D113" s="1" t="s">
        <v>224</v>
      </c>
      <c r="E113" t="s">
        <v>1223</v>
      </c>
      <c r="H113" s="2" t="str">
        <f>INDEX(Type!I:I,MATCH(D113,Type!A:A,0))</f>
        <v>v(v)</v>
      </c>
    </row>
    <row r="114" spans="1:8" x14ac:dyDescent="0.55000000000000004">
      <c r="A114" s="1">
        <v>112</v>
      </c>
      <c r="B114" s="1" t="s">
        <v>225</v>
      </c>
      <c r="C114" s="1" t="s">
        <v>1198</v>
      </c>
      <c r="D114" s="1" t="s">
        <v>226</v>
      </c>
      <c r="E114" t="s">
        <v>1233</v>
      </c>
      <c r="H114" s="2" t="str">
        <f>INDEX(Type!I:I,MATCH(D114,Type!A:A,0))</f>
        <v>v(v)</v>
      </c>
    </row>
    <row r="115" spans="1:8" x14ac:dyDescent="0.55000000000000004">
      <c r="A115" s="1">
        <v>113</v>
      </c>
      <c r="B115" s="1" t="s">
        <v>227</v>
      </c>
      <c r="C115" s="1" t="s">
        <v>1198</v>
      </c>
      <c r="D115" s="1" t="s">
        <v>228</v>
      </c>
      <c r="E115" t="s">
        <v>1233</v>
      </c>
      <c r="H115" s="2" t="str">
        <f>INDEX(Type!I:I,MATCH(D115,Type!A:A,0))</f>
        <v>v(v)</v>
      </c>
    </row>
    <row r="116" spans="1:8" x14ac:dyDescent="0.55000000000000004">
      <c r="A116" s="1">
        <v>114</v>
      </c>
      <c r="B116" s="1" t="s">
        <v>229</v>
      </c>
      <c r="C116" s="1" t="s">
        <v>1198</v>
      </c>
      <c r="D116" s="1" t="s">
        <v>230</v>
      </c>
      <c r="E116" t="s">
        <v>1233</v>
      </c>
      <c r="H116" s="2" t="str">
        <f>INDEX(Type!I:I,MATCH(D116,Type!A:A,0))</f>
        <v>v(v)</v>
      </c>
    </row>
    <row r="117" spans="1:8" x14ac:dyDescent="0.55000000000000004">
      <c r="A117" s="1">
        <v>115</v>
      </c>
      <c r="B117" s="1" t="s">
        <v>231</v>
      </c>
      <c r="C117" s="1" t="s">
        <v>1198</v>
      </c>
      <c r="D117" s="1" t="s">
        <v>232</v>
      </c>
      <c r="E117" t="s">
        <v>2368</v>
      </c>
      <c r="H117" s="2" t="str">
        <f>INDEX(Type!I:I,MATCH(D117,Type!A:A,0))</f>
        <v>v(v, [v])</v>
      </c>
    </row>
    <row r="118" spans="1:8" x14ac:dyDescent="0.55000000000000004">
      <c r="A118" s="1">
        <v>116</v>
      </c>
      <c r="B118" s="1" t="s">
        <v>233</v>
      </c>
      <c r="C118" s="1" t="s">
        <v>1198</v>
      </c>
      <c r="D118" s="1" t="s">
        <v>234</v>
      </c>
      <c r="E118" t="s">
        <v>2368</v>
      </c>
      <c r="H118" s="2" t="str">
        <f>INDEX(Type!I:I,MATCH(D118,Type!A:A,0))</f>
        <v>v(v, [v])</v>
      </c>
    </row>
    <row r="119" spans="1:8" x14ac:dyDescent="0.55000000000000004">
      <c r="A119" s="1">
        <v>117</v>
      </c>
      <c r="B119" s="1" t="s">
        <v>235</v>
      </c>
      <c r="C119" s="1" t="s">
        <v>1198</v>
      </c>
      <c r="D119" s="1" t="s">
        <v>236</v>
      </c>
      <c r="E119" t="s">
        <v>2369</v>
      </c>
      <c r="H119" s="2" t="str">
        <f>INDEX(Type!I:I,MATCH(D119,Type!A:A,0))</f>
        <v>v(v, v)</v>
      </c>
    </row>
    <row r="120" spans="1:8" x14ac:dyDescent="0.55000000000000004">
      <c r="A120" s="1">
        <v>118</v>
      </c>
      <c r="B120" s="1" t="s">
        <v>237</v>
      </c>
      <c r="C120" s="1" t="s">
        <v>1198</v>
      </c>
      <c r="D120" s="1" t="s">
        <v>238</v>
      </c>
      <c r="E120" t="s">
        <v>1233</v>
      </c>
      <c r="H120" s="2" t="str">
        <f>INDEX(Type!I:I,MATCH(D120,Type!A:A,0))</f>
        <v>v(v)</v>
      </c>
    </row>
    <row r="121" spans="1:8" x14ac:dyDescent="0.55000000000000004">
      <c r="A121" s="1">
        <v>119</v>
      </c>
      <c r="B121" s="1" t="s">
        <v>239</v>
      </c>
      <c r="C121" s="1" t="s">
        <v>1198</v>
      </c>
      <c r="D121" s="1" t="s">
        <v>240</v>
      </c>
      <c r="E121" t="s">
        <v>2370</v>
      </c>
      <c r="H121" s="2" t="str">
        <f>INDEX(Type!I:I,MATCH(D121,Type!A:A,0))</f>
        <v>v(v, v, v, v)</v>
      </c>
    </row>
    <row r="122" spans="1:8" x14ac:dyDescent="0.55000000000000004">
      <c r="A122" s="1">
        <v>120</v>
      </c>
      <c r="B122" s="1" t="s">
        <v>241</v>
      </c>
      <c r="C122" s="1" t="s">
        <v>1198</v>
      </c>
      <c r="D122" s="1" t="s">
        <v>242</v>
      </c>
      <c r="E122" t="s">
        <v>2371</v>
      </c>
      <c r="H122" s="2" t="str">
        <f>INDEX(Type!I:I,MATCH(D122,Type!A:A,0))</f>
        <v>v(v, v, v, [v])</v>
      </c>
    </row>
    <row r="123" spans="1:8" x14ac:dyDescent="0.55000000000000004">
      <c r="A123" s="1">
        <v>121</v>
      </c>
      <c r="B123" s="1" t="s">
        <v>243</v>
      </c>
      <c r="C123" s="1" t="s">
        <v>1198</v>
      </c>
      <c r="D123" s="1" t="s">
        <v>244</v>
      </c>
      <c r="E123" t="s">
        <v>1233</v>
      </c>
      <c r="H123" s="2" t="str">
        <f>INDEX(Type!I:I,MATCH(D123,Type!A:A,0))</f>
        <v>v(v)</v>
      </c>
    </row>
    <row r="124" spans="1:8" x14ac:dyDescent="0.55000000000000004">
      <c r="A124" s="1">
        <v>122</v>
      </c>
      <c r="B124" s="1" t="s">
        <v>245</v>
      </c>
      <c r="C124" s="1" t="s">
        <v>1209</v>
      </c>
      <c r="D124" s="1" t="s">
        <v>246</v>
      </c>
      <c r="E124" t="s">
        <v>2372</v>
      </c>
      <c r="H124" s="2" t="str">
        <f>INDEX(Type!I:I,MATCH(D124,Type!A:A,0))</f>
        <v>va([v], [v], [v])</v>
      </c>
    </row>
    <row r="125" spans="1:8" x14ac:dyDescent="0.55000000000000004">
      <c r="A125" s="1">
        <v>123</v>
      </c>
      <c r="B125" s="1" t="s">
        <v>247</v>
      </c>
      <c r="C125" s="1" t="s">
        <v>1209</v>
      </c>
      <c r="D125" s="1" t="s">
        <v>248</v>
      </c>
      <c r="E125" t="s">
        <v>2008</v>
      </c>
      <c r="H125" s="2" t="str">
        <f>INDEX(Type!I:I,MATCH(D125,Type!A:A,0))</f>
        <v>v([v])</v>
      </c>
    </row>
    <row r="126" spans="1:8" x14ac:dyDescent="0.55000000000000004">
      <c r="A126" s="1">
        <v>124</v>
      </c>
      <c r="B126" s="1" t="s">
        <v>249</v>
      </c>
      <c r="C126" s="1" t="s">
        <v>1198</v>
      </c>
      <c r="D126" s="1" t="s">
        <v>250</v>
      </c>
      <c r="E126" t="s">
        <v>2354</v>
      </c>
      <c r="H126" s="2" t="str">
        <f>INDEX(Type!I:I,MATCH(D126,Type!A:A,0))</f>
        <v>v(v, v, [v])</v>
      </c>
    </row>
    <row r="127" spans="1:8" x14ac:dyDescent="0.55000000000000004">
      <c r="A127" s="1">
        <v>125</v>
      </c>
      <c r="B127" s="1" t="s">
        <v>251</v>
      </c>
      <c r="C127" s="1" t="s">
        <v>1203</v>
      </c>
      <c r="D127" s="1" t="s">
        <v>252</v>
      </c>
      <c r="E127" t="s">
        <v>2373</v>
      </c>
      <c r="H127" s="2" t="str">
        <f>INDEX(Type!I:I,MATCH(D127,Type!A:A,0))</f>
        <v>va(v, [r])</v>
      </c>
    </row>
    <row r="128" spans="1:8" x14ac:dyDescent="0.55000000000000004">
      <c r="A128" s="1">
        <v>126</v>
      </c>
      <c r="B128" s="1" t="s">
        <v>253</v>
      </c>
      <c r="C128" s="1" t="s">
        <v>1203</v>
      </c>
      <c r="D128" s="1" t="s">
        <v>254</v>
      </c>
      <c r="E128" t="s">
        <v>1218</v>
      </c>
      <c r="H128" s="2" t="str">
        <f>INDEX(Type!I:I,MATCH(D128,Type!A:A,0))</f>
        <v>v(v)</v>
      </c>
    </row>
    <row r="129" spans="1:8" x14ac:dyDescent="0.55000000000000004">
      <c r="A129" s="1">
        <v>127</v>
      </c>
      <c r="B129" s="1" t="s">
        <v>255</v>
      </c>
      <c r="C129" s="1" t="s">
        <v>1203</v>
      </c>
      <c r="D129" s="1" t="s">
        <v>256</v>
      </c>
      <c r="E129" t="s">
        <v>1218</v>
      </c>
      <c r="H129" s="2" t="str">
        <f>INDEX(Type!I:I,MATCH(D129,Type!A:A,0))</f>
        <v>v(v)</v>
      </c>
    </row>
    <row r="130" spans="1:8" x14ac:dyDescent="0.55000000000000004">
      <c r="A130" s="1">
        <v>128</v>
      </c>
      <c r="B130" s="1" t="s">
        <v>257</v>
      </c>
      <c r="C130" s="1" t="s">
        <v>1203</v>
      </c>
      <c r="D130" s="1" t="s">
        <v>258</v>
      </c>
      <c r="E130" t="s">
        <v>1218</v>
      </c>
      <c r="H130" s="2" t="str">
        <f>INDEX(Type!I:I,MATCH(D130,Type!A:A,0))</f>
        <v>v(v)</v>
      </c>
    </row>
    <row r="131" spans="1:8" x14ac:dyDescent="0.55000000000000004">
      <c r="A131" s="1">
        <v>129</v>
      </c>
      <c r="B131" s="1" t="s">
        <v>259</v>
      </c>
      <c r="C131" s="1" t="s">
        <v>1203</v>
      </c>
      <c r="D131" s="1" t="s">
        <v>260</v>
      </c>
      <c r="E131" t="s">
        <v>1218</v>
      </c>
      <c r="H131" s="2" t="str">
        <f>INDEX(Type!I:I,MATCH(D131,Type!A:A,0))</f>
        <v>v(v)</v>
      </c>
    </row>
    <row r="132" spans="1:8" x14ac:dyDescent="0.55000000000000004">
      <c r="A132" s="1">
        <v>130</v>
      </c>
      <c r="B132" s="1" t="s">
        <v>261</v>
      </c>
      <c r="C132" s="1" t="s">
        <v>1198</v>
      </c>
      <c r="D132" s="1" t="s">
        <v>262</v>
      </c>
      <c r="E132" t="s">
        <v>1218</v>
      </c>
      <c r="H132" s="2" t="str">
        <f>INDEX(Type!I:I,MATCH(D132,Type!A:A,0))</f>
        <v>v(vr)</v>
      </c>
    </row>
    <row r="133" spans="1:8" x14ac:dyDescent="0.55000000000000004">
      <c r="A133" s="1">
        <v>131</v>
      </c>
      <c r="B133" s="1" t="s">
        <v>263</v>
      </c>
      <c r="C133" s="1" t="s">
        <v>1203</v>
      </c>
      <c r="D133" s="1" t="s">
        <v>264</v>
      </c>
      <c r="E133" t="s">
        <v>1218</v>
      </c>
      <c r="H133" s="2" t="str">
        <f>INDEX(Type!I:I,MATCH(D133,Type!A:A,0))</f>
        <v>v(vr)</v>
      </c>
    </row>
    <row r="134" spans="1:8" x14ac:dyDescent="0.55000000000000004">
      <c r="A134" s="1">
        <v>132</v>
      </c>
      <c r="B134" s="1" t="s">
        <v>265</v>
      </c>
      <c r="C134" s="1" t="s">
        <v>1209</v>
      </c>
      <c r="D134" s="1" t="s">
        <v>266</v>
      </c>
      <c r="E134" t="s">
        <v>2374</v>
      </c>
      <c r="H134" s="2" t="str">
        <f>INDEX(Type!I:I,MATCH(D134,Type!A:A,0))</f>
        <v>v(v, [v])</v>
      </c>
    </row>
    <row r="135" spans="1:8" x14ac:dyDescent="0.55000000000000004">
      <c r="A135" s="1">
        <v>133</v>
      </c>
      <c r="B135" s="1" t="s">
        <v>267</v>
      </c>
      <c r="C135" s="1" t="s">
        <v>1209</v>
      </c>
      <c r="D135" s="1" t="s">
        <v>268</v>
      </c>
      <c r="E135" t="s">
        <v>1930</v>
      </c>
      <c r="H135" s="2" t="str">
        <f>INDEX(Type!I:I,MATCH(D135,Type!A:A,0))</f>
        <v>v(v)</v>
      </c>
    </row>
    <row r="136" spans="1:8" x14ac:dyDescent="0.55000000000000004">
      <c r="A136" s="1">
        <v>134</v>
      </c>
      <c r="B136" s="1" t="s">
        <v>269</v>
      </c>
      <c r="C136" s="1" t="s">
        <v>1209</v>
      </c>
      <c r="D136" s="1" t="s">
        <v>270</v>
      </c>
      <c r="E136" t="s">
        <v>1930</v>
      </c>
      <c r="H136" s="2" t="str">
        <f>INDEX(Type!I:I,MATCH(D136,Type!A:A,0))</f>
        <v>v(v)</v>
      </c>
    </row>
    <row r="137" spans="1:8" x14ac:dyDescent="0.55000000000000004">
      <c r="A137" s="1">
        <v>135</v>
      </c>
      <c r="B137" s="1" t="s">
        <v>271</v>
      </c>
      <c r="C137" s="1" t="s">
        <v>1209</v>
      </c>
      <c r="D137" s="1" t="s">
        <v>272</v>
      </c>
      <c r="E137" t="s">
        <v>1930</v>
      </c>
      <c r="H137" s="2" t="str">
        <f>INDEX(Type!I:I,MATCH(D137,Type!A:A,0))</f>
        <v>v(v)</v>
      </c>
    </row>
    <row r="138" spans="1:8" x14ac:dyDescent="0.55000000000000004">
      <c r="A138" s="1">
        <v>136</v>
      </c>
      <c r="B138" s="1" t="s">
        <v>273</v>
      </c>
      <c r="C138" s="1" t="s">
        <v>1209</v>
      </c>
      <c r="D138" s="1" t="s">
        <v>274</v>
      </c>
      <c r="E138" t="s">
        <v>2375</v>
      </c>
      <c r="H138" s="2" t="str">
        <f>INDEX(Type!I:I,MATCH(D138,Type!A:A,0))</f>
        <v>v(v, v)</v>
      </c>
    </row>
    <row r="139" spans="1:8" x14ac:dyDescent="0.55000000000000004">
      <c r="A139" s="1">
        <v>137</v>
      </c>
      <c r="B139" s="1" t="s">
        <v>275</v>
      </c>
      <c r="C139" s="1" t="s">
        <v>1209</v>
      </c>
      <c r="D139" s="1" t="s">
        <v>276</v>
      </c>
      <c r="E139" t="s">
        <v>2376</v>
      </c>
      <c r="H139" s="2" t="str">
        <f>INDEX(Type!I:I,MATCH(D139,Type!A:A,0))</f>
        <v>v(v, v)</v>
      </c>
    </row>
    <row r="140" spans="1:8" x14ac:dyDescent="0.55000000000000004">
      <c r="A140" s="1">
        <v>138</v>
      </c>
      <c r="B140" s="1" t="s">
        <v>277</v>
      </c>
      <c r="C140" s="1" t="s">
        <v>1209</v>
      </c>
      <c r="D140" s="1" t="s">
        <v>278</v>
      </c>
      <c r="E140" t="s">
        <v>2376</v>
      </c>
      <c r="H140" s="2" t="str">
        <f>INDEX(Type!I:I,MATCH(D140,Type!A:A,0))</f>
        <v>v(v, v)</v>
      </c>
    </row>
    <row r="141" spans="1:8" x14ac:dyDescent="0.55000000000000004">
      <c r="A141" s="1">
        <v>139</v>
      </c>
      <c r="B141" s="1" t="s">
        <v>279</v>
      </c>
      <c r="C141" s="1" t="s">
        <v>1209</v>
      </c>
      <c r="D141" s="1" t="s">
        <v>280</v>
      </c>
      <c r="E141" t="s">
        <v>2377</v>
      </c>
      <c r="H141" s="2" t="str">
        <f>INDEX(Type!I:I,MATCH(D141,Type!A:A,0))</f>
        <v>v(v, [v])</v>
      </c>
    </row>
    <row r="142" spans="1:8" x14ac:dyDescent="0.55000000000000004">
      <c r="A142" s="1">
        <v>140</v>
      </c>
      <c r="B142" s="1" t="s">
        <v>281</v>
      </c>
      <c r="C142" s="1" t="s">
        <v>1205</v>
      </c>
      <c r="D142" s="1" t="s">
        <v>282</v>
      </c>
      <c r="E142" t="s">
        <v>1288</v>
      </c>
      <c r="H142" s="2" t="str">
        <f>INDEX(Type!I:I,MATCH(D142,Type!A:A,0))</f>
        <v>v(v)</v>
      </c>
    </row>
    <row r="143" spans="1:8" x14ac:dyDescent="0.55000000000000004">
      <c r="A143" s="1">
        <v>141</v>
      </c>
      <c r="B143" s="1" t="s">
        <v>283</v>
      </c>
      <c r="C143" s="1" t="s">
        <v>1205</v>
      </c>
      <c r="D143" s="1" t="s">
        <v>284</v>
      </c>
      <c r="E143" t="s">
        <v>1289</v>
      </c>
      <c r="H143" s="2" t="str">
        <f>INDEX(Type!I:I,MATCH(D143,Type!A:A,0))</f>
        <v>v(v)</v>
      </c>
    </row>
    <row r="144" spans="1:8" x14ac:dyDescent="0.55000000000000004">
      <c r="A144" s="1">
        <v>142</v>
      </c>
      <c r="B144" s="1" t="s">
        <v>285</v>
      </c>
      <c r="C144" s="1" t="s">
        <v>1195</v>
      </c>
      <c r="D144" s="1" t="s">
        <v>286</v>
      </c>
      <c r="E144" t="s">
        <v>2378</v>
      </c>
      <c r="H144" s="2" t="str">
        <f>INDEX(Type!I:I,MATCH(D144,Type!A:A,0))</f>
        <v>v(v, v, v)</v>
      </c>
    </row>
    <row r="145" spans="1:8" x14ac:dyDescent="0.55000000000000004">
      <c r="A145" s="1">
        <v>143</v>
      </c>
      <c r="B145" s="1" t="s">
        <v>287</v>
      </c>
      <c r="C145" s="1" t="s">
        <v>1195</v>
      </c>
      <c r="D145" s="1" t="s">
        <v>288</v>
      </c>
      <c r="E145" t="s">
        <v>2379</v>
      </c>
      <c r="H145" s="2" t="str">
        <f>INDEX(Type!I:I,MATCH(D145,Type!A:A,0))</f>
        <v>v(v, v, v, v)</v>
      </c>
    </row>
    <row r="146" spans="1:8" x14ac:dyDescent="0.55000000000000004">
      <c r="A146" s="1">
        <v>144</v>
      </c>
      <c r="B146" s="1" t="s">
        <v>289</v>
      </c>
      <c r="C146" s="1" t="s">
        <v>1195</v>
      </c>
      <c r="D146" s="1" t="s">
        <v>290</v>
      </c>
      <c r="E146" t="s">
        <v>2380</v>
      </c>
      <c r="H146" s="2" t="str">
        <f>INDEX(Type!I:I,MATCH(D146,Type!A:A,0))</f>
        <v>v(v, v, v, v, [v])</v>
      </c>
    </row>
    <row r="147" spans="1:8" x14ac:dyDescent="0.55000000000000004">
      <c r="A147" s="1">
        <v>145</v>
      </c>
      <c r="B147" s="1" t="s">
        <v>291</v>
      </c>
      <c r="C147" s="1" t="s">
        <v>1209</v>
      </c>
      <c r="D147" s="1" t="s">
        <v>292</v>
      </c>
      <c r="E147" t="s">
        <v>2381</v>
      </c>
      <c r="H147" s="2" t="str">
        <f>INDEX(Type!I:I,MATCH(D147,Type!A:A,0))</f>
        <v>v(v, [v], [v])</v>
      </c>
    </row>
    <row r="148" spans="1:8" x14ac:dyDescent="0.55000000000000004">
      <c r="A148" s="1">
        <v>146</v>
      </c>
      <c r="B148" s="1" t="s">
        <v>293</v>
      </c>
      <c r="C148" s="1" t="s">
        <v>1209</v>
      </c>
      <c r="D148" s="1" t="s">
        <v>294</v>
      </c>
      <c r="E148" t="s">
        <v>2382</v>
      </c>
      <c r="H148" s="2" t="str">
        <f>INDEX(Type!I:I,MATCH(D148,Type!A:A,0))</f>
        <v>v(r, [v])</v>
      </c>
    </row>
    <row r="149" spans="1:8" x14ac:dyDescent="0.55000000000000004">
      <c r="A149" s="1">
        <v>147</v>
      </c>
      <c r="B149" s="1" t="s">
        <v>295</v>
      </c>
      <c r="C149" s="1" t="s">
        <v>1209</v>
      </c>
      <c r="D149" s="1" t="s">
        <v>296</v>
      </c>
      <c r="E149" t="s">
        <v>2383</v>
      </c>
      <c r="H149" s="2" t="str">
        <f>INDEX(Type!I:I,MATCH(D149,Type!A:A,0))</f>
        <v>r(v, [v])</v>
      </c>
    </row>
    <row r="150" spans="1:8" x14ac:dyDescent="0.55000000000000004">
      <c r="A150" s="1">
        <v>148</v>
      </c>
      <c r="B150" s="1" t="s">
        <v>297</v>
      </c>
      <c r="C150" s="1" t="s">
        <v>1196</v>
      </c>
      <c r="D150" s="1" t="s">
        <v>298</v>
      </c>
      <c r="E150" t="s">
        <v>2384</v>
      </c>
      <c r="H150" s="2" t="str">
        <f>INDEX(Type!I:I,MATCH(D150,Type!A:A,0))</f>
        <v>r(v, [v])</v>
      </c>
    </row>
    <row r="151" spans="1:8" x14ac:dyDescent="0.55000000000000004">
      <c r="A151" s="1">
        <v>149</v>
      </c>
      <c r="B151" s="1" t="s">
        <v>299</v>
      </c>
      <c r="C151" s="1" t="s">
        <v>1209</v>
      </c>
      <c r="D151" s="1" t="s">
        <v>300</v>
      </c>
      <c r="E151" t="s">
        <v>2385</v>
      </c>
      <c r="H151" s="2" t="str">
        <f>INDEX(Type!I:I,MATCH(D151,Type!A:A,0))</f>
        <v>v(v, [v], [v], [v], [v], [v], [v], [v], [v], [v], [v], …)</v>
      </c>
    </row>
    <row r="152" spans="1:8" x14ac:dyDescent="0.55000000000000004">
      <c r="A152" s="1">
        <v>150</v>
      </c>
      <c r="B152" s="1" t="s">
        <v>301</v>
      </c>
      <c r="C152" s="1" t="s">
        <v>1202</v>
      </c>
      <c r="D152" s="1" t="s">
        <v>302</v>
      </c>
      <c r="E152" t="s">
        <v>2386</v>
      </c>
      <c r="H152" s="2" t="str">
        <f>INDEX(Type!I:I,MATCH(D152,Type!A:A,0))</f>
        <v>var(v, [var], [var], [var], …)</v>
      </c>
    </row>
    <row r="153" spans="1:8" x14ac:dyDescent="0.55000000000000004">
      <c r="A153" s="1">
        <v>151</v>
      </c>
      <c r="B153" s="1" t="s">
        <v>303</v>
      </c>
      <c r="C153" s="1" t="s">
        <v>1209</v>
      </c>
      <c r="D153" s="1" t="s">
        <v>304</v>
      </c>
      <c r="E153" t="s">
        <v>1943</v>
      </c>
      <c r="H153" s="2" t="str">
        <f>INDEX(Type!I:I,MATCH(D153,Type!A:A,0))</f>
        <v>v([v])</v>
      </c>
    </row>
    <row r="154" spans="1:8" x14ac:dyDescent="0.55000000000000004">
      <c r="A154" s="1">
        <v>152</v>
      </c>
      <c r="B154" s="1" t="s">
        <v>305</v>
      </c>
      <c r="C154" s="1" t="s">
        <v>1209</v>
      </c>
      <c r="D154" s="1" t="s">
        <v>306</v>
      </c>
      <c r="E154" t="s">
        <v>2387</v>
      </c>
      <c r="H154" s="2" t="str">
        <f>INDEX(Type!I:I,MATCH(D154,Type!A:A,0))</f>
        <v>v(v, var, [vr], [v])</v>
      </c>
    </row>
    <row r="155" spans="1:8" x14ac:dyDescent="0.55000000000000004">
      <c r="A155" s="1">
        <v>153</v>
      </c>
      <c r="B155" s="1" t="s">
        <v>307</v>
      </c>
      <c r="C155" s="1" t="s">
        <v>1209</v>
      </c>
      <c r="D155" s="1" t="s">
        <v>308</v>
      </c>
      <c r="E155" t="s">
        <v>2388</v>
      </c>
      <c r="H155" s="2" t="str">
        <f>INDEX(Type!I:I,MATCH(D155,Type!A:A,0))</f>
        <v>v(v, vr, var, [vr], [v])</v>
      </c>
    </row>
    <row r="156" spans="1:8" x14ac:dyDescent="0.55000000000000004">
      <c r="A156" s="1">
        <v>154</v>
      </c>
      <c r="B156" s="1" t="s">
        <v>309</v>
      </c>
      <c r="C156" s="1" t="s">
        <v>1209</v>
      </c>
      <c r="D156" s="1" t="s">
        <v>310</v>
      </c>
      <c r="E156" t="s">
        <v>2389</v>
      </c>
      <c r="H156" s="2" t="str">
        <f>INDEX(Type!I:I,MATCH(D156,Type!A:A,0))</f>
        <v>v(v, v, v, v, [v])</v>
      </c>
    </row>
    <row r="157" spans="1:8" x14ac:dyDescent="0.55000000000000004">
      <c r="A157" s="1">
        <v>155</v>
      </c>
      <c r="B157" s="1" t="s">
        <v>311</v>
      </c>
      <c r="C157" s="1" t="s">
        <v>1209</v>
      </c>
      <c r="D157" s="1" t="s">
        <v>312</v>
      </c>
      <c r="E157" t="s">
        <v>2390</v>
      </c>
      <c r="H157" s="2" t="str">
        <f>INDEX(Type!I:I,MATCH(D157,Type!A:A,0))</f>
        <v>v(v, v, v, v, [v])</v>
      </c>
    </row>
    <row r="158" spans="1:8" x14ac:dyDescent="0.55000000000000004">
      <c r="A158" s="1">
        <v>156</v>
      </c>
      <c r="B158" s="1" t="s">
        <v>313</v>
      </c>
      <c r="C158" s="1" t="s">
        <v>1209</v>
      </c>
      <c r="D158" s="1" t="s">
        <v>314</v>
      </c>
      <c r="E158" t="s">
        <v>2391</v>
      </c>
      <c r="H158" s="2" t="str">
        <f>INDEX(Type!I:I,MATCH(D158,Type!A:A,0))</f>
        <v>v(v, v, v, v, [v])</v>
      </c>
    </row>
    <row r="159" spans="1:8" x14ac:dyDescent="0.55000000000000004">
      <c r="A159" s="1">
        <v>157</v>
      </c>
      <c r="B159" s="1" t="s">
        <v>315</v>
      </c>
      <c r="C159" s="1" t="s">
        <v>1209</v>
      </c>
      <c r="D159" s="1" t="s">
        <v>316</v>
      </c>
      <c r="E159" t="s">
        <v>1943</v>
      </c>
      <c r="H159" s="2" t="str">
        <f>INDEX(Type!I:I,MATCH(D159,Type!A:A,0))</f>
        <v>v([v])</v>
      </c>
    </row>
    <row r="160" spans="1:8" x14ac:dyDescent="0.55000000000000004">
      <c r="A160" s="1">
        <v>158</v>
      </c>
      <c r="B160" s="1" t="s">
        <v>317</v>
      </c>
      <c r="C160" s="1" t="s">
        <v>1209</v>
      </c>
      <c r="D160" s="1" t="s">
        <v>318</v>
      </c>
      <c r="E160" t="s">
        <v>2392</v>
      </c>
      <c r="H160" s="2" t="str">
        <f>INDEX(Type!I:I,MATCH(D160,Type!A:A,0))</f>
        <v>v(v, v, [v])</v>
      </c>
    </row>
    <row r="161" spans="1:8" x14ac:dyDescent="0.55000000000000004">
      <c r="A161" s="1">
        <v>159</v>
      </c>
      <c r="B161" s="1" t="s">
        <v>319</v>
      </c>
      <c r="C161" s="1" t="s">
        <v>1209</v>
      </c>
      <c r="D161" s="1" t="s">
        <v>320</v>
      </c>
      <c r="E161" t="s">
        <v>2393</v>
      </c>
      <c r="H161" s="2" t="str">
        <f>INDEX(Type!I:I,MATCH(D161,Type!A:A,0))</f>
        <v>v(v, v, v, [v])</v>
      </c>
    </row>
    <row r="162" spans="1:8" x14ac:dyDescent="0.55000000000000004">
      <c r="A162" s="1">
        <v>160</v>
      </c>
      <c r="B162" s="1" t="s">
        <v>321</v>
      </c>
      <c r="C162" s="1" t="s">
        <v>1209</v>
      </c>
      <c r="D162" s="1" t="s">
        <v>322</v>
      </c>
      <c r="E162" t="s">
        <v>2394</v>
      </c>
      <c r="H162" s="2" t="str">
        <f>INDEX(Type!I:I,MATCH(D162,Type!A:A,0))</f>
        <v>v(v, [v], [v])</v>
      </c>
    </row>
    <row r="163" spans="1:8" x14ac:dyDescent="0.55000000000000004">
      <c r="A163" s="1">
        <v>161</v>
      </c>
      <c r="B163" s="1" t="s">
        <v>323</v>
      </c>
      <c r="C163" s="1" t="s">
        <v>1209</v>
      </c>
      <c r="D163" s="1" t="s">
        <v>324</v>
      </c>
      <c r="E163" t="s">
        <v>2014</v>
      </c>
      <c r="H163" s="2" t="str">
        <f>INDEX(Type!I:I,MATCH(D163,Type!A:A,0))</f>
        <v>va(var)</v>
      </c>
    </row>
    <row r="164" spans="1:8" x14ac:dyDescent="0.55000000000000004">
      <c r="A164" s="1">
        <v>162</v>
      </c>
      <c r="B164" s="1" t="s">
        <v>325</v>
      </c>
      <c r="C164" s="1" t="s">
        <v>1198</v>
      </c>
      <c r="D164" s="1" t="s">
        <v>326</v>
      </c>
      <c r="E164" t="s">
        <v>1233</v>
      </c>
      <c r="H164" s="2" t="str">
        <f>INDEX(Type!I:I,MATCH(D164,Type!A:A,0))</f>
        <v>v(v)</v>
      </c>
    </row>
    <row r="165" spans="1:8" x14ac:dyDescent="0.55000000000000004">
      <c r="A165" s="1">
        <v>163</v>
      </c>
      <c r="B165" s="1" t="s">
        <v>327</v>
      </c>
      <c r="C165" s="1" t="s">
        <v>1194</v>
      </c>
      <c r="D165" s="1" t="s">
        <v>328</v>
      </c>
      <c r="E165" t="s">
        <v>1230</v>
      </c>
      <c r="H165" s="2" t="str">
        <f>INDEX(Type!I:I,MATCH(D165,Type!A:A,0))</f>
        <v>v(a)</v>
      </c>
    </row>
    <row r="166" spans="1:8" x14ac:dyDescent="0.55000000000000004">
      <c r="A166" s="1">
        <v>164</v>
      </c>
      <c r="B166" s="1" t="s">
        <v>329</v>
      </c>
      <c r="C166" s="1" t="s">
        <v>1194</v>
      </c>
      <c r="D166" s="1" t="s">
        <v>330</v>
      </c>
      <c r="E166" t="s">
        <v>1230</v>
      </c>
      <c r="H166" s="2" t="str">
        <f>INDEX(Type!I:I,MATCH(D166,Type!A:A,0))</f>
        <v>a(a)</v>
      </c>
    </row>
    <row r="167" spans="1:8" x14ac:dyDescent="0.55000000000000004">
      <c r="A167" s="1">
        <v>165</v>
      </c>
      <c r="B167" s="1" t="s">
        <v>331</v>
      </c>
      <c r="C167" s="1" t="s">
        <v>1194</v>
      </c>
      <c r="D167" s="1" t="s">
        <v>332</v>
      </c>
      <c r="E167" t="s">
        <v>2395</v>
      </c>
      <c r="H167" s="2" t="str">
        <f>INDEX(Type!I:I,MATCH(D167,Type!A:A,0))</f>
        <v>a(a, a)</v>
      </c>
    </row>
    <row r="168" spans="1:8" x14ac:dyDescent="0.55000000000000004">
      <c r="A168" s="1">
        <v>166</v>
      </c>
      <c r="B168" s="1" t="s">
        <v>333</v>
      </c>
      <c r="C168" s="1" t="s">
        <v>1209</v>
      </c>
      <c r="D168" s="1" t="s">
        <v>334</v>
      </c>
      <c r="E168" t="s">
        <v>2015</v>
      </c>
      <c r="H168" s="2" t="str">
        <f>INDEX(Type!I:I,MATCH(D168,Type!A:A,0))</f>
        <v>va([v])</v>
      </c>
    </row>
    <row r="169" spans="1:8" x14ac:dyDescent="0.55000000000000004">
      <c r="A169" s="1">
        <v>167</v>
      </c>
      <c r="B169" s="1" t="s">
        <v>335</v>
      </c>
      <c r="C169" s="1" t="s">
        <v>1195</v>
      </c>
      <c r="D169" s="1" t="s">
        <v>336</v>
      </c>
      <c r="E169" t="s">
        <v>2396</v>
      </c>
      <c r="H169" s="2" t="str">
        <f>INDEX(Type!I:I,MATCH(D169,Type!A:A,0))</f>
        <v>v(v, v, v, v, [v], [v])</v>
      </c>
    </row>
    <row r="170" spans="1:8" x14ac:dyDescent="0.55000000000000004">
      <c r="A170" s="1">
        <v>168</v>
      </c>
      <c r="B170" s="1" t="s">
        <v>337</v>
      </c>
      <c r="C170" s="1" t="s">
        <v>1195</v>
      </c>
      <c r="D170" s="1" t="s">
        <v>338</v>
      </c>
      <c r="E170" t="s">
        <v>2396</v>
      </c>
      <c r="H170" s="2" t="str">
        <f>INDEX(Type!I:I,MATCH(D170,Type!A:A,0))</f>
        <v>v(v, v, v, v, [v], [v])</v>
      </c>
    </row>
    <row r="171" spans="1:8" x14ac:dyDescent="0.55000000000000004">
      <c r="A171" s="1">
        <v>169</v>
      </c>
      <c r="B171" s="1" t="s">
        <v>339</v>
      </c>
      <c r="C171" s="1" t="s">
        <v>1199</v>
      </c>
      <c r="D171" s="1" t="s">
        <v>340</v>
      </c>
      <c r="E171" t="s">
        <v>2322</v>
      </c>
      <c r="H171" s="2" t="str">
        <f>INDEX(Type!I:I,MATCH(D171,Type!A:A,0))</f>
        <v>v(var, [var], …)</v>
      </c>
    </row>
    <row r="172" spans="1:8" x14ac:dyDescent="0.55000000000000004">
      <c r="A172" s="1">
        <v>170</v>
      </c>
      <c r="B172" s="1" t="s">
        <v>341</v>
      </c>
      <c r="C172" s="1" t="s">
        <v>1209</v>
      </c>
      <c r="D172" s="1" t="s">
        <v>342</v>
      </c>
      <c r="E172" t="s">
        <v>2397</v>
      </c>
      <c r="H172" s="2" t="str">
        <f>INDEX(Type!I:I,MATCH(D172,Type!A:A,0))</f>
        <v>v([v], [r])</v>
      </c>
    </row>
    <row r="173" spans="1:8" x14ac:dyDescent="0.55000000000000004">
      <c r="A173" s="1">
        <v>171</v>
      </c>
      <c r="B173" s="1" t="s">
        <v>343</v>
      </c>
      <c r="C173" s="1" t="s">
        <v>1209</v>
      </c>
      <c r="D173" s="1" t="s">
        <v>344</v>
      </c>
      <c r="E173" t="s">
        <v>2398</v>
      </c>
      <c r="H173" s="2" t="str">
        <f>INDEX(Type!I:I,MATCH(D173,Type!A:A,0))</f>
        <v>v(v, v, v, [v])</v>
      </c>
    </row>
    <row r="174" spans="1:8" x14ac:dyDescent="0.55000000000000004">
      <c r="A174" s="1">
        <v>172</v>
      </c>
      <c r="B174" s="1" t="s">
        <v>345</v>
      </c>
      <c r="C174" s="1" t="s">
        <v>1209</v>
      </c>
      <c r="D174" s="1" t="s">
        <v>346</v>
      </c>
      <c r="E174" t="s">
        <v>1215</v>
      </c>
      <c r="H174" s="2" t="str">
        <f>INDEX(Type!I:I,MATCH(D174,Type!A:A,0))</f>
        <v>v(v)</v>
      </c>
    </row>
    <row r="175" spans="1:8" x14ac:dyDescent="0.55000000000000004">
      <c r="A175" s="1">
        <v>173</v>
      </c>
      <c r="B175" s="1" t="s">
        <v>347</v>
      </c>
      <c r="C175" s="1" t="s">
        <v>1209</v>
      </c>
      <c r="D175" s="1" t="s">
        <v>348</v>
      </c>
      <c r="H175" s="2" t="str">
        <f>INDEX(Type!I:I,MATCH(D175,Type!A:A,0))</f>
        <v>v()</v>
      </c>
    </row>
    <row r="176" spans="1:8" x14ac:dyDescent="0.55000000000000004">
      <c r="A176" s="1">
        <v>174</v>
      </c>
      <c r="B176" s="1" t="s">
        <v>349</v>
      </c>
      <c r="C176" s="1" t="s">
        <v>1209</v>
      </c>
      <c r="D176" s="1" t="s">
        <v>350</v>
      </c>
      <c r="H176" s="2" t="str">
        <f>INDEX(Type!I:I,MATCH(D176,Type!A:A,0))</f>
        <v>v()</v>
      </c>
    </row>
    <row r="177" spans="1:8" x14ac:dyDescent="0.55000000000000004">
      <c r="A177" s="1">
        <v>175</v>
      </c>
      <c r="B177" s="1" t="s">
        <v>351</v>
      </c>
      <c r="C177" s="1" t="s">
        <v>1209</v>
      </c>
      <c r="D177" s="1" t="s">
        <v>352</v>
      </c>
      <c r="E177" t="s">
        <v>2399</v>
      </c>
      <c r="H177" s="2" t="str">
        <f>INDEX(Type!I:I,MATCH(D177,Type!A:A,0))</f>
        <v>v(v, v)</v>
      </c>
    </row>
    <row r="178" spans="1:8" x14ac:dyDescent="0.55000000000000004">
      <c r="A178" s="1">
        <v>176</v>
      </c>
      <c r="B178" s="1" t="s">
        <v>353</v>
      </c>
      <c r="C178" s="1" t="s">
        <v>1209</v>
      </c>
      <c r="D178" s="1" t="s">
        <v>354</v>
      </c>
      <c r="E178" t="s">
        <v>2400</v>
      </c>
      <c r="H178" s="2" t="str">
        <f>INDEX(Type!I:I,MATCH(D178,Type!A:A,0))</f>
        <v>va(v, v)</v>
      </c>
    </row>
    <row r="179" spans="1:8" x14ac:dyDescent="0.55000000000000004">
      <c r="A179" s="1">
        <v>177</v>
      </c>
      <c r="B179" s="1" t="s">
        <v>355</v>
      </c>
      <c r="C179" s="1" t="s">
        <v>1209</v>
      </c>
      <c r="D179" s="1" t="s">
        <v>356</v>
      </c>
      <c r="E179" t="s">
        <v>2401</v>
      </c>
      <c r="H179" s="2" t="str">
        <f>INDEX(Type!I:I,MATCH(D179,Type!A:A,0))</f>
        <v>v(v, vr, vr)</v>
      </c>
    </row>
    <row r="180" spans="1:8" x14ac:dyDescent="0.55000000000000004">
      <c r="A180" s="1">
        <v>178</v>
      </c>
      <c r="B180" s="1" t="s">
        <v>357</v>
      </c>
      <c r="C180" s="1" t="s">
        <v>1209</v>
      </c>
      <c r="D180" s="1" t="s">
        <v>358</v>
      </c>
      <c r="E180" t="s">
        <v>2402</v>
      </c>
      <c r="H180" s="2" t="str">
        <f>INDEX(Type!I:I,MATCH(D180,Type!A:A,0))</f>
        <v>v(v, v)</v>
      </c>
    </row>
    <row r="181" spans="1:8" x14ac:dyDescent="0.55000000000000004">
      <c r="A181" s="1">
        <v>179</v>
      </c>
      <c r="B181" s="1" t="s">
        <v>359</v>
      </c>
      <c r="C181" s="1" t="s">
        <v>1209</v>
      </c>
      <c r="D181" s="1" t="s">
        <v>360</v>
      </c>
      <c r="E181" t="s">
        <v>1956</v>
      </c>
      <c r="H181" s="2" t="str">
        <f>INDEX(Type!I:I,MATCH(D181,Type!A:A,0))</f>
        <v>v(v)</v>
      </c>
    </row>
    <row r="182" spans="1:8" x14ac:dyDescent="0.55000000000000004">
      <c r="A182" s="1">
        <v>180</v>
      </c>
      <c r="B182" s="1" t="s">
        <v>361</v>
      </c>
      <c r="C182" s="1" t="s">
        <v>1209</v>
      </c>
      <c r="D182" s="1" t="s">
        <v>362</v>
      </c>
      <c r="E182" t="s">
        <v>2020</v>
      </c>
      <c r="H182" s="2" t="str">
        <f>INDEX(Type!I:I,MATCH(D182,Type!A:A,0))</f>
        <v>v([v])</v>
      </c>
    </row>
    <row r="183" spans="1:8" x14ac:dyDescent="0.55000000000000004">
      <c r="A183" s="1">
        <v>181</v>
      </c>
      <c r="B183" s="1" t="s">
        <v>363</v>
      </c>
      <c r="C183" s="1" t="s">
        <v>1209</v>
      </c>
      <c r="D183" s="1" t="s">
        <v>364</v>
      </c>
      <c r="E183" t="s">
        <v>2006</v>
      </c>
      <c r="H183" s="2" t="str">
        <f>INDEX(Type!I:I,MATCH(D183,Type!A:A,0))</f>
        <v>v([v])</v>
      </c>
    </row>
    <row r="184" spans="1:8" x14ac:dyDescent="0.55000000000000004">
      <c r="A184" s="1">
        <v>182</v>
      </c>
      <c r="B184" s="1" t="s">
        <v>365</v>
      </c>
      <c r="C184" s="1" t="s">
        <v>1209</v>
      </c>
      <c r="D184" s="1" t="s">
        <v>366</v>
      </c>
      <c r="E184" t="s">
        <v>2393</v>
      </c>
      <c r="H184" s="2" t="str">
        <f>INDEX(Type!I:I,MATCH(D184,Type!A:A,0))</f>
        <v>v([v], [v], [v], [v])</v>
      </c>
    </row>
    <row r="185" spans="1:8" x14ac:dyDescent="0.55000000000000004">
      <c r="A185" s="1">
        <v>183</v>
      </c>
      <c r="B185" s="1" t="s">
        <v>367</v>
      </c>
      <c r="C185" s="1" t="s">
        <v>1194</v>
      </c>
      <c r="D185" s="1" t="s">
        <v>368</v>
      </c>
      <c r="E185" t="s">
        <v>2324</v>
      </c>
      <c r="H185" s="2" t="str">
        <f>INDEX(Type!I:I,MATCH(D185,Type!A:A,0))</f>
        <v>v(var, [var], …)</v>
      </c>
    </row>
    <row r="186" spans="1:8" x14ac:dyDescent="0.55000000000000004">
      <c r="A186" s="1">
        <v>184</v>
      </c>
      <c r="B186" s="1" t="s">
        <v>369</v>
      </c>
      <c r="C186" s="1" t="s">
        <v>1194</v>
      </c>
      <c r="D186" s="1" t="s">
        <v>370</v>
      </c>
      <c r="E186" t="s">
        <v>1223</v>
      </c>
      <c r="H186" s="2" t="str">
        <f>INDEX(Type!I:I,MATCH(D186,Type!A:A,0))</f>
        <v>v(v)</v>
      </c>
    </row>
    <row r="187" spans="1:8" x14ac:dyDescent="0.55000000000000004">
      <c r="A187" s="1">
        <v>185</v>
      </c>
      <c r="B187" s="1" t="s">
        <v>371</v>
      </c>
      <c r="C187" s="1" t="s">
        <v>1209</v>
      </c>
      <c r="D187" s="1" t="s">
        <v>372</v>
      </c>
      <c r="E187" t="s">
        <v>2403</v>
      </c>
      <c r="H187" s="2" t="str">
        <f>INDEX(Type!I:I,MATCH(D187,Type!A:A,0))</f>
        <v>va(v, [r])</v>
      </c>
    </row>
    <row r="188" spans="1:8" x14ac:dyDescent="0.55000000000000004">
      <c r="A188" s="1">
        <v>186</v>
      </c>
      <c r="B188" s="1" t="s">
        <v>373</v>
      </c>
      <c r="C188" s="1" t="s">
        <v>1209</v>
      </c>
      <c r="D188" s="1" t="s">
        <v>374</v>
      </c>
      <c r="E188" t="s">
        <v>1921</v>
      </c>
      <c r="H188" s="2" t="str">
        <f>INDEX(Type!I:I,MATCH(D188,Type!A:A,0))</f>
        <v>va(v)</v>
      </c>
    </row>
    <row r="189" spans="1:8" x14ac:dyDescent="0.55000000000000004">
      <c r="A189" s="1">
        <v>187</v>
      </c>
      <c r="B189" s="1" t="s">
        <v>375</v>
      </c>
      <c r="C189" s="1" t="s">
        <v>1209</v>
      </c>
      <c r="D189" s="1" t="s">
        <v>376</v>
      </c>
      <c r="E189" t="s">
        <v>2404</v>
      </c>
      <c r="H189" s="2" t="str">
        <f>INDEX(Type!I:I,MATCH(D189,Type!A:A,0))</f>
        <v>va(v, [v])</v>
      </c>
    </row>
    <row r="190" spans="1:8" x14ac:dyDescent="0.55000000000000004">
      <c r="A190" s="1">
        <v>188</v>
      </c>
      <c r="B190" s="1" t="s">
        <v>377</v>
      </c>
      <c r="C190" s="1" t="s">
        <v>1209</v>
      </c>
      <c r="D190" s="1" t="s">
        <v>378</v>
      </c>
      <c r="E190" t="s">
        <v>2405</v>
      </c>
      <c r="H190" s="2" t="str">
        <f>INDEX(Type!I:I,MATCH(D190,Type!A:A,0))</f>
        <v>var(v, [v])</v>
      </c>
    </row>
    <row r="191" spans="1:8" x14ac:dyDescent="0.55000000000000004">
      <c r="A191" s="1">
        <v>189</v>
      </c>
      <c r="B191" s="1" t="s">
        <v>379</v>
      </c>
      <c r="C191" s="1" t="s">
        <v>1206</v>
      </c>
      <c r="D191" s="1" t="s">
        <v>380</v>
      </c>
      <c r="E191" t="s">
        <v>2335</v>
      </c>
      <c r="H191" s="2" t="str">
        <f>INDEX(Type!I:I,MATCH(D191,Type!A:A,0))</f>
        <v>v(r, vr, vr)</v>
      </c>
    </row>
    <row r="192" spans="1:8" x14ac:dyDescent="0.55000000000000004">
      <c r="A192" s="1">
        <v>190</v>
      </c>
      <c r="B192" s="1" t="s">
        <v>381</v>
      </c>
      <c r="C192" s="1" t="s">
        <v>1203</v>
      </c>
      <c r="D192" s="1" t="s">
        <v>382</v>
      </c>
      <c r="E192" t="s">
        <v>1218</v>
      </c>
      <c r="H192" s="2" t="str">
        <f>INDEX(Type!I:I,MATCH(D192,Type!A:A,0))</f>
        <v>v(v)</v>
      </c>
    </row>
    <row r="193" spans="1:8" x14ac:dyDescent="0.55000000000000004">
      <c r="A193" s="1">
        <v>191</v>
      </c>
      <c r="B193" s="1" t="s">
        <v>383</v>
      </c>
      <c r="C193" s="1" t="s">
        <v>1209</v>
      </c>
      <c r="D193" s="1" t="s">
        <v>384</v>
      </c>
      <c r="E193" t="s">
        <v>2406</v>
      </c>
      <c r="H193" s="2" t="str">
        <f>INDEX(Type!I:I,MATCH(D193,Type!A:A,0))</f>
        <v>v([vr], [v], [v])</v>
      </c>
    </row>
    <row r="194" spans="1:8" x14ac:dyDescent="0.55000000000000004">
      <c r="A194" s="1">
        <v>192</v>
      </c>
      <c r="B194" s="1" t="s">
        <v>385</v>
      </c>
      <c r="C194" s="1" t="s">
        <v>1209</v>
      </c>
      <c r="D194" s="1" t="s">
        <v>386</v>
      </c>
      <c r="E194" t="s">
        <v>2407</v>
      </c>
      <c r="H194" s="2" t="str">
        <f>INDEX(Type!I:I,MATCH(D194,Type!A:A,0))</f>
        <v>v([v], [vr], [vr], [vr])</v>
      </c>
    </row>
    <row r="195" spans="1:8" x14ac:dyDescent="0.55000000000000004">
      <c r="A195" s="1">
        <v>193</v>
      </c>
      <c r="B195" s="1" t="s">
        <v>387</v>
      </c>
      <c r="C195" s="1" t="s">
        <v>1201</v>
      </c>
      <c r="D195" s="1" t="s">
        <v>388</v>
      </c>
      <c r="E195" t="s">
        <v>2324</v>
      </c>
      <c r="H195" s="2" t="str">
        <f>INDEX(Type!I:I,MATCH(D195,Type!A:A,0))</f>
        <v>v(var, [var], …)</v>
      </c>
    </row>
    <row r="196" spans="1:8" x14ac:dyDescent="0.55000000000000004">
      <c r="A196" s="1">
        <v>194</v>
      </c>
      <c r="B196" s="1" t="s">
        <v>389</v>
      </c>
      <c r="C196" s="1" t="s">
        <v>1201</v>
      </c>
      <c r="D196" s="1" t="s">
        <v>390</v>
      </c>
      <c r="E196" t="s">
        <v>2324</v>
      </c>
      <c r="H196" s="2" t="str">
        <f>INDEX(Type!I:I,MATCH(D196,Type!A:A,0))</f>
        <v>v(var, [var], …)</v>
      </c>
    </row>
    <row r="197" spans="1:8" x14ac:dyDescent="0.55000000000000004">
      <c r="A197" s="1">
        <v>195</v>
      </c>
      <c r="B197" s="1" t="s">
        <v>391</v>
      </c>
      <c r="C197" s="1" t="s">
        <v>1206</v>
      </c>
      <c r="D197" s="1" t="s">
        <v>392</v>
      </c>
      <c r="E197" t="s">
        <v>2335</v>
      </c>
      <c r="H197" s="2" t="str">
        <f>INDEX(Type!I:I,MATCH(D197,Type!A:A,0))</f>
        <v>v(r, vr, vr)</v>
      </c>
    </row>
    <row r="198" spans="1:8" x14ac:dyDescent="0.55000000000000004">
      <c r="A198" s="1">
        <v>196</v>
      </c>
      <c r="B198" s="1" t="s">
        <v>393</v>
      </c>
      <c r="C198" s="1" t="s">
        <v>1206</v>
      </c>
      <c r="D198" s="1" t="s">
        <v>394</v>
      </c>
      <c r="E198" t="s">
        <v>2335</v>
      </c>
      <c r="H198" s="2" t="str">
        <f>INDEX(Type!I:I,MATCH(D198,Type!A:A,0))</f>
        <v>v(r, vr, vr)</v>
      </c>
    </row>
    <row r="199" spans="1:8" x14ac:dyDescent="0.55000000000000004">
      <c r="A199" s="1">
        <v>197</v>
      </c>
      <c r="B199" s="1" t="s">
        <v>395</v>
      </c>
      <c r="C199" s="1" t="s">
        <v>1194</v>
      </c>
      <c r="D199" s="1" t="s">
        <v>396</v>
      </c>
      <c r="E199" t="s">
        <v>2328</v>
      </c>
      <c r="H199" s="2" t="str">
        <f>INDEX(Type!I:I,MATCH(D199,Type!A:A,0))</f>
        <v>v(v, [v])</v>
      </c>
    </row>
    <row r="200" spans="1:8" x14ac:dyDescent="0.55000000000000004">
      <c r="A200" s="1">
        <v>198</v>
      </c>
      <c r="B200" s="1" t="s">
        <v>397</v>
      </c>
      <c r="C200" s="1" t="s">
        <v>1203</v>
      </c>
      <c r="D200" s="1" t="s">
        <v>398</v>
      </c>
      <c r="E200" t="s">
        <v>1218</v>
      </c>
      <c r="H200" s="2" t="str">
        <f>INDEX(Type!I:I,MATCH(D200,Type!A:A,0))</f>
        <v>v(v)</v>
      </c>
    </row>
    <row r="201" spans="1:8" x14ac:dyDescent="0.55000000000000004">
      <c r="A201" s="1">
        <v>199</v>
      </c>
      <c r="B201" s="1" t="s">
        <v>399</v>
      </c>
      <c r="C201" s="1" t="s">
        <v>1206</v>
      </c>
      <c r="D201" s="1" t="s">
        <v>400</v>
      </c>
      <c r="E201" t="s">
        <v>2335</v>
      </c>
      <c r="H201" s="2" t="str">
        <f>INDEX(Type!I:I,MATCH(D201,Type!A:A,0))</f>
        <v>v(r, vr, vr)</v>
      </c>
    </row>
    <row r="202" spans="1:8" x14ac:dyDescent="0.55000000000000004">
      <c r="A202" s="1">
        <v>200</v>
      </c>
      <c r="B202" s="1" t="s">
        <v>401</v>
      </c>
      <c r="C202" s="1" t="s">
        <v>1209</v>
      </c>
      <c r="D202" s="1" t="s">
        <v>402</v>
      </c>
      <c r="E202" t="s">
        <v>1943</v>
      </c>
      <c r="H202" s="2" t="str">
        <f>INDEX(Type!I:I,MATCH(D202,Type!A:A,0))</f>
        <v>v(v)</v>
      </c>
    </row>
    <row r="203" spans="1:8" x14ac:dyDescent="0.55000000000000004">
      <c r="A203" s="1">
        <v>201</v>
      </c>
      <c r="B203" s="1" t="s">
        <v>403</v>
      </c>
      <c r="C203" s="1" t="s">
        <v>1209</v>
      </c>
      <c r="D203" s="1" t="s">
        <v>404</v>
      </c>
      <c r="E203" t="s">
        <v>2022</v>
      </c>
      <c r="H203" s="2" t="str">
        <f>INDEX(Type!I:I,MATCH(D203,Type!A:A,0))</f>
        <v>v(v)</v>
      </c>
    </row>
    <row r="204" spans="1:8" x14ac:dyDescent="0.55000000000000004">
      <c r="A204" s="1">
        <v>204</v>
      </c>
      <c r="B204" s="1" t="s">
        <v>405</v>
      </c>
      <c r="C204" s="1" t="s">
        <v>1209</v>
      </c>
      <c r="D204" s="1" t="s">
        <v>406</v>
      </c>
      <c r="E204" t="s">
        <v>2326</v>
      </c>
      <c r="H204" s="2" t="str">
        <f>INDEX(Type!I:I,MATCH(D204,Type!A:A,0))</f>
        <v>v(v, [v])</v>
      </c>
    </row>
    <row r="205" spans="1:8" x14ac:dyDescent="0.55000000000000004">
      <c r="A205" s="1">
        <v>205</v>
      </c>
      <c r="B205" s="1" t="s">
        <v>407</v>
      </c>
      <c r="C205" s="1" t="s">
        <v>1198</v>
      </c>
      <c r="D205" s="1" t="s">
        <v>408</v>
      </c>
      <c r="E205" t="s">
        <v>2354</v>
      </c>
      <c r="H205" s="2" t="str">
        <f>INDEX(Type!I:I,MATCH(D205,Type!A:A,0))</f>
        <v>v(v, v, [v])</v>
      </c>
    </row>
    <row r="206" spans="1:8" x14ac:dyDescent="0.55000000000000004">
      <c r="A206" s="1">
        <v>206</v>
      </c>
      <c r="B206" s="1" t="s">
        <v>409</v>
      </c>
      <c r="C206" s="1" t="s">
        <v>1198</v>
      </c>
      <c r="D206" s="1" t="s">
        <v>410</v>
      </c>
      <c r="E206" t="s">
        <v>2354</v>
      </c>
      <c r="H206" s="2" t="str">
        <f>INDEX(Type!I:I,MATCH(D206,Type!A:A,0))</f>
        <v>v(v, v, [v])</v>
      </c>
    </row>
    <row r="207" spans="1:8" x14ac:dyDescent="0.55000000000000004">
      <c r="A207" s="1">
        <v>207</v>
      </c>
      <c r="B207" s="1" t="s">
        <v>411</v>
      </c>
      <c r="C207" s="1" t="s">
        <v>1198</v>
      </c>
      <c r="D207" s="1" t="s">
        <v>412</v>
      </c>
      <c r="E207" t="s">
        <v>2408</v>
      </c>
      <c r="H207" s="2" t="str">
        <f>INDEX(Type!I:I,MATCH(D207,Type!A:A,0))</f>
        <v>v(v, v, v, v)</v>
      </c>
    </row>
    <row r="208" spans="1:8" x14ac:dyDescent="0.55000000000000004">
      <c r="A208" s="1">
        <v>208</v>
      </c>
      <c r="B208" s="1" t="s">
        <v>413</v>
      </c>
      <c r="C208" s="1" t="s">
        <v>1198</v>
      </c>
      <c r="D208" s="1" t="s">
        <v>414</v>
      </c>
      <c r="E208" t="s">
        <v>2409</v>
      </c>
      <c r="H208" s="2" t="str">
        <f>INDEX(Type!I:I,MATCH(D208,Type!A:A,0))</f>
        <v>v(v, [v])</v>
      </c>
    </row>
    <row r="209" spans="1:8" x14ac:dyDescent="0.55000000000000004">
      <c r="A209" s="1">
        <v>209</v>
      </c>
      <c r="B209" s="1" t="s">
        <v>415</v>
      </c>
      <c r="C209" s="1" t="s">
        <v>1198</v>
      </c>
      <c r="D209" s="1" t="s">
        <v>416</v>
      </c>
      <c r="E209" t="s">
        <v>2409</v>
      </c>
      <c r="H209" s="2" t="str">
        <f>INDEX(Type!I:I,MATCH(D209,Type!A:A,0))</f>
        <v>v(v, [v])</v>
      </c>
    </row>
    <row r="210" spans="1:8" x14ac:dyDescent="0.55000000000000004">
      <c r="A210" s="1">
        <v>210</v>
      </c>
      <c r="B210" s="1" t="s">
        <v>417</v>
      </c>
      <c r="C210" s="1" t="s">
        <v>1198</v>
      </c>
      <c r="D210" s="1" t="s">
        <v>418</v>
      </c>
      <c r="E210" t="s">
        <v>2410</v>
      </c>
      <c r="H210" s="2" t="str">
        <f>INDEX(Type!I:I,MATCH(D210,Type!A:A,0))</f>
        <v>v(v, v, v)</v>
      </c>
    </row>
    <row r="211" spans="1:8" x14ac:dyDescent="0.55000000000000004">
      <c r="A211" s="1">
        <v>211</v>
      </c>
      <c r="B211" s="1" t="s">
        <v>419</v>
      </c>
      <c r="C211" s="1" t="s">
        <v>1198</v>
      </c>
      <c r="D211" s="1" t="s">
        <v>420</v>
      </c>
      <c r="E211" t="s">
        <v>1233</v>
      </c>
      <c r="H211" s="2" t="str">
        <f>INDEX(Type!I:I,MATCH(D211,Type!A:A,0))</f>
        <v>v(v)</v>
      </c>
    </row>
    <row r="212" spans="1:8" x14ac:dyDescent="0.55000000000000004">
      <c r="A212" s="1">
        <v>212</v>
      </c>
      <c r="B212" s="1" t="s">
        <v>421</v>
      </c>
      <c r="C212" s="1" t="s">
        <v>1194</v>
      </c>
      <c r="D212" s="1" t="s">
        <v>422</v>
      </c>
      <c r="E212" t="s">
        <v>2328</v>
      </c>
      <c r="H212" s="2" t="str">
        <f>INDEX(Type!I:I,MATCH(D212,Type!A:A,0))</f>
        <v>v(v, v)</v>
      </c>
    </row>
    <row r="213" spans="1:8" x14ac:dyDescent="0.55000000000000004">
      <c r="A213" s="1">
        <v>213</v>
      </c>
      <c r="B213" s="1" t="s">
        <v>423</v>
      </c>
      <c r="C213" s="1" t="s">
        <v>1194</v>
      </c>
      <c r="D213" s="1" t="s">
        <v>424</v>
      </c>
      <c r="E213" t="s">
        <v>2328</v>
      </c>
      <c r="H213" s="2" t="str">
        <f>INDEX(Type!I:I,MATCH(D213,Type!A:A,0))</f>
        <v>v(v, v)</v>
      </c>
    </row>
    <row r="214" spans="1:8" x14ac:dyDescent="0.55000000000000004">
      <c r="A214" s="1">
        <v>214</v>
      </c>
      <c r="B214" s="1" t="s">
        <v>425</v>
      </c>
      <c r="C214" s="1" t="s">
        <v>1198</v>
      </c>
      <c r="D214" s="1" t="s">
        <v>426</v>
      </c>
      <c r="E214" t="s">
        <v>1233</v>
      </c>
      <c r="H214" s="2" t="str">
        <f>INDEX(Type!I:I,MATCH(D214,Type!A:A,0))</f>
        <v>v(v)</v>
      </c>
    </row>
    <row r="215" spans="1:8" x14ac:dyDescent="0.55000000000000004">
      <c r="A215" s="1">
        <v>215</v>
      </c>
      <c r="B215" s="1" t="s">
        <v>427</v>
      </c>
      <c r="C215" s="1" t="s">
        <v>1198</v>
      </c>
      <c r="D215" s="1" t="s">
        <v>428</v>
      </c>
      <c r="E215" t="s">
        <v>1233</v>
      </c>
      <c r="H215" s="2" t="str">
        <f>INDEX(Type!I:I,MATCH(D215,Type!A:A,0))</f>
        <v>v(v)</v>
      </c>
    </row>
    <row r="216" spans="1:8" x14ac:dyDescent="0.55000000000000004">
      <c r="A216" s="1">
        <v>216</v>
      </c>
      <c r="B216" s="1" t="s">
        <v>429</v>
      </c>
      <c r="C216" s="1" t="s">
        <v>1201</v>
      </c>
      <c r="D216" s="1" t="s">
        <v>430</v>
      </c>
      <c r="E216" t="s">
        <v>2411</v>
      </c>
      <c r="H216" s="2" t="str">
        <f>INDEX(Type!I:I,MATCH(D216,Type!A:A,0))</f>
        <v>v(v, r, [v])</v>
      </c>
    </row>
    <row r="217" spans="1:8" x14ac:dyDescent="0.55000000000000004">
      <c r="A217" s="1">
        <v>219</v>
      </c>
      <c r="B217" s="1" t="s">
        <v>431</v>
      </c>
      <c r="C217" s="1" t="s">
        <v>1196</v>
      </c>
      <c r="D217" s="1" t="s">
        <v>432</v>
      </c>
      <c r="E217" t="s">
        <v>2412</v>
      </c>
      <c r="H217" s="2" t="str">
        <f>INDEX(Type!I:I,MATCH(D217,Type!A:A,0))</f>
        <v>v(v, v, [v], [v], [v])</v>
      </c>
    </row>
    <row r="218" spans="1:8" x14ac:dyDescent="0.55000000000000004">
      <c r="A218" s="1">
        <v>220</v>
      </c>
      <c r="B218" s="1" t="s">
        <v>433</v>
      </c>
      <c r="C218" s="1" t="s">
        <v>1205</v>
      </c>
      <c r="D218" s="1" t="s">
        <v>434</v>
      </c>
      <c r="E218" t="s">
        <v>2413</v>
      </c>
      <c r="H218" s="2" t="str">
        <f>INDEX(Type!I:I,MATCH(D218,Type!A:A,0))</f>
        <v>v(v, v, [v])</v>
      </c>
    </row>
    <row r="219" spans="1:8" x14ac:dyDescent="0.55000000000000004">
      <c r="A219" s="1">
        <v>221</v>
      </c>
      <c r="B219" s="1" t="s">
        <v>435</v>
      </c>
      <c r="C219" s="1" t="s">
        <v>1205</v>
      </c>
      <c r="D219" s="1" t="s">
        <v>436</v>
      </c>
      <c r="H219" s="2" t="str">
        <f>INDEX(Type!I:I,MATCH(D219,Type!A:A,0))</f>
        <v>v()</v>
      </c>
    </row>
    <row r="220" spans="1:8" x14ac:dyDescent="0.55000000000000004">
      <c r="A220" s="1">
        <v>222</v>
      </c>
      <c r="B220" s="1" t="s">
        <v>437</v>
      </c>
      <c r="C220" s="1" t="s">
        <v>1195</v>
      </c>
      <c r="D220" s="1" t="s">
        <v>438</v>
      </c>
      <c r="E220" t="s">
        <v>2414</v>
      </c>
      <c r="H220" s="2" t="str">
        <f>INDEX(Type!I:I,MATCH(D220,Type!A:A,0))</f>
        <v>v(v, v, v, v, v, [v], [v])</v>
      </c>
    </row>
    <row r="221" spans="1:8" x14ac:dyDescent="0.55000000000000004">
      <c r="A221" s="1">
        <v>223</v>
      </c>
      <c r="B221" s="1" t="s">
        <v>439</v>
      </c>
      <c r="C221" s="1" t="s">
        <v>1209</v>
      </c>
      <c r="D221" s="1" t="s">
        <v>440</v>
      </c>
      <c r="H221" s="2" t="str">
        <f>INDEX(Type!I:I,MATCH(D221,Type!A:A,0))</f>
        <v>v()</v>
      </c>
    </row>
    <row r="222" spans="1:8" x14ac:dyDescent="0.55000000000000004">
      <c r="A222" s="1">
        <v>224</v>
      </c>
      <c r="B222" s="1" t="s">
        <v>441</v>
      </c>
      <c r="C222" s="1" t="s">
        <v>1209</v>
      </c>
      <c r="D222" s="1" t="s">
        <v>442</v>
      </c>
      <c r="E222" t="s">
        <v>1215</v>
      </c>
      <c r="H222" s="2" t="str">
        <f>INDEX(Type!I:I,MATCH(D222,Type!A:A,0))</f>
        <v>v(v)</v>
      </c>
    </row>
    <row r="223" spans="1:8" x14ac:dyDescent="0.55000000000000004">
      <c r="A223" s="1">
        <v>225</v>
      </c>
      <c r="B223" s="1" t="s">
        <v>443</v>
      </c>
      <c r="C223" s="1" t="s">
        <v>1209</v>
      </c>
      <c r="D223" s="1" t="s">
        <v>444</v>
      </c>
      <c r="H223" s="2" t="str">
        <f>INDEX(Type!I:I,MATCH(D223,Type!A:A,0))</f>
        <v>v()</v>
      </c>
    </row>
    <row r="224" spans="1:8" x14ac:dyDescent="0.55000000000000004">
      <c r="A224" s="1">
        <v>226</v>
      </c>
      <c r="B224" s="1" t="s">
        <v>445</v>
      </c>
      <c r="C224" s="1" t="s">
        <v>1209</v>
      </c>
      <c r="D224" s="1" t="s">
        <v>446</v>
      </c>
      <c r="E224" t="s">
        <v>2415</v>
      </c>
      <c r="H224" s="2" t="str">
        <f>INDEX(Type!I:I,MATCH(D224,Type!A:A,0))</f>
        <v>v(v, [vr], [vr])</v>
      </c>
    </row>
    <row r="225" spans="1:8" x14ac:dyDescent="0.55000000000000004">
      <c r="A225" s="1">
        <v>227</v>
      </c>
      <c r="B225" s="1" t="s">
        <v>447</v>
      </c>
      <c r="C225" s="1" t="s">
        <v>1199</v>
      </c>
      <c r="D225" s="1" t="s">
        <v>448</v>
      </c>
      <c r="E225" t="s">
        <v>2324</v>
      </c>
      <c r="H225" s="2" t="str">
        <f>INDEX(Type!I:I,MATCH(D225,Type!A:A,0))</f>
        <v>v(var, [var], …)</v>
      </c>
    </row>
    <row r="226" spans="1:8" x14ac:dyDescent="0.55000000000000004">
      <c r="A226" s="1">
        <v>228</v>
      </c>
      <c r="B226" s="1" t="s">
        <v>449</v>
      </c>
      <c r="C226" s="1" t="s">
        <v>1194</v>
      </c>
      <c r="D226" s="1" t="s">
        <v>450</v>
      </c>
      <c r="E226" t="s">
        <v>2416</v>
      </c>
      <c r="H226" s="2" t="str">
        <f>INDEX(Type!I:I,MATCH(D226,Type!A:A,0))</f>
        <v>v(a, [a], [a], …)</v>
      </c>
    </row>
    <row r="227" spans="1:8" x14ac:dyDescent="0.55000000000000004">
      <c r="A227" s="1">
        <v>229</v>
      </c>
      <c r="B227" s="1" t="s">
        <v>451</v>
      </c>
      <c r="C227" s="1" t="s">
        <v>1194</v>
      </c>
      <c r="D227" s="1" t="s">
        <v>452</v>
      </c>
      <c r="E227" t="s">
        <v>1223</v>
      </c>
      <c r="H227" s="2" t="str">
        <f>INDEX(Type!I:I,MATCH(D227,Type!A:A,0))</f>
        <v>v(v)</v>
      </c>
    </row>
    <row r="228" spans="1:8" x14ac:dyDescent="0.55000000000000004">
      <c r="A228" s="1">
        <v>230</v>
      </c>
      <c r="B228" s="1" t="s">
        <v>453</v>
      </c>
      <c r="C228" s="1" t="s">
        <v>1194</v>
      </c>
      <c r="D228" s="1" t="s">
        <v>454</v>
      </c>
      <c r="E228" t="s">
        <v>1223</v>
      </c>
      <c r="H228" s="2" t="str">
        <f>INDEX(Type!I:I,MATCH(D228,Type!A:A,0))</f>
        <v>v(v)</v>
      </c>
    </row>
    <row r="229" spans="1:8" x14ac:dyDescent="0.55000000000000004">
      <c r="A229" s="1">
        <v>231</v>
      </c>
      <c r="B229" s="1" t="s">
        <v>455</v>
      </c>
      <c r="C229" s="1" t="s">
        <v>1194</v>
      </c>
      <c r="D229" s="1" t="s">
        <v>456</v>
      </c>
      <c r="E229" t="s">
        <v>1223</v>
      </c>
      <c r="H229" s="2" t="str">
        <f>INDEX(Type!I:I,MATCH(D229,Type!A:A,0))</f>
        <v>v(v)</v>
      </c>
    </row>
    <row r="230" spans="1:8" x14ac:dyDescent="0.55000000000000004">
      <c r="A230" s="1">
        <v>232</v>
      </c>
      <c r="B230" s="1" t="s">
        <v>457</v>
      </c>
      <c r="C230" s="1" t="s">
        <v>1194</v>
      </c>
      <c r="D230" s="1" t="s">
        <v>458</v>
      </c>
      <c r="E230" t="s">
        <v>1223</v>
      </c>
      <c r="H230" s="2" t="str">
        <f>INDEX(Type!I:I,MATCH(D230,Type!A:A,0))</f>
        <v>v(v)</v>
      </c>
    </row>
    <row r="231" spans="1:8" x14ac:dyDescent="0.55000000000000004">
      <c r="A231" s="1">
        <v>233</v>
      </c>
      <c r="B231" s="1" t="s">
        <v>459</v>
      </c>
      <c r="C231" s="1" t="s">
        <v>1194</v>
      </c>
      <c r="D231" s="1" t="s">
        <v>460</v>
      </c>
      <c r="E231" t="s">
        <v>1223</v>
      </c>
      <c r="H231" s="2" t="str">
        <f>INDEX(Type!I:I,MATCH(D231,Type!A:A,0))</f>
        <v>v(v)</v>
      </c>
    </row>
    <row r="232" spans="1:8" x14ac:dyDescent="0.55000000000000004">
      <c r="A232" s="1">
        <v>234</v>
      </c>
      <c r="B232" s="1" t="s">
        <v>461</v>
      </c>
      <c r="C232" s="1" t="s">
        <v>1194</v>
      </c>
      <c r="D232" s="1" t="s">
        <v>462</v>
      </c>
      <c r="E232" t="s">
        <v>1223</v>
      </c>
      <c r="H232" s="2" t="str">
        <f>INDEX(Type!I:I,MATCH(D232,Type!A:A,0))</f>
        <v>v(v)</v>
      </c>
    </row>
    <row r="233" spans="1:8" x14ac:dyDescent="0.55000000000000004">
      <c r="A233" s="1">
        <v>235</v>
      </c>
      <c r="B233" s="1" t="s">
        <v>463</v>
      </c>
      <c r="C233" s="1" t="s">
        <v>1206</v>
      </c>
      <c r="D233" s="1" t="s">
        <v>464</v>
      </c>
      <c r="E233" t="s">
        <v>2335</v>
      </c>
      <c r="H233" s="2" t="str">
        <f>INDEX(Type!I:I,MATCH(D233,Type!A:A,0))</f>
        <v>v(r, vr, vr)</v>
      </c>
    </row>
    <row r="234" spans="1:8" x14ac:dyDescent="0.55000000000000004">
      <c r="A234" s="1">
        <v>236</v>
      </c>
      <c r="B234" s="1" t="s">
        <v>465</v>
      </c>
      <c r="C234" s="1" t="s">
        <v>1209</v>
      </c>
      <c r="D234" s="1" t="s">
        <v>466</v>
      </c>
      <c r="E234" t="s">
        <v>2417</v>
      </c>
      <c r="H234" s="2" t="str">
        <f>INDEX(Type!I:I,MATCH(D234,Type!A:A,0))</f>
        <v>v(v, vr, [vr], [vr], [vr], [vr], [vr], [var], [vr], [vr])</v>
      </c>
    </row>
    <row r="235" spans="1:8" x14ac:dyDescent="0.55000000000000004">
      <c r="A235" s="1">
        <v>237</v>
      </c>
      <c r="B235" s="1" t="s">
        <v>467</v>
      </c>
      <c r="C235" s="1" t="s">
        <v>1209</v>
      </c>
      <c r="D235" s="1" t="s">
        <v>468</v>
      </c>
      <c r="E235" t="s">
        <v>1239</v>
      </c>
      <c r="H235" s="2" t="str">
        <f>INDEX(Type!I:I,MATCH(D235,Type!A:A,0))</f>
        <v>v([v])</v>
      </c>
    </row>
    <row r="236" spans="1:8" x14ac:dyDescent="0.55000000000000004">
      <c r="A236" s="1">
        <v>238</v>
      </c>
      <c r="B236" s="1" t="s">
        <v>469</v>
      </c>
      <c r="C236" s="1" t="s">
        <v>1209</v>
      </c>
      <c r="D236" s="1" t="s">
        <v>470</v>
      </c>
      <c r="H236" s="2" t="str">
        <f>INDEX(Type!I:I,MATCH(D236,Type!A:A,0))</f>
        <v>r()</v>
      </c>
    </row>
    <row r="237" spans="1:8" x14ac:dyDescent="0.55000000000000004">
      <c r="A237" s="1">
        <v>239</v>
      </c>
      <c r="B237" s="1" t="s">
        <v>471</v>
      </c>
      <c r="C237" s="1" t="s">
        <v>1209</v>
      </c>
      <c r="D237" s="1" t="s">
        <v>472</v>
      </c>
      <c r="E237" t="s">
        <v>2418</v>
      </c>
      <c r="H237" s="2" t="str">
        <f>INDEX(Type!I:I,MATCH(D237,Type!A:A,0))</f>
        <v>v([v], [v])</v>
      </c>
    </row>
    <row r="238" spans="1:8" x14ac:dyDescent="0.55000000000000004">
      <c r="A238" s="1">
        <v>240</v>
      </c>
      <c r="B238" s="1" t="s">
        <v>473</v>
      </c>
      <c r="C238" s="1" t="s">
        <v>1209</v>
      </c>
      <c r="D238" s="1" t="s">
        <v>474</v>
      </c>
      <c r="E238" t="s">
        <v>2419</v>
      </c>
      <c r="H238" s="2" t="str">
        <f>INDEX(Type!I:I,MATCH(D238,Type!A:A,0))</f>
        <v>v([v], [v], [v])</v>
      </c>
    </row>
    <row r="239" spans="1:8" x14ac:dyDescent="0.55000000000000004">
      <c r="A239" s="1">
        <v>241</v>
      </c>
      <c r="B239" s="1" t="s">
        <v>475</v>
      </c>
      <c r="C239" s="1" t="s">
        <v>1209</v>
      </c>
      <c r="D239" s="1" t="s">
        <v>476</v>
      </c>
      <c r="E239" t="s">
        <v>2420</v>
      </c>
      <c r="H239" s="2" t="str">
        <f>INDEX(Type!I:I,MATCH(D239,Type!A:A,0))</f>
        <v>v(v, vr, [vr], [vr], [vr])</v>
      </c>
    </row>
    <row r="240" spans="1:8" x14ac:dyDescent="0.55000000000000004">
      <c r="A240" s="1">
        <v>242</v>
      </c>
      <c r="B240" s="1" t="s">
        <v>477</v>
      </c>
      <c r="C240" s="1" t="s">
        <v>1209</v>
      </c>
      <c r="D240" s="1" t="s">
        <v>478</v>
      </c>
      <c r="E240" t="s">
        <v>2421</v>
      </c>
      <c r="H240" s="2" t="str">
        <f>INDEX(Type!I:I,MATCH(D240,Type!A:A,0))</f>
        <v>v(v, v, [v], [v])</v>
      </c>
    </row>
    <row r="241" spans="1:8" x14ac:dyDescent="0.55000000000000004">
      <c r="A241" s="1">
        <v>243</v>
      </c>
      <c r="B241" s="1" t="s">
        <v>479</v>
      </c>
      <c r="C241" s="1" t="s">
        <v>1209</v>
      </c>
      <c r="D241" s="1" t="s">
        <v>480</v>
      </c>
      <c r="E241" t="s">
        <v>2422</v>
      </c>
      <c r="H241" s="2" t="str">
        <f>INDEX(Type!I:I,MATCH(D241,Type!A:A,0))</f>
        <v>v(v, [v], [v], [v])</v>
      </c>
    </row>
    <row r="242" spans="1:8" x14ac:dyDescent="0.55000000000000004">
      <c r="A242" s="1">
        <v>244</v>
      </c>
      <c r="B242" s="1" t="s">
        <v>481</v>
      </c>
      <c r="C242" s="1" t="s">
        <v>1203</v>
      </c>
      <c r="D242" s="1" t="s">
        <v>482</v>
      </c>
      <c r="E242" t="s">
        <v>1312</v>
      </c>
      <c r="H242" s="2" t="str">
        <f>INDEX(Type!I:I,MATCH(D242,Type!A:A,0))</f>
        <v>v(v)</v>
      </c>
    </row>
    <row r="243" spans="1:8" x14ac:dyDescent="0.55000000000000004">
      <c r="A243" s="1">
        <v>245</v>
      </c>
      <c r="B243" s="1" t="s">
        <v>483</v>
      </c>
      <c r="C243" s="1" t="s">
        <v>1209</v>
      </c>
      <c r="D243" s="1" t="s">
        <v>484</v>
      </c>
      <c r="H243" s="2" t="str">
        <f>INDEX(Type!I:I,MATCH(D243,Type!A:A,0))</f>
        <v>v()</v>
      </c>
    </row>
    <row r="244" spans="1:8" x14ac:dyDescent="0.55000000000000004">
      <c r="A244" s="1">
        <v>246</v>
      </c>
      <c r="B244" s="1" t="s">
        <v>485</v>
      </c>
      <c r="C244" s="1" t="s">
        <v>1209</v>
      </c>
      <c r="D244" s="1" t="s">
        <v>486</v>
      </c>
      <c r="E244" t="s">
        <v>2423</v>
      </c>
      <c r="H244" s="2" t="str">
        <f>INDEX(Type!I:I,MATCH(D244,Type!A:A,0))</f>
        <v>va(v, [v], [v], [v], [v])</v>
      </c>
    </row>
    <row r="245" spans="1:8" x14ac:dyDescent="0.55000000000000004">
      <c r="A245" s="1">
        <v>247</v>
      </c>
      <c r="B245" s="1" t="s">
        <v>487</v>
      </c>
      <c r="C245" s="1" t="s">
        <v>1195</v>
      </c>
      <c r="D245" s="1" t="s">
        <v>488</v>
      </c>
      <c r="E245" t="s">
        <v>2424</v>
      </c>
      <c r="H245" s="2" t="str">
        <f>INDEX(Type!I:I,MATCH(D245,Type!A:A,0))</f>
        <v>v(v, v, v, v, [v])</v>
      </c>
    </row>
    <row r="246" spans="1:8" x14ac:dyDescent="0.55000000000000004">
      <c r="A246" s="1">
        <v>248</v>
      </c>
      <c r="B246" s="1" t="s">
        <v>489</v>
      </c>
      <c r="C246" s="1" t="s">
        <v>1209</v>
      </c>
      <c r="D246" s="1" t="s">
        <v>490</v>
      </c>
      <c r="E246" t="s">
        <v>2028</v>
      </c>
      <c r="H246" s="2" t="str">
        <f>INDEX(Type!I:I,MATCH(D246,Type!A:A,0))</f>
        <v>v([v])</v>
      </c>
    </row>
    <row r="247" spans="1:8" x14ac:dyDescent="0.55000000000000004">
      <c r="A247" s="1">
        <v>251</v>
      </c>
      <c r="B247" s="1" t="s">
        <v>491</v>
      </c>
      <c r="C247" s="1" t="s">
        <v>1209</v>
      </c>
      <c r="D247" s="1" t="s">
        <v>492</v>
      </c>
      <c r="E247" t="s">
        <v>1921</v>
      </c>
      <c r="H247" s="2" t="str">
        <f>INDEX(Type!I:I,MATCH(D247,Type!A:A,0))</f>
        <v>v([v])</v>
      </c>
    </row>
    <row r="248" spans="1:8" x14ac:dyDescent="0.55000000000000004">
      <c r="A248" s="1">
        <v>252</v>
      </c>
      <c r="B248" s="1" t="s">
        <v>493</v>
      </c>
      <c r="C248" s="1" t="s">
        <v>1199</v>
      </c>
      <c r="D248" s="1" t="s">
        <v>494</v>
      </c>
      <c r="E248" t="s">
        <v>2425</v>
      </c>
      <c r="H248" s="2" t="str">
        <f>INDEX(Type!I:I,MATCH(D248,Type!A:A,0))</f>
        <v>a(ar, ar)</v>
      </c>
    </row>
    <row r="249" spans="1:8" x14ac:dyDescent="0.55000000000000004">
      <c r="A249" s="1">
        <v>253</v>
      </c>
      <c r="B249" s="1" t="s">
        <v>495</v>
      </c>
      <c r="C249" s="1" t="s">
        <v>1209</v>
      </c>
      <c r="D249" s="1" t="s">
        <v>496</v>
      </c>
      <c r="E249" t="s">
        <v>2426</v>
      </c>
      <c r="H249" s="2" t="str">
        <f>INDEX(Type!I:I,MATCH(D249,Type!A:A,0))</f>
        <v>v([v], [a])</v>
      </c>
    </row>
    <row r="250" spans="1:8" x14ac:dyDescent="0.55000000000000004">
      <c r="A250" s="1">
        <v>254</v>
      </c>
      <c r="B250" s="1" t="s">
        <v>497</v>
      </c>
      <c r="C250" s="1" t="s">
        <v>1209</v>
      </c>
      <c r="D250" s="1" t="s">
        <v>498</v>
      </c>
      <c r="E250" t="s">
        <v>1980</v>
      </c>
      <c r="H250" s="2" t="str">
        <f>INDEX(Type!I:I,MATCH(D250,Type!A:A,0))</f>
        <v>v(v)</v>
      </c>
    </row>
    <row r="251" spans="1:8" x14ac:dyDescent="0.55000000000000004">
      <c r="A251" s="1">
        <v>256</v>
      </c>
      <c r="B251" s="1" t="s">
        <v>499</v>
      </c>
      <c r="C251" s="1" t="s">
        <v>1209</v>
      </c>
      <c r="D251" s="1" t="s">
        <v>500</v>
      </c>
      <c r="E251" t="s">
        <v>1981</v>
      </c>
      <c r="H251" s="2" t="str">
        <f>INDEX(Type!I:I,MATCH(D251,Type!A:A,0))</f>
        <v>v(v)</v>
      </c>
    </row>
    <row r="252" spans="1:8" x14ac:dyDescent="0.55000000000000004">
      <c r="A252" s="1">
        <v>257</v>
      </c>
      <c r="B252" s="1" t="s">
        <v>501</v>
      </c>
      <c r="C252" s="1" t="s">
        <v>1209</v>
      </c>
      <c r="D252" s="1" t="s">
        <v>502</v>
      </c>
      <c r="E252" t="s">
        <v>1972</v>
      </c>
      <c r="H252" s="2" t="str">
        <f>INDEX(Type!I:I,MATCH(D252,Type!A:A,0))</f>
        <v>var(v)</v>
      </c>
    </row>
    <row r="253" spans="1:8" x14ac:dyDescent="0.55000000000000004">
      <c r="A253" s="1">
        <v>258</v>
      </c>
      <c r="B253" s="1" t="s">
        <v>503</v>
      </c>
      <c r="C253" s="1" t="s">
        <v>1209</v>
      </c>
      <c r="D253" s="1" t="s">
        <v>504</v>
      </c>
      <c r="E253" t="s">
        <v>2427</v>
      </c>
      <c r="H253" s="2" t="str">
        <f>INDEX(Type!I:I,MATCH(D253,Type!A:A,0))</f>
        <v>va(v, [v])</v>
      </c>
    </row>
    <row r="254" spans="1:8" x14ac:dyDescent="0.55000000000000004">
      <c r="A254" s="1">
        <v>259</v>
      </c>
      <c r="B254" s="1" t="s">
        <v>505</v>
      </c>
      <c r="C254" s="1" t="s">
        <v>1209</v>
      </c>
      <c r="D254" s="1" t="s">
        <v>506</v>
      </c>
      <c r="E254" t="s">
        <v>2428</v>
      </c>
      <c r="H254" s="2" t="str">
        <f>INDEX(Type!I:I,MATCH(D254,Type!A:A,0))</f>
        <v>va(v, [v], [v])</v>
      </c>
    </row>
    <row r="255" spans="1:8" x14ac:dyDescent="0.55000000000000004">
      <c r="A255" s="1">
        <v>260</v>
      </c>
      <c r="B255" s="1" t="s">
        <v>507</v>
      </c>
      <c r="C255" s="1" t="s">
        <v>1209</v>
      </c>
      <c r="D255" s="1" t="s">
        <v>508</v>
      </c>
      <c r="E255" t="s">
        <v>2429</v>
      </c>
      <c r="H255" s="2" t="str">
        <f>INDEX(Type!I:I,MATCH(D255,Type!A:A,0))</f>
        <v>v(v, [v], [v])</v>
      </c>
    </row>
    <row r="256" spans="1:8" x14ac:dyDescent="0.55000000000000004">
      <c r="A256" s="1">
        <v>261</v>
      </c>
      <c r="B256" s="1" t="s">
        <v>509</v>
      </c>
      <c r="C256" s="1" t="s">
        <v>1203</v>
      </c>
      <c r="D256" s="1" t="s">
        <v>510</v>
      </c>
      <c r="E256" t="s">
        <v>1315</v>
      </c>
      <c r="H256" s="2" t="str">
        <f>INDEX(Type!I:I,MATCH(D256,Type!A:A,0))</f>
        <v>v(v)</v>
      </c>
    </row>
    <row r="257" spans="1:8" x14ac:dyDescent="0.55000000000000004">
      <c r="A257" s="1">
        <v>262</v>
      </c>
      <c r="B257" s="1" t="s">
        <v>511</v>
      </c>
      <c r="C257" s="1" t="s">
        <v>1209</v>
      </c>
      <c r="D257" s="1" t="s">
        <v>512</v>
      </c>
      <c r="E257" t="s">
        <v>1233</v>
      </c>
      <c r="H257" s="2" t="str">
        <f>INDEX(Type!I:I,MATCH(D257,Type!A:A,0))</f>
        <v>v([v])</v>
      </c>
    </row>
    <row r="258" spans="1:8" x14ac:dyDescent="0.55000000000000004">
      <c r="A258" s="1">
        <v>263</v>
      </c>
      <c r="B258" s="1" t="s">
        <v>513</v>
      </c>
      <c r="C258" s="1" t="s">
        <v>1209</v>
      </c>
      <c r="D258" s="1" t="s">
        <v>514</v>
      </c>
      <c r="E258" t="s">
        <v>1233</v>
      </c>
      <c r="H258" s="2" t="str">
        <f>INDEX(Type!I:I,MATCH(D258,Type!A:A,0))</f>
        <v>v([v])</v>
      </c>
    </row>
    <row r="259" spans="1:8" x14ac:dyDescent="0.55000000000000004">
      <c r="A259" s="1">
        <v>264</v>
      </c>
      <c r="B259" s="1" t="s">
        <v>515</v>
      </c>
      <c r="C259" s="1" t="s">
        <v>1209</v>
      </c>
      <c r="D259" s="1" t="s">
        <v>516</v>
      </c>
      <c r="E259" t="s">
        <v>2430</v>
      </c>
      <c r="H259" s="2" t="str">
        <f>INDEX(Type!I:I,MATCH(D259,Type!A:A,0))</f>
        <v>v([va], [v])</v>
      </c>
    </row>
    <row r="260" spans="1:8" x14ac:dyDescent="0.55000000000000004">
      <c r="A260" s="1">
        <v>265</v>
      </c>
      <c r="B260" s="1" t="s">
        <v>517</v>
      </c>
      <c r="C260" s="1" t="s">
        <v>1209</v>
      </c>
      <c r="D260" s="1" t="s">
        <v>518</v>
      </c>
      <c r="E260" t="s">
        <v>2431</v>
      </c>
      <c r="H260" s="2" t="str">
        <f>INDEX(Type!I:I,MATCH(D260,Type!A:A,0))</f>
        <v>v(v, v, v)</v>
      </c>
    </row>
    <row r="261" spans="1:8" x14ac:dyDescent="0.55000000000000004">
      <c r="A261" s="1">
        <v>266</v>
      </c>
      <c r="B261" s="1" t="s">
        <v>519</v>
      </c>
      <c r="C261" s="1" t="s">
        <v>1209</v>
      </c>
      <c r="D261" s="1" t="s">
        <v>520</v>
      </c>
      <c r="E261" t="s">
        <v>2432</v>
      </c>
      <c r="H261" s="2" t="str">
        <f>INDEX(Type!I:I,MATCH(D261,Type!A:A,0))</f>
        <v>v(v, v, v)</v>
      </c>
    </row>
    <row r="262" spans="1:8" x14ac:dyDescent="0.55000000000000004">
      <c r="A262" s="1">
        <v>267</v>
      </c>
      <c r="B262" s="1" t="s">
        <v>521</v>
      </c>
      <c r="C262" s="1" t="s">
        <v>1202</v>
      </c>
      <c r="D262" s="1" t="s">
        <v>522</v>
      </c>
      <c r="E262" t="s">
        <v>2433</v>
      </c>
      <c r="H262" s="2" t="str">
        <f>INDEX(Type!I:I,MATCH(D262,Type!A:A,0))</f>
        <v>v(v, v, [v])</v>
      </c>
    </row>
    <row r="263" spans="1:8" x14ac:dyDescent="0.55000000000000004">
      <c r="A263" s="1">
        <v>268</v>
      </c>
      <c r="B263" s="1" t="s">
        <v>523</v>
      </c>
      <c r="C263" s="1" t="s">
        <v>1209</v>
      </c>
      <c r="D263" s="1" t="s">
        <v>524</v>
      </c>
      <c r="E263" t="s">
        <v>2405</v>
      </c>
      <c r="H263" s="2" t="str">
        <f>INDEX(Type!I:I,MATCH(D263,Type!A:A,0))</f>
        <v>va(v, [v])</v>
      </c>
    </row>
    <row r="264" spans="1:8" x14ac:dyDescent="0.55000000000000004">
      <c r="A264" s="1">
        <v>269</v>
      </c>
      <c r="B264" s="1" t="s">
        <v>525</v>
      </c>
      <c r="C264" s="1" t="s">
        <v>1199</v>
      </c>
      <c r="D264" s="1" t="s">
        <v>526</v>
      </c>
      <c r="E264" t="s">
        <v>2324</v>
      </c>
      <c r="H264" s="2" t="str">
        <f>INDEX(Type!I:I,MATCH(D264,Type!A:A,0))</f>
        <v>v(var, [var], …)</v>
      </c>
    </row>
    <row r="265" spans="1:8" x14ac:dyDescent="0.55000000000000004">
      <c r="A265" s="1">
        <v>270</v>
      </c>
      <c r="B265" s="1" t="s">
        <v>527</v>
      </c>
      <c r="C265" s="1" t="s">
        <v>1201</v>
      </c>
      <c r="D265" s="1" t="s">
        <v>528</v>
      </c>
      <c r="E265" t="s">
        <v>2434</v>
      </c>
      <c r="H265" s="2" t="str">
        <f>INDEX(Type!I:I,MATCH(D265,Type!A:A,0))</f>
        <v>v(v, v, v, [v], [v])</v>
      </c>
    </row>
    <row r="266" spans="1:8" x14ac:dyDescent="0.55000000000000004">
      <c r="A266" s="1">
        <v>271</v>
      </c>
      <c r="B266" s="1" t="s">
        <v>529</v>
      </c>
      <c r="C266" s="1" t="s">
        <v>1199</v>
      </c>
      <c r="D266" s="1" t="s">
        <v>530</v>
      </c>
      <c r="E266" t="s">
        <v>1316</v>
      </c>
      <c r="H266" s="2" t="str">
        <f>INDEX(Type!I:I,MATCH(D266,Type!A:A,0))</f>
        <v>v(v)</v>
      </c>
    </row>
    <row r="267" spans="1:8" x14ac:dyDescent="0.55000000000000004">
      <c r="A267" s="1">
        <v>272</v>
      </c>
      <c r="B267" s="1" t="s">
        <v>531</v>
      </c>
      <c r="C267" s="1" t="s">
        <v>1201</v>
      </c>
      <c r="D267" s="1" t="s">
        <v>532</v>
      </c>
      <c r="E267" t="s">
        <v>2435</v>
      </c>
      <c r="H267" s="2" t="str">
        <f>INDEX(Type!I:I,MATCH(D267,Type!A:A,0))</f>
        <v>v(v, v, v, [v], [v])</v>
      </c>
    </row>
    <row r="268" spans="1:8" x14ac:dyDescent="0.55000000000000004">
      <c r="A268" s="1">
        <v>273</v>
      </c>
      <c r="B268" s="1" t="s">
        <v>533</v>
      </c>
      <c r="C268" s="1" t="s">
        <v>1201</v>
      </c>
      <c r="D268" s="1" t="s">
        <v>534</v>
      </c>
      <c r="E268" t="s">
        <v>2436</v>
      </c>
      <c r="H268" s="2" t="str">
        <f>INDEX(Type!I:I,MATCH(D268,Type!A:A,0))</f>
        <v>v(v, v, v, v)</v>
      </c>
    </row>
    <row r="269" spans="1:8" x14ac:dyDescent="0.55000000000000004">
      <c r="A269" s="1">
        <v>274</v>
      </c>
      <c r="B269" s="1" t="s">
        <v>535</v>
      </c>
      <c r="C269" s="1" t="s">
        <v>1201</v>
      </c>
      <c r="D269" s="1" t="s">
        <v>536</v>
      </c>
      <c r="E269" t="s">
        <v>2437</v>
      </c>
      <c r="H269" s="2" t="str">
        <f>INDEX(Type!I:I,MATCH(D269,Type!A:A,0))</f>
        <v>v(v, v)</v>
      </c>
    </row>
    <row r="270" spans="1:8" x14ac:dyDescent="0.55000000000000004">
      <c r="A270" s="1">
        <v>275</v>
      </c>
      <c r="B270" s="1" t="s">
        <v>537</v>
      </c>
      <c r="C270" s="1" t="s">
        <v>1201</v>
      </c>
      <c r="D270" s="1" t="s">
        <v>538</v>
      </c>
      <c r="E270" t="s">
        <v>2438</v>
      </c>
      <c r="H270" s="2" t="str">
        <f>INDEX(Type!I:I,MATCH(D270,Type!A:A,0))</f>
        <v>v(v, v)</v>
      </c>
    </row>
    <row r="271" spans="1:8" x14ac:dyDescent="0.55000000000000004">
      <c r="A271" s="1">
        <v>276</v>
      </c>
      <c r="B271" s="1" t="s">
        <v>539</v>
      </c>
      <c r="C271" s="1" t="s">
        <v>1194</v>
      </c>
      <c r="D271" s="1" t="s">
        <v>540</v>
      </c>
      <c r="E271" t="s">
        <v>2439</v>
      </c>
      <c r="H271" s="2" t="str">
        <f>INDEX(Type!I:I,MATCH(D271,Type!A:A,0))</f>
        <v>v(v, v)</v>
      </c>
    </row>
    <row r="272" spans="1:8" x14ac:dyDescent="0.55000000000000004">
      <c r="A272" s="1">
        <v>277</v>
      </c>
      <c r="B272" s="1" t="s">
        <v>541</v>
      </c>
      <c r="C272" s="1" t="s">
        <v>1201</v>
      </c>
      <c r="D272" s="1" t="s">
        <v>542</v>
      </c>
      <c r="E272" t="s">
        <v>2440</v>
      </c>
      <c r="H272" s="2" t="str">
        <f>INDEX(Type!I:I,MATCH(D272,Type!A:A,0))</f>
        <v>v(v, v, v)</v>
      </c>
    </row>
    <row r="273" spans="1:8" x14ac:dyDescent="0.55000000000000004">
      <c r="A273" s="1">
        <v>278</v>
      </c>
      <c r="B273" s="1" t="s">
        <v>543</v>
      </c>
      <c r="C273" s="1" t="s">
        <v>1201</v>
      </c>
      <c r="D273" s="1" t="s">
        <v>544</v>
      </c>
      <c r="E273" t="s">
        <v>2441</v>
      </c>
      <c r="H273" s="2" t="str">
        <f>INDEX(Type!I:I,MATCH(D273,Type!A:A,0))</f>
        <v>v(v, v, v)</v>
      </c>
    </row>
    <row r="274" spans="1:8" x14ac:dyDescent="0.55000000000000004">
      <c r="A274" s="1">
        <v>279</v>
      </c>
      <c r="B274" s="1" t="s">
        <v>545</v>
      </c>
      <c r="C274" s="1" t="s">
        <v>1194</v>
      </c>
      <c r="D274" s="1" t="s">
        <v>546</v>
      </c>
      <c r="E274" t="s">
        <v>1223</v>
      </c>
      <c r="H274" s="2" t="str">
        <f>INDEX(Type!I:I,MATCH(D274,Type!A:A,0))</f>
        <v>v(v)</v>
      </c>
    </row>
    <row r="275" spans="1:8" x14ac:dyDescent="0.55000000000000004">
      <c r="A275" s="1">
        <v>280</v>
      </c>
      <c r="B275" s="1" t="s">
        <v>547</v>
      </c>
      <c r="C275" s="1" t="s">
        <v>1201</v>
      </c>
      <c r="D275" s="1" t="s">
        <v>548</v>
      </c>
      <c r="E275" t="s">
        <v>2442</v>
      </c>
      <c r="H275" s="2" t="str">
        <f>INDEX(Type!I:I,MATCH(D275,Type!A:A,0))</f>
        <v>v(v, v, v)</v>
      </c>
    </row>
    <row r="276" spans="1:8" x14ac:dyDescent="0.55000000000000004">
      <c r="A276" s="1">
        <v>281</v>
      </c>
      <c r="B276" s="1" t="s">
        <v>549</v>
      </c>
      <c r="C276" s="1" t="s">
        <v>1201</v>
      </c>
      <c r="D276" s="1" t="s">
        <v>550</v>
      </c>
      <c r="E276" t="s">
        <v>2443</v>
      </c>
      <c r="H276" s="2" t="str">
        <f>INDEX(Type!I:I,MATCH(D276,Type!A:A,0))</f>
        <v>v(v, v, v)</v>
      </c>
    </row>
    <row r="277" spans="1:8" x14ac:dyDescent="0.55000000000000004">
      <c r="A277" s="1">
        <v>282</v>
      </c>
      <c r="B277" s="1" t="s">
        <v>551</v>
      </c>
      <c r="C277" s="1" t="s">
        <v>1199</v>
      </c>
      <c r="D277" s="1" t="s">
        <v>552</v>
      </c>
      <c r="E277" t="s">
        <v>2444</v>
      </c>
      <c r="H277" s="2" t="str">
        <f>INDEX(Type!I:I,MATCH(D277,Type!A:A,0))</f>
        <v>v(v, v, v)</v>
      </c>
    </row>
    <row r="278" spans="1:8" x14ac:dyDescent="0.55000000000000004">
      <c r="A278" s="1">
        <v>283</v>
      </c>
      <c r="B278" s="1" t="s">
        <v>553</v>
      </c>
      <c r="C278" s="1" t="s">
        <v>1199</v>
      </c>
      <c r="D278" s="1" t="s">
        <v>554</v>
      </c>
      <c r="E278" t="s">
        <v>1316</v>
      </c>
      <c r="H278" s="2" t="str">
        <f>INDEX(Type!I:I,MATCH(D278,Type!A:A,0))</f>
        <v>v(v)</v>
      </c>
    </row>
    <row r="279" spans="1:8" x14ac:dyDescent="0.55000000000000004">
      <c r="A279" s="1">
        <v>284</v>
      </c>
      <c r="B279" s="1" t="s">
        <v>555</v>
      </c>
      <c r="C279" s="1" t="s">
        <v>1199</v>
      </c>
      <c r="D279" s="1" t="s">
        <v>556</v>
      </c>
      <c r="E279" t="s">
        <v>1333</v>
      </c>
      <c r="H279" s="2" t="str">
        <f>INDEX(Type!I:I,MATCH(D279,Type!A:A,0))</f>
        <v>v(v)</v>
      </c>
    </row>
    <row r="280" spans="1:8" x14ac:dyDescent="0.55000000000000004">
      <c r="A280" s="1">
        <v>285</v>
      </c>
      <c r="B280" s="1" t="s">
        <v>557</v>
      </c>
      <c r="C280" s="1" t="s">
        <v>1201</v>
      </c>
      <c r="D280" s="1" t="s">
        <v>558</v>
      </c>
      <c r="E280" t="s">
        <v>2445</v>
      </c>
      <c r="H280" s="2" t="str">
        <f>INDEX(Type!I:I,MATCH(D280,Type!A:A,0))</f>
        <v>v(v, v)</v>
      </c>
    </row>
    <row r="281" spans="1:8" x14ac:dyDescent="0.55000000000000004">
      <c r="A281" s="1">
        <v>286</v>
      </c>
      <c r="B281" s="1" t="s">
        <v>559</v>
      </c>
      <c r="C281" s="1" t="s">
        <v>1201</v>
      </c>
      <c r="D281" s="1" t="s">
        <v>560</v>
      </c>
      <c r="E281" t="s">
        <v>2446</v>
      </c>
      <c r="H281" s="2" t="str">
        <f>INDEX(Type!I:I,MATCH(D281,Type!A:A,0))</f>
        <v>v(v, v, v, v)</v>
      </c>
    </row>
    <row r="282" spans="1:8" x14ac:dyDescent="0.55000000000000004">
      <c r="A282" s="1">
        <v>287</v>
      </c>
      <c r="B282" s="1" t="s">
        <v>561</v>
      </c>
      <c r="C282" s="1" t="s">
        <v>1201</v>
      </c>
      <c r="D282" s="1" t="s">
        <v>562</v>
      </c>
      <c r="E282" t="s">
        <v>2447</v>
      </c>
      <c r="H282" s="2" t="str">
        <f>INDEX(Type!I:I,MATCH(D282,Type!A:A,0))</f>
        <v>v(v, v, v)</v>
      </c>
    </row>
    <row r="283" spans="1:8" x14ac:dyDescent="0.55000000000000004">
      <c r="A283" s="1">
        <v>288</v>
      </c>
      <c r="B283" s="1" t="s">
        <v>563</v>
      </c>
      <c r="C283" s="1" t="s">
        <v>1194</v>
      </c>
      <c r="D283" s="1" t="s">
        <v>564</v>
      </c>
      <c r="E283" t="s">
        <v>2445</v>
      </c>
      <c r="H283" s="2" t="str">
        <f>INDEX(Type!I:I,MATCH(D283,Type!A:A,0))</f>
        <v>v(v, v)</v>
      </c>
    </row>
    <row r="284" spans="1:8" x14ac:dyDescent="0.55000000000000004">
      <c r="A284" s="1">
        <v>289</v>
      </c>
      <c r="B284" s="1" t="s">
        <v>565</v>
      </c>
      <c r="C284" s="1" t="s">
        <v>1201</v>
      </c>
      <c r="D284" s="1" t="s">
        <v>566</v>
      </c>
      <c r="E284" t="s">
        <v>2448</v>
      </c>
      <c r="H284" s="2" t="str">
        <f>INDEX(Type!I:I,MATCH(D284,Type!A:A,0))</f>
        <v>v(v, v, v, v)</v>
      </c>
    </row>
    <row r="285" spans="1:8" x14ac:dyDescent="0.55000000000000004">
      <c r="A285" s="1">
        <v>290</v>
      </c>
      <c r="B285" s="1" t="s">
        <v>567</v>
      </c>
      <c r="C285" s="1" t="s">
        <v>1201</v>
      </c>
      <c r="D285" s="1" t="s">
        <v>568</v>
      </c>
      <c r="E285" t="s">
        <v>2449</v>
      </c>
      <c r="H285" s="2" t="str">
        <f>INDEX(Type!I:I,MATCH(D285,Type!A:A,0))</f>
        <v>v(v, v, v)</v>
      </c>
    </row>
    <row r="286" spans="1:8" x14ac:dyDescent="0.55000000000000004">
      <c r="A286" s="1">
        <v>291</v>
      </c>
      <c r="B286" s="1" t="s">
        <v>569</v>
      </c>
      <c r="C286" s="1" t="s">
        <v>1201</v>
      </c>
      <c r="D286" s="1" t="s">
        <v>570</v>
      </c>
      <c r="E286" t="s">
        <v>2450</v>
      </c>
      <c r="H286" s="2" t="str">
        <f>INDEX(Type!I:I,MATCH(D286,Type!A:A,0))</f>
        <v>v(v, v, v)</v>
      </c>
    </row>
    <row r="287" spans="1:8" x14ac:dyDescent="0.55000000000000004">
      <c r="A287" s="1">
        <v>292</v>
      </c>
      <c r="B287" s="1" t="s">
        <v>571</v>
      </c>
      <c r="C287" s="1" t="s">
        <v>1201</v>
      </c>
      <c r="D287" s="1" t="s">
        <v>572</v>
      </c>
      <c r="E287" t="s">
        <v>2451</v>
      </c>
      <c r="H287" s="2" t="str">
        <f>INDEX(Type!I:I,MATCH(D287,Type!A:A,0))</f>
        <v>v(v, v, v)</v>
      </c>
    </row>
    <row r="288" spans="1:8" x14ac:dyDescent="0.55000000000000004">
      <c r="A288" s="1">
        <v>293</v>
      </c>
      <c r="B288" s="1" t="s">
        <v>573</v>
      </c>
      <c r="C288" s="1" t="s">
        <v>1201</v>
      </c>
      <c r="D288" s="1" t="s">
        <v>574</v>
      </c>
      <c r="E288" t="s">
        <v>2452</v>
      </c>
      <c r="H288" s="2" t="str">
        <f>INDEX(Type!I:I,MATCH(D288,Type!A:A,0))</f>
        <v>v(v, v, v, v)</v>
      </c>
    </row>
    <row r="289" spans="1:8" x14ac:dyDescent="0.55000000000000004">
      <c r="A289" s="1">
        <v>294</v>
      </c>
      <c r="B289" s="1" t="s">
        <v>575</v>
      </c>
      <c r="C289" s="1" t="s">
        <v>1201</v>
      </c>
      <c r="D289" s="1" t="s">
        <v>576</v>
      </c>
      <c r="E289" t="s">
        <v>1341</v>
      </c>
      <c r="H289" s="2" t="str">
        <f>INDEX(Type!I:I,MATCH(D289,Type!A:A,0))</f>
        <v>v(v)</v>
      </c>
    </row>
    <row r="290" spans="1:8" x14ac:dyDescent="0.55000000000000004">
      <c r="A290" s="1">
        <v>295</v>
      </c>
      <c r="B290" s="1" t="s">
        <v>577</v>
      </c>
      <c r="C290" s="1" t="s">
        <v>1199</v>
      </c>
      <c r="D290" s="1" t="s">
        <v>578</v>
      </c>
      <c r="E290" t="s">
        <v>2450</v>
      </c>
      <c r="H290" s="2" t="str">
        <f>INDEX(Type!I:I,MATCH(D290,Type!A:A,0))</f>
        <v>v(v, v, v)</v>
      </c>
    </row>
    <row r="291" spans="1:8" x14ac:dyDescent="0.55000000000000004">
      <c r="A291" s="1">
        <v>296</v>
      </c>
      <c r="B291" s="1" t="s">
        <v>579</v>
      </c>
      <c r="C291" s="1" t="s">
        <v>1201</v>
      </c>
      <c r="D291" s="1" t="s">
        <v>580</v>
      </c>
      <c r="E291" t="s">
        <v>1321</v>
      </c>
      <c r="H291" s="2" t="str">
        <f>INDEX(Type!I:I,MATCH(D291,Type!A:A,0))</f>
        <v>v(v)</v>
      </c>
    </row>
    <row r="292" spans="1:8" x14ac:dyDescent="0.55000000000000004">
      <c r="A292" s="1">
        <v>297</v>
      </c>
      <c r="B292" s="1" t="s">
        <v>581</v>
      </c>
      <c r="C292" s="1" t="s">
        <v>1199</v>
      </c>
      <c r="D292" s="1" t="s">
        <v>582</v>
      </c>
      <c r="E292" t="s">
        <v>2449</v>
      </c>
      <c r="H292" s="2" t="str">
        <f>INDEX(Type!I:I,MATCH(D292,Type!A:A,0))</f>
        <v>v(v, v, v)</v>
      </c>
    </row>
    <row r="293" spans="1:8" x14ac:dyDescent="0.55000000000000004">
      <c r="A293" s="1">
        <v>298</v>
      </c>
      <c r="B293" s="1" t="s">
        <v>583</v>
      </c>
      <c r="C293" s="1" t="s">
        <v>1194</v>
      </c>
      <c r="D293" s="1" t="s">
        <v>584</v>
      </c>
      <c r="E293" t="s">
        <v>1223</v>
      </c>
      <c r="H293" s="2" t="str">
        <f>INDEX(Type!I:I,MATCH(D293,Type!A:A,0))</f>
        <v>v(v)</v>
      </c>
    </row>
    <row r="294" spans="1:8" x14ac:dyDescent="0.55000000000000004">
      <c r="A294" s="1">
        <v>299</v>
      </c>
      <c r="B294" s="1" t="s">
        <v>585</v>
      </c>
      <c r="C294" s="1" t="s">
        <v>1199</v>
      </c>
      <c r="D294" s="1" t="s">
        <v>586</v>
      </c>
      <c r="E294" t="s">
        <v>2439</v>
      </c>
      <c r="H294" s="2" t="str">
        <f>INDEX(Type!I:I,MATCH(D294,Type!A:A,0))</f>
        <v>v(v, v)</v>
      </c>
    </row>
    <row r="295" spans="1:8" x14ac:dyDescent="0.55000000000000004">
      <c r="A295" s="1">
        <v>300</v>
      </c>
      <c r="B295" s="1" t="s">
        <v>587</v>
      </c>
      <c r="C295" s="1" t="s">
        <v>1201</v>
      </c>
      <c r="D295" s="1" t="s">
        <v>588</v>
      </c>
      <c r="E295" t="s">
        <v>2453</v>
      </c>
      <c r="H295" s="2" t="str">
        <f>INDEX(Type!I:I,MATCH(D295,Type!A:A,0))</f>
        <v>v(v, v, v)</v>
      </c>
    </row>
    <row r="296" spans="1:8" x14ac:dyDescent="0.55000000000000004">
      <c r="A296" s="1">
        <v>301</v>
      </c>
      <c r="B296" s="1" t="s">
        <v>589</v>
      </c>
      <c r="C296" s="1" t="s">
        <v>1201</v>
      </c>
      <c r="D296" s="1" t="s">
        <v>590</v>
      </c>
      <c r="E296" t="s">
        <v>2454</v>
      </c>
      <c r="H296" s="2" t="str">
        <f>INDEX(Type!I:I,MATCH(D296,Type!A:A,0))</f>
        <v>v(v, v, v)</v>
      </c>
    </row>
    <row r="297" spans="1:8" x14ac:dyDescent="0.55000000000000004">
      <c r="A297" s="1">
        <v>302</v>
      </c>
      <c r="B297" s="1" t="s">
        <v>591</v>
      </c>
      <c r="C297" s="1" t="s">
        <v>1201</v>
      </c>
      <c r="D297" s="1" t="s">
        <v>592</v>
      </c>
      <c r="E297" t="s">
        <v>2446</v>
      </c>
      <c r="H297" s="2" t="str">
        <f>INDEX(Type!I:I,MATCH(D297,Type!A:A,0))</f>
        <v>v(v, v, v, v)</v>
      </c>
    </row>
    <row r="298" spans="1:8" x14ac:dyDescent="0.55000000000000004">
      <c r="A298" s="1">
        <v>303</v>
      </c>
      <c r="B298" s="1" t="s">
        <v>593</v>
      </c>
      <c r="C298" s="1" t="s">
        <v>1194</v>
      </c>
      <c r="D298" s="1" t="s">
        <v>594</v>
      </c>
      <c r="E298" t="s">
        <v>2455</v>
      </c>
      <c r="H298" s="2" t="str">
        <f>INDEX(Type!I:I,MATCH(D298,Type!A:A,0))</f>
        <v>v(a, a)</v>
      </c>
    </row>
    <row r="299" spans="1:8" x14ac:dyDescent="0.55000000000000004">
      <c r="A299" s="1">
        <v>304</v>
      </c>
      <c r="B299" s="1" t="s">
        <v>595</v>
      </c>
      <c r="C299" s="1" t="s">
        <v>1194</v>
      </c>
      <c r="D299" s="1" t="s">
        <v>596</v>
      </c>
      <c r="E299" t="s">
        <v>2455</v>
      </c>
      <c r="H299" s="2" t="str">
        <f>INDEX(Type!I:I,MATCH(D299,Type!A:A,0))</f>
        <v>v(a, a)</v>
      </c>
    </row>
    <row r="300" spans="1:8" x14ac:dyDescent="0.55000000000000004">
      <c r="A300" s="1">
        <v>305</v>
      </c>
      <c r="B300" s="1" t="s">
        <v>597</v>
      </c>
      <c r="C300" s="1" t="s">
        <v>1194</v>
      </c>
      <c r="D300" s="1" t="s">
        <v>598</v>
      </c>
      <c r="E300" t="s">
        <v>2455</v>
      </c>
      <c r="H300" s="2" t="str">
        <f>INDEX(Type!I:I,MATCH(D300,Type!A:A,0))</f>
        <v>v(a, a)</v>
      </c>
    </row>
    <row r="301" spans="1:8" x14ac:dyDescent="0.55000000000000004">
      <c r="A301" s="1">
        <v>306</v>
      </c>
      <c r="B301" s="1" t="s">
        <v>599</v>
      </c>
      <c r="C301" s="1" t="s">
        <v>1201</v>
      </c>
      <c r="D301" s="1" t="s">
        <v>600</v>
      </c>
      <c r="E301" t="s">
        <v>2456</v>
      </c>
      <c r="H301" s="2" t="str">
        <f>INDEX(Type!I:I,MATCH(D301,Type!A:A,0))</f>
        <v>v(a, a)</v>
      </c>
    </row>
    <row r="302" spans="1:8" x14ac:dyDescent="0.55000000000000004">
      <c r="A302" s="1">
        <v>307</v>
      </c>
      <c r="B302" s="1" t="s">
        <v>601</v>
      </c>
      <c r="C302" s="1" t="s">
        <v>1199</v>
      </c>
      <c r="D302" s="1" t="s">
        <v>602</v>
      </c>
      <c r="E302" t="s">
        <v>2395</v>
      </c>
      <c r="H302" s="2" t="str">
        <f>INDEX(Type!I:I,MATCH(D302,Type!A:A,0))</f>
        <v>v(a, a)</v>
      </c>
    </row>
    <row r="303" spans="1:8" x14ac:dyDescent="0.55000000000000004">
      <c r="A303" s="1">
        <v>308</v>
      </c>
      <c r="B303" s="1" t="s">
        <v>603</v>
      </c>
      <c r="C303" s="1" t="s">
        <v>1201</v>
      </c>
      <c r="D303" s="1" t="s">
        <v>604</v>
      </c>
      <c r="E303" t="s">
        <v>2395</v>
      </c>
      <c r="H303" s="2" t="str">
        <f>INDEX(Type!I:I,MATCH(D303,Type!A:A,0))</f>
        <v>v(a, a)</v>
      </c>
    </row>
    <row r="304" spans="1:8" x14ac:dyDescent="0.55000000000000004">
      <c r="A304" s="1">
        <v>309</v>
      </c>
      <c r="B304" s="1" t="s">
        <v>605</v>
      </c>
      <c r="C304" s="1" t="s">
        <v>1199</v>
      </c>
      <c r="D304" s="1" t="s">
        <v>606</v>
      </c>
      <c r="E304" t="s">
        <v>2457</v>
      </c>
      <c r="H304" s="2" t="str">
        <f>INDEX(Type!I:I,MATCH(D304,Type!A:A,0))</f>
        <v>v(v, a, a)</v>
      </c>
    </row>
    <row r="305" spans="1:8" x14ac:dyDescent="0.55000000000000004">
      <c r="A305" s="1">
        <v>310</v>
      </c>
      <c r="B305" s="1" t="s">
        <v>607</v>
      </c>
      <c r="C305" s="1" t="s">
        <v>1201</v>
      </c>
      <c r="D305" s="1" t="s">
        <v>608</v>
      </c>
      <c r="E305" t="s">
        <v>2395</v>
      </c>
      <c r="H305" s="2" t="str">
        <f>INDEX(Type!I:I,MATCH(D305,Type!A:A,0))</f>
        <v>v(a, a)</v>
      </c>
    </row>
    <row r="306" spans="1:8" x14ac:dyDescent="0.55000000000000004">
      <c r="A306" s="1">
        <v>311</v>
      </c>
      <c r="B306" s="1" t="s">
        <v>609</v>
      </c>
      <c r="C306" s="1" t="s">
        <v>1199</v>
      </c>
      <c r="D306" s="1" t="s">
        <v>610</v>
      </c>
      <c r="E306" t="s">
        <v>2458</v>
      </c>
      <c r="H306" s="2" t="str">
        <f>INDEX(Type!I:I,MATCH(D306,Type!A:A,0))</f>
        <v>v(a, a)</v>
      </c>
    </row>
    <row r="307" spans="1:8" x14ac:dyDescent="0.55000000000000004">
      <c r="A307" s="1">
        <v>312</v>
      </c>
      <c r="B307" s="1" t="s">
        <v>611</v>
      </c>
      <c r="C307" s="1" t="s">
        <v>1199</v>
      </c>
      <c r="D307" s="1" t="s">
        <v>612</v>
      </c>
      <c r="E307" t="s">
        <v>2395</v>
      </c>
      <c r="H307" s="2" t="str">
        <f>INDEX(Type!I:I,MATCH(D307,Type!A:A,0))</f>
        <v>v(a, a)</v>
      </c>
    </row>
    <row r="308" spans="1:8" x14ac:dyDescent="0.55000000000000004">
      <c r="A308" s="1">
        <v>313</v>
      </c>
      <c r="B308" s="1" t="s">
        <v>613</v>
      </c>
      <c r="C308" s="1" t="s">
        <v>1199</v>
      </c>
      <c r="D308" s="1" t="s">
        <v>614</v>
      </c>
      <c r="E308" t="s">
        <v>2458</v>
      </c>
      <c r="H308" s="2" t="str">
        <f>INDEX(Type!I:I,MATCH(D308,Type!A:A,0))</f>
        <v>v(a, a)</v>
      </c>
    </row>
    <row r="309" spans="1:8" x14ac:dyDescent="0.55000000000000004">
      <c r="A309" s="1">
        <v>314</v>
      </c>
      <c r="B309" s="1" t="s">
        <v>615</v>
      </c>
      <c r="C309" s="1" t="s">
        <v>1199</v>
      </c>
      <c r="D309" s="1" t="s">
        <v>616</v>
      </c>
      <c r="E309" t="s">
        <v>2458</v>
      </c>
      <c r="H309" s="2" t="str">
        <f>INDEX(Type!I:I,MATCH(D309,Type!A:A,0))</f>
        <v>v(a, a)</v>
      </c>
    </row>
    <row r="310" spans="1:8" x14ac:dyDescent="0.55000000000000004">
      <c r="A310" s="1">
        <v>315</v>
      </c>
      <c r="B310" s="1" t="s">
        <v>617</v>
      </c>
      <c r="C310" s="1" t="s">
        <v>1199</v>
      </c>
      <c r="D310" s="1" t="s">
        <v>618</v>
      </c>
      <c r="E310" t="s">
        <v>2458</v>
      </c>
      <c r="H310" s="2" t="str">
        <f>INDEX(Type!I:I,MATCH(D310,Type!A:A,0))</f>
        <v>v(a, a)</v>
      </c>
    </row>
    <row r="311" spans="1:8" x14ac:dyDescent="0.55000000000000004">
      <c r="A311" s="1">
        <v>316</v>
      </c>
      <c r="B311" s="1" t="s">
        <v>619</v>
      </c>
      <c r="C311" s="1" t="s">
        <v>1201</v>
      </c>
      <c r="D311" s="1" t="s">
        <v>620</v>
      </c>
      <c r="E311" t="s">
        <v>2459</v>
      </c>
      <c r="H311" s="2" t="str">
        <f>INDEX(Type!I:I,MATCH(D311,Type!A:A,0))</f>
        <v>v(a, a, v, v)</v>
      </c>
    </row>
    <row r="312" spans="1:8" x14ac:dyDescent="0.55000000000000004">
      <c r="A312" s="1">
        <v>317</v>
      </c>
      <c r="B312" s="1" t="s">
        <v>621</v>
      </c>
      <c r="C312" s="1" t="s">
        <v>1199</v>
      </c>
      <c r="D312" s="1" t="s">
        <v>622</v>
      </c>
      <c r="E312" t="s">
        <v>2460</v>
      </c>
      <c r="H312" s="2" t="str">
        <f>INDEX(Type!I:I,MATCH(D312,Type!A:A,0))</f>
        <v>v(a, a, v, [v])</v>
      </c>
    </row>
    <row r="313" spans="1:8" x14ac:dyDescent="0.55000000000000004">
      <c r="A313" s="1">
        <v>318</v>
      </c>
      <c r="B313" s="1" t="s">
        <v>623</v>
      </c>
      <c r="C313" s="1" t="s">
        <v>1199</v>
      </c>
      <c r="D313" s="1" t="s">
        <v>624</v>
      </c>
      <c r="E313" t="s">
        <v>2324</v>
      </c>
      <c r="H313" s="2" t="str">
        <f>INDEX(Type!I:I,MATCH(D313,Type!A:A,0))</f>
        <v>v(var, [var], …)</v>
      </c>
    </row>
    <row r="314" spans="1:8" x14ac:dyDescent="0.55000000000000004">
      <c r="A314" s="1">
        <v>319</v>
      </c>
      <c r="B314" s="1" t="s">
        <v>625</v>
      </c>
      <c r="C314" s="1" t="s">
        <v>1199</v>
      </c>
      <c r="D314" s="1" t="s">
        <v>626</v>
      </c>
      <c r="E314" t="s">
        <v>2324</v>
      </c>
      <c r="H314" s="2" t="str">
        <f>INDEX(Type!I:I,MATCH(D314,Type!A:A,0))</f>
        <v>v(var, [var], …)</v>
      </c>
    </row>
    <row r="315" spans="1:8" x14ac:dyDescent="0.55000000000000004">
      <c r="A315" s="1">
        <v>320</v>
      </c>
      <c r="B315" s="1" t="s">
        <v>627</v>
      </c>
      <c r="C315" s="1" t="s">
        <v>1199</v>
      </c>
      <c r="D315" s="1" t="s">
        <v>628</v>
      </c>
      <c r="E315" t="s">
        <v>2324</v>
      </c>
      <c r="H315" s="2" t="str">
        <f>INDEX(Type!I:I,MATCH(D315,Type!A:A,0))</f>
        <v>v(var, [var], …)</v>
      </c>
    </row>
    <row r="316" spans="1:8" x14ac:dyDescent="0.55000000000000004">
      <c r="A316" s="1">
        <v>321</v>
      </c>
      <c r="B316" s="1" t="s">
        <v>629</v>
      </c>
      <c r="C316" s="1" t="s">
        <v>1194</v>
      </c>
      <c r="D316" s="1" t="s">
        <v>630</v>
      </c>
      <c r="E316" t="s">
        <v>2324</v>
      </c>
      <c r="H316" s="2" t="str">
        <f>INDEX(Type!I:I,MATCH(D316,Type!A:A,0))</f>
        <v>v(var, [var], …)</v>
      </c>
    </row>
    <row r="317" spans="1:8" x14ac:dyDescent="0.55000000000000004">
      <c r="A317" s="1">
        <v>322</v>
      </c>
      <c r="B317" s="1" t="s">
        <v>631</v>
      </c>
      <c r="C317" s="1" t="s">
        <v>1199</v>
      </c>
      <c r="D317" s="1" t="s">
        <v>632</v>
      </c>
      <c r="E317" t="s">
        <v>2324</v>
      </c>
      <c r="H317" s="2" t="str">
        <f>INDEX(Type!I:I,MATCH(D317,Type!A:A,0))</f>
        <v>v(var, [var], …)</v>
      </c>
    </row>
    <row r="318" spans="1:8" x14ac:dyDescent="0.55000000000000004">
      <c r="A318" s="1">
        <v>323</v>
      </c>
      <c r="B318" s="1" t="s">
        <v>633</v>
      </c>
      <c r="C318" s="1" t="s">
        <v>1199</v>
      </c>
      <c r="D318" s="1" t="s">
        <v>634</v>
      </c>
      <c r="E318" t="s">
        <v>2324</v>
      </c>
      <c r="H318" s="2" t="str">
        <f>INDEX(Type!I:I,MATCH(D318,Type!A:A,0))</f>
        <v>v(var, [var], …)</v>
      </c>
    </row>
    <row r="319" spans="1:8" x14ac:dyDescent="0.55000000000000004">
      <c r="A319" s="1">
        <v>324</v>
      </c>
      <c r="B319" s="1" t="s">
        <v>635</v>
      </c>
      <c r="C319" s="1" t="s">
        <v>1201</v>
      </c>
      <c r="D319" s="1" t="s">
        <v>636</v>
      </c>
      <c r="E319" t="s">
        <v>2461</v>
      </c>
      <c r="H319" s="2" t="str">
        <f>INDEX(Type!I:I,MATCH(D319,Type!A:A,0))</f>
        <v>v(var, v, [v])</v>
      </c>
    </row>
    <row r="320" spans="1:8" x14ac:dyDescent="0.55000000000000004">
      <c r="A320" s="1">
        <v>325</v>
      </c>
      <c r="B320" s="1" t="s">
        <v>637</v>
      </c>
      <c r="C320" s="1" t="s">
        <v>1199</v>
      </c>
      <c r="D320" s="1" t="s">
        <v>638</v>
      </c>
      <c r="E320" t="s">
        <v>2462</v>
      </c>
      <c r="H320" s="2" t="str">
        <f>INDEX(Type!I:I,MATCH(D320,Type!A:A,0))</f>
        <v>v(var, v)</v>
      </c>
    </row>
    <row r="321" spans="1:8" x14ac:dyDescent="0.55000000000000004">
      <c r="A321" s="1">
        <v>326</v>
      </c>
      <c r="B321" s="1" t="s">
        <v>639</v>
      </c>
      <c r="C321" s="1" t="s">
        <v>1199</v>
      </c>
      <c r="D321" s="1" t="s">
        <v>640</v>
      </c>
      <c r="E321" t="s">
        <v>2462</v>
      </c>
      <c r="H321" s="2" t="str">
        <f>INDEX(Type!I:I,MATCH(D321,Type!A:A,0))</f>
        <v>v(var, v)</v>
      </c>
    </row>
    <row r="322" spans="1:8" x14ac:dyDescent="0.55000000000000004">
      <c r="A322" s="1">
        <v>327</v>
      </c>
      <c r="B322" s="1" t="s">
        <v>641</v>
      </c>
      <c r="C322" s="1" t="s">
        <v>1201</v>
      </c>
      <c r="D322" s="1" t="s">
        <v>642</v>
      </c>
      <c r="E322" t="s">
        <v>2463</v>
      </c>
      <c r="H322" s="2" t="str">
        <f>INDEX(Type!I:I,MATCH(D322,Type!A:A,0))</f>
        <v>v(var, v)</v>
      </c>
    </row>
    <row r="323" spans="1:8" x14ac:dyDescent="0.55000000000000004">
      <c r="A323" s="1">
        <v>328</v>
      </c>
      <c r="B323" s="1" t="s">
        <v>643</v>
      </c>
      <c r="C323" s="1" t="s">
        <v>1201</v>
      </c>
      <c r="D323" s="1" t="s">
        <v>644</v>
      </c>
      <c r="E323" t="s">
        <v>2462</v>
      </c>
      <c r="H323" s="2" t="str">
        <f>INDEX(Type!I:I,MATCH(D323,Type!A:A,0))</f>
        <v>v(var, v)</v>
      </c>
    </row>
    <row r="324" spans="1:8" x14ac:dyDescent="0.55000000000000004">
      <c r="A324" s="1">
        <v>329</v>
      </c>
      <c r="B324" s="1" t="s">
        <v>645</v>
      </c>
      <c r="C324" s="1" t="s">
        <v>1201</v>
      </c>
      <c r="D324" s="1" t="s">
        <v>646</v>
      </c>
      <c r="E324" t="s">
        <v>2464</v>
      </c>
      <c r="H324" s="2" t="str">
        <f>INDEX(Type!I:I,MATCH(D324,Type!A:A,0))</f>
        <v>v(var, v, [v])</v>
      </c>
    </row>
    <row r="325" spans="1:8" x14ac:dyDescent="0.55000000000000004">
      <c r="A325" s="1">
        <v>330</v>
      </c>
      <c r="B325" s="1" t="s">
        <v>647</v>
      </c>
      <c r="C325" s="1" t="s">
        <v>1201</v>
      </c>
      <c r="D325" s="1" t="s">
        <v>648</v>
      </c>
      <c r="E325" t="s">
        <v>2324</v>
      </c>
      <c r="H325" s="2" t="str">
        <f>INDEX(Type!I:I,MATCH(D325,Type!A:A,0))</f>
        <v>v(a, [a], …)</v>
      </c>
    </row>
    <row r="326" spans="1:8" x14ac:dyDescent="0.55000000000000004">
      <c r="A326" s="1">
        <v>331</v>
      </c>
      <c r="B326" s="1" t="s">
        <v>649</v>
      </c>
      <c r="C326" s="1" t="s">
        <v>1199</v>
      </c>
      <c r="D326" s="1" t="s">
        <v>650</v>
      </c>
      <c r="E326" t="s">
        <v>2465</v>
      </c>
      <c r="H326" s="2" t="str">
        <f>INDEX(Type!I:I,MATCH(D326,Type!A:A,0))</f>
        <v>v(var, v)</v>
      </c>
    </row>
    <row r="327" spans="1:8" x14ac:dyDescent="0.55000000000000004">
      <c r="A327" s="1">
        <v>332</v>
      </c>
      <c r="B327" s="1" t="s">
        <v>651</v>
      </c>
      <c r="C327" s="1" t="s">
        <v>1201</v>
      </c>
      <c r="D327" s="1" t="s">
        <v>652</v>
      </c>
      <c r="E327" t="s">
        <v>2438</v>
      </c>
      <c r="H327" s="2" t="str">
        <f>INDEX(Type!I:I,MATCH(D327,Type!A:A,0))</f>
        <v>v(v, v)</v>
      </c>
    </row>
    <row r="328" spans="1:8" x14ac:dyDescent="0.55000000000000004">
      <c r="A328" s="1">
        <v>334</v>
      </c>
      <c r="B328" s="1" t="s">
        <v>653</v>
      </c>
      <c r="C328" s="1" t="s">
        <v>1209</v>
      </c>
      <c r="D328" s="1" t="s">
        <v>654</v>
      </c>
      <c r="E328" t="s">
        <v>2466</v>
      </c>
      <c r="H328" s="2" t="str">
        <f>INDEX(Type!I:I,MATCH(D328,Type!A:A,0))</f>
        <v>v(v, v, v, [v])</v>
      </c>
    </row>
    <row r="329" spans="1:8" x14ac:dyDescent="0.55000000000000004">
      <c r="A329" s="1">
        <v>335</v>
      </c>
      <c r="B329" s="1" t="s">
        <v>655</v>
      </c>
      <c r="C329" s="1" t="s">
        <v>1209</v>
      </c>
      <c r="D329" s="1" t="s">
        <v>656</v>
      </c>
      <c r="E329" t="s">
        <v>2467</v>
      </c>
      <c r="H329" s="2" t="str">
        <f>INDEX(Type!I:I,MATCH(D329,Type!A:A,0))</f>
        <v>v(v, v, [v])</v>
      </c>
    </row>
    <row r="330" spans="1:8" x14ac:dyDescent="0.55000000000000004">
      <c r="A330" s="1">
        <v>336</v>
      </c>
      <c r="B330" s="1" t="s">
        <v>657</v>
      </c>
      <c r="C330" s="1" t="s">
        <v>1198</v>
      </c>
      <c r="D330" s="1" t="s">
        <v>658</v>
      </c>
      <c r="E330" t="s">
        <v>2468</v>
      </c>
      <c r="H330" s="2" t="str">
        <f>INDEX(Type!I:I,MATCH(D330,Type!A:A,0))</f>
        <v>v(v, [v], …)</v>
      </c>
    </row>
    <row r="331" spans="1:8" x14ac:dyDescent="0.55000000000000004">
      <c r="A331" s="1">
        <v>337</v>
      </c>
      <c r="B331" s="1" t="s">
        <v>659</v>
      </c>
      <c r="C331" s="1" t="s">
        <v>1194</v>
      </c>
      <c r="D331" s="1" t="s">
        <v>660</v>
      </c>
      <c r="E331" t="s">
        <v>2469</v>
      </c>
      <c r="H331" s="2" t="str">
        <f>INDEX(Type!I:I,MATCH(D331,Type!A:A,0))</f>
        <v>v(v, v)</v>
      </c>
    </row>
    <row r="332" spans="1:8" x14ac:dyDescent="0.55000000000000004">
      <c r="A332" s="1">
        <v>338</v>
      </c>
      <c r="B332" s="1" t="s">
        <v>661</v>
      </c>
      <c r="C332" s="1" t="s">
        <v>1209</v>
      </c>
      <c r="D332" s="1" t="s">
        <v>662</v>
      </c>
      <c r="E332" t="s">
        <v>2470</v>
      </c>
      <c r="H332" s="2" t="str">
        <f>INDEX(Type!I:I,MATCH(D332,Type!A:A,0))</f>
        <v>v(v, v, [v], [v], [v], [v], [v], [v], [v])</v>
      </c>
    </row>
    <row r="333" spans="1:8" x14ac:dyDescent="0.55000000000000004">
      <c r="A333" s="1">
        <v>339</v>
      </c>
      <c r="B333" s="1" t="s">
        <v>663</v>
      </c>
      <c r="C333" s="1" t="s">
        <v>1209</v>
      </c>
      <c r="D333" s="1" t="s">
        <v>664</v>
      </c>
      <c r="E333" t="s">
        <v>2471</v>
      </c>
      <c r="H333" s="2" t="str">
        <f>INDEX(Type!I:I,MATCH(D333,Type!A:A,0))</f>
        <v>va(v, [v])</v>
      </c>
    </row>
    <row r="334" spans="1:8" x14ac:dyDescent="0.55000000000000004">
      <c r="A334" s="1">
        <v>340</v>
      </c>
      <c r="B334" s="1" t="s">
        <v>665</v>
      </c>
      <c r="C334" s="1" t="s">
        <v>1209</v>
      </c>
      <c r="D334" s="1" t="s">
        <v>666</v>
      </c>
      <c r="E334" t="s">
        <v>2472</v>
      </c>
      <c r="H334" s="2" t="str">
        <f>INDEX(Type!I:I,MATCH(D334,Type!A:A,0))</f>
        <v>va(v, [v], [v])</v>
      </c>
    </row>
    <row r="335" spans="1:8" x14ac:dyDescent="0.55000000000000004">
      <c r="A335" s="1">
        <v>341</v>
      </c>
      <c r="B335" s="1" t="s">
        <v>667</v>
      </c>
      <c r="C335" s="1" t="s">
        <v>1209</v>
      </c>
      <c r="D335" s="1" t="s">
        <v>668</v>
      </c>
      <c r="E335" t="s">
        <v>2473</v>
      </c>
      <c r="H335" s="2" t="str">
        <f>INDEX(Type!I:I,MATCH(D335,Type!A:A,0))</f>
        <v>v(v, [v], [v], [v])</v>
      </c>
    </row>
    <row r="336" spans="1:8" x14ac:dyDescent="0.55000000000000004">
      <c r="A336" s="1">
        <v>342</v>
      </c>
      <c r="B336" s="1" t="s">
        <v>669</v>
      </c>
      <c r="C336" s="1" t="s">
        <v>1194</v>
      </c>
      <c r="D336" s="1" t="s">
        <v>670</v>
      </c>
      <c r="E336" t="s">
        <v>1356</v>
      </c>
      <c r="H336" s="2" t="str">
        <f>INDEX(Type!I:I,MATCH(D336,Type!A:A,0))</f>
        <v>v(v)</v>
      </c>
    </row>
    <row r="337" spans="1:8" x14ac:dyDescent="0.55000000000000004">
      <c r="A337" s="1">
        <v>343</v>
      </c>
      <c r="B337" s="1" t="s">
        <v>671</v>
      </c>
      <c r="C337" s="1" t="s">
        <v>1194</v>
      </c>
      <c r="D337" s="1" t="s">
        <v>672</v>
      </c>
      <c r="E337" t="s">
        <v>1356</v>
      </c>
      <c r="H337" s="2" t="str">
        <f>INDEX(Type!I:I,MATCH(D337,Type!A:A,0))</f>
        <v>v(v)</v>
      </c>
    </row>
    <row r="338" spans="1:8" x14ac:dyDescent="0.55000000000000004">
      <c r="A338" s="1">
        <v>344</v>
      </c>
      <c r="B338" s="1" t="s">
        <v>673</v>
      </c>
      <c r="C338" s="1" t="s">
        <v>1194</v>
      </c>
      <c r="D338" s="1" t="s">
        <v>674</v>
      </c>
      <c r="E338" t="s">
        <v>2474</v>
      </c>
      <c r="H338" s="2" t="str">
        <f>INDEX(Type!I:I,MATCH(D338,Type!A:A,0))</f>
        <v>v(v, r, …)</v>
      </c>
    </row>
    <row r="339" spans="1:8" x14ac:dyDescent="0.55000000000000004">
      <c r="A339" s="1">
        <v>345</v>
      </c>
      <c r="B339" s="1" t="s">
        <v>675</v>
      </c>
      <c r="C339" s="1" t="s">
        <v>1194</v>
      </c>
      <c r="D339" s="1" t="s">
        <v>676</v>
      </c>
      <c r="E339" t="s">
        <v>2475</v>
      </c>
      <c r="H339" s="2" t="str">
        <f>INDEX(Type!I:I,MATCH(D339,Type!A:A,0))</f>
        <v>v(r, v, [r])</v>
      </c>
    </row>
    <row r="340" spans="1:8" x14ac:dyDescent="0.55000000000000004">
      <c r="A340" s="1">
        <v>346</v>
      </c>
      <c r="B340" s="1" t="s">
        <v>677</v>
      </c>
      <c r="C340" s="1" t="s">
        <v>1199</v>
      </c>
      <c r="D340" s="1" t="s">
        <v>678</v>
      </c>
      <c r="E340" t="s">
        <v>2476</v>
      </c>
      <c r="H340" s="2" t="str">
        <f>INDEX(Type!I:I,MATCH(D340,Type!A:A,0))</f>
        <v>v(r, v)</v>
      </c>
    </row>
    <row r="341" spans="1:8" x14ac:dyDescent="0.55000000000000004">
      <c r="A341" s="1">
        <v>347</v>
      </c>
      <c r="B341" s="1" t="s">
        <v>679</v>
      </c>
      <c r="C341" s="1" t="s">
        <v>1199</v>
      </c>
      <c r="D341" s="1" t="s">
        <v>680</v>
      </c>
      <c r="E341" t="s">
        <v>1359</v>
      </c>
      <c r="H341" s="2" t="str">
        <f>INDEX(Type!I:I,MATCH(D341,Type!A:A,0))</f>
        <v>v(r)</v>
      </c>
    </row>
    <row r="342" spans="1:8" x14ac:dyDescent="0.55000000000000004">
      <c r="A342" s="1">
        <v>348</v>
      </c>
      <c r="B342" s="1" t="s">
        <v>681</v>
      </c>
      <c r="C342" s="1" t="s">
        <v>1209</v>
      </c>
      <c r="D342" s="1" t="s">
        <v>682</v>
      </c>
      <c r="E342" t="s">
        <v>2477</v>
      </c>
      <c r="H342" s="2" t="str">
        <f>INDEX(Type!I:I,MATCH(D342,Type!A:A,0))</f>
        <v>r(v, [v])</v>
      </c>
    </row>
    <row r="343" spans="1:8" x14ac:dyDescent="0.55000000000000004">
      <c r="A343" s="1">
        <v>349</v>
      </c>
      <c r="B343" s="1" t="s">
        <v>683</v>
      </c>
      <c r="C343" s="1" t="s">
        <v>1209</v>
      </c>
      <c r="D343" s="1" t="s">
        <v>684</v>
      </c>
      <c r="E343" t="s">
        <v>2037</v>
      </c>
      <c r="H343" s="2" t="str">
        <f>INDEX(Type!I:I,MATCH(D343,Type!A:A,0))</f>
        <v>va(va)</v>
      </c>
    </row>
    <row r="344" spans="1:8" x14ac:dyDescent="0.55000000000000004">
      <c r="A344" s="1">
        <v>350</v>
      </c>
      <c r="B344" s="1" t="s">
        <v>685</v>
      </c>
      <c r="C344" s="1" t="s">
        <v>1195</v>
      </c>
      <c r="D344" s="1" t="s">
        <v>686</v>
      </c>
      <c r="E344" t="s">
        <v>2478</v>
      </c>
      <c r="H344" s="2" t="str">
        <f>INDEX(Type!I:I,MATCH(D344,Type!A:A,0))</f>
        <v>v(v, v, v, v)</v>
      </c>
    </row>
    <row r="345" spans="1:8" x14ac:dyDescent="0.55000000000000004">
      <c r="A345" s="1">
        <v>351</v>
      </c>
      <c r="B345" s="1" t="s">
        <v>687</v>
      </c>
      <c r="C345" s="1" t="s">
        <v>1208</v>
      </c>
      <c r="D345" s="1" t="s">
        <v>688</v>
      </c>
      <c r="E345" t="s">
        <v>2479</v>
      </c>
      <c r="H345" s="2" t="str">
        <f>INDEX(Type!I:I,MATCH(D345,Type!A:A,0))</f>
        <v>v(v, v, v)</v>
      </c>
    </row>
    <row r="346" spans="1:8" x14ac:dyDescent="0.55000000000000004">
      <c r="A346" s="1">
        <v>352</v>
      </c>
      <c r="B346" s="1" t="s">
        <v>689</v>
      </c>
      <c r="C346" s="1" t="s">
        <v>1208</v>
      </c>
      <c r="D346" s="1" t="s">
        <v>690</v>
      </c>
      <c r="E346" t="s">
        <v>1995</v>
      </c>
      <c r="H346" s="2" t="str">
        <f>INDEX(Type!I:I,MATCH(D346,Type!A:A,0))</f>
        <v>v(v)</v>
      </c>
    </row>
    <row r="347" spans="1:8" x14ac:dyDescent="0.55000000000000004">
      <c r="A347" s="1">
        <v>353</v>
      </c>
      <c r="B347" s="1" t="s">
        <v>691</v>
      </c>
      <c r="C347" s="1" t="s">
        <v>1208</v>
      </c>
      <c r="D347" s="1" t="s">
        <v>692</v>
      </c>
      <c r="E347" t="s">
        <v>2480</v>
      </c>
      <c r="H347" s="2" t="str">
        <f>INDEX(Type!I:I,MATCH(D347,Type!A:A,0))</f>
        <v>v(v, v)</v>
      </c>
    </row>
    <row r="348" spans="1:8" x14ac:dyDescent="0.55000000000000004">
      <c r="A348" s="1">
        <v>354</v>
      </c>
      <c r="B348" s="1" t="s">
        <v>693</v>
      </c>
      <c r="C348" s="1" t="s">
        <v>1194</v>
      </c>
      <c r="D348" s="1" t="s">
        <v>694</v>
      </c>
      <c r="E348" t="s">
        <v>2481</v>
      </c>
      <c r="H348" s="2" t="str">
        <f>INDEX(Type!I:I,MATCH(D348,Type!A:A,0))</f>
        <v>v(v, [v])</v>
      </c>
    </row>
    <row r="349" spans="1:8" x14ac:dyDescent="0.55000000000000004">
      <c r="A349" s="1">
        <v>355</v>
      </c>
      <c r="B349" s="1" t="s">
        <v>695</v>
      </c>
      <c r="C349" s="1" t="s">
        <v>1209</v>
      </c>
      <c r="D349" s="1" t="s">
        <v>696</v>
      </c>
      <c r="E349" t="s">
        <v>2482</v>
      </c>
      <c r="H349" s="2" t="str">
        <f>INDEX(Type!I:I,MATCH(D349,Type!A:A,0))</f>
        <v>v([v], [v], [v], [v])</v>
      </c>
    </row>
    <row r="350" spans="1:8" x14ac:dyDescent="0.55000000000000004">
      <c r="A350" s="1">
        <v>356</v>
      </c>
      <c r="B350" s="1" t="s">
        <v>697</v>
      </c>
      <c r="C350" s="1" t="s">
        <v>1209</v>
      </c>
      <c r="D350" s="1" t="s">
        <v>698</v>
      </c>
      <c r="E350" t="s">
        <v>2483</v>
      </c>
      <c r="H350" s="2" t="str">
        <f>INDEX(Type!I:I,MATCH(D350,Type!A:A,0))</f>
        <v>v([v], [v], [v], [v], [v])</v>
      </c>
    </row>
    <row r="351" spans="1:8" x14ac:dyDescent="0.55000000000000004">
      <c r="A351" s="1">
        <v>357</v>
      </c>
      <c r="B351" s="1" t="s">
        <v>699</v>
      </c>
      <c r="C351" s="1" t="s">
        <v>1209</v>
      </c>
      <c r="D351" s="1" t="s">
        <v>700</v>
      </c>
      <c r="E351" t="s">
        <v>2484</v>
      </c>
      <c r="H351" s="2" t="str">
        <f>INDEX(Type!I:I,MATCH(D351,Type!A:A,0))</f>
        <v>r(v, [v])</v>
      </c>
    </row>
    <row r="352" spans="1:8" x14ac:dyDescent="0.55000000000000004">
      <c r="A352" s="1">
        <v>358</v>
      </c>
      <c r="B352" s="1" t="s">
        <v>701</v>
      </c>
      <c r="C352" s="1" t="s">
        <v>1196</v>
      </c>
      <c r="D352" s="1" t="s">
        <v>702</v>
      </c>
      <c r="E352" t="s">
        <v>2485</v>
      </c>
      <c r="H352" s="2" t="str">
        <f>INDEX(Type!I:I,MATCH(D352,Type!A:A,0))</f>
        <v>v(vr, vr, [v], [v], v, v)</v>
      </c>
    </row>
    <row r="353" spans="1:8" x14ac:dyDescent="0.55000000000000004">
      <c r="A353" s="1">
        <v>359</v>
      </c>
      <c r="B353" s="1" t="s">
        <v>703</v>
      </c>
      <c r="C353" s="1" t="s">
        <v>1196</v>
      </c>
      <c r="D353" s="1" t="s">
        <v>704</v>
      </c>
      <c r="E353" t="s">
        <v>2486</v>
      </c>
      <c r="H353" s="2" t="str">
        <f>INDEX(Type!I:I,MATCH(D353,Type!A:A,0))</f>
        <v>va(v, [va])</v>
      </c>
    </row>
    <row r="354" spans="1:8" x14ac:dyDescent="0.55000000000000004">
      <c r="A354" s="1">
        <v>360</v>
      </c>
      <c r="B354" s="1" t="s">
        <v>705</v>
      </c>
      <c r="C354" s="1" t="s">
        <v>1198</v>
      </c>
      <c r="D354" s="1" t="s">
        <v>706</v>
      </c>
      <c r="E354" t="s">
        <v>1221</v>
      </c>
      <c r="H354" s="2" t="str">
        <f>INDEX(Type!I:I,MATCH(D354,Type!A:A,0))</f>
        <v>v(r)</v>
      </c>
    </row>
    <row r="355" spans="1:8" x14ac:dyDescent="0.55000000000000004">
      <c r="A355" s="1">
        <v>361</v>
      </c>
      <c r="B355" s="1" t="s">
        <v>707</v>
      </c>
      <c r="C355" s="1" t="s">
        <v>1199</v>
      </c>
      <c r="D355" s="1" t="s">
        <v>708</v>
      </c>
      <c r="E355" t="s">
        <v>2322</v>
      </c>
      <c r="H355" s="2" t="str">
        <f>INDEX(Type!I:I,MATCH(D355,Type!A:A,0))</f>
        <v>v(var, [var], …)</v>
      </c>
    </row>
    <row r="356" spans="1:8" x14ac:dyDescent="0.55000000000000004">
      <c r="A356" s="1">
        <v>362</v>
      </c>
      <c r="B356" s="1" t="s">
        <v>709</v>
      </c>
      <c r="C356" s="1" t="s">
        <v>1199</v>
      </c>
      <c r="D356" s="1" t="s">
        <v>710</v>
      </c>
      <c r="E356" t="s">
        <v>2322</v>
      </c>
      <c r="H356" s="2" t="str">
        <f>INDEX(Type!I:I,MATCH(D356,Type!A:A,0))</f>
        <v>v(var, [var], …)</v>
      </c>
    </row>
    <row r="357" spans="1:8" x14ac:dyDescent="0.55000000000000004">
      <c r="A357" s="1">
        <v>363</v>
      </c>
      <c r="B357" s="1" t="s">
        <v>711</v>
      </c>
      <c r="C357" s="1" t="s">
        <v>1199</v>
      </c>
      <c r="D357" s="1" t="s">
        <v>712</v>
      </c>
      <c r="E357" t="s">
        <v>2322</v>
      </c>
      <c r="H357" s="2" t="str">
        <f>INDEX(Type!I:I,MATCH(D357,Type!A:A,0))</f>
        <v>v(var, [var], …)</v>
      </c>
    </row>
    <row r="358" spans="1:8" x14ac:dyDescent="0.55000000000000004">
      <c r="A358" s="1">
        <v>364</v>
      </c>
      <c r="B358" s="1" t="s">
        <v>713</v>
      </c>
      <c r="C358" s="1" t="s">
        <v>1199</v>
      </c>
      <c r="D358" s="1" t="s">
        <v>714</v>
      </c>
      <c r="E358" t="s">
        <v>2322</v>
      </c>
      <c r="H358" s="2" t="str">
        <f>INDEX(Type!I:I,MATCH(D358,Type!A:A,0))</f>
        <v>v(var, [var], …)</v>
      </c>
    </row>
    <row r="359" spans="1:8" x14ac:dyDescent="0.55000000000000004">
      <c r="A359" s="1">
        <v>365</v>
      </c>
      <c r="B359" s="1" t="s">
        <v>715</v>
      </c>
      <c r="C359" s="1" t="s">
        <v>1199</v>
      </c>
      <c r="D359" s="1" t="s">
        <v>716</v>
      </c>
      <c r="E359" t="s">
        <v>2322</v>
      </c>
      <c r="H359" s="2" t="str">
        <f>INDEX(Type!I:I,MATCH(D359,Type!A:A,0))</f>
        <v>v(var, [var], …)</v>
      </c>
    </row>
    <row r="360" spans="1:8" x14ac:dyDescent="0.55000000000000004">
      <c r="A360" s="1">
        <v>366</v>
      </c>
      <c r="B360" s="1" t="s">
        <v>717</v>
      </c>
      <c r="C360" s="1" t="s">
        <v>1199</v>
      </c>
      <c r="D360" s="1" t="s">
        <v>718</v>
      </c>
      <c r="E360" t="s">
        <v>2322</v>
      </c>
      <c r="H360" s="2" t="str">
        <f>INDEX(Type!I:I,MATCH(D360,Type!A:A,0))</f>
        <v>v(var, [var], …)</v>
      </c>
    </row>
    <row r="361" spans="1:8" x14ac:dyDescent="0.55000000000000004">
      <c r="A361" s="1">
        <v>367</v>
      </c>
      <c r="B361" s="1" t="s">
        <v>719</v>
      </c>
      <c r="C361" s="1" t="s">
        <v>1199</v>
      </c>
      <c r="D361" s="1" t="s">
        <v>720</v>
      </c>
      <c r="E361" t="s">
        <v>2322</v>
      </c>
      <c r="H361" s="2" t="str">
        <f>INDEX(Type!I:I,MATCH(D361,Type!A:A,0))</f>
        <v>v(var, [var], …)</v>
      </c>
    </row>
    <row r="362" spans="1:8" x14ac:dyDescent="0.55000000000000004">
      <c r="A362" s="1">
        <v>368</v>
      </c>
      <c r="B362" s="1" t="s">
        <v>721</v>
      </c>
      <c r="C362" s="1" t="s">
        <v>1198</v>
      </c>
      <c r="D362" s="1" t="s">
        <v>722</v>
      </c>
      <c r="E362" t="s">
        <v>1223</v>
      </c>
      <c r="H362" s="2" t="str">
        <f>INDEX(Type!I:I,MATCH(D362,Type!A:A,0))</f>
        <v>v(v)</v>
      </c>
    </row>
    <row r="363" spans="1:8" x14ac:dyDescent="0.55000000000000004">
      <c r="A363" s="1">
        <v>369</v>
      </c>
      <c r="B363" s="1" t="s">
        <v>723</v>
      </c>
      <c r="C363" s="1" t="s">
        <v>1208</v>
      </c>
      <c r="D363" s="1" t="s">
        <v>724</v>
      </c>
      <c r="E363" t="s">
        <v>1223</v>
      </c>
      <c r="H363" s="2" t="str">
        <f>INDEX(Type!I:I,MATCH(D363,Type!A:A,0))</f>
        <v>v(v)</v>
      </c>
    </row>
    <row r="364" spans="1:8" x14ac:dyDescent="0.55000000000000004">
      <c r="A364" s="1">
        <v>370</v>
      </c>
      <c r="B364" s="1" t="s">
        <v>725</v>
      </c>
      <c r="C364" s="1" t="s">
        <v>1208</v>
      </c>
      <c r="D364" s="1" t="s">
        <v>726</v>
      </c>
      <c r="E364" t="s">
        <v>1223</v>
      </c>
      <c r="H364" s="2" t="str">
        <f>INDEX(Type!I:I,MATCH(D364,Type!A:A,0))</f>
        <v>v(v)</v>
      </c>
    </row>
    <row r="365" spans="1:8" x14ac:dyDescent="0.55000000000000004">
      <c r="A365" s="1">
        <v>371</v>
      </c>
      <c r="B365" s="1" t="s">
        <v>727</v>
      </c>
      <c r="C365" s="1" t="s">
        <v>1208</v>
      </c>
      <c r="D365" s="1" t="s">
        <v>728</v>
      </c>
      <c r="E365" t="s">
        <v>1223</v>
      </c>
      <c r="H365" s="2" t="str">
        <f>INDEX(Type!I:I,MATCH(D365,Type!A:A,0))</f>
        <v>v(v)</v>
      </c>
    </row>
    <row r="366" spans="1:8" x14ac:dyDescent="0.55000000000000004">
      <c r="A366" s="1">
        <v>372</v>
      </c>
      <c r="B366" s="1" t="s">
        <v>729</v>
      </c>
      <c r="C366" s="1" t="s">
        <v>1208</v>
      </c>
      <c r="D366" s="1" t="s">
        <v>730</v>
      </c>
      <c r="E366" t="s">
        <v>1223</v>
      </c>
      <c r="H366" s="2" t="str">
        <f>INDEX(Type!I:I,MATCH(D366,Type!A:A,0))</f>
        <v>v(v)</v>
      </c>
    </row>
    <row r="367" spans="1:8" x14ac:dyDescent="0.55000000000000004">
      <c r="A367" s="1">
        <v>373</v>
      </c>
      <c r="B367" s="1" t="s">
        <v>731</v>
      </c>
      <c r="C367" s="1" t="s">
        <v>1208</v>
      </c>
      <c r="D367" s="1" t="s">
        <v>732</v>
      </c>
      <c r="E367" t="s">
        <v>1223</v>
      </c>
      <c r="H367" s="2" t="str">
        <f>INDEX(Type!I:I,MATCH(D367,Type!A:A,0))</f>
        <v>v(v)</v>
      </c>
    </row>
    <row r="368" spans="1:8" x14ac:dyDescent="0.55000000000000004">
      <c r="A368" s="1">
        <v>374</v>
      </c>
      <c r="B368" s="1" t="s">
        <v>733</v>
      </c>
      <c r="C368" s="1" t="s">
        <v>1208</v>
      </c>
      <c r="D368" s="1" t="s">
        <v>734</v>
      </c>
      <c r="E368" t="s">
        <v>1233</v>
      </c>
      <c r="H368" s="2" t="str">
        <f>INDEX(Type!I:I,MATCH(D368,Type!A:A,0))</f>
        <v>v(v)</v>
      </c>
    </row>
    <row r="369" spans="1:8" x14ac:dyDescent="0.55000000000000004">
      <c r="A369" s="1">
        <v>375</v>
      </c>
      <c r="B369" s="1" t="s">
        <v>735</v>
      </c>
      <c r="C369" s="1" t="s">
        <v>1208</v>
      </c>
      <c r="D369" s="1" t="s">
        <v>736</v>
      </c>
      <c r="E369" t="s">
        <v>1233</v>
      </c>
      <c r="H369" s="2" t="str">
        <f>INDEX(Type!I:I,MATCH(D369,Type!A:A,0))</f>
        <v>v(v)</v>
      </c>
    </row>
    <row r="370" spans="1:8" x14ac:dyDescent="0.55000000000000004">
      <c r="A370" s="1">
        <v>376</v>
      </c>
      <c r="B370" s="1" t="s">
        <v>737</v>
      </c>
      <c r="C370" s="1" t="s">
        <v>1208</v>
      </c>
      <c r="D370" s="1" t="s">
        <v>738</v>
      </c>
      <c r="E370" t="s">
        <v>1223</v>
      </c>
      <c r="H370" s="2" t="str">
        <f>INDEX(Type!I:I,MATCH(D370,Type!A:A,0))</f>
        <v>v(v)</v>
      </c>
    </row>
    <row r="371" spans="1:8" x14ac:dyDescent="0.55000000000000004">
      <c r="A371" s="1">
        <v>377</v>
      </c>
      <c r="B371" s="1" t="s">
        <v>739</v>
      </c>
      <c r="C371" s="1" t="s">
        <v>1208</v>
      </c>
      <c r="D371" s="1" t="s">
        <v>740</v>
      </c>
      <c r="E371" t="s">
        <v>1223</v>
      </c>
      <c r="H371" s="2" t="str">
        <f>INDEX(Type!I:I,MATCH(D371,Type!A:A,0))</f>
        <v>v(v)</v>
      </c>
    </row>
    <row r="372" spans="1:8" x14ac:dyDescent="0.55000000000000004">
      <c r="A372" s="1">
        <v>378</v>
      </c>
      <c r="B372" s="1" t="s">
        <v>741</v>
      </c>
      <c r="C372" s="1" t="s">
        <v>1208</v>
      </c>
      <c r="D372" s="1" t="s">
        <v>742</v>
      </c>
      <c r="E372" t="s">
        <v>1223</v>
      </c>
      <c r="H372" s="2" t="str">
        <f>INDEX(Type!I:I,MATCH(D372,Type!A:A,0))</f>
        <v>v(v)</v>
      </c>
    </row>
    <row r="373" spans="1:8" x14ac:dyDescent="0.55000000000000004">
      <c r="A373" s="1">
        <v>379</v>
      </c>
      <c r="B373" s="1" t="s">
        <v>743</v>
      </c>
      <c r="C373" s="1" t="s">
        <v>1196</v>
      </c>
      <c r="D373" s="1" t="s">
        <v>744</v>
      </c>
      <c r="E373" t="s">
        <v>2487</v>
      </c>
      <c r="H373" s="2" t="str">
        <f>INDEX(Type!I:I,MATCH(D373,Type!A:A,0))</f>
        <v>v(v, v, v, [v], …)</v>
      </c>
    </row>
    <row r="374" spans="1:8" x14ac:dyDescent="0.55000000000000004">
      <c r="A374" s="1">
        <v>380</v>
      </c>
      <c r="B374" s="1" t="s">
        <v>745</v>
      </c>
      <c r="C374" s="1" t="s">
        <v>1204</v>
      </c>
      <c r="D374" s="1" t="s">
        <v>746</v>
      </c>
      <c r="E374" t="s">
        <v>2488</v>
      </c>
      <c r="F374" s="1">
        <v>2007</v>
      </c>
      <c r="H374" s="2" t="str">
        <f>INDEX(Type!I:I,MATCH(D374,Type!A:A,0))</f>
        <v>v(v, [var], …)</v>
      </c>
    </row>
    <row r="375" spans="1:8" x14ac:dyDescent="0.55000000000000004">
      <c r="A375" s="1">
        <v>381</v>
      </c>
      <c r="B375" s="1" t="s">
        <v>747</v>
      </c>
      <c r="C375" s="1" t="s">
        <v>1204</v>
      </c>
      <c r="D375" s="1" t="s">
        <v>748</v>
      </c>
      <c r="E375" t="s">
        <v>2489</v>
      </c>
      <c r="F375" s="1">
        <v>2007</v>
      </c>
      <c r="H375" s="2" t="str">
        <f>INDEX(Type!I:I,MATCH(D375,Type!A:A,0))</f>
        <v>v(v, var, [v])</v>
      </c>
    </row>
    <row r="376" spans="1:8" x14ac:dyDescent="0.55000000000000004">
      <c r="A376" s="1">
        <v>382</v>
      </c>
      <c r="B376" s="1" t="s">
        <v>749</v>
      </c>
      <c r="C376" s="1" t="s">
        <v>1204</v>
      </c>
      <c r="D376" s="1" t="s">
        <v>750</v>
      </c>
      <c r="E376" t="s">
        <v>2490</v>
      </c>
      <c r="F376" s="1">
        <v>2007</v>
      </c>
      <c r="H376" s="2" t="str">
        <f>INDEX(Type!I:I,MATCH(D376,Type!A:A,0))</f>
        <v>v(v, v, v)</v>
      </c>
    </row>
    <row r="377" spans="1:8" x14ac:dyDescent="0.55000000000000004">
      <c r="A377" s="1">
        <v>383</v>
      </c>
      <c r="B377" s="1" t="s">
        <v>751</v>
      </c>
      <c r="C377" s="1" t="s">
        <v>1204</v>
      </c>
      <c r="D377" s="1" t="s">
        <v>752</v>
      </c>
      <c r="E377" t="s">
        <v>2491</v>
      </c>
      <c r="F377" s="1">
        <v>2007</v>
      </c>
      <c r="H377" s="2" t="str">
        <f>INDEX(Type!I:I,MATCH(D377,Type!A:A,0))</f>
        <v>v(v, v, v, [v])</v>
      </c>
    </row>
    <row r="378" spans="1:8" x14ac:dyDescent="0.55000000000000004">
      <c r="A378" s="1">
        <v>384</v>
      </c>
      <c r="B378" s="1" t="s">
        <v>753</v>
      </c>
      <c r="C378" s="1" t="s">
        <v>1200</v>
      </c>
      <c r="D378" s="1" t="s">
        <v>754</v>
      </c>
      <c r="E378" t="s">
        <v>2492</v>
      </c>
      <c r="F378" s="1">
        <v>2007</v>
      </c>
      <c r="G378" s="1" t="s">
        <v>1190</v>
      </c>
      <c r="H378" s="2" t="str">
        <f>INDEX(Type!I:I,MATCH(D378,Type!A:A,0))</f>
        <v>v(vr, [vr])</v>
      </c>
    </row>
    <row r="379" spans="1:8" x14ac:dyDescent="0.55000000000000004">
      <c r="A379" s="1">
        <v>385</v>
      </c>
      <c r="B379" s="1" t="s">
        <v>755</v>
      </c>
      <c r="C379" s="1" t="s">
        <v>1200</v>
      </c>
      <c r="D379" s="1" t="s">
        <v>756</v>
      </c>
      <c r="E379" t="s">
        <v>1223</v>
      </c>
      <c r="F379" s="1">
        <v>2007</v>
      </c>
      <c r="G379" s="1" t="s">
        <v>1190</v>
      </c>
      <c r="H379" s="2" t="str">
        <f>INDEX(Type!I:I,MATCH(D379,Type!A:A,0))</f>
        <v>v(vr)</v>
      </c>
    </row>
    <row r="380" spans="1:8" x14ac:dyDescent="0.55000000000000004">
      <c r="A380" s="1">
        <v>386</v>
      </c>
      <c r="B380" s="1" t="s">
        <v>757</v>
      </c>
      <c r="C380" s="1" t="s">
        <v>1200</v>
      </c>
      <c r="D380" s="1" t="s">
        <v>758</v>
      </c>
      <c r="E380" t="s">
        <v>2492</v>
      </c>
      <c r="F380" s="1">
        <v>2007</v>
      </c>
      <c r="G380" s="1" t="s">
        <v>1190</v>
      </c>
      <c r="H380" s="2" t="str">
        <f>INDEX(Type!I:I,MATCH(D380,Type!A:A,0))</f>
        <v>v(vr, [vr])</v>
      </c>
    </row>
    <row r="381" spans="1:8" x14ac:dyDescent="0.55000000000000004">
      <c r="A381" s="1">
        <v>387</v>
      </c>
      <c r="B381" s="1" t="s">
        <v>759</v>
      </c>
      <c r="C381" s="1" t="s">
        <v>1200</v>
      </c>
      <c r="D381" s="1" t="s">
        <v>760</v>
      </c>
      <c r="E381" t="s">
        <v>2492</v>
      </c>
      <c r="F381" s="1">
        <v>2007</v>
      </c>
      <c r="G381" s="1" t="s">
        <v>1190</v>
      </c>
      <c r="H381" s="2" t="str">
        <f>INDEX(Type!I:I,MATCH(D381,Type!A:A,0))</f>
        <v>v(vr, [vr])</v>
      </c>
    </row>
    <row r="382" spans="1:8" x14ac:dyDescent="0.55000000000000004">
      <c r="A382" s="1">
        <v>388</v>
      </c>
      <c r="B382" s="1" t="s">
        <v>761</v>
      </c>
      <c r="C382" s="1" t="s">
        <v>1200</v>
      </c>
      <c r="D382" s="1" t="s">
        <v>762</v>
      </c>
      <c r="E382" t="s">
        <v>2492</v>
      </c>
      <c r="F382" s="1">
        <v>2007</v>
      </c>
      <c r="G382" s="1" t="s">
        <v>1190</v>
      </c>
      <c r="H382" s="2" t="str">
        <f>INDEX(Type!I:I,MATCH(D382,Type!A:A,0))</f>
        <v>v(vr, [vr])</v>
      </c>
    </row>
    <row r="383" spans="1:8" x14ac:dyDescent="0.55000000000000004">
      <c r="A383" s="1">
        <v>389</v>
      </c>
      <c r="B383" s="1" t="s">
        <v>763</v>
      </c>
      <c r="C383" s="1" t="s">
        <v>1200</v>
      </c>
      <c r="D383" s="1" t="s">
        <v>764</v>
      </c>
      <c r="E383" t="s">
        <v>2492</v>
      </c>
      <c r="F383" s="1">
        <v>2007</v>
      </c>
      <c r="G383" s="1" t="s">
        <v>1190</v>
      </c>
      <c r="H383" s="2" t="str">
        <f>INDEX(Type!I:I,MATCH(D383,Type!A:A,0))</f>
        <v>v(vr, [vr])</v>
      </c>
    </row>
    <row r="384" spans="1:8" x14ac:dyDescent="0.55000000000000004">
      <c r="A384" s="1">
        <v>390</v>
      </c>
      <c r="B384" s="1" t="s">
        <v>765</v>
      </c>
      <c r="C384" s="1" t="s">
        <v>1200</v>
      </c>
      <c r="D384" s="1" t="s">
        <v>766</v>
      </c>
      <c r="E384" t="s">
        <v>2492</v>
      </c>
      <c r="F384" s="1">
        <v>2007</v>
      </c>
      <c r="G384" s="1" t="s">
        <v>1190</v>
      </c>
      <c r="H384" s="2" t="str">
        <f>INDEX(Type!I:I,MATCH(D384,Type!A:A,0))</f>
        <v>v(vr, [vr])</v>
      </c>
    </row>
    <row r="385" spans="1:8" x14ac:dyDescent="0.55000000000000004">
      <c r="A385" s="1">
        <v>391</v>
      </c>
      <c r="B385" s="1" t="s">
        <v>767</v>
      </c>
      <c r="C385" s="1" t="s">
        <v>1200</v>
      </c>
      <c r="D385" s="1" t="s">
        <v>768</v>
      </c>
      <c r="E385" t="s">
        <v>2492</v>
      </c>
      <c r="F385" s="1">
        <v>2007</v>
      </c>
      <c r="G385" s="1" t="s">
        <v>1190</v>
      </c>
      <c r="H385" s="2" t="str">
        <f>INDEX(Type!I:I,MATCH(D385,Type!A:A,0))</f>
        <v>v(vr, [vr])</v>
      </c>
    </row>
    <row r="386" spans="1:8" x14ac:dyDescent="0.55000000000000004">
      <c r="A386" s="1">
        <v>392</v>
      </c>
      <c r="B386" s="1" t="s">
        <v>769</v>
      </c>
      <c r="C386" s="1" t="s">
        <v>1200</v>
      </c>
      <c r="D386" s="1" t="s">
        <v>770</v>
      </c>
      <c r="E386" t="s">
        <v>1223</v>
      </c>
      <c r="F386" s="1">
        <v>2007</v>
      </c>
      <c r="G386" s="1" t="s">
        <v>1190</v>
      </c>
      <c r="H386" s="2" t="str">
        <f>INDEX(Type!I:I,MATCH(D386,Type!A:A,0))</f>
        <v>v(vr)</v>
      </c>
    </row>
    <row r="387" spans="1:8" x14ac:dyDescent="0.55000000000000004">
      <c r="A387" s="1">
        <v>393</v>
      </c>
      <c r="B387" s="1" t="s">
        <v>771</v>
      </c>
      <c r="C387" s="1" t="s">
        <v>1200</v>
      </c>
      <c r="D387" s="1" t="s">
        <v>772</v>
      </c>
      <c r="E387" t="s">
        <v>1223</v>
      </c>
      <c r="F387" s="1">
        <v>2007</v>
      </c>
      <c r="G387" s="1" t="s">
        <v>1190</v>
      </c>
      <c r="H387" s="2" t="str">
        <f>INDEX(Type!I:I,MATCH(D387,Type!A:A,0))</f>
        <v>v(vr)</v>
      </c>
    </row>
    <row r="388" spans="1:8" x14ac:dyDescent="0.55000000000000004">
      <c r="A388" s="1">
        <v>394</v>
      </c>
      <c r="B388" s="1" t="s">
        <v>773</v>
      </c>
      <c r="C388" s="1" t="s">
        <v>1200</v>
      </c>
      <c r="D388" s="1" t="s">
        <v>774</v>
      </c>
      <c r="E388" t="s">
        <v>2492</v>
      </c>
      <c r="F388" s="1">
        <v>2007</v>
      </c>
      <c r="G388" s="1" t="s">
        <v>1190</v>
      </c>
      <c r="H388" s="2" t="str">
        <f>INDEX(Type!I:I,MATCH(D388,Type!A:A,0))</f>
        <v>v(vr, [vr])</v>
      </c>
    </row>
    <row r="389" spans="1:8" x14ac:dyDescent="0.55000000000000004">
      <c r="A389" s="1">
        <v>395</v>
      </c>
      <c r="B389" s="1" t="s">
        <v>775</v>
      </c>
      <c r="C389" s="1" t="s">
        <v>1200</v>
      </c>
      <c r="D389" s="1" t="s">
        <v>776</v>
      </c>
      <c r="E389" t="s">
        <v>2492</v>
      </c>
      <c r="F389" s="1">
        <v>2007</v>
      </c>
      <c r="G389" s="1" t="s">
        <v>1190</v>
      </c>
      <c r="H389" s="2" t="str">
        <f>INDEX(Type!I:I,MATCH(D389,Type!A:A,0))</f>
        <v>v(vr, [vr])</v>
      </c>
    </row>
    <row r="390" spans="1:8" x14ac:dyDescent="0.55000000000000004">
      <c r="A390" s="1">
        <v>396</v>
      </c>
      <c r="B390" s="1" t="s">
        <v>777</v>
      </c>
      <c r="C390" s="1" t="s">
        <v>1200</v>
      </c>
      <c r="D390" s="1" t="s">
        <v>778</v>
      </c>
      <c r="E390" t="s">
        <v>2493</v>
      </c>
      <c r="F390" s="1">
        <v>2007</v>
      </c>
      <c r="G390" s="1" t="s">
        <v>1190</v>
      </c>
      <c r="H390" s="2" t="str">
        <f>INDEX(Type!I:I,MATCH(D390,Type!A:A,0))</f>
        <v>v(vr, vr)</v>
      </c>
    </row>
    <row r="391" spans="1:8" x14ac:dyDescent="0.55000000000000004">
      <c r="A391" s="1">
        <v>397</v>
      </c>
      <c r="B391" s="1" t="s">
        <v>779</v>
      </c>
      <c r="C391" s="1" t="s">
        <v>1200</v>
      </c>
      <c r="D391" s="1" t="s">
        <v>780</v>
      </c>
      <c r="E391" t="s">
        <v>2493</v>
      </c>
      <c r="F391" s="1">
        <v>2007</v>
      </c>
      <c r="G391" s="1" t="s">
        <v>1190</v>
      </c>
      <c r="H391" s="2" t="str">
        <f>INDEX(Type!I:I,MATCH(D391,Type!A:A,0))</f>
        <v>v(vr, vr)</v>
      </c>
    </row>
    <row r="392" spans="1:8" x14ac:dyDescent="0.55000000000000004">
      <c r="A392" s="1">
        <v>398</v>
      </c>
      <c r="B392" s="1" t="s">
        <v>781</v>
      </c>
      <c r="C392" s="1" t="s">
        <v>1200</v>
      </c>
      <c r="D392" s="1" t="s">
        <v>782</v>
      </c>
      <c r="E392" t="s">
        <v>2494</v>
      </c>
      <c r="F392" s="1">
        <v>2007</v>
      </c>
      <c r="G392" s="1" t="s">
        <v>1190</v>
      </c>
      <c r="H392" s="2" t="str">
        <f>INDEX(Type!I:I,MATCH(D392,Type!A:A,0))</f>
        <v>v(vr, vr)</v>
      </c>
    </row>
    <row r="393" spans="1:8" x14ac:dyDescent="0.55000000000000004">
      <c r="A393" s="1">
        <v>399</v>
      </c>
      <c r="B393" s="1" t="s">
        <v>783</v>
      </c>
      <c r="C393" s="1" t="s">
        <v>1200</v>
      </c>
      <c r="D393" s="1" t="s">
        <v>784</v>
      </c>
      <c r="E393" t="s">
        <v>1380</v>
      </c>
      <c r="F393" s="1">
        <v>2007</v>
      </c>
      <c r="G393" s="1" t="s">
        <v>1190</v>
      </c>
      <c r="H393" s="2" t="str">
        <f>INDEX(Type!I:I,MATCH(D393,Type!A:A,0))</f>
        <v>v(vr)</v>
      </c>
    </row>
    <row r="394" spans="1:8" x14ac:dyDescent="0.55000000000000004">
      <c r="A394" s="1">
        <v>400</v>
      </c>
      <c r="B394" s="1" t="s">
        <v>785</v>
      </c>
      <c r="C394" s="1" t="s">
        <v>1200</v>
      </c>
      <c r="D394" s="1" t="s">
        <v>786</v>
      </c>
      <c r="E394" t="s">
        <v>1380</v>
      </c>
      <c r="F394" s="1">
        <v>2007</v>
      </c>
      <c r="G394" s="1" t="s">
        <v>1190</v>
      </c>
      <c r="H394" s="2" t="str">
        <f>INDEX(Type!I:I,MATCH(D394,Type!A:A,0))</f>
        <v>v(vr)</v>
      </c>
    </row>
    <row r="395" spans="1:8" x14ac:dyDescent="0.55000000000000004">
      <c r="A395" s="1">
        <v>401</v>
      </c>
      <c r="B395" s="1" t="s">
        <v>787</v>
      </c>
      <c r="C395" s="1" t="s">
        <v>1200</v>
      </c>
      <c r="D395" s="1" t="s">
        <v>788</v>
      </c>
      <c r="E395" t="s">
        <v>1380</v>
      </c>
      <c r="F395" s="1">
        <v>2007</v>
      </c>
      <c r="G395" s="1" t="s">
        <v>1190</v>
      </c>
      <c r="H395" s="2" t="str">
        <f>INDEX(Type!I:I,MATCH(D395,Type!A:A,0))</f>
        <v>v(vr)</v>
      </c>
    </row>
    <row r="396" spans="1:8" x14ac:dyDescent="0.55000000000000004">
      <c r="A396" s="1">
        <v>402</v>
      </c>
      <c r="B396" s="1" t="s">
        <v>789</v>
      </c>
      <c r="C396" s="1" t="s">
        <v>1200</v>
      </c>
      <c r="D396" s="1" t="s">
        <v>790</v>
      </c>
      <c r="E396" t="s">
        <v>1380</v>
      </c>
      <c r="F396" s="1">
        <v>2007</v>
      </c>
      <c r="G396" s="1" t="s">
        <v>1190</v>
      </c>
      <c r="H396" s="2" t="str">
        <f>INDEX(Type!I:I,MATCH(D396,Type!A:A,0))</f>
        <v>v(vr)</v>
      </c>
    </row>
    <row r="397" spans="1:8" x14ac:dyDescent="0.55000000000000004">
      <c r="A397" s="1">
        <v>403</v>
      </c>
      <c r="B397" s="1" t="s">
        <v>791</v>
      </c>
      <c r="C397" s="1" t="s">
        <v>1200</v>
      </c>
      <c r="D397" s="1" t="s">
        <v>792</v>
      </c>
      <c r="E397" t="s">
        <v>1380</v>
      </c>
      <c r="F397" s="1">
        <v>2007</v>
      </c>
      <c r="G397" s="1" t="s">
        <v>1190</v>
      </c>
      <c r="H397" s="2" t="str">
        <f>INDEX(Type!I:I,MATCH(D397,Type!A:A,0))</f>
        <v>v(vr)</v>
      </c>
    </row>
    <row r="398" spans="1:8" x14ac:dyDescent="0.55000000000000004">
      <c r="A398" s="1">
        <v>404</v>
      </c>
      <c r="B398" s="1" t="s">
        <v>793</v>
      </c>
      <c r="C398" s="1" t="s">
        <v>1200</v>
      </c>
      <c r="D398" s="1" t="s">
        <v>794</v>
      </c>
      <c r="E398" t="s">
        <v>1380</v>
      </c>
      <c r="F398" s="1">
        <v>2007</v>
      </c>
      <c r="G398" s="1" t="s">
        <v>1190</v>
      </c>
      <c r="H398" s="2" t="str">
        <f>INDEX(Type!I:I,MATCH(D398,Type!A:A,0))</f>
        <v>v(vr)</v>
      </c>
    </row>
    <row r="399" spans="1:8" x14ac:dyDescent="0.55000000000000004">
      <c r="A399" s="1">
        <v>405</v>
      </c>
      <c r="B399" s="1" t="s">
        <v>795</v>
      </c>
      <c r="C399" s="1" t="s">
        <v>1200</v>
      </c>
      <c r="D399" s="1" t="s">
        <v>796</v>
      </c>
      <c r="E399" t="s">
        <v>1380</v>
      </c>
      <c r="F399" s="1">
        <v>2007</v>
      </c>
      <c r="G399" s="1" t="s">
        <v>1190</v>
      </c>
      <c r="H399" s="2" t="str">
        <f>INDEX(Type!I:I,MATCH(D399,Type!A:A,0))</f>
        <v>v(vr)</v>
      </c>
    </row>
    <row r="400" spans="1:8" x14ac:dyDescent="0.55000000000000004">
      <c r="A400" s="1">
        <v>406</v>
      </c>
      <c r="B400" s="1" t="s">
        <v>797</v>
      </c>
      <c r="C400" s="1" t="s">
        <v>1200</v>
      </c>
      <c r="D400" s="1" t="s">
        <v>798</v>
      </c>
      <c r="E400" t="s">
        <v>1380</v>
      </c>
      <c r="F400" s="1">
        <v>2007</v>
      </c>
      <c r="G400" s="1" t="s">
        <v>1190</v>
      </c>
      <c r="H400" s="2" t="str">
        <f>INDEX(Type!I:I,MATCH(D400,Type!A:A,0))</f>
        <v>v(vr)</v>
      </c>
    </row>
    <row r="401" spans="1:8" x14ac:dyDescent="0.55000000000000004">
      <c r="A401" s="1">
        <v>407</v>
      </c>
      <c r="B401" s="1" t="s">
        <v>799</v>
      </c>
      <c r="C401" s="1" t="s">
        <v>1200</v>
      </c>
      <c r="D401" s="1" t="s">
        <v>800</v>
      </c>
      <c r="E401" t="s">
        <v>1380</v>
      </c>
      <c r="F401" s="1">
        <v>2007</v>
      </c>
      <c r="G401" s="1" t="s">
        <v>1190</v>
      </c>
      <c r="H401" s="2" t="str">
        <f>INDEX(Type!I:I,MATCH(D401,Type!A:A,0))</f>
        <v>v(vr)</v>
      </c>
    </row>
    <row r="402" spans="1:8" x14ac:dyDescent="0.55000000000000004">
      <c r="A402" s="1">
        <v>408</v>
      </c>
      <c r="B402" s="1" t="s">
        <v>801</v>
      </c>
      <c r="C402" s="1" t="s">
        <v>1200</v>
      </c>
      <c r="D402" s="1" t="s">
        <v>802</v>
      </c>
      <c r="E402" t="s">
        <v>1380</v>
      </c>
      <c r="F402" s="1">
        <v>2007</v>
      </c>
      <c r="G402" s="1" t="s">
        <v>1190</v>
      </c>
      <c r="H402" s="2" t="str">
        <f>INDEX(Type!I:I,MATCH(D402,Type!A:A,0))</f>
        <v>v(vr)</v>
      </c>
    </row>
    <row r="403" spans="1:8" x14ac:dyDescent="0.55000000000000004">
      <c r="A403" s="1">
        <v>409</v>
      </c>
      <c r="B403" s="1" t="s">
        <v>803</v>
      </c>
      <c r="C403" s="1" t="s">
        <v>1200</v>
      </c>
      <c r="D403" s="1" t="s">
        <v>804</v>
      </c>
      <c r="E403" t="s">
        <v>1380</v>
      </c>
      <c r="F403" s="1">
        <v>2007</v>
      </c>
      <c r="G403" s="1" t="s">
        <v>1190</v>
      </c>
      <c r="H403" s="2" t="str">
        <f>INDEX(Type!I:I,MATCH(D403,Type!A:A,0))</f>
        <v>v(vr)</v>
      </c>
    </row>
    <row r="404" spans="1:8" x14ac:dyDescent="0.55000000000000004">
      <c r="A404" s="1">
        <v>410</v>
      </c>
      <c r="B404" s="1" t="s">
        <v>805</v>
      </c>
      <c r="C404" s="1" t="s">
        <v>1200</v>
      </c>
      <c r="D404" s="1" t="s">
        <v>806</v>
      </c>
      <c r="E404" t="s">
        <v>1380</v>
      </c>
      <c r="F404" s="1">
        <v>2007</v>
      </c>
      <c r="G404" s="1" t="s">
        <v>1190</v>
      </c>
      <c r="H404" s="2" t="str">
        <f>INDEX(Type!I:I,MATCH(D404,Type!A:A,0))</f>
        <v>v(vr)</v>
      </c>
    </row>
    <row r="405" spans="1:8" x14ac:dyDescent="0.55000000000000004">
      <c r="A405" s="1">
        <v>411</v>
      </c>
      <c r="B405" s="1" t="s">
        <v>807</v>
      </c>
      <c r="C405" s="1" t="s">
        <v>1200</v>
      </c>
      <c r="D405" s="1" t="s">
        <v>808</v>
      </c>
      <c r="E405" t="s">
        <v>2495</v>
      </c>
      <c r="F405" s="1">
        <v>2007</v>
      </c>
      <c r="G405" s="1" t="s">
        <v>1190</v>
      </c>
      <c r="H405" s="2" t="str">
        <f>INDEX(Type!I:I,MATCH(D405,Type!A:A,0))</f>
        <v>v(vr, vr, [vr])</v>
      </c>
    </row>
    <row r="406" spans="1:8" x14ac:dyDescent="0.55000000000000004">
      <c r="A406" s="1">
        <v>412</v>
      </c>
      <c r="B406" s="1" t="s">
        <v>809</v>
      </c>
      <c r="C406" s="1" t="s">
        <v>1200</v>
      </c>
      <c r="D406" s="1" t="s">
        <v>810</v>
      </c>
      <c r="E406" t="s">
        <v>2496</v>
      </c>
      <c r="F406" s="1">
        <v>2007</v>
      </c>
      <c r="G406" s="1" t="s">
        <v>1190</v>
      </c>
      <c r="H406" s="2" t="str">
        <f>INDEX(Type!I:I,MATCH(D406,Type!A:A,0))</f>
        <v>v(var, [var], …)</v>
      </c>
    </row>
    <row r="407" spans="1:8" x14ac:dyDescent="0.55000000000000004">
      <c r="A407" s="1">
        <v>413</v>
      </c>
      <c r="B407" s="1" t="s">
        <v>811</v>
      </c>
      <c r="C407" s="1" t="s">
        <v>1200</v>
      </c>
      <c r="D407" s="1" t="s">
        <v>812</v>
      </c>
      <c r="E407" t="s">
        <v>2496</v>
      </c>
      <c r="F407" s="1">
        <v>2007</v>
      </c>
      <c r="G407" s="1" t="s">
        <v>1190</v>
      </c>
      <c r="H407" s="2" t="str">
        <f>INDEX(Type!I:I,MATCH(D407,Type!A:A,0))</f>
        <v>v(var, [var], …)</v>
      </c>
    </row>
    <row r="408" spans="1:8" x14ac:dyDescent="0.55000000000000004">
      <c r="A408" s="1">
        <v>414</v>
      </c>
      <c r="B408" s="1" t="s">
        <v>813</v>
      </c>
      <c r="C408" s="1" t="s">
        <v>1194</v>
      </c>
      <c r="D408" s="1" t="s">
        <v>814</v>
      </c>
      <c r="E408" t="s">
        <v>2497</v>
      </c>
      <c r="F408" s="1">
        <v>2007</v>
      </c>
      <c r="G408" s="1" t="s">
        <v>1190</v>
      </c>
      <c r="H408" s="2" t="str">
        <f>INDEX(Type!I:I,MATCH(D408,Type!A:A,0))</f>
        <v>v(vr, vr, vr, var)</v>
      </c>
    </row>
    <row r="409" spans="1:8" x14ac:dyDescent="0.55000000000000004">
      <c r="A409" s="1">
        <v>415</v>
      </c>
      <c r="B409" s="1" t="s">
        <v>815</v>
      </c>
      <c r="C409" s="1" t="s">
        <v>1194</v>
      </c>
      <c r="D409" s="1" t="s">
        <v>816</v>
      </c>
      <c r="E409" t="s">
        <v>1223</v>
      </c>
      <c r="F409" s="1">
        <v>2007</v>
      </c>
      <c r="G409" s="1" t="s">
        <v>1190</v>
      </c>
      <c r="H409" s="2" t="str">
        <f>INDEX(Type!I:I,MATCH(D409,Type!A:A,0))</f>
        <v>v(vr)</v>
      </c>
    </row>
    <row r="410" spans="1:8" x14ac:dyDescent="0.55000000000000004">
      <c r="A410" s="1">
        <v>416</v>
      </c>
      <c r="B410" s="1" t="s">
        <v>817</v>
      </c>
      <c r="C410" s="1" t="s">
        <v>1194</v>
      </c>
      <c r="D410" s="1" t="s">
        <v>818</v>
      </c>
      <c r="E410" t="s">
        <v>1223</v>
      </c>
      <c r="F410" s="1">
        <v>2007</v>
      </c>
      <c r="G410" s="1" t="s">
        <v>1190</v>
      </c>
      <c r="H410" s="2" t="str">
        <f>INDEX(Type!I:I,MATCH(D410,Type!A:A,0))</f>
        <v>v(vr)</v>
      </c>
    </row>
    <row r="411" spans="1:8" x14ac:dyDescent="0.55000000000000004">
      <c r="A411" s="1">
        <v>417</v>
      </c>
      <c r="B411" s="1" t="s">
        <v>819</v>
      </c>
      <c r="C411" s="1" t="s">
        <v>1194</v>
      </c>
      <c r="D411" s="1" t="s">
        <v>820</v>
      </c>
      <c r="E411" t="s">
        <v>2498</v>
      </c>
      <c r="F411" s="1">
        <v>2007</v>
      </c>
      <c r="G411" s="1" t="s">
        <v>1190</v>
      </c>
      <c r="H411" s="2" t="str">
        <f>INDEX(Type!I:I,MATCH(D411,Type!A:A,0))</f>
        <v>v(vr, vr)</v>
      </c>
    </row>
    <row r="412" spans="1:8" x14ac:dyDescent="0.55000000000000004">
      <c r="A412" s="1">
        <v>418</v>
      </c>
      <c r="B412" s="1" t="s">
        <v>821</v>
      </c>
      <c r="C412" s="1" t="s">
        <v>1200</v>
      </c>
      <c r="D412" s="1" t="s">
        <v>822</v>
      </c>
      <c r="E412" t="s">
        <v>2499</v>
      </c>
      <c r="F412" s="1">
        <v>2007</v>
      </c>
      <c r="G412" s="1" t="s">
        <v>1190</v>
      </c>
      <c r="H412" s="2" t="str">
        <f>INDEX(Type!I:I,MATCH(D412,Type!A:A,0))</f>
        <v>v(vr, [vr])</v>
      </c>
    </row>
    <row r="413" spans="1:8" x14ac:dyDescent="0.55000000000000004">
      <c r="A413" s="1">
        <v>419</v>
      </c>
      <c r="B413" s="1" t="s">
        <v>823</v>
      </c>
      <c r="C413" s="1" t="s">
        <v>1200</v>
      </c>
      <c r="D413" s="1" t="s">
        <v>824</v>
      </c>
      <c r="E413" t="s">
        <v>2500</v>
      </c>
      <c r="F413" s="1">
        <v>2007</v>
      </c>
      <c r="G413" s="1" t="s">
        <v>1190</v>
      </c>
      <c r="H413" s="2" t="str">
        <f>INDEX(Type!I:I,MATCH(D413,Type!A:A,0))</f>
        <v>v(vr, [vr])</v>
      </c>
    </row>
    <row r="414" spans="1:8" x14ac:dyDescent="0.55000000000000004">
      <c r="A414" s="1">
        <v>420</v>
      </c>
      <c r="B414" s="1" t="s">
        <v>825</v>
      </c>
      <c r="C414" s="1" t="s">
        <v>1203</v>
      </c>
      <c r="D414" s="1" t="s">
        <v>826</v>
      </c>
      <c r="E414" t="s">
        <v>1223</v>
      </c>
      <c r="F414" s="1">
        <v>2007</v>
      </c>
      <c r="G414" s="1" t="s">
        <v>1190</v>
      </c>
      <c r="H414" s="2" t="str">
        <f>INDEX(Type!I:I,MATCH(D414,Type!A:A,0))</f>
        <v>v(vr)</v>
      </c>
    </row>
    <row r="415" spans="1:8" x14ac:dyDescent="0.55000000000000004">
      <c r="A415" s="1">
        <v>421</v>
      </c>
      <c r="B415" s="1" t="s">
        <v>827</v>
      </c>
      <c r="C415" s="1" t="s">
        <v>1203</v>
      </c>
      <c r="D415" s="1" t="s">
        <v>828</v>
      </c>
      <c r="E415" t="s">
        <v>1223</v>
      </c>
      <c r="F415" s="1">
        <v>2007</v>
      </c>
      <c r="G415" s="1" t="s">
        <v>1190</v>
      </c>
      <c r="H415" s="2" t="str">
        <f>INDEX(Type!I:I,MATCH(D415,Type!A:A,0))</f>
        <v>v(vr)</v>
      </c>
    </row>
    <row r="416" spans="1:8" x14ac:dyDescent="0.55000000000000004">
      <c r="A416" s="1">
        <v>422</v>
      </c>
      <c r="B416" s="1" t="s">
        <v>829</v>
      </c>
      <c r="C416" s="1" t="s">
        <v>1194</v>
      </c>
      <c r="D416" s="1" t="s">
        <v>830</v>
      </c>
      <c r="E416" t="s">
        <v>2501</v>
      </c>
      <c r="F416" s="1">
        <v>2007</v>
      </c>
      <c r="G416" s="1" t="s">
        <v>1190</v>
      </c>
      <c r="H416" s="2" t="str">
        <f>INDEX(Type!I:I,MATCH(D416,Type!A:A,0))</f>
        <v>v(vr, vr)</v>
      </c>
    </row>
    <row r="417" spans="1:8" x14ac:dyDescent="0.55000000000000004">
      <c r="A417" s="1">
        <v>423</v>
      </c>
      <c r="B417" s="1" t="s">
        <v>831</v>
      </c>
      <c r="C417" s="1" t="s">
        <v>1200</v>
      </c>
      <c r="D417" s="1" t="s">
        <v>832</v>
      </c>
      <c r="E417" t="s">
        <v>2502</v>
      </c>
      <c r="F417" s="1">
        <v>2007</v>
      </c>
      <c r="G417" s="1" t="s">
        <v>1190</v>
      </c>
      <c r="H417" s="2" t="str">
        <f>INDEX(Type!I:I,MATCH(D417,Type!A:A,0))</f>
        <v>v(vr, [vr])</v>
      </c>
    </row>
    <row r="418" spans="1:8" x14ac:dyDescent="0.55000000000000004">
      <c r="A418" s="1">
        <v>424</v>
      </c>
      <c r="B418" s="1" t="s">
        <v>833</v>
      </c>
      <c r="C418" s="1" t="s">
        <v>1200</v>
      </c>
      <c r="D418" s="1" t="s">
        <v>834</v>
      </c>
      <c r="E418" t="s">
        <v>1316</v>
      </c>
      <c r="F418" s="1">
        <v>2007</v>
      </c>
      <c r="G418" s="1" t="s">
        <v>1190</v>
      </c>
      <c r="H418" s="2" t="str">
        <f>INDEX(Type!I:I,MATCH(D418,Type!A:A,0))</f>
        <v>v(vr)</v>
      </c>
    </row>
    <row r="419" spans="1:8" x14ac:dyDescent="0.55000000000000004">
      <c r="A419" s="1">
        <v>425</v>
      </c>
      <c r="B419" s="1" t="s">
        <v>835</v>
      </c>
      <c r="C419" s="1" t="s">
        <v>1200</v>
      </c>
      <c r="D419" s="1" t="s">
        <v>836</v>
      </c>
      <c r="E419" t="s">
        <v>2503</v>
      </c>
      <c r="F419" s="1">
        <v>2007</v>
      </c>
      <c r="G419" s="1" t="s">
        <v>1190</v>
      </c>
      <c r="H419" s="2" t="str">
        <f>INDEX(Type!I:I,MATCH(D419,Type!A:A,0))</f>
        <v>v(vr, vr)</v>
      </c>
    </row>
    <row r="420" spans="1:8" x14ac:dyDescent="0.55000000000000004">
      <c r="A420" s="1">
        <v>426</v>
      </c>
      <c r="B420" s="1" t="s">
        <v>837</v>
      </c>
      <c r="C420" s="1" t="s">
        <v>1200</v>
      </c>
      <c r="D420" s="1" t="s">
        <v>838</v>
      </c>
      <c r="E420" t="s">
        <v>2503</v>
      </c>
      <c r="F420" s="1">
        <v>2007</v>
      </c>
      <c r="G420" s="1" t="s">
        <v>1190</v>
      </c>
      <c r="H420" s="2" t="str">
        <f>INDEX(Type!I:I,MATCH(D420,Type!A:A,0))</f>
        <v>v(vr, vr)</v>
      </c>
    </row>
    <row r="421" spans="1:8" x14ac:dyDescent="0.55000000000000004">
      <c r="A421" s="1">
        <v>427</v>
      </c>
      <c r="B421" s="1" t="s">
        <v>839</v>
      </c>
      <c r="C421" s="1" t="s">
        <v>1200</v>
      </c>
      <c r="D421" s="1" t="s">
        <v>840</v>
      </c>
      <c r="E421" t="s">
        <v>2503</v>
      </c>
      <c r="F421" s="1">
        <v>2007</v>
      </c>
      <c r="G421" s="1" t="s">
        <v>1190</v>
      </c>
      <c r="H421" s="2" t="str">
        <f>INDEX(Type!I:I,MATCH(D421,Type!A:A,0))</f>
        <v>v(vr, vr)</v>
      </c>
    </row>
    <row r="422" spans="1:8" x14ac:dyDescent="0.55000000000000004">
      <c r="A422" s="1">
        <v>428</v>
      </c>
      <c r="B422" s="1" t="s">
        <v>841</v>
      </c>
      <c r="C422" s="1" t="s">
        <v>1200</v>
      </c>
      <c r="D422" s="1" t="s">
        <v>842</v>
      </c>
      <c r="E422" t="s">
        <v>2503</v>
      </c>
      <c r="F422" s="1">
        <v>2007</v>
      </c>
      <c r="G422" s="1" t="s">
        <v>1190</v>
      </c>
      <c r="H422" s="2" t="str">
        <f>INDEX(Type!I:I,MATCH(D422,Type!A:A,0))</f>
        <v>v(vr, vr)</v>
      </c>
    </row>
    <row r="423" spans="1:8" x14ac:dyDescent="0.55000000000000004">
      <c r="A423" s="1">
        <v>429</v>
      </c>
      <c r="B423" s="1" t="s">
        <v>843</v>
      </c>
      <c r="C423" s="1" t="s">
        <v>1195</v>
      </c>
      <c r="D423" s="1" t="s">
        <v>844</v>
      </c>
      <c r="E423" t="s">
        <v>2504</v>
      </c>
      <c r="F423" s="1">
        <v>2007</v>
      </c>
      <c r="G423" s="1" t="s">
        <v>1190</v>
      </c>
      <c r="H423" s="2" t="str">
        <f>INDEX(Type!I:I,MATCH(D423,Type!A:A,0))</f>
        <v>v(var, var, [vr])</v>
      </c>
    </row>
    <row r="424" spans="1:8" x14ac:dyDescent="0.55000000000000004">
      <c r="A424" s="1">
        <v>430</v>
      </c>
      <c r="B424" s="1" t="s">
        <v>845</v>
      </c>
      <c r="C424" s="1" t="s">
        <v>1195</v>
      </c>
      <c r="D424" s="1" t="s">
        <v>846</v>
      </c>
      <c r="E424" t="s">
        <v>2505</v>
      </c>
      <c r="F424" s="1">
        <v>2007</v>
      </c>
      <c r="G424" s="1" t="s">
        <v>1190</v>
      </c>
      <c r="H424" s="2" t="str">
        <f>INDEX(Type!I:I,MATCH(D424,Type!A:A,0))</f>
        <v>v(vr, var, var)</v>
      </c>
    </row>
    <row r="425" spans="1:8" x14ac:dyDescent="0.55000000000000004">
      <c r="A425" s="1">
        <v>431</v>
      </c>
      <c r="B425" s="1" t="s">
        <v>847</v>
      </c>
      <c r="C425" s="1" t="s">
        <v>1195</v>
      </c>
      <c r="D425" s="1" t="s">
        <v>848</v>
      </c>
      <c r="E425" t="s">
        <v>2506</v>
      </c>
      <c r="F425" s="1">
        <v>2007</v>
      </c>
      <c r="G425" s="1" t="s">
        <v>1190</v>
      </c>
      <c r="H425" s="2" t="str">
        <f>INDEX(Type!I:I,MATCH(D425,Type!A:A,0))</f>
        <v>v(vr, vr, vr, vr, vr, [vr])</v>
      </c>
    </row>
    <row r="426" spans="1:8" x14ac:dyDescent="0.55000000000000004">
      <c r="A426" s="1">
        <v>432</v>
      </c>
      <c r="B426" s="1" t="s">
        <v>849</v>
      </c>
      <c r="C426" s="1" t="s">
        <v>1195</v>
      </c>
      <c r="D426" s="1" t="s">
        <v>850</v>
      </c>
      <c r="E426" t="s">
        <v>2507</v>
      </c>
      <c r="F426" s="1">
        <v>2007</v>
      </c>
      <c r="G426" s="1" t="s">
        <v>1190</v>
      </c>
      <c r="H426" s="2" t="str">
        <f>INDEX(Type!I:I,MATCH(D426,Type!A:A,0))</f>
        <v>v(vr, vr, vr, vr, vr, [vr])</v>
      </c>
    </row>
    <row r="427" spans="1:8" x14ac:dyDescent="0.55000000000000004">
      <c r="A427" s="1">
        <v>433</v>
      </c>
      <c r="B427" s="1" t="s">
        <v>851</v>
      </c>
      <c r="C427" s="1" t="s">
        <v>1195</v>
      </c>
      <c r="D427" s="1" t="s">
        <v>852</v>
      </c>
      <c r="E427" t="s">
        <v>2508</v>
      </c>
      <c r="F427" s="1">
        <v>2007</v>
      </c>
      <c r="G427" s="1" t="s">
        <v>1190</v>
      </c>
      <c r="H427" s="2" t="str">
        <f>INDEX(Type!I:I,MATCH(D427,Type!A:A,0))</f>
        <v>v(vr, vr, vr, vr, [vr])</v>
      </c>
    </row>
    <row r="428" spans="1:8" x14ac:dyDescent="0.55000000000000004">
      <c r="A428" s="1">
        <v>434</v>
      </c>
      <c r="B428" s="1" t="s">
        <v>853</v>
      </c>
      <c r="C428" s="1" t="s">
        <v>1195</v>
      </c>
      <c r="D428" s="1" t="s">
        <v>854</v>
      </c>
      <c r="E428" t="s">
        <v>2509</v>
      </c>
      <c r="F428" s="1">
        <v>2007</v>
      </c>
      <c r="G428" s="1" t="s">
        <v>1190</v>
      </c>
      <c r="H428" s="2" t="str">
        <f>INDEX(Type!I:I,MATCH(D428,Type!A:A,0))</f>
        <v>v(vr, vr, vr, vr, [vr])</v>
      </c>
    </row>
    <row r="429" spans="1:8" x14ac:dyDescent="0.55000000000000004">
      <c r="A429" s="1">
        <v>435</v>
      </c>
      <c r="B429" s="1" t="s">
        <v>855</v>
      </c>
      <c r="C429" s="1" t="s">
        <v>1195</v>
      </c>
      <c r="D429" s="1" t="s">
        <v>856</v>
      </c>
      <c r="E429" t="s">
        <v>2510</v>
      </c>
      <c r="F429" s="1">
        <v>2007</v>
      </c>
      <c r="G429" s="1" t="s">
        <v>1190</v>
      </c>
      <c r="H429" s="2" t="str">
        <f>INDEX(Type!I:I,MATCH(D429,Type!A:A,0))</f>
        <v>v(vr, vr, vr, vr, [vr])</v>
      </c>
    </row>
    <row r="430" spans="1:8" x14ac:dyDescent="0.55000000000000004">
      <c r="A430" s="1">
        <v>436</v>
      </c>
      <c r="B430" s="1" t="s">
        <v>857</v>
      </c>
      <c r="C430" s="1" t="s">
        <v>1195</v>
      </c>
      <c r="D430" s="1" t="s">
        <v>858</v>
      </c>
      <c r="E430" t="s">
        <v>2511</v>
      </c>
      <c r="F430" s="1">
        <v>2007</v>
      </c>
      <c r="G430" s="1" t="s">
        <v>1190</v>
      </c>
      <c r="H430" s="2" t="str">
        <f>INDEX(Type!I:I,MATCH(D430,Type!A:A,0))</f>
        <v>v(vr, vr, vr, vr, [vr])</v>
      </c>
    </row>
    <row r="431" spans="1:8" x14ac:dyDescent="0.55000000000000004">
      <c r="A431" s="1">
        <v>437</v>
      </c>
      <c r="B431" s="1" t="s">
        <v>859</v>
      </c>
      <c r="C431" s="1" t="s">
        <v>1195</v>
      </c>
      <c r="D431" s="1" t="s">
        <v>860</v>
      </c>
      <c r="E431" t="s">
        <v>2510</v>
      </c>
      <c r="F431" s="1">
        <v>2007</v>
      </c>
      <c r="G431" s="1" t="s">
        <v>1190</v>
      </c>
      <c r="H431" s="2" t="str">
        <f>INDEX(Type!I:I,MATCH(D431,Type!A:A,0))</f>
        <v>v(vr, vr, vr, vr, [vr])</v>
      </c>
    </row>
    <row r="432" spans="1:8" x14ac:dyDescent="0.55000000000000004">
      <c r="A432" s="1">
        <v>438</v>
      </c>
      <c r="B432" s="1" t="s">
        <v>861</v>
      </c>
      <c r="C432" s="1" t="s">
        <v>1195</v>
      </c>
      <c r="D432" s="1" t="s">
        <v>862</v>
      </c>
      <c r="E432" t="s">
        <v>2512</v>
      </c>
      <c r="F432" s="1">
        <v>2007</v>
      </c>
      <c r="G432" s="1" t="s">
        <v>1190</v>
      </c>
      <c r="H432" s="2" t="str">
        <f>INDEX(Type!I:I,MATCH(D432,Type!A:A,0))</f>
        <v>v(vr, vr, vr)</v>
      </c>
    </row>
    <row r="433" spans="1:8" x14ac:dyDescent="0.55000000000000004">
      <c r="A433" s="1">
        <v>439</v>
      </c>
      <c r="B433" s="1" t="s">
        <v>863</v>
      </c>
      <c r="C433" s="1" t="s">
        <v>1195</v>
      </c>
      <c r="D433" s="1" t="s">
        <v>864</v>
      </c>
      <c r="E433" t="s">
        <v>2512</v>
      </c>
      <c r="F433" s="1">
        <v>2007</v>
      </c>
      <c r="G433" s="1" t="s">
        <v>1190</v>
      </c>
      <c r="H433" s="2" t="str">
        <f>INDEX(Type!I:I,MATCH(D433,Type!A:A,0))</f>
        <v>v(vr, vr, vr)</v>
      </c>
    </row>
    <row r="434" spans="1:8" x14ac:dyDescent="0.55000000000000004">
      <c r="A434" s="1">
        <v>440</v>
      </c>
      <c r="B434" s="1" t="s">
        <v>865</v>
      </c>
      <c r="C434" s="1" t="s">
        <v>1195</v>
      </c>
      <c r="D434" s="1" t="s">
        <v>866</v>
      </c>
      <c r="E434" t="s">
        <v>2513</v>
      </c>
      <c r="F434" s="1">
        <v>2007</v>
      </c>
      <c r="G434" s="1" t="s">
        <v>1190</v>
      </c>
      <c r="H434" s="2" t="str">
        <f>INDEX(Type!I:I,MATCH(D434,Type!A:A,0))</f>
        <v>v(vr, vr, vr)</v>
      </c>
    </row>
    <row r="435" spans="1:8" x14ac:dyDescent="0.55000000000000004">
      <c r="A435" s="1">
        <v>441</v>
      </c>
      <c r="B435" s="1" t="s">
        <v>867</v>
      </c>
      <c r="C435" s="1" t="s">
        <v>1195</v>
      </c>
      <c r="D435" s="1" t="s">
        <v>868</v>
      </c>
      <c r="E435" t="s">
        <v>2514</v>
      </c>
      <c r="F435" s="1">
        <v>2007</v>
      </c>
      <c r="G435" s="1" t="s">
        <v>1190</v>
      </c>
      <c r="H435" s="2" t="str">
        <f>INDEX(Type!I:I,MATCH(D435,Type!A:A,0))</f>
        <v>v(vr, vr, vr, vr, vr, vr, [vr])</v>
      </c>
    </row>
    <row r="436" spans="1:8" x14ac:dyDescent="0.55000000000000004">
      <c r="A436" s="1">
        <v>442</v>
      </c>
      <c r="B436" s="1" t="s">
        <v>869</v>
      </c>
      <c r="C436" s="1" t="s">
        <v>1195</v>
      </c>
      <c r="D436" s="1" t="s">
        <v>870</v>
      </c>
      <c r="E436" t="s">
        <v>2515</v>
      </c>
      <c r="F436" s="1">
        <v>2007</v>
      </c>
      <c r="G436" s="1" t="s">
        <v>1190</v>
      </c>
      <c r="H436" s="2" t="str">
        <f>INDEX(Type!I:I,MATCH(D436,Type!A:A,0))</f>
        <v>v(vr, vr, vr, vr, vr, vr, [vr])</v>
      </c>
    </row>
    <row r="437" spans="1:8" x14ac:dyDescent="0.55000000000000004">
      <c r="A437" s="1">
        <v>443</v>
      </c>
      <c r="B437" s="1" t="s">
        <v>871</v>
      </c>
      <c r="C437" s="1" t="s">
        <v>1195</v>
      </c>
      <c r="D437" s="1" t="s">
        <v>872</v>
      </c>
      <c r="E437" t="s">
        <v>2516</v>
      </c>
      <c r="F437" s="1">
        <v>2007</v>
      </c>
      <c r="G437" s="1" t="s">
        <v>1190</v>
      </c>
      <c r="H437" s="2" t="str">
        <f>INDEX(Type!I:I,MATCH(D437,Type!A:A,0))</f>
        <v>v(vr, vr)</v>
      </c>
    </row>
    <row r="438" spans="1:8" x14ac:dyDescent="0.55000000000000004">
      <c r="A438" s="1">
        <v>444</v>
      </c>
      <c r="B438" s="1" t="s">
        <v>873</v>
      </c>
      <c r="C438" s="1" t="s">
        <v>1195</v>
      </c>
      <c r="D438" s="1" t="s">
        <v>874</v>
      </c>
      <c r="E438" t="s">
        <v>2517</v>
      </c>
      <c r="F438" s="1">
        <v>2007</v>
      </c>
      <c r="G438" s="1" t="s">
        <v>1190</v>
      </c>
      <c r="H438" s="2" t="str">
        <f>INDEX(Type!I:I,MATCH(D438,Type!A:A,0))</f>
        <v>v(vr, vr)</v>
      </c>
    </row>
    <row r="439" spans="1:8" x14ac:dyDescent="0.55000000000000004">
      <c r="A439" s="1">
        <v>445</v>
      </c>
      <c r="B439" s="1" t="s">
        <v>875</v>
      </c>
      <c r="C439" s="1" t="s">
        <v>1195</v>
      </c>
      <c r="D439" s="1" t="s">
        <v>876</v>
      </c>
      <c r="E439" t="s">
        <v>2518</v>
      </c>
      <c r="F439" s="1">
        <v>2007</v>
      </c>
      <c r="G439" s="1" t="s">
        <v>1190</v>
      </c>
      <c r="H439" s="2" t="str">
        <f>INDEX(Type!I:I,MATCH(D439,Type!A:A,0))</f>
        <v>v(vr, vr)</v>
      </c>
    </row>
    <row r="440" spans="1:8" x14ac:dyDescent="0.55000000000000004">
      <c r="A440" s="1">
        <v>446</v>
      </c>
      <c r="B440" s="1" t="s">
        <v>877</v>
      </c>
      <c r="C440" s="1" t="s">
        <v>1195</v>
      </c>
      <c r="D440" s="1" t="s">
        <v>878</v>
      </c>
      <c r="E440" t="s">
        <v>2519</v>
      </c>
      <c r="F440" s="1">
        <v>2007</v>
      </c>
      <c r="G440" s="1" t="s">
        <v>1190</v>
      </c>
      <c r="H440" s="2" t="str">
        <f>INDEX(Type!I:I,MATCH(D440,Type!A:A,0))</f>
        <v>v(vr, vr)</v>
      </c>
    </row>
    <row r="441" spans="1:8" x14ac:dyDescent="0.55000000000000004">
      <c r="A441" s="1">
        <v>447</v>
      </c>
      <c r="B441" s="1" t="s">
        <v>879</v>
      </c>
      <c r="C441" s="1" t="s">
        <v>1195</v>
      </c>
      <c r="D441" s="1" t="s">
        <v>880</v>
      </c>
      <c r="E441" t="s">
        <v>2520</v>
      </c>
      <c r="F441" s="1">
        <v>2007</v>
      </c>
      <c r="G441" s="1" t="s">
        <v>1190</v>
      </c>
      <c r="H441" s="2" t="str">
        <f>INDEX(Type!I:I,MATCH(D441,Type!A:A,0))</f>
        <v>v(vr, vr, vr, vr, vr, vr)</v>
      </c>
    </row>
    <row r="442" spans="1:8" x14ac:dyDescent="0.55000000000000004">
      <c r="A442" s="1">
        <v>448</v>
      </c>
      <c r="B442" s="1" t="s">
        <v>881</v>
      </c>
      <c r="C442" s="1" t="s">
        <v>1195</v>
      </c>
      <c r="D442" s="1" t="s">
        <v>882</v>
      </c>
      <c r="E442" t="s">
        <v>2520</v>
      </c>
      <c r="F442" s="1">
        <v>2007</v>
      </c>
      <c r="G442" s="1" t="s">
        <v>1190</v>
      </c>
      <c r="H442" s="2" t="str">
        <f>INDEX(Type!I:I,MATCH(D442,Type!A:A,0))</f>
        <v>v(vr, vr, vr, vr, vr, vr)</v>
      </c>
    </row>
    <row r="443" spans="1:8" x14ac:dyDescent="0.55000000000000004">
      <c r="A443" s="1">
        <v>449</v>
      </c>
      <c r="B443" s="1" t="s">
        <v>883</v>
      </c>
      <c r="C443" s="1" t="s">
        <v>1205</v>
      </c>
      <c r="D443" s="1" t="s">
        <v>884</v>
      </c>
      <c r="E443" t="s">
        <v>2521</v>
      </c>
      <c r="F443" s="1">
        <v>2007</v>
      </c>
      <c r="G443" s="1" t="s">
        <v>1190</v>
      </c>
      <c r="H443" s="2" t="str">
        <f>INDEX(Type!I:I,MATCH(D443,Type!A:A,0))</f>
        <v>v(vr, vr)</v>
      </c>
    </row>
    <row r="444" spans="1:8" x14ac:dyDescent="0.55000000000000004">
      <c r="A444" s="1">
        <v>450</v>
      </c>
      <c r="B444" s="1" t="s">
        <v>885</v>
      </c>
      <c r="C444" s="1" t="s">
        <v>1205</v>
      </c>
      <c r="D444" s="1" t="s">
        <v>886</v>
      </c>
      <c r="E444" t="s">
        <v>2521</v>
      </c>
      <c r="F444" s="1">
        <v>2007</v>
      </c>
      <c r="G444" s="1" t="s">
        <v>1190</v>
      </c>
      <c r="H444" s="2" t="str">
        <f>INDEX(Type!I:I,MATCH(D444,Type!A:A,0))</f>
        <v>v(vr, vr)</v>
      </c>
    </row>
    <row r="445" spans="1:8" x14ac:dyDescent="0.55000000000000004">
      <c r="A445" s="1">
        <v>451</v>
      </c>
      <c r="B445" s="1" t="s">
        <v>887</v>
      </c>
      <c r="C445" s="1" t="s">
        <v>1205</v>
      </c>
      <c r="D445" s="1" t="s">
        <v>888</v>
      </c>
      <c r="E445" t="s">
        <v>2522</v>
      </c>
      <c r="F445" s="1">
        <v>2007</v>
      </c>
      <c r="G445" s="1" t="s">
        <v>1190</v>
      </c>
      <c r="H445" s="2" t="str">
        <f>INDEX(Type!I:I,MATCH(D445,Type!A:A,0))</f>
        <v>v(vr, vr, [vr])</v>
      </c>
    </row>
    <row r="446" spans="1:8" x14ac:dyDescent="0.55000000000000004">
      <c r="A446" s="1">
        <v>452</v>
      </c>
      <c r="B446" s="1" t="s">
        <v>889</v>
      </c>
      <c r="C446" s="1" t="s">
        <v>1195</v>
      </c>
      <c r="D446" s="1" t="s">
        <v>890</v>
      </c>
      <c r="E446" t="s">
        <v>2523</v>
      </c>
      <c r="F446" s="1">
        <v>2007</v>
      </c>
      <c r="G446" s="1" t="s">
        <v>1190</v>
      </c>
      <c r="H446" s="2" t="str">
        <f>INDEX(Type!I:I,MATCH(D446,Type!A:A,0))</f>
        <v>v(vr, vr, vr, [vr])</v>
      </c>
    </row>
    <row r="447" spans="1:8" x14ac:dyDescent="0.55000000000000004">
      <c r="A447" s="1">
        <v>453</v>
      </c>
      <c r="B447" s="1" t="s">
        <v>891</v>
      </c>
      <c r="C447" s="1" t="s">
        <v>1195</v>
      </c>
      <c r="D447" s="1" t="s">
        <v>892</v>
      </c>
      <c r="E447" t="s">
        <v>2523</v>
      </c>
      <c r="F447" s="1">
        <v>2007</v>
      </c>
      <c r="G447" s="1" t="s">
        <v>1190</v>
      </c>
      <c r="H447" s="2" t="str">
        <f>INDEX(Type!I:I,MATCH(D447,Type!A:A,0))</f>
        <v>v(vr, vr, vr, [vr])</v>
      </c>
    </row>
    <row r="448" spans="1:8" x14ac:dyDescent="0.55000000000000004">
      <c r="A448" s="1">
        <v>454</v>
      </c>
      <c r="B448" s="1" t="s">
        <v>893</v>
      </c>
      <c r="C448" s="1" t="s">
        <v>1195</v>
      </c>
      <c r="D448" s="1" t="s">
        <v>894</v>
      </c>
      <c r="E448" t="s">
        <v>2523</v>
      </c>
      <c r="F448" s="1">
        <v>2007</v>
      </c>
      <c r="G448" s="1" t="s">
        <v>1190</v>
      </c>
      <c r="H448" s="2" t="str">
        <f>INDEX(Type!I:I,MATCH(D448,Type!A:A,0))</f>
        <v>v(vr, vr, vr, [vr])</v>
      </c>
    </row>
    <row r="449" spans="1:8" x14ac:dyDescent="0.55000000000000004">
      <c r="A449" s="1">
        <v>455</v>
      </c>
      <c r="B449" s="1" t="s">
        <v>895</v>
      </c>
      <c r="C449" s="1" t="s">
        <v>1195</v>
      </c>
      <c r="D449" s="1" t="s">
        <v>896</v>
      </c>
      <c r="E449" t="s">
        <v>2523</v>
      </c>
      <c r="F449" s="1">
        <v>2007</v>
      </c>
      <c r="G449" s="1" t="s">
        <v>1190</v>
      </c>
      <c r="H449" s="2" t="str">
        <f>INDEX(Type!I:I,MATCH(D449,Type!A:A,0))</f>
        <v>v(vr, vr, vr, [vr])</v>
      </c>
    </row>
    <row r="450" spans="1:8" x14ac:dyDescent="0.55000000000000004">
      <c r="A450" s="1">
        <v>456</v>
      </c>
      <c r="B450" s="1" t="s">
        <v>897</v>
      </c>
      <c r="C450" s="1" t="s">
        <v>1195</v>
      </c>
      <c r="D450" s="1" t="s">
        <v>898</v>
      </c>
      <c r="E450" t="s">
        <v>2523</v>
      </c>
      <c r="F450" s="1">
        <v>2007</v>
      </c>
      <c r="G450" s="1" t="s">
        <v>1190</v>
      </c>
      <c r="H450" s="2" t="str">
        <f>INDEX(Type!I:I,MATCH(D450,Type!A:A,0))</f>
        <v>v(vr, vr, vr, [vr])</v>
      </c>
    </row>
    <row r="451" spans="1:8" x14ac:dyDescent="0.55000000000000004">
      <c r="A451" s="1">
        <v>457</v>
      </c>
      <c r="B451" s="1" t="s">
        <v>899</v>
      </c>
      <c r="C451" s="1" t="s">
        <v>1195</v>
      </c>
      <c r="D451" s="1" t="s">
        <v>900</v>
      </c>
      <c r="E451" t="s">
        <v>2523</v>
      </c>
      <c r="F451" s="1">
        <v>2007</v>
      </c>
      <c r="G451" s="1" t="s">
        <v>1190</v>
      </c>
      <c r="H451" s="2" t="str">
        <f>INDEX(Type!I:I,MATCH(D451,Type!A:A,0))</f>
        <v>v(vr, vr, vr, [vr])</v>
      </c>
    </row>
    <row r="452" spans="1:8" x14ac:dyDescent="0.55000000000000004">
      <c r="A452" s="1">
        <v>458</v>
      </c>
      <c r="B452" s="1" t="s">
        <v>901</v>
      </c>
      <c r="C452" s="1" t="s">
        <v>1195</v>
      </c>
      <c r="D452" s="1" t="s">
        <v>902</v>
      </c>
      <c r="E452" t="s">
        <v>2524</v>
      </c>
      <c r="F452" s="1">
        <v>2007</v>
      </c>
      <c r="G452" s="1" t="s">
        <v>1190</v>
      </c>
      <c r="H452" s="2" t="str">
        <f>INDEX(Type!I:I,MATCH(D452,Type!A:A,0))</f>
        <v>v(vr, vr, vr, vr, vr, [vr])</v>
      </c>
    </row>
    <row r="453" spans="1:8" x14ac:dyDescent="0.55000000000000004">
      <c r="A453" s="1">
        <v>459</v>
      </c>
      <c r="B453" s="1" t="s">
        <v>903</v>
      </c>
      <c r="C453" s="1" t="s">
        <v>1195</v>
      </c>
      <c r="D453" s="1" t="s">
        <v>904</v>
      </c>
      <c r="E453" t="s">
        <v>2524</v>
      </c>
      <c r="F453" s="1">
        <v>2007</v>
      </c>
      <c r="G453" s="1" t="s">
        <v>1190</v>
      </c>
      <c r="H453" s="2" t="str">
        <f>INDEX(Type!I:I,MATCH(D453,Type!A:A,0))</f>
        <v>v(vr, vr, vr, vr, vr, [vr])</v>
      </c>
    </row>
    <row r="454" spans="1:8" x14ac:dyDescent="0.55000000000000004">
      <c r="A454" s="1">
        <v>460</v>
      </c>
      <c r="B454" s="1" t="s">
        <v>905</v>
      </c>
      <c r="C454" s="1" t="s">
        <v>1195</v>
      </c>
      <c r="D454" s="1" t="s">
        <v>906</v>
      </c>
      <c r="E454" t="s">
        <v>2525</v>
      </c>
      <c r="F454" s="1">
        <v>2007</v>
      </c>
      <c r="G454" s="1" t="s">
        <v>1190</v>
      </c>
      <c r="H454" s="2" t="str">
        <f>INDEX(Type!I:I,MATCH(D454,Type!A:A,0))</f>
        <v>v(vr, vr, vr, vr, vr, vr, vr, [vr])</v>
      </c>
    </row>
    <row r="455" spans="1:8" x14ac:dyDescent="0.55000000000000004">
      <c r="A455" s="1">
        <v>461</v>
      </c>
      <c r="B455" s="1" t="s">
        <v>907</v>
      </c>
      <c r="C455" s="1" t="s">
        <v>1195</v>
      </c>
      <c r="D455" s="1" t="s">
        <v>908</v>
      </c>
      <c r="E455" t="s">
        <v>2526</v>
      </c>
      <c r="F455" s="1">
        <v>2007</v>
      </c>
      <c r="G455" s="1" t="s">
        <v>1190</v>
      </c>
      <c r="H455" s="2" t="str">
        <f>INDEX(Type!I:I,MATCH(D455,Type!A:A,0))</f>
        <v>v(vr, vr, vr, vr, vr, vr, vr, [vr])</v>
      </c>
    </row>
    <row r="456" spans="1:8" x14ac:dyDescent="0.55000000000000004">
      <c r="A456" s="1">
        <v>462</v>
      </c>
      <c r="B456" s="1" t="s">
        <v>909</v>
      </c>
      <c r="C456" s="1" t="s">
        <v>1195</v>
      </c>
      <c r="D456" s="1" t="s">
        <v>910</v>
      </c>
      <c r="E456" t="s">
        <v>2527</v>
      </c>
      <c r="F456" s="1">
        <v>2007</v>
      </c>
      <c r="G456" s="1" t="s">
        <v>1190</v>
      </c>
      <c r="H456" s="2" t="str">
        <f>INDEX(Type!I:I,MATCH(D456,Type!A:A,0))</f>
        <v>v(vr, vr, vr, vr, vr, vr, vr, vr, [vr])</v>
      </c>
    </row>
    <row r="457" spans="1:8" x14ac:dyDescent="0.55000000000000004">
      <c r="A457" s="1">
        <v>463</v>
      </c>
      <c r="B457" s="1" t="s">
        <v>911</v>
      </c>
      <c r="C457" s="1" t="s">
        <v>1195</v>
      </c>
      <c r="D457" s="1" t="s">
        <v>912</v>
      </c>
      <c r="E457" t="s">
        <v>2528</v>
      </c>
      <c r="F457" s="1">
        <v>2007</v>
      </c>
      <c r="G457" s="1" t="s">
        <v>1190</v>
      </c>
      <c r="H457" s="2" t="str">
        <f>INDEX(Type!I:I,MATCH(D457,Type!A:A,0))</f>
        <v>v(vr, vr, vr, vr, vr, vr, vr, vr, [vr])</v>
      </c>
    </row>
    <row r="458" spans="1:8" x14ac:dyDescent="0.55000000000000004">
      <c r="A458" s="1">
        <v>464</v>
      </c>
      <c r="B458" s="1" t="s">
        <v>913</v>
      </c>
      <c r="C458" s="1" t="s">
        <v>1194</v>
      </c>
      <c r="D458" s="1" t="s">
        <v>914</v>
      </c>
      <c r="E458" t="s">
        <v>2529</v>
      </c>
      <c r="F458" s="1">
        <v>2007</v>
      </c>
      <c r="G458" s="1" t="s">
        <v>1190</v>
      </c>
      <c r="H458" s="2" t="str">
        <f>INDEX(Type!I:I,MATCH(D458,Type!A:A,0))</f>
        <v>v(vr, vr)</v>
      </c>
    </row>
    <row r="459" spans="1:8" x14ac:dyDescent="0.55000000000000004">
      <c r="A459" s="1">
        <v>465</v>
      </c>
      <c r="B459" s="1" t="s">
        <v>915</v>
      </c>
      <c r="C459" s="1" t="s">
        <v>1205</v>
      </c>
      <c r="D459" s="1" t="s">
        <v>916</v>
      </c>
      <c r="E459" t="s">
        <v>2349</v>
      </c>
      <c r="F459" s="1">
        <v>2007</v>
      </c>
      <c r="G459" s="1" t="s">
        <v>1190</v>
      </c>
      <c r="H459" s="2" t="str">
        <f>INDEX(Type!I:I,MATCH(D459,Type!A:A,0))</f>
        <v>v(vr, [vr])</v>
      </c>
    </row>
    <row r="460" spans="1:8" x14ac:dyDescent="0.55000000000000004">
      <c r="A460" s="1">
        <v>466</v>
      </c>
      <c r="B460" s="1" t="s">
        <v>917</v>
      </c>
      <c r="C460" s="1" t="s">
        <v>1195</v>
      </c>
      <c r="D460" s="1" t="s">
        <v>918</v>
      </c>
      <c r="E460" t="s">
        <v>2530</v>
      </c>
      <c r="F460" s="1">
        <v>2007</v>
      </c>
      <c r="G460" s="1" t="s">
        <v>1190</v>
      </c>
      <c r="H460" s="2" t="str">
        <f>INDEX(Type!I:I,MATCH(D460,Type!A:A,0))</f>
        <v>v(vr, vr, vr, vr, vr, vr, [vr])</v>
      </c>
    </row>
    <row r="461" spans="1:8" x14ac:dyDescent="0.55000000000000004">
      <c r="A461" s="1">
        <v>467</v>
      </c>
      <c r="B461" s="1" t="s">
        <v>919</v>
      </c>
      <c r="C461" s="1" t="s">
        <v>1195</v>
      </c>
      <c r="D461" s="1" t="s">
        <v>920</v>
      </c>
      <c r="E461" t="s">
        <v>2530</v>
      </c>
      <c r="F461" s="1">
        <v>2007</v>
      </c>
      <c r="G461" s="1" t="s">
        <v>1190</v>
      </c>
      <c r="H461" s="2" t="str">
        <f>INDEX(Type!I:I,MATCH(D461,Type!A:A,0))</f>
        <v>v(vr, vr, vr, vr, vr, vr, [vr])</v>
      </c>
    </row>
    <row r="462" spans="1:8" x14ac:dyDescent="0.55000000000000004">
      <c r="A462" s="1">
        <v>468</v>
      </c>
      <c r="B462" s="1" t="s">
        <v>921</v>
      </c>
      <c r="C462" s="1" t="s">
        <v>1200</v>
      </c>
      <c r="D462" s="1" t="s">
        <v>922</v>
      </c>
      <c r="E462" t="s">
        <v>2531</v>
      </c>
      <c r="F462" s="1">
        <v>2007</v>
      </c>
      <c r="G462" s="1" t="s">
        <v>1190</v>
      </c>
      <c r="H462" s="2" t="str">
        <f>INDEX(Type!I:I,MATCH(D462,Type!A:A,0))</f>
        <v>v(vr, vr, vr)</v>
      </c>
    </row>
    <row r="463" spans="1:8" x14ac:dyDescent="0.55000000000000004">
      <c r="A463" s="1">
        <v>469</v>
      </c>
      <c r="B463" s="1" t="s">
        <v>923</v>
      </c>
      <c r="C463" s="1" t="s">
        <v>1195</v>
      </c>
      <c r="D463" s="1" t="s">
        <v>924</v>
      </c>
      <c r="E463" t="s">
        <v>2532</v>
      </c>
      <c r="F463" s="1">
        <v>2007</v>
      </c>
      <c r="G463" s="1" t="s">
        <v>1190</v>
      </c>
      <c r="H463" s="2" t="str">
        <f>INDEX(Type!I:I,MATCH(D463,Type!A:A,0))</f>
        <v>v(vr, vr, vr, vr, vr, vr, [vr], [vr])</v>
      </c>
    </row>
    <row r="464" spans="1:8" x14ac:dyDescent="0.55000000000000004">
      <c r="A464" s="1">
        <v>470</v>
      </c>
      <c r="B464" s="1" t="s">
        <v>925</v>
      </c>
      <c r="C464" s="1" t="s">
        <v>1195</v>
      </c>
      <c r="D464" s="1" t="s">
        <v>926</v>
      </c>
      <c r="E464" t="s">
        <v>2533</v>
      </c>
      <c r="F464" s="1">
        <v>2007</v>
      </c>
      <c r="G464" s="1" t="s">
        <v>1190</v>
      </c>
      <c r="H464" s="2" t="str">
        <f>INDEX(Type!I:I,MATCH(D464,Type!A:A,0))</f>
        <v>v(vr, vr, vr, vr, [vr])</v>
      </c>
    </row>
    <row r="465" spans="1:8" x14ac:dyDescent="0.55000000000000004">
      <c r="A465" s="1">
        <v>471</v>
      </c>
      <c r="B465" s="1" t="s">
        <v>927</v>
      </c>
      <c r="C465" s="1" t="s">
        <v>1205</v>
      </c>
      <c r="D465" s="1" t="s">
        <v>928</v>
      </c>
      <c r="E465" t="s">
        <v>2534</v>
      </c>
      <c r="F465" s="1">
        <v>2007</v>
      </c>
      <c r="G465" s="1" t="s">
        <v>1190</v>
      </c>
      <c r="H465" s="2" t="str">
        <f>INDEX(Type!I:I,MATCH(D465,Type!A:A,0))</f>
        <v>v(vr, vr, [var])</v>
      </c>
    </row>
    <row r="466" spans="1:8" x14ac:dyDescent="0.55000000000000004">
      <c r="A466" s="1">
        <v>472</v>
      </c>
      <c r="B466" s="1" t="s">
        <v>929</v>
      </c>
      <c r="C466" s="1" t="s">
        <v>1205</v>
      </c>
      <c r="D466" s="1" t="s">
        <v>930</v>
      </c>
      <c r="E466" t="s">
        <v>2535</v>
      </c>
      <c r="F466" s="1">
        <v>2007</v>
      </c>
      <c r="G466" s="1" t="s">
        <v>1190</v>
      </c>
      <c r="H466" s="2" t="str">
        <f>INDEX(Type!I:I,MATCH(D466,Type!A:A,0))</f>
        <v>v(vr, vr, [var])</v>
      </c>
    </row>
    <row r="467" spans="1:8" x14ac:dyDescent="0.55000000000000004">
      <c r="A467" s="1">
        <v>473</v>
      </c>
      <c r="B467" s="1" t="s">
        <v>931</v>
      </c>
      <c r="C467" s="1" t="s">
        <v>1194</v>
      </c>
      <c r="D467" s="1" t="s">
        <v>932</v>
      </c>
      <c r="E467" t="s">
        <v>2324</v>
      </c>
      <c r="F467" s="1">
        <v>2007</v>
      </c>
      <c r="G467" s="1" t="s">
        <v>1190</v>
      </c>
      <c r="H467" s="2" t="str">
        <f>INDEX(Type!I:I,MATCH(D467,Type!A:A,0))</f>
        <v>v(var, [var], …)</v>
      </c>
    </row>
    <row r="468" spans="1:8" x14ac:dyDescent="0.55000000000000004">
      <c r="A468" s="1">
        <v>474</v>
      </c>
      <c r="B468" s="1" t="s">
        <v>933</v>
      </c>
      <c r="C468" s="1" t="s">
        <v>1194</v>
      </c>
      <c r="D468" s="1" t="s">
        <v>934</v>
      </c>
      <c r="E468" t="s">
        <v>2324</v>
      </c>
      <c r="F468" s="1">
        <v>2007</v>
      </c>
      <c r="G468" s="1" t="s">
        <v>1190</v>
      </c>
      <c r="H468" s="2" t="str">
        <f>INDEX(Type!I:I,MATCH(D468,Type!A:A,0))</f>
        <v>v(var, [var], …)</v>
      </c>
    </row>
    <row r="469" spans="1:8" x14ac:dyDescent="0.55000000000000004">
      <c r="A469" s="1">
        <v>475</v>
      </c>
      <c r="B469" s="1" t="s">
        <v>935</v>
      </c>
      <c r="C469" s="1" t="s">
        <v>1194</v>
      </c>
      <c r="D469" s="1" t="s">
        <v>936</v>
      </c>
      <c r="E469" t="s">
        <v>2324</v>
      </c>
      <c r="F469" s="1">
        <v>2007</v>
      </c>
      <c r="G469" s="1" t="s">
        <v>1190</v>
      </c>
      <c r="H469" s="2" t="str">
        <f>INDEX(Type!I:I,MATCH(D469,Type!A:A,0))</f>
        <v>v(var, [var], …)</v>
      </c>
    </row>
    <row r="470" spans="1:8" x14ac:dyDescent="0.55000000000000004">
      <c r="A470" s="1">
        <v>476</v>
      </c>
      <c r="B470" s="1" t="s">
        <v>937</v>
      </c>
      <c r="C470" s="1" t="s">
        <v>1195</v>
      </c>
      <c r="D470" s="1" t="s">
        <v>938</v>
      </c>
      <c r="E470" t="s">
        <v>2536</v>
      </c>
      <c r="F470" s="1">
        <v>2007</v>
      </c>
      <c r="G470" s="1" t="s">
        <v>1190</v>
      </c>
      <c r="H470" s="2" t="str">
        <f>INDEX(Type!I:I,MATCH(D470,Type!A:A,0))</f>
        <v>v(vr, var)</v>
      </c>
    </row>
    <row r="471" spans="1:8" x14ac:dyDescent="0.55000000000000004">
      <c r="A471" s="1">
        <v>477</v>
      </c>
      <c r="B471" s="1" t="s">
        <v>939</v>
      </c>
      <c r="C471" s="1" t="s">
        <v>1204</v>
      </c>
      <c r="D471" s="1" t="s">
        <v>940</v>
      </c>
      <c r="E471" t="s">
        <v>2537</v>
      </c>
      <c r="F471" s="1">
        <v>2007</v>
      </c>
      <c r="H471" s="2" t="str">
        <f>INDEX(Type!I:I,MATCH(D471,Type!A:A,0))</f>
        <v>v(v, v, v, [v])</v>
      </c>
    </row>
    <row r="472" spans="1:8" x14ac:dyDescent="0.55000000000000004">
      <c r="A472" s="1">
        <v>478</v>
      </c>
      <c r="B472" s="1" t="s">
        <v>941</v>
      </c>
      <c r="C472" s="1" t="s">
        <v>1204</v>
      </c>
      <c r="D472" s="1" t="s">
        <v>942</v>
      </c>
      <c r="E472" t="s">
        <v>2538</v>
      </c>
      <c r="F472" s="1">
        <v>2007</v>
      </c>
      <c r="H472" s="2" t="str">
        <f>INDEX(Type!I:I,MATCH(D472,Type!A:A,0))</f>
        <v>v(v, var, [v], [v], [v])</v>
      </c>
    </row>
    <row r="473" spans="1:8" x14ac:dyDescent="0.55000000000000004">
      <c r="A473" s="1">
        <v>479</v>
      </c>
      <c r="B473" s="1" t="s">
        <v>943</v>
      </c>
      <c r="C473" s="1" t="s">
        <v>1204</v>
      </c>
      <c r="D473" s="1" t="s">
        <v>944</v>
      </c>
      <c r="E473" t="s">
        <v>1429</v>
      </c>
      <c r="F473" s="1">
        <v>2007</v>
      </c>
      <c r="H473" s="2" t="str">
        <f>INDEX(Type!I:I,MATCH(D473,Type!A:A,0))</f>
        <v>v(v)</v>
      </c>
    </row>
    <row r="474" spans="1:8" x14ac:dyDescent="0.55000000000000004">
      <c r="A474" s="1">
        <v>480</v>
      </c>
      <c r="B474" s="1" t="s">
        <v>945</v>
      </c>
      <c r="C474" s="1" t="s">
        <v>1197</v>
      </c>
      <c r="D474" s="1" t="s">
        <v>946</v>
      </c>
      <c r="E474" t="s">
        <v>2539</v>
      </c>
      <c r="F474" s="1">
        <v>2007</v>
      </c>
      <c r="H474" s="2" t="str">
        <f>INDEX(Type!I:I,MATCH(D474,Type!A:A,0))</f>
        <v>va(va, var)</v>
      </c>
    </row>
    <row r="475" spans="1:8" x14ac:dyDescent="0.55000000000000004">
      <c r="A475" s="1">
        <v>481</v>
      </c>
      <c r="B475" s="1" t="s">
        <v>947</v>
      </c>
      <c r="C475" s="1" t="s">
        <v>1199</v>
      </c>
      <c r="D475" s="1" t="s">
        <v>948</v>
      </c>
      <c r="E475" t="s">
        <v>2540</v>
      </c>
      <c r="F475" s="1">
        <v>2007</v>
      </c>
      <c r="H475" s="2" t="str">
        <f>INDEX(Type!I:I,MATCH(D475,Type!A:A,0))</f>
        <v>v(r, v, [r, v)</v>
      </c>
    </row>
    <row r="476" spans="1:8" x14ac:dyDescent="0.55000000000000004">
      <c r="A476" s="1">
        <v>482</v>
      </c>
      <c r="B476" s="1" t="s">
        <v>949</v>
      </c>
      <c r="C476" s="1" t="s">
        <v>1194</v>
      </c>
      <c r="D476" s="1" t="s">
        <v>950</v>
      </c>
      <c r="E476" t="s">
        <v>2541</v>
      </c>
      <c r="F476" s="1">
        <v>2007</v>
      </c>
      <c r="H476" s="2" t="str">
        <f>INDEX(Type!I:I,MATCH(D476,Type!A:A,0))</f>
        <v>v(r, r, v, [r, v)</v>
      </c>
    </row>
    <row r="477" spans="1:8" x14ac:dyDescent="0.55000000000000004">
      <c r="A477" s="1">
        <v>483</v>
      </c>
      <c r="B477" s="1" t="s">
        <v>951</v>
      </c>
      <c r="C477" s="1" t="s">
        <v>1199</v>
      </c>
      <c r="D477" s="1" t="s">
        <v>952</v>
      </c>
      <c r="E477" t="s">
        <v>2542</v>
      </c>
      <c r="F477" s="1">
        <v>2007</v>
      </c>
      <c r="H477" s="2" t="str">
        <f>INDEX(Type!I:I,MATCH(D477,Type!A:A,0))</f>
        <v>v(r, v, [r])</v>
      </c>
    </row>
    <row r="478" spans="1:8" x14ac:dyDescent="0.55000000000000004">
      <c r="A478" s="1">
        <v>484</v>
      </c>
      <c r="B478" s="1" t="s">
        <v>953</v>
      </c>
      <c r="C478" s="1" t="s">
        <v>1199</v>
      </c>
      <c r="D478" s="1" t="s">
        <v>954</v>
      </c>
      <c r="E478" t="s">
        <v>2543</v>
      </c>
      <c r="F478" s="1">
        <v>2007</v>
      </c>
      <c r="H478" s="2" t="str">
        <f>INDEX(Type!I:I,MATCH(D478,Type!A:A,0))</f>
        <v>v(r, r, v, [r, v)</v>
      </c>
    </row>
    <row r="479" spans="1:8" x14ac:dyDescent="0.55000000000000004">
      <c r="A479" s="1">
        <v>485</v>
      </c>
      <c r="B479" s="1" t="s">
        <v>955</v>
      </c>
      <c r="C479" s="1" t="s">
        <v>1194</v>
      </c>
      <c r="D479" s="1" t="s">
        <v>956</v>
      </c>
      <c r="E479" t="s">
        <v>2544</v>
      </c>
      <c r="F479" s="1">
        <v>2010</v>
      </c>
      <c r="H479" s="2" t="str">
        <f>INDEX(Type!I:I,MATCH(D479,Type!A:A,0))</f>
        <v>v(v, v, ar, [vr], [r])</v>
      </c>
    </row>
    <row r="480" spans="1:8" x14ac:dyDescent="0.55000000000000004">
      <c r="A480" s="1">
        <v>486</v>
      </c>
      <c r="B480" s="1" t="s">
        <v>957</v>
      </c>
      <c r="C480" s="1" t="s">
        <v>1199</v>
      </c>
      <c r="D480" s="1" t="s">
        <v>958</v>
      </c>
      <c r="E480" t="s">
        <v>2436</v>
      </c>
      <c r="F480" s="1">
        <v>2010</v>
      </c>
      <c r="H480" s="2" t="str">
        <f>INDEX(Type!I:I,MATCH(D480,Type!A:A,0))</f>
        <v>v(v, v, v, v)</v>
      </c>
    </row>
    <row r="481" spans="1:8" x14ac:dyDescent="0.55000000000000004">
      <c r="A481" s="1">
        <v>487</v>
      </c>
      <c r="B481" s="1" t="s">
        <v>959</v>
      </c>
      <c r="C481" s="1" t="s">
        <v>1199</v>
      </c>
      <c r="D481" s="1" t="s">
        <v>960</v>
      </c>
      <c r="E481" t="s">
        <v>2441</v>
      </c>
      <c r="F481" s="1">
        <v>2010</v>
      </c>
      <c r="H481" s="2" t="str">
        <f>INDEX(Type!I:I,MATCH(D481,Type!A:A,0))</f>
        <v>v(v, v, v)</v>
      </c>
    </row>
    <row r="482" spans="1:8" x14ac:dyDescent="0.55000000000000004">
      <c r="A482" s="1">
        <v>488</v>
      </c>
      <c r="B482" s="1" t="s">
        <v>961</v>
      </c>
      <c r="C482" s="1" t="s">
        <v>1199</v>
      </c>
      <c r="D482" s="1" t="s">
        <v>962</v>
      </c>
      <c r="E482" t="s">
        <v>2440</v>
      </c>
      <c r="F482" s="1">
        <v>2010</v>
      </c>
      <c r="H482" s="2" t="str">
        <f>INDEX(Type!I:I,MATCH(D482,Type!A:A,0))</f>
        <v>v(v, v, v)</v>
      </c>
    </row>
    <row r="483" spans="1:8" x14ac:dyDescent="0.55000000000000004">
      <c r="A483" s="1">
        <v>489</v>
      </c>
      <c r="B483" s="1" t="s">
        <v>963</v>
      </c>
      <c r="C483" s="1" t="s">
        <v>1199</v>
      </c>
      <c r="D483" s="1" t="s">
        <v>964</v>
      </c>
      <c r="E483" t="s">
        <v>2440</v>
      </c>
      <c r="F483" s="1">
        <v>2010</v>
      </c>
      <c r="H483" s="2" t="str">
        <f>INDEX(Type!I:I,MATCH(D483,Type!A:A,0))</f>
        <v>v(v, v, v)</v>
      </c>
    </row>
    <row r="484" spans="1:8" x14ac:dyDescent="0.55000000000000004">
      <c r="A484" s="1">
        <v>490</v>
      </c>
      <c r="B484" s="1" t="s">
        <v>965</v>
      </c>
      <c r="C484" s="1" t="s">
        <v>1199</v>
      </c>
      <c r="D484" s="1" t="s">
        <v>966</v>
      </c>
      <c r="E484" t="s">
        <v>2456</v>
      </c>
      <c r="F484" s="1">
        <v>2010</v>
      </c>
      <c r="H484" s="2" t="str">
        <f>INDEX(Type!I:I,MATCH(D484,Type!A:A,0))</f>
        <v>v(a, a)</v>
      </c>
    </row>
    <row r="485" spans="1:8" x14ac:dyDescent="0.55000000000000004">
      <c r="A485" s="1">
        <v>491</v>
      </c>
      <c r="B485" s="1" t="s">
        <v>967</v>
      </c>
      <c r="C485" s="1" t="s">
        <v>1199</v>
      </c>
      <c r="D485" s="1" t="s">
        <v>968</v>
      </c>
      <c r="E485" t="s">
        <v>2395</v>
      </c>
      <c r="F485" s="1">
        <v>2010</v>
      </c>
      <c r="H485" s="2" t="str">
        <f>INDEX(Type!I:I,MATCH(D485,Type!A:A,0))</f>
        <v>v(a, a)</v>
      </c>
    </row>
    <row r="486" spans="1:8" x14ac:dyDescent="0.55000000000000004">
      <c r="A486" s="1">
        <v>492</v>
      </c>
      <c r="B486" s="1" t="s">
        <v>969</v>
      </c>
      <c r="C486" s="1" t="s">
        <v>1199</v>
      </c>
      <c r="D486" s="1" t="s">
        <v>970</v>
      </c>
      <c r="E486" t="s">
        <v>2395</v>
      </c>
      <c r="F486" s="1">
        <v>2010</v>
      </c>
      <c r="H486" s="2" t="str">
        <f>INDEX(Type!I:I,MATCH(D486,Type!A:A,0))</f>
        <v>v(a, a)</v>
      </c>
    </row>
    <row r="487" spans="1:8" x14ac:dyDescent="0.55000000000000004">
      <c r="A487" s="1">
        <v>493</v>
      </c>
      <c r="B487" s="1" t="s">
        <v>971</v>
      </c>
      <c r="C487" s="1" t="s">
        <v>1199</v>
      </c>
      <c r="D487" s="1" t="s">
        <v>972</v>
      </c>
      <c r="E487" t="s">
        <v>2395</v>
      </c>
      <c r="F487" s="1">
        <v>2010</v>
      </c>
      <c r="H487" s="2" t="str">
        <f>INDEX(Type!I:I,MATCH(D487,Type!A:A,0))</f>
        <v>v(a, a)</v>
      </c>
    </row>
    <row r="488" spans="1:8" x14ac:dyDescent="0.55000000000000004">
      <c r="A488" s="1">
        <v>494</v>
      </c>
      <c r="B488" s="1" t="s">
        <v>973</v>
      </c>
      <c r="C488" s="1" t="s">
        <v>1199</v>
      </c>
      <c r="D488" s="1" t="s">
        <v>974</v>
      </c>
      <c r="E488" t="s">
        <v>2442</v>
      </c>
      <c r="F488" s="1">
        <v>2010</v>
      </c>
      <c r="H488" s="2" t="str">
        <f>INDEX(Type!I:I,MATCH(D488,Type!A:A,0))</f>
        <v>v(v, v, v)</v>
      </c>
    </row>
    <row r="489" spans="1:8" x14ac:dyDescent="0.55000000000000004">
      <c r="A489" s="1">
        <v>495</v>
      </c>
      <c r="B489" s="1" t="s">
        <v>975</v>
      </c>
      <c r="C489" s="1" t="s">
        <v>1199</v>
      </c>
      <c r="D489" s="1" t="s">
        <v>976</v>
      </c>
      <c r="E489" t="s">
        <v>2446</v>
      </c>
      <c r="F489" s="1">
        <v>2010</v>
      </c>
      <c r="H489" s="2" t="str">
        <f>INDEX(Type!I:I,MATCH(D489,Type!A:A,0))</f>
        <v>v(v, v, v, v)</v>
      </c>
    </row>
    <row r="490" spans="1:8" x14ac:dyDescent="0.55000000000000004">
      <c r="A490" s="1">
        <v>496</v>
      </c>
      <c r="B490" s="1" t="s">
        <v>977</v>
      </c>
      <c r="C490" s="1" t="s">
        <v>1199</v>
      </c>
      <c r="D490" s="1" t="s">
        <v>978</v>
      </c>
      <c r="E490" t="s">
        <v>2447</v>
      </c>
      <c r="F490" s="1">
        <v>2010</v>
      </c>
      <c r="H490" s="2" t="str">
        <f>INDEX(Type!I:I,MATCH(D490,Type!A:A,0))</f>
        <v>v(v, v, v)</v>
      </c>
    </row>
    <row r="491" spans="1:8" x14ac:dyDescent="0.55000000000000004">
      <c r="A491" s="1">
        <v>497</v>
      </c>
      <c r="B491" s="1" t="s">
        <v>979</v>
      </c>
      <c r="C491" s="1" t="s">
        <v>1199</v>
      </c>
      <c r="D491" s="1" t="s">
        <v>980</v>
      </c>
      <c r="E491" t="s">
        <v>2324</v>
      </c>
      <c r="F491" s="1">
        <v>2010</v>
      </c>
      <c r="H491" s="2" t="str">
        <f>INDEX(Type!I:I,MATCH(D491,Type!A:A,0))</f>
        <v>v(a, [a], …)</v>
      </c>
    </row>
    <row r="492" spans="1:8" x14ac:dyDescent="0.55000000000000004">
      <c r="A492" s="1">
        <v>498</v>
      </c>
      <c r="B492" s="1" t="s">
        <v>981</v>
      </c>
      <c r="C492" s="1" t="s">
        <v>1199</v>
      </c>
      <c r="D492" s="1" t="s">
        <v>982</v>
      </c>
      <c r="E492" t="s">
        <v>2324</v>
      </c>
      <c r="F492" s="1">
        <v>2010</v>
      </c>
      <c r="H492" s="2" t="str">
        <f>INDEX(Type!I:I,MATCH(D492,Type!A:A,0))</f>
        <v>v(a, [a], …)</v>
      </c>
    </row>
    <row r="493" spans="1:8" x14ac:dyDescent="0.55000000000000004">
      <c r="A493" s="1">
        <v>499</v>
      </c>
      <c r="B493" s="1" t="s">
        <v>983</v>
      </c>
      <c r="C493" s="1" t="s">
        <v>1199</v>
      </c>
      <c r="D493" s="1" t="s">
        <v>984</v>
      </c>
      <c r="E493" t="s">
        <v>2452</v>
      </c>
      <c r="F493" s="1">
        <v>2010</v>
      </c>
      <c r="H493" s="2" t="str">
        <f>INDEX(Type!I:I,MATCH(D493,Type!A:A,0))</f>
        <v>v(v, v, v, v)</v>
      </c>
    </row>
    <row r="494" spans="1:8" x14ac:dyDescent="0.55000000000000004">
      <c r="A494" s="1">
        <v>500</v>
      </c>
      <c r="B494" s="1" t="s">
        <v>985</v>
      </c>
      <c r="C494" s="1" t="s">
        <v>1201</v>
      </c>
      <c r="D494" s="1" t="s">
        <v>986</v>
      </c>
      <c r="E494" t="s">
        <v>2450</v>
      </c>
      <c r="F494" s="1">
        <v>2010</v>
      </c>
      <c r="H494" s="2" t="str">
        <f>INDEX(Type!I:I,MATCH(D494,Type!A:A,0))</f>
        <v>v(v, v, v)</v>
      </c>
    </row>
    <row r="495" spans="1:8" x14ac:dyDescent="0.55000000000000004">
      <c r="A495" s="1">
        <v>501</v>
      </c>
      <c r="B495" s="1" t="s">
        <v>987</v>
      </c>
      <c r="C495" s="1" t="s">
        <v>1199</v>
      </c>
      <c r="D495" s="1" t="s">
        <v>988</v>
      </c>
      <c r="E495" t="s">
        <v>2462</v>
      </c>
      <c r="F495" s="1">
        <v>2010</v>
      </c>
      <c r="H495" s="2" t="str">
        <f>INDEX(Type!I:I,MATCH(D495,Type!A:A,0))</f>
        <v>v(var, v)</v>
      </c>
    </row>
    <row r="496" spans="1:8" x14ac:dyDescent="0.55000000000000004">
      <c r="A496" s="1">
        <v>502</v>
      </c>
      <c r="B496" s="1" t="s">
        <v>989</v>
      </c>
      <c r="C496" s="1" t="s">
        <v>1199</v>
      </c>
      <c r="D496" s="1" t="s">
        <v>990</v>
      </c>
      <c r="E496" t="s">
        <v>2462</v>
      </c>
      <c r="F496" s="1">
        <v>2010</v>
      </c>
      <c r="H496" s="2" t="str">
        <f>INDEX(Type!I:I,MATCH(D496,Type!A:A,0))</f>
        <v>v(var, v)</v>
      </c>
    </row>
    <row r="497" spans="1:8" x14ac:dyDescent="0.55000000000000004">
      <c r="A497" s="1">
        <v>503</v>
      </c>
      <c r="B497" s="1" t="s">
        <v>991</v>
      </c>
      <c r="C497" s="1" t="s">
        <v>1199</v>
      </c>
      <c r="D497" s="1" t="s">
        <v>992</v>
      </c>
      <c r="E497" t="s">
        <v>2464</v>
      </c>
      <c r="F497" s="1">
        <v>2010</v>
      </c>
      <c r="H497" s="2" t="str">
        <f>INDEX(Type!I:I,MATCH(D497,Type!A:A,0))</f>
        <v>v(var, v, [v])</v>
      </c>
    </row>
    <row r="498" spans="1:8" x14ac:dyDescent="0.55000000000000004">
      <c r="A498" s="1">
        <v>504</v>
      </c>
      <c r="B498" s="1" t="s">
        <v>993</v>
      </c>
      <c r="C498" s="1" t="s">
        <v>1199</v>
      </c>
      <c r="D498" s="1" t="s">
        <v>994</v>
      </c>
      <c r="E498" t="s">
        <v>2464</v>
      </c>
      <c r="F498" s="1">
        <v>2010</v>
      </c>
      <c r="H498" s="2" t="str">
        <f>INDEX(Type!I:I,MATCH(D498,Type!A:A,0))</f>
        <v>v(var, v, [v])</v>
      </c>
    </row>
    <row r="499" spans="1:8" x14ac:dyDescent="0.55000000000000004">
      <c r="A499" s="1">
        <v>505</v>
      </c>
      <c r="B499" s="1" t="s">
        <v>995</v>
      </c>
      <c r="C499" s="1" t="s">
        <v>1199</v>
      </c>
      <c r="D499" s="1" t="s">
        <v>996</v>
      </c>
      <c r="E499" t="s">
        <v>2453</v>
      </c>
      <c r="F499" s="1">
        <v>2010</v>
      </c>
      <c r="H499" s="2" t="str">
        <f>INDEX(Type!I:I,MATCH(D499,Type!A:A,0))</f>
        <v>v(v, v, v)</v>
      </c>
    </row>
    <row r="500" spans="1:8" x14ac:dyDescent="0.55000000000000004">
      <c r="A500" s="1">
        <v>506</v>
      </c>
      <c r="B500" s="1" t="s">
        <v>997</v>
      </c>
      <c r="C500" s="1" t="s">
        <v>1199</v>
      </c>
      <c r="D500" s="1" t="s">
        <v>998</v>
      </c>
      <c r="E500" t="s">
        <v>2463</v>
      </c>
      <c r="F500" s="1">
        <v>2010</v>
      </c>
      <c r="H500" s="2" t="str">
        <f>INDEX(Type!I:I,MATCH(D500,Type!A:A,0))</f>
        <v>v(var, v)</v>
      </c>
    </row>
    <row r="501" spans="1:8" x14ac:dyDescent="0.55000000000000004">
      <c r="A501" s="1">
        <v>507</v>
      </c>
      <c r="B501" s="1" t="s">
        <v>999</v>
      </c>
      <c r="C501" s="1" t="s">
        <v>1199</v>
      </c>
      <c r="D501" s="1" t="s">
        <v>1000</v>
      </c>
      <c r="E501" t="s">
        <v>2463</v>
      </c>
      <c r="F501" s="1">
        <v>2010</v>
      </c>
      <c r="H501" s="2" t="str">
        <f>INDEX(Type!I:I,MATCH(D501,Type!A:A,0))</f>
        <v>v(var, v)</v>
      </c>
    </row>
    <row r="502" spans="1:8" x14ac:dyDescent="0.55000000000000004">
      <c r="A502" s="1">
        <v>508</v>
      </c>
      <c r="B502" s="1" t="s">
        <v>1001</v>
      </c>
      <c r="C502" s="1" t="s">
        <v>1199</v>
      </c>
      <c r="D502" s="1" t="s">
        <v>1002</v>
      </c>
      <c r="E502" t="s">
        <v>2411</v>
      </c>
      <c r="F502" s="1">
        <v>2010</v>
      </c>
      <c r="H502" s="2" t="str">
        <f>INDEX(Type!I:I,MATCH(D502,Type!A:A,0))</f>
        <v>v(v, r, [v])</v>
      </c>
    </row>
    <row r="503" spans="1:8" x14ac:dyDescent="0.55000000000000004">
      <c r="A503" s="1">
        <v>509</v>
      </c>
      <c r="B503" s="1" t="s">
        <v>1003</v>
      </c>
      <c r="C503" s="1" t="s">
        <v>1199</v>
      </c>
      <c r="D503" s="1" t="s">
        <v>1004</v>
      </c>
      <c r="E503" t="s">
        <v>2411</v>
      </c>
      <c r="F503" s="1">
        <v>2010</v>
      </c>
      <c r="H503" s="2" t="str">
        <f>INDEX(Type!I:I,MATCH(D503,Type!A:A,0))</f>
        <v>v(v, r, [v])</v>
      </c>
    </row>
    <row r="504" spans="1:8" x14ac:dyDescent="0.55000000000000004">
      <c r="A504" s="1">
        <v>510</v>
      </c>
      <c r="B504" s="1" t="s">
        <v>1005</v>
      </c>
      <c r="C504" s="1" t="s">
        <v>1199</v>
      </c>
      <c r="D504" s="1" t="s">
        <v>1006</v>
      </c>
      <c r="E504" t="s">
        <v>2324</v>
      </c>
      <c r="F504" s="1">
        <v>2010</v>
      </c>
      <c r="H504" s="2" t="str">
        <f>INDEX(Type!I:I,MATCH(D504,Type!A:A,0))</f>
        <v>v(var, [var], …)</v>
      </c>
    </row>
    <row r="505" spans="1:8" x14ac:dyDescent="0.55000000000000004">
      <c r="A505" s="1">
        <v>511</v>
      </c>
      <c r="B505" s="1" t="s">
        <v>1007</v>
      </c>
      <c r="C505" s="1" t="s">
        <v>1199</v>
      </c>
      <c r="D505" s="1" t="s">
        <v>1008</v>
      </c>
      <c r="E505" t="s">
        <v>2324</v>
      </c>
      <c r="F505" s="1">
        <v>2010</v>
      </c>
      <c r="H505" s="2" t="str">
        <f>INDEX(Type!I:I,MATCH(D505,Type!A:A,0))</f>
        <v>v(var, [var], …)</v>
      </c>
    </row>
    <row r="506" spans="1:8" x14ac:dyDescent="0.55000000000000004">
      <c r="A506" s="1">
        <v>512</v>
      </c>
      <c r="B506" s="1" t="s">
        <v>1009</v>
      </c>
      <c r="C506" s="1" t="s">
        <v>1199</v>
      </c>
      <c r="D506" s="1" t="s">
        <v>1010</v>
      </c>
      <c r="E506" t="s">
        <v>2545</v>
      </c>
      <c r="F506" s="1">
        <v>2010</v>
      </c>
      <c r="H506" s="2" t="str">
        <f>INDEX(Type!I:I,MATCH(D506,Type!A:A,0))</f>
        <v>v(v, v, v)</v>
      </c>
    </row>
    <row r="507" spans="1:8" x14ac:dyDescent="0.55000000000000004">
      <c r="A507" s="1">
        <v>513</v>
      </c>
      <c r="B507" s="1" t="s">
        <v>1011</v>
      </c>
      <c r="C507" s="1" t="s">
        <v>1199</v>
      </c>
      <c r="D507" s="1" t="s">
        <v>1012</v>
      </c>
      <c r="E507" t="s">
        <v>2437</v>
      </c>
      <c r="F507" s="1">
        <v>2010</v>
      </c>
      <c r="H507" s="2" t="str">
        <f>INDEX(Type!I:I,MATCH(D507,Type!A:A,0))</f>
        <v>v(v, v)</v>
      </c>
    </row>
    <row r="508" spans="1:8" x14ac:dyDescent="0.55000000000000004">
      <c r="A508" s="1">
        <v>514</v>
      </c>
      <c r="B508" s="1" t="s">
        <v>1013</v>
      </c>
      <c r="C508" s="1" t="s">
        <v>1199</v>
      </c>
      <c r="D508" s="1" t="s">
        <v>1014</v>
      </c>
      <c r="E508" t="s">
        <v>2437</v>
      </c>
      <c r="F508" s="1">
        <v>2010</v>
      </c>
      <c r="H508" s="2" t="str">
        <f>INDEX(Type!I:I,MATCH(D508,Type!A:A,0))</f>
        <v>v(v, v)</v>
      </c>
    </row>
    <row r="509" spans="1:8" x14ac:dyDescent="0.55000000000000004">
      <c r="A509" s="1">
        <v>515</v>
      </c>
      <c r="B509" s="1" t="s">
        <v>1015</v>
      </c>
      <c r="C509" s="1" t="s">
        <v>1199</v>
      </c>
      <c r="D509" s="1" t="s">
        <v>1016</v>
      </c>
      <c r="E509" t="s">
        <v>2438</v>
      </c>
      <c r="F509" s="1">
        <v>2010</v>
      </c>
      <c r="H509" s="2" t="str">
        <f>INDEX(Type!I:I,MATCH(D509,Type!A:A,0))</f>
        <v>v(v, v)</v>
      </c>
    </row>
    <row r="510" spans="1:8" x14ac:dyDescent="0.55000000000000004">
      <c r="A510" s="1">
        <v>516</v>
      </c>
      <c r="B510" s="1" t="s">
        <v>1017</v>
      </c>
      <c r="C510" s="1" t="s">
        <v>1199</v>
      </c>
      <c r="D510" s="1" t="s">
        <v>1018</v>
      </c>
      <c r="E510" t="s">
        <v>2438</v>
      </c>
      <c r="F510" s="1">
        <v>2010</v>
      </c>
      <c r="H510" s="2" t="str">
        <f>INDEX(Type!I:I,MATCH(D510,Type!A:A,0))</f>
        <v>v(v, v)</v>
      </c>
    </row>
    <row r="511" spans="1:8" x14ac:dyDescent="0.55000000000000004">
      <c r="A511" s="1">
        <v>517</v>
      </c>
      <c r="B511" s="1" t="s">
        <v>1019</v>
      </c>
      <c r="C511" s="1" t="s">
        <v>1199</v>
      </c>
      <c r="D511" s="1" t="s">
        <v>1020</v>
      </c>
      <c r="E511" t="s">
        <v>2324</v>
      </c>
      <c r="F511" s="1">
        <v>2010</v>
      </c>
      <c r="H511" s="2" t="str">
        <f>INDEX(Type!I:I,MATCH(D511,Type!A:A,0))</f>
        <v>v(var, [var], …)</v>
      </c>
    </row>
    <row r="512" spans="1:8" x14ac:dyDescent="0.55000000000000004">
      <c r="A512" s="1">
        <v>518</v>
      </c>
      <c r="B512" s="1" t="s">
        <v>1021</v>
      </c>
      <c r="C512" s="1" t="s">
        <v>1199</v>
      </c>
      <c r="D512" s="1" t="s">
        <v>1022</v>
      </c>
      <c r="E512" t="s">
        <v>2324</v>
      </c>
      <c r="F512" s="1">
        <v>2010</v>
      </c>
      <c r="H512" s="2" t="str">
        <f>INDEX(Type!I:I,MATCH(D512,Type!A:A,0))</f>
        <v>v(var, [var], …)</v>
      </c>
    </row>
    <row r="513" spans="1:8" x14ac:dyDescent="0.55000000000000004">
      <c r="A513" s="1">
        <v>519</v>
      </c>
      <c r="B513" s="1" t="s">
        <v>1023</v>
      </c>
      <c r="C513" s="1" t="s">
        <v>1199</v>
      </c>
      <c r="D513" s="1" t="s">
        <v>1024</v>
      </c>
      <c r="E513" t="s">
        <v>2446</v>
      </c>
      <c r="F513" s="1">
        <v>2010</v>
      </c>
      <c r="H513" s="2" t="str">
        <f>INDEX(Type!I:I,MATCH(D513,Type!A:A,0))</f>
        <v>v(v, v, v, v)</v>
      </c>
    </row>
    <row r="514" spans="1:8" x14ac:dyDescent="0.55000000000000004">
      <c r="A514" s="1">
        <v>520</v>
      </c>
      <c r="B514" s="1" t="s">
        <v>1025</v>
      </c>
      <c r="C514" s="1" t="s">
        <v>1205</v>
      </c>
      <c r="D514" s="1" t="s">
        <v>1026</v>
      </c>
      <c r="E514" t="s">
        <v>2546</v>
      </c>
      <c r="F514" s="1">
        <v>2010</v>
      </c>
      <c r="H514" s="2" t="str">
        <f>INDEX(Type!I:I,MATCH(D514,Type!A:A,0))</f>
        <v>v(vr, vr, [v], [var])</v>
      </c>
    </row>
    <row r="515" spans="1:8" x14ac:dyDescent="0.55000000000000004">
      <c r="A515" s="1">
        <v>521</v>
      </c>
      <c r="B515" s="1" t="s">
        <v>1027</v>
      </c>
      <c r="C515" s="1" t="s">
        <v>1205</v>
      </c>
      <c r="D515" s="1" t="s">
        <v>1028</v>
      </c>
      <c r="E515" t="s">
        <v>2547</v>
      </c>
      <c r="F515" s="1">
        <v>2010</v>
      </c>
      <c r="H515" s="2" t="str">
        <f>INDEX(Type!I:I,MATCH(D515,Type!A:A,0))</f>
        <v>v(vr, vr, [v], [var])</v>
      </c>
    </row>
    <row r="516" spans="1:8" x14ac:dyDescent="0.55000000000000004">
      <c r="A516" s="1">
        <v>522</v>
      </c>
      <c r="B516" s="1" t="s">
        <v>1029</v>
      </c>
      <c r="C516" s="1" t="s">
        <v>1208</v>
      </c>
      <c r="D516" s="1" t="s">
        <v>1030</v>
      </c>
      <c r="E516" t="s">
        <v>2445</v>
      </c>
      <c r="F516" s="1">
        <v>2010</v>
      </c>
      <c r="H516" s="2" t="str">
        <f>INDEX(Type!I:I,MATCH(D516,Type!A:A,0))</f>
        <v>v(v, v)</v>
      </c>
    </row>
    <row r="517" spans="1:8" x14ac:dyDescent="0.55000000000000004">
      <c r="A517" s="1">
        <v>523</v>
      </c>
      <c r="B517" s="1" t="s">
        <v>1031</v>
      </c>
      <c r="C517" s="1" t="s">
        <v>1194</v>
      </c>
      <c r="D517" s="1" t="s">
        <v>1032</v>
      </c>
      <c r="E517" t="s">
        <v>2445</v>
      </c>
      <c r="F517" s="1">
        <v>2010</v>
      </c>
      <c r="H517" s="2" t="str">
        <f>INDEX(Type!I:I,MATCH(D517,Type!A:A,0))</f>
        <v>v(v, [v])</v>
      </c>
    </row>
    <row r="518" spans="1:8" x14ac:dyDescent="0.55000000000000004">
      <c r="A518" s="1">
        <v>525</v>
      </c>
      <c r="B518" s="1" t="s">
        <v>1033</v>
      </c>
      <c r="C518" s="1" t="s">
        <v>1199</v>
      </c>
      <c r="D518" s="1" t="s">
        <v>1034</v>
      </c>
      <c r="E518" t="s">
        <v>2548</v>
      </c>
      <c r="F518" s="1">
        <v>2010</v>
      </c>
      <c r="H518" s="2" t="str">
        <f>INDEX(Type!I:I,MATCH(D518,Type!A:A,0))</f>
        <v>v(v, v, v, v, [v], [v])</v>
      </c>
    </row>
    <row r="519" spans="1:8" x14ac:dyDescent="0.55000000000000004">
      <c r="A519" s="1">
        <v>526</v>
      </c>
      <c r="B519" s="1" t="s">
        <v>1035</v>
      </c>
      <c r="C519" s="1" t="s">
        <v>1199</v>
      </c>
      <c r="D519" s="1" t="s">
        <v>1036</v>
      </c>
      <c r="E519" t="s">
        <v>2435</v>
      </c>
      <c r="F519" s="1">
        <v>2010</v>
      </c>
      <c r="H519" s="2" t="str">
        <f>INDEX(Type!I:I,MATCH(D519,Type!A:A,0))</f>
        <v>v(v, v, v, [v], [v])</v>
      </c>
    </row>
    <row r="520" spans="1:8" x14ac:dyDescent="0.55000000000000004">
      <c r="A520" s="1">
        <v>527</v>
      </c>
      <c r="B520" s="1" t="s">
        <v>1037</v>
      </c>
      <c r="C520" s="1" t="s">
        <v>1199</v>
      </c>
      <c r="D520" s="1" t="s">
        <v>1038</v>
      </c>
      <c r="E520" t="s">
        <v>2545</v>
      </c>
      <c r="F520" s="1">
        <v>2010</v>
      </c>
      <c r="H520" s="2" t="str">
        <f>INDEX(Type!I:I,MATCH(D520,Type!A:A,0))</f>
        <v>v(v, v, v)</v>
      </c>
    </row>
    <row r="521" spans="1:8" x14ac:dyDescent="0.55000000000000004">
      <c r="A521" s="1">
        <v>528</v>
      </c>
      <c r="B521" s="1" t="s">
        <v>1039</v>
      </c>
      <c r="C521" s="1" t="s">
        <v>1199</v>
      </c>
      <c r="D521" s="1" t="s">
        <v>1040</v>
      </c>
      <c r="E521" t="s">
        <v>2437</v>
      </c>
      <c r="F521" s="1">
        <v>2010</v>
      </c>
      <c r="H521" s="2" t="str">
        <f>INDEX(Type!I:I,MATCH(D521,Type!A:A,0))</f>
        <v>v(v, v)</v>
      </c>
    </row>
    <row r="522" spans="1:8" x14ac:dyDescent="0.55000000000000004">
      <c r="A522" s="1">
        <v>529</v>
      </c>
      <c r="B522" s="1" t="s">
        <v>1041</v>
      </c>
      <c r="C522" s="1" t="s">
        <v>1199</v>
      </c>
      <c r="D522" s="1" t="s">
        <v>1042</v>
      </c>
      <c r="E522" t="s">
        <v>2438</v>
      </c>
      <c r="F522" s="1">
        <v>2010</v>
      </c>
      <c r="H522" s="2" t="str">
        <f>INDEX(Type!I:I,MATCH(D522,Type!A:A,0))</f>
        <v>v(v, v)</v>
      </c>
    </row>
    <row r="523" spans="1:8" x14ac:dyDescent="0.55000000000000004">
      <c r="A523" s="1">
        <v>530</v>
      </c>
      <c r="B523" s="1" t="s">
        <v>1043</v>
      </c>
      <c r="C523" s="1" t="s">
        <v>1199</v>
      </c>
      <c r="D523" s="1" t="s">
        <v>1044</v>
      </c>
      <c r="E523" t="s">
        <v>2438</v>
      </c>
      <c r="F523" s="1">
        <v>2010</v>
      </c>
      <c r="H523" s="2" t="str">
        <f>INDEX(Type!I:I,MATCH(D523,Type!A:A,0))</f>
        <v>v(v, v)</v>
      </c>
    </row>
    <row r="524" spans="1:8" x14ac:dyDescent="0.55000000000000004">
      <c r="A524" s="1">
        <v>531</v>
      </c>
      <c r="B524" s="1" t="s">
        <v>1045</v>
      </c>
      <c r="C524" s="1" t="s">
        <v>1199</v>
      </c>
      <c r="D524" s="1" t="s">
        <v>1046</v>
      </c>
      <c r="E524" t="s">
        <v>2549</v>
      </c>
      <c r="F524" s="1">
        <v>2010</v>
      </c>
      <c r="H524" s="2" t="str">
        <f>INDEX(Type!I:I,MATCH(D524,Type!A:A,0))</f>
        <v>v(v, v, v, v)</v>
      </c>
    </row>
    <row r="525" spans="1:8" x14ac:dyDescent="0.55000000000000004">
      <c r="A525" s="1">
        <v>532</v>
      </c>
      <c r="B525" s="1" t="s">
        <v>1047</v>
      </c>
      <c r="C525" s="1" t="s">
        <v>1199</v>
      </c>
      <c r="D525" s="1" t="s">
        <v>1048</v>
      </c>
      <c r="E525" t="s">
        <v>2443</v>
      </c>
      <c r="F525" s="1">
        <v>2010</v>
      </c>
      <c r="H525" s="2" t="str">
        <f>INDEX(Type!I:I,MATCH(D525,Type!A:A,0))</f>
        <v>v(v, v, v)</v>
      </c>
    </row>
    <row r="526" spans="1:8" x14ac:dyDescent="0.55000000000000004">
      <c r="A526" s="1">
        <v>533</v>
      </c>
      <c r="B526" s="1" t="s">
        <v>1049</v>
      </c>
      <c r="C526" s="1" t="s">
        <v>1199</v>
      </c>
      <c r="D526" s="1" t="s">
        <v>1050</v>
      </c>
      <c r="E526" t="s">
        <v>2444</v>
      </c>
      <c r="F526" s="1">
        <v>2010</v>
      </c>
      <c r="H526" s="2" t="str">
        <f>INDEX(Type!I:I,MATCH(D526,Type!A:A,0))</f>
        <v>v(v, v, v)</v>
      </c>
    </row>
    <row r="527" spans="1:8" x14ac:dyDescent="0.55000000000000004">
      <c r="A527" s="1">
        <v>534</v>
      </c>
      <c r="B527" s="1" t="s">
        <v>1051</v>
      </c>
      <c r="C527" s="1" t="s">
        <v>1199</v>
      </c>
      <c r="D527" s="1" t="s">
        <v>1052</v>
      </c>
      <c r="E527" t="s">
        <v>2444</v>
      </c>
      <c r="F527" s="1">
        <v>2010</v>
      </c>
      <c r="H527" s="2" t="str">
        <f>INDEX(Type!I:I,MATCH(D527,Type!A:A,0))</f>
        <v>v(v, v, v)</v>
      </c>
    </row>
    <row r="528" spans="1:8" x14ac:dyDescent="0.55000000000000004">
      <c r="A528" s="1">
        <v>535</v>
      </c>
      <c r="B528" s="1" t="s">
        <v>1053</v>
      </c>
      <c r="C528" s="1" t="s">
        <v>1199</v>
      </c>
      <c r="D528" s="1" t="s">
        <v>1054</v>
      </c>
      <c r="E528" t="s">
        <v>2550</v>
      </c>
      <c r="F528" s="1">
        <v>2010</v>
      </c>
      <c r="H528" s="2" t="str">
        <f>INDEX(Type!I:I,MATCH(D528,Type!A:A,0))</f>
        <v>v(v, v, v, v, v)</v>
      </c>
    </row>
    <row r="529" spans="1:8" x14ac:dyDescent="0.55000000000000004">
      <c r="A529" s="1">
        <v>536</v>
      </c>
      <c r="B529" s="1" t="s">
        <v>1055</v>
      </c>
      <c r="C529" s="1" t="s">
        <v>1199</v>
      </c>
      <c r="D529" s="1" t="s">
        <v>1056</v>
      </c>
      <c r="E529" t="s">
        <v>2452</v>
      </c>
      <c r="F529" s="1">
        <v>2010</v>
      </c>
      <c r="H529" s="2" t="str">
        <f>INDEX(Type!I:I,MATCH(D529,Type!A:A,0))</f>
        <v>v(v, v, v, v)</v>
      </c>
    </row>
    <row r="530" spans="1:8" x14ac:dyDescent="0.55000000000000004">
      <c r="A530" s="1">
        <v>537</v>
      </c>
      <c r="B530" s="1" t="s">
        <v>1057</v>
      </c>
      <c r="C530" s="1" t="s">
        <v>1199</v>
      </c>
      <c r="D530" s="1" t="s">
        <v>1058</v>
      </c>
      <c r="E530" t="s">
        <v>2450</v>
      </c>
      <c r="F530" s="1">
        <v>2010</v>
      </c>
      <c r="H530" s="2" t="str">
        <f>INDEX(Type!I:I,MATCH(D530,Type!A:A,0))</f>
        <v>v(v, v, v)</v>
      </c>
    </row>
    <row r="531" spans="1:8" x14ac:dyDescent="0.55000000000000004">
      <c r="A531" s="1">
        <v>538</v>
      </c>
      <c r="B531" s="1" t="s">
        <v>1059</v>
      </c>
      <c r="C531" s="1" t="s">
        <v>1199</v>
      </c>
      <c r="D531" s="1" t="s">
        <v>1060</v>
      </c>
      <c r="E531" t="s">
        <v>2551</v>
      </c>
      <c r="F531" s="1">
        <v>2010</v>
      </c>
      <c r="H531" s="2" t="str">
        <f>INDEX(Type!I:I,MATCH(D531,Type!A:A,0))</f>
        <v>v(v, v, v, v)</v>
      </c>
    </row>
    <row r="532" spans="1:8" x14ac:dyDescent="0.55000000000000004">
      <c r="A532" s="1">
        <v>539</v>
      </c>
      <c r="B532" s="1" t="s">
        <v>1061</v>
      </c>
      <c r="C532" s="1" t="s">
        <v>1199</v>
      </c>
      <c r="D532" s="1" t="s">
        <v>1062</v>
      </c>
      <c r="E532" t="s">
        <v>2552</v>
      </c>
      <c r="F532" s="1">
        <v>2010</v>
      </c>
      <c r="H532" s="2" t="str">
        <f>INDEX(Type!I:I,MATCH(D532,Type!A:A,0))</f>
        <v>v(v, v)</v>
      </c>
    </row>
    <row r="533" spans="1:8" x14ac:dyDescent="0.55000000000000004">
      <c r="A533" s="1">
        <v>540</v>
      </c>
      <c r="B533" s="1" t="s">
        <v>1063</v>
      </c>
      <c r="C533" s="1" t="s">
        <v>1199</v>
      </c>
      <c r="D533" s="1" t="s">
        <v>1064</v>
      </c>
      <c r="E533" t="s">
        <v>1321</v>
      </c>
      <c r="F533" s="1">
        <v>2010</v>
      </c>
      <c r="H533" s="2" t="str">
        <f>INDEX(Type!I:I,MATCH(D533,Type!A:A,0))</f>
        <v>v(v)</v>
      </c>
    </row>
    <row r="534" spans="1:8" x14ac:dyDescent="0.55000000000000004">
      <c r="A534" s="1">
        <v>541</v>
      </c>
      <c r="B534" s="1" t="s">
        <v>1065</v>
      </c>
      <c r="C534" s="1" t="s">
        <v>1199</v>
      </c>
      <c r="D534" s="1" t="s">
        <v>1066</v>
      </c>
      <c r="E534" t="s">
        <v>2459</v>
      </c>
      <c r="F534" s="1">
        <v>2010</v>
      </c>
      <c r="H534" s="2" t="str">
        <f>INDEX(Type!I:I,MATCH(D534,Type!A:A,0))</f>
        <v>v(a, a, v, v)</v>
      </c>
    </row>
    <row r="535" spans="1:8" x14ac:dyDescent="0.55000000000000004">
      <c r="A535" s="1">
        <v>542</v>
      </c>
      <c r="B535" s="1" t="s">
        <v>1067</v>
      </c>
      <c r="C535" s="1" t="s">
        <v>1199</v>
      </c>
      <c r="D535" s="1" t="s">
        <v>1068</v>
      </c>
      <c r="E535" t="s">
        <v>2461</v>
      </c>
      <c r="F535" s="1">
        <v>2010</v>
      </c>
      <c r="H535" s="2" t="str">
        <f>INDEX(Type!I:I,MATCH(D535,Type!A:A,0))</f>
        <v>v(var, v, [v])</v>
      </c>
    </row>
    <row r="536" spans="1:8" x14ac:dyDescent="0.55000000000000004">
      <c r="A536" s="1">
        <v>543</v>
      </c>
      <c r="B536" s="1" t="s">
        <v>1069</v>
      </c>
      <c r="C536" s="1" t="s">
        <v>1200</v>
      </c>
      <c r="D536" s="1" t="s">
        <v>1070</v>
      </c>
      <c r="E536" t="s">
        <v>1435</v>
      </c>
      <c r="F536" s="1">
        <v>2010</v>
      </c>
      <c r="H536" s="2" t="str">
        <f>INDEX(Type!I:I,MATCH(D536,Type!A:A,0))</f>
        <v>v(vr)</v>
      </c>
    </row>
    <row r="537" spans="1:8" x14ac:dyDescent="0.55000000000000004">
      <c r="A537" s="1">
        <v>544</v>
      </c>
      <c r="B537" s="1" t="s">
        <v>1071</v>
      </c>
      <c r="C537" s="1" t="s">
        <v>1200</v>
      </c>
      <c r="D537" s="1" t="s">
        <v>1072</v>
      </c>
      <c r="E537" t="s">
        <v>1435</v>
      </c>
      <c r="F537" s="1">
        <v>2010</v>
      </c>
      <c r="H537" s="2" t="str">
        <f>INDEX(Type!I:I,MATCH(D537,Type!A:A,0))</f>
        <v>v(vr)</v>
      </c>
    </row>
    <row r="538" spans="1:8" x14ac:dyDescent="0.55000000000000004">
      <c r="A538" s="1">
        <v>545</v>
      </c>
      <c r="B538" s="1" t="s">
        <v>1073</v>
      </c>
      <c r="C538" s="1" t="s">
        <v>1199</v>
      </c>
      <c r="D538" s="1" t="s">
        <v>1074</v>
      </c>
      <c r="E538" t="s">
        <v>1316</v>
      </c>
      <c r="F538" s="1">
        <v>2010</v>
      </c>
      <c r="H538" s="2" t="str">
        <f>INDEX(Type!I:I,MATCH(D538,Type!A:A,0))</f>
        <v>v(v)</v>
      </c>
    </row>
    <row r="539" spans="1:8" x14ac:dyDescent="0.55000000000000004">
      <c r="A539" s="1">
        <v>546</v>
      </c>
      <c r="B539" s="1" t="s">
        <v>1075</v>
      </c>
      <c r="C539" s="1" t="s">
        <v>1194</v>
      </c>
      <c r="D539" s="1" t="s">
        <v>1076</v>
      </c>
      <c r="E539" t="s">
        <v>2445</v>
      </c>
      <c r="F539" s="1">
        <v>2010</v>
      </c>
      <c r="H539" s="2" t="str">
        <f>INDEX(Type!I:I,MATCH(D539,Type!A:A,0))</f>
        <v>v(v, [v])</v>
      </c>
    </row>
    <row r="540" spans="1:8" x14ac:dyDescent="0.55000000000000004">
      <c r="A540" s="1">
        <v>547</v>
      </c>
      <c r="B540" s="1" t="s">
        <v>1077</v>
      </c>
      <c r="C540" s="1" t="s">
        <v>1194</v>
      </c>
      <c r="D540" s="1" t="s">
        <v>1078</v>
      </c>
      <c r="E540" t="s">
        <v>2445</v>
      </c>
      <c r="F540" s="1">
        <v>2010</v>
      </c>
      <c r="H540" s="2" t="str">
        <f>INDEX(Type!I:I,MATCH(D540,Type!A:A,0))</f>
        <v>v(v, [v])</v>
      </c>
    </row>
    <row r="541" spans="1:8" x14ac:dyDescent="0.55000000000000004">
      <c r="A541" s="1">
        <v>548</v>
      </c>
      <c r="B541" s="1" t="s">
        <v>1079</v>
      </c>
      <c r="C541" s="1" t="s">
        <v>1194</v>
      </c>
      <c r="D541" s="1" t="s">
        <v>1129</v>
      </c>
      <c r="E541" t="s">
        <v>1223</v>
      </c>
      <c r="F541" s="1">
        <v>2013</v>
      </c>
      <c r="H541" s="2" t="str">
        <f>INDEX(Type!I:I,MATCH(D541,Type!A:A,0))</f>
        <v>v(v)</v>
      </c>
    </row>
    <row r="542" spans="1:8" x14ac:dyDescent="0.55000000000000004">
      <c r="A542" s="1">
        <v>549</v>
      </c>
      <c r="B542" s="1" t="s">
        <v>1080</v>
      </c>
      <c r="C542" s="1" t="s">
        <v>1194</v>
      </c>
      <c r="D542" s="1" t="s">
        <v>1130</v>
      </c>
      <c r="E542" t="s">
        <v>1223</v>
      </c>
      <c r="F542" s="1">
        <v>2013</v>
      </c>
      <c r="H542" s="2" t="str">
        <f>INDEX(Type!I:I,MATCH(D542,Type!A:A,0))</f>
        <v>v(v)</v>
      </c>
    </row>
    <row r="543" spans="1:8" x14ac:dyDescent="0.55000000000000004">
      <c r="A543" s="1">
        <v>550</v>
      </c>
      <c r="B543" s="1" t="s">
        <v>1081</v>
      </c>
      <c r="C543" s="1" t="s">
        <v>1194</v>
      </c>
      <c r="D543" s="1" t="s">
        <v>1131</v>
      </c>
      <c r="E543" t="s">
        <v>1223</v>
      </c>
      <c r="F543" s="1">
        <v>2013</v>
      </c>
      <c r="H543" s="2" t="str">
        <f>INDEX(Type!I:I,MATCH(D543,Type!A:A,0))</f>
        <v>v(v)</v>
      </c>
    </row>
    <row r="544" spans="1:8" x14ac:dyDescent="0.55000000000000004">
      <c r="A544" s="1">
        <v>551</v>
      </c>
      <c r="B544" s="1" t="s">
        <v>1082</v>
      </c>
      <c r="C544" s="1" t="s">
        <v>1194</v>
      </c>
      <c r="D544" s="1" t="s">
        <v>1132</v>
      </c>
      <c r="E544" t="s">
        <v>1223</v>
      </c>
      <c r="F544" s="1">
        <v>2013</v>
      </c>
      <c r="H544" s="2" t="str">
        <f>INDEX(Type!I:I,MATCH(D544,Type!A:A,0))</f>
        <v>v(v)</v>
      </c>
    </row>
    <row r="545" spans="1:8" x14ac:dyDescent="0.55000000000000004">
      <c r="A545" s="1">
        <v>552</v>
      </c>
      <c r="B545" s="1" t="s">
        <v>1083</v>
      </c>
      <c r="C545" s="1" t="s">
        <v>1194</v>
      </c>
      <c r="D545" s="1" t="s">
        <v>1133</v>
      </c>
      <c r="E545" t="s">
        <v>1223</v>
      </c>
      <c r="F545" s="1">
        <v>2013</v>
      </c>
      <c r="H545" s="2" t="str">
        <f>INDEX(Type!I:I,MATCH(D545,Type!A:A,0))</f>
        <v>v(v)</v>
      </c>
    </row>
    <row r="546" spans="1:8" x14ac:dyDescent="0.55000000000000004">
      <c r="A546" s="1">
        <v>553</v>
      </c>
      <c r="B546" s="1" t="s">
        <v>1084</v>
      </c>
      <c r="C546" s="1" t="s">
        <v>1194</v>
      </c>
      <c r="D546" s="1" t="s">
        <v>1134</v>
      </c>
      <c r="E546" t="s">
        <v>1223</v>
      </c>
      <c r="F546" s="1">
        <v>2013</v>
      </c>
      <c r="H546" s="2" t="str">
        <f>INDEX(Type!I:I,MATCH(D546,Type!A:A,0))</f>
        <v>v(v)</v>
      </c>
    </row>
    <row r="547" spans="1:8" x14ac:dyDescent="0.55000000000000004">
      <c r="A547" s="1">
        <v>554</v>
      </c>
      <c r="B547" s="1" t="s">
        <v>1085</v>
      </c>
      <c r="C547" s="1" t="s">
        <v>1194</v>
      </c>
      <c r="D547" s="1" t="s">
        <v>1135</v>
      </c>
      <c r="E547" t="s">
        <v>1223</v>
      </c>
      <c r="F547" s="1">
        <v>2013</v>
      </c>
      <c r="H547" s="2" t="str">
        <f>INDEX(Type!I:I,MATCH(D547,Type!A:A,0))</f>
        <v>v(v)</v>
      </c>
    </row>
    <row r="548" spans="1:8" x14ac:dyDescent="0.55000000000000004">
      <c r="A548" s="1">
        <v>555</v>
      </c>
      <c r="B548" s="1" t="s">
        <v>1086</v>
      </c>
      <c r="C548" s="1" t="s">
        <v>1194</v>
      </c>
      <c r="D548" s="1" t="s">
        <v>1136</v>
      </c>
      <c r="E548" t="s">
        <v>1223</v>
      </c>
      <c r="F548" s="1">
        <v>2013</v>
      </c>
      <c r="H548" s="2" t="str">
        <f>INDEX(Type!I:I,MATCH(D548,Type!A:A,0))</f>
        <v>v(v)</v>
      </c>
    </row>
    <row r="549" spans="1:8" x14ac:dyDescent="0.55000000000000004">
      <c r="A549" s="1">
        <v>556</v>
      </c>
      <c r="B549" s="1" t="s">
        <v>1087</v>
      </c>
      <c r="C549" s="1" t="s">
        <v>1200</v>
      </c>
      <c r="D549" s="1" t="s">
        <v>1137</v>
      </c>
      <c r="E549" t="s">
        <v>1380</v>
      </c>
      <c r="F549" s="1">
        <v>2013</v>
      </c>
      <c r="H549" s="2" t="str">
        <f>INDEX(Type!I:I,MATCH(D549,Type!A:A,0))</f>
        <v>v(vr)</v>
      </c>
    </row>
    <row r="550" spans="1:8" x14ac:dyDescent="0.55000000000000004">
      <c r="A550" s="1">
        <v>557</v>
      </c>
      <c r="B550" s="1" t="s">
        <v>1088</v>
      </c>
      <c r="C550" s="1" t="s">
        <v>1200</v>
      </c>
      <c r="D550" s="1" t="s">
        <v>1138</v>
      </c>
      <c r="E550" t="s">
        <v>1380</v>
      </c>
      <c r="F550" s="1">
        <v>2013</v>
      </c>
      <c r="H550" s="2" t="str">
        <f>INDEX(Type!I:I,MATCH(D550,Type!A:A,0))</f>
        <v>v(vr)</v>
      </c>
    </row>
    <row r="551" spans="1:8" x14ac:dyDescent="0.55000000000000004">
      <c r="A551" s="1">
        <v>558</v>
      </c>
      <c r="B551" s="1" t="s">
        <v>1089</v>
      </c>
      <c r="C551" s="1" t="s">
        <v>1200</v>
      </c>
      <c r="D551" s="1" t="s">
        <v>1139</v>
      </c>
      <c r="E551" t="s">
        <v>1380</v>
      </c>
      <c r="F551" s="1">
        <v>2013</v>
      </c>
      <c r="H551" s="2" t="str">
        <f>INDEX(Type!I:I,MATCH(D551,Type!A:A,0))</f>
        <v>v(vr)</v>
      </c>
    </row>
    <row r="552" spans="1:8" x14ac:dyDescent="0.55000000000000004">
      <c r="A552" s="1">
        <v>559</v>
      </c>
      <c r="B552" s="1" t="s">
        <v>1090</v>
      </c>
      <c r="C552" s="1" t="s">
        <v>1200</v>
      </c>
      <c r="D552" s="1" t="s">
        <v>1140</v>
      </c>
      <c r="E552" t="s">
        <v>1380</v>
      </c>
      <c r="F552" s="1">
        <v>2013</v>
      </c>
      <c r="H552" s="2" t="str">
        <f>INDEX(Type!I:I,MATCH(D552,Type!A:A,0))</f>
        <v>v(vr)</v>
      </c>
    </row>
    <row r="553" spans="1:8" x14ac:dyDescent="0.55000000000000004">
      <c r="A553" s="1">
        <v>560</v>
      </c>
      <c r="B553" s="1" t="s">
        <v>1091</v>
      </c>
      <c r="C553" s="1" t="s">
        <v>1200</v>
      </c>
      <c r="D553" s="1" t="s">
        <v>1141</v>
      </c>
      <c r="E553" t="s">
        <v>1380</v>
      </c>
      <c r="F553" s="1">
        <v>2013</v>
      </c>
      <c r="H553" s="2" t="str">
        <f>INDEX(Type!I:I,MATCH(D553,Type!A:A,0))</f>
        <v>v(vr)</v>
      </c>
    </row>
    <row r="554" spans="1:8" x14ac:dyDescent="0.55000000000000004">
      <c r="A554" s="1">
        <v>561</v>
      </c>
      <c r="B554" s="1" t="s">
        <v>1092</v>
      </c>
      <c r="C554" s="1" t="s">
        <v>1200</v>
      </c>
      <c r="D554" s="1" t="s">
        <v>1142</v>
      </c>
      <c r="E554" t="s">
        <v>1380</v>
      </c>
      <c r="F554" s="1">
        <v>2013</v>
      </c>
      <c r="H554" s="2" t="str">
        <f>INDEX(Type!I:I,MATCH(D554,Type!A:A,0))</f>
        <v>v(vr)</v>
      </c>
    </row>
    <row r="555" spans="1:8" x14ac:dyDescent="0.55000000000000004">
      <c r="A555" s="1">
        <v>562</v>
      </c>
      <c r="B555" s="1" t="s">
        <v>1093</v>
      </c>
      <c r="C555" s="1" t="s">
        <v>1200</v>
      </c>
      <c r="D555" s="1" t="s">
        <v>1143</v>
      </c>
      <c r="E555" t="s">
        <v>2499</v>
      </c>
      <c r="F555" s="1">
        <v>2013</v>
      </c>
      <c r="H555" s="2" t="str">
        <f>INDEX(Type!I:I,MATCH(D555,Type!A:A,0))</f>
        <v>v(v, v)</v>
      </c>
    </row>
    <row r="556" spans="1:8" x14ac:dyDescent="0.55000000000000004">
      <c r="A556" s="1">
        <v>563</v>
      </c>
      <c r="B556" s="1" t="s">
        <v>1094</v>
      </c>
      <c r="C556" s="1" t="s">
        <v>1200</v>
      </c>
      <c r="D556" s="1" t="s">
        <v>1144</v>
      </c>
      <c r="E556" t="s">
        <v>2499</v>
      </c>
      <c r="F556" s="1">
        <v>2013</v>
      </c>
      <c r="H556" s="2" t="str">
        <f>INDEX(Type!I:I,MATCH(D556,Type!A:A,0))</f>
        <v>v(v, v)</v>
      </c>
    </row>
    <row r="557" spans="1:8" x14ac:dyDescent="0.55000000000000004">
      <c r="A557" s="1">
        <v>564</v>
      </c>
      <c r="B557" s="1" t="s">
        <v>1095</v>
      </c>
      <c r="C557" s="1" t="s">
        <v>1200</v>
      </c>
      <c r="D557" s="1" t="s">
        <v>1145</v>
      </c>
      <c r="E557" t="s">
        <v>2499</v>
      </c>
      <c r="F557" s="1">
        <v>2013</v>
      </c>
      <c r="H557" s="2" t="str">
        <f>INDEX(Type!I:I,MATCH(D557,Type!A:A,0))</f>
        <v>v(v, v)</v>
      </c>
    </row>
    <row r="558" spans="1:8" x14ac:dyDescent="0.55000000000000004">
      <c r="A558" s="1">
        <v>565</v>
      </c>
      <c r="B558" s="1" t="s">
        <v>1096</v>
      </c>
      <c r="C558" s="1" t="s">
        <v>1200</v>
      </c>
      <c r="D558" s="1" t="s">
        <v>1146</v>
      </c>
      <c r="E558" t="s">
        <v>2553</v>
      </c>
      <c r="F558" s="1">
        <v>2013</v>
      </c>
      <c r="H558" s="2" t="str">
        <f>INDEX(Type!I:I,MATCH(D558,Type!A:A,0))</f>
        <v>v(v, v)</v>
      </c>
    </row>
    <row r="559" spans="1:8" x14ac:dyDescent="0.55000000000000004">
      <c r="A559" s="1">
        <v>566</v>
      </c>
      <c r="B559" s="1" t="s">
        <v>1097</v>
      </c>
      <c r="C559" s="1" t="s">
        <v>1200</v>
      </c>
      <c r="D559" s="1" t="s">
        <v>1147</v>
      </c>
      <c r="E559" t="s">
        <v>2553</v>
      </c>
      <c r="F559" s="1">
        <v>2013</v>
      </c>
      <c r="H559" s="2" t="str">
        <f>INDEX(Type!I:I,MATCH(D559,Type!A:A,0))</f>
        <v>v(v, v)</v>
      </c>
    </row>
    <row r="560" spans="1:8" x14ac:dyDescent="0.55000000000000004">
      <c r="A560" s="1">
        <v>567</v>
      </c>
      <c r="B560" s="1" t="s">
        <v>1098</v>
      </c>
      <c r="C560" s="1" t="s">
        <v>1199</v>
      </c>
      <c r="D560" s="1" t="s">
        <v>1148</v>
      </c>
      <c r="E560" t="s">
        <v>2439</v>
      </c>
      <c r="F560" s="1">
        <v>2013</v>
      </c>
      <c r="H560" s="2" t="str">
        <f>INDEX(Type!I:I,MATCH(D560,Type!A:A,0))</f>
        <v>v(v, v)</v>
      </c>
    </row>
    <row r="561" spans="1:8" x14ac:dyDescent="0.55000000000000004">
      <c r="A561" s="1">
        <v>568</v>
      </c>
      <c r="B561" s="1" t="s">
        <v>1099</v>
      </c>
      <c r="C561" s="1" t="s">
        <v>1194</v>
      </c>
      <c r="D561" s="1" t="s">
        <v>1149</v>
      </c>
      <c r="E561" t="s">
        <v>2439</v>
      </c>
      <c r="F561" s="1">
        <v>2013</v>
      </c>
      <c r="H561" s="2" t="str">
        <f>INDEX(Type!I:I,MATCH(D561,Type!A:A,0))</f>
        <v>v(v, v)</v>
      </c>
    </row>
    <row r="562" spans="1:8" x14ac:dyDescent="0.55000000000000004">
      <c r="A562" s="1">
        <v>569</v>
      </c>
      <c r="B562" s="1" t="s">
        <v>1100</v>
      </c>
      <c r="C562" s="1" t="s">
        <v>1197</v>
      </c>
      <c r="D562" s="1" t="s">
        <v>1150</v>
      </c>
      <c r="E562" t="s">
        <v>2333</v>
      </c>
      <c r="F562" s="1">
        <v>2013</v>
      </c>
      <c r="H562" s="2" t="str">
        <f>INDEX(Type!I:I,MATCH(D562,Type!A:A,0))</f>
        <v>v(var, [var], …)</v>
      </c>
    </row>
    <row r="563" spans="1:8" x14ac:dyDescent="0.55000000000000004">
      <c r="A563" s="1">
        <v>570</v>
      </c>
      <c r="B563" s="1" t="s">
        <v>1101</v>
      </c>
      <c r="C563" s="1" t="s">
        <v>1195</v>
      </c>
      <c r="D563" s="1" t="s">
        <v>1151</v>
      </c>
      <c r="E563" t="s">
        <v>2554</v>
      </c>
      <c r="F563" s="1">
        <v>2013</v>
      </c>
      <c r="H563" s="2" t="str">
        <f>INDEX(Type!I:I,MATCH(D563,Type!A:A,0))</f>
        <v>v(v, v, v)</v>
      </c>
    </row>
    <row r="564" spans="1:8" x14ac:dyDescent="0.55000000000000004">
      <c r="A564" s="1">
        <v>571</v>
      </c>
      <c r="B564" s="1" t="s">
        <v>1102</v>
      </c>
      <c r="C564" s="1" t="s">
        <v>1194</v>
      </c>
      <c r="D564" s="1" t="s">
        <v>1152</v>
      </c>
      <c r="E564" t="s">
        <v>2555</v>
      </c>
      <c r="F564" s="1">
        <v>2013</v>
      </c>
      <c r="H564" s="2" t="str">
        <f>INDEX(Type!I:I,MATCH(D564,Type!A:A,0))</f>
        <v>v(v, v, [v])</v>
      </c>
    </row>
    <row r="565" spans="1:8" x14ac:dyDescent="0.55000000000000004">
      <c r="A565" s="1">
        <v>572</v>
      </c>
      <c r="B565" s="1" t="s">
        <v>1103</v>
      </c>
      <c r="C565" s="1" t="s">
        <v>1194</v>
      </c>
      <c r="D565" s="1" t="s">
        <v>1153</v>
      </c>
      <c r="E565" t="s">
        <v>2556</v>
      </c>
      <c r="F565" s="1">
        <v>2013</v>
      </c>
      <c r="H565" s="2" t="str">
        <f>INDEX(Type!I:I,MATCH(D565,Type!A:A,0))</f>
        <v>v(v, v)</v>
      </c>
    </row>
    <row r="566" spans="1:8" x14ac:dyDescent="0.55000000000000004">
      <c r="A566" s="1">
        <v>573</v>
      </c>
      <c r="B566" s="1" t="s">
        <v>1104</v>
      </c>
      <c r="C566" s="1" t="s">
        <v>1205</v>
      </c>
      <c r="D566" s="1" t="s">
        <v>1154</v>
      </c>
      <c r="E566" t="s">
        <v>2557</v>
      </c>
      <c r="F566" s="1">
        <v>2013</v>
      </c>
      <c r="H566" s="2" t="str">
        <f>INDEX(Type!I:I,MATCH(D566,Type!A:A,0))</f>
        <v>v(v, v)</v>
      </c>
    </row>
    <row r="567" spans="1:8" x14ac:dyDescent="0.55000000000000004">
      <c r="A567" s="1">
        <v>574</v>
      </c>
      <c r="B567" s="1" t="s">
        <v>1105</v>
      </c>
      <c r="C567" s="1" t="s">
        <v>1199</v>
      </c>
      <c r="D567" s="1" t="s">
        <v>1175</v>
      </c>
      <c r="E567" t="s">
        <v>2558</v>
      </c>
      <c r="F567" s="1">
        <v>2013</v>
      </c>
      <c r="H567" s="2" t="str">
        <f>INDEX(Type!I:I,MATCH(D567,Type!A:A,0))</f>
        <v>v(v, v, v, [v])</v>
      </c>
    </row>
    <row r="568" spans="1:8" x14ac:dyDescent="0.55000000000000004">
      <c r="A568" s="1">
        <v>575</v>
      </c>
      <c r="B568" s="1" t="s">
        <v>1106</v>
      </c>
      <c r="C568" s="1" t="s">
        <v>1199</v>
      </c>
      <c r="D568" s="1" t="s">
        <v>1155</v>
      </c>
      <c r="E568" t="s">
        <v>1316</v>
      </c>
      <c r="F568" s="1">
        <v>2013</v>
      </c>
      <c r="H568" s="2" t="str">
        <f>INDEX(Type!I:I,MATCH(D568,Type!A:A,0))</f>
        <v>v(v)</v>
      </c>
    </row>
    <row r="569" spans="1:8" x14ac:dyDescent="0.55000000000000004">
      <c r="A569" s="1">
        <v>576</v>
      </c>
      <c r="B569" s="1" t="s">
        <v>1107</v>
      </c>
      <c r="C569" s="1" t="s">
        <v>1199</v>
      </c>
      <c r="D569" s="1" t="s">
        <v>1176</v>
      </c>
      <c r="E569" t="s">
        <v>2324</v>
      </c>
      <c r="F569" s="1">
        <v>2013</v>
      </c>
      <c r="H569" s="2" t="str">
        <f>INDEX(Type!I:I,MATCH(D569,Type!A:A,0))</f>
        <v>v(var, [var], …)</v>
      </c>
    </row>
    <row r="570" spans="1:8" x14ac:dyDescent="0.55000000000000004">
      <c r="A570" s="1">
        <v>577</v>
      </c>
      <c r="B570" s="1" t="s">
        <v>1108</v>
      </c>
      <c r="C570" s="1" t="s">
        <v>1199</v>
      </c>
      <c r="D570" s="1" t="s">
        <v>1156</v>
      </c>
      <c r="E570" t="s">
        <v>1316</v>
      </c>
      <c r="F570" s="1">
        <v>2013</v>
      </c>
      <c r="H570" s="2" t="str">
        <f>INDEX(Type!I:I,MATCH(D570,Type!A:A,0))</f>
        <v>v(v)</v>
      </c>
    </row>
    <row r="571" spans="1:8" x14ac:dyDescent="0.55000000000000004">
      <c r="A571" s="1">
        <v>578</v>
      </c>
      <c r="B571" s="1" t="s">
        <v>1109</v>
      </c>
      <c r="C571" s="1" t="s">
        <v>1199</v>
      </c>
      <c r="D571" s="1" t="s">
        <v>1157</v>
      </c>
      <c r="E571" t="s">
        <v>1316</v>
      </c>
      <c r="F571" s="1">
        <v>2013</v>
      </c>
      <c r="H571" s="2" t="str">
        <f>INDEX(Type!I:I,MATCH(D571,Type!A:A,0))</f>
        <v>v(v)</v>
      </c>
    </row>
    <row r="572" spans="1:8" x14ac:dyDescent="0.55000000000000004">
      <c r="A572" s="1">
        <v>579</v>
      </c>
      <c r="B572" s="1" t="s">
        <v>1110</v>
      </c>
      <c r="C572" s="1" t="s">
        <v>1195</v>
      </c>
      <c r="D572" s="1" t="s">
        <v>1158</v>
      </c>
      <c r="E572" t="s">
        <v>2559</v>
      </c>
      <c r="F572" s="1">
        <v>2013</v>
      </c>
      <c r="H572" s="2" t="str">
        <f>INDEX(Type!I:I,MATCH(D572,Type!A:A,0))</f>
        <v>v(v, v, v)</v>
      </c>
    </row>
    <row r="573" spans="1:8" x14ac:dyDescent="0.55000000000000004">
      <c r="A573" s="1">
        <v>580</v>
      </c>
      <c r="B573" s="1" t="s">
        <v>1111</v>
      </c>
      <c r="C573" s="1" t="s">
        <v>1198</v>
      </c>
      <c r="D573" s="1" t="s">
        <v>1159</v>
      </c>
      <c r="E573" t="s">
        <v>1223</v>
      </c>
      <c r="F573" s="1">
        <v>2013</v>
      </c>
      <c r="H573" s="2" t="str">
        <f>INDEX(Type!I:I,MATCH(D573,Type!A:A,0))</f>
        <v>v(v)</v>
      </c>
    </row>
    <row r="574" spans="1:8" x14ac:dyDescent="0.55000000000000004">
      <c r="A574" s="1">
        <v>581</v>
      </c>
      <c r="B574" s="1" t="s">
        <v>1112</v>
      </c>
      <c r="C574" s="1" t="s">
        <v>1198</v>
      </c>
      <c r="D574" s="1" t="s">
        <v>1160</v>
      </c>
      <c r="E574" t="s">
        <v>1233</v>
      </c>
      <c r="F574" s="1">
        <v>2013</v>
      </c>
      <c r="H574" s="2" t="str">
        <f>INDEX(Type!I:I,MATCH(D574,Type!A:A,0))</f>
        <v>v(v)</v>
      </c>
    </row>
    <row r="575" spans="1:8" x14ac:dyDescent="0.55000000000000004">
      <c r="A575" s="1">
        <v>582</v>
      </c>
      <c r="B575" s="1" t="s">
        <v>1113</v>
      </c>
      <c r="C575" s="1" t="s">
        <v>1194</v>
      </c>
      <c r="D575" s="1" t="s">
        <v>1161</v>
      </c>
      <c r="E575" t="s">
        <v>1440</v>
      </c>
      <c r="F575" s="1">
        <v>2013</v>
      </c>
      <c r="H575" s="2" t="str">
        <f>INDEX(Type!I:I,MATCH(D575,Type!A:A,0))</f>
        <v>a(v)</v>
      </c>
    </row>
    <row r="576" spans="1:8" x14ac:dyDescent="0.55000000000000004">
      <c r="A576" s="1">
        <v>583</v>
      </c>
      <c r="B576" s="1" t="s">
        <v>1114</v>
      </c>
      <c r="C576" s="1" t="s">
        <v>1194</v>
      </c>
      <c r="D576" s="1" t="s">
        <v>1162</v>
      </c>
      <c r="E576" t="s">
        <v>1233</v>
      </c>
      <c r="F576" s="1">
        <v>2013</v>
      </c>
      <c r="H576" s="2" t="str">
        <f>INDEX(Type!I:I,MATCH(D576,Type!A:A,0))</f>
        <v>v(v)</v>
      </c>
    </row>
    <row r="577" spans="1:8" x14ac:dyDescent="0.55000000000000004">
      <c r="A577" s="1">
        <v>584</v>
      </c>
      <c r="B577" s="1" t="s">
        <v>1115</v>
      </c>
      <c r="C577" s="1" t="s">
        <v>1205</v>
      </c>
      <c r="D577" s="1" t="s">
        <v>1163</v>
      </c>
      <c r="E577" t="s">
        <v>1441</v>
      </c>
      <c r="F577" s="1">
        <v>2013</v>
      </c>
      <c r="H577" s="2" t="str">
        <f>INDEX(Type!I:I,MATCH(D577,Type!A:A,0))</f>
        <v>v(v)</v>
      </c>
    </row>
    <row r="578" spans="1:8" x14ac:dyDescent="0.55000000000000004">
      <c r="A578" s="1">
        <v>585</v>
      </c>
      <c r="B578" s="1" t="s">
        <v>1116</v>
      </c>
      <c r="C578" s="1" t="s">
        <v>1198</v>
      </c>
      <c r="D578" s="1" t="s">
        <v>1164</v>
      </c>
      <c r="E578" t="s">
        <v>2560</v>
      </c>
      <c r="F578" s="1">
        <v>2013</v>
      </c>
      <c r="H578" s="2" t="str">
        <f>INDEX(Type!I:I,MATCH(D578,Type!A:A,0))</f>
        <v>v(v, [v], [v])</v>
      </c>
    </row>
    <row r="579" spans="1:8" x14ac:dyDescent="0.55000000000000004">
      <c r="A579" s="1">
        <v>586</v>
      </c>
      <c r="B579" s="1" t="s">
        <v>1117</v>
      </c>
      <c r="C579" s="1" t="s">
        <v>1203</v>
      </c>
      <c r="D579" s="1" t="s">
        <v>1165</v>
      </c>
      <c r="E579" t="s">
        <v>1218</v>
      </c>
      <c r="F579" s="1">
        <v>2013</v>
      </c>
      <c r="H579" s="2" t="str">
        <f>INDEX(Type!I:I,MATCH(D579,Type!A:A,0))</f>
        <v>v([var])</v>
      </c>
    </row>
    <row r="580" spans="1:8" x14ac:dyDescent="0.55000000000000004">
      <c r="A580" s="1">
        <v>587</v>
      </c>
      <c r="B580" s="1" t="s">
        <v>1118</v>
      </c>
      <c r="C580" s="1" t="s">
        <v>1203</v>
      </c>
      <c r="D580" s="1" t="s">
        <v>1166</v>
      </c>
      <c r="E580" t="s">
        <v>1221</v>
      </c>
      <c r="F580" s="1">
        <v>2013</v>
      </c>
      <c r="H580" s="2" t="str">
        <f>INDEX(Type!I:I,MATCH(D580,Type!A:A,0))</f>
        <v>v([ar])</v>
      </c>
    </row>
    <row r="581" spans="1:8" x14ac:dyDescent="0.55000000000000004">
      <c r="A581" s="1">
        <v>588</v>
      </c>
      <c r="B581" s="1" t="s">
        <v>1119</v>
      </c>
      <c r="C581" s="1" t="s">
        <v>1196</v>
      </c>
      <c r="D581" s="1" t="s">
        <v>1167</v>
      </c>
      <c r="E581" t="s">
        <v>1221</v>
      </c>
      <c r="F581" s="1">
        <v>2013</v>
      </c>
      <c r="H581" s="2" t="str">
        <f>INDEX(Type!I:I,MATCH(D581,Type!A:A,0))</f>
        <v>v(r)</v>
      </c>
    </row>
    <row r="582" spans="1:8" x14ac:dyDescent="0.55000000000000004">
      <c r="A582" s="1">
        <v>589</v>
      </c>
      <c r="B582" s="1" t="s">
        <v>1120</v>
      </c>
      <c r="C582" s="1" t="s">
        <v>1203</v>
      </c>
      <c r="D582" s="1" t="s">
        <v>1168</v>
      </c>
      <c r="E582" t="s">
        <v>1221</v>
      </c>
      <c r="F582" s="1">
        <v>2013</v>
      </c>
      <c r="H582" s="2" t="str">
        <f>INDEX(Type!I:I,MATCH(D582,Type!A:A,0))</f>
        <v>v(r)</v>
      </c>
    </row>
    <row r="583" spans="1:8" x14ac:dyDescent="0.55000000000000004">
      <c r="A583" s="1">
        <v>590</v>
      </c>
      <c r="B583" s="1" t="s">
        <v>1121</v>
      </c>
      <c r="C583" s="1" t="s">
        <v>1197</v>
      </c>
      <c r="D583" s="1" t="s">
        <v>1169</v>
      </c>
      <c r="E583" t="s">
        <v>2561</v>
      </c>
      <c r="F583" s="1">
        <v>2013</v>
      </c>
      <c r="H583" s="2" t="str">
        <f>INDEX(Type!I:I,MATCH(D583,Type!A:A,0))</f>
        <v>va(va, var)</v>
      </c>
    </row>
    <row r="584" spans="1:8" x14ac:dyDescent="0.55000000000000004">
      <c r="A584" s="1">
        <v>591</v>
      </c>
      <c r="B584" s="1" t="s">
        <v>1122</v>
      </c>
      <c r="C584" s="1" t="s">
        <v>1194</v>
      </c>
      <c r="D584" s="1" t="s">
        <v>1177</v>
      </c>
      <c r="E584" t="s">
        <v>2562</v>
      </c>
      <c r="F584" s="1">
        <v>2013</v>
      </c>
      <c r="H584" s="2" t="str">
        <f>INDEX(Type!I:I,MATCH(D584,Type!A:A,0))</f>
        <v>v(v, [v], [v])</v>
      </c>
    </row>
    <row r="585" spans="1:8" x14ac:dyDescent="0.55000000000000004">
      <c r="A585" s="1">
        <v>592</v>
      </c>
      <c r="B585" s="1" t="s">
        <v>1123</v>
      </c>
      <c r="C585" s="1" t="s">
        <v>1194</v>
      </c>
      <c r="D585" s="1" t="s">
        <v>1178</v>
      </c>
      <c r="E585" t="s">
        <v>2562</v>
      </c>
      <c r="F585" s="1">
        <v>2013</v>
      </c>
      <c r="H585" s="2" t="str">
        <f>INDEX(Type!I:I,MATCH(D585,Type!A:A,0))</f>
        <v>v(v, [v], [v])</v>
      </c>
    </row>
    <row r="586" spans="1:8" x14ac:dyDescent="0.55000000000000004">
      <c r="A586" s="1">
        <v>593</v>
      </c>
      <c r="B586" s="1" t="s">
        <v>1124</v>
      </c>
      <c r="C586" s="1" t="s">
        <v>1200</v>
      </c>
      <c r="D586" s="1" t="s">
        <v>1170</v>
      </c>
      <c r="E586" t="s">
        <v>1380</v>
      </c>
      <c r="F586" s="1">
        <v>2013</v>
      </c>
      <c r="H586" s="2" t="str">
        <f>INDEX(Type!I:I,MATCH(D586,Type!A:A,0))</f>
        <v>v(vr)</v>
      </c>
    </row>
    <row r="587" spans="1:8" x14ac:dyDescent="0.55000000000000004">
      <c r="A587" s="1">
        <v>594</v>
      </c>
      <c r="B587" s="1" t="s">
        <v>1125</v>
      </c>
      <c r="C587" s="1" t="s">
        <v>1200</v>
      </c>
      <c r="D587" s="1" t="s">
        <v>1171</v>
      </c>
      <c r="E587" t="s">
        <v>1380</v>
      </c>
      <c r="F587" s="1">
        <v>2013</v>
      </c>
      <c r="H587" s="2" t="str">
        <f>INDEX(Type!I:I,MATCH(D587,Type!A:A,0))</f>
        <v>v(vr)</v>
      </c>
    </row>
    <row r="588" spans="1:8" x14ac:dyDescent="0.55000000000000004">
      <c r="A588" s="1">
        <v>595</v>
      </c>
      <c r="B588" s="1" t="s">
        <v>1126</v>
      </c>
      <c r="C588" s="1" t="s">
        <v>1207</v>
      </c>
      <c r="D588" s="1" t="s">
        <v>1172</v>
      </c>
      <c r="E588" t="s">
        <v>2563</v>
      </c>
      <c r="F588" s="1">
        <v>2013</v>
      </c>
      <c r="H588" s="2" t="str">
        <f>INDEX(Type!I:I,MATCH(D588,Type!A:A,0))</f>
        <v>va(v, v)</v>
      </c>
    </row>
    <row r="589" spans="1:8" x14ac:dyDescent="0.55000000000000004">
      <c r="A589" s="1">
        <v>596</v>
      </c>
      <c r="B589" s="1" t="s">
        <v>1127</v>
      </c>
      <c r="C589" s="1" t="s">
        <v>1207</v>
      </c>
      <c r="D589" s="1" t="s">
        <v>1173</v>
      </c>
      <c r="E589" t="s">
        <v>1448</v>
      </c>
      <c r="F589" s="1">
        <v>2013</v>
      </c>
      <c r="H589" s="2" t="str">
        <f>INDEX(Type!I:I,MATCH(D589,Type!A:A,0))</f>
        <v>v(v)</v>
      </c>
    </row>
    <row r="590" spans="1:8" x14ac:dyDescent="0.55000000000000004">
      <c r="A590" s="1">
        <v>597</v>
      </c>
      <c r="B590" s="1" t="s">
        <v>1128</v>
      </c>
      <c r="C590" s="1" t="s">
        <v>1207</v>
      </c>
      <c r="D590" s="1" t="s">
        <v>1174</v>
      </c>
      <c r="E590" t="s">
        <v>1233</v>
      </c>
      <c r="F590" s="1">
        <v>2013</v>
      </c>
      <c r="H590" s="2" t="str">
        <f>INDEX(Type!I:I,MATCH(D590,Type!A:A,0))</f>
        <v>v(v)</v>
      </c>
    </row>
    <row r="591" spans="1:8" x14ac:dyDescent="0.55000000000000004">
      <c r="A591" s="1">
        <v>598</v>
      </c>
      <c r="C591" s="1" t="s">
        <v>1199</v>
      </c>
      <c r="D591" s="1" t="s">
        <v>1179</v>
      </c>
      <c r="E591" t="s">
        <v>2564</v>
      </c>
      <c r="F591" s="1">
        <v>2016</v>
      </c>
      <c r="H591" s="2" t="str">
        <f>INDEX(Type!I:I,MATCH(D591,Type!A:A,0))</f>
        <v>v(v, ar, ar, [v], [v], [v])</v>
      </c>
    </row>
    <row r="592" spans="1:8" x14ac:dyDescent="0.55000000000000004">
      <c r="A592" s="1">
        <v>599</v>
      </c>
      <c r="C592" s="1" t="s">
        <v>1199</v>
      </c>
      <c r="D592" s="1" t="s">
        <v>1180</v>
      </c>
      <c r="E592" t="s">
        <v>2565</v>
      </c>
      <c r="F592" s="1">
        <v>2016</v>
      </c>
      <c r="H592" s="2" t="str">
        <f>INDEX(Type!I:I,MATCH(D592,Type!A:A,0))</f>
        <v>v(v, ar, ar, [v], [v], [v], [v])</v>
      </c>
    </row>
    <row r="593" spans="1:8" x14ac:dyDescent="0.55000000000000004">
      <c r="A593" s="1">
        <v>600</v>
      </c>
      <c r="C593" s="1" t="s">
        <v>1199</v>
      </c>
      <c r="D593" s="1" t="s">
        <v>1181</v>
      </c>
      <c r="E593" t="s">
        <v>2566</v>
      </c>
      <c r="F593" s="1">
        <v>2016</v>
      </c>
      <c r="H593" s="2" t="str">
        <f>INDEX(Type!I:I,MATCH(D593,Type!A:A,0))</f>
        <v>v(ar, ar, [v], [v])</v>
      </c>
    </row>
    <row r="594" spans="1:8" x14ac:dyDescent="0.55000000000000004">
      <c r="A594" s="1">
        <v>601</v>
      </c>
      <c r="C594" s="1" t="s">
        <v>1199</v>
      </c>
      <c r="D594" s="1" t="s">
        <v>1182</v>
      </c>
      <c r="E594" t="s">
        <v>2567</v>
      </c>
      <c r="F594" s="1">
        <v>2016</v>
      </c>
      <c r="H594" s="2" t="str">
        <f>INDEX(Type!I:I,MATCH(D594,Type!A:A,0))</f>
        <v>v(ar, ar, v, [v], [v], [v])</v>
      </c>
    </row>
    <row r="595" spans="1:8" x14ac:dyDescent="0.55000000000000004">
      <c r="A595" s="1">
        <v>602</v>
      </c>
      <c r="C595" s="1" t="s">
        <v>1199</v>
      </c>
      <c r="D595" s="1" t="s">
        <v>1183</v>
      </c>
      <c r="E595" t="s">
        <v>2568</v>
      </c>
      <c r="F595" s="1">
        <v>2016</v>
      </c>
      <c r="H595" s="2" t="str">
        <f>INDEX(Type!I:I,MATCH(D595,Type!A:A,0))</f>
        <v>v(v, a, a)</v>
      </c>
    </row>
    <row r="596" spans="1:8" x14ac:dyDescent="0.55000000000000004">
      <c r="A596" s="1">
        <v>603</v>
      </c>
      <c r="C596" s="1" t="s">
        <v>1198</v>
      </c>
      <c r="D596" s="1" t="s">
        <v>1184</v>
      </c>
      <c r="E596" t="s">
        <v>2569</v>
      </c>
      <c r="F596" s="1">
        <v>2016</v>
      </c>
      <c r="G596" s="1">
        <v>365</v>
      </c>
      <c r="H596" s="2" t="str">
        <f>INDEX(Type!I:I,MATCH(D596,Type!A:A,0))</f>
        <v>var([var], [var], [var])</v>
      </c>
    </row>
    <row r="597" spans="1:8" x14ac:dyDescent="0.55000000000000004">
      <c r="A597" s="1">
        <v>604</v>
      </c>
      <c r="C597" s="1" t="s">
        <v>1197</v>
      </c>
      <c r="D597" s="1" t="s">
        <v>1185</v>
      </c>
      <c r="E597" t="s">
        <v>2570</v>
      </c>
      <c r="F597" s="1">
        <v>2016</v>
      </c>
      <c r="G597" s="1">
        <v>365</v>
      </c>
      <c r="H597" s="2" t="str">
        <f>INDEX(Type!I:I,MATCH(D597,Type!A:A,0))</f>
        <v>var([var], [var], [var])</v>
      </c>
    </row>
    <row r="598" spans="1:8" x14ac:dyDescent="0.55000000000000004">
      <c r="A598" s="1">
        <v>605</v>
      </c>
      <c r="C598" s="1" t="s">
        <v>1199</v>
      </c>
      <c r="D598" s="1" t="s">
        <v>1186</v>
      </c>
      <c r="E598" t="s">
        <v>2571</v>
      </c>
      <c r="F598" s="1">
        <v>2016</v>
      </c>
      <c r="G598" s="1">
        <v>365</v>
      </c>
      <c r="H598" s="2" t="str">
        <f>INDEX(Type!I:I,MATCH(D598,Type!A:A,0))</f>
        <v>var([var], [var], [var], [var], [var])</v>
      </c>
    </row>
    <row r="599" spans="1:8" x14ac:dyDescent="0.55000000000000004">
      <c r="A599" s="1">
        <v>606</v>
      </c>
      <c r="C599" s="1" t="s">
        <v>1199</v>
      </c>
      <c r="D599" s="1" t="s">
        <v>1187</v>
      </c>
      <c r="E599" t="s">
        <v>2572</v>
      </c>
      <c r="F599" s="1">
        <v>2016</v>
      </c>
      <c r="G599" s="1">
        <v>365</v>
      </c>
      <c r="H599" s="2" t="str">
        <f>INDEX(Type!I:I,MATCH(D599,Type!A:A,0))</f>
        <v>var([var], [var], [var], [var], [var])</v>
      </c>
    </row>
    <row r="600" spans="1:8" x14ac:dyDescent="0.55000000000000004">
      <c r="A600" s="1">
        <v>607</v>
      </c>
      <c r="C600" s="1" t="s">
        <v>1197</v>
      </c>
      <c r="D600" s="1" t="s">
        <v>1188</v>
      </c>
      <c r="E600" t="s">
        <v>2573</v>
      </c>
      <c r="F600" s="1">
        <v>2016</v>
      </c>
      <c r="G600" s="1">
        <v>365</v>
      </c>
      <c r="H600" s="2" t="str">
        <f>INDEX(Type!I:I,MATCH(D600,Type!A:A,0))</f>
        <v>var([var], [var], [var], [var], [var], [var])</v>
      </c>
    </row>
    <row r="601" spans="1:8" x14ac:dyDescent="0.55000000000000004">
      <c r="A601" s="1">
        <v>608</v>
      </c>
      <c r="C601" s="1" t="s">
        <v>1198</v>
      </c>
      <c r="D601" s="1" t="s">
        <v>1189</v>
      </c>
      <c r="E601" t="s">
        <v>2574</v>
      </c>
      <c r="F601" s="1">
        <v>2016</v>
      </c>
      <c r="G601" s="1">
        <v>365</v>
      </c>
      <c r="H601" s="2" t="str">
        <f>INDEX(Type!I:I,MATCH(D601,Type!A:A,0))</f>
        <v>var([var], [var], [var], [var])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097"/>
  <sheetViews>
    <sheetView workbookViewId="0"/>
  </sheetViews>
  <sheetFormatPr defaultColWidth="9" defaultRowHeight="14.4" x14ac:dyDescent="0.55000000000000004"/>
  <cols>
    <col min="1" max="1" width="9" style="1"/>
    <col min="3" max="9" width="9" style="1"/>
    <col min="12" max="12" width="9" style="1"/>
    <col min="14" max="14" width="9" style="1"/>
  </cols>
  <sheetData>
    <row r="1" spans="1:13" x14ac:dyDescent="0.55000000000000004">
      <c r="A1" s="4" t="s">
        <v>1210</v>
      </c>
      <c r="B1" s="4" t="s">
        <v>1470</v>
      </c>
      <c r="C1" s="4" t="s">
        <v>2195</v>
      </c>
      <c r="D1" s="4" t="s">
        <v>2196</v>
      </c>
      <c r="E1" s="4" t="s">
        <v>1559</v>
      </c>
      <c r="F1" s="4" t="s">
        <v>2320</v>
      </c>
      <c r="G1" s="4" t="s">
        <v>2321</v>
      </c>
      <c r="H1" s="4" t="s">
        <v>2319</v>
      </c>
      <c r="I1" s="4" t="s">
        <v>2252</v>
      </c>
      <c r="K1" s="1"/>
      <c r="M1" s="1"/>
    </row>
    <row r="2" spans="1:13" x14ac:dyDescent="0.55000000000000004">
      <c r="A2" s="3"/>
      <c r="B2" s="1"/>
      <c r="K2" s="1"/>
      <c r="M2" s="1"/>
    </row>
    <row r="3" spans="1:13" x14ac:dyDescent="0.55000000000000004">
      <c r="A3" s="1" t="s">
        <v>1485</v>
      </c>
      <c r="C3" s="2">
        <f>Return!C3</f>
        <v>0</v>
      </c>
      <c r="D3" s="2">
        <f>COUNTA(Argument!E3)</f>
        <v>0</v>
      </c>
      <c r="E3" s="2" t="str">
        <f>IF(C3,Return!D3,Return!E3)</f>
        <v>v</v>
      </c>
      <c r="F3" s="2" t="str">
        <f t="shared" ref="F3:F66" si="0">IF(C3,IF(D3,IF(D2,"["&amp;E3&amp;"]",E3),E3),"")</f>
        <v/>
      </c>
      <c r="G3" s="2" t="str">
        <f t="shared" ref="G3:G67" si="1">IF(B3="...",IF(C4&gt;0,"["&amp;E3,"…"),IF(B2=" ...",IF(C3&gt;0,E3&amp;"], …",F3),F3))</f>
        <v/>
      </c>
      <c r="H3" s="2" t="str">
        <f t="shared" ref="H3:H66" si="2">IF(C3&gt;0,H2&amp;", "&amp;G3,"")</f>
        <v/>
      </c>
      <c r="I3" s="2" t="str">
        <f>IF(Return!C3=0,REPLACE(INDEX(H:H,ROW()+Return!B3,),1,2,Return!E3&amp;"(")&amp;")","")</f>
        <v>v(var, [var], …)</v>
      </c>
    </row>
    <row r="4" spans="1:13" x14ac:dyDescent="0.55000000000000004">
      <c r="A4" s="1" t="s">
        <v>1485</v>
      </c>
      <c r="B4" t="s">
        <v>1212</v>
      </c>
      <c r="C4" s="2">
        <f>Return!C4</f>
        <v>1</v>
      </c>
      <c r="D4" s="2">
        <f>COUNTA(Argument!E4)</f>
        <v>1</v>
      </c>
      <c r="E4" s="2" t="str">
        <f>IF(C4,Return!D4,Return!E4)</f>
        <v>var</v>
      </c>
      <c r="F4" s="2" t="str">
        <f t="shared" si="0"/>
        <v>var</v>
      </c>
      <c r="G4" s="2" t="str">
        <f t="shared" si="1"/>
        <v>var</v>
      </c>
      <c r="H4" s="2" t="str">
        <f t="shared" si="2"/>
        <v>, var</v>
      </c>
      <c r="I4" s="2" t="str">
        <f>IF(Return!C4=0,REPLACE(INDEX(H:H,ROW()+Return!B4,),1,2,Return!E4&amp;"(")&amp;")","")</f>
        <v/>
      </c>
      <c r="M4" s="1"/>
    </row>
    <row r="5" spans="1:13" x14ac:dyDescent="0.55000000000000004">
      <c r="A5" s="1" t="s">
        <v>1485</v>
      </c>
      <c r="B5" t="s">
        <v>1213</v>
      </c>
      <c r="C5" s="2">
        <f>Return!C5</f>
        <v>2</v>
      </c>
      <c r="D5" s="2">
        <f>COUNTA(Argument!E5)</f>
        <v>1</v>
      </c>
      <c r="E5" s="2" t="str">
        <f>IF(C5,Return!D5,Return!E5)</f>
        <v>var</v>
      </c>
      <c r="F5" s="2" t="str">
        <f t="shared" si="0"/>
        <v>[var]</v>
      </c>
      <c r="G5" s="2" t="str">
        <f t="shared" si="1"/>
        <v>[var]</v>
      </c>
      <c r="H5" s="2" t="str">
        <f t="shared" si="2"/>
        <v>, var, [var]</v>
      </c>
      <c r="I5" s="2" t="str">
        <f>IF(Return!C5=0,REPLACE(INDEX(H:H,ROW()+Return!B5,),1,2,Return!E5&amp;"(")&amp;")","")</f>
        <v/>
      </c>
      <c r="M5" s="1"/>
    </row>
    <row r="6" spans="1:13" x14ac:dyDescent="0.55000000000000004">
      <c r="A6" s="1" t="s">
        <v>1485</v>
      </c>
      <c r="B6" t="s">
        <v>1214</v>
      </c>
      <c r="C6" s="2">
        <f>Return!C6</f>
        <v>3</v>
      </c>
      <c r="D6" s="2">
        <f>COUNTA(Argument!E6)</f>
        <v>1</v>
      </c>
      <c r="E6" s="2" t="str">
        <f>IF(C6,Return!D6,Return!E6)</f>
        <v>var</v>
      </c>
      <c r="F6" s="2" t="str">
        <f t="shared" si="0"/>
        <v>[var]</v>
      </c>
      <c r="G6" s="2" t="str">
        <f t="shared" si="1"/>
        <v>…</v>
      </c>
      <c r="H6" s="2" t="str">
        <f t="shared" si="2"/>
        <v>, var, [var], …</v>
      </c>
      <c r="I6" s="2" t="str">
        <f>IF(Return!C6=0,REPLACE(INDEX(H:H,ROW()+Return!B6,),1,2,Return!E6&amp;"(")&amp;")","")</f>
        <v/>
      </c>
      <c r="M6" s="1"/>
    </row>
    <row r="7" spans="1:13" x14ac:dyDescent="0.55000000000000004">
      <c r="A7" s="1" t="s">
        <v>1486</v>
      </c>
      <c r="C7" s="2">
        <f>Return!C7</f>
        <v>0</v>
      </c>
      <c r="D7" s="2">
        <f>COUNTA(Argument!E7)</f>
        <v>0</v>
      </c>
      <c r="E7" s="2" t="str">
        <f>IF(C7,Return!D7,Return!E7)</f>
        <v>var</v>
      </c>
      <c r="F7" s="2" t="str">
        <f t="shared" si="0"/>
        <v/>
      </c>
      <c r="G7" s="2" t="str">
        <f t="shared" si="1"/>
        <v/>
      </c>
      <c r="H7" s="2" t="str">
        <f t="shared" si="2"/>
        <v/>
      </c>
      <c r="I7" s="2" t="str">
        <f>IF(Return!C7=0,REPLACE(INDEX(H:H,ROW()+Return!B7,),1,2,Return!E7&amp;"(")&amp;")","")</f>
        <v>var(va, [var], [var])</v>
      </c>
      <c r="M7" s="1"/>
    </row>
    <row r="8" spans="1:13" x14ac:dyDescent="0.55000000000000004">
      <c r="A8" s="1" t="s">
        <v>1486</v>
      </c>
      <c r="B8" t="s">
        <v>1215</v>
      </c>
      <c r="C8" s="2">
        <f>Return!C8</f>
        <v>1</v>
      </c>
      <c r="D8" s="2">
        <f>COUNTA(Argument!E8)</f>
        <v>1</v>
      </c>
      <c r="E8" s="2" t="str">
        <f>IF(C8,Return!D8,Return!E8)</f>
        <v>va</v>
      </c>
      <c r="F8" s="2" t="str">
        <f t="shared" si="0"/>
        <v>va</v>
      </c>
      <c r="G8" s="2" t="str">
        <f t="shared" si="1"/>
        <v>va</v>
      </c>
      <c r="H8" s="2" t="str">
        <f t="shared" si="2"/>
        <v>, va</v>
      </c>
      <c r="I8" s="2" t="str">
        <f>IF(Return!C8=0,REPLACE(INDEX(H:H,ROW()+Return!B8,),1,2,Return!E8&amp;"(")&amp;")","")</f>
        <v/>
      </c>
      <c r="M8" s="1"/>
    </row>
    <row r="9" spans="1:13" x14ac:dyDescent="0.55000000000000004">
      <c r="A9" s="1" t="s">
        <v>1486</v>
      </c>
      <c r="B9" t="s">
        <v>1216</v>
      </c>
      <c r="C9" s="2">
        <f>Return!C9</f>
        <v>2</v>
      </c>
      <c r="D9" s="2">
        <f>COUNTA(Argument!E9)</f>
        <v>1</v>
      </c>
      <c r="E9" s="2" t="str">
        <f>IF(C9,Return!D9,Return!E9)</f>
        <v>var</v>
      </c>
      <c r="F9" s="2" t="str">
        <f t="shared" si="0"/>
        <v>[var]</v>
      </c>
      <c r="G9" s="2" t="str">
        <f t="shared" si="1"/>
        <v>[var]</v>
      </c>
      <c r="H9" s="2" t="str">
        <f t="shared" si="2"/>
        <v>, va, [var]</v>
      </c>
      <c r="I9" s="2" t="str">
        <f>IF(Return!C9=0,REPLACE(INDEX(H:H,ROW()+Return!B9,),1,2,Return!E9&amp;"(")&amp;")","")</f>
        <v/>
      </c>
      <c r="M9" s="1"/>
    </row>
    <row r="10" spans="1:13" x14ac:dyDescent="0.55000000000000004">
      <c r="A10" s="1" t="s">
        <v>1486</v>
      </c>
      <c r="B10" t="s">
        <v>1217</v>
      </c>
      <c r="C10" s="2">
        <f>Return!C10</f>
        <v>3</v>
      </c>
      <c r="D10" s="2">
        <f>COUNTA(Argument!E10)</f>
        <v>1</v>
      </c>
      <c r="E10" s="2" t="str">
        <f>IF(C10,Return!D10,Return!E10)</f>
        <v>var</v>
      </c>
      <c r="F10" s="2" t="str">
        <f t="shared" si="0"/>
        <v>[var]</v>
      </c>
      <c r="G10" s="2" t="str">
        <f t="shared" si="1"/>
        <v>[var]</v>
      </c>
      <c r="H10" s="2" t="str">
        <f t="shared" si="2"/>
        <v>, va, [var], [var]</v>
      </c>
      <c r="I10" s="2" t="str">
        <f>IF(Return!C10=0,REPLACE(INDEX(H:H,ROW()+Return!B10,),1,2,Return!E10&amp;"(")&amp;")","")</f>
        <v/>
      </c>
      <c r="M10" s="1"/>
    </row>
    <row r="11" spans="1:13" x14ac:dyDescent="0.55000000000000004">
      <c r="A11" s="1" t="s">
        <v>1487</v>
      </c>
      <c r="C11" s="2">
        <f>Return!C11</f>
        <v>0</v>
      </c>
      <c r="D11" s="2">
        <f>COUNTA(Argument!E11)</f>
        <v>0</v>
      </c>
      <c r="E11" s="2" t="str">
        <f>IF(C11,Return!D11,Return!E11)</f>
        <v>v</v>
      </c>
      <c r="F11" s="2" t="str">
        <f t="shared" si="0"/>
        <v/>
      </c>
      <c r="G11" s="2" t="str">
        <f t="shared" si="1"/>
        <v/>
      </c>
      <c r="H11" s="2" t="str">
        <f t="shared" si="2"/>
        <v/>
      </c>
      <c r="I11" s="2" t="str">
        <f>IF(Return!C11=0,REPLACE(INDEX(H:H,ROW()+Return!B11,),1,2,Return!E11&amp;"(")&amp;")","")</f>
        <v>v(v)</v>
      </c>
      <c r="M11" s="1"/>
    </row>
    <row r="12" spans="1:13" x14ac:dyDescent="0.55000000000000004">
      <c r="A12" s="1" t="s">
        <v>1487</v>
      </c>
      <c r="B12" t="s">
        <v>1218</v>
      </c>
      <c r="C12" s="2">
        <f>Return!C12</f>
        <v>1</v>
      </c>
      <c r="D12" s="2">
        <f>COUNTA(Argument!E12)</f>
        <v>1</v>
      </c>
      <c r="E12" s="2" t="str">
        <f>IF(C12,Return!D12,Return!E12)</f>
        <v>v</v>
      </c>
      <c r="F12" s="2" t="str">
        <f t="shared" si="0"/>
        <v>v</v>
      </c>
      <c r="G12" s="2" t="str">
        <f t="shared" si="1"/>
        <v>v</v>
      </c>
      <c r="H12" s="2" t="str">
        <f t="shared" si="2"/>
        <v>, v</v>
      </c>
      <c r="I12" s="2" t="str">
        <f>IF(Return!C12=0,REPLACE(INDEX(H:H,ROW()+Return!B12,),1,2,Return!E12&amp;"(")&amp;")","")</f>
        <v/>
      </c>
      <c r="M12" s="1"/>
    </row>
    <row r="13" spans="1:13" x14ac:dyDescent="0.55000000000000004">
      <c r="A13" s="1" t="s">
        <v>1488</v>
      </c>
      <c r="C13" s="2">
        <f>Return!C13</f>
        <v>0</v>
      </c>
      <c r="D13" s="2">
        <f>COUNTA(Argument!E13)</f>
        <v>0</v>
      </c>
      <c r="E13" s="2" t="str">
        <f>IF(C13,Return!D13,Return!E13)</f>
        <v>v</v>
      </c>
      <c r="F13" s="2" t="str">
        <f t="shared" si="0"/>
        <v/>
      </c>
      <c r="G13" s="2" t="str">
        <f t="shared" si="1"/>
        <v/>
      </c>
      <c r="H13" s="2" t="str">
        <f t="shared" si="2"/>
        <v/>
      </c>
      <c r="I13" s="2" t="str">
        <f>IF(Return!C13=0,REPLACE(INDEX(H:H,ROW()+Return!B13,),1,2,Return!E13&amp;"(")&amp;")","")</f>
        <v>v(v)</v>
      </c>
      <c r="M13" s="1"/>
    </row>
    <row r="14" spans="1:13" x14ac:dyDescent="0.55000000000000004">
      <c r="A14" s="1" t="s">
        <v>1488</v>
      </c>
      <c r="B14" t="s">
        <v>1218</v>
      </c>
      <c r="C14" s="2">
        <f>Return!C14</f>
        <v>1</v>
      </c>
      <c r="D14" s="2">
        <f>COUNTA(Argument!E14)</f>
        <v>1</v>
      </c>
      <c r="E14" s="2" t="str">
        <f>IF(C14,Return!D14,Return!E14)</f>
        <v>v</v>
      </c>
      <c r="F14" s="2" t="str">
        <f t="shared" si="0"/>
        <v>v</v>
      </c>
      <c r="G14" s="2" t="str">
        <f t="shared" si="1"/>
        <v>v</v>
      </c>
      <c r="H14" s="2" t="str">
        <f t="shared" si="2"/>
        <v>, v</v>
      </c>
      <c r="I14" s="2" t="str">
        <f>IF(Return!C14=0,REPLACE(INDEX(H:H,ROW()+Return!B14,),1,2,Return!E14&amp;"(")&amp;")","")</f>
        <v/>
      </c>
      <c r="M14" s="1"/>
    </row>
    <row r="15" spans="1:13" x14ac:dyDescent="0.55000000000000004">
      <c r="A15" s="1" t="s">
        <v>1489</v>
      </c>
      <c r="C15" s="2">
        <f>Return!C15</f>
        <v>0</v>
      </c>
      <c r="D15" s="2">
        <f>COUNTA(Argument!E15)</f>
        <v>0</v>
      </c>
      <c r="E15" s="2" t="str">
        <f>IF(C15,Return!D15,Return!E15)</f>
        <v>v</v>
      </c>
      <c r="F15" s="2" t="str">
        <f t="shared" si="0"/>
        <v/>
      </c>
      <c r="G15" s="2" t="str">
        <f t="shared" si="1"/>
        <v/>
      </c>
      <c r="H15" s="2" t="str">
        <f t="shared" si="2"/>
        <v/>
      </c>
      <c r="I15" s="2" t="str">
        <f>IF(Return!C15=0,REPLACE(INDEX(H:H,ROW()+Return!B15,),1,2,Return!E15&amp;"(")&amp;")","")</f>
        <v>v(var, [var], …)</v>
      </c>
      <c r="M15" s="1"/>
    </row>
    <row r="16" spans="1:13" x14ac:dyDescent="0.55000000000000004">
      <c r="A16" s="1" t="s">
        <v>1489</v>
      </c>
      <c r="B16" t="s">
        <v>1219</v>
      </c>
      <c r="C16" s="2">
        <f>Return!C16</f>
        <v>1</v>
      </c>
      <c r="D16" s="2">
        <f>COUNTA(Argument!E16)</f>
        <v>1</v>
      </c>
      <c r="E16" s="2" t="str">
        <f>IF(C16,Return!D16,Return!E16)</f>
        <v>var</v>
      </c>
      <c r="F16" s="2" t="str">
        <f t="shared" si="0"/>
        <v>var</v>
      </c>
      <c r="G16" s="2" t="str">
        <f t="shared" si="1"/>
        <v>var</v>
      </c>
      <c r="H16" s="2" t="str">
        <f t="shared" si="2"/>
        <v>, var</v>
      </c>
      <c r="I16" s="2" t="str">
        <f>IF(Return!C16=0,REPLACE(INDEX(H:H,ROW()+Return!B16,),1,2,Return!E16&amp;"(")&amp;")","")</f>
        <v/>
      </c>
      <c r="M16" s="1"/>
    </row>
    <row r="17" spans="1:13" x14ac:dyDescent="0.55000000000000004">
      <c r="A17" s="1" t="s">
        <v>1489</v>
      </c>
      <c r="B17" t="s">
        <v>1220</v>
      </c>
      <c r="C17" s="2">
        <f>Return!C17</f>
        <v>2</v>
      </c>
      <c r="D17" s="2">
        <f>COUNTA(Argument!E17)</f>
        <v>1</v>
      </c>
      <c r="E17" s="2" t="str">
        <f>IF(C17,Return!D17,Return!E17)</f>
        <v>var</v>
      </c>
      <c r="F17" s="2" t="str">
        <f t="shared" si="0"/>
        <v>[var]</v>
      </c>
      <c r="G17" s="2" t="str">
        <f t="shared" si="1"/>
        <v>[var]</v>
      </c>
      <c r="H17" s="2" t="str">
        <f t="shared" si="2"/>
        <v>, var, [var]</v>
      </c>
      <c r="I17" s="2" t="str">
        <f>IF(Return!C17=0,REPLACE(INDEX(H:H,ROW()+Return!B17,),1,2,Return!E17&amp;"(")&amp;")","")</f>
        <v/>
      </c>
      <c r="M17" s="1"/>
    </row>
    <row r="18" spans="1:13" x14ac:dyDescent="0.55000000000000004">
      <c r="A18" s="1" t="s">
        <v>1489</v>
      </c>
      <c r="B18" t="s">
        <v>1214</v>
      </c>
      <c r="C18" s="2">
        <f>Return!C18</f>
        <v>3</v>
      </c>
      <c r="D18" s="2">
        <f>COUNTA(Argument!E18)</f>
        <v>1</v>
      </c>
      <c r="E18" s="2" t="str">
        <f>IF(C18,Return!D18,Return!E18)</f>
        <v>var</v>
      </c>
      <c r="F18" s="2" t="str">
        <f t="shared" si="0"/>
        <v>[var]</v>
      </c>
      <c r="G18" s="2" t="str">
        <f t="shared" si="1"/>
        <v>…</v>
      </c>
      <c r="H18" s="2" t="str">
        <f t="shared" si="2"/>
        <v>, var, [var], …</v>
      </c>
      <c r="I18" s="2" t="str">
        <f>IF(Return!C18=0,REPLACE(INDEX(H:H,ROW()+Return!B18,),1,2,Return!E18&amp;"(")&amp;")","")</f>
        <v/>
      </c>
      <c r="M18" s="1"/>
    </row>
    <row r="19" spans="1:13" x14ac:dyDescent="0.55000000000000004">
      <c r="A19" s="1" t="s">
        <v>1490</v>
      </c>
      <c r="C19" s="2">
        <f>Return!C19</f>
        <v>0</v>
      </c>
      <c r="D19" s="2">
        <f>COUNTA(Argument!E19)</f>
        <v>0</v>
      </c>
      <c r="E19" s="2" t="str">
        <f>IF(C19,Return!D19,Return!E19)</f>
        <v>v</v>
      </c>
      <c r="F19" s="2" t="str">
        <f t="shared" si="0"/>
        <v/>
      </c>
      <c r="G19" s="2" t="str">
        <f t="shared" si="1"/>
        <v/>
      </c>
      <c r="H19" s="2" t="str">
        <f t="shared" si="2"/>
        <v/>
      </c>
      <c r="I19" s="2" t="str">
        <f>IF(Return!C19=0,REPLACE(INDEX(H:H,ROW()+Return!B19,),1,2,Return!E19&amp;"(")&amp;")","")</f>
        <v>v(var, [var], …)</v>
      </c>
      <c r="M19" s="1"/>
    </row>
    <row r="20" spans="1:13" x14ac:dyDescent="0.55000000000000004">
      <c r="A20" s="1" t="s">
        <v>1490</v>
      </c>
      <c r="B20" t="s">
        <v>1219</v>
      </c>
      <c r="C20" s="2">
        <f>Return!C20</f>
        <v>1</v>
      </c>
      <c r="D20" s="2">
        <f>COUNTA(Argument!E20)</f>
        <v>1</v>
      </c>
      <c r="E20" s="2" t="str">
        <f>IF(C20,Return!D20,Return!E20)</f>
        <v>var</v>
      </c>
      <c r="F20" s="2" t="str">
        <f t="shared" si="0"/>
        <v>var</v>
      </c>
      <c r="G20" s="2" t="str">
        <f t="shared" si="1"/>
        <v>var</v>
      </c>
      <c r="H20" s="2" t="str">
        <f t="shared" si="2"/>
        <v>, var</v>
      </c>
      <c r="I20" s="2" t="str">
        <f>IF(Return!C20=0,REPLACE(INDEX(H:H,ROW()+Return!B20,),1,2,Return!E20&amp;"(")&amp;")","")</f>
        <v/>
      </c>
      <c r="M20" s="1"/>
    </row>
    <row r="21" spans="1:13" x14ac:dyDescent="0.55000000000000004">
      <c r="A21" s="1" t="s">
        <v>1490</v>
      </c>
      <c r="B21" t="s">
        <v>1220</v>
      </c>
      <c r="C21" s="2">
        <f>Return!C21</f>
        <v>2</v>
      </c>
      <c r="D21" s="2">
        <f>COUNTA(Argument!E21)</f>
        <v>1</v>
      </c>
      <c r="E21" s="2" t="str">
        <f>IF(C21,Return!D21,Return!E21)</f>
        <v>var</v>
      </c>
      <c r="F21" s="2" t="str">
        <f t="shared" si="0"/>
        <v>[var]</v>
      </c>
      <c r="G21" s="2" t="str">
        <f t="shared" si="1"/>
        <v>[var]</v>
      </c>
      <c r="H21" s="2" t="str">
        <f t="shared" si="2"/>
        <v>, var, [var]</v>
      </c>
      <c r="I21" s="2" t="str">
        <f>IF(Return!C21=0,REPLACE(INDEX(H:H,ROW()+Return!B21,),1,2,Return!E21&amp;"(")&amp;")","")</f>
        <v/>
      </c>
      <c r="M21" s="1"/>
    </row>
    <row r="22" spans="1:13" x14ac:dyDescent="0.55000000000000004">
      <c r="A22" s="1" t="s">
        <v>1490</v>
      </c>
      <c r="B22" t="s">
        <v>1214</v>
      </c>
      <c r="C22" s="2">
        <f>Return!C22</f>
        <v>3</v>
      </c>
      <c r="D22" s="2">
        <f>COUNTA(Argument!E22)</f>
        <v>1</v>
      </c>
      <c r="E22" s="2" t="str">
        <f>IF(C22,Return!D22,Return!E22)</f>
        <v>var</v>
      </c>
      <c r="F22" s="2" t="str">
        <f t="shared" si="0"/>
        <v>[var]</v>
      </c>
      <c r="G22" s="2" t="str">
        <f t="shared" si="1"/>
        <v>…</v>
      </c>
      <c r="H22" s="2" t="str">
        <f t="shared" si="2"/>
        <v>, var, [var], …</v>
      </c>
      <c r="I22" s="2" t="str">
        <f>IF(Return!C22=0,REPLACE(INDEX(H:H,ROW()+Return!B22,),1,2,Return!E22&amp;"(")&amp;")","")</f>
        <v/>
      </c>
      <c r="M22" s="1"/>
    </row>
    <row r="23" spans="1:13" x14ac:dyDescent="0.55000000000000004">
      <c r="A23" s="1" t="s">
        <v>1491</v>
      </c>
      <c r="C23" s="2">
        <f>Return!C23</f>
        <v>0</v>
      </c>
      <c r="D23" s="2">
        <f>COUNTA(Argument!E23)</f>
        <v>0</v>
      </c>
      <c r="E23" s="2" t="str">
        <f>IF(C23,Return!D23,Return!E23)</f>
        <v>v</v>
      </c>
      <c r="F23" s="2" t="str">
        <f t="shared" si="0"/>
        <v/>
      </c>
      <c r="G23" s="2" t="str">
        <f t="shared" si="1"/>
        <v/>
      </c>
      <c r="H23" s="2" t="str">
        <f t="shared" si="2"/>
        <v/>
      </c>
      <c r="I23" s="2" t="str">
        <f>IF(Return!C23=0,REPLACE(INDEX(H:H,ROW()+Return!B23,),1,2,Return!E23&amp;"(")&amp;")","")</f>
        <v>v(var, [var], …)</v>
      </c>
      <c r="M23" s="1"/>
    </row>
    <row r="24" spans="1:13" x14ac:dyDescent="0.55000000000000004">
      <c r="A24" s="1" t="s">
        <v>1491</v>
      </c>
      <c r="B24" t="s">
        <v>1219</v>
      </c>
      <c r="C24" s="2">
        <f>Return!C24</f>
        <v>1</v>
      </c>
      <c r="D24" s="2">
        <f>COUNTA(Argument!E24)</f>
        <v>1</v>
      </c>
      <c r="E24" s="2" t="str">
        <f>IF(C24,Return!D24,Return!E24)</f>
        <v>var</v>
      </c>
      <c r="F24" s="2" t="str">
        <f t="shared" si="0"/>
        <v>var</v>
      </c>
      <c r="G24" s="2" t="str">
        <f t="shared" si="1"/>
        <v>var</v>
      </c>
      <c r="H24" s="2" t="str">
        <f t="shared" si="2"/>
        <v>, var</v>
      </c>
      <c r="I24" s="2" t="str">
        <f>IF(Return!C24=0,REPLACE(INDEX(H:H,ROW()+Return!B24,),1,2,Return!E24&amp;"(")&amp;")","")</f>
        <v/>
      </c>
      <c r="M24" s="1"/>
    </row>
    <row r="25" spans="1:13" x14ac:dyDescent="0.55000000000000004">
      <c r="A25" s="1" t="s">
        <v>1491</v>
      </c>
      <c r="B25" t="s">
        <v>1220</v>
      </c>
      <c r="C25" s="2">
        <f>Return!C25</f>
        <v>2</v>
      </c>
      <c r="D25" s="2">
        <f>COUNTA(Argument!E25)</f>
        <v>1</v>
      </c>
      <c r="E25" s="2" t="str">
        <f>IF(C25,Return!D25,Return!E25)</f>
        <v>var</v>
      </c>
      <c r="F25" s="2" t="str">
        <f t="shared" si="0"/>
        <v>[var]</v>
      </c>
      <c r="G25" s="2" t="str">
        <f t="shared" si="1"/>
        <v>[var]</v>
      </c>
      <c r="H25" s="2" t="str">
        <f t="shared" si="2"/>
        <v>, var, [var]</v>
      </c>
      <c r="I25" s="2" t="str">
        <f>IF(Return!C25=0,REPLACE(INDEX(H:H,ROW()+Return!B25,),1,2,Return!E25&amp;"(")&amp;")","")</f>
        <v/>
      </c>
      <c r="M25" s="1"/>
    </row>
    <row r="26" spans="1:13" x14ac:dyDescent="0.55000000000000004">
      <c r="A26" s="1" t="s">
        <v>1491</v>
      </c>
      <c r="B26" t="s">
        <v>1214</v>
      </c>
      <c r="C26" s="2">
        <f>Return!C26</f>
        <v>3</v>
      </c>
      <c r="D26" s="2">
        <f>COUNTA(Argument!E26)</f>
        <v>1</v>
      </c>
      <c r="E26" s="2" t="str">
        <f>IF(C26,Return!D26,Return!E26)</f>
        <v>var</v>
      </c>
      <c r="F26" s="2" t="str">
        <f t="shared" si="0"/>
        <v>[var]</v>
      </c>
      <c r="G26" s="2" t="str">
        <f t="shared" si="1"/>
        <v>…</v>
      </c>
      <c r="H26" s="2" t="str">
        <f t="shared" si="2"/>
        <v>, var, [var], …</v>
      </c>
      <c r="I26" s="2" t="str">
        <f>IF(Return!C26=0,REPLACE(INDEX(H:H,ROW()+Return!B26,),1,2,Return!E26&amp;"(")&amp;")","")</f>
        <v/>
      </c>
      <c r="M26" s="1"/>
    </row>
    <row r="27" spans="1:13" x14ac:dyDescent="0.55000000000000004">
      <c r="A27" s="1" t="s">
        <v>1492</v>
      </c>
      <c r="C27" s="2">
        <f>Return!C27</f>
        <v>0</v>
      </c>
      <c r="D27" s="2">
        <f>COUNTA(Argument!E27)</f>
        <v>0</v>
      </c>
      <c r="E27" s="2" t="str">
        <f>IF(C27,Return!D27,Return!E27)</f>
        <v>v</v>
      </c>
      <c r="F27" s="2" t="str">
        <f t="shared" si="0"/>
        <v/>
      </c>
      <c r="G27" s="2" t="str">
        <f t="shared" si="1"/>
        <v/>
      </c>
      <c r="H27" s="2" t="str">
        <f t="shared" si="2"/>
        <v/>
      </c>
      <c r="I27" s="2" t="str">
        <f>IF(Return!C27=0,REPLACE(INDEX(H:H,ROW()+Return!B27,),1,2,Return!E27&amp;"(")&amp;")","")</f>
        <v>v(var, [var], …)</v>
      </c>
      <c r="M27" s="1"/>
    </row>
    <row r="28" spans="1:13" x14ac:dyDescent="0.55000000000000004">
      <c r="A28" s="1" t="s">
        <v>1492</v>
      </c>
      <c r="B28" t="s">
        <v>1219</v>
      </c>
      <c r="C28" s="2">
        <f>Return!C28</f>
        <v>1</v>
      </c>
      <c r="D28" s="2">
        <f>COUNTA(Argument!E28)</f>
        <v>1</v>
      </c>
      <c r="E28" s="2" t="str">
        <f>IF(C28,Return!D28,Return!E28)</f>
        <v>var</v>
      </c>
      <c r="F28" s="2" t="str">
        <f t="shared" si="0"/>
        <v>var</v>
      </c>
      <c r="G28" s="2" t="str">
        <f t="shared" si="1"/>
        <v>var</v>
      </c>
      <c r="H28" s="2" t="str">
        <f t="shared" si="2"/>
        <v>, var</v>
      </c>
      <c r="I28" s="2" t="str">
        <f>IF(Return!C28=0,REPLACE(INDEX(H:H,ROW()+Return!B28,),1,2,Return!E28&amp;"(")&amp;")","")</f>
        <v/>
      </c>
      <c r="M28" s="1"/>
    </row>
    <row r="29" spans="1:13" x14ac:dyDescent="0.55000000000000004">
      <c r="A29" s="1" t="s">
        <v>1492</v>
      </c>
      <c r="B29" t="s">
        <v>1220</v>
      </c>
      <c r="C29" s="2">
        <f>Return!C29</f>
        <v>2</v>
      </c>
      <c r="D29" s="2">
        <f>COUNTA(Argument!E29)</f>
        <v>1</v>
      </c>
      <c r="E29" s="2" t="str">
        <f>IF(C29,Return!D29,Return!E29)</f>
        <v>var</v>
      </c>
      <c r="F29" s="2" t="str">
        <f t="shared" si="0"/>
        <v>[var]</v>
      </c>
      <c r="G29" s="2" t="str">
        <f t="shared" si="1"/>
        <v>[var]</v>
      </c>
      <c r="H29" s="2" t="str">
        <f t="shared" si="2"/>
        <v>, var, [var]</v>
      </c>
      <c r="I29" s="2" t="str">
        <f>IF(Return!C29=0,REPLACE(INDEX(H:H,ROW()+Return!B29,),1,2,Return!E29&amp;"(")&amp;")","")</f>
        <v/>
      </c>
      <c r="M29" s="1"/>
    </row>
    <row r="30" spans="1:13" x14ac:dyDescent="0.55000000000000004">
      <c r="A30" s="1" t="s">
        <v>1492</v>
      </c>
      <c r="B30" t="s">
        <v>1214</v>
      </c>
      <c r="C30" s="2">
        <f>Return!C30</f>
        <v>3</v>
      </c>
      <c r="D30" s="2">
        <f>COUNTA(Argument!E30)</f>
        <v>1</v>
      </c>
      <c r="E30" s="2" t="str">
        <f>IF(C30,Return!D30,Return!E30)</f>
        <v>var</v>
      </c>
      <c r="F30" s="2" t="str">
        <f t="shared" si="0"/>
        <v>[var]</v>
      </c>
      <c r="G30" s="2" t="str">
        <f t="shared" si="1"/>
        <v>…</v>
      </c>
      <c r="H30" s="2" t="str">
        <f t="shared" si="2"/>
        <v>, var, [var], …</v>
      </c>
      <c r="I30" s="2" t="str">
        <f>IF(Return!C30=0,REPLACE(INDEX(H:H,ROW()+Return!B30,),1,2,Return!E30&amp;"(")&amp;")","")</f>
        <v/>
      </c>
      <c r="M30" s="1"/>
    </row>
    <row r="31" spans="1:13" x14ac:dyDescent="0.55000000000000004">
      <c r="A31" s="1" t="s">
        <v>1493</v>
      </c>
      <c r="C31" s="2">
        <f>Return!C31</f>
        <v>0</v>
      </c>
      <c r="D31" s="2">
        <f>COUNTA(Argument!E31)</f>
        <v>1</v>
      </c>
      <c r="E31" s="2" t="str">
        <f>IF(C31,Return!D31,Return!E31)</f>
        <v>va</v>
      </c>
      <c r="F31" s="2" t="str">
        <f t="shared" si="0"/>
        <v/>
      </c>
      <c r="G31" s="2" t="str">
        <f t="shared" si="1"/>
        <v/>
      </c>
      <c r="H31" s="2" t="str">
        <f t="shared" si="2"/>
        <v/>
      </c>
      <c r="I31" s="2" t="str">
        <f>IF(Return!C31=0,REPLACE(INDEX(H:H,ROW()+Return!B31,),1,2,Return!E31&amp;"(")&amp;")","")</f>
        <v>va([r])</v>
      </c>
      <c r="M31" s="1"/>
    </row>
    <row r="32" spans="1:13" x14ac:dyDescent="0.55000000000000004">
      <c r="A32" s="1" t="s">
        <v>1493</v>
      </c>
      <c r="B32" t="s">
        <v>1221</v>
      </c>
      <c r="C32" s="2">
        <f>Return!C32</f>
        <v>1</v>
      </c>
      <c r="D32" s="2">
        <f>COUNTA(Argument!E32)</f>
        <v>1</v>
      </c>
      <c r="E32" s="2" t="str">
        <f>IF(C32,Return!D32,Return!E32)</f>
        <v>r</v>
      </c>
      <c r="F32" s="2" t="str">
        <f t="shared" si="0"/>
        <v>[r]</v>
      </c>
      <c r="G32" s="2" t="str">
        <f t="shared" si="1"/>
        <v>[r]</v>
      </c>
      <c r="H32" s="2" t="str">
        <f t="shared" si="2"/>
        <v>, [r]</v>
      </c>
      <c r="I32" s="2" t="str">
        <f>IF(Return!C32=0,REPLACE(INDEX(H:H,ROW()+Return!B32,),1,2,Return!E32&amp;"(")&amp;")","")</f>
        <v/>
      </c>
      <c r="M32" s="1"/>
    </row>
    <row r="33" spans="1:13" x14ac:dyDescent="0.55000000000000004">
      <c r="A33" s="1" t="s">
        <v>1494</v>
      </c>
      <c r="C33" s="2">
        <f>Return!C33</f>
        <v>0</v>
      </c>
      <c r="D33" s="2">
        <f>COUNTA(Argument!E33)</f>
        <v>1</v>
      </c>
      <c r="E33" s="2" t="str">
        <f>IF(C33,Return!D33,Return!E33)</f>
        <v>va</v>
      </c>
      <c r="F33" s="2" t="str">
        <f t="shared" si="0"/>
        <v/>
      </c>
      <c r="G33" s="2" t="str">
        <f t="shared" si="1"/>
        <v/>
      </c>
      <c r="H33" s="2" t="str">
        <f t="shared" si="2"/>
        <v/>
      </c>
      <c r="I33" s="2" t="str">
        <f>IF(Return!C33=0,REPLACE(INDEX(H:H,ROW()+Return!B33,),1,2,Return!E33&amp;"(")&amp;")","")</f>
        <v>va([r])</v>
      </c>
      <c r="M33" s="1"/>
    </row>
    <row r="34" spans="1:13" x14ac:dyDescent="0.55000000000000004">
      <c r="A34" s="1" t="s">
        <v>1494</v>
      </c>
      <c r="B34" t="s">
        <v>1221</v>
      </c>
      <c r="C34" s="2">
        <f>Return!C34</f>
        <v>1</v>
      </c>
      <c r="D34" s="2">
        <f>COUNTA(Argument!E34)</f>
        <v>1</v>
      </c>
      <c r="E34" s="2" t="str">
        <f>IF(C34,Return!D34,Return!E34)</f>
        <v>r</v>
      </c>
      <c r="F34" s="2" t="str">
        <f t="shared" si="0"/>
        <v>[r]</v>
      </c>
      <c r="G34" s="2" t="str">
        <f t="shared" si="1"/>
        <v>[r]</v>
      </c>
      <c r="H34" s="2" t="str">
        <f t="shared" si="2"/>
        <v>, [r]</v>
      </c>
      <c r="I34" s="2" t="str">
        <f>IF(Return!C34=0,REPLACE(INDEX(H:H,ROW()+Return!B34,),1,2,Return!E34&amp;"(")&amp;")","")</f>
        <v/>
      </c>
      <c r="M34" s="1"/>
    </row>
    <row r="35" spans="1:13" x14ac:dyDescent="0.55000000000000004">
      <c r="A35" s="1" t="s">
        <v>1473</v>
      </c>
      <c r="C35" s="2">
        <f>Return!C35</f>
        <v>0</v>
      </c>
      <c r="D35" s="2">
        <f>COUNTA(Argument!E35)</f>
        <v>1</v>
      </c>
      <c r="E35" s="2" t="str">
        <f>IF(C35,Return!D35,Return!E35)</f>
        <v>v</v>
      </c>
      <c r="F35" s="2" t="str">
        <f t="shared" si="0"/>
        <v/>
      </c>
      <c r="G35" s="2" t="str">
        <f t="shared" si="1"/>
        <v/>
      </c>
      <c r="H35" s="2" t="str">
        <f t="shared" si="2"/>
        <v/>
      </c>
      <c r="I35" s="2" t="str">
        <f>IF(Return!C35=0,REPLACE(INDEX(H:H,ROW()+Return!B35,),1,2,Return!E35&amp;"(")&amp;")","")</f>
        <v>v()</v>
      </c>
      <c r="M35" s="1"/>
    </row>
    <row r="36" spans="1:13" x14ac:dyDescent="0.55000000000000004">
      <c r="A36" s="1" t="s">
        <v>1495</v>
      </c>
      <c r="C36" s="2">
        <f>Return!C36</f>
        <v>0</v>
      </c>
      <c r="D36" s="2">
        <f>COUNTA(Argument!E36)</f>
        <v>0</v>
      </c>
      <c r="E36" s="2" t="str">
        <f>IF(C36,Return!D36,Return!E36)</f>
        <v>v</v>
      </c>
      <c r="F36" s="2" t="str">
        <f t="shared" si="0"/>
        <v/>
      </c>
      <c r="G36" s="2" t="str">
        <f t="shared" si="1"/>
        <v/>
      </c>
      <c r="H36" s="2" t="str">
        <f t="shared" si="2"/>
        <v/>
      </c>
      <c r="I36" s="2" t="str">
        <f>IF(Return!C36=0,REPLACE(INDEX(H:H,ROW()+Return!B36,),1,2,Return!E36&amp;"(")&amp;")","")</f>
        <v>v(v, var, [var], …)</v>
      </c>
      <c r="M36" s="1"/>
    </row>
    <row r="37" spans="1:13" x14ac:dyDescent="0.55000000000000004">
      <c r="A37" s="1" t="s">
        <v>1495</v>
      </c>
      <c r="B37" t="s">
        <v>1222</v>
      </c>
      <c r="C37" s="2">
        <f>Return!C37</f>
        <v>1</v>
      </c>
      <c r="D37" s="2">
        <f>COUNTA(Argument!E37)</f>
        <v>0</v>
      </c>
      <c r="E37" s="2" t="str">
        <f>IF(C37,Return!D37,Return!E37)</f>
        <v>v</v>
      </c>
      <c r="F37" s="2" t="str">
        <f t="shared" si="0"/>
        <v>v</v>
      </c>
      <c r="G37" s="2" t="str">
        <f t="shared" si="1"/>
        <v>v</v>
      </c>
      <c r="H37" s="2" t="str">
        <f t="shared" si="2"/>
        <v>, v</v>
      </c>
      <c r="I37" s="2" t="str">
        <f>IF(Return!C37=0,REPLACE(INDEX(H:H,ROW()+Return!B37,),1,2,Return!E37&amp;"(")&amp;")","")</f>
        <v/>
      </c>
      <c r="M37" s="1"/>
    </row>
    <row r="38" spans="1:13" x14ac:dyDescent="0.55000000000000004">
      <c r="A38" s="1" t="s">
        <v>1495</v>
      </c>
      <c r="B38" t="s">
        <v>1212</v>
      </c>
      <c r="C38" s="2">
        <f>Return!C38</f>
        <v>2</v>
      </c>
      <c r="D38" s="2">
        <f>COUNTA(Argument!E38)</f>
        <v>1</v>
      </c>
      <c r="E38" s="2" t="str">
        <f>IF(C38,Return!D38,Return!E38)</f>
        <v>var</v>
      </c>
      <c r="F38" s="2" t="str">
        <f t="shared" si="0"/>
        <v>var</v>
      </c>
      <c r="G38" s="2" t="str">
        <f t="shared" si="1"/>
        <v>var</v>
      </c>
      <c r="H38" s="2" t="str">
        <f t="shared" si="2"/>
        <v>, v, var</v>
      </c>
      <c r="I38" s="2" t="str">
        <f>IF(Return!C38=0,REPLACE(INDEX(H:H,ROW()+Return!B38,),1,2,Return!E38&amp;"(")&amp;")","")</f>
        <v/>
      </c>
      <c r="M38" s="1"/>
    </row>
    <row r="39" spans="1:13" x14ac:dyDescent="0.55000000000000004">
      <c r="A39" s="1" t="s">
        <v>1495</v>
      </c>
      <c r="B39" t="s">
        <v>1213</v>
      </c>
      <c r="C39" s="2">
        <f>Return!C39</f>
        <v>3</v>
      </c>
      <c r="D39" s="2">
        <f>COUNTA(Argument!E39)</f>
        <v>1</v>
      </c>
      <c r="E39" s="2" t="str">
        <f>IF(C39,Return!D39,Return!E39)</f>
        <v>var</v>
      </c>
      <c r="F39" s="2" t="str">
        <f t="shared" si="0"/>
        <v>[var]</v>
      </c>
      <c r="G39" s="2" t="str">
        <f t="shared" si="1"/>
        <v>[var]</v>
      </c>
      <c r="H39" s="2" t="str">
        <f t="shared" si="2"/>
        <v>, v, var, [var]</v>
      </c>
      <c r="I39" s="2" t="str">
        <f>IF(Return!C39=0,REPLACE(INDEX(H:H,ROW()+Return!B39,),1,2,Return!E39&amp;"(")&amp;")","")</f>
        <v/>
      </c>
      <c r="M39" s="1"/>
    </row>
    <row r="40" spans="1:13" x14ac:dyDescent="0.55000000000000004">
      <c r="A40" s="1" t="s">
        <v>1495</v>
      </c>
      <c r="B40" t="s">
        <v>1214</v>
      </c>
      <c r="C40" s="2">
        <f>Return!C40</f>
        <v>4</v>
      </c>
      <c r="D40" s="2">
        <f>COUNTA(Argument!E40)</f>
        <v>1</v>
      </c>
      <c r="E40" s="2" t="str">
        <f>IF(C40,Return!D40,Return!E40)</f>
        <v>var</v>
      </c>
      <c r="F40" s="2" t="str">
        <f t="shared" si="0"/>
        <v>[var]</v>
      </c>
      <c r="G40" s="2" t="str">
        <f t="shared" si="1"/>
        <v>…</v>
      </c>
      <c r="H40" s="2" t="str">
        <f t="shared" si="2"/>
        <v>, v, var, [var], …</v>
      </c>
      <c r="I40" s="2" t="str">
        <f>IF(Return!C40=0,REPLACE(INDEX(H:H,ROW()+Return!B40,),1,2,Return!E40&amp;"(")&amp;")","")</f>
        <v/>
      </c>
      <c r="M40" s="1"/>
    </row>
    <row r="41" spans="1:13" x14ac:dyDescent="0.55000000000000004">
      <c r="A41" s="1" t="s">
        <v>1496</v>
      </c>
      <c r="C41" s="2">
        <f>Return!C41</f>
        <v>0</v>
      </c>
      <c r="D41" s="2">
        <f>COUNTA(Argument!E41)</f>
        <v>0</v>
      </c>
      <c r="E41" s="2" t="str">
        <f>IF(C41,Return!D41,Return!E41)</f>
        <v>v</v>
      </c>
      <c r="F41" s="2" t="str">
        <f t="shared" si="0"/>
        <v/>
      </c>
      <c r="G41" s="2" t="str">
        <f t="shared" si="1"/>
        <v/>
      </c>
      <c r="H41" s="2" t="str">
        <f t="shared" si="2"/>
        <v/>
      </c>
      <c r="I41" s="2" t="str">
        <f>IF(Return!C41=0,REPLACE(INDEX(H:H,ROW()+Return!B41,),1,2,Return!E41&amp;"(")&amp;")","")</f>
        <v>v(var, [var], …)</v>
      </c>
      <c r="M41" s="1"/>
    </row>
    <row r="42" spans="1:13" x14ac:dyDescent="0.55000000000000004">
      <c r="A42" s="1" t="s">
        <v>1496</v>
      </c>
      <c r="B42" t="s">
        <v>1219</v>
      </c>
      <c r="C42" s="2">
        <f>Return!C42</f>
        <v>1</v>
      </c>
      <c r="D42" s="2">
        <f>COUNTA(Argument!E42)</f>
        <v>1</v>
      </c>
      <c r="E42" s="2" t="str">
        <f>IF(C42,Return!D42,Return!E42)</f>
        <v>var</v>
      </c>
      <c r="F42" s="2" t="str">
        <f t="shared" si="0"/>
        <v>var</v>
      </c>
      <c r="G42" s="2" t="str">
        <f t="shared" si="1"/>
        <v>var</v>
      </c>
      <c r="H42" s="2" t="str">
        <f t="shared" si="2"/>
        <v>, var</v>
      </c>
      <c r="I42" s="2" t="str">
        <f>IF(Return!C42=0,REPLACE(INDEX(H:H,ROW()+Return!B42,),1,2,Return!E42&amp;"(")&amp;")","")</f>
        <v/>
      </c>
      <c r="M42" s="1"/>
    </row>
    <row r="43" spans="1:13" x14ac:dyDescent="0.55000000000000004">
      <c r="A43" s="1" t="s">
        <v>1496</v>
      </c>
      <c r="B43" t="s">
        <v>1220</v>
      </c>
      <c r="C43" s="2">
        <f>Return!C43</f>
        <v>2</v>
      </c>
      <c r="D43" s="2">
        <f>COUNTA(Argument!E43)</f>
        <v>1</v>
      </c>
      <c r="E43" s="2" t="str">
        <f>IF(C43,Return!D43,Return!E43)</f>
        <v>var</v>
      </c>
      <c r="F43" s="2" t="str">
        <f t="shared" si="0"/>
        <v>[var]</v>
      </c>
      <c r="G43" s="2" t="str">
        <f t="shared" si="1"/>
        <v>[var]</v>
      </c>
      <c r="H43" s="2" t="str">
        <f t="shared" si="2"/>
        <v>, var, [var]</v>
      </c>
      <c r="I43" s="2" t="str">
        <f>IF(Return!C43=0,REPLACE(INDEX(H:H,ROW()+Return!B43,),1,2,Return!E43&amp;"(")&amp;")","")</f>
        <v/>
      </c>
      <c r="M43" s="1"/>
    </row>
    <row r="44" spans="1:13" x14ac:dyDescent="0.55000000000000004">
      <c r="A44" s="1" t="s">
        <v>1496</v>
      </c>
      <c r="B44" t="s">
        <v>1214</v>
      </c>
      <c r="C44" s="2">
        <f>Return!C44</f>
        <v>3</v>
      </c>
      <c r="D44" s="2">
        <f>COUNTA(Argument!E44)</f>
        <v>1</v>
      </c>
      <c r="E44" s="2" t="str">
        <f>IF(C44,Return!D44,Return!E44)</f>
        <v>var</v>
      </c>
      <c r="F44" s="2" t="str">
        <f t="shared" si="0"/>
        <v>[var]</v>
      </c>
      <c r="G44" s="2" t="str">
        <f t="shared" si="1"/>
        <v>…</v>
      </c>
      <c r="H44" s="2" t="str">
        <f t="shared" si="2"/>
        <v>, var, [var], …</v>
      </c>
      <c r="I44" s="2" t="str">
        <f>IF(Return!C44=0,REPLACE(INDEX(H:H,ROW()+Return!B44,),1,2,Return!E44&amp;"(")&amp;")","")</f>
        <v/>
      </c>
      <c r="M44" s="1"/>
    </row>
    <row r="45" spans="1:13" x14ac:dyDescent="0.55000000000000004">
      <c r="A45" s="1" t="s">
        <v>1497</v>
      </c>
      <c r="C45" s="2">
        <f>Return!C45</f>
        <v>0</v>
      </c>
      <c r="D45" s="2">
        <f>COUNTA(Argument!E45)</f>
        <v>0</v>
      </c>
      <c r="E45" s="2" t="str">
        <f>IF(C45,Return!D45,Return!E45)</f>
        <v>v</v>
      </c>
      <c r="F45" s="2" t="str">
        <f t="shared" si="0"/>
        <v/>
      </c>
      <c r="G45" s="2" t="str">
        <f t="shared" si="1"/>
        <v/>
      </c>
      <c r="H45" s="2" t="str">
        <f t="shared" si="2"/>
        <v/>
      </c>
      <c r="I45" s="2" t="str">
        <f>IF(Return!C45=0,REPLACE(INDEX(H:H,ROW()+Return!B45,),1,2,Return!E45&amp;"(")&amp;")","")</f>
        <v>v(v, [v])</v>
      </c>
      <c r="M45" s="1"/>
    </row>
    <row r="46" spans="1:13" x14ac:dyDescent="0.55000000000000004">
      <c r="A46" s="1" t="s">
        <v>1497</v>
      </c>
      <c r="B46" t="s">
        <v>1223</v>
      </c>
      <c r="C46" s="2">
        <f>Return!C46</f>
        <v>1</v>
      </c>
      <c r="D46" s="2">
        <f>COUNTA(Argument!E46)</f>
        <v>1</v>
      </c>
      <c r="E46" s="2" t="str">
        <f>IF(C46,Return!D46,Return!E46)</f>
        <v>v</v>
      </c>
      <c r="F46" s="2" t="str">
        <f t="shared" si="0"/>
        <v>v</v>
      </c>
      <c r="G46" s="2" t="str">
        <f t="shared" si="1"/>
        <v>v</v>
      </c>
      <c r="H46" s="2" t="str">
        <f t="shared" si="2"/>
        <v>, v</v>
      </c>
      <c r="I46" s="2" t="str">
        <f>IF(Return!C46=0,REPLACE(INDEX(H:H,ROW()+Return!B46,),1,2,Return!E46&amp;"(")&amp;")","")</f>
        <v/>
      </c>
      <c r="M46" s="1"/>
    </row>
    <row r="47" spans="1:13" x14ac:dyDescent="0.55000000000000004">
      <c r="A47" s="1" t="s">
        <v>1497</v>
      </c>
      <c r="B47" t="s">
        <v>1224</v>
      </c>
      <c r="C47" s="2">
        <f>Return!C47</f>
        <v>2</v>
      </c>
      <c r="D47" s="2">
        <f>COUNTA(Argument!E47)</f>
        <v>1</v>
      </c>
      <c r="E47" s="2" t="str">
        <f>IF(C47,Return!D47,Return!E47)</f>
        <v>v</v>
      </c>
      <c r="F47" s="2" t="str">
        <f t="shared" si="0"/>
        <v>[v]</v>
      </c>
      <c r="G47" s="2" t="str">
        <f t="shared" si="1"/>
        <v>[v]</v>
      </c>
      <c r="H47" s="2" t="str">
        <f t="shared" si="2"/>
        <v>, v, [v]</v>
      </c>
      <c r="I47" s="2" t="str">
        <f>IF(Return!C47=0,REPLACE(INDEX(H:H,ROW()+Return!B47,),1,2,Return!E47&amp;"(")&amp;")","")</f>
        <v/>
      </c>
      <c r="M47" s="1"/>
    </row>
    <row r="48" spans="1:13" x14ac:dyDescent="0.55000000000000004">
      <c r="A48" s="1" t="s">
        <v>1498</v>
      </c>
      <c r="C48" s="2">
        <f>Return!C48</f>
        <v>0</v>
      </c>
      <c r="D48" s="2">
        <f>COUNTA(Argument!E48)</f>
        <v>0</v>
      </c>
      <c r="E48" s="2" t="str">
        <f>IF(C48,Return!D48,Return!E48)</f>
        <v>v</v>
      </c>
      <c r="F48" s="2" t="str">
        <f t="shared" si="0"/>
        <v/>
      </c>
      <c r="G48" s="2" t="str">
        <f t="shared" si="1"/>
        <v/>
      </c>
      <c r="H48" s="2" t="str">
        <f t="shared" si="2"/>
        <v/>
      </c>
      <c r="I48" s="2" t="str">
        <f>IF(Return!C48=0,REPLACE(INDEX(H:H,ROW()+Return!B48,),1,2,Return!E48&amp;"(")&amp;")","")</f>
        <v>v(v, [v], [v])</v>
      </c>
      <c r="M48" s="1"/>
    </row>
    <row r="49" spans="1:13" x14ac:dyDescent="0.55000000000000004">
      <c r="A49" s="1" t="s">
        <v>1498</v>
      </c>
      <c r="B49" t="s">
        <v>1223</v>
      </c>
      <c r="C49" s="2">
        <f>Return!C49</f>
        <v>1</v>
      </c>
      <c r="D49" s="2">
        <f>COUNTA(Argument!E49)</f>
        <v>1</v>
      </c>
      <c r="E49" s="2" t="str">
        <f>IF(C49,Return!D49,Return!E49)</f>
        <v>v</v>
      </c>
      <c r="F49" s="2" t="str">
        <f t="shared" si="0"/>
        <v>v</v>
      </c>
      <c r="G49" s="2" t="str">
        <f t="shared" si="1"/>
        <v>v</v>
      </c>
      <c r="H49" s="2" t="str">
        <f t="shared" si="2"/>
        <v>, v</v>
      </c>
      <c r="I49" s="2" t="str">
        <f>IF(Return!C49=0,REPLACE(INDEX(H:H,ROW()+Return!B49,),1,2,Return!E49&amp;"(")&amp;")","")</f>
        <v/>
      </c>
      <c r="M49" s="1"/>
    </row>
    <row r="50" spans="1:13" x14ac:dyDescent="0.55000000000000004">
      <c r="A50" s="1" t="s">
        <v>1498</v>
      </c>
      <c r="B50" t="s">
        <v>1224</v>
      </c>
      <c r="C50" s="2">
        <f>Return!C50</f>
        <v>2</v>
      </c>
      <c r="D50" s="2">
        <f>COUNTA(Argument!E50)</f>
        <v>1</v>
      </c>
      <c r="E50" s="2" t="str">
        <f>IF(C50,Return!D50,Return!E50)</f>
        <v>v</v>
      </c>
      <c r="F50" s="2" t="str">
        <f t="shared" si="0"/>
        <v>[v]</v>
      </c>
      <c r="G50" s="2" t="str">
        <f t="shared" si="1"/>
        <v>[v]</v>
      </c>
      <c r="H50" s="2" t="str">
        <f t="shared" si="2"/>
        <v>, v, [v]</v>
      </c>
      <c r="I50" s="2" t="str">
        <f>IF(Return!C50=0,REPLACE(INDEX(H:H,ROW()+Return!B50,),1,2,Return!E50&amp;"(")&amp;")","")</f>
        <v/>
      </c>
      <c r="M50" s="1"/>
    </row>
    <row r="51" spans="1:13" x14ac:dyDescent="0.55000000000000004">
      <c r="A51" s="1" t="s">
        <v>1498</v>
      </c>
      <c r="B51" t="s">
        <v>1225</v>
      </c>
      <c r="C51" s="2">
        <f>Return!C51</f>
        <v>3</v>
      </c>
      <c r="D51" s="2">
        <f>COUNTA(Argument!E51)</f>
        <v>1</v>
      </c>
      <c r="E51" s="2" t="str">
        <f>IF(C51,Return!D51,Return!E51)</f>
        <v>v</v>
      </c>
      <c r="F51" s="2" t="str">
        <f t="shared" si="0"/>
        <v>[v]</v>
      </c>
      <c r="G51" s="2" t="str">
        <f t="shared" si="1"/>
        <v>[v]</v>
      </c>
      <c r="H51" s="2" t="str">
        <f t="shared" si="2"/>
        <v>, v, [v], [v]</v>
      </c>
      <c r="I51" s="2" t="str">
        <f>IF(Return!C51=0,REPLACE(INDEX(H:H,ROW()+Return!B51,),1,2,Return!E51&amp;"(")&amp;")","")</f>
        <v/>
      </c>
      <c r="M51" s="1"/>
    </row>
    <row r="52" spans="1:13" x14ac:dyDescent="0.55000000000000004">
      <c r="A52" s="1" t="s">
        <v>1499</v>
      </c>
      <c r="C52" s="2">
        <f>Return!C52</f>
        <v>0</v>
      </c>
      <c r="D52" s="2">
        <f>COUNTA(Argument!E52)</f>
        <v>0</v>
      </c>
      <c r="E52" s="2" t="str">
        <f>IF(C52,Return!D52,Return!E52)</f>
        <v>v</v>
      </c>
      <c r="F52" s="2" t="str">
        <f t="shared" si="0"/>
        <v/>
      </c>
      <c r="G52" s="2" t="str">
        <f t="shared" si="1"/>
        <v/>
      </c>
      <c r="H52" s="2" t="str">
        <f t="shared" si="2"/>
        <v/>
      </c>
      <c r="I52" s="2" t="str">
        <f>IF(Return!C52=0,REPLACE(INDEX(H:H,ROW()+Return!B52,),1,2,Return!E52&amp;"(")&amp;")","")</f>
        <v>v(v)</v>
      </c>
      <c r="M52" s="1"/>
    </row>
    <row r="53" spans="1:13" x14ac:dyDescent="0.55000000000000004">
      <c r="A53" s="1" t="s">
        <v>1499</v>
      </c>
      <c r="B53" t="s">
        <v>1223</v>
      </c>
      <c r="C53" s="2">
        <f>Return!C53</f>
        <v>1</v>
      </c>
      <c r="D53" s="2">
        <f>COUNTA(Argument!E53)</f>
        <v>1</v>
      </c>
      <c r="E53" s="2" t="str">
        <f>IF(C53,Return!D53,Return!E53)</f>
        <v>v</v>
      </c>
      <c r="F53" s="2" t="str">
        <f t="shared" si="0"/>
        <v>v</v>
      </c>
      <c r="G53" s="2" t="str">
        <f t="shared" si="1"/>
        <v>v</v>
      </c>
      <c r="H53" s="2" t="str">
        <f t="shared" si="2"/>
        <v>, v</v>
      </c>
      <c r="I53" s="2" t="str">
        <f>IF(Return!C53=0,REPLACE(INDEX(H:H,ROW()+Return!B53,),1,2,Return!E53&amp;"(")&amp;")","")</f>
        <v/>
      </c>
      <c r="M53" s="1"/>
    </row>
    <row r="54" spans="1:13" x14ac:dyDescent="0.55000000000000004">
      <c r="A54" s="1" t="s">
        <v>1500</v>
      </c>
      <c r="C54" s="2">
        <f>Return!C54</f>
        <v>0</v>
      </c>
      <c r="D54" s="2">
        <f>COUNTA(Argument!E54)</f>
        <v>0</v>
      </c>
      <c r="E54" s="2" t="str">
        <f>IF(C54,Return!D54,Return!E54)</f>
        <v>v</v>
      </c>
      <c r="F54" s="2" t="str">
        <f t="shared" si="0"/>
        <v/>
      </c>
      <c r="G54" s="2" t="str">
        <f t="shared" si="1"/>
        <v/>
      </c>
      <c r="H54" s="2" t="str">
        <f t="shared" si="2"/>
        <v/>
      </c>
      <c r="I54" s="2" t="str">
        <f>IF(Return!C54=0,REPLACE(INDEX(H:H,ROW()+Return!B54,),1,2,Return!E54&amp;"(")&amp;")","")</f>
        <v>v(v)</v>
      </c>
      <c r="M54" s="1"/>
    </row>
    <row r="55" spans="1:13" x14ac:dyDescent="0.55000000000000004">
      <c r="A55" s="1" t="s">
        <v>1500</v>
      </c>
      <c r="B55" t="s">
        <v>1223</v>
      </c>
      <c r="C55" s="2">
        <f>Return!C55</f>
        <v>1</v>
      </c>
      <c r="D55" s="2">
        <f>COUNTA(Argument!E55)</f>
        <v>1</v>
      </c>
      <c r="E55" s="2" t="str">
        <f>IF(C55,Return!D55,Return!E55)</f>
        <v>v</v>
      </c>
      <c r="F55" s="2" t="str">
        <f t="shared" si="0"/>
        <v>v</v>
      </c>
      <c r="G55" s="2" t="str">
        <f t="shared" si="1"/>
        <v>v</v>
      </c>
      <c r="H55" s="2" t="str">
        <f t="shared" si="2"/>
        <v>, v</v>
      </c>
      <c r="I55" s="2" t="str">
        <f>IF(Return!C55=0,REPLACE(INDEX(H:H,ROW()+Return!B55,),1,2,Return!E55&amp;"(")&amp;")","")</f>
        <v/>
      </c>
      <c r="M55" s="1"/>
    </row>
    <row r="56" spans="1:13" x14ac:dyDescent="0.55000000000000004">
      <c r="A56" s="1" t="s">
        <v>1501</v>
      </c>
      <c r="C56" s="2">
        <f>Return!C56</f>
        <v>0</v>
      </c>
      <c r="D56" s="2">
        <f>COUNTA(Argument!E56)</f>
        <v>0</v>
      </c>
      <c r="E56" s="2" t="str">
        <f>IF(C56,Return!D56,Return!E56)</f>
        <v>v</v>
      </c>
      <c r="F56" s="2" t="str">
        <f t="shared" si="0"/>
        <v/>
      </c>
      <c r="G56" s="2" t="str">
        <f t="shared" si="1"/>
        <v/>
      </c>
      <c r="H56" s="2" t="str">
        <f t="shared" si="2"/>
        <v/>
      </c>
      <c r="I56" s="2" t="str">
        <f>IF(Return!C56=0,REPLACE(INDEX(H:H,ROW()+Return!B56,),1,2,Return!E56&amp;"(")&amp;")","")</f>
        <v>v(v)</v>
      </c>
      <c r="M56" s="1"/>
    </row>
    <row r="57" spans="1:13" x14ac:dyDescent="0.55000000000000004">
      <c r="A57" s="1" t="s">
        <v>1501</v>
      </c>
      <c r="B57" t="s">
        <v>1223</v>
      </c>
      <c r="C57" s="2">
        <f>Return!C57</f>
        <v>1</v>
      </c>
      <c r="D57" s="2">
        <f>COUNTA(Argument!E57)</f>
        <v>1</v>
      </c>
      <c r="E57" s="2" t="str">
        <f>IF(C57,Return!D57,Return!E57)</f>
        <v>v</v>
      </c>
      <c r="F57" s="2" t="str">
        <f t="shared" si="0"/>
        <v>v</v>
      </c>
      <c r="G57" s="2" t="str">
        <f t="shared" si="1"/>
        <v>v</v>
      </c>
      <c r="H57" s="2" t="str">
        <f t="shared" si="2"/>
        <v>, v</v>
      </c>
      <c r="I57" s="2" t="str">
        <f>IF(Return!C57=0,REPLACE(INDEX(H:H,ROW()+Return!B57,),1,2,Return!E57&amp;"(")&amp;")","")</f>
        <v/>
      </c>
      <c r="M57" s="1"/>
    </row>
    <row r="58" spans="1:13" x14ac:dyDescent="0.55000000000000004">
      <c r="A58" s="1" t="s">
        <v>1502</v>
      </c>
      <c r="C58" s="2">
        <f>Return!C58</f>
        <v>0</v>
      </c>
      <c r="D58" s="2">
        <f>COUNTA(Argument!E58)</f>
        <v>0</v>
      </c>
      <c r="E58" s="2" t="str">
        <f>IF(C58,Return!D58,Return!E58)</f>
        <v>v</v>
      </c>
      <c r="F58" s="2" t="str">
        <f t="shared" si="0"/>
        <v/>
      </c>
      <c r="G58" s="2" t="str">
        <f t="shared" si="1"/>
        <v/>
      </c>
      <c r="H58" s="2" t="str">
        <f t="shared" si="2"/>
        <v/>
      </c>
      <c r="I58" s="2" t="str">
        <f>IF(Return!C58=0,REPLACE(INDEX(H:H,ROW()+Return!B58,),1,2,Return!E58&amp;"(")&amp;")","")</f>
        <v>v(v)</v>
      </c>
      <c r="M58" s="1"/>
    </row>
    <row r="59" spans="1:13" x14ac:dyDescent="0.55000000000000004">
      <c r="A59" s="1" t="s">
        <v>1502</v>
      </c>
      <c r="B59" t="s">
        <v>1223</v>
      </c>
      <c r="C59" s="2">
        <f>Return!C59</f>
        <v>1</v>
      </c>
      <c r="D59" s="2">
        <f>COUNTA(Argument!E59)</f>
        <v>1</v>
      </c>
      <c r="E59" s="2" t="str">
        <f>IF(C59,Return!D59,Return!E59)</f>
        <v>v</v>
      </c>
      <c r="F59" s="2" t="str">
        <f t="shared" si="0"/>
        <v>v</v>
      </c>
      <c r="G59" s="2" t="str">
        <f t="shared" si="1"/>
        <v>v</v>
      </c>
      <c r="H59" s="2" t="str">
        <f t="shared" si="2"/>
        <v>, v</v>
      </c>
      <c r="I59" s="2" t="str">
        <f>IF(Return!C59=0,REPLACE(INDEX(H:H,ROW()+Return!B59,),1,2,Return!E59&amp;"(")&amp;")","")</f>
        <v/>
      </c>
      <c r="M59" s="1"/>
    </row>
    <row r="60" spans="1:13" x14ac:dyDescent="0.55000000000000004">
      <c r="A60" s="1" t="s">
        <v>1474</v>
      </c>
      <c r="C60" s="2">
        <f>Return!C60</f>
        <v>0</v>
      </c>
      <c r="D60" s="2">
        <f>COUNTA(Argument!E60)</f>
        <v>1</v>
      </c>
      <c r="E60" s="2" t="str">
        <f>IF(C60,Return!D60,Return!E60)</f>
        <v>v</v>
      </c>
      <c r="F60" s="2" t="str">
        <f t="shared" si="0"/>
        <v/>
      </c>
      <c r="G60" s="2" t="str">
        <f t="shared" si="1"/>
        <v/>
      </c>
      <c r="H60" s="2" t="str">
        <f t="shared" si="2"/>
        <v/>
      </c>
      <c r="I60" s="2" t="str">
        <f>IF(Return!C60=0,REPLACE(INDEX(H:H,ROW()+Return!B60,),1,2,Return!E60&amp;"(")&amp;")","")</f>
        <v>v()</v>
      </c>
      <c r="M60" s="1"/>
    </row>
    <row r="61" spans="1:13" x14ac:dyDescent="0.55000000000000004">
      <c r="A61" s="1" t="s">
        <v>1503</v>
      </c>
      <c r="C61" s="2">
        <f>Return!C61</f>
        <v>0</v>
      </c>
      <c r="D61" s="2">
        <f>COUNTA(Argument!E61)</f>
        <v>0</v>
      </c>
      <c r="E61" s="2" t="str">
        <f>IF(C61,Return!D61,Return!E61)</f>
        <v>v</v>
      </c>
      <c r="F61" s="2" t="str">
        <f t="shared" si="0"/>
        <v/>
      </c>
      <c r="G61" s="2" t="str">
        <f t="shared" si="1"/>
        <v/>
      </c>
      <c r="H61" s="2" t="str">
        <f t="shared" si="2"/>
        <v/>
      </c>
      <c r="I61" s="2" t="str">
        <f>IF(Return!C61=0,REPLACE(INDEX(H:H,ROW()+Return!B61,),1,2,Return!E61&amp;"(")&amp;")","")</f>
        <v>v(v)</v>
      </c>
      <c r="M61" s="1"/>
    </row>
    <row r="62" spans="1:13" x14ac:dyDescent="0.55000000000000004">
      <c r="A62" s="1" t="s">
        <v>1503</v>
      </c>
      <c r="B62" t="s">
        <v>1223</v>
      </c>
      <c r="C62" s="2">
        <f>Return!C62</f>
        <v>1</v>
      </c>
      <c r="D62" s="2">
        <f>COUNTA(Argument!E62)</f>
        <v>1</v>
      </c>
      <c r="E62" s="2" t="str">
        <f>IF(C62,Return!D62,Return!E62)</f>
        <v>v</v>
      </c>
      <c r="F62" s="2" t="str">
        <f t="shared" si="0"/>
        <v>v</v>
      </c>
      <c r="G62" s="2" t="str">
        <f t="shared" si="1"/>
        <v>v</v>
      </c>
      <c r="H62" s="2" t="str">
        <f t="shared" si="2"/>
        <v>, v</v>
      </c>
      <c r="I62" s="2" t="str">
        <f>IF(Return!C62=0,REPLACE(INDEX(H:H,ROW()+Return!B62,),1,2,Return!E62&amp;"(")&amp;")","")</f>
        <v/>
      </c>
      <c r="M62" s="1"/>
    </row>
    <row r="63" spans="1:13" x14ac:dyDescent="0.55000000000000004">
      <c r="A63" s="1" t="s">
        <v>1504</v>
      </c>
      <c r="C63" s="2">
        <f>Return!C63</f>
        <v>0</v>
      </c>
      <c r="D63" s="2">
        <f>COUNTA(Argument!E63)</f>
        <v>0</v>
      </c>
      <c r="E63" s="2" t="str">
        <f>IF(C63,Return!D63,Return!E63)</f>
        <v>v</v>
      </c>
      <c r="F63" s="2" t="str">
        <f t="shared" si="0"/>
        <v/>
      </c>
      <c r="G63" s="2" t="str">
        <f t="shared" si="1"/>
        <v/>
      </c>
      <c r="H63" s="2" t="str">
        <f t="shared" si="2"/>
        <v/>
      </c>
      <c r="I63" s="2" t="str">
        <f>IF(Return!C63=0,REPLACE(INDEX(H:H,ROW()+Return!B63,),1,2,Return!E63&amp;"(")&amp;")","")</f>
        <v>v(v)</v>
      </c>
      <c r="M63" s="1"/>
    </row>
    <row r="64" spans="1:13" x14ac:dyDescent="0.55000000000000004">
      <c r="A64" s="1" t="s">
        <v>1504</v>
      </c>
      <c r="B64" t="s">
        <v>1223</v>
      </c>
      <c r="C64" s="2">
        <f>Return!C64</f>
        <v>1</v>
      </c>
      <c r="D64" s="2">
        <f>COUNTA(Argument!E64)</f>
        <v>1</v>
      </c>
      <c r="E64" s="2" t="str">
        <f>IF(C64,Return!D64,Return!E64)</f>
        <v>v</v>
      </c>
      <c r="F64" s="2" t="str">
        <f t="shared" si="0"/>
        <v>v</v>
      </c>
      <c r="G64" s="2" t="str">
        <f t="shared" si="1"/>
        <v>v</v>
      </c>
      <c r="H64" s="2" t="str">
        <f t="shared" si="2"/>
        <v>, v</v>
      </c>
      <c r="I64" s="2" t="str">
        <f>IF(Return!C64=0,REPLACE(INDEX(H:H,ROW()+Return!B64,),1,2,Return!E64&amp;"(")&amp;")","")</f>
        <v/>
      </c>
      <c r="M64" s="1"/>
    </row>
    <row r="65" spans="1:13" x14ac:dyDescent="0.55000000000000004">
      <c r="A65" s="1" t="s">
        <v>1505</v>
      </c>
      <c r="C65" s="2">
        <f>Return!C65</f>
        <v>0</v>
      </c>
      <c r="D65" s="2">
        <f>COUNTA(Argument!E65)</f>
        <v>0</v>
      </c>
      <c r="E65" s="2" t="str">
        <f>IF(C65,Return!D65,Return!E65)</f>
        <v>v</v>
      </c>
      <c r="F65" s="2" t="str">
        <f t="shared" si="0"/>
        <v/>
      </c>
      <c r="G65" s="2" t="str">
        <f t="shared" si="1"/>
        <v/>
      </c>
      <c r="H65" s="2" t="str">
        <f t="shared" si="2"/>
        <v/>
      </c>
      <c r="I65" s="2" t="str">
        <f>IF(Return!C65=0,REPLACE(INDEX(H:H,ROW()+Return!B65,),1,2,Return!E65&amp;"(")&amp;")","")</f>
        <v>v(v)</v>
      </c>
      <c r="M65" s="1"/>
    </row>
    <row r="66" spans="1:13" x14ac:dyDescent="0.55000000000000004">
      <c r="A66" s="1" t="s">
        <v>1505</v>
      </c>
      <c r="B66" t="s">
        <v>1223</v>
      </c>
      <c r="C66" s="2">
        <f>Return!C66</f>
        <v>1</v>
      </c>
      <c r="D66" s="2">
        <f>COUNTA(Argument!E66)</f>
        <v>1</v>
      </c>
      <c r="E66" s="2" t="str">
        <f>IF(C66,Return!D66,Return!E66)</f>
        <v>v</v>
      </c>
      <c r="F66" s="2" t="str">
        <f t="shared" si="0"/>
        <v>v</v>
      </c>
      <c r="G66" s="2" t="str">
        <f t="shared" si="1"/>
        <v>v</v>
      </c>
      <c r="H66" s="2" t="str">
        <f t="shared" si="2"/>
        <v>, v</v>
      </c>
      <c r="I66" s="2" t="str">
        <f>IF(Return!C66=0,REPLACE(INDEX(H:H,ROW()+Return!B66,),1,2,Return!E66&amp;"(")&amp;")","")</f>
        <v/>
      </c>
      <c r="M66" s="1"/>
    </row>
    <row r="67" spans="1:13" x14ac:dyDescent="0.55000000000000004">
      <c r="A67" s="1" t="s">
        <v>2041</v>
      </c>
      <c r="C67" s="2">
        <f>Return!C67</f>
        <v>0</v>
      </c>
      <c r="D67" s="2">
        <f>COUNTA(Argument!E67)</f>
        <v>0</v>
      </c>
      <c r="E67" s="2" t="str">
        <f>IF(C67,Return!D67,Return!E67)</f>
        <v>v</v>
      </c>
      <c r="F67" s="2" t="str">
        <f t="shared" ref="F67:F130" si="3">IF(C67,IF(D67,IF(D66,"["&amp;E67&amp;"]",E67),E67),"")</f>
        <v/>
      </c>
      <c r="G67" s="2" t="str">
        <f t="shared" si="1"/>
        <v/>
      </c>
      <c r="H67" s="2" t="str">
        <f t="shared" ref="H67:H130" si="4">IF(C67&gt;0,H66&amp;", "&amp;G67,"")</f>
        <v/>
      </c>
      <c r="I67" s="2" t="str">
        <f>IF(Return!C67=0,REPLACE(INDEX(H:H,ROW()+Return!B67,),1,2,Return!E67&amp;"(")&amp;")","")</f>
        <v>v(v)</v>
      </c>
      <c r="M67" s="1"/>
    </row>
    <row r="68" spans="1:13" x14ac:dyDescent="0.55000000000000004">
      <c r="A68" s="1" t="s">
        <v>2041</v>
      </c>
      <c r="B68" t="s">
        <v>1223</v>
      </c>
      <c r="C68" s="2">
        <f>Return!C68</f>
        <v>1</v>
      </c>
      <c r="D68" s="2">
        <f>COUNTA(Argument!E68)</f>
        <v>1</v>
      </c>
      <c r="E68" s="2" t="str">
        <f>IF(C68,Return!D68,Return!E68)</f>
        <v>v</v>
      </c>
      <c r="F68" s="2" t="str">
        <f t="shared" si="3"/>
        <v>v</v>
      </c>
      <c r="G68" s="2" t="str">
        <f t="shared" ref="G68:G131" si="5">IF(B68="...",IF(C69&gt;0,"["&amp;E68,"…"),IF(B67=" ...",IF(C68&gt;0,E68&amp;"], …",F68),F68))</f>
        <v>v</v>
      </c>
      <c r="H68" s="2" t="str">
        <f t="shared" si="4"/>
        <v>, v</v>
      </c>
      <c r="I68" s="2" t="str">
        <f>IF(Return!C68=0,REPLACE(INDEX(H:H,ROW()+Return!B68,),1,2,Return!E68&amp;"(")&amp;")","")</f>
        <v/>
      </c>
      <c r="M68" s="1"/>
    </row>
    <row r="69" spans="1:13" x14ac:dyDescent="0.55000000000000004">
      <c r="A69" s="1" t="s">
        <v>1506</v>
      </c>
      <c r="C69" s="2">
        <f>Return!C69</f>
        <v>0</v>
      </c>
      <c r="D69" s="2">
        <f>COUNTA(Argument!E69)</f>
        <v>0</v>
      </c>
      <c r="E69" s="2" t="str">
        <f>IF(C69,Return!D69,Return!E69)</f>
        <v>v</v>
      </c>
      <c r="F69" s="2" t="str">
        <f t="shared" si="3"/>
        <v/>
      </c>
      <c r="G69" s="2" t="str">
        <f t="shared" si="5"/>
        <v/>
      </c>
      <c r="H69" s="2" t="str">
        <f t="shared" si="4"/>
        <v/>
      </c>
      <c r="I69" s="2" t="str">
        <f>IF(Return!C69=0,REPLACE(INDEX(H:H,ROW()+Return!B69,),1,2,Return!E69&amp;"(")&amp;")","")</f>
        <v>v(v)</v>
      </c>
      <c r="M69" s="1"/>
    </row>
    <row r="70" spans="1:13" x14ac:dyDescent="0.55000000000000004">
      <c r="A70" s="1" t="s">
        <v>1506</v>
      </c>
      <c r="B70" t="s">
        <v>1223</v>
      </c>
      <c r="C70" s="2">
        <f>Return!C70</f>
        <v>1</v>
      </c>
      <c r="D70" s="2">
        <f>COUNTA(Argument!E70)</f>
        <v>1</v>
      </c>
      <c r="E70" s="2" t="str">
        <f>IF(C70,Return!D70,Return!E70)</f>
        <v>v</v>
      </c>
      <c r="F70" s="2" t="str">
        <f t="shared" si="3"/>
        <v>v</v>
      </c>
      <c r="G70" s="2" t="str">
        <f t="shared" si="5"/>
        <v>v</v>
      </c>
      <c r="H70" s="2" t="str">
        <f t="shared" si="4"/>
        <v>, v</v>
      </c>
      <c r="I70" s="2" t="str">
        <f>IF(Return!C70=0,REPLACE(INDEX(H:H,ROW()+Return!B70,),1,2,Return!E70&amp;"(")&amp;")","")</f>
        <v/>
      </c>
      <c r="M70" s="1"/>
    </row>
    <row r="71" spans="1:13" x14ac:dyDescent="0.55000000000000004">
      <c r="A71" s="1" t="s">
        <v>1507</v>
      </c>
      <c r="C71" s="2">
        <f>Return!C71</f>
        <v>0</v>
      </c>
      <c r="D71" s="2">
        <f>COUNTA(Argument!E71)</f>
        <v>0</v>
      </c>
      <c r="E71" s="2" t="str">
        <f>IF(C71,Return!D71,Return!E71)</f>
        <v>v</v>
      </c>
      <c r="F71" s="2" t="str">
        <f t="shared" si="3"/>
        <v/>
      </c>
      <c r="G71" s="2" t="str">
        <f t="shared" si="5"/>
        <v/>
      </c>
      <c r="H71" s="2" t="str">
        <f t="shared" si="4"/>
        <v/>
      </c>
      <c r="I71" s="2" t="str">
        <f>IF(Return!C71=0,REPLACE(INDEX(H:H,ROW()+Return!B71,),1,2,Return!E71&amp;"(")&amp;")","")</f>
        <v>v(v)</v>
      </c>
      <c r="M71" s="1"/>
    </row>
    <row r="72" spans="1:13" x14ac:dyDescent="0.55000000000000004">
      <c r="A72" s="1" t="s">
        <v>1507</v>
      </c>
      <c r="B72" t="s">
        <v>1223</v>
      </c>
      <c r="C72" s="2">
        <f>Return!C72</f>
        <v>1</v>
      </c>
      <c r="D72" s="2">
        <f>COUNTA(Argument!E72)</f>
        <v>1</v>
      </c>
      <c r="E72" s="2" t="str">
        <f>IF(C72,Return!D72,Return!E72)</f>
        <v>v</v>
      </c>
      <c r="F72" s="2" t="str">
        <f t="shared" si="3"/>
        <v>v</v>
      </c>
      <c r="G72" s="2" t="str">
        <f t="shared" si="5"/>
        <v>v</v>
      </c>
      <c r="H72" s="2" t="str">
        <f t="shared" si="4"/>
        <v>, v</v>
      </c>
      <c r="I72" s="2" t="str">
        <f>IF(Return!C72=0,REPLACE(INDEX(H:H,ROW()+Return!B72,),1,2,Return!E72&amp;"(")&amp;")","")</f>
        <v/>
      </c>
      <c r="M72" s="1"/>
    </row>
    <row r="73" spans="1:13" x14ac:dyDescent="0.55000000000000004">
      <c r="A73" s="1" t="s">
        <v>1508</v>
      </c>
      <c r="C73" s="2">
        <f>Return!C73</f>
        <v>0</v>
      </c>
      <c r="D73" s="2">
        <f>COUNTA(Argument!E73)</f>
        <v>0</v>
      </c>
      <c r="E73" s="2" t="str">
        <f>IF(C73,Return!D73,Return!E73)</f>
        <v>v</v>
      </c>
      <c r="F73" s="2" t="str">
        <f t="shared" si="3"/>
        <v/>
      </c>
      <c r="G73" s="2" t="str">
        <f t="shared" si="5"/>
        <v/>
      </c>
      <c r="H73" s="2" t="str">
        <f t="shared" si="4"/>
        <v/>
      </c>
      <c r="I73" s="2" t="str">
        <f>IF(Return!C73=0,REPLACE(INDEX(H:H,ROW()+Return!B73,),1,2,Return!E73&amp;"(")&amp;")","")</f>
        <v>v(v)</v>
      </c>
      <c r="M73" s="1"/>
    </row>
    <row r="74" spans="1:13" x14ac:dyDescent="0.55000000000000004">
      <c r="A74" s="1" t="s">
        <v>1508</v>
      </c>
      <c r="B74" t="s">
        <v>1223</v>
      </c>
      <c r="C74" s="2">
        <f>Return!C74</f>
        <v>1</v>
      </c>
      <c r="D74" s="2">
        <f>COUNTA(Argument!E74)</f>
        <v>1</v>
      </c>
      <c r="E74" s="2" t="str">
        <f>IF(C74,Return!D74,Return!E74)</f>
        <v>v</v>
      </c>
      <c r="F74" s="2" t="str">
        <f t="shared" si="3"/>
        <v>v</v>
      </c>
      <c r="G74" s="2" t="str">
        <f t="shared" si="5"/>
        <v>v</v>
      </c>
      <c r="H74" s="2" t="str">
        <f t="shared" si="4"/>
        <v>, v</v>
      </c>
      <c r="I74" s="2" t="str">
        <f>IF(Return!C74=0,REPLACE(INDEX(H:H,ROW()+Return!B74,),1,2,Return!E74&amp;"(")&amp;")","")</f>
        <v/>
      </c>
      <c r="M74" s="1"/>
    </row>
    <row r="75" spans="1:13" x14ac:dyDescent="0.55000000000000004">
      <c r="A75" s="1" t="s">
        <v>1509</v>
      </c>
      <c r="C75" s="2">
        <f>Return!C75</f>
        <v>0</v>
      </c>
      <c r="D75" s="2">
        <f>COUNTA(Argument!E75)</f>
        <v>0</v>
      </c>
      <c r="E75" s="2" t="str">
        <f>IF(C75,Return!D75,Return!E75)</f>
        <v>v</v>
      </c>
      <c r="F75" s="2" t="str">
        <f t="shared" si="3"/>
        <v/>
      </c>
      <c r="G75" s="2" t="str">
        <f t="shared" si="5"/>
        <v/>
      </c>
      <c r="H75" s="2" t="str">
        <f t="shared" si="4"/>
        <v/>
      </c>
      <c r="I75" s="2" t="str">
        <f>IF(Return!C75=0,REPLACE(INDEX(H:H,ROW()+Return!B75,),1,2,Return!E75&amp;"(")&amp;")","")</f>
        <v>v(v, v)</v>
      </c>
      <c r="M75" s="1"/>
    </row>
    <row r="76" spans="1:13" x14ac:dyDescent="0.55000000000000004">
      <c r="A76" s="1" t="s">
        <v>1509</v>
      </c>
      <c r="B76" t="s">
        <v>1223</v>
      </c>
      <c r="C76" s="2">
        <f>Return!C76</f>
        <v>1</v>
      </c>
      <c r="D76" s="2">
        <f>COUNTA(Argument!E76)</f>
        <v>0</v>
      </c>
      <c r="E76" s="2" t="str">
        <f>IF(C76,Return!D76,Return!E76)</f>
        <v>v</v>
      </c>
      <c r="F76" s="2" t="str">
        <f t="shared" si="3"/>
        <v>v</v>
      </c>
      <c r="G76" s="2" t="str">
        <f t="shared" si="5"/>
        <v>v</v>
      </c>
      <c r="H76" s="2" t="str">
        <f t="shared" si="4"/>
        <v>, v</v>
      </c>
      <c r="I76" s="2" t="str">
        <f>IF(Return!C76=0,REPLACE(INDEX(H:H,ROW()+Return!B76,),1,2,Return!E76&amp;"(")&amp;")","")</f>
        <v/>
      </c>
      <c r="M76" s="1"/>
    </row>
    <row r="77" spans="1:13" x14ac:dyDescent="0.55000000000000004">
      <c r="A77" s="1" t="s">
        <v>1509</v>
      </c>
      <c r="B77" t="s">
        <v>1226</v>
      </c>
      <c r="C77" s="2">
        <f>Return!C77</f>
        <v>2</v>
      </c>
      <c r="D77" s="2">
        <f>COUNTA(Argument!E77)</f>
        <v>1</v>
      </c>
      <c r="E77" s="2" t="str">
        <f>IF(C77,Return!D77,Return!E77)</f>
        <v>v</v>
      </c>
      <c r="F77" s="2" t="str">
        <f t="shared" si="3"/>
        <v>v</v>
      </c>
      <c r="G77" s="2" t="str">
        <f t="shared" si="5"/>
        <v>v</v>
      </c>
      <c r="H77" s="2" t="str">
        <f t="shared" si="4"/>
        <v>, v, v</v>
      </c>
      <c r="I77" s="2" t="str">
        <f>IF(Return!C77=0,REPLACE(INDEX(H:H,ROW()+Return!B77,),1,2,Return!E77&amp;"(")&amp;")","")</f>
        <v/>
      </c>
      <c r="M77" s="1"/>
    </row>
    <row r="78" spans="1:13" x14ac:dyDescent="0.55000000000000004">
      <c r="A78" s="1" t="s">
        <v>1510</v>
      </c>
      <c r="C78" s="2">
        <f>Return!C78</f>
        <v>0</v>
      </c>
      <c r="D78" s="2">
        <f>COUNTA(Argument!E78)</f>
        <v>0</v>
      </c>
      <c r="E78" s="2" t="str">
        <f>IF(C78,Return!D78,Return!E78)</f>
        <v>v</v>
      </c>
      <c r="F78" s="2" t="str">
        <f t="shared" si="3"/>
        <v/>
      </c>
      <c r="G78" s="2" t="str">
        <f t="shared" si="5"/>
        <v/>
      </c>
      <c r="H78" s="2" t="str">
        <f t="shared" si="4"/>
        <v/>
      </c>
      <c r="I78" s="2" t="str">
        <f>IF(Return!C78=0,REPLACE(INDEX(H:H,ROW()+Return!B78,),1,2,Return!E78&amp;"(")&amp;")","")</f>
        <v>v(v, ar, [ar])</v>
      </c>
      <c r="M78" s="1"/>
    </row>
    <row r="79" spans="1:13" x14ac:dyDescent="0.55000000000000004">
      <c r="A79" s="1" t="s">
        <v>1510</v>
      </c>
      <c r="B79" t="s">
        <v>1227</v>
      </c>
      <c r="C79" s="2">
        <f>Return!C79</f>
        <v>1</v>
      </c>
      <c r="D79" s="2">
        <f>COUNTA(Argument!E79)</f>
        <v>0</v>
      </c>
      <c r="E79" s="2" t="str">
        <f>IF(C79,Return!D79,Return!E79)</f>
        <v>v</v>
      </c>
      <c r="F79" s="2" t="str">
        <f t="shared" si="3"/>
        <v>v</v>
      </c>
      <c r="G79" s="2" t="str">
        <f t="shared" si="5"/>
        <v>v</v>
      </c>
      <c r="H79" s="2" t="str">
        <f t="shared" si="4"/>
        <v>, v</v>
      </c>
      <c r="I79" s="2" t="str">
        <f>IF(Return!C79=0,REPLACE(INDEX(H:H,ROW()+Return!B79,),1,2,Return!E79&amp;"(")&amp;")","")</f>
        <v/>
      </c>
      <c r="M79" s="1"/>
    </row>
    <row r="80" spans="1:13" x14ac:dyDescent="0.55000000000000004">
      <c r="A80" s="1" t="s">
        <v>1510</v>
      </c>
      <c r="B80" t="s">
        <v>1228</v>
      </c>
      <c r="C80" s="2">
        <f>Return!C80</f>
        <v>2</v>
      </c>
      <c r="D80" s="2">
        <f>COUNTA(Argument!E80)</f>
        <v>1</v>
      </c>
      <c r="E80" s="2" t="str">
        <f>IF(C80,Return!D80,Return!E80)</f>
        <v>ar</v>
      </c>
      <c r="F80" s="2" t="str">
        <f t="shared" si="3"/>
        <v>ar</v>
      </c>
      <c r="G80" s="2" t="str">
        <f t="shared" si="5"/>
        <v>ar</v>
      </c>
      <c r="H80" s="2" t="str">
        <f t="shared" si="4"/>
        <v>, v, ar</v>
      </c>
      <c r="I80" s="2" t="str">
        <f>IF(Return!C80=0,REPLACE(INDEX(H:H,ROW()+Return!B80,),1,2,Return!E80&amp;"(")&amp;")","")</f>
        <v/>
      </c>
      <c r="M80" s="1"/>
    </row>
    <row r="81" spans="1:13" x14ac:dyDescent="0.55000000000000004">
      <c r="A81" s="1" t="s">
        <v>1510</v>
      </c>
      <c r="B81" t="s">
        <v>1229</v>
      </c>
      <c r="C81" s="2">
        <f>Return!C81</f>
        <v>3</v>
      </c>
      <c r="D81" s="2">
        <f>COUNTA(Argument!E81)</f>
        <v>1</v>
      </c>
      <c r="E81" s="2" t="str">
        <f>IF(C81,Return!D81,Return!E81)</f>
        <v>ar</v>
      </c>
      <c r="F81" s="2" t="str">
        <f t="shared" si="3"/>
        <v>[ar]</v>
      </c>
      <c r="G81" s="2" t="str">
        <f t="shared" si="5"/>
        <v>[ar]</v>
      </c>
      <c r="H81" s="2" t="str">
        <f t="shared" si="4"/>
        <v>, v, ar, [ar]</v>
      </c>
      <c r="I81" s="2" t="str">
        <f>IF(Return!C81=0,REPLACE(INDEX(H:H,ROW()+Return!B81,),1,2,Return!E81&amp;"(")&amp;")","")</f>
        <v/>
      </c>
      <c r="M81" s="1"/>
    </row>
    <row r="82" spans="1:13" x14ac:dyDescent="0.55000000000000004">
      <c r="A82" s="1" t="s">
        <v>2042</v>
      </c>
      <c r="C82" s="2">
        <f>Return!C82</f>
        <v>0</v>
      </c>
      <c r="D82" s="2">
        <f>COUNTA(Argument!E82)</f>
        <v>0</v>
      </c>
      <c r="E82" s="2" t="str">
        <f>IF(C82,Return!D82,Return!E82)</f>
        <v>var</v>
      </c>
      <c r="F82" s="2" t="str">
        <f t="shared" si="3"/>
        <v/>
      </c>
      <c r="G82" s="2" t="str">
        <f t="shared" si="5"/>
        <v/>
      </c>
      <c r="H82" s="2" t="str">
        <f t="shared" si="4"/>
        <v/>
      </c>
      <c r="I82" s="2" t="str">
        <f>IF(Return!C82=0,REPLACE(INDEX(H:H,ROW()+Return!B82,),1,2,Return!E82&amp;"(")&amp;")","")</f>
        <v>var(ar, v, [v], [v])</v>
      </c>
      <c r="M82" s="1"/>
    </row>
    <row r="83" spans="1:13" x14ac:dyDescent="0.55000000000000004">
      <c r="A83" s="1" t="s">
        <v>2042</v>
      </c>
      <c r="B83" t="s">
        <v>1221</v>
      </c>
      <c r="C83" s="2">
        <f>Return!C83</f>
        <v>1</v>
      </c>
      <c r="D83" s="2">
        <f>COUNTA(Argument!E83)</f>
        <v>0</v>
      </c>
      <c r="E83" s="2" t="str">
        <f>IF(C83,Return!D83,Return!E83)</f>
        <v>ar</v>
      </c>
      <c r="F83" s="2" t="str">
        <f t="shared" si="3"/>
        <v>ar</v>
      </c>
      <c r="G83" s="2" t="str">
        <f t="shared" si="5"/>
        <v>ar</v>
      </c>
      <c r="H83" s="2" t="str">
        <f t="shared" si="4"/>
        <v>, ar</v>
      </c>
      <c r="I83" s="2" t="str">
        <f>IF(Return!C83=0,REPLACE(INDEX(H:H,ROW()+Return!B83,),1,2,Return!E83&amp;"(")&amp;")","")</f>
        <v/>
      </c>
      <c r="M83" s="1"/>
    </row>
    <row r="84" spans="1:13" x14ac:dyDescent="0.55000000000000004">
      <c r="A84" s="1" t="s">
        <v>2042</v>
      </c>
      <c r="B84" t="s">
        <v>1231</v>
      </c>
      <c r="C84" s="2">
        <f>Return!C84</f>
        <v>2</v>
      </c>
      <c r="D84" s="2">
        <f>COUNTA(Argument!E84)</f>
        <v>1</v>
      </c>
      <c r="E84" s="2" t="str">
        <f>IF(C84,Return!D84,Return!E84)</f>
        <v>v</v>
      </c>
      <c r="F84" s="2" t="str">
        <f t="shared" si="3"/>
        <v>v</v>
      </c>
      <c r="G84" s="2" t="str">
        <f t="shared" si="5"/>
        <v>v</v>
      </c>
      <c r="H84" s="2" t="str">
        <f t="shared" si="4"/>
        <v>, ar, v</v>
      </c>
      <c r="I84" s="2" t="str">
        <f>IF(Return!C84=0,REPLACE(INDEX(H:H,ROW()+Return!B84,),1,2,Return!E84&amp;"(")&amp;")","")</f>
        <v/>
      </c>
      <c r="M84" s="1"/>
    </row>
    <row r="85" spans="1:13" x14ac:dyDescent="0.55000000000000004">
      <c r="A85" s="1" t="s">
        <v>2042</v>
      </c>
      <c r="B85" t="s">
        <v>1232</v>
      </c>
      <c r="C85" s="2">
        <f>Return!C85</f>
        <v>3</v>
      </c>
      <c r="D85" s="2">
        <f>COUNTA(Argument!E85)</f>
        <v>1</v>
      </c>
      <c r="E85" s="2" t="str">
        <f>IF(C85,Return!D85,Return!E85)</f>
        <v>v</v>
      </c>
      <c r="F85" s="2" t="str">
        <f t="shared" si="3"/>
        <v>[v]</v>
      </c>
      <c r="G85" s="2" t="str">
        <f t="shared" si="5"/>
        <v>[v]</v>
      </c>
      <c r="H85" s="2" t="str">
        <f t="shared" si="4"/>
        <v>, ar, v, [v]</v>
      </c>
      <c r="I85" s="2" t="str">
        <f>IF(Return!C85=0,REPLACE(INDEX(H:H,ROW()+Return!B85,),1,2,Return!E85&amp;"(")&amp;")","")</f>
        <v/>
      </c>
      <c r="M85" s="1"/>
    </row>
    <row r="86" spans="1:13" x14ac:dyDescent="0.55000000000000004">
      <c r="A86" s="1" t="s">
        <v>2042</v>
      </c>
      <c r="B86" t="s">
        <v>1472</v>
      </c>
      <c r="C86" s="2">
        <f>Return!C86</f>
        <v>4</v>
      </c>
      <c r="D86" s="2">
        <f>COUNTA(Argument!E86)</f>
        <v>1</v>
      </c>
      <c r="E86" s="2" t="str">
        <f>IF(C86,Return!D86,Return!E86)</f>
        <v>v</v>
      </c>
      <c r="F86" s="2" t="str">
        <f t="shared" si="3"/>
        <v>[v]</v>
      </c>
      <c r="G86" s="2" t="str">
        <f t="shared" si="5"/>
        <v>[v]</v>
      </c>
      <c r="H86" s="2" t="str">
        <f t="shared" si="4"/>
        <v>, ar, v, [v], [v]</v>
      </c>
      <c r="I86" s="2" t="str">
        <f>IF(Return!C86=0,REPLACE(INDEX(H:H,ROW()+Return!B86,),1,2,Return!E86&amp;"(")&amp;")","")</f>
        <v/>
      </c>
      <c r="M86" s="1"/>
    </row>
    <row r="87" spans="1:13" x14ac:dyDescent="0.55000000000000004">
      <c r="A87" s="1" t="s">
        <v>1511</v>
      </c>
      <c r="C87" s="2">
        <f>Return!C87</f>
        <v>0</v>
      </c>
      <c r="D87" s="2">
        <f>COUNTA(Argument!E87)</f>
        <v>0</v>
      </c>
      <c r="E87" s="2" t="str">
        <f>IF(C87,Return!D87,Return!E87)</f>
        <v>v</v>
      </c>
      <c r="F87" s="2" t="str">
        <f t="shared" si="3"/>
        <v/>
      </c>
      <c r="G87" s="2" t="str">
        <f t="shared" si="5"/>
        <v/>
      </c>
      <c r="H87" s="2" t="str">
        <f t="shared" si="4"/>
        <v/>
      </c>
      <c r="I87" s="2" t="str">
        <f>IF(Return!C87=0,REPLACE(INDEX(H:H,ROW()+Return!B87,),1,2,Return!E87&amp;"(")&amp;")","")</f>
        <v>v(v, v)</v>
      </c>
      <c r="M87" s="1"/>
    </row>
    <row r="88" spans="1:13" x14ac:dyDescent="0.55000000000000004">
      <c r="A88" s="1" t="s">
        <v>1511</v>
      </c>
      <c r="B88" t="s">
        <v>1233</v>
      </c>
      <c r="C88" s="2">
        <f>Return!C88</f>
        <v>1</v>
      </c>
      <c r="D88" s="2">
        <f>COUNTA(Argument!E88)</f>
        <v>0</v>
      </c>
      <c r="E88" s="2" t="str">
        <f>IF(C88,Return!D88,Return!E88)</f>
        <v>v</v>
      </c>
      <c r="F88" s="2" t="str">
        <f t="shared" si="3"/>
        <v>v</v>
      </c>
      <c r="G88" s="2" t="str">
        <f t="shared" si="5"/>
        <v>v</v>
      </c>
      <c r="H88" s="2" t="str">
        <f t="shared" si="4"/>
        <v>, v</v>
      </c>
      <c r="I88" s="2" t="str">
        <f>IF(Return!C88=0,REPLACE(INDEX(H:H,ROW()+Return!B88,),1,2,Return!E88&amp;"(")&amp;")","")</f>
        <v/>
      </c>
      <c r="M88" s="1"/>
    </row>
    <row r="89" spans="1:13" x14ac:dyDescent="0.55000000000000004">
      <c r="A89" s="1" t="s">
        <v>1511</v>
      </c>
      <c r="B89" t="s">
        <v>1234</v>
      </c>
      <c r="C89" s="2">
        <f>Return!C89</f>
        <v>2</v>
      </c>
      <c r="D89" s="2">
        <f>COUNTA(Argument!E89)</f>
        <v>1</v>
      </c>
      <c r="E89" s="2" t="str">
        <f>IF(C89,Return!D89,Return!E89)</f>
        <v>v</v>
      </c>
      <c r="F89" s="2" t="str">
        <f t="shared" si="3"/>
        <v>v</v>
      </c>
      <c r="G89" s="2" t="str">
        <f t="shared" si="5"/>
        <v>v</v>
      </c>
      <c r="H89" s="2" t="str">
        <f t="shared" si="4"/>
        <v>, v, v</v>
      </c>
      <c r="I89" s="2" t="str">
        <f>IF(Return!C89=0,REPLACE(INDEX(H:H,ROW()+Return!B89,),1,2,Return!E89&amp;"(")&amp;")","")</f>
        <v/>
      </c>
      <c r="M89" s="1"/>
    </row>
    <row r="90" spans="1:13" x14ac:dyDescent="0.55000000000000004">
      <c r="A90" s="1" t="s">
        <v>1512</v>
      </c>
      <c r="C90" s="2">
        <f>Return!C90</f>
        <v>0</v>
      </c>
      <c r="D90" s="2">
        <f>COUNTA(Argument!E90)</f>
        <v>0</v>
      </c>
      <c r="E90" s="2" t="str">
        <f>IF(C90,Return!D90,Return!E90)</f>
        <v>v</v>
      </c>
      <c r="F90" s="2" t="str">
        <f t="shared" si="3"/>
        <v/>
      </c>
      <c r="G90" s="2" t="str">
        <f t="shared" si="5"/>
        <v/>
      </c>
      <c r="H90" s="2" t="str">
        <f t="shared" si="4"/>
        <v/>
      </c>
      <c r="I90" s="2" t="str">
        <f>IF(Return!C90=0,REPLACE(INDEX(H:H,ROW()+Return!B90,),1,2,Return!E90&amp;"(")&amp;")","")</f>
        <v>v(v, v, v)</v>
      </c>
      <c r="M90" s="1"/>
    </row>
    <row r="91" spans="1:13" x14ac:dyDescent="0.55000000000000004">
      <c r="A91" s="1" t="s">
        <v>1512</v>
      </c>
      <c r="B91" t="s">
        <v>1233</v>
      </c>
      <c r="C91" s="2">
        <f>Return!C91</f>
        <v>1</v>
      </c>
      <c r="D91" s="2">
        <f>COUNTA(Argument!E91)</f>
        <v>0</v>
      </c>
      <c r="E91" s="2" t="str">
        <f>IF(C91,Return!D91,Return!E91)</f>
        <v>v</v>
      </c>
      <c r="F91" s="2" t="str">
        <f t="shared" si="3"/>
        <v>v</v>
      </c>
      <c r="G91" s="2" t="str">
        <f t="shared" si="5"/>
        <v>v</v>
      </c>
      <c r="H91" s="2" t="str">
        <f t="shared" si="4"/>
        <v>, v</v>
      </c>
      <c r="I91" s="2" t="str">
        <f>IF(Return!C91=0,REPLACE(INDEX(H:H,ROW()+Return!B91,),1,2,Return!E91&amp;"(")&amp;")","")</f>
        <v/>
      </c>
      <c r="M91" s="1"/>
    </row>
    <row r="92" spans="1:13" x14ac:dyDescent="0.55000000000000004">
      <c r="A92" s="1" t="s">
        <v>1512</v>
      </c>
      <c r="B92" t="s">
        <v>1235</v>
      </c>
      <c r="C92" s="2">
        <f>Return!C92</f>
        <v>2</v>
      </c>
      <c r="D92" s="2">
        <f>COUNTA(Argument!E92)</f>
        <v>0</v>
      </c>
      <c r="E92" s="2" t="str">
        <f>IF(C92,Return!D92,Return!E92)</f>
        <v>v</v>
      </c>
      <c r="F92" s="2" t="str">
        <f t="shared" si="3"/>
        <v>v</v>
      </c>
      <c r="G92" s="2" t="str">
        <f t="shared" si="5"/>
        <v>v</v>
      </c>
      <c r="H92" s="2" t="str">
        <f t="shared" si="4"/>
        <v>, v, v</v>
      </c>
      <c r="I92" s="2" t="str">
        <f>IF(Return!C92=0,REPLACE(INDEX(H:H,ROW()+Return!B92,),1,2,Return!E92&amp;"(")&amp;")","")</f>
        <v/>
      </c>
      <c r="M92" s="1"/>
    </row>
    <row r="93" spans="1:13" x14ac:dyDescent="0.55000000000000004">
      <c r="A93" s="1" t="s">
        <v>1512</v>
      </c>
      <c r="B93" t="s">
        <v>1236</v>
      </c>
      <c r="C93" s="2">
        <f>Return!C93</f>
        <v>3</v>
      </c>
      <c r="D93" s="2">
        <f>COUNTA(Argument!E93)</f>
        <v>1</v>
      </c>
      <c r="E93" s="2" t="str">
        <f>IF(C93,Return!D93,Return!E93)</f>
        <v>v</v>
      </c>
      <c r="F93" s="2" t="str">
        <f t="shared" si="3"/>
        <v>v</v>
      </c>
      <c r="G93" s="2" t="str">
        <f t="shared" si="5"/>
        <v>v</v>
      </c>
      <c r="H93" s="2" t="str">
        <f t="shared" si="4"/>
        <v>, v, v, v</v>
      </c>
      <c r="I93" s="2" t="str">
        <f>IF(Return!C93=0,REPLACE(INDEX(H:H,ROW()+Return!B93,),1,2,Return!E93&amp;"(")&amp;")","")</f>
        <v/>
      </c>
      <c r="M93" s="1"/>
    </row>
    <row r="94" spans="1:13" x14ac:dyDescent="0.55000000000000004">
      <c r="A94" s="1" t="s">
        <v>1513</v>
      </c>
      <c r="C94" s="2">
        <f>Return!C94</f>
        <v>0</v>
      </c>
      <c r="D94" s="2">
        <f>COUNTA(Argument!E94)</f>
        <v>0</v>
      </c>
      <c r="E94" s="2" t="str">
        <f>IF(C94,Return!D94,Return!E94)</f>
        <v>v</v>
      </c>
      <c r="F94" s="2" t="str">
        <f t="shared" si="3"/>
        <v/>
      </c>
      <c r="G94" s="2" t="str">
        <f t="shared" si="5"/>
        <v/>
      </c>
      <c r="H94" s="2" t="str">
        <f t="shared" si="4"/>
        <v/>
      </c>
      <c r="I94" s="2" t="str">
        <f>IF(Return!C94=0,REPLACE(INDEX(H:H,ROW()+Return!B94,),1,2,Return!E94&amp;"(")&amp;")","")</f>
        <v>v(v)</v>
      </c>
      <c r="M94" s="1"/>
    </row>
    <row r="95" spans="1:13" x14ac:dyDescent="0.55000000000000004">
      <c r="A95" s="1" t="s">
        <v>1513</v>
      </c>
      <c r="B95" t="s">
        <v>1233</v>
      </c>
      <c r="C95" s="2">
        <f>Return!C95</f>
        <v>1</v>
      </c>
      <c r="D95" s="2">
        <f>COUNTA(Argument!E95)</f>
        <v>1</v>
      </c>
      <c r="E95" s="2" t="str">
        <f>IF(C95,Return!D95,Return!E95)</f>
        <v>v</v>
      </c>
      <c r="F95" s="2" t="str">
        <f t="shared" si="3"/>
        <v>v</v>
      </c>
      <c r="G95" s="2" t="str">
        <f t="shared" si="5"/>
        <v>v</v>
      </c>
      <c r="H95" s="2" t="str">
        <f t="shared" si="4"/>
        <v>, v</v>
      </c>
      <c r="I95" s="2" t="str">
        <f>IF(Return!C95=0,REPLACE(INDEX(H:H,ROW()+Return!B95,),1,2,Return!E95&amp;"(")&amp;")","")</f>
        <v/>
      </c>
      <c r="M95" s="1"/>
    </row>
    <row r="96" spans="1:13" x14ac:dyDescent="0.55000000000000004">
      <c r="A96" s="1" t="s">
        <v>0</v>
      </c>
      <c r="C96" s="2">
        <f>Return!C96</f>
        <v>0</v>
      </c>
      <c r="D96" s="2">
        <f>COUNTA(Argument!E96)</f>
        <v>0</v>
      </c>
      <c r="E96" s="2" t="str">
        <f>IF(C96,Return!D96,Return!E96)</f>
        <v>v</v>
      </c>
      <c r="F96" s="2" t="str">
        <f t="shared" si="3"/>
        <v/>
      </c>
      <c r="G96" s="2" t="str">
        <f t="shared" si="5"/>
        <v/>
      </c>
      <c r="H96" s="2" t="str">
        <f t="shared" si="4"/>
        <v/>
      </c>
      <c r="I96" s="2" t="str">
        <f>IF(Return!C96=0,REPLACE(INDEX(H:H,ROW()+Return!B96,),1,2,Return!E96&amp;"(")&amp;")","")</f>
        <v>v(v)</v>
      </c>
      <c r="M96" s="1"/>
    </row>
    <row r="97" spans="1:13" x14ac:dyDescent="0.55000000000000004">
      <c r="A97" s="1" t="s">
        <v>0</v>
      </c>
      <c r="B97" t="s">
        <v>1233</v>
      </c>
      <c r="C97" s="2">
        <f>Return!C97</f>
        <v>1</v>
      </c>
      <c r="D97" s="2">
        <f>COUNTA(Argument!E97)</f>
        <v>1</v>
      </c>
      <c r="E97" s="2" t="str">
        <f>IF(C97,Return!D97,Return!E97)</f>
        <v>v</v>
      </c>
      <c r="F97" s="2" t="str">
        <f t="shared" si="3"/>
        <v>v</v>
      </c>
      <c r="G97" s="2" t="str">
        <f t="shared" si="5"/>
        <v>v</v>
      </c>
      <c r="H97" s="2" t="str">
        <f t="shared" si="4"/>
        <v>, v</v>
      </c>
      <c r="I97" s="2" t="str">
        <f>IF(Return!C97=0,REPLACE(INDEX(H:H,ROW()+Return!B97,),1,2,Return!E97&amp;"(")&amp;")","")</f>
        <v/>
      </c>
      <c r="M97" s="1"/>
    </row>
    <row r="98" spans="1:13" x14ac:dyDescent="0.55000000000000004">
      <c r="A98" s="1" t="s">
        <v>2043</v>
      </c>
      <c r="C98" s="2">
        <f>Return!C98</f>
        <v>-1</v>
      </c>
      <c r="D98" s="2">
        <f>COUNTA(Argument!E98)</f>
        <v>0</v>
      </c>
      <c r="E98" s="2" t="str">
        <f>IF(C98,Return!D98,Return!E98)</f>
        <v/>
      </c>
      <c r="F98" s="2" t="str">
        <f t="shared" si="3"/>
        <v/>
      </c>
      <c r="G98" s="2" t="str">
        <f t="shared" si="5"/>
        <v/>
      </c>
      <c r="H98" s="2" t="str">
        <f t="shared" si="4"/>
        <v/>
      </c>
      <c r="I98" s="2" t="str">
        <f>IF(Return!C98=0,REPLACE(INDEX(H:H,ROW()+Return!B98,),1,2,Return!E98&amp;"(")&amp;")","")</f>
        <v/>
      </c>
      <c r="M98" s="1"/>
    </row>
    <row r="99" spans="1:13" x14ac:dyDescent="0.55000000000000004">
      <c r="A99" s="1" t="s">
        <v>2044</v>
      </c>
      <c r="C99" s="2">
        <f>Return!C99</f>
        <v>-1</v>
      </c>
      <c r="D99" s="2">
        <f>COUNTA(Argument!E99)</f>
        <v>0</v>
      </c>
      <c r="E99" s="2" t="str">
        <f>IF(C99,Return!D99,Return!E99)</f>
        <v/>
      </c>
      <c r="F99" s="2" t="str">
        <f t="shared" si="3"/>
        <v/>
      </c>
      <c r="G99" s="2" t="str">
        <f t="shared" si="5"/>
        <v/>
      </c>
      <c r="H99" s="2" t="str">
        <f t="shared" si="4"/>
        <v/>
      </c>
      <c r="I99" s="2" t="str">
        <f>IF(Return!C99=0,REPLACE(INDEX(H:H,ROW()+Return!B99,),1,2,Return!E99&amp;"(")&amp;")","")</f>
        <v/>
      </c>
      <c r="M99" s="1"/>
    </row>
    <row r="100" spans="1:13" x14ac:dyDescent="0.55000000000000004">
      <c r="A100" s="1" t="s">
        <v>1514</v>
      </c>
      <c r="C100" s="2">
        <f>Return!C100</f>
        <v>0</v>
      </c>
      <c r="D100" s="2">
        <f>COUNTA(Argument!E100)</f>
        <v>0</v>
      </c>
      <c r="E100" s="2" t="str">
        <f>IF(C100,Return!D100,Return!E100)</f>
        <v>v</v>
      </c>
      <c r="F100" s="2" t="str">
        <f t="shared" si="3"/>
        <v/>
      </c>
      <c r="G100" s="2" t="str">
        <f t="shared" si="5"/>
        <v/>
      </c>
      <c r="H100" s="2" t="str">
        <f t="shared" si="4"/>
        <v/>
      </c>
      <c r="I100" s="2" t="str">
        <f>IF(Return!C100=0,REPLACE(INDEX(H:H,ROW()+Return!B100,),1,2,Return!E100&amp;"(")&amp;")","")</f>
        <v>v(var, [var], …)</v>
      </c>
      <c r="M100" s="1"/>
    </row>
    <row r="101" spans="1:13" x14ac:dyDescent="0.55000000000000004">
      <c r="A101" s="1" t="s">
        <v>1514</v>
      </c>
      <c r="B101" t="s">
        <v>1237</v>
      </c>
      <c r="C101" s="2">
        <f>Return!C101</f>
        <v>1</v>
      </c>
      <c r="D101" s="2">
        <f>COUNTA(Argument!E101)</f>
        <v>1</v>
      </c>
      <c r="E101" s="2" t="str">
        <f>IF(C101,Return!D101,Return!E101)</f>
        <v>var</v>
      </c>
      <c r="F101" s="2" t="str">
        <f t="shared" si="3"/>
        <v>var</v>
      </c>
      <c r="G101" s="2" t="str">
        <f t="shared" si="5"/>
        <v>var</v>
      </c>
      <c r="H101" s="2" t="str">
        <f t="shared" si="4"/>
        <v>, var</v>
      </c>
      <c r="I101" s="2" t="str">
        <f>IF(Return!C101=0,REPLACE(INDEX(H:H,ROW()+Return!B101,),1,2,Return!E101&amp;"(")&amp;")","")</f>
        <v/>
      </c>
      <c r="M101" s="1"/>
    </row>
    <row r="102" spans="1:13" x14ac:dyDescent="0.55000000000000004">
      <c r="A102" s="1" t="s">
        <v>1514</v>
      </c>
      <c r="B102" t="s">
        <v>1238</v>
      </c>
      <c r="C102" s="2">
        <f>Return!C102</f>
        <v>2</v>
      </c>
      <c r="D102" s="2">
        <f>COUNTA(Argument!E102)</f>
        <v>1</v>
      </c>
      <c r="E102" s="2" t="str">
        <f>IF(C102,Return!D102,Return!E102)</f>
        <v>var</v>
      </c>
      <c r="F102" s="2" t="str">
        <f t="shared" si="3"/>
        <v>[var]</v>
      </c>
      <c r="G102" s="2" t="str">
        <f t="shared" si="5"/>
        <v>[var]</v>
      </c>
      <c r="H102" s="2" t="str">
        <f t="shared" si="4"/>
        <v>, var, [var]</v>
      </c>
      <c r="I102" s="2" t="str">
        <f>IF(Return!C102=0,REPLACE(INDEX(H:H,ROW()+Return!B102,),1,2,Return!E102&amp;"(")&amp;")","")</f>
        <v/>
      </c>
      <c r="M102" s="1"/>
    </row>
    <row r="103" spans="1:13" x14ac:dyDescent="0.55000000000000004">
      <c r="A103" s="1" t="s">
        <v>1514</v>
      </c>
      <c r="B103" t="s">
        <v>1214</v>
      </c>
      <c r="C103" s="2">
        <f>Return!C103</f>
        <v>3</v>
      </c>
      <c r="D103" s="2">
        <f>COUNTA(Argument!E103)</f>
        <v>1</v>
      </c>
      <c r="E103" s="2" t="str">
        <f>IF(C103,Return!D103,Return!E103)</f>
        <v>var</v>
      </c>
      <c r="F103" s="2" t="str">
        <f t="shared" si="3"/>
        <v>[var]</v>
      </c>
      <c r="G103" s="2" t="str">
        <f t="shared" si="5"/>
        <v>…</v>
      </c>
      <c r="H103" s="2" t="str">
        <f t="shared" si="4"/>
        <v>, var, [var], …</v>
      </c>
      <c r="I103" s="2" t="str">
        <f>IF(Return!C103=0,REPLACE(INDEX(H:H,ROW()+Return!B103,),1,2,Return!E103&amp;"(")&amp;")","")</f>
        <v/>
      </c>
      <c r="M103" s="1"/>
    </row>
    <row r="104" spans="1:13" x14ac:dyDescent="0.55000000000000004">
      <c r="A104" s="1" t="s">
        <v>1515</v>
      </c>
      <c r="C104" s="2">
        <f>Return!C104</f>
        <v>0</v>
      </c>
      <c r="D104" s="2">
        <f>COUNTA(Argument!E104)</f>
        <v>0</v>
      </c>
      <c r="E104" s="2" t="str">
        <f>IF(C104,Return!D104,Return!E104)</f>
        <v>v</v>
      </c>
      <c r="F104" s="2" t="str">
        <f t="shared" si="3"/>
        <v/>
      </c>
      <c r="G104" s="2" t="str">
        <f t="shared" si="5"/>
        <v/>
      </c>
      <c r="H104" s="2" t="str">
        <f t="shared" si="4"/>
        <v/>
      </c>
      <c r="I104" s="2" t="str">
        <f>IF(Return!C104=0,REPLACE(INDEX(H:H,ROW()+Return!B104,),1,2,Return!E104&amp;"(")&amp;")","")</f>
        <v>v(var, [var], …)</v>
      </c>
      <c r="M104" s="1"/>
    </row>
    <row r="105" spans="1:13" x14ac:dyDescent="0.55000000000000004">
      <c r="A105" s="1" t="s">
        <v>1515</v>
      </c>
      <c r="B105" t="s">
        <v>1237</v>
      </c>
      <c r="C105" s="2">
        <f>Return!C105</f>
        <v>1</v>
      </c>
      <c r="D105" s="2">
        <f>COUNTA(Argument!E105)</f>
        <v>1</v>
      </c>
      <c r="E105" s="2" t="str">
        <f>IF(C105,Return!D105,Return!E105)</f>
        <v>var</v>
      </c>
      <c r="F105" s="2" t="str">
        <f t="shared" si="3"/>
        <v>var</v>
      </c>
      <c r="G105" s="2" t="str">
        <f t="shared" si="5"/>
        <v>var</v>
      </c>
      <c r="H105" s="2" t="str">
        <f t="shared" si="4"/>
        <v>, var</v>
      </c>
      <c r="I105" s="2" t="str">
        <f>IF(Return!C105=0,REPLACE(INDEX(H:H,ROW()+Return!B105,),1,2,Return!E105&amp;"(")&amp;")","")</f>
        <v/>
      </c>
      <c r="M105" s="1"/>
    </row>
    <row r="106" spans="1:13" x14ac:dyDescent="0.55000000000000004">
      <c r="A106" s="1" t="s">
        <v>1515</v>
      </c>
      <c r="B106" t="s">
        <v>1238</v>
      </c>
      <c r="C106" s="2">
        <f>Return!C106</f>
        <v>2</v>
      </c>
      <c r="D106" s="2">
        <f>COUNTA(Argument!E106)</f>
        <v>1</v>
      </c>
      <c r="E106" s="2" t="str">
        <f>IF(C106,Return!D106,Return!E106)</f>
        <v>var</v>
      </c>
      <c r="F106" s="2" t="str">
        <f t="shared" si="3"/>
        <v>[var]</v>
      </c>
      <c r="G106" s="2" t="str">
        <f t="shared" si="5"/>
        <v>[var]</v>
      </c>
      <c r="H106" s="2" t="str">
        <f t="shared" si="4"/>
        <v>, var, [var]</v>
      </c>
      <c r="I106" s="2" t="str">
        <f>IF(Return!C106=0,REPLACE(INDEX(H:H,ROW()+Return!B106,),1,2,Return!E106&amp;"(")&amp;")","")</f>
        <v/>
      </c>
      <c r="M106" s="1"/>
    </row>
    <row r="107" spans="1:13" x14ac:dyDescent="0.55000000000000004">
      <c r="A107" s="1" t="s">
        <v>1515</v>
      </c>
      <c r="B107" t="s">
        <v>1214</v>
      </c>
      <c r="C107" s="2">
        <f>Return!C107</f>
        <v>3</v>
      </c>
      <c r="D107" s="2">
        <f>COUNTA(Argument!E107)</f>
        <v>1</v>
      </c>
      <c r="E107" s="2" t="str">
        <f>IF(C107,Return!D107,Return!E107)</f>
        <v>var</v>
      </c>
      <c r="F107" s="2" t="str">
        <f t="shared" si="3"/>
        <v>[var]</v>
      </c>
      <c r="G107" s="2" t="str">
        <f t="shared" si="5"/>
        <v>…</v>
      </c>
      <c r="H107" s="2" t="str">
        <f t="shared" si="4"/>
        <v>, var, [var], …</v>
      </c>
      <c r="I107" s="2" t="str">
        <f>IF(Return!C107=0,REPLACE(INDEX(H:H,ROW()+Return!B107,),1,2,Return!E107&amp;"(")&amp;")","")</f>
        <v/>
      </c>
      <c r="M107" s="1"/>
    </row>
    <row r="108" spans="1:13" x14ac:dyDescent="0.55000000000000004">
      <c r="A108" s="1" t="s">
        <v>1516</v>
      </c>
      <c r="C108" s="2">
        <f>Return!C108</f>
        <v>0</v>
      </c>
      <c r="D108" s="2">
        <f>COUNTA(Argument!E108)</f>
        <v>0</v>
      </c>
      <c r="E108" s="2" t="str">
        <f>IF(C108,Return!D108,Return!E108)</f>
        <v>v</v>
      </c>
      <c r="F108" s="2" t="str">
        <f t="shared" si="3"/>
        <v/>
      </c>
      <c r="G108" s="2" t="str">
        <f t="shared" si="5"/>
        <v/>
      </c>
      <c r="H108" s="2" t="str">
        <f t="shared" si="4"/>
        <v/>
      </c>
      <c r="I108" s="2" t="str">
        <f>IF(Return!C108=0,REPLACE(INDEX(H:H,ROW()+Return!B108,),1,2,Return!E108&amp;"(")&amp;")","")</f>
        <v>v(v)</v>
      </c>
      <c r="M108" s="1"/>
    </row>
    <row r="109" spans="1:13" x14ac:dyDescent="0.55000000000000004">
      <c r="A109" s="1" t="s">
        <v>1516</v>
      </c>
      <c r="B109" t="s">
        <v>1239</v>
      </c>
      <c r="C109" s="2">
        <f>Return!C109</f>
        <v>1</v>
      </c>
      <c r="D109" s="2">
        <f>COUNTA(Argument!E109)</f>
        <v>1</v>
      </c>
      <c r="E109" s="2" t="str">
        <f>IF(C109,Return!D109,Return!E109)</f>
        <v>v</v>
      </c>
      <c r="F109" s="2" t="str">
        <f t="shared" si="3"/>
        <v>v</v>
      </c>
      <c r="G109" s="2" t="str">
        <f t="shared" si="5"/>
        <v>v</v>
      </c>
      <c r="H109" s="2" t="str">
        <f t="shared" si="4"/>
        <v>, v</v>
      </c>
      <c r="I109" s="2" t="str">
        <f>IF(Return!C109=0,REPLACE(INDEX(H:H,ROW()+Return!B109,),1,2,Return!E109&amp;"(")&amp;")","")</f>
        <v/>
      </c>
      <c r="M109" s="1"/>
    </row>
    <row r="110" spans="1:13" x14ac:dyDescent="0.55000000000000004">
      <c r="A110" s="1" t="s">
        <v>1517</v>
      </c>
      <c r="C110" s="2">
        <f>Return!C110</f>
        <v>0</v>
      </c>
      <c r="D110" s="2">
        <f>COUNTA(Argument!E110)</f>
        <v>0</v>
      </c>
      <c r="E110" s="2" t="str">
        <f>IF(C110,Return!D110,Return!E110)</f>
        <v>v</v>
      </c>
      <c r="F110" s="2" t="str">
        <f t="shared" si="3"/>
        <v/>
      </c>
      <c r="G110" s="2" t="str">
        <f t="shared" si="5"/>
        <v/>
      </c>
      <c r="H110" s="2" t="str">
        <f t="shared" si="4"/>
        <v/>
      </c>
      <c r="I110" s="2" t="str">
        <f>IF(Return!C110=0,REPLACE(INDEX(H:H,ROW()+Return!B110,),1,2,Return!E110&amp;"(")&amp;")","")</f>
        <v>v(v, v)</v>
      </c>
      <c r="M110" s="1"/>
    </row>
    <row r="111" spans="1:13" x14ac:dyDescent="0.55000000000000004">
      <c r="A111" s="1" t="s">
        <v>1517</v>
      </c>
      <c r="B111" t="s">
        <v>1223</v>
      </c>
      <c r="C111" s="2">
        <f>Return!C111</f>
        <v>1</v>
      </c>
      <c r="D111" s="2">
        <f>COUNTA(Argument!E111)</f>
        <v>0</v>
      </c>
      <c r="E111" s="2" t="str">
        <f>IF(C111,Return!D111,Return!E111)</f>
        <v>v</v>
      </c>
      <c r="F111" s="2" t="str">
        <f t="shared" si="3"/>
        <v>v</v>
      </c>
      <c r="G111" s="2" t="str">
        <f t="shared" si="5"/>
        <v>v</v>
      </c>
      <c r="H111" s="2" t="str">
        <f t="shared" si="4"/>
        <v>, v</v>
      </c>
      <c r="I111" s="2" t="str">
        <f>IF(Return!C111=0,REPLACE(INDEX(H:H,ROW()+Return!B111,),1,2,Return!E111&amp;"(")&amp;")","")</f>
        <v/>
      </c>
      <c r="M111" s="1"/>
    </row>
    <row r="112" spans="1:13" x14ac:dyDescent="0.55000000000000004">
      <c r="A112" s="1" t="s">
        <v>1517</v>
      </c>
      <c r="B112" t="s">
        <v>1240</v>
      </c>
      <c r="C112" s="2">
        <f>Return!C112</f>
        <v>2</v>
      </c>
      <c r="D112" s="2">
        <f>COUNTA(Argument!E112)</f>
        <v>1</v>
      </c>
      <c r="E112" s="2" t="str">
        <f>IF(C112,Return!D112,Return!E112)</f>
        <v>v</v>
      </c>
      <c r="F112" s="2" t="str">
        <f t="shared" si="3"/>
        <v>v</v>
      </c>
      <c r="G112" s="2" t="str">
        <f t="shared" si="5"/>
        <v>v</v>
      </c>
      <c r="H112" s="2" t="str">
        <f t="shared" si="4"/>
        <v>, v, v</v>
      </c>
      <c r="I112" s="2" t="str">
        <f>IF(Return!C112=0,REPLACE(INDEX(H:H,ROW()+Return!B112,),1,2,Return!E112&amp;"(")&amp;")","")</f>
        <v/>
      </c>
      <c r="M112" s="1"/>
    </row>
    <row r="113" spans="1:13" x14ac:dyDescent="0.55000000000000004">
      <c r="A113" s="1" t="s">
        <v>1518</v>
      </c>
      <c r="C113" s="2">
        <f>Return!C113</f>
        <v>0</v>
      </c>
      <c r="D113" s="2">
        <f>COUNTA(Argument!E113)</f>
        <v>0</v>
      </c>
      <c r="E113" s="2" t="str">
        <f>IF(C113,Return!D113,Return!E113)</f>
        <v>v</v>
      </c>
      <c r="F113" s="2" t="str">
        <f t="shared" si="3"/>
        <v/>
      </c>
      <c r="G113" s="2" t="str">
        <f t="shared" si="5"/>
        <v/>
      </c>
      <c r="H113" s="2" t="str">
        <f t="shared" si="4"/>
        <v/>
      </c>
      <c r="I113" s="2" t="str">
        <f>IF(Return!C113=0,REPLACE(INDEX(H:H,ROW()+Return!B113,),1,2,Return!E113&amp;"(")&amp;")","")</f>
        <v>v(r, vr, vr)</v>
      </c>
      <c r="M113" s="1"/>
    </row>
    <row r="114" spans="1:13" x14ac:dyDescent="0.55000000000000004">
      <c r="A114" s="1" t="s">
        <v>1518</v>
      </c>
      <c r="B114" t="s">
        <v>1241</v>
      </c>
      <c r="C114" s="2">
        <f>Return!C114</f>
        <v>1</v>
      </c>
      <c r="D114" s="2">
        <f>COUNTA(Argument!E114)</f>
        <v>0</v>
      </c>
      <c r="E114" s="2" t="str">
        <f>IF(C114,Return!D114,Return!E114)</f>
        <v>r</v>
      </c>
      <c r="F114" s="2" t="str">
        <f t="shared" si="3"/>
        <v>r</v>
      </c>
      <c r="G114" s="2" t="str">
        <f t="shared" si="5"/>
        <v>r</v>
      </c>
      <c r="H114" s="2" t="str">
        <f t="shared" si="4"/>
        <v>, r</v>
      </c>
      <c r="I114" s="2" t="str">
        <f>IF(Return!C114=0,REPLACE(INDEX(H:H,ROW()+Return!B114,),1,2,Return!E114&amp;"(")&amp;")","")</f>
        <v/>
      </c>
      <c r="M114" s="1"/>
    </row>
    <row r="115" spans="1:13" x14ac:dyDescent="0.55000000000000004">
      <c r="A115" s="1" t="s">
        <v>1518</v>
      </c>
      <c r="B115" t="s">
        <v>1242</v>
      </c>
      <c r="C115" s="2">
        <f>Return!C115</f>
        <v>2</v>
      </c>
      <c r="D115" s="2">
        <f>COUNTA(Argument!E115)</f>
        <v>0</v>
      </c>
      <c r="E115" s="2" t="str">
        <f>IF(C115,Return!D115,Return!E115)</f>
        <v>vr</v>
      </c>
      <c r="F115" s="2" t="str">
        <f t="shared" si="3"/>
        <v>vr</v>
      </c>
      <c r="G115" s="2" t="str">
        <f t="shared" si="5"/>
        <v>vr</v>
      </c>
      <c r="H115" s="2" t="str">
        <f t="shared" si="4"/>
        <v>, r, vr</v>
      </c>
      <c r="I115" s="2" t="str">
        <f>IF(Return!C115=0,REPLACE(INDEX(H:H,ROW()+Return!B115,),1,2,Return!E115&amp;"(")&amp;")","")</f>
        <v/>
      </c>
      <c r="M115" s="1"/>
    </row>
    <row r="116" spans="1:13" x14ac:dyDescent="0.55000000000000004">
      <c r="A116" s="1" t="s">
        <v>1518</v>
      </c>
      <c r="B116" t="s">
        <v>1243</v>
      </c>
      <c r="C116" s="2">
        <f>Return!C116</f>
        <v>3</v>
      </c>
      <c r="D116" s="2">
        <f>COUNTA(Argument!E116)</f>
        <v>1</v>
      </c>
      <c r="E116" s="2" t="str">
        <f>IF(C116,Return!D116,Return!E116)</f>
        <v>vr</v>
      </c>
      <c r="F116" s="2" t="str">
        <f t="shared" si="3"/>
        <v>vr</v>
      </c>
      <c r="G116" s="2" t="str">
        <f t="shared" si="5"/>
        <v>vr</v>
      </c>
      <c r="H116" s="2" t="str">
        <f t="shared" si="4"/>
        <v>, r, vr, vr</v>
      </c>
      <c r="I116" s="2" t="str">
        <f>IF(Return!C116=0,REPLACE(INDEX(H:H,ROW()+Return!B116,),1,2,Return!E116&amp;"(")&amp;")","")</f>
        <v/>
      </c>
      <c r="M116" s="1"/>
    </row>
    <row r="117" spans="1:13" x14ac:dyDescent="0.55000000000000004">
      <c r="A117" s="1" t="s">
        <v>1519</v>
      </c>
      <c r="C117" s="2">
        <f>Return!C117</f>
        <v>0</v>
      </c>
      <c r="D117" s="2">
        <f>COUNTA(Argument!E117)</f>
        <v>0</v>
      </c>
      <c r="E117" s="2" t="str">
        <f>IF(C117,Return!D117,Return!E117)</f>
        <v>v</v>
      </c>
      <c r="F117" s="2" t="str">
        <f t="shared" si="3"/>
        <v/>
      </c>
      <c r="G117" s="2" t="str">
        <f t="shared" si="5"/>
        <v/>
      </c>
      <c r="H117" s="2" t="str">
        <f t="shared" si="4"/>
        <v/>
      </c>
      <c r="I117" s="2" t="str">
        <f>IF(Return!C117=0,REPLACE(INDEX(H:H,ROW()+Return!B117,),1,2,Return!E117&amp;"(")&amp;")","")</f>
        <v>v(r, vr, vr)</v>
      </c>
      <c r="M117" s="1"/>
    </row>
    <row r="118" spans="1:13" x14ac:dyDescent="0.55000000000000004">
      <c r="A118" s="1" t="s">
        <v>1519</v>
      </c>
      <c r="B118" t="s">
        <v>1241</v>
      </c>
      <c r="C118" s="2">
        <f>Return!C118</f>
        <v>1</v>
      </c>
      <c r="D118" s="2">
        <f>COUNTA(Argument!E118)</f>
        <v>0</v>
      </c>
      <c r="E118" s="2" t="str">
        <f>IF(C118,Return!D118,Return!E118)</f>
        <v>r</v>
      </c>
      <c r="F118" s="2" t="str">
        <f t="shared" si="3"/>
        <v>r</v>
      </c>
      <c r="G118" s="2" t="str">
        <f t="shared" si="5"/>
        <v>r</v>
      </c>
      <c r="H118" s="2" t="str">
        <f t="shared" si="4"/>
        <v>, r</v>
      </c>
      <c r="I118" s="2" t="str">
        <f>IF(Return!C118=0,REPLACE(INDEX(H:H,ROW()+Return!B118,),1,2,Return!E118&amp;"(")&amp;")","")</f>
        <v/>
      </c>
      <c r="M118" s="1"/>
    </row>
    <row r="119" spans="1:13" x14ac:dyDescent="0.55000000000000004">
      <c r="A119" s="1" t="s">
        <v>1519</v>
      </c>
      <c r="B119" t="s">
        <v>1242</v>
      </c>
      <c r="C119" s="2">
        <f>Return!C119</f>
        <v>2</v>
      </c>
      <c r="D119" s="2">
        <f>COUNTA(Argument!E119)</f>
        <v>0</v>
      </c>
      <c r="E119" s="2" t="str">
        <f>IF(C119,Return!D119,Return!E119)</f>
        <v>vr</v>
      </c>
      <c r="F119" s="2" t="str">
        <f t="shared" si="3"/>
        <v>vr</v>
      </c>
      <c r="G119" s="2" t="str">
        <f t="shared" si="5"/>
        <v>vr</v>
      </c>
      <c r="H119" s="2" t="str">
        <f t="shared" si="4"/>
        <v>, r, vr</v>
      </c>
      <c r="I119" s="2" t="str">
        <f>IF(Return!C119=0,REPLACE(INDEX(H:H,ROW()+Return!B119,),1,2,Return!E119&amp;"(")&amp;")","")</f>
        <v/>
      </c>
      <c r="M119" s="1"/>
    </row>
    <row r="120" spans="1:13" x14ac:dyDescent="0.55000000000000004">
      <c r="A120" s="1" t="s">
        <v>1519</v>
      </c>
      <c r="B120" t="s">
        <v>1243</v>
      </c>
      <c r="C120" s="2">
        <f>Return!C120</f>
        <v>3</v>
      </c>
      <c r="D120" s="2">
        <f>COUNTA(Argument!E120)</f>
        <v>1</v>
      </c>
      <c r="E120" s="2" t="str">
        <f>IF(C120,Return!D120,Return!E120)</f>
        <v>vr</v>
      </c>
      <c r="F120" s="2" t="str">
        <f t="shared" si="3"/>
        <v>vr</v>
      </c>
      <c r="G120" s="2" t="str">
        <f t="shared" si="5"/>
        <v>vr</v>
      </c>
      <c r="H120" s="2" t="str">
        <f t="shared" si="4"/>
        <v>, r, vr, vr</v>
      </c>
      <c r="I120" s="2" t="str">
        <f>IF(Return!C120=0,REPLACE(INDEX(H:H,ROW()+Return!B120,),1,2,Return!E120&amp;"(")&amp;")","")</f>
        <v/>
      </c>
      <c r="M120" s="1"/>
    </row>
    <row r="121" spans="1:13" x14ac:dyDescent="0.55000000000000004">
      <c r="A121" s="1" t="s">
        <v>1520</v>
      </c>
      <c r="C121" s="2">
        <f>Return!C121</f>
        <v>0</v>
      </c>
      <c r="D121" s="2">
        <f>COUNTA(Argument!E121)</f>
        <v>0</v>
      </c>
      <c r="E121" s="2" t="str">
        <f>IF(C121,Return!D121,Return!E121)</f>
        <v>v</v>
      </c>
      <c r="F121" s="2" t="str">
        <f t="shared" si="3"/>
        <v/>
      </c>
      <c r="G121" s="2" t="str">
        <f t="shared" si="5"/>
        <v/>
      </c>
      <c r="H121" s="2" t="str">
        <f t="shared" si="4"/>
        <v/>
      </c>
      <c r="I121" s="2" t="str">
        <f>IF(Return!C121=0,REPLACE(INDEX(H:H,ROW()+Return!B121,),1,2,Return!E121&amp;"(")&amp;")","")</f>
        <v>v(r, vr, vr)</v>
      </c>
      <c r="M121" s="1"/>
    </row>
    <row r="122" spans="1:13" x14ac:dyDescent="0.55000000000000004">
      <c r="A122" s="1" t="s">
        <v>1520</v>
      </c>
      <c r="B122" t="s">
        <v>1241</v>
      </c>
      <c r="C122" s="2">
        <f>Return!C122</f>
        <v>1</v>
      </c>
      <c r="D122" s="2">
        <f>COUNTA(Argument!E122)</f>
        <v>0</v>
      </c>
      <c r="E122" s="2" t="str">
        <f>IF(C122,Return!D122,Return!E122)</f>
        <v>r</v>
      </c>
      <c r="F122" s="2" t="str">
        <f t="shared" si="3"/>
        <v>r</v>
      </c>
      <c r="G122" s="2" t="str">
        <f t="shared" si="5"/>
        <v>r</v>
      </c>
      <c r="H122" s="2" t="str">
        <f t="shared" si="4"/>
        <v>, r</v>
      </c>
      <c r="I122" s="2" t="str">
        <f>IF(Return!C122=0,REPLACE(INDEX(H:H,ROW()+Return!B122,),1,2,Return!E122&amp;"(")&amp;")","")</f>
        <v/>
      </c>
      <c r="M122" s="1"/>
    </row>
    <row r="123" spans="1:13" x14ac:dyDescent="0.55000000000000004">
      <c r="A123" s="1" t="s">
        <v>1520</v>
      </c>
      <c r="B123" t="s">
        <v>1242</v>
      </c>
      <c r="C123" s="2">
        <f>Return!C123</f>
        <v>2</v>
      </c>
      <c r="D123" s="2">
        <f>COUNTA(Argument!E123)</f>
        <v>0</v>
      </c>
      <c r="E123" s="2" t="str">
        <f>IF(C123,Return!D123,Return!E123)</f>
        <v>vr</v>
      </c>
      <c r="F123" s="2" t="str">
        <f t="shared" si="3"/>
        <v>vr</v>
      </c>
      <c r="G123" s="2" t="str">
        <f t="shared" si="5"/>
        <v>vr</v>
      </c>
      <c r="H123" s="2" t="str">
        <f t="shared" si="4"/>
        <v>, r, vr</v>
      </c>
      <c r="I123" s="2" t="str">
        <f>IF(Return!C123=0,REPLACE(INDEX(H:H,ROW()+Return!B123,),1,2,Return!E123&amp;"(")&amp;")","")</f>
        <v/>
      </c>
      <c r="M123" s="1"/>
    </row>
    <row r="124" spans="1:13" x14ac:dyDescent="0.55000000000000004">
      <c r="A124" s="1" t="s">
        <v>1520</v>
      </c>
      <c r="B124" t="s">
        <v>1243</v>
      </c>
      <c r="C124" s="2">
        <f>Return!C124</f>
        <v>3</v>
      </c>
      <c r="D124" s="2">
        <f>COUNTA(Argument!E124)</f>
        <v>1</v>
      </c>
      <c r="E124" s="2" t="str">
        <f>IF(C124,Return!D124,Return!E124)</f>
        <v>vr</v>
      </c>
      <c r="F124" s="2" t="str">
        <f t="shared" si="3"/>
        <v>vr</v>
      </c>
      <c r="G124" s="2" t="str">
        <f t="shared" si="5"/>
        <v>vr</v>
      </c>
      <c r="H124" s="2" t="str">
        <f t="shared" si="4"/>
        <v>, r, vr, vr</v>
      </c>
      <c r="I124" s="2" t="str">
        <f>IF(Return!C124=0,REPLACE(INDEX(H:H,ROW()+Return!B124,),1,2,Return!E124&amp;"(")&amp;")","")</f>
        <v/>
      </c>
      <c r="M124" s="1"/>
    </row>
    <row r="125" spans="1:13" x14ac:dyDescent="0.55000000000000004">
      <c r="A125" s="1" t="s">
        <v>1521</v>
      </c>
      <c r="C125" s="2">
        <f>Return!C125</f>
        <v>0</v>
      </c>
      <c r="D125" s="2">
        <f>COUNTA(Argument!E125)</f>
        <v>0</v>
      </c>
      <c r="E125" s="2" t="str">
        <f>IF(C125,Return!D125,Return!E125)</f>
        <v>v</v>
      </c>
      <c r="F125" s="2" t="str">
        <f t="shared" si="3"/>
        <v/>
      </c>
      <c r="G125" s="2" t="str">
        <f t="shared" si="5"/>
        <v/>
      </c>
      <c r="H125" s="2" t="str">
        <f t="shared" si="4"/>
        <v/>
      </c>
      <c r="I125" s="2" t="str">
        <f>IF(Return!C125=0,REPLACE(INDEX(H:H,ROW()+Return!B125,),1,2,Return!E125&amp;"(")&amp;")","")</f>
        <v>v(r, vr, vr)</v>
      </c>
      <c r="M125" s="1"/>
    </row>
    <row r="126" spans="1:13" x14ac:dyDescent="0.55000000000000004">
      <c r="A126" s="1" t="s">
        <v>1521</v>
      </c>
      <c r="B126" t="s">
        <v>1241</v>
      </c>
      <c r="C126" s="2">
        <f>Return!C126</f>
        <v>1</v>
      </c>
      <c r="D126" s="2">
        <f>COUNTA(Argument!E126)</f>
        <v>0</v>
      </c>
      <c r="E126" s="2" t="str">
        <f>IF(C126,Return!D126,Return!E126)</f>
        <v>r</v>
      </c>
      <c r="F126" s="2" t="str">
        <f t="shared" si="3"/>
        <v>r</v>
      </c>
      <c r="G126" s="2" t="str">
        <f t="shared" si="5"/>
        <v>r</v>
      </c>
      <c r="H126" s="2" t="str">
        <f t="shared" si="4"/>
        <v>, r</v>
      </c>
      <c r="I126" s="2" t="str">
        <f>IF(Return!C126=0,REPLACE(INDEX(H:H,ROW()+Return!B126,),1,2,Return!E126&amp;"(")&amp;")","")</f>
        <v/>
      </c>
      <c r="M126" s="1"/>
    </row>
    <row r="127" spans="1:13" x14ac:dyDescent="0.55000000000000004">
      <c r="A127" s="1" t="s">
        <v>1521</v>
      </c>
      <c r="B127" t="s">
        <v>1242</v>
      </c>
      <c r="C127" s="2">
        <f>Return!C127</f>
        <v>2</v>
      </c>
      <c r="D127" s="2">
        <f>COUNTA(Argument!E127)</f>
        <v>0</v>
      </c>
      <c r="E127" s="2" t="str">
        <f>IF(C127,Return!D127,Return!E127)</f>
        <v>vr</v>
      </c>
      <c r="F127" s="2" t="str">
        <f t="shared" si="3"/>
        <v>vr</v>
      </c>
      <c r="G127" s="2" t="str">
        <f t="shared" si="5"/>
        <v>vr</v>
      </c>
      <c r="H127" s="2" t="str">
        <f t="shared" si="4"/>
        <v>, r, vr</v>
      </c>
      <c r="I127" s="2" t="str">
        <f>IF(Return!C127=0,REPLACE(INDEX(H:H,ROW()+Return!B127,),1,2,Return!E127&amp;"(")&amp;")","")</f>
        <v/>
      </c>
      <c r="M127" s="1"/>
    </row>
    <row r="128" spans="1:13" x14ac:dyDescent="0.55000000000000004">
      <c r="A128" s="1" t="s">
        <v>1521</v>
      </c>
      <c r="B128" t="s">
        <v>1243</v>
      </c>
      <c r="C128" s="2">
        <f>Return!C128</f>
        <v>3</v>
      </c>
      <c r="D128" s="2">
        <f>COUNTA(Argument!E128)</f>
        <v>1</v>
      </c>
      <c r="E128" s="2" t="str">
        <f>IF(C128,Return!D128,Return!E128)</f>
        <v>vr</v>
      </c>
      <c r="F128" s="2" t="str">
        <f t="shared" si="3"/>
        <v>vr</v>
      </c>
      <c r="G128" s="2" t="str">
        <f t="shared" si="5"/>
        <v>vr</v>
      </c>
      <c r="H128" s="2" t="str">
        <f t="shared" si="4"/>
        <v>, r, vr, vr</v>
      </c>
      <c r="I128" s="2" t="str">
        <f>IF(Return!C128=0,REPLACE(INDEX(H:H,ROW()+Return!B128,),1,2,Return!E128&amp;"(")&amp;")","")</f>
        <v/>
      </c>
      <c r="M128" s="1"/>
    </row>
    <row r="129" spans="1:13" x14ac:dyDescent="0.55000000000000004">
      <c r="A129" s="1" t="s">
        <v>1522</v>
      </c>
      <c r="C129" s="2">
        <f>Return!C129</f>
        <v>0</v>
      </c>
      <c r="D129" s="2">
        <f>COUNTA(Argument!E129)</f>
        <v>0</v>
      </c>
      <c r="E129" s="2" t="str">
        <f>IF(C129,Return!D129,Return!E129)</f>
        <v>v</v>
      </c>
      <c r="F129" s="2" t="str">
        <f t="shared" si="3"/>
        <v/>
      </c>
      <c r="G129" s="2" t="str">
        <f t="shared" si="5"/>
        <v/>
      </c>
      <c r="H129" s="2" t="str">
        <f t="shared" si="4"/>
        <v/>
      </c>
      <c r="I129" s="2" t="str">
        <f>IF(Return!C129=0,REPLACE(INDEX(H:H,ROW()+Return!B129,),1,2,Return!E129&amp;"(")&amp;")","")</f>
        <v>v(r, vr, vr)</v>
      </c>
      <c r="M129" s="1"/>
    </row>
    <row r="130" spans="1:13" x14ac:dyDescent="0.55000000000000004">
      <c r="A130" s="1" t="s">
        <v>1522</v>
      </c>
      <c r="B130" t="s">
        <v>1241</v>
      </c>
      <c r="C130" s="2">
        <f>Return!C130</f>
        <v>1</v>
      </c>
      <c r="D130" s="2">
        <f>COUNTA(Argument!E130)</f>
        <v>0</v>
      </c>
      <c r="E130" s="2" t="str">
        <f>IF(C130,Return!D130,Return!E130)</f>
        <v>r</v>
      </c>
      <c r="F130" s="2" t="str">
        <f t="shared" si="3"/>
        <v>r</v>
      </c>
      <c r="G130" s="2" t="str">
        <f t="shared" si="5"/>
        <v>r</v>
      </c>
      <c r="H130" s="2" t="str">
        <f t="shared" si="4"/>
        <v>, r</v>
      </c>
      <c r="I130" s="2" t="str">
        <f>IF(Return!C130=0,REPLACE(INDEX(H:H,ROW()+Return!B130,),1,2,Return!E130&amp;"(")&amp;")","")</f>
        <v/>
      </c>
      <c r="M130" s="1"/>
    </row>
    <row r="131" spans="1:13" x14ac:dyDescent="0.55000000000000004">
      <c r="A131" s="1" t="s">
        <v>1522</v>
      </c>
      <c r="B131" t="s">
        <v>1242</v>
      </c>
      <c r="C131" s="2">
        <f>Return!C131</f>
        <v>2</v>
      </c>
      <c r="D131" s="2">
        <f>COUNTA(Argument!E131)</f>
        <v>0</v>
      </c>
      <c r="E131" s="2" t="str">
        <f>IF(C131,Return!D131,Return!E131)</f>
        <v>vr</v>
      </c>
      <c r="F131" s="2" t="str">
        <f t="shared" ref="F131:F194" si="6">IF(C131,IF(D131,IF(D130,"["&amp;E131&amp;"]",E131),E131),"")</f>
        <v>vr</v>
      </c>
      <c r="G131" s="2" t="str">
        <f t="shared" si="5"/>
        <v>vr</v>
      </c>
      <c r="H131" s="2" t="str">
        <f t="shared" ref="H131:H194" si="7">IF(C131&gt;0,H130&amp;", "&amp;G131,"")</f>
        <v>, r, vr</v>
      </c>
      <c r="I131" s="2" t="str">
        <f>IF(Return!C131=0,REPLACE(INDEX(H:H,ROW()+Return!B131,),1,2,Return!E131&amp;"(")&amp;")","")</f>
        <v/>
      </c>
      <c r="M131" s="1"/>
    </row>
    <row r="132" spans="1:13" x14ac:dyDescent="0.55000000000000004">
      <c r="A132" s="1" t="s">
        <v>1522</v>
      </c>
      <c r="B132" t="s">
        <v>1243</v>
      </c>
      <c r="C132" s="2">
        <f>Return!C132</f>
        <v>3</v>
      </c>
      <c r="D132" s="2">
        <f>COUNTA(Argument!E132)</f>
        <v>1</v>
      </c>
      <c r="E132" s="2" t="str">
        <f>IF(C132,Return!D132,Return!E132)</f>
        <v>vr</v>
      </c>
      <c r="F132" s="2" t="str">
        <f t="shared" si="6"/>
        <v>vr</v>
      </c>
      <c r="G132" s="2" t="str">
        <f t="shared" ref="G132:G195" si="8">IF(B132="...",IF(C133&gt;0,"["&amp;E132,"…"),IF(B131=" ...",IF(C132&gt;0,E132&amp;"], …",F132),F132))</f>
        <v>vr</v>
      </c>
      <c r="H132" s="2" t="str">
        <f t="shared" si="7"/>
        <v>, r, vr, vr</v>
      </c>
      <c r="I132" s="2" t="str">
        <f>IF(Return!C132=0,REPLACE(INDEX(H:H,ROW()+Return!B132,),1,2,Return!E132&amp;"(")&amp;")","")</f>
        <v/>
      </c>
      <c r="M132" s="1"/>
    </row>
    <row r="133" spans="1:13" x14ac:dyDescent="0.55000000000000004">
      <c r="A133" s="1" t="s">
        <v>1523</v>
      </c>
      <c r="C133" s="2">
        <f>Return!C133</f>
        <v>0</v>
      </c>
      <c r="D133" s="2">
        <f>COUNTA(Argument!E133)</f>
        <v>0</v>
      </c>
      <c r="E133" s="2" t="str">
        <f>IF(C133,Return!D133,Return!E133)</f>
        <v>v</v>
      </c>
      <c r="F133" s="2" t="str">
        <f t="shared" si="6"/>
        <v/>
      </c>
      <c r="G133" s="2" t="str">
        <f t="shared" si="8"/>
        <v/>
      </c>
      <c r="H133" s="2" t="str">
        <f t="shared" si="7"/>
        <v/>
      </c>
      <c r="I133" s="2" t="str">
        <f>IF(Return!C133=0,REPLACE(INDEX(H:H,ROW()+Return!B133,),1,2,Return!E133&amp;"(")&amp;")","")</f>
        <v>v(r, vr, vr)</v>
      </c>
      <c r="M133" s="1"/>
    </row>
    <row r="134" spans="1:13" x14ac:dyDescent="0.55000000000000004">
      <c r="A134" s="1" t="s">
        <v>1523</v>
      </c>
      <c r="B134" t="s">
        <v>1241</v>
      </c>
      <c r="C134" s="2">
        <f>Return!C134</f>
        <v>1</v>
      </c>
      <c r="D134" s="2">
        <f>COUNTA(Argument!E134)</f>
        <v>0</v>
      </c>
      <c r="E134" s="2" t="str">
        <f>IF(C134,Return!D134,Return!E134)</f>
        <v>r</v>
      </c>
      <c r="F134" s="2" t="str">
        <f t="shared" si="6"/>
        <v>r</v>
      </c>
      <c r="G134" s="2" t="str">
        <f t="shared" si="8"/>
        <v>r</v>
      </c>
      <c r="H134" s="2" t="str">
        <f t="shared" si="7"/>
        <v>, r</v>
      </c>
      <c r="I134" s="2" t="str">
        <f>IF(Return!C134=0,REPLACE(INDEX(H:H,ROW()+Return!B134,),1,2,Return!E134&amp;"(")&amp;")","")</f>
        <v/>
      </c>
      <c r="M134" s="1"/>
    </row>
    <row r="135" spans="1:13" x14ac:dyDescent="0.55000000000000004">
      <c r="A135" s="1" t="s">
        <v>1523</v>
      </c>
      <c r="B135" t="s">
        <v>1242</v>
      </c>
      <c r="C135" s="2">
        <f>Return!C135</f>
        <v>2</v>
      </c>
      <c r="D135" s="2">
        <f>COUNTA(Argument!E135)</f>
        <v>0</v>
      </c>
      <c r="E135" s="2" t="str">
        <f>IF(C135,Return!D135,Return!E135)</f>
        <v>vr</v>
      </c>
      <c r="F135" s="2" t="str">
        <f t="shared" si="6"/>
        <v>vr</v>
      </c>
      <c r="G135" s="2" t="str">
        <f t="shared" si="8"/>
        <v>vr</v>
      </c>
      <c r="H135" s="2" t="str">
        <f t="shared" si="7"/>
        <v>, r, vr</v>
      </c>
      <c r="I135" s="2" t="str">
        <f>IF(Return!C135=0,REPLACE(INDEX(H:H,ROW()+Return!B135,),1,2,Return!E135&amp;"(")&amp;")","")</f>
        <v/>
      </c>
      <c r="M135" s="1"/>
    </row>
    <row r="136" spans="1:13" x14ac:dyDescent="0.55000000000000004">
      <c r="A136" s="1" t="s">
        <v>1523</v>
      </c>
      <c r="B136" t="s">
        <v>1243</v>
      </c>
      <c r="C136" s="2">
        <f>Return!C136</f>
        <v>3</v>
      </c>
      <c r="D136" s="2">
        <f>COUNTA(Argument!E136)</f>
        <v>1</v>
      </c>
      <c r="E136" s="2" t="str">
        <f>IF(C136,Return!D136,Return!E136)</f>
        <v>vr</v>
      </c>
      <c r="F136" s="2" t="str">
        <f t="shared" si="6"/>
        <v>vr</v>
      </c>
      <c r="G136" s="2" t="str">
        <f t="shared" si="8"/>
        <v>vr</v>
      </c>
      <c r="H136" s="2" t="str">
        <f t="shared" si="7"/>
        <v>, r, vr, vr</v>
      </c>
      <c r="I136" s="2" t="str">
        <f>IF(Return!C136=0,REPLACE(INDEX(H:H,ROW()+Return!B136,),1,2,Return!E136&amp;"(")&amp;")","")</f>
        <v/>
      </c>
      <c r="M136" s="1"/>
    </row>
    <row r="137" spans="1:13" x14ac:dyDescent="0.55000000000000004">
      <c r="A137" s="1" t="s">
        <v>1524</v>
      </c>
      <c r="C137" s="2">
        <f>Return!C137</f>
        <v>0</v>
      </c>
      <c r="D137" s="2">
        <f>COUNTA(Argument!E137)</f>
        <v>0</v>
      </c>
      <c r="E137" s="2" t="str">
        <f>IF(C137,Return!D137,Return!E137)</f>
        <v>v</v>
      </c>
      <c r="F137" s="2" t="str">
        <f t="shared" si="6"/>
        <v/>
      </c>
      <c r="G137" s="2" t="str">
        <f t="shared" si="8"/>
        <v/>
      </c>
      <c r="H137" s="2" t="str">
        <f t="shared" si="7"/>
        <v/>
      </c>
      <c r="I137" s="2" t="str">
        <f>IF(Return!C137=0,REPLACE(INDEX(H:H,ROW()+Return!B137,),1,2,Return!E137&amp;"(")&amp;")","")</f>
        <v>v(var, [var], …)</v>
      </c>
      <c r="M137" s="1"/>
    </row>
    <row r="138" spans="1:13" x14ac:dyDescent="0.55000000000000004">
      <c r="A138" s="1" t="s">
        <v>1524</v>
      </c>
      <c r="B138" t="s">
        <v>1219</v>
      </c>
      <c r="C138" s="2">
        <f>Return!C138</f>
        <v>1</v>
      </c>
      <c r="D138" s="2">
        <f>COUNTA(Argument!E138)</f>
        <v>1</v>
      </c>
      <c r="E138" s="2" t="str">
        <f>IF(C138,Return!D138,Return!E138)</f>
        <v>var</v>
      </c>
      <c r="F138" s="2" t="str">
        <f t="shared" si="6"/>
        <v>var</v>
      </c>
      <c r="G138" s="2" t="str">
        <f t="shared" si="8"/>
        <v>var</v>
      </c>
      <c r="H138" s="2" t="str">
        <f t="shared" si="7"/>
        <v>, var</v>
      </c>
      <c r="I138" s="2" t="str">
        <f>IF(Return!C138=0,REPLACE(INDEX(H:H,ROW()+Return!B138,),1,2,Return!E138&amp;"(")&amp;")","")</f>
        <v/>
      </c>
      <c r="M138" s="1"/>
    </row>
    <row r="139" spans="1:13" x14ac:dyDescent="0.55000000000000004">
      <c r="A139" s="1" t="s">
        <v>1524</v>
      </c>
      <c r="B139" t="s">
        <v>1220</v>
      </c>
      <c r="C139" s="2">
        <f>Return!C139</f>
        <v>2</v>
      </c>
      <c r="D139" s="2">
        <f>COUNTA(Argument!E139)</f>
        <v>1</v>
      </c>
      <c r="E139" s="2" t="str">
        <f>IF(C139,Return!D139,Return!E139)</f>
        <v>var</v>
      </c>
      <c r="F139" s="2" t="str">
        <f t="shared" si="6"/>
        <v>[var]</v>
      </c>
      <c r="G139" s="2" t="str">
        <f t="shared" si="8"/>
        <v>[var]</v>
      </c>
      <c r="H139" s="2" t="str">
        <f t="shared" si="7"/>
        <v>, var, [var]</v>
      </c>
      <c r="I139" s="2" t="str">
        <f>IF(Return!C139=0,REPLACE(INDEX(H:H,ROW()+Return!B139,),1,2,Return!E139&amp;"(")&amp;")","")</f>
        <v/>
      </c>
      <c r="M139" s="1"/>
    </row>
    <row r="140" spans="1:13" x14ac:dyDescent="0.55000000000000004">
      <c r="A140" s="1" t="s">
        <v>1524</v>
      </c>
      <c r="B140" t="s">
        <v>1214</v>
      </c>
      <c r="C140" s="2">
        <f>Return!C140</f>
        <v>3</v>
      </c>
      <c r="D140" s="2">
        <f>COUNTA(Argument!E140)</f>
        <v>1</v>
      </c>
      <c r="E140" s="2" t="str">
        <f>IF(C140,Return!D140,Return!E140)</f>
        <v>var</v>
      </c>
      <c r="F140" s="2" t="str">
        <f t="shared" si="6"/>
        <v>[var]</v>
      </c>
      <c r="G140" s="2" t="str">
        <f t="shared" si="8"/>
        <v>…</v>
      </c>
      <c r="H140" s="2" t="str">
        <f t="shared" si="7"/>
        <v>, var, [var], …</v>
      </c>
      <c r="I140" s="2" t="str">
        <f>IF(Return!C140=0,REPLACE(INDEX(H:H,ROW()+Return!B140,),1,2,Return!E140&amp;"(")&amp;")","")</f>
        <v/>
      </c>
      <c r="M140" s="1"/>
    </row>
    <row r="141" spans="1:13" x14ac:dyDescent="0.55000000000000004">
      <c r="A141" s="1" t="s">
        <v>1525</v>
      </c>
      <c r="C141" s="2">
        <f>Return!C141</f>
        <v>0</v>
      </c>
      <c r="D141" s="2">
        <f>COUNTA(Argument!E141)</f>
        <v>0</v>
      </c>
      <c r="E141" s="2" t="str">
        <f>IF(C141,Return!D141,Return!E141)</f>
        <v>v</v>
      </c>
      <c r="F141" s="2" t="str">
        <f t="shared" si="6"/>
        <v/>
      </c>
      <c r="G141" s="2" t="str">
        <f t="shared" si="8"/>
        <v/>
      </c>
      <c r="H141" s="2" t="str">
        <f t="shared" si="7"/>
        <v/>
      </c>
      <c r="I141" s="2" t="str">
        <f>IF(Return!C141=0,REPLACE(INDEX(H:H,ROW()+Return!B141,),1,2,Return!E141&amp;"(")&amp;")","")</f>
        <v>v(r, vr, vr)</v>
      </c>
      <c r="M141" s="1"/>
    </row>
    <row r="142" spans="1:13" x14ac:dyDescent="0.55000000000000004">
      <c r="A142" s="1" t="s">
        <v>1525</v>
      </c>
      <c r="B142" t="s">
        <v>1241</v>
      </c>
      <c r="C142" s="2">
        <f>Return!C142</f>
        <v>1</v>
      </c>
      <c r="D142" s="2">
        <f>COUNTA(Argument!E142)</f>
        <v>0</v>
      </c>
      <c r="E142" s="2" t="str">
        <f>IF(C142,Return!D142,Return!E142)</f>
        <v>r</v>
      </c>
      <c r="F142" s="2" t="str">
        <f t="shared" si="6"/>
        <v>r</v>
      </c>
      <c r="G142" s="2" t="str">
        <f t="shared" si="8"/>
        <v>r</v>
      </c>
      <c r="H142" s="2" t="str">
        <f t="shared" si="7"/>
        <v>, r</v>
      </c>
      <c r="I142" s="2" t="str">
        <f>IF(Return!C142=0,REPLACE(INDEX(H:H,ROW()+Return!B142,),1,2,Return!E142&amp;"(")&amp;")","")</f>
        <v/>
      </c>
      <c r="M142" s="1"/>
    </row>
    <row r="143" spans="1:13" x14ac:dyDescent="0.55000000000000004">
      <c r="A143" s="1" t="s">
        <v>1525</v>
      </c>
      <c r="B143" t="s">
        <v>1242</v>
      </c>
      <c r="C143" s="2">
        <f>Return!C143</f>
        <v>2</v>
      </c>
      <c r="D143" s="2">
        <f>COUNTA(Argument!E143)</f>
        <v>0</v>
      </c>
      <c r="E143" s="2" t="str">
        <f>IF(C143,Return!D143,Return!E143)</f>
        <v>vr</v>
      </c>
      <c r="F143" s="2" t="str">
        <f t="shared" si="6"/>
        <v>vr</v>
      </c>
      <c r="G143" s="2" t="str">
        <f t="shared" si="8"/>
        <v>vr</v>
      </c>
      <c r="H143" s="2" t="str">
        <f t="shared" si="7"/>
        <v>, r, vr</v>
      </c>
      <c r="I143" s="2" t="str">
        <f>IF(Return!C143=0,REPLACE(INDEX(H:H,ROW()+Return!B143,),1,2,Return!E143&amp;"(")&amp;")","")</f>
        <v/>
      </c>
      <c r="M143" s="1"/>
    </row>
    <row r="144" spans="1:13" x14ac:dyDescent="0.55000000000000004">
      <c r="A144" s="1" t="s">
        <v>1525</v>
      </c>
      <c r="B144" t="s">
        <v>1243</v>
      </c>
      <c r="C144" s="2">
        <f>Return!C144</f>
        <v>3</v>
      </c>
      <c r="D144" s="2">
        <f>COUNTA(Argument!E144)</f>
        <v>1</v>
      </c>
      <c r="E144" s="2" t="str">
        <f>IF(C144,Return!D144,Return!E144)</f>
        <v>vr</v>
      </c>
      <c r="F144" s="2" t="str">
        <f t="shared" si="6"/>
        <v>vr</v>
      </c>
      <c r="G144" s="2" t="str">
        <f t="shared" si="8"/>
        <v>vr</v>
      </c>
      <c r="H144" s="2" t="str">
        <f t="shared" si="7"/>
        <v>, r, vr, vr</v>
      </c>
      <c r="I144" s="2" t="str">
        <f>IF(Return!C144=0,REPLACE(INDEX(H:H,ROW()+Return!B144,),1,2,Return!E144&amp;"(")&amp;")","")</f>
        <v/>
      </c>
      <c r="M144" s="1"/>
    </row>
    <row r="145" spans="1:13" x14ac:dyDescent="0.55000000000000004">
      <c r="A145" s="1" t="s">
        <v>1198</v>
      </c>
      <c r="C145" s="2">
        <f>Return!C145</f>
        <v>0</v>
      </c>
      <c r="D145" s="2">
        <f>COUNTA(Argument!E145)</f>
        <v>0</v>
      </c>
      <c r="E145" s="2" t="str">
        <f>IF(C145,Return!D145,Return!E145)</f>
        <v>v</v>
      </c>
      <c r="F145" s="2" t="str">
        <f t="shared" si="6"/>
        <v/>
      </c>
      <c r="G145" s="2" t="str">
        <f t="shared" si="8"/>
        <v/>
      </c>
      <c r="H145" s="2" t="str">
        <f t="shared" si="7"/>
        <v/>
      </c>
      <c r="I145" s="2" t="str">
        <f>IF(Return!C145=0,REPLACE(INDEX(H:H,ROW()+Return!B145,),1,2,Return!E145&amp;"(")&amp;")","")</f>
        <v>v(v, v)</v>
      </c>
      <c r="M145" s="1"/>
    </row>
    <row r="146" spans="1:13" x14ac:dyDescent="0.55000000000000004">
      <c r="A146" s="1" t="s">
        <v>1198</v>
      </c>
      <c r="B146" t="s">
        <v>1218</v>
      </c>
      <c r="C146" s="2">
        <f>Return!C146</f>
        <v>1</v>
      </c>
      <c r="D146" s="2">
        <f>COUNTA(Argument!E146)</f>
        <v>0</v>
      </c>
      <c r="E146" s="2" t="str">
        <f>IF(C146,Return!D146,Return!E146)</f>
        <v>v</v>
      </c>
      <c r="F146" s="2" t="str">
        <f t="shared" si="6"/>
        <v>v</v>
      </c>
      <c r="G146" s="2" t="str">
        <f t="shared" si="8"/>
        <v>v</v>
      </c>
      <c r="H146" s="2" t="str">
        <f t="shared" si="7"/>
        <v>, v</v>
      </c>
      <c r="I146" s="2" t="str">
        <f>IF(Return!C146=0,REPLACE(INDEX(H:H,ROW()+Return!B146,),1,2,Return!E146&amp;"(")&amp;")","")</f>
        <v/>
      </c>
      <c r="M146" s="1"/>
    </row>
    <row r="147" spans="1:13" x14ac:dyDescent="0.55000000000000004">
      <c r="A147" s="1" t="s">
        <v>1198</v>
      </c>
      <c r="B147" t="s">
        <v>1244</v>
      </c>
      <c r="C147" s="2">
        <f>Return!C147</f>
        <v>2</v>
      </c>
      <c r="D147" s="2">
        <f>COUNTA(Argument!E147)</f>
        <v>1</v>
      </c>
      <c r="E147" s="2" t="str">
        <f>IF(C147,Return!D147,Return!E147)</f>
        <v>v</v>
      </c>
      <c r="F147" s="2" t="str">
        <f t="shared" si="6"/>
        <v>v</v>
      </c>
      <c r="G147" s="2" t="str">
        <f t="shared" si="8"/>
        <v>v</v>
      </c>
      <c r="H147" s="2" t="str">
        <f t="shared" si="7"/>
        <v>, v, v</v>
      </c>
      <c r="I147" s="2" t="str">
        <f>IF(Return!C147=0,REPLACE(INDEX(H:H,ROW()+Return!B147,),1,2,Return!E147&amp;"(")&amp;")","")</f>
        <v/>
      </c>
      <c r="M147" s="1"/>
    </row>
    <row r="148" spans="1:13" x14ac:dyDescent="0.55000000000000004">
      <c r="A148" s="1" t="s">
        <v>1526</v>
      </c>
      <c r="C148" s="2">
        <f>Return!C148</f>
        <v>0</v>
      </c>
      <c r="D148" s="2">
        <f>COUNTA(Argument!E148)</f>
        <v>0</v>
      </c>
      <c r="E148" s="2" t="str">
        <f>IF(C148,Return!D148,Return!E148)</f>
        <v>a</v>
      </c>
      <c r="F148" s="2" t="str">
        <f t="shared" si="6"/>
        <v/>
      </c>
      <c r="G148" s="2" t="str">
        <f t="shared" si="8"/>
        <v/>
      </c>
      <c r="H148" s="2" t="str">
        <f t="shared" si="7"/>
        <v/>
      </c>
      <c r="I148" s="2" t="str">
        <f>IF(Return!C148=0,REPLACE(INDEX(H:H,ROW()+Return!B148,),1,2,Return!E148&amp;"(")&amp;")","")</f>
        <v>a(ar, [ar], [vr], [vr])</v>
      </c>
      <c r="M148" s="1"/>
    </row>
    <row r="149" spans="1:13" x14ac:dyDescent="0.55000000000000004">
      <c r="A149" s="1" t="s">
        <v>1526</v>
      </c>
      <c r="B149" t="s">
        <v>1916</v>
      </c>
      <c r="C149" s="2">
        <f>Return!C149</f>
        <v>1</v>
      </c>
      <c r="D149" s="2">
        <f>COUNTA(Argument!E149)</f>
        <v>1</v>
      </c>
      <c r="E149" s="2" t="str">
        <f>IF(C149,Return!D149,Return!E149)</f>
        <v>ar</v>
      </c>
      <c r="F149" s="2" t="str">
        <f t="shared" si="6"/>
        <v>ar</v>
      </c>
      <c r="G149" s="2" t="str">
        <f t="shared" si="8"/>
        <v>ar</v>
      </c>
      <c r="H149" s="2" t="str">
        <f t="shared" si="7"/>
        <v>, ar</v>
      </c>
      <c r="I149" s="2" t="str">
        <f>IF(Return!C149=0,REPLACE(INDEX(H:H,ROW()+Return!B149,),1,2,Return!E149&amp;"(")&amp;")","")</f>
        <v/>
      </c>
      <c r="M149" s="1"/>
    </row>
    <row r="150" spans="1:13" x14ac:dyDescent="0.55000000000000004">
      <c r="A150" s="1" t="s">
        <v>1526</v>
      </c>
      <c r="B150" t="s">
        <v>1917</v>
      </c>
      <c r="C150" s="2">
        <f>Return!C150</f>
        <v>2</v>
      </c>
      <c r="D150" s="2">
        <f>COUNTA(Argument!E150)</f>
        <v>1</v>
      </c>
      <c r="E150" s="2" t="str">
        <f>IF(C150,Return!D150,Return!E150)</f>
        <v>ar</v>
      </c>
      <c r="F150" s="2" t="str">
        <f t="shared" si="6"/>
        <v>[ar]</v>
      </c>
      <c r="G150" s="2" t="str">
        <f t="shared" si="8"/>
        <v>[ar]</v>
      </c>
      <c r="H150" s="2" t="str">
        <f t="shared" si="7"/>
        <v>, ar, [ar]</v>
      </c>
      <c r="I150" s="2" t="str">
        <f>IF(Return!C150=0,REPLACE(INDEX(H:H,ROW()+Return!B150,),1,2,Return!E150&amp;"(")&amp;")","")</f>
        <v/>
      </c>
      <c r="M150" s="1"/>
    </row>
    <row r="151" spans="1:13" x14ac:dyDescent="0.55000000000000004">
      <c r="A151" s="1" t="s">
        <v>1526</v>
      </c>
      <c r="B151" t="s">
        <v>1247</v>
      </c>
      <c r="C151" s="2">
        <f>Return!C151</f>
        <v>3</v>
      </c>
      <c r="D151" s="2">
        <f>COUNTA(Argument!E151)</f>
        <v>1</v>
      </c>
      <c r="E151" s="2" t="str">
        <f>IF(C151,Return!D151,Return!E151)</f>
        <v>vr</v>
      </c>
      <c r="F151" s="2" t="str">
        <f t="shared" si="6"/>
        <v>[vr]</v>
      </c>
      <c r="G151" s="2" t="str">
        <f t="shared" si="8"/>
        <v>[vr]</v>
      </c>
      <c r="H151" s="2" t="str">
        <f t="shared" si="7"/>
        <v>, ar, [ar], [vr]</v>
      </c>
      <c r="I151" s="2" t="str">
        <f>IF(Return!C151=0,REPLACE(INDEX(H:H,ROW()+Return!B151,),1,2,Return!E151&amp;"(")&amp;")","")</f>
        <v/>
      </c>
      <c r="M151" s="1"/>
    </row>
    <row r="152" spans="1:13" x14ac:dyDescent="0.55000000000000004">
      <c r="A152" s="1" t="s">
        <v>1526</v>
      </c>
      <c r="B152" t="s">
        <v>1248</v>
      </c>
      <c r="C152" s="2">
        <f>Return!C152</f>
        <v>4</v>
      </c>
      <c r="D152" s="2">
        <f>COUNTA(Argument!E152)</f>
        <v>1</v>
      </c>
      <c r="E152" s="2" t="str">
        <f>IF(C152,Return!D152,Return!E152)</f>
        <v>vr</v>
      </c>
      <c r="F152" s="2" t="str">
        <f t="shared" si="6"/>
        <v>[vr]</v>
      </c>
      <c r="G152" s="2" t="str">
        <f t="shared" si="8"/>
        <v>[vr]</v>
      </c>
      <c r="H152" s="2" t="str">
        <f t="shared" si="7"/>
        <v>, ar, [ar], [vr], [vr]</v>
      </c>
      <c r="I152" s="2" t="str">
        <f>IF(Return!C152=0,REPLACE(INDEX(H:H,ROW()+Return!B152,),1,2,Return!E152&amp;"(")&amp;")","")</f>
        <v/>
      </c>
      <c r="M152" s="1"/>
    </row>
    <row r="153" spans="1:13" x14ac:dyDescent="0.55000000000000004">
      <c r="A153" s="1" t="s">
        <v>1527</v>
      </c>
      <c r="C153" s="2">
        <f>Return!C153</f>
        <v>0</v>
      </c>
      <c r="D153" s="2">
        <f>COUNTA(Argument!E153)</f>
        <v>0</v>
      </c>
      <c r="E153" s="2" t="str">
        <f>IF(C153,Return!D153,Return!E153)</f>
        <v>a</v>
      </c>
      <c r="F153" s="2" t="str">
        <f t="shared" si="6"/>
        <v/>
      </c>
      <c r="G153" s="2" t="str">
        <f t="shared" si="8"/>
        <v/>
      </c>
      <c r="H153" s="2" t="str">
        <f t="shared" si="7"/>
        <v/>
      </c>
      <c r="I153" s="2" t="str">
        <f>IF(Return!C153=0,REPLACE(INDEX(H:H,ROW()+Return!B153,),1,2,Return!E153&amp;"(")&amp;")","")</f>
        <v>a(ar, [ar], [ar], [vr])</v>
      </c>
      <c r="M153" s="1"/>
    </row>
    <row r="154" spans="1:13" x14ac:dyDescent="0.55000000000000004">
      <c r="A154" s="1" t="s">
        <v>1527</v>
      </c>
      <c r="B154" t="s">
        <v>1916</v>
      </c>
      <c r="C154" s="2">
        <f>Return!C154</f>
        <v>1</v>
      </c>
      <c r="D154" s="2">
        <f>COUNTA(Argument!E154)</f>
        <v>1</v>
      </c>
      <c r="E154" s="2" t="str">
        <f>IF(C154,Return!D154,Return!E154)</f>
        <v>ar</v>
      </c>
      <c r="F154" s="2" t="str">
        <f t="shared" si="6"/>
        <v>ar</v>
      </c>
      <c r="G154" s="2" t="str">
        <f t="shared" si="8"/>
        <v>ar</v>
      </c>
      <c r="H154" s="2" t="str">
        <f t="shared" si="7"/>
        <v>, ar</v>
      </c>
      <c r="I154" s="2" t="str">
        <f>IF(Return!C154=0,REPLACE(INDEX(H:H,ROW()+Return!B154,),1,2,Return!E154&amp;"(")&amp;")","")</f>
        <v/>
      </c>
      <c r="M154" s="1"/>
    </row>
    <row r="155" spans="1:13" x14ac:dyDescent="0.55000000000000004">
      <c r="A155" s="1" t="s">
        <v>1527</v>
      </c>
      <c r="B155" t="s">
        <v>1917</v>
      </c>
      <c r="C155" s="2">
        <f>Return!C155</f>
        <v>2</v>
      </c>
      <c r="D155" s="2">
        <f>COUNTA(Argument!E155)</f>
        <v>1</v>
      </c>
      <c r="E155" s="2" t="str">
        <f>IF(C155,Return!D155,Return!E155)</f>
        <v>ar</v>
      </c>
      <c r="F155" s="2" t="str">
        <f t="shared" si="6"/>
        <v>[ar]</v>
      </c>
      <c r="G155" s="2" t="str">
        <f t="shared" si="8"/>
        <v>[ar]</v>
      </c>
      <c r="H155" s="2" t="str">
        <f t="shared" si="7"/>
        <v>, ar, [ar]</v>
      </c>
      <c r="I155" s="2" t="str">
        <f>IF(Return!C155=0,REPLACE(INDEX(H:H,ROW()+Return!B155,),1,2,Return!E155&amp;"(")&amp;")","")</f>
        <v/>
      </c>
      <c r="M155" s="1"/>
    </row>
    <row r="156" spans="1:13" x14ac:dyDescent="0.55000000000000004">
      <c r="A156" s="1" t="s">
        <v>1527</v>
      </c>
      <c r="B156" t="s">
        <v>1918</v>
      </c>
      <c r="C156" s="2">
        <f>Return!C156</f>
        <v>3</v>
      </c>
      <c r="D156" s="2">
        <f>COUNTA(Argument!E156)</f>
        <v>1</v>
      </c>
      <c r="E156" s="2" t="str">
        <f>IF(C156,Return!D156,Return!E156)</f>
        <v>ar</v>
      </c>
      <c r="F156" s="2" t="str">
        <f t="shared" si="6"/>
        <v>[ar]</v>
      </c>
      <c r="G156" s="2" t="str">
        <f t="shared" si="8"/>
        <v>[ar]</v>
      </c>
      <c r="H156" s="2" t="str">
        <f t="shared" si="7"/>
        <v>, ar, [ar], [ar]</v>
      </c>
      <c r="I156" s="2" t="str">
        <f>IF(Return!C156=0,REPLACE(INDEX(H:H,ROW()+Return!B156,),1,2,Return!E156&amp;"(")&amp;")","")</f>
        <v/>
      </c>
      <c r="M156" s="1"/>
    </row>
    <row r="157" spans="1:13" x14ac:dyDescent="0.55000000000000004">
      <c r="A157" s="1" t="s">
        <v>1527</v>
      </c>
      <c r="B157" t="s">
        <v>1247</v>
      </c>
      <c r="C157" s="2">
        <f>Return!C157</f>
        <v>4</v>
      </c>
      <c r="D157" s="2">
        <f>COUNTA(Argument!E157)</f>
        <v>1</v>
      </c>
      <c r="E157" s="2" t="str">
        <f>IF(C157,Return!D157,Return!E157)</f>
        <v>vr</v>
      </c>
      <c r="F157" s="2" t="str">
        <f t="shared" si="6"/>
        <v>[vr]</v>
      </c>
      <c r="G157" s="2" t="str">
        <f t="shared" si="8"/>
        <v>[vr]</v>
      </c>
      <c r="H157" s="2" t="str">
        <f t="shared" si="7"/>
        <v>, ar, [ar], [ar], [vr]</v>
      </c>
      <c r="I157" s="2" t="str">
        <f>IF(Return!C157=0,REPLACE(INDEX(H:H,ROW()+Return!B157,),1,2,Return!E157&amp;"(")&amp;")","")</f>
        <v/>
      </c>
      <c r="M157" s="1"/>
    </row>
    <row r="158" spans="1:13" x14ac:dyDescent="0.55000000000000004">
      <c r="A158" s="1" t="s">
        <v>1528</v>
      </c>
      <c r="C158" s="2">
        <f>Return!C158</f>
        <v>0</v>
      </c>
      <c r="D158" s="2">
        <f>COUNTA(Argument!E158)</f>
        <v>0</v>
      </c>
      <c r="E158" s="2" t="str">
        <f>IF(C158,Return!D158,Return!E158)</f>
        <v>a</v>
      </c>
      <c r="F158" s="2" t="str">
        <f t="shared" si="6"/>
        <v/>
      </c>
      <c r="G158" s="2" t="str">
        <f t="shared" si="8"/>
        <v/>
      </c>
      <c r="H158" s="2" t="str">
        <f t="shared" si="7"/>
        <v/>
      </c>
      <c r="I158" s="2" t="str">
        <f>IF(Return!C158=0,REPLACE(INDEX(H:H,ROW()+Return!B158,),1,2,Return!E158&amp;"(")&amp;")","")</f>
        <v>a(ar, [ar], [vr], [vr])</v>
      </c>
      <c r="M158" s="1"/>
    </row>
    <row r="159" spans="1:13" x14ac:dyDescent="0.55000000000000004">
      <c r="A159" s="1" t="s">
        <v>1528</v>
      </c>
      <c r="B159" t="s">
        <v>1916</v>
      </c>
      <c r="C159" s="2">
        <f>Return!C159</f>
        <v>1</v>
      </c>
      <c r="D159" s="2">
        <f>COUNTA(Argument!E159)</f>
        <v>1</v>
      </c>
      <c r="E159" s="2" t="str">
        <f>IF(C159,Return!D159,Return!E159)</f>
        <v>ar</v>
      </c>
      <c r="F159" s="2" t="str">
        <f t="shared" si="6"/>
        <v>ar</v>
      </c>
      <c r="G159" s="2" t="str">
        <f t="shared" si="8"/>
        <v>ar</v>
      </c>
      <c r="H159" s="2" t="str">
        <f t="shared" si="7"/>
        <v>, ar</v>
      </c>
      <c r="I159" s="2" t="str">
        <f>IF(Return!C159=0,REPLACE(INDEX(H:H,ROW()+Return!B159,),1,2,Return!E159&amp;"(")&amp;")","")</f>
        <v/>
      </c>
      <c r="M159" s="1"/>
    </row>
    <row r="160" spans="1:13" x14ac:dyDescent="0.55000000000000004">
      <c r="A160" s="1" t="s">
        <v>1528</v>
      </c>
      <c r="B160" t="s">
        <v>1917</v>
      </c>
      <c r="C160" s="2">
        <f>Return!C160</f>
        <v>2</v>
      </c>
      <c r="D160" s="2">
        <f>COUNTA(Argument!E160)</f>
        <v>1</v>
      </c>
      <c r="E160" s="2" t="str">
        <f>IF(C160,Return!D160,Return!E160)</f>
        <v>ar</v>
      </c>
      <c r="F160" s="2" t="str">
        <f t="shared" si="6"/>
        <v>[ar]</v>
      </c>
      <c r="G160" s="2" t="str">
        <f t="shared" si="8"/>
        <v>[ar]</v>
      </c>
      <c r="H160" s="2" t="str">
        <f t="shared" si="7"/>
        <v>, ar, [ar]</v>
      </c>
      <c r="I160" s="2" t="str">
        <f>IF(Return!C160=0,REPLACE(INDEX(H:H,ROW()+Return!B160,),1,2,Return!E160&amp;"(")&amp;")","")</f>
        <v/>
      </c>
      <c r="M160" s="1"/>
    </row>
    <row r="161" spans="1:13" x14ac:dyDescent="0.55000000000000004">
      <c r="A161" s="1" t="s">
        <v>1528</v>
      </c>
      <c r="B161" t="s">
        <v>1247</v>
      </c>
      <c r="C161" s="2">
        <f>Return!C161</f>
        <v>3</v>
      </c>
      <c r="D161" s="2">
        <f>COUNTA(Argument!E161)</f>
        <v>1</v>
      </c>
      <c r="E161" s="2" t="str">
        <f>IF(C161,Return!D161,Return!E161)</f>
        <v>vr</v>
      </c>
      <c r="F161" s="2" t="str">
        <f t="shared" si="6"/>
        <v>[vr]</v>
      </c>
      <c r="G161" s="2" t="str">
        <f t="shared" si="8"/>
        <v>[vr]</v>
      </c>
      <c r="H161" s="2" t="str">
        <f t="shared" si="7"/>
        <v>, ar, [ar], [vr]</v>
      </c>
      <c r="I161" s="2" t="str">
        <f>IF(Return!C161=0,REPLACE(INDEX(H:H,ROW()+Return!B161,),1,2,Return!E161&amp;"(")&amp;")","")</f>
        <v/>
      </c>
      <c r="M161" s="1"/>
    </row>
    <row r="162" spans="1:13" x14ac:dyDescent="0.55000000000000004">
      <c r="A162" s="1" t="s">
        <v>1528</v>
      </c>
      <c r="B162" t="s">
        <v>1248</v>
      </c>
      <c r="C162" s="2">
        <f>Return!C162</f>
        <v>4</v>
      </c>
      <c r="D162" s="2">
        <f>COUNTA(Argument!E162)</f>
        <v>1</v>
      </c>
      <c r="E162" s="2" t="str">
        <f>IF(C162,Return!D162,Return!E162)</f>
        <v>vr</v>
      </c>
      <c r="F162" s="2" t="str">
        <f t="shared" si="6"/>
        <v>[vr]</v>
      </c>
      <c r="G162" s="2" t="str">
        <f t="shared" si="8"/>
        <v>[vr]</v>
      </c>
      <c r="H162" s="2" t="str">
        <f t="shared" si="7"/>
        <v>, ar, [ar], [vr], [vr]</v>
      </c>
      <c r="I162" s="2" t="str">
        <f>IF(Return!C162=0,REPLACE(INDEX(H:H,ROW()+Return!B162,),1,2,Return!E162&amp;"(")&amp;")","")</f>
        <v/>
      </c>
      <c r="M162" s="1"/>
    </row>
    <row r="163" spans="1:13" x14ac:dyDescent="0.55000000000000004">
      <c r="A163" s="1" t="s">
        <v>1529</v>
      </c>
      <c r="C163" s="2">
        <f>Return!C163</f>
        <v>0</v>
      </c>
      <c r="D163" s="2">
        <f>COUNTA(Argument!E163)</f>
        <v>0</v>
      </c>
      <c r="E163" s="2" t="str">
        <f>IF(C163,Return!D163,Return!E163)</f>
        <v>a</v>
      </c>
      <c r="F163" s="2" t="str">
        <f t="shared" si="6"/>
        <v/>
      </c>
      <c r="G163" s="2" t="str">
        <f t="shared" si="8"/>
        <v/>
      </c>
      <c r="H163" s="2" t="str">
        <f t="shared" si="7"/>
        <v/>
      </c>
      <c r="I163" s="2" t="str">
        <f>IF(Return!C163=0,REPLACE(INDEX(H:H,ROW()+Return!B163,),1,2,Return!E163&amp;"(")&amp;")","")</f>
        <v>a(ar, [ar], [ar], [vr])</v>
      </c>
      <c r="M163" s="1"/>
    </row>
    <row r="164" spans="1:13" x14ac:dyDescent="0.55000000000000004">
      <c r="A164" s="1" t="s">
        <v>1529</v>
      </c>
      <c r="B164" t="s">
        <v>1916</v>
      </c>
      <c r="C164" s="2">
        <f>Return!C164</f>
        <v>1</v>
      </c>
      <c r="D164" s="2">
        <f>COUNTA(Argument!E164)</f>
        <v>1</v>
      </c>
      <c r="E164" s="2" t="str">
        <f>IF(C164,Return!D164,Return!E164)</f>
        <v>ar</v>
      </c>
      <c r="F164" s="2" t="str">
        <f t="shared" si="6"/>
        <v>ar</v>
      </c>
      <c r="G164" s="2" t="str">
        <f t="shared" si="8"/>
        <v>ar</v>
      </c>
      <c r="H164" s="2" t="str">
        <f t="shared" si="7"/>
        <v>, ar</v>
      </c>
      <c r="I164" s="2" t="str">
        <f>IF(Return!C164=0,REPLACE(INDEX(H:H,ROW()+Return!B164,),1,2,Return!E164&amp;"(")&amp;")","")</f>
        <v/>
      </c>
      <c r="M164" s="1"/>
    </row>
    <row r="165" spans="1:13" x14ac:dyDescent="0.55000000000000004">
      <c r="A165" s="1" t="s">
        <v>1529</v>
      </c>
      <c r="B165" t="s">
        <v>1917</v>
      </c>
      <c r="C165" s="2">
        <f>Return!C165</f>
        <v>2</v>
      </c>
      <c r="D165" s="2">
        <f>COUNTA(Argument!E165)</f>
        <v>1</v>
      </c>
      <c r="E165" s="2" t="str">
        <f>IF(C165,Return!D165,Return!E165)</f>
        <v>ar</v>
      </c>
      <c r="F165" s="2" t="str">
        <f t="shared" si="6"/>
        <v>[ar]</v>
      </c>
      <c r="G165" s="2" t="str">
        <f t="shared" si="8"/>
        <v>[ar]</v>
      </c>
      <c r="H165" s="2" t="str">
        <f t="shared" si="7"/>
        <v>, ar, [ar]</v>
      </c>
      <c r="I165" s="2" t="str">
        <f>IF(Return!C165=0,REPLACE(INDEX(H:H,ROW()+Return!B165,),1,2,Return!E165&amp;"(")&amp;")","")</f>
        <v/>
      </c>
      <c r="M165" s="1"/>
    </row>
    <row r="166" spans="1:13" x14ac:dyDescent="0.55000000000000004">
      <c r="A166" s="1" t="s">
        <v>1529</v>
      </c>
      <c r="B166" t="s">
        <v>1918</v>
      </c>
      <c r="C166" s="2">
        <f>Return!C166</f>
        <v>3</v>
      </c>
      <c r="D166" s="2">
        <f>COUNTA(Argument!E166)</f>
        <v>1</v>
      </c>
      <c r="E166" s="2" t="str">
        <f>IF(C166,Return!D166,Return!E166)</f>
        <v>ar</v>
      </c>
      <c r="F166" s="2" t="str">
        <f t="shared" si="6"/>
        <v>[ar]</v>
      </c>
      <c r="G166" s="2" t="str">
        <f t="shared" si="8"/>
        <v>[ar]</v>
      </c>
      <c r="H166" s="2" t="str">
        <f t="shared" si="7"/>
        <v>, ar, [ar], [ar]</v>
      </c>
      <c r="I166" s="2" t="str">
        <f>IF(Return!C166=0,REPLACE(INDEX(H:H,ROW()+Return!B166,),1,2,Return!E166&amp;"(")&amp;")","")</f>
        <v/>
      </c>
      <c r="M166" s="1"/>
    </row>
    <row r="167" spans="1:13" x14ac:dyDescent="0.55000000000000004">
      <c r="A167" s="1" t="s">
        <v>1529</v>
      </c>
      <c r="B167" t="s">
        <v>1247</v>
      </c>
      <c r="C167" s="2">
        <f>Return!C167</f>
        <v>4</v>
      </c>
      <c r="D167" s="2">
        <f>COUNTA(Argument!E167)</f>
        <v>1</v>
      </c>
      <c r="E167" s="2" t="str">
        <f>IF(C167,Return!D167,Return!E167)</f>
        <v>vr</v>
      </c>
      <c r="F167" s="2" t="str">
        <f t="shared" si="6"/>
        <v>[vr]</v>
      </c>
      <c r="G167" s="2" t="str">
        <f t="shared" si="8"/>
        <v>[vr]</v>
      </c>
      <c r="H167" s="2" t="str">
        <f t="shared" si="7"/>
        <v>, ar, [ar], [ar], [vr]</v>
      </c>
      <c r="I167" s="2" t="str">
        <f>IF(Return!C167=0,REPLACE(INDEX(H:H,ROW()+Return!B167,),1,2,Return!E167&amp;"(")&amp;")","")</f>
        <v/>
      </c>
      <c r="M167" s="1"/>
    </row>
    <row r="168" spans="1:13" x14ac:dyDescent="0.55000000000000004">
      <c r="A168" s="1" t="s">
        <v>1530</v>
      </c>
      <c r="C168" s="2">
        <f>Return!C168</f>
        <v>0</v>
      </c>
      <c r="D168" s="2">
        <f>COUNTA(Argument!E168)</f>
        <v>0</v>
      </c>
      <c r="E168" s="2" t="str">
        <f>IF(C168,Return!D168,Return!E168)</f>
        <v>v</v>
      </c>
      <c r="F168" s="2" t="str">
        <f t="shared" si="6"/>
        <v/>
      </c>
      <c r="G168" s="2" t="str">
        <f t="shared" si="8"/>
        <v/>
      </c>
      <c r="H168" s="2" t="str">
        <f t="shared" si="7"/>
        <v/>
      </c>
      <c r="I168" s="2" t="str">
        <f>IF(Return!C168=0,REPLACE(INDEX(H:H,ROW()+Return!B168,),1,2,Return!E168&amp;"(")&amp;")","")</f>
        <v>v(r)</v>
      </c>
      <c r="M168" s="1"/>
    </row>
    <row r="169" spans="1:13" x14ac:dyDescent="0.55000000000000004">
      <c r="A169" s="1" t="s">
        <v>1530</v>
      </c>
      <c r="B169" t="s">
        <v>1221</v>
      </c>
      <c r="C169" s="2">
        <f>Return!C169</f>
        <v>1</v>
      </c>
      <c r="D169" s="2">
        <f>COUNTA(Argument!E169)</f>
        <v>1</v>
      </c>
      <c r="E169" s="2" t="str">
        <f>IF(C169,Return!D169,Return!E169)</f>
        <v>r</v>
      </c>
      <c r="F169" s="2" t="str">
        <f t="shared" si="6"/>
        <v>r</v>
      </c>
      <c r="G169" s="2" t="str">
        <f t="shared" si="8"/>
        <v>r</v>
      </c>
      <c r="H169" s="2" t="str">
        <f t="shared" si="7"/>
        <v>, r</v>
      </c>
      <c r="I169" s="2" t="str">
        <f>IF(Return!C169=0,REPLACE(INDEX(H:H,ROW()+Return!B169,),1,2,Return!E169&amp;"(")&amp;")","")</f>
        <v/>
      </c>
      <c r="M169" s="1"/>
    </row>
    <row r="170" spans="1:13" x14ac:dyDescent="0.55000000000000004">
      <c r="A170" s="1" t="s">
        <v>1531</v>
      </c>
      <c r="C170" s="2">
        <f>Return!C170</f>
        <v>0</v>
      </c>
      <c r="D170" s="2">
        <f>COUNTA(Argument!E170)</f>
        <v>1</v>
      </c>
      <c r="E170" s="2" t="str">
        <f>IF(C170,Return!D170,Return!E170)</f>
        <v>v</v>
      </c>
      <c r="F170" s="2" t="str">
        <f t="shared" si="6"/>
        <v/>
      </c>
      <c r="G170" s="2" t="str">
        <f t="shared" si="8"/>
        <v/>
      </c>
      <c r="H170" s="2" t="str">
        <f t="shared" si="7"/>
        <v/>
      </c>
      <c r="I170" s="2" t="str">
        <f>IF(Return!C170=0,REPLACE(INDEX(H:H,ROW()+Return!B170,),1,2,Return!E170&amp;"(")&amp;")","")</f>
        <v>v([v])</v>
      </c>
      <c r="M170" s="1"/>
    </row>
    <row r="171" spans="1:13" x14ac:dyDescent="0.55000000000000004">
      <c r="A171" s="1" t="s">
        <v>1531</v>
      </c>
      <c r="B171" t="s">
        <v>2001</v>
      </c>
      <c r="C171" s="2">
        <f>Return!C171</f>
        <v>1</v>
      </c>
      <c r="D171" s="2">
        <f>COUNTA(Argument!E171)</f>
        <v>1</v>
      </c>
      <c r="E171" s="2" t="str">
        <f>IF(C171,Return!D171,Return!E171)</f>
        <v>v</v>
      </c>
      <c r="F171" s="2" t="str">
        <f t="shared" si="6"/>
        <v>[v]</v>
      </c>
      <c r="G171" s="2" t="str">
        <f t="shared" si="8"/>
        <v>[v]</v>
      </c>
      <c r="H171" s="2" t="str">
        <f t="shared" si="7"/>
        <v>, [v]</v>
      </c>
      <c r="I171" s="2" t="str">
        <f>IF(Return!C171=0,REPLACE(INDEX(H:H,ROW()+Return!B171,),1,2,Return!E171&amp;"(")&amp;")","")</f>
        <v/>
      </c>
      <c r="M171" s="1"/>
    </row>
    <row r="172" spans="1:13" x14ac:dyDescent="0.55000000000000004">
      <c r="A172" s="1" t="s">
        <v>2045</v>
      </c>
      <c r="C172" s="2">
        <f>Return!C172</f>
        <v>0</v>
      </c>
      <c r="D172" s="2">
        <f>COUNTA(Argument!E172)</f>
        <v>1</v>
      </c>
      <c r="E172" s="2" t="str">
        <f>IF(C172,Return!D172,Return!E172)</f>
        <v>v</v>
      </c>
      <c r="F172" s="2" t="str">
        <f t="shared" si="6"/>
        <v/>
      </c>
      <c r="G172" s="2" t="str">
        <f t="shared" si="8"/>
        <v/>
      </c>
      <c r="H172" s="2" t="str">
        <f t="shared" si="7"/>
        <v/>
      </c>
      <c r="I172" s="2" t="str">
        <f>IF(Return!C172=0,REPLACE(INDEX(H:H,ROW()+Return!B172,),1,2,Return!E172&amp;"(")&amp;")","")</f>
        <v>v([var])</v>
      </c>
      <c r="M172" s="1"/>
    </row>
    <row r="173" spans="1:13" x14ac:dyDescent="0.55000000000000004">
      <c r="A173" s="1" t="s">
        <v>2045</v>
      </c>
      <c r="B173" t="s">
        <v>1218</v>
      </c>
      <c r="C173" s="2">
        <f>Return!C173</f>
        <v>1</v>
      </c>
      <c r="D173" s="2">
        <f>COUNTA(Argument!E173)</f>
        <v>1</v>
      </c>
      <c r="E173" s="2" t="str">
        <f>IF(C173,Return!D173,Return!E173)</f>
        <v>var</v>
      </c>
      <c r="F173" s="2" t="str">
        <f t="shared" si="6"/>
        <v>[var]</v>
      </c>
      <c r="G173" s="2" t="str">
        <f t="shared" si="8"/>
        <v>[var]</v>
      </c>
      <c r="H173" s="2" t="str">
        <f t="shared" si="7"/>
        <v>, [var]</v>
      </c>
      <c r="I173" s="2" t="str">
        <f>IF(Return!C173=0,REPLACE(INDEX(H:H,ROW()+Return!B173,),1,2,Return!E173&amp;"(")&amp;")","")</f>
        <v/>
      </c>
      <c r="M173" s="1"/>
    </row>
    <row r="174" spans="1:13" x14ac:dyDescent="0.55000000000000004">
      <c r="A174" s="1" t="s">
        <v>1532</v>
      </c>
      <c r="C174" s="2">
        <f>Return!C174</f>
        <v>0</v>
      </c>
      <c r="D174" s="2">
        <f>COUNTA(Argument!E174)</f>
        <v>0</v>
      </c>
      <c r="E174" s="2" t="str">
        <f>IF(C174,Return!D174,Return!E174)</f>
        <v>v</v>
      </c>
      <c r="F174" s="2" t="str">
        <f t="shared" si="6"/>
        <v/>
      </c>
      <c r="G174" s="2" t="str">
        <f t="shared" si="8"/>
        <v/>
      </c>
      <c r="H174" s="2" t="str">
        <f t="shared" si="7"/>
        <v/>
      </c>
      <c r="I174" s="2" t="str">
        <f>IF(Return!C174=0,REPLACE(INDEX(H:H,ROW()+Return!B174,),1,2,Return!E174&amp;"(")&amp;")","")</f>
        <v>v(v, v, v, [v], [v])</v>
      </c>
      <c r="M174" s="1"/>
    </row>
    <row r="175" spans="1:13" x14ac:dyDescent="0.55000000000000004">
      <c r="A175" s="1" t="s">
        <v>1532</v>
      </c>
      <c r="B175" t="s">
        <v>1222</v>
      </c>
      <c r="C175" s="2">
        <f>Return!C175</f>
        <v>1</v>
      </c>
      <c r="D175" s="2">
        <f>COUNTA(Argument!E175)</f>
        <v>0</v>
      </c>
      <c r="E175" s="2" t="str">
        <f>IF(C175,Return!D175,Return!E175)</f>
        <v>v</v>
      </c>
      <c r="F175" s="2" t="str">
        <f t="shared" si="6"/>
        <v>v</v>
      </c>
      <c r="G175" s="2" t="str">
        <f t="shared" si="8"/>
        <v>v</v>
      </c>
      <c r="H175" s="2" t="str">
        <f t="shared" si="7"/>
        <v>, v</v>
      </c>
      <c r="I175" s="2" t="str">
        <f>IF(Return!C175=0,REPLACE(INDEX(H:H,ROW()+Return!B175,),1,2,Return!E175&amp;"(")&amp;")","")</f>
        <v/>
      </c>
      <c r="M175" s="1"/>
    </row>
    <row r="176" spans="1:13" x14ac:dyDescent="0.55000000000000004">
      <c r="A176" s="1" t="s">
        <v>1532</v>
      </c>
      <c r="B176" t="s">
        <v>1249</v>
      </c>
      <c r="C176" s="2">
        <f>Return!C176</f>
        <v>2</v>
      </c>
      <c r="D176" s="2">
        <f>COUNTA(Argument!E176)</f>
        <v>0</v>
      </c>
      <c r="E176" s="2" t="str">
        <f>IF(C176,Return!D176,Return!E176)</f>
        <v>v</v>
      </c>
      <c r="F176" s="2" t="str">
        <f t="shared" si="6"/>
        <v>v</v>
      </c>
      <c r="G176" s="2" t="str">
        <f t="shared" si="8"/>
        <v>v</v>
      </c>
      <c r="H176" s="2" t="str">
        <f t="shared" si="7"/>
        <v>, v, v</v>
      </c>
      <c r="I176" s="2" t="str">
        <f>IF(Return!C176=0,REPLACE(INDEX(H:H,ROW()+Return!B176,),1,2,Return!E176&amp;"(")&amp;")","")</f>
        <v/>
      </c>
      <c r="M176" s="1"/>
    </row>
    <row r="177" spans="1:13" x14ac:dyDescent="0.55000000000000004">
      <c r="A177" s="1" t="s">
        <v>1532</v>
      </c>
      <c r="B177" t="s">
        <v>1250</v>
      </c>
      <c r="C177" s="2">
        <f>Return!C177</f>
        <v>3</v>
      </c>
      <c r="D177" s="2">
        <f>COUNTA(Argument!E177)</f>
        <v>1</v>
      </c>
      <c r="E177" s="2" t="str">
        <f>IF(C177,Return!D177,Return!E177)</f>
        <v>v</v>
      </c>
      <c r="F177" s="2" t="str">
        <f t="shared" si="6"/>
        <v>v</v>
      </c>
      <c r="G177" s="2" t="str">
        <f t="shared" si="8"/>
        <v>v</v>
      </c>
      <c r="H177" s="2" t="str">
        <f t="shared" si="7"/>
        <v>, v, v, v</v>
      </c>
      <c r="I177" s="2" t="str">
        <f>IF(Return!C177=0,REPLACE(INDEX(H:H,ROW()+Return!B177,),1,2,Return!E177&amp;"(")&amp;")","")</f>
        <v/>
      </c>
      <c r="M177" s="1"/>
    </row>
    <row r="178" spans="1:13" x14ac:dyDescent="0.55000000000000004">
      <c r="A178" s="1" t="s">
        <v>1532</v>
      </c>
      <c r="B178" t="s">
        <v>1251</v>
      </c>
      <c r="C178" s="2">
        <f>Return!C178</f>
        <v>4</v>
      </c>
      <c r="D178" s="2">
        <f>COUNTA(Argument!E178)</f>
        <v>1</v>
      </c>
      <c r="E178" s="2" t="str">
        <f>IF(C178,Return!D178,Return!E178)</f>
        <v>v</v>
      </c>
      <c r="F178" s="2" t="str">
        <f t="shared" si="6"/>
        <v>[v]</v>
      </c>
      <c r="G178" s="2" t="str">
        <f t="shared" si="8"/>
        <v>[v]</v>
      </c>
      <c r="H178" s="2" t="str">
        <f t="shared" si="7"/>
        <v>, v, v, v, [v]</v>
      </c>
      <c r="I178" s="2" t="str">
        <f>IF(Return!C178=0,REPLACE(INDEX(H:H,ROW()+Return!B178,),1,2,Return!E178&amp;"(")&amp;")","")</f>
        <v/>
      </c>
      <c r="M178" s="1"/>
    </row>
    <row r="179" spans="1:13" x14ac:dyDescent="0.55000000000000004">
      <c r="A179" s="1" t="s">
        <v>1532</v>
      </c>
      <c r="B179" t="s">
        <v>1252</v>
      </c>
      <c r="C179" s="2">
        <f>Return!C179</f>
        <v>5</v>
      </c>
      <c r="D179" s="2">
        <f>COUNTA(Argument!E179)</f>
        <v>1</v>
      </c>
      <c r="E179" s="2" t="str">
        <f>IF(C179,Return!D179,Return!E179)</f>
        <v>v</v>
      </c>
      <c r="F179" s="2" t="str">
        <f t="shared" si="6"/>
        <v>[v]</v>
      </c>
      <c r="G179" s="2" t="str">
        <f t="shared" si="8"/>
        <v>[v]</v>
      </c>
      <c r="H179" s="2" t="str">
        <f t="shared" si="7"/>
        <v>, v, v, v, [v], [v]</v>
      </c>
      <c r="I179" s="2" t="str">
        <f>IF(Return!C179=0,REPLACE(INDEX(H:H,ROW()+Return!B179,),1,2,Return!E179&amp;"(")&amp;")","")</f>
        <v/>
      </c>
      <c r="M179" s="1"/>
    </row>
    <row r="180" spans="1:13" x14ac:dyDescent="0.55000000000000004">
      <c r="A180" s="1" t="s">
        <v>1533</v>
      </c>
      <c r="C180" s="2">
        <f>Return!C180</f>
        <v>0</v>
      </c>
      <c r="D180" s="2">
        <f>COUNTA(Argument!E180)</f>
        <v>0</v>
      </c>
      <c r="E180" s="2" t="str">
        <f>IF(C180,Return!D180,Return!E180)</f>
        <v>v</v>
      </c>
      <c r="F180" s="2" t="str">
        <f t="shared" si="6"/>
        <v/>
      </c>
      <c r="G180" s="2" t="str">
        <f t="shared" si="8"/>
        <v/>
      </c>
      <c r="H180" s="2" t="str">
        <f t="shared" si="7"/>
        <v/>
      </c>
      <c r="I180" s="2" t="str">
        <f>IF(Return!C180=0,REPLACE(INDEX(H:H,ROW()+Return!B180,),1,2,Return!E180&amp;"(")&amp;")","")</f>
        <v>v(v, v, v, [v], [v])</v>
      </c>
      <c r="M180" s="1"/>
    </row>
    <row r="181" spans="1:13" x14ac:dyDescent="0.55000000000000004">
      <c r="A181" s="1" t="s">
        <v>1533</v>
      </c>
      <c r="B181" t="s">
        <v>1222</v>
      </c>
      <c r="C181" s="2">
        <f>Return!C181</f>
        <v>1</v>
      </c>
      <c r="D181" s="2">
        <f>COUNTA(Argument!E181)</f>
        <v>0</v>
      </c>
      <c r="E181" s="2" t="str">
        <f>IF(C181,Return!D181,Return!E181)</f>
        <v>v</v>
      </c>
      <c r="F181" s="2" t="str">
        <f t="shared" si="6"/>
        <v>v</v>
      </c>
      <c r="G181" s="2" t="str">
        <f t="shared" si="8"/>
        <v>v</v>
      </c>
      <c r="H181" s="2" t="str">
        <f t="shared" si="7"/>
        <v>, v</v>
      </c>
      <c r="I181" s="2" t="str">
        <f>IF(Return!C181=0,REPLACE(INDEX(H:H,ROW()+Return!B181,),1,2,Return!E181&amp;"(")&amp;")","")</f>
        <v/>
      </c>
      <c r="M181" s="1"/>
    </row>
    <row r="182" spans="1:13" x14ac:dyDescent="0.55000000000000004">
      <c r="A182" s="1" t="s">
        <v>1533</v>
      </c>
      <c r="B182" t="s">
        <v>1249</v>
      </c>
      <c r="C182" s="2">
        <f>Return!C182</f>
        <v>2</v>
      </c>
      <c r="D182" s="2">
        <f>COUNTA(Argument!E182)</f>
        <v>0</v>
      </c>
      <c r="E182" s="2" t="str">
        <f>IF(C182,Return!D182,Return!E182)</f>
        <v>v</v>
      </c>
      <c r="F182" s="2" t="str">
        <f t="shared" si="6"/>
        <v>v</v>
      </c>
      <c r="G182" s="2" t="str">
        <f t="shared" si="8"/>
        <v>v</v>
      </c>
      <c r="H182" s="2" t="str">
        <f t="shared" si="7"/>
        <v>, v, v</v>
      </c>
      <c r="I182" s="2" t="str">
        <f>IF(Return!C182=0,REPLACE(INDEX(H:H,ROW()+Return!B182,),1,2,Return!E182&amp;"(")&amp;")","")</f>
        <v/>
      </c>
      <c r="M182" s="1"/>
    </row>
    <row r="183" spans="1:13" x14ac:dyDescent="0.55000000000000004">
      <c r="A183" s="1" t="s">
        <v>1533</v>
      </c>
      <c r="B183" t="s">
        <v>1250</v>
      </c>
      <c r="C183" s="2">
        <f>Return!C183</f>
        <v>3</v>
      </c>
      <c r="D183" s="2">
        <f>COUNTA(Argument!E183)</f>
        <v>1</v>
      </c>
      <c r="E183" s="2" t="str">
        <f>IF(C183,Return!D183,Return!E183)</f>
        <v>v</v>
      </c>
      <c r="F183" s="2" t="str">
        <f t="shared" si="6"/>
        <v>v</v>
      </c>
      <c r="G183" s="2" t="str">
        <f t="shared" si="8"/>
        <v>v</v>
      </c>
      <c r="H183" s="2" t="str">
        <f t="shared" si="7"/>
        <v>, v, v, v</v>
      </c>
      <c r="I183" s="2" t="str">
        <f>IF(Return!C183=0,REPLACE(INDEX(H:H,ROW()+Return!B183,),1,2,Return!E183&amp;"(")&amp;")","")</f>
        <v/>
      </c>
      <c r="M183" s="1"/>
    </row>
    <row r="184" spans="1:13" x14ac:dyDescent="0.55000000000000004">
      <c r="A184" s="1" t="s">
        <v>1533</v>
      </c>
      <c r="B184" t="s">
        <v>1253</v>
      </c>
      <c r="C184" s="2">
        <f>Return!C184</f>
        <v>4</v>
      </c>
      <c r="D184" s="2">
        <f>COUNTA(Argument!E184)</f>
        <v>1</v>
      </c>
      <c r="E184" s="2" t="str">
        <f>IF(C184,Return!D184,Return!E184)</f>
        <v>v</v>
      </c>
      <c r="F184" s="2" t="str">
        <f t="shared" si="6"/>
        <v>[v]</v>
      </c>
      <c r="G184" s="2" t="str">
        <f t="shared" si="8"/>
        <v>[v]</v>
      </c>
      <c r="H184" s="2" t="str">
        <f t="shared" si="7"/>
        <v>, v, v, v, [v]</v>
      </c>
      <c r="I184" s="2" t="str">
        <f>IF(Return!C184=0,REPLACE(INDEX(H:H,ROW()+Return!B184,),1,2,Return!E184&amp;"(")&amp;")","")</f>
        <v/>
      </c>
      <c r="M184" s="1"/>
    </row>
    <row r="185" spans="1:13" x14ac:dyDescent="0.55000000000000004">
      <c r="A185" s="1" t="s">
        <v>1533</v>
      </c>
      <c r="B185" t="s">
        <v>1252</v>
      </c>
      <c r="C185" s="2">
        <f>Return!C185</f>
        <v>5</v>
      </c>
      <c r="D185" s="2">
        <f>COUNTA(Argument!E185)</f>
        <v>1</v>
      </c>
      <c r="E185" s="2" t="str">
        <f>IF(C185,Return!D185,Return!E185)</f>
        <v>v</v>
      </c>
      <c r="F185" s="2" t="str">
        <f t="shared" si="6"/>
        <v>[v]</v>
      </c>
      <c r="G185" s="2" t="str">
        <f t="shared" si="8"/>
        <v>[v]</v>
      </c>
      <c r="H185" s="2" t="str">
        <f t="shared" si="7"/>
        <v>, v, v, v, [v], [v]</v>
      </c>
      <c r="I185" s="2" t="str">
        <f>IF(Return!C185=0,REPLACE(INDEX(H:H,ROW()+Return!B185,),1,2,Return!E185&amp;"(")&amp;")","")</f>
        <v/>
      </c>
      <c r="M185" s="1"/>
    </row>
    <row r="186" spans="1:13" x14ac:dyDescent="0.55000000000000004">
      <c r="A186" s="1" t="s">
        <v>1534</v>
      </c>
      <c r="C186" s="2">
        <f>Return!C186</f>
        <v>0</v>
      </c>
      <c r="D186" s="2">
        <f>COUNTA(Argument!E186)</f>
        <v>0</v>
      </c>
      <c r="E186" s="2" t="str">
        <f>IF(C186,Return!D186,Return!E186)</f>
        <v>v</v>
      </c>
      <c r="F186" s="2" t="str">
        <f t="shared" si="6"/>
        <v/>
      </c>
      <c r="G186" s="2" t="str">
        <f t="shared" si="8"/>
        <v/>
      </c>
      <c r="H186" s="2" t="str">
        <f t="shared" si="7"/>
        <v/>
      </c>
      <c r="I186" s="2" t="str">
        <f>IF(Return!C186=0,REPLACE(INDEX(H:H,ROW()+Return!B186,),1,2,Return!E186&amp;"(")&amp;")","")</f>
        <v>v(v, v, v, [v], [v])</v>
      </c>
      <c r="M186" s="1"/>
    </row>
    <row r="187" spans="1:13" x14ac:dyDescent="0.55000000000000004">
      <c r="A187" s="1" t="s">
        <v>1534</v>
      </c>
      <c r="B187" t="s">
        <v>1222</v>
      </c>
      <c r="C187" s="2">
        <f>Return!C187</f>
        <v>1</v>
      </c>
      <c r="D187" s="2">
        <f>COUNTA(Argument!E187)</f>
        <v>0</v>
      </c>
      <c r="E187" s="2" t="str">
        <f>IF(C187,Return!D187,Return!E187)</f>
        <v>v</v>
      </c>
      <c r="F187" s="2" t="str">
        <f t="shared" si="6"/>
        <v>v</v>
      </c>
      <c r="G187" s="2" t="str">
        <f t="shared" si="8"/>
        <v>v</v>
      </c>
      <c r="H187" s="2" t="str">
        <f t="shared" si="7"/>
        <v>, v</v>
      </c>
      <c r="I187" s="2" t="str">
        <f>IF(Return!C187=0,REPLACE(INDEX(H:H,ROW()+Return!B187,),1,2,Return!E187&amp;"(")&amp;")","")</f>
        <v/>
      </c>
      <c r="M187" s="1"/>
    </row>
    <row r="188" spans="1:13" x14ac:dyDescent="0.55000000000000004">
      <c r="A188" s="1" t="s">
        <v>1534</v>
      </c>
      <c r="B188" t="s">
        <v>1250</v>
      </c>
      <c r="C188" s="2">
        <f>Return!C188</f>
        <v>2</v>
      </c>
      <c r="D188" s="2">
        <f>COUNTA(Argument!E188)</f>
        <v>0</v>
      </c>
      <c r="E188" s="2" t="str">
        <f>IF(C188,Return!D188,Return!E188)</f>
        <v>v</v>
      </c>
      <c r="F188" s="2" t="str">
        <f t="shared" si="6"/>
        <v>v</v>
      </c>
      <c r="G188" s="2" t="str">
        <f t="shared" si="8"/>
        <v>v</v>
      </c>
      <c r="H188" s="2" t="str">
        <f t="shared" si="7"/>
        <v>, v, v</v>
      </c>
      <c r="I188" s="2" t="str">
        <f>IF(Return!C188=0,REPLACE(INDEX(H:H,ROW()+Return!B188,),1,2,Return!E188&amp;"(")&amp;")","")</f>
        <v/>
      </c>
      <c r="M188" s="1"/>
    </row>
    <row r="189" spans="1:13" x14ac:dyDescent="0.55000000000000004">
      <c r="A189" s="1" t="s">
        <v>1534</v>
      </c>
      <c r="B189" t="s">
        <v>1253</v>
      </c>
      <c r="C189" s="2">
        <f>Return!C189</f>
        <v>3</v>
      </c>
      <c r="D189" s="2">
        <f>COUNTA(Argument!E189)</f>
        <v>1</v>
      </c>
      <c r="E189" s="2" t="str">
        <f>IF(C189,Return!D189,Return!E189)</f>
        <v>v</v>
      </c>
      <c r="F189" s="2" t="str">
        <f t="shared" si="6"/>
        <v>v</v>
      </c>
      <c r="G189" s="2" t="str">
        <f t="shared" si="8"/>
        <v>v</v>
      </c>
      <c r="H189" s="2" t="str">
        <f t="shared" si="7"/>
        <v>, v, v, v</v>
      </c>
      <c r="I189" s="2" t="str">
        <f>IF(Return!C189=0,REPLACE(INDEX(H:H,ROW()+Return!B189,),1,2,Return!E189&amp;"(")&amp;")","")</f>
        <v/>
      </c>
      <c r="M189" s="1"/>
    </row>
    <row r="190" spans="1:13" x14ac:dyDescent="0.55000000000000004">
      <c r="A190" s="1" t="s">
        <v>1534</v>
      </c>
      <c r="B190" t="s">
        <v>1251</v>
      </c>
      <c r="C190" s="2">
        <f>Return!C190</f>
        <v>4</v>
      </c>
      <c r="D190" s="2">
        <f>COUNTA(Argument!E190)</f>
        <v>1</v>
      </c>
      <c r="E190" s="2" t="str">
        <f>IF(C190,Return!D190,Return!E190)</f>
        <v>v</v>
      </c>
      <c r="F190" s="2" t="str">
        <f t="shared" si="6"/>
        <v>[v]</v>
      </c>
      <c r="G190" s="2" t="str">
        <f t="shared" si="8"/>
        <v>[v]</v>
      </c>
      <c r="H190" s="2" t="str">
        <f t="shared" si="7"/>
        <v>, v, v, v, [v]</v>
      </c>
      <c r="I190" s="2" t="str">
        <f>IF(Return!C190=0,REPLACE(INDEX(H:H,ROW()+Return!B190,),1,2,Return!E190&amp;"(")&amp;")","")</f>
        <v/>
      </c>
      <c r="M190" s="1"/>
    </row>
    <row r="191" spans="1:13" x14ac:dyDescent="0.55000000000000004">
      <c r="A191" s="1" t="s">
        <v>1534</v>
      </c>
      <c r="B191" t="s">
        <v>1252</v>
      </c>
      <c r="C191" s="2">
        <f>Return!C191</f>
        <v>5</v>
      </c>
      <c r="D191" s="2">
        <f>COUNTA(Argument!E191)</f>
        <v>1</v>
      </c>
      <c r="E191" s="2" t="str">
        <f>IF(C191,Return!D191,Return!E191)</f>
        <v>v</v>
      </c>
      <c r="F191" s="2" t="str">
        <f t="shared" si="6"/>
        <v>[v]</v>
      </c>
      <c r="G191" s="2" t="str">
        <f t="shared" si="8"/>
        <v>[v]</v>
      </c>
      <c r="H191" s="2" t="str">
        <f t="shared" si="7"/>
        <v>, v, v, v, [v], [v]</v>
      </c>
      <c r="I191" s="2" t="str">
        <f>IF(Return!C191=0,REPLACE(INDEX(H:H,ROW()+Return!B191,),1,2,Return!E191&amp;"(")&amp;")","")</f>
        <v/>
      </c>
      <c r="M191" s="1"/>
    </row>
    <row r="192" spans="1:13" x14ac:dyDescent="0.55000000000000004">
      <c r="A192" s="1" t="s">
        <v>1535</v>
      </c>
      <c r="C192" s="2">
        <f>Return!C192</f>
        <v>0</v>
      </c>
      <c r="D192" s="2">
        <f>COUNTA(Argument!E192)</f>
        <v>0</v>
      </c>
      <c r="E192" s="2" t="str">
        <f>IF(C192,Return!D192,Return!E192)</f>
        <v>v</v>
      </c>
      <c r="F192" s="2" t="str">
        <f t="shared" si="6"/>
        <v/>
      </c>
      <c r="G192" s="2" t="str">
        <f t="shared" si="8"/>
        <v/>
      </c>
      <c r="H192" s="2" t="str">
        <f t="shared" si="7"/>
        <v/>
      </c>
      <c r="I192" s="2" t="str">
        <f>IF(Return!C192=0,REPLACE(INDEX(H:H,ROW()+Return!B192,),1,2,Return!E192&amp;"(")&amp;")","")</f>
        <v>v(v, v, v, [v], [v])</v>
      </c>
      <c r="M192" s="1"/>
    </row>
    <row r="193" spans="1:13" x14ac:dyDescent="0.55000000000000004">
      <c r="A193" s="1" t="s">
        <v>1535</v>
      </c>
      <c r="B193" t="s">
        <v>1222</v>
      </c>
      <c r="C193" s="2">
        <f>Return!C193</f>
        <v>1</v>
      </c>
      <c r="D193" s="2">
        <f>COUNTA(Argument!E193)</f>
        <v>0</v>
      </c>
      <c r="E193" s="2" t="str">
        <f>IF(C193,Return!D193,Return!E193)</f>
        <v>v</v>
      </c>
      <c r="F193" s="2" t="str">
        <f t="shared" si="6"/>
        <v>v</v>
      </c>
      <c r="G193" s="2" t="str">
        <f t="shared" si="8"/>
        <v>v</v>
      </c>
      <c r="H193" s="2" t="str">
        <f t="shared" si="7"/>
        <v>, v</v>
      </c>
      <c r="I193" s="2" t="str">
        <f>IF(Return!C193=0,REPLACE(INDEX(H:H,ROW()+Return!B193,),1,2,Return!E193&amp;"(")&amp;")","")</f>
        <v/>
      </c>
      <c r="M193" s="1"/>
    </row>
    <row r="194" spans="1:13" x14ac:dyDescent="0.55000000000000004">
      <c r="A194" s="1" t="s">
        <v>1535</v>
      </c>
      <c r="B194" t="s">
        <v>1249</v>
      </c>
      <c r="C194" s="2">
        <f>Return!C194</f>
        <v>2</v>
      </c>
      <c r="D194" s="2">
        <f>COUNTA(Argument!E194)</f>
        <v>0</v>
      </c>
      <c r="E194" s="2" t="str">
        <f>IF(C194,Return!D194,Return!E194)</f>
        <v>v</v>
      </c>
      <c r="F194" s="2" t="str">
        <f t="shared" si="6"/>
        <v>v</v>
      </c>
      <c r="G194" s="2" t="str">
        <f t="shared" si="8"/>
        <v>v</v>
      </c>
      <c r="H194" s="2" t="str">
        <f t="shared" si="7"/>
        <v>, v, v</v>
      </c>
      <c r="I194" s="2" t="str">
        <f>IF(Return!C194=0,REPLACE(INDEX(H:H,ROW()+Return!B194,),1,2,Return!E194&amp;"(")&amp;")","")</f>
        <v/>
      </c>
      <c r="M194" s="1"/>
    </row>
    <row r="195" spans="1:13" x14ac:dyDescent="0.55000000000000004">
      <c r="A195" s="1" t="s">
        <v>1535</v>
      </c>
      <c r="B195" t="s">
        <v>1253</v>
      </c>
      <c r="C195" s="2">
        <f>Return!C195</f>
        <v>3</v>
      </c>
      <c r="D195" s="2">
        <f>COUNTA(Argument!E195)</f>
        <v>1</v>
      </c>
      <c r="E195" s="2" t="str">
        <f>IF(C195,Return!D195,Return!E195)</f>
        <v>v</v>
      </c>
      <c r="F195" s="2" t="str">
        <f t="shared" ref="F195:F258" si="9">IF(C195,IF(D195,IF(D194,"["&amp;E195&amp;"]",E195),E195),"")</f>
        <v>v</v>
      </c>
      <c r="G195" s="2" t="str">
        <f t="shared" si="8"/>
        <v>v</v>
      </c>
      <c r="H195" s="2" t="str">
        <f t="shared" ref="H195:H258" si="10">IF(C195&gt;0,H194&amp;", "&amp;G195,"")</f>
        <v>, v, v, v</v>
      </c>
      <c r="I195" s="2" t="str">
        <f>IF(Return!C195=0,REPLACE(INDEX(H:H,ROW()+Return!B195,),1,2,Return!E195&amp;"(")&amp;")","")</f>
        <v/>
      </c>
      <c r="M195" s="1"/>
    </row>
    <row r="196" spans="1:13" x14ac:dyDescent="0.55000000000000004">
      <c r="A196" s="1" t="s">
        <v>1535</v>
      </c>
      <c r="B196" t="s">
        <v>1251</v>
      </c>
      <c r="C196" s="2">
        <f>Return!C196</f>
        <v>4</v>
      </c>
      <c r="D196" s="2">
        <f>COUNTA(Argument!E196)</f>
        <v>1</v>
      </c>
      <c r="E196" s="2" t="str">
        <f>IF(C196,Return!D196,Return!E196)</f>
        <v>v</v>
      </c>
      <c r="F196" s="2" t="str">
        <f t="shared" si="9"/>
        <v>[v]</v>
      </c>
      <c r="G196" s="2" t="str">
        <f t="shared" ref="G196:G259" si="11">IF(B196="...",IF(C197&gt;0,"["&amp;E196,"…"),IF(B195=" ...",IF(C196&gt;0,E196&amp;"], …",F196),F196))</f>
        <v>[v]</v>
      </c>
      <c r="H196" s="2" t="str">
        <f t="shared" si="10"/>
        <v>, v, v, v, [v]</v>
      </c>
      <c r="I196" s="2" t="str">
        <f>IF(Return!C196=0,REPLACE(INDEX(H:H,ROW()+Return!B196,),1,2,Return!E196&amp;"(")&amp;")","")</f>
        <v/>
      </c>
      <c r="M196" s="1"/>
    </row>
    <row r="197" spans="1:13" x14ac:dyDescent="0.55000000000000004">
      <c r="A197" s="1" t="s">
        <v>1535</v>
      </c>
      <c r="B197" t="s">
        <v>1252</v>
      </c>
      <c r="C197" s="2">
        <f>Return!C197</f>
        <v>5</v>
      </c>
      <c r="D197" s="2">
        <f>COUNTA(Argument!E197)</f>
        <v>1</v>
      </c>
      <c r="E197" s="2" t="str">
        <f>IF(C197,Return!D197,Return!E197)</f>
        <v>v</v>
      </c>
      <c r="F197" s="2" t="str">
        <f t="shared" si="9"/>
        <v>[v]</v>
      </c>
      <c r="G197" s="2" t="str">
        <f t="shared" si="11"/>
        <v>[v]</v>
      </c>
      <c r="H197" s="2" t="str">
        <f t="shared" si="10"/>
        <v>, v, v, v, [v], [v]</v>
      </c>
      <c r="I197" s="2" t="str">
        <f>IF(Return!C197=0,REPLACE(INDEX(H:H,ROW()+Return!B197,),1,2,Return!E197&amp;"(")&amp;")","")</f>
        <v/>
      </c>
      <c r="M197" s="1"/>
    </row>
    <row r="198" spans="1:13" x14ac:dyDescent="0.55000000000000004">
      <c r="A198" s="1" t="s">
        <v>1536</v>
      </c>
      <c r="C198" s="2">
        <f>Return!C198</f>
        <v>0</v>
      </c>
      <c r="D198" s="2">
        <f>COUNTA(Argument!E198)</f>
        <v>0</v>
      </c>
      <c r="E198" s="2" t="str">
        <f>IF(C198,Return!D198,Return!E198)</f>
        <v>v</v>
      </c>
      <c r="F198" s="2" t="str">
        <f t="shared" si="9"/>
        <v/>
      </c>
      <c r="G198" s="2" t="str">
        <f t="shared" si="11"/>
        <v/>
      </c>
      <c r="H198" s="2" t="str">
        <f t="shared" si="10"/>
        <v/>
      </c>
      <c r="I198" s="2" t="str">
        <f>IF(Return!C198=0,REPLACE(INDEX(H:H,ROW()+Return!B198,),1,2,Return!E198&amp;"(")&amp;")","")</f>
        <v>v(v, v, v, [v], [v], [v])</v>
      </c>
      <c r="M198" s="1"/>
    </row>
    <row r="199" spans="1:13" x14ac:dyDescent="0.55000000000000004">
      <c r="A199" s="1" t="s">
        <v>1536</v>
      </c>
      <c r="B199" t="s">
        <v>1249</v>
      </c>
      <c r="C199" s="2">
        <f>Return!C199</f>
        <v>1</v>
      </c>
      <c r="D199" s="2">
        <f>COUNTA(Argument!E199)</f>
        <v>0</v>
      </c>
      <c r="E199" s="2" t="str">
        <f>IF(C199,Return!D199,Return!E199)</f>
        <v>v</v>
      </c>
      <c r="F199" s="2" t="str">
        <f t="shared" si="9"/>
        <v>v</v>
      </c>
      <c r="G199" s="2" t="str">
        <f t="shared" si="11"/>
        <v>v</v>
      </c>
      <c r="H199" s="2" t="str">
        <f t="shared" si="10"/>
        <v>, v</v>
      </c>
      <c r="I199" s="2" t="str">
        <f>IF(Return!C199=0,REPLACE(INDEX(H:H,ROW()+Return!B199,),1,2,Return!E199&amp;"(")&amp;")","")</f>
        <v/>
      </c>
      <c r="M199" s="1"/>
    </row>
    <row r="200" spans="1:13" x14ac:dyDescent="0.55000000000000004">
      <c r="A200" s="1" t="s">
        <v>1536</v>
      </c>
      <c r="B200" t="s">
        <v>1250</v>
      </c>
      <c r="C200" s="2">
        <f>Return!C200</f>
        <v>2</v>
      </c>
      <c r="D200" s="2">
        <f>COUNTA(Argument!E200)</f>
        <v>0</v>
      </c>
      <c r="E200" s="2" t="str">
        <f>IF(C200,Return!D200,Return!E200)</f>
        <v>v</v>
      </c>
      <c r="F200" s="2" t="str">
        <f t="shared" si="9"/>
        <v>v</v>
      </c>
      <c r="G200" s="2" t="str">
        <f t="shared" si="11"/>
        <v>v</v>
      </c>
      <c r="H200" s="2" t="str">
        <f t="shared" si="10"/>
        <v>, v, v</v>
      </c>
      <c r="I200" s="2" t="str">
        <f>IF(Return!C200=0,REPLACE(INDEX(H:H,ROW()+Return!B200,),1,2,Return!E200&amp;"(")&amp;")","")</f>
        <v/>
      </c>
      <c r="M200" s="1"/>
    </row>
    <row r="201" spans="1:13" x14ac:dyDescent="0.55000000000000004">
      <c r="A201" s="1" t="s">
        <v>1536</v>
      </c>
      <c r="B201" t="s">
        <v>1253</v>
      </c>
      <c r="C201" s="2">
        <f>Return!C201</f>
        <v>3</v>
      </c>
      <c r="D201" s="2">
        <f>COUNTA(Argument!E201)</f>
        <v>1</v>
      </c>
      <c r="E201" s="2" t="str">
        <f>IF(C201,Return!D201,Return!E201)</f>
        <v>v</v>
      </c>
      <c r="F201" s="2" t="str">
        <f t="shared" si="9"/>
        <v>v</v>
      </c>
      <c r="G201" s="2" t="str">
        <f t="shared" si="11"/>
        <v>v</v>
      </c>
      <c r="H201" s="2" t="str">
        <f t="shared" si="10"/>
        <v>, v, v, v</v>
      </c>
      <c r="I201" s="2" t="str">
        <f>IF(Return!C201=0,REPLACE(INDEX(H:H,ROW()+Return!B201,),1,2,Return!E201&amp;"(")&amp;")","")</f>
        <v/>
      </c>
      <c r="M201" s="1"/>
    </row>
    <row r="202" spans="1:13" x14ac:dyDescent="0.55000000000000004">
      <c r="A202" s="1" t="s">
        <v>1536</v>
      </c>
      <c r="B202" t="s">
        <v>1251</v>
      </c>
      <c r="C202" s="2">
        <f>Return!C202</f>
        <v>4</v>
      </c>
      <c r="D202" s="2">
        <f>COUNTA(Argument!E202)</f>
        <v>1</v>
      </c>
      <c r="E202" s="2" t="str">
        <f>IF(C202,Return!D202,Return!E202)</f>
        <v>v</v>
      </c>
      <c r="F202" s="2" t="str">
        <f t="shared" si="9"/>
        <v>[v]</v>
      </c>
      <c r="G202" s="2" t="str">
        <f t="shared" si="11"/>
        <v>[v]</v>
      </c>
      <c r="H202" s="2" t="str">
        <f t="shared" si="10"/>
        <v>, v, v, v, [v]</v>
      </c>
      <c r="I202" s="2" t="str">
        <f>IF(Return!C202=0,REPLACE(INDEX(H:H,ROW()+Return!B202,),1,2,Return!E202&amp;"(")&amp;")","")</f>
        <v/>
      </c>
      <c r="M202" s="1"/>
    </row>
    <row r="203" spans="1:13" x14ac:dyDescent="0.55000000000000004">
      <c r="A203" s="1" t="s">
        <v>1536</v>
      </c>
      <c r="B203" t="s">
        <v>1252</v>
      </c>
      <c r="C203" s="2">
        <f>Return!C203</f>
        <v>5</v>
      </c>
      <c r="D203" s="2">
        <f>COUNTA(Argument!E203)</f>
        <v>1</v>
      </c>
      <c r="E203" s="2" t="str">
        <f>IF(C203,Return!D203,Return!E203)</f>
        <v>v</v>
      </c>
      <c r="F203" s="2" t="str">
        <f t="shared" si="9"/>
        <v>[v]</v>
      </c>
      <c r="G203" s="2" t="str">
        <f t="shared" si="11"/>
        <v>[v]</v>
      </c>
      <c r="H203" s="2" t="str">
        <f t="shared" si="10"/>
        <v>, v, v, v, [v], [v]</v>
      </c>
      <c r="I203" s="2" t="str">
        <f>IF(Return!C203=0,REPLACE(INDEX(H:H,ROW()+Return!B203,),1,2,Return!E203&amp;"(")&amp;")","")</f>
        <v/>
      </c>
      <c r="M203" s="1"/>
    </row>
    <row r="204" spans="1:13" x14ac:dyDescent="0.55000000000000004">
      <c r="A204" s="1" t="s">
        <v>1536</v>
      </c>
      <c r="B204" t="s">
        <v>1254</v>
      </c>
      <c r="C204" s="2">
        <f>Return!C204</f>
        <v>6</v>
      </c>
      <c r="D204" s="2">
        <f>COUNTA(Argument!E204)</f>
        <v>1</v>
      </c>
      <c r="E204" s="2" t="str">
        <f>IF(C204,Return!D204,Return!E204)</f>
        <v>v</v>
      </c>
      <c r="F204" s="2" t="str">
        <f t="shared" si="9"/>
        <v>[v]</v>
      </c>
      <c r="G204" s="2" t="str">
        <f t="shared" si="11"/>
        <v>[v]</v>
      </c>
      <c r="H204" s="2" t="str">
        <f t="shared" si="10"/>
        <v>, v, v, v, [v], [v], [v]</v>
      </c>
      <c r="I204" s="2" t="str">
        <f>IF(Return!C204=0,REPLACE(INDEX(H:H,ROW()+Return!B204,),1,2,Return!E204&amp;"(")&amp;")","")</f>
        <v/>
      </c>
      <c r="M204" s="1"/>
    </row>
    <row r="205" spans="1:13" x14ac:dyDescent="0.55000000000000004">
      <c r="A205" s="1" t="s">
        <v>1537</v>
      </c>
      <c r="C205" s="2">
        <f>Return!C205</f>
        <v>0</v>
      </c>
      <c r="D205" s="2">
        <f>COUNTA(Argument!E205)</f>
        <v>0</v>
      </c>
      <c r="E205" s="2" t="str">
        <f>IF(C205,Return!D205,Return!E205)</f>
        <v>v</v>
      </c>
      <c r="F205" s="2" t="str">
        <f t="shared" si="9"/>
        <v/>
      </c>
      <c r="G205" s="2" t="str">
        <f t="shared" si="11"/>
        <v/>
      </c>
      <c r="H205" s="2" t="str">
        <f t="shared" si="10"/>
        <v/>
      </c>
      <c r="I205" s="2" t="str">
        <f>IF(Return!C205=0,REPLACE(INDEX(H:H,ROW()+Return!B205,),1,2,Return!E205&amp;"(")&amp;")","")</f>
        <v>v(ar, v, v)</v>
      </c>
      <c r="M205" s="1"/>
    </row>
    <row r="206" spans="1:13" x14ac:dyDescent="0.55000000000000004">
      <c r="A206" s="1" t="s">
        <v>1537</v>
      </c>
      <c r="B206" t="s">
        <v>1255</v>
      </c>
      <c r="C206" s="2">
        <f>Return!C206</f>
        <v>1</v>
      </c>
      <c r="D206" s="2">
        <f>COUNTA(Argument!E206)</f>
        <v>0</v>
      </c>
      <c r="E206" s="2" t="str">
        <f>IF(C206,Return!D206,Return!E206)</f>
        <v>ar</v>
      </c>
      <c r="F206" s="2" t="str">
        <f t="shared" si="9"/>
        <v>ar</v>
      </c>
      <c r="G206" s="2" t="str">
        <f t="shared" si="11"/>
        <v>ar</v>
      </c>
      <c r="H206" s="2" t="str">
        <f t="shared" si="10"/>
        <v>, ar</v>
      </c>
      <c r="I206" s="2" t="str">
        <f>IF(Return!C206=0,REPLACE(INDEX(H:H,ROW()+Return!B206,),1,2,Return!E206&amp;"(")&amp;")","")</f>
        <v/>
      </c>
      <c r="M206" s="1"/>
    </row>
    <row r="207" spans="1:13" x14ac:dyDescent="0.55000000000000004">
      <c r="A207" s="1" t="s">
        <v>1537</v>
      </c>
      <c r="B207" t="s">
        <v>1256</v>
      </c>
      <c r="C207" s="2">
        <f>Return!C207</f>
        <v>2</v>
      </c>
      <c r="D207" s="2">
        <f>COUNTA(Argument!E207)</f>
        <v>0</v>
      </c>
      <c r="E207" s="2" t="str">
        <f>IF(C207,Return!D207,Return!E207)</f>
        <v>v</v>
      </c>
      <c r="F207" s="2" t="str">
        <f t="shared" si="9"/>
        <v>v</v>
      </c>
      <c r="G207" s="2" t="str">
        <f t="shared" si="11"/>
        <v>v</v>
      </c>
      <c r="H207" s="2" t="str">
        <f t="shared" si="10"/>
        <v>, ar, v</v>
      </c>
      <c r="I207" s="2" t="str">
        <f>IF(Return!C207=0,REPLACE(INDEX(H:H,ROW()+Return!B207,),1,2,Return!E207&amp;"(")&amp;")","")</f>
        <v/>
      </c>
      <c r="M207" s="1"/>
    </row>
    <row r="208" spans="1:13" x14ac:dyDescent="0.55000000000000004">
      <c r="A208" s="1" t="s">
        <v>1537</v>
      </c>
      <c r="B208" t="s">
        <v>1257</v>
      </c>
      <c r="C208" s="2">
        <f>Return!C208</f>
        <v>3</v>
      </c>
      <c r="D208" s="2">
        <f>COUNTA(Argument!E208)</f>
        <v>1</v>
      </c>
      <c r="E208" s="2" t="str">
        <f>IF(C208,Return!D208,Return!E208)</f>
        <v>v</v>
      </c>
      <c r="F208" s="2" t="str">
        <f t="shared" si="9"/>
        <v>v</v>
      </c>
      <c r="G208" s="2" t="str">
        <f t="shared" si="11"/>
        <v>v</v>
      </c>
      <c r="H208" s="2" t="str">
        <f t="shared" si="10"/>
        <v>, ar, v, v</v>
      </c>
      <c r="I208" s="2" t="str">
        <f>IF(Return!C208=0,REPLACE(INDEX(H:H,ROW()+Return!B208,),1,2,Return!E208&amp;"(")&amp;")","")</f>
        <v/>
      </c>
      <c r="M208" s="1"/>
    </row>
    <row r="209" spans="1:13" x14ac:dyDescent="0.55000000000000004">
      <c r="A209" s="1" t="s">
        <v>1538</v>
      </c>
      <c r="C209" s="2">
        <f>Return!C209</f>
        <v>0</v>
      </c>
      <c r="D209" s="2">
        <f>COUNTA(Argument!E209)</f>
        <v>0</v>
      </c>
      <c r="E209" s="2" t="str">
        <f>IF(C209,Return!D209,Return!E209)</f>
        <v>v</v>
      </c>
      <c r="F209" s="2" t="str">
        <f t="shared" si="9"/>
        <v/>
      </c>
      <c r="G209" s="2" t="str">
        <f t="shared" si="11"/>
        <v/>
      </c>
      <c r="H209" s="2" t="str">
        <f t="shared" si="10"/>
        <v/>
      </c>
      <c r="I209" s="2" t="str">
        <f>IF(Return!C209=0,REPLACE(INDEX(H:H,ROW()+Return!B209,),1,2,Return!E209&amp;"(")&amp;")","")</f>
        <v>v(ar, [v])</v>
      </c>
      <c r="M209" s="1"/>
    </row>
    <row r="210" spans="1:13" x14ac:dyDescent="0.55000000000000004">
      <c r="A210" s="1" t="s">
        <v>1538</v>
      </c>
      <c r="B210" t="s">
        <v>1255</v>
      </c>
      <c r="C210" s="2">
        <f>Return!C210</f>
        <v>1</v>
      </c>
      <c r="D210" s="2">
        <f>COUNTA(Argument!E210)</f>
        <v>1</v>
      </c>
      <c r="E210" s="2" t="str">
        <f>IF(C210,Return!D210,Return!E210)</f>
        <v>ar</v>
      </c>
      <c r="F210" s="2" t="str">
        <f t="shared" si="9"/>
        <v>ar</v>
      </c>
      <c r="G210" s="2" t="str">
        <f t="shared" si="11"/>
        <v>ar</v>
      </c>
      <c r="H210" s="2" t="str">
        <f t="shared" si="10"/>
        <v>, ar</v>
      </c>
      <c r="I210" s="2" t="str">
        <f>IF(Return!C210=0,REPLACE(INDEX(H:H,ROW()+Return!B210,),1,2,Return!E210&amp;"(")&amp;")","")</f>
        <v/>
      </c>
      <c r="M210" s="1"/>
    </row>
    <row r="211" spans="1:13" x14ac:dyDescent="0.55000000000000004">
      <c r="A211" s="1" t="s">
        <v>1538</v>
      </c>
      <c r="B211" t="s">
        <v>1254</v>
      </c>
      <c r="C211" s="2">
        <f>Return!C211</f>
        <v>2</v>
      </c>
      <c r="D211" s="2">
        <f>COUNTA(Argument!E211)</f>
        <v>1</v>
      </c>
      <c r="E211" s="2" t="str">
        <f>IF(C211,Return!D211,Return!E211)</f>
        <v>v</v>
      </c>
      <c r="F211" s="2" t="str">
        <f t="shared" si="9"/>
        <v>[v]</v>
      </c>
      <c r="G211" s="2" t="str">
        <f t="shared" si="11"/>
        <v>[v]</v>
      </c>
      <c r="H211" s="2" t="str">
        <f t="shared" si="10"/>
        <v>, ar, [v]</v>
      </c>
      <c r="I211" s="2" t="str">
        <f>IF(Return!C211=0,REPLACE(INDEX(H:H,ROW()+Return!B211,),1,2,Return!E211&amp;"(")&amp;")","")</f>
        <v/>
      </c>
      <c r="M211" s="1"/>
    </row>
    <row r="212" spans="1:13" x14ac:dyDescent="0.55000000000000004">
      <c r="A212" s="1" t="s">
        <v>1475</v>
      </c>
      <c r="C212" s="2">
        <f>Return!C212</f>
        <v>0</v>
      </c>
      <c r="D212" s="2">
        <f>COUNTA(Argument!E212)</f>
        <v>1</v>
      </c>
      <c r="E212" s="2" t="str">
        <f>IF(C212,Return!D212,Return!E212)</f>
        <v>v</v>
      </c>
      <c r="F212" s="2" t="str">
        <f t="shared" si="9"/>
        <v/>
      </c>
      <c r="G212" s="2" t="str">
        <f t="shared" si="11"/>
        <v/>
      </c>
      <c r="H212" s="2" t="str">
        <f t="shared" si="10"/>
        <v/>
      </c>
      <c r="I212" s="2" t="str">
        <f>IF(Return!C212=0,REPLACE(INDEX(H:H,ROW()+Return!B212,),1,2,Return!E212&amp;"(")&amp;")","")</f>
        <v>v()</v>
      </c>
      <c r="M212" s="1"/>
    </row>
    <row r="213" spans="1:13" x14ac:dyDescent="0.55000000000000004">
      <c r="A213" s="1" t="s">
        <v>1539</v>
      </c>
      <c r="C213" s="2">
        <f>Return!C213</f>
        <v>0</v>
      </c>
      <c r="D213" s="2">
        <f>COUNTA(Argument!E213)</f>
        <v>0</v>
      </c>
      <c r="E213" s="2" t="str">
        <f>IF(C213,Return!D213,Return!E213)</f>
        <v>v</v>
      </c>
      <c r="F213" s="2" t="str">
        <f t="shared" si="9"/>
        <v/>
      </c>
      <c r="G213" s="2" t="str">
        <f t="shared" si="11"/>
        <v/>
      </c>
      <c r="H213" s="2" t="str">
        <f t="shared" si="10"/>
        <v/>
      </c>
      <c r="I213" s="2" t="str">
        <f>IF(Return!C213=0,REPLACE(INDEX(H:H,ROW()+Return!B213,),1,2,Return!E213&amp;"(")&amp;")","")</f>
        <v>v(v, var, [vr])</v>
      </c>
      <c r="M213" s="1"/>
    </row>
    <row r="214" spans="1:13" x14ac:dyDescent="0.55000000000000004">
      <c r="A214" s="1" t="s">
        <v>1539</v>
      </c>
      <c r="B214" t="s">
        <v>1227</v>
      </c>
      <c r="C214" s="2">
        <f>Return!C214</f>
        <v>1</v>
      </c>
      <c r="D214" s="2">
        <f>COUNTA(Argument!E214)</f>
        <v>0</v>
      </c>
      <c r="E214" s="2" t="str">
        <f>IF(C214,Return!D214,Return!E214)</f>
        <v>v</v>
      </c>
      <c r="F214" s="2" t="str">
        <f t="shared" si="9"/>
        <v>v</v>
      </c>
      <c r="G214" s="2" t="str">
        <f t="shared" si="11"/>
        <v>v</v>
      </c>
      <c r="H214" s="2" t="str">
        <f t="shared" si="10"/>
        <v>, v</v>
      </c>
      <c r="I214" s="2" t="str">
        <f>IF(Return!C214=0,REPLACE(INDEX(H:H,ROW()+Return!B214,),1,2,Return!E214&amp;"(")&amp;")","")</f>
        <v/>
      </c>
      <c r="M214" s="1"/>
    </row>
    <row r="215" spans="1:13" x14ac:dyDescent="0.55000000000000004">
      <c r="A215" s="1" t="s">
        <v>1539</v>
      </c>
      <c r="B215" t="s">
        <v>1258</v>
      </c>
      <c r="C215" s="2">
        <f>Return!C215</f>
        <v>2</v>
      </c>
      <c r="D215" s="2">
        <f>COUNTA(Argument!E215)</f>
        <v>1</v>
      </c>
      <c r="E215" s="2" t="str">
        <f>IF(C215,Return!D215,Return!E215)</f>
        <v>var</v>
      </c>
      <c r="F215" s="2" t="str">
        <f t="shared" si="9"/>
        <v>var</v>
      </c>
      <c r="G215" s="2" t="str">
        <f t="shared" si="11"/>
        <v>var</v>
      </c>
      <c r="H215" s="2" t="str">
        <f t="shared" si="10"/>
        <v>, v, var</v>
      </c>
      <c r="I215" s="2" t="str">
        <f>IF(Return!C215=0,REPLACE(INDEX(H:H,ROW()+Return!B215,),1,2,Return!E215&amp;"(")&amp;")","")</f>
        <v/>
      </c>
      <c r="M215" s="1"/>
    </row>
    <row r="216" spans="1:13" x14ac:dyDescent="0.55000000000000004">
      <c r="A216" s="1" t="s">
        <v>1539</v>
      </c>
      <c r="B216" t="s">
        <v>1259</v>
      </c>
      <c r="C216" s="2">
        <f>Return!C216</f>
        <v>3</v>
      </c>
      <c r="D216" s="2">
        <f>COUNTA(Argument!E216)</f>
        <v>1</v>
      </c>
      <c r="E216" s="2" t="str">
        <f>IF(C216,Return!D216,Return!E216)</f>
        <v>vr</v>
      </c>
      <c r="F216" s="2" t="str">
        <f t="shared" si="9"/>
        <v>[vr]</v>
      </c>
      <c r="G216" s="2" t="str">
        <f t="shared" si="11"/>
        <v>[vr]</v>
      </c>
      <c r="H216" s="2" t="str">
        <f t="shared" si="10"/>
        <v>, v, var, [vr]</v>
      </c>
      <c r="I216" s="2" t="str">
        <f>IF(Return!C216=0,REPLACE(INDEX(H:H,ROW()+Return!B216,),1,2,Return!E216&amp;"(")&amp;")","")</f>
        <v/>
      </c>
      <c r="M216" s="1"/>
    </row>
    <row r="217" spans="1:13" x14ac:dyDescent="0.55000000000000004">
      <c r="A217" s="1" t="s">
        <v>1540</v>
      </c>
      <c r="C217" s="2">
        <f>Return!C217</f>
        <v>0</v>
      </c>
      <c r="D217" s="2">
        <f>COUNTA(Argument!E217)</f>
        <v>0</v>
      </c>
      <c r="E217" s="2" t="str">
        <f>IF(C217,Return!D217,Return!E217)</f>
        <v>v</v>
      </c>
      <c r="F217" s="2" t="str">
        <f t="shared" si="9"/>
        <v/>
      </c>
      <c r="G217" s="2" t="str">
        <f t="shared" si="11"/>
        <v/>
      </c>
      <c r="H217" s="2" t="str">
        <f t="shared" si="10"/>
        <v/>
      </c>
      <c r="I217" s="2" t="str">
        <f>IF(Return!C217=0,REPLACE(INDEX(H:H,ROW()+Return!B217,),1,2,Return!E217&amp;"(")&amp;")","")</f>
        <v>v(v, v, v)</v>
      </c>
      <c r="M217" s="1"/>
    </row>
    <row r="218" spans="1:13" x14ac:dyDescent="0.55000000000000004">
      <c r="A218" s="1" t="s">
        <v>1540</v>
      </c>
      <c r="B218" t="s">
        <v>1260</v>
      </c>
      <c r="C218" s="2">
        <f>Return!C218</f>
        <v>1</v>
      </c>
      <c r="D218" s="2">
        <f>COUNTA(Argument!E218)</f>
        <v>0</v>
      </c>
      <c r="E218" s="2" t="str">
        <f>IF(C218,Return!D218,Return!E218)</f>
        <v>v</v>
      </c>
      <c r="F218" s="2" t="str">
        <f t="shared" si="9"/>
        <v>v</v>
      </c>
      <c r="G218" s="2" t="str">
        <f t="shared" si="11"/>
        <v>v</v>
      </c>
      <c r="H218" s="2" t="str">
        <f t="shared" si="10"/>
        <v>, v</v>
      </c>
      <c r="I218" s="2" t="str">
        <f>IF(Return!C218=0,REPLACE(INDEX(H:H,ROW()+Return!B218,),1,2,Return!E218&amp;"(")&amp;")","")</f>
        <v/>
      </c>
      <c r="M218" s="1"/>
    </row>
    <row r="219" spans="1:13" x14ac:dyDescent="0.55000000000000004">
      <c r="A219" s="1" t="s">
        <v>1540</v>
      </c>
      <c r="B219" t="s">
        <v>1261</v>
      </c>
      <c r="C219" s="2">
        <f>Return!C219</f>
        <v>2</v>
      </c>
      <c r="D219" s="2">
        <f>COUNTA(Argument!E219)</f>
        <v>0</v>
      </c>
      <c r="E219" s="2" t="str">
        <f>IF(C219,Return!D219,Return!E219)</f>
        <v>v</v>
      </c>
      <c r="F219" s="2" t="str">
        <f t="shared" si="9"/>
        <v>v</v>
      </c>
      <c r="G219" s="2" t="str">
        <f t="shared" si="11"/>
        <v>v</v>
      </c>
      <c r="H219" s="2" t="str">
        <f t="shared" si="10"/>
        <v>, v, v</v>
      </c>
      <c r="I219" s="2" t="str">
        <f>IF(Return!C219=0,REPLACE(INDEX(H:H,ROW()+Return!B219,),1,2,Return!E219&amp;"(")&amp;")","")</f>
        <v/>
      </c>
      <c r="M219" s="1"/>
    </row>
    <row r="220" spans="1:13" x14ac:dyDescent="0.55000000000000004">
      <c r="A220" s="1" t="s">
        <v>1540</v>
      </c>
      <c r="B220" t="s">
        <v>1262</v>
      </c>
      <c r="C220" s="2">
        <f>Return!C220</f>
        <v>3</v>
      </c>
      <c r="D220" s="2">
        <f>COUNTA(Argument!E220)</f>
        <v>1</v>
      </c>
      <c r="E220" s="2" t="str">
        <f>IF(C220,Return!D220,Return!E220)</f>
        <v>v</v>
      </c>
      <c r="F220" s="2" t="str">
        <f t="shared" si="9"/>
        <v>v</v>
      </c>
      <c r="G220" s="2" t="str">
        <f t="shared" si="11"/>
        <v>v</v>
      </c>
      <c r="H220" s="2" t="str">
        <f t="shared" si="10"/>
        <v>, v, v, v</v>
      </c>
      <c r="I220" s="2" t="str">
        <f>IF(Return!C220=0,REPLACE(INDEX(H:H,ROW()+Return!B220,),1,2,Return!E220&amp;"(")&amp;")","")</f>
        <v/>
      </c>
      <c r="M220" s="1"/>
    </row>
    <row r="221" spans="1:13" x14ac:dyDescent="0.55000000000000004">
      <c r="A221" s="1" t="s">
        <v>1541</v>
      </c>
      <c r="C221" s="2">
        <f>Return!C221</f>
        <v>0</v>
      </c>
      <c r="D221" s="2">
        <f>COUNTA(Argument!E221)</f>
        <v>0</v>
      </c>
      <c r="E221" s="2" t="str">
        <f>IF(C221,Return!D221,Return!E221)</f>
        <v>v</v>
      </c>
      <c r="F221" s="2" t="str">
        <f t="shared" si="9"/>
        <v/>
      </c>
      <c r="G221" s="2" t="str">
        <f t="shared" si="11"/>
        <v/>
      </c>
      <c r="H221" s="2" t="str">
        <f t="shared" si="10"/>
        <v/>
      </c>
      <c r="I221" s="2" t="str">
        <f>IF(Return!C221=0,REPLACE(INDEX(H:H,ROW()+Return!B221,),1,2,Return!E221&amp;"(")&amp;")","")</f>
        <v>v(v, v, v)</v>
      </c>
      <c r="M221" s="1"/>
    </row>
    <row r="222" spans="1:13" x14ac:dyDescent="0.55000000000000004">
      <c r="A222" s="1" t="s">
        <v>1541</v>
      </c>
      <c r="B222" t="s">
        <v>1263</v>
      </c>
      <c r="C222" s="2">
        <f>Return!C222</f>
        <v>1</v>
      </c>
      <c r="D222" s="2">
        <f>COUNTA(Argument!E222)</f>
        <v>0</v>
      </c>
      <c r="E222" s="2" t="str">
        <f>IF(C222,Return!D222,Return!E222)</f>
        <v>v</v>
      </c>
      <c r="F222" s="2" t="str">
        <f t="shared" si="9"/>
        <v>v</v>
      </c>
      <c r="G222" s="2" t="str">
        <f t="shared" si="11"/>
        <v>v</v>
      </c>
      <c r="H222" s="2" t="str">
        <f t="shared" si="10"/>
        <v>, v</v>
      </c>
      <c r="I222" s="2" t="str">
        <f>IF(Return!C222=0,REPLACE(INDEX(H:H,ROW()+Return!B222,),1,2,Return!E222&amp;"(")&amp;")","")</f>
        <v/>
      </c>
      <c r="M222" s="1"/>
    </row>
    <row r="223" spans="1:13" x14ac:dyDescent="0.55000000000000004">
      <c r="A223" s="1" t="s">
        <v>1541</v>
      </c>
      <c r="B223" t="s">
        <v>1264</v>
      </c>
      <c r="C223" s="2">
        <f>Return!C223</f>
        <v>2</v>
      </c>
      <c r="D223" s="2">
        <f>COUNTA(Argument!E223)</f>
        <v>0</v>
      </c>
      <c r="E223" s="2" t="str">
        <f>IF(C223,Return!D223,Return!E223)</f>
        <v>v</v>
      </c>
      <c r="F223" s="2" t="str">
        <f t="shared" si="9"/>
        <v>v</v>
      </c>
      <c r="G223" s="2" t="str">
        <f t="shared" si="11"/>
        <v>v</v>
      </c>
      <c r="H223" s="2" t="str">
        <f t="shared" si="10"/>
        <v>, v, v</v>
      </c>
      <c r="I223" s="2" t="str">
        <f>IF(Return!C223=0,REPLACE(INDEX(H:H,ROW()+Return!B223,),1,2,Return!E223&amp;"(")&amp;")","")</f>
        <v/>
      </c>
      <c r="M223" s="1"/>
    </row>
    <row r="224" spans="1:13" x14ac:dyDescent="0.55000000000000004">
      <c r="A224" s="1" t="s">
        <v>1541</v>
      </c>
      <c r="B224" t="s">
        <v>1265</v>
      </c>
      <c r="C224" s="2">
        <f>Return!C224</f>
        <v>3</v>
      </c>
      <c r="D224" s="2">
        <f>COUNTA(Argument!E224)</f>
        <v>1</v>
      </c>
      <c r="E224" s="2" t="str">
        <f>IF(C224,Return!D224,Return!E224)</f>
        <v>v</v>
      </c>
      <c r="F224" s="2" t="str">
        <f t="shared" si="9"/>
        <v>v</v>
      </c>
      <c r="G224" s="2" t="str">
        <f t="shared" si="11"/>
        <v>v</v>
      </c>
      <c r="H224" s="2" t="str">
        <f t="shared" si="10"/>
        <v>, v, v, v</v>
      </c>
      <c r="I224" s="2" t="str">
        <f>IF(Return!C224=0,REPLACE(INDEX(H:H,ROW()+Return!B224,),1,2,Return!E224&amp;"(")&amp;")","")</f>
        <v/>
      </c>
      <c r="M224" s="1"/>
    </row>
    <row r="225" spans="1:13" x14ac:dyDescent="0.55000000000000004">
      <c r="A225" s="1" t="s">
        <v>1542</v>
      </c>
      <c r="C225" s="2">
        <f>Return!C225</f>
        <v>0</v>
      </c>
      <c r="D225" s="2">
        <f>COUNTA(Argument!E225)</f>
        <v>0</v>
      </c>
      <c r="E225" s="2" t="str">
        <f>IF(C225,Return!D225,Return!E225)</f>
        <v>v</v>
      </c>
      <c r="F225" s="2" t="str">
        <f t="shared" si="9"/>
        <v/>
      </c>
      <c r="G225" s="2" t="str">
        <f t="shared" si="11"/>
        <v/>
      </c>
      <c r="H225" s="2" t="str">
        <f t="shared" si="10"/>
        <v/>
      </c>
      <c r="I225" s="2" t="str">
        <f>IF(Return!C225=0,REPLACE(INDEX(H:H,ROW()+Return!B225,),1,2,Return!E225&amp;"(")&amp;")","")</f>
        <v>v(v)</v>
      </c>
      <c r="M225" s="1"/>
    </row>
    <row r="226" spans="1:13" x14ac:dyDescent="0.55000000000000004">
      <c r="A226" s="1" t="s">
        <v>1542</v>
      </c>
      <c r="B226" t="s">
        <v>1266</v>
      </c>
      <c r="C226" s="2">
        <f>Return!C226</f>
        <v>1</v>
      </c>
      <c r="D226" s="2">
        <f>COUNTA(Argument!E226)</f>
        <v>1</v>
      </c>
      <c r="E226" s="2" t="str">
        <f>IF(C226,Return!D226,Return!E226)</f>
        <v>v</v>
      </c>
      <c r="F226" s="2" t="str">
        <f t="shared" si="9"/>
        <v>v</v>
      </c>
      <c r="G226" s="2" t="str">
        <f t="shared" si="11"/>
        <v>v</v>
      </c>
      <c r="H226" s="2" t="str">
        <f t="shared" si="10"/>
        <v>, v</v>
      </c>
      <c r="I226" s="2" t="str">
        <f>IF(Return!C226=0,REPLACE(INDEX(H:H,ROW()+Return!B226,),1,2,Return!E226&amp;"(")&amp;")","")</f>
        <v/>
      </c>
      <c r="M226" s="1"/>
    </row>
    <row r="227" spans="1:13" x14ac:dyDescent="0.55000000000000004">
      <c r="A227" s="1" t="s">
        <v>1543</v>
      </c>
      <c r="C227" s="2">
        <f>Return!C227</f>
        <v>0</v>
      </c>
      <c r="D227" s="2">
        <f>COUNTA(Argument!E227)</f>
        <v>0</v>
      </c>
      <c r="E227" s="2" t="str">
        <f>IF(C227,Return!D227,Return!E227)</f>
        <v>v</v>
      </c>
      <c r="F227" s="2" t="str">
        <f t="shared" si="9"/>
        <v/>
      </c>
      <c r="G227" s="2" t="str">
        <f t="shared" si="11"/>
        <v/>
      </c>
      <c r="H227" s="2" t="str">
        <f t="shared" si="10"/>
        <v/>
      </c>
      <c r="I227" s="2" t="str">
        <f>IF(Return!C227=0,REPLACE(INDEX(H:H,ROW()+Return!B227,),1,2,Return!E227&amp;"(")&amp;")","")</f>
        <v>v(v)</v>
      </c>
      <c r="M227" s="1"/>
    </row>
    <row r="228" spans="1:13" x14ac:dyDescent="0.55000000000000004">
      <c r="A228" s="1" t="s">
        <v>1543</v>
      </c>
      <c r="B228" t="s">
        <v>1266</v>
      </c>
      <c r="C228" s="2">
        <f>Return!C228</f>
        <v>1</v>
      </c>
      <c r="D228" s="2">
        <f>COUNTA(Argument!E228)</f>
        <v>1</v>
      </c>
      <c r="E228" s="2" t="str">
        <f>IF(C228,Return!D228,Return!E228)</f>
        <v>v</v>
      </c>
      <c r="F228" s="2" t="str">
        <f t="shared" si="9"/>
        <v>v</v>
      </c>
      <c r="G228" s="2" t="str">
        <f t="shared" si="11"/>
        <v>v</v>
      </c>
      <c r="H228" s="2" t="str">
        <f t="shared" si="10"/>
        <v>, v</v>
      </c>
      <c r="I228" s="2" t="str">
        <f>IF(Return!C228=0,REPLACE(INDEX(H:H,ROW()+Return!B228,),1,2,Return!E228&amp;"(")&amp;")","")</f>
        <v/>
      </c>
      <c r="M228" s="1"/>
    </row>
    <row r="229" spans="1:13" x14ac:dyDescent="0.55000000000000004">
      <c r="A229" s="1" t="s">
        <v>1544</v>
      </c>
      <c r="C229" s="2">
        <f>Return!C229</f>
        <v>0</v>
      </c>
      <c r="D229" s="2">
        <f>COUNTA(Argument!E229)</f>
        <v>0</v>
      </c>
      <c r="E229" s="2" t="str">
        <f>IF(C229,Return!D229,Return!E229)</f>
        <v>v</v>
      </c>
      <c r="F229" s="2" t="str">
        <f t="shared" si="9"/>
        <v/>
      </c>
      <c r="G229" s="2" t="str">
        <f t="shared" si="11"/>
        <v/>
      </c>
      <c r="H229" s="2" t="str">
        <f t="shared" si="10"/>
        <v/>
      </c>
      <c r="I229" s="2" t="str">
        <f>IF(Return!C229=0,REPLACE(INDEX(H:H,ROW()+Return!B229,),1,2,Return!E229&amp;"(")&amp;")","")</f>
        <v>v(v)</v>
      </c>
      <c r="M229" s="1"/>
    </row>
    <row r="230" spans="1:13" x14ac:dyDescent="0.55000000000000004">
      <c r="A230" s="1" t="s">
        <v>1544</v>
      </c>
      <c r="B230" t="s">
        <v>1266</v>
      </c>
      <c r="C230" s="2">
        <f>Return!C230</f>
        <v>1</v>
      </c>
      <c r="D230" s="2">
        <f>COUNTA(Argument!E230)</f>
        <v>1</v>
      </c>
      <c r="E230" s="2" t="str">
        <f>IF(C230,Return!D230,Return!E230)</f>
        <v>v</v>
      </c>
      <c r="F230" s="2" t="str">
        <f t="shared" si="9"/>
        <v>v</v>
      </c>
      <c r="G230" s="2" t="str">
        <f t="shared" si="11"/>
        <v>v</v>
      </c>
      <c r="H230" s="2" t="str">
        <f t="shared" si="10"/>
        <v>, v</v>
      </c>
      <c r="I230" s="2" t="str">
        <f>IF(Return!C230=0,REPLACE(INDEX(H:H,ROW()+Return!B230,),1,2,Return!E230&amp;"(")&amp;")","")</f>
        <v/>
      </c>
      <c r="M230" s="1"/>
    </row>
    <row r="231" spans="1:13" x14ac:dyDescent="0.55000000000000004">
      <c r="A231" s="1" t="s">
        <v>1545</v>
      </c>
      <c r="C231" s="2">
        <f>Return!C231</f>
        <v>0</v>
      </c>
      <c r="D231" s="2">
        <f>COUNTA(Argument!E231)</f>
        <v>0</v>
      </c>
      <c r="E231" s="2" t="str">
        <f>IF(C231,Return!D231,Return!E231)</f>
        <v>v</v>
      </c>
      <c r="F231" s="2" t="str">
        <f t="shared" si="9"/>
        <v/>
      </c>
      <c r="G231" s="2" t="str">
        <f t="shared" si="11"/>
        <v/>
      </c>
      <c r="H231" s="2" t="str">
        <f t="shared" si="10"/>
        <v/>
      </c>
      <c r="I231" s="2" t="str">
        <f>IF(Return!C231=0,REPLACE(INDEX(H:H,ROW()+Return!B231,),1,2,Return!E231&amp;"(")&amp;")","")</f>
        <v>v(v, [v])</v>
      </c>
      <c r="M231" s="1"/>
    </row>
    <row r="232" spans="1:13" x14ac:dyDescent="0.55000000000000004">
      <c r="A232" s="1" t="s">
        <v>1545</v>
      </c>
      <c r="B232" t="s">
        <v>1266</v>
      </c>
      <c r="C232" s="2">
        <f>Return!C232</f>
        <v>1</v>
      </c>
      <c r="D232" s="2">
        <f>COUNTA(Argument!E232)</f>
        <v>1</v>
      </c>
      <c r="E232" s="2" t="str">
        <f>IF(C232,Return!D232,Return!E232)</f>
        <v>v</v>
      </c>
      <c r="F232" s="2" t="str">
        <f t="shared" si="9"/>
        <v>v</v>
      </c>
      <c r="G232" s="2" t="str">
        <f t="shared" si="11"/>
        <v>v</v>
      </c>
      <c r="H232" s="2" t="str">
        <f t="shared" si="10"/>
        <v>, v</v>
      </c>
      <c r="I232" s="2" t="str">
        <f>IF(Return!C232=0,REPLACE(INDEX(H:H,ROW()+Return!B232,),1,2,Return!E232&amp;"(")&amp;")","")</f>
        <v/>
      </c>
      <c r="M232" s="1"/>
    </row>
    <row r="233" spans="1:13" x14ac:dyDescent="0.55000000000000004">
      <c r="A233" s="1" t="s">
        <v>1545</v>
      </c>
      <c r="B233" t="s">
        <v>1267</v>
      </c>
      <c r="C233" s="2">
        <f>Return!C233</f>
        <v>2</v>
      </c>
      <c r="D233" s="2">
        <f>COUNTA(Argument!E233)</f>
        <v>1</v>
      </c>
      <c r="E233" s="2" t="str">
        <f>IF(C233,Return!D233,Return!E233)</f>
        <v>v</v>
      </c>
      <c r="F233" s="2" t="str">
        <f t="shared" si="9"/>
        <v>[v]</v>
      </c>
      <c r="G233" s="2" t="str">
        <f t="shared" si="11"/>
        <v>[v]</v>
      </c>
      <c r="H233" s="2" t="str">
        <f t="shared" si="10"/>
        <v>, v, [v]</v>
      </c>
      <c r="I233" s="2" t="str">
        <f>IF(Return!C233=0,REPLACE(INDEX(H:H,ROW()+Return!B233,),1,2,Return!E233&amp;"(")&amp;")","")</f>
        <v/>
      </c>
      <c r="M233" s="1"/>
    </row>
    <row r="234" spans="1:13" x14ac:dyDescent="0.55000000000000004">
      <c r="A234" s="1" t="s">
        <v>1546</v>
      </c>
      <c r="C234" s="2">
        <f>Return!C234</f>
        <v>0</v>
      </c>
      <c r="D234" s="2">
        <f>COUNTA(Argument!E234)</f>
        <v>0</v>
      </c>
      <c r="E234" s="2" t="str">
        <f>IF(C234,Return!D234,Return!E234)</f>
        <v>v</v>
      </c>
      <c r="F234" s="2" t="str">
        <f t="shared" si="9"/>
        <v/>
      </c>
      <c r="G234" s="2" t="str">
        <f t="shared" si="11"/>
        <v/>
      </c>
      <c r="H234" s="2" t="str">
        <f t="shared" si="10"/>
        <v/>
      </c>
      <c r="I234" s="2" t="str">
        <f>IF(Return!C234=0,REPLACE(INDEX(H:H,ROW()+Return!B234,),1,2,Return!E234&amp;"(")&amp;")","")</f>
        <v>v(v)</v>
      </c>
      <c r="M234" s="1"/>
    </row>
    <row r="235" spans="1:13" x14ac:dyDescent="0.55000000000000004">
      <c r="A235" s="1" t="s">
        <v>1546</v>
      </c>
      <c r="B235" t="s">
        <v>1266</v>
      </c>
      <c r="C235" s="2">
        <f>Return!C235</f>
        <v>1</v>
      </c>
      <c r="D235" s="2">
        <f>COUNTA(Argument!E235)</f>
        <v>1</v>
      </c>
      <c r="E235" s="2" t="str">
        <f>IF(C235,Return!D235,Return!E235)</f>
        <v>v</v>
      </c>
      <c r="F235" s="2" t="str">
        <f t="shared" si="9"/>
        <v>v</v>
      </c>
      <c r="G235" s="2" t="str">
        <f t="shared" si="11"/>
        <v>v</v>
      </c>
      <c r="H235" s="2" t="str">
        <f t="shared" si="10"/>
        <v>, v</v>
      </c>
      <c r="I235" s="2" t="str">
        <f>IF(Return!C235=0,REPLACE(INDEX(H:H,ROW()+Return!B235,),1,2,Return!E235&amp;"(")&amp;")","")</f>
        <v/>
      </c>
      <c r="M235" s="1"/>
    </row>
    <row r="236" spans="1:13" x14ac:dyDescent="0.55000000000000004">
      <c r="A236" s="1" t="s">
        <v>1547</v>
      </c>
      <c r="C236" s="2">
        <f>Return!C236</f>
        <v>0</v>
      </c>
      <c r="D236" s="2">
        <f>COUNTA(Argument!E236)</f>
        <v>0</v>
      </c>
      <c r="E236" s="2" t="str">
        <f>IF(C236,Return!D236,Return!E236)</f>
        <v>v</v>
      </c>
      <c r="F236" s="2" t="str">
        <f t="shared" si="9"/>
        <v/>
      </c>
      <c r="G236" s="2" t="str">
        <f t="shared" si="11"/>
        <v/>
      </c>
      <c r="H236" s="2" t="str">
        <f t="shared" si="10"/>
        <v/>
      </c>
      <c r="I236" s="2" t="str">
        <f>IF(Return!C236=0,REPLACE(INDEX(H:H,ROW()+Return!B236,),1,2,Return!E236&amp;"(")&amp;")","")</f>
        <v>v(v)</v>
      </c>
      <c r="M236" s="1"/>
    </row>
    <row r="237" spans="1:13" x14ac:dyDescent="0.55000000000000004">
      <c r="A237" s="1" t="s">
        <v>1547</v>
      </c>
      <c r="B237" t="s">
        <v>1266</v>
      </c>
      <c r="C237" s="2">
        <f>Return!C237</f>
        <v>1</v>
      </c>
      <c r="D237" s="2">
        <f>COUNTA(Argument!E237)</f>
        <v>1</v>
      </c>
      <c r="E237" s="2" t="str">
        <f>IF(C237,Return!D237,Return!E237)</f>
        <v>v</v>
      </c>
      <c r="F237" s="2" t="str">
        <f t="shared" si="9"/>
        <v>v</v>
      </c>
      <c r="G237" s="2" t="str">
        <f t="shared" si="11"/>
        <v>v</v>
      </c>
      <c r="H237" s="2" t="str">
        <f t="shared" si="10"/>
        <v>, v</v>
      </c>
      <c r="I237" s="2" t="str">
        <f>IF(Return!C237=0,REPLACE(INDEX(H:H,ROW()+Return!B237,),1,2,Return!E237&amp;"(")&amp;")","")</f>
        <v/>
      </c>
      <c r="M237" s="1"/>
    </row>
    <row r="238" spans="1:13" x14ac:dyDescent="0.55000000000000004">
      <c r="A238" s="1" t="s">
        <v>1548</v>
      </c>
      <c r="C238" s="2">
        <f>Return!C238</f>
        <v>0</v>
      </c>
      <c r="D238" s="2">
        <f>COUNTA(Argument!E238)</f>
        <v>0</v>
      </c>
      <c r="E238" s="2" t="str">
        <f>IF(C238,Return!D238,Return!E238)</f>
        <v>v</v>
      </c>
      <c r="F238" s="2" t="str">
        <f t="shared" si="9"/>
        <v/>
      </c>
      <c r="G238" s="2" t="str">
        <f t="shared" si="11"/>
        <v/>
      </c>
      <c r="H238" s="2" t="str">
        <f t="shared" si="10"/>
        <v/>
      </c>
      <c r="I238" s="2" t="str">
        <f>IF(Return!C238=0,REPLACE(INDEX(H:H,ROW()+Return!B238,),1,2,Return!E238&amp;"(")&amp;")","")</f>
        <v>v(v)</v>
      </c>
      <c r="M238" s="1"/>
    </row>
    <row r="239" spans="1:13" x14ac:dyDescent="0.55000000000000004">
      <c r="A239" s="1" t="s">
        <v>1548</v>
      </c>
      <c r="B239" t="s">
        <v>1266</v>
      </c>
      <c r="C239" s="2">
        <f>Return!C239</f>
        <v>1</v>
      </c>
      <c r="D239" s="2">
        <f>COUNTA(Argument!E239)</f>
        <v>1</v>
      </c>
      <c r="E239" s="2" t="str">
        <f>IF(C239,Return!D239,Return!E239)</f>
        <v>v</v>
      </c>
      <c r="F239" s="2" t="str">
        <f t="shared" si="9"/>
        <v>v</v>
      </c>
      <c r="G239" s="2" t="str">
        <f t="shared" si="11"/>
        <v>v</v>
      </c>
      <c r="H239" s="2" t="str">
        <f t="shared" si="10"/>
        <v>, v</v>
      </c>
      <c r="I239" s="2" t="str">
        <f>IF(Return!C239=0,REPLACE(INDEX(H:H,ROW()+Return!B239,),1,2,Return!E239&amp;"(")&amp;")","")</f>
        <v/>
      </c>
      <c r="M239" s="1"/>
    </row>
    <row r="240" spans="1:13" x14ac:dyDescent="0.55000000000000004">
      <c r="A240" s="1" t="s">
        <v>1476</v>
      </c>
      <c r="C240" s="2">
        <f>Return!C240</f>
        <v>0</v>
      </c>
      <c r="D240" s="2">
        <f>COUNTA(Argument!E240)</f>
        <v>1</v>
      </c>
      <c r="E240" s="2" t="str">
        <f>IF(C240,Return!D240,Return!E240)</f>
        <v>v</v>
      </c>
      <c r="F240" s="2" t="str">
        <f t="shared" si="9"/>
        <v/>
      </c>
      <c r="G240" s="2" t="str">
        <f t="shared" si="11"/>
        <v/>
      </c>
      <c r="H240" s="2" t="str">
        <f t="shared" si="10"/>
        <v/>
      </c>
      <c r="I240" s="2" t="str">
        <f>IF(Return!C240=0,REPLACE(INDEX(H:H,ROW()+Return!B240,),1,2,Return!E240&amp;"(")&amp;")","")</f>
        <v>v()</v>
      </c>
      <c r="M240" s="1"/>
    </row>
    <row r="241" spans="1:13" x14ac:dyDescent="0.55000000000000004">
      <c r="A241" s="1" t="s">
        <v>1549</v>
      </c>
      <c r="C241" s="2">
        <f>Return!C241</f>
        <v>0</v>
      </c>
      <c r="D241" s="2">
        <f>COUNTA(Argument!E241)</f>
        <v>0</v>
      </c>
      <c r="E241" s="2" t="str">
        <f>IF(C241,Return!D241,Return!E241)</f>
        <v>v</v>
      </c>
      <c r="F241" s="2" t="str">
        <f t="shared" si="9"/>
        <v/>
      </c>
      <c r="G241" s="2" t="str">
        <f t="shared" si="11"/>
        <v/>
      </c>
      <c r="H241" s="2" t="str">
        <f t="shared" si="10"/>
        <v/>
      </c>
      <c r="I241" s="2" t="str">
        <f>IF(Return!C241=0,REPLACE(INDEX(H:H,ROW()+Return!B241,),1,2,Return!E241&amp;"(")&amp;")","")</f>
        <v>v(r)</v>
      </c>
      <c r="M241" s="1"/>
    </row>
    <row r="242" spans="1:13" x14ac:dyDescent="0.55000000000000004">
      <c r="A242" s="1" t="s">
        <v>1549</v>
      </c>
      <c r="B242" t="s">
        <v>1221</v>
      </c>
      <c r="C242" s="2">
        <f>Return!C242</f>
        <v>1</v>
      </c>
      <c r="D242" s="2">
        <f>COUNTA(Argument!E242)</f>
        <v>1</v>
      </c>
      <c r="E242" s="2" t="str">
        <f>IF(C242,Return!D242,Return!E242)</f>
        <v>r</v>
      </c>
      <c r="F242" s="2" t="str">
        <f t="shared" si="9"/>
        <v>r</v>
      </c>
      <c r="G242" s="2" t="str">
        <f t="shared" si="11"/>
        <v>r</v>
      </c>
      <c r="H242" s="2" t="str">
        <f t="shared" si="10"/>
        <v>, r</v>
      </c>
      <c r="I242" s="2" t="str">
        <f>IF(Return!C242=0,REPLACE(INDEX(H:H,ROW()+Return!B242,),1,2,Return!E242&amp;"(")&amp;")","")</f>
        <v/>
      </c>
      <c r="M242" s="1"/>
    </row>
    <row r="243" spans="1:13" x14ac:dyDescent="0.55000000000000004">
      <c r="A243" s="1" t="s">
        <v>1550</v>
      </c>
      <c r="C243" s="2">
        <f>Return!C243</f>
        <v>0</v>
      </c>
      <c r="D243" s="2">
        <f>COUNTA(Argument!E243)</f>
        <v>0</v>
      </c>
      <c r="E243" s="2" t="str">
        <f>IF(C243,Return!D243,Return!E243)</f>
        <v>v</v>
      </c>
      <c r="F243" s="2" t="str">
        <f t="shared" si="9"/>
        <v/>
      </c>
      <c r="G243" s="2" t="str">
        <f t="shared" si="11"/>
        <v/>
      </c>
      <c r="H243" s="2" t="str">
        <f t="shared" si="10"/>
        <v/>
      </c>
      <c r="I243" s="2" t="str">
        <f>IF(Return!C243=0,REPLACE(INDEX(H:H,ROW()+Return!B243,),1,2,Return!E243&amp;"(")&amp;")","")</f>
        <v>v(ar)</v>
      </c>
      <c r="M243" s="1"/>
    </row>
    <row r="244" spans="1:13" x14ac:dyDescent="0.55000000000000004">
      <c r="A244" s="1" t="s">
        <v>1550</v>
      </c>
      <c r="B244" t="s">
        <v>1230</v>
      </c>
      <c r="C244" s="2">
        <f>Return!C244</f>
        <v>1</v>
      </c>
      <c r="D244" s="2">
        <f>COUNTA(Argument!E244)</f>
        <v>1</v>
      </c>
      <c r="E244" s="2" t="str">
        <f>IF(C244,Return!D244,Return!E244)</f>
        <v>ar</v>
      </c>
      <c r="F244" s="2" t="str">
        <f t="shared" si="9"/>
        <v>ar</v>
      </c>
      <c r="G244" s="2" t="str">
        <f t="shared" si="11"/>
        <v>ar</v>
      </c>
      <c r="H244" s="2" t="str">
        <f t="shared" si="10"/>
        <v>, ar</v>
      </c>
      <c r="I244" s="2" t="str">
        <f>IF(Return!C244=0,REPLACE(INDEX(H:H,ROW()+Return!B244,),1,2,Return!E244&amp;"(")&amp;")","")</f>
        <v/>
      </c>
      <c r="M244" s="1"/>
    </row>
    <row r="245" spans="1:13" x14ac:dyDescent="0.55000000000000004">
      <c r="A245" s="1" t="s">
        <v>1551</v>
      </c>
      <c r="C245" s="2">
        <f>Return!C245</f>
        <v>0</v>
      </c>
      <c r="D245" s="2">
        <f>COUNTA(Argument!E245)</f>
        <v>0</v>
      </c>
      <c r="E245" s="2" t="str">
        <f>IF(C245,Return!D245,Return!E245)</f>
        <v>v</v>
      </c>
      <c r="F245" s="2" t="str">
        <f t="shared" si="9"/>
        <v/>
      </c>
      <c r="G245" s="2" t="str">
        <f t="shared" si="11"/>
        <v/>
      </c>
      <c r="H245" s="2" t="str">
        <f t="shared" si="10"/>
        <v/>
      </c>
      <c r="I245" s="2" t="str">
        <f>IF(Return!C245=0,REPLACE(INDEX(H:H,ROW()+Return!B245,),1,2,Return!E245&amp;"(")&amp;")","")</f>
        <v>v(ar)</v>
      </c>
      <c r="M245" s="1"/>
    </row>
    <row r="246" spans="1:13" x14ac:dyDescent="0.55000000000000004">
      <c r="A246" s="1" t="s">
        <v>1551</v>
      </c>
      <c r="B246" t="s">
        <v>1230</v>
      </c>
      <c r="C246" s="2">
        <f>Return!C246</f>
        <v>1</v>
      </c>
      <c r="D246" s="2">
        <f>COUNTA(Argument!E246)</f>
        <v>1</v>
      </c>
      <c r="E246" s="2" t="str">
        <f>IF(C246,Return!D246,Return!E246)</f>
        <v>ar</v>
      </c>
      <c r="F246" s="2" t="str">
        <f t="shared" si="9"/>
        <v>ar</v>
      </c>
      <c r="G246" s="2" t="str">
        <f t="shared" si="11"/>
        <v>ar</v>
      </c>
      <c r="H246" s="2" t="str">
        <f t="shared" si="10"/>
        <v>, ar</v>
      </c>
      <c r="I246" s="2" t="str">
        <f>IF(Return!C246=0,REPLACE(INDEX(H:H,ROW()+Return!B246,),1,2,Return!E246&amp;"(")&amp;")","")</f>
        <v/>
      </c>
      <c r="M246" s="1"/>
    </row>
    <row r="247" spans="1:13" x14ac:dyDescent="0.55000000000000004">
      <c r="A247" s="1" t="s">
        <v>1552</v>
      </c>
      <c r="C247" s="2">
        <f>Return!C247</f>
        <v>0</v>
      </c>
      <c r="D247" s="2">
        <f>COUNTA(Argument!E247)</f>
        <v>0</v>
      </c>
      <c r="E247" s="2" t="str">
        <f>IF(C247,Return!D247,Return!E247)</f>
        <v>r</v>
      </c>
      <c r="F247" s="2" t="str">
        <f t="shared" si="9"/>
        <v/>
      </c>
      <c r="G247" s="2" t="str">
        <f t="shared" si="11"/>
        <v/>
      </c>
      <c r="H247" s="2" t="str">
        <f t="shared" si="10"/>
        <v/>
      </c>
      <c r="I247" s="2" t="str">
        <f>IF(Return!C247=0,REPLACE(INDEX(H:H,ROW()+Return!B247,),1,2,Return!E247&amp;"(")&amp;")","")</f>
        <v>r(r, v, v, [v], [v])</v>
      </c>
      <c r="M247" s="1"/>
    </row>
    <row r="248" spans="1:13" x14ac:dyDescent="0.55000000000000004">
      <c r="A248" s="1" t="s">
        <v>1552</v>
      </c>
      <c r="B248" t="s">
        <v>1221</v>
      </c>
      <c r="C248" s="2">
        <f>Return!C248</f>
        <v>1</v>
      </c>
      <c r="D248" s="2">
        <f>COUNTA(Argument!E248)</f>
        <v>0</v>
      </c>
      <c r="E248" s="2" t="str">
        <f>IF(C248,Return!D248,Return!E248)</f>
        <v>r</v>
      </c>
      <c r="F248" s="2" t="str">
        <f t="shared" si="9"/>
        <v>r</v>
      </c>
      <c r="G248" s="2" t="str">
        <f t="shared" si="11"/>
        <v>r</v>
      </c>
      <c r="H248" s="2" t="str">
        <f t="shared" si="10"/>
        <v>, r</v>
      </c>
      <c r="I248" s="2" t="str">
        <f>IF(Return!C248=0,REPLACE(INDEX(H:H,ROW()+Return!B248,),1,2,Return!E248&amp;"(")&amp;")","")</f>
        <v/>
      </c>
      <c r="M248" s="1"/>
    </row>
    <row r="249" spans="1:13" x14ac:dyDescent="0.55000000000000004">
      <c r="A249" s="1" t="s">
        <v>1552</v>
      </c>
      <c r="B249" t="s">
        <v>1268</v>
      </c>
      <c r="C249" s="2">
        <f>Return!C249</f>
        <v>2</v>
      </c>
      <c r="D249" s="2">
        <f>COUNTA(Argument!E249)</f>
        <v>0</v>
      </c>
      <c r="E249" s="2" t="str">
        <f>IF(C249,Return!D249,Return!E249)</f>
        <v>v</v>
      </c>
      <c r="F249" s="2" t="str">
        <f t="shared" si="9"/>
        <v>v</v>
      </c>
      <c r="G249" s="2" t="str">
        <f t="shared" si="11"/>
        <v>v</v>
      </c>
      <c r="H249" s="2" t="str">
        <f t="shared" si="10"/>
        <v>, r, v</v>
      </c>
      <c r="I249" s="2" t="str">
        <f>IF(Return!C249=0,REPLACE(INDEX(H:H,ROW()+Return!B249,),1,2,Return!E249&amp;"(")&amp;")","")</f>
        <v/>
      </c>
      <c r="M249" s="1"/>
    </row>
    <row r="250" spans="1:13" x14ac:dyDescent="0.55000000000000004">
      <c r="A250" s="1" t="s">
        <v>1552</v>
      </c>
      <c r="B250" t="s">
        <v>1269</v>
      </c>
      <c r="C250" s="2">
        <f>Return!C250</f>
        <v>3</v>
      </c>
      <c r="D250" s="2">
        <f>COUNTA(Argument!E250)</f>
        <v>1</v>
      </c>
      <c r="E250" s="2" t="str">
        <f>IF(C250,Return!D250,Return!E250)</f>
        <v>v</v>
      </c>
      <c r="F250" s="2" t="str">
        <f t="shared" si="9"/>
        <v>v</v>
      </c>
      <c r="G250" s="2" t="str">
        <f t="shared" si="11"/>
        <v>v</v>
      </c>
      <c r="H250" s="2" t="str">
        <f t="shared" si="10"/>
        <v>, r, v, v</v>
      </c>
      <c r="I250" s="2" t="str">
        <f>IF(Return!C250=0,REPLACE(INDEX(H:H,ROW()+Return!B250,),1,2,Return!E250&amp;"(")&amp;")","")</f>
        <v/>
      </c>
      <c r="M250" s="1"/>
    </row>
    <row r="251" spans="1:13" x14ac:dyDescent="0.55000000000000004">
      <c r="A251" s="1" t="s">
        <v>1552</v>
      </c>
      <c r="B251" t="s">
        <v>1270</v>
      </c>
      <c r="C251" s="2">
        <f>Return!C251</f>
        <v>4</v>
      </c>
      <c r="D251" s="2">
        <f>COUNTA(Argument!E251)</f>
        <v>1</v>
      </c>
      <c r="E251" s="2" t="str">
        <f>IF(C251,Return!D251,Return!E251)</f>
        <v>v</v>
      </c>
      <c r="F251" s="2" t="str">
        <f t="shared" si="9"/>
        <v>[v]</v>
      </c>
      <c r="G251" s="2" t="str">
        <f t="shared" si="11"/>
        <v>[v]</v>
      </c>
      <c r="H251" s="2" t="str">
        <f t="shared" si="10"/>
        <v>, r, v, v, [v]</v>
      </c>
      <c r="I251" s="2" t="str">
        <f>IF(Return!C251=0,REPLACE(INDEX(H:H,ROW()+Return!B251,),1,2,Return!E251&amp;"(")&amp;")","")</f>
        <v/>
      </c>
      <c r="M251" s="1"/>
    </row>
    <row r="252" spans="1:13" x14ac:dyDescent="0.55000000000000004">
      <c r="A252" s="1" t="s">
        <v>1552</v>
      </c>
      <c r="B252" t="s">
        <v>1271</v>
      </c>
      <c r="C252" s="2">
        <f>Return!C252</f>
        <v>5</v>
      </c>
      <c r="D252" s="2">
        <f>COUNTA(Argument!E252)</f>
        <v>1</v>
      </c>
      <c r="E252" s="2" t="str">
        <f>IF(C252,Return!D252,Return!E252)</f>
        <v>v</v>
      </c>
      <c r="F252" s="2" t="str">
        <f t="shared" si="9"/>
        <v>[v]</v>
      </c>
      <c r="G252" s="2" t="str">
        <f t="shared" si="11"/>
        <v>[v]</v>
      </c>
      <c r="H252" s="2" t="str">
        <f t="shared" si="10"/>
        <v>, r, v, v, [v], [v]</v>
      </c>
      <c r="I252" s="2" t="str">
        <f>IF(Return!C252=0,REPLACE(INDEX(H:H,ROW()+Return!B252,),1,2,Return!E252&amp;"(")&amp;")","")</f>
        <v/>
      </c>
      <c r="M252" s="1"/>
    </row>
    <row r="253" spans="1:13" x14ac:dyDescent="0.55000000000000004">
      <c r="A253" s="1" t="s">
        <v>1553</v>
      </c>
      <c r="C253" s="2">
        <f>Return!C253</f>
        <v>0</v>
      </c>
      <c r="D253" s="2">
        <f>COUNTA(Argument!E253)</f>
        <v>0</v>
      </c>
      <c r="E253" s="2" t="str">
        <f>IF(C253,Return!D253,Return!E253)</f>
        <v>r</v>
      </c>
      <c r="F253" s="2" t="str">
        <f t="shared" si="9"/>
        <v/>
      </c>
      <c r="G253" s="2" t="str">
        <f t="shared" si="11"/>
        <v/>
      </c>
      <c r="H253" s="2" t="str">
        <f t="shared" si="10"/>
        <v/>
      </c>
      <c r="I253" s="2" t="str">
        <f>IF(Return!C253=0,REPLACE(INDEX(H:H,ROW()+Return!B253,),1,2,Return!E253&amp;"(")&amp;")","")</f>
        <v>r(v, r)</v>
      </c>
      <c r="M253" s="1"/>
    </row>
    <row r="254" spans="1:13" x14ac:dyDescent="0.55000000000000004">
      <c r="A254" s="1" t="s">
        <v>1553</v>
      </c>
      <c r="B254" t="s">
        <v>1296</v>
      </c>
      <c r="C254" s="2">
        <f>Return!C254</f>
        <v>1</v>
      </c>
      <c r="D254" s="2">
        <f>COUNTA(Argument!E254)</f>
        <v>0</v>
      </c>
      <c r="E254" s="2" t="str">
        <f>IF(C254,Return!D254,Return!E254)</f>
        <v>v</v>
      </c>
      <c r="F254" s="2" t="str">
        <f t="shared" si="9"/>
        <v>v</v>
      </c>
      <c r="G254" s="2" t="str">
        <f t="shared" si="11"/>
        <v>v</v>
      </c>
      <c r="H254" s="2" t="str">
        <f t="shared" si="10"/>
        <v>, v</v>
      </c>
      <c r="I254" s="2" t="str">
        <f>IF(Return!C254=0,REPLACE(INDEX(H:H,ROW()+Return!B254,),1,2,Return!E254&amp;"(")&amp;")","")</f>
        <v/>
      </c>
      <c r="M254" s="1"/>
    </row>
    <row r="255" spans="1:13" x14ac:dyDescent="0.55000000000000004">
      <c r="A255" s="1" t="s">
        <v>1553</v>
      </c>
      <c r="B255" t="s">
        <v>1221</v>
      </c>
      <c r="C255" s="2">
        <f>Return!C255</f>
        <v>2</v>
      </c>
      <c r="D255" s="2">
        <f>COUNTA(Argument!E255)</f>
        <v>1</v>
      </c>
      <c r="E255" s="2" t="str">
        <f>IF(C255,Return!D255,Return!E255)</f>
        <v>r</v>
      </c>
      <c r="F255" s="2" t="str">
        <f t="shared" si="9"/>
        <v>r</v>
      </c>
      <c r="G255" s="2" t="str">
        <f t="shared" si="11"/>
        <v>r</v>
      </c>
      <c r="H255" s="2" t="str">
        <f t="shared" si="10"/>
        <v>, v, r</v>
      </c>
      <c r="I255" s="2" t="str">
        <f>IF(Return!C255=0,REPLACE(INDEX(H:H,ROW()+Return!B255,),1,2,Return!E255&amp;"(")&amp;")","")</f>
        <v/>
      </c>
      <c r="M255" s="1"/>
    </row>
    <row r="256" spans="1:13" x14ac:dyDescent="0.55000000000000004">
      <c r="A256" s="1" t="s">
        <v>1554</v>
      </c>
      <c r="C256" s="2">
        <f>Return!C256</f>
        <v>0</v>
      </c>
      <c r="D256" s="2">
        <f>COUNTA(Argument!E256)</f>
        <v>0</v>
      </c>
      <c r="E256" s="2" t="str">
        <f>IF(C256,Return!D256,Return!E256)</f>
        <v>v</v>
      </c>
      <c r="F256" s="2" t="str">
        <f t="shared" si="9"/>
        <v/>
      </c>
      <c r="G256" s="2" t="str">
        <f t="shared" si="11"/>
        <v/>
      </c>
      <c r="H256" s="2" t="str">
        <f t="shared" si="10"/>
        <v/>
      </c>
      <c r="I256" s="2" t="str">
        <f>IF(Return!C256=0,REPLACE(INDEX(H:H,ROW()+Return!B256,),1,2,Return!E256&amp;"(")&amp;")","")</f>
        <v>v(r, r)</v>
      </c>
      <c r="M256" s="1"/>
    </row>
    <row r="257" spans="1:13" x14ac:dyDescent="0.55000000000000004">
      <c r="A257" s="1" t="s">
        <v>1554</v>
      </c>
      <c r="B257" t="s">
        <v>1221</v>
      </c>
      <c r="C257" s="2">
        <f>Return!C257</f>
        <v>1</v>
      </c>
      <c r="D257" s="2">
        <f>COUNTA(Argument!E257)</f>
        <v>0</v>
      </c>
      <c r="E257" s="2" t="str">
        <f>IF(C257,Return!D257,Return!E257)</f>
        <v>r</v>
      </c>
      <c r="F257" s="2" t="str">
        <f t="shared" si="9"/>
        <v>r</v>
      </c>
      <c r="G257" s="2" t="str">
        <f t="shared" si="11"/>
        <v>r</v>
      </c>
      <c r="H257" s="2" t="str">
        <f t="shared" si="10"/>
        <v>, r</v>
      </c>
      <c r="I257" s="2" t="str">
        <f>IF(Return!C257=0,REPLACE(INDEX(H:H,ROW()+Return!B257,),1,2,Return!E257&amp;"(")&amp;")","")</f>
        <v/>
      </c>
      <c r="M257" s="1"/>
    </row>
    <row r="258" spans="1:13" x14ac:dyDescent="0.55000000000000004">
      <c r="A258" s="1" t="s">
        <v>1554</v>
      </c>
      <c r="B258" t="s">
        <v>2002</v>
      </c>
      <c r="C258" s="2">
        <f>Return!C258</f>
        <v>2</v>
      </c>
      <c r="D258" s="2">
        <f>COUNTA(Argument!E258)</f>
        <v>1</v>
      </c>
      <c r="E258" s="2" t="str">
        <f>IF(C258,Return!D258,Return!E258)</f>
        <v>r</v>
      </c>
      <c r="F258" s="2" t="str">
        <f t="shared" si="9"/>
        <v>r</v>
      </c>
      <c r="G258" s="2" t="str">
        <f t="shared" si="11"/>
        <v>r</v>
      </c>
      <c r="H258" s="2" t="str">
        <f t="shared" si="10"/>
        <v>, r, r</v>
      </c>
      <c r="I258" s="2" t="str">
        <f>IF(Return!C258=0,REPLACE(INDEX(H:H,ROW()+Return!B258,),1,2,Return!E258&amp;"(")&amp;")","")</f>
        <v/>
      </c>
      <c r="M258" s="1"/>
    </row>
    <row r="259" spans="1:13" x14ac:dyDescent="0.55000000000000004">
      <c r="A259" s="1" t="s">
        <v>1555</v>
      </c>
      <c r="C259" s="2">
        <f>Return!C259</f>
        <v>0</v>
      </c>
      <c r="D259" s="2">
        <f>COUNTA(Argument!E259)</f>
        <v>1</v>
      </c>
      <c r="E259" s="2" t="str">
        <f>IF(C259,Return!D259,Return!E259)</f>
        <v>v</v>
      </c>
      <c r="F259" s="2" t="str">
        <f t="shared" ref="F259:F322" si="12">IF(C259,IF(D259,IF(D258,"["&amp;E259&amp;"]",E259),E259),"")</f>
        <v/>
      </c>
      <c r="G259" s="2" t="str">
        <f t="shared" si="11"/>
        <v/>
      </c>
      <c r="H259" s="2" t="str">
        <f t="shared" ref="H259:H322" si="13">IF(C259&gt;0,H258&amp;", "&amp;G259,"")</f>
        <v/>
      </c>
      <c r="I259" s="2" t="str">
        <f>IF(Return!C259=0,REPLACE(INDEX(H:H,ROW()+Return!B259,),1,2,Return!E259&amp;"(")&amp;")","")</f>
        <v>v([v], [vr])</v>
      </c>
      <c r="M259" s="1"/>
    </row>
    <row r="260" spans="1:13" x14ac:dyDescent="0.55000000000000004">
      <c r="A260" s="1" t="s">
        <v>1555</v>
      </c>
      <c r="B260" t="s">
        <v>1919</v>
      </c>
      <c r="C260" s="2">
        <f>Return!C260</f>
        <v>1</v>
      </c>
      <c r="D260" s="2">
        <f>COUNTA(Argument!E260)</f>
        <v>1</v>
      </c>
      <c r="E260" s="2" t="str">
        <f>IF(C260,Return!D260,Return!E260)</f>
        <v>v</v>
      </c>
      <c r="F260" s="2" t="str">
        <f t="shared" si="12"/>
        <v>[v]</v>
      </c>
      <c r="G260" s="2" t="str">
        <f t="shared" ref="G260:G323" si="14">IF(B260="...",IF(C261&gt;0,"["&amp;E260,"…"),IF(B259=" ...",IF(C260&gt;0,E260&amp;"], …",F260),F260))</f>
        <v>[v]</v>
      </c>
      <c r="H260" s="2" t="str">
        <f t="shared" si="13"/>
        <v>, [v]</v>
      </c>
      <c r="I260" s="2" t="str">
        <f>IF(Return!C260=0,REPLACE(INDEX(H:H,ROW()+Return!B260,),1,2,Return!E260&amp;"(")&amp;")","")</f>
        <v/>
      </c>
      <c r="M260" s="1"/>
    </row>
    <row r="261" spans="1:13" x14ac:dyDescent="0.55000000000000004">
      <c r="A261" s="1" t="s">
        <v>1555</v>
      </c>
      <c r="B261" t="s">
        <v>2003</v>
      </c>
      <c r="C261" s="2">
        <f>Return!C261</f>
        <v>2</v>
      </c>
      <c r="D261" s="2">
        <f>COUNTA(Argument!E261)</f>
        <v>1</v>
      </c>
      <c r="E261" s="2" t="str">
        <f>IF(C261,Return!D261,Return!E261)</f>
        <v>vr</v>
      </c>
      <c r="F261" s="2" t="str">
        <f t="shared" si="12"/>
        <v>[vr]</v>
      </c>
      <c r="G261" s="2" t="str">
        <f t="shared" si="14"/>
        <v>[vr]</v>
      </c>
      <c r="H261" s="2" t="str">
        <f t="shared" si="13"/>
        <v>, [v], [vr]</v>
      </c>
      <c r="I261" s="2" t="str">
        <f>IF(Return!C261=0,REPLACE(INDEX(H:H,ROW()+Return!B261,),1,2,Return!E261&amp;"(")&amp;")","")</f>
        <v/>
      </c>
      <c r="M261" s="1"/>
    </row>
    <row r="262" spans="1:13" x14ac:dyDescent="0.55000000000000004">
      <c r="A262" s="1" t="s">
        <v>1556</v>
      </c>
      <c r="C262" s="2">
        <f>Return!C262</f>
        <v>0</v>
      </c>
      <c r="D262" s="2">
        <f>COUNTA(Argument!E262)</f>
        <v>0</v>
      </c>
      <c r="E262" s="2" t="str">
        <f>IF(C262,Return!D262,Return!E262)</f>
        <v>v</v>
      </c>
      <c r="F262" s="2" t="str">
        <f t="shared" si="12"/>
        <v/>
      </c>
      <c r="G262" s="2" t="str">
        <f t="shared" si="14"/>
        <v/>
      </c>
      <c r="H262" s="2" t="str">
        <f t="shared" si="13"/>
        <v/>
      </c>
      <c r="I262" s="2" t="str">
        <f>IF(Return!C262=0,REPLACE(INDEX(H:H,ROW()+Return!B262,),1,2,Return!E262&amp;"(")&amp;")","")</f>
        <v>v(v, v, [v])</v>
      </c>
      <c r="M262" s="1"/>
    </row>
    <row r="263" spans="1:13" x14ac:dyDescent="0.55000000000000004">
      <c r="A263" s="1" t="s">
        <v>1556</v>
      </c>
      <c r="B263" t="s">
        <v>1272</v>
      </c>
      <c r="C263" s="2">
        <f>Return!C263</f>
        <v>1</v>
      </c>
      <c r="D263" s="2">
        <f>COUNTA(Argument!E263)</f>
        <v>0</v>
      </c>
      <c r="E263" s="2" t="str">
        <f>IF(C263,Return!D263,Return!E263)</f>
        <v>v</v>
      </c>
      <c r="F263" s="2" t="str">
        <f t="shared" si="12"/>
        <v>v</v>
      </c>
      <c r="G263" s="2" t="str">
        <f t="shared" si="14"/>
        <v>v</v>
      </c>
      <c r="H263" s="2" t="str">
        <f t="shared" si="13"/>
        <v>, v</v>
      </c>
      <c r="I263" s="2" t="str">
        <f>IF(Return!C263=0,REPLACE(INDEX(H:H,ROW()+Return!B263,),1,2,Return!E263&amp;"(")&amp;")","")</f>
        <v/>
      </c>
      <c r="M263" s="1"/>
    </row>
    <row r="264" spans="1:13" x14ac:dyDescent="0.55000000000000004">
      <c r="A264" s="1" t="s">
        <v>1556</v>
      </c>
      <c r="B264" t="s">
        <v>1273</v>
      </c>
      <c r="C264" s="2">
        <f>Return!C264</f>
        <v>2</v>
      </c>
      <c r="D264" s="2">
        <f>COUNTA(Argument!E264)</f>
        <v>1</v>
      </c>
      <c r="E264" s="2" t="str">
        <f>IF(C264,Return!D264,Return!E264)</f>
        <v>v</v>
      </c>
      <c r="F264" s="2" t="str">
        <f t="shared" si="12"/>
        <v>v</v>
      </c>
      <c r="G264" s="2" t="str">
        <f t="shared" si="14"/>
        <v>v</v>
      </c>
      <c r="H264" s="2" t="str">
        <f t="shared" si="13"/>
        <v>, v, v</v>
      </c>
      <c r="I264" s="2" t="str">
        <f>IF(Return!C264=0,REPLACE(INDEX(H:H,ROW()+Return!B264,),1,2,Return!E264&amp;"(")&amp;")","")</f>
        <v/>
      </c>
      <c r="M264" s="1"/>
    </row>
    <row r="265" spans="1:13" x14ac:dyDescent="0.55000000000000004">
      <c r="A265" s="1" t="s">
        <v>1556</v>
      </c>
      <c r="B265" t="s">
        <v>1235</v>
      </c>
      <c r="C265" s="2">
        <f>Return!C265</f>
        <v>3</v>
      </c>
      <c r="D265" s="2">
        <f>COUNTA(Argument!E265)</f>
        <v>1</v>
      </c>
      <c r="E265" s="2" t="str">
        <f>IF(C265,Return!D265,Return!E265)</f>
        <v>v</v>
      </c>
      <c r="F265" s="2" t="str">
        <f t="shared" si="12"/>
        <v>[v]</v>
      </c>
      <c r="G265" s="2" t="str">
        <f t="shared" si="14"/>
        <v>[v]</v>
      </c>
      <c r="H265" s="2" t="str">
        <f t="shared" si="13"/>
        <v>, v, v, [v]</v>
      </c>
      <c r="I265" s="2" t="str">
        <f>IF(Return!C265=0,REPLACE(INDEX(H:H,ROW()+Return!B265,),1,2,Return!E265&amp;"(")&amp;")","")</f>
        <v/>
      </c>
      <c r="M265" s="1"/>
    </row>
    <row r="266" spans="1:13" x14ac:dyDescent="0.55000000000000004">
      <c r="A266" s="1" t="s">
        <v>1557</v>
      </c>
      <c r="C266" s="2">
        <f>Return!C266</f>
        <v>0</v>
      </c>
      <c r="D266" s="2">
        <f>COUNTA(Argument!E266)</f>
        <v>0</v>
      </c>
      <c r="E266" s="2" t="str">
        <f>IF(C266,Return!D266,Return!E266)</f>
        <v>a</v>
      </c>
      <c r="F266" s="2" t="str">
        <f t="shared" si="12"/>
        <v/>
      </c>
      <c r="G266" s="2" t="str">
        <f t="shared" si="14"/>
        <v/>
      </c>
      <c r="H266" s="2" t="str">
        <f t="shared" si="13"/>
        <v/>
      </c>
      <c r="I266" s="2" t="str">
        <f>IF(Return!C266=0,REPLACE(INDEX(H:H,ROW()+Return!B266,),1,2,Return!E266&amp;"(")&amp;")","")</f>
        <v>a(va)</v>
      </c>
      <c r="M266" s="1"/>
    </row>
    <row r="267" spans="1:13" x14ac:dyDescent="0.55000000000000004">
      <c r="A267" s="1" t="s">
        <v>1557</v>
      </c>
      <c r="B267" t="s">
        <v>1230</v>
      </c>
      <c r="C267" s="2">
        <f>Return!C267</f>
        <v>1</v>
      </c>
      <c r="D267" s="2">
        <f>COUNTA(Argument!E267)</f>
        <v>1</v>
      </c>
      <c r="E267" s="2" t="str">
        <f>IF(C267,Return!D267,Return!E267)</f>
        <v>va</v>
      </c>
      <c r="F267" s="2" t="str">
        <f t="shared" si="12"/>
        <v>va</v>
      </c>
      <c r="G267" s="2" t="str">
        <f t="shared" si="14"/>
        <v>va</v>
      </c>
      <c r="H267" s="2" t="str">
        <f t="shared" si="13"/>
        <v>, va</v>
      </c>
      <c r="I267" s="2" t="str">
        <f>IF(Return!C267=0,REPLACE(INDEX(H:H,ROW()+Return!B267,),1,2,Return!E267&amp;"(")&amp;")","")</f>
        <v/>
      </c>
      <c r="M267" s="1"/>
    </row>
    <row r="268" spans="1:13" x14ac:dyDescent="0.55000000000000004">
      <c r="A268" s="1" t="s">
        <v>1558</v>
      </c>
      <c r="C268" s="2">
        <f>Return!C268</f>
        <v>0</v>
      </c>
      <c r="D268" s="2">
        <f>COUNTA(Argument!E268)</f>
        <v>1</v>
      </c>
      <c r="E268" s="2" t="str">
        <f>IF(C268,Return!D268,Return!E268)</f>
        <v>v</v>
      </c>
      <c r="F268" s="2" t="str">
        <f t="shared" si="12"/>
        <v/>
      </c>
      <c r="G268" s="2" t="str">
        <f t="shared" si="14"/>
        <v/>
      </c>
      <c r="H268" s="2" t="str">
        <f t="shared" si="13"/>
        <v/>
      </c>
      <c r="I268" s="2" t="str">
        <f>IF(Return!C268=0,REPLACE(INDEX(H:H,ROW()+Return!B268,),1,2,Return!E268&amp;"(")&amp;")","")</f>
        <v>v([v], [vr])</v>
      </c>
      <c r="M268" s="1"/>
    </row>
    <row r="269" spans="1:13" x14ac:dyDescent="0.55000000000000004">
      <c r="A269" s="1" t="s">
        <v>1558</v>
      </c>
      <c r="B269" t="s">
        <v>1920</v>
      </c>
      <c r="C269" s="2">
        <f>Return!C269</f>
        <v>1</v>
      </c>
      <c r="D269" s="2">
        <f>COUNTA(Argument!E269)</f>
        <v>1</v>
      </c>
      <c r="E269" s="2" t="str">
        <f>IF(C269,Return!D269,Return!E269)</f>
        <v>v</v>
      </c>
      <c r="F269" s="2" t="str">
        <f t="shared" si="12"/>
        <v>[v]</v>
      </c>
      <c r="G269" s="2" t="str">
        <f t="shared" si="14"/>
        <v>[v]</v>
      </c>
      <c r="H269" s="2" t="str">
        <f t="shared" si="13"/>
        <v>, [v]</v>
      </c>
      <c r="I269" s="2" t="str">
        <f>IF(Return!C269=0,REPLACE(INDEX(H:H,ROW()+Return!B269,),1,2,Return!E269&amp;"(")&amp;")","")</f>
        <v/>
      </c>
      <c r="M269" s="1"/>
    </row>
    <row r="270" spans="1:13" x14ac:dyDescent="0.55000000000000004">
      <c r="A270" s="1" t="s">
        <v>1558</v>
      </c>
      <c r="B270" t="s">
        <v>2004</v>
      </c>
      <c r="C270" s="2">
        <f>Return!C270</f>
        <v>2</v>
      </c>
      <c r="D270" s="2">
        <f>COUNTA(Argument!E270)</f>
        <v>1</v>
      </c>
      <c r="E270" s="2" t="str">
        <f>IF(C270,Return!D270,Return!E270)</f>
        <v>vr</v>
      </c>
      <c r="F270" s="2" t="str">
        <f t="shared" si="12"/>
        <v>[vr]</v>
      </c>
      <c r="G270" s="2" t="str">
        <f t="shared" si="14"/>
        <v>[vr]</v>
      </c>
      <c r="H270" s="2" t="str">
        <f t="shared" si="13"/>
        <v>, [v], [vr]</v>
      </c>
      <c r="I270" s="2" t="str">
        <f>IF(Return!C270=0,REPLACE(INDEX(H:H,ROW()+Return!B270,),1,2,Return!E270&amp;"(")&amp;")","")</f>
        <v/>
      </c>
      <c r="M270" s="1"/>
    </row>
    <row r="271" spans="1:13" x14ac:dyDescent="0.55000000000000004">
      <c r="A271" s="1" t="s">
        <v>1477</v>
      </c>
      <c r="C271" s="2">
        <f>Return!C271</f>
        <v>0</v>
      </c>
      <c r="D271" s="2">
        <f>COUNTA(Argument!E271)</f>
        <v>1</v>
      </c>
      <c r="E271" s="2" t="str">
        <f>IF(C271,Return!D271,Return!E271)</f>
        <v>v</v>
      </c>
      <c r="F271" s="2" t="str">
        <f t="shared" si="12"/>
        <v/>
      </c>
      <c r="G271" s="2" t="str">
        <f t="shared" si="14"/>
        <v/>
      </c>
      <c r="H271" s="2" t="str">
        <f t="shared" si="13"/>
        <v/>
      </c>
      <c r="I271" s="2" t="str">
        <f>IF(Return!C271=0,REPLACE(INDEX(H:H,ROW()+Return!B271,),1,2,Return!E271&amp;"(")&amp;")","")</f>
        <v>v()</v>
      </c>
      <c r="M271" s="1"/>
    </row>
    <row r="272" spans="1:13" x14ac:dyDescent="0.55000000000000004">
      <c r="A272" s="1" t="s">
        <v>1559</v>
      </c>
      <c r="C272" s="2">
        <f>Return!C272</f>
        <v>0</v>
      </c>
      <c r="D272" s="2">
        <f>COUNTA(Argument!E272)</f>
        <v>0</v>
      </c>
      <c r="E272" s="2" t="str">
        <f>IF(C272,Return!D272,Return!E272)</f>
        <v>v</v>
      </c>
      <c r="F272" s="2" t="str">
        <f t="shared" si="12"/>
        <v/>
      </c>
      <c r="G272" s="2" t="str">
        <f t="shared" si="14"/>
        <v/>
      </c>
      <c r="H272" s="2" t="str">
        <f t="shared" si="13"/>
        <v/>
      </c>
      <c r="I272" s="2" t="str">
        <f>IF(Return!C272=0,REPLACE(INDEX(H:H,ROW()+Return!B272,),1,2,Return!E272&amp;"(")&amp;")","")</f>
        <v>v(va)</v>
      </c>
      <c r="M272" s="1"/>
    </row>
    <row r="273" spans="1:13" x14ac:dyDescent="0.55000000000000004">
      <c r="A273" s="1" t="s">
        <v>1559</v>
      </c>
      <c r="B273" t="s">
        <v>1218</v>
      </c>
      <c r="C273" s="2">
        <f>Return!C273</f>
        <v>1</v>
      </c>
      <c r="D273" s="2">
        <f>COUNTA(Argument!E273)</f>
        <v>1</v>
      </c>
      <c r="E273" s="2" t="str">
        <f>IF(C273,Return!D273,Return!E273)</f>
        <v>va</v>
      </c>
      <c r="F273" s="2" t="str">
        <f t="shared" si="12"/>
        <v>va</v>
      </c>
      <c r="G273" s="2" t="str">
        <f t="shared" si="14"/>
        <v>va</v>
      </c>
      <c r="H273" s="2" t="str">
        <f t="shared" si="13"/>
        <v>, va</v>
      </c>
      <c r="I273" s="2" t="str">
        <f>IF(Return!C273=0,REPLACE(INDEX(H:H,ROW()+Return!B273,),1,2,Return!E273&amp;"(")&amp;")","")</f>
        <v/>
      </c>
      <c r="M273" s="1"/>
    </row>
    <row r="274" spans="1:13" x14ac:dyDescent="0.55000000000000004">
      <c r="A274" s="1" t="s">
        <v>1560</v>
      </c>
      <c r="C274" s="2">
        <f>Return!C274</f>
        <v>0</v>
      </c>
      <c r="D274" s="2">
        <f>COUNTA(Argument!E274)</f>
        <v>1</v>
      </c>
      <c r="E274" s="2" t="str">
        <f>IF(C274,Return!D274,Return!E274)</f>
        <v>v</v>
      </c>
      <c r="F274" s="2" t="str">
        <f t="shared" si="12"/>
        <v/>
      </c>
      <c r="G274" s="2" t="str">
        <f t="shared" si="14"/>
        <v/>
      </c>
      <c r="H274" s="2" t="str">
        <f t="shared" si="13"/>
        <v/>
      </c>
      <c r="I274" s="2" t="str">
        <f>IF(Return!C274=0,REPLACE(INDEX(H:H,ROW()+Return!B274,),1,2,Return!E274&amp;"(")&amp;")","")</f>
        <v>v([v])</v>
      </c>
      <c r="M274" s="1"/>
    </row>
    <row r="275" spans="1:13" x14ac:dyDescent="0.55000000000000004">
      <c r="A275" s="1" t="s">
        <v>1560</v>
      </c>
      <c r="B275" t="s">
        <v>1239</v>
      </c>
      <c r="C275" s="2">
        <f>Return!C275</f>
        <v>1</v>
      </c>
      <c r="D275" s="2">
        <f>COUNTA(Argument!E275)</f>
        <v>1</v>
      </c>
      <c r="E275" s="2" t="str">
        <f>IF(C275,Return!D275,Return!E275)</f>
        <v>v</v>
      </c>
      <c r="F275" s="2" t="str">
        <f t="shared" si="12"/>
        <v>[v]</v>
      </c>
      <c r="G275" s="2" t="str">
        <f t="shared" si="14"/>
        <v>[v]</v>
      </c>
      <c r="H275" s="2" t="str">
        <f t="shared" si="13"/>
        <v>, [v]</v>
      </c>
      <c r="I275" s="2" t="str">
        <f>IF(Return!C275=0,REPLACE(INDEX(H:H,ROW()+Return!B275,),1,2,Return!E275&amp;"(")&amp;")","")</f>
        <v/>
      </c>
      <c r="M275" s="1"/>
    </row>
    <row r="276" spans="1:13" x14ac:dyDescent="0.55000000000000004">
      <c r="A276" s="1" t="s">
        <v>1561</v>
      </c>
      <c r="C276" s="2">
        <f>Return!C276</f>
        <v>0</v>
      </c>
      <c r="D276" s="2">
        <f>COUNTA(Argument!E276)</f>
        <v>0</v>
      </c>
      <c r="E276" s="2" t="str">
        <f>IF(C276,Return!D276,Return!E276)</f>
        <v>v</v>
      </c>
      <c r="F276" s="2" t="str">
        <f t="shared" si="12"/>
        <v/>
      </c>
      <c r="G276" s="2" t="str">
        <f t="shared" si="14"/>
        <v/>
      </c>
      <c r="H276" s="2" t="str">
        <f t="shared" si="13"/>
        <v/>
      </c>
      <c r="I276" s="2" t="str">
        <f>IF(Return!C276=0,REPLACE(INDEX(H:H,ROW()+Return!B276,),1,2,Return!E276&amp;"(")&amp;")","")</f>
        <v>v(v, [var])</v>
      </c>
      <c r="M276" s="1"/>
    </row>
    <row r="277" spans="1:13" x14ac:dyDescent="0.55000000000000004">
      <c r="A277" s="1" t="s">
        <v>1561</v>
      </c>
      <c r="B277" t="s">
        <v>1919</v>
      </c>
      <c r="C277" s="2">
        <f>Return!C277</f>
        <v>1</v>
      </c>
      <c r="D277" s="2">
        <f>COUNTA(Argument!E277)</f>
        <v>1</v>
      </c>
      <c r="E277" s="2" t="str">
        <f>IF(C277,Return!D277,Return!E277)</f>
        <v>v</v>
      </c>
      <c r="F277" s="2" t="str">
        <f t="shared" si="12"/>
        <v>v</v>
      </c>
      <c r="G277" s="2" t="str">
        <f t="shared" si="14"/>
        <v>v</v>
      </c>
      <c r="H277" s="2" t="str">
        <f t="shared" si="13"/>
        <v>, v</v>
      </c>
      <c r="I277" s="2" t="str">
        <f>IF(Return!C277=0,REPLACE(INDEX(H:H,ROW()+Return!B277,),1,2,Return!E277&amp;"(")&amp;")","")</f>
        <v/>
      </c>
      <c r="M277" s="1"/>
    </row>
    <row r="278" spans="1:13" x14ac:dyDescent="0.55000000000000004">
      <c r="A278" s="1" t="s">
        <v>1561</v>
      </c>
      <c r="B278" t="s">
        <v>1218</v>
      </c>
      <c r="C278" s="2">
        <f>Return!C278</f>
        <v>2</v>
      </c>
      <c r="D278" s="2">
        <f>COUNTA(Argument!E278)</f>
        <v>1</v>
      </c>
      <c r="E278" s="2" t="str">
        <f>IF(C278,Return!D278,Return!E278)</f>
        <v>var</v>
      </c>
      <c r="F278" s="2" t="str">
        <f t="shared" si="12"/>
        <v>[var]</v>
      </c>
      <c r="G278" s="2" t="str">
        <f t="shared" si="14"/>
        <v>[var]</v>
      </c>
      <c r="H278" s="2" t="str">
        <f t="shared" si="13"/>
        <v>, v, [var]</v>
      </c>
      <c r="I278" s="2" t="str">
        <f>IF(Return!C278=0,REPLACE(INDEX(H:H,ROW()+Return!B278,),1,2,Return!E278&amp;"(")&amp;")","")</f>
        <v/>
      </c>
      <c r="M278" s="1"/>
    </row>
    <row r="279" spans="1:13" x14ac:dyDescent="0.55000000000000004">
      <c r="A279" s="1" t="s">
        <v>1478</v>
      </c>
      <c r="C279" s="2">
        <f>Return!C279</f>
        <v>0</v>
      </c>
      <c r="D279" s="2">
        <f>COUNTA(Argument!E279)</f>
        <v>1</v>
      </c>
      <c r="E279" s="2" t="str">
        <f>IF(C279,Return!D279,Return!E279)</f>
        <v>r</v>
      </c>
      <c r="F279" s="2" t="str">
        <f t="shared" si="12"/>
        <v/>
      </c>
      <c r="G279" s="2" t="str">
        <f t="shared" si="14"/>
        <v/>
      </c>
      <c r="H279" s="2" t="str">
        <f t="shared" si="13"/>
        <v/>
      </c>
      <c r="I279" s="2" t="str">
        <f>IF(Return!C279=0,REPLACE(INDEX(H:H,ROW()+Return!B279,),1,2,Return!E279&amp;"(")&amp;")","")</f>
        <v>r()</v>
      </c>
      <c r="M279" s="1"/>
    </row>
    <row r="280" spans="1:13" x14ac:dyDescent="0.55000000000000004">
      <c r="A280" s="1" t="s">
        <v>1562</v>
      </c>
      <c r="C280" s="2">
        <f>Return!C280</f>
        <v>0</v>
      </c>
      <c r="D280" s="2">
        <f>COUNTA(Argument!E280)</f>
        <v>0</v>
      </c>
      <c r="E280" s="2" t="str">
        <f>IF(C280,Return!D280,Return!E280)</f>
        <v>va</v>
      </c>
      <c r="F280" s="2" t="str">
        <f t="shared" si="12"/>
        <v/>
      </c>
      <c r="G280" s="2" t="str">
        <f t="shared" si="14"/>
        <v/>
      </c>
      <c r="H280" s="2" t="str">
        <f t="shared" si="13"/>
        <v/>
      </c>
      <c r="I280" s="2" t="str">
        <f>IF(Return!C280=0,REPLACE(INDEX(H:H,ROW()+Return!B280,),1,2,Return!E280&amp;"(")&amp;")","")</f>
        <v>va(r)</v>
      </c>
      <c r="M280" s="1"/>
    </row>
    <row r="281" spans="1:13" x14ac:dyDescent="0.55000000000000004">
      <c r="A281" s="1" t="s">
        <v>1562</v>
      </c>
      <c r="B281" t="s">
        <v>1221</v>
      </c>
      <c r="C281" s="2">
        <f>Return!C281</f>
        <v>1</v>
      </c>
      <c r="D281" s="2">
        <f>COUNTA(Argument!E281)</f>
        <v>1</v>
      </c>
      <c r="E281" s="2" t="str">
        <f>IF(C281,Return!D281,Return!E281)</f>
        <v>r</v>
      </c>
      <c r="F281" s="2" t="str">
        <f t="shared" si="12"/>
        <v>r</v>
      </c>
      <c r="G281" s="2" t="str">
        <f t="shared" si="14"/>
        <v>r</v>
      </c>
      <c r="H281" s="2" t="str">
        <f t="shared" si="13"/>
        <v>, r</v>
      </c>
      <c r="I281" s="2" t="str">
        <f>IF(Return!C281=0,REPLACE(INDEX(H:H,ROW()+Return!B281,),1,2,Return!E281&amp;"(")&amp;")","")</f>
        <v/>
      </c>
      <c r="M281" s="1"/>
    </row>
    <row r="282" spans="1:13" x14ac:dyDescent="0.55000000000000004">
      <c r="A282" s="1" t="s">
        <v>1563</v>
      </c>
      <c r="C282" s="2">
        <f>Return!C282</f>
        <v>0</v>
      </c>
      <c r="D282" s="2">
        <f>COUNTA(Argument!E282)</f>
        <v>1</v>
      </c>
      <c r="E282" s="2" t="str">
        <f>IF(C282,Return!D282,Return!E282)</f>
        <v>va</v>
      </c>
      <c r="F282" s="2" t="str">
        <f t="shared" si="12"/>
        <v/>
      </c>
      <c r="G282" s="2" t="str">
        <f t="shared" si="14"/>
        <v/>
      </c>
      <c r="H282" s="2" t="str">
        <f t="shared" si="13"/>
        <v/>
      </c>
      <c r="I282" s="2" t="str">
        <f>IF(Return!C282=0,REPLACE(INDEX(H:H,ROW()+Return!B282,),1,2,Return!E282&amp;"(")&amp;")","")</f>
        <v>va([v], [v])</v>
      </c>
      <c r="M282" s="1"/>
    </row>
    <row r="283" spans="1:13" x14ac:dyDescent="0.55000000000000004">
      <c r="A283" s="1" t="s">
        <v>1563</v>
      </c>
      <c r="B283" t="s">
        <v>1921</v>
      </c>
      <c r="C283" s="2">
        <f>Return!C283</f>
        <v>1</v>
      </c>
      <c r="D283" s="2">
        <f>COUNTA(Argument!E283)</f>
        <v>1</v>
      </c>
      <c r="E283" s="2" t="str">
        <f>IF(C283,Return!D283,Return!E283)</f>
        <v>v</v>
      </c>
      <c r="F283" s="2" t="str">
        <f t="shared" si="12"/>
        <v>[v]</v>
      </c>
      <c r="G283" s="2" t="str">
        <f t="shared" si="14"/>
        <v>[v]</v>
      </c>
      <c r="H283" s="2" t="str">
        <f t="shared" si="13"/>
        <v>, [v]</v>
      </c>
      <c r="I283" s="2" t="str">
        <f>IF(Return!C283=0,REPLACE(INDEX(H:H,ROW()+Return!B283,),1,2,Return!E283&amp;"(")&amp;")","")</f>
        <v/>
      </c>
      <c r="M283" s="1"/>
    </row>
    <row r="284" spans="1:13" x14ac:dyDescent="0.55000000000000004">
      <c r="A284" s="1" t="s">
        <v>1563</v>
      </c>
      <c r="B284" t="s">
        <v>2005</v>
      </c>
      <c r="C284" s="2">
        <f>Return!C284</f>
        <v>2</v>
      </c>
      <c r="D284" s="2">
        <f>COUNTA(Argument!E284)</f>
        <v>1</v>
      </c>
      <c r="E284" s="2" t="str">
        <f>IF(C284,Return!D284,Return!E284)</f>
        <v>v</v>
      </c>
      <c r="F284" s="2" t="str">
        <f t="shared" si="12"/>
        <v>[v]</v>
      </c>
      <c r="G284" s="2" t="str">
        <f t="shared" si="14"/>
        <v>[v]</v>
      </c>
      <c r="H284" s="2" t="str">
        <f t="shared" si="13"/>
        <v>, [v], [v]</v>
      </c>
      <c r="I284" s="2" t="str">
        <f>IF(Return!C284=0,REPLACE(INDEX(H:H,ROW()+Return!B284,),1,2,Return!E284&amp;"(")&amp;")","")</f>
        <v/>
      </c>
      <c r="M284" s="1"/>
    </row>
    <row r="285" spans="1:13" x14ac:dyDescent="0.55000000000000004">
      <c r="A285" s="1" t="s">
        <v>1479</v>
      </c>
      <c r="C285" s="2">
        <f>Return!C285</f>
        <v>0</v>
      </c>
      <c r="D285" s="2">
        <f>COUNTA(Argument!E285)</f>
        <v>0</v>
      </c>
      <c r="E285" s="2" t="str">
        <f>IF(C285,Return!D285,Return!E285)</f>
        <v>v</v>
      </c>
      <c r="F285" s="2" t="str">
        <f t="shared" si="12"/>
        <v/>
      </c>
      <c r="G285" s="2" t="str">
        <f t="shared" si="14"/>
        <v/>
      </c>
      <c r="H285" s="2" t="str">
        <f t="shared" si="13"/>
        <v/>
      </c>
      <c r="I285" s="2" t="str">
        <f>IF(Return!C285=0,REPLACE(INDEX(H:H,ROW()+Return!B285,),1,2,Return!E285&amp;"(")&amp;")","")</f>
        <v>v()</v>
      </c>
      <c r="M285" s="1"/>
    </row>
    <row r="286" spans="1:13" x14ac:dyDescent="0.55000000000000004">
      <c r="A286" s="1" t="s">
        <v>1564</v>
      </c>
      <c r="C286" s="2">
        <f>Return!C286</f>
        <v>0</v>
      </c>
      <c r="D286" s="2">
        <f>COUNTA(Argument!E286)</f>
        <v>1</v>
      </c>
      <c r="E286" s="2" t="str">
        <f>IF(C286,Return!D286,Return!E286)</f>
        <v>va</v>
      </c>
      <c r="F286" s="2" t="str">
        <f t="shared" si="12"/>
        <v/>
      </c>
      <c r="G286" s="2" t="str">
        <f t="shared" si="14"/>
        <v/>
      </c>
      <c r="H286" s="2" t="str">
        <f t="shared" si="13"/>
        <v/>
      </c>
      <c r="I286" s="2" t="str">
        <f>IF(Return!C286=0,REPLACE(INDEX(H:H,ROW()+Return!B286,),1,2,Return!E286&amp;"(")&amp;")","")</f>
        <v>va([v], [v])</v>
      </c>
      <c r="M286" s="1"/>
    </row>
    <row r="287" spans="1:13" x14ac:dyDescent="0.55000000000000004">
      <c r="A287" s="1" t="s">
        <v>1564</v>
      </c>
      <c r="B287" t="s">
        <v>1921</v>
      </c>
      <c r="C287" s="2">
        <f>Return!C287</f>
        <v>1</v>
      </c>
      <c r="D287" s="2">
        <f>COUNTA(Argument!E287)</f>
        <v>1</v>
      </c>
      <c r="E287" s="2" t="str">
        <f>IF(C287,Return!D287,Return!E287)</f>
        <v>v</v>
      </c>
      <c r="F287" s="2" t="str">
        <f t="shared" si="12"/>
        <v>[v]</v>
      </c>
      <c r="G287" s="2" t="str">
        <f t="shared" si="14"/>
        <v>[v]</v>
      </c>
      <c r="H287" s="2" t="str">
        <f t="shared" si="13"/>
        <v>, [v]</v>
      </c>
      <c r="I287" s="2" t="str">
        <f>IF(Return!C287=0,REPLACE(INDEX(H:H,ROW()+Return!B287,),1,2,Return!E287&amp;"(")&amp;")","")</f>
        <v/>
      </c>
      <c r="M287" s="1"/>
    </row>
    <row r="288" spans="1:13" x14ac:dyDescent="0.55000000000000004">
      <c r="A288" s="1" t="s">
        <v>1564</v>
      </c>
      <c r="B288" t="s">
        <v>2005</v>
      </c>
      <c r="C288" s="2">
        <f>Return!C288</f>
        <v>2</v>
      </c>
      <c r="D288" s="2">
        <f>COUNTA(Argument!E288)</f>
        <v>1</v>
      </c>
      <c r="E288" s="2" t="str">
        <f>IF(C288,Return!D288,Return!E288)</f>
        <v>v</v>
      </c>
      <c r="F288" s="2" t="str">
        <f t="shared" si="12"/>
        <v>[v]</v>
      </c>
      <c r="G288" s="2" t="str">
        <f t="shared" si="14"/>
        <v>[v]</v>
      </c>
      <c r="H288" s="2" t="str">
        <f t="shared" si="13"/>
        <v>, [v], [v]</v>
      </c>
      <c r="I288" s="2" t="str">
        <f>IF(Return!C288=0,REPLACE(INDEX(H:H,ROW()+Return!B288,),1,2,Return!E288&amp;"(")&amp;")","")</f>
        <v/>
      </c>
      <c r="M288" s="1"/>
    </row>
    <row r="289" spans="1:13" x14ac:dyDescent="0.55000000000000004">
      <c r="A289" s="1" t="s">
        <v>1480</v>
      </c>
      <c r="C289" s="2">
        <f>Return!C289</f>
        <v>0</v>
      </c>
      <c r="D289" s="2">
        <f>COUNTA(Argument!E289)</f>
        <v>1</v>
      </c>
      <c r="E289" s="2" t="str">
        <f>IF(C289,Return!D289,Return!E289)</f>
        <v>r</v>
      </c>
      <c r="F289" s="2" t="str">
        <f t="shared" si="12"/>
        <v/>
      </c>
      <c r="G289" s="2" t="str">
        <f t="shared" si="14"/>
        <v/>
      </c>
      <c r="H289" s="2" t="str">
        <f t="shared" si="13"/>
        <v/>
      </c>
      <c r="I289" s="2" t="str">
        <f>IF(Return!C289=0,REPLACE(INDEX(H:H,ROW()+Return!B289,),1,2,Return!E289&amp;"(")&amp;")","")</f>
        <v>r()</v>
      </c>
      <c r="M289" s="1"/>
    </row>
    <row r="290" spans="1:13" x14ac:dyDescent="0.55000000000000004">
      <c r="A290" s="1" t="s">
        <v>1481</v>
      </c>
      <c r="C290" s="2">
        <f>Return!C290</f>
        <v>0</v>
      </c>
      <c r="D290" s="2">
        <f>COUNTA(Argument!E290)</f>
        <v>1</v>
      </c>
      <c r="E290" s="2" t="str">
        <f>IF(C290,Return!D290,Return!E290)</f>
        <v>r</v>
      </c>
      <c r="F290" s="2" t="str">
        <f t="shared" si="12"/>
        <v/>
      </c>
      <c r="G290" s="2" t="str">
        <f t="shared" si="14"/>
        <v/>
      </c>
      <c r="H290" s="2" t="str">
        <f t="shared" si="13"/>
        <v/>
      </c>
      <c r="I290" s="2" t="str">
        <f>IF(Return!C290=0,REPLACE(INDEX(H:H,ROW()+Return!B290,),1,2,Return!E290&amp;"(")&amp;")","")</f>
        <v>r()</v>
      </c>
      <c r="M290" s="1"/>
    </row>
    <row r="291" spans="1:13" x14ac:dyDescent="0.55000000000000004">
      <c r="A291" s="1" t="s">
        <v>1565</v>
      </c>
      <c r="C291" s="2">
        <f>Return!C291</f>
        <v>0</v>
      </c>
      <c r="D291" s="2">
        <f>COUNTA(Argument!E291)</f>
        <v>1</v>
      </c>
      <c r="E291" s="2" t="str">
        <f>IF(C291,Return!D291,Return!E291)</f>
        <v>v</v>
      </c>
      <c r="F291" s="2" t="str">
        <f t="shared" si="12"/>
        <v/>
      </c>
      <c r="G291" s="2" t="str">
        <f t="shared" si="14"/>
        <v/>
      </c>
      <c r="H291" s="2" t="str">
        <f t="shared" si="13"/>
        <v/>
      </c>
      <c r="I291" s="2" t="str">
        <f>IF(Return!C291=0,REPLACE(INDEX(H:H,ROW()+Return!B291,),1,2,Return!E291&amp;"(")&amp;")","")</f>
        <v>v([v])</v>
      </c>
      <c r="M291" s="1"/>
    </row>
    <row r="292" spans="1:13" x14ac:dyDescent="0.55000000000000004">
      <c r="A292" s="1" t="s">
        <v>1565</v>
      </c>
      <c r="B292" t="s">
        <v>1921</v>
      </c>
      <c r="C292" s="2">
        <f>Return!C292</f>
        <v>1</v>
      </c>
      <c r="D292" s="2">
        <f>COUNTA(Argument!E292)</f>
        <v>1</v>
      </c>
      <c r="E292" s="2" t="str">
        <f>IF(C292,Return!D292,Return!E292)</f>
        <v>v</v>
      </c>
      <c r="F292" s="2" t="str">
        <f t="shared" si="12"/>
        <v>[v]</v>
      </c>
      <c r="G292" s="2" t="str">
        <f t="shared" si="14"/>
        <v>[v]</v>
      </c>
      <c r="H292" s="2" t="str">
        <f t="shared" si="13"/>
        <v>, [v]</v>
      </c>
      <c r="I292" s="2" t="str">
        <f>IF(Return!C292=0,REPLACE(INDEX(H:H,ROW()+Return!B292,),1,2,Return!E292&amp;"(")&amp;")","")</f>
        <v/>
      </c>
      <c r="M292" s="1"/>
    </row>
    <row r="293" spans="1:13" x14ac:dyDescent="0.55000000000000004">
      <c r="A293" s="1" t="s">
        <v>1566</v>
      </c>
      <c r="C293" s="2">
        <f>Return!C293</f>
        <v>0</v>
      </c>
      <c r="D293" s="2">
        <f>COUNTA(Argument!E293)</f>
        <v>0</v>
      </c>
      <c r="E293" s="2" t="str">
        <f>IF(C293,Return!D293,Return!E293)</f>
        <v>v</v>
      </c>
      <c r="F293" s="2" t="str">
        <f t="shared" si="12"/>
        <v/>
      </c>
      <c r="G293" s="2" t="str">
        <f t="shared" si="14"/>
        <v/>
      </c>
      <c r="H293" s="2" t="str">
        <f t="shared" si="13"/>
        <v/>
      </c>
      <c r="I293" s="2" t="str">
        <f>IF(Return!C293=0,REPLACE(INDEX(H:H,ROW()+Return!B293,),1,2,Return!E293&amp;"(")&amp;")","")</f>
        <v>v(v, v)</v>
      </c>
      <c r="M293" s="1"/>
    </row>
    <row r="294" spans="1:13" x14ac:dyDescent="0.55000000000000004">
      <c r="A294" s="1" t="s">
        <v>1566</v>
      </c>
      <c r="B294" t="s">
        <v>1274</v>
      </c>
      <c r="C294" s="2">
        <f>Return!C294</f>
        <v>1</v>
      </c>
      <c r="D294" s="2">
        <f>COUNTA(Argument!E294)</f>
        <v>0</v>
      </c>
      <c r="E294" s="2" t="str">
        <f>IF(C294,Return!D294,Return!E294)</f>
        <v>v</v>
      </c>
      <c r="F294" s="2" t="str">
        <f t="shared" si="12"/>
        <v>v</v>
      </c>
      <c r="G294" s="2" t="str">
        <f t="shared" si="14"/>
        <v>v</v>
      </c>
      <c r="H294" s="2" t="str">
        <f t="shared" si="13"/>
        <v>, v</v>
      </c>
      <c r="I294" s="2" t="str">
        <f>IF(Return!C294=0,REPLACE(INDEX(H:H,ROW()+Return!B294,),1,2,Return!E294&amp;"(")&amp;")","")</f>
        <v/>
      </c>
      <c r="M294" s="1"/>
    </row>
    <row r="295" spans="1:13" x14ac:dyDescent="0.55000000000000004">
      <c r="A295" s="1" t="s">
        <v>1566</v>
      </c>
      <c r="B295" t="s">
        <v>1275</v>
      </c>
      <c r="C295" s="2">
        <f>Return!C295</f>
        <v>2</v>
      </c>
      <c r="D295" s="2">
        <f>COUNTA(Argument!E295)</f>
        <v>1</v>
      </c>
      <c r="E295" s="2" t="str">
        <f>IF(C295,Return!D295,Return!E295)</f>
        <v>v</v>
      </c>
      <c r="F295" s="2" t="str">
        <f t="shared" si="12"/>
        <v>v</v>
      </c>
      <c r="G295" s="2" t="str">
        <f t="shared" si="14"/>
        <v>v</v>
      </c>
      <c r="H295" s="2" t="str">
        <f t="shared" si="13"/>
        <v>, v, v</v>
      </c>
      <c r="I295" s="2" t="str">
        <f>IF(Return!C295=0,REPLACE(INDEX(H:H,ROW()+Return!B295,),1,2,Return!E295&amp;"(")&amp;")","")</f>
        <v/>
      </c>
      <c r="M295" s="1"/>
    </row>
    <row r="296" spans="1:13" x14ac:dyDescent="0.55000000000000004">
      <c r="A296" s="1" t="s">
        <v>1567</v>
      </c>
      <c r="C296" s="2">
        <f>Return!C296</f>
        <v>0</v>
      </c>
      <c r="D296" s="2">
        <f>COUNTA(Argument!E296)</f>
        <v>0</v>
      </c>
      <c r="E296" s="2" t="str">
        <f>IF(C296,Return!D296,Return!E296)</f>
        <v>v</v>
      </c>
      <c r="F296" s="2" t="str">
        <f t="shared" si="12"/>
        <v/>
      </c>
      <c r="G296" s="2" t="str">
        <f t="shared" si="14"/>
        <v/>
      </c>
      <c r="H296" s="2" t="str">
        <f t="shared" si="13"/>
        <v/>
      </c>
      <c r="I296" s="2" t="str">
        <f>IF(Return!C296=0,REPLACE(INDEX(H:H,ROW()+Return!B296,),1,2,Return!E296&amp;"(")&amp;")","")</f>
        <v>v(v)</v>
      </c>
      <c r="M296" s="1"/>
    </row>
    <row r="297" spans="1:13" x14ac:dyDescent="0.55000000000000004">
      <c r="A297" s="1" t="s">
        <v>1567</v>
      </c>
      <c r="B297" t="s">
        <v>1223</v>
      </c>
      <c r="C297" s="2">
        <f>Return!C297</f>
        <v>1</v>
      </c>
      <c r="D297" s="2">
        <f>COUNTA(Argument!E297)</f>
        <v>1</v>
      </c>
      <c r="E297" s="2" t="str">
        <f>IF(C297,Return!D297,Return!E297)</f>
        <v>v</v>
      </c>
      <c r="F297" s="2" t="str">
        <f t="shared" si="12"/>
        <v>v</v>
      </c>
      <c r="G297" s="2" t="str">
        <f t="shared" si="14"/>
        <v>v</v>
      </c>
      <c r="H297" s="2" t="str">
        <f t="shared" si="13"/>
        <v>, v</v>
      </c>
      <c r="I297" s="2" t="str">
        <f>IF(Return!C297=0,REPLACE(INDEX(H:H,ROW()+Return!B297,),1,2,Return!E297&amp;"(")&amp;")","")</f>
        <v/>
      </c>
      <c r="M297" s="1"/>
    </row>
    <row r="298" spans="1:13" x14ac:dyDescent="0.55000000000000004">
      <c r="A298" s="1" t="s">
        <v>1568</v>
      </c>
      <c r="C298" s="2">
        <f>Return!C298</f>
        <v>0</v>
      </c>
      <c r="D298" s="2">
        <f>COUNTA(Argument!E298)</f>
        <v>0</v>
      </c>
      <c r="E298" s="2" t="str">
        <f>IF(C298,Return!D298,Return!E298)</f>
        <v>v</v>
      </c>
      <c r="F298" s="2" t="str">
        <f t="shared" si="12"/>
        <v/>
      </c>
      <c r="G298" s="2" t="str">
        <f t="shared" si="14"/>
        <v/>
      </c>
      <c r="H298" s="2" t="str">
        <f t="shared" si="13"/>
        <v/>
      </c>
      <c r="I298" s="2" t="str">
        <f>IF(Return!C298=0,REPLACE(INDEX(H:H,ROW()+Return!B298,),1,2,Return!E298&amp;"(")&amp;")","")</f>
        <v>v(v)</v>
      </c>
      <c r="M298" s="1"/>
    </row>
    <row r="299" spans="1:13" x14ac:dyDescent="0.55000000000000004">
      <c r="A299" s="1" t="s">
        <v>1568</v>
      </c>
      <c r="B299" t="s">
        <v>1223</v>
      </c>
      <c r="C299" s="2">
        <f>Return!C299</f>
        <v>1</v>
      </c>
      <c r="D299" s="2">
        <f>COUNTA(Argument!E299)</f>
        <v>1</v>
      </c>
      <c r="E299" s="2" t="str">
        <f>IF(C299,Return!D299,Return!E299)</f>
        <v>v</v>
      </c>
      <c r="F299" s="2" t="str">
        <f t="shared" si="12"/>
        <v>v</v>
      </c>
      <c r="G299" s="2" t="str">
        <f t="shared" si="14"/>
        <v>v</v>
      </c>
      <c r="H299" s="2" t="str">
        <f t="shared" si="13"/>
        <v>, v</v>
      </c>
      <c r="I299" s="2" t="str">
        <f>IF(Return!C299=0,REPLACE(INDEX(H:H,ROW()+Return!B299,),1,2,Return!E299&amp;"(")&amp;")","")</f>
        <v/>
      </c>
      <c r="M299" s="1"/>
    </row>
    <row r="300" spans="1:13" x14ac:dyDescent="0.55000000000000004">
      <c r="A300" s="1" t="s">
        <v>1569</v>
      </c>
      <c r="C300" s="2">
        <f>Return!C300</f>
        <v>0</v>
      </c>
      <c r="D300" s="2">
        <f>COUNTA(Argument!E300)</f>
        <v>0</v>
      </c>
      <c r="E300" s="2" t="str">
        <f>IF(C300,Return!D300,Return!E300)</f>
        <v>var</v>
      </c>
      <c r="F300" s="2" t="str">
        <f t="shared" si="12"/>
        <v/>
      </c>
      <c r="G300" s="2" t="str">
        <f t="shared" si="14"/>
        <v/>
      </c>
      <c r="H300" s="2" t="str">
        <f t="shared" si="13"/>
        <v/>
      </c>
      <c r="I300" s="2" t="str">
        <f>IF(Return!C300=0,REPLACE(INDEX(H:H,ROW()+Return!B300,),1,2,Return!E300&amp;"(")&amp;")","")</f>
        <v>var(va, var, [var], …)</v>
      </c>
      <c r="M300" s="1"/>
    </row>
    <row r="301" spans="1:13" x14ac:dyDescent="0.55000000000000004">
      <c r="A301" s="1" t="s">
        <v>1569</v>
      </c>
      <c r="B301" t="s">
        <v>1276</v>
      </c>
      <c r="C301" s="2">
        <f>Return!C301</f>
        <v>1</v>
      </c>
      <c r="D301" s="2">
        <f>COUNTA(Argument!E301)</f>
        <v>0</v>
      </c>
      <c r="E301" s="2" t="str">
        <f>IF(C301,Return!D301,Return!E301)</f>
        <v>va</v>
      </c>
      <c r="F301" s="2" t="str">
        <f t="shared" si="12"/>
        <v>va</v>
      </c>
      <c r="G301" s="2" t="str">
        <f t="shared" si="14"/>
        <v>va</v>
      </c>
      <c r="H301" s="2" t="str">
        <f t="shared" si="13"/>
        <v>, va</v>
      </c>
      <c r="I301" s="2" t="str">
        <f>IF(Return!C301=0,REPLACE(INDEX(H:H,ROW()+Return!B301,),1,2,Return!E301&amp;"(")&amp;")","")</f>
        <v/>
      </c>
      <c r="M301" s="1"/>
    </row>
    <row r="302" spans="1:13" x14ac:dyDescent="0.55000000000000004">
      <c r="A302" s="1" t="s">
        <v>1569</v>
      </c>
      <c r="B302" t="s">
        <v>1212</v>
      </c>
      <c r="C302" s="2">
        <f>Return!C302</f>
        <v>2</v>
      </c>
      <c r="D302" s="2">
        <f>COUNTA(Argument!E302)</f>
        <v>1</v>
      </c>
      <c r="E302" s="2" t="str">
        <f>IF(C302,Return!D302,Return!E302)</f>
        <v>var</v>
      </c>
      <c r="F302" s="2" t="str">
        <f t="shared" si="12"/>
        <v>var</v>
      </c>
      <c r="G302" s="2" t="str">
        <f t="shared" si="14"/>
        <v>var</v>
      </c>
      <c r="H302" s="2" t="str">
        <f t="shared" si="13"/>
        <v>, va, var</v>
      </c>
      <c r="I302" s="2" t="str">
        <f>IF(Return!C302=0,REPLACE(INDEX(H:H,ROW()+Return!B302,),1,2,Return!E302&amp;"(")&amp;")","")</f>
        <v/>
      </c>
      <c r="M302" s="1"/>
    </row>
    <row r="303" spans="1:13" x14ac:dyDescent="0.55000000000000004">
      <c r="A303" s="1" t="s">
        <v>1569</v>
      </c>
      <c r="B303" t="s">
        <v>1213</v>
      </c>
      <c r="C303" s="2">
        <f>Return!C303</f>
        <v>3</v>
      </c>
      <c r="D303" s="2">
        <f>COUNTA(Argument!E303)</f>
        <v>1</v>
      </c>
      <c r="E303" s="2" t="str">
        <f>IF(C303,Return!D303,Return!E303)</f>
        <v>var</v>
      </c>
      <c r="F303" s="2" t="str">
        <f t="shared" si="12"/>
        <v>[var]</v>
      </c>
      <c r="G303" s="2" t="str">
        <f t="shared" si="14"/>
        <v>[var]</v>
      </c>
      <c r="H303" s="2" t="str">
        <f t="shared" si="13"/>
        <v>, va, var, [var]</v>
      </c>
      <c r="I303" s="2" t="str">
        <f>IF(Return!C303=0,REPLACE(INDEX(H:H,ROW()+Return!B303,),1,2,Return!E303&amp;"(")&amp;")","")</f>
        <v/>
      </c>
      <c r="M303" s="1"/>
    </row>
    <row r="304" spans="1:13" x14ac:dyDescent="0.55000000000000004">
      <c r="A304" s="1" t="s">
        <v>1569</v>
      </c>
      <c r="B304" t="s">
        <v>1214</v>
      </c>
      <c r="C304" s="2">
        <f>Return!C304</f>
        <v>4</v>
      </c>
      <c r="D304" s="2">
        <f>COUNTA(Argument!E304)</f>
        <v>1</v>
      </c>
      <c r="E304" s="2" t="str">
        <f>IF(C304,Return!D304,Return!E304)</f>
        <v>var</v>
      </c>
      <c r="F304" s="2" t="str">
        <f t="shared" si="12"/>
        <v>[var]</v>
      </c>
      <c r="G304" s="2" t="str">
        <f t="shared" si="14"/>
        <v>…</v>
      </c>
      <c r="H304" s="2" t="str">
        <f t="shared" si="13"/>
        <v>, va, var, [var], …</v>
      </c>
      <c r="I304" s="2" t="str">
        <f>IF(Return!C304=0,REPLACE(INDEX(H:H,ROW()+Return!B304,),1,2,Return!E304&amp;"(")&amp;")","")</f>
        <v/>
      </c>
      <c r="M304" s="1"/>
    </row>
    <row r="305" spans="1:13" x14ac:dyDescent="0.55000000000000004">
      <c r="A305" s="1" t="s">
        <v>1570</v>
      </c>
      <c r="C305" s="2">
        <f>Return!C305</f>
        <v>0</v>
      </c>
      <c r="D305" s="2">
        <f>COUNTA(Argument!E305)</f>
        <v>0</v>
      </c>
      <c r="E305" s="2" t="str">
        <f>IF(C305,Return!D305,Return!E305)</f>
        <v>va</v>
      </c>
      <c r="F305" s="2" t="str">
        <f t="shared" si="12"/>
        <v/>
      </c>
      <c r="G305" s="2" t="str">
        <f t="shared" si="14"/>
        <v/>
      </c>
      <c r="H305" s="2" t="str">
        <f t="shared" si="13"/>
        <v/>
      </c>
      <c r="I305" s="2" t="str">
        <f>IF(Return!C305=0,REPLACE(INDEX(H:H,ROW()+Return!B305,),1,2,Return!E305&amp;"(")&amp;")","")</f>
        <v>va(v, var, var, [v])</v>
      </c>
      <c r="M305" s="1"/>
    </row>
    <row r="306" spans="1:13" x14ac:dyDescent="0.55000000000000004">
      <c r="A306" s="1" t="s">
        <v>1570</v>
      </c>
      <c r="B306" t="s">
        <v>1227</v>
      </c>
      <c r="C306" s="2">
        <f>Return!C306</f>
        <v>1</v>
      </c>
      <c r="D306" s="2">
        <f>COUNTA(Argument!E306)</f>
        <v>0</v>
      </c>
      <c r="E306" s="2" t="str">
        <f>IF(C306,Return!D306,Return!E306)</f>
        <v>v</v>
      </c>
      <c r="F306" s="2" t="str">
        <f t="shared" si="12"/>
        <v>v</v>
      </c>
      <c r="G306" s="2" t="str">
        <f t="shared" si="14"/>
        <v>v</v>
      </c>
      <c r="H306" s="2" t="str">
        <f t="shared" si="13"/>
        <v>, v</v>
      </c>
      <c r="I306" s="2" t="str">
        <f>IF(Return!C306=0,REPLACE(INDEX(H:H,ROW()+Return!B306,),1,2,Return!E306&amp;"(")&amp;")","")</f>
        <v/>
      </c>
      <c r="M306" s="1"/>
    </row>
    <row r="307" spans="1:13" x14ac:dyDescent="0.55000000000000004">
      <c r="A307" s="1" t="s">
        <v>1570</v>
      </c>
      <c r="B307" t="s">
        <v>1277</v>
      </c>
      <c r="C307" s="2">
        <f>Return!C307</f>
        <v>2</v>
      </c>
      <c r="D307" s="2">
        <f>COUNTA(Argument!E307)</f>
        <v>0</v>
      </c>
      <c r="E307" s="2" t="str">
        <f>IF(C307,Return!D307,Return!E307)</f>
        <v>var</v>
      </c>
      <c r="F307" s="2" t="str">
        <f t="shared" si="12"/>
        <v>var</v>
      </c>
      <c r="G307" s="2" t="str">
        <f t="shared" si="14"/>
        <v>var</v>
      </c>
      <c r="H307" s="2" t="str">
        <f t="shared" si="13"/>
        <v>, v, var</v>
      </c>
      <c r="I307" s="2" t="str">
        <f>IF(Return!C307=0,REPLACE(INDEX(H:H,ROW()+Return!B307,),1,2,Return!E307&amp;"(")&amp;")","")</f>
        <v/>
      </c>
      <c r="M307" s="1"/>
    </row>
    <row r="308" spans="1:13" x14ac:dyDescent="0.55000000000000004">
      <c r="A308" s="1" t="s">
        <v>1570</v>
      </c>
      <c r="B308" t="s">
        <v>1278</v>
      </c>
      <c r="C308" s="2">
        <f>Return!C308</f>
        <v>3</v>
      </c>
      <c r="D308" s="2">
        <f>COUNTA(Argument!E308)</f>
        <v>1</v>
      </c>
      <c r="E308" s="2" t="str">
        <f>IF(C308,Return!D308,Return!E308)</f>
        <v>var</v>
      </c>
      <c r="F308" s="2" t="str">
        <f t="shared" si="12"/>
        <v>var</v>
      </c>
      <c r="G308" s="2" t="str">
        <f t="shared" si="14"/>
        <v>var</v>
      </c>
      <c r="H308" s="2" t="str">
        <f t="shared" si="13"/>
        <v>, v, var, var</v>
      </c>
      <c r="I308" s="2" t="str">
        <f>IF(Return!C308=0,REPLACE(INDEX(H:H,ROW()+Return!B308,),1,2,Return!E308&amp;"(")&amp;")","")</f>
        <v/>
      </c>
      <c r="M308" s="1"/>
    </row>
    <row r="309" spans="1:13" x14ac:dyDescent="0.55000000000000004">
      <c r="A309" s="1" t="s">
        <v>1570</v>
      </c>
      <c r="B309" t="s">
        <v>1279</v>
      </c>
      <c r="C309" s="2">
        <f>Return!C309</f>
        <v>4</v>
      </c>
      <c r="D309" s="2">
        <f>COUNTA(Argument!E309)</f>
        <v>1</v>
      </c>
      <c r="E309" s="2" t="str">
        <f>IF(C309,Return!D309,Return!E309)</f>
        <v>v</v>
      </c>
      <c r="F309" s="2" t="str">
        <f t="shared" si="12"/>
        <v>[v]</v>
      </c>
      <c r="G309" s="2" t="str">
        <f t="shared" si="14"/>
        <v>[v]</v>
      </c>
      <c r="H309" s="2" t="str">
        <f t="shared" si="13"/>
        <v>, v, var, var, [v]</v>
      </c>
      <c r="I309" s="2" t="str">
        <f>IF(Return!C309=0,REPLACE(INDEX(H:H,ROW()+Return!B309,),1,2,Return!E309&amp;"(")&amp;")","")</f>
        <v/>
      </c>
      <c r="M309" s="1"/>
    </row>
    <row r="310" spans="1:13" x14ac:dyDescent="0.55000000000000004">
      <c r="A310" s="1" t="s">
        <v>1571</v>
      </c>
      <c r="C310" s="2">
        <f>Return!C310</f>
        <v>0</v>
      </c>
      <c r="D310" s="2">
        <f>COUNTA(Argument!E310)</f>
        <v>0</v>
      </c>
      <c r="E310" s="2" t="str">
        <f>IF(C310,Return!D310,Return!E310)</f>
        <v>va</v>
      </c>
      <c r="F310" s="2" t="str">
        <f t="shared" si="12"/>
        <v/>
      </c>
      <c r="G310" s="2" t="str">
        <f t="shared" si="14"/>
        <v/>
      </c>
      <c r="H310" s="2" t="str">
        <f t="shared" si="13"/>
        <v/>
      </c>
      <c r="I310" s="2" t="str">
        <f>IF(Return!C310=0,REPLACE(INDEX(H:H,ROW()+Return!B310,),1,2,Return!E310&amp;"(")&amp;")","")</f>
        <v>va(v, var, var, [v])</v>
      </c>
      <c r="M310" s="1"/>
    </row>
    <row r="311" spans="1:13" x14ac:dyDescent="0.55000000000000004">
      <c r="A311" s="1" t="s">
        <v>1571</v>
      </c>
      <c r="B311" t="s">
        <v>1227</v>
      </c>
      <c r="C311" s="2">
        <f>Return!C311</f>
        <v>1</v>
      </c>
      <c r="D311" s="2">
        <f>COUNTA(Argument!E311)</f>
        <v>0</v>
      </c>
      <c r="E311" s="2" t="str">
        <f>IF(C311,Return!D311,Return!E311)</f>
        <v>v</v>
      </c>
      <c r="F311" s="2" t="str">
        <f t="shared" si="12"/>
        <v>v</v>
      </c>
      <c r="G311" s="2" t="str">
        <f t="shared" si="14"/>
        <v>v</v>
      </c>
      <c r="H311" s="2" t="str">
        <f t="shared" si="13"/>
        <v>, v</v>
      </c>
      <c r="I311" s="2" t="str">
        <f>IF(Return!C311=0,REPLACE(INDEX(H:H,ROW()+Return!B311,),1,2,Return!E311&amp;"(")&amp;")","")</f>
        <v/>
      </c>
      <c r="M311" s="1"/>
    </row>
    <row r="312" spans="1:13" x14ac:dyDescent="0.55000000000000004">
      <c r="A312" s="1" t="s">
        <v>1571</v>
      </c>
      <c r="B312" t="s">
        <v>1277</v>
      </c>
      <c r="C312" s="2">
        <f>Return!C312</f>
        <v>2</v>
      </c>
      <c r="D312" s="2">
        <f>COUNTA(Argument!E312)</f>
        <v>0</v>
      </c>
      <c r="E312" s="2" t="str">
        <f>IF(C312,Return!D312,Return!E312)</f>
        <v>var</v>
      </c>
      <c r="F312" s="2" t="str">
        <f t="shared" si="12"/>
        <v>var</v>
      </c>
      <c r="G312" s="2" t="str">
        <f t="shared" si="14"/>
        <v>var</v>
      </c>
      <c r="H312" s="2" t="str">
        <f t="shared" si="13"/>
        <v>, v, var</v>
      </c>
      <c r="I312" s="2" t="str">
        <f>IF(Return!C312=0,REPLACE(INDEX(H:H,ROW()+Return!B312,),1,2,Return!E312&amp;"(")&amp;")","")</f>
        <v/>
      </c>
      <c r="M312" s="1"/>
    </row>
    <row r="313" spans="1:13" x14ac:dyDescent="0.55000000000000004">
      <c r="A313" s="1" t="s">
        <v>1571</v>
      </c>
      <c r="B313" t="s">
        <v>1280</v>
      </c>
      <c r="C313" s="2">
        <f>Return!C313</f>
        <v>3</v>
      </c>
      <c r="D313" s="2">
        <f>COUNTA(Argument!E313)</f>
        <v>1</v>
      </c>
      <c r="E313" s="2" t="str">
        <f>IF(C313,Return!D313,Return!E313)</f>
        <v>var</v>
      </c>
      <c r="F313" s="2" t="str">
        <f t="shared" si="12"/>
        <v>var</v>
      </c>
      <c r="G313" s="2" t="str">
        <f t="shared" si="14"/>
        <v>var</v>
      </c>
      <c r="H313" s="2" t="str">
        <f t="shared" si="13"/>
        <v>, v, var, var</v>
      </c>
      <c r="I313" s="2" t="str">
        <f>IF(Return!C313=0,REPLACE(INDEX(H:H,ROW()+Return!B313,),1,2,Return!E313&amp;"(")&amp;")","")</f>
        <v/>
      </c>
      <c r="M313" s="1"/>
    </row>
    <row r="314" spans="1:13" x14ac:dyDescent="0.55000000000000004">
      <c r="A314" s="1" t="s">
        <v>1571</v>
      </c>
      <c r="B314" t="s">
        <v>1279</v>
      </c>
      <c r="C314" s="2">
        <f>Return!C314</f>
        <v>4</v>
      </c>
      <c r="D314" s="2">
        <f>COUNTA(Argument!E314)</f>
        <v>1</v>
      </c>
      <c r="E314" s="2" t="str">
        <f>IF(C314,Return!D314,Return!E314)</f>
        <v>v</v>
      </c>
      <c r="F314" s="2" t="str">
        <f t="shared" si="12"/>
        <v>[v]</v>
      </c>
      <c r="G314" s="2" t="str">
        <f t="shared" si="14"/>
        <v>[v]</v>
      </c>
      <c r="H314" s="2" t="str">
        <f t="shared" si="13"/>
        <v>, v, var, var, [v]</v>
      </c>
      <c r="I314" s="2" t="str">
        <f>IF(Return!C314=0,REPLACE(INDEX(H:H,ROW()+Return!B314,),1,2,Return!E314&amp;"(")&amp;")","")</f>
        <v/>
      </c>
      <c r="M314" s="1"/>
    </row>
    <row r="315" spans="1:13" x14ac:dyDescent="0.55000000000000004">
      <c r="A315" s="1" t="s">
        <v>1572</v>
      </c>
      <c r="C315" s="2">
        <f>Return!C315</f>
        <v>0</v>
      </c>
      <c r="D315" s="2">
        <f>COUNTA(Argument!E315)</f>
        <v>1</v>
      </c>
      <c r="E315" s="2" t="str">
        <f>IF(C315,Return!D315,Return!E315)</f>
        <v>va</v>
      </c>
      <c r="F315" s="2" t="str">
        <f t="shared" si="12"/>
        <v/>
      </c>
      <c r="G315" s="2" t="str">
        <f t="shared" si="14"/>
        <v/>
      </c>
      <c r="H315" s="2" t="str">
        <f t="shared" si="13"/>
        <v/>
      </c>
      <c r="I315" s="2" t="str">
        <f>IF(Return!C315=0,REPLACE(INDEX(H:H,ROW()+Return!B315,),1,2,Return!E315&amp;"(")&amp;")","")</f>
        <v>va([v], [v])</v>
      </c>
      <c r="M315" s="1"/>
    </row>
    <row r="316" spans="1:13" x14ac:dyDescent="0.55000000000000004">
      <c r="A316" s="1" t="s">
        <v>1572</v>
      </c>
      <c r="B316" t="s">
        <v>1922</v>
      </c>
      <c r="C316" s="2">
        <f>Return!C316</f>
        <v>1</v>
      </c>
      <c r="D316" s="2">
        <f>COUNTA(Argument!E316)</f>
        <v>1</v>
      </c>
      <c r="E316" s="2" t="str">
        <f>IF(C316,Return!D316,Return!E316)</f>
        <v>v</v>
      </c>
      <c r="F316" s="2" t="str">
        <f t="shared" si="12"/>
        <v>[v]</v>
      </c>
      <c r="G316" s="2" t="str">
        <f t="shared" si="14"/>
        <v>[v]</v>
      </c>
      <c r="H316" s="2" t="str">
        <f t="shared" si="13"/>
        <v>, [v]</v>
      </c>
      <c r="I316" s="2" t="str">
        <f>IF(Return!C316=0,REPLACE(INDEX(H:H,ROW()+Return!B316,),1,2,Return!E316&amp;"(")&amp;")","")</f>
        <v/>
      </c>
      <c r="M316" s="1"/>
    </row>
    <row r="317" spans="1:13" x14ac:dyDescent="0.55000000000000004">
      <c r="A317" s="1" t="s">
        <v>1572</v>
      </c>
      <c r="B317" t="s">
        <v>1921</v>
      </c>
      <c r="C317" s="2">
        <f>Return!C317</f>
        <v>2</v>
      </c>
      <c r="D317" s="2">
        <f>COUNTA(Argument!E317)</f>
        <v>1</v>
      </c>
      <c r="E317" s="2" t="str">
        <f>IF(C317,Return!D317,Return!E317)</f>
        <v>v</v>
      </c>
      <c r="F317" s="2" t="str">
        <f t="shared" si="12"/>
        <v>[v]</v>
      </c>
      <c r="G317" s="2" t="str">
        <f t="shared" si="14"/>
        <v>[v]</v>
      </c>
      <c r="H317" s="2" t="str">
        <f t="shared" si="13"/>
        <v>, [v], [v]</v>
      </c>
      <c r="I317" s="2" t="str">
        <f>IF(Return!C317=0,REPLACE(INDEX(H:H,ROW()+Return!B317,),1,2,Return!E317&amp;"(")&amp;")","")</f>
        <v/>
      </c>
      <c r="M317" s="1"/>
    </row>
    <row r="318" spans="1:13" x14ac:dyDescent="0.55000000000000004">
      <c r="A318" s="1" t="s">
        <v>1573</v>
      </c>
      <c r="C318" s="2">
        <f>Return!C318</f>
        <v>0</v>
      </c>
      <c r="D318" s="2">
        <f>COUNTA(Argument!E318)</f>
        <v>0</v>
      </c>
      <c r="E318" s="2" t="str">
        <f>IF(C318,Return!D318,Return!E318)</f>
        <v>var</v>
      </c>
      <c r="F318" s="2" t="str">
        <f t="shared" si="12"/>
        <v/>
      </c>
      <c r="G318" s="2" t="str">
        <f t="shared" si="14"/>
        <v/>
      </c>
      <c r="H318" s="2" t="str">
        <f t="shared" si="13"/>
        <v/>
      </c>
      <c r="I318" s="2" t="str">
        <f>IF(Return!C318=0,REPLACE(INDEX(H:H,ROW()+Return!B318,),1,2,Return!E318&amp;"(")&amp;")","")</f>
        <v>var(v, [v], [v], [v], [v], [v], [v])</v>
      </c>
      <c r="M318" s="1"/>
    </row>
    <row r="319" spans="1:13" x14ac:dyDescent="0.55000000000000004">
      <c r="A319" s="1" t="s">
        <v>1573</v>
      </c>
      <c r="B319" t="s">
        <v>1923</v>
      </c>
      <c r="C319" s="2">
        <f>Return!C319</f>
        <v>1</v>
      </c>
      <c r="D319" s="2">
        <f>COUNTA(Argument!E319)</f>
        <v>1</v>
      </c>
      <c r="E319" s="2" t="str">
        <f>IF(C319,Return!D319,Return!E319)</f>
        <v>v</v>
      </c>
      <c r="F319" s="2" t="str">
        <f t="shared" si="12"/>
        <v>v</v>
      </c>
      <c r="G319" s="2" t="str">
        <f t="shared" si="14"/>
        <v>v</v>
      </c>
      <c r="H319" s="2" t="str">
        <f t="shared" si="13"/>
        <v>, v</v>
      </c>
      <c r="I319" s="2" t="str">
        <f>IF(Return!C319=0,REPLACE(INDEX(H:H,ROW()+Return!B319,),1,2,Return!E319&amp;"(")&amp;")","")</f>
        <v/>
      </c>
      <c r="M319" s="1"/>
    </row>
    <row r="320" spans="1:13" x14ac:dyDescent="0.55000000000000004">
      <c r="A320" s="1" t="s">
        <v>1573</v>
      </c>
      <c r="B320" t="s">
        <v>1921</v>
      </c>
      <c r="C320" s="2">
        <f>Return!C320</f>
        <v>2</v>
      </c>
      <c r="D320" s="2">
        <f>COUNTA(Argument!E320)</f>
        <v>1</v>
      </c>
      <c r="E320" s="2" t="str">
        <f>IF(C320,Return!D320,Return!E320)</f>
        <v>v</v>
      </c>
      <c r="F320" s="2" t="str">
        <f t="shared" si="12"/>
        <v>[v]</v>
      </c>
      <c r="G320" s="2" t="str">
        <f t="shared" si="14"/>
        <v>[v]</v>
      </c>
      <c r="H320" s="2" t="str">
        <f t="shared" si="13"/>
        <v>, v, [v]</v>
      </c>
      <c r="I320" s="2" t="str">
        <f>IF(Return!C320=0,REPLACE(INDEX(H:H,ROW()+Return!B320,),1,2,Return!E320&amp;"(")&amp;")","")</f>
        <v/>
      </c>
      <c r="M320" s="1"/>
    </row>
    <row r="321" spans="1:13" x14ac:dyDescent="0.55000000000000004">
      <c r="A321" s="1" t="s">
        <v>1573</v>
      </c>
      <c r="B321" t="s">
        <v>1924</v>
      </c>
      <c r="C321" s="2">
        <f>Return!C321</f>
        <v>3</v>
      </c>
      <c r="D321" s="2">
        <f>COUNTA(Argument!E321)</f>
        <v>1</v>
      </c>
      <c r="E321" s="2" t="str">
        <f>IF(C321,Return!D321,Return!E321)</f>
        <v>v</v>
      </c>
      <c r="F321" s="2" t="str">
        <f t="shared" si="12"/>
        <v>[v]</v>
      </c>
      <c r="G321" s="2" t="str">
        <f t="shared" si="14"/>
        <v>[v]</v>
      </c>
      <c r="H321" s="2" t="str">
        <f t="shared" si="13"/>
        <v>, v, [v], [v]</v>
      </c>
      <c r="I321" s="2" t="str">
        <f>IF(Return!C321=0,REPLACE(INDEX(H:H,ROW()+Return!B321,),1,2,Return!E321&amp;"(")&amp;")","")</f>
        <v/>
      </c>
      <c r="M321" s="1"/>
    </row>
    <row r="322" spans="1:13" x14ac:dyDescent="0.55000000000000004">
      <c r="A322" s="1" t="s">
        <v>1573</v>
      </c>
      <c r="B322" t="s">
        <v>1925</v>
      </c>
      <c r="C322" s="2">
        <f>Return!C322</f>
        <v>4</v>
      </c>
      <c r="D322" s="2">
        <f>COUNTA(Argument!E322)</f>
        <v>1</v>
      </c>
      <c r="E322" s="2" t="str">
        <f>IF(C322,Return!D322,Return!E322)</f>
        <v>v</v>
      </c>
      <c r="F322" s="2" t="str">
        <f t="shared" si="12"/>
        <v>[v]</v>
      </c>
      <c r="G322" s="2" t="str">
        <f t="shared" si="14"/>
        <v>[v]</v>
      </c>
      <c r="H322" s="2" t="str">
        <f t="shared" si="13"/>
        <v>, v, [v], [v], [v]</v>
      </c>
      <c r="I322" s="2" t="str">
        <f>IF(Return!C322=0,REPLACE(INDEX(H:H,ROW()+Return!B322,),1,2,Return!E322&amp;"(")&amp;")","")</f>
        <v/>
      </c>
      <c r="M322" s="1"/>
    </row>
    <row r="323" spans="1:13" x14ac:dyDescent="0.55000000000000004">
      <c r="A323" s="1" t="s">
        <v>1573</v>
      </c>
      <c r="B323" t="s">
        <v>1926</v>
      </c>
      <c r="C323" s="2">
        <f>Return!C323</f>
        <v>5</v>
      </c>
      <c r="D323" s="2">
        <f>COUNTA(Argument!E323)</f>
        <v>1</v>
      </c>
      <c r="E323" s="2" t="str">
        <f>IF(C323,Return!D323,Return!E323)</f>
        <v>v</v>
      </c>
      <c r="F323" s="2" t="str">
        <f t="shared" ref="F323:F386" si="15">IF(C323,IF(D323,IF(D322,"["&amp;E323&amp;"]",E323),E323),"")</f>
        <v>[v]</v>
      </c>
      <c r="G323" s="2" t="str">
        <f t="shared" si="14"/>
        <v>[v]</v>
      </c>
      <c r="H323" s="2" t="str">
        <f t="shared" ref="H323:H386" si="16">IF(C323&gt;0,H322&amp;", "&amp;G323,"")</f>
        <v>, v, [v], [v], [v], [v]</v>
      </c>
      <c r="I323" s="2" t="str">
        <f>IF(Return!C323=0,REPLACE(INDEX(H:H,ROW()+Return!B323,),1,2,Return!E323&amp;"(")&amp;")","")</f>
        <v/>
      </c>
      <c r="M323" s="1"/>
    </row>
    <row r="324" spans="1:13" x14ac:dyDescent="0.55000000000000004">
      <c r="A324" s="1" t="s">
        <v>1573</v>
      </c>
      <c r="B324" t="s">
        <v>1927</v>
      </c>
      <c r="C324" s="2">
        <f>Return!C324</f>
        <v>6</v>
      </c>
      <c r="D324" s="2">
        <f>COUNTA(Argument!E324)</f>
        <v>1</v>
      </c>
      <c r="E324" s="2" t="str">
        <f>IF(C324,Return!D324,Return!E324)</f>
        <v>v</v>
      </c>
      <c r="F324" s="2" t="str">
        <f t="shared" si="15"/>
        <v>[v]</v>
      </c>
      <c r="G324" s="2" t="str">
        <f t="shared" ref="G324:G387" si="17">IF(B324="...",IF(C325&gt;0,"["&amp;E324,"…"),IF(B323=" ...",IF(C324&gt;0,E324&amp;"], …",F324),F324))</f>
        <v>[v]</v>
      </c>
      <c r="H324" s="2" t="str">
        <f t="shared" si="16"/>
        <v>, v, [v], [v], [v], [v], [v]</v>
      </c>
      <c r="I324" s="2" t="str">
        <f>IF(Return!C324=0,REPLACE(INDEX(H:H,ROW()+Return!B324,),1,2,Return!E324&amp;"(")&amp;")","")</f>
        <v/>
      </c>
      <c r="M324" s="1"/>
    </row>
    <row r="325" spans="1:13" x14ac:dyDescent="0.55000000000000004">
      <c r="A325" s="1" t="s">
        <v>1573</v>
      </c>
      <c r="B325" t="s">
        <v>2006</v>
      </c>
      <c r="C325" s="2">
        <f>Return!C325</f>
        <v>7</v>
      </c>
      <c r="D325" s="2">
        <f>COUNTA(Argument!E325)</f>
        <v>1</v>
      </c>
      <c r="E325" s="2" t="str">
        <f>IF(C325,Return!D325,Return!E325)</f>
        <v>v</v>
      </c>
      <c r="F325" s="2" t="str">
        <f t="shared" si="15"/>
        <v>[v]</v>
      </c>
      <c r="G325" s="2" t="str">
        <f t="shared" si="17"/>
        <v>[v]</v>
      </c>
      <c r="H325" s="2" t="str">
        <f t="shared" si="16"/>
        <v>, v, [v], [v], [v], [v], [v], [v]</v>
      </c>
      <c r="I325" s="2" t="str">
        <f>IF(Return!C325=0,REPLACE(INDEX(H:H,ROW()+Return!B325,),1,2,Return!E325&amp;"(")&amp;")","")</f>
        <v/>
      </c>
      <c r="M325" s="1"/>
    </row>
    <row r="326" spans="1:13" x14ac:dyDescent="0.55000000000000004">
      <c r="A326" s="1" t="s">
        <v>1574</v>
      </c>
      <c r="C326" s="2">
        <f>Return!C326</f>
        <v>0</v>
      </c>
      <c r="D326" s="2">
        <f>COUNTA(Argument!E326)</f>
        <v>0</v>
      </c>
      <c r="E326" s="2" t="str">
        <f>IF(C326,Return!D326,Return!E326)</f>
        <v>v</v>
      </c>
      <c r="F326" s="2" t="str">
        <f t="shared" si="15"/>
        <v/>
      </c>
      <c r="G326" s="2" t="str">
        <f t="shared" si="17"/>
        <v/>
      </c>
      <c r="H326" s="2" t="str">
        <f t="shared" si="16"/>
        <v/>
      </c>
      <c r="I326" s="2" t="str">
        <f>IF(Return!C326=0,REPLACE(INDEX(H:H,ROW()+Return!B326,),1,2,Return!E326&amp;"(")&amp;")","")</f>
        <v>v(var)</v>
      </c>
      <c r="M326" s="1"/>
    </row>
    <row r="327" spans="1:13" x14ac:dyDescent="0.55000000000000004">
      <c r="A327" s="1" t="s">
        <v>1574</v>
      </c>
      <c r="B327" t="s">
        <v>1218</v>
      </c>
      <c r="C327" s="2">
        <f>Return!C327</f>
        <v>1</v>
      </c>
      <c r="D327" s="2">
        <f>COUNTA(Argument!E327)</f>
        <v>1</v>
      </c>
      <c r="E327" s="2" t="str">
        <f>IF(C327,Return!D327,Return!E327)</f>
        <v>var</v>
      </c>
      <c r="F327" s="2" t="str">
        <f t="shared" si="15"/>
        <v>var</v>
      </c>
      <c r="G327" s="2" t="str">
        <f t="shared" si="17"/>
        <v>var</v>
      </c>
      <c r="H327" s="2" t="str">
        <f t="shared" si="16"/>
        <v>, var</v>
      </c>
      <c r="I327" s="2" t="str">
        <f>IF(Return!C327=0,REPLACE(INDEX(H:H,ROW()+Return!B327,),1,2,Return!E327&amp;"(")&amp;")","")</f>
        <v/>
      </c>
      <c r="M327" s="1"/>
    </row>
    <row r="328" spans="1:13" x14ac:dyDescent="0.55000000000000004">
      <c r="A328" s="1" t="s">
        <v>1575</v>
      </c>
      <c r="C328" s="2">
        <f>Return!C328</f>
        <v>0</v>
      </c>
      <c r="D328" s="2">
        <f>COUNTA(Argument!E328)</f>
        <v>0</v>
      </c>
      <c r="E328" s="2" t="str">
        <f>IF(C328,Return!D328,Return!E328)</f>
        <v>v</v>
      </c>
      <c r="F328" s="2" t="str">
        <f t="shared" si="15"/>
        <v/>
      </c>
      <c r="G328" s="2" t="str">
        <f t="shared" si="17"/>
        <v/>
      </c>
      <c r="H328" s="2" t="str">
        <f t="shared" si="16"/>
        <v/>
      </c>
      <c r="I328" s="2" t="str">
        <f>IF(Return!C328=0,REPLACE(INDEX(H:H,ROW()+Return!B328,),1,2,Return!E328&amp;"(")&amp;")","")</f>
        <v>v(vr)</v>
      </c>
      <c r="M328" s="1"/>
    </row>
    <row r="329" spans="1:13" x14ac:dyDescent="0.55000000000000004">
      <c r="A329" s="1" t="s">
        <v>1575</v>
      </c>
      <c r="B329" t="s">
        <v>1221</v>
      </c>
      <c r="C329" s="2">
        <f>Return!C329</f>
        <v>1</v>
      </c>
      <c r="D329" s="2">
        <f>COUNTA(Argument!E329)</f>
        <v>1</v>
      </c>
      <c r="E329" s="2" t="str">
        <f>IF(C329,Return!D329,Return!E329)</f>
        <v>vr</v>
      </c>
      <c r="F329" s="2" t="str">
        <f t="shared" si="15"/>
        <v>vr</v>
      </c>
      <c r="G329" s="2" t="str">
        <f t="shared" si="17"/>
        <v>vr</v>
      </c>
      <c r="H329" s="2" t="str">
        <f t="shared" si="16"/>
        <v>, vr</v>
      </c>
      <c r="I329" s="2" t="str">
        <f>IF(Return!C329=0,REPLACE(INDEX(H:H,ROW()+Return!B329,),1,2,Return!E329&amp;"(")&amp;")","")</f>
        <v/>
      </c>
      <c r="M329" s="1"/>
    </row>
    <row r="330" spans="1:13" x14ac:dyDescent="0.55000000000000004">
      <c r="A330" s="1" t="s">
        <v>1576</v>
      </c>
      <c r="C330" s="2">
        <f>Return!C330</f>
        <v>0</v>
      </c>
      <c r="D330" s="2">
        <f>COUNTA(Argument!E330)</f>
        <v>0</v>
      </c>
      <c r="E330" s="2" t="str">
        <f>IF(C330,Return!D330,Return!E330)</f>
        <v>v</v>
      </c>
      <c r="F330" s="2" t="str">
        <f t="shared" si="15"/>
        <v/>
      </c>
      <c r="G330" s="2" t="str">
        <f t="shared" si="17"/>
        <v/>
      </c>
      <c r="H330" s="2" t="str">
        <f t="shared" si="16"/>
        <v/>
      </c>
      <c r="I330" s="2" t="str">
        <f>IF(Return!C330=0,REPLACE(INDEX(H:H,ROW()+Return!B330,),1,2,Return!E330&amp;"(")&amp;")","")</f>
        <v>v(v, [v])</v>
      </c>
      <c r="M330" s="1"/>
    </row>
    <row r="331" spans="1:13" x14ac:dyDescent="0.55000000000000004">
      <c r="A331" s="1" t="s">
        <v>1576</v>
      </c>
      <c r="B331" t="s">
        <v>1919</v>
      </c>
      <c r="C331" s="2">
        <f>Return!C331</f>
        <v>1</v>
      </c>
      <c r="D331" s="2">
        <f>COUNTA(Argument!E331)</f>
        <v>1</v>
      </c>
      <c r="E331" s="2" t="str">
        <f>IF(C331,Return!D331,Return!E331)</f>
        <v>v</v>
      </c>
      <c r="F331" s="2" t="str">
        <f t="shared" si="15"/>
        <v>v</v>
      </c>
      <c r="G331" s="2" t="str">
        <f t="shared" si="17"/>
        <v>v</v>
      </c>
      <c r="H331" s="2" t="str">
        <f t="shared" si="16"/>
        <v>, v</v>
      </c>
      <c r="I331" s="2" t="str">
        <f>IF(Return!C331=0,REPLACE(INDEX(H:H,ROW()+Return!B331,),1,2,Return!E331&amp;"(")&amp;")","")</f>
        <v/>
      </c>
      <c r="M331" s="1"/>
    </row>
    <row r="332" spans="1:13" x14ac:dyDescent="0.55000000000000004">
      <c r="A332" s="1" t="s">
        <v>1576</v>
      </c>
      <c r="B332" t="s">
        <v>1287</v>
      </c>
      <c r="C332" s="2">
        <f>Return!C332</f>
        <v>2</v>
      </c>
      <c r="D332" s="2">
        <f>COUNTA(Argument!E332)</f>
        <v>1</v>
      </c>
      <c r="E332" s="2" t="str">
        <f>IF(C332,Return!D332,Return!E332)</f>
        <v>v</v>
      </c>
      <c r="F332" s="2" t="str">
        <f t="shared" si="15"/>
        <v>[v]</v>
      </c>
      <c r="G332" s="2" t="str">
        <f t="shared" si="17"/>
        <v>[v]</v>
      </c>
      <c r="H332" s="2" t="str">
        <f t="shared" si="16"/>
        <v>, v, [v]</v>
      </c>
      <c r="I332" s="2" t="str">
        <f>IF(Return!C332=0,REPLACE(INDEX(H:H,ROW()+Return!B332,),1,2,Return!E332&amp;"(")&amp;")","")</f>
        <v/>
      </c>
      <c r="M332" s="1"/>
    </row>
    <row r="333" spans="1:13" x14ac:dyDescent="0.55000000000000004">
      <c r="A333" s="1" t="s">
        <v>1577</v>
      </c>
      <c r="C333" s="2">
        <f>Return!C333</f>
        <v>0</v>
      </c>
      <c r="D333" s="2">
        <f>COUNTA(Argument!E333)</f>
        <v>0</v>
      </c>
      <c r="E333" s="2" t="str">
        <f>IF(C333,Return!D333,Return!E333)</f>
        <v>v</v>
      </c>
      <c r="F333" s="2" t="str">
        <f t="shared" si="15"/>
        <v/>
      </c>
      <c r="G333" s="2" t="str">
        <f t="shared" si="17"/>
        <v/>
      </c>
      <c r="H333" s="2" t="str">
        <f t="shared" si="16"/>
        <v/>
      </c>
      <c r="I333" s="2" t="str">
        <f>IF(Return!C333=0,REPLACE(INDEX(H:H,ROW()+Return!B333,),1,2,Return!E333&amp;"(")&amp;")","")</f>
        <v>v(r, va)</v>
      </c>
      <c r="M333" s="1"/>
    </row>
    <row r="334" spans="1:13" x14ac:dyDescent="0.55000000000000004">
      <c r="A334" s="1" t="s">
        <v>1577</v>
      </c>
      <c r="B334" t="s">
        <v>1221</v>
      </c>
      <c r="C334" s="2">
        <f>Return!C334</f>
        <v>1</v>
      </c>
      <c r="D334" s="2">
        <f>COUNTA(Argument!E334)</f>
        <v>0</v>
      </c>
      <c r="E334" s="2" t="str">
        <f>IF(C334,Return!D334,Return!E334)</f>
        <v>r</v>
      </c>
      <c r="F334" s="2" t="str">
        <f t="shared" si="15"/>
        <v>r</v>
      </c>
      <c r="G334" s="2" t="str">
        <f t="shared" si="17"/>
        <v>r</v>
      </c>
      <c r="H334" s="2" t="str">
        <f t="shared" si="16"/>
        <v>, r</v>
      </c>
      <c r="I334" s="2" t="str">
        <f>IF(Return!C334=0,REPLACE(INDEX(H:H,ROW()+Return!B334,),1,2,Return!E334&amp;"(")&amp;")","")</f>
        <v/>
      </c>
      <c r="M334" s="1"/>
    </row>
    <row r="335" spans="1:13" x14ac:dyDescent="0.55000000000000004">
      <c r="A335" s="1" t="s">
        <v>1577</v>
      </c>
      <c r="B335" t="s">
        <v>1255</v>
      </c>
      <c r="C335" s="2">
        <f>Return!C335</f>
        <v>2</v>
      </c>
      <c r="D335" s="2">
        <f>COUNTA(Argument!E335)</f>
        <v>1</v>
      </c>
      <c r="E335" s="2" t="str">
        <f>IF(C335,Return!D335,Return!E335)</f>
        <v>va</v>
      </c>
      <c r="F335" s="2" t="str">
        <f t="shared" si="15"/>
        <v>va</v>
      </c>
      <c r="G335" s="2" t="str">
        <f t="shared" si="17"/>
        <v>va</v>
      </c>
      <c r="H335" s="2" t="str">
        <f t="shared" si="16"/>
        <v>, r, va</v>
      </c>
      <c r="I335" s="2" t="str">
        <f>IF(Return!C335=0,REPLACE(INDEX(H:H,ROW()+Return!B335,),1,2,Return!E335&amp;"(")&amp;")","")</f>
        <v/>
      </c>
      <c r="M335" s="1"/>
    </row>
    <row r="336" spans="1:13" x14ac:dyDescent="0.55000000000000004">
      <c r="A336" s="1" t="s">
        <v>1578</v>
      </c>
      <c r="C336" s="2">
        <f>Return!C336</f>
        <v>0</v>
      </c>
      <c r="D336" s="2">
        <f>COUNTA(Argument!E336)</f>
        <v>0</v>
      </c>
      <c r="E336" s="2" t="str">
        <f>IF(C336,Return!D336,Return!E336)</f>
        <v>v</v>
      </c>
      <c r="F336" s="2" t="str">
        <f t="shared" si="15"/>
        <v/>
      </c>
      <c r="G336" s="2" t="str">
        <f t="shared" si="17"/>
        <v/>
      </c>
      <c r="H336" s="2" t="str">
        <f t="shared" si="16"/>
        <v/>
      </c>
      <c r="I336" s="2" t="str">
        <f>IF(Return!C336=0,REPLACE(INDEX(H:H,ROW()+Return!B336,),1,2,Return!E336&amp;"(")&amp;")","")</f>
        <v>v(v, [v])</v>
      </c>
      <c r="M336" s="1"/>
    </row>
    <row r="337" spans="1:13" x14ac:dyDescent="0.55000000000000004">
      <c r="A337" s="1" t="s">
        <v>1578</v>
      </c>
      <c r="B337" t="s">
        <v>1223</v>
      </c>
      <c r="C337" s="2">
        <f>Return!C337</f>
        <v>1</v>
      </c>
      <c r="D337" s="2">
        <f>COUNTA(Argument!E337)</f>
        <v>1</v>
      </c>
      <c r="E337" s="2" t="str">
        <f>IF(C337,Return!D337,Return!E337)</f>
        <v>v</v>
      </c>
      <c r="F337" s="2" t="str">
        <f t="shared" si="15"/>
        <v>v</v>
      </c>
      <c r="G337" s="2" t="str">
        <f t="shared" si="17"/>
        <v>v</v>
      </c>
      <c r="H337" s="2" t="str">
        <f t="shared" si="16"/>
        <v>, v</v>
      </c>
      <c r="I337" s="2" t="str">
        <f>IF(Return!C337=0,REPLACE(INDEX(H:H,ROW()+Return!B337,),1,2,Return!E337&amp;"(")&amp;")","")</f>
        <v/>
      </c>
      <c r="M337" s="1"/>
    </row>
    <row r="338" spans="1:13" x14ac:dyDescent="0.55000000000000004">
      <c r="A338" s="1" t="s">
        <v>1578</v>
      </c>
      <c r="B338" t="s">
        <v>1281</v>
      </c>
      <c r="C338" s="2">
        <f>Return!C338</f>
        <v>2</v>
      </c>
      <c r="D338" s="2">
        <f>COUNTA(Argument!E338)</f>
        <v>1</v>
      </c>
      <c r="E338" s="2" t="str">
        <f>IF(C338,Return!D338,Return!E338)</f>
        <v>v</v>
      </c>
      <c r="F338" s="2" t="str">
        <f t="shared" si="15"/>
        <v>[v]</v>
      </c>
      <c r="G338" s="2" t="str">
        <f t="shared" si="17"/>
        <v>[v]</v>
      </c>
      <c r="H338" s="2" t="str">
        <f t="shared" si="16"/>
        <v>, v, [v]</v>
      </c>
      <c r="I338" s="2" t="str">
        <f>IF(Return!C338=0,REPLACE(INDEX(H:H,ROW()+Return!B338,),1,2,Return!E338&amp;"(")&amp;")","")</f>
        <v/>
      </c>
      <c r="M338" s="1"/>
    </row>
    <row r="339" spans="1:13" x14ac:dyDescent="0.55000000000000004">
      <c r="A339" s="1" t="s">
        <v>1579</v>
      </c>
      <c r="C339" s="2">
        <f>Return!C339</f>
        <v>0</v>
      </c>
      <c r="D339" s="2">
        <f>COUNTA(Argument!E339)</f>
        <v>0</v>
      </c>
      <c r="E339" s="2" t="str">
        <f>IF(C339,Return!D339,Return!E339)</f>
        <v>v</v>
      </c>
      <c r="F339" s="2" t="str">
        <f t="shared" si="15"/>
        <v/>
      </c>
      <c r="G339" s="2" t="str">
        <f t="shared" si="17"/>
        <v/>
      </c>
      <c r="H339" s="2" t="str">
        <f t="shared" si="16"/>
        <v/>
      </c>
      <c r="I339" s="2" t="str">
        <f>IF(Return!C339=0,REPLACE(INDEX(H:H,ROW()+Return!B339,),1,2,Return!E339&amp;"(")&amp;")","")</f>
        <v>v(v, [v])</v>
      </c>
      <c r="M339" s="1"/>
    </row>
    <row r="340" spans="1:13" x14ac:dyDescent="0.55000000000000004">
      <c r="A340" s="1" t="s">
        <v>1579</v>
      </c>
      <c r="B340" t="s">
        <v>1928</v>
      </c>
      <c r="C340" s="2">
        <f>Return!C340</f>
        <v>1</v>
      </c>
      <c r="D340" s="2">
        <f>COUNTA(Argument!E340)</f>
        <v>1</v>
      </c>
      <c r="E340" s="2" t="str">
        <f>IF(C340,Return!D340,Return!E340)</f>
        <v>v</v>
      </c>
      <c r="F340" s="2" t="str">
        <f t="shared" si="15"/>
        <v>v</v>
      </c>
      <c r="G340" s="2" t="str">
        <f t="shared" si="17"/>
        <v>v</v>
      </c>
      <c r="H340" s="2" t="str">
        <f t="shared" si="16"/>
        <v>, v</v>
      </c>
      <c r="I340" s="2" t="str">
        <f>IF(Return!C340=0,REPLACE(INDEX(H:H,ROW()+Return!B340,),1,2,Return!E340&amp;"(")&amp;")","")</f>
        <v/>
      </c>
      <c r="M340" s="1"/>
    </row>
    <row r="341" spans="1:13" x14ac:dyDescent="0.55000000000000004">
      <c r="A341" s="1" t="s">
        <v>1579</v>
      </c>
      <c r="B341" t="s">
        <v>2007</v>
      </c>
      <c r="C341" s="2">
        <f>Return!C341</f>
        <v>2</v>
      </c>
      <c r="D341" s="2">
        <f>COUNTA(Argument!E341)</f>
        <v>1</v>
      </c>
      <c r="E341" s="2" t="str">
        <f>IF(C341,Return!D341,Return!E341)</f>
        <v>v</v>
      </c>
      <c r="F341" s="2" t="str">
        <f t="shared" si="15"/>
        <v>[v]</v>
      </c>
      <c r="G341" s="2" t="str">
        <f t="shared" si="17"/>
        <v>[v]</v>
      </c>
      <c r="H341" s="2" t="str">
        <f t="shared" si="16"/>
        <v>, v, [v]</v>
      </c>
      <c r="I341" s="2" t="str">
        <f>IF(Return!C341=0,REPLACE(INDEX(H:H,ROW()+Return!B341,),1,2,Return!E341&amp;"(")&amp;")","")</f>
        <v/>
      </c>
      <c r="M341" s="1"/>
    </row>
    <row r="342" spans="1:13" x14ac:dyDescent="0.55000000000000004">
      <c r="A342" s="1" t="s">
        <v>1580</v>
      </c>
      <c r="C342" s="2">
        <f>Return!C342</f>
        <v>0</v>
      </c>
      <c r="D342" s="2">
        <f>COUNTA(Argument!E342)</f>
        <v>0</v>
      </c>
      <c r="E342" s="2" t="str">
        <f>IF(C342,Return!D342,Return!E342)</f>
        <v>v</v>
      </c>
      <c r="F342" s="2" t="str">
        <f t="shared" si="15"/>
        <v/>
      </c>
      <c r="G342" s="2" t="str">
        <f t="shared" si="17"/>
        <v/>
      </c>
      <c r="H342" s="2" t="str">
        <f t="shared" si="16"/>
        <v/>
      </c>
      <c r="I342" s="2" t="str">
        <f>IF(Return!C342=0,REPLACE(INDEX(H:H,ROW()+Return!B342,),1,2,Return!E342&amp;"(")&amp;")","")</f>
        <v>v(v)</v>
      </c>
      <c r="M342" s="1"/>
    </row>
    <row r="343" spans="1:13" x14ac:dyDescent="0.55000000000000004">
      <c r="A343" s="1" t="s">
        <v>1580</v>
      </c>
      <c r="B343" t="s">
        <v>1223</v>
      </c>
      <c r="C343" s="2">
        <f>Return!C343</f>
        <v>1</v>
      </c>
      <c r="D343" s="2">
        <f>COUNTA(Argument!E343)</f>
        <v>1</v>
      </c>
      <c r="E343" s="2" t="str">
        <f>IF(C343,Return!D343,Return!E343)</f>
        <v>v</v>
      </c>
      <c r="F343" s="2" t="str">
        <f t="shared" si="15"/>
        <v>v</v>
      </c>
      <c r="G343" s="2" t="str">
        <f t="shared" si="17"/>
        <v>v</v>
      </c>
      <c r="H343" s="2" t="str">
        <f t="shared" si="16"/>
        <v>, v</v>
      </c>
      <c r="I343" s="2" t="str">
        <f>IF(Return!C343=0,REPLACE(INDEX(H:H,ROW()+Return!B343,),1,2,Return!E343&amp;"(")&amp;")","")</f>
        <v/>
      </c>
      <c r="M343" s="1"/>
    </row>
    <row r="344" spans="1:13" x14ac:dyDescent="0.55000000000000004">
      <c r="A344" s="1" t="s">
        <v>1581</v>
      </c>
      <c r="C344" s="2">
        <f>Return!C344</f>
        <v>0</v>
      </c>
      <c r="D344" s="2">
        <f>COUNTA(Argument!E344)</f>
        <v>0</v>
      </c>
      <c r="E344" s="2" t="str">
        <f>IF(C344,Return!D344,Return!E344)</f>
        <v>v</v>
      </c>
      <c r="F344" s="2" t="str">
        <f t="shared" si="15"/>
        <v/>
      </c>
      <c r="G344" s="2" t="str">
        <f t="shared" si="17"/>
        <v/>
      </c>
      <c r="H344" s="2" t="str">
        <f t="shared" si="16"/>
        <v/>
      </c>
      <c r="I344" s="2" t="str">
        <f>IF(Return!C344=0,REPLACE(INDEX(H:H,ROW()+Return!B344,),1,2,Return!E344&amp;"(")&amp;")","")</f>
        <v>v(v)</v>
      </c>
      <c r="M344" s="1"/>
    </row>
    <row r="345" spans="1:13" x14ac:dyDescent="0.55000000000000004">
      <c r="A345" s="1" t="s">
        <v>1581</v>
      </c>
      <c r="B345" t="s">
        <v>1233</v>
      </c>
      <c r="C345" s="2">
        <f>Return!C345</f>
        <v>1</v>
      </c>
      <c r="D345" s="2">
        <f>COUNTA(Argument!E345)</f>
        <v>1</v>
      </c>
      <c r="E345" s="2" t="str">
        <f>IF(C345,Return!D345,Return!E345)</f>
        <v>v</v>
      </c>
      <c r="F345" s="2" t="str">
        <f t="shared" si="15"/>
        <v>v</v>
      </c>
      <c r="G345" s="2" t="str">
        <f t="shared" si="17"/>
        <v>v</v>
      </c>
      <c r="H345" s="2" t="str">
        <f t="shared" si="16"/>
        <v>, v</v>
      </c>
      <c r="I345" s="2" t="str">
        <f>IF(Return!C345=0,REPLACE(INDEX(H:H,ROW()+Return!B345,),1,2,Return!E345&amp;"(")&amp;")","")</f>
        <v/>
      </c>
      <c r="M345" s="1"/>
    </row>
    <row r="346" spans="1:13" x14ac:dyDescent="0.55000000000000004">
      <c r="A346" s="1" t="s">
        <v>1582</v>
      </c>
      <c r="C346" s="2">
        <f>Return!C346</f>
        <v>0</v>
      </c>
      <c r="D346" s="2">
        <f>COUNTA(Argument!E346)</f>
        <v>0</v>
      </c>
      <c r="E346" s="2" t="str">
        <f>IF(C346,Return!D346,Return!E346)</f>
        <v>v</v>
      </c>
      <c r="F346" s="2" t="str">
        <f t="shared" si="15"/>
        <v/>
      </c>
      <c r="G346" s="2" t="str">
        <f t="shared" si="17"/>
        <v/>
      </c>
      <c r="H346" s="2" t="str">
        <f t="shared" si="16"/>
        <v/>
      </c>
      <c r="I346" s="2" t="str">
        <f>IF(Return!C346=0,REPLACE(INDEX(H:H,ROW()+Return!B346,),1,2,Return!E346&amp;"(")&amp;")","")</f>
        <v>v(v)</v>
      </c>
      <c r="M346" s="1"/>
    </row>
    <row r="347" spans="1:13" x14ac:dyDescent="0.55000000000000004">
      <c r="A347" s="1" t="s">
        <v>1582</v>
      </c>
      <c r="B347" t="s">
        <v>1233</v>
      </c>
      <c r="C347" s="2">
        <f>Return!C347</f>
        <v>1</v>
      </c>
      <c r="D347" s="2">
        <f>COUNTA(Argument!E347)</f>
        <v>1</v>
      </c>
      <c r="E347" s="2" t="str">
        <f>IF(C347,Return!D347,Return!E347)</f>
        <v>v</v>
      </c>
      <c r="F347" s="2" t="str">
        <f t="shared" si="15"/>
        <v>v</v>
      </c>
      <c r="G347" s="2" t="str">
        <f t="shared" si="17"/>
        <v>v</v>
      </c>
      <c r="H347" s="2" t="str">
        <f t="shared" si="16"/>
        <v>, v</v>
      </c>
      <c r="I347" s="2" t="str">
        <f>IF(Return!C347=0,REPLACE(INDEX(H:H,ROW()+Return!B347,),1,2,Return!E347&amp;"(")&amp;")","")</f>
        <v/>
      </c>
      <c r="M347" s="1"/>
    </row>
    <row r="348" spans="1:13" x14ac:dyDescent="0.55000000000000004">
      <c r="A348" s="1" t="s">
        <v>1583</v>
      </c>
      <c r="C348" s="2">
        <f>Return!C348</f>
        <v>0</v>
      </c>
      <c r="D348" s="2">
        <f>COUNTA(Argument!E348)</f>
        <v>0</v>
      </c>
      <c r="E348" s="2" t="str">
        <f>IF(C348,Return!D348,Return!E348)</f>
        <v>v</v>
      </c>
      <c r="F348" s="2" t="str">
        <f t="shared" si="15"/>
        <v/>
      </c>
      <c r="G348" s="2" t="str">
        <f t="shared" si="17"/>
        <v/>
      </c>
      <c r="H348" s="2" t="str">
        <f t="shared" si="16"/>
        <v/>
      </c>
      <c r="I348" s="2" t="str">
        <f>IF(Return!C348=0,REPLACE(INDEX(H:H,ROW()+Return!B348,),1,2,Return!E348&amp;"(")&amp;")","")</f>
        <v>v(v)</v>
      </c>
      <c r="M348" s="1"/>
    </row>
    <row r="349" spans="1:13" x14ac:dyDescent="0.55000000000000004">
      <c r="A349" s="1" t="s">
        <v>1583</v>
      </c>
      <c r="B349" t="s">
        <v>1233</v>
      </c>
      <c r="C349" s="2">
        <f>Return!C349</f>
        <v>1</v>
      </c>
      <c r="D349" s="2">
        <f>COUNTA(Argument!E349)</f>
        <v>1</v>
      </c>
      <c r="E349" s="2" t="str">
        <f>IF(C349,Return!D349,Return!E349)</f>
        <v>v</v>
      </c>
      <c r="F349" s="2" t="str">
        <f t="shared" si="15"/>
        <v>v</v>
      </c>
      <c r="G349" s="2" t="str">
        <f t="shared" si="17"/>
        <v>v</v>
      </c>
      <c r="H349" s="2" t="str">
        <f t="shared" si="16"/>
        <v>, v</v>
      </c>
      <c r="I349" s="2" t="str">
        <f>IF(Return!C349=0,REPLACE(INDEX(H:H,ROW()+Return!B349,),1,2,Return!E349&amp;"(")&amp;")","")</f>
        <v/>
      </c>
      <c r="M349" s="1"/>
    </row>
    <row r="350" spans="1:13" x14ac:dyDescent="0.55000000000000004">
      <c r="A350" s="1" t="s">
        <v>1584</v>
      </c>
      <c r="C350" s="2">
        <f>Return!C350</f>
        <v>0</v>
      </c>
      <c r="D350" s="2">
        <f>COUNTA(Argument!E350)</f>
        <v>0</v>
      </c>
      <c r="E350" s="2" t="str">
        <f>IF(C350,Return!D350,Return!E350)</f>
        <v>v</v>
      </c>
      <c r="F350" s="2" t="str">
        <f t="shared" si="15"/>
        <v/>
      </c>
      <c r="G350" s="2" t="str">
        <f t="shared" si="17"/>
        <v/>
      </c>
      <c r="H350" s="2" t="str">
        <f t="shared" si="16"/>
        <v/>
      </c>
      <c r="I350" s="2" t="str">
        <f>IF(Return!C350=0,REPLACE(INDEX(H:H,ROW()+Return!B350,),1,2,Return!E350&amp;"(")&amp;")","")</f>
        <v>v(v, [v])</v>
      </c>
      <c r="M350" s="1"/>
    </row>
    <row r="351" spans="1:13" x14ac:dyDescent="0.55000000000000004">
      <c r="A351" s="1" t="s">
        <v>1584</v>
      </c>
      <c r="B351" t="s">
        <v>1233</v>
      </c>
      <c r="C351" s="2">
        <f>Return!C351</f>
        <v>1</v>
      </c>
      <c r="D351" s="2">
        <f>COUNTA(Argument!E351)</f>
        <v>1</v>
      </c>
      <c r="E351" s="2" t="str">
        <f>IF(C351,Return!D351,Return!E351)</f>
        <v>v</v>
      </c>
      <c r="F351" s="2" t="str">
        <f t="shared" si="15"/>
        <v>v</v>
      </c>
      <c r="G351" s="2" t="str">
        <f t="shared" si="17"/>
        <v>v</v>
      </c>
      <c r="H351" s="2" t="str">
        <f t="shared" si="16"/>
        <v>, v</v>
      </c>
      <c r="I351" s="2" t="str">
        <f>IF(Return!C351=0,REPLACE(INDEX(H:H,ROW()+Return!B351,),1,2,Return!E351&amp;"(")&amp;")","")</f>
        <v/>
      </c>
      <c r="M351" s="1"/>
    </row>
    <row r="352" spans="1:13" x14ac:dyDescent="0.55000000000000004">
      <c r="A352" s="1" t="s">
        <v>1584</v>
      </c>
      <c r="B352" t="s">
        <v>1236</v>
      </c>
      <c r="C352" s="2">
        <f>Return!C352</f>
        <v>2</v>
      </c>
      <c r="D352" s="2">
        <f>COUNTA(Argument!E352)</f>
        <v>1</v>
      </c>
      <c r="E352" s="2" t="str">
        <f>IF(C352,Return!D352,Return!E352)</f>
        <v>v</v>
      </c>
      <c r="F352" s="2" t="str">
        <f t="shared" si="15"/>
        <v>[v]</v>
      </c>
      <c r="G352" s="2" t="str">
        <f t="shared" si="17"/>
        <v>[v]</v>
      </c>
      <c r="H352" s="2" t="str">
        <f t="shared" si="16"/>
        <v>, v, [v]</v>
      </c>
      <c r="I352" s="2" t="str">
        <f>IF(Return!C352=0,REPLACE(INDEX(H:H,ROW()+Return!B352,),1,2,Return!E352&amp;"(")&amp;")","")</f>
        <v/>
      </c>
      <c r="M352" s="1"/>
    </row>
    <row r="353" spans="1:13" x14ac:dyDescent="0.55000000000000004">
      <c r="A353" s="1" t="s">
        <v>1585</v>
      </c>
      <c r="C353" s="2">
        <f>Return!C353</f>
        <v>0</v>
      </c>
      <c r="D353" s="2">
        <f>COUNTA(Argument!E353)</f>
        <v>0</v>
      </c>
      <c r="E353" s="2" t="str">
        <f>IF(C353,Return!D353,Return!E353)</f>
        <v>v</v>
      </c>
      <c r="F353" s="2" t="str">
        <f t="shared" si="15"/>
        <v/>
      </c>
      <c r="G353" s="2" t="str">
        <f t="shared" si="17"/>
        <v/>
      </c>
      <c r="H353" s="2" t="str">
        <f t="shared" si="16"/>
        <v/>
      </c>
      <c r="I353" s="2" t="str">
        <f>IF(Return!C353=0,REPLACE(INDEX(H:H,ROW()+Return!B353,),1,2,Return!E353&amp;"(")&amp;")","")</f>
        <v>v(v, [v])</v>
      </c>
      <c r="M353" s="1"/>
    </row>
    <row r="354" spans="1:13" x14ac:dyDescent="0.55000000000000004">
      <c r="A354" s="1" t="s">
        <v>1585</v>
      </c>
      <c r="B354" t="s">
        <v>1233</v>
      </c>
      <c r="C354" s="2">
        <f>Return!C354</f>
        <v>1</v>
      </c>
      <c r="D354" s="2">
        <f>COUNTA(Argument!E354)</f>
        <v>1</v>
      </c>
      <c r="E354" s="2" t="str">
        <f>IF(C354,Return!D354,Return!E354)</f>
        <v>v</v>
      </c>
      <c r="F354" s="2" t="str">
        <f t="shared" si="15"/>
        <v>v</v>
      </c>
      <c r="G354" s="2" t="str">
        <f t="shared" si="17"/>
        <v>v</v>
      </c>
      <c r="H354" s="2" t="str">
        <f t="shared" si="16"/>
        <v>, v</v>
      </c>
      <c r="I354" s="2" t="str">
        <f>IF(Return!C354=0,REPLACE(INDEX(H:H,ROW()+Return!B354,),1,2,Return!E354&amp;"(")&amp;")","")</f>
        <v/>
      </c>
      <c r="M354" s="1"/>
    </row>
    <row r="355" spans="1:13" x14ac:dyDescent="0.55000000000000004">
      <c r="A355" s="1" t="s">
        <v>1585</v>
      </c>
      <c r="B355" t="s">
        <v>1236</v>
      </c>
      <c r="C355" s="2">
        <f>Return!C355</f>
        <v>2</v>
      </c>
      <c r="D355" s="2">
        <f>COUNTA(Argument!E355)</f>
        <v>1</v>
      </c>
      <c r="E355" s="2" t="str">
        <f>IF(C355,Return!D355,Return!E355)</f>
        <v>v</v>
      </c>
      <c r="F355" s="2" t="str">
        <f t="shared" si="15"/>
        <v>[v]</v>
      </c>
      <c r="G355" s="2" t="str">
        <f t="shared" si="17"/>
        <v>[v]</v>
      </c>
      <c r="H355" s="2" t="str">
        <f t="shared" si="16"/>
        <v>, v, [v]</v>
      </c>
      <c r="I355" s="2" t="str">
        <f>IF(Return!C355=0,REPLACE(INDEX(H:H,ROW()+Return!B355,),1,2,Return!E355&amp;"(")&amp;")","")</f>
        <v/>
      </c>
      <c r="M355" s="1"/>
    </row>
    <row r="356" spans="1:13" x14ac:dyDescent="0.55000000000000004">
      <c r="A356" s="1" t="s">
        <v>1586</v>
      </c>
      <c r="C356" s="2">
        <f>Return!C356</f>
        <v>0</v>
      </c>
      <c r="D356" s="2">
        <f>COUNTA(Argument!E356)</f>
        <v>0</v>
      </c>
      <c r="E356" s="2" t="str">
        <f>IF(C356,Return!D356,Return!E356)</f>
        <v>v</v>
      </c>
      <c r="F356" s="2" t="str">
        <f t="shared" si="15"/>
        <v/>
      </c>
      <c r="G356" s="2" t="str">
        <f t="shared" si="17"/>
        <v/>
      </c>
      <c r="H356" s="2" t="str">
        <f t="shared" si="16"/>
        <v/>
      </c>
      <c r="I356" s="2" t="str">
        <f>IF(Return!C356=0,REPLACE(INDEX(H:H,ROW()+Return!B356,),1,2,Return!E356&amp;"(")&amp;")","")</f>
        <v>v(v, v)</v>
      </c>
      <c r="M356" s="1"/>
    </row>
    <row r="357" spans="1:13" x14ac:dyDescent="0.55000000000000004">
      <c r="A357" s="1" t="s">
        <v>1586</v>
      </c>
      <c r="B357" t="s">
        <v>1282</v>
      </c>
      <c r="C357" s="2">
        <f>Return!C357</f>
        <v>1</v>
      </c>
      <c r="D357" s="2">
        <f>COUNTA(Argument!E357)</f>
        <v>0</v>
      </c>
      <c r="E357" s="2" t="str">
        <f>IF(C357,Return!D357,Return!E357)</f>
        <v>v</v>
      </c>
      <c r="F357" s="2" t="str">
        <f t="shared" si="15"/>
        <v>v</v>
      </c>
      <c r="G357" s="2" t="str">
        <f t="shared" si="17"/>
        <v>v</v>
      </c>
      <c r="H357" s="2" t="str">
        <f t="shared" si="16"/>
        <v>, v</v>
      </c>
      <c r="I357" s="2" t="str">
        <f>IF(Return!C357=0,REPLACE(INDEX(H:H,ROW()+Return!B357,),1,2,Return!E357&amp;"(")&amp;")","")</f>
        <v/>
      </c>
      <c r="M357" s="1"/>
    </row>
    <row r="358" spans="1:13" x14ac:dyDescent="0.55000000000000004">
      <c r="A358" s="1" t="s">
        <v>1586</v>
      </c>
      <c r="B358" t="s">
        <v>1283</v>
      </c>
      <c r="C358" s="2">
        <f>Return!C358</f>
        <v>2</v>
      </c>
      <c r="D358" s="2">
        <f>COUNTA(Argument!E358)</f>
        <v>1</v>
      </c>
      <c r="E358" s="2" t="str">
        <f>IF(C358,Return!D358,Return!E358)</f>
        <v>v</v>
      </c>
      <c r="F358" s="2" t="str">
        <f t="shared" si="15"/>
        <v>v</v>
      </c>
      <c r="G358" s="2" t="str">
        <f t="shared" si="17"/>
        <v>v</v>
      </c>
      <c r="H358" s="2" t="str">
        <f t="shared" si="16"/>
        <v>, v, v</v>
      </c>
      <c r="I358" s="2" t="str">
        <f>IF(Return!C358=0,REPLACE(INDEX(H:H,ROW()+Return!B358,),1,2,Return!E358&amp;"(")&amp;")","")</f>
        <v/>
      </c>
      <c r="M358" s="1"/>
    </row>
    <row r="359" spans="1:13" x14ac:dyDescent="0.55000000000000004">
      <c r="A359" s="1" t="s">
        <v>1587</v>
      </c>
      <c r="C359" s="2">
        <f>Return!C359</f>
        <v>0</v>
      </c>
      <c r="D359" s="2">
        <f>COUNTA(Argument!E359)</f>
        <v>0</v>
      </c>
      <c r="E359" s="2" t="str">
        <f>IF(C359,Return!D359,Return!E359)</f>
        <v>v</v>
      </c>
      <c r="F359" s="2" t="str">
        <f t="shared" si="15"/>
        <v/>
      </c>
      <c r="G359" s="2" t="str">
        <f t="shared" si="17"/>
        <v/>
      </c>
      <c r="H359" s="2" t="str">
        <f t="shared" si="16"/>
        <v/>
      </c>
      <c r="I359" s="2" t="str">
        <f>IF(Return!C359=0,REPLACE(INDEX(H:H,ROW()+Return!B359,),1,2,Return!E359&amp;"(")&amp;")","")</f>
        <v>v(v)</v>
      </c>
      <c r="M359" s="1"/>
    </row>
    <row r="360" spans="1:13" x14ac:dyDescent="0.55000000000000004">
      <c r="A360" s="1" t="s">
        <v>1587</v>
      </c>
      <c r="B360" t="s">
        <v>1233</v>
      </c>
      <c r="C360" s="2">
        <f>Return!C360</f>
        <v>1</v>
      </c>
      <c r="D360" s="2">
        <f>COUNTA(Argument!E360)</f>
        <v>1</v>
      </c>
      <c r="E360" s="2" t="str">
        <f>IF(C360,Return!D360,Return!E360)</f>
        <v>v</v>
      </c>
      <c r="F360" s="2" t="str">
        <f t="shared" si="15"/>
        <v>v</v>
      </c>
      <c r="G360" s="2" t="str">
        <f t="shared" si="17"/>
        <v>v</v>
      </c>
      <c r="H360" s="2" t="str">
        <f t="shared" si="16"/>
        <v>, v</v>
      </c>
      <c r="I360" s="2" t="str">
        <f>IF(Return!C360=0,REPLACE(INDEX(H:H,ROW()+Return!B360,),1,2,Return!E360&amp;"(")&amp;")","")</f>
        <v/>
      </c>
      <c r="M360" s="1"/>
    </row>
    <row r="361" spans="1:13" x14ac:dyDescent="0.55000000000000004">
      <c r="A361" s="1" t="s">
        <v>1588</v>
      </c>
      <c r="C361" s="2">
        <f>Return!C361</f>
        <v>0</v>
      </c>
      <c r="D361" s="2">
        <f>COUNTA(Argument!E361)</f>
        <v>0</v>
      </c>
      <c r="E361" s="2" t="str">
        <f>IF(C361,Return!D361,Return!E361)</f>
        <v>v</v>
      </c>
      <c r="F361" s="2" t="str">
        <f t="shared" si="15"/>
        <v/>
      </c>
      <c r="G361" s="2" t="str">
        <f t="shared" si="17"/>
        <v/>
      </c>
      <c r="H361" s="2" t="str">
        <f t="shared" si="16"/>
        <v/>
      </c>
      <c r="I361" s="2" t="str">
        <f>IF(Return!C361=0,REPLACE(INDEX(H:H,ROW()+Return!B361,),1,2,Return!E361&amp;"(")&amp;")","")</f>
        <v>v(v, v, v, v)</v>
      </c>
      <c r="M361" s="1"/>
    </row>
    <row r="362" spans="1:13" x14ac:dyDescent="0.55000000000000004">
      <c r="A362" s="1" t="s">
        <v>1588</v>
      </c>
      <c r="B362" t="s">
        <v>1284</v>
      </c>
      <c r="C362" s="2">
        <f>Return!C362</f>
        <v>1</v>
      </c>
      <c r="D362" s="2">
        <f>COUNTA(Argument!E362)</f>
        <v>0</v>
      </c>
      <c r="E362" s="2" t="str">
        <f>IF(C362,Return!D362,Return!E362)</f>
        <v>v</v>
      </c>
      <c r="F362" s="2" t="str">
        <f t="shared" si="15"/>
        <v>v</v>
      </c>
      <c r="G362" s="2" t="str">
        <f t="shared" si="17"/>
        <v>v</v>
      </c>
      <c r="H362" s="2" t="str">
        <f t="shared" si="16"/>
        <v>, v</v>
      </c>
      <c r="I362" s="2" t="str">
        <f>IF(Return!C362=0,REPLACE(INDEX(H:H,ROW()+Return!B362,),1,2,Return!E362&amp;"(")&amp;")","")</f>
        <v/>
      </c>
      <c r="M362" s="1"/>
    </row>
    <row r="363" spans="1:13" x14ac:dyDescent="0.55000000000000004">
      <c r="A363" s="1" t="s">
        <v>1588</v>
      </c>
      <c r="B363" t="s">
        <v>1235</v>
      </c>
      <c r="C363" s="2">
        <f>Return!C363</f>
        <v>2</v>
      </c>
      <c r="D363" s="2">
        <f>COUNTA(Argument!E363)</f>
        <v>0</v>
      </c>
      <c r="E363" s="2" t="str">
        <f>IF(C363,Return!D363,Return!E363)</f>
        <v>v</v>
      </c>
      <c r="F363" s="2" t="str">
        <f t="shared" si="15"/>
        <v>v</v>
      </c>
      <c r="G363" s="2" t="str">
        <f t="shared" si="17"/>
        <v>v</v>
      </c>
      <c r="H363" s="2" t="str">
        <f t="shared" si="16"/>
        <v>, v, v</v>
      </c>
      <c r="I363" s="2" t="str">
        <f>IF(Return!C363=0,REPLACE(INDEX(H:H,ROW()+Return!B363,),1,2,Return!E363&amp;"(")&amp;")","")</f>
        <v/>
      </c>
      <c r="M363" s="1"/>
    </row>
    <row r="364" spans="1:13" x14ac:dyDescent="0.55000000000000004">
      <c r="A364" s="1" t="s">
        <v>1588</v>
      </c>
      <c r="B364" t="s">
        <v>1236</v>
      </c>
      <c r="C364" s="2">
        <f>Return!C364</f>
        <v>3</v>
      </c>
      <c r="D364" s="2">
        <f>COUNTA(Argument!E364)</f>
        <v>0</v>
      </c>
      <c r="E364" s="2" t="str">
        <f>IF(C364,Return!D364,Return!E364)</f>
        <v>v</v>
      </c>
      <c r="F364" s="2" t="str">
        <f t="shared" si="15"/>
        <v>v</v>
      </c>
      <c r="G364" s="2" t="str">
        <f t="shared" si="17"/>
        <v>v</v>
      </c>
      <c r="H364" s="2" t="str">
        <f t="shared" si="16"/>
        <v>, v, v, v</v>
      </c>
      <c r="I364" s="2" t="str">
        <f>IF(Return!C364=0,REPLACE(INDEX(H:H,ROW()+Return!B364,),1,2,Return!E364&amp;"(")&amp;")","")</f>
        <v/>
      </c>
      <c r="M364" s="1"/>
    </row>
    <row r="365" spans="1:13" x14ac:dyDescent="0.55000000000000004">
      <c r="A365" s="1" t="s">
        <v>1588</v>
      </c>
      <c r="B365" t="s">
        <v>1285</v>
      </c>
      <c r="C365" s="2">
        <f>Return!C365</f>
        <v>4</v>
      </c>
      <c r="D365" s="2">
        <f>COUNTA(Argument!E365)</f>
        <v>1</v>
      </c>
      <c r="E365" s="2" t="str">
        <f>IF(C365,Return!D365,Return!E365)</f>
        <v>v</v>
      </c>
      <c r="F365" s="2" t="str">
        <f t="shared" si="15"/>
        <v>v</v>
      </c>
      <c r="G365" s="2" t="str">
        <f t="shared" si="17"/>
        <v>v</v>
      </c>
      <c r="H365" s="2" t="str">
        <f t="shared" si="16"/>
        <v>, v, v, v, v</v>
      </c>
      <c r="I365" s="2" t="str">
        <f>IF(Return!C365=0,REPLACE(INDEX(H:H,ROW()+Return!B365,),1,2,Return!E365&amp;"(")&amp;")","")</f>
        <v/>
      </c>
      <c r="M365" s="1"/>
    </row>
    <row r="366" spans="1:13" x14ac:dyDescent="0.55000000000000004">
      <c r="A366" s="1" t="s">
        <v>1589</v>
      </c>
      <c r="C366" s="2">
        <f>Return!C366</f>
        <v>0</v>
      </c>
      <c r="D366" s="2">
        <f>COUNTA(Argument!E366)</f>
        <v>0</v>
      </c>
      <c r="E366" s="2" t="str">
        <f>IF(C366,Return!D366,Return!E366)</f>
        <v>v</v>
      </c>
      <c r="F366" s="2" t="str">
        <f t="shared" si="15"/>
        <v/>
      </c>
      <c r="G366" s="2" t="str">
        <f t="shared" si="17"/>
        <v/>
      </c>
      <c r="H366" s="2" t="str">
        <f t="shared" si="16"/>
        <v/>
      </c>
      <c r="I366" s="2" t="str">
        <f>IF(Return!C366=0,REPLACE(INDEX(H:H,ROW()+Return!B366,),1,2,Return!E366&amp;"(")&amp;")","")</f>
        <v>v(v, v, v, [v])</v>
      </c>
      <c r="M366" s="1"/>
    </row>
    <row r="367" spans="1:13" x14ac:dyDescent="0.55000000000000004">
      <c r="A367" s="1" t="s">
        <v>1589</v>
      </c>
      <c r="B367" t="s">
        <v>1233</v>
      </c>
      <c r="C367" s="2">
        <f>Return!C367</f>
        <v>1</v>
      </c>
      <c r="D367" s="2">
        <f>COUNTA(Argument!E367)</f>
        <v>0</v>
      </c>
      <c r="E367" s="2" t="str">
        <f>IF(C367,Return!D367,Return!E367)</f>
        <v>v</v>
      </c>
      <c r="F367" s="2" t="str">
        <f t="shared" si="15"/>
        <v>v</v>
      </c>
      <c r="G367" s="2" t="str">
        <f t="shared" si="17"/>
        <v>v</v>
      </c>
      <c r="H367" s="2" t="str">
        <f t="shared" si="16"/>
        <v>, v</v>
      </c>
      <c r="I367" s="2" t="str">
        <f>IF(Return!C367=0,REPLACE(INDEX(H:H,ROW()+Return!B367,),1,2,Return!E367&amp;"(")&amp;")","")</f>
        <v/>
      </c>
      <c r="M367" s="1"/>
    </row>
    <row r="368" spans="1:13" x14ac:dyDescent="0.55000000000000004">
      <c r="A368" s="1" t="s">
        <v>1589</v>
      </c>
      <c r="B368" t="s">
        <v>1284</v>
      </c>
      <c r="C368" s="2">
        <f>Return!C368</f>
        <v>2</v>
      </c>
      <c r="D368" s="2">
        <f>COUNTA(Argument!E368)</f>
        <v>0</v>
      </c>
      <c r="E368" s="2" t="str">
        <f>IF(C368,Return!D368,Return!E368)</f>
        <v>v</v>
      </c>
      <c r="F368" s="2" t="str">
        <f t="shared" si="15"/>
        <v>v</v>
      </c>
      <c r="G368" s="2" t="str">
        <f t="shared" si="17"/>
        <v>v</v>
      </c>
      <c r="H368" s="2" t="str">
        <f t="shared" si="16"/>
        <v>, v, v</v>
      </c>
      <c r="I368" s="2" t="str">
        <f>IF(Return!C368=0,REPLACE(INDEX(H:H,ROW()+Return!B368,),1,2,Return!E368&amp;"(")&amp;")","")</f>
        <v/>
      </c>
      <c r="M368" s="1"/>
    </row>
    <row r="369" spans="1:13" x14ac:dyDescent="0.55000000000000004">
      <c r="A369" s="1" t="s">
        <v>1589</v>
      </c>
      <c r="B369" t="s">
        <v>1285</v>
      </c>
      <c r="C369" s="2">
        <f>Return!C369</f>
        <v>3</v>
      </c>
      <c r="D369" s="2">
        <f>COUNTA(Argument!E369)</f>
        <v>1</v>
      </c>
      <c r="E369" s="2" t="str">
        <f>IF(C369,Return!D369,Return!E369)</f>
        <v>v</v>
      </c>
      <c r="F369" s="2" t="str">
        <f t="shared" si="15"/>
        <v>v</v>
      </c>
      <c r="G369" s="2" t="str">
        <f t="shared" si="17"/>
        <v>v</v>
      </c>
      <c r="H369" s="2" t="str">
        <f t="shared" si="16"/>
        <v>, v, v, v</v>
      </c>
      <c r="I369" s="2" t="str">
        <f>IF(Return!C369=0,REPLACE(INDEX(H:H,ROW()+Return!B369,),1,2,Return!E369&amp;"(")&amp;")","")</f>
        <v/>
      </c>
      <c r="M369" s="1"/>
    </row>
    <row r="370" spans="1:13" x14ac:dyDescent="0.55000000000000004">
      <c r="A370" s="1" t="s">
        <v>1589</v>
      </c>
      <c r="B370" t="s">
        <v>1286</v>
      </c>
      <c r="C370" s="2">
        <f>Return!C370</f>
        <v>4</v>
      </c>
      <c r="D370" s="2">
        <f>COUNTA(Argument!E370)</f>
        <v>1</v>
      </c>
      <c r="E370" s="2" t="str">
        <f>IF(C370,Return!D370,Return!E370)</f>
        <v>v</v>
      </c>
      <c r="F370" s="2" t="str">
        <f t="shared" si="15"/>
        <v>[v]</v>
      </c>
      <c r="G370" s="2" t="str">
        <f t="shared" si="17"/>
        <v>[v]</v>
      </c>
      <c r="H370" s="2" t="str">
        <f t="shared" si="16"/>
        <v>, v, v, v, [v]</v>
      </c>
      <c r="I370" s="2" t="str">
        <f>IF(Return!C370=0,REPLACE(INDEX(H:H,ROW()+Return!B370,),1,2,Return!E370&amp;"(")&amp;")","")</f>
        <v/>
      </c>
      <c r="M370" s="1"/>
    </row>
    <row r="371" spans="1:13" x14ac:dyDescent="0.55000000000000004">
      <c r="A371" s="1" t="s">
        <v>1590</v>
      </c>
      <c r="C371" s="2">
        <f>Return!C371</f>
        <v>0</v>
      </c>
      <c r="D371" s="2">
        <f>COUNTA(Argument!E371)</f>
        <v>0</v>
      </c>
      <c r="E371" s="2" t="str">
        <f>IF(C371,Return!D371,Return!E371)</f>
        <v>v</v>
      </c>
      <c r="F371" s="2" t="str">
        <f t="shared" si="15"/>
        <v/>
      </c>
      <c r="G371" s="2" t="str">
        <f t="shared" si="17"/>
        <v/>
      </c>
      <c r="H371" s="2" t="str">
        <f t="shared" si="16"/>
        <v/>
      </c>
      <c r="I371" s="2" t="str">
        <f>IF(Return!C371=0,REPLACE(INDEX(H:H,ROW()+Return!B371,),1,2,Return!E371&amp;"(")&amp;")","")</f>
        <v>v(v)</v>
      </c>
      <c r="M371" s="1"/>
    </row>
    <row r="372" spans="1:13" x14ac:dyDescent="0.55000000000000004">
      <c r="A372" s="1" t="s">
        <v>1590</v>
      </c>
      <c r="B372" t="s">
        <v>1233</v>
      </c>
      <c r="C372" s="2">
        <f>Return!C372</f>
        <v>1</v>
      </c>
      <c r="D372" s="2">
        <f>COUNTA(Argument!E372)</f>
        <v>1</v>
      </c>
      <c r="E372" s="2" t="str">
        <f>IF(C372,Return!D372,Return!E372)</f>
        <v>v</v>
      </c>
      <c r="F372" s="2" t="str">
        <f t="shared" si="15"/>
        <v>v</v>
      </c>
      <c r="G372" s="2" t="str">
        <f t="shared" si="17"/>
        <v>v</v>
      </c>
      <c r="H372" s="2" t="str">
        <f t="shared" si="16"/>
        <v>, v</v>
      </c>
      <c r="I372" s="2" t="str">
        <f>IF(Return!C372=0,REPLACE(INDEX(H:H,ROW()+Return!B372,),1,2,Return!E372&amp;"(")&amp;")","")</f>
        <v/>
      </c>
      <c r="M372" s="1"/>
    </row>
    <row r="373" spans="1:13" x14ac:dyDescent="0.55000000000000004">
      <c r="A373" s="1" t="s">
        <v>1591</v>
      </c>
      <c r="C373" s="2">
        <f>Return!C373</f>
        <v>0</v>
      </c>
      <c r="D373" s="2">
        <f>COUNTA(Argument!E373)</f>
        <v>1</v>
      </c>
      <c r="E373" s="2" t="str">
        <f>IF(C373,Return!D373,Return!E373)</f>
        <v>va</v>
      </c>
      <c r="F373" s="2" t="str">
        <f t="shared" si="15"/>
        <v/>
      </c>
      <c r="G373" s="2" t="str">
        <f t="shared" si="17"/>
        <v/>
      </c>
      <c r="H373" s="2" t="str">
        <f t="shared" si="16"/>
        <v/>
      </c>
      <c r="I373" s="2" t="str">
        <f>IF(Return!C373=0,REPLACE(INDEX(H:H,ROW()+Return!B373,),1,2,Return!E373&amp;"(")&amp;")","")</f>
        <v>va([v], [v], [v])</v>
      </c>
      <c r="M373" s="1"/>
    </row>
    <row r="374" spans="1:13" x14ac:dyDescent="0.55000000000000004">
      <c r="A374" s="1" t="s">
        <v>1591</v>
      </c>
      <c r="B374" t="s">
        <v>1922</v>
      </c>
      <c r="C374" s="2">
        <f>Return!C374</f>
        <v>1</v>
      </c>
      <c r="D374" s="2">
        <f>COUNTA(Argument!E374)</f>
        <v>1</v>
      </c>
      <c r="E374" s="2" t="str">
        <f>IF(C374,Return!D374,Return!E374)</f>
        <v>v</v>
      </c>
      <c r="F374" s="2" t="str">
        <f t="shared" si="15"/>
        <v>[v]</v>
      </c>
      <c r="G374" s="2" t="str">
        <f t="shared" si="17"/>
        <v>[v]</v>
      </c>
      <c r="H374" s="2" t="str">
        <f t="shared" si="16"/>
        <v>, [v]</v>
      </c>
      <c r="I374" s="2" t="str">
        <f>IF(Return!C374=0,REPLACE(INDEX(H:H,ROW()+Return!B374,),1,2,Return!E374&amp;"(")&amp;")","")</f>
        <v/>
      </c>
      <c r="M374" s="1"/>
    </row>
    <row r="375" spans="1:13" x14ac:dyDescent="0.55000000000000004">
      <c r="A375" s="1" t="s">
        <v>1591</v>
      </c>
      <c r="B375" t="s">
        <v>1921</v>
      </c>
      <c r="C375" s="2">
        <f>Return!C375</f>
        <v>2</v>
      </c>
      <c r="D375" s="2">
        <f>COUNTA(Argument!E375)</f>
        <v>1</v>
      </c>
      <c r="E375" s="2" t="str">
        <f>IF(C375,Return!D375,Return!E375)</f>
        <v>v</v>
      </c>
      <c r="F375" s="2" t="str">
        <f t="shared" si="15"/>
        <v>[v]</v>
      </c>
      <c r="G375" s="2" t="str">
        <f t="shared" si="17"/>
        <v>[v]</v>
      </c>
      <c r="H375" s="2" t="str">
        <f t="shared" si="16"/>
        <v>, [v], [v]</v>
      </c>
      <c r="I375" s="2" t="str">
        <f>IF(Return!C375=0,REPLACE(INDEX(H:H,ROW()+Return!B375,),1,2,Return!E375&amp;"(")&amp;")","")</f>
        <v/>
      </c>
      <c r="M375" s="1"/>
    </row>
    <row r="376" spans="1:13" x14ac:dyDescent="0.55000000000000004">
      <c r="A376" s="1" t="s">
        <v>1591</v>
      </c>
      <c r="B376" t="s">
        <v>2005</v>
      </c>
      <c r="C376" s="2">
        <f>Return!C376</f>
        <v>3</v>
      </c>
      <c r="D376" s="2">
        <f>COUNTA(Argument!E376)</f>
        <v>1</v>
      </c>
      <c r="E376" s="2" t="str">
        <f>IF(C376,Return!D376,Return!E376)</f>
        <v>v</v>
      </c>
      <c r="F376" s="2" t="str">
        <f t="shared" si="15"/>
        <v>[v]</v>
      </c>
      <c r="G376" s="2" t="str">
        <f t="shared" si="17"/>
        <v>[v]</v>
      </c>
      <c r="H376" s="2" t="str">
        <f t="shared" si="16"/>
        <v>, [v], [v], [v]</v>
      </c>
      <c r="I376" s="2" t="str">
        <f>IF(Return!C376=0,REPLACE(INDEX(H:H,ROW()+Return!B376,),1,2,Return!E376&amp;"(")&amp;")","")</f>
        <v/>
      </c>
      <c r="M376" s="1"/>
    </row>
    <row r="377" spans="1:13" x14ac:dyDescent="0.55000000000000004">
      <c r="A377" s="1" t="s">
        <v>1592</v>
      </c>
      <c r="C377" s="2">
        <f>Return!C377</f>
        <v>0</v>
      </c>
      <c r="D377" s="2">
        <f>COUNTA(Argument!E377)</f>
        <v>1</v>
      </c>
      <c r="E377" s="2" t="str">
        <f>IF(C377,Return!D377,Return!E377)</f>
        <v>v</v>
      </c>
      <c r="F377" s="2" t="str">
        <f t="shared" si="15"/>
        <v/>
      </c>
      <c r="G377" s="2" t="str">
        <f t="shared" si="17"/>
        <v/>
      </c>
      <c r="H377" s="2" t="str">
        <f t="shared" si="16"/>
        <v/>
      </c>
      <c r="I377" s="2" t="str">
        <f>IF(Return!C377=0,REPLACE(INDEX(H:H,ROW()+Return!B377,),1,2,Return!E377&amp;"(")&amp;")","")</f>
        <v>v([v])</v>
      </c>
      <c r="M377" s="1"/>
    </row>
    <row r="378" spans="1:13" x14ac:dyDescent="0.55000000000000004">
      <c r="A378" s="1" t="s">
        <v>1592</v>
      </c>
      <c r="B378" t="s">
        <v>2008</v>
      </c>
      <c r="C378" s="2">
        <f>Return!C378</f>
        <v>1</v>
      </c>
      <c r="D378" s="2">
        <f>COUNTA(Argument!E378)</f>
        <v>1</v>
      </c>
      <c r="E378" s="2" t="str">
        <f>IF(C378,Return!D378,Return!E378)</f>
        <v>v</v>
      </c>
      <c r="F378" s="2" t="str">
        <f t="shared" si="15"/>
        <v>[v]</v>
      </c>
      <c r="G378" s="2" t="str">
        <f t="shared" si="17"/>
        <v>[v]</v>
      </c>
      <c r="H378" s="2" t="str">
        <f t="shared" si="16"/>
        <v>, [v]</v>
      </c>
      <c r="I378" s="2" t="str">
        <f>IF(Return!C378=0,REPLACE(INDEX(H:H,ROW()+Return!B378,),1,2,Return!E378&amp;"(")&amp;")","")</f>
        <v/>
      </c>
      <c r="M378" s="1"/>
    </row>
    <row r="379" spans="1:13" x14ac:dyDescent="0.55000000000000004">
      <c r="A379" s="1" t="s">
        <v>1593</v>
      </c>
      <c r="C379" s="2">
        <f>Return!C379</f>
        <v>0</v>
      </c>
      <c r="D379" s="2">
        <f>COUNTA(Argument!E379)</f>
        <v>0</v>
      </c>
      <c r="E379" s="2" t="str">
        <f>IF(C379,Return!D379,Return!E379)</f>
        <v>v</v>
      </c>
      <c r="F379" s="2" t="str">
        <f t="shared" si="15"/>
        <v/>
      </c>
      <c r="G379" s="2" t="str">
        <f t="shared" si="17"/>
        <v/>
      </c>
      <c r="H379" s="2" t="str">
        <f t="shared" si="16"/>
        <v/>
      </c>
      <c r="I379" s="2" t="str">
        <f>IF(Return!C379=0,REPLACE(INDEX(H:H,ROW()+Return!B379,),1,2,Return!E379&amp;"(")&amp;")","")</f>
        <v>v(v, v, [v])</v>
      </c>
      <c r="M379" s="1"/>
    </row>
    <row r="380" spans="1:13" x14ac:dyDescent="0.55000000000000004">
      <c r="A380" s="1" t="s">
        <v>1593</v>
      </c>
      <c r="B380" t="s">
        <v>1272</v>
      </c>
      <c r="C380" s="2">
        <f>Return!C380</f>
        <v>1</v>
      </c>
      <c r="D380" s="2">
        <f>COUNTA(Argument!E380)</f>
        <v>0</v>
      </c>
      <c r="E380" s="2" t="str">
        <f>IF(C380,Return!D380,Return!E380)</f>
        <v>v</v>
      </c>
      <c r="F380" s="2" t="str">
        <f t="shared" si="15"/>
        <v>v</v>
      </c>
      <c r="G380" s="2" t="str">
        <f t="shared" si="17"/>
        <v>v</v>
      </c>
      <c r="H380" s="2" t="str">
        <f t="shared" si="16"/>
        <v>, v</v>
      </c>
      <c r="I380" s="2" t="str">
        <f>IF(Return!C380=0,REPLACE(INDEX(H:H,ROW()+Return!B380,),1,2,Return!E380&amp;"(")&amp;")","")</f>
        <v/>
      </c>
      <c r="M380" s="1"/>
    </row>
    <row r="381" spans="1:13" x14ac:dyDescent="0.55000000000000004">
      <c r="A381" s="1" t="s">
        <v>1593</v>
      </c>
      <c r="B381" t="s">
        <v>1273</v>
      </c>
      <c r="C381" s="2">
        <f>Return!C381</f>
        <v>2</v>
      </c>
      <c r="D381" s="2">
        <f>COUNTA(Argument!E381)</f>
        <v>1</v>
      </c>
      <c r="E381" s="2" t="str">
        <f>IF(C381,Return!D381,Return!E381)</f>
        <v>v</v>
      </c>
      <c r="F381" s="2" t="str">
        <f t="shared" si="15"/>
        <v>v</v>
      </c>
      <c r="G381" s="2" t="str">
        <f t="shared" si="17"/>
        <v>v</v>
      </c>
      <c r="H381" s="2" t="str">
        <f t="shared" si="16"/>
        <v>, v, v</v>
      </c>
      <c r="I381" s="2" t="str">
        <f>IF(Return!C381=0,REPLACE(INDEX(H:H,ROW()+Return!B381,),1,2,Return!E381&amp;"(")&amp;")","")</f>
        <v/>
      </c>
      <c r="M381" s="1"/>
    </row>
    <row r="382" spans="1:13" x14ac:dyDescent="0.55000000000000004">
      <c r="A382" s="1" t="s">
        <v>1593</v>
      </c>
      <c r="B382" t="s">
        <v>1235</v>
      </c>
      <c r="C382" s="2">
        <f>Return!C382</f>
        <v>3</v>
      </c>
      <c r="D382" s="2">
        <f>COUNTA(Argument!E382)</f>
        <v>1</v>
      </c>
      <c r="E382" s="2" t="str">
        <f>IF(C382,Return!D382,Return!E382)</f>
        <v>v</v>
      </c>
      <c r="F382" s="2" t="str">
        <f t="shared" si="15"/>
        <v>[v]</v>
      </c>
      <c r="G382" s="2" t="str">
        <f t="shared" si="17"/>
        <v>[v]</v>
      </c>
      <c r="H382" s="2" t="str">
        <f t="shared" si="16"/>
        <v>, v, v, [v]</v>
      </c>
      <c r="I382" s="2" t="str">
        <f>IF(Return!C382=0,REPLACE(INDEX(H:H,ROW()+Return!B382,),1,2,Return!E382&amp;"(")&amp;")","")</f>
        <v/>
      </c>
      <c r="M382" s="1"/>
    </row>
    <row r="383" spans="1:13" x14ac:dyDescent="0.55000000000000004">
      <c r="A383" s="1" t="s">
        <v>1594</v>
      </c>
      <c r="C383" s="2">
        <f>Return!C383</f>
        <v>0</v>
      </c>
      <c r="D383" s="2">
        <f>COUNTA(Argument!E383)</f>
        <v>0</v>
      </c>
      <c r="E383" s="2" t="str">
        <f>IF(C383,Return!D383,Return!E383)</f>
        <v>va</v>
      </c>
      <c r="F383" s="2" t="str">
        <f t="shared" si="15"/>
        <v/>
      </c>
      <c r="G383" s="2" t="str">
        <f t="shared" si="17"/>
        <v/>
      </c>
      <c r="H383" s="2" t="str">
        <f t="shared" si="16"/>
        <v/>
      </c>
      <c r="I383" s="2" t="str">
        <f>IF(Return!C383=0,REPLACE(INDEX(H:H,ROW()+Return!B383,),1,2,Return!E383&amp;"(")&amp;")","")</f>
        <v>va(v, [r])</v>
      </c>
      <c r="M383" s="1"/>
    </row>
    <row r="384" spans="1:13" x14ac:dyDescent="0.55000000000000004">
      <c r="A384" s="1" t="s">
        <v>1594</v>
      </c>
      <c r="B384" t="s">
        <v>1287</v>
      </c>
      <c r="C384" s="2">
        <f>Return!C384</f>
        <v>1</v>
      </c>
      <c r="D384" s="2">
        <f>COUNTA(Argument!E384)</f>
        <v>1</v>
      </c>
      <c r="E384" s="2" t="str">
        <f>IF(C384,Return!D384,Return!E384)</f>
        <v>v</v>
      </c>
      <c r="F384" s="2" t="str">
        <f t="shared" si="15"/>
        <v>v</v>
      </c>
      <c r="G384" s="2" t="str">
        <f t="shared" si="17"/>
        <v>v</v>
      </c>
      <c r="H384" s="2" t="str">
        <f t="shared" si="16"/>
        <v>, v</v>
      </c>
      <c r="I384" s="2" t="str">
        <f>IF(Return!C384=0,REPLACE(INDEX(H:H,ROW()+Return!B384,),1,2,Return!E384&amp;"(")&amp;")","")</f>
        <v/>
      </c>
      <c r="M384" s="1"/>
    </row>
    <row r="385" spans="1:13" x14ac:dyDescent="0.55000000000000004">
      <c r="A385" s="1" t="s">
        <v>1594</v>
      </c>
      <c r="B385" t="s">
        <v>1221</v>
      </c>
      <c r="C385" s="2">
        <f>Return!C385</f>
        <v>2</v>
      </c>
      <c r="D385" s="2">
        <f>COUNTA(Argument!E385)</f>
        <v>1</v>
      </c>
      <c r="E385" s="2" t="str">
        <f>IF(C385,Return!D385,Return!E385)</f>
        <v>r</v>
      </c>
      <c r="F385" s="2" t="str">
        <f t="shared" si="15"/>
        <v>[r]</v>
      </c>
      <c r="G385" s="2" t="str">
        <f t="shared" si="17"/>
        <v>[r]</v>
      </c>
      <c r="H385" s="2" t="str">
        <f t="shared" si="16"/>
        <v>, v, [r]</v>
      </c>
      <c r="I385" s="2" t="str">
        <f>IF(Return!C385=0,REPLACE(INDEX(H:H,ROW()+Return!B385,),1,2,Return!E385&amp;"(")&amp;")","")</f>
        <v/>
      </c>
      <c r="M385" s="1"/>
    </row>
    <row r="386" spans="1:13" x14ac:dyDescent="0.55000000000000004">
      <c r="A386" s="1" t="s">
        <v>1595</v>
      </c>
      <c r="C386" s="2">
        <f>Return!C386</f>
        <v>0</v>
      </c>
      <c r="D386" s="2">
        <f>COUNTA(Argument!E386)</f>
        <v>0</v>
      </c>
      <c r="E386" s="2" t="str">
        <f>IF(C386,Return!D386,Return!E386)</f>
        <v>v</v>
      </c>
      <c r="F386" s="2" t="str">
        <f t="shared" si="15"/>
        <v/>
      </c>
      <c r="G386" s="2" t="str">
        <f t="shared" si="17"/>
        <v/>
      </c>
      <c r="H386" s="2" t="str">
        <f t="shared" si="16"/>
        <v/>
      </c>
      <c r="I386" s="2" t="str">
        <f>IF(Return!C386=0,REPLACE(INDEX(H:H,ROW()+Return!B386,),1,2,Return!E386&amp;"(")&amp;")","")</f>
        <v>v(v)</v>
      </c>
      <c r="M386" s="1"/>
    </row>
    <row r="387" spans="1:13" x14ac:dyDescent="0.55000000000000004">
      <c r="A387" s="1" t="s">
        <v>1595</v>
      </c>
      <c r="B387" t="s">
        <v>1218</v>
      </c>
      <c r="C387" s="2">
        <f>Return!C387</f>
        <v>1</v>
      </c>
      <c r="D387" s="2">
        <f>COUNTA(Argument!E387)</f>
        <v>1</v>
      </c>
      <c r="E387" s="2" t="str">
        <f>IF(C387,Return!D387,Return!E387)</f>
        <v>v</v>
      </c>
      <c r="F387" s="2" t="str">
        <f t="shared" ref="F387:F450" si="18">IF(C387,IF(D387,IF(D386,"["&amp;E387&amp;"]",E387),E387),"")</f>
        <v>v</v>
      </c>
      <c r="G387" s="2" t="str">
        <f t="shared" si="17"/>
        <v>v</v>
      </c>
      <c r="H387" s="2" t="str">
        <f t="shared" ref="H387:H450" si="19">IF(C387&gt;0,H386&amp;", "&amp;G387,"")</f>
        <v>, v</v>
      </c>
      <c r="I387" s="2" t="str">
        <f>IF(Return!C387=0,REPLACE(INDEX(H:H,ROW()+Return!B387,),1,2,Return!E387&amp;"(")&amp;")","")</f>
        <v/>
      </c>
      <c r="M387" s="1"/>
    </row>
    <row r="388" spans="1:13" x14ac:dyDescent="0.55000000000000004">
      <c r="A388" s="1" t="s">
        <v>1596</v>
      </c>
      <c r="C388" s="2">
        <f>Return!C388</f>
        <v>0</v>
      </c>
      <c r="D388" s="2">
        <f>COUNTA(Argument!E388)</f>
        <v>0</v>
      </c>
      <c r="E388" s="2" t="str">
        <f>IF(C388,Return!D388,Return!E388)</f>
        <v>v</v>
      </c>
      <c r="F388" s="2" t="str">
        <f t="shared" si="18"/>
        <v/>
      </c>
      <c r="G388" s="2" t="str">
        <f t="shared" ref="G388:G451" si="20">IF(B388="...",IF(C389&gt;0,"["&amp;E388,"…"),IF(B387=" ...",IF(C388&gt;0,E388&amp;"], …",F388),F388))</f>
        <v/>
      </c>
      <c r="H388" s="2" t="str">
        <f t="shared" si="19"/>
        <v/>
      </c>
      <c r="I388" s="2" t="str">
        <f>IF(Return!C388=0,REPLACE(INDEX(H:H,ROW()+Return!B388,),1,2,Return!E388&amp;"(")&amp;")","")</f>
        <v>v(v)</v>
      </c>
      <c r="M388" s="1"/>
    </row>
    <row r="389" spans="1:13" x14ac:dyDescent="0.55000000000000004">
      <c r="A389" s="1" t="s">
        <v>1596</v>
      </c>
      <c r="B389" t="s">
        <v>1218</v>
      </c>
      <c r="C389" s="2">
        <f>Return!C389</f>
        <v>1</v>
      </c>
      <c r="D389" s="2">
        <f>COUNTA(Argument!E389)</f>
        <v>1</v>
      </c>
      <c r="E389" s="2" t="str">
        <f>IF(C389,Return!D389,Return!E389)</f>
        <v>v</v>
      </c>
      <c r="F389" s="2" t="str">
        <f t="shared" si="18"/>
        <v>v</v>
      </c>
      <c r="G389" s="2" t="str">
        <f t="shared" si="20"/>
        <v>v</v>
      </c>
      <c r="H389" s="2" t="str">
        <f t="shared" si="19"/>
        <v>, v</v>
      </c>
      <c r="I389" s="2" t="str">
        <f>IF(Return!C389=0,REPLACE(INDEX(H:H,ROW()+Return!B389,),1,2,Return!E389&amp;"(")&amp;")","")</f>
        <v/>
      </c>
      <c r="M389" s="1"/>
    </row>
    <row r="390" spans="1:13" x14ac:dyDescent="0.55000000000000004">
      <c r="A390" s="1" t="s">
        <v>1597</v>
      </c>
      <c r="C390" s="2">
        <f>Return!C390</f>
        <v>0</v>
      </c>
      <c r="D390" s="2">
        <f>COUNTA(Argument!E390)</f>
        <v>0</v>
      </c>
      <c r="E390" s="2" t="str">
        <f>IF(C390,Return!D390,Return!E390)</f>
        <v>v</v>
      </c>
      <c r="F390" s="2" t="str">
        <f t="shared" si="18"/>
        <v/>
      </c>
      <c r="G390" s="2" t="str">
        <f t="shared" si="20"/>
        <v/>
      </c>
      <c r="H390" s="2" t="str">
        <f t="shared" si="19"/>
        <v/>
      </c>
      <c r="I390" s="2" t="str">
        <f>IF(Return!C390=0,REPLACE(INDEX(H:H,ROW()+Return!B390,),1,2,Return!E390&amp;"(")&amp;")","")</f>
        <v>v(v)</v>
      </c>
      <c r="M390" s="1"/>
    </row>
    <row r="391" spans="1:13" x14ac:dyDescent="0.55000000000000004">
      <c r="A391" s="1" t="s">
        <v>1597</v>
      </c>
      <c r="B391" t="s">
        <v>1218</v>
      </c>
      <c r="C391" s="2">
        <f>Return!C391</f>
        <v>1</v>
      </c>
      <c r="D391" s="2">
        <f>COUNTA(Argument!E391)</f>
        <v>1</v>
      </c>
      <c r="E391" s="2" t="str">
        <f>IF(C391,Return!D391,Return!E391)</f>
        <v>v</v>
      </c>
      <c r="F391" s="2" t="str">
        <f t="shared" si="18"/>
        <v>v</v>
      </c>
      <c r="G391" s="2" t="str">
        <f t="shared" si="20"/>
        <v>v</v>
      </c>
      <c r="H391" s="2" t="str">
        <f t="shared" si="19"/>
        <v>, v</v>
      </c>
      <c r="I391" s="2" t="str">
        <f>IF(Return!C391=0,REPLACE(INDEX(H:H,ROW()+Return!B391,),1,2,Return!E391&amp;"(")&amp;")","")</f>
        <v/>
      </c>
      <c r="M391" s="1"/>
    </row>
    <row r="392" spans="1:13" x14ac:dyDescent="0.55000000000000004">
      <c r="A392" s="1" t="s">
        <v>1598</v>
      </c>
      <c r="C392" s="2">
        <f>Return!C392</f>
        <v>0</v>
      </c>
      <c r="D392" s="2">
        <f>COUNTA(Argument!E392)</f>
        <v>0</v>
      </c>
      <c r="E392" s="2" t="str">
        <f>IF(C392,Return!D392,Return!E392)</f>
        <v>v</v>
      </c>
      <c r="F392" s="2" t="str">
        <f t="shared" si="18"/>
        <v/>
      </c>
      <c r="G392" s="2" t="str">
        <f t="shared" si="20"/>
        <v/>
      </c>
      <c r="H392" s="2" t="str">
        <f t="shared" si="19"/>
        <v/>
      </c>
      <c r="I392" s="2" t="str">
        <f>IF(Return!C392=0,REPLACE(INDEX(H:H,ROW()+Return!B392,),1,2,Return!E392&amp;"(")&amp;")","")</f>
        <v>v(v)</v>
      </c>
      <c r="M392" s="1"/>
    </row>
    <row r="393" spans="1:13" x14ac:dyDescent="0.55000000000000004">
      <c r="A393" s="1" t="s">
        <v>1598</v>
      </c>
      <c r="B393" t="s">
        <v>1218</v>
      </c>
      <c r="C393" s="2">
        <f>Return!C393</f>
        <v>1</v>
      </c>
      <c r="D393" s="2">
        <f>COUNTA(Argument!E393)</f>
        <v>1</v>
      </c>
      <c r="E393" s="2" t="str">
        <f>IF(C393,Return!D393,Return!E393)</f>
        <v>v</v>
      </c>
      <c r="F393" s="2" t="str">
        <f t="shared" si="18"/>
        <v>v</v>
      </c>
      <c r="G393" s="2" t="str">
        <f t="shared" si="20"/>
        <v>v</v>
      </c>
      <c r="H393" s="2" t="str">
        <f t="shared" si="19"/>
        <v>, v</v>
      </c>
      <c r="I393" s="2" t="str">
        <f>IF(Return!C393=0,REPLACE(INDEX(H:H,ROW()+Return!B393,),1,2,Return!E393&amp;"(")&amp;")","")</f>
        <v/>
      </c>
      <c r="M393" s="1"/>
    </row>
    <row r="394" spans="1:13" x14ac:dyDescent="0.55000000000000004">
      <c r="A394" s="1" t="s">
        <v>262</v>
      </c>
      <c r="C394" s="2">
        <f>Return!C394</f>
        <v>0</v>
      </c>
      <c r="D394" s="2">
        <f>COUNTA(Argument!E394)</f>
        <v>0</v>
      </c>
      <c r="E394" s="2" t="str">
        <f>IF(C394,Return!D394,Return!E394)</f>
        <v>v</v>
      </c>
      <c r="F394" s="2" t="str">
        <f t="shared" si="18"/>
        <v/>
      </c>
      <c r="G394" s="2" t="str">
        <f t="shared" si="20"/>
        <v/>
      </c>
      <c r="H394" s="2" t="str">
        <f t="shared" si="19"/>
        <v/>
      </c>
      <c r="I394" s="2" t="str">
        <f>IF(Return!C394=0,REPLACE(INDEX(H:H,ROW()+Return!B394,),1,2,Return!E394&amp;"(")&amp;")","")</f>
        <v>v(vr)</v>
      </c>
      <c r="M394" s="1"/>
    </row>
    <row r="395" spans="1:13" x14ac:dyDescent="0.55000000000000004">
      <c r="A395" s="1" t="s">
        <v>262</v>
      </c>
      <c r="B395" t="s">
        <v>1218</v>
      </c>
      <c r="C395" s="2">
        <f>Return!C395</f>
        <v>1</v>
      </c>
      <c r="D395" s="2">
        <f>COUNTA(Argument!E395)</f>
        <v>1</v>
      </c>
      <c r="E395" s="2" t="str">
        <f>IF(C395,Return!D395,Return!E395)</f>
        <v>vr</v>
      </c>
      <c r="F395" s="2" t="str">
        <f t="shared" si="18"/>
        <v>vr</v>
      </c>
      <c r="G395" s="2" t="str">
        <f t="shared" si="20"/>
        <v>vr</v>
      </c>
      <c r="H395" s="2" t="str">
        <f t="shared" si="19"/>
        <v>, vr</v>
      </c>
      <c r="I395" s="2" t="str">
        <f>IF(Return!C395=0,REPLACE(INDEX(H:H,ROW()+Return!B395,),1,2,Return!E395&amp;"(")&amp;")","")</f>
        <v/>
      </c>
      <c r="M395" s="1"/>
    </row>
    <row r="396" spans="1:13" x14ac:dyDescent="0.55000000000000004">
      <c r="A396" s="1" t="s">
        <v>264</v>
      </c>
      <c r="C396" s="2">
        <f>Return!C396</f>
        <v>0</v>
      </c>
      <c r="D396" s="2">
        <f>COUNTA(Argument!E396)</f>
        <v>0</v>
      </c>
      <c r="E396" s="2" t="str">
        <f>IF(C396,Return!D396,Return!E396)</f>
        <v>v</v>
      </c>
      <c r="F396" s="2" t="str">
        <f t="shared" si="18"/>
        <v/>
      </c>
      <c r="G396" s="2" t="str">
        <f t="shared" si="20"/>
        <v/>
      </c>
      <c r="H396" s="2" t="str">
        <f t="shared" si="19"/>
        <v/>
      </c>
      <c r="I396" s="2" t="str">
        <f>IF(Return!C396=0,REPLACE(INDEX(H:H,ROW()+Return!B396,),1,2,Return!E396&amp;"(")&amp;")","")</f>
        <v>v(vr)</v>
      </c>
      <c r="M396" s="1"/>
    </row>
    <row r="397" spans="1:13" x14ac:dyDescent="0.55000000000000004">
      <c r="A397" s="1" t="s">
        <v>264</v>
      </c>
      <c r="B397" t="s">
        <v>1218</v>
      </c>
      <c r="C397" s="2">
        <f>Return!C397</f>
        <v>1</v>
      </c>
      <c r="D397" s="2">
        <f>COUNTA(Argument!E397)</f>
        <v>1</v>
      </c>
      <c r="E397" s="2" t="str">
        <f>IF(C397,Return!D397,Return!E397)</f>
        <v>vr</v>
      </c>
      <c r="F397" s="2" t="str">
        <f t="shared" si="18"/>
        <v>vr</v>
      </c>
      <c r="G397" s="2" t="str">
        <f t="shared" si="20"/>
        <v>vr</v>
      </c>
      <c r="H397" s="2" t="str">
        <f t="shared" si="19"/>
        <v>, vr</v>
      </c>
      <c r="I397" s="2" t="str">
        <f>IF(Return!C397=0,REPLACE(INDEX(H:H,ROW()+Return!B397,),1,2,Return!E397&amp;"(")&amp;")","")</f>
        <v/>
      </c>
      <c r="M397" s="1"/>
    </row>
    <row r="398" spans="1:13" x14ac:dyDescent="0.55000000000000004">
      <c r="A398" s="1" t="s">
        <v>1599</v>
      </c>
      <c r="C398" s="2">
        <f>Return!C398</f>
        <v>0</v>
      </c>
      <c r="D398" s="2">
        <f>COUNTA(Argument!E398)</f>
        <v>0</v>
      </c>
      <c r="E398" s="2" t="str">
        <f>IF(C398,Return!D398,Return!E398)</f>
        <v>v</v>
      </c>
      <c r="F398" s="2" t="str">
        <f t="shared" si="18"/>
        <v/>
      </c>
      <c r="G398" s="2" t="str">
        <f t="shared" si="20"/>
        <v/>
      </c>
      <c r="H398" s="2" t="str">
        <f t="shared" si="19"/>
        <v/>
      </c>
      <c r="I398" s="2" t="str">
        <f>IF(Return!C398=0,REPLACE(INDEX(H:H,ROW()+Return!B398,),1,2,Return!E398&amp;"(")&amp;")","")</f>
        <v>v(v, [v])</v>
      </c>
      <c r="M398" s="1"/>
    </row>
    <row r="399" spans="1:13" x14ac:dyDescent="0.55000000000000004">
      <c r="A399" s="1" t="s">
        <v>1599</v>
      </c>
      <c r="B399" t="s">
        <v>1929</v>
      </c>
      <c r="C399" s="2">
        <f>Return!C399</f>
        <v>1</v>
      </c>
      <c r="D399" s="2">
        <f>COUNTA(Argument!E399)</f>
        <v>1</v>
      </c>
      <c r="E399" s="2" t="str">
        <f>IF(C399,Return!D399,Return!E399)</f>
        <v>v</v>
      </c>
      <c r="F399" s="2" t="str">
        <f t="shared" si="18"/>
        <v>v</v>
      </c>
      <c r="G399" s="2" t="str">
        <f t="shared" si="20"/>
        <v>v</v>
      </c>
      <c r="H399" s="2" t="str">
        <f t="shared" si="19"/>
        <v>, v</v>
      </c>
      <c r="I399" s="2" t="str">
        <f>IF(Return!C399=0,REPLACE(INDEX(H:H,ROW()+Return!B399,),1,2,Return!E399&amp;"(")&amp;")","")</f>
        <v/>
      </c>
      <c r="M399" s="1"/>
    </row>
    <row r="400" spans="1:13" x14ac:dyDescent="0.55000000000000004">
      <c r="A400" s="1" t="s">
        <v>1599</v>
      </c>
      <c r="B400" t="s">
        <v>2009</v>
      </c>
      <c r="C400" s="2">
        <f>Return!C400</f>
        <v>2</v>
      </c>
      <c r="D400" s="2">
        <f>COUNTA(Argument!E400)</f>
        <v>1</v>
      </c>
      <c r="E400" s="2" t="str">
        <f>IF(C400,Return!D400,Return!E400)</f>
        <v>v</v>
      </c>
      <c r="F400" s="2" t="str">
        <f t="shared" si="18"/>
        <v>[v]</v>
      </c>
      <c r="G400" s="2" t="str">
        <f t="shared" si="20"/>
        <v>[v]</v>
      </c>
      <c r="H400" s="2" t="str">
        <f t="shared" si="19"/>
        <v>, v, [v]</v>
      </c>
      <c r="I400" s="2" t="str">
        <f>IF(Return!C400=0,REPLACE(INDEX(H:H,ROW()+Return!B400,),1,2,Return!E400&amp;"(")&amp;")","")</f>
        <v/>
      </c>
      <c r="M400" s="1"/>
    </row>
    <row r="401" spans="1:13" x14ac:dyDescent="0.55000000000000004">
      <c r="A401" s="1" t="s">
        <v>1600</v>
      </c>
      <c r="C401" s="2">
        <f>Return!C401</f>
        <v>0</v>
      </c>
      <c r="D401" s="2">
        <f>COUNTA(Argument!E401)</f>
        <v>0</v>
      </c>
      <c r="E401" s="2" t="str">
        <f>IF(C401,Return!D401,Return!E401)</f>
        <v>v</v>
      </c>
      <c r="F401" s="2" t="str">
        <f t="shared" si="18"/>
        <v/>
      </c>
      <c r="G401" s="2" t="str">
        <f t="shared" si="20"/>
        <v/>
      </c>
      <c r="H401" s="2" t="str">
        <f t="shared" si="19"/>
        <v/>
      </c>
      <c r="I401" s="2" t="str">
        <f>IF(Return!C401=0,REPLACE(INDEX(H:H,ROW()+Return!B401,),1,2,Return!E401&amp;"(")&amp;")","")</f>
        <v>v(v)</v>
      </c>
      <c r="M401" s="1"/>
    </row>
    <row r="402" spans="1:13" x14ac:dyDescent="0.55000000000000004">
      <c r="A402" s="1" t="s">
        <v>1600</v>
      </c>
      <c r="B402" t="s">
        <v>1930</v>
      </c>
      <c r="C402" s="2">
        <f>Return!C402</f>
        <v>1</v>
      </c>
      <c r="D402" s="2">
        <f>COUNTA(Argument!E402)</f>
        <v>1</v>
      </c>
      <c r="E402" s="2" t="str">
        <f>IF(C402,Return!D402,Return!E402)</f>
        <v>v</v>
      </c>
      <c r="F402" s="2" t="str">
        <f t="shared" si="18"/>
        <v>v</v>
      </c>
      <c r="G402" s="2" t="str">
        <f t="shared" si="20"/>
        <v>v</v>
      </c>
      <c r="H402" s="2" t="str">
        <f t="shared" si="19"/>
        <v>, v</v>
      </c>
      <c r="I402" s="2" t="str">
        <f>IF(Return!C402=0,REPLACE(INDEX(H:H,ROW()+Return!B402,),1,2,Return!E402&amp;"(")&amp;")","")</f>
        <v/>
      </c>
      <c r="M402" s="1"/>
    </row>
    <row r="403" spans="1:13" x14ac:dyDescent="0.55000000000000004">
      <c r="A403" s="1" t="s">
        <v>1601</v>
      </c>
      <c r="C403" s="2">
        <f>Return!C403</f>
        <v>0</v>
      </c>
      <c r="D403" s="2">
        <f>COUNTA(Argument!E403)</f>
        <v>0</v>
      </c>
      <c r="E403" s="2" t="str">
        <f>IF(C403,Return!D403,Return!E403)</f>
        <v>v</v>
      </c>
      <c r="F403" s="2" t="str">
        <f t="shared" si="18"/>
        <v/>
      </c>
      <c r="G403" s="2" t="str">
        <f t="shared" si="20"/>
        <v/>
      </c>
      <c r="H403" s="2" t="str">
        <f t="shared" si="19"/>
        <v/>
      </c>
      <c r="I403" s="2" t="str">
        <f>IF(Return!C403=0,REPLACE(INDEX(H:H,ROW()+Return!B403,),1,2,Return!E403&amp;"(")&amp;")","")</f>
        <v>v(v)</v>
      </c>
      <c r="M403" s="1"/>
    </row>
    <row r="404" spans="1:13" x14ac:dyDescent="0.55000000000000004">
      <c r="A404" s="1" t="s">
        <v>1601</v>
      </c>
      <c r="B404" t="s">
        <v>1930</v>
      </c>
      <c r="C404" s="2">
        <f>Return!C404</f>
        <v>1</v>
      </c>
      <c r="D404" s="2">
        <f>COUNTA(Argument!E404)</f>
        <v>1</v>
      </c>
      <c r="E404" s="2" t="str">
        <f>IF(C404,Return!D404,Return!E404)</f>
        <v>v</v>
      </c>
      <c r="F404" s="2" t="str">
        <f t="shared" si="18"/>
        <v>v</v>
      </c>
      <c r="G404" s="2" t="str">
        <f t="shared" si="20"/>
        <v>v</v>
      </c>
      <c r="H404" s="2" t="str">
        <f t="shared" si="19"/>
        <v>, v</v>
      </c>
      <c r="I404" s="2" t="str">
        <f>IF(Return!C404=0,REPLACE(INDEX(H:H,ROW()+Return!B404,),1,2,Return!E404&amp;"(")&amp;")","")</f>
        <v/>
      </c>
      <c r="M404" s="1"/>
    </row>
    <row r="405" spans="1:13" x14ac:dyDescent="0.55000000000000004">
      <c r="A405" s="1" t="s">
        <v>1602</v>
      </c>
      <c r="C405" s="2">
        <f>Return!C405</f>
        <v>0</v>
      </c>
      <c r="D405" s="2">
        <f>COUNTA(Argument!E405)</f>
        <v>0</v>
      </c>
      <c r="E405" s="2" t="str">
        <f>IF(C405,Return!D405,Return!E405)</f>
        <v>v</v>
      </c>
      <c r="F405" s="2" t="str">
        <f t="shared" si="18"/>
        <v/>
      </c>
      <c r="G405" s="2" t="str">
        <f t="shared" si="20"/>
        <v/>
      </c>
      <c r="H405" s="2" t="str">
        <f t="shared" si="19"/>
        <v/>
      </c>
      <c r="I405" s="2" t="str">
        <f>IF(Return!C405=0,REPLACE(INDEX(H:H,ROW()+Return!B405,),1,2,Return!E405&amp;"(")&amp;")","")</f>
        <v>v(v)</v>
      </c>
      <c r="M405" s="1"/>
    </row>
    <row r="406" spans="1:13" x14ac:dyDescent="0.55000000000000004">
      <c r="A406" s="1" t="s">
        <v>1602</v>
      </c>
      <c r="B406" t="s">
        <v>1930</v>
      </c>
      <c r="C406" s="2">
        <f>Return!C406</f>
        <v>1</v>
      </c>
      <c r="D406" s="2">
        <f>COUNTA(Argument!E406)</f>
        <v>1</v>
      </c>
      <c r="E406" s="2" t="str">
        <f>IF(C406,Return!D406,Return!E406)</f>
        <v>v</v>
      </c>
      <c r="F406" s="2" t="str">
        <f t="shared" si="18"/>
        <v>v</v>
      </c>
      <c r="G406" s="2" t="str">
        <f t="shared" si="20"/>
        <v>v</v>
      </c>
      <c r="H406" s="2" t="str">
        <f t="shared" si="19"/>
        <v>, v</v>
      </c>
      <c r="I406" s="2" t="str">
        <f>IF(Return!C406=0,REPLACE(INDEX(H:H,ROW()+Return!B406,),1,2,Return!E406&amp;"(")&amp;")","")</f>
        <v/>
      </c>
      <c r="M406" s="1"/>
    </row>
    <row r="407" spans="1:13" x14ac:dyDescent="0.55000000000000004">
      <c r="A407" s="1" t="s">
        <v>1603</v>
      </c>
      <c r="C407" s="2">
        <f>Return!C407</f>
        <v>0</v>
      </c>
      <c r="D407" s="2">
        <f>COUNTA(Argument!E407)</f>
        <v>0</v>
      </c>
      <c r="E407" s="2" t="str">
        <f>IF(C407,Return!D407,Return!E407)</f>
        <v>v</v>
      </c>
      <c r="F407" s="2" t="str">
        <f t="shared" si="18"/>
        <v/>
      </c>
      <c r="G407" s="2" t="str">
        <f t="shared" si="20"/>
        <v/>
      </c>
      <c r="H407" s="2" t="str">
        <f t="shared" si="19"/>
        <v/>
      </c>
      <c r="I407" s="2" t="str">
        <f>IF(Return!C407=0,REPLACE(INDEX(H:H,ROW()+Return!B407,),1,2,Return!E407&amp;"(")&amp;")","")</f>
        <v>v(v, v)</v>
      </c>
      <c r="M407" s="1"/>
    </row>
    <row r="408" spans="1:13" x14ac:dyDescent="0.55000000000000004">
      <c r="A408" s="1" t="s">
        <v>1603</v>
      </c>
      <c r="B408" t="s">
        <v>1930</v>
      </c>
      <c r="C408" s="2">
        <f>Return!C408</f>
        <v>1</v>
      </c>
      <c r="D408" s="2">
        <f>COUNTA(Argument!E408)</f>
        <v>0</v>
      </c>
      <c r="E408" s="2" t="str">
        <f>IF(C408,Return!D408,Return!E408)</f>
        <v>v</v>
      </c>
      <c r="F408" s="2" t="str">
        <f t="shared" si="18"/>
        <v>v</v>
      </c>
      <c r="G408" s="2" t="str">
        <f t="shared" si="20"/>
        <v>v</v>
      </c>
      <c r="H408" s="2" t="str">
        <f t="shared" si="19"/>
        <v>, v</v>
      </c>
      <c r="I408" s="2" t="str">
        <f>IF(Return!C408=0,REPLACE(INDEX(H:H,ROW()+Return!B408,),1,2,Return!E408&amp;"(")&amp;")","")</f>
        <v/>
      </c>
      <c r="M408" s="1"/>
    </row>
    <row r="409" spans="1:13" x14ac:dyDescent="0.55000000000000004">
      <c r="A409" s="1" t="s">
        <v>1603</v>
      </c>
      <c r="B409" t="s">
        <v>1236</v>
      </c>
      <c r="C409" s="2">
        <f>Return!C409</f>
        <v>2</v>
      </c>
      <c r="D409" s="2">
        <f>COUNTA(Argument!E409)</f>
        <v>1</v>
      </c>
      <c r="E409" s="2" t="str">
        <f>IF(C409,Return!D409,Return!E409)</f>
        <v>v</v>
      </c>
      <c r="F409" s="2" t="str">
        <f t="shared" si="18"/>
        <v>v</v>
      </c>
      <c r="G409" s="2" t="str">
        <f t="shared" si="20"/>
        <v>v</v>
      </c>
      <c r="H409" s="2" t="str">
        <f t="shared" si="19"/>
        <v>, v, v</v>
      </c>
      <c r="I409" s="2" t="str">
        <f>IF(Return!C409=0,REPLACE(INDEX(H:H,ROW()+Return!B409,),1,2,Return!E409&amp;"(")&amp;")","")</f>
        <v/>
      </c>
      <c r="M409" s="1"/>
    </row>
    <row r="410" spans="1:13" x14ac:dyDescent="0.55000000000000004">
      <c r="A410" s="1" t="s">
        <v>1604</v>
      </c>
      <c r="C410" s="2">
        <f>Return!C410</f>
        <v>0</v>
      </c>
      <c r="D410" s="2">
        <f>COUNTA(Argument!E410)</f>
        <v>0</v>
      </c>
      <c r="E410" s="2" t="str">
        <f>IF(C410,Return!D410,Return!E410)</f>
        <v>v</v>
      </c>
      <c r="F410" s="2" t="str">
        <f t="shared" si="18"/>
        <v/>
      </c>
      <c r="G410" s="2" t="str">
        <f t="shared" si="20"/>
        <v/>
      </c>
      <c r="H410" s="2" t="str">
        <f t="shared" si="19"/>
        <v/>
      </c>
      <c r="I410" s="2" t="str">
        <f>IF(Return!C410=0,REPLACE(INDEX(H:H,ROW()+Return!B410,),1,2,Return!E410&amp;"(")&amp;")","")</f>
        <v>v(v, v)</v>
      </c>
      <c r="M410" s="1"/>
    </row>
    <row r="411" spans="1:13" x14ac:dyDescent="0.55000000000000004">
      <c r="A411" s="1" t="s">
        <v>1604</v>
      </c>
      <c r="B411" t="s">
        <v>1930</v>
      </c>
      <c r="C411" s="2">
        <f>Return!C411</f>
        <v>1</v>
      </c>
      <c r="D411" s="2">
        <f>COUNTA(Argument!E411)</f>
        <v>0</v>
      </c>
      <c r="E411" s="2" t="str">
        <f>IF(C411,Return!D411,Return!E411)</f>
        <v>v</v>
      </c>
      <c r="F411" s="2" t="str">
        <f t="shared" si="18"/>
        <v>v</v>
      </c>
      <c r="G411" s="2" t="str">
        <f t="shared" si="20"/>
        <v>v</v>
      </c>
      <c r="H411" s="2" t="str">
        <f t="shared" si="19"/>
        <v>, v</v>
      </c>
      <c r="I411" s="2" t="str">
        <f>IF(Return!C411=0,REPLACE(INDEX(H:H,ROW()+Return!B411,),1,2,Return!E411&amp;"(")&amp;")","")</f>
        <v/>
      </c>
      <c r="M411" s="1"/>
    </row>
    <row r="412" spans="1:13" x14ac:dyDescent="0.55000000000000004">
      <c r="A412" s="1" t="s">
        <v>1604</v>
      </c>
      <c r="B412" t="s">
        <v>1233</v>
      </c>
      <c r="C412" s="2">
        <f>Return!C412</f>
        <v>2</v>
      </c>
      <c r="D412" s="2">
        <f>COUNTA(Argument!E412)</f>
        <v>1</v>
      </c>
      <c r="E412" s="2" t="str">
        <f>IF(C412,Return!D412,Return!E412)</f>
        <v>v</v>
      </c>
      <c r="F412" s="2" t="str">
        <f t="shared" si="18"/>
        <v>v</v>
      </c>
      <c r="G412" s="2" t="str">
        <f t="shared" si="20"/>
        <v>v</v>
      </c>
      <c r="H412" s="2" t="str">
        <f t="shared" si="19"/>
        <v>, v, v</v>
      </c>
      <c r="I412" s="2" t="str">
        <f>IF(Return!C412=0,REPLACE(INDEX(H:H,ROW()+Return!B412,),1,2,Return!E412&amp;"(")&amp;")","")</f>
        <v/>
      </c>
      <c r="M412" s="1"/>
    </row>
    <row r="413" spans="1:13" x14ac:dyDescent="0.55000000000000004">
      <c r="A413" s="1" t="s">
        <v>1605</v>
      </c>
      <c r="C413" s="2">
        <f>Return!C413</f>
        <v>0</v>
      </c>
      <c r="D413" s="2">
        <f>COUNTA(Argument!E413)</f>
        <v>0</v>
      </c>
      <c r="E413" s="2" t="str">
        <f>IF(C413,Return!D413,Return!E413)</f>
        <v>v</v>
      </c>
      <c r="F413" s="2" t="str">
        <f t="shared" si="18"/>
        <v/>
      </c>
      <c r="G413" s="2" t="str">
        <f t="shared" si="20"/>
        <v/>
      </c>
      <c r="H413" s="2" t="str">
        <f t="shared" si="19"/>
        <v/>
      </c>
      <c r="I413" s="2" t="str">
        <f>IF(Return!C413=0,REPLACE(INDEX(H:H,ROW()+Return!B413,),1,2,Return!E413&amp;"(")&amp;")","")</f>
        <v>v(v, v)</v>
      </c>
      <c r="M413" s="1"/>
    </row>
    <row r="414" spans="1:13" x14ac:dyDescent="0.55000000000000004">
      <c r="A414" s="1" t="s">
        <v>1605</v>
      </c>
      <c r="B414" t="s">
        <v>1930</v>
      </c>
      <c r="C414" s="2">
        <f>Return!C414</f>
        <v>1</v>
      </c>
      <c r="D414" s="2">
        <f>COUNTA(Argument!E414)</f>
        <v>0</v>
      </c>
      <c r="E414" s="2" t="str">
        <f>IF(C414,Return!D414,Return!E414)</f>
        <v>v</v>
      </c>
      <c r="F414" s="2" t="str">
        <f t="shared" si="18"/>
        <v>v</v>
      </c>
      <c r="G414" s="2" t="str">
        <f t="shared" si="20"/>
        <v>v</v>
      </c>
      <c r="H414" s="2" t="str">
        <f t="shared" si="19"/>
        <v>, v</v>
      </c>
      <c r="I414" s="2" t="str">
        <f>IF(Return!C414=0,REPLACE(INDEX(H:H,ROW()+Return!B414,),1,2,Return!E414&amp;"(")&amp;")","")</f>
        <v/>
      </c>
      <c r="M414" s="1"/>
    </row>
    <row r="415" spans="1:13" x14ac:dyDescent="0.55000000000000004">
      <c r="A415" s="1" t="s">
        <v>1605</v>
      </c>
      <c r="B415" t="s">
        <v>1233</v>
      </c>
      <c r="C415" s="2">
        <f>Return!C415</f>
        <v>2</v>
      </c>
      <c r="D415" s="2">
        <f>COUNTA(Argument!E415)</f>
        <v>1</v>
      </c>
      <c r="E415" s="2" t="str">
        <f>IF(C415,Return!D415,Return!E415)</f>
        <v>v</v>
      </c>
      <c r="F415" s="2" t="str">
        <f t="shared" si="18"/>
        <v>v</v>
      </c>
      <c r="G415" s="2" t="str">
        <f t="shared" si="20"/>
        <v>v</v>
      </c>
      <c r="H415" s="2" t="str">
        <f t="shared" si="19"/>
        <v>, v, v</v>
      </c>
      <c r="I415" s="2" t="str">
        <f>IF(Return!C415=0,REPLACE(INDEX(H:H,ROW()+Return!B415,),1,2,Return!E415&amp;"(")&amp;")","")</f>
        <v/>
      </c>
      <c r="M415" s="1"/>
    </row>
    <row r="416" spans="1:13" x14ac:dyDescent="0.55000000000000004">
      <c r="A416" s="1" t="s">
        <v>1606</v>
      </c>
      <c r="C416" s="2">
        <f>Return!C416</f>
        <v>0</v>
      </c>
      <c r="D416" s="2">
        <f>COUNTA(Argument!E416)</f>
        <v>0</v>
      </c>
      <c r="E416" s="2" t="str">
        <f>IF(C416,Return!D416,Return!E416)</f>
        <v>v</v>
      </c>
      <c r="F416" s="2" t="str">
        <f t="shared" si="18"/>
        <v/>
      </c>
      <c r="G416" s="2" t="str">
        <f t="shared" si="20"/>
        <v/>
      </c>
      <c r="H416" s="2" t="str">
        <f t="shared" si="19"/>
        <v/>
      </c>
      <c r="I416" s="2" t="str">
        <f>IF(Return!C416=0,REPLACE(INDEX(H:H,ROW()+Return!B416,),1,2,Return!E416&amp;"(")&amp;")","")</f>
        <v>v(v, [v])</v>
      </c>
      <c r="M416" s="1"/>
    </row>
    <row r="417" spans="1:13" x14ac:dyDescent="0.55000000000000004">
      <c r="A417" s="1" t="s">
        <v>1606</v>
      </c>
      <c r="B417" t="s">
        <v>1930</v>
      </c>
      <c r="C417" s="2">
        <f>Return!C417</f>
        <v>1</v>
      </c>
      <c r="D417" s="2">
        <f>COUNTA(Argument!E417)</f>
        <v>1</v>
      </c>
      <c r="E417" s="2" t="str">
        <f>IF(C417,Return!D417,Return!E417)</f>
        <v>v</v>
      </c>
      <c r="F417" s="2" t="str">
        <f t="shared" si="18"/>
        <v>v</v>
      </c>
      <c r="G417" s="2" t="str">
        <f t="shared" si="20"/>
        <v>v</v>
      </c>
      <c r="H417" s="2" t="str">
        <f t="shared" si="19"/>
        <v>, v</v>
      </c>
      <c r="I417" s="2" t="str">
        <f>IF(Return!C417=0,REPLACE(INDEX(H:H,ROW()+Return!B417,),1,2,Return!E417&amp;"(")&amp;")","")</f>
        <v/>
      </c>
      <c r="M417" s="1"/>
    </row>
    <row r="418" spans="1:13" x14ac:dyDescent="0.55000000000000004">
      <c r="A418" s="1" t="s">
        <v>1606</v>
      </c>
      <c r="B418" t="s">
        <v>2010</v>
      </c>
      <c r="C418" s="2">
        <f>Return!C418</f>
        <v>2</v>
      </c>
      <c r="D418" s="2">
        <f>COUNTA(Argument!E418)</f>
        <v>1</v>
      </c>
      <c r="E418" s="2" t="str">
        <f>IF(C418,Return!D418,Return!E418)</f>
        <v>v</v>
      </c>
      <c r="F418" s="2" t="str">
        <f t="shared" si="18"/>
        <v>[v]</v>
      </c>
      <c r="G418" s="2" t="str">
        <f t="shared" si="20"/>
        <v>[v]</v>
      </c>
      <c r="H418" s="2" t="str">
        <f t="shared" si="19"/>
        <v>, v, [v]</v>
      </c>
      <c r="I418" s="2" t="str">
        <f>IF(Return!C418=0,REPLACE(INDEX(H:H,ROW()+Return!B418,),1,2,Return!E418&amp;"(")&amp;")","")</f>
        <v/>
      </c>
      <c r="M418" s="1"/>
    </row>
    <row r="419" spans="1:13" x14ac:dyDescent="0.55000000000000004">
      <c r="A419" s="1" t="s">
        <v>1607</v>
      </c>
      <c r="C419" s="2">
        <f>Return!C419</f>
        <v>0</v>
      </c>
      <c r="D419" s="2">
        <f>COUNTA(Argument!E419)</f>
        <v>0</v>
      </c>
      <c r="E419" s="2" t="str">
        <f>IF(C419,Return!D419,Return!E419)</f>
        <v>v</v>
      </c>
      <c r="F419" s="2" t="str">
        <f t="shared" si="18"/>
        <v/>
      </c>
      <c r="G419" s="2" t="str">
        <f t="shared" si="20"/>
        <v/>
      </c>
      <c r="H419" s="2" t="str">
        <f t="shared" si="19"/>
        <v/>
      </c>
      <c r="I419" s="2" t="str">
        <f>IF(Return!C419=0,REPLACE(INDEX(H:H,ROW()+Return!B419,),1,2,Return!E419&amp;"(")&amp;")","")</f>
        <v>v(v)</v>
      </c>
      <c r="M419" s="1"/>
    </row>
    <row r="420" spans="1:13" x14ac:dyDescent="0.55000000000000004">
      <c r="A420" s="1" t="s">
        <v>1607</v>
      </c>
      <c r="B420" t="s">
        <v>1288</v>
      </c>
      <c r="C420" s="2">
        <f>Return!C420</f>
        <v>1</v>
      </c>
      <c r="D420" s="2">
        <f>COUNTA(Argument!E420)</f>
        <v>1</v>
      </c>
      <c r="E420" s="2" t="str">
        <f>IF(C420,Return!D420,Return!E420)</f>
        <v>v</v>
      </c>
      <c r="F420" s="2" t="str">
        <f t="shared" si="18"/>
        <v>v</v>
      </c>
      <c r="G420" s="2" t="str">
        <f t="shared" si="20"/>
        <v>v</v>
      </c>
      <c r="H420" s="2" t="str">
        <f t="shared" si="19"/>
        <v>, v</v>
      </c>
      <c r="I420" s="2" t="str">
        <f>IF(Return!C420=0,REPLACE(INDEX(H:H,ROW()+Return!B420,),1,2,Return!E420&amp;"(")&amp;")","")</f>
        <v/>
      </c>
      <c r="M420" s="1"/>
    </row>
    <row r="421" spans="1:13" x14ac:dyDescent="0.55000000000000004">
      <c r="A421" s="1" t="s">
        <v>1608</v>
      </c>
      <c r="C421" s="2">
        <f>Return!C421</f>
        <v>0</v>
      </c>
      <c r="D421" s="2">
        <f>COUNTA(Argument!E421)</f>
        <v>0</v>
      </c>
      <c r="E421" s="2" t="str">
        <f>IF(C421,Return!D421,Return!E421)</f>
        <v>v</v>
      </c>
      <c r="F421" s="2" t="str">
        <f t="shared" si="18"/>
        <v/>
      </c>
      <c r="G421" s="2" t="str">
        <f t="shared" si="20"/>
        <v/>
      </c>
      <c r="H421" s="2" t="str">
        <f t="shared" si="19"/>
        <v/>
      </c>
      <c r="I421" s="2" t="str">
        <f>IF(Return!C421=0,REPLACE(INDEX(H:H,ROW()+Return!B421,),1,2,Return!E421&amp;"(")&amp;")","")</f>
        <v>v(v)</v>
      </c>
      <c r="M421" s="1"/>
    </row>
    <row r="422" spans="1:13" x14ac:dyDescent="0.55000000000000004">
      <c r="A422" s="1" t="s">
        <v>1608</v>
      </c>
      <c r="B422" t="s">
        <v>1289</v>
      </c>
      <c r="C422" s="2">
        <f>Return!C422</f>
        <v>1</v>
      </c>
      <c r="D422" s="2">
        <f>COUNTA(Argument!E422)</f>
        <v>1</v>
      </c>
      <c r="E422" s="2" t="str">
        <f>IF(C422,Return!D422,Return!E422)</f>
        <v>v</v>
      </c>
      <c r="F422" s="2" t="str">
        <f t="shared" si="18"/>
        <v>v</v>
      </c>
      <c r="G422" s="2" t="str">
        <f t="shared" si="20"/>
        <v>v</v>
      </c>
      <c r="H422" s="2" t="str">
        <f t="shared" si="19"/>
        <v>, v</v>
      </c>
      <c r="I422" s="2" t="str">
        <f>IF(Return!C422=0,REPLACE(INDEX(H:H,ROW()+Return!B422,),1,2,Return!E422&amp;"(")&amp;")","")</f>
        <v/>
      </c>
      <c r="M422" s="1"/>
    </row>
    <row r="423" spans="1:13" x14ac:dyDescent="0.55000000000000004">
      <c r="A423" s="1" t="s">
        <v>1609</v>
      </c>
      <c r="C423" s="2">
        <f>Return!C423</f>
        <v>0</v>
      </c>
      <c r="D423" s="2">
        <f>COUNTA(Argument!E423)</f>
        <v>0</v>
      </c>
      <c r="E423" s="2" t="str">
        <f>IF(C423,Return!D423,Return!E423)</f>
        <v>v</v>
      </c>
      <c r="F423" s="2" t="str">
        <f t="shared" si="18"/>
        <v/>
      </c>
      <c r="G423" s="2" t="str">
        <f t="shared" si="20"/>
        <v/>
      </c>
      <c r="H423" s="2" t="str">
        <f t="shared" si="19"/>
        <v/>
      </c>
      <c r="I423" s="2" t="str">
        <f>IF(Return!C423=0,REPLACE(INDEX(H:H,ROW()+Return!B423,),1,2,Return!E423&amp;"(")&amp;")","")</f>
        <v>v(v, v, v)</v>
      </c>
      <c r="M423" s="1"/>
    </row>
    <row r="424" spans="1:13" x14ac:dyDescent="0.55000000000000004">
      <c r="A424" s="1" t="s">
        <v>1609</v>
      </c>
      <c r="B424" t="s">
        <v>1290</v>
      </c>
      <c r="C424" s="2">
        <f>Return!C424</f>
        <v>1</v>
      </c>
      <c r="D424" s="2">
        <f>COUNTA(Argument!E424)</f>
        <v>0</v>
      </c>
      <c r="E424" s="2" t="str">
        <f>IF(C424,Return!D424,Return!E424)</f>
        <v>v</v>
      </c>
      <c r="F424" s="2" t="str">
        <f t="shared" si="18"/>
        <v>v</v>
      </c>
      <c r="G424" s="2" t="str">
        <f t="shared" si="20"/>
        <v>v</v>
      </c>
      <c r="H424" s="2" t="str">
        <f t="shared" si="19"/>
        <v>, v</v>
      </c>
      <c r="I424" s="2" t="str">
        <f>IF(Return!C424=0,REPLACE(INDEX(H:H,ROW()+Return!B424,),1,2,Return!E424&amp;"(")&amp;")","")</f>
        <v/>
      </c>
      <c r="M424" s="1"/>
    </row>
    <row r="425" spans="1:13" x14ac:dyDescent="0.55000000000000004">
      <c r="A425" s="1" t="s">
        <v>1609</v>
      </c>
      <c r="B425" t="s">
        <v>1291</v>
      </c>
      <c r="C425" s="2">
        <f>Return!C425</f>
        <v>2</v>
      </c>
      <c r="D425" s="2">
        <f>COUNTA(Argument!E425)</f>
        <v>0</v>
      </c>
      <c r="E425" s="2" t="str">
        <f>IF(C425,Return!D425,Return!E425)</f>
        <v>v</v>
      </c>
      <c r="F425" s="2" t="str">
        <f t="shared" si="18"/>
        <v>v</v>
      </c>
      <c r="G425" s="2" t="str">
        <f t="shared" si="20"/>
        <v>v</v>
      </c>
      <c r="H425" s="2" t="str">
        <f t="shared" si="19"/>
        <v>, v, v</v>
      </c>
      <c r="I425" s="2" t="str">
        <f>IF(Return!C425=0,REPLACE(INDEX(H:H,ROW()+Return!B425,),1,2,Return!E425&amp;"(")&amp;")","")</f>
        <v/>
      </c>
      <c r="M425" s="1"/>
    </row>
    <row r="426" spans="1:13" x14ac:dyDescent="0.55000000000000004">
      <c r="A426" s="1" t="s">
        <v>1609</v>
      </c>
      <c r="B426" t="s">
        <v>1292</v>
      </c>
      <c r="C426" s="2">
        <f>Return!C426</f>
        <v>3</v>
      </c>
      <c r="D426" s="2">
        <f>COUNTA(Argument!E426)</f>
        <v>1</v>
      </c>
      <c r="E426" s="2" t="str">
        <f>IF(C426,Return!D426,Return!E426)</f>
        <v>v</v>
      </c>
      <c r="F426" s="2" t="str">
        <f t="shared" si="18"/>
        <v>v</v>
      </c>
      <c r="G426" s="2" t="str">
        <f t="shared" si="20"/>
        <v>v</v>
      </c>
      <c r="H426" s="2" t="str">
        <f t="shared" si="19"/>
        <v>, v, v, v</v>
      </c>
      <c r="I426" s="2" t="str">
        <f>IF(Return!C426=0,REPLACE(INDEX(H:H,ROW()+Return!B426,),1,2,Return!E426&amp;"(")&amp;")","")</f>
        <v/>
      </c>
      <c r="M426" s="1"/>
    </row>
    <row r="427" spans="1:13" x14ac:dyDescent="0.55000000000000004">
      <c r="A427" s="1" t="s">
        <v>1610</v>
      </c>
      <c r="C427" s="2">
        <f>Return!C427</f>
        <v>0</v>
      </c>
      <c r="D427" s="2">
        <f>COUNTA(Argument!E427)</f>
        <v>0</v>
      </c>
      <c r="E427" s="2" t="str">
        <f>IF(C427,Return!D427,Return!E427)</f>
        <v>v</v>
      </c>
      <c r="F427" s="2" t="str">
        <f t="shared" si="18"/>
        <v/>
      </c>
      <c r="G427" s="2" t="str">
        <f t="shared" si="20"/>
        <v/>
      </c>
      <c r="H427" s="2" t="str">
        <f t="shared" si="19"/>
        <v/>
      </c>
      <c r="I427" s="2" t="str">
        <f>IF(Return!C427=0,REPLACE(INDEX(H:H,ROW()+Return!B427,),1,2,Return!E427&amp;"(")&amp;")","")</f>
        <v>v(v, v, v, v)</v>
      </c>
      <c r="M427" s="1"/>
    </row>
    <row r="428" spans="1:13" x14ac:dyDescent="0.55000000000000004">
      <c r="A428" s="1" t="s">
        <v>1610</v>
      </c>
      <c r="B428" t="s">
        <v>1290</v>
      </c>
      <c r="C428" s="2">
        <f>Return!C428</f>
        <v>1</v>
      </c>
      <c r="D428" s="2">
        <f>COUNTA(Argument!E428)</f>
        <v>0</v>
      </c>
      <c r="E428" s="2" t="str">
        <f>IF(C428,Return!D428,Return!E428)</f>
        <v>v</v>
      </c>
      <c r="F428" s="2" t="str">
        <f t="shared" si="18"/>
        <v>v</v>
      </c>
      <c r="G428" s="2" t="str">
        <f t="shared" si="20"/>
        <v>v</v>
      </c>
      <c r="H428" s="2" t="str">
        <f t="shared" si="19"/>
        <v>, v</v>
      </c>
      <c r="I428" s="2" t="str">
        <f>IF(Return!C428=0,REPLACE(INDEX(H:H,ROW()+Return!B428,),1,2,Return!E428&amp;"(")&amp;")","")</f>
        <v/>
      </c>
      <c r="M428" s="1"/>
    </row>
    <row r="429" spans="1:13" x14ac:dyDescent="0.55000000000000004">
      <c r="A429" s="1" t="s">
        <v>1610</v>
      </c>
      <c r="B429" t="s">
        <v>1291</v>
      </c>
      <c r="C429" s="2">
        <f>Return!C429</f>
        <v>2</v>
      </c>
      <c r="D429" s="2">
        <f>COUNTA(Argument!E429)</f>
        <v>0</v>
      </c>
      <c r="E429" s="2" t="str">
        <f>IF(C429,Return!D429,Return!E429)</f>
        <v>v</v>
      </c>
      <c r="F429" s="2" t="str">
        <f t="shared" si="18"/>
        <v>v</v>
      </c>
      <c r="G429" s="2" t="str">
        <f t="shared" si="20"/>
        <v>v</v>
      </c>
      <c r="H429" s="2" t="str">
        <f t="shared" si="19"/>
        <v>, v, v</v>
      </c>
      <c r="I429" s="2" t="str">
        <f>IF(Return!C429=0,REPLACE(INDEX(H:H,ROW()+Return!B429,),1,2,Return!E429&amp;"(")&amp;")","")</f>
        <v/>
      </c>
      <c r="M429" s="1"/>
    </row>
    <row r="430" spans="1:13" x14ac:dyDescent="0.55000000000000004">
      <c r="A430" s="1" t="s">
        <v>1610</v>
      </c>
      <c r="B430" t="s">
        <v>1292</v>
      </c>
      <c r="C430" s="2">
        <f>Return!C430</f>
        <v>3</v>
      </c>
      <c r="D430" s="2">
        <f>COUNTA(Argument!E430)</f>
        <v>0</v>
      </c>
      <c r="E430" s="2" t="str">
        <f>IF(C430,Return!D430,Return!E430)</f>
        <v>v</v>
      </c>
      <c r="F430" s="2" t="str">
        <f t="shared" si="18"/>
        <v>v</v>
      </c>
      <c r="G430" s="2" t="str">
        <f t="shared" si="20"/>
        <v>v</v>
      </c>
      <c r="H430" s="2" t="str">
        <f t="shared" si="19"/>
        <v>, v, v, v</v>
      </c>
      <c r="I430" s="2" t="str">
        <f>IF(Return!C430=0,REPLACE(INDEX(H:H,ROW()+Return!B430,),1,2,Return!E430&amp;"(")&amp;")","")</f>
        <v/>
      </c>
      <c r="M430" s="1"/>
    </row>
    <row r="431" spans="1:13" x14ac:dyDescent="0.55000000000000004">
      <c r="A431" s="1" t="s">
        <v>1610</v>
      </c>
      <c r="B431" t="s">
        <v>1293</v>
      </c>
      <c r="C431" s="2">
        <f>Return!C431</f>
        <v>4</v>
      </c>
      <c r="D431" s="2">
        <f>COUNTA(Argument!E431)</f>
        <v>1</v>
      </c>
      <c r="E431" s="2" t="str">
        <f>IF(C431,Return!D431,Return!E431)</f>
        <v>v</v>
      </c>
      <c r="F431" s="2" t="str">
        <f t="shared" si="18"/>
        <v>v</v>
      </c>
      <c r="G431" s="2" t="str">
        <f t="shared" si="20"/>
        <v>v</v>
      </c>
      <c r="H431" s="2" t="str">
        <f t="shared" si="19"/>
        <v>, v, v, v, v</v>
      </c>
      <c r="I431" s="2" t="str">
        <f>IF(Return!C431=0,REPLACE(INDEX(H:H,ROW()+Return!B431,),1,2,Return!E431&amp;"(")&amp;")","")</f>
        <v/>
      </c>
      <c r="M431" s="1"/>
    </row>
    <row r="432" spans="1:13" x14ac:dyDescent="0.55000000000000004">
      <c r="A432" s="1" t="s">
        <v>1611</v>
      </c>
      <c r="C432" s="2">
        <f>Return!C432</f>
        <v>0</v>
      </c>
      <c r="D432" s="2">
        <f>COUNTA(Argument!E432)</f>
        <v>0</v>
      </c>
      <c r="E432" s="2" t="str">
        <f>IF(C432,Return!D432,Return!E432)</f>
        <v>v</v>
      </c>
      <c r="F432" s="2" t="str">
        <f t="shared" si="18"/>
        <v/>
      </c>
      <c r="G432" s="2" t="str">
        <f t="shared" si="20"/>
        <v/>
      </c>
      <c r="H432" s="2" t="str">
        <f t="shared" si="19"/>
        <v/>
      </c>
      <c r="I432" s="2" t="str">
        <f>IF(Return!C432=0,REPLACE(INDEX(H:H,ROW()+Return!B432,),1,2,Return!E432&amp;"(")&amp;")","")</f>
        <v>v(v, v, v, v, [v])</v>
      </c>
      <c r="M432" s="1"/>
    </row>
    <row r="433" spans="1:13" x14ac:dyDescent="0.55000000000000004">
      <c r="A433" s="1" t="s">
        <v>1611</v>
      </c>
      <c r="B433" t="s">
        <v>1290</v>
      </c>
      <c r="C433" s="2">
        <f>Return!C433</f>
        <v>1</v>
      </c>
      <c r="D433" s="2">
        <f>COUNTA(Argument!E433)</f>
        <v>0</v>
      </c>
      <c r="E433" s="2" t="str">
        <f>IF(C433,Return!D433,Return!E433)</f>
        <v>v</v>
      </c>
      <c r="F433" s="2" t="str">
        <f t="shared" si="18"/>
        <v>v</v>
      </c>
      <c r="G433" s="2" t="str">
        <f t="shared" si="20"/>
        <v>v</v>
      </c>
      <c r="H433" s="2" t="str">
        <f t="shared" si="19"/>
        <v>, v</v>
      </c>
      <c r="I433" s="2" t="str">
        <f>IF(Return!C433=0,REPLACE(INDEX(H:H,ROW()+Return!B433,),1,2,Return!E433&amp;"(")&amp;")","")</f>
        <v/>
      </c>
      <c r="M433" s="1"/>
    </row>
    <row r="434" spans="1:13" x14ac:dyDescent="0.55000000000000004">
      <c r="A434" s="1" t="s">
        <v>1611</v>
      </c>
      <c r="B434" t="s">
        <v>1291</v>
      </c>
      <c r="C434" s="2">
        <f>Return!C434</f>
        <v>2</v>
      </c>
      <c r="D434" s="2">
        <f>COUNTA(Argument!E434)</f>
        <v>0</v>
      </c>
      <c r="E434" s="2" t="str">
        <f>IF(C434,Return!D434,Return!E434)</f>
        <v>v</v>
      </c>
      <c r="F434" s="2" t="str">
        <f t="shared" si="18"/>
        <v>v</v>
      </c>
      <c r="G434" s="2" t="str">
        <f t="shared" si="20"/>
        <v>v</v>
      </c>
      <c r="H434" s="2" t="str">
        <f t="shared" si="19"/>
        <v>, v, v</v>
      </c>
      <c r="I434" s="2" t="str">
        <f>IF(Return!C434=0,REPLACE(INDEX(H:H,ROW()+Return!B434,),1,2,Return!E434&amp;"(")&amp;")","")</f>
        <v/>
      </c>
      <c r="M434" s="1"/>
    </row>
    <row r="435" spans="1:13" x14ac:dyDescent="0.55000000000000004">
      <c r="A435" s="1" t="s">
        <v>1611</v>
      </c>
      <c r="B435" t="s">
        <v>1292</v>
      </c>
      <c r="C435" s="2">
        <f>Return!C435</f>
        <v>3</v>
      </c>
      <c r="D435" s="2">
        <f>COUNTA(Argument!E435)</f>
        <v>0</v>
      </c>
      <c r="E435" s="2" t="str">
        <f>IF(C435,Return!D435,Return!E435)</f>
        <v>v</v>
      </c>
      <c r="F435" s="2" t="str">
        <f t="shared" si="18"/>
        <v>v</v>
      </c>
      <c r="G435" s="2" t="str">
        <f t="shared" si="20"/>
        <v>v</v>
      </c>
      <c r="H435" s="2" t="str">
        <f t="shared" si="19"/>
        <v>, v, v, v</v>
      </c>
      <c r="I435" s="2" t="str">
        <f>IF(Return!C435=0,REPLACE(INDEX(H:H,ROW()+Return!B435,),1,2,Return!E435&amp;"(")&amp;")","")</f>
        <v/>
      </c>
      <c r="M435" s="1"/>
    </row>
    <row r="436" spans="1:13" x14ac:dyDescent="0.55000000000000004">
      <c r="A436" s="1" t="s">
        <v>1611</v>
      </c>
      <c r="B436" t="s">
        <v>1294</v>
      </c>
      <c r="C436" s="2">
        <f>Return!C436</f>
        <v>4</v>
      </c>
      <c r="D436" s="2">
        <f>COUNTA(Argument!E436)</f>
        <v>1</v>
      </c>
      <c r="E436" s="2" t="str">
        <f>IF(C436,Return!D436,Return!E436)</f>
        <v>v</v>
      </c>
      <c r="F436" s="2" t="str">
        <f t="shared" si="18"/>
        <v>v</v>
      </c>
      <c r="G436" s="2" t="str">
        <f t="shared" si="20"/>
        <v>v</v>
      </c>
      <c r="H436" s="2" t="str">
        <f t="shared" si="19"/>
        <v>, v, v, v, v</v>
      </c>
      <c r="I436" s="2" t="str">
        <f>IF(Return!C436=0,REPLACE(INDEX(H:H,ROW()+Return!B436,),1,2,Return!E436&amp;"(")&amp;")","")</f>
        <v/>
      </c>
      <c r="M436" s="1"/>
    </row>
    <row r="437" spans="1:13" x14ac:dyDescent="0.55000000000000004">
      <c r="A437" s="1" t="s">
        <v>1611</v>
      </c>
      <c r="B437" t="s">
        <v>1295</v>
      </c>
      <c r="C437" s="2">
        <f>Return!C437</f>
        <v>5</v>
      </c>
      <c r="D437" s="2">
        <f>COUNTA(Argument!E437)</f>
        <v>1</v>
      </c>
      <c r="E437" s="2" t="str">
        <f>IF(C437,Return!D437,Return!E437)</f>
        <v>v</v>
      </c>
      <c r="F437" s="2" t="str">
        <f t="shared" si="18"/>
        <v>[v]</v>
      </c>
      <c r="G437" s="2" t="str">
        <f t="shared" si="20"/>
        <v>[v]</v>
      </c>
      <c r="H437" s="2" t="str">
        <f t="shared" si="19"/>
        <v>, v, v, v, v, [v]</v>
      </c>
      <c r="I437" s="2" t="str">
        <f>IF(Return!C437=0,REPLACE(INDEX(H:H,ROW()+Return!B437,),1,2,Return!E437&amp;"(")&amp;")","")</f>
        <v/>
      </c>
      <c r="M437" s="1"/>
    </row>
    <row r="438" spans="1:13" x14ac:dyDescent="0.55000000000000004">
      <c r="A438" s="1" t="s">
        <v>1612</v>
      </c>
      <c r="C438" s="2">
        <f>Return!C438</f>
        <v>0</v>
      </c>
      <c r="D438" s="2">
        <f>COUNTA(Argument!E438)</f>
        <v>0</v>
      </c>
      <c r="E438" s="2" t="str">
        <f>IF(C438,Return!D438,Return!E438)</f>
        <v>v</v>
      </c>
      <c r="F438" s="2" t="str">
        <f t="shared" si="18"/>
        <v/>
      </c>
      <c r="G438" s="2" t="str">
        <f t="shared" si="20"/>
        <v/>
      </c>
      <c r="H438" s="2" t="str">
        <f t="shared" si="19"/>
        <v/>
      </c>
      <c r="I438" s="2" t="str">
        <f>IF(Return!C438=0,REPLACE(INDEX(H:H,ROW()+Return!B438,),1,2,Return!E438&amp;"(")&amp;")","")</f>
        <v>v(v, [v], [v])</v>
      </c>
      <c r="M438" s="1"/>
    </row>
    <row r="439" spans="1:13" x14ac:dyDescent="0.55000000000000004">
      <c r="A439" s="1" t="s">
        <v>1612</v>
      </c>
      <c r="B439" t="s">
        <v>1931</v>
      </c>
      <c r="C439" s="2">
        <f>Return!C439</f>
        <v>1</v>
      </c>
      <c r="D439" s="2">
        <f>COUNTA(Argument!E439)</f>
        <v>1</v>
      </c>
      <c r="E439" s="2" t="str">
        <f>IF(C439,Return!D439,Return!E439)</f>
        <v>v</v>
      </c>
      <c r="F439" s="2" t="str">
        <f t="shared" si="18"/>
        <v>v</v>
      </c>
      <c r="G439" s="2" t="str">
        <f t="shared" si="20"/>
        <v>v</v>
      </c>
      <c r="H439" s="2" t="str">
        <f t="shared" si="19"/>
        <v>, v</v>
      </c>
      <c r="I439" s="2" t="str">
        <f>IF(Return!C439=0,REPLACE(INDEX(H:H,ROW()+Return!B439,),1,2,Return!E439&amp;"(")&amp;")","")</f>
        <v/>
      </c>
      <c r="M439" s="1"/>
    </row>
    <row r="440" spans="1:13" x14ac:dyDescent="0.55000000000000004">
      <c r="A440" s="1" t="s">
        <v>1612</v>
      </c>
      <c r="B440" t="s">
        <v>1922</v>
      </c>
      <c r="C440" s="2">
        <f>Return!C440</f>
        <v>2</v>
      </c>
      <c r="D440" s="2">
        <f>COUNTA(Argument!E440)</f>
        <v>1</v>
      </c>
      <c r="E440" s="2" t="str">
        <f>IF(C440,Return!D440,Return!E440)</f>
        <v>v</v>
      </c>
      <c r="F440" s="2" t="str">
        <f t="shared" si="18"/>
        <v>[v]</v>
      </c>
      <c r="G440" s="2" t="str">
        <f t="shared" si="20"/>
        <v>[v]</v>
      </c>
      <c r="H440" s="2" t="str">
        <f t="shared" si="19"/>
        <v>, v, [v]</v>
      </c>
      <c r="I440" s="2" t="str">
        <f>IF(Return!C440=0,REPLACE(INDEX(H:H,ROW()+Return!B440,),1,2,Return!E440&amp;"(")&amp;")","")</f>
        <v/>
      </c>
      <c r="M440" s="1"/>
    </row>
    <row r="441" spans="1:13" x14ac:dyDescent="0.55000000000000004">
      <c r="A441" s="1" t="s">
        <v>1612</v>
      </c>
      <c r="B441" t="s">
        <v>1921</v>
      </c>
      <c r="C441" s="2">
        <f>Return!C441</f>
        <v>3</v>
      </c>
      <c r="D441" s="2">
        <f>COUNTA(Argument!E441)</f>
        <v>1</v>
      </c>
      <c r="E441" s="2" t="str">
        <f>IF(C441,Return!D441,Return!E441)</f>
        <v>v</v>
      </c>
      <c r="F441" s="2" t="str">
        <f t="shared" si="18"/>
        <v>[v]</v>
      </c>
      <c r="G441" s="2" t="str">
        <f t="shared" si="20"/>
        <v>[v]</v>
      </c>
      <c r="H441" s="2" t="str">
        <f t="shared" si="19"/>
        <v>, v, [v], [v]</v>
      </c>
      <c r="I441" s="2" t="str">
        <f>IF(Return!C441=0,REPLACE(INDEX(H:H,ROW()+Return!B441,),1,2,Return!E441&amp;"(")&amp;")","")</f>
        <v/>
      </c>
      <c r="M441" s="1"/>
    </row>
    <row r="442" spans="1:13" x14ac:dyDescent="0.55000000000000004">
      <c r="A442" s="1" t="s">
        <v>1613</v>
      </c>
      <c r="C442" s="2">
        <f>Return!C442</f>
        <v>0</v>
      </c>
      <c r="D442" s="2">
        <f>COUNTA(Argument!E442)</f>
        <v>0</v>
      </c>
      <c r="E442" s="2" t="str">
        <f>IF(C442,Return!D442,Return!E442)</f>
        <v>v</v>
      </c>
      <c r="F442" s="2" t="str">
        <f t="shared" si="18"/>
        <v/>
      </c>
      <c r="G442" s="2" t="str">
        <f t="shared" si="20"/>
        <v/>
      </c>
      <c r="H442" s="2" t="str">
        <f t="shared" si="19"/>
        <v/>
      </c>
      <c r="I442" s="2" t="str">
        <f>IF(Return!C442=0,REPLACE(INDEX(H:H,ROW()+Return!B442,),1,2,Return!E442&amp;"(")&amp;")","")</f>
        <v>v(r, [v])</v>
      </c>
      <c r="M442" s="1"/>
    </row>
    <row r="443" spans="1:13" x14ac:dyDescent="0.55000000000000004">
      <c r="A443" s="1" t="s">
        <v>1613</v>
      </c>
      <c r="B443" t="s">
        <v>1221</v>
      </c>
      <c r="C443" s="2">
        <f>Return!C443</f>
        <v>1</v>
      </c>
      <c r="D443" s="2">
        <f>COUNTA(Argument!E443)</f>
        <v>1</v>
      </c>
      <c r="E443" s="2" t="str">
        <f>IF(C443,Return!D443,Return!E443)</f>
        <v>r</v>
      </c>
      <c r="F443" s="2" t="str">
        <f t="shared" si="18"/>
        <v>r</v>
      </c>
      <c r="G443" s="2" t="str">
        <f t="shared" si="20"/>
        <v>r</v>
      </c>
      <c r="H443" s="2" t="str">
        <f t="shared" si="19"/>
        <v>, r</v>
      </c>
      <c r="I443" s="2" t="str">
        <f>IF(Return!C443=0,REPLACE(INDEX(H:H,ROW()+Return!B443,),1,2,Return!E443&amp;"(")&amp;")","")</f>
        <v/>
      </c>
      <c r="M443" s="1"/>
    </row>
    <row r="444" spans="1:13" x14ac:dyDescent="0.55000000000000004">
      <c r="A444" s="1" t="s">
        <v>1613</v>
      </c>
      <c r="B444" t="s">
        <v>1297</v>
      </c>
      <c r="C444" s="2">
        <f>Return!C444</f>
        <v>2</v>
      </c>
      <c r="D444" s="2">
        <f>COUNTA(Argument!E444)</f>
        <v>1</v>
      </c>
      <c r="E444" s="2" t="str">
        <f>IF(C444,Return!D444,Return!E444)</f>
        <v>v</v>
      </c>
      <c r="F444" s="2" t="str">
        <f t="shared" si="18"/>
        <v>[v]</v>
      </c>
      <c r="G444" s="2" t="str">
        <f t="shared" si="20"/>
        <v>[v]</v>
      </c>
      <c r="H444" s="2" t="str">
        <f t="shared" si="19"/>
        <v>, r, [v]</v>
      </c>
      <c r="I444" s="2" t="str">
        <f>IF(Return!C444=0,REPLACE(INDEX(H:H,ROW()+Return!B444,),1,2,Return!E444&amp;"(")&amp;")","")</f>
        <v/>
      </c>
      <c r="M444" s="1"/>
    </row>
    <row r="445" spans="1:13" x14ac:dyDescent="0.55000000000000004">
      <c r="A445" s="1" t="s">
        <v>1614</v>
      </c>
      <c r="C445" s="2">
        <f>Return!C445</f>
        <v>0</v>
      </c>
      <c r="D445" s="2">
        <f>COUNTA(Argument!E445)</f>
        <v>0</v>
      </c>
      <c r="E445" s="2" t="str">
        <f>IF(C445,Return!D445,Return!E445)</f>
        <v>r</v>
      </c>
      <c r="F445" s="2" t="str">
        <f t="shared" si="18"/>
        <v/>
      </c>
      <c r="G445" s="2" t="str">
        <f t="shared" si="20"/>
        <v/>
      </c>
      <c r="H445" s="2" t="str">
        <f t="shared" si="19"/>
        <v/>
      </c>
      <c r="I445" s="2" t="str">
        <f>IF(Return!C445=0,REPLACE(INDEX(H:H,ROW()+Return!B445,),1,2,Return!E445&amp;"(")&amp;")","")</f>
        <v>r(v, [v])</v>
      </c>
      <c r="M445" s="1"/>
    </row>
    <row r="446" spans="1:13" x14ac:dyDescent="0.55000000000000004">
      <c r="A446" s="1" t="s">
        <v>1614</v>
      </c>
      <c r="B446" t="s">
        <v>1233</v>
      </c>
      <c r="C446" s="2">
        <f>Return!C446</f>
        <v>1</v>
      </c>
      <c r="D446" s="2">
        <f>COUNTA(Argument!E446)</f>
        <v>1</v>
      </c>
      <c r="E446" s="2" t="str">
        <f>IF(C446,Return!D446,Return!E446)</f>
        <v>v</v>
      </c>
      <c r="F446" s="2" t="str">
        <f t="shared" si="18"/>
        <v>v</v>
      </c>
      <c r="G446" s="2" t="str">
        <f t="shared" si="20"/>
        <v>v</v>
      </c>
      <c r="H446" s="2" t="str">
        <f t="shared" si="19"/>
        <v>, v</v>
      </c>
      <c r="I446" s="2" t="str">
        <f>IF(Return!C446=0,REPLACE(INDEX(H:H,ROW()+Return!B446,),1,2,Return!E446&amp;"(")&amp;")","")</f>
        <v/>
      </c>
      <c r="M446" s="1"/>
    </row>
    <row r="447" spans="1:13" x14ac:dyDescent="0.55000000000000004">
      <c r="A447" s="1" t="s">
        <v>1614</v>
      </c>
      <c r="B447" t="s">
        <v>1297</v>
      </c>
      <c r="C447" s="2">
        <f>Return!C447</f>
        <v>2</v>
      </c>
      <c r="D447" s="2">
        <f>COUNTA(Argument!E447)</f>
        <v>1</v>
      </c>
      <c r="E447" s="2" t="str">
        <f>IF(C447,Return!D447,Return!E447)</f>
        <v>v</v>
      </c>
      <c r="F447" s="2" t="str">
        <f t="shared" si="18"/>
        <v>[v]</v>
      </c>
      <c r="G447" s="2" t="str">
        <f t="shared" si="20"/>
        <v>[v]</v>
      </c>
      <c r="H447" s="2" t="str">
        <f t="shared" si="19"/>
        <v>, v, [v]</v>
      </c>
      <c r="I447" s="2" t="str">
        <f>IF(Return!C447=0,REPLACE(INDEX(H:H,ROW()+Return!B447,),1,2,Return!E447&amp;"(")&amp;")","")</f>
        <v/>
      </c>
      <c r="M447" s="1"/>
    </row>
    <row r="448" spans="1:13" x14ac:dyDescent="0.55000000000000004">
      <c r="A448" s="1" t="s">
        <v>1615</v>
      </c>
      <c r="C448" s="2">
        <f>Return!C448</f>
        <v>0</v>
      </c>
      <c r="D448" s="2">
        <f>COUNTA(Argument!E448)</f>
        <v>0</v>
      </c>
      <c r="E448" s="2" t="str">
        <f>IF(C448,Return!D448,Return!E448)</f>
        <v>r</v>
      </c>
      <c r="F448" s="2" t="str">
        <f t="shared" si="18"/>
        <v/>
      </c>
      <c r="G448" s="2" t="str">
        <f t="shared" si="20"/>
        <v/>
      </c>
      <c r="H448" s="2" t="str">
        <f t="shared" si="19"/>
        <v/>
      </c>
      <c r="I448" s="2" t="str">
        <f>IF(Return!C448=0,REPLACE(INDEX(H:H,ROW()+Return!B448,),1,2,Return!E448&amp;"(")&amp;")","")</f>
        <v>r(v, [v])</v>
      </c>
      <c r="M448" s="1"/>
    </row>
    <row r="449" spans="1:13" x14ac:dyDescent="0.55000000000000004">
      <c r="A449" s="1" t="s">
        <v>1615</v>
      </c>
      <c r="B449" t="s">
        <v>1296</v>
      </c>
      <c r="C449" s="2">
        <f>Return!C449</f>
        <v>1</v>
      </c>
      <c r="D449" s="2">
        <f>COUNTA(Argument!E449)</f>
        <v>1</v>
      </c>
      <c r="E449" s="2" t="str">
        <f>IF(C449,Return!D449,Return!E449)</f>
        <v>v</v>
      </c>
      <c r="F449" s="2" t="str">
        <f t="shared" si="18"/>
        <v>v</v>
      </c>
      <c r="G449" s="2" t="str">
        <f t="shared" si="20"/>
        <v>v</v>
      </c>
      <c r="H449" s="2" t="str">
        <f t="shared" si="19"/>
        <v>, v</v>
      </c>
      <c r="I449" s="2" t="str">
        <f>IF(Return!C449=0,REPLACE(INDEX(H:H,ROW()+Return!B449,),1,2,Return!E449&amp;"(")&amp;")","")</f>
        <v/>
      </c>
      <c r="M449" s="1"/>
    </row>
    <row r="450" spans="1:13" x14ac:dyDescent="0.55000000000000004">
      <c r="A450" s="1" t="s">
        <v>1615</v>
      </c>
      <c r="B450" t="s">
        <v>1297</v>
      </c>
      <c r="C450" s="2">
        <f>Return!C450</f>
        <v>2</v>
      </c>
      <c r="D450" s="2">
        <f>COUNTA(Argument!E450)</f>
        <v>1</v>
      </c>
      <c r="E450" s="2" t="str">
        <f>IF(C450,Return!D450,Return!E450)</f>
        <v>v</v>
      </c>
      <c r="F450" s="2" t="str">
        <f t="shared" si="18"/>
        <v>[v]</v>
      </c>
      <c r="G450" s="2" t="str">
        <f t="shared" si="20"/>
        <v>[v]</v>
      </c>
      <c r="H450" s="2" t="str">
        <f t="shared" si="19"/>
        <v>, v, [v]</v>
      </c>
      <c r="I450" s="2" t="str">
        <f>IF(Return!C450=0,REPLACE(INDEX(H:H,ROW()+Return!B450,),1,2,Return!E450&amp;"(")&amp;")","")</f>
        <v/>
      </c>
      <c r="M450" s="1"/>
    </row>
    <row r="451" spans="1:13" x14ac:dyDescent="0.55000000000000004">
      <c r="A451" s="1" t="s">
        <v>1616</v>
      </c>
      <c r="C451" s="2">
        <f>Return!C451</f>
        <v>0</v>
      </c>
      <c r="D451" s="2">
        <f>COUNTA(Argument!E451)</f>
        <v>0</v>
      </c>
      <c r="E451" s="2" t="str">
        <f>IF(C451,Return!D451,Return!E451)</f>
        <v>v</v>
      </c>
      <c r="F451" s="2" t="str">
        <f t="shared" ref="F451:F514" si="21">IF(C451,IF(D451,IF(D450,"["&amp;E451&amp;"]",E451),E451),"")</f>
        <v/>
      </c>
      <c r="G451" s="2" t="str">
        <f t="shared" si="20"/>
        <v/>
      </c>
      <c r="H451" s="2" t="str">
        <f t="shared" ref="H451:H514" si="22">IF(C451&gt;0,H450&amp;", "&amp;G451,"")</f>
        <v/>
      </c>
      <c r="I451" s="2" t="str">
        <f>IF(Return!C451=0,REPLACE(INDEX(H:H,ROW()+Return!B451,),1,2,Return!E451&amp;"(")&amp;")","")</f>
        <v>v(v, [v], [v], [v], [v], [v], [v], [v], [v], [v], [v], …)</v>
      </c>
      <c r="M451" s="1"/>
    </row>
    <row r="452" spans="1:13" x14ac:dyDescent="0.55000000000000004">
      <c r="A452" s="1" t="s">
        <v>1616</v>
      </c>
      <c r="B452" t="s">
        <v>1932</v>
      </c>
      <c r="C452" s="2">
        <f>Return!C452</f>
        <v>1</v>
      </c>
      <c r="D452" s="2">
        <f>COUNTA(Argument!E452)</f>
        <v>1</v>
      </c>
      <c r="E452" s="2" t="str">
        <f>IF(C452,Return!D452,Return!E452)</f>
        <v>v</v>
      </c>
      <c r="F452" s="2" t="str">
        <f t="shared" si="21"/>
        <v>v</v>
      </c>
      <c r="G452" s="2" t="str">
        <f t="shared" ref="G452:G515" si="23">IF(B452="...",IF(C453&gt;0,"["&amp;E452,"…"),IF(B451=" ...",IF(C452&gt;0,E452&amp;"], …",F452),F452))</f>
        <v>v</v>
      </c>
      <c r="H452" s="2" t="str">
        <f t="shared" si="22"/>
        <v>, v</v>
      </c>
      <c r="I452" s="2" t="str">
        <f>IF(Return!C452=0,REPLACE(INDEX(H:H,ROW()+Return!B452,),1,2,Return!E452&amp;"(")&amp;")","")</f>
        <v/>
      </c>
      <c r="M452" s="1"/>
    </row>
    <row r="453" spans="1:13" x14ac:dyDescent="0.55000000000000004">
      <c r="A453" s="1" t="s">
        <v>1616</v>
      </c>
      <c r="B453" t="s">
        <v>1933</v>
      </c>
      <c r="C453" s="2">
        <f>Return!C453</f>
        <v>2</v>
      </c>
      <c r="D453" s="2">
        <f>COUNTA(Argument!E453)</f>
        <v>1</v>
      </c>
      <c r="E453" s="2" t="str">
        <f>IF(C453,Return!D453,Return!E453)</f>
        <v>v</v>
      </c>
      <c r="F453" s="2" t="str">
        <f t="shared" si="21"/>
        <v>[v]</v>
      </c>
      <c r="G453" s="2" t="str">
        <f t="shared" si="23"/>
        <v>[v]</v>
      </c>
      <c r="H453" s="2" t="str">
        <f t="shared" si="22"/>
        <v>, v, [v]</v>
      </c>
      <c r="I453" s="2" t="str">
        <f>IF(Return!C453=0,REPLACE(INDEX(H:H,ROW()+Return!B453,),1,2,Return!E453&amp;"(")&amp;")","")</f>
        <v/>
      </c>
      <c r="M453" s="1"/>
    </row>
    <row r="454" spans="1:13" x14ac:dyDescent="0.55000000000000004">
      <c r="A454" s="1" t="s">
        <v>1616</v>
      </c>
      <c r="B454" t="s">
        <v>1312</v>
      </c>
      <c r="C454" s="2">
        <f>Return!C454</f>
        <v>3</v>
      </c>
      <c r="D454" s="2">
        <f>COUNTA(Argument!E454)</f>
        <v>1</v>
      </c>
      <c r="E454" s="2" t="str">
        <f>IF(C454,Return!D454,Return!E454)</f>
        <v>v</v>
      </c>
      <c r="F454" s="2" t="str">
        <f t="shared" si="21"/>
        <v>[v]</v>
      </c>
      <c r="G454" s="2" t="str">
        <f t="shared" si="23"/>
        <v>[v]</v>
      </c>
      <c r="H454" s="2" t="str">
        <f t="shared" si="22"/>
        <v>, v, [v], [v]</v>
      </c>
      <c r="I454" s="2" t="str">
        <f>IF(Return!C454=0,REPLACE(INDEX(H:H,ROW()+Return!B454,),1,2,Return!E454&amp;"(")&amp;")","")</f>
        <v/>
      </c>
      <c r="M454" s="1"/>
    </row>
    <row r="455" spans="1:13" x14ac:dyDescent="0.55000000000000004">
      <c r="A455" s="1" t="s">
        <v>1616</v>
      </c>
      <c r="B455" t="s">
        <v>1934</v>
      </c>
      <c r="C455" s="2">
        <f>Return!C455</f>
        <v>4</v>
      </c>
      <c r="D455" s="2">
        <f>COUNTA(Argument!E455)</f>
        <v>1</v>
      </c>
      <c r="E455" s="2" t="str">
        <f>IF(C455,Return!D455,Return!E455)</f>
        <v>v</v>
      </c>
      <c r="F455" s="2" t="str">
        <f t="shared" si="21"/>
        <v>[v]</v>
      </c>
      <c r="G455" s="2" t="str">
        <f t="shared" si="23"/>
        <v>[v]</v>
      </c>
      <c r="H455" s="2" t="str">
        <f t="shared" si="22"/>
        <v>, v, [v], [v], [v]</v>
      </c>
      <c r="I455" s="2" t="str">
        <f>IF(Return!C455=0,REPLACE(INDEX(H:H,ROW()+Return!B455,),1,2,Return!E455&amp;"(")&amp;")","")</f>
        <v/>
      </c>
      <c r="M455" s="1"/>
    </row>
    <row r="456" spans="1:13" x14ac:dyDescent="0.55000000000000004">
      <c r="A456" s="1" t="s">
        <v>1616</v>
      </c>
      <c r="B456" t="s">
        <v>1935</v>
      </c>
      <c r="C456" s="2">
        <f>Return!C456</f>
        <v>5</v>
      </c>
      <c r="D456" s="2">
        <f>COUNTA(Argument!E456)</f>
        <v>1</v>
      </c>
      <c r="E456" s="2" t="str">
        <f>IF(C456,Return!D456,Return!E456)</f>
        <v>v</v>
      </c>
      <c r="F456" s="2" t="str">
        <f t="shared" si="21"/>
        <v>[v]</v>
      </c>
      <c r="G456" s="2" t="str">
        <f t="shared" si="23"/>
        <v>[v]</v>
      </c>
      <c r="H456" s="2" t="str">
        <f t="shared" si="22"/>
        <v>, v, [v], [v], [v], [v]</v>
      </c>
      <c r="I456" s="2" t="str">
        <f>IF(Return!C456=0,REPLACE(INDEX(H:H,ROW()+Return!B456,),1,2,Return!E456&amp;"(")&amp;")","")</f>
        <v/>
      </c>
      <c r="M456" s="1"/>
    </row>
    <row r="457" spans="1:13" x14ac:dyDescent="0.55000000000000004">
      <c r="A457" s="1" t="s">
        <v>1616</v>
      </c>
      <c r="B457" t="s">
        <v>1936</v>
      </c>
      <c r="C457" s="2">
        <f>Return!C457</f>
        <v>6</v>
      </c>
      <c r="D457" s="2">
        <f>COUNTA(Argument!E457)</f>
        <v>1</v>
      </c>
      <c r="E457" s="2" t="str">
        <f>IF(C457,Return!D457,Return!E457)</f>
        <v>v</v>
      </c>
      <c r="F457" s="2" t="str">
        <f t="shared" si="21"/>
        <v>[v]</v>
      </c>
      <c r="G457" s="2" t="str">
        <f t="shared" si="23"/>
        <v>[v]</v>
      </c>
      <c r="H457" s="2" t="str">
        <f t="shared" si="22"/>
        <v>, v, [v], [v], [v], [v], [v]</v>
      </c>
      <c r="I457" s="2" t="str">
        <f>IF(Return!C457=0,REPLACE(INDEX(H:H,ROW()+Return!B457,),1,2,Return!E457&amp;"(")&amp;")","")</f>
        <v/>
      </c>
      <c r="M457" s="1"/>
    </row>
    <row r="458" spans="1:13" x14ac:dyDescent="0.55000000000000004">
      <c r="A458" s="1" t="s">
        <v>1616</v>
      </c>
      <c r="B458" t="s">
        <v>1937</v>
      </c>
      <c r="C458" s="2">
        <f>Return!C458</f>
        <v>7</v>
      </c>
      <c r="D458" s="2">
        <f>COUNTA(Argument!E458)</f>
        <v>1</v>
      </c>
      <c r="E458" s="2" t="str">
        <f>IF(C458,Return!D458,Return!E458)</f>
        <v>v</v>
      </c>
      <c r="F458" s="2" t="str">
        <f t="shared" si="21"/>
        <v>[v]</v>
      </c>
      <c r="G458" s="2" t="str">
        <f t="shared" si="23"/>
        <v>[v]</v>
      </c>
      <c r="H458" s="2" t="str">
        <f t="shared" si="22"/>
        <v>, v, [v], [v], [v], [v], [v], [v]</v>
      </c>
      <c r="I458" s="2" t="str">
        <f>IF(Return!C458=0,REPLACE(INDEX(H:H,ROW()+Return!B458,),1,2,Return!E458&amp;"(")&amp;")","")</f>
        <v/>
      </c>
      <c r="M458" s="1"/>
    </row>
    <row r="459" spans="1:13" x14ac:dyDescent="0.55000000000000004">
      <c r="A459" s="1" t="s">
        <v>1616</v>
      </c>
      <c r="B459" t="s">
        <v>1938</v>
      </c>
      <c r="C459" s="2">
        <f>Return!C459</f>
        <v>8</v>
      </c>
      <c r="D459" s="2">
        <f>COUNTA(Argument!E459)</f>
        <v>1</v>
      </c>
      <c r="E459" s="2" t="str">
        <f>IF(C459,Return!D459,Return!E459)</f>
        <v>v</v>
      </c>
      <c r="F459" s="2" t="str">
        <f t="shared" si="21"/>
        <v>[v]</v>
      </c>
      <c r="G459" s="2" t="str">
        <f t="shared" si="23"/>
        <v>[v]</v>
      </c>
      <c r="H459" s="2" t="str">
        <f t="shared" si="22"/>
        <v>, v, [v], [v], [v], [v], [v], [v], [v]</v>
      </c>
      <c r="I459" s="2" t="str">
        <f>IF(Return!C459=0,REPLACE(INDEX(H:H,ROW()+Return!B459,),1,2,Return!E459&amp;"(")&amp;")","")</f>
        <v/>
      </c>
      <c r="M459" s="1"/>
    </row>
    <row r="460" spans="1:13" x14ac:dyDescent="0.55000000000000004">
      <c r="A460" s="1" t="s">
        <v>1616</v>
      </c>
      <c r="B460" t="s">
        <v>1939</v>
      </c>
      <c r="C460" s="2">
        <f>Return!C460</f>
        <v>9</v>
      </c>
      <c r="D460" s="2">
        <f>COUNTA(Argument!E460)</f>
        <v>1</v>
      </c>
      <c r="E460" s="2" t="str">
        <f>IF(C460,Return!D460,Return!E460)</f>
        <v>v</v>
      </c>
      <c r="F460" s="2" t="str">
        <f t="shared" si="21"/>
        <v>[v]</v>
      </c>
      <c r="G460" s="2" t="str">
        <f t="shared" si="23"/>
        <v>[v]</v>
      </c>
      <c r="H460" s="2" t="str">
        <f t="shared" si="22"/>
        <v>, v, [v], [v], [v], [v], [v], [v], [v], [v]</v>
      </c>
      <c r="I460" s="2" t="str">
        <f>IF(Return!C460=0,REPLACE(INDEX(H:H,ROW()+Return!B460,),1,2,Return!E460&amp;"(")&amp;")","")</f>
        <v/>
      </c>
      <c r="M460" s="1"/>
    </row>
    <row r="461" spans="1:13" x14ac:dyDescent="0.55000000000000004">
      <c r="A461" s="1" t="s">
        <v>1616</v>
      </c>
      <c r="B461" t="s">
        <v>1940</v>
      </c>
      <c r="C461" s="2">
        <f>Return!C461</f>
        <v>10</v>
      </c>
      <c r="D461" s="2">
        <f>COUNTA(Argument!E461)</f>
        <v>1</v>
      </c>
      <c r="E461" s="2" t="str">
        <f>IF(C461,Return!D461,Return!E461)</f>
        <v>v</v>
      </c>
      <c r="F461" s="2" t="str">
        <f t="shared" si="21"/>
        <v>[v]</v>
      </c>
      <c r="G461" s="2" t="str">
        <f t="shared" si="23"/>
        <v>[v]</v>
      </c>
      <c r="H461" s="2" t="str">
        <f t="shared" si="22"/>
        <v>, v, [v], [v], [v], [v], [v], [v], [v], [v], [v]</v>
      </c>
      <c r="I461" s="2" t="str">
        <f>IF(Return!C461=0,REPLACE(INDEX(H:H,ROW()+Return!B461,),1,2,Return!E461&amp;"(")&amp;")","")</f>
        <v/>
      </c>
      <c r="M461" s="1"/>
    </row>
    <row r="462" spans="1:13" x14ac:dyDescent="0.55000000000000004">
      <c r="A462" s="1" t="s">
        <v>1616</v>
      </c>
      <c r="B462" t="s">
        <v>1941</v>
      </c>
      <c r="C462" s="2">
        <f>Return!C462</f>
        <v>11</v>
      </c>
      <c r="D462" s="2">
        <f>COUNTA(Argument!E462)</f>
        <v>1</v>
      </c>
      <c r="E462" s="2" t="str">
        <f>IF(C462,Return!D462,Return!E462)</f>
        <v>v</v>
      </c>
      <c r="F462" s="2" t="str">
        <f t="shared" si="21"/>
        <v>[v]</v>
      </c>
      <c r="G462" s="2" t="str">
        <f t="shared" si="23"/>
        <v>[v]</v>
      </c>
      <c r="H462" s="2" t="str">
        <f t="shared" si="22"/>
        <v>, v, [v], [v], [v], [v], [v], [v], [v], [v], [v], [v]</v>
      </c>
      <c r="I462" s="2" t="str">
        <f>IF(Return!C462=0,REPLACE(INDEX(H:H,ROW()+Return!B462,),1,2,Return!E462&amp;"(")&amp;")","")</f>
        <v/>
      </c>
      <c r="M462" s="1"/>
    </row>
    <row r="463" spans="1:13" x14ac:dyDescent="0.55000000000000004">
      <c r="A463" s="1" t="s">
        <v>1616</v>
      </c>
      <c r="B463" t="s">
        <v>1214</v>
      </c>
      <c r="C463" s="2">
        <f>Return!C463</f>
        <v>12</v>
      </c>
      <c r="D463" s="2">
        <f>COUNTA(Argument!E463)</f>
        <v>1</v>
      </c>
      <c r="E463" s="2" t="str">
        <f>IF(C463,Return!D463,Return!E463)</f>
        <v>v</v>
      </c>
      <c r="F463" s="2" t="str">
        <f t="shared" si="21"/>
        <v>[v]</v>
      </c>
      <c r="G463" s="2" t="str">
        <f t="shared" si="23"/>
        <v>…</v>
      </c>
      <c r="H463" s="2" t="str">
        <f t="shared" si="22"/>
        <v>, v, [v], [v], [v], [v], [v], [v], [v], [v], [v], [v], …</v>
      </c>
      <c r="I463" s="2" t="str">
        <f>IF(Return!C463=0,REPLACE(INDEX(H:H,ROW()+Return!B463,),1,2,Return!E463&amp;"(")&amp;")","")</f>
        <v/>
      </c>
      <c r="M463" s="1"/>
    </row>
    <row r="464" spans="1:13" x14ac:dyDescent="0.55000000000000004">
      <c r="A464" s="1" t="s">
        <v>2046</v>
      </c>
      <c r="C464" s="2">
        <f>Return!C464</f>
        <v>0</v>
      </c>
      <c r="D464" s="2">
        <f>COUNTA(Argument!E464)</f>
        <v>0</v>
      </c>
      <c r="E464" s="2" t="str">
        <f>IF(C464,Return!D464,Return!E464)</f>
        <v>var</v>
      </c>
      <c r="F464" s="2" t="str">
        <f t="shared" si="21"/>
        <v/>
      </c>
      <c r="G464" s="2" t="str">
        <f t="shared" si="23"/>
        <v/>
      </c>
      <c r="H464" s="2" t="str">
        <f t="shared" si="22"/>
        <v/>
      </c>
      <c r="I464" s="2" t="str">
        <f>IF(Return!C464=0,REPLACE(INDEX(H:H,ROW()+Return!B464,),1,2,Return!E464&amp;"(")&amp;")","")</f>
        <v>var(v, [var], [var], [var], …)</v>
      </c>
      <c r="M464" s="1"/>
    </row>
    <row r="465" spans="1:13" x14ac:dyDescent="0.55000000000000004">
      <c r="A465" s="1" t="s">
        <v>2046</v>
      </c>
      <c r="B465" t="s">
        <v>1932</v>
      </c>
      <c r="C465" s="2">
        <f>Return!C465</f>
        <v>1</v>
      </c>
      <c r="D465" s="2">
        <f>COUNTA(Argument!E465)</f>
        <v>1</v>
      </c>
      <c r="E465" s="2" t="str">
        <f>IF(C465,Return!D465,Return!E465)</f>
        <v>v</v>
      </c>
      <c r="F465" s="2" t="str">
        <f t="shared" si="21"/>
        <v>v</v>
      </c>
      <c r="G465" s="2" t="str">
        <f t="shared" si="23"/>
        <v>v</v>
      </c>
      <c r="H465" s="2" t="str">
        <f t="shared" si="22"/>
        <v>, v</v>
      </c>
      <c r="I465" s="2" t="str">
        <f>IF(Return!C465=0,REPLACE(INDEX(H:H,ROW()+Return!B465,),1,2,Return!E465&amp;"(")&amp;")","")</f>
        <v/>
      </c>
      <c r="M465" s="1"/>
    </row>
    <row r="466" spans="1:13" x14ac:dyDescent="0.55000000000000004">
      <c r="A466" s="1" t="s">
        <v>2046</v>
      </c>
      <c r="B466" t="s">
        <v>1933</v>
      </c>
      <c r="C466" s="2">
        <f>Return!C466</f>
        <v>2</v>
      </c>
      <c r="D466" s="2">
        <f>COUNTA(Argument!E466)</f>
        <v>1</v>
      </c>
      <c r="E466" s="2" t="str">
        <f>IF(C466,Return!D466,Return!E466)</f>
        <v>var</v>
      </c>
      <c r="F466" s="2" t="str">
        <f t="shared" si="21"/>
        <v>[var]</v>
      </c>
      <c r="G466" s="2" t="str">
        <f t="shared" si="23"/>
        <v>[var]</v>
      </c>
      <c r="H466" s="2" t="str">
        <f t="shared" si="22"/>
        <v>, v, [var]</v>
      </c>
      <c r="I466" s="2" t="str">
        <f>IF(Return!C466=0,REPLACE(INDEX(H:H,ROW()+Return!B466,),1,2,Return!E466&amp;"(")&amp;")","")</f>
        <v/>
      </c>
      <c r="M466" s="1"/>
    </row>
    <row r="467" spans="1:13" x14ac:dyDescent="0.55000000000000004">
      <c r="A467" s="1" t="s">
        <v>2046</v>
      </c>
      <c r="B467" t="s">
        <v>1312</v>
      </c>
      <c r="C467" s="2">
        <f>Return!C467</f>
        <v>3</v>
      </c>
      <c r="D467" s="2">
        <f>COUNTA(Argument!E467)</f>
        <v>1</v>
      </c>
      <c r="E467" s="2" t="str">
        <f>IF(C467,Return!D467,Return!E467)</f>
        <v>var</v>
      </c>
      <c r="F467" s="2" t="str">
        <f t="shared" si="21"/>
        <v>[var]</v>
      </c>
      <c r="G467" s="2" t="str">
        <f t="shared" si="23"/>
        <v>[var]</v>
      </c>
      <c r="H467" s="2" t="str">
        <f t="shared" si="22"/>
        <v>, v, [var], [var]</v>
      </c>
      <c r="I467" s="2" t="str">
        <f>IF(Return!C467=0,REPLACE(INDEX(H:H,ROW()+Return!B467,),1,2,Return!E467&amp;"(")&amp;")","")</f>
        <v/>
      </c>
      <c r="M467" s="1"/>
    </row>
    <row r="468" spans="1:13" x14ac:dyDescent="0.55000000000000004">
      <c r="A468" s="1" t="s">
        <v>2046</v>
      </c>
      <c r="B468" t="s">
        <v>1942</v>
      </c>
      <c r="C468" s="2">
        <f>Return!C468</f>
        <v>4</v>
      </c>
      <c r="D468" s="2">
        <f>COUNTA(Argument!E468)</f>
        <v>1</v>
      </c>
      <c r="E468" s="2" t="str">
        <f>IF(C468,Return!D468,Return!E468)</f>
        <v>var</v>
      </c>
      <c r="F468" s="2" t="str">
        <f t="shared" si="21"/>
        <v>[var]</v>
      </c>
      <c r="G468" s="2" t="str">
        <f t="shared" si="23"/>
        <v>[var]</v>
      </c>
      <c r="H468" s="2" t="str">
        <f t="shared" si="22"/>
        <v>, v, [var], [var], [var]</v>
      </c>
      <c r="I468" s="2" t="str">
        <f>IF(Return!C468=0,REPLACE(INDEX(H:H,ROW()+Return!B468,),1,2,Return!E468&amp;"(")&amp;")","")</f>
        <v/>
      </c>
      <c r="M468" s="1"/>
    </row>
    <row r="469" spans="1:13" x14ac:dyDescent="0.55000000000000004">
      <c r="A469" s="1" t="s">
        <v>2046</v>
      </c>
      <c r="B469" t="s">
        <v>1214</v>
      </c>
      <c r="C469" s="2">
        <f>Return!C469</f>
        <v>5</v>
      </c>
      <c r="D469" s="2">
        <f>COUNTA(Argument!E469)</f>
        <v>1</v>
      </c>
      <c r="E469" s="2" t="str">
        <f>IF(C469,Return!D469,Return!E469)</f>
        <v>var</v>
      </c>
      <c r="F469" s="2" t="str">
        <f t="shared" si="21"/>
        <v>[var]</v>
      </c>
      <c r="G469" s="2" t="str">
        <f t="shared" si="23"/>
        <v>…</v>
      </c>
      <c r="H469" s="2" t="str">
        <f t="shared" si="22"/>
        <v>, v, [var], [var], [var], …</v>
      </c>
      <c r="I469" s="2" t="str">
        <f>IF(Return!C469=0,REPLACE(INDEX(H:H,ROW()+Return!B469,),1,2,Return!E469&amp;"(")&amp;")","")</f>
        <v/>
      </c>
      <c r="M469" s="1"/>
    </row>
    <row r="470" spans="1:13" x14ac:dyDescent="0.55000000000000004">
      <c r="A470" s="1" t="s">
        <v>1617</v>
      </c>
      <c r="C470" s="2">
        <f>Return!C470</f>
        <v>0</v>
      </c>
      <c r="D470" s="2">
        <f>COUNTA(Argument!E470)</f>
        <v>1</v>
      </c>
      <c r="E470" s="2" t="str">
        <f>IF(C470,Return!D470,Return!E470)</f>
        <v>v</v>
      </c>
      <c r="F470" s="2" t="str">
        <f t="shared" si="21"/>
        <v/>
      </c>
      <c r="G470" s="2" t="str">
        <f t="shared" si="23"/>
        <v/>
      </c>
      <c r="H470" s="2" t="str">
        <f t="shared" si="22"/>
        <v/>
      </c>
      <c r="I470" s="2" t="str">
        <f>IF(Return!C470=0,REPLACE(INDEX(H:H,ROW()+Return!B470,),1,2,Return!E470&amp;"(")&amp;")","")</f>
        <v>v([v])</v>
      </c>
      <c r="M470" s="1"/>
    </row>
    <row r="471" spans="1:13" x14ac:dyDescent="0.55000000000000004">
      <c r="A471" s="1" t="s">
        <v>1617</v>
      </c>
      <c r="B471" t="s">
        <v>1943</v>
      </c>
      <c r="C471" s="2">
        <f>Return!C471</f>
        <v>1</v>
      </c>
      <c r="D471" s="2">
        <f>COUNTA(Argument!E471)</f>
        <v>1</v>
      </c>
      <c r="E471" s="2" t="str">
        <f>IF(C471,Return!D471,Return!E471)</f>
        <v>v</v>
      </c>
      <c r="F471" s="2" t="str">
        <f t="shared" si="21"/>
        <v>[v]</v>
      </c>
      <c r="G471" s="2" t="str">
        <f t="shared" si="23"/>
        <v>[v]</v>
      </c>
      <c r="H471" s="2" t="str">
        <f t="shared" si="22"/>
        <v>, [v]</v>
      </c>
      <c r="I471" s="2" t="str">
        <f>IF(Return!C471=0,REPLACE(INDEX(H:H,ROW()+Return!B471,),1,2,Return!E471&amp;"(")&amp;")","")</f>
        <v/>
      </c>
      <c r="M471" s="1"/>
    </row>
    <row r="472" spans="1:13" x14ac:dyDescent="0.55000000000000004">
      <c r="A472" s="1" t="s">
        <v>1618</v>
      </c>
      <c r="C472" s="2">
        <f>Return!C472</f>
        <v>0</v>
      </c>
      <c r="D472" s="2">
        <f>COUNTA(Argument!E472)</f>
        <v>0</v>
      </c>
      <c r="E472" s="2" t="str">
        <f>IF(C472,Return!D472,Return!E472)</f>
        <v>v</v>
      </c>
      <c r="F472" s="2" t="str">
        <f t="shared" si="21"/>
        <v/>
      </c>
      <c r="G472" s="2" t="str">
        <f t="shared" si="23"/>
        <v/>
      </c>
      <c r="H472" s="2" t="str">
        <f t="shared" si="22"/>
        <v/>
      </c>
      <c r="I472" s="2" t="str">
        <f>IF(Return!C472=0,REPLACE(INDEX(H:H,ROW()+Return!B472,),1,2,Return!E472&amp;"(")&amp;")","")</f>
        <v>v(v, var, [vr], [v])</v>
      </c>
      <c r="M472" s="1"/>
    </row>
    <row r="473" spans="1:13" x14ac:dyDescent="0.55000000000000004">
      <c r="A473" s="1" t="s">
        <v>1618</v>
      </c>
      <c r="B473" t="s">
        <v>1943</v>
      </c>
      <c r="C473" s="2">
        <f>Return!C473</f>
        <v>1</v>
      </c>
      <c r="D473" s="2">
        <f>COUNTA(Argument!E473)</f>
        <v>0</v>
      </c>
      <c r="E473" s="2" t="str">
        <f>IF(C473,Return!D473,Return!E473)</f>
        <v>v</v>
      </c>
      <c r="F473" s="2" t="str">
        <f t="shared" si="21"/>
        <v>v</v>
      </c>
      <c r="G473" s="2" t="str">
        <f t="shared" si="23"/>
        <v>v</v>
      </c>
      <c r="H473" s="2" t="str">
        <f t="shared" si="22"/>
        <v>, v</v>
      </c>
      <c r="I473" s="2" t="str">
        <f>IF(Return!C473=0,REPLACE(INDEX(H:H,ROW()+Return!B473,),1,2,Return!E473&amp;"(")&amp;")","")</f>
        <v/>
      </c>
      <c r="M473" s="1"/>
    </row>
    <row r="474" spans="1:13" x14ac:dyDescent="0.55000000000000004">
      <c r="A474" s="1" t="s">
        <v>1618</v>
      </c>
      <c r="B474" t="s">
        <v>1944</v>
      </c>
      <c r="C474" s="2">
        <f>Return!C474</f>
        <v>2</v>
      </c>
      <c r="D474" s="2">
        <f>COUNTA(Argument!E474)</f>
        <v>1</v>
      </c>
      <c r="E474" s="2" t="str">
        <f>IF(C474,Return!D474,Return!E474)</f>
        <v>var</v>
      </c>
      <c r="F474" s="2" t="str">
        <f t="shared" si="21"/>
        <v>var</v>
      </c>
      <c r="G474" s="2" t="str">
        <f t="shared" si="23"/>
        <v>var</v>
      </c>
      <c r="H474" s="2" t="str">
        <f t="shared" si="22"/>
        <v>, v, var</v>
      </c>
      <c r="I474" s="2" t="str">
        <f>IF(Return!C474=0,REPLACE(INDEX(H:H,ROW()+Return!B474,),1,2,Return!E474&amp;"(")&amp;")","")</f>
        <v/>
      </c>
      <c r="M474" s="1"/>
    </row>
    <row r="475" spans="1:13" x14ac:dyDescent="0.55000000000000004">
      <c r="A475" s="1" t="s">
        <v>1618</v>
      </c>
      <c r="B475" t="s">
        <v>1945</v>
      </c>
      <c r="C475" s="2">
        <f>Return!C475</f>
        <v>3</v>
      </c>
      <c r="D475" s="2">
        <f>COUNTA(Argument!E475)</f>
        <v>1</v>
      </c>
      <c r="E475" s="2" t="str">
        <f>IF(C475,Return!D475,Return!E475)</f>
        <v>vr</v>
      </c>
      <c r="F475" s="2" t="str">
        <f t="shared" si="21"/>
        <v>[vr]</v>
      </c>
      <c r="G475" s="2" t="str">
        <f t="shared" si="23"/>
        <v>[vr]</v>
      </c>
      <c r="H475" s="2" t="str">
        <f t="shared" si="22"/>
        <v>, v, var, [vr]</v>
      </c>
      <c r="I475" s="2" t="str">
        <f>IF(Return!C475=0,REPLACE(INDEX(H:H,ROW()+Return!B475,),1,2,Return!E475&amp;"(")&amp;")","")</f>
        <v/>
      </c>
      <c r="M475" s="1"/>
    </row>
    <row r="476" spans="1:13" x14ac:dyDescent="0.55000000000000004">
      <c r="A476" s="1" t="s">
        <v>1618</v>
      </c>
      <c r="B476" t="s">
        <v>2011</v>
      </c>
      <c r="C476" s="2">
        <f>Return!C476</f>
        <v>4</v>
      </c>
      <c r="D476" s="2">
        <f>COUNTA(Argument!E476)</f>
        <v>1</v>
      </c>
      <c r="E476" s="2" t="str">
        <f>IF(C476,Return!D476,Return!E476)</f>
        <v>v</v>
      </c>
      <c r="F476" s="2" t="str">
        <f t="shared" si="21"/>
        <v>[v]</v>
      </c>
      <c r="G476" s="2" t="str">
        <f t="shared" si="23"/>
        <v>[v]</v>
      </c>
      <c r="H476" s="2" t="str">
        <f t="shared" si="22"/>
        <v>, v, var, [vr], [v]</v>
      </c>
      <c r="I476" s="2" t="str">
        <f>IF(Return!C476=0,REPLACE(INDEX(H:H,ROW()+Return!B476,),1,2,Return!E476&amp;"(")&amp;")","")</f>
        <v/>
      </c>
      <c r="M476" s="1"/>
    </row>
    <row r="477" spans="1:13" x14ac:dyDescent="0.55000000000000004">
      <c r="A477" s="1" t="s">
        <v>1619</v>
      </c>
      <c r="C477" s="2">
        <f>Return!C477</f>
        <v>0</v>
      </c>
      <c r="D477" s="2">
        <f>COUNTA(Argument!E477)</f>
        <v>0</v>
      </c>
      <c r="E477" s="2" t="str">
        <f>IF(C477,Return!D477,Return!E477)</f>
        <v>v</v>
      </c>
      <c r="F477" s="2" t="str">
        <f t="shared" si="21"/>
        <v/>
      </c>
      <c r="G477" s="2" t="str">
        <f t="shared" si="23"/>
        <v/>
      </c>
      <c r="H477" s="2" t="str">
        <f t="shared" si="22"/>
        <v/>
      </c>
      <c r="I477" s="2" t="str">
        <f>IF(Return!C477=0,REPLACE(INDEX(H:H,ROW()+Return!B477,),1,2,Return!E477&amp;"(")&amp;")","")</f>
        <v>v(v, vr, var, [vr], [v])</v>
      </c>
      <c r="M477" s="1"/>
    </row>
    <row r="478" spans="1:13" x14ac:dyDescent="0.55000000000000004">
      <c r="A478" s="1" t="s">
        <v>1619</v>
      </c>
      <c r="B478" t="s">
        <v>1943</v>
      </c>
      <c r="C478" s="2">
        <f>Return!C478</f>
        <v>1</v>
      </c>
      <c r="D478" s="2">
        <f>COUNTA(Argument!E478)</f>
        <v>0</v>
      </c>
      <c r="E478" s="2" t="str">
        <f>IF(C478,Return!D478,Return!E478)</f>
        <v>v</v>
      </c>
      <c r="F478" s="2" t="str">
        <f t="shared" si="21"/>
        <v>v</v>
      </c>
      <c r="G478" s="2" t="str">
        <f t="shared" si="23"/>
        <v>v</v>
      </c>
      <c r="H478" s="2" t="str">
        <f t="shared" si="22"/>
        <v>, v</v>
      </c>
      <c r="I478" s="2" t="str">
        <f>IF(Return!C478=0,REPLACE(INDEX(H:H,ROW()+Return!B478,),1,2,Return!E478&amp;"(")&amp;")","")</f>
        <v/>
      </c>
      <c r="M478" s="1"/>
    </row>
    <row r="479" spans="1:13" x14ac:dyDescent="0.55000000000000004">
      <c r="A479" s="1" t="s">
        <v>1619</v>
      </c>
      <c r="B479" t="s">
        <v>1946</v>
      </c>
      <c r="C479" s="2">
        <f>Return!C479</f>
        <v>2</v>
      </c>
      <c r="D479" s="2">
        <f>COUNTA(Argument!E479)</f>
        <v>0</v>
      </c>
      <c r="E479" s="2" t="str">
        <f>IF(C479,Return!D479,Return!E479)</f>
        <v>vr</v>
      </c>
      <c r="F479" s="2" t="str">
        <f t="shared" si="21"/>
        <v>vr</v>
      </c>
      <c r="G479" s="2" t="str">
        <f t="shared" si="23"/>
        <v>vr</v>
      </c>
      <c r="H479" s="2" t="str">
        <f t="shared" si="22"/>
        <v>, v, vr</v>
      </c>
      <c r="I479" s="2" t="str">
        <f>IF(Return!C479=0,REPLACE(INDEX(H:H,ROW()+Return!B479,),1,2,Return!E479&amp;"(")&amp;")","")</f>
        <v/>
      </c>
      <c r="M479" s="1"/>
    </row>
    <row r="480" spans="1:13" x14ac:dyDescent="0.55000000000000004">
      <c r="A480" s="1" t="s">
        <v>1619</v>
      </c>
      <c r="B480" t="s">
        <v>1947</v>
      </c>
      <c r="C480" s="2">
        <f>Return!C480</f>
        <v>3</v>
      </c>
      <c r="D480" s="2">
        <f>COUNTA(Argument!E480)</f>
        <v>1</v>
      </c>
      <c r="E480" s="2" t="str">
        <f>IF(C480,Return!D480,Return!E480)</f>
        <v>var</v>
      </c>
      <c r="F480" s="2" t="str">
        <f t="shared" si="21"/>
        <v>var</v>
      </c>
      <c r="G480" s="2" t="str">
        <f t="shared" si="23"/>
        <v>var</v>
      </c>
      <c r="H480" s="2" t="str">
        <f t="shared" si="22"/>
        <v>, v, vr, var</v>
      </c>
      <c r="I480" s="2" t="str">
        <f>IF(Return!C480=0,REPLACE(INDEX(H:H,ROW()+Return!B480,),1,2,Return!E480&amp;"(")&amp;")","")</f>
        <v/>
      </c>
      <c r="M480" s="1"/>
    </row>
    <row r="481" spans="1:13" x14ac:dyDescent="0.55000000000000004">
      <c r="A481" s="1" t="s">
        <v>1619</v>
      </c>
      <c r="B481" t="s">
        <v>1945</v>
      </c>
      <c r="C481" s="2">
        <f>Return!C481</f>
        <v>4</v>
      </c>
      <c r="D481" s="2">
        <f>COUNTA(Argument!E481)</f>
        <v>1</v>
      </c>
      <c r="E481" s="2" t="str">
        <f>IF(C481,Return!D481,Return!E481)</f>
        <v>vr</v>
      </c>
      <c r="F481" s="2" t="str">
        <f t="shared" si="21"/>
        <v>[vr]</v>
      </c>
      <c r="G481" s="2" t="str">
        <f t="shared" si="23"/>
        <v>[vr]</v>
      </c>
      <c r="H481" s="2" t="str">
        <f t="shared" si="22"/>
        <v>, v, vr, var, [vr]</v>
      </c>
      <c r="I481" s="2" t="str">
        <f>IF(Return!C481=0,REPLACE(INDEX(H:H,ROW()+Return!B481,),1,2,Return!E481&amp;"(")&amp;")","")</f>
        <v/>
      </c>
      <c r="M481" s="1"/>
    </row>
    <row r="482" spans="1:13" x14ac:dyDescent="0.55000000000000004">
      <c r="A482" s="1" t="s">
        <v>1619</v>
      </c>
      <c r="B482" t="s">
        <v>2011</v>
      </c>
      <c r="C482" s="2">
        <f>Return!C482</f>
        <v>5</v>
      </c>
      <c r="D482" s="2">
        <f>COUNTA(Argument!E482)</f>
        <v>1</v>
      </c>
      <c r="E482" s="2" t="str">
        <f>IF(C482,Return!D482,Return!E482)</f>
        <v>v</v>
      </c>
      <c r="F482" s="2" t="str">
        <f t="shared" si="21"/>
        <v>[v]</v>
      </c>
      <c r="G482" s="2" t="str">
        <f t="shared" si="23"/>
        <v>[v]</v>
      </c>
      <c r="H482" s="2" t="str">
        <f t="shared" si="22"/>
        <v>, v, vr, var, [vr], [v]</v>
      </c>
      <c r="I482" s="2" t="str">
        <f>IF(Return!C482=0,REPLACE(INDEX(H:H,ROW()+Return!B482,),1,2,Return!E482&amp;"(")&amp;")","")</f>
        <v/>
      </c>
      <c r="M482" s="1"/>
    </row>
    <row r="483" spans="1:13" x14ac:dyDescent="0.55000000000000004">
      <c r="A483" s="1" t="s">
        <v>1620</v>
      </c>
      <c r="C483" s="2">
        <f>Return!C483</f>
        <v>0</v>
      </c>
      <c r="D483" s="2">
        <f>COUNTA(Argument!E483)</f>
        <v>0</v>
      </c>
      <c r="E483" s="2" t="str">
        <f>IF(C483,Return!D483,Return!E483)</f>
        <v>v</v>
      </c>
      <c r="F483" s="2" t="str">
        <f t="shared" si="21"/>
        <v/>
      </c>
      <c r="G483" s="2" t="str">
        <f t="shared" si="23"/>
        <v/>
      </c>
      <c r="H483" s="2" t="str">
        <f t="shared" si="22"/>
        <v/>
      </c>
      <c r="I483" s="2" t="str">
        <f>IF(Return!C483=0,REPLACE(INDEX(H:H,ROW()+Return!B483,),1,2,Return!E483&amp;"(")&amp;")","")</f>
        <v>v(v, v, v, v, [v])</v>
      </c>
      <c r="M483" s="1"/>
    </row>
    <row r="484" spans="1:13" x14ac:dyDescent="0.55000000000000004">
      <c r="A484" s="1" t="s">
        <v>1620</v>
      </c>
      <c r="B484" t="s">
        <v>1943</v>
      </c>
      <c r="C484" s="2">
        <f>Return!C484</f>
        <v>1</v>
      </c>
      <c r="D484" s="2">
        <f>COUNTA(Argument!E484)</f>
        <v>0</v>
      </c>
      <c r="E484" s="2" t="str">
        <f>IF(C484,Return!D484,Return!E484)</f>
        <v>v</v>
      </c>
      <c r="F484" s="2" t="str">
        <f t="shared" si="21"/>
        <v>v</v>
      </c>
      <c r="G484" s="2" t="str">
        <f t="shared" si="23"/>
        <v>v</v>
      </c>
      <c r="H484" s="2" t="str">
        <f t="shared" si="22"/>
        <v>, v</v>
      </c>
      <c r="I484" s="2" t="str">
        <f>IF(Return!C484=0,REPLACE(INDEX(H:H,ROW()+Return!B484,),1,2,Return!E484&amp;"(")&amp;")","")</f>
        <v/>
      </c>
      <c r="M484" s="1"/>
    </row>
    <row r="485" spans="1:13" x14ac:dyDescent="0.55000000000000004">
      <c r="A485" s="1" t="s">
        <v>1620</v>
      </c>
      <c r="B485" t="s">
        <v>1946</v>
      </c>
      <c r="C485" s="2">
        <f>Return!C485</f>
        <v>2</v>
      </c>
      <c r="D485" s="2">
        <f>COUNTA(Argument!E485)</f>
        <v>0</v>
      </c>
      <c r="E485" s="2" t="str">
        <f>IF(C485,Return!D485,Return!E485)</f>
        <v>v</v>
      </c>
      <c r="F485" s="2" t="str">
        <f t="shared" si="21"/>
        <v>v</v>
      </c>
      <c r="G485" s="2" t="str">
        <f t="shared" si="23"/>
        <v>v</v>
      </c>
      <c r="H485" s="2" t="str">
        <f t="shared" si="22"/>
        <v>, v, v</v>
      </c>
      <c r="I485" s="2" t="str">
        <f>IF(Return!C485=0,REPLACE(INDEX(H:H,ROW()+Return!B485,),1,2,Return!E485&amp;"(")&amp;")","")</f>
        <v/>
      </c>
      <c r="M485" s="1"/>
    </row>
    <row r="486" spans="1:13" x14ac:dyDescent="0.55000000000000004">
      <c r="A486" s="1" t="s">
        <v>1620</v>
      </c>
      <c r="B486" t="s">
        <v>1948</v>
      </c>
      <c r="C486" s="2">
        <f>Return!C486</f>
        <v>3</v>
      </c>
      <c r="D486" s="2">
        <f>COUNTA(Argument!E486)</f>
        <v>0</v>
      </c>
      <c r="E486" s="2" t="str">
        <f>IF(C486,Return!D486,Return!E486)</f>
        <v>v</v>
      </c>
      <c r="F486" s="2" t="str">
        <f t="shared" si="21"/>
        <v>v</v>
      </c>
      <c r="G486" s="2" t="str">
        <f t="shared" si="23"/>
        <v>v</v>
      </c>
      <c r="H486" s="2" t="str">
        <f t="shared" si="22"/>
        <v>, v, v, v</v>
      </c>
      <c r="I486" s="2" t="str">
        <f>IF(Return!C486=0,REPLACE(INDEX(H:H,ROW()+Return!B486,),1,2,Return!E486&amp;"(")&amp;")","")</f>
        <v/>
      </c>
      <c r="M486" s="1"/>
    </row>
    <row r="487" spans="1:13" x14ac:dyDescent="0.55000000000000004">
      <c r="A487" s="1" t="s">
        <v>1620</v>
      </c>
      <c r="B487" t="s">
        <v>1949</v>
      </c>
      <c r="C487" s="2">
        <f>Return!C487</f>
        <v>4</v>
      </c>
      <c r="D487" s="2">
        <f>COUNTA(Argument!E487)</f>
        <v>1</v>
      </c>
      <c r="E487" s="2" t="str">
        <f>IF(C487,Return!D487,Return!E487)</f>
        <v>v</v>
      </c>
      <c r="F487" s="2" t="str">
        <f t="shared" si="21"/>
        <v>v</v>
      </c>
      <c r="G487" s="2" t="str">
        <f t="shared" si="23"/>
        <v>v</v>
      </c>
      <c r="H487" s="2" t="str">
        <f t="shared" si="22"/>
        <v>, v, v, v, v</v>
      </c>
      <c r="I487" s="2" t="str">
        <f>IF(Return!C487=0,REPLACE(INDEX(H:H,ROW()+Return!B487,),1,2,Return!E487&amp;"(")&amp;")","")</f>
        <v/>
      </c>
      <c r="M487" s="1"/>
    </row>
    <row r="488" spans="1:13" x14ac:dyDescent="0.55000000000000004">
      <c r="A488" s="1" t="s">
        <v>1620</v>
      </c>
      <c r="B488" t="s">
        <v>2012</v>
      </c>
      <c r="C488" s="2">
        <f>Return!C488</f>
        <v>5</v>
      </c>
      <c r="D488" s="2">
        <f>COUNTA(Argument!E488)</f>
        <v>1</v>
      </c>
      <c r="E488" s="2" t="str">
        <f>IF(C488,Return!D488,Return!E488)</f>
        <v>v</v>
      </c>
      <c r="F488" s="2" t="str">
        <f t="shared" si="21"/>
        <v>[v]</v>
      </c>
      <c r="G488" s="2" t="str">
        <f t="shared" si="23"/>
        <v>[v]</v>
      </c>
      <c r="H488" s="2" t="str">
        <f t="shared" si="22"/>
        <v>, v, v, v, v, [v]</v>
      </c>
      <c r="I488" s="2" t="str">
        <f>IF(Return!C488=0,REPLACE(INDEX(H:H,ROW()+Return!B488,),1,2,Return!E488&amp;"(")&amp;")","")</f>
        <v/>
      </c>
      <c r="M488" s="1"/>
    </row>
    <row r="489" spans="1:13" x14ac:dyDescent="0.55000000000000004">
      <c r="A489" s="1" t="s">
        <v>1621</v>
      </c>
      <c r="C489" s="2">
        <f>Return!C489</f>
        <v>0</v>
      </c>
      <c r="D489" s="2">
        <f>COUNTA(Argument!E489)</f>
        <v>0</v>
      </c>
      <c r="E489" s="2" t="str">
        <f>IF(C489,Return!D489,Return!E489)</f>
        <v>v</v>
      </c>
      <c r="F489" s="2" t="str">
        <f t="shared" si="21"/>
        <v/>
      </c>
      <c r="G489" s="2" t="str">
        <f t="shared" si="23"/>
        <v/>
      </c>
      <c r="H489" s="2" t="str">
        <f t="shared" si="22"/>
        <v/>
      </c>
      <c r="I489" s="2" t="str">
        <f>IF(Return!C489=0,REPLACE(INDEX(H:H,ROW()+Return!B489,),1,2,Return!E489&amp;"(")&amp;")","")</f>
        <v>v(v, v, v, v, [v])</v>
      </c>
      <c r="M489" s="1"/>
    </row>
    <row r="490" spans="1:13" x14ac:dyDescent="0.55000000000000004">
      <c r="A490" s="1" t="s">
        <v>1621</v>
      </c>
      <c r="B490" t="s">
        <v>1943</v>
      </c>
      <c r="C490" s="2">
        <f>Return!C490</f>
        <v>1</v>
      </c>
      <c r="D490" s="2">
        <f>COUNTA(Argument!E490)</f>
        <v>0</v>
      </c>
      <c r="E490" s="2" t="str">
        <f>IF(C490,Return!D490,Return!E490)</f>
        <v>v</v>
      </c>
      <c r="F490" s="2" t="str">
        <f t="shared" si="21"/>
        <v>v</v>
      </c>
      <c r="G490" s="2" t="str">
        <f t="shared" si="23"/>
        <v>v</v>
      </c>
      <c r="H490" s="2" t="str">
        <f t="shared" si="22"/>
        <v>, v</v>
      </c>
      <c r="I490" s="2" t="str">
        <f>IF(Return!C490=0,REPLACE(INDEX(H:H,ROW()+Return!B490,),1,2,Return!E490&amp;"(")&amp;")","")</f>
        <v/>
      </c>
      <c r="M490" s="1"/>
    </row>
    <row r="491" spans="1:13" x14ac:dyDescent="0.55000000000000004">
      <c r="A491" s="1" t="s">
        <v>1621</v>
      </c>
      <c r="B491" t="s">
        <v>1946</v>
      </c>
      <c r="C491" s="2">
        <f>Return!C491</f>
        <v>2</v>
      </c>
      <c r="D491" s="2">
        <f>COUNTA(Argument!E491)</f>
        <v>0</v>
      </c>
      <c r="E491" s="2" t="str">
        <f>IF(C491,Return!D491,Return!E491)</f>
        <v>v</v>
      </c>
      <c r="F491" s="2" t="str">
        <f t="shared" si="21"/>
        <v>v</v>
      </c>
      <c r="G491" s="2" t="str">
        <f t="shared" si="23"/>
        <v>v</v>
      </c>
      <c r="H491" s="2" t="str">
        <f t="shared" si="22"/>
        <v>, v, v</v>
      </c>
      <c r="I491" s="2" t="str">
        <f>IF(Return!C491=0,REPLACE(INDEX(H:H,ROW()+Return!B491,),1,2,Return!E491&amp;"(")&amp;")","")</f>
        <v/>
      </c>
      <c r="M491" s="1"/>
    </row>
    <row r="492" spans="1:13" x14ac:dyDescent="0.55000000000000004">
      <c r="A492" s="1" t="s">
        <v>1621</v>
      </c>
      <c r="B492" t="s">
        <v>1948</v>
      </c>
      <c r="C492" s="2">
        <f>Return!C492</f>
        <v>3</v>
      </c>
      <c r="D492" s="2">
        <f>COUNTA(Argument!E492)</f>
        <v>0</v>
      </c>
      <c r="E492" s="2" t="str">
        <f>IF(C492,Return!D492,Return!E492)</f>
        <v>v</v>
      </c>
      <c r="F492" s="2" t="str">
        <f t="shared" si="21"/>
        <v>v</v>
      </c>
      <c r="G492" s="2" t="str">
        <f t="shared" si="23"/>
        <v>v</v>
      </c>
      <c r="H492" s="2" t="str">
        <f t="shared" si="22"/>
        <v>, v, v, v</v>
      </c>
      <c r="I492" s="2" t="str">
        <f>IF(Return!C492=0,REPLACE(INDEX(H:H,ROW()+Return!B492,),1,2,Return!E492&amp;"(")&amp;")","")</f>
        <v/>
      </c>
      <c r="M492" s="1"/>
    </row>
    <row r="493" spans="1:13" x14ac:dyDescent="0.55000000000000004">
      <c r="A493" s="1" t="s">
        <v>1621</v>
      </c>
      <c r="B493" t="s">
        <v>1950</v>
      </c>
      <c r="C493" s="2">
        <f>Return!C493</f>
        <v>4</v>
      </c>
      <c r="D493" s="2">
        <f>COUNTA(Argument!E493)</f>
        <v>1</v>
      </c>
      <c r="E493" s="2" t="str">
        <f>IF(C493,Return!D493,Return!E493)</f>
        <v>v</v>
      </c>
      <c r="F493" s="2" t="str">
        <f t="shared" si="21"/>
        <v>v</v>
      </c>
      <c r="G493" s="2" t="str">
        <f t="shared" si="23"/>
        <v>v</v>
      </c>
      <c r="H493" s="2" t="str">
        <f t="shared" si="22"/>
        <v>, v, v, v, v</v>
      </c>
      <c r="I493" s="2" t="str">
        <f>IF(Return!C493=0,REPLACE(INDEX(H:H,ROW()+Return!B493,),1,2,Return!E493&amp;"(")&amp;")","")</f>
        <v/>
      </c>
      <c r="M493" s="1"/>
    </row>
    <row r="494" spans="1:13" x14ac:dyDescent="0.55000000000000004">
      <c r="A494" s="1" t="s">
        <v>1621</v>
      </c>
      <c r="B494" t="s">
        <v>1984</v>
      </c>
      <c r="C494" s="2">
        <f>Return!C494</f>
        <v>5</v>
      </c>
      <c r="D494" s="2">
        <f>COUNTA(Argument!E494)</f>
        <v>1</v>
      </c>
      <c r="E494" s="2" t="str">
        <f>IF(C494,Return!D494,Return!E494)</f>
        <v>v</v>
      </c>
      <c r="F494" s="2" t="str">
        <f t="shared" si="21"/>
        <v>[v]</v>
      </c>
      <c r="G494" s="2" t="str">
        <f t="shared" si="23"/>
        <v>[v]</v>
      </c>
      <c r="H494" s="2" t="str">
        <f t="shared" si="22"/>
        <v>, v, v, v, v, [v]</v>
      </c>
      <c r="I494" s="2" t="str">
        <f>IF(Return!C494=0,REPLACE(INDEX(H:H,ROW()+Return!B494,),1,2,Return!E494&amp;"(")&amp;")","")</f>
        <v/>
      </c>
      <c r="M494" s="1"/>
    </row>
    <row r="495" spans="1:13" x14ac:dyDescent="0.55000000000000004">
      <c r="A495" s="1" t="s">
        <v>1622</v>
      </c>
      <c r="C495" s="2">
        <f>Return!C495</f>
        <v>0</v>
      </c>
      <c r="D495" s="2">
        <f>COUNTA(Argument!E495)</f>
        <v>0</v>
      </c>
      <c r="E495" s="2" t="str">
        <f>IF(C495,Return!D495,Return!E495)</f>
        <v>v</v>
      </c>
      <c r="F495" s="2" t="str">
        <f t="shared" si="21"/>
        <v/>
      </c>
      <c r="G495" s="2" t="str">
        <f t="shared" si="23"/>
        <v/>
      </c>
      <c r="H495" s="2" t="str">
        <f t="shared" si="22"/>
        <v/>
      </c>
      <c r="I495" s="2" t="str">
        <f>IF(Return!C495=0,REPLACE(INDEX(H:H,ROW()+Return!B495,),1,2,Return!E495&amp;"(")&amp;")","")</f>
        <v>v(v, v, v, v, [v])</v>
      </c>
      <c r="M495" s="1"/>
    </row>
    <row r="496" spans="1:13" x14ac:dyDescent="0.55000000000000004">
      <c r="A496" s="1" t="s">
        <v>1622</v>
      </c>
      <c r="B496" t="s">
        <v>1943</v>
      </c>
      <c r="C496" s="2">
        <f>Return!C496</f>
        <v>1</v>
      </c>
      <c r="D496" s="2">
        <f>COUNTA(Argument!E496)</f>
        <v>0</v>
      </c>
      <c r="E496" s="2" t="str">
        <f>IF(C496,Return!D496,Return!E496)</f>
        <v>v</v>
      </c>
      <c r="F496" s="2" t="str">
        <f t="shared" si="21"/>
        <v>v</v>
      </c>
      <c r="G496" s="2" t="str">
        <f t="shared" si="23"/>
        <v>v</v>
      </c>
      <c r="H496" s="2" t="str">
        <f t="shared" si="22"/>
        <v>, v</v>
      </c>
      <c r="I496" s="2" t="str">
        <f>IF(Return!C496=0,REPLACE(INDEX(H:H,ROW()+Return!B496,),1,2,Return!E496&amp;"(")&amp;")","")</f>
        <v/>
      </c>
      <c r="M496" s="1"/>
    </row>
    <row r="497" spans="1:13" x14ac:dyDescent="0.55000000000000004">
      <c r="A497" s="1" t="s">
        <v>1622</v>
      </c>
      <c r="B497" t="s">
        <v>1946</v>
      </c>
      <c r="C497" s="2">
        <f>Return!C497</f>
        <v>2</v>
      </c>
      <c r="D497" s="2">
        <f>COUNTA(Argument!E497)</f>
        <v>0</v>
      </c>
      <c r="E497" s="2" t="str">
        <f>IF(C497,Return!D497,Return!E497)</f>
        <v>v</v>
      </c>
      <c r="F497" s="2" t="str">
        <f t="shared" si="21"/>
        <v>v</v>
      </c>
      <c r="G497" s="2" t="str">
        <f t="shared" si="23"/>
        <v>v</v>
      </c>
      <c r="H497" s="2" t="str">
        <f t="shared" si="22"/>
        <v>, v, v</v>
      </c>
      <c r="I497" s="2" t="str">
        <f>IF(Return!C497=0,REPLACE(INDEX(H:H,ROW()+Return!B497,),1,2,Return!E497&amp;"(")&amp;")","")</f>
        <v/>
      </c>
      <c r="M497" s="1"/>
    </row>
    <row r="498" spans="1:13" x14ac:dyDescent="0.55000000000000004">
      <c r="A498" s="1" t="s">
        <v>1622</v>
      </c>
      <c r="B498" t="s">
        <v>1948</v>
      </c>
      <c r="C498" s="2">
        <f>Return!C498</f>
        <v>3</v>
      </c>
      <c r="D498" s="2">
        <f>COUNTA(Argument!E498)</f>
        <v>0</v>
      </c>
      <c r="E498" s="2" t="str">
        <f>IF(C498,Return!D498,Return!E498)</f>
        <v>v</v>
      </c>
      <c r="F498" s="2" t="str">
        <f t="shared" si="21"/>
        <v>v</v>
      </c>
      <c r="G498" s="2" t="str">
        <f t="shared" si="23"/>
        <v>v</v>
      </c>
      <c r="H498" s="2" t="str">
        <f t="shared" si="22"/>
        <v>, v, v, v</v>
      </c>
      <c r="I498" s="2" t="str">
        <f>IF(Return!C498=0,REPLACE(INDEX(H:H,ROW()+Return!B498,),1,2,Return!E498&amp;"(")&amp;")","")</f>
        <v/>
      </c>
      <c r="M498" s="1"/>
    </row>
    <row r="499" spans="1:13" x14ac:dyDescent="0.55000000000000004">
      <c r="A499" s="1" t="s">
        <v>1622</v>
      </c>
      <c r="B499" t="s">
        <v>1919</v>
      </c>
      <c r="C499" s="2">
        <f>Return!C499</f>
        <v>4</v>
      </c>
      <c r="D499" s="2">
        <f>COUNTA(Argument!E499)</f>
        <v>1</v>
      </c>
      <c r="E499" s="2" t="str">
        <f>IF(C499,Return!D499,Return!E499)</f>
        <v>v</v>
      </c>
      <c r="F499" s="2" t="str">
        <f t="shared" si="21"/>
        <v>v</v>
      </c>
      <c r="G499" s="2" t="str">
        <f t="shared" si="23"/>
        <v>v</v>
      </c>
      <c r="H499" s="2" t="str">
        <f t="shared" si="22"/>
        <v>, v, v, v, v</v>
      </c>
      <c r="I499" s="2" t="str">
        <f>IF(Return!C499=0,REPLACE(INDEX(H:H,ROW()+Return!B499,),1,2,Return!E499&amp;"(")&amp;")","")</f>
        <v/>
      </c>
      <c r="M499" s="1"/>
    </row>
    <row r="500" spans="1:13" x14ac:dyDescent="0.55000000000000004">
      <c r="A500" s="1" t="s">
        <v>1622</v>
      </c>
      <c r="B500" t="s">
        <v>1984</v>
      </c>
      <c r="C500" s="2">
        <f>Return!C500</f>
        <v>5</v>
      </c>
      <c r="D500" s="2">
        <f>COUNTA(Argument!E500)</f>
        <v>1</v>
      </c>
      <c r="E500" s="2" t="str">
        <f>IF(C500,Return!D500,Return!E500)</f>
        <v>v</v>
      </c>
      <c r="F500" s="2" t="str">
        <f t="shared" si="21"/>
        <v>[v]</v>
      </c>
      <c r="G500" s="2" t="str">
        <f t="shared" si="23"/>
        <v>[v]</v>
      </c>
      <c r="H500" s="2" t="str">
        <f t="shared" si="22"/>
        <v>, v, v, v, v, [v]</v>
      </c>
      <c r="I500" s="2" t="str">
        <f>IF(Return!C500=0,REPLACE(INDEX(H:H,ROW()+Return!B500,),1,2,Return!E500&amp;"(")&amp;")","")</f>
        <v/>
      </c>
      <c r="M500" s="1"/>
    </row>
    <row r="501" spans="1:13" x14ac:dyDescent="0.55000000000000004">
      <c r="A501" s="1" t="s">
        <v>1623</v>
      </c>
      <c r="C501" s="2">
        <f>Return!C501</f>
        <v>0</v>
      </c>
      <c r="D501" s="2">
        <f>COUNTA(Argument!E501)</f>
        <v>1</v>
      </c>
      <c r="E501" s="2" t="str">
        <f>IF(C501,Return!D501,Return!E501)</f>
        <v>v</v>
      </c>
      <c r="F501" s="2" t="str">
        <f t="shared" si="21"/>
        <v/>
      </c>
      <c r="G501" s="2" t="str">
        <f t="shared" si="23"/>
        <v/>
      </c>
      <c r="H501" s="2" t="str">
        <f t="shared" si="22"/>
        <v/>
      </c>
      <c r="I501" s="2" t="str">
        <f>IF(Return!C501=0,REPLACE(INDEX(H:H,ROW()+Return!B501,),1,2,Return!E501&amp;"(")&amp;")","")</f>
        <v>v([v])</v>
      </c>
      <c r="M501" s="1"/>
    </row>
    <row r="502" spans="1:13" x14ac:dyDescent="0.55000000000000004">
      <c r="A502" s="1" t="s">
        <v>1623</v>
      </c>
      <c r="B502" t="s">
        <v>1943</v>
      </c>
      <c r="C502" s="2">
        <f>Return!C502</f>
        <v>1</v>
      </c>
      <c r="D502" s="2">
        <f>COUNTA(Argument!E502)</f>
        <v>1</v>
      </c>
      <c r="E502" s="2" t="str">
        <f>IF(C502,Return!D502,Return!E502)</f>
        <v>v</v>
      </c>
      <c r="F502" s="2" t="str">
        <f t="shared" si="21"/>
        <v>[v]</v>
      </c>
      <c r="G502" s="2" t="str">
        <f t="shared" si="23"/>
        <v>[v]</v>
      </c>
      <c r="H502" s="2" t="str">
        <f t="shared" si="22"/>
        <v>, [v]</v>
      </c>
      <c r="I502" s="2" t="str">
        <f>IF(Return!C502=0,REPLACE(INDEX(H:H,ROW()+Return!B502,),1,2,Return!E502&amp;"(")&amp;")","")</f>
        <v/>
      </c>
      <c r="M502" s="1"/>
    </row>
    <row r="503" spans="1:13" x14ac:dyDescent="0.55000000000000004">
      <c r="A503" s="1" t="s">
        <v>1624</v>
      </c>
      <c r="C503" s="2">
        <f>Return!C503</f>
        <v>0</v>
      </c>
      <c r="D503" s="2">
        <f>COUNTA(Argument!E503)</f>
        <v>0</v>
      </c>
      <c r="E503" s="2" t="str">
        <f>IF(C503,Return!D503,Return!E503)</f>
        <v>v</v>
      </c>
      <c r="F503" s="2" t="str">
        <f t="shared" si="21"/>
        <v/>
      </c>
      <c r="G503" s="2" t="str">
        <f t="shared" si="23"/>
        <v/>
      </c>
      <c r="H503" s="2" t="str">
        <f t="shared" si="22"/>
        <v/>
      </c>
      <c r="I503" s="2" t="str">
        <f>IF(Return!C503=0,REPLACE(INDEX(H:H,ROW()+Return!B503,),1,2,Return!E503&amp;"(")&amp;")","")</f>
        <v>v(v, v, [v])</v>
      </c>
      <c r="M503" s="1"/>
    </row>
    <row r="504" spans="1:13" x14ac:dyDescent="0.55000000000000004">
      <c r="A504" s="1" t="s">
        <v>1624</v>
      </c>
      <c r="B504" t="s">
        <v>1943</v>
      </c>
      <c r="C504" s="2">
        <f>Return!C504</f>
        <v>1</v>
      </c>
      <c r="D504" s="2">
        <f>COUNTA(Argument!E504)</f>
        <v>0</v>
      </c>
      <c r="E504" s="2" t="str">
        <f>IF(C504,Return!D504,Return!E504)</f>
        <v>v</v>
      </c>
      <c r="F504" s="2" t="str">
        <f t="shared" si="21"/>
        <v>v</v>
      </c>
      <c r="G504" s="2" t="str">
        <f t="shared" si="23"/>
        <v>v</v>
      </c>
      <c r="H504" s="2" t="str">
        <f t="shared" si="22"/>
        <v>, v</v>
      </c>
      <c r="I504" s="2" t="str">
        <f>IF(Return!C504=0,REPLACE(INDEX(H:H,ROW()+Return!B504,),1,2,Return!E504&amp;"(")&amp;")","")</f>
        <v/>
      </c>
      <c r="M504" s="1"/>
    </row>
    <row r="505" spans="1:13" x14ac:dyDescent="0.55000000000000004">
      <c r="A505" s="1" t="s">
        <v>1624</v>
      </c>
      <c r="B505" t="s">
        <v>1946</v>
      </c>
      <c r="C505" s="2">
        <f>Return!C505</f>
        <v>2</v>
      </c>
      <c r="D505" s="2">
        <f>COUNTA(Argument!E505)</f>
        <v>1</v>
      </c>
      <c r="E505" s="2" t="str">
        <f>IF(C505,Return!D505,Return!E505)</f>
        <v>v</v>
      </c>
      <c r="F505" s="2" t="str">
        <f t="shared" si="21"/>
        <v>v</v>
      </c>
      <c r="G505" s="2" t="str">
        <f t="shared" si="23"/>
        <v>v</v>
      </c>
      <c r="H505" s="2" t="str">
        <f t="shared" si="22"/>
        <v>, v, v</v>
      </c>
      <c r="I505" s="2" t="str">
        <f>IF(Return!C505=0,REPLACE(INDEX(H:H,ROW()+Return!B505,),1,2,Return!E505&amp;"(")&amp;")","")</f>
        <v/>
      </c>
      <c r="M505" s="1"/>
    </row>
    <row r="506" spans="1:13" x14ac:dyDescent="0.55000000000000004">
      <c r="A506" s="1" t="s">
        <v>1624</v>
      </c>
      <c r="B506" t="s">
        <v>2013</v>
      </c>
      <c r="C506" s="2">
        <f>Return!C506</f>
        <v>3</v>
      </c>
      <c r="D506" s="2">
        <f>COUNTA(Argument!E506)</f>
        <v>1</v>
      </c>
      <c r="E506" s="2" t="str">
        <f>IF(C506,Return!D506,Return!E506)</f>
        <v>v</v>
      </c>
      <c r="F506" s="2" t="str">
        <f t="shared" si="21"/>
        <v>[v]</v>
      </c>
      <c r="G506" s="2" t="str">
        <f t="shared" si="23"/>
        <v>[v]</v>
      </c>
      <c r="H506" s="2" t="str">
        <f t="shared" si="22"/>
        <v>, v, v, [v]</v>
      </c>
      <c r="I506" s="2" t="str">
        <f>IF(Return!C506=0,REPLACE(INDEX(H:H,ROW()+Return!B506,),1,2,Return!E506&amp;"(")&amp;")","")</f>
        <v/>
      </c>
      <c r="M506" s="1"/>
    </row>
    <row r="507" spans="1:13" x14ac:dyDescent="0.55000000000000004">
      <c r="A507" s="1" t="s">
        <v>1625</v>
      </c>
      <c r="C507" s="2">
        <f>Return!C507</f>
        <v>0</v>
      </c>
      <c r="D507" s="2">
        <f>COUNTA(Argument!E507)</f>
        <v>0</v>
      </c>
      <c r="E507" s="2" t="str">
        <f>IF(C507,Return!D507,Return!E507)</f>
        <v>v</v>
      </c>
      <c r="F507" s="2" t="str">
        <f t="shared" si="21"/>
        <v/>
      </c>
      <c r="G507" s="2" t="str">
        <f t="shared" si="23"/>
        <v/>
      </c>
      <c r="H507" s="2" t="str">
        <f t="shared" si="22"/>
        <v/>
      </c>
      <c r="I507" s="2" t="str">
        <f>IF(Return!C507=0,REPLACE(INDEX(H:H,ROW()+Return!B507,),1,2,Return!E507&amp;"(")&amp;")","")</f>
        <v>v(v, v, v, [v])</v>
      </c>
      <c r="M507" s="1"/>
    </row>
    <row r="508" spans="1:13" x14ac:dyDescent="0.55000000000000004">
      <c r="A508" s="1" t="s">
        <v>1625</v>
      </c>
      <c r="B508" t="s">
        <v>1943</v>
      </c>
      <c r="C508" s="2">
        <f>Return!C508</f>
        <v>1</v>
      </c>
      <c r="D508" s="2">
        <f>COUNTA(Argument!E508)</f>
        <v>0</v>
      </c>
      <c r="E508" s="2" t="str">
        <f>IF(C508,Return!D508,Return!E508)</f>
        <v>v</v>
      </c>
      <c r="F508" s="2" t="str">
        <f t="shared" si="21"/>
        <v>v</v>
      </c>
      <c r="G508" s="2" t="str">
        <f t="shared" si="23"/>
        <v>v</v>
      </c>
      <c r="H508" s="2" t="str">
        <f t="shared" si="22"/>
        <v>, v</v>
      </c>
      <c r="I508" s="2" t="str">
        <f>IF(Return!C508=0,REPLACE(INDEX(H:H,ROW()+Return!B508,),1,2,Return!E508&amp;"(")&amp;")","")</f>
        <v/>
      </c>
      <c r="M508" s="1"/>
    </row>
    <row r="509" spans="1:13" x14ac:dyDescent="0.55000000000000004">
      <c r="A509" s="1" t="s">
        <v>1625</v>
      </c>
      <c r="B509" t="s">
        <v>1946</v>
      </c>
      <c r="C509" s="2">
        <f>Return!C509</f>
        <v>2</v>
      </c>
      <c r="D509" s="2">
        <f>COUNTA(Argument!E509)</f>
        <v>0</v>
      </c>
      <c r="E509" s="2" t="str">
        <f>IF(C509,Return!D509,Return!E509)</f>
        <v>v</v>
      </c>
      <c r="F509" s="2" t="str">
        <f t="shared" si="21"/>
        <v>v</v>
      </c>
      <c r="G509" s="2" t="str">
        <f t="shared" si="23"/>
        <v>v</v>
      </c>
      <c r="H509" s="2" t="str">
        <f t="shared" si="22"/>
        <v>, v, v</v>
      </c>
      <c r="I509" s="2" t="str">
        <f>IF(Return!C509=0,REPLACE(INDEX(H:H,ROW()+Return!B509,),1,2,Return!E509&amp;"(")&amp;")","")</f>
        <v/>
      </c>
      <c r="M509" s="1"/>
    </row>
    <row r="510" spans="1:13" x14ac:dyDescent="0.55000000000000004">
      <c r="A510" s="1" t="s">
        <v>1625</v>
      </c>
      <c r="B510" t="s">
        <v>1948</v>
      </c>
      <c r="C510" s="2">
        <f>Return!C510</f>
        <v>3</v>
      </c>
      <c r="D510" s="2">
        <f>COUNTA(Argument!E510)</f>
        <v>1</v>
      </c>
      <c r="E510" s="2" t="str">
        <f>IF(C510,Return!D510,Return!E510)</f>
        <v>v</v>
      </c>
      <c r="F510" s="2" t="str">
        <f t="shared" si="21"/>
        <v>v</v>
      </c>
      <c r="G510" s="2" t="str">
        <f t="shared" si="23"/>
        <v>v</v>
      </c>
      <c r="H510" s="2" t="str">
        <f t="shared" si="22"/>
        <v>, v, v, v</v>
      </c>
      <c r="I510" s="2" t="str">
        <f>IF(Return!C510=0,REPLACE(INDEX(H:H,ROW()+Return!B510,),1,2,Return!E510&amp;"(")&amp;")","")</f>
        <v/>
      </c>
      <c r="M510" s="1"/>
    </row>
    <row r="511" spans="1:13" x14ac:dyDescent="0.55000000000000004">
      <c r="A511" s="1" t="s">
        <v>1625</v>
      </c>
      <c r="B511" t="s">
        <v>2012</v>
      </c>
      <c r="C511" s="2">
        <f>Return!C511</f>
        <v>4</v>
      </c>
      <c r="D511" s="2">
        <f>COUNTA(Argument!E511)</f>
        <v>1</v>
      </c>
      <c r="E511" s="2" t="str">
        <f>IF(C511,Return!D511,Return!E511)</f>
        <v>v</v>
      </c>
      <c r="F511" s="2" t="str">
        <f t="shared" si="21"/>
        <v>[v]</v>
      </c>
      <c r="G511" s="2" t="str">
        <f t="shared" si="23"/>
        <v>[v]</v>
      </c>
      <c r="H511" s="2" t="str">
        <f t="shared" si="22"/>
        <v>, v, v, v, [v]</v>
      </c>
      <c r="I511" s="2" t="str">
        <f>IF(Return!C511=0,REPLACE(INDEX(H:H,ROW()+Return!B511,),1,2,Return!E511&amp;"(")&amp;")","")</f>
        <v/>
      </c>
      <c r="M511" s="1"/>
    </row>
    <row r="512" spans="1:13" x14ac:dyDescent="0.55000000000000004">
      <c r="A512" s="1" t="s">
        <v>1626</v>
      </c>
      <c r="C512" s="2">
        <f>Return!C512</f>
        <v>0</v>
      </c>
      <c r="D512" s="2">
        <f>COUNTA(Argument!E512)</f>
        <v>0</v>
      </c>
      <c r="E512" s="2" t="str">
        <f>IF(C512,Return!D512,Return!E512)</f>
        <v>v</v>
      </c>
      <c r="F512" s="2" t="str">
        <f t="shared" si="21"/>
        <v/>
      </c>
      <c r="G512" s="2" t="str">
        <f t="shared" si="23"/>
        <v/>
      </c>
      <c r="H512" s="2" t="str">
        <f t="shared" si="22"/>
        <v/>
      </c>
      <c r="I512" s="2" t="str">
        <f>IF(Return!C512=0,REPLACE(INDEX(H:H,ROW()+Return!B512,),1,2,Return!E512&amp;"(")&amp;")","")</f>
        <v>v(v, [v], [v])</v>
      </c>
      <c r="M512" s="1"/>
    </row>
    <row r="513" spans="1:13" x14ac:dyDescent="0.55000000000000004">
      <c r="A513" s="1" t="s">
        <v>1626</v>
      </c>
      <c r="B513" t="s">
        <v>1951</v>
      </c>
      <c r="C513" s="2">
        <f>Return!C513</f>
        <v>1</v>
      </c>
      <c r="D513" s="2">
        <f>COUNTA(Argument!E513)</f>
        <v>1</v>
      </c>
      <c r="E513" s="2" t="str">
        <f>IF(C513,Return!D513,Return!E513)</f>
        <v>v</v>
      </c>
      <c r="F513" s="2" t="str">
        <f t="shared" si="21"/>
        <v>v</v>
      </c>
      <c r="G513" s="2" t="str">
        <f t="shared" si="23"/>
        <v>v</v>
      </c>
      <c r="H513" s="2" t="str">
        <f t="shared" si="22"/>
        <v>, v</v>
      </c>
      <c r="I513" s="2" t="str">
        <f>IF(Return!C513=0,REPLACE(INDEX(H:H,ROW()+Return!B513,),1,2,Return!E513&amp;"(")&amp;")","")</f>
        <v/>
      </c>
      <c r="M513" s="1"/>
    </row>
    <row r="514" spans="1:13" x14ac:dyDescent="0.55000000000000004">
      <c r="A514" s="1" t="s">
        <v>1626</v>
      </c>
      <c r="B514" t="s">
        <v>1952</v>
      </c>
      <c r="C514" s="2">
        <f>Return!C514</f>
        <v>2</v>
      </c>
      <c r="D514" s="2">
        <f>COUNTA(Argument!E514)</f>
        <v>1</v>
      </c>
      <c r="E514" s="2" t="str">
        <f>IF(C514,Return!D514,Return!E514)</f>
        <v>v</v>
      </c>
      <c r="F514" s="2" t="str">
        <f t="shared" si="21"/>
        <v>[v]</v>
      </c>
      <c r="G514" s="2" t="str">
        <f t="shared" si="23"/>
        <v>[v]</v>
      </c>
      <c r="H514" s="2" t="str">
        <f t="shared" si="22"/>
        <v>, v, [v]</v>
      </c>
      <c r="I514" s="2" t="str">
        <f>IF(Return!C514=0,REPLACE(INDEX(H:H,ROW()+Return!B514,),1,2,Return!E514&amp;"(")&amp;")","")</f>
        <v/>
      </c>
      <c r="M514" s="1"/>
    </row>
    <row r="515" spans="1:13" x14ac:dyDescent="0.55000000000000004">
      <c r="A515" s="1" t="s">
        <v>1626</v>
      </c>
      <c r="B515" t="s">
        <v>1957</v>
      </c>
      <c r="C515" s="2">
        <f>Return!C515</f>
        <v>3</v>
      </c>
      <c r="D515" s="2">
        <f>COUNTA(Argument!E515)</f>
        <v>1</v>
      </c>
      <c r="E515" s="2" t="str">
        <f>IF(C515,Return!D515,Return!E515)</f>
        <v>v</v>
      </c>
      <c r="F515" s="2" t="str">
        <f t="shared" ref="F515:F578" si="24">IF(C515,IF(D515,IF(D514,"["&amp;E515&amp;"]",E515),E515),"")</f>
        <v>[v]</v>
      </c>
      <c r="G515" s="2" t="str">
        <f t="shared" si="23"/>
        <v>[v]</v>
      </c>
      <c r="H515" s="2" t="str">
        <f t="shared" ref="H515:H578" si="25">IF(C515&gt;0,H514&amp;", "&amp;G515,"")</f>
        <v>, v, [v], [v]</v>
      </c>
      <c r="I515" s="2" t="str">
        <f>IF(Return!C515=0,REPLACE(INDEX(H:H,ROW()+Return!B515,),1,2,Return!E515&amp;"(")&amp;")","")</f>
        <v/>
      </c>
      <c r="M515" s="1"/>
    </row>
    <row r="516" spans="1:13" x14ac:dyDescent="0.55000000000000004">
      <c r="A516" s="1" t="s">
        <v>1627</v>
      </c>
      <c r="C516" s="2">
        <f>Return!C516</f>
        <v>0</v>
      </c>
      <c r="D516" s="2">
        <f>COUNTA(Argument!E516)</f>
        <v>0</v>
      </c>
      <c r="E516" s="2" t="str">
        <f>IF(C516,Return!D516,Return!E516)</f>
        <v>va</v>
      </c>
      <c r="F516" s="2" t="str">
        <f t="shared" si="24"/>
        <v/>
      </c>
      <c r="G516" s="2" t="str">
        <f t="shared" ref="G516:G579" si="26">IF(B516="...",IF(C517&gt;0,"["&amp;E516,"…"),IF(B515=" ...",IF(C516&gt;0,E516&amp;"], …",F516),F516))</f>
        <v/>
      </c>
      <c r="H516" s="2" t="str">
        <f t="shared" si="25"/>
        <v/>
      </c>
      <c r="I516" s="2" t="str">
        <f>IF(Return!C516=0,REPLACE(INDEX(H:H,ROW()+Return!B516,),1,2,Return!E516&amp;"(")&amp;")","")</f>
        <v>va(var)</v>
      </c>
      <c r="M516" s="1"/>
    </row>
    <row r="517" spans="1:13" x14ac:dyDescent="0.55000000000000004">
      <c r="A517" s="1" t="s">
        <v>1627</v>
      </c>
      <c r="B517" t="s">
        <v>2014</v>
      </c>
      <c r="C517" s="2">
        <f>Return!C517</f>
        <v>1</v>
      </c>
      <c r="D517" s="2">
        <f>COUNTA(Argument!E517)</f>
        <v>1</v>
      </c>
      <c r="E517" s="2" t="str">
        <f>IF(C517,Return!D517,Return!E517)</f>
        <v>var</v>
      </c>
      <c r="F517" s="2" t="str">
        <f t="shared" si="24"/>
        <v>var</v>
      </c>
      <c r="G517" s="2" t="str">
        <f t="shared" si="26"/>
        <v>var</v>
      </c>
      <c r="H517" s="2" t="str">
        <f t="shared" si="25"/>
        <v>, var</v>
      </c>
      <c r="I517" s="2" t="str">
        <f>IF(Return!C517=0,REPLACE(INDEX(H:H,ROW()+Return!B517,),1,2,Return!E517&amp;"(")&amp;")","")</f>
        <v/>
      </c>
      <c r="M517" s="1"/>
    </row>
    <row r="518" spans="1:13" x14ac:dyDescent="0.55000000000000004">
      <c r="A518" s="1" t="s">
        <v>1628</v>
      </c>
      <c r="C518" s="2">
        <f>Return!C518</f>
        <v>0</v>
      </c>
      <c r="D518" s="2">
        <f>COUNTA(Argument!E518)</f>
        <v>0</v>
      </c>
      <c r="E518" s="2" t="str">
        <f>IF(C518,Return!D518,Return!E518)</f>
        <v>v</v>
      </c>
      <c r="F518" s="2" t="str">
        <f t="shared" si="24"/>
        <v/>
      </c>
      <c r="G518" s="2" t="str">
        <f t="shared" si="26"/>
        <v/>
      </c>
      <c r="H518" s="2" t="str">
        <f t="shared" si="25"/>
        <v/>
      </c>
      <c r="I518" s="2" t="str">
        <f>IF(Return!C518=0,REPLACE(INDEX(H:H,ROW()+Return!B518,),1,2,Return!E518&amp;"(")&amp;")","")</f>
        <v>v(v)</v>
      </c>
      <c r="M518" s="1"/>
    </row>
    <row r="519" spans="1:13" x14ac:dyDescent="0.55000000000000004">
      <c r="A519" s="1" t="s">
        <v>1628</v>
      </c>
      <c r="B519" t="s">
        <v>1233</v>
      </c>
      <c r="C519" s="2">
        <f>Return!C519</f>
        <v>1</v>
      </c>
      <c r="D519" s="2">
        <f>COUNTA(Argument!E519)</f>
        <v>1</v>
      </c>
      <c r="E519" s="2" t="str">
        <f>IF(C519,Return!D519,Return!E519)</f>
        <v>v</v>
      </c>
      <c r="F519" s="2" t="str">
        <f t="shared" si="24"/>
        <v>v</v>
      </c>
      <c r="G519" s="2" t="str">
        <f t="shared" si="26"/>
        <v>v</v>
      </c>
      <c r="H519" s="2" t="str">
        <f t="shared" si="25"/>
        <v>, v</v>
      </c>
      <c r="I519" s="2" t="str">
        <f>IF(Return!C519=0,REPLACE(INDEX(H:H,ROW()+Return!B519,),1,2,Return!E519&amp;"(")&amp;")","")</f>
        <v/>
      </c>
      <c r="M519" s="1"/>
    </row>
    <row r="520" spans="1:13" x14ac:dyDescent="0.55000000000000004">
      <c r="A520" s="1" t="s">
        <v>1629</v>
      </c>
      <c r="C520" s="2">
        <f>Return!C520</f>
        <v>0</v>
      </c>
      <c r="D520" s="2">
        <f>COUNTA(Argument!E520)</f>
        <v>0</v>
      </c>
      <c r="E520" s="2" t="str">
        <f>IF(C520,Return!D520,Return!E520)</f>
        <v>v</v>
      </c>
      <c r="F520" s="2" t="str">
        <f t="shared" si="24"/>
        <v/>
      </c>
      <c r="G520" s="2" t="str">
        <f t="shared" si="26"/>
        <v/>
      </c>
      <c r="H520" s="2" t="str">
        <f t="shared" si="25"/>
        <v/>
      </c>
      <c r="I520" s="2" t="str">
        <f>IF(Return!C520=0,REPLACE(INDEX(H:H,ROW()+Return!B520,),1,2,Return!E520&amp;"(")&amp;")","")</f>
        <v>v(a)</v>
      </c>
      <c r="M520" s="1"/>
    </row>
    <row r="521" spans="1:13" x14ac:dyDescent="0.55000000000000004">
      <c r="A521" s="1" t="s">
        <v>1629</v>
      </c>
      <c r="B521" t="s">
        <v>1230</v>
      </c>
      <c r="C521" s="2">
        <f>Return!C521</f>
        <v>1</v>
      </c>
      <c r="D521" s="2">
        <f>COUNTA(Argument!E521)</f>
        <v>1</v>
      </c>
      <c r="E521" s="2" t="str">
        <f>IF(C521,Return!D521,Return!E521)</f>
        <v>a</v>
      </c>
      <c r="F521" s="2" t="str">
        <f t="shared" si="24"/>
        <v>a</v>
      </c>
      <c r="G521" s="2" t="str">
        <f t="shared" si="26"/>
        <v>a</v>
      </c>
      <c r="H521" s="2" t="str">
        <f t="shared" si="25"/>
        <v>, a</v>
      </c>
      <c r="I521" s="2" t="str">
        <f>IF(Return!C521=0,REPLACE(INDEX(H:H,ROW()+Return!B521,),1,2,Return!E521&amp;"(")&amp;")","")</f>
        <v/>
      </c>
      <c r="M521" s="1"/>
    </row>
    <row r="522" spans="1:13" x14ac:dyDescent="0.55000000000000004">
      <c r="A522" s="1" t="s">
        <v>1630</v>
      </c>
      <c r="C522" s="2">
        <f>Return!C522</f>
        <v>0</v>
      </c>
      <c r="D522" s="2">
        <f>COUNTA(Argument!E522)</f>
        <v>0</v>
      </c>
      <c r="E522" s="2" t="str">
        <f>IF(C522,Return!D522,Return!E522)</f>
        <v>a</v>
      </c>
      <c r="F522" s="2" t="str">
        <f t="shared" si="24"/>
        <v/>
      </c>
      <c r="G522" s="2" t="str">
        <f t="shared" si="26"/>
        <v/>
      </c>
      <c r="H522" s="2" t="str">
        <f t="shared" si="25"/>
        <v/>
      </c>
      <c r="I522" s="2" t="str">
        <f>IF(Return!C522=0,REPLACE(INDEX(H:H,ROW()+Return!B522,),1,2,Return!E522&amp;"(")&amp;")","")</f>
        <v>a(a)</v>
      </c>
      <c r="M522" s="1"/>
    </row>
    <row r="523" spans="1:13" x14ac:dyDescent="0.55000000000000004">
      <c r="A523" s="1" t="s">
        <v>1630</v>
      </c>
      <c r="B523" t="s">
        <v>1230</v>
      </c>
      <c r="C523" s="2">
        <f>Return!C523</f>
        <v>1</v>
      </c>
      <c r="D523" s="2">
        <f>COUNTA(Argument!E523)</f>
        <v>1</v>
      </c>
      <c r="E523" s="2" t="str">
        <f>IF(C523,Return!D523,Return!E523)</f>
        <v>a</v>
      </c>
      <c r="F523" s="2" t="str">
        <f t="shared" si="24"/>
        <v>a</v>
      </c>
      <c r="G523" s="2" t="str">
        <f t="shared" si="26"/>
        <v>a</v>
      </c>
      <c r="H523" s="2" t="str">
        <f t="shared" si="25"/>
        <v>, a</v>
      </c>
      <c r="I523" s="2" t="str">
        <f>IF(Return!C523=0,REPLACE(INDEX(H:H,ROW()+Return!B523,),1,2,Return!E523&amp;"(")&amp;")","")</f>
        <v/>
      </c>
      <c r="M523" s="1"/>
    </row>
    <row r="524" spans="1:13" x14ac:dyDescent="0.55000000000000004">
      <c r="A524" s="1" t="s">
        <v>1631</v>
      </c>
      <c r="C524" s="2">
        <f>Return!C524</f>
        <v>0</v>
      </c>
      <c r="D524" s="2">
        <f>COUNTA(Argument!E524)</f>
        <v>0</v>
      </c>
      <c r="E524" s="2" t="str">
        <f>IF(C524,Return!D524,Return!E524)</f>
        <v>a</v>
      </c>
      <c r="F524" s="2" t="str">
        <f t="shared" si="24"/>
        <v/>
      </c>
      <c r="G524" s="2" t="str">
        <f t="shared" si="26"/>
        <v/>
      </c>
      <c r="H524" s="2" t="str">
        <f t="shared" si="25"/>
        <v/>
      </c>
      <c r="I524" s="2" t="str">
        <f>IF(Return!C524=0,REPLACE(INDEX(H:H,ROW()+Return!B524,),1,2,Return!E524&amp;"(")&amp;")","")</f>
        <v>a(a, a)</v>
      </c>
      <c r="M524" s="1"/>
    </row>
    <row r="525" spans="1:13" x14ac:dyDescent="0.55000000000000004">
      <c r="A525" s="1" t="s">
        <v>1631</v>
      </c>
      <c r="B525" t="s">
        <v>1298</v>
      </c>
      <c r="C525" s="2">
        <f>Return!C525</f>
        <v>1</v>
      </c>
      <c r="D525" s="2">
        <f>COUNTA(Argument!E525)</f>
        <v>0</v>
      </c>
      <c r="E525" s="2" t="str">
        <f>IF(C525,Return!D525,Return!E525)</f>
        <v>a</v>
      </c>
      <c r="F525" s="2" t="str">
        <f t="shared" si="24"/>
        <v>a</v>
      </c>
      <c r="G525" s="2" t="str">
        <f t="shared" si="26"/>
        <v>a</v>
      </c>
      <c r="H525" s="2" t="str">
        <f t="shared" si="25"/>
        <v>, a</v>
      </c>
      <c r="I525" s="2" t="str">
        <f>IF(Return!C525=0,REPLACE(INDEX(H:H,ROW()+Return!B525,),1,2,Return!E525&amp;"(")&amp;")","")</f>
        <v/>
      </c>
      <c r="M525" s="1"/>
    </row>
    <row r="526" spans="1:13" x14ac:dyDescent="0.55000000000000004">
      <c r="A526" s="1" t="s">
        <v>1631</v>
      </c>
      <c r="B526" t="s">
        <v>1299</v>
      </c>
      <c r="C526" s="2">
        <f>Return!C526</f>
        <v>2</v>
      </c>
      <c r="D526" s="2">
        <f>COUNTA(Argument!E526)</f>
        <v>1</v>
      </c>
      <c r="E526" s="2" t="str">
        <f>IF(C526,Return!D526,Return!E526)</f>
        <v>a</v>
      </c>
      <c r="F526" s="2" t="str">
        <f t="shared" si="24"/>
        <v>a</v>
      </c>
      <c r="G526" s="2" t="str">
        <f t="shared" si="26"/>
        <v>a</v>
      </c>
      <c r="H526" s="2" t="str">
        <f t="shared" si="25"/>
        <v>, a, a</v>
      </c>
      <c r="I526" s="2" t="str">
        <f>IF(Return!C526=0,REPLACE(INDEX(H:H,ROW()+Return!B526,),1,2,Return!E526&amp;"(")&amp;")","")</f>
        <v/>
      </c>
      <c r="M526" s="1"/>
    </row>
    <row r="527" spans="1:13" x14ac:dyDescent="0.55000000000000004">
      <c r="A527" s="1" t="s">
        <v>1632</v>
      </c>
      <c r="C527" s="2">
        <f>Return!C527</f>
        <v>0</v>
      </c>
      <c r="D527" s="2">
        <f>COUNTA(Argument!E527)</f>
        <v>1</v>
      </c>
      <c r="E527" s="2" t="str">
        <f>IF(C527,Return!D527,Return!E527)</f>
        <v>va</v>
      </c>
      <c r="F527" s="2" t="str">
        <f t="shared" si="24"/>
        <v/>
      </c>
      <c r="G527" s="2" t="str">
        <f t="shared" si="26"/>
        <v/>
      </c>
      <c r="H527" s="2" t="str">
        <f t="shared" si="25"/>
        <v/>
      </c>
      <c r="I527" s="2" t="str">
        <f>IF(Return!C527=0,REPLACE(INDEX(H:H,ROW()+Return!B527,),1,2,Return!E527&amp;"(")&amp;")","")</f>
        <v>va([v])</v>
      </c>
      <c r="M527" s="1"/>
    </row>
    <row r="528" spans="1:13" x14ac:dyDescent="0.55000000000000004">
      <c r="A528" s="1" t="s">
        <v>1632</v>
      </c>
      <c r="B528" t="s">
        <v>2015</v>
      </c>
      <c r="C528" s="2">
        <f>Return!C528</f>
        <v>1</v>
      </c>
      <c r="D528" s="2">
        <f>COUNTA(Argument!E528)</f>
        <v>1</v>
      </c>
      <c r="E528" s="2" t="str">
        <f>IF(C528,Return!D528,Return!E528)</f>
        <v>v</v>
      </c>
      <c r="F528" s="2" t="str">
        <f t="shared" si="24"/>
        <v>[v]</v>
      </c>
      <c r="G528" s="2" t="str">
        <f t="shared" si="26"/>
        <v>[v]</v>
      </c>
      <c r="H528" s="2" t="str">
        <f t="shared" si="25"/>
        <v>, [v]</v>
      </c>
      <c r="I528" s="2" t="str">
        <f>IF(Return!C528=0,REPLACE(INDEX(H:H,ROW()+Return!B528,),1,2,Return!E528&amp;"(")&amp;")","")</f>
        <v/>
      </c>
      <c r="M528" s="1"/>
    </row>
    <row r="529" spans="1:13" x14ac:dyDescent="0.55000000000000004">
      <c r="A529" s="1" t="s">
        <v>1633</v>
      </c>
      <c r="C529" s="2">
        <f>Return!C529</f>
        <v>0</v>
      </c>
      <c r="D529" s="2">
        <f>COUNTA(Argument!E529)</f>
        <v>0</v>
      </c>
      <c r="E529" s="2" t="str">
        <f>IF(C529,Return!D529,Return!E529)</f>
        <v>v</v>
      </c>
      <c r="F529" s="2" t="str">
        <f t="shared" si="24"/>
        <v/>
      </c>
      <c r="G529" s="2" t="str">
        <f t="shared" si="26"/>
        <v/>
      </c>
      <c r="H529" s="2" t="str">
        <f t="shared" si="25"/>
        <v/>
      </c>
      <c r="I529" s="2" t="str">
        <f>IF(Return!C529=0,REPLACE(INDEX(H:H,ROW()+Return!B529,),1,2,Return!E529&amp;"(")&amp;")","")</f>
        <v>v(v, v, v, v, [v], [v])</v>
      </c>
      <c r="M529" s="1"/>
    </row>
    <row r="530" spans="1:13" x14ac:dyDescent="0.55000000000000004">
      <c r="A530" s="1" t="s">
        <v>1633</v>
      </c>
      <c r="B530" t="s">
        <v>1222</v>
      </c>
      <c r="C530" s="2">
        <f>Return!C530</f>
        <v>1</v>
      </c>
      <c r="D530" s="2">
        <f>COUNTA(Argument!E530)</f>
        <v>0</v>
      </c>
      <c r="E530" s="2" t="str">
        <f>IF(C530,Return!D530,Return!E530)</f>
        <v>v</v>
      </c>
      <c r="F530" s="2" t="str">
        <f t="shared" si="24"/>
        <v>v</v>
      </c>
      <c r="G530" s="2" t="str">
        <f t="shared" si="26"/>
        <v>v</v>
      </c>
      <c r="H530" s="2" t="str">
        <f t="shared" si="25"/>
        <v>, v</v>
      </c>
      <c r="I530" s="2" t="str">
        <f>IF(Return!C530=0,REPLACE(INDEX(H:H,ROW()+Return!B530,),1,2,Return!E530&amp;"(")&amp;")","")</f>
        <v/>
      </c>
      <c r="M530" s="1"/>
    </row>
    <row r="531" spans="1:13" x14ac:dyDescent="0.55000000000000004">
      <c r="A531" s="1" t="s">
        <v>1633</v>
      </c>
      <c r="B531" t="s">
        <v>1293</v>
      </c>
      <c r="C531" s="2">
        <f>Return!C531</f>
        <v>2</v>
      </c>
      <c r="D531" s="2">
        <f>COUNTA(Argument!E531)</f>
        <v>0</v>
      </c>
      <c r="E531" s="2" t="str">
        <f>IF(C531,Return!D531,Return!E531)</f>
        <v>v</v>
      </c>
      <c r="F531" s="2" t="str">
        <f t="shared" si="24"/>
        <v>v</v>
      </c>
      <c r="G531" s="2" t="str">
        <f t="shared" si="26"/>
        <v>v</v>
      </c>
      <c r="H531" s="2" t="str">
        <f t="shared" si="25"/>
        <v>, v, v</v>
      </c>
      <c r="I531" s="2" t="str">
        <f>IF(Return!C531=0,REPLACE(INDEX(H:H,ROW()+Return!B531,),1,2,Return!E531&amp;"(")&amp;")","")</f>
        <v/>
      </c>
      <c r="M531" s="1"/>
    </row>
    <row r="532" spans="1:13" x14ac:dyDescent="0.55000000000000004">
      <c r="A532" s="1" t="s">
        <v>1633</v>
      </c>
      <c r="B532" t="s">
        <v>1249</v>
      </c>
      <c r="C532" s="2">
        <f>Return!C532</f>
        <v>3</v>
      </c>
      <c r="D532" s="2">
        <f>COUNTA(Argument!E532)</f>
        <v>0</v>
      </c>
      <c r="E532" s="2" t="str">
        <f>IF(C532,Return!D532,Return!E532)</f>
        <v>v</v>
      </c>
      <c r="F532" s="2" t="str">
        <f t="shared" si="24"/>
        <v>v</v>
      </c>
      <c r="G532" s="2" t="str">
        <f t="shared" si="26"/>
        <v>v</v>
      </c>
      <c r="H532" s="2" t="str">
        <f t="shared" si="25"/>
        <v>, v, v, v</v>
      </c>
      <c r="I532" s="2" t="str">
        <f>IF(Return!C532=0,REPLACE(INDEX(H:H,ROW()+Return!B532,),1,2,Return!E532&amp;"(")&amp;")","")</f>
        <v/>
      </c>
      <c r="M532" s="1"/>
    </row>
    <row r="533" spans="1:13" x14ac:dyDescent="0.55000000000000004">
      <c r="A533" s="1" t="s">
        <v>1633</v>
      </c>
      <c r="B533" t="s">
        <v>1253</v>
      </c>
      <c r="C533" s="2">
        <f>Return!C533</f>
        <v>4</v>
      </c>
      <c r="D533" s="2">
        <f>COUNTA(Argument!E533)</f>
        <v>1</v>
      </c>
      <c r="E533" s="2" t="str">
        <f>IF(C533,Return!D533,Return!E533)</f>
        <v>v</v>
      </c>
      <c r="F533" s="2" t="str">
        <f t="shared" si="24"/>
        <v>v</v>
      </c>
      <c r="G533" s="2" t="str">
        <f t="shared" si="26"/>
        <v>v</v>
      </c>
      <c r="H533" s="2" t="str">
        <f t="shared" si="25"/>
        <v>, v, v, v, v</v>
      </c>
      <c r="I533" s="2" t="str">
        <f>IF(Return!C533=0,REPLACE(INDEX(H:H,ROW()+Return!B533,),1,2,Return!E533&amp;"(")&amp;")","")</f>
        <v/>
      </c>
      <c r="M533" s="1"/>
    </row>
    <row r="534" spans="1:13" x14ac:dyDescent="0.55000000000000004">
      <c r="A534" s="1" t="s">
        <v>1633</v>
      </c>
      <c r="B534" t="s">
        <v>1251</v>
      </c>
      <c r="C534" s="2">
        <f>Return!C534</f>
        <v>5</v>
      </c>
      <c r="D534" s="2">
        <f>COUNTA(Argument!E534)</f>
        <v>1</v>
      </c>
      <c r="E534" s="2" t="str">
        <f>IF(C534,Return!D534,Return!E534)</f>
        <v>v</v>
      </c>
      <c r="F534" s="2" t="str">
        <f t="shared" si="24"/>
        <v>[v]</v>
      </c>
      <c r="G534" s="2" t="str">
        <f t="shared" si="26"/>
        <v>[v]</v>
      </c>
      <c r="H534" s="2" t="str">
        <f t="shared" si="25"/>
        <v>, v, v, v, v, [v]</v>
      </c>
      <c r="I534" s="2" t="str">
        <f>IF(Return!C534=0,REPLACE(INDEX(H:H,ROW()+Return!B534,),1,2,Return!E534&amp;"(")&amp;")","")</f>
        <v/>
      </c>
      <c r="M534" s="1"/>
    </row>
    <row r="535" spans="1:13" x14ac:dyDescent="0.55000000000000004">
      <c r="A535" s="1" t="s">
        <v>1633</v>
      </c>
      <c r="B535" t="s">
        <v>1252</v>
      </c>
      <c r="C535" s="2">
        <f>Return!C535</f>
        <v>6</v>
      </c>
      <c r="D535" s="2">
        <f>COUNTA(Argument!E535)</f>
        <v>1</v>
      </c>
      <c r="E535" s="2" t="str">
        <f>IF(C535,Return!D535,Return!E535)</f>
        <v>v</v>
      </c>
      <c r="F535" s="2" t="str">
        <f t="shared" si="24"/>
        <v>[v]</v>
      </c>
      <c r="G535" s="2" t="str">
        <f t="shared" si="26"/>
        <v>[v]</v>
      </c>
      <c r="H535" s="2" t="str">
        <f t="shared" si="25"/>
        <v>, v, v, v, v, [v], [v]</v>
      </c>
      <c r="I535" s="2" t="str">
        <f>IF(Return!C535=0,REPLACE(INDEX(H:H,ROW()+Return!B535,),1,2,Return!E535&amp;"(")&amp;")","")</f>
        <v/>
      </c>
      <c r="M535" s="1"/>
    </row>
    <row r="536" spans="1:13" x14ac:dyDescent="0.55000000000000004">
      <c r="A536" s="1" t="s">
        <v>1634</v>
      </c>
      <c r="C536" s="2">
        <f>Return!C536</f>
        <v>0</v>
      </c>
      <c r="D536" s="2">
        <f>COUNTA(Argument!E536)</f>
        <v>0</v>
      </c>
      <c r="E536" s="2" t="str">
        <f>IF(C536,Return!D536,Return!E536)</f>
        <v>v</v>
      </c>
      <c r="F536" s="2" t="str">
        <f t="shared" si="24"/>
        <v/>
      </c>
      <c r="G536" s="2" t="str">
        <f t="shared" si="26"/>
        <v/>
      </c>
      <c r="H536" s="2" t="str">
        <f t="shared" si="25"/>
        <v/>
      </c>
      <c r="I536" s="2" t="str">
        <f>IF(Return!C536=0,REPLACE(INDEX(H:H,ROW()+Return!B536,),1,2,Return!E536&amp;"(")&amp;")","")</f>
        <v>v(v, v, v, v, [v], [v])</v>
      </c>
      <c r="M536" s="1"/>
    </row>
    <row r="537" spans="1:13" x14ac:dyDescent="0.55000000000000004">
      <c r="A537" s="1" t="s">
        <v>1634</v>
      </c>
      <c r="B537" t="s">
        <v>1222</v>
      </c>
      <c r="C537" s="2">
        <f>Return!C537</f>
        <v>1</v>
      </c>
      <c r="D537" s="2">
        <f>COUNTA(Argument!E537)</f>
        <v>0</v>
      </c>
      <c r="E537" s="2" t="str">
        <f>IF(C537,Return!D537,Return!E537)</f>
        <v>v</v>
      </c>
      <c r="F537" s="2" t="str">
        <f t="shared" si="24"/>
        <v>v</v>
      </c>
      <c r="G537" s="2" t="str">
        <f t="shared" si="26"/>
        <v>v</v>
      </c>
      <c r="H537" s="2" t="str">
        <f t="shared" si="25"/>
        <v>, v</v>
      </c>
      <c r="I537" s="2" t="str">
        <f>IF(Return!C537=0,REPLACE(INDEX(H:H,ROW()+Return!B537,),1,2,Return!E537&amp;"(")&amp;")","")</f>
        <v/>
      </c>
      <c r="M537" s="1"/>
    </row>
    <row r="538" spans="1:13" x14ac:dyDescent="0.55000000000000004">
      <c r="A538" s="1" t="s">
        <v>1634</v>
      </c>
      <c r="B538" t="s">
        <v>1293</v>
      </c>
      <c r="C538" s="2">
        <f>Return!C538</f>
        <v>2</v>
      </c>
      <c r="D538" s="2">
        <f>COUNTA(Argument!E538)</f>
        <v>0</v>
      </c>
      <c r="E538" s="2" t="str">
        <f>IF(C538,Return!D538,Return!E538)</f>
        <v>v</v>
      </c>
      <c r="F538" s="2" t="str">
        <f t="shared" si="24"/>
        <v>v</v>
      </c>
      <c r="G538" s="2" t="str">
        <f t="shared" si="26"/>
        <v>v</v>
      </c>
      <c r="H538" s="2" t="str">
        <f t="shared" si="25"/>
        <v>, v, v</v>
      </c>
      <c r="I538" s="2" t="str">
        <f>IF(Return!C538=0,REPLACE(INDEX(H:H,ROW()+Return!B538,),1,2,Return!E538&amp;"(")&amp;")","")</f>
        <v/>
      </c>
      <c r="M538" s="1"/>
    </row>
    <row r="539" spans="1:13" x14ac:dyDescent="0.55000000000000004">
      <c r="A539" s="1" t="s">
        <v>1634</v>
      </c>
      <c r="B539" t="s">
        <v>1249</v>
      </c>
      <c r="C539" s="2">
        <f>Return!C539</f>
        <v>3</v>
      </c>
      <c r="D539" s="2">
        <f>COUNTA(Argument!E539)</f>
        <v>0</v>
      </c>
      <c r="E539" s="2" t="str">
        <f>IF(C539,Return!D539,Return!E539)</f>
        <v>v</v>
      </c>
      <c r="F539" s="2" t="str">
        <f t="shared" si="24"/>
        <v>v</v>
      </c>
      <c r="G539" s="2" t="str">
        <f t="shared" si="26"/>
        <v>v</v>
      </c>
      <c r="H539" s="2" t="str">
        <f t="shared" si="25"/>
        <v>, v, v, v</v>
      </c>
      <c r="I539" s="2" t="str">
        <f>IF(Return!C539=0,REPLACE(INDEX(H:H,ROW()+Return!B539,),1,2,Return!E539&amp;"(")&amp;")","")</f>
        <v/>
      </c>
      <c r="M539" s="1"/>
    </row>
    <row r="540" spans="1:13" x14ac:dyDescent="0.55000000000000004">
      <c r="A540" s="1" t="s">
        <v>1634</v>
      </c>
      <c r="B540" t="s">
        <v>1253</v>
      </c>
      <c r="C540" s="2">
        <f>Return!C540</f>
        <v>4</v>
      </c>
      <c r="D540" s="2">
        <f>COUNTA(Argument!E540)</f>
        <v>1</v>
      </c>
      <c r="E540" s="2" t="str">
        <f>IF(C540,Return!D540,Return!E540)</f>
        <v>v</v>
      </c>
      <c r="F540" s="2" t="str">
        <f t="shared" si="24"/>
        <v>v</v>
      </c>
      <c r="G540" s="2" t="str">
        <f t="shared" si="26"/>
        <v>v</v>
      </c>
      <c r="H540" s="2" t="str">
        <f t="shared" si="25"/>
        <v>, v, v, v, v</v>
      </c>
      <c r="I540" s="2" t="str">
        <f>IF(Return!C540=0,REPLACE(INDEX(H:H,ROW()+Return!B540,),1,2,Return!E540&amp;"(")&amp;")","")</f>
        <v/>
      </c>
      <c r="M540" s="1"/>
    </row>
    <row r="541" spans="1:13" x14ac:dyDescent="0.55000000000000004">
      <c r="A541" s="1" t="s">
        <v>1634</v>
      </c>
      <c r="B541" t="s">
        <v>1251</v>
      </c>
      <c r="C541" s="2">
        <f>Return!C541</f>
        <v>5</v>
      </c>
      <c r="D541" s="2">
        <f>COUNTA(Argument!E541)</f>
        <v>1</v>
      </c>
      <c r="E541" s="2" t="str">
        <f>IF(C541,Return!D541,Return!E541)</f>
        <v>v</v>
      </c>
      <c r="F541" s="2" t="str">
        <f t="shared" si="24"/>
        <v>[v]</v>
      </c>
      <c r="G541" s="2" t="str">
        <f t="shared" si="26"/>
        <v>[v]</v>
      </c>
      <c r="H541" s="2" t="str">
        <f t="shared" si="25"/>
        <v>, v, v, v, v, [v]</v>
      </c>
      <c r="I541" s="2" t="str">
        <f>IF(Return!C541=0,REPLACE(INDEX(H:H,ROW()+Return!B541,),1,2,Return!E541&amp;"(")&amp;")","")</f>
        <v/>
      </c>
      <c r="M541" s="1"/>
    </row>
    <row r="542" spans="1:13" x14ac:dyDescent="0.55000000000000004">
      <c r="A542" s="1" t="s">
        <v>1634</v>
      </c>
      <c r="B542" t="s">
        <v>1252</v>
      </c>
      <c r="C542" s="2">
        <f>Return!C542</f>
        <v>6</v>
      </c>
      <c r="D542" s="2">
        <f>COUNTA(Argument!E542)</f>
        <v>1</v>
      </c>
      <c r="E542" s="2" t="str">
        <f>IF(C542,Return!D542,Return!E542)</f>
        <v>v</v>
      </c>
      <c r="F542" s="2" t="str">
        <f t="shared" si="24"/>
        <v>[v]</v>
      </c>
      <c r="G542" s="2" t="str">
        <f t="shared" si="26"/>
        <v>[v]</v>
      </c>
      <c r="H542" s="2" t="str">
        <f t="shared" si="25"/>
        <v>, v, v, v, v, [v], [v]</v>
      </c>
      <c r="I542" s="2" t="str">
        <f>IF(Return!C542=0,REPLACE(INDEX(H:H,ROW()+Return!B542,),1,2,Return!E542&amp;"(")&amp;")","")</f>
        <v/>
      </c>
      <c r="M542" s="1"/>
    </row>
    <row r="543" spans="1:13" x14ac:dyDescent="0.55000000000000004">
      <c r="A543" s="1" t="s">
        <v>1635</v>
      </c>
      <c r="C543" s="2">
        <f>Return!C543</f>
        <v>0</v>
      </c>
      <c r="D543" s="2">
        <f>COUNTA(Argument!E543)</f>
        <v>0</v>
      </c>
      <c r="E543" s="2" t="str">
        <f>IF(C543,Return!D543,Return!E543)</f>
        <v>v</v>
      </c>
      <c r="F543" s="2" t="str">
        <f t="shared" si="24"/>
        <v/>
      </c>
      <c r="G543" s="2" t="str">
        <f t="shared" si="26"/>
        <v/>
      </c>
      <c r="H543" s="2" t="str">
        <f t="shared" si="25"/>
        <v/>
      </c>
      <c r="I543" s="2" t="str">
        <f>IF(Return!C543=0,REPLACE(INDEX(H:H,ROW()+Return!B543,),1,2,Return!E543&amp;"(")&amp;")","")</f>
        <v>v(var, [var], …)</v>
      </c>
      <c r="M543" s="1"/>
    </row>
    <row r="544" spans="1:13" x14ac:dyDescent="0.55000000000000004">
      <c r="A544" s="1" t="s">
        <v>1635</v>
      </c>
      <c r="B544" t="s">
        <v>1212</v>
      </c>
      <c r="C544" s="2">
        <f>Return!C544</f>
        <v>1</v>
      </c>
      <c r="D544" s="2">
        <f>COUNTA(Argument!E544)</f>
        <v>1</v>
      </c>
      <c r="E544" s="2" t="str">
        <f>IF(C544,Return!D544,Return!E544)</f>
        <v>var</v>
      </c>
      <c r="F544" s="2" t="str">
        <f t="shared" si="24"/>
        <v>var</v>
      </c>
      <c r="G544" s="2" t="str">
        <f t="shared" si="26"/>
        <v>var</v>
      </c>
      <c r="H544" s="2" t="str">
        <f t="shared" si="25"/>
        <v>, var</v>
      </c>
      <c r="I544" s="2" t="str">
        <f>IF(Return!C544=0,REPLACE(INDEX(H:H,ROW()+Return!B544,),1,2,Return!E544&amp;"(")&amp;")","")</f>
        <v/>
      </c>
      <c r="M544" s="1"/>
    </row>
    <row r="545" spans="1:13" x14ac:dyDescent="0.55000000000000004">
      <c r="A545" s="1" t="s">
        <v>1635</v>
      </c>
      <c r="B545" t="s">
        <v>1213</v>
      </c>
      <c r="C545" s="2">
        <f>Return!C545</f>
        <v>2</v>
      </c>
      <c r="D545" s="2">
        <f>COUNTA(Argument!E545)</f>
        <v>1</v>
      </c>
      <c r="E545" s="2" t="str">
        <f>IF(C545,Return!D545,Return!E545)</f>
        <v>var</v>
      </c>
      <c r="F545" s="2" t="str">
        <f t="shared" si="24"/>
        <v>[var]</v>
      </c>
      <c r="G545" s="2" t="str">
        <f t="shared" si="26"/>
        <v>[var]</v>
      </c>
      <c r="H545" s="2" t="str">
        <f t="shared" si="25"/>
        <v>, var, [var]</v>
      </c>
      <c r="I545" s="2" t="str">
        <f>IF(Return!C545=0,REPLACE(INDEX(H:H,ROW()+Return!B545,),1,2,Return!E545&amp;"(")&amp;")","")</f>
        <v/>
      </c>
      <c r="M545" s="1"/>
    </row>
    <row r="546" spans="1:13" x14ac:dyDescent="0.55000000000000004">
      <c r="A546" s="1" t="s">
        <v>1635</v>
      </c>
      <c r="B546" t="s">
        <v>1214</v>
      </c>
      <c r="C546" s="2">
        <f>Return!C546</f>
        <v>3</v>
      </c>
      <c r="D546" s="2">
        <f>COUNTA(Argument!E546)</f>
        <v>1</v>
      </c>
      <c r="E546" s="2" t="str">
        <f>IF(C546,Return!D546,Return!E546)</f>
        <v>var</v>
      </c>
      <c r="F546" s="2" t="str">
        <f t="shared" si="24"/>
        <v>[var]</v>
      </c>
      <c r="G546" s="2" t="str">
        <f t="shared" si="26"/>
        <v>…</v>
      </c>
      <c r="H546" s="2" t="str">
        <f t="shared" si="25"/>
        <v>, var, [var], …</v>
      </c>
      <c r="I546" s="2" t="str">
        <f>IF(Return!C546=0,REPLACE(INDEX(H:H,ROW()+Return!B546,),1,2,Return!E546&amp;"(")&amp;")","")</f>
        <v/>
      </c>
      <c r="M546" s="1"/>
    </row>
    <row r="547" spans="1:13" x14ac:dyDescent="0.55000000000000004">
      <c r="A547" s="1" t="s">
        <v>1636</v>
      </c>
      <c r="C547" s="2">
        <f>Return!C547</f>
        <v>0</v>
      </c>
      <c r="D547" s="2">
        <f>COUNTA(Argument!E547)</f>
        <v>1</v>
      </c>
      <c r="E547" s="2" t="str">
        <f>IF(C547,Return!D547,Return!E547)</f>
        <v>v</v>
      </c>
      <c r="F547" s="2" t="str">
        <f t="shared" si="24"/>
        <v/>
      </c>
      <c r="G547" s="2" t="str">
        <f t="shared" si="26"/>
        <v/>
      </c>
      <c r="H547" s="2" t="str">
        <f t="shared" si="25"/>
        <v/>
      </c>
      <c r="I547" s="2" t="str">
        <f>IF(Return!C547=0,REPLACE(INDEX(H:H,ROW()+Return!B547,),1,2,Return!E547&amp;"(")&amp;")","")</f>
        <v>v([v], [r])</v>
      </c>
      <c r="M547" s="1"/>
    </row>
    <row r="548" spans="1:13" x14ac:dyDescent="0.55000000000000004">
      <c r="A548" s="1" t="s">
        <v>1636</v>
      </c>
      <c r="B548" t="s">
        <v>1949</v>
      </c>
      <c r="C548" s="2">
        <f>Return!C548</f>
        <v>1</v>
      </c>
      <c r="D548" s="2">
        <f>COUNTA(Argument!E548)</f>
        <v>1</v>
      </c>
      <c r="E548" s="2" t="str">
        <f>IF(C548,Return!D548,Return!E548)</f>
        <v>v</v>
      </c>
      <c r="F548" s="2" t="str">
        <f t="shared" si="24"/>
        <v>[v]</v>
      </c>
      <c r="G548" s="2" t="str">
        <f t="shared" si="26"/>
        <v>[v]</v>
      </c>
      <c r="H548" s="2" t="str">
        <f t="shared" si="25"/>
        <v>, [v]</v>
      </c>
      <c r="I548" s="2" t="str">
        <f>IF(Return!C548=0,REPLACE(INDEX(H:H,ROW()+Return!B548,),1,2,Return!E548&amp;"(")&amp;")","")</f>
        <v/>
      </c>
      <c r="M548" s="1"/>
    </row>
    <row r="549" spans="1:13" x14ac:dyDescent="0.55000000000000004">
      <c r="A549" s="1" t="s">
        <v>1636</v>
      </c>
      <c r="B549" t="s">
        <v>2004</v>
      </c>
      <c r="C549" s="2">
        <f>Return!C549</f>
        <v>2</v>
      </c>
      <c r="D549" s="2">
        <f>COUNTA(Argument!E549)</f>
        <v>1</v>
      </c>
      <c r="E549" s="2" t="str">
        <f>IF(C549,Return!D549,Return!E549)</f>
        <v>r</v>
      </c>
      <c r="F549" s="2" t="str">
        <f t="shared" si="24"/>
        <v>[r]</v>
      </c>
      <c r="G549" s="2" t="str">
        <f t="shared" si="26"/>
        <v>[r]</v>
      </c>
      <c r="H549" s="2" t="str">
        <f t="shared" si="25"/>
        <v>, [v], [r]</v>
      </c>
      <c r="I549" s="2" t="str">
        <f>IF(Return!C549=0,REPLACE(INDEX(H:H,ROW()+Return!B549,),1,2,Return!E549&amp;"(")&amp;")","")</f>
        <v/>
      </c>
      <c r="M549" s="1"/>
    </row>
    <row r="550" spans="1:13" x14ac:dyDescent="0.55000000000000004">
      <c r="A550" s="1" t="s">
        <v>2047</v>
      </c>
      <c r="C550" s="2">
        <f>Return!C550</f>
        <v>0</v>
      </c>
      <c r="D550" s="2">
        <f>COUNTA(Argument!E550)</f>
        <v>0</v>
      </c>
      <c r="E550" s="2" t="str">
        <f>IF(C550,Return!D550,Return!E550)</f>
        <v>v</v>
      </c>
      <c r="F550" s="2" t="str">
        <f t="shared" si="24"/>
        <v/>
      </c>
      <c r="G550" s="2" t="str">
        <f t="shared" si="26"/>
        <v/>
      </c>
      <c r="H550" s="2" t="str">
        <f t="shared" si="25"/>
        <v/>
      </c>
      <c r="I550" s="2" t="str">
        <f>IF(Return!C550=0,REPLACE(INDEX(H:H,ROW()+Return!B550,),1,2,Return!E550&amp;"(")&amp;")","")</f>
        <v>v(v, v, v, [v])</v>
      </c>
      <c r="M550" s="1"/>
    </row>
    <row r="551" spans="1:13" x14ac:dyDescent="0.55000000000000004">
      <c r="A551" s="1" t="s">
        <v>2047</v>
      </c>
      <c r="B551" t="s">
        <v>1953</v>
      </c>
      <c r="C551" s="2">
        <f>Return!C551</f>
        <v>1</v>
      </c>
      <c r="D551" s="2">
        <f>COUNTA(Argument!E551)</f>
        <v>0</v>
      </c>
      <c r="E551" s="2" t="str">
        <f>IF(C551,Return!D551,Return!E551)</f>
        <v>v</v>
      </c>
      <c r="F551" s="2" t="str">
        <f t="shared" si="24"/>
        <v>v</v>
      </c>
      <c r="G551" s="2" t="str">
        <f t="shared" si="26"/>
        <v>v</v>
      </c>
      <c r="H551" s="2" t="str">
        <f t="shared" si="25"/>
        <v>, v</v>
      </c>
      <c r="I551" s="2" t="str">
        <f>IF(Return!C551=0,REPLACE(INDEX(H:H,ROW()+Return!B551,),1,2,Return!E551&amp;"(")&amp;")","")</f>
        <v/>
      </c>
      <c r="M551" s="1"/>
    </row>
    <row r="552" spans="1:13" x14ac:dyDescent="0.55000000000000004">
      <c r="A552" s="1" t="s">
        <v>2047</v>
      </c>
      <c r="B552" t="s">
        <v>1235</v>
      </c>
      <c r="C552" s="2">
        <f>Return!C552</f>
        <v>2</v>
      </c>
      <c r="D552" s="2">
        <f>COUNTA(Argument!E552)</f>
        <v>0</v>
      </c>
      <c r="E552" s="2" t="str">
        <f>IF(C552,Return!D552,Return!E552)</f>
        <v>v</v>
      </c>
      <c r="F552" s="2" t="str">
        <f t="shared" si="24"/>
        <v>v</v>
      </c>
      <c r="G552" s="2" t="str">
        <f t="shared" si="26"/>
        <v>v</v>
      </c>
      <c r="H552" s="2" t="str">
        <f t="shared" si="25"/>
        <v>, v, v</v>
      </c>
      <c r="I552" s="2" t="str">
        <f>IF(Return!C552=0,REPLACE(INDEX(H:H,ROW()+Return!B552,),1,2,Return!E552&amp;"(")&amp;")","")</f>
        <v/>
      </c>
      <c r="M552" s="1"/>
    </row>
    <row r="553" spans="1:13" x14ac:dyDescent="0.55000000000000004">
      <c r="A553" s="1" t="s">
        <v>2047</v>
      </c>
      <c r="B553" t="s">
        <v>1954</v>
      </c>
      <c r="C553" s="2">
        <f>Return!C553</f>
        <v>3</v>
      </c>
      <c r="D553" s="2">
        <f>COUNTA(Argument!E553)</f>
        <v>1</v>
      </c>
      <c r="E553" s="2" t="str">
        <f>IF(C553,Return!D553,Return!E553)</f>
        <v>v</v>
      </c>
      <c r="F553" s="2" t="str">
        <f t="shared" si="24"/>
        <v>v</v>
      </c>
      <c r="G553" s="2" t="str">
        <f t="shared" si="26"/>
        <v>v</v>
      </c>
      <c r="H553" s="2" t="str">
        <f t="shared" si="25"/>
        <v>, v, v, v</v>
      </c>
      <c r="I553" s="2" t="str">
        <f>IF(Return!C553=0,REPLACE(INDEX(H:H,ROW()+Return!B553,),1,2,Return!E553&amp;"(")&amp;")","")</f>
        <v/>
      </c>
      <c r="M553" s="1"/>
    </row>
    <row r="554" spans="1:13" x14ac:dyDescent="0.55000000000000004">
      <c r="A554" s="1" t="s">
        <v>2047</v>
      </c>
      <c r="B554" t="s">
        <v>2016</v>
      </c>
      <c r="C554" s="2">
        <f>Return!C554</f>
        <v>4</v>
      </c>
      <c r="D554" s="2">
        <f>COUNTA(Argument!E554)</f>
        <v>1</v>
      </c>
      <c r="E554" s="2" t="str">
        <f>IF(C554,Return!D554,Return!E554)</f>
        <v>v</v>
      </c>
      <c r="F554" s="2" t="str">
        <f t="shared" si="24"/>
        <v>[v]</v>
      </c>
      <c r="G554" s="2" t="str">
        <f t="shared" si="26"/>
        <v>[v]</v>
      </c>
      <c r="H554" s="2" t="str">
        <f t="shared" si="25"/>
        <v>, v, v, v, [v]</v>
      </c>
      <c r="I554" s="2" t="str">
        <f>IF(Return!C554=0,REPLACE(INDEX(H:H,ROW()+Return!B554,),1,2,Return!E554&amp;"(")&amp;")","")</f>
        <v/>
      </c>
      <c r="M554" s="1"/>
    </row>
    <row r="555" spans="1:13" x14ac:dyDescent="0.55000000000000004">
      <c r="A555" s="1" t="s">
        <v>2048</v>
      </c>
      <c r="C555" s="2">
        <f>Return!C555</f>
        <v>0</v>
      </c>
      <c r="D555" s="2">
        <f>COUNTA(Argument!E555)</f>
        <v>0</v>
      </c>
      <c r="E555" s="2" t="str">
        <f>IF(C555,Return!D555,Return!E555)</f>
        <v>v</v>
      </c>
      <c r="F555" s="2" t="str">
        <f t="shared" si="24"/>
        <v/>
      </c>
      <c r="G555" s="2" t="str">
        <f t="shared" si="26"/>
        <v/>
      </c>
      <c r="H555" s="2" t="str">
        <f t="shared" si="25"/>
        <v/>
      </c>
      <c r="I555" s="2" t="str">
        <f>IF(Return!C555=0,REPLACE(INDEX(H:H,ROW()+Return!B555,),1,2,Return!E555&amp;"(")&amp;")","")</f>
        <v>v(v)</v>
      </c>
      <c r="M555" s="1"/>
    </row>
    <row r="556" spans="1:13" x14ac:dyDescent="0.55000000000000004">
      <c r="A556" s="1" t="s">
        <v>2048</v>
      </c>
      <c r="B556" t="s">
        <v>1215</v>
      </c>
      <c r="C556" s="2">
        <f>Return!C556</f>
        <v>1</v>
      </c>
      <c r="D556" s="2">
        <f>COUNTA(Argument!E556)</f>
        <v>1</v>
      </c>
      <c r="E556" s="2" t="str">
        <f>IF(C556,Return!D556,Return!E556)</f>
        <v>v</v>
      </c>
      <c r="F556" s="2" t="str">
        <f t="shared" si="24"/>
        <v>v</v>
      </c>
      <c r="G556" s="2" t="str">
        <f t="shared" si="26"/>
        <v>v</v>
      </c>
      <c r="H556" s="2" t="str">
        <f t="shared" si="25"/>
        <v>, v</v>
      </c>
      <c r="I556" s="2" t="str">
        <f>IF(Return!C556=0,REPLACE(INDEX(H:H,ROW()+Return!B556,),1,2,Return!E556&amp;"(")&amp;")","")</f>
        <v/>
      </c>
      <c r="M556" s="1"/>
    </row>
    <row r="557" spans="1:13" x14ac:dyDescent="0.55000000000000004">
      <c r="A557" s="1" t="s">
        <v>2049</v>
      </c>
      <c r="C557" s="2">
        <f>Return!C557</f>
        <v>0</v>
      </c>
      <c r="D557" s="2">
        <f>COUNTA(Argument!E557)</f>
        <v>1</v>
      </c>
      <c r="E557" s="2" t="str">
        <f>IF(C557,Return!D557,Return!E557)</f>
        <v>v</v>
      </c>
      <c r="F557" s="2" t="str">
        <f t="shared" si="24"/>
        <v/>
      </c>
      <c r="G557" s="2" t="str">
        <f t="shared" si="26"/>
        <v/>
      </c>
      <c r="H557" s="2" t="str">
        <f t="shared" si="25"/>
        <v/>
      </c>
      <c r="I557" s="2" t="str">
        <f>IF(Return!C557=0,REPLACE(INDEX(H:H,ROW()+Return!B557,),1,2,Return!E557&amp;"(")&amp;")","")</f>
        <v>v()</v>
      </c>
      <c r="M557" s="1"/>
    </row>
    <row r="558" spans="1:13" x14ac:dyDescent="0.55000000000000004">
      <c r="A558" s="1" t="s">
        <v>2050</v>
      </c>
      <c r="C558" s="2">
        <f>Return!C558</f>
        <v>0</v>
      </c>
      <c r="D558" s="2">
        <f>COUNTA(Argument!E558)</f>
        <v>1</v>
      </c>
      <c r="E558" s="2" t="str">
        <f>IF(C558,Return!D558,Return!E558)</f>
        <v>v</v>
      </c>
      <c r="F558" s="2" t="str">
        <f t="shared" si="24"/>
        <v/>
      </c>
      <c r="G558" s="2" t="str">
        <f t="shared" si="26"/>
        <v/>
      </c>
      <c r="H558" s="2" t="str">
        <f t="shared" si="25"/>
        <v/>
      </c>
      <c r="I558" s="2" t="str">
        <f>IF(Return!C558=0,REPLACE(INDEX(H:H,ROW()+Return!B558,),1,2,Return!E558&amp;"(")&amp;")","")</f>
        <v>v()</v>
      </c>
      <c r="M558" s="1"/>
    </row>
    <row r="559" spans="1:13" x14ac:dyDescent="0.55000000000000004">
      <c r="A559" s="1" t="s">
        <v>1637</v>
      </c>
      <c r="C559" s="2">
        <f>Return!C559</f>
        <v>0</v>
      </c>
      <c r="D559" s="2">
        <f>COUNTA(Argument!E559)</f>
        <v>0</v>
      </c>
      <c r="E559" s="2" t="str">
        <f>IF(C559,Return!D559,Return!E559)</f>
        <v>v</v>
      </c>
      <c r="F559" s="2" t="str">
        <f t="shared" si="24"/>
        <v/>
      </c>
      <c r="G559" s="2" t="str">
        <f t="shared" si="26"/>
        <v/>
      </c>
      <c r="H559" s="2" t="str">
        <f t="shared" si="25"/>
        <v/>
      </c>
      <c r="I559" s="2" t="str">
        <f>IF(Return!C559=0,REPLACE(INDEX(H:H,ROW()+Return!B559,),1,2,Return!E559&amp;"(")&amp;")","")</f>
        <v>v(v, v)</v>
      </c>
      <c r="M559" s="1"/>
    </row>
    <row r="560" spans="1:13" x14ac:dyDescent="0.55000000000000004">
      <c r="A560" s="1" t="s">
        <v>1637</v>
      </c>
      <c r="B560" t="s">
        <v>1955</v>
      </c>
      <c r="C560" s="2">
        <f>Return!C560</f>
        <v>1</v>
      </c>
      <c r="D560" s="2">
        <f>COUNTA(Argument!E560)</f>
        <v>0</v>
      </c>
      <c r="E560" s="2" t="str">
        <f>IF(C560,Return!D560,Return!E560)</f>
        <v>v</v>
      </c>
      <c r="F560" s="2" t="str">
        <f t="shared" si="24"/>
        <v>v</v>
      </c>
      <c r="G560" s="2" t="str">
        <f t="shared" si="26"/>
        <v>v</v>
      </c>
      <c r="H560" s="2" t="str">
        <f t="shared" si="25"/>
        <v>, v</v>
      </c>
      <c r="I560" s="2" t="str">
        <f>IF(Return!C560=0,REPLACE(INDEX(H:H,ROW()+Return!B560,),1,2,Return!E560&amp;"(")&amp;")","")</f>
        <v/>
      </c>
      <c r="M560" s="1"/>
    </row>
    <row r="561" spans="1:13" x14ac:dyDescent="0.55000000000000004">
      <c r="A561" s="1" t="s">
        <v>1637</v>
      </c>
      <c r="B561" t="s">
        <v>2017</v>
      </c>
      <c r="C561" s="2">
        <f>Return!C561</f>
        <v>2</v>
      </c>
      <c r="D561" s="2">
        <f>COUNTA(Argument!E561)</f>
        <v>1</v>
      </c>
      <c r="E561" s="2" t="str">
        <f>IF(C561,Return!D561,Return!E561)</f>
        <v>v</v>
      </c>
      <c r="F561" s="2" t="str">
        <f t="shared" si="24"/>
        <v>v</v>
      </c>
      <c r="G561" s="2" t="str">
        <f t="shared" si="26"/>
        <v>v</v>
      </c>
      <c r="H561" s="2" t="str">
        <f t="shared" si="25"/>
        <v>, v, v</v>
      </c>
      <c r="I561" s="2" t="str">
        <f>IF(Return!C561=0,REPLACE(INDEX(H:H,ROW()+Return!B561,),1,2,Return!E561&amp;"(")&amp;")","")</f>
        <v/>
      </c>
      <c r="M561" s="1"/>
    </row>
    <row r="562" spans="1:13" x14ac:dyDescent="0.55000000000000004">
      <c r="A562" s="1" t="s">
        <v>1638</v>
      </c>
      <c r="C562" s="2">
        <f>Return!C562</f>
        <v>0</v>
      </c>
      <c r="D562" s="2">
        <f>COUNTA(Argument!E562)</f>
        <v>0</v>
      </c>
      <c r="E562" s="2" t="str">
        <f>IF(C562,Return!D562,Return!E562)</f>
        <v>va</v>
      </c>
      <c r="F562" s="2" t="str">
        <f t="shared" si="24"/>
        <v/>
      </c>
      <c r="G562" s="2" t="str">
        <f t="shared" si="26"/>
        <v/>
      </c>
      <c r="H562" s="2" t="str">
        <f t="shared" si="25"/>
        <v/>
      </c>
      <c r="I562" s="2" t="str">
        <f>IF(Return!C562=0,REPLACE(INDEX(H:H,ROW()+Return!B562,),1,2,Return!E562&amp;"(")&amp;")","")</f>
        <v>va(v, v)</v>
      </c>
      <c r="M562" s="1"/>
    </row>
    <row r="563" spans="1:13" x14ac:dyDescent="0.55000000000000004">
      <c r="A563" s="1" t="s">
        <v>1638</v>
      </c>
      <c r="B563" t="s">
        <v>1956</v>
      </c>
      <c r="C563" s="2">
        <f>Return!C563</f>
        <v>1</v>
      </c>
      <c r="D563" s="2">
        <f>COUNTA(Argument!E563)</f>
        <v>0</v>
      </c>
      <c r="E563" s="2" t="str">
        <f>IF(C563,Return!D563,Return!E563)</f>
        <v>v</v>
      </c>
      <c r="F563" s="2" t="str">
        <f t="shared" si="24"/>
        <v>v</v>
      </c>
      <c r="G563" s="2" t="str">
        <f t="shared" si="26"/>
        <v>v</v>
      </c>
      <c r="H563" s="2" t="str">
        <f t="shared" si="25"/>
        <v>, v</v>
      </c>
      <c r="I563" s="2" t="str">
        <f>IF(Return!C563=0,REPLACE(INDEX(H:H,ROW()+Return!B563,),1,2,Return!E563&amp;"(")&amp;")","")</f>
        <v/>
      </c>
      <c r="M563" s="1"/>
    </row>
    <row r="564" spans="1:13" x14ac:dyDescent="0.55000000000000004">
      <c r="A564" s="1" t="s">
        <v>1638</v>
      </c>
      <c r="B564" t="s">
        <v>1957</v>
      </c>
      <c r="C564" s="2">
        <f>Return!C564</f>
        <v>2</v>
      </c>
      <c r="D564" s="2">
        <f>COUNTA(Argument!E564)</f>
        <v>1</v>
      </c>
      <c r="E564" s="2" t="str">
        <f>IF(C564,Return!D564,Return!E564)</f>
        <v>v</v>
      </c>
      <c r="F564" s="2" t="str">
        <f t="shared" si="24"/>
        <v>v</v>
      </c>
      <c r="G564" s="2" t="str">
        <f t="shared" si="26"/>
        <v>v</v>
      </c>
      <c r="H564" s="2" t="str">
        <f t="shared" si="25"/>
        <v>, v, v</v>
      </c>
      <c r="I564" s="2" t="str">
        <f>IF(Return!C564=0,REPLACE(INDEX(H:H,ROW()+Return!B564,),1,2,Return!E564&amp;"(")&amp;")","")</f>
        <v/>
      </c>
      <c r="M564" s="1"/>
    </row>
    <row r="565" spans="1:13" x14ac:dyDescent="0.55000000000000004">
      <c r="A565" s="1" t="s">
        <v>1639</v>
      </c>
      <c r="C565" s="2">
        <f>Return!C565</f>
        <v>0</v>
      </c>
      <c r="D565" s="2">
        <f>COUNTA(Argument!E565)</f>
        <v>0</v>
      </c>
      <c r="E565" s="2" t="str">
        <f>IF(C565,Return!D565,Return!E565)</f>
        <v>v</v>
      </c>
      <c r="F565" s="2" t="str">
        <f t="shared" si="24"/>
        <v/>
      </c>
      <c r="G565" s="2" t="str">
        <f t="shared" si="26"/>
        <v/>
      </c>
      <c r="H565" s="2" t="str">
        <f t="shared" si="25"/>
        <v/>
      </c>
      <c r="I565" s="2" t="str">
        <f>IF(Return!C565=0,REPLACE(INDEX(H:H,ROW()+Return!B565,),1,2,Return!E565&amp;"(")&amp;")","")</f>
        <v>v(v, vr, vr)</v>
      </c>
      <c r="M565" s="1"/>
    </row>
    <row r="566" spans="1:13" x14ac:dyDescent="0.55000000000000004">
      <c r="A566" s="1" t="s">
        <v>1639</v>
      </c>
      <c r="B566" t="s">
        <v>1956</v>
      </c>
      <c r="C566" s="2">
        <f>Return!C566</f>
        <v>1</v>
      </c>
      <c r="D566" s="2">
        <f>COUNTA(Argument!E566)</f>
        <v>0</v>
      </c>
      <c r="E566" s="2" t="str">
        <f>IF(C566,Return!D566,Return!E566)</f>
        <v>v</v>
      </c>
      <c r="F566" s="2" t="str">
        <f t="shared" si="24"/>
        <v>v</v>
      </c>
      <c r="G566" s="2" t="str">
        <f t="shared" si="26"/>
        <v>v</v>
      </c>
      <c r="H566" s="2" t="str">
        <f t="shared" si="25"/>
        <v>, v</v>
      </c>
      <c r="I566" s="2" t="str">
        <f>IF(Return!C566=0,REPLACE(INDEX(H:H,ROW()+Return!B566,),1,2,Return!E566&amp;"(")&amp;")","")</f>
        <v/>
      </c>
      <c r="M566" s="1"/>
    </row>
    <row r="567" spans="1:13" x14ac:dyDescent="0.55000000000000004">
      <c r="A567" s="1" t="s">
        <v>1639</v>
      </c>
      <c r="B567" t="s">
        <v>1957</v>
      </c>
      <c r="C567" s="2">
        <f>Return!C567</f>
        <v>2</v>
      </c>
      <c r="D567" s="2">
        <f>COUNTA(Argument!E567)</f>
        <v>0</v>
      </c>
      <c r="E567" s="2" t="str">
        <f>IF(C567,Return!D567,Return!E567)</f>
        <v>vr</v>
      </c>
      <c r="F567" s="2" t="str">
        <f t="shared" si="24"/>
        <v>vr</v>
      </c>
      <c r="G567" s="2" t="str">
        <f t="shared" si="26"/>
        <v>vr</v>
      </c>
      <c r="H567" s="2" t="str">
        <f t="shared" si="25"/>
        <v>, v, vr</v>
      </c>
      <c r="I567" s="2" t="str">
        <f>IF(Return!C567=0,REPLACE(INDEX(H:H,ROW()+Return!B567,),1,2,Return!E567&amp;"(")&amp;")","")</f>
        <v/>
      </c>
      <c r="M567" s="1"/>
    </row>
    <row r="568" spans="1:13" x14ac:dyDescent="0.55000000000000004">
      <c r="A568" s="1" t="s">
        <v>1639</v>
      </c>
      <c r="B568" t="s">
        <v>2018</v>
      </c>
      <c r="C568" s="2">
        <f>Return!C568</f>
        <v>3</v>
      </c>
      <c r="D568" s="2">
        <f>COUNTA(Argument!E568)</f>
        <v>1</v>
      </c>
      <c r="E568" s="2" t="str">
        <f>IF(C568,Return!D568,Return!E568)</f>
        <v>vr</v>
      </c>
      <c r="F568" s="2" t="str">
        <f t="shared" si="24"/>
        <v>vr</v>
      </c>
      <c r="G568" s="2" t="str">
        <f t="shared" si="26"/>
        <v>vr</v>
      </c>
      <c r="H568" s="2" t="str">
        <f t="shared" si="25"/>
        <v>, v, vr, vr</v>
      </c>
      <c r="I568" s="2" t="str">
        <f>IF(Return!C568=0,REPLACE(INDEX(H:H,ROW()+Return!B568,),1,2,Return!E568&amp;"(")&amp;")","")</f>
        <v/>
      </c>
      <c r="M568" s="1"/>
    </row>
    <row r="569" spans="1:13" x14ac:dyDescent="0.55000000000000004">
      <c r="A569" s="1" t="s">
        <v>1640</v>
      </c>
      <c r="C569" s="2">
        <f>Return!C569</f>
        <v>0</v>
      </c>
      <c r="D569" s="2">
        <f>COUNTA(Argument!E569)</f>
        <v>0</v>
      </c>
      <c r="E569" s="2" t="str">
        <f>IF(C569,Return!D569,Return!E569)</f>
        <v>v</v>
      </c>
      <c r="F569" s="2" t="str">
        <f t="shared" si="24"/>
        <v/>
      </c>
      <c r="G569" s="2" t="str">
        <f t="shared" si="26"/>
        <v/>
      </c>
      <c r="H569" s="2" t="str">
        <f t="shared" si="25"/>
        <v/>
      </c>
      <c r="I569" s="2" t="str">
        <f>IF(Return!C569=0,REPLACE(INDEX(H:H,ROW()+Return!B569,),1,2,Return!E569&amp;"(")&amp;")","")</f>
        <v>v(v, v)</v>
      </c>
      <c r="M569" s="1"/>
    </row>
    <row r="570" spans="1:13" x14ac:dyDescent="0.55000000000000004">
      <c r="A570" s="1" t="s">
        <v>1640</v>
      </c>
      <c r="B570" t="s">
        <v>1956</v>
      </c>
      <c r="C570" s="2">
        <f>Return!C570</f>
        <v>1</v>
      </c>
      <c r="D570" s="2">
        <f>COUNTA(Argument!E570)</f>
        <v>0</v>
      </c>
      <c r="E570" s="2" t="str">
        <f>IF(C570,Return!D570,Return!E570)</f>
        <v>v</v>
      </c>
      <c r="F570" s="2" t="str">
        <f t="shared" si="24"/>
        <v>v</v>
      </c>
      <c r="G570" s="2" t="str">
        <f t="shared" si="26"/>
        <v>v</v>
      </c>
      <c r="H570" s="2" t="str">
        <f t="shared" si="25"/>
        <v>, v</v>
      </c>
      <c r="I570" s="2" t="str">
        <f>IF(Return!C570=0,REPLACE(INDEX(H:H,ROW()+Return!B570,),1,2,Return!E570&amp;"(")&amp;")","")</f>
        <v/>
      </c>
      <c r="M570" s="1"/>
    </row>
    <row r="571" spans="1:13" x14ac:dyDescent="0.55000000000000004">
      <c r="A571" s="1" t="s">
        <v>1640</v>
      </c>
      <c r="B571" t="s">
        <v>2019</v>
      </c>
      <c r="C571" s="2">
        <f>Return!C571</f>
        <v>2</v>
      </c>
      <c r="D571" s="2">
        <f>COUNTA(Argument!E571)</f>
        <v>1</v>
      </c>
      <c r="E571" s="2" t="str">
        <f>IF(C571,Return!D571,Return!E571)</f>
        <v>v</v>
      </c>
      <c r="F571" s="2" t="str">
        <f t="shared" si="24"/>
        <v>v</v>
      </c>
      <c r="G571" s="2" t="str">
        <f t="shared" si="26"/>
        <v>v</v>
      </c>
      <c r="H571" s="2" t="str">
        <f t="shared" si="25"/>
        <v>, v, v</v>
      </c>
      <c r="I571" s="2" t="str">
        <f>IF(Return!C571=0,REPLACE(INDEX(H:H,ROW()+Return!B571,),1,2,Return!E571&amp;"(")&amp;")","")</f>
        <v/>
      </c>
      <c r="M571" s="1"/>
    </row>
    <row r="572" spans="1:13" x14ac:dyDescent="0.55000000000000004">
      <c r="A572" s="1" t="s">
        <v>1641</v>
      </c>
      <c r="C572" s="2">
        <f>Return!C572</f>
        <v>0</v>
      </c>
      <c r="D572" s="2">
        <f>COUNTA(Argument!E572)</f>
        <v>0</v>
      </c>
      <c r="E572" s="2" t="str">
        <f>IF(C572,Return!D572,Return!E572)</f>
        <v>v</v>
      </c>
      <c r="F572" s="2" t="str">
        <f t="shared" si="24"/>
        <v/>
      </c>
      <c r="G572" s="2" t="str">
        <f t="shared" si="26"/>
        <v/>
      </c>
      <c r="H572" s="2" t="str">
        <f t="shared" si="25"/>
        <v/>
      </c>
      <c r="I572" s="2" t="str">
        <f>IF(Return!C572=0,REPLACE(INDEX(H:H,ROW()+Return!B572,),1,2,Return!E572&amp;"(")&amp;")","")</f>
        <v>v(v)</v>
      </c>
      <c r="M572" s="1"/>
    </row>
    <row r="573" spans="1:13" x14ac:dyDescent="0.55000000000000004">
      <c r="A573" s="1" t="s">
        <v>1641</v>
      </c>
      <c r="B573" t="s">
        <v>1956</v>
      </c>
      <c r="C573" s="2">
        <f>Return!C573</f>
        <v>1</v>
      </c>
      <c r="D573" s="2">
        <f>COUNTA(Argument!E573)</f>
        <v>1</v>
      </c>
      <c r="E573" s="2" t="str">
        <f>IF(C573,Return!D573,Return!E573)</f>
        <v>v</v>
      </c>
      <c r="F573" s="2" t="str">
        <f t="shared" si="24"/>
        <v>v</v>
      </c>
      <c r="G573" s="2" t="str">
        <f t="shared" si="26"/>
        <v>v</v>
      </c>
      <c r="H573" s="2" t="str">
        <f t="shared" si="25"/>
        <v>, v</v>
      </c>
      <c r="I573" s="2" t="str">
        <f>IF(Return!C573=0,REPLACE(INDEX(H:H,ROW()+Return!B573,),1,2,Return!E573&amp;"(")&amp;")","")</f>
        <v/>
      </c>
      <c r="M573" s="1"/>
    </row>
    <row r="574" spans="1:13" x14ac:dyDescent="0.55000000000000004">
      <c r="A574" s="1" t="s">
        <v>1642</v>
      </c>
      <c r="C574" s="2">
        <f>Return!C574</f>
        <v>0</v>
      </c>
      <c r="D574" s="2">
        <f>COUNTA(Argument!E574)</f>
        <v>1</v>
      </c>
      <c r="E574" s="2" t="str">
        <f>IF(C574,Return!D574,Return!E574)</f>
        <v>v</v>
      </c>
      <c r="F574" s="2" t="str">
        <f t="shared" si="24"/>
        <v/>
      </c>
      <c r="G574" s="2" t="str">
        <f t="shared" si="26"/>
        <v/>
      </c>
      <c r="H574" s="2" t="str">
        <f t="shared" si="25"/>
        <v/>
      </c>
      <c r="I574" s="2" t="str">
        <f>IF(Return!C574=0,REPLACE(INDEX(H:H,ROW()+Return!B574,),1,2,Return!E574&amp;"(")&amp;")","")</f>
        <v>v([v])</v>
      </c>
      <c r="M574" s="1"/>
    </row>
    <row r="575" spans="1:13" x14ac:dyDescent="0.55000000000000004">
      <c r="A575" s="1" t="s">
        <v>1642</v>
      </c>
      <c r="B575" t="s">
        <v>2020</v>
      </c>
      <c r="C575" s="2">
        <f>Return!C575</f>
        <v>1</v>
      </c>
      <c r="D575" s="2">
        <f>COUNTA(Argument!E575)</f>
        <v>1</v>
      </c>
      <c r="E575" s="2" t="str">
        <f>IF(C575,Return!D575,Return!E575)</f>
        <v>v</v>
      </c>
      <c r="F575" s="2" t="str">
        <f t="shared" si="24"/>
        <v>[v]</v>
      </c>
      <c r="G575" s="2" t="str">
        <f t="shared" si="26"/>
        <v>[v]</v>
      </c>
      <c r="H575" s="2" t="str">
        <f t="shared" si="25"/>
        <v>, [v]</v>
      </c>
      <c r="I575" s="2" t="str">
        <f>IF(Return!C575=0,REPLACE(INDEX(H:H,ROW()+Return!B575,),1,2,Return!E575&amp;"(")&amp;")","")</f>
        <v/>
      </c>
      <c r="M575" s="1"/>
    </row>
    <row r="576" spans="1:13" x14ac:dyDescent="0.55000000000000004">
      <c r="A576" s="1" t="s">
        <v>1643</v>
      </c>
      <c r="C576" s="2">
        <f>Return!C576</f>
        <v>0</v>
      </c>
      <c r="D576" s="2">
        <f>COUNTA(Argument!E576)</f>
        <v>1</v>
      </c>
      <c r="E576" s="2" t="str">
        <f>IF(C576,Return!D576,Return!E576)</f>
        <v>v</v>
      </c>
      <c r="F576" s="2" t="str">
        <f t="shared" si="24"/>
        <v/>
      </c>
      <c r="G576" s="2" t="str">
        <f t="shared" si="26"/>
        <v/>
      </c>
      <c r="H576" s="2" t="str">
        <f t="shared" si="25"/>
        <v/>
      </c>
      <c r="I576" s="2" t="str">
        <f>IF(Return!C576=0,REPLACE(INDEX(H:H,ROW()+Return!B576,),1,2,Return!E576&amp;"(")&amp;")","")</f>
        <v>v([v])</v>
      </c>
      <c r="M576" s="1"/>
    </row>
    <row r="577" spans="1:13" x14ac:dyDescent="0.55000000000000004">
      <c r="A577" s="1" t="s">
        <v>1643</v>
      </c>
      <c r="B577" t="s">
        <v>2006</v>
      </c>
      <c r="C577" s="2">
        <f>Return!C577</f>
        <v>1</v>
      </c>
      <c r="D577" s="2">
        <f>COUNTA(Argument!E577)</f>
        <v>1</v>
      </c>
      <c r="E577" s="2" t="str">
        <f>IF(C577,Return!D577,Return!E577)</f>
        <v>v</v>
      </c>
      <c r="F577" s="2" t="str">
        <f t="shared" si="24"/>
        <v>[v]</v>
      </c>
      <c r="G577" s="2" t="str">
        <f t="shared" si="26"/>
        <v>[v]</v>
      </c>
      <c r="H577" s="2" t="str">
        <f t="shared" si="25"/>
        <v>, [v]</v>
      </c>
      <c r="I577" s="2" t="str">
        <f>IF(Return!C577=0,REPLACE(INDEX(H:H,ROW()+Return!B577,),1,2,Return!E577&amp;"(")&amp;")","")</f>
        <v/>
      </c>
      <c r="M577" s="1"/>
    </row>
    <row r="578" spans="1:13" x14ac:dyDescent="0.55000000000000004">
      <c r="A578" s="1" t="s">
        <v>1644</v>
      </c>
      <c r="C578" s="2">
        <f>Return!C578</f>
        <v>0</v>
      </c>
      <c r="D578" s="2">
        <f>COUNTA(Argument!E578)</f>
        <v>1</v>
      </c>
      <c r="E578" s="2" t="str">
        <f>IF(C578,Return!D578,Return!E578)</f>
        <v>v</v>
      </c>
      <c r="F578" s="2" t="str">
        <f t="shared" si="24"/>
        <v/>
      </c>
      <c r="G578" s="2" t="str">
        <f t="shared" si="26"/>
        <v/>
      </c>
      <c r="H578" s="2" t="str">
        <f t="shared" si="25"/>
        <v/>
      </c>
      <c r="I578" s="2" t="str">
        <f>IF(Return!C578=0,REPLACE(INDEX(H:H,ROW()+Return!B578,),1,2,Return!E578&amp;"(")&amp;")","")</f>
        <v>v([v], [v], [v], [v])</v>
      </c>
      <c r="M578" s="1"/>
    </row>
    <row r="579" spans="1:13" x14ac:dyDescent="0.55000000000000004">
      <c r="A579" s="1" t="s">
        <v>1644</v>
      </c>
      <c r="B579" t="s">
        <v>1943</v>
      </c>
      <c r="C579" s="2">
        <f>Return!C579</f>
        <v>1</v>
      </c>
      <c r="D579" s="2">
        <f>COUNTA(Argument!E579)</f>
        <v>1</v>
      </c>
      <c r="E579" s="2" t="str">
        <f>IF(C579,Return!D579,Return!E579)</f>
        <v>v</v>
      </c>
      <c r="F579" s="2" t="str">
        <f t="shared" ref="F579:F642" si="27">IF(C579,IF(D579,IF(D578,"["&amp;E579&amp;"]",E579),E579),"")</f>
        <v>[v]</v>
      </c>
      <c r="G579" s="2" t="str">
        <f t="shared" si="26"/>
        <v>[v]</v>
      </c>
      <c r="H579" s="2" t="str">
        <f t="shared" ref="H579:H642" si="28">IF(C579&gt;0,H578&amp;", "&amp;G579,"")</f>
        <v>, [v]</v>
      </c>
      <c r="I579" s="2" t="str">
        <f>IF(Return!C579=0,REPLACE(INDEX(H:H,ROW()+Return!B579,),1,2,Return!E579&amp;"(")&amp;")","")</f>
        <v/>
      </c>
      <c r="M579" s="1"/>
    </row>
    <row r="580" spans="1:13" x14ac:dyDescent="0.55000000000000004">
      <c r="A580" s="1" t="s">
        <v>1644</v>
      </c>
      <c r="B580" t="s">
        <v>1946</v>
      </c>
      <c r="C580" s="2">
        <f>Return!C580</f>
        <v>2</v>
      </c>
      <c r="D580" s="2">
        <f>COUNTA(Argument!E580)</f>
        <v>1</v>
      </c>
      <c r="E580" s="2" t="str">
        <f>IF(C580,Return!D580,Return!E580)</f>
        <v>v</v>
      </c>
      <c r="F580" s="2" t="str">
        <f t="shared" si="27"/>
        <v>[v]</v>
      </c>
      <c r="G580" s="2" t="str">
        <f t="shared" ref="G580:G643" si="29">IF(B580="...",IF(C581&gt;0,"["&amp;E580,"…"),IF(B579=" ...",IF(C580&gt;0,E580&amp;"], …",F580),F580))</f>
        <v>[v]</v>
      </c>
      <c r="H580" s="2" t="str">
        <f t="shared" si="28"/>
        <v>, [v], [v]</v>
      </c>
      <c r="I580" s="2" t="str">
        <f>IF(Return!C580=0,REPLACE(INDEX(H:H,ROW()+Return!B580,),1,2,Return!E580&amp;"(")&amp;")","")</f>
        <v/>
      </c>
      <c r="M580" s="1"/>
    </row>
    <row r="581" spans="1:13" x14ac:dyDescent="0.55000000000000004">
      <c r="A581" s="1" t="s">
        <v>1644</v>
      </c>
      <c r="B581" t="s">
        <v>1948</v>
      </c>
      <c r="C581" s="2">
        <f>Return!C581</f>
        <v>3</v>
      </c>
      <c r="D581" s="2">
        <f>COUNTA(Argument!E581)</f>
        <v>1</v>
      </c>
      <c r="E581" s="2" t="str">
        <f>IF(C581,Return!D581,Return!E581)</f>
        <v>v</v>
      </c>
      <c r="F581" s="2" t="str">
        <f t="shared" si="27"/>
        <v>[v]</v>
      </c>
      <c r="G581" s="2" t="str">
        <f t="shared" si="29"/>
        <v>[v]</v>
      </c>
      <c r="H581" s="2" t="str">
        <f t="shared" si="28"/>
        <v>, [v], [v], [v]</v>
      </c>
      <c r="I581" s="2" t="str">
        <f>IF(Return!C581=0,REPLACE(INDEX(H:H,ROW()+Return!B581,),1,2,Return!E581&amp;"(")&amp;")","")</f>
        <v/>
      </c>
      <c r="M581" s="1"/>
    </row>
    <row r="582" spans="1:13" x14ac:dyDescent="0.55000000000000004">
      <c r="A582" s="1" t="s">
        <v>1644</v>
      </c>
      <c r="B582" t="s">
        <v>2012</v>
      </c>
      <c r="C582" s="2">
        <f>Return!C582</f>
        <v>4</v>
      </c>
      <c r="D582" s="2">
        <f>COUNTA(Argument!E582)</f>
        <v>1</v>
      </c>
      <c r="E582" s="2" t="str">
        <f>IF(C582,Return!D582,Return!E582)</f>
        <v>v</v>
      </c>
      <c r="F582" s="2" t="str">
        <f t="shared" si="27"/>
        <v>[v]</v>
      </c>
      <c r="G582" s="2" t="str">
        <f t="shared" si="29"/>
        <v>[v]</v>
      </c>
      <c r="H582" s="2" t="str">
        <f t="shared" si="28"/>
        <v>, [v], [v], [v], [v]</v>
      </c>
      <c r="I582" s="2" t="str">
        <f>IF(Return!C582=0,REPLACE(INDEX(H:H,ROW()+Return!B582,),1,2,Return!E582&amp;"(")&amp;")","")</f>
        <v/>
      </c>
      <c r="M582" s="1"/>
    </row>
    <row r="583" spans="1:13" x14ac:dyDescent="0.55000000000000004">
      <c r="A583" s="1" t="s">
        <v>1645</v>
      </c>
      <c r="C583" s="2">
        <f>Return!C583</f>
        <v>0</v>
      </c>
      <c r="D583" s="2">
        <f>COUNTA(Argument!E583)</f>
        <v>0</v>
      </c>
      <c r="E583" s="2" t="str">
        <f>IF(C583,Return!D583,Return!E583)</f>
        <v>v</v>
      </c>
      <c r="F583" s="2" t="str">
        <f t="shared" si="27"/>
        <v/>
      </c>
      <c r="G583" s="2" t="str">
        <f t="shared" si="29"/>
        <v/>
      </c>
      <c r="H583" s="2" t="str">
        <f t="shared" si="28"/>
        <v/>
      </c>
      <c r="I583" s="2" t="str">
        <f>IF(Return!C583=0,REPLACE(INDEX(H:H,ROW()+Return!B583,),1,2,Return!E583&amp;"(")&amp;")","")</f>
        <v>v(var, [var], …)</v>
      </c>
      <c r="M583" s="1"/>
    </row>
    <row r="584" spans="1:13" x14ac:dyDescent="0.55000000000000004">
      <c r="A584" s="1" t="s">
        <v>1645</v>
      </c>
      <c r="B584" t="s">
        <v>1219</v>
      </c>
      <c r="C584" s="2">
        <f>Return!C584</f>
        <v>1</v>
      </c>
      <c r="D584" s="2">
        <f>COUNTA(Argument!E584)</f>
        <v>1</v>
      </c>
      <c r="E584" s="2" t="str">
        <f>IF(C584,Return!D584,Return!E584)</f>
        <v>var</v>
      </c>
      <c r="F584" s="2" t="str">
        <f t="shared" si="27"/>
        <v>var</v>
      </c>
      <c r="G584" s="2" t="str">
        <f t="shared" si="29"/>
        <v>var</v>
      </c>
      <c r="H584" s="2" t="str">
        <f t="shared" si="28"/>
        <v>, var</v>
      </c>
      <c r="I584" s="2" t="str">
        <f>IF(Return!C584=0,REPLACE(INDEX(H:H,ROW()+Return!B584,),1,2,Return!E584&amp;"(")&amp;")","")</f>
        <v/>
      </c>
      <c r="M584" s="1"/>
    </row>
    <row r="585" spans="1:13" x14ac:dyDescent="0.55000000000000004">
      <c r="A585" s="1" t="s">
        <v>1645</v>
      </c>
      <c r="B585" t="s">
        <v>1220</v>
      </c>
      <c r="C585" s="2">
        <f>Return!C585</f>
        <v>2</v>
      </c>
      <c r="D585" s="2">
        <f>COUNTA(Argument!E585)</f>
        <v>1</v>
      </c>
      <c r="E585" s="2" t="str">
        <f>IF(C585,Return!D585,Return!E585)</f>
        <v>var</v>
      </c>
      <c r="F585" s="2" t="str">
        <f t="shared" si="27"/>
        <v>[var]</v>
      </c>
      <c r="G585" s="2" t="str">
        <f t="shared" si="29"/>
        <v>[var]</v>
      </c>
      <c r="H585" s="2" t="str">
        <f t="shared" si="28"/>
        <v>, var, [var]</v>
      </c>
      <c r="I585" s="2" t="str">
        <f>IF(Return!C585=0,REPLACE(INDEX(H:H,ROW()+Return!B585,),1,2,Return!E585&amp;"(")&amp;")","")</f>
        <v/>
      </c>
      <c r="M585" s="1"/>
    </row>
    <row r="586" spans="1:13" x14ac:dyDescent="0.55000000000000004">
      <c r="A586" s="1" t="s">
        <v>1645</v>
      </c>
      <c r="B586" t="s">
        <v>1214</v>
      </c>
      <c r="C586" s="2">
        <f>Return!C586</f>
        <v>3</v>
      </c>
      <c r="D586" s="2">
        <f>COUNTA(Argument!E586)</f>
        <v>1</v>
      </c>
      <c r="E586" s="2" t="str">
        <f>IF(C586,Return!D586,Return!E586)</f>
        <v>var</v>
      </c>
      <c r="F586" s="2" t="str">
        <f t="shared" si="27"/>
        <v>[var]</v>
      </c>
      <c r="G586" s="2" t="str">
        <f t="shared" si="29"/>
        <v>…</v>
      </c>
      <c r="H586" s="2" t="str">
        <f t="shared" si="28"/>
        <v>, var, [var], …</v>
      </c>
      <c r="I586" s="2" t="str">
        <f>IF(Return!C586=0,REPLACE(INDEX(H:H,ROW()+Return!B586,),1,2,Return!E586&amp;"(")&amp;")","")</f>
        <v/>
      </c>
      <c r="M586" s="1"/>
    </row>
    <row r="587" spans="1:13" x14ac:dyDescent="0.55000000000000004">
      <c r="A587" s="1" t="s">
        <v>1646</v>
      </c>
      <c r="C587" s="2">
        <f>Return!C587</f>
        <v>0</v>
      </c>
      <c r="D587" s="2">
        <f>COUNTA(Argument!E587)</f>
        <v>0</v>
      </c>
      <c r="E587" s="2" t="str">
        <f>IF(C587,Return!D587,Return!E587)</f>
        <v>v</v>
      </c>
      <c r="F587" s="2" t="str">
        <f t="shared" si="27"/>
        <v/>
      </c>
      <c r="G587" s="2" t="str">
        <f t="shared" si="29"/>
        <v/>
      </c>
      <c r="H587" s="2" t="str">
        <f t="shared" si="28"/>
        <v/>
      </c>
      <c r="I587" s="2" t="str">
        <f>IF(Return!C587=0,REPLACE(INDEX(H:H,ROW()+Return!B587,),1,2,Return!E587&amp;"(")&amp;")","")</f>
        <v>v(v)</v>
      </c>
      <c r="M587" s="1"/>
    </row>
    <row r="588" spans="1:13" x14ac:dyDescent="0.55000000000000004">
      <c r="A588" s="1" t="s">
        <v>1646</v>
      </c>
      <c r="B588" t="s">
        <v>1223</v>
      </c>
      <c r="C588" s="2">
        <f>Return!C588</f>
        <v>1</v>
      </c>
      <c r="D588" s="2">
        <f>COUNTA(Argument!E588)</f>
        <v>1</v>
      </c>
      <c r="E588" s="2" t="str">
        <f>IF(C588,Return!D588,Return!E588)</f>
        <v>v</v>
      </c>
      <c r="F588" s="2" t="str">
        <f t="shared" si="27"/>
        <v>v</v>
      </c>
      <c r="G588" s="2" t="str">
        <f t="shared" si="29"/>
        <v>v</v>
      </c>
      <c r="H588" s="2" t="str">
        <f t="shared" si="28"/>
        <v>, v</v>
      </c>
      <c r="I588" s="2" t="str">
        <f>IF(Return!C588=0,REPLACE(INDEX(H:H,ROW()+Return!B588,),1,2,Return!E588&amp;"(")&amp;")","")</f>
        <v/>
      </c>
      <c r="M588" s="1"/>
    </row>
    <row r="589" spans="1:13" x14ac:dyDescent="0.55000000000000004">
      <c r="A589" s="1" t="s">
        <v>1647</v>
      </c>
      <c r="C589" s="2">
        <f>Return!C589</f>
        <v>0</v>
      </c>
      <c r="D589" s="2">
        <f>COUNTA(Argument!E589)</f>
        <v>0</v>
      </c>
      <c r="E589" s="2" t="str">
        <f>IF(C589,Return!D589,Return!E589)</f>
        <v>va</v>
      </c>
      <c r="F589" s="2" t="str">
        <f t="shared" si="27"/>
        <v/>
      </c>
      <c r="G589" s="2" t="str">
        <f t="shared" si="29"/>
        <v/>
      </c>
      <c r="H589" s="2" t="str">
        <f t="shared" si="28"/>
        <v/>
      </c>
      <c r="I589" s="2" t="str">
        <f>IF(Return!C589=0,REPLACE(INDEX(H:H,ROW()+Return!B589,),1,2,Return!E589&amp;"(")&amp;")","")</f>
        <v>va(v, [r])</v>
      </c>
      <c r="M589" s="1"/>
    </row>
    <row r="590" spans="1:13" x14ac:dyDescent="0.55000000000000004">
      <c r="A590" s="1" t="s">
        <v>1647</v>
      </c>
      <c r="B590" t="s">
        <v>1921</v>
      </c>
      <c r="C590" s="2">
        <f>Return!C590</f>
        <v>1</v>
      </c>
      <c r="D590" s="2">
        <f>COUNTA(Argument!E590)</f>
        <v>1</v>
      </c>
      <c r="E590" s="2" t="str">
        <f>IF(C590,Return!D590,Return!E590)</f>
        <v>v</v>
      </c>
      <c r="F590" s="2" t="str">
        <f t="shared" si="27"/>
        <v>v</v>
      </c>
      <c r="G590" s="2" t="str">
        <f t="shared" si="29"/>
        <v>v</v>
      </c>
      <c r="H590" s="2" t="str">
        <f t="shared" si="28"/>
        <v>, v</v>
      </c>
      <c r="I590" s="2" t="str">
        <f>IF(Return!C590=0,REPLACE(INDEX(H:H,ROW()+Return!B590,),1,2,Return!E590&amp;"(")&amp;")","")</f>
        <v/>
      </c>
      <c r="M590" s="1"/>
    </row>
    <row r="591" spans="1:13" x14ac:dyDescent="0.55000000000000004">
      <c r="A591" s="1" t="s">
        <v>1647</v>
      </c>
      <c r="B591" t="s">
        <v>1221</v>
      </c>
      <c r="C591" s="2">
        <f>Return!C591</f>
        <v>2</v>
      </c>
      <c r="D591" s="2">
        <f>COUNTA(Argument!E591)</f>
        <v>1</v>
      </c>
      <c r="E591" s="2" t="str">
        <f>IF(C591,Return!D591,Return!E591)</f>
        <v>r</v>
      </c>
      <c r="F591" s="2" t="str">
        <f t="shared" si="27"/>
        <v>[r]</v>
      </c>
      <c r="G591" s="2" t="str">
        <f t="shared" si="29"/>
        <v>[r]</v>
      </c>
      <c r="H591" s="2" t="str">
        <f t="shared" si="28"/>
        <v>, v, [r]</v>
      </c>
      <c r="I591" s="2" t="str">
        <f>IF(Return!C591=0,REPLACE(INDEX(H:H,ROW()+Return!B591,),1,2,Return!E591&amp;"(")&amp;")","")</f>
        <v/>
      </c>
      <c r="M591" s="1"/>
    </row>
    <row r="592" spans="1:13" x14ac:dyDescent="0.55000000000000004">
      <c r="A592" s="1" t="s">
        <v>1648</v>
      </c>
      <c r="C592" s="2">
        <f>Return!C592</f>
        <v>0</v>
      </c>
      <c r="D592" s="2">
        <f>COUNTA(Argument!E592)</f>
        <v>0</v>
      </c>
      <c r="E592" s="2" t="str">
        <f>IF(C592,Return!D592,Return!E592)</f>
        <v>va</v>
      </c>
      <c r="F592" s="2" t="str">
        <f t="shared" si="27"/>
        <v/>
      </c>
      <c r="G592" s="2" t="str">
        <f t="shared" si="29"/>
        <v/>
      </c>
      <c r="H592" s="2" t="str">
        <f t="shared" si="28"/>
        <v/>
      </c>
      <c r="I592" s="2" t="str">
        <f>IF(Return!C592=0,REPLACE(INDEX(H:H,ROW()+Return!B592,),1,2,Return!E592&amp;"(")&amp;")","")</f>
        <v>va(v)</v>
      </c>
      <c r="M592" s="1"/>
    </row>
    <row r="593" spans="1:13" x14ac:dyDescent="0.55000000000000004">
      <c r="A593" s="1" t="s">
        <v>1648</v>
      </c>
      <c r="B593" t="s">
        <v>1921</v>
      </c>
      <c r="C593" s="2">
        <f>Return!C593</f>
        <v>1</v>
      </c>
      <c r="D593" s="2">
        <f>COUNTA(Argument!E593)</f>
        <v>1</v>
      </c>
      <c r="E593" s="2" t="str">
        <f>IF(C593,Return!D593,Return!E593)</f>
        <v>v</v>
      </c>
      <c r="F593" s="2" t="str">
        <f t="shared" si="27"/>
        <v>v</v>
      </c>
      <c r="G593" s="2" t="str">
        <f t="shared" si="29"/>
        <v>v</v>
      </c>
      <c r="H593" s="2" t="str">
        <f t="shared" si="28"/>
        <v>, v</v>
      </c>
      <c r="I593" s="2" t="str">
        <f>IF(Return!C593=0,REPLACE(INDEX(H:H,ROW()+Return!B593,),1,2,Return!E593&amp;"(")&amp;")","")</f>
        <v/>
      </c>
      <c r="M593" s="1"/>
    </row>
    <row r="594" spans="1:13" x14ac:dyDescent="0.55000000000000004">
      <c r="A594" s="1" t="s">
        <v>1649</v>
      </c>
      <c r="C594" s="2">
        <f>Return!C594</f>
        <v>0</v>
      </c>
      <c r="D594" s="2">
        <f>COUNTA(Argument!E594)</f>
        <v>0</v>
      </c>
      <c r="E594" s="2" t="str">
        <f>IF(C594,Return!D594,Return!E594)</f>
        <v>va</v>
      </c>
      <c r="F594" s="2" t="str">
        <f t="shared" si="27"/>
        <v/>
      </c>
      <c r="G594" s="2" t="str">
        <f t="shared" si="29"/>
        <v/>
      </c>
      <c r="H594" s="2" t="str">
        <f t="shared" si="28"/>
        <v/>
      </c>
      <c r="I594" s="2" t="str">
        <f>IF(Return!C594=0,REPLACE(INDEX(H:H,ROW()+Return!B594,),1,2,Return!E594&amp;"(")&amp;")","")</f>
        <v>va(v, [v])</v>
      </c>
      <c r="M594" s="1"/>
    </row>
    <row r="595" spans="1:13" x14ac:dyDescent="0.55000000000000004">
      <c r="A595" s="1" t="s">
        <v>1649</v>
      </c>
      <c r="B595" t="s">
        <v>1921</v>
      </c>
      <c r="C595" s="2">
        <f>Return!C595</f>
        <v>1</v>
      </c>
      <c r="D595" s="2">
        <f>COUNTA(Argument!E595)</f>
        <v>1</v>
      </c>
      <c r="E595" s="2" t="str">
        <f>IF(C595,Return!D595,Return!E595)</f>
        <v>v</v>
      </c>
      <c r="F595" s="2" t="str">
        <f t="shared" si="27"/>
        <v>v</v>
      </c>
      <c r="G595" s="2" t="str">
        <f t="shared" si="29"/>
        <v>v</v>
      </c>
      <c r="H595" s="2" t="str">
        <f t="shared" si="28"/>
        <v>, v</v>
      </c>
      <c r="I595" s="2" t="str">
        <f>IF(Return!C595=0,REPLACE(INDEX(H:H,ROW()+Return!B595,),1,2,Return!E595&amp;"(")&amp;")","")</f>
        <v/>
      </c>
      <c r="M595" s="1"/>
    </row>
    <row r="596" spans="1:13" x14ac:dyDescent="0.55000000000000004">
      <c r="A596" s="1" t="s">
        <v>1649</v>
      </c>
      <c r="B596" t="s">
        <v>2021</v>
      </c>
      <c r="C596" s="2">
        <f>Return!C596</f>
        <v>2</v>
      </c>
      <c r="D596" s="2">
        <f>COUNTA(Argument!E596)</f>
        <v>1</v>
      </c>
      <c r="E596" s="2" t="str">
        <f>IF(C596,Return!D596,Return!E596)</f>
        <v>v</v>
      </c>
      <c r="F596" s="2" t="str">
        <f t="shared" si="27"/>
        <v>[v]</v>
      </c>
      <c r="G596" s="2" t="str">
        <f t="shared" si="29"/>
        <v>[v]</v>
      </c>
      <c r="H596" s="2" t="str">
        <f t="shared" si="28"/>
        <v>, v, [v]</v>
      </c>
      <c r="I596" s="2" t="str">
        <f>IF(Return!C596=0,REPLACE(INDEX(H:H,ROW()+Return!B596,),1,2,Return!E596&amp;"(")&amp;")","")</f>
        <v/>
      </c>
      <c r="M596" s="1"/>
    </row>
    <row r="597" spans="1:13" x14ac:dyDescent="0.55000000000000004">
      <c r="A597" s="1" t="s">
        <v>1650</v>
      </c>
      <c r="C597" s="2">
        <f>Return!C597</f>
        <v>0</v>
      </c>
      <c r="D597" s="2">
        <f>COUNTA(Argument!E597)</f>
        <v>0</v>
      </c>
      <c r="E597" s="2" t="str">
        <f>IF(C597,Return!D597,Return!E597)</f>
        <v>var</v>
      </c>
      <c r="F597" s="2" t="str">
        <f t="shared" si="27"/>
        <v/>
      </c>
      <c r="G597" s="2" t="str">
        <f t="shared" si="29"/>
        <v/>
      </c>
      <c r="H597" s="2" t="str">
        <f t="shared" si="28"/>
        <v/>
      </c>
      <c r="I597" s="2" t="str">
        <f>IF(Return!C597=0,REPLACE(INDEX(H:H,ROW()+Return!B597,),1,2,Return!E597&amp;"(")&amp;")","")</f>
        <v>var(v, [v])</v>
      </c>
      <c r="M597" s="1"/>
    </row>
    <row r="598" spans="1:13" x14ac:dyDescent="0.55000000000000004">
      <c r="A598" s="1" t="s">
        <v>1650</v>
      </c>
      <c r="B598" t="s">
        <v>1921</v>
      </c>
      <c r="C598" s="2">
        <f>Return!C598</f>
        <v>1</v>
      </c>
      <c r="D598" s="2">
        <f>COUNTA(Argument!E598)</f>
        <v>1</v>
      </c>
      <c r="E598" s="2" t="str">
        <f>IF(C598,Return!D598,Return!E598)</f>
        <v>v</v>
      </c>
      <c r="F598" s="2" t="str">
        <f t="shared" si="27"/>
        <v>v</v>
      </c>
      <c r="G598" s="2" t="str">
        <f t="shared" si="29"/>
        <v>v</v>
      </c>
      <c r="H598" s="2" t="str">
        <f t="shared" si="28"/>
        <v>, v</v>
      </c>
      <c r="I598" s="2" t="str">
        <f>IF(Return!C598=0,REPLACE(INDEX(H:H,ROW()+Return!B598,),1,2,Return!E598&amp;"(")&amp;")","")</f>
        <v/>
      </c>
      <c r="M598" s="1"/>
    </row>
    <row r="599" spans="1:13" x14ac:dyDescent="0.55000000000000004">
      <c r="A599" s="1" t="s">
        <v>1650</v>
      </c>
      <c r="B599" t="s">
        <v>1919</v>
      </c>
      <c r="C599" s="2">
        <f>Return!C599</f>
        <v>2</v>
      </c>
      <c r="D599" s="2">
        <f>COUNTA(Argument!E599)</f>
        <v>1</v>
      </c>
      <c r="E599" s="2" t="str">
        <f>IF(C599,Return!D599,Return!E599)</f>
        <v>v</v>
      </c>
      <c r="F599" s="2" t="str">
        <f t="shared" si="27"/>
        <v>[v]</v>
      </c>
      <c r="G599" s="2" t="str">
        <f t="shared" si="29"/>
        <v>[v]</v>
      </c>
      <c r="H599" s="2" t="str">
        <f t="shared" si="28"/>
        <v>, v, [v]</v>
      </c>
      <c r="I599" s="2" t="str">
        <f>IF(Return!C599=0,REPLACE(INDEX(H:H,ROW()+Return!B599,),1,2,Return!E599&amp;"(")&amp;")","")</f>
        <v/>
      </c>
      <c r="M599" s="1"/>
    </row>
    <row r="600" spans="1:13" x14ac:dyDescent="0.55000000000000004">
      <c r="A600" s="1" t="s">
        <v>1651</v>
      </c>
      <c r="C600" s="2">
        <f>Return!C600</f>
        <v>0</v>
      </c>
      <c r="D600" s="2">
        <f>COUNTA(Argument!E600)</f>
        <v>0</v>
      </c>
      <c r="E600" s="2" t="str">
        <f>IF(C600,Return!D600,Return!E600)</f>
        <v>v</v>
      </c>
      <c r="F600" s="2" t="str">
        <f t="shared" si="27"/>
        <v/>
      </c>
      <c r="G600" s="2" t="str">
        <f t="shared" si="29"/>
        <v/>
      </c>
      <c r="H600" s="2" t="str">
        <f t="shared" si="28"/>
        <v/>
      </c>
      <c r="I600" s="2" t="str">
        <f>IF(Return!C600=0,REPLACE(INDEX(H:H,ROW()+Return!B600,),1,2,Return!E600&amp;"(")&amp;")","")</f>
        <v>v(r, vr, vr)</v>
      </c>
      <c r="M600" s="1"/>
    </row>
    <row r="601" spans="1:13" x14ac:dyDescent="0.55000000000000004">
      <c r="A601" s="1" t="s">
        <v>1651</v>
      </c>
      <c r="B601" t="s">
        <v>1241</v>
      </c>
      <c r="C601" s="2">
        <f>Return!C601</f>
        <v>1</v>
      </c>
      <c r="D601" s="2">
        <f>COUNTA(Argument!E601)</f>
        <v>0</v>
      </c>
      <c r="E601" s="2" t="str">
        <f>IF(C601,Return!D601,Return!E601)</f>
        <v>r</v>
      </c>
      <c r="F601" s="2" t="str">
        <f t="shared" si="27"/>
        <v>r</v>
      </c>
      <c r="G601" s="2" t="str">
        <f t="shared" si="29"/>
        <v>r</v>
      </c>
      <c r="H601" s="2" t="str">
        <f t="shared" si="28"/>
        <v>, r</v>
      </c>
      <c r="I601" s="2" t="str">
        <f>IF(Return!C601=0,REPLACE(INDEX(H:H,ROW()+Return!B601,),1,2,Return!E601&amp;"(")&amp;")","")</f>
        <v/>
      </c>
      <c r="M601" s="1"/>
    </row>
    <row r="602" spans="1:13" x14ac:dyDescent="0.55000000000000004">
      <c r="A602" s="1" t="s">
        <v>1651</v>
      </c>
      <c r="B602" t="s">
        <v>1242</v>
      </c>
      <c r="C602" s="2">
        <f>Return!C602</f>
        <v>2</v>
      </c>
      <c r="D602" s="2">
        <f>COUNTA(Argument!E602)</f>
        <v>0</v>
      </c>
      <c r="E602" s="2" t="str">
        <f>IF(C602,Return!D602,Return!E602)</f>
        <v>vr</v>
      </c>
      <c r="F602" s="2" t="str">
        <f t="shared" si="27"/>
        <v>vr</v>
      </c>
      <c r="G602" s="2" t="str">
        <f t="shared" si="29"/>
        <v>vr</v>
      </c>
      <c r="H602" s="2" t="str">
        <f t="shared" si="28"/>
        <v>, r, vr</v>
      </c>
      <c r="I602" s="2" t="str">
        <f>IF(Return!C602=0,REPLACE(INDEX(H:H,ROW()+Return!B602,),1,2,Return!E602&amp;"(")&amp;")","")</f>
        <v/>
      </c>
      <c r="M602" s="1"/>
    </row>
    <row r="603" spans="1:13" x14ac:dyDescent="0.55000000000000004">
      <c r="A603" s="1" t="s">
        <v>1651</v>
      </c>
      <c r="B603" t="s">
        <v>1243</v>
      </c>
      <c r="C603" s="2">
        <f>Return!C603</f>
        <v>3</v>
      </c>
      <c r="D603" s="2">
        <f>COUNTA(Argument!E603)</f>
        <v>1</v>
      </c>
      <c r="E603" s="2" t="str">
        <f>IF(C603,Return!D603,Return!E603)</f>
        <v>vr</v>
      </c>
      <c r="F603" s="2" t="str">
        <f t="shared" si="27"/>
        <v>vr</v>
      </c>
      <c r="G603" s="2" t="str">
        <f t="shared" si="29"/>
        <v>vr</v>
      </c>
      <c r="H603" s="2" t="str">
        <f t="shared" si="28"/>
        <v>, r, vr, vr</v>
      </c>
      <c r="I603" s="2" t="str">
        <f>IF(Return!C603=0,REPLACE(INDEX(H:H,ROW()+Return!B603,),1,2,Return!E603&amp;"(")&amp;")","")</f>
        <v/>
      </c>
      <c r="M603" s="1"/>
    </row>
    <row r="604" spans="1:13" x14ac:dyDescent="0.55000000000000004">
      <c r="A604" s="1" t="s">
        <v>1652</v>
      </c>
      <c r="C604" s="2">
        <f>Return!C604</f>
        <v>0</v>
      </c>
      <c r="D604" s="2">
        <f>COUNTA(Argument!E604)</f>
        <v>0</v>
      </c>
      <c r="E604" s="2" t="str">
        <f>IF(C604,Return!D604,Return!E604)</f>
        <v>v</v>
      </c>
      <c r="F604" s="2" t="str">
        <f t="shared" si="27"/>
        <v/>
      </c>
      <c r="G604" s="2" t="str">
        <f t="shared" si="29"/>
        <v/>
      </c>
      <c r="H604" s="2" t="str">
        <f t="shared" si="28"/>
        <v/>
      </c>
      <c r="I604" s="2" t="str">
        <f>IF(Return!C604=0,REPLACE(INDEX(H:H,ROW()+Return!B604,),1,2,Return!E604&amp;"(")&amp;")","")</f>
        <v>v(v)</v>
      </c>
      <c r="M604" s="1"/>
    </row>
    <row r="605" spans="1:13" x14ac:dyDescent="0.55000000000000004">
      <c r="A605" s="1" t="s">
        <v>1652</v>
      </c>
      <c r="B605" t="s">
        <v>1218</v>
      </c>
      <c r="C605" s="2">
        <f>Return!C605</f>
        <v>1</v>
      </c>
      <c r="D605" s="2">
        <f>COUNTA(Argument!E605)</f>
        <v>1</v>
      </c>
      <c r="E605" s="2" t="str">
        <f>IF(C605,Return!D605,Return!E605)</f>
        <v>v</v>
      </c>
      <c r="F605" s="2" t="str">
        <f t="shared" si="27"/>
        <v>v</v>
      </c>
      <c r="G605" s="2" t="str">
        <f t="shared" si="29"/>
        <v>v</v>
      </c>
      <c r="H605" s="2" t="str">
        <f t="shared" si="28"/>
        <v>, v</v>
      </c>
      <c r="I605" s="2" t="str">
        <f>IF(Return!C605=0,REPLACE(INDEX(H:H,ROW()+Return!B605,),1,2,Return!E605&amp;"(")&amp;")","")</f>
        <v/>
      </c>
      <c r="M605" s="1"/>
    </row>
    <row r="606" spans="1:13" x14ac:dyDescent="0.55000000000000004">
      <c r="A606" s="1" t="s">
        <v>1653</v>
      </c>
      <c r="C606" s="2">
        <f>Return!C606</f>
        <v>0</v>
      </c>
      <c r="D606" s="2">
        <f>COUNTA(Argument!E606)</f>
        <v>1</v>
      </c>
      <c r="E606" s="2" t="str">
        <f>IF(C606,Return!D606,Return!E606)</f>
        <v>v</v>
      </c>
      <c r="F606" s="2" t="str">
        <f t="shared" si="27"/>
        <v/>
      </c>
      <c r="G606" s="2" t="str">
        <f t="shared" si="29"/>
        <v/>
      </c>
      <c r="H606" s="2" t="str">
        <f t="shared" si="28"/>
        <v/>
      </c>
      <c r="I606" s="2" t="str">
        <f>IF(Return!C606=0,REPLACE(INDEX(H:H,ROW()+Return!B606,),1,2,Return!E606&amp;"(")&amp;")","")</f>
        <v>v([vr], [v], [v])</v>
      </c>
      <c r="M606" s="1"/>
    </row>
    <row r="607" spans="1:13" x14ac:dyDescent="0.55000000000000004">
      <c r="A607" s="1" t="s">
        <v>1653</v>
      </c>
      <c r="B607" t="s">
        <v>1958</v>
      </c>
      <c r="C607" s="2">
        <f>Return!C607</f>
        <v>1</v>
      </c>
      <c r="D607" s="2">
        <f>COUNTA(Argument!E607)</f>
        <v>1</v>
      </c>
      <c r="E607" s="2" t="str">
        <f>IF(C607,Return!D607,Return!E607)</f>
        <v>vr</v>
      </c>
      <c r="F607" s="2" t="str">
        <f t="shared" si="27"/>
        <v>[vr]</v>
      </c>
      <c r="G607" s="2" t="str">
        <f t="shared" si="29"/>
        <v>[vr]</v>
      </c>
      <c r="H607" s="2" t="str">
        <f t="shared" si="28"/>
        <v>, [vr]</v>
      </c>
      <c r="I607" s="2" t="str">
        <f>IF(Return!C607=0,REPLACE(INDEX(H:H,ROW()+Return!B607,),1,2,Return!E607&amp;"(")&amp;")","")</f>
        <v/>
      </c>
      <c r="M607" s="1"/>
    </row>
    <row r="608" spans="1:13" x14ac:dyDescent="0.55000000000000004">
      <c r="A608" s="1" t="s">
        <v>1653</v>
      </c>
      <c r="B608" t="s">
        <v>1959</v>
      </c>
      <c r="C608" s="2">
        <f>Return!C608</f>
        <v>2</v>
      </c>
      <c r="D608" s="2">
        <f>COUNTA(Argument!E608)</f>
        <v>1</v>
      </c>
      <c r="E608" s="2" t="str">
        <f>IF(C608,Return!D608,Return!E608)</f>
        <v>v</v>
      </c>
      <c r="F608" s="2" t="str">
        <f t="shared" si="27"/>
        <v>[v]</v>
      </c>
      <c r="G608" s="2" t="str">
        <f t="shared" si="29"/>
        <v>[v]</v>
      </c>
      <c r="H608" s="2" t="str">
        <f t="shared" si="28"/>
        <v>, [vr], [v]</v>
      </c>
      <c r="I608" s="2" t="str">
        <f>IF(Return!C608=0,REPLACE(INDEX(H:H,ROW()+Return!B608,),1,2,Return!E608&amp;"(")&amp;")","")</f>
        <v/>
      </c>
      <c r="M608" s="1"/>
    </row>
    <row r="609" spans="1:13" x14ac:dyDescent="0.55000000000000004">
      <c r="A609" s="1" t="s">
        <v>1653</v>
      </c>
      <c r="B609" t="s">
        <v>1236</v>
      </c>
      <c r="C609" s="2">
        <f>Return!C609</f>
        <v>3</v>
      </c>
      <c r="D609" s="2">
        <f>COUNTA(Argument!E609)</f>
        <v>1</v>
      </c>
      <c r="E609" s="2" t="str">
        <f>IF(C609,Return!D609,Return!E609)</f>
        <v>v</v>
      </c>
      <c r="F609" s="2" t="str">
        <f t="shared" si="27"/>
        <v>[v]</v>
      </c>
      <c r="G609" s="2" t="str">
        <f t="shared" si="29"/>
        <v>[v]</v>
      </c>
      <c r="H609" s="2" t="str">
        <f t="shared" si="28"/>
        <v>, [vr], [v], [v]</v>
      </c>
      <c r="I609" s="2" t="str">
        <f>IF(Return!C609=0,REPLACE(INDEX(H:H,ROW()+Return!B609,),1,2,Return!E609&amp;"(")&amp;")","")</f>
        <v/>
      </c>
      <c r="M609" s="1"/>
    </row>
    <row r="610" spans="1:13" x14ac:dyDescent="0.55000000000000004">
      <c r="A610" s="1" t="s">
        <v>1654</v>
      </c>
      <c r="C610" s="2">
        <f>Return!C610</f>
        <v>0</v>
      </c>
      <c r="D610" s="2">
        <f>COUNTA(Argument!E610)</f>
        <v>1</v>
      </c>
      <c r="E610" s="2" t="str">
        <f>IF(C610,Return!D610,Return!E610)</f>
        <v>v</v>
      </c>
      <c r="F610" s="2" t="str">
        <f t="shared" si="27"/>
        <v/>
      </c>
      <c r="G610" s="2" t="str">
        <f t="shared" si="29"/>
        <v/>
      </c>
      <c r="H610" s="2" t="str">
        <f t="shared" si="28"/>
        <v/>
      </c>
      <c r="I610" s="2" t="str">
        <f>IF(Return!C610=0,REPLACE(INDEX(H:H,ROW()+Return!B610,),1,2,Return!E610&amp;"(")&amp;")","")</f>
        <v>v([v], [vr], [vr], [vr])</v>
      </c>
      <c r="M610" s="1"/>
    </row>
    <row r="611" spans="1:13" x14ac:dyDescent="0.55000000000000004">
      <c r="A611" s="1" t="s">
        <v>1654</v>
      </c>
      <c r="B611" t="s">
        <v>1960</v>
      </c>
      <c r="C611" s="2">
        <f>Return!C611</f>
        <v>1</v>
      </c>
      <c r="D611" s="2">
        <f>COUNTA(Argument!E611)</f>
        <v>1</v>
      </c>
      <c r="E611" s="2" t="str">
        <f>IF(C611,Return!D611,Return!E611)</f>
        <v>v</v>
      </c>
      <c r="F611" s="2" t="str">
        <f t="shared" si="27"/>
        <v>[v]</v>
      </c>
      <c r="G611" s="2" t="str">
        <f t="shared" si="29"/>
        <v>[v]</v>
      </c>
      <c r="H611" s="2" t="str">
        <f t="shared" si="28"/>
        <v>, [v]</v>
      </c>
      <c r="I611" s="2" t="str">
        <f>IF(Return!C611=0,REPLACE(INDEX(H:H,ROW()+Return!B611,),1,2,Return!E611&amp;"(")&amp;")","")</f>
        <v/>
      </c>
      <c r="M611" s="1"/>
    </row>
    <row r="612" spans="1:13" x14ac:dyDescent="0.55000000000000004">
      <c r="A612" s="1" t="s">
        <v>1654</v>
      </c>
      <c r="B612" t="s">
        <v>1958</v>
      </c>
      <c r="C612" s="2">
        <f>Return!C612</f>
        <v>2</v>
      </c>
      <c r="D612" s="2">
        <f>COUNTA(Argument!E612)</f>
        <v>1</v>
      </c>
      <c r="E612" s="2" t="str">
        <f>IF(C612,Return!D612,Return!E612)</f>
        <v>vr</v>
      </c>
      <c r="F612" s="2" t="str">
        <f t="shared" si="27"/>
        <v>[vr]</v>
      </c>
      <c r="G612" s="2" t="str">
        <f t="shared" si="29"/>
        <v>[vr]</v>
      </c>
      <c r="H612" s="2" t="str">
        <f t="shared" si="28"/>
        <v>, [v], [vr]</v>
      </c>
      <c r="I612" s="2" t="str">
        <f>IF(Return!C612=0,REPLACE(INDEX(H:H,ROW()+Return!B612,),1,2,Return!E612&amp;"(")&amp;")","")</f>
        <v/>
      </c>
      <c r="M612" s="1"/>
    </row>
    <row r="613" spans="1:13" x14ac:dyDescent="0.55000000000000004">
      <c r="A613" s="1" t="s">
        <v>1654</v>
      </c>
      <c r="B613" t="s">
        <v>1959</v>
      </c>
      <c r="C613" s="2">
        <f>Return!C613</f>
        <v>3</v>
      </c>
      <c r="D613" s="2">
        <f>COUNTA(Argument!E613)</f>
        <v>1</v>
      </c>
      <c r="E613" s="2" t="str">
        <f>IF(C613,Return!D613,Return!E613)</f>
        <v>vr</v>
      </c>
      <c r="F613" s="2" t="str">
        <f t="shared" si="27"/>
        <v>[vr]</v>
      </c>
      <c r="G613" s="2" t="str">
        <f t="shared" si="29"/>
        <v>[vr]</v>
      </c>
      <c r="H613" s="2" t="str">
        <f t="shared" si="28"/>
        <v>, [v], [vr], [vr]</v>
      </c>
      <c r="I613" s="2" t="str">
        <f>IF(Return!C613=0,REPLACE(INDEX(H:H,ROW()+Return!B613,),1,2,Return!E613&amp;"(")&amp;")","")</f>
        <v/>
      </c>
      <c r="M613" s="1"/>
    </row>
    <row r="614" spans="1:13" x14ac:dyDescent="0.55000000000000004">
      <c r="A614" s="1" t="s">
        <v>1654</v>
      </c>
      <c r="B614" t="s">
        <v>1236</v>
      </c>
      <c r="C614" s="2">
        <f>Return!C614</f>
        <v>4</v>
      </c>
      <c r="D614" s="2">
        <f>COUNTA(Argument!E614)</f>
        <v>1</v>
      </c>
      <c r="E614" s="2" t="str">
        <f>IF(C614,Return!D614,Return!E614)</f>
        <v>vr</v>
      </c>
      <c r="F614" s="2" t="str">
        <f t="shared" si="27"/>
        <v>[vr]</v>
      </c>
      <c r="G614" s="2" t="str">
        <f t="shared" si="29"/>
        <v>[vr]</v>
      </c>
      <c r="H614" s="2" t="str">
        <f t="shared" si="28"/>
        <v>, [v], [vr], [vr], [vr]</v>
      </c>
      <c r="I614" s="2" t="str">
        <f>IF(Return!C614=0,REPLACE(INDEX(H:H,ROW()+Return!B614,),1,2,Return!E614&amp;"(")&amp;")","")</f>
        <v/>
      </c>
      <c r="M614" s="1"/>
    </row>
    <row r="615" spans="1:13" x14ac:dyDescent="0.55000000000000004">
      <c r="A615" s="1" t="s">
        <v>1655</v>
      </c>
      <c r="C615" s="2">
        <f>Return!C615</f>
        <v>0</v>
      </c>
      <c r="D615" s="2">
        <f>COUNTA(Argument!E615)</f>
        <v>0</v>
      </c>
      <c r="E615" s="2" t="str">
        <f>IF(C615,Return!D615,Return!E615)</f>
        <v>v</v>
      </c>
      <c r="F615" s="2" t="str">
        <f t="shared" si="27"/>
        <v/>
      </c>
      <c r="G615" s="2" t="str">
        <f t="shared" si="29"/>
        <v/>
      </c>
      <c r="H615" s="2" t="str">
        <f t="shared" si="28"/>
        <v/>
      </c>
      <c r="I615" s="2" t="str">
        <f>IF(Return!C615=0,REPLACE(INDEX(H:H,ROW()+Return!B615,),1,2,Return!E615&amp;"(")&amp;")","")</f>
        <v>v(var, [var], …)</v>
      </c>
      <c r="M615" s="1"/>
    </row>
    <row r="616" spans="1:13" x14ac:dyDescent="0.55000000000000004">
      <c r="A616" s="1" t="s">
        <v>1655</v>
      </c>
      <c r="B616" t="s">
        <v>1219</v>
      </c>
      <c r="C616" s="2">
        <f>Return!C616</f>
        <v>1</v>
      </c>
      <c r="D616" s="2">
        <f>COUNTA(Argument!E616)</f>
        <v>1</v>
      </c>
      <c r="E616" s="2" t="str">
        <f>IF(C616,Return!D616,Return!E616)</f>
        <v>var</v>
      </c>
      <c r="F616" s="2" t="str">
        <f t="shared" si="27"/>
        <v>var</v>
      </c>
      <c r="G616" s="2" t="str">
        <f t="shared" si="29"/>
        <v>var</v>
      </c>
      <c r="H616" s="2" t="str">
        <f t="shared" si="28"/>
        <v>, var</v>
      </c>
      <c r="I616" s="2" t="str">
        <f>IF(Return!C616=0,REPLACE(INDEX(H:H,ROW()+Return!B616,),1,2,Return!E616&amp;"(")&amp;")","")</f>
        <v/>
      </c>
      <c r="M616" s="1"/>
    </row>
    <row r="617" spans="1:13" x14ac:dyDescent="0.55000000000000004">
      <c r="A617" s="1" t="s">
        <v>1655</v>
      </c>
      <c r="B617" t="s">
        <v>1220</v>
      </c>
      <c r="C617" s="2">
        <f>Return!C617</f>
        <v>2</v>
      </c>
      <c r="D617" s="2">
        <f>COUNTA(Argument!E617)</f>
        <v>1</v>
      </c>
      <c r="E617" s="2" t="str">
        <f>IF(C617,Return!D617,Return!E617)</f>
        <v>var</v>
      </c>
      <c r="F617" s="2" t="str">
        <f t="shared" si="27"/>
        <v>[var]</v>
      </c>
      <c r="G617" s="2" t="str">
        <f t="shared" si="29"/>
        <v>[var]</v>
      </c>
      <c r="H617" s="2" t="str">
        <f t="shared" si="28"/>
        <v>, var, [var]</v>
      </c>
      <c r="I617" s="2" t="str">
        <f>IF(Return!C617=0,REPLACE(INDEX(H:H,ROW()+Return!B617,),1,2,Return!E617&amp;"(")&amp;")","")</f>
        <v/>
      </c>
      <c r="M617" s="1"/>
    </row>
    <row r="618" spans="1:13" x14ac:dyDescent="0.55000000000000004">
      <c r="A618" s="1" t="s">
        <v>1655</v>
      </c>
      <c r="B618" t="s">
        <v>1214</v>
      </c>
      <c r="C618" s="2">
        <f>Return!C618</f>
        <v>3</v>
      </c>
      <c r="D618" s="2">
        <f>COUNTA(Argument!E618)</f>
        <v>1</v>
      </c>
      <c r="E618" s="2" t="str">
        <f>IF(C618,Return!D618,Return!E618)</f>
        <v>var</v>
      </c>
      <c r="F618" s="2" t="str">
        <f t="shared" si="27"/>
        <v>[var]</v>
      </c>
      <c r="G618" s="2" t="str">
        <f t="shared" si="29"/>
        <v>…</v>
      </c>
      <c r="H618" s="2" t="str">
        <f t="shared" si="28"/>
        <v>, var, [var], …</v>
      </c>
      <c r="I618" s="2" t="str">
        <f>IF(Return!C618=0,REPLACE(INDEX(H:H,ROW()+Return!B618,),1,2,Return!E618&amp;"(")&amp;")","")</f>
        <v/>
      </c>
      <c r="M618" s="1"/>
    </row>
    <row r="619" spans="1:13" x14ac:dyDescent="0.55000000000000004">
      <c r="A619" s="1" t="s">
        <v>1656</v>
      </c>
      <c r="C619" s="2">
        <f>Return!C619</f>
        <v>0</v>
      </c>
      <c r="D619" s="2">
        <f>COUNTA(Argument!E619)</f>
        <v>0</v>
      </c>
      <c r="E619" s="2" t="str">
        <f>IF(C619,Return!D619,Return!E619)</f>
        <v>v</v>
      </c>
      <c r="F619" s="2" t="str">
        <f t="shared" si="27"/>
        <v/>
      </c>
      <c r="G619" s="2" t="str">
        <f t="shared" si="29"/>
        <v/>
      </c>
      <c r="H619" s="2" t="str">
        <f t="shared" si="28"/>
        <v/>
      </c>
      <c r="I619" s="2" t="str">
        <f>IF(Return!C619=0,REPLACE(INDEX(H:H,ROW()+Return!B619,),1,2,Return!E619&amp;"(")&amp;")","")</f>
        <v>v(var, [var], …)</v>
      </c>
      <c r="M619" s="1"/>
    </row>
    <row r="620" spans="1:13" x14ac:dyDescent="0.55000000000000004">
      <c r="A620" s="1" t="s">
        <v>1656</v>
      </c>
      <c r="B620" t="s">
        <v>1219</v>
      </c>
      <c r="C620" s="2">
        <f>Return!C620</f>
        <v>1</v>
      </c>
      <c r="D620" s="2">
        <f>COUNTA(Argument!E620)</f>
        <v>1</v>
      </c>
      <c r="E620" s="2" t="str">
        <f>IF(C620,Return!D620,Return!E620)</f>
        <v>var</v>
      </c>
      <c r="F620" s="2" t="str">
        <f t="shared" si="27"/>
        <v>var</v>
      </c>
      <c r="G620" s="2" t="str">
        <f t="shared" si="29"/>
        <v>var</v>
      </c>
      <c r="H620" s="2" t="str">
        <f t="shared" si="28"/>
        <v>, var</v>
      </c>
      <c r="I620" s="2" t="str">
        <f>IF(Return!C620=0,REPLACE(INDEX(H:H,ROW()+Return!B620,),1,2,Return!E620&amp;"(")&amp;")","")</f>
        <v/>
      </c>
      <c r="M620" s="1"/>
    </row>
    <row r="621" spans="1:13" x14ac:dyDescent="0.55000000000000004">
      <c r="A621" s="1" t="s">
        <v>1656</v>
      </c>
      <c r="B621" t="s">
        <v>1220</v>
      </c>
      <c r="C621" s="2">
        <f>Return!C621</f>
        <v>2</v>
      </c>
      <c r="D621" s="2">
        <f>COUNTA(Argument!E621)</f>
        <v>1</v>
      </c>
      <c r="E621" s="2" t="str">
        <f>IF(C621,Return!D621,Return!E621)</f>
        <v>var</v>
      </c>
      <c r="F621" s="2" t="str">
        <f t="shared" si="27"/>
        <v>[var]</v>
      </c>
      <c r="G621" s="2" t="str">
        <f t="shared" si="29"/>
        <v>[var]</v>
      </c>
      <c r="H621" s="2" t="str">
        <f t="shared" si="28"/>
        <v>, var, [var]</v>
      </c>
      <c r="I621" s="2" t="str">
        <f>IF(Return!C621=0,REPLACE(INDEX(H:H,ROW()+Return!B621,),1,2,Return!E621&amp;"(")&amp;")","")</f>
        <v/>
      </c>
      <c r="M621" s="1"/>
    </row>
    <row r="622" spans="1:13" x14ac:dyDescent="0.55000000000000004">
      <c r="A622" s="1" t="s">
        <v>1656</v>
      </c>
      <c r="B622" t="s">
        <v>1214</v>
      </c>
      <c r="C622" s="2">
        <f>Return!C622</f>
        <v>3</v>
      </c>
      <c r="D622" s="2">
        <f>COUNTA(Argument!E622)</f>
        <v>1</v>
      </c>
      <c r="E622" s="2" t="str">
        <f>IF(C622,Return!D622,Return!E622)</f>
        <v>var</v>
      </c>
      <c r="F622" s="2" t="str">
        <f t="shared" si="27"/>
        <v>[var]</v>
      </c>
      <c r="G622" s="2" t="str">
        <f t="shared" si="29"/>
        <v>…</v>
      </c>
      <c r="H622" s="2" t="str">
        <f t="shared" si="28"/>
        <v>, var, [var], …</v>
      </c>
      <c r="I622" s="2" t="str">
        <f>IF(Return!C622=0,REPLACE(INDEX(H:H,ROW()+Return!B622,),1,2,Return!E622&amp;"(")&amp;")","")</f>
        <v/>
      </c>
      <c r="M622" s="1"/>
    </row>
    <row r="623" spans="1:13" x14ac:dyDescent="0.55000000000000004">
      <c r="A623" s="1" t="s">
        <v>1657</v>
      </c>
      <c r="C623" s="2">
        <f>Return!C623</f>
        <v>0</v>
      </c>
      <c r="D623" s="2">
        <f>COUNTA(Argument!E623)</f>
        <v>0</v>
      </c>
      <c r="E623" s="2" t="str">
        <f>IF(C623,Return!D623,Return!E623)</f>
        <v>v</v>
      </c>
      <c r="F623" s="2" t="str">
        <f t="shared" si="27"/>
        <v/>
      </c>
      <c r="G623" s="2" t="str">
        <f t="shared" si="29"/>
        <v/>
      </c>
      <c r="H623" s="2" t="str">
        <f t="shared" si="28"/>
        <v/>
      </c>
      <c r="I623" s="2" t="str">
        <f>IF(Return!C623=0,REPLACE(INDEX(H:H,ROW()+Return!B623,),1,2,Return!E623&amp;"(")&amp;")","")</f>
        <v>v(r, vr, vr)</v>
      </c>
      <c r="M623" s="1"/>
    </row>
    <row r="624" spans="1:13" x14ac:dyDescent="0.55000000000000004">
      <c r="A624" s="1" t="s">
        <v>1657</v>
      </c>
      <c r="B624" t="s">
        <v>1241</v>
      </c>
      <c r="C624" s="2">
        <f>Return!C624</f>
        <v>1</v>
      </c>
      <c r="D624" s="2">
        <f>COUNTA(Argument!E624)</f>
        <v>0</v>
      </c>
      <c r="E624" s="2" t="str">
        <f>IF(C624,Return!D624,Return!E624)</f>
        <v>r</v>
      </c>
      <c r="F624" s="2" t="str">
        <f t="shared" si="27"/>
        <v>r</v>
      </c>
      <c r="G624" s="2" t="str">
        <f t="shared" si="29"/>
        <v>r</v>
      </c>
      <c r="H624" s="2" t="str">
        <f t="shared" si="28"/>
        <v>, r</v>
      </c>
      <c r="I624" s="2" t="str">
        <f>IF(Return!C624=0,REPLACE(INDEX(H:H,ROW()+Return!B624,),1,2,Return!E624&amp;"(")&amp;")","")</f>
        <v/>
      </c>
      <c r="M624" s="1"/>
    </row>
    <row r="625" spans="1:13" x14ac:dyDescent="0.55000000000000004">
      <c r="A625" s="1" t="s">
        <v>1657</v>
      </c>
      <c r="B625" t="s">
        <v>1242</v>
      </c>
      <c r="C625" s="2">
        <f>Return!C625</f>
        <v>2</v>
      </c>
      <c r="D625" s="2">
        <f>COUNTA(Argument!E625)</f>
        <v>0</v>
      </c>
      <c r="E625" s="2" t="str">
        <f>IF(C625,Return!D625,Return!E625)</f>
        <v>vr</v>
      </c>
      <c r="F625" s="2" t="str">
        <f t="shared" si="27"/>
        <v>vr</v>
      </c>
      <c r="G625" s="2" t="str">
        <f t="shared" si="29"/>
        <v>vr</v>
      </c>
      <c r="H625" s="2" t="str">
        <f t="shared" si="28"/>
        <v>, r, vr</v>
      </c>
      <c r="I625" s="2" t="str">
        <f>IF(Return!C625=0,REPLACE(INDEX(H:H,ROW()+Return!B625,),1,2,Return!E625&amp;"(")&amp;")","")</f>
        <v/>
      </c>
      <c r="M625" s="1"/>
    </row>
    <row r="626" spans="1:13" x14ac:dyDescent="0.55000000000000004">
      <c r="A626" s="1" t="s">
        <v>1657</v>
      </c>
      <c r="B626" t="s">
        <v>1243</v>
      </c>
      <c r="C626" s="2">
        <f>Return!C626</f>
        <v>3</v>
      </c>
      <c r="D626" s="2">
        <f>COUNTA(Argument!E626)</f>
        <v>1</v>
      </c>
      <c r="E626" s="2" t="str">
        <f>IF(C626,Return!D626,Return!E626)</f>
        <v>vr</v>
      </c>
      <c r="F626" s="2" t="str">
        <f t="shared" si="27"/>
        <v>vr</v>
      </c>
      <c r="G626" s="2" t="str">
        <f t="shared" si="29"/>
        <v>vr</v>
      </c>
      <c r="H626" s="2" t="str">
        <f t="shared" si="28"/>
        <v>, r, vr, vr</v>
      </c>
      <c r="I626" s="2" t="str">
        <f>IF(Return!C626=0,REPLACE(INDEX(H:H,ROW()+Return!B626,),1,2,Return!E626&amp;"(")&amp;")","")</f>
        <v/>
      </c>
      <c r="M626" s="1"/>
    </row>
    <row r="627" spans="1:13" x14ac:dyDescent="0.55000000000000004">
      <c r="A627" s="1" t="s">
        <v>1658</v>
      </c>
      <c r="C627" s="2">
        <f>Return!C627</f>
        <v>0</v>
      </c>
      <c r="D627" s="2">
        <f>COUNTA(Argument!E627)</f>
        <v>0</v>
      </c>
      <c r="E627" s="2" t="str">
        <f>IF(C627,Return!D627,Return!E627)</f>
        <v>v</v>
      </c>
      <c r="F627" s="2" t="str">
        <f t="shared" si="27"/>
        <v/>
      </c>
      <c r="G627" s="2" t="str">
        <f t="shared" si="29"/>
        <v/>
      </c>
      <c r="H627" s="2" t="str">
        <f t="shared" si="28"/>
        <v/>
      </c>
      <c r="I627" s="2" t="str">
        <f>IF(Return!C627=0,REPLACE(INDEX(H:H,ROW()+Return!B627,),1,2,Return!E627&amp;"(")&amp;")","")</f>
        <v>v(r, vr, vr)</v>
      </c>
      <c r="M627" s="1"/>
    </row>
    <row r="628" spans="1:13" x14ac:dyDescent="0.55000000000000004">
      <c r="A628" s="1" t="s">
        <v>1658</v>
      </c>
      <c r="B628" t="s">
        <v>1241</v>
      </c>
      <c r="C628" s="2">
        <f>Return!C628</f>
        <v>1</v>
      </c>
      <c r="D628" s="2">
        <f>COUNTA(Argument!E628)</f>
        <v>0</v>
      </c>
      <c r="E628" s="2" t="str">
        <f>IF(C628,Return!D628,Return!E628)</f>
        <v>r</v>
      </c>
      <c r="F628" s="2" t="str">
        <f t="shared" si="27"/>
        <v>r</v>
      </c>
      <c r="G628" s="2" t="str">
        <f t="shared" si="29"/>
        <v>r</v>
      </c>
      <c r="H628" s="2" t="str">
        <f t="shared" si="28"/>
        <v>, r</v>
      </c>
      <c r="I628" s="2" t="str">
        <f>IF(Return!C628=0,REPLACE(INDEX(H:H,ROW()+Return!B628,),1,2,Return!E628&amp;"(")&amp;")","")</f>
        <v/>
      </c>
      <c r="M628" s="1"/>
    </row>
    <row r="629" spans="1:13" x14ac:dyDescent="0.55000000000000004">
      <c r="A629" s="1" t="s">
        <v>1658</v>
      </c>
      <c r="B629" t="s">
        <v>1242</v>
      </c>
      <c r="C629" s="2">
        <f>Return!C629</f>
        <v>2</v>
      </c>
      <c r="D629" s="2">
        <f>COUNTA(Argument!E629)</f>
        <v>0</v>
      </c>
      <c r="E629" s="2" t="str">
        <f>IF(C629,Return!D629,Return!E629)</f>
        <v>vr</v>
      </c>
      <c r="F629" s="2" t="str">
        <f t="shared" si="27"/>
        <v>vr</v>
      </c>
      <c r="G629" s="2" t="str">
        <f t="shared" si="29"/>
        <v>vr</v>
      </c>
      <c r="H629" s="2" t="str">
        <f t="shared" si="28"/>
        <v>, r, vr</v>
      </c>
      <c r="I629" s="2" t="str">
        <f>IF(Return!C629=0,REPLACE(INDEX(H:H,ROW()+Return!B629,),1,2,Return!E629&amp;"(")&amp;")","")</f>
        <v/>
      </c>
      <c r="M629" s="1"/>
    </row>
    <row r="630" spans="1:13" x14ac:dyDescent="0.55000000000000004">
      <c r="A630" s="1" t="s">
        <v>1658</v>
      </c>
      <c r="B630" t="s">
        <v>1243</v>
      </c>
      <c r="C630" s="2">
        <f>Return!C630</f>
        <v>3</v>
      </c>
      <c r="D630" s="2">
        <f>COUNTA(Argument!E630)</f>
        <v>1</v>
      </c>
      <c r="E630" s="2" t="str">
        <f>IF(C630,Return!D630,Return!E630)</f>
        <v>vr</v>
      </c>
      <c r="F630" s="2" t="str">
        <f t="shared" si="27"/>
        <v>vr</v>
      </c>
      <c r="G630" s="2" t="str">
        <f t="shared" si="29"/>
        <v>vr</v>
      </c>
      <c r="H630" s="2" t="str">
        <f t="shared" si="28"/>
        <v>, r, vr, vr</v>
      </c>
      <c r="I630" s="2" t="str">
        <f>IF(Return!C630=0,REPLACE(INDEX(H:H,ROW()+Return!B630,),1,2,Return!E630&amp;"(")&amp;")","")</f>
        <v/>
      </c>
      <c r="M630" s="1"/>
    </row>
    <row r="631" spans="1:13" x14ac:dyDescent="0.55000000000000004">
      <c r="A631" s="1" t="s">
        <v>1659</v>
      </c>
      <c r="C631" s="2">
        <f>Return!C631</f>
        <v>0</v>
      </c>
      <c r="D631" s="2">
        <f>COUNTA(Argument!E631)</f>
        <v>0</v>
      </c>
      <c r="E631" s="2" t="str">
        <f>IF(C631,Return!D631,Return!E631)</f>
        <v>v</v>
      </c>
      <c r="F631" s="2" t="str">
        <f t="shared" si="27"/>
        <v/>
      </c>
      <c r="G631" s="2" t="str">
        <f t="shared" si="29"/>
        <v/>
      </c>
      <c r="H631" s="2" t="str">
        <f t="shared" si="28"/>
        <v/>
      </c>
      <c r="I631" s="2" t="str">
        <f>IF(Return!C631=0,REPLACE(INDEX(H:H,ROW()+Return!B631,),1,2,Return!E631&amp;"(")&amp;")","")</f>
        <v>v(v, [v])</v>
      </c>
      <c r="M631" s="1"/>
    </row>
    <row r="632" spans="1:13" x14ac:dyDescent="0.55000000000000004">
      <c r="A632" s="1" t="s">
        <v>1659</v>
      </c>
      <c r="B632" t="s">
        <v>1223</v>
      </c>
      <c r="C632" s="2">
        <f>Return!C632</f>
        <v>1</v>
      </c>
      <c r="D632" s="2">
        <f>COUNTA(Argument!E632)</f>
        <v>1</v>
      </c>
      <c r="E632" s="2" t="str">
        <f>IF(C632,Return!D632,Return!E632)</f>
        <v>v</v>
      </c>
      <c r="F632" s="2" t="str">
        <f t="shared" si="27"/>
        <v>v</v>
      </c>
      <c r="G632" s="2" t="str">
        <f t="shared" si="29"/>
        <v>v</v>
      </c>
      <c r="H632" s="2" t="str">
        <f t="shared" si="28"/>
        <v>, v</v>
      </c>
      <c r="I632" s="2" t="str">
        <f>IF(Return!C632=0,REPLACE(INDEX(H:H,ROW()+Return!B632,),1,2,Return!E632&amp;"(")&amp;")","")</f>
        <v/>
      </c>
      <c r="M632" s="1"/>
    </row>
    <row r="633" spans="1:13" x14ac:dyDescent="0.55000000000000004">
      <c r="A633" s="1" t="s">
        <v>1659</v>
      </c>
      <c r="B633" t="s">
        <v>1226</v>
      </c>
      <c r="C633" s="2">
        <f>Return!C633</f>
        <v>2</v>
      </c>
      <c r="D633" s="2">
        <f>COUNTA(Argument!E633)</f>
        <v>1</v>
      </c>
      <c r="E633" s="2" t="str">
        <f>IF(C633,Return!D633,Return!E633)</f>
        <v>v</v>
      </c>
      <c r="F633" s="2" t="str">
        <f t="shared" si="27"/>
        <v>[v]</v>
      </c>
      <c r="G633" s="2" t="str">
        <f t="shared" si="29"/>
        <v>[v]</v>
      </c>
      <c r="H633" s="2" t="str">
        <f t="shared" si="28"/>
        <v>, v, [v]</v>
      </c>
      <c r="I633" s="2" t="str">
        <f>IF(Return!C633=0,REPLACE(INDEX(H:H,ROW()+Return!B633,),1,2,Return!E633&amp;"(")&amp;")","")</f>
        <v/>
      </c>
      <c r="M633" s="1"/>
    </row>
    <row r="634" spans="1:13" x14ac:dyDescent="0.55000000000000004">
      <c r="A634" s="1" t="s">
        <v>1660</v>
      </c>
      <c r="C634" s="2">
        <f>Return!C634</f>
        <v>0</v>
      </c>
      <c r="D634" s="2">
        <f>COUNTA(Argument!E634)</f>
        <v>0</v>
      </c>
      <c r="E634" s="2" t="str">
        <f>IF(C634,Return!D634,Return!E634)</f>
        <v>v</v>
      </c>
      <c r="F634" s="2" t="str">
        <f t="shared" si="27"/>
        <v/>
      </c>
      <c r="G634" s="2" t="str">
        <f t="shared" si="29"/>
        <v/>
      </c>
      <c r="H634" s="2" t="str">
        <f t="shared" si="28"/>
        <v/>
      </c>
      <c r="I634" s="2" t="str">
        <f>IF(Return!C634=0,REPLACE(INDEX(H:H,ROW()+Return!B634,),1,2,Return!E634&amp;"(")&amp;")","")</f>
        <v>v(v)</v>
      </c>
      <c r="M634" s="1"/>
    </row>
    <row r="635" spans="1:13" x14ac:dyDescent="0.55000000000000004">
      <c r="A635" s="1" t="s">
        <v>1660</v>
      </c>
      <c r="B635" t="s">
        <v>1218</v>
      </c>
      <c r="C635" s="2">
        <f>Return!C635</f>
        <v>1</v>
      </c>
      <c r="D635" s="2">
        <f>COUNTA(Argument!E635)</f>
        <v>1</v>
      </c>
      <c r="E635" s="2" t="str">
        <f>IF(C635,Return!D635,Return!E635)</f>
        <v>v</v>
      </c>
      <c r="F635" s="2" t="str">
        <f t="shared" si="27"/>
        <v>v</v>
      </c>
      <c r="G635" s="2" t="str">
        <f t="shared" si="29"/>
        <v>v</v>
      </c>
      <c r="H635" s="2" t="str">
        <f t="shared" si="28"/>
        <v>, v</v>
      </c>
      <c r="I635" s="2" t="str">
        <f>IF(Return!C635=0,REPLACE(INDEX(H:H,ROW()+Return!B635,),1,2,Return!E635&amp;"(")&amp;")","")</f>
        <v/>
      </c>
      <c r="M635" s="1"/>
    </row>
    <row r="636" spans="1:13" x14ac:dyDescent="0.55000000000000004">
      <c r="A636" s="1" t="s">
        <v>1661</v>
      </c>
      <c r="C636" s="2">
        <f>Return!C636</f>
        <v>0</v>
      </c>
      <c r="D636" s="2">
        <f>COUNTA(Argument!E636)</f>
        <v>0</v>
      </c>
      <c r="E636" s="2" t="str">
        <f>IF(C636,Return!D636,Return!E636)</f>
        <v>v</v>
      </c>
      <c r="F636" s="2" t="str">
        <f t="shared" si="27"/>
        <v/>
      </c>
      <c r="G636" s="2" t="str">
        <f t="shared" si="29"/>
        <v/>
      </c>
      <c r="H636" s="2" t="str">
        <f t="shared" si="28"/>
        <v/>
      </c>
      <c r="I636" s="2" t="str">
        <f>IF(Return!C636=0,REPLACE(INDEX(H:H,ROW()+Return!B636,),1,2,Return!E636&amp;"(")&amp;")","")</f>
        <v>v(r, vr, vr)</v>
      </c>
      <c r="M636" s="1"/>
    </row>
    <row r="637" spans="1:13" x14ac:dyDescent="0.55000000000000004">
      <c r="A637" s="1" t="s">
        <v>1661</v>
      </c>
      <c r="B637" t="s">
        <v>1241</v>
      </c>
      <c r="C637" s="2">
        <f>Return!C637</f>
        <v>1</v>
      </c>
      <c r="D637" s="2">
        <f>COUNTA(Argument!E637)</f>
        <v>0</v>
      </c>
      <c r="E637" s="2" t="str">
        <f>IF(C637,Return!D637,Return!E637)</f>
        <v>r</v>
      </c>
      <c r="F637" s="2" t="str">
        <f t="shared" si="27"/>
        <v>r</v>
      </c>
      <c r="G637" s="2" t="str">
        <f t="shared" si="29"/>
        <v>r</v>
      </c>
      <c r="H637" s="2" t="str">
        <f t="shared" si="28"/>
        <v>, r</v>
      </c>
      <c r="I637" s="2" t="str">
        <f>IF(Return!C637=0,REPLACE(INDEX(H:H,ROW()+Return!B637,),1,2,Return!E637&amp;"(")&amp;")","")</f>
        <v/>
      </c>
      <c r="M637" s="1"/>
    </row>
    <row r="638" spans="1:13" x14ac:dyDescent="0.55000000000000004">
      <c r="A638" s="1" t="s">
        <v>1661</v>
      </c>
      <c r="B638" t="s">
        <v>1242</v>
      </c>
      <c r="C638" s="2">
        <f>Return!C638</f>
        <v>2</v>
      </c>
      <c r="D638" s="2">
        <f>COUNTA(Argument!E638)</f>
        <v>0</v>
      </c>
      <c r="E638" s="2" t="str">
        <f>IF(C638,Return!D638,Return!E638)</f>
        <v>vr</v>
      </c>
      <c r="F638" s="2" t="str">
        <f t="shared" si="27"/>
        <v>vr</v>
      </c>
      <c r="G638" s="2" t="str">
        <f t="shared" si="29"/>
        <v>vr</v>
      </c>
      <c r="H638" s="2" t="str">
        <f t="shared" si="28"/>
        <v>, r, vr</v>
      </c>
      <c r="I638" s="2" t="str">
        <f>IF(Return!C638=0,REPLACE(INDEX(H:H,ROW()+Return!B638,),1,2,Return!E638&amp;"(")&amp;")","")</f>
        <v/>
      </c>
      <c r="M638" s="1"/>
    </row>
    <row r="639" spans="1:13" x14ac:dyDescent="0.55000000000000004">
      <c r="A639" s="1" t="s">
        <v>1661</v>
      </c>
      <c r="B639" t="s">
        <v>1243</v>
      </c>
      <c r="C639" s="2">
        <f>Return!C639</f>
        <v>3</v>
      </c>
      <c r="D639" s="2">
        <f>COUNTA(Argument!E639)</f>
        <v>1</v>
      </c>
      <c r="E639" s="2" t="str">
        <f>IF(C639,Return!D639,Return!E639)</f>
        <v>vr</v>
      </c>
      <c r="F639" s="2" t="str">
        <f t="shared" si="27"/>
        <v>vr</v>
      </c>
      <c r="G639" s="2" t="str">
        <f t="shared" si="29"/>
        <v>vr</v>
      </c>
      <c r="H639" s="2" t="str">
        <f t="shared" si="28"/>
        <v>, r, vr, vr</v>
      </c>
      <c r="I639" s="2" t="str">
        <f>IF(Return!C639=0,REPLACE(INDEX(H:H,ROW()+Return!B639,),1,2,Return!E639&amp;"(")&amp;")","")</f>
        <v/>
      </c>
      <c r="M639" s="1"/>
    </row>
    <row r="640" spans="1:13" x14ac:dyDescent="0.55000000000000004">
      <c r="A640" s="1" t="s">
        <v>1662</v>
      </c>
      <c r="C640" s="2">
        <f>Return!C640</f>
        <v>0</v>
      </c>
      <c r="D640" s="2">
        <f>COUNTA(Argument!E640)</f>
        <v>0</v>
      </c>
      <c r="E640" s="2" t="str">
        <f>IF(C640,Return!D640,Return!E640)</f>
        <v>v</v>
      </c>
      <c r="F640" s="2" t="str">
        <f t="shared" si="27"/>
        <v/>
      </c>
      <c r="G640" s="2" t="str">
        <f t="shared" si="29"/>
        <v/>
      </c>
      <c r="H640" s="2" t="str">
        <f t="shared" si="28"/>
        <v/>
      </c>
      <c r="I640" s="2" t="str">
        <f>IF(Return!C640=0,REPLACE(INDEX(H:H,ROW()+Return!B640,),1,2,Return!E640&amp;"(")&amp;")","")</f>
        <v>v(v)</v>
      </c>
      <c r="M640" s="1"/>
    </row>
    <row r="641" spans="1:13" x14ac:dyDescent="0.55000000000000004">
      <c r="A641" s="1" t="s">
        <v>1662</v>
      </c>
      <c r="B641" t="s">
        <v>1943</v>
      </c>
      <c r="C641" s="2">
        <f>Return!C641</f>
        <v>1</v>
      </c>
      <c r="D641" s="2">
        <f>COUNTA(Argument!E641)</f>
        <v>1</v>
      </c>
      <c r="E641" s="2" t="str">
        <f>IF(C641,Return!D641,Return!E641)</f>
        <v>v</v>
      </c>
      <c r="F641" s="2" t="str">
        <f t="shared" si="27"/>
        <v>v</v>
      </c>
      <c r="G641" s="2" t="str">
        <f t="shared" si="29"/>
        <v>v</v>
      </c>
      <c r="H641" s="2" t="str">
        <f t="shared" si="28"/>
        <v>, v</v>
      </c>
      <c r="I641" s="2" t="str">
        <f>IF(Return!C641=0,REPLACE(INDEX(H:H,ROW()+Return!B641,),1,2,Return!E641&amp;"(")&amp;")","")</f>
        <v/>
      </c>
      <c r="M641" s="1"/>
    </row>
    <row r="642" spans="1:13" x14ac:dyDescent="0.55000000000000004">
      <c r="A642" s="1" t="s">
        <v>1663</v>
      </c>
      <c r="C642" s="2">
        <f>Return!C642</f>
        <v>0</v>
      </c>
      <c r="D642" s="2">
        <f>COUNTA(Argument!E642)</f>
        <v>0</v>
      </c>
      <c r="E642" s="2" t="str">
        <f>IF(C642,Return!D642,Return!E642)</f>
        <v>v</v>
      </c>
      <c r="F642" s="2" t="str">
        <f t="shared" si="27"/>
        <v/>
      </c>
      <c r="G642" s="2" t="str">
        <f t="shared" si="29"/>
        <v/>
      </c>
      <c r="H642" s="2" t="str">
        <f t="shared" si="28"/>
        <v/>
      </c>
      <c r="I642" s="2" t="str">
        <f>IF(Return!C642=0,REPLACE(INDEX(H:H,ROW()+Return!B642,),1,2,Return!E642&amp;"(")&amp;")","")</f>
        <v>v(v)</v>
      </c>
      <c r="M642" s="1"/>
    </row>
    <row r="643" spans="1:13" x14ac:dyDescent="0.55000000000000004">
      <c r="A643" s="1" t="s">
        <v>1663</v>
      </c>
      <c r="B643" t="s">
        <v>2022</v>
      </c>
      <c r="C643" s="2">
        <f>Return!C643</f>
        <v>1</v>
      </c>
      <c r="D643" s="2">
        <f>COUNTA(Argument!E643)</f>
        <v>1</v>
      </c>
      <c r="E643" s="2" t="str">
        <f>IF(C643,Return!D643,Return!E643)</f>
        <v>v</v>
      </c>
      <c r="F643" s="2" t="str">
        <f t="shared" ref="F643:F706" si="30">IF(C643,IF(D643,IF(D642,"["&amp;E643&amp;"]",E643),E643),"")</f>
        <v>v</v>
      </c>
      <c r="G643" s="2" t="str">
        <f t="shared" si="29"/>
        <v>v</v>
      </c>
      <c r="H643" s="2" t="str">
        <f t="shared" ref="H643:H706" si="31">IF(C643&gt;0,H642&amp;", "&amp;G643,"")</f>
        <v>, v</v>
      </c>
      <c r="I643" s="2" t="str">
        <f>IF(Return!C643=0,REPLACE(INDEX(H:H,ROW()+Return!B643,),1,2,Return!E643&amp;"(")&amp;")","")</f>
        <v/>
      </c>
      <c r="M643" s="1"/>
    </row>
    <row r="644" spans="1:13" x14ac:dyDescent="0.55000000000000004">
      <c r="A644" s="1" t="s">
        <v>1664</v>
      </c>
      <c r="C644" s="2">
        <f>Return!C644</f>
        <v>0</v>
      </c>
      <c r="D644" s="2">
        <f>COUNTA(Argument!E644)</f>
        <v>0</v>
      </c>
      <c r="E644" s="2" t="str">
        <f>IF(C644,Return!D644,Return!E644)</f>
        <v>v</v>
      </c>
      <c r="F644" s="2" t="str">
        <f t="shared" si="30"/>
        <v/>
      </c>
      <c r="G644" s="2" t="str">
        <f t="shared" ref="G644:G707" si="32">IF(B644="...",IF(C645&gt;0,"["&amp;E644,"…"),IF(B643=" ...",IF(C644&gt;0,E644&amp;"], …",F644),F644))</f>
        <v/>
      </c>
      <c r="H644" s="2" t="str">
        <f t="shared" si="31"/>
        <v/>
      </c>
      <c r="I644" s="2" t="str">
        <f>IF(Return!C644=0,REPLACE(INDEX(H:H,ROW()+Return!B644,),1,2,Return!E644&amp;"(")&amp;")","")</f>
        <v>v(v, [v])</v>
      </c>
      <c r="M644" s="1"/>
    </row>
    <row r="645" spans="1:13" x14ac:dyDescent="0.55000000000000004">
      <c r="A645" s="1" t="s">
        <v>1664</v>
      </c>
      <c r="B645" t="s">
        <v>1223</v>
      </c>
      <c r="C645" s="2">
        <f>Return!C645</f>
        <v>1</v>
      </c>
      <c r="D645" s="2">
        <f>COUNTA(Argument!E645)</f>
        <v>1</v>
      </c>
      <c r="E645" s="2" t="str">
        <f>IF(C645,Return!D645,Return!E645)</f>
        <v>v</v>
      </c>
      <c r="F645" s="2" t="str">
        <f t="shared" si="30"/>
        <v>v</v>
      </c>
      <c r="G645" s="2" t="str">
        <f t="shared" si="32"/>
        <v>v</v>
      </c>
      <c r="H645" s="2" t="str">
        <f t="shared" si="31"/>
        <v>, v</v>
      </c>
      <c r="I645" s="2" t="str">
        <f>IF(Return!C645=0,REPLACE(INDEX(H:H,ROW()+Return!B645,),1,2,Return!E645&amp;"(")&amp;")","")</f>
        <v/>
      </c>
      <c r="M645" s="1"/>
    </row>
    <row r="646" spans="1:13" x14ac:dyDescent="0.55000000000000004">
      <c r="A646" s="1" t="s">
        <v>1664</v>
      </c>
      <c r="B646" t="s">
        <v>1224</v>
      </c>
      <c r="C646" s="2">
        <f>Return!C646</f>
        <v>2</v>
      </c>
      <c r="D646" s="2">
        <f>COUNTA(Argument!E646)</f>
        <v>1</v>
      </c>
      <c r="E646" s="2" t="str">
        <f>IF(C646,Return!D646,Return!E646)</f>
        <v>v</v>
      </c>
      <c r="F646" s="2" t="str">
        <f t="shared" si="30"/>
        <v>[v]</v>
      </c>
      <c r="G646" s="2" t="str">
        <f t="shared" si="32"/>
        <v>[v]</v>
      </c>
      <c r="H646" s="2" t="str">
        <f t="shared" si="31"/>
        <v>, v, [v]</v>
      </c>
      <c r="I646" s="2" t="str">
        <f>IF(Return!C646=0,REPLACE(INDEX(H:H,ROW()+Return!B646,),1,2,Return!E646&amp;"(")&amp;")","")</f>
        <v/>
      </c>
      <c r="M646" s="1"/>
    </row>
    <row r="647" spans="1:13" x14ac:dyDescent="0.55000000000000004">
      <c r="A647" s="1" t="s">
        <v>1665</v>
      </c>
      <c r="C647" s="2">
        <f>Return!C647</f>
        <v>0</v>
      </c>
      <c r="D647" s="2">
        <f>COUNTA(Argument!E647)</f>
        <v>0</v>
      </c>
      <c r="E647" s="2" t="str">
        <f>IF(C647,Return!D647,Return!E647)</f>
        <v>v</v>
      </c>
      <c r="F647" s="2" t="str">
        <f t="shared" si="30"/>
        <v/>
      </c>
      <c r="G647" s="2" t="str">
        <f t="shared" si="32"/>
        <v/>
      </c>
      <c r="H647" s="2" t="str">
        <f t="shared" si="31"/>
        <v/>
      </c>
      <c r="I647" s="2" t="str">
        <f>IF(Return!C647=0,REPLACE(INDEX(H:H,ROW()+Return!B647,),1,2,Return!E647&amp;"(")&amp;")","")</f>
        <v>v(v, v, [v])</v>
      </c>
      <c r="M647" s="1"/>
    </row>
    <row r="648" spans="1:13" x14ac:dyDescent="0.55000000000000004">
      <c r="A648" s="1" t="s">
        <v>1665</v>
      </c>
      <c r="B648" t="s">
        <v>1272</v>
      </c>
      <c r="C648" s="2">
        <f>Return!C648</f>
        <v>1</v>
      </c>
      <c r="D648" s="2">
        <f>COUNTA(Argument!E648)</f>
        <v>0</v>
      </c>
      <c r="E648" s="2" t="str">
        <f>IF(C648,Return!D648,Return!E648)</f>
        <v>v</v>
      </c>
      <c r="F648" s="2" t="str">
        <f t="shared" si="30"/>
        <v>v</v>
      </c>
      <c r="G648" s="2" t="str">
        <f t="shared" si="32"/>
        <v>v</v>
      </c>
      <c r="H648" s="2" t="str">
        <f t="shared" si="31"/>
        <v>, v</v>
      </c>
      <c r="I648" s="2" t="str">
        <f>IF(Return!C648=0,REPLACE(INDEX(H:H,ROW()+Return!B648,),1,2,Return!E648&amp;"(")&amp;")","")</f>
        <v/>
      </c>
      <c r="M648" s="1"/>
    </row>
    <row r="649" spans="1:13" x14ac:dyDescent="0.55000000000000004">
      <c r="A649" s="1" t="s">
        <v>1665</v>
      </c>
      <c r="B649" t="s">
        <v>1273</v>
      </c>
      <c r="C649" s="2">
        <f>Return!C649</f>
        <v>2</v>
      </c>
      <c r="D649" s="2">
        <f>COUNTA(Argument!E649)</f>
        <v>1</v>
      </c>
      <c r="E649" s="2" t="str">
        <f>IF(C649,Return!D649,Return!E649)</f>
        <v>v</v>
      </c>
      <c r="F649" s="2" t="str">
        <f t="shared" si="30"/>
        <v>v</v>
      </c>
      <c r="G649" s="2" t="str">
        <f t="shared" si="32"/>
        <v>v</v>
      </c>
      <c r="H649" s="2" t="str">
        <f t="shared" si="31"/>
        <v>, v, v</v>
      </c>
      <c r="I649" s="2" t="str">
        <f>IF(Return!C649=0,REPLACE(INDEX(H:H,ROW()+Return!B649,),1,2,Return!E649&amp;"(")&amp;")","")</f>
        <v/>
      </c>
      <c r="M649" s="1"/>
    </row>
    <row r="650" spans="1:13" x14ac:dyDescent="0.55000000000000004">
      <c r="A650" s="1" t="s">
        <v>1665</v>
      </c>
      <c r="B650" t="s">
        <v>1235</v>
      </c>
      <c r="C650" s="2">
        <f>Return!C650</f>
        <v>3</v>
      </c>
      <c r="D650" s="2">
        <f>COUNTA(Argument!E650)</f>
        <v>1</v>
      </c>
      <c r="E650" s="2" t="str">
        <f>IF(C650,Return!D650,Return!E650)</f>
        <v>v</v>
      </c>
      <c r="F650" s="2" t="str">
        <f t="shared" si="30"/>
        <v>[v]</v>
      </c>
      <c r="G650" s="2" t="str">
        <f t="shared" si="32"/>
        <v>[v]</v>
      </c>
      <c r="H650" s="2" t="str">
        <f t="shared" si="31"/>
        <v>, v, v, [v]</v>
      </c>
      <c r="I650" s="2" t="str">
        <f>IF(Return!C650=0,REPLACE(INDEX(H:H,ROW()+Return!B650,),1,2,Return!E650&amp;"(")&amp;")","")</f>
        <v/>
      </c>
      <c r="M650" s="1"/>
    </row>
    <row r="651" spans="1:13" x14ac:dyDescent="0.55000000000000004">
      <c r="A651" s="1" t="s">
        <v>1666</v>
      </c>
      <c r="C651" s="2">
        <f>Return!C651</f>
        <v>0</v>
      </c>
      <c r="D651" s="2">
        <f>COUNTA(Argument!E651)</f>
        <v>0</v>
      </c>
      <c r="E651" s="2" t="str">
        <f>IF(C651,Return!D651,Return!E651)</f>
        <v>v</v>
      </c>
      <c r="F651" s="2" t="str">
        <f t="shared" si="30"/>
        <v/>
      </c>
      <c r="G651" s="2" t="str">
        <f t="shared" si="32"/>
        <v/>
      </c>
      <c r="H651" s="2" t="str">
        <f t="shared" si="31"/>
        <v/>
      </c>
      <c r="I651" s="2" t="str">
        <f>IF(Return!C651=0,REPLACE(INDEX(H:H,ROW()+Return!B651,),1,2,Return!E651&amp;"(")&amp;")","")</f>
        <v>v(v, v, [v])</v>
      </c>
      <c r="M651" s="1"/>
    </row>
    <row r="652" spans="1:13" x14ac:dyDescent="0.55000000000000004">
      <c r="A652" s="1" t="s">
        <v>1666</v>
      </c>
      <c r="B652" t="s">
        <v>1272</v>
      </c>
      <c r="C652" s="2">
        <f>Return!C652</f>
        <v>1</v>
      </c>
      <c r="D652" s="2">
        <f>COUNTA(Argument!E652)</f>
        <v>0</v>
      </c>
      <c r="E652" s="2" t="str">
        <f>IF(C652,Return!D652,Return!E652)</f>
        <v>v</v>
      </c>
      <c r="F652" s="2" t="str">
        <f t="shared" si="30"/>
        <v>v</v>
      </c>
      <c r="G652" s="2" t="str">
        <f t="shared" si="32"/>
        <v>v</v>
      </c>
      <c r="H652" s="2" t="str">
        <f t="shared" si="31"/>
        <v>, v</v>
      </c>
      <c r="I652" s="2" t="str">
        <f>IF(Return!C652=0,REPLACE(INDEX(H:H,ROW()+Return!B652,),1,2,Return!E652&amp;"(")&amp;")","")</f>
        <v/>
      </c>
      <c r="M652" s="1"/>
    </row>
    <row r="653" spans="1:13" x14ac:dyDescent="0.55000000000000004">
      <c r="A653" s="1" t="s">
        <v>1666</v>
      </c>
      <c r="B653" t="s">
        <v>1273</v>
      </c>
      <c r="C653" s="2">
        <f>Return!C653</f>
        <v>2</v>
      </c>
      <c r="D653" s="2">
        <f>COUNTA(Argument!E653)</f>
        <v>1</v>
      </c>
      <c r="E653" s="2" t="str">
        <f>IF(C653,Return!D653,Return!E653)</f>
        <v>v</v>
      </c>
      <c r="F653" s="2" t="str">
        <f t="shared" si="30"/>
        <v>v</v>
      </c>
      <c r="G653" s="2" t="str">
        <f t="shared" si="32"/>
        <v>v</v>
      </c>
      <c r="H653" s="2" t="str">
        <f t="shared" si="31"/>
        <v>, v, v</v>
      </c>
      <c r="I653" s="2" t="str">
        <f>IF(Return!C653=0,REPLACE(INDEX(H:H,ROW()+Return!B653,),1,2,Return!E653&amp;"(")&amp;")","")</f>
        <v/>
      </c>
      <c r="M653" s="1"/>
    </row>
    <row r="654" spans="1:13" x14ac:dyDescent="0.55000000000000004">
      <c r="A654" s="1" t="s">
        <v>1666</v>
      </c>
      <c r="B654" t="s">
        <v>1235</v>
      </c>
      <c r="C654" s="2">
        <f>Return!C654</f>
        <v>3</v>
      </c>
      <c r="D654" s="2">
        <f>COUNTA(Argument!E654)</f>
        <v>1</v>
      </c>
      <c r="E654" s="2" t="str">
        <f>IF(C654,Return!D654,Return!E654)</f>
        <v>v</v>
      </c>
      <c r="F654" s="2" t="str">
        <f t="shared" si="30"/>
        <v>[v]</v>
      </c>
      <c r="G654" s="2" t="str">
        <f t="shared" si="32"/>
        <v>[v]</v>
      </c>
      <c r="H654" s="2" t="str">
        <f t="shared" si="31"/>
        <v>, v, v, [v]</v>
      </c>
      <c r="I654" s="2" t="str">
        <f>IF(Return!C654=0,REPLACE(INDEX(H:H,ROW()+Return!B654,),1,2,Return!E654&amp;"(")&amp;")","")</f>
        <v/>
      </c>
      <c r="M654" s="1"/>
    </row>
    <row r="655" spans="1:13" x14ac:dyDescent="0.55000000000000004">
      <c r="A655" s="1" t="s">
        <v>1667</v>
      </c>
      <c r="C655" s="2">
        <f>Return!C655</f>
        <v>0</v>
      </c>
      <c r="D655" s="2">
        <f>COUNTA(Argument!E655)</f>
        <v>0</v>
      </c>
      <c r="E655" s="2" t="str">
        <f>IF(C655,Return!D655,Return!E655)</f>
        <v>v</v>
      </c>
      <c r="F655" s="2" t="str">
        <f t="shared" si="30"/>
        <v/>
      </c>
      <c r="G655" s="2" t="str">
        <f t="shared" si="32"/>
        <v/>
      </c>
      <c r="H655" s="2" t="str">
        <f t="shared" si="31"/>
        <v/>
      </c>
      <c r="I655" s="2" t="str">
        <f>IF(Return!C655=0,REPLACE(INDEX(H:H,ROW()+Return!B655,),1,2,Return!E655&amp;"(")&amp;")","")</f>
        <v>v(v, v, v, v)</v>
      </c>
      <c r="M655" s="1"/>
    </row>
    <row r="656" spans="1:13" x14ac:dyDescent="0.55000000000000004">
      <c r="A656" s="1" t="s">
        <v>1667</v>
      </c>
      <c r="B656" t="s">
        <v>1284</v>
      </c>
      <c r="C656" s="2">
        <f>Return!C656</f>
        <v>1</v>
      </c>
      <c r="D656" s="2">
        <f>COUNTA(Argument!E656)</f>
        <v>0</v>
      </c>
      <c r="E656" s="2" t="str">
        <f>IF(C656,Return!D656,Return!E656)</f>
        <v>v</v>
      </c>
      <c r="F656" s="2" t="str">
        <f t="shared" si="30"/>
        <v>v</v>
      </c>
      <c r="G656" s="2" t="str">
        <f t="shared" si="32"/>
        <v>v</v>
      </c>
      <c r="H656" s="2" t="str">
        <f t="shared" si="31"/>
        <v>, v</v>
      </c>
      <c r="I656" s="2" t="str">
        <f>IF(Return!C656=0,REPLACE(INDEX(H:H,ROW()+Return!B656,),1,2,Return!E656&amp;"(")&amp;")","")</f>
        <v/>
      </c>
      <c r="M656" s="1"/>
    </row>
    <row r="657" spans="1:13" x14ac:dyDescent="0.55000000000000004">
      <c r="A657" s="1" t="s">
        <v>1667</v>
      </c>
      <c r="B657" t="s">
        <v>1235</v>
      </c>
      <c r="C657" s="2">
        <f>Return!C657</f>
        <v>2</v>
      </c>
      <c r="D657" s="2">
        <f>COUNTA(Argument!E657)</f>
        <v>0</v>
      </c>
      <c r="E657" s="2" t="str">
        <f>IF(C657,Return!D657,Return!E657)</f>
        <v>v</v>
      </c>
      <c r="F657" s="2" t="str">
        <f t="shared" si="30"/>
        <v>v</v>
      </c>
      <c r="G657" s="2" t="str">
        <f t="shared" si="32"/>
        <v>v</v>
      </c>
      <c r="H657" s="2" t="str">
        <f t="shared" si="31"/>
        <v>, v, v</v>
      </c>
      <c r="I657" s="2" t="str">
        <f>IF(Return!C657=0,REPLACE(INDEX(H:H,ROW()+Return!B657,),1,2,Return!E657&amp;"(")&amp;")","")</f>
        <v/>
      </c>
      <c r="M657" s="1"/>
    </row>
    <row r="658" spans="1:13" x14ac:dyDescent="0.55000000000000004">
      <c r="A658" s="1" t="s">
        <v>1667</v>
      </c>
      <c r="B658" t="s">
        <v>1300</v>
      </c>
      <c r="C658" s="2">
        <f>Return!C658</f>
        <v>3</v>
      </c>
      <c r="D658" s="2">
        <f>COUNTA(Argument!E658)</f>
        <v>0</v>
      </c>
      <c r="E658" s="2" t="str">
        <f>IF(C658,Return!D658,Return!E658)</f>
        <v>v</v>
      </c>
      <c r="F658" s="2" t="str">
        <f t="shared" si="30"/>
        <v>v</v>
      </c>
      <c r="G658" s="2" t="str">
        <f t="shared" si="32"/>
        <v>v</v>
      </c>
      <c r="H658" s="2" t="str">
        <f t="shared" si="31"/>
        <v>, v, v, v</v>
      </c>
      <c r="I658" s="2" t="str">
        <f>IF(Return!C658=0,REPLACE(INDEX(H:H,ROW()+Return!B658,),1,2,Return!E658&amp;"(")&amp;")","")</f>
        <v/>
      </c>
      <c r="M658" s="1"/>
    </row>
    <row r="659" spans="1:13" x14ac:dyDescent="0.55000000000000004">
      <c r="A659" s="1" t="s">
        <v>1667</v>
      </c>
      <c r="B659" t="s">
        <v>1285</v>
      </c>
      <c r="C659" s="2">
        <f>Return!C659</f>
        <v>4</v>
      </c>
      <c r="D659" s="2">
        <f>COUNTA(Argument!E659)</f>
        <v>1</v>
      </c>
      <c r="E659" s="2" t="str">
        <f>IF(C659,Return!D659,Return!E659)</f>
        <v>v</v>
      </c>
      <c r="F659" s="2" t="str">
        <f t="shared" si="30"/>
        <v>v</v>
      </c>
      <c r="G659" s="2" t="str">
        <f t="shared" si="32"/>
        <v>v</v>
      </c>
      <c r="H659" s="2" t="str">
        <f t="shared" si="31"/>
        <v>, v, v, v, v</v>
      </c>
      <c r="I659" s="2" t="str">
        <f>IF(Return!C659=0,REPLACE(INDEX(H:H,ROW()+Return!B659,),1,2,Return!E659&amp;"(")&amp;")","")</f>
        <v/>
      </c>
      <c r="M659" s="1"/>
    </row>
    <row r="660" spans="1:13" x14ac:dyDescent="0.55000000000000004">
      <c r="A660" s="1" t="s">
        <v>1668</v>
      </c>
      <c r="C660" s="2">
        <f>Return!C660</f>
        <v>0</v>
      </c>
      <c r="D660" s="2">
        <f>COUNTA(Argument!E660)</f>
        <v>0</v>
      </c>
      <c r="E660" s="2" t="str">
        <f>IF(C660,Return!D660,Return!E660)</f>
        <v>v</v>
      </c>
      <c r="F660" s="2" t="str">
        <f t="shared" si="30"/>
        <v/>
      </c>
      <c r="G660" s="2" t="str">
        <f t="shared" si="32"/>
        <v/>
      </c>
      <c r="H660" s="2" t="str">
        <f t="shared" si="31"/>
        <v/>
      </c>
      <c r="I660" s="2" t="str">
        <f>IF(Return!C660=0,REPLACE(INDEX(H:H,ROW()+Return!B660,),1,2,Return!E660&amp;"(")&amp;")","")</f>
        <v>v(v, [v])</v>
      </c>
      <c r="M660" s="1"/>
    </row>
    <row r="661" spans="1:13" x14ac:dyDescent="0.55000000000000004">
      <c r="A661" s="1" t="s">
        <v>1668</v>
      </c>
      <c r="B661" t="s">
        <v>1233</v>
      </c>
      <c r="C661" s="2">
        <f>Return!C661</f>
        <v>1</v>
      </c>
      <c r="D661" s="2">
        <f>COUNTA(Argument!E661)</f>
        <v>1</v>
      </c>
      <c r="E661" s="2" t="str">
        <f>IF(C661,Return!D661,Return!E661)</f>
        <v>v</v>
      </c>
      <c r="F661" s="2" t="str">
        <f t="shared" si="30"/>
        <v>v</v>
      </c>
      <c r="G661" s="2" t="str">
        <f t="shared" si="32"/>
        <v>v</v>
      </c>
      <c r="H661" s="2" t="str">
        <f t="shared" si="31"/>
        <v>, v</v>
      </c>
      <c r="I661" s="2" t="str">
        <f>IF(Return!C661=0,REPLACE(INDEX(H:H,ROW()+Return!B661,),1,2,Return!E661&amp;"(")&amp;")","")</f>
        <v/>
      </c>
      <c r="M661" s="1"/>
    </row>
    <row r="662" spans="1:13" x14ac:dyDescent="0.55000000000000004">
      <c r="A662" s="1" t="s">
        <v>1668</v>
      </c>
      <c r="B662" t="s">
        <v>1300</v>
      </c>
      <c r="C662" s="2">
        <f>Return!C662</f>
        <v>2</v>
      </c>
      <c r="D662" s="2">
        <f>COUNTA(Argument!E662)</f>
        <v>1</v>
      </c>
      <c r="E662" s="2" t="str">
        <f>IF(C662,Return!D662,Return!E662)</f>
        <v>v</v>
      </c>
      <c r="F662" s="2" t="str">
        <f t="shared" si="30"/>
        <v>[v]</v>
      </c>
      <c r="G662" s="2" t="str">
        <f t="shared" si="32"/>
        <v>[v]</v>
      </c>
      <c r="H662" s="2" t="str">
        <f t="shared" si="31"/>
        <v>, v, [v]</v>
      </c>
      <c r="I662" s="2" t="str">
        <f>IF(Return!C662=0,REPLACE(INDEX(H:H,ROW()+Return!B662,),1,2,Return!E662&amp;"(")&amp;")","")</f>
        <v/>
      </c>
      <c r="M662" s="1"/>
    </row>
    <row r="663" spans="1:13" x14ac:dyDescent="0.55000000000000004">
      <c r="A663" s="1" t="s">
        <v>1669</v>
      </c>
      <c r="C663" s="2">
        <f>Return!C663</f>
        <v>0</v>
      </c>
      <c r="D663" s="2">
        <f>COUNTA(Argument!E663)</f>
        <v>0</v>
      </c>
      <c r="E663" s="2" t="str">
        <f>IF(C663,Return!D663,Return!E663)</f>
        <v>v</v>
      </c>
      <c r="F663" s="2" t="str">
        <f t="shared" si="30"/>
        <v/>
      </c>
      <c r="G663" s="2" t="str">
        <f t="shared" si="32"/>
        <v/>
      </c>
      <c r="H663" s="2" t="str">
        <f t="shared" si="31"/>
        <v/>
      </c>
      <c r="I663" s="2" t="str">
        <f>IF(Return!C663=0,REPLACE(INDEX(H:H,ROW()+Return!B663,),1,2,Return!E663&amp;"(")&amp;")","")</f>
        <v>v(v, [v])</v>
      </c>
      <c r="M663" s="1"/>
    </row>
    <row r="664" spans="1:13" x14ac:dyDescent="0.55000000000000004">
      <c r="A664" s="1" t="s">
        <v>1669</v>
      </c>
      <c r="B664" t="s">
        <v>1233</v>
      </c>
      <c r="C664" s="2">
        <f>Return!C664</f>
        <v>1</v>
      </c>
      <c r="D664" s="2">
        <f>COUNTA(Argument!E664)</f>
        <v>1</v>
      </c>
      <c r="E664" s="2" t="str">
        <f>IF(C664,Return!D664,Return!E664)</f>
        <v>v</v>
      </c>
      <c r="F664" s="2" t="str">
        <f t="shared" si="30"/>
        <v>v</v>
      </c>
      <c r="G664" s="2" t="str">
        <f t="shared" si="32"/>
        <v>v</v>
      </c>
      <c r="H664" s="2" t="str">
        <f t="shared" si="31"/>
        <v>, v</v>
      </c>
      <c r="I664" s="2" t="str">
        <f>IF(Return!C664=0,REPLACE(INDEX(H:H,ROW()+Return!B664,),1,2,Return!E664&amp;"(")&amp;")","")</f>
        <v/>
      </c>
      <c r="M664" s="1"/>
    </row>
    <row r="665" spans="1:13" x14ac:dyDescent="0.55000000000000004">
      <c r="A665" s="1" t="s">
        <v>1669</v>
      </c>
      <c r="B665" t="s">
        <v>1300</v>
      </c>
      <c r="C665" s="2">
        <f>Return!C665</f>
        <v>2</v>
      </c>
      <c r="D665" s="2">
        <f>COUNTA(Argument!E665)</f>
        <v>1</v>
      </c>
      <c r="E665" s="2" t="str">
        <f>IF(C665,Return!D665,Return!E665)</f>
        <v>v</v>
      </c>
      <c r="F665" s="2" t="str">
        <f t="shared" si="30"/>
        <v>[v]</v>
      </c>
      <c r="G665" s="2" t="str">
        <f t="shared" si="32"/>
        <v>[v]</v>
      </c>
      <c r="H665" s="2" t="str">
        <f t="shared" si="31"/>
        <v>, v, [v]</v>
      </c>
      <c r="I665" s="2" t="str">
        <f>IF(Return!C665=0,REPLACE(INDEX(H:H,ROW()+Return!B665,),1,2,Return!E665&amp;"(")&amp;")","")</f>
        <v/>
      </c>
      <c r="M665" s="1"/>
    </row>
    <row r="666" spans="1:13" x14ac:dyDescent="0.55000000000000004">
      <c r="A666" s="1" t="s">
        <v>1670</v>
      </c>
      <c r="C666" s="2">
        <f>Return!C666</f>
        <v>0</v>
      </c>
      <c r="D666" s="2">
        <f>COUNTA(Argument!E666)</f>
        <v>0</v>
      </c>
      <c r="E666" s="2" t="str">
        <f>IF(C666,Return!D666,Return!E666)</f>
        <v>v</v>
      </c>
      <c r="F666" s="2" t="str">
        <f t="shared" si="30"/>
        <v/>
      </c>
      <c r="G666" s="2" t="str">
        <f t="shared" si="32"/>
        <v/>
      </c>
      <c r="H666" s="2" t="str">
        <f t="shared" si="31"/>
        <v/>
      </c>
      <c r="I666" s="2" t="str">
        <f>IF(Return!C666=0,REPLACE(INDEX(H:H,ROW()+Return!B666,),1,2,Return!E666&amp;"(")&amp;")","")</f>
        <v>v(v, v, v)</v>
      </c>
      <c r="M666" s="1"/>
    </row>
    <row r="667" spans="1:13" x14ac:dyDescent="0.55000000000000004">
      <c r="A667" s="1" t="s">
        <v>1670</v>
      </c>
      <c r="B667" t="s">
        <v>1233</v>
      </c>
      <c r="C667" s="2">
        <f>Return!C667</f>
        <v>1</v>
      </c>
      <c r="D667" s="2">
        <f>COUNTA(Argument!E667)</f>
        <v>0</v>
      </c>
      <c r="E667" s="2" t="str">
        <f>IF(C667,Return!D667,Return!E667)</f>
        <v>v</v>
      </c>
      <c r="F667" s="2" t="str">
        <f t="shared" si="30"/>
        <v>v</v>
      </c>
      <c r="G667" s="2" t="str">
        <f t="shared" si="32"/>
        <v>v</v>
      </c>
      <c r="H667" s="2" t="str">
        <f t="shared" si="31"/>
        <v>, v</v>
      </c>
      <c r="I667" s="2" t="str">
        <f>IF(Return!C667=0,REPLACE(INDEX(H:H,ROW()+Return!B667,),1,2,Return!E667&amp;"(")&amp;")","")</f>
        <v/>
      </c>
      <c r="M667" s="1"/>
    </row>
    <row r="668" spans="1:13" x14ac:dyDescent="0.55000000000000004">
      <c r="A668" s="1" t="s">
        <v>1670</v>
      </c>
      <c r="B668" t="s">
        <v>1235</v>
      </c>
      <c r="C668" s="2">
        <f>Return!C668</f>
        <v>2</v>
      </c>
      <c r="D668" s="2">
        <f>COUNTA(Argument!E668)</f>
        <v>0</v>
      </c>
      <c r="E668" s="2" t="str">
        <f>IF(C668,Return!D668,Return!E668)</f>
        <v>v</v>
      </c>
      <c r="F668" s="2" t="str">
        <f t="shared" si="30"/>
        <v>v</v>
      </c>
      <c r="G668" s="2" t="str">
        <f t="shared" si="32"/>
        <v>v</v>
      </c>
      <c r="H668" s="2" t="str">
        <f t="shared" si="31"/>
        <v>, v, v</v>
      </c>
      <c r="I668" s="2" t="str">
        <f>IF(Return!C668=0,REPLACE(INDEX(H:H,ROW()+Return!B668,),1,2,Return!E668&amp;"(")&amp;")","")</f>
        <v/>
      </c>
      <c r="M668" s="1"/>
    </row>
    <row r="669" spans="1:13" x14ac:dyDescent="0.55000000000000004">
      <c r="A669" s="1" t="s">
        <v>1670</v>
      </c>
      <c r="B669" t="s">
        <v>1300</v>
      </c>
      <c r="C669" s="2">
        <f>Return!C669</f>
        <v>3</v>
      </c>
      <c r="D669" s="2">
        <f>COUNTA(Argument!E669)</f>
        <v>1</v>
      </c>
      <c r="E669" s="2" t="str">
        <f>IF(C669,Return!D669,Return!E669)</f>
        <v>v</v>
      </c>
      <c r="F669" s="2" t="str">
        <f t="shared" si="30"/>
        <v>v</v>
      </c>
      <c r="G669" s="2" t="str">
        <f t="shared" si="32"/>
        <v>v</v>
      </c>
      <c r="H669" s="2" t="str">
        <f t="shared" si="31"/>
        <v>, v, v, v</v>
      </c>
      <c r="I669" s="2" t="str">
        <f>IF(Return!C669=0,REPLACE(INDEX(H:H,ROW()+Return!B669,),1,2,Return!E669&amp;"(")&amp;")","")</f>
        <v/>
      </c>
      <c r="M669" s="1"/>
    </row>
    <row r="670" spans="1:13" x14ac:dyDescent="0.55000000000000004">
      <c r="A670" s="1" t="s">
        <v>1671</v>
      </c>
      <c r="C670" s="2">
        <f>Return!C670</f>
        <v>0</v>
      </c>
      <c r="D670" s="2">
        <f>COUNTA(Argument!E670)</f>
        <v>0</v>
      </c>
      <c r="E670" s="2" t="str">
        <f>IF(C670,Return!D670,Return!E670)</f>
        <v>v</v>
      </c>
      <c r="F670" s="2" t="str">
        <f t="shared" si="30"/>
        <v/>
      </c>
      <c r="G670" s="2" t="str">
        <f t="shared" si="32"/>
        <v/>
      </c>
      <c r="H670" s="2" t="str">
        <f t="shared" si="31"/>
        <v/>
      </c>
      <c r="I670" s="2" t="str">
        <f>IF(Return!C670=0,REPLACE(INDEX(H:H,ROW()+Return!B670,),1,2,Return!E670&amp;"(")&amp;")","")</f>
        <v>v(v)</v>
      </c>
      <c r="M670" s="1"/>
    </row>
    <row r="671" spans="1:13" x14ac:dyDescent="0.55000000000000004">
      <c r="A671" s="1" t="s">
        <v>1671</v>
      </c>
      <c r="B671" t="s">
        <v>1233</v>
      </c>
      <c r="C671" s="2">
        <f>Return!C671</f>
        <v>1</v>
      </c>
      <c r="D671" s="2">
        <f>COUNTA(Argument!E671)</f>
        <v>1</v>
      </c>
      <c r="E671" s="2" t="str">
        <f>IF(C671,Return!D671,Return!E671)</f>
        <v>v</v>
      </c>
      <c r="F671" s="2" t="str">
        <f t="shared" si="30"/>
        <v>v</v>
      </c>
      <c r="G671" s="2" t="str">
        <f t="shared" si="32"/>
        <v>v</v>
      </c>
      <c r="H671" s="2" t="str">
        <f t="shared" si="31"/>
        <v>, v</v>
      </c>
      <c r="I671" s="2" t="str">
        <f>IF(Return!C671=0,REPLACE(INDEX(H:H,ROW()+Return!B671,),1,2,Return!E671&amp;"(")&amp;")","")</f>
        <v/>
      </c>
      <c r="M671" s="1"/>
    </row>
    <row r="672" spans="1:13" x14ac:dyDescent="0.55000000000000004">
      <c r="A672" s="1" t="s">
        <v>1672</v>
      </c>
      <c r="C672" s="2">
        <f>Return!C672</f>
        <v>0</v>
      </c>
      <c r="D672" s="2">
        <f>COUNTA(Argument!E672)</f>
        <v>0</v>
      </c>
      <c r="E672" s="2" t="str">
        <f>IF(C672,Return!D672,Return!E672)</f>
        <v>v</v>
      </c>
      <c r="F672" s="2" t="str">
        <f t="shared" si="30"/>
        <v/>
      </c>
      <c r="G672" s="2" t="str">
        <f t="shared" si="32"/>
        <v/>
      </c>
      <c r="H672" s="2" t="str">
        <f t="shared" si="31"/>
        <v/>
      </c>
      <c r="I672" s="2" t="str">
        <f>IF(Return!C672=0,REPLACE(INDEX(H:H,ROW()+Return!B672,),1,2,Return!E672&amp;"(")&amp;")","")</f>
        <v>v(v, v)</v>
      </c>
      <c r="M672" s="1"/>
    </row>
    <row r="673" spans="1:13" x14ac:dyDescent="0.55000000000000004">
      <c r="A673" s="1" t="s">
        <v>1672</v>
      </c>
      <c r="B673" t="s">
        <v>1223</v>
      </c>
      <c r="C673" s="2">
        <f>Return!C673</f>
        <v>1</v>
      </c>
      <c r="D673" s="2">
        <f>COUNTA(Argument!E673)</f>
        <v>0</v>
      </c>
      <c r="E673" s="2" t="str">
        <f>IF(C673,Return!D673,Return!E673)</f>
        <v>v</v>
      </c>
      <c r="F673" s="2" t="str">
        <f t="shared" si="30"/>
        <v>v</v>
      </c>
      <c r="G673" s="2" t="str">
        <f t="shared" si="32"/>
        <v>v</v>
      </c>
      <c r="H673" s="2" t="str">
        <f t="shared" si="31"/>
        <v>, v</v>
      </c>
      <c r="I673" s="2" t="str">
        <f>IF(Return!C673=0,REPLACE(INDEX(H:H,ROW()+Return!B673,),1,2,Return!E673&amp;"(")&amp;")","")</f>
        <v/>
      </c>
      <c r="M673" s="1"/>
    </row>
    <row r="674" spans="1:13" x14ac:dyDescent="0.55000000000000004">
      <c r="A674" s="1" t="s">
        <v>1672</v>
      </c>
      <c r="B674" t="s">
        <v>1226</v>
      </c>
      <c r="C674" s="2">
        <f>Return!C674</f>
        <v>2</v>
      </c>
      <c r="D674" s="2">
        <f>COUNTA(Argument!E674)</f>
        <v>1</v>
      </c>
      <c r="E674" s="2" t="str">
        <f>IF(C674,Return!D674,Return!E674)</f>
        <v>v</v>
      </c>
      <c r="F674" s="2" t="str">
        <f t="shared" si="30"/>
        <v>v</v>
      </c>
      <c r="G674" s="2" t="str">
        <f t="shared" si="32"/>
        <v>v</v>
      </c>
      <c r="H674" s="2" t="str">
        <f t="shared" si="31"/>
        <v>, v, v</v>
      </c>
      <c r="I674" s="2" t="str">
        <f>IF(Return!C674=0,REPLACE(INDEX(H:H,ROW()+Return!B674,),1,2,Return!E674&amp;"(")&amp;")","")</f>
        <v/>
      </c>
      <c r="M674" s="1"/>
    </row>
    <row r="675" spans="1:13" x14ac:dyDescent="0.55000000000000004">
      <c r="A675" s="1" t="s">
        <v>1673</v>
      </c>
      <c r="C675" s="2">
        <f>Return!C675</f>
        <v>0</v>
      </c>
      <c r="D675" s="2">
        <f>COUNTA(Argument!E675)</f>
        <v>0</v>
      </c>
      <c r="E675" s="2" t="str">
        <f>IF(C675,Return!D675,Return!E675)</f>
        <v>v</v>
      </c>
      <c r="F675" s="2" t="str">
        <f t="shared" si="30"/>
        <v/>
      </c>
      <c r="G675" s="2" t="str">
        <f t="shared" si="32"/>
        <v/>
      </c>
      <c r="H675" s="2" t="str">
        <f t="shared" si="31"/>
        <v/>
      </c>
      <c r="I675" s="2" t="str">
        <f>IF(Return!C675=0,REPLACE(INDEX(H:H,ROW()+Return!B675,),1,2,Return!E675&amp;"(")&amp;")","")</f>
        <v>v(v, v)</v>
      </c>
      <c r="M675" s="1"/>
    </row>
    <row r="676" spans="1:13" x14ac:dyDescent="0.55000000000000004">
      <c r="A676" s="1" t="s">
        <v>1673</v>
      </c>
      <c r="B676" t="s">
        <v>1223</v>
      </c>
      <c r="C676" s="2">
        <f>Return!C676</f>
        <v>1</v>
      </c>
      <c r="D676" s="2">
        <f>COUNTA(Argument!E676)</f>
        <v>0</v>
      </c>
      <c r="E676" s="2" t="str">
        <f>IF(C676,Return!D676,Return!E676)</f>
        <v>v</v>
      </c>
      <c r="F676" s="2" t="str">
        <f t="shared" si="30"/>
        <v>v</v>
      </c>
      <c r="G676" s="2" t="str">
        <f t="shared" si="32"/>
        <v>v</v>
      </c>
      <c r="H676" s="2" t="str">
        <f t="shared" si="31"/>
        <v>, v</v>
      </c>
      <c r="I676" s="2" t="str">
        <f>IF(Return!C676=0,REPLACE(INDEX(H:H,ROW()+Return!B676,),1,2,Return!E676&amp;"(")&amp;")","")</f>
        <v/>
      </c>
      <c r="M676" s="1"/>
    </row>
    <row r="677" spans="1:13" x14ac:dyDescent="0.55000000000000004">
      <c r="A677" s="1" t="s">
        <v>1673</v>
      </c>
      <c r="B677" t="s">
        <v>1226</v>
      </c>
      <c r="C677" s="2">
        <f>Return!C677</f>
        <v>2</v>
      </c>
      <c r="D677" s="2">
        <f>COUNTA(Argument!E677)</f>
        <v>1</v>
      </c>
      <c r="E677" s="2" t="str">
        <f>IF(C677,Return!D677,Return!E677)</f>
        <v>v</v>
      </c>
      <c r="F677" s="2" t="str">
        <f t="shared" si="30"/>
        <v>v</v>
      </c>
      <c r="G677" s="2" t="str">
        <f t="shared" si="32"/>
        <v>v</v>
      </c>
      <c r="H677" s="2" t="str">
        <f t="shared" si="31"/>
        <v>, v, v</v>
      </c>
      <c r="I677" s="2" t="str">
        <f>IF(Return!C677=0,REPLACE(INDEX(H:H,ROW()+Return!B677,),1,2,Return!E677&amp;"(")&amp;")","")</f>
        <v/>
      </c>
      <c r="M677" s="1"/>
    </row>
    <row r="678" spans="1:13" x14ac:dyDescent="0.55000000000000004">
      <c r="A678" s="1" t="s">
        <v>1674</v>
      </c>
      <c r="C678" s="2">
        <f>Return!C678</f>
        <v>0</v>
      </c>
      <c r="D678" s="2">
        <f>COUNTA(Argument!E678)</f>
        <v>0</v>
      </c>
      <c r="E678" s="2" t="str">
        <f>IF(C678,Return!D678,Return!E678)</f>
        <v>v</v>
      </c>
      <c r="F678" s="2" t="str">
        <f t="shared" si="30"/>
        <v/>
      </c>
      <c r="G678" s="2" t="str">
        <f t="shared" si="32"/>
        <v/>
      </c>
      <c r="H678" s="2" t="str">
        <f t="shared" si="31"/>
        <v/>
      </c>
      <c r="I678" s="2" t="str">
        <f>IF(Return!C678=0,REPLACE(INDEX(H:H,ROW()+Return!B678,),1,2,Return!E678&amp;"(")&amp;")","")</f>
        <v>v(v)</v>
      </c>
      <c r="M678" s="1"/>
    </row>
    <row r="679" spans="1:13" x14ac:dyDescent="0.55000000000000004">
      <c r="A679" s="1" t="s">
        <v>1674</v>
      </c>
      <c r="B679" t="s">
        <v>1233</v>
      </c>
      <c r="C679" s="2">
        <f>Return!C679</f>
        <v>1</v>
      </c>
      <c r="D679" s="2">
        <f>COUNTA(Argument!E679)</f>
        <v>1</v>
      </c>
      <c r="E679" s="2" t="str">
        <f>IF(C679,Return!D679,Return!E679)</f>
        <v>v</v>
      </c>
      <c r="F679" s="2" t="str">
        <f t="shared" si="30"/>
        <v>v</v>
      </c>
      <c r="G679" s="2" t="str">
        <f t="shared" si="32"/>
        <v>v</v>
      </c>
      <c r="H679" s="2" t="str">
        <f t="shared" si="31"/>
        <v>, v</v>
      </c>
      <c r="I679" s="2" t="str">
        <f>IF(Return!C679=0,REPLACE(INDEX(H:H,ROW()+Return!B679,),1,2,Return!E679&amp;"(")&amp;")","")</f>
        <v/>
      </c>
      <c r="M679" s="1"/>
    </row>
    <row r="680" spans="1:13" x14ac:dyDescent="0.55000000000000004">
      <c r="A680" s="1" t="s">
        <v>1675</v>
      </c>
      <c r="C680" s="2">
        <f>Return!C680</f>
        <v>0</v>
      </c>
      <c r="D680" s="2">
        <f>COUNTA(Argument!E680)</f>
        <v>0</v>
      </c>
      <c r="E680" s="2" t="str">
        <f>IF(C680,Return!D680,Return!E680)</f>
        <v>v</v>
      </c>
      <c r="F680" s="2" t="str">
        <f t="shared" si="30"/>
        <v/>
      </c>
      <c r="G680" s="2" t="str">
        <f t="shared" si="32"/>
        <v/>
      </c>
      <c r="H680" s="2" t="str">
        <f t="shared" si="31"/>
        <v/>
      </c>
      <c r="I680" s="2" t="str">
        <f>IF(Return!C680=0,REPLACE(INDEX(H:H,ROW()+Return!B680,),1,2,Return!E680&amp;"(")&amp;")","")</f>
        <v>v(v)</v>
      </c>
      <c r="M680" s="1"/>
    </row>
    <row r="681" spans="1:13" x14ac:dyDescent="0.55000000000000004">
      <c r="A681" s="1" t="s">
        <v>1675</v>
      </c>
      <c r="B681" t="s">
        <v>1233</v>
      </c>
      <c r="C681" s="2">
        <f>Return!C681</f>
        <v>1</v>
      </c>
      <c r="D681" s="2">
        <f>COUNTA(Argument!E681)</f>
        <v>1</v>
      </c>
      <c r="E681" s="2" t="str">
        <f>IF(C681,Return!D681,Return!E681)</f>
        <v>v</v>
      </c>
      <c r="F681" s="2" t="str">
        <f t="shared" si="30"/>
        <v>v</v>
      </c>
      <c r="G681" s="2" t="str">
        <f t="shared" si="32"/>
        <v>v</v>
      </c>
      <c r="H681" s="2" t="str">
        <f t="shared" si="31"/>
        <v>, v</v>
      </c>
      <c r="I681" s="2" t="str">
        <f>IF(Return!C681=0,REPLACE(INDEX(H:H,ROW()+Return!B681,),1,2,Return!E681&amp;"(")&amp;")","")</f>
        <v/>
      </c>
      <c r="M681" s="1"/>
    </row>
    <row r="682" spans="1:13" x14ac:dyDescent="0.55000000000000004">
      <c r="A682" s="1" t="s">
        <v>1676</v>
      </c>
      <c r="C682" s="2">
        <f>Return!C682</f>
        <v>0</v>
      </c>
      <c r="D682" s="2">
        <f>COUNTA(Argument!E682)</f>
        <v>0</v>
      </c>
      <c r="E682" s="2" t="str">
        <f>IF(C682,Return!D682,Return!E682)</f>
        <v>v</v>
      </c>
      <c r="F682" s="2" t="str">
        <f t="shared" si="30"/>
        <v/>
      </c>
      <c r="G682" s="2" t="str">
        <f t="shared" si="32"/>
        <v/>
      </c>
      <c r="H682" s="2" t="str">
        <f t="shared" si="31"/>
        <v/>
      </c>
      <c r="I682" s="2" t="str">
        <f>IF(Return!C682=0,REPLACE(INDEX(H:H,ROW()+Return!B682,),1,2,Return!E682&amp;"(")&amp;")","")</f>
        <v>v(v, r, [v])</v>
      </c>
      <c r="M682" s="1"/>
    </row>
    <row r="683" spans="1:13" x14ac:dyDescent="0.55000000000000004">
      <c r="A683" s="1" t="s">
        <v>1676</v>
      </c>
      <c r="B683" t="s">
        <v>1223</v>
      </c>
      <c r="C683" s="2">
        <f>Return!C683</f>
        <v>1</v>
      </c>
      <c r="D683" s="2">
        <f>COUNTA(Argument!E683)</f>
        <v>0</v>
      </c>
      <c r="E683" s="2" t="str">
        <f>IF(C683,Return!D683,Return!E683)</f>
        <v>v</v>
      </c>
      <c r="F683" s="2" t="str">
        <f t="shared" si="30"/>
        <v>v</v>
      </c>
      <c r="G683" s="2" t="str">
        <f t="shared" si="32"/>
        <v>v</v>
      </c>
      <c r="H683" s="2" t="str">
        <f t="shared" si="31"/>
        <v>, v</v>
      </c>
      <c r="I683" s="2" t="str">
        <f>IF(Return!C683=0,REPLACE(INDEX(H:H,ROW()+Return!B683,),1,2,Return!E683&amp;"(")&amp;")","")</f>
        <v/>
      </c>
      <c r="M683" s="1"/>
    </row>
    <row r="684" spans="1:13" x14ac:dyDescent="0.55000000000000004">
      <c r="A684" s="1" t="s">
        <v>1676</v>
      </c>
      <c r="B684" t="s">
        <v>1301</v>
      </c>
      <c r="C684" s="2">
        <f>Return!C684</f>
        <v>2</v>
      </c>
      <c r="D684" s="2">
        <f>COUNTA(Argument!E684)</f>
        <v>1</v>
      </c>
      <c r="E684" s="2" t="str">
        <f>IF(C684,Return!D684,Return!E684)</f>
        <v>r</v>
      </c>
      <c r="F684" s="2" t="str">
        <f t="shared" si="30"/>
        <v>r</v>
      </c>
      <c r="G684" s="2" t="str">
        <f t="shared" si="32"/>
        <v>r</v>
      </c>
      <c r="H684" s="2" t="str">
        <f t="shared" si="31"/>
        <v>, v, r</v>
      </c>
      <c r="I684" s="2" t="str">
        <f>IF(Return!C684=0,REPLACE(INDEX(H:H,ROW()+Return!B684,),1,2,Return!E684&amp;"(")&amp;")","")</f>
        <v/>
      </c>
      <c r="M684" s="1"/>
    </row>
    <row r="685" spans="1:13" x14ac:dyDescent="0.55000000000000004">
      <c r="A685" s="1" t="s">
        <v>1676</v>
      </c>
      <c r="B685" t="s">
        <v>1302</v>
      </c>
      <c r="C685" s="2">
        <f>Return!C685</f>
        <v>3</v>
      </c>
      <c r="D685" s="2">
        <f>COUNTA(Argument!E685)</f>
        <v>1</v>
      </c>
      <c r="E685" s="2" t="str">
        <f>IF(C685,Return!D685,Return!E685)</f>
        <v>v</v>
      </c>
      <c r="F685" s="2" t="str">
        <f t="shared" si="30"/>
        <v>[v]</v>
      </c>
      <c r="G685" s="2" t="str">
        <f t="shared" si="32"/>
        <v>[v]</v>
      </c>
      <c r="H685" s="2" t="str">
        <f t="shared" si="31"/>
        <v>, v, r, [v]</v>
      </c>
      <c r="I685" s="2" t="str">
        <f>IF(Return!C685=0,REPLACE(INDEX(H:H,ROW()+Return!B685,),1,2,Return!E685&amp;"(")&amp;")","")</f>
        <v/>
      </c>
      <c r="M685" s="1"/>
    </row>
    <row r="686" spans="1:13" x14ac:dyDescent="0.55000000000000004">
      <c r="A686" s="1" t="s">
        <v>1677</v>
      </c>
      <c r="C686" s="2">
        <f>Return!C686</f>
        <v>0</v>
      </c>
      <c r="D686" s="2">
        <f>COUNTA(Argument!E686)</f>
        <v>0</v>
      </c>
      <c r="E686" s="2" t="str">
        <f>IF(C686,Return!D686,Return!E686)</f>
        <v>v</v>
      </c>
      <c r="F686" s="2" t="str">
        <f t="shared" si="30"/>
        <v/>
      </c>
      <c r="G686" s="2" t="str">
        <f t="shared" si="32"/>
        <v/>
      </c>
      <c r="H686" s="2" t="str">
        <f t="shared" si="31"/>
        <v/>
      </c>
      <c r="I686" s="2" t="str">
        <f>IF(Return!C686=0,REPLACE(INDEX(H:H,ROW()+Return!B686,),1,2,Return!E686&amp;"(")&amp;")","")</f>
        <v>v(v, v, [v], [v], [v])</v>
      </c>
      <c r="M686" s="1"/>
    </row>
    <row r="687" spans="1:13" x14ac:dyDescent="0.55000000000000004">
      <c r="A687" s="1" t="s">
        <v>1677</v>
      </c>
      <c r="B687" t="s">
        <v>1231</v>
      </c>
      <c r="C687" s="2">
        <f>Return!C687</f>
        <v>1</v>
      </c>
      <c r="D687" s="2">
        <f>COUNTA(Argument!E687)</f>
        <v>0</v>
      </c>
      <c r="E687" s="2" t="str">
        <f>IF(C687,Return!D687,Return!E687)</f>
        <v>v</v>
      </c>
      <c r="F687" s="2" t="str">
        <f t="shared" si="30"/>
        <v>v</v>
      </c>
      <c r="G687" s="2" t="str">
        <f t="shared" si="32"/>
        <v>v</v>
      </c>
      <c r="H687" s="2" t="str">
        <f t="shared" si="31"/>
        <v>, v</v>
      </c>
      <c r="I687" s="2" t="str">
        <f>IF(Return!C687=0,REPLACE(INDEX(H:H,ROW()+Return!B687,),1,2,Return!E687&amp;"(")&amp;")","")</f>
        <v/>
      </c>
      <c r="M687" s="1"/>
    </row>
    <row r="688" spans="1:13" x14ac:dyDescent="0.55000000000000004">
      <c r="A688" s="1" t="s">
        <v>1677</v>
      </c>
      <c r="B688" t="s">
        <v>1232</v>
      </c>
      <c r="C688" s="2">
        <f>Return!C688</f>
        <v>2</v>
      </c>
      <c r="D688" s="2">
        <f>COUNTA(Argument!E688)</f>
        <v>1</v>
      </c>
      <c r="E688" s="2" t="str">
        <f>IF(C688,Return!D688,Return!E688)</f>
        <v>v</v>
      </c>
      <c r="F688" s="2" t="str">
        <f t="shared" si="30"/>
        <v>v</v>
      </c>
      <c r="G688" s="2" t="str">
        <f t="shared" si="32"/>
        <v>v</v>
      </c>
      <c r="H688" s="2" t="str">
        <f t="shared" si="31"/>
        <v>, v, v</v>
      </c>
      <c r="I688" s="2" t="str">
        <f>IF(Return!C688=0,REPLACE(INDEX(H:H,ROW()+Return!B688,),1,2,Return!E688&amp;"(")&amp;")","")</f>
        <v/>
      </c>
      <c r="M688" s="1"/>
    </row>
    <row r="689" spans="1:13" x14ac:dyDescent="0.55000000000000004">
      <c r="A689" s="1" t="s">
        <v>1677</v>
      </c>
      <c r="B689" t="s">
        <v>1303</v>
      </c>
      <c r="C689" s="2">
        <f>Return!C689</f>
        <v>3</v>
      </c>
      <c r="D689" s="2">
        <f>COUNTA(Argument!E689)</f>
        <v>1</v>
      </c>
      <c r="E689" s="2" t="str">
        <f>IF(C689,Return!D689,Return!E689)</f>
        <v>v</v>
      </c>
      <c r="F689" s="2" t="str">
        <f t="shared" si="30"/>
        <v>[v]</v>
      </c>
      <c r="G689" s="2" t="str">
        <f t="shared" si="32"/>
        <v>[v]</v>
      </c>
      <c r="H689" s="2" t="str">
        <f t="shared" si="31"/>
        <v>, v, v, [v]</v>
      </c>
      <c r="I689" s="2" t="str">
        <f>IF(Return!C689=0,REPLACE(INDEX(H:H,ROW()+Return!B689,),1,2,Return!E689&amp;"(")&amp;")","")</f>
        <v/>
      </c>
      <c r="M689" s="1"/>
    </row>
    <row r="690" spans="1:13" x14ac:dyDescent="0.55000000000000004">
      <c r="A690" s="1" t="s">
        <v>1677</v>
      </c>
      <c r="B690" t="s">
        <v>1297</v>
      </c>
      <c r="C690" s="2">
        <f>Return!C690</f>
        <v>4</v>
      </c>
      <c r="D690" s="2">
        <f>COUNTA(Argument!E690)</f>
        <v>1</v>
      </c>
      <c r="E690" s="2" t="str">
        <f>IF(C690,Return!D690,Return!E690)</f>
        <v>v</v>
      </c>
      <c r="F690" s="2" t="str">
        <f t="shared" si="30"/>
        <v>[v]</v>
      </c>
      <c r="G690" s="2" t="str">
        <f t="shared" si="32"/>
        <v>[v]</v>
      </c>
      <c r="H690" s="2" t="str">
        <f t="shared" si="31"/>
        <v>, v, v, [v], [v]</v>
      </c>
      <c r="I690" s="2" t="str">
        <f>IF(Return!C690=0,REPLACE(INDEX(H:H,ROW()+Return!B690,),1,2,Return!E690&amp;"(")&amp;")","")</f>
        <v/>
      </c>
      <c r="M690" s="1"/>
    </row>
    <row r="691" spans="1:13" x14ac:dyDescent="0.55000000000000004">
      <c r="A691" s="1" t="s">
        <v>1677</v>
      </c>
      <c r="B691" t="s">
        <v>1304</v>
      </c>
      <c r="C691" s="2">
        <f>Return!C691</f>
        <v>5</v>
      </c>
      <c r="D691" s="2">
        <f>COUNTA(Argument!E691)</f>
        <v>1</v>
      </c>
      <c r="E691" s="2" t="str">
        <f>IF(C691,Return!D691,Return!E691)</f>
        <v>v</v>
      </c>
      <c r="F691" s="2" t="str">
        <f t="shared" si="30"/>
        <v>[v]</v>
      </c>
      <c r="G691" s="2" t="str">
        <f t="shared" si="32"/>
        <v>[v]</v>
      </c>
      <c r="H691" s="2" t="str">
        <f t="shared" si="31"/>
        <v>, v, v, [v], [v], [v]</v>
      </c>
      <c r="I691" s="2" t="str">
        <f>IF(Return!C691=0,REPLACE(INDEX(H:H,ROW()+Return!B691,),1,2,Return!E691&amp;"(")&amp;")","")</f>
        <v/>
      </c>
      <c r="M691" s="1"/>
    </row>
    <row r="692" spans="1:13" x14ac:dyDescent="0.55000000000000004">
      <c r="A692" s="1" t="s">
        <v>1678</v>
      </c>
      <c r="C692" s="2">
        <f>Return!C692</f>
        <v>0</v>
      </c>
      <c r="D692" s="2">
        <f>COUNTA(Argument!E692)</f>
        <v>0</v>
      </c>
      <c r="E692" s="2" t="str">
        <f>IF(C692,Return!D692,Return!E692)</f>
        <v>v</v>
      </c>
      <c r="F692" s="2" t="str">
        <f t="shared" si="30"/>
        <v/>
      </c>
      <c r="G692" s="2" t="str">
        <f t="shared" si="32"/>
        <v/>
      </c>
      <c r="H692" s="2" t="str">
        <f t="shared" si="31"/>
        <v/>
      </c>
      <c r="I692" s="2" t="str">
        <f>IF(Return!C692=0,REPLACE(INDEX(H:H,ROW()+Return!B692,),1,2,Return!E692&amp;"(")&amp;")","")</f>
        <v>v(v, v, [v])</v>
      </c>
      <c r="M692" s="1"/>
    </row>
    <row r="693" spans="1:13" x14ac:dyDescent="0.55000000000000004">
      <c r="A693" s="1" t="s">
        <v>1678</v>
      </c>
      <c r="B693" t="s">
        <v>1305</v>
      </c>
      <c r="C693" s="2">
        <f>Return!C693</f>
        <v>1</v>
      </c>
      <c r="D693" s="2">
        <f>COUNTA(Argument!E693)</f>
        <v>0</v>
      </c>
      <c r="E693" s="2" t="str">
        <f>IF(C693,Return!D693,Return!E693)</f>
        <v>v</v>
      </c>
      <c r="F693" s="2" t="str">
        <f t="shared" si="30"/>
        <v>v</v>
      </c>
      <c r="G693" s="2" t="str">
        <f t="shared" si="32"/>
        <v>v</v>
      </c>
      <c r="H693" s="2" t="str">
        <f t="shared" si="31"/>
        <v>, v</v>
      </c>
      <c r="I693" s="2" t="str">
        <f>IF(Return!C693=0,REPLACE(INDEX(H:H,ROW()+Return!B693,),1,2,Return!E693&amp;"(")&amp;")","")</f>
        <v/>
      </c>
      <c r="M693" s="1"/>
    </row>
    <row r="694" spans="1:13" x14ac:dyDescent="0.55000000000000004">
      <c r="A694" s="1" t="s">
        <v>1678</v>
      </c>
      <c r="B694" t="s">
        <v>1306</v>
      </c>
      <c r="C694" s="2">
        <f>Return!C694</f>
        <v>2</v>
      </c>
      <c r="D694" s="2">
        <f>COUNTA(Argument!E694)</f>
        <v>1</v>
      </c>
      <c r="E694" s="2" t="str">
        <f>IF(C694,Return!D694,Return!E694)</f>
        <v>v</v>
      </c>
      <c r="F694" s="2" t="str">
        <f t="shared" si="30"/>
        <v>v</v>
      </c>
      <c r="G694" s="2" t="str">
        <f t="shared" si="32"/>
        <v>v</v>
      </c>
      <c r="H694" s="2" t="str">
        <f t="shared" si="31"/>
        <v>, v, v</v>
      </c>
      <c r="I694" s="2" t="str">
        <f>IF(Return!C694=0,REPLACE(INDEX(H:H,ROW()+Return!B694,),1,2,Return!E694&amp;"(")&amp;")","")</f>
        <v/>
      </c>
      <c r="M694" s="1"/>
    </row>
    <row r="695" spans="1:13" x14ac:dyDescent="0.55000000000000004">
      <c r="A695" s="1" t="s">
        <v>1678</v>
      </c>
      <c r="B695" t="s">
        <v>1307</v>
      </c>
      <c r="C695" s="2">
        <f>Return!C695</f>
        <v>3</v>
      </c>
      <c r="D695" s="2">
        <f>COUNTA(Argument!E695)</f>
        <v>1</v>
      </c>
      <c r="E695" s="2" t="str">
        <f>IF(C695,Return!D695,Return!E695)</f>
        <v>v</v>
      </c>
      <c r="F695" s="2" t="str">
        <f t="shared" si="30"/>
        <v>[v]</v>
      </c>
      <c r="G695" s="2" t="str">
        <f t="shared" si="32"/>
        <v>[v]</v>
      </c>
      <c r="H695" s="2" t="str">
        <f t="shared" si="31"/>
        <v>, v, v, [v]</v>
      </c>
      <c r="I695" s="2" t="str">
        <f>IF(Return!C695=0,REPLACE(INDEX(H:H,ROW()+Return!B695,),1,2,Return!E695&amp;"(")&amp;")","")</f>
        <v/>
      </c>
      <c r="M695" s="1"/>
    </row>
    <row r="696" spans="1:13" x14ac:dyDescent="0.55000000000000004">
      <c r="A696" s="1" t="s">
        <v>1482</v>
      </c>
      <c r="C696" s="2">
        <f>Return!C696</f>
        <v>0</v>
      </c>
      <c r="D696" s="2">
        <f>COUNTA(Argument!E696)</f>
        <v>1</v>
      </c>
      <c r="E696" s="2" t="str">
        <f>IF(C696,Return!D696,Return!E696)</f>
        <v>v</v>
      </c>
      <c r="F696" s="2" t="str">
        <f t="shared" si="30"/>
        <v/>
      </c>
      <c r="G696" s="2" t="str">
        <f t="shared" si="32"/>
        <v/>
      </c>
      <c r="H696" s="2" t="str">
        <f t="shared" si="31"/>
        <v/>
      </c>
      <c r="I696" s="2" t="str">
        <f>IF(Return!C696=0,REPLACE(INDEX(H:H,ROW()+Return!B696,),1,2,Return!E696&amp;"(")&amp;")","")</f>
        <v>v()</v>
      </c>
      <c r="M696" s="1"/>
    </row>
    <row r="697" spans="1:13" x14ac:dyDescent="0.55000000000000004">
      <c r="A697" s="1" t="s">
        <v>1679</v>
      </c>
      <c r="C697" s="2">
        <f>Return!C697</f>
        <v>0</v>
      </c>
      <c r="D697" s="2">
        <f>COUNTA(Argument!E697)</f>
        <v>0</v>
      </c>
      <c r="E697" s="2" t="str">
        <f>IF(C697,Return!D697,Return!E697)</f>
        <v>v</v>
      </c>
      <c r="F697" s="2" t="str">
        <f t="shared" si="30"/>
        <v/>
      </c>
      <c r="G697" s="2" t="str">
        <f t="shared" si="32"/>
        <v/>
      </c>
      <c r="H697" s="2" t="str">
        <f t="shared" si="31"/>
        <v/>
      </c>
      <c r="I697" s="2" t="str">
        <f>IF(Return!C697=0,REPLACE(INDEX(H:H,ROW()+Return!B697,),1,2,Return!E697&amp;"(")&amp;")","")</f>
        <v>v(v, v, v, v, v, [v], [v])</v>
      </c>
      <c r="M697" s="1"/>
    </row>
    <row r="698" spans="1:13" x14ac:dyDescent="0.55000000000000004">
      <c r="A698" s="1" t="s">
        <v>1679</v>
      </c>
      <c r="B698" t="s">
        <v>1290</v>
      </c>
      <c r="C698" s="2">
        <f>Return!C698</f>
        <v>1</v>
      </c>
      <c r="D698" s="2">
        <f>COUNTA(Argument!E698)</f>
        <v>0</v>
      </c>
      <c r="E698" s="2" t="str">
        <f>IF(C698,Return!D698,Return!E698)</f>
        <v>v</v>
      </c>
      <c r="F698" s="2" t="str">
        <f t="shared" si="30"/>
        <v>v</v>
      </c>
      <c r="G698" s="2" t="str">
        <f t="shared" si="32"/>
        <v>v</v>
      </c>
      <c r="H698" s="2" t="str">
        <f t="shared" si="31"/>
        <v>, v</v>
      </c>
      <c r="I698" s="2" t="str">
        <f>IF(Return!C698=0,REPLACE(INDEX(H:H,ROW()+Return!B698,),1,2,Return!E698&amp;"(")&amp;")","")</f>
        <v/>
      </c>
      <c r="M698" s="1"/>
    </row>
    <row r="699" spans="1:13" x14ac:dyDescent="0.55000000000000004">
      <c r="A699" s="1" t="s">
        <v>1679</v>
      </c>
      <c r="B699" t="s">
        <v>1291</v>
      </c>
      <c r="C699" s="2">
        <f>Return!C699</f>
        <v>2</v>
      </c>
      <c r="D699" s="2">
        <f>COUNTA(Argument!E699)</f>
        <v>0</v>
      </c>
      <c r="E699" s="2" t="str">
        <f>IF(C699,Return!D699,Return!E699)</f>
        <v>v</v>
      </c>
      <c r="F699" s="2" t="str">
        <f t="shared" si="30"/>
        <v>v</v>
      </c>
      <c r="G699" s="2" t="str">
        <f t="shared" si="32"/>
        <v>v</v>
      </c>
      <c r="H699" s="2" t="str">
        <f t="shared" si="31"/>
        <v>, v, v</v>
      </c>
      <c r="I699" s="2" t="str">
        <f>IF(Return!C699=0,REPLACE(INDEX(H:H,ROW()+Return!B699,),1,2,Return!E699&amp;"(")&amp;")","")</f>
        <v/>
      </c>
      <c r="M699" s="1"/>
    </row>
    <row r="700" spans="1:13" x14ac:dyDescent="0.55000000000000004">
      <c r="A700" s="1" t="s">
        <v>1679</v>
      </c>
      <c r="B700" t="s">
        <v>1292</v>
      </c>
      <c r="C700" s="2">
        <f>Return!C700</f>
        <v>3</v>
      </c>
      <c r="D700" s="2">
        <f>COUNTA(Argument!E700)</f>
        <v>0</v>
      </c>
      <c r="E700" s="2" t="str">
        <f>IF(C700,Return!D700,Return!E700)</f>
        <v>v</v>
      </c>
      <c r="F700" s="2" t="str">
        <f t="shared" si="30"/>
        <v>v</v>
      </c>
      <c r="G700" s="2" t="str">
        <f t="shared" si="32"/>
        <v>v</v>
      </c>
      <c r="H700" s="2" t="str">
        <f t="shared" si="31"/>
        <v>, v, v, v</v>
      </c>
      <c r="I700" s="2" t="str">
        <f>IF(Return!C700=0,REPLACE(INDEX(H:H,ROW()+Return!B700,),1,2,Return!E700&amp;"(")&amp;")","")</f>
        <v/>
      </c>
      <c r="M700" s="1"/>
    </row>
    <row r="701" spans="1:13" x14ac:dyDescent="0.55000000000000004">
      <c r="A701" s="1" t="s">
        <v>1679</v>
      </c>
      <c r="B701" t="s">
        <v>1308</v>
      </c>
      <c r="C701" s="2">
        <f>Return!C701</f>
        <v>4</v>
      </c>
      <c r="D701" s="2">
        <f>COUNTA(Argument!E701)</f>
        <v>0</v>
      </c>
      <c r="E701" s="2" t="str">
        <f>IF(C701,Return!D701,Return!E701)</f>
        <v>v</v>
      </c>
      <c r="F701" s="2" t="str">
        <f t="shared" si="30"/>
        <v>v</v>
      </c>
      <c r="G701" s="2" t="str">
        <f t="shared" si="32"/>
        <v>v</v>
      </c>
      <c r="H701" s="2" t="str">
        <f t="shared" si="31"/>
        <v>, v, v, v, v</v>
      </c>
      <c r="I701" s="2" t="str">
        <f>IF(Return!C701=0,REPLACE(INDEX(H:H,ROW()+Return!B701,),1,2,Return!E701&amp;"(")&amp;")","")</f>
        <v/>
      </c>
      <c r="M701" s="1"/>
    </row>
    <row r="702" spans="1:13" x14ac:dyDescent="0.55000000000000004">
      <c r="A702" s="1" t="s">
        <v>1679</v>
      </c>
      <c r="B702" t="s">
        <v>1309</v>
      </c>
      <c r="C702" s="2">
        <f>Return!C702</f>
        <v>5</v>
      </c>
      <c r="D702" s="2">
        <f>COUNTA(Argument!E702)</f>
        <v>1</v>
      </c>
      <c r="E702" s="2" t="str">
        <f>IF(C702,Return!D702,Return!E702)</f>
        <v>v</v>
      </c>
      <c r="F702" s="2" t="str">
        <f t="shared" si="30"/>
        <v>v</v>
      </c>
      <c r="G702" s="2" t="str">
        <f t="shared" si="32"/>
        <v>v</v>
      </c>
      <c r="H702" s="2" t="str">
        <f t="shared" si="31"/>
        <v>, v, v, v, v, v</v>
      </c>
      <c r="I702" s="2" t="str">
        <f>IF(Return!C702=0,REPLACE(INDEX(H:H,ROW()+Return!B702,),1,2,Return!E702&amp;"(")&amp;")","")</f>
        <v/>
      </c>
      <c r="M702" s="1"/>
    </row>
    <row r="703" spans="1:13" x14ac:dyDescent="0.55000000000000004">
      <c r="A703" s="1" t="s">
        <v>1679</v>
      </c>
      <c r="B703" t="s">
        <v>1295</v>
      </c>
      <c r="C703" s="2">
        <f>Return!C703</f>
        <v>6</v>
      </c>
      <c r="D703" s="2">
        <f>COUNTA(Argument!E703)</f>
        <v>1</v>
      </c>
      <c r="E703" s="2" t="str">
        <f>IF(C703,Return!D703,Return!E703)</f>
        <v>v</v>
      </c>
      <c r="F703" s="2" t="str">
        <f t="shared" si="30"/>
        <v>[v]</v>
      </c>
      <c r="G703" s="2" t="str">
        <f t="shared" si="32"/>
        <v>[v]</v>
      </c>
      <c r="H703" s="2" t="str">
        <f t="shared" si="31"/>
        <v>, v, v, v, v, v, [v]</v>
      </c>
      <c r="I703" s="2" t="str">
        <f>IF(Return!C703=0,REPLACE(INDEX(H:H,ROW()+Return!B703,),1,2,Return!E703&amp;"(")&amp;")","")</f>
        <v/>
      </c>
      <c r="M703" s="1"/>
    </row>
    <row r="704" spans="1:13" x14ac:dyDescent="0.55000000000000004">
      <c r="A704" s="1" t="s">
        <v>1679</v>
      </c>
      <c r="B704" t="s">
        <v>1310</v>
      </c>
      <c r="C704" s="2">
        <f>Return!C704</f>
        <v>7</v>
      </c>
      <c r="D704" s="2">
        <f>COUNTA(Argument!E704)</f>
        <v>1</v>
      </c>
      <c r="E704" s="2" t="str">
        <f>IF(C704,Return!D704,Return!E704)</f>
        <v>v</v>
      </c>
      <c r="F704" s="2" t="str">
        <f t="shared" si="30"/>
        <v>[v]</v>
      </c>
      <c r="G704" s="2" t="str">
        <f t="shared" si="32"/>
        <v>[v]</v>
      </c>
      <c r="H704" s="2" t="str">
        <f t="shared" si="31"/>
        <v>, v, v, v, v, v, [v], [v]</v>
      </c>
      <c r="I704" s="2" t="str">
        <f>IF(Return!C704=0,REPLACE(INDEX(H:H,ROW()+Return!B704,),1,2,Return!E704&amp;"(")&amp;")","")</f>
        <v/>
      </c>
      <c r="M704" s="1"/>
    </row>
    <row r="705" spans="1:13" x14ac:dyDescent="0.55000000000000004">
      <c r="A705" s="1" t="s">
        <v>2051</v>
      </c>
      <c r="C705" s="2">
        <f>Return!C705</f>
        <v>0</v>
      </c>
      <c r="D705" s="2">
        <f>COUNTA(Argument!E705)</f>
        <v>1</v>
      </c>
      <c r="E705" s="2" t="str">
        <f>IF(C705,Return!D705,Return!E705)</f>
        <v>v</v>
      </c>
      <c r="F705" s="2" t="str">
        <f t="shared" si="30"/>
        <v/>
      </c>
      <c r="G705" s="2" t="str">
        <f t="shared" si="32"/>
        <v/>
      </c>
      <c r="H705" s="2" t="str">
        <f t="shared" si="31"/>
        <v/>
      </c>
      <c r="I705" s="2" t="str">
        <f>IF(Return!C705=0,REPLACE(INDEX(H:H,ROW()+Return!B705,),1,2,Return!E705&amp;"(")&amp;")","")</f>
        <v>v()</v>
      </c>
      <c r="M705" s="1"/>
    </row>
    <row r="706" spans="1:13" x14ac:dyDescent="0.55000000000000004">
      <c r="A706" s="1" t="s">
        <v>2052</v>
      </c>
      <c r="C706" s="2">
        <f>Return!C706</f>
        <v>0</v>
      </c>
      <c r="D706" s="2">
        <f>COUNTA(Argument!E706)</f>
        <v>0</v>
      </c>
      <c r="E706" s="2" t="str">
        <f>IF(C706,Return!D706,Return!E706)</f>
        <v>v</v>
      </c>
      <c r="F706" s="2" t="str">
        <f t="shared" si="30"/>
        <v/>
      </c>
      <c r="G706" s="2" t="str">
        <f t="shared" si="32"/>
        <v/>
      </c>
      <c r="H706" s="2" t="str">
        <f t="shared" si="31"/>
        <v/>
      </c>
      <c r="I706" s="2" t="str">
        <f>IF(Return!C706=0,REPLACE(INDEX(H:H,ROW()+Return!B706,),1,2,Return!E706&amp;"(")&amp;")","")</f>
        <v>v(v)</v>
      </c>
      <c r="M706" s="1"/>
    </row>
    <row r="707" spans="1:13" x14ac:dyDescent="0.55000000000000004">
      <c r="A707" s="1" t="s">
        <v>2052</v>
      </c>
      <c r="B707" t="s">
        <v>1215</v>
      </c>
      <c r="C707" s="2">
        <f>Return!C707</f>
        <v>1</v>
      </c>
      <c r="D707" s="2">
        <f>COUNTA(Argument!E707)</f>
        <v>1</v>
      </c>
      <c r="E707" s="2" t="str">
        <f>IF(C707,Return!D707,Return!E707)</f>
        <v>v</v>
      </c>
      <c r="F707" s="2" t="str">
        <f t="shared" ref="F707:F770" si="33">IF(C707,IF(D707,IF(D706,"["&amp;E707&amp;"]",E707),E707),"")</f>
        <v>v</v>
      </c>
      <c r="G707" s="2" t="str">
        <f t="shared" si="32"/>
        <v>v</v>
      </c>
      <c r="H707" s="2" t="str">
        <f t="shared" ref="H707:H770" si="34">IF(C707&gt;0,H706&amp;", "&amp;G707,"")</f>
        <v>, v</v>
      </c>
      <c r="I707" s="2" t="str">
        <f>IF(Return!C707=0,REPLACE(INDEX(H:H,ROW()+Return!B707,),1,2,Return!E707&amp;"(")&amp;")","")</f>
        <v/>
      </c>
      <c r="M707" s="1"/>
    </row>
    <row r="708" spans="1:13" x14ac:dyDescent="0.55000000000000004">
      <c r="A708" s="1" t="s">
        <v>2053</v>
      </c>
      <c r="C708" s="2">
        <f>Return!C708</f>
        <v>0</v>
      </c>
      <c r="D708" s="2">
        <f>COUNTA(Argument!E708)</f>
        <v>1</v>
      </c>
      <c r="E708" s="2" t="str">
        <f>IF(C708,Return!D708,Return!E708)</f>
        <v>v</v>
      </c>
      <c r="F708" s="2" t="str">
        <f t="shared" si="33"/>
        <v/>
      </c>
      <c r="G708" s="2" t="str">
        <f t="shared" ref="G708:G771" si="35">IF(B708="...",IF(C709&gt;0,"["&amp;E708,"…"),IF(B707=" ...",IF(C708&gt;0,E708&amp;"], …",F708),F708))</f>
        <v/>
      </c>
      <c r="H708" s="2" t="str">
        <f t="shared" si="34"/>
        <v/>
      </c>
      <c r="I708" s="2" t="str">
        <f>IF(Return!C708=0,REPLACE(INDEX(H:H,ROW()+Return!B708,),1,2,Return!E708&amp;"(")&amp;")","")</f>
        <v>v()</v>
      </c>
      <c r="M708" s="1"/>
    </row>
    <row r="709" spans="1:13" x14ac:dyDescent="0.55000000000000004">
      <c r="A709" s="1" t="s">
        <v>2054</v>
      </c>
      <c r="C709" s="2">
        <f>Return!C709</f>
        <v>0</v>
      </c>
      <c r="D709" s="2">
        <f>COUNTA(Argument!E709)</f>
        <v>0</v>
      </c>
      <c r="E709" s="2" t="str">
        <f>IF(C709,Return!D709,Return!E709)</f>
        <v>v</v>
      </c>
      <c r="F709" s="2" t="str">
        <f t="shared" si="33"/>
        <v/>
      </c>
      <c r="G709" s="2" t="str">
        <f t="shared" si="35"/>
        <v/>
      </c>
      <c r="H709" s="2" t="str">
        <f t="shared" si="34"/>
        <v/>
      </c>
      <c r="I709" s="2" t="str">
        <f>IF(Return!C709=0,REPLACE(INDEX(H:H,ROW()+Return!B709,),1,2,Return!E709&amp;"(")&amp;")","")</f>
        <v>v(v, [vr], [vr])</v>
      </c>
      <c r="M709" s="1"/>
    </row>
    <row r="710" spans="1:13" x14ac:dyDescent="0.55000000000000004">
      <c r="A710" s="1" t="s">
        <v>2054</v>
      </c>
      <c r="B710" t="s">
        <v>1961</v>
      </c>
      <c r="C710" s="2">
        <f>Return!C710</f>
        <v>1</v>
      </c>
      <c r="D710" s="2">
        <f>COUNTA(Argument!E710)</f>
        <v>1</v>
      </c>
      <c r="E710" s="2" t="str">
        <f>IF(C710,Return!D710,Return!E710)</f>
        <v>v</v>
      </c>
      <c r="F710" s="2" t="str">
        <f t="shared" si="33"/>
        <v>v</v>
      </c>
      <c r="G710" s="2" t="str">
        <f t="shared" si="35"/>
        <v>v</v>
      </c>
      <c r="H710" s="2" t="str">
        <f t="shared" si="34"/>
        <v>, v</v>
      </c>
      <c r="I710" s="2" t="str">
        <f>IF(Return!C710=0,REPLACE(INDEX(H:H,ROW()+Return!B710,),1,2,Return!E710&amp;"(")&amp;")","")</f>
        <v/>
      </c>
      <c r="M710" s="1"/>
    </row>
    <row r="711" spans="1:13" x14ac:dyDescent="0.55000000000000004">
      <c r="A711" s="1" t="s">
        <v>2054</v>
      </c>
      <c r="B711" t="s">
        <v>1962</v>
      </c>
      <c r="C711" s="2">
        <f>Return!C711</f>
        <v>2</v>
      </c>
      <c r="D711" s="2">
        <f>COUNTA(Argument!E711)</f>
        <v>1</v>
      </c>
      <c r="E711" s="2" t="str">
        <f>IF(C711,Return!D711,Return!E711)</f>
        <v>vr</v>
      </c>
      <c r="F711" s="2" t="str">
        <f t="shared" si="33"/>
        <v>[vr]</v>
      </c>
      <c r="G711" s="2" t="str">
        <f t="shared" si="35"/>
        <v>[vr]</v>
      </c>
      <c r="H711" s="2" t="str">
        <f t="shared" si="34"/>
        <v>, v, [vr]</v>
      </c>
      <c r="I711" s="2" t="str">
        <f>IF(Return!C711=0,REPLACE(INDEX(H:H,ROW()+Return!B711,),1,2,Return!E711&amp;"(")&amp;")","")</f>
        <v/>
      </c>
      <c r="M711" s="1"/>
    </row>
    <row r="712" spans="1:13" x14ac:dyDescent="0.55000000000000004">
      <c r="A712" s="1" t="s">
        <v>2054</v>
      </c>
      <c r="B712" t="s">
        <v>2023</v>
      </c>
      <c r="C712" s="2">
        <f>Return!C712</f>
        <v>3</v>
      </c>
      <c r="D712" s="2">
        <f>COUNTA(Argument!E712)</f>
        <v>1</v>
      </c>
      <c r="E712" s="2" t="str">
        <f>IF(C712,Return!D712,Return!E712)</f>
        <v>vr</v>
      </c>
      <c r="F712" s="2" t="str">
        <f t="shared" si="33"/>
        <v>[vr]</v>
      </c>
      <c r="G712" s="2" t="str">
        <f t="shared" si="35"/>
        <v>[vr]</v>
      </c>
      <c r="H712" s="2" t="str">
        <f t="shared" si="34"/>
        <v>, v, [vr], [vr]</v>
      </c>
      <c r="I712" s="2" t="str">
        <f>IF(Return!C712=0,REPLACE(INDEX(H:H,ROW()+Return!B712,),1,2,Return!E712&amp;"(")&amp;")","")</f>
        <v/>
      </c>
      <c r="M712" s="1"/>
    </row>
    <row r="713" spans="1:13" x14ac:dyDescent="0.55000000000000004">
      <c r="A713" s="1" t="s">
        <v>1680</v>
      </c>
      <c r="C713" s="2">
        <f>Return!C713</f>
        <v>0</v>
      </c>
      <c r="D713" s="2">
        <f>COUNTA(Argument!E713)</f>
        <v>0</v>
      </c>
      <c r="E713" s="2" t="str">
        <f>IF(C713,Return!D713,Return!E713)</f>
        <v>v</v>
      </c>
      <c r="F713" s="2" t="str">
        <f t="shared" si="33"/>
        <v/>
      </c>
      <c r="G713" s="2" t="str">
        <f t="shared" si="35"/>
        <v/>
      </c>
      <c r="H713" s="2" t="str">
        <f t="shared" si="34"/>
        <v/>
      </c>
      <c r="I713" s="2" t="str">
        <f>IF(Return!C713=0,REPLACE(INDEX(H:H,ROW()+Return!B713,),1,2,Return!E713&amp;"(")&amp;")","")</f>
        <v>v(var, [var], …)</v>
      </c>
      <c r="M713" s="1"/>
    </row>
    <row r="714" spans="1:13" x14ac:dyDescent="0.55000000000000004">
      <c r="A714" s="1" t="s">
        <v>1680</v>
      </c>
      <c r="B714" t="s">
        <v>1219</v>
      </c>
      <c r="C714" s="2">
        <f>Return!C714</f>
        <v>1</v>
      </c>
      <c r="D714" s="2">
        <f>COUNTA(Argument!E714)</f>
        <v>1</v>
      </c>
      <c r="E714" s="2" t="str">
        <f>IF(C714,Return!D714,Return!E714)</f>
        <v>var</v>
      </c>
      <c r="F714" s="2" t="str">
        <f t="shared" si="33"/>
        <v>var</v>
      </c>
      <c r="G714" s="2" t="str">
        <f t="shared" si="35"/>
        <v>var</v>
      </c>
      <c r="H714" s="2" t="str">
        <f t="shared" si="34"/>
        <v>, var</v>
      </c>
      <c r="I714" s="2" t="str">
        <f>IF(Return!C714=0,REPLACE(INDEX(H:H,ROW()+Return!B714,),1,2,Return!E714&amp;"(")&amp;")","")</f>
        <v/>
      </c>
      <c r="M714" s="1"/>
    </row>
    <row r="715" spans="1:13" x14ac:dyDescent="0.55000000000000004">
      <c r="A715" s="1" t="s">
        <v>1680</v>
      </c>
      <c r="B715" t="s">
        <v>1220</v>
      </c>
      <c r="C715" s="2">
        <f>Return!C715</f>
        <v>2</v>
      </c>
      <c r="D715" s="2">
        <f>COUNTA(Argument!E715)</f>
        <v>1</v>
      </c>
      <c r="E715" s="2" t="str">
        <f>IF(C715,Return!D715,Return!E715)</f>
        <v>var</v>
      </c>
      <c r="F715" s="2" t="str">
        <f t="shared" si="33"/>
        <v>[var]</v>
      </c>
      <c r="G715" s="2" t="str">
        <f t="shared" si="35"/>
        <v>[var]</v>
      </c>
      <c r="H715" s="2" t="str">
        <f t="shared" si="34"/>
        <v>, var, [var]</v>
      </c>
      <c r="I715" s="2" t="str">
        <f>IF(Return!C715=0,REPLACE(INDEX(H:H,ROW()+Return!B715,),1,2,Return!E715&amp;"(")&amp;")","")</f>
        <v/>
      </c>
      <c r="M715" s="1"/>
    </row>
    <row r="716" spans="1:13" x14ac:dyDescent="0.55000000000000004">
      <c r="A716" s="1" t="s">
        <v>1680</v>
      </c>
      <c r="B716" t="s">
        <v>1214</v>
      </c>
      <c r="C716" s="2">
        <f>Return!C716</f>
        <v>3</v>
      </c>
      <c r="D716" s="2">
        <f>COUNTA(Argument!E716)</f>
        <v>1</v>
      </c>
      <c r="E716" s="2" t="str">
        <f>IF(C716,Return!D716,Return!E716)</f>
        <v>var</v>
      </c>
      <c r="F716" s="2" t="str">
        <f t="shared" si="33"/>
        <v>[var]</v>
      </c>
      <c r="G716" s="2" t="str">
        <f t="shared" si="35"/>
        <v>…</v>
      </c>
      <c r="H716" s="2" t="str">
        <f t="shared" si="34"/>
        <v>, var, [var], …</v>
      </c>
      <c r="I716" s="2" t="str">
        <f>IF(Return!C716=0,REPLACE(INDEX(H:H,ROW()+Return!B716,),1,2,Return!E716&amp;"(")&amp;")","")</f>
        <v/>
      </c>
      <c r="M716" s="1"/>
    </row>
    <row r="717" spans="1:13" x14ac:dyDescent="0.55000000000000004">
      <c r="A717" s="1" t="s">
        <v>1681</v>
      </c>
      <c r="C717" s="2">
        <f>Return!C717</f>
        <v>0</v>
      </c>
      <c r="D717" s="2">
        <f>COUNTA(Argument!E717)</f>
        <v>0</v>
      </c>
      <c r="E717" s="2" t="str">
        <f>IF(C717,Return!D717,Return!E717)</f>
        <v>v</v>
      </c>
      <c r="F717" s="2" t="str">
        <f t="shared" si="33"/>
        <v/>
      </c>
      <c r="G717" s="2" t="str">
        <f t="shared" si="35"/>
        <v/>
      </c>
      <c r="H717" s="2" t="str">
        <f t="shared" si="34"/>
        <v/>
      </c>
      <c r="I717" s="2" t="str">
        <f>IF(Return!C717=0,REPLACE(INDEX(H:H,ROW()+Return!B717,),1,2,Return!E717&amp;"(")&amp;")","")</f>
        <v>v(a, [a], [a], …)</v>
      </c>
      <c r="M717" s="1"/>
    </row>
    <row r="718" spans="1:13" x14ac:dyDescent="0.55000000000000004">
      <c r="A718" s="1" t="s">
        <v>1681</v>
      </c>
      <c r="B718" t="s">
        <v>1298</v>
      </c>
      <c r="C718" s="2">
        <f>Return!C718</f>
        <v>1</v>
      </c>
      <c r="D718" s="2">
        <f>COUNTA(Argument!E718)</f>
        <v>1</v>
      </c>
      <c r="E718" s="2" t="str">
        <f>IF(C718,Return!D718,Return!E718)</f>
        <v>a</v>
      </c>
      <c r="F718" s="2" t="str">
        <f t="shared" si="33"/>
        <v>a</v>
      </c>
      <c r="G718" s="2" t="str">
        <f t="shared" si="35"/>
        <v>a</v>
      </c>
      <c r="H718" s="2" t="str">
        <f t="shared" si="34"/>
        <v>, a</v>
      </c>
      <c r="I718" s="2" t="str">
        <f>IF(Return!C718=0,REPLACE(INDEX(H:H,ROW()+Return!B718,),1,2,Return!E718&amp;"(")&amp;")","")</f>
        <v/>
      </c>
      <c r="M718" s="1"/>
    </row>
    <row r="719" spans="1:13" x14ac:dyDescent="0.55000000000000004">
      <c r="A719" s="1" t="s">
        <v>1681</v>
      </c>
      <c r="B719" t="s">
        <v>1299</v>
      </c>
      <c r="C719" s="2">
        <f>Return!C719</f>
        <v>2</v>
      </c>
      <c r="D719" s="2">
        <f>COUNTA(Argument!E719)</f>
        <v>1</v>
      </c>
      <c r="E719" s="2" t="str">
        <f>IF(C719,Return!D719,Return!E719)</f>
        <v>a</v>
      </c>
      <c r="F719" s="2" t="str">
        <f t="shared" si="33"/>
        <v>[a]</v>
      </c>
      <c r="G719" s="2" t="str">
        <f t="shared" si="35"/>
        <v>[a]</v>
      </c>
      <c r="H719" s="2" t="str">
        <f t="shared" si="34"/>
        <v>, a, [a]</v>
      </c>
      <c r="I719" s="2" t="str">
        <f>IF(Return!C719=0,REPLACE(INDEX(H:H,ROW()+Return!B719,),1,2,Return!E719&amp;"(")&amp;")","")</f>
        <v/>
      </c>
      <c r="M719" s="1"/>
    </row>
    <row r="720" spans="1:13" x14ac:dyDescent="0.55000000000000004">
      <c r="A720" s="1" t="s">
        <v>1681</v>
      </c>
      <c r="B720" t="s">
        <v>1311</v>
      </c>
      <c r="C720" s="2">
        <f>Return!C720</f>
        <v>3</v>
      </c>
      <c r="D720" s="2">
        <f>COUNTA(Argument!E720)</f>
        <v>1</v>
      </c>
      <c r="E720" s="2" t="str">
        <f>IF(C720,Return!D720,Return!E720)</f>
        <v>a</v>
      </c>
      <c r="F720" s="2" t="str">
        <f t="shared" si="33"/>
        <v>[a]</v>
      </c>
      <c r="G720" s="2" t="str">
        <f t="shared" si="35"/>
        <v>[a]</v>
      </c>
      <c r="H720" s="2" t="str">
        <f t="shared" si="34"/>
        <v>, a, [a], [a]</v>
      </c>
      <c r="I720" s="2" t="str">
        <f>IF(Return!C720=0,REPLACE(INDEX(H:H,ROW()+Return!B720,),1,2,Return!E720&amp;"(")&amp;")","")</f>
        <v/>
      </c>
      <c r="M720" s="1"/>
    </row>
    <row r="721" spans="1:13" x14ac:dyDescent="0.55000000000000004">
      <c r="A721" s="1" t="s">
        <v>1681</v>
      </c>
      <c r="B721" t="s">
        <v>1214</v>
      </c>
      <c r="C721" s="2">
        <f>Return!C721</f>
        <v>4</v>
      </c>
      <c r="D721" s="2">
        <f>COUNTA(Argument!E721)</f>
        <v>1</v>
      </c>
      <c r="E721" s="2" t="str">
        <f>IF(C721,Return!D721,Return!E721)</f>
        <v>a</v>
      </c>
      <c r="F721" s="2" t="str">
        <f t="shared" si="33"/>
        <v>[a]</v>
      </c>
      <c r="G721" s="2" t="str">
        <f t="shared" si="35"/>
        <v>…</v>
      </c>
      <c r="H721" s="2" t="str">
        <f t="shared" si="34"/>
        <v>, a, [a], [a], …</v>
      </c>
      <c r="I721" s="2" t="str">
        <f>IF(Return!C721=0,REPLACE(INDEX(H:H,ROW()+Return!B721,),1,2,Return!E721&amp;"(")&amp;")","")</f>
        <v/>
      </c>
      <c r="M721" s="1"/>
    </row>
    <row r="722" spans="1:13" x14ac:dyDescent="0.55000000000000004">
      <c r="A722" s="1" t="s">
        <v>1682</v>
      </c>
      <c r="C722" s="2">
        <f>Return!C722</f>
        <v>0</v>
      </c>
      <c r="D722" s="2">
        <f>COUNTA(Argument!E722)</f>
        <v>0</v>
      </c>
      <c r="E722" s="2" t="str">
        <f>IF(C722,Return!D722,Return!E722)</f>
        <v>v</v>
      </c>
      <c r="F722" s="2" t="str">
        <f t="shared" si="33"/>
        <v/>
      </c>
      <c r="G722" s="2" t="str">
        <f t="shared" si="35"/>
        <v/>
      </c>
      <c r="H722" s="2" t="str">
        <f t="shared" si="34"/>
        <v/>
      </c>
      <c r="I722" s="2" t="str">
        <f>IF(Return!C722=0,REPLACE(INDEX(H:H,ROW()+Return!B722,),1,2,Return!E722&amp;"(")&amp;")","")</f>
        <v>v(v)</v>
      </c>
      <c r="M722" s="1"/>
    </row>
    <row r="723" spans="1:13" x14ac:dyDescent="0.55000000000000004">
      <c r="A723" s="1" t="s">
        <v>1682</v>
      </c>
      <c r="B723" t="s">
        <v>1223</v>
      </c>
      <c r="C723" s="2">
        <f>Return!C723</f>
        <v>1</v>
      </c>
      <c r="D723" s="2">
        <f>COUNTA(Argument!E723)</f>
        <v>1</v>
      </c>
      <c r="E723" s="2" t="str">
        <f>IF(C723,Return!D723,Return!E723)</f>
        <v>v</v>
      </c>
      <c r="F723" s="2" t="str">
        <f t="shared" si="33"/>
        <v>v</v>
      </c>
      <c r="G723" s="2" t="str">
        <f t="shared" si="35"/>
        <v>v</v>
      </c>
      <c r="H723" s="2" t="str">
        <f t="shared" si="34"/>
        <v>, v</v>
      </c>
      <c r="I723" s="2" t="str">
        <f>IF(Return!C723=0,REPLACE(INDEX(H:H,ROW()+Return!B723,),1,2,Return!E723&amp;"(")&amp;")","")</f>
        <v/>
      </c>
      <c r="M723" s="1"/>
    </row>
    <row r="724" spans="1:13" x14ac:dyDescent="0.55000000000000004">
      <c r="A724" s="1" t="s">
        <v>1683</v>
      </c>
      <c r="C724" s="2">
        <f>Return!C724</f>
        <v>0</v>
      </c>
      <c r="D724" s="2">
        <f>COUNTA(Argument!E724)</f>
        <v>0</v>
      </c>
      <c r="E724" s="2" t="str">
        <f>IF(C724,Return!D724,Return!E724)</f>
        <v>v</v>
      </c>
      <c r="F724" s="2" t="str">
        <f t="shared" si="33"/>
        <v/>
      </c>
      <c r="G724" s="2" t="str">
        <f t="shared" si="35"/>
        <v/>
      </c>
      <c r="H724" s="2" t="str">
        <f t="shared" si="34"/>
        <v/>
      </c>
      <c r="I724" s="2" t="str">
        <f>IF(Return!C724=0,REPLACE(INDEX(H:H,ROW()+Return!B724,),1,2,Return!E724&amp;"(")&amp;")","")</f>
        <v>v(v)</v>
      </c>
      <c r="M724" s="1"/>
    </row>
    <row r="725" spans="1:13" x14ac:dyDescent="0.55000000000000004">
      <c r="A725" s="1" t="s">
        <v>1683</v>
      </c>
      <c r="B725" t="s">
        <v>1223</v>
      </c>
      <c r="C725" s="2">
        <f>Return!C725</f>
        <v>1</v>
      </c>
      <c r="D725" s="2">
        <f>COUNTA(Argument!E725)</f>
        <v>1</v>
      </c>
      <c r="E725" s="2" t="str">
        <f>IF(C725,Return!D725,Return!E725)</f>
        <v>v</v>
      </c>
      <c r="F725" s="2" t="str">
        <f t="shared" si="33"/>
        <v>v</v>
      </c>
      <c r="G725" s="2" t="str">
        <f t="shared" si="35"/>
        <v>v</v>
      </c>
      <c r="H725" s="2" t="str">
        <f t="shared" si="34"/>
        <v>, v</v>
      </c>
      <c r="I725" s="2" t="str">
        <f>IF(Return!C725=0,REPLACE(INDEX(H:H,ROW()+Return!B725,),1,2,Return!E725&amp;"(")&amp;")","")</f>
        <v/>
      </c>
      <c r="M725" s="1"/>
    </row>
    <row r="726" spans="1:13" x14ac:dyDescent="0.55000000000000004">
      <c r="A726" s="1" t="s">
        <v>1684</v>
      </c>
      <c r="C726" s="2">
        <f>Return!C726</f>
        <v>0</v>
      </c>
      <c r="D726" s="2">
        <f>COUNTA(Argument!E726)</f>
        <v>0</v>
      </c>
      <c r="E726" s="2" t="str">
        <f>IF(C726,Return!D726,Return!E726)</f>
        <v>v</v>
      </c>
      <c r="F726" s="2" t="str">
        <f t="shared" si="33"/>
        <v/>
      </c>
      <c r="G726" s="2" t="str">
        <f t="shared" si="35"/>
        <v/>
      </c>
      <c r="H726" s="2" t="str">
        <f t="shared" si="34"/>
        <v/>
      </c>
      <c r="I726" s="2" t="str">
        <f>IF(Return!C726=0,REPLACE(INDEX(H:H,ROW()+Return!B726,),1,2,Return!E726&amp;"(")&amp;")","")</f>
        <v>v(v)</v>
      </c>
      <c r="M726" s="1"/>
    </row>
    <row r="727" spans="1:13" x14ac:dyDescent="0.55000000000000004">
      <c r="A727" s="1" t="s">
        <v>1684</v>
      </c>
      <c r="B727" t="s">
        <v>1223</v>
      </c>
      <c r="C727" s="2">
        <f>Return!C727</f>
        <v>1</v>
      </c>
      <c r="D727" s="2">
        <f>COUNTA(Argument!E727)</f>
        <v>1</v>
      </c>
      <c r="E727" s="2" t="str">
        <f>IF(C727,Return!D727,Return!E727)</f>
        <v>v</v>
      </c>
      <c r="F727" s="2" t="str">
        <f t="shared" si="33"/>
        <v>v</v>
      </c>
      <c r="G727" s="2" t="str">
        <f t="shared" si="35"/>
        <v>v</v>
      </c>
      <c r="H727" s="2" t="str">
        <f t="shared" si="34"/>
        <v>, v</v>
      </c>
      <c r="I727" s="2" t="str">
        <f>IF(Return!C727=0,REPLACE(INDEX(H:H,ROW()+Return!B727,),1,2,Return!E727&amp;"(")&amp;")","")</f>
        <v/>
      </c>
      <c r="M727" s="1"/>
    </row>
    <row r="728" spans="1:13" x14ac:dyDescent="0.55000000000000004">
      <c r="A728" s="1" t="s">
        <v>1685</v>
      </c>
      <c r="C728" s="2">
        <f>Return!C728</f>
        <v>0</v>
      </c>
      <c r="D728" s="2">
        <f>COUNTA(Argument!E728)</f>
        <v>0</v>
      </c>
      <c r="E728" s="2" t="str">
        <f>IF(C728,Return!D728,Return!E728)</f>
        <v>v</v>
      </c>
      <c r="F728" s="2" t="str">
        <f t="shared" si="33"/>
        <v/>
      </c>
      <c r="G728" s="2" t="str">
        <f t="shared" si="35"/>
        <v/>
      </c>
      <c r="H728" s="2" t="str">
        <f t="shared" si="34"/>
        <v/>
      </c>
      <c r="I728" s="2" t="str">
        <f>IF(Return!C728=0,REPLACE(INDEX(H:H,ROW()+Return!B728,),1,2,Return!E728&amp;"(")&amp;")","")</f>
        <v>v(v)</v>
      </c>
      <c r="M728" s="1"/>
    </row>
    <row r="729" spans="1:13" x14ac:dyDescent="0.55000000000000004">
      <c r="A729" s="1" t="s">
        <v>1685</v>
      </c>
      <c r="B729" t="s">
        <v>1223</v>
      </c>
      <c r="C729" s="2">
        <f>Return!C729</f>
        <v>1</v>
      </c>
      <c r="D729" s="2">
        <f>COUNTA(Argument!E729)</f>
        <v>1</v>
      </c>
      <c r="E729" s="2" t="str">
        <f>IF(C729,Return!D729,Return!E729)</f>
        <v>v</v>
      </c>
      <c r="F729" s="2" t="str">
        <f t="shared" si="33"/>
        <v>v</v>
      </c>
      <c r="G729" s="2" t="str">
        <f t="shared" si="35"/>
        <v>v</v>
      </c>
      <c r="H729" s="2" t="str">
        <f t="shared" si="34"/>
        <v>, v</v>
      </c>
      <c r="I729" s="2" t="str">
        <f>IF(Return!C729=0,REPLACE(INDEX(H:H,ROW()+Return!B729,),1,2,Return!E729&amp;"(")&amp;")","")</f>
        <v/>
      </c>
      <c r="M729" s="1"/>
    </row>
    <row r="730" spans="1:13" x14ac:dyDescent="0.55000000000000004">
      <c r="A730" s="1" t="s">
        <v>1686</v>
      </c>
      <c r="C730" s="2">
        <f>Return!C730</f>
        <v>0</v>
      </c>
      <c r="D730" s="2">
        <f>COUNTA(Argument!E730)</f>
        <v>0</v>
      </c>
      <c r="E730" s="2" t="str">
        <f>IF(C730,Return!D730,Return!E730)</f>
        <v>v</v>
      </c>
      <c r="F730" s="2" t="str">
        <f t="shared" si="33"/>
        <v/>
      </c>
      <c r="G730" s="2" t="str">
        <f t="shared" si="35"/>
        <v/>
      </c>
      <c r="H730" s="2" t="str">
        <f t="shared" si="34"/>
        <v/>
      </c>
      <c r="I730" s="2" t="str">
        <f>IF(Return!C730=0,REPLACE(INDEX(H:H,ROW()+Return!B730,),1,2,Return!E730&amp;"(")&amp;")","")</f>
        <v>v(v)</v>
      </c>
      <c r="M730" s="1"/>
    </row>
    <row r="731" spans="1:13" x14ac:dyDescent="0.55000000000000004">
      <c r="A731" s="1" t="s">
        <v>1686</v>
      </c>
      <c r="B731" t="s">
        <v>1223</v>
      </c>
      <c r="C731" s="2">
        <f>Return!C731</f>
        <v>1</v>
      </c>
      <c r="D731" s="2">
        <f>COUNTA(Argument!E731)</f>
        <v>1</v>
      </c>
      <c r="E731" s="2" t="str">
        <f>IF(C731,Return!D731,Return!E731)</f>
        <v>v</v>
      </c>
      <c r="F731" s="2" t="str">
        <f t="shared" si="33"/>
        <v>v</v>
      </c>
      <c r="G731" s="2" t="str">
        <f t="shared" si="35"/>
        <v>v</v>
      </c>
      <c r="H731" s="2" t="str">
        <f t="shared" si="34"/>
        <v>, v</v>
      </c>
      <c r="I731" s="2" t="str">
        <f>IF(Return!C731=0,REPLACE(INDEX(H:H,ROW()+Return!B731,),1,2,Return!E731&amp;"(")&amp;")","")</f>
        <v/>
      </c>
      <c r="M731" s="1"/>
    </row>
    <row r="732" spans="1:13" x14ac:dyDescent="0.55000000000000004">
      <c r="A732" s="1" t="s">
        <v>1687</v>
      </c>
      <c r="C732" s="2">
        <f>Return!C732</f>
        <v>0</v>
      </c>
      <c r="D732" s="2">
        <f>COUNTA(Argument!E732)</f>
        <v>0</v>
      </c>
      <c r="E732" s="2" t="str">
        <f>IF(C732,Return!D732,Return!E732)</f>
        <v>v</v>
      </c>
      <c r="F732" s="2" t="str">
        <f t="shared" si="33"/>
        <v/>
      </c>
      <c r="G732" s="2" t="str">
        <f t="shared" si="35"/>
        <v/>
      </c>
      <c r="H732" s="2" t="str">
        <f t="shared" si="34"/>
        <v/>
      </c>
      <c r="I732" s="2" t="str">
        <f>IF(Return!C732=0,REPLACE(INDEX(H:H,ROW()+Return!B732,),1,2,Return!E732&amp;"(")&amp;")","")</f>
        <v>v(v)</v>
      </c>
      <c r="M732" s="1"/>
    </row>
    <row r="733" spans="1:13" x14ac:dyDescent="0.55000000000000004">
      <c r="A733" s="1" t="s">
        <v>1687</v>
      </c>
      <c r="B733" t="s">
        <v>1223</v>
      </c>
      <c r="C733" s="2">
        <f>Return!C733</f>
        <v>1</v>
      </c>
      <c r="D733" s="2">
        <f>COUNTA(Argument!E733)</f>
        <v>1</v>
      </c>
      <c r="E733" s="2" t="str">
        <f>IF(C733,Return!D733,Return!E733)</f>
        <v>v</v>
      </c>
      <c r="F733" s="2" t="str">
        <f t="shared" si="33"/>
        <v>v</v>
      </c>
      <c r="G733" s="2" t="str">
        <f t="shared" si="35"/>
        <v>v</v>
      </c>
      <c r="H733" s="2" t="str">
        <f t="shared" si="34"/>
        <v>, v</v>
      </c>
      <c r="I733" s="2" t="str">
        <f>IF(Return!C733=0,REPLACE(INDEX(H:H,ROW()+Return!B733,),1,2,Return!E733&amp;"(")&amp;")","")</f>
        <v/>
      </c>
      <c r="M733" s="1"/>
    </row>
    <row r="734" spans="1:13" x14ac:dyDescent="0.55000000000000004">
      <c r="A734" s="1" t="s">
        <v>1688</v>
      </c>
      <c r="C734" s="2">
        <f>Return!C734</f>
        <v>0</v>
      </c>
      <c r="D734" s="2">
        <f>COUNTA(Argument!E734)</f>
        <v>0</v>
      </c>
      <c r="E734" s="2" t="str">
        <f>IF(C734,Return!D734,Return!E734)</f>
        <v>v</v>
      </c>
      <c r="F734" s="2" t="str">
        <f t="shared" si="33"/>
        <v/>
      </c>
      <c r="G734" s="2" t="str">
        <f t="shared" si="35"/>
        <v/>
      </c>
      <c r="H734" s="2" t="str">
        <f t="shared" si="34"/>
        <v/>
      </c>
      <c r="I734" s="2" t="str">
        <f>IF(Return!C734=0,REPLACE(INDEX(H:H,ROW()+Return!B734,),1,2,Return!E734&amp;"(")&amp;")","")</f>
        <v>v(r, vr, vr)</v>
      </c>
      <c r="M734" s="1"/>
    </row>
    <row r="735" spans="1:13" x14ac:dyDescent="0.55000000000000004">
      <c r="A735" s="1" t="s">
        <v>1688</v>
      </c>
      <c r="B735" t="s">
        <v>1241</v>
      </c>
      <c r="C735" s="2">
        <f>Return!C735</f>
        <v>1</v>
      </c>
      <c r="D735" s="2">
        <f>COUNTA(Argument!E735)</f>
        <v>0</v>
      </c>
      <c r="E735" s="2" t="str">
        <f>IF(C735,Return!D735,Return!E735)</f>
        <v>r</v>
      </c>
      <c r="F735" s="2" t="str">
        <f t="shared" si="33"/>
        <v>r</v>
      </c>
      <c r="G735" s="2" t="str">
        <f t="shared" si="35"/>
        <v>r</v>
      </c>
      <c r="H735" s="2" t="str">
        <f t="shared" si="34"/>
        <v>, r</v>
      </c>
      <c r="I735" s="2" t="str">
        <f>IF(Return!C735=0,REPLACE(INDEX(H:H,ROW()+Return!B735,),1,2,Return!E735&amp;"(")&amp;")","")</f>
        <v/>
      </c>
      <c r="M735" s="1"/>
    </row>
    <row r="736" spans="1:13" x14ac:dyDescent="0.55000000000000004">
      <c r="A736" s="1" t="s">
        <v>1688</v>
      </c>
      <c r="B736" t="s">
        <v>1242</v>
      </c>
      <c r="C736" s="2">
        <f>Return!C736</f>
        <v>2</v>
      </c>
      <c r="D736" s="2">
        <f>COUNTA(Argument!E736)</f>
        <v>0</v>
      </c>
      <c r="E736" s="2" t="str">
        <f>IF(C736,Return!D736,Return!E736)</f>
        <v>vr</v>
      </c>
      <c r="F736" s="2" t="str">
        <f t="shared" si="33"/>
        <v>vr</v>
      </c>
      <c r="G736" s="2" t="str">
        <f t="shared" si="35"/>
        <v>vr</v>
      </c>
      <c r="H736" s="2" t="str">
        <f t="shared" si="34"/>
        <v>, r, vr</v>
      </c>
      <c r="I736" s="2" t="str">
        <f>IF(Return!C736=0,REPLACE(INDEX(H:H,ROW()+Return!B736,),1,2,Return!E736&amp;"(")&amp;")","")</f>
        <v/>
      </c>
      <c r="M736" s="1"/>
    </row>
    <row r="737" spans="1:13" x14ac:dyDescent="0.55000000000000004">
      <c r="A737" s="1" t="s">
        <v>1688</v>
      </c>
      <c r="B737" t="s">
        <v>1243</v>
      </c>
      <c r="C737" s="2">
        <f>Return!C737</f>
        <v>3</v>
      </c>
      <c r="D737" s="2">
        <f>COUNTA(Argument!E737)</f>
        <v>1</v>
      </c>
      <c r="E737" s="2" t="str">
        <f>IF(C737,Return!D737,Return!E737)</f>
        <v>vr</v>
      </c>
      <c r="F737" s="2" t="str">
        <f t="shared" si="33"/>
        <v>vr</v>
      </c>
      <c r="G737" s="2" t="str">
        <f t="shared" si="35"/>
        <v>vr</v>
      </c>
      <c r="H737" s="2" t="str">
        <f t="shared" si="34"/>
        <v>, r, vr, vr</v>
      </c>
      <c r="I737" s="2" t="str">
        <f>IF(Return!C737=0,REPLACE(INDEX(H:H,ROW()+Return!B737,),1,2,Return!E737&amp;"(")&amp;")","")</f>
        <v/>
      </c>
      <c r="M737" s="1"/>
    </row>
    <row r="738" spans="1:13" x14ac:dyDescent="0.55000000000000004">
      <c r="A738" s="1" t="s">
        <v>1689</v>
      </c>
      <c r="C738" s="2">
        <f>Return!C738</f>
        <v>0</v>
      </c>
      <c r="D738" s="2">
        <f>COUNTA(Argument!E738)</f>
        <v>0</v>
      </c>
      <c r="E738" s="2" t="str">
        <f>IF(C738,Return!D738,Return!E738)</f>
        <v>v</v>
      </c>
      <c r="F738" s="2" t="str">
        <f t="shared" si="33"/>
        <v/>
      </c>
      <c r="G738" s="2" t="str">
        <f t="shared" si="35"/>
        <v/>
      </c>
      <c r="H738" s="2" t="str">
        <f t="shared" si="34"/>
        <v/>
      </c>
      <c r="I738" s="2" t="str">
        <f>IF(Return!C738=0,REPLACE(INDEX(H:H,ROW()+Return!B738,),1,2,Return!E738&amp;"(")&amp;")","")</f>
        <v>v(v, vr, [vr], [vr], [vr], [vr], [vr], [var], [vr], [vr])</v>
      </c>
      <c r="M738" s="1"/>
    </row>
    <row r="739" spans="1:13" x14ac:dyDescent="0.55000000000000004">
      <c r="A739" s="1" t="s">
        <v>1689</v>
      </c>
      <c r="B739" t="s">
        <v>1963</v>
      </c>
      <c r="C739" s="2">
        <f>Return!C739</f>
        <v>1</v>
      </c>
      <c r="D739" s="2">
        <f>COUNTA(Argument!E739)</f>
        <v>0</v>
      </c>
      <c r="E739" s="2" t="str">
        <f>IF(C739,Return!D739,Return!E739)</f>
        <v>v</v>
      </c>
      <c r="F739" s="2" t="str">
        <f t="shared" si="33"/>
        <v>v</v>
      </c>
      <c r="G739" s="2" t="str">
        <f t="shared" si="35"/>
        <v>v</v>
      </c>
      <c r="H739" s="2" t="str">
        <f t="shared" si="34"/>
        <v>, v</v>
      </c>
      <c r="I739" s="2" t="str">
        <f>IF(Return!C739=0,REPLACE(INDEX(H:H,ROW()+Return!B739,),1,2,Return!E739&amp;"(")&amp;")","")</f>
        <v/>
      </c>
      <c r="M739" s="1"/>
    </row>
    <row r="740" spans="1:13" x14ac:dyDescent="0.55000000000000004">
      <c r="A740" s="1" t="s">
        <v>1689</v>
      </c>
      <c r="B740" t="s">
        <v>1358</v>
      </c>
      <c r="C740" s="2">
        <f>Return!C740</f>
        <v>2</v>
      </c>
      <c r="D740" s="2">
        <f>COUNTA(Argument!E740)</f>
        <v>1</v>
      </c>
      <c r="E740" s="2" t="str">
        <f>IF(C740,Return!D740,Return!E740)</f>
        <v>vr</v>
      </c>
      <c r="F740" s="2" t="str">
        <f t="shared" si="33"/>
        <v>vr</v>
      </c>
      <c r="G740" s="2" t="str">
        <f t="shared" si="35"/>
        <v>vr</v>
      </c>
      <c r="H740" s="2" t="str">
        <f t="shared" si="34"/>
        <v>, v, vr</v>
      </c>
      <c r="I740" s="2" t="str">
        <f>IF(Return!C740=0,REPLACE(INDEX(H:H,ROW()+Return!B740,),1,2,Return!E740&amp;"(")&amp;")","")</f>
        <v/>
      </c>
      <c r="M740" s="1"/>
    </row>
    <row r="741" spans="1:13" x14ac:dyDescent="0.55000000000000004">
      <c r="A741" s="1" t="s">
        <v>1689</v>
      </c>
      <c r="B741" t="s">
        <v>1964</v>
      </c>
      <c r="C741" s="2">
        <f>Return!C741</f>
        <v>3</v>
      </c>
      <c r="D741" s="2">
        <f>COUNTA(Argument!E741)</f>
        <v>1</v>
      </c>
      <c r="E741" s="2" t="str">
        <f>IF(C741,Return!D741,Return!E741)</f>
        <v>vr</v>
      </c>
      <c r="F741" s="2" t="str">
        <f t="shared" si="33"/>
        <v>[vr]</v>
      </c>
      <c r="G741" s="2" t="str">
        <f t="shared" si="35"/>
        <v>[vr]</v>
      </c>
      <c r="H741" s="2" t="str">
        <f t="shared" si="34"/>
        <v>, v, vr, [vr]</v>
      </c>
      <c r="I741" s="2" t="str">
        <f>IF(Return!C741=0,REPLACE(INDEX(H:H,ROW()+Return!B741,),1,2,Return!E741&amp;"(")&amp;")","")</f>
        <v/>
      </c>
      <c r="M741" s="1"/>
    </row>
    <row r="742" spans="1:13" x14ac:dyDescent="0.55000000000000004">
      <c r="A742" s="1" t="s">
        <v>1689</v>
      </c>
      <c r="B742" t="s">
        <v>1965</v>
      </c>
      <c r="C742" s="2">
        <f>Return!C742</f>
        <v>4</v>
      </c>
      <c r="D742" s="2">
        <f>COUNTA(Argument!E742)</f>
        <v>1</v>
      </c>
      <c r="E742" s="2" t="str">
        <f>IF(C742,Return!D742,Return!E742)</f>
        <v>vr</v>
      </c>
      <c r="F742" s="2" t="str">
        <f t="shared" si="33"/>
        <v>[vr]</v>
      </c>
      <c r="G742" s="2" t="str">
        <f t="shared" si="35"/>
        <v>[vr]</v>
      </c>
      <c r="H742" s="2" t="str">
        <f t="shared" si="34"/>
        <v>, v, vr, [vr], [vr]</v>
      </c>
      <c r="I742" s="2" t="str">
        <f>IF(Return!C742=0,REPLACE(INDEX(H:H,ROW()+Return!B742,),1,2,Return!E742&amp;"(")&amp;")","")</f>
        <v/>
      </c>
      <c r="M742" s="1"/>
    </row>
    <row r="743" spans="1:13" x14ac:dyDescent="0.55000000000000004">
      <c r="A743" s="1" t="s">
        <v>1689</v>
      </c>
      <c r="B743" t="s">
        <v>1966</v>
      </c>
      <c r="C743" s="2">
        <f>Return!C743</f>
        <v>5</v>
      </c>
      <c r="D743" s="2">
        <f>COUNTA(Argument!E743)</f>
        <v>1</v>
      </c>
      <c r="E743" s="2" t="str">
        <f>IF(C743,Return!D743,Return!E743)</f>
        <v>vr</v>
      </c>
      <c r="F743" s="2" t="str">
        <f t="shared" si="33"/>
        <v>[vr]</v>
      </c>
      <c r="G743" s="2" t="str">
        <f t="shared" si="35"/>
        <v>[vr]</v>
      </c>
      <c r="H743" s="2" t="str">
        <f t="shared" si="34"/>
        <v>, v, vr, [vr], [vr], [vr]</v>
      </c>
      <c r="I743" s="2" t="str">
        <f>IF(Return!C743=0,REPLACE(INDEX(H:H,ROW()+Return!B743,),1,2,Return!E743&amp;"(")&amp;")","")</f>
        <v/>
      </c>
      <c r="M743" s="1"/>
    </row>
    <row r="744" spans="1:13" x14ac:dyDescent="0.55000000000000004">
      <c r="A744" s="1" t="s">
        <v>1689</v>
      </c>
      <c r="B744" t="s">
        <v>1967</v>
      </c>
      <c r="C744" s="2">
        <f>Return!C744</f>
        <v>6</v>
      </c>
      <c r="D744" s="2">
        <f>COUNTA(Argument!E744)</f>
        <v>1</v>
      </c>
      <c r="E744" s="2" t="str">
        <f>IF(C744,Return!D744,Return!E744)</f>
        <v>vr</v>
      </c>
      <c r="F744" s="2" t="str">
        <f t="shared" si="33"/>
        <v>[vr]</v>
      </c>
      <c r="G744" s="2" t="str">
        <f t="shared" si="35"/>
        <v>[vr]</v>
      </c>
      <c r="H744" s="2" t="str">
        <f t="shared" si="34"/>
        <v>, v, vr, [vr], [vr], [vr], [vr]</v>
      </c>
      <c r="I744" s="2" t="str">
        <f>IF(Return!C744=0,REPLACE(INDEX(H:H,ROW()+Return!B744,),1,2,Return!E744&amp;"(")&amp;")","")</f>
        <v/>
      </c>
      <c r="M744" s="1"/>
    </row>
    <row r="745" spans="1:13" x14ac:dyDescent="0.55000000000000004">
      <c r="A745" s="1" t="s">
        <v>1689</v>
      </c>
      <c r="B745" t="s">
        <v>1968</v>
      </c>
      <c r="C745" s="2">
        <f>Return!C745</f>
        <v>7</v>
      </c>
      <c r="D745" s="2">
        <f>COUNTA(Argument!E745)</f>
        <v>1</v>
      </c>
      <c r="E745" s="2" t="str">
        <f>IF(C745,Return!D745,Return!E745)</f>
        <v>vr</v>
      </c>
      <c r="F745" s="2" t="str">
        <f t="shared" si="33"/>
        <v>[vr]</v>
      </c>
      <c r="G745" s="2" t="str">
        <f t="shared" si="35"/>
        <v>[vr]</v>
      </c>
      <c r="H745" s="2" t="str">
        <f t="shared" si="34"/>
        <v>, v, vr, [vr], [vr], [vr], [vr], [vr]</v>
      </c>
      <c r="I745" s="2" t="str">
        <f>IF(Return!C745=0,REPLACE(INDEX(H:H,ROW()+Return!B745,),1,2,Return!E745&amp;"(")&amp;")","")</f>
        <v/>
      </c>
      <c r="M745" s="1"/>
    </row>
    <row r="746" spans="1:13" x14ac:dyDescent="0.55000000000000004">
      <c r="A746" s="1" t="s">
        <v>1689</v>
      </c>
      <c r="B746" t="s">
        <v>1233</v>
      </c>
      <c r="C746" s="2">
        <f>Return!C746</f>
        <v>8</v>
      </c>
      <c r="D746" s="2">
        <f>COUNTA(Argument!E746)</f>
        <v>1</v>
      </c>
      <c r="E746" s="2" t="str">
        <f>IF(C746,Return!D746,Return!E746)</f>
        <v>var</v>
      </c>
      <c r="F746" s="2" t="str">
        <f t="shared" si="33"/>
        <v>[var]</v>
      </c>
      <c r="G746" s="2" t="str">
        <f t="shared" si="35"/>
        <v>[var]</v>
      </c>
      <c r="H746" s="2" t="str">
        <f t="shared" si="34"/>
        <v>, v, vr, [vr], [vr], [vr], [vr], [vr], [var]</v>
      </c>
      <c r="I746" s="2" t="str">
        <f>IF(Return!C746=0,REPLACE(INDEX(H:H,ROW()+Return!B746,),1,2,Return!E746&amp;"(")&amp;")","")</f>
        <v/>
      </c>
      <c r="M746" s="1"/>
    </row>
    <row r="747" spans="1:13" x14ac:dyDescent="0.55000000000000004">
      <c r="A747" s="1" t="s">
        <v>1689</v>
      </c>
      <c r="B747" t="s">
        <v>1969</v>
      </c>
      <c r="C747" s="2">
        <f>Return!C747</f>
        <v>9</v>
      </c>
      <c r="D747" s="2">
        <f>COUNTA(Argument!E747)</f>
        <v>1</v>
      </c>
      <c r="E747" s="2" t="str">
        <f>IF(C747,Return!D747,Return!E747)</f>
        <v>vr</v>
      </c>
      <c r="F747" s="2" t="str">
        <f t="shared" si="33"/>
        <v>[vr]</v>
      </c>
      <c r="G747" s="2" t="str">
        <f t="shared" si="35"/>
        <v>[vr]</v>
      </c>
      <c r="H747" s="2" t="str">
        <f t="shared" si="34"/>
        <v>, v, vr, [vr], [vr], [vr], [vr], [vr], [var], [vr]</v>
      </c>
      <c r="I747" s="2" t="str">
        <f>IF(Return!C747=0,REPLACE(INDEX(H:H,ROW()+Return!B747,),1,2,Return!E747&amp;"(")&amp;")","")</f>
        <v/>
      </c>
      <c r="M747" s="1"/>
    </row>
    <row r="748" spans="1:13" x14ac:dyDescent="0.55000000000000004">
      <c r="A748" s="1" t="s">
        <v>1689</v>
      </c>
      <c r="B748" t="s">
        <v>2024</v>
      </c>
      <c r="C748" s="2">
        <f>Return!C748</f>
        <v>10</v>
      </c>
      <c r="D748" s="2">
        <f>COUNTA(Argument!E748)</f>
        <v>1</v>
      </c>
      <c r="E748" s="2" t="str">
        <f>IF(C748,Return!D748,Return!E748)</f>
        <v>vr</v>
      </c>
      <c r="F748" s="2" t="str">
        <f t="shared" si="33"/>
        <v>[vr]</v>
      </c>
      <c r="G748" s="2" t="str">
        <f t="shared" si="35"/>
        <v>[vr]</v>
      </c>
      <c r="H748" s="2" t="str">
        <f t="shared" si="34"/>
        <v>, v, vr, [vr], [vr], [vr], [vr], [vr], [var], [vr], [vr]</v>
      </c>
      <c r="I748" s="2" t="str">
        <f>IF(Return!C748=0,REPLACE(INDEX(H:H,ROW()+Return!B748,),1,2,Return!E748&amp;"(")&amp;")","")</f>
        <v/>
      </c>
      <c r="M748" s="1"/>
    </row>
    <row r="749" spans="1:13" x14ac:dyDescent="0.55000000000000004">
      <c r="A749" s="1" t="s">
        <v>1690</v>
      </c>
      <c r="C749" s="2">
        <f>Return!C749</f>
        <v>0</v>
      </c>
      <c r="D749" s="2">
        <f>COUNTA(Argument!E749)</f>
        <v>1</v>
      </c>
      <c r="E749" s="2" t="str">
        <f>IF(C749,Return!D749,Return!E749)</f>
        <v>v</v>
      </c>
      <c r="F749" s="2" t="str">
        <f t="shared" si="33"/>
        <v/>
      </c>
      <c r="G749" s="2" t="str">
        <f t="shared" si="35"/>
        <v/>
      </c>
      <c r="H749" s="2" t="str">
        <f t="shared" si="34"/>
        <v/>
      </c>
      <c r="I749" s="2" t="str">
        <f>IF(Return!C749=0,REPLACE(INDEX(H:H,ROW()+Return!B749,),1,2,Return!E749&amp;"(")&amp;")","")</f>
        <v>v([v])</v>
      </c>
      <c r="M749" s="1"/>
    </row>
    <row r="750" spans="1:13" x14ac:dyDescent="0.55000000000000004">
      <c r="A750" s="1" t="s">
        <v>1690</v>
      </c>
      <c r="B750" t="s">
        <v>1239</v>
      </c>
      <c r="C750" s="2">
        <f>Return!C750</f>
        <v>1</v>
      </c>
      <c r="D750" s="2">
        <f>COUNTA(Argument!E750)</f>
        <v>1</v>
      </c>
      <c r="E750" s="2" t="str">
        <f>IF(C750,Return!D750,Return!E750)</f>
        <v>v</v>
      </c>
      <c r="F750" s="2" t="str">
        <f t="shared" si="33"/>
        <v>[v]</v>
      </c>
      <c r="G750" s="2" t="str">
        <f t="shared" si="35"/>
        <v>[v]</v>
      </c>
      <c r="H750" s="2" t="str">
        <f t="shared" si="34"/>
        <v>, [v]</v>
      </c>
      <c r="I750" s="2" t="str">
        <f>IF(Return!C750=0,REPLACE(INDEX(H:H,ROW()+Return!B750,),1,2,Return!E750&amp;"(")&amp;")","")</f>
        <v/>
      </c>
      <c r="M750" s="1"/>
    </row>
    <row r="751" spans="1:13" x14ac:dyDescent="0.55000000000000004">
      <c r="A751" s="1" t="s">
        <v>1483</v>
      </c>
      <c r="C751" s="2">
        <f>Return!C751</f>
        <v>0</v>
      </c>
      <c r="D751" s="2">
        <f>COUNTA(Argument!E751)</f>
        <v>1</v>
      </c>
      <c r="E751" s="2" t="str">
        <f>IF(C751,Return!D751,Return!E751)</f>
        <v>r</v>
      </c>
      <c r="F751" s="2" t="str">
        <f t="shared" si="33"/>
        <v/>
      </c>
      <c r="G751" s="2" t="str">
        <f t="shared" si="35"/>
        <v/>
      </c>
      <c r="H751" s="2" t="str">
        <f t="shared" si="34"/>
        <v/>
      </c>
      <c r="I751" s="2" t="str">
        <f>IF(Return!C751=0,REPLACE(INDEX(H:H,ROW()+Return!B751,),1,2,Return!E751&amp;"(")&amp;")","")</f>
        <v>r()</v>
      </c>
      <c r="M751" s="1"/>
    </row>
    <row r="752" spans="1:13" x14ac:dyDescent="0.55000000000000004">
      <c r="A752" s="1" t="s">
        <v>1691</v>
      </c>
      <c r="C752" s="2">
        <f>Return!C752</f>
        <v>0</v>
      </c>
      <c r="D752" s="2">
        <f>COUNTA(Argument!E752)</f>
        <v>1</v>
      </c>
      <c r="E752" s="2" t="str">
        <f>IF(C752,Return!D752,Return!E752)</f>
        <v>v</v>
      </c>
      <c r="F752" s="2" t="str">
        <f t="shared" si="33"/>
        <v/>
      </c>
      <c r="G752" s="2" t="str">
        <f t="shared" si="35"/>
        <v/>
      </c>
      <c r="H752" s="2" t="str">
        <f t="shared" si="34"/>
        <v/>
      </c>
      <c r="I752" s="2" t="str">
        <f>IF(Return!C752=0,REPLACE(INDEX(H:H,ROW()+Return!B752,),1,2,Return!E752&amp;"(")&amp;")","")</f>
        <v>v([v], [v])</v>
      </c>
      <c r="M752" s="1"/>
    </row>
    <row r="753" spans="1:13" x14ac:dyDescent="0.55000000000000004">
      <c r="A753" s="1" t="s">
        <v>1691</v>
      </c>
      <c r="B753" t="s">
        <v>1970</v>
      </c>
      <c r="C753" s="2">
        <f>Return!C753</f>
        <v>1</v>
      </c>
      <c r="D753" s="2">
        <f>COUNTA(Argument!E753)</f>
        <v>1</v>
      </c>
      <c r="E753" s="2" t="str">
        <f>IF(C753,Return!D753,Return!E753)</f>
        <v>v</v>
      </c>
      <c r="F753" s="2" t="str">
        <f t="shared" si="33"/>
        <v>[v]</v>
      </c>
      <c r="G753" s="2" t="str">
        <f t="shared" si="35"/>
        <v>[v]</v>
      </c>
      <c r="H753" s="2" t="str">
        <f t="shared" si="34"/>
        <v>, [v]</v>
      </c>
      <c r="I753" s="2" t="str">
        <f>IF(Return!C753=0,REPLACE(INDEX(H:H,ROW()+Return!B753,),1,2,Return!E753&amp;"(")&amp;")","")</f>
        <v/>
      </c>
      <c r="M753" s="1"/>
    </row>
    <row r="754" spans="1:13" x14ac:dyDescent="0.55000000000000004">
      <c r="A754" s="1" t="s">
        <v>1691</v>
      </c>
      <c r="B754" t="s">
        <v>2025</v>
      </c>
      <c r="C754" s="2">
        <f>Return!C754</f>
        <v>2</v>
      </c>
      <c r="D754" s="2">
        <f>COUNTA(Argument!E754)</f>
        <v>1</v>
      </c>
      <c r="E754" s="2" t="str">
        <f>IF(C754,Return!D754,Return!E754)</f>
        <v>v</v>
      </c>
      <c r="F754" s="2" t="str">
        <f t="shared" si="33"/>
        <v>[v]</v>
      </c>
      <c r="G754" s="2" t="str">
        <f t="shared" si="35"/>
        <v>[v]</v>
      </c>
      <c r="H754" s="2" t="str">
        <f t="shared" si="34"/>
        <v>, [v], [v]</v>
      </c>
      <c r="I754" s="2" t="str">
        <f>IF(Return!C754=0,REPLACE(INDEX(H:H,ROW()+Return!B754,),1,2,Return!E754&amp;"(")&amp;")","")</f>
        <v/>
      </c>
      <c r="M754" s="1"/>
    </row>
    <row r="755" spans="1:13" x14ac:dyDescent="0.55000000000000004">
      <c r="A755" s="1" t="s">
        <v>1692</v>
      </c>
      <c r="C755" s="2">
        <f>Return!C755</f>
        <v>0</v>
      </c>
      <c r="D755" s="2">
        <f>COUNTA(Argument!E755)</f>
        <v>1</v>
      </c>
      <c r="E755" s="2" t="str">
        <f>IF(C755,Return!D755,Return!E755)</f>
        <v>v</v>
      </c>
      <c r="F755" s="2" t="str">
        <f t="shared" si="33"/>
        <v/>
      </c>
      <c r="G755" s="2" t="str">
        <f t="shared" si="35"/>
        <v/>
      </c>
      <c r="H755" s="2" t="str">
        <f t="shared" si="34"/>
        <v/>
      </c>
      <c r="I755" s="2" t="str">
        <f>IF(Return!C755=0,REPLACE(INDEX(H:H,ROW()+Return!B755,),1,2,Return!E755&amp;"(")&amp;")","")</f>
        <v>v([v], [v], [v])</v>
      </c>
      <c r="M755" s="1"/>
    </row>
    <row r="756" spans="1:13" x14ac:dyDescent="0.55000000000000004">
      <c r="A756" s="1" t="s">
        <v>1692</v>
      </c>
      <c r="B756" t="s">
        <v>1970</v>
      </c>
      <c r="C756" s="2">
        <f>Return!C756</f>
        <v>1</v>
      </c>
      <c r="D756" s="2">
        <f>COUNTA(Argument!E756)</f>
        <v>1</v>
      </c>
      <c r="E756" s="2" t="str">
        <f>IF(C756,Return!D756,Return!E756)</f>
        <v>v</v>
      </c>
      <c r="F756" s="2" t="str">
        <f t="shared" si="33"/>
        <v>[v]</v>
      </c>
      <c r="G756" s="2" t="str">
        <f t="shared" si="35"/>
        <v>[v]</v>
      </c>
      <c r="H756" s="2" t="str">
        <f t="shared" si="34"/>
        <v>, [v]</v>
      </c>
      <c r="I756" s="2" t="str">
        <f>IF(Return!C756=0,REPLACE(INDEX(H:H,ROW()+Return!B756,),1,2,Return!E756&amp;"(")&amp;")","")</f>
        <v/>
      </c>
      <c r="M756" s="1"/>
    </row>
    <row r="757" spans="1:13" x14ac:dyDescent="0.55000000000000004">
      <c r="A757" s="1" t="s">
        <v>1692</v>
      </c>
      <c r="B757" t="s">
        <v>1971</v>
      </c>
      <c r="C757" s="2">
        <f>Return!C757</f>
        <v>2</v>
      </c>
      <c r="D757" s="2">
        <f>COUNTA(Argument!E757)</f>
        <v>1</v>
      </c>
      <c r="E757" s="2" t="str">
        <f>IF(C757,Return!D757,Return!E757)</f>
        <v>v</v>
      </c>
      <c r="F757" s="2" t="str">
        <f t="shared" si="33"/>
        <v>[v]</v>
      </c>
      <c r="G757" s="2" t="str">
        <f t="shared" si="35"/>
        <v>[v]</v>
      </c>
      <c r="H757" s="2" t="str">
        <f t="shared" si="34"/>
        <v>, [v], [v]</v>
      </c>
      <c r="I757" s="2" t="str">
        <f>IF(Return!C757=0,REPLACE(INDEX(H:H,ROW()+Return!B757,),1,2,Return!E757&amp;"(")&amp;")","")</f>
        <v/>
      </c>
      <c r="M757" s="1"/>
    </row>
    <row r="758" spans="1:13" x14ac:dyDescent="0.55000000000000004">
      <c r="A758" s="1" t="s">
        <v>1692</v>
      </c>
      <c r="B758" t="s">
        <v>2026</v>
      </c>
      <c r="C758" s="2">
        <f>Return!C758</f>
        <v>3</v>
      </c>
      <c r="D758" s="2">
        <f>COUNTA(Argument!E758)</f>
        <v>1</v>
      </c>
      <c r="E758" s="2" t="str">
        <f>IF(C758,Return!D758,Return!E758)</f>
        <v>v</v>
      </c>
      <c r="F758" s="2" t="str">
        <f t="shared" si="33"/>
        <v>[v]</v>
      </c>
      <c r="G758" s="2" t="str">
        <f t="shared" si="35"/>
        <v>[v]</v>
      </c>
      <c r="H758" s="2" t="str">
        <f t="shared" si="34"/>
        <v>, [v], [v], [v]</v>
      </c>
      <c r="I758" s="2" t="str">
        <f>IF(Return!C758=0,REPLACE(INDEX(H:H,ROW()+Return!B758,),1,2,Return!E758&amp;"(")&amp;")","")</f>
        <v/>
      </c>
      <c r="M758" s="1"/>
    </row>
    <row r="759" spans="1:13" x14ac:dyDescent="0.55000000000000004">
      <c r="A759" s="1" t="s">
        <v>1693</v>
      </c>
      <c r="C759" s="2">
        <f>Return!C759</f>
        <v>0</v>
      </c>
      <c r="D759" s="2">
        <f>COUNTA(Argument!E759)</f>
        <v>0</v>
      </c>
      <c r="E759" s="2" t="str">
        <f>IF(C759,Return!D759,Return!E759)</f>
        <v>v</v>
      </c>
      <c r="F759" s="2" t="str">
        <f t="shared" si="33"/>
        <v/>
      </c>
      <c r="G759" s="2" t="str">
        <f t="shared" si="35"/>
        <v/>
      </c>
      <c r="H759" s="2" t="str">
        <f t="shared" si="34"/>
        <v/>
      </c>
      <c r="I759" s="2" t="str">
        <f>IF(Return!C759=0,REPLACE(INDEX(H:H,ROW()+Return!B759,),1,2,Return!E759&amp;"(")&amp;")","")</f>
        <v>v(v, vr, [vr], [vr], [vr])</v>
      </c>
      <c r="M759" s="1"/>
    </row>
    <row r="760" spans="1:13" x14ac:dyDescent="0.55000000000000004">
      <c r="A760" s="1" t="s">
        <v>1693</v>
      </c>
      <c r="B760" t="s">
        <v>1972</v>
      </c>
      <c r="C760" s="2">
        <f>Return!C760</f>
        <v>1</v>
      </c>
      <c r="D760" s="2">
        <f>COUNTA(Argument!E760)</f>
        <v>0</v>
      </c>
      <c r="E760" s="2" t="str">
        <f>IF(C760,Return!D760,Return!E760)</f>
        <v>v</v>
      </c>
      <c r="F760" s="2" t="str">
        <f t="shared" si="33"/>
        <v>v</v>
      </c>
      <c r="G760" s="2" t="str">
        <f t="shared" si="35"/>
        <v>v</v>
      </c>
      <c r="H760" s="2" t="str">
        <f t="shared" si="34"/>
        <v>, v</v>
      </c>
      <c r="I760" s="2" t="str">
        <f>IF(Return!C760=0,REPLACE(INDEX(H:H,ROW()+Return!B760,),1,2,Return!E760&amp;"(")&amp;")","")</f>
        <v/>
      </c>
      <c r="M760" s="1"/>
    </row>
    <row r="761" spans="1:13" x14ac:dyDescent="0.55000000000000004">
      <c r="A761" s="1" t="s">
        <v>1693</v>
      </c>
      <c r="B761" t="s">
        <v>1973</v>
      </c>
      <c r="C761" s="2">
        <f>Return!C761</f>
        <v>2</v>
      </c>
      <c r="D761" s="2">
        <f>COUNTA(Argument!E761)</f>
        <v>1</v>
      </c>
      <c r="E761" s="2" t="str">
        <f>IF(C761,Return!D761,Return!E761)</f>
        <v>vr</v>
      </c>
      <c r="F761" s="2" t="str">
        <f t="shared" si="33"/>
        <v>vr</v>
      </c>
      <c r="G761" s="2" t="str">
        <f t="shared" si="35"/>
        <v>vr</v>
      </c>
      <c r="H761" s="2" t="str">
        <f t="shared" si="34"/>
        <v>, v, vr</v>
      </c>
      <c r="I761" s="2" t="str">
        <f>IF(Return!C761=0,REPLACE(INDEX(H:H,ROW()+Return!B761,),1,2,Return!E761&amp;"(")&amp;")","")</f>
        <v/>
      </c>
      <c r="M761" s="1"/>
    </row>
    <row r="762" spans="1:13" x14ac:dyDescent="0.55000000000000004">
      <c r="A762" s="1" t="s">
        <v>1693</v>
      </c>
      <c r="B762" t="s">
        <v>1974</v>
      </c>
      <c r="C762" s="2">
        <f>Return!C762</f>
        <v>3</v>
      </c>
      <c r="D762" s="2">
        <f>COUNTA(Argument!E762)</f>
        <v>1</v>
      </c>
      <c r="E762" s="2" t="str">
        <f>IF(C762,Return!D762,Return!E762)</f>
        <v>vr</v>
      </c>
      <c r="F762" s="2" t="str">
        <f t="shared" si="33"/>
        <v>[vr]</v>
      </c>
      <c r="G762" s="2" t="str">
        <f t="shared" si="35"/>
        <v>[vr]</v>
      </c>
      <c r="H762" s="2" t="str">
        <f t="shared" si="34"/>
        <v>, v, vr, [vr]</v>
      </c>
      <c r="I762" s="2" t="str">
        <f>IF(Return!C762=0,REPLACE(INDEX(H:H,ROW()+Return!B762,),1,2,Return!E762&amp;"(")&amp;")","")</f>
        <v/>
      </c>
      <c r="M762" s="1"/>
    </row>
    <row r="763" spans="1:13" x14ac:dyDescent="0.55000000000000004">
      <c r="A763" s="1" t="s">
        <v>1693</v>
      </c>
      <c r="B763" t="s">
        <v>1975</v>
      </c>
      <c r="C763" s="2">
        <f>Return!C763</f>
        <v>4</v>
      </c>
      <c r="D763" s="2">
        <f>COUNTA(Argument!E763)</f>
        <v>1</v>
      </c>
      <c r="E763" s="2" t="str">
        <f>IF(C763,Return!D763,Return!E763)</f>
        <v>vr</v>
      </c>
      <c r="F763" s="2" t="str">
        <f t="shared" si="33"/>
        <v>[vr]</v>
      </c>
      <c r="G763" s="2" t="str">
        <f t="shared" si="35"/>
        <v>[vr]</v>
      </c>
      <c r="H763" s="2" t="str">
        <f t="shared" si="34"/>
        <v>, v, vr, [vr], [vr]</v>
      </c>
      <c r="I763" s="2" t="str">
        <f>IF(Return!C763=0,REPLACE(INDEX(H:H,ROW()+Return!B763,),1,2,Return!E763&amp;"(")&amp;")","")</f>
        <v/>
      </c>
      <c r="M763" s="1"/>
    </row>
    <row r="764" spans="1:13" x14ac:dyDescent="0.55000000000000004">
      <c r="A764" s="1" t="s">
        <v>1693</v>
      </c>
      <c r="B764" t="s">
        <v>2002</v>
      </c>
      <c r="C764" s="2">
        <f>Return!C764</f>
        <v>5</v>
      </c>
      <c r="D764" s="2">
        <f>COUNTA(Argument!E764)</f>
        <v>1</v>
      </c>
      <c r="E764" s="2" t="str">
        <f>IF(C764,Return!D764,Return!E764)</f>
        <v>vr</v>
      </c>
      <c r="F764" s="2" t="str">
        <f t="shared" si="33"/>
        <v>[vr]</v>
      </c>
      <c r="G764" s="2" t="str">
        <f t="shared" si="35"/>
        <v>[vr]</v>
      </c>
      <c r="H764" s="2" t="str">
        <f t="shared" si="34"/>
        <v>, v, vr, [vr], [vr], [vr]</v>
      </c>
      <c r="I764" s="2" t="str">
        <f>IF(Return!C764=0,REPLACE(INDEX(H:H,ROW()+Return!B764,),1,2,Return!E764&amp;"(")&amp;")","")</f>
        <v/>
      </c>
      <c r="M764" s="1"/>
    </row>
    <row r="765" spans="1:13" x14ac:dyDescent="0.55000000000000004">
      <c r="A765" s="1" t="s">
        <v>1694</v>
      </c>
      <c r="C765" s="2">
        <f>Return!C765</f>
        <v>0</v>
      </c>
      <c r="D765" s="2">
        <f>COUNTA(Argument!E765)</f>
        <v>0</v>
      </c>
      <c r="E765" s="2" t="str">
        <f>IF(C765,Return!D765,Return!E765)</f>
        <v>v</v>
      </c>
      <c r="F765" s="2" t="str">
        <f t="shared" si="33"/>
        <v/>
      </c>
      <c r="G765" s="2" t="str">
        <f t="shared" si="35"/>
        <v/>
      </c>
      <c r="H765" s="2" t="str">
        <f t="shared" si="34"/>
        <v/>
      </c>
      <c r="I765" s="2" t="str">
        <f>IF(Return!C765=0,REPLACE(INDEX(H:H,ROW()+Return!B765,),1,2,Return!E765&amp;"(")&amp;")","")</f>
        <v>v(v, v, [v], [v])</v>
      </c>
      <c r="M765" s="1"/>
    </row>
    <row r="766" spans="1:13" x14ac:dyDescent="0.55000000000000004">
      <c r="A766" s="1" t="s">
        <v>1694</v>
      </c>
      <c r="B766" t="s">
        <v>1976</v>
      </c>
      <c r="C766" s="2">
        <f>Return!C766</f>
        <v>1</v>
      </c>
      <c r="D766" s="2">
        <f>COUNTA(Argument!E766)</f>
        <v>0</v>
      </c>
      <c r="E766" s="2" t="str">
        <f>IF(C766,Return!D766,Return!E766)</f>
        <v>v</v>
      </c>
      <c r="F766" s="2" t="str">
        <f t="shared" si="33"/>
        <v>v</v>
      </c>
      <c r="G766" s="2" t="str">
        <f t="shared" si="35"/>
        <v>v</v>
      </c>
      <c r="H766" s="2" t="str">
        <f t="shared" si="34"/>
        <v>, v</v>
      </c>
      <c r="I766" s="2" t="str">
        <f>IF(Return!C766=0,REPLACE(INDEX(H:H,ROW()+Return!B766,),1,2,Return!E766&amp;"(")&amp;")","")</f>
        <v/>
      </c>
      <c r="M766" s="1"/>
    </row>
    <row r="767" spans="1:13" x14ac:dyDescent="0.55000000000000004">
      <c r="A767" s="1" t="s">
        <v>1694</v>
      </c>
      <c r="B767" t="s">
        <v>1921</v>
      </c>
      <c r="C767" s="2">
        <f>Return!C767</f>
        <v>2</v>
      </c>
      <c r="D767" s="2">
        <f>COUNTA(Argument!E767)</f>
        <v>1</v>
      </c>
      <c r="E767" s="2" t="str">
        <f>IF(C767,Return!D767,Return!E767)</f>
        <v>v</v>
      </c>
      <c r="F767" s="2" t="str">
        <f t="shared" si="33"/>
        <v>v</v>
      </c>
      <c r="G767" s="2" t="str">
        <f t="shared" si="35"/>
        <v>v</v>
      </c>
      <c r="H767" s="2" t="str">
        <f t="shared" si="34"/>
        <v>, v, v</v>
      </c>
      <c r="I767" s="2" t="str">
        <f>IF(Return!C767=0,REPLACE(INDEX(H:H,ROW()+Return!B767,),1,2,Return!E767&amp;"(")&amp;")","")</f>
        <v/>
      </c>
      <c r="M767" s="1"/>
    </row>
    <row r="768" spans="1:13" x14ac:dyDescent="0.55000000000000004">
      <c r="A768" s="1" t="s">
        <v>1694</v>
      </c>
      <c r="B768" t="s">
        <v>1977</v>
      </c>
      <c r="C768" s="2">
        <f>Return!C768</f>
        <v>3</v>
      </c>
      <c r="D768" s="2">
        <f>COUNTA(Argument!E768)</f>
        <v>1</v>
      </c>
      <c r="E768" s="2" t="str">
        <f>IF(C768,Return!D768,Return!E768)</f>
        <v>v</v>
      </c>
      <c r="F768" s="2" t="str">
        <f t="shared" si="33"/>
        <v>[v]</v>
      </c>
      <c r="G768" s="2" t="str">
        <f t="shared" si="35"/>
        <v>[v]</v>
      </c>
      <c r="H768" s="2" t="str">
        <f t="shared" si="34"/>
        <v>, v, v, [v]</v>
      </c>
      <c r="I768" s="2" t="str">
        <f>IF(Return!C768=0,REPLACE(INDEX(H:H,ROW()+Return!B768,),1,2,Return!E768&amp;"(")&amp;")","")</f>
        <v/>
      </c>
      <c r="M768" s="1"/>
    </row>
    <row r="769" spans="1:13" x14ac:dyDescent="0.55000000000000004">
      <c r="A769" s="1" t="s">
        <v>1694</v>
      </c>
      <c r="B769" t="s">
        <v>1221</v>
      </c>
      <c r="C769" s="2">
        <f>Return!C769</f>
        <v>4</v>
      </c>
      <c r="D769" s="2">
        <f>COUNTA(Argument!E769)</f>
        <v>1</v>
      </c>
      <c r="E769" s="2" t="str">
        <f>IF(C769,Return!D769,Return!E769)</f>
        <v>v</v>
      </c>
      <c r="F769" s="2" t="str">
        <f t="shared" si="33"/>
        <v>[v]</v>
      </c>
      <c r="G769" s="2" t="str">
        <f t="shared" si="35"/>
        <v>[v]</v>
      </c>
      <c r="H769" s="2" t="str">
        <f t="shared" si="34"/>
        <v>, v, v, [v], [v]</v>
      </c>
      <c r="I769" s="2" t="str">
        <f>IF(Return!C769=0,REPLACE(INDEX(H:H,ROW()+Return!B769,),1,2,Return!E769&amp;"(")&amp;")","")</f>
        <v/>
      </c>
      <c r="M769" s="1"/>
    </row>
    <row r="770" spans="1:13" x14ac:dyDescent="0.55000000000000004">
      <c r="A770" s="1" t="s">
        <v>1695</v>
      </c>
      <c r="C770" s="2">
        <f>Return!C770</f>
        <v>0</v>
      </c>
      <c r="D770" s="2">
        <f>COUNTA(Argument!E770)</f>
        <v>0</v>
      </c>
      <c r="E770" s="2" t="str">
        <f>IF(C770,Return!D770,Return!E770)</f>
        <v>v</v>
      </c>
      <c r="F770" s="2" t="str">
        <f t="shared" si="33"/>
        <v/>
      </c>
      <c r="G770" s="2" t="str">
        <f t="shared" si="35"/>
        <v/>
      </c>
      <c r="H770" s="2" t="str">
        <f t="shared" si="34"/>
        <v/>
      </c>
      <c r="I770" s="2" t="str">
        <f>IF(Return!C770=0,REPLACE(INDEX(H:H,ROW()+Return!B770,),1,2,Return!E770&amp;"(")&amp;")","")</f>
        <v>v(v, [v], [v], [v])</v>
      </c>
      <c r="M770" s="1"/>
    </row>
    <row r="771" spans="1:13" x14ac:dyDescent="0.55000000000000004">
      <c r="A771" s="1" t="s">
        <v>1695</v>
      </c>
      <c r="B771" t="s">
        <v>1960</v>
      </c>
      <c r="C771" s="2">
        <f>Return!C771</f>
        <v>1</v>
      </c>
      <c r="D771" s="2">
        <f>COUNTA(Argument!E771)</f>
        <v>1</v>
      </c>
      <c r="E771" s="2" t="str">
        <f>IF(C771,Return!D771,Return!E771)</f>
        <v>v</v>
      </c>
      <c r="F771" s="2" t="str">
        <f t="shared" ref="F771:F834" si="36">IF(C771,IF(D771,IF(D770,"["&amp;E771&amp;"]",E771),E771),"")</f>
        <v>v</v>
      </c>
      <c r="G771" s="2" t="str">
        <f t="shared" si="35"/>
        <v>v</v>
      </c>
      <c r="H771" s="2" t="str">
        <f t="shared" ref="H771:H834" si="37">IF(C771&gt;0,H770&amp;", "&amp;G771,"")</f>
        <v>, v</v>
      </c>
      <c r="I771" s="2" t="str">
        <f>IF(Return!C771=0,REPLACE(INDEX(H:H,ROW()+Return!B771,),1,2,Return!E771&amp;"(")&amp;")","")</f>
        <v/>
      </c>
      <c r="M771" s="1"/>
    </row>
    <row r="772" spans="1:13" x14ac:dyDescent="0.55000000000000004">
      <c r="A772" s="1" t="s">
        <v>1695</v>
      </c>
      <c r="B772" t="s">
        <v>1978</v>
      </c>
      <c r="C772" s="2">
        <f>Return!C772</f>
        <v>2</v>
      </c>
      <c r="D772" s="2">
        <f>COUNTA(Argument!E772)</f>
        <v>1</v>
      </c>
      <c r="E772" s="2" t="str">
        <f>IF(C772,Return!D772,Return!E772)</f>
        <v>v</v>
      </c>
      <c r="F772" s="2" t="str">
        <f t="shared" si="36"/>
        <v>[v]</v>
      </c>
      <c r="G772" s="2" t="str">
        <f t="shared" ref="G772:G835" si="38">IF(B772="...",IF(C773&gt;0,"["&amp;E772,"…"),IF(B771=" ...",IF(C772&gt;0,E772&amp;"], …",F772),F772))</f>
        <v>[v]</v>
      </c>
      <c r="H772" s="2" t="str">
        <f t="shared" si="37"/>
        <v>, v, [v]</v>
      </c>
      <c r="I772" s="2" t="str">
        <f>IF(Return!C772=0,REPLACE(INDEX(H:H,ROW()+Return!B772,),1,2,Return!E772&amp;"(")&amp;")","")</f>
        <v/>
      </c>
      <c r="M772" s="1"/>
    </row>
    <row r="773" spans="1:13" x14ac:dyDescent="0.55000000000000004">
      <c r="A773" s="1" t="s">
        <v>1695</v>
      </c>
      <c r="B773" t="s">
        <v>1235</v>
      </c>
      <c r="C773" s="2">
        <f>Return!C773</f>
        <v>3</v>
      </c>
      <c r="D773" s="2">
        <f>COUNTA(Argument!E773)</f>
        <v>1</v>
      </c>
      <c r="E773" s="2" t="str">
        <f>IF(C773,Return!D773,Return!E773)</f>
        <v>v</v>
      </c>
      <c r="F773" s="2" t="str">
        <f t="shared" si="36"/>
        <v>[v]</v>
      </c>
      <c r="G773" s="2" t="str">
        <f t="shared" si="38"/>
        <v>[v]</v>
      </c>
      <c r="H773" s="2" t="str">
        <f t="shared" si="37"/>
        <v>, v, [v], [v]</v>
      </c>
      <c r="I773" s="2" t="str">
        <f>IF(Return!C773=0,REPLACE(INDEX(H:H,ROW()+Return!B773,),1,2,Return!E773&amp;"(")&amp;")","")</f>
        <v/>
      </c>
      <c r="M773" s="1"/>
    </row>
    <row r="774" spans="1:13" x14ac:dyDescent="0.55000000000000004">
      <c r="A774" s="1" t="s">
        <v>1695</v>
      </c>
      <c r="B774" t="s">
        <v>1236</v>
      </c>
      <c r="C774" s="2">
        <f>Return!C774</f>
        <v>4</v>
      </c>
      <c r="D774" s="2">
        <f>COUNTA(Argument!E774)</f>
        <v>1</v>
      </c>
      <c r="E774" s="2" t="str">
        <f>IF(C774,Return!D774,Return!E774)</f>
        <v>v</v>
      </c>
      <c r="F774" s="2" t="str">
        <f t="shared" si="36"/>
        <v>[v]</v>
      </c>
      <c r="G774" s="2" t="str">
        <f t="shared" si="38"/>
        <v>[v]</v>
      </c>
      <c r="H774" s="2" t="str">
        <f t="shared" si="37"/>
        <v>, v, [v], [v], [v]</v>
      </c>
      <c r="I774" s="2" t="str">
        <f>IF(Return!C774=0,REPLACE(INDEX(H:H,ROW()+Return!B774,),1,2,Return!E774&amp;"(")&amp;")","")</f>
        <v/>
      </c>
      <c r="M774" s="1"/>
    </row>
    <row r="775" spans="1:13" x14ac:dyDescent="0.55000000000000004">
      <c r="A775" s="1" t="s">
        <v>1696</v>
      </c>
      <c r="C775" s="2">
        <f>Return!C775</f>
        <v>0</v>
      </c>
      <c r="D775" s="2">
        <f>COUNTA(Argument!E775)</f>
        <v>0</v>
      </c>
      <c r="E775" s="2" t="str">
        <f>IF(C775,Return!D775,Return!E775)</f>
        <v>v</v>
      </c>
      <c r="F775" s="2" t="str">
        <f t="shared" si="36"/>
        <v/>
      </c>
      <c r="G775" s="2" t="str">
        <f t="shared" si="38"/>
        <v/>
      </c>
      <c r="H775" s="2" t="str">
        <f t="shared" si="37"/>
        <v/>
      </c>
      <c r="I775" s="2" t="str">
        <f>IF(Return!C775=0,REPLACE(INDEX(H:H,ROW()+Return!B775,),1,2,Return!E775&amp;"(")&amp;")","")</f>
        <v>v(v)</v>
      </c>
      <c r="M775" s="1"/>
    </row>
    <row r="776" spans="1:13" x14ac:dyDescent="0.55000000000000004">
      <c r="A776" s="1" t="s">
        <v>1696</v>
      </c>
      <c r="B776" t="s">
        <v>1312</v>
      </c>
      <c r="C776" s="2">
        <f>Return!C776</f>
        <v>1</v>
      </c>
      <c r="D776" s="2">
        <f>COUNTA(Argument!E776)</f>
        <v>1</v>
      </c>
      <c r="E776" s="2" t="str">
        <f>IF(C776,Return!D776,Return!E776)</f>
        <v>v</v>
      </c>
      <c r="F776" s="2" t="str">
        <f t="shared" si="36"/>
        <v>v</v>
      </c>
      <c r="G776" s="2" t="str">
        <f t="shared" si="38"/>
        <v>v</v>
      </c>
      <c r="H776" s="2" t="str">
        <f t="shared" si="37"/>
        <v>, v</v>
      </c>
      <c r="I776" s="2" t="str">
        <f>IF(Return!C776=0,REPLACE(INDEX(H:H,ROW()+Return!B776,),1,2,Return!E776&amp;"(")&amp;")","")</f>
        <v/>
      </c>
      <c r="M776" s="1"/>
    </row>
    <row r="777" spans="1:13" x14ac:dyDescent="0.55000000000000004">
      <c r="A777" s="1" t="s">
        <v>1484</v>
      </c>
      <c r="C777" s="2">
        <f>Return!C777</f>
        <v>0</v>
      </c>
      <c r="D777" s="2">
        <f>COUNTA(Argument!E777)</f>
        <v>1</v>
      </c>
      <c r="E777" s="2" t="str">
        <f>IF(C777,Return!D777,Return!E777)</f>
        <v>v</v>
      </c>
      <c r="F777" s="2" t="str">
        <f t="shared" si="36"/>
        <v/>
      </c>
      <c r="G777" s="2" t="str">
        <f t="shared" si="38"/>
        <v/>
      </c>
      <c r="H777" s="2" t="str">
        <f t="shared" si="37"/>
        <v/>
      </c>
      <c r="I777" s="2" t="str">
        <f>IF(Return!C777=0,REPLACE(INDEX(H:H,ROW()+Return!B777,),1,2,Return!E777&amp;"(")&amp;")","")</f>
        <v>v()</v>
      </c>
      <c r="M777" s="1"/>
    </row>
    <row r="778" spans="1:13" x14ac:dyDescent="0.55000000000000004">
      <c r="A778" s="1" t="s">
        <v>1697</v>
      </c>
      <c r="C778" s="2">
        <f>Return!C778</f>
        <v>0</v>
      </c>
      <c r="D778" s="2">
        <f>COUNTA(Argument!E778)</f>
        <v>0</v>
      </c>
      <c r="E778" s="2" t="str">
        <f>IF(C778,Return!D778,Return!E778)</f>
        <v>va</v>
      </c>
      <c r="F778" s="2" t="str">
        <f t="shared" si="36"/>
        <v/>
      </c>
      <c r="G778" s="2" t="str">
        <f t="shared" si="38"/>
        <v/>
      </c>
      <c r="H778" s="2" t="str">
        <f t="shared" si="37"/>
        <v/>
      </c>
      <c r="I778" s="2" t="str">
        <f>IF(Return!C778=0,REPLACE(INDEX(H:H,ROW()+Return!B778,),1,2,Return!E778&amp;"(")&amp;")","")</f>
        <v>va(v, [v], [v], [v], [v])</v>
      </c>
      <c r="M778" s="1"/>
    </row>
    <row r="779" spans="1:13" x14ac:dyDescent="0.55000000000000004">
      <c r="A779" s="1" t="s">
        <v>1697</v>
      </c>
      <c r="B779" t="s">
        <v>1921</v>
      </c>
      <c r="C779" s="2">
        <f>Return!C779</f>
        <v>1</v>
      </c>
      <c r="D779" s="2">
        <f>COUNTA(Argument!E779)</f>
        <v>1</v>
      </c>
      <c r="E779" s="2" t="str">
        <f>IF(C779,Return!D779,Return!E779)</f>
        <v>v</v>
      </c>
      <c r="F779" s="2" t="str">
        <f t="shared" si="36"/>
        <v>v</v>
      </c>
      <c r="G779" s="2" t="str">
        <f t="shared" si="38"/>
        <v>v</v>
      </c>
      <c r="H779" s="2" t="str">
        <f t="shared" si="37"/>
        <v>, v</v>
      </c>
      <c r="I779" s="2" t="str">
        <f>IF(Return!C779=0,REPLACE(INDEX(H:H,ROW()+Return!B779,),1,2,Return!E779&amp;"(")&amp;")","")</f>
        <v/>
      </c>
      <c r="M779" s="1"/>
    </row>
    <row r="780" spans="1:13" x14ac:dyDescent="0.55000000000000004">
      <c r="A780" s="1" t="s">
        <v>1697</v>
      </c>
      <c r="B780" t="s">
        <v>1978</v>
      </c>
      <c r="C780" s="2">
        <f>Return!C780</f>
        <v>2</v>
      </c>
      <c r="D780" s="2">
        <f>COUNTA(Argument!E780)</f>
        <v>1</v>
      </c>
      <c r="E780" s="2" t="str">
        <f>IF(C780,Return!D780,Return!E780)</f>
        <v>v</v>
      </c>
      <c r="F780" s="2" t="str">
        <f t="shared" si="36"/>
        <v>[v]</v>
      </c>
      <c r="G780" s="2" t="str">
        <f t="shared" si="38"/>
        <v>[v]</v>
      </c>
      <c r="H780" s="2" t="str">
        <f t="shared" si="37"/>
        <v>, v, [v]</v>
      </c>
      <c r="I780" s="2" t="str">
        <f>IF(Return!C780=0,REPLACE(INDEX(H:H,ROW()+Return!B780,),1,2,Return!E780&amp;"(")&amp;")","")</f>
        <v/>
      </c>
      <c r="M780" s="1"/>
    </row>
    <row r="781" spans="1:13" x14ac:dyDescent="0.55000000000000004">
      <c r="A781" s="1" t="s">
        <v>1697</v>
      </c>
      <c r="B781" t="s">
        <v>1235</v>
      </c>
      <c r="C781" s="2">
        <f>Return!C781</f>
        <v>3</v>
      </c>
      <c r="D781" s="2">
        <f>COUNTA(Argument!E781)</f>
        <v>1</v>
      </c>
      <c r="E781" s="2" t="str">
        <f>IF(C781,Return!D781,Return!E781)</f>
        <v>v</v>
      </c>
      <c r="F781" s="2" t="str">
        <f t="shared" si="36"/>
        <v>[v]</v>
      </c>
      <c r="G781" s="2" t="str">
        <f t="shared" si="38"/>
        <v>[v]</v>
      </c>
      <c r="H781" s="2" t="str">
        <f t="shared" si="37"/>
        <v>, v, [v], [v]</v>
      </c>
      <c r="I781" s="2" t="str">
        <f>IF(Return!C781=0,REPLACE(INDEX(H:H,ROW()+Return!B781,),1,2,Return!E781&amp;"(")&amp;")","")</f>
        <v/>
      </c>
      <c r="M781" s="1"/>
    </row>
    <row r="782" spans="1:13" x14ac:dyDescent="0.55000000000000004">
      <c r="A782" s="1" t="s">
        <v>1697</v>
      </c>
      <c r="B782" t="s">
        <v>1979</v>
      </c>
      <c r="C782" s="2">
        <f>Return!C782</f>
        <v>4</v>
      </c>
      <c r="D782" s="2">
        <f>COUNTA(Argument!E782)</f>
        <v>1</v>
      </c>
      <c r="E782" s="2" t="str">
        <f>IF(C782,Return!D782,Return!E782)</f>
        <v>v</v>
      </c>
      <c r="F782" s="2" t="str">
        <f t="shared" si="36"/>
        <v>[v]</v>
      </c>
      <c r="G782" s="2" t="str">
        <f t="shared" si="38"/>
        <v>[v]</v>
      </c>
      <c r="H782" s="2" t="str">
        <f t="shared" si="37"/>
        <v>, v, [v], [v], [v]</v>
      </c>
      <c r="I782" s="2" t="str">
        <f>IF(Return!C782=0,REPLACE(INDEX(H:H,ROW()+Return!B782,),1,2,Return!E782&amp;"(")&amp;")","")</f>
        <v/>
      </c>
      <c r="M782" s="1"/>
    </row>
    <row r="783" spans="1:13" x14ac:dyDescent="0.55000000000000004">
      <c r="A783" s="1" t="s">
        <v>1697</v>
      </c>
      <c r="B783" t="s">
        <v>2027</v>
      </c>
      <c r="C783" s="2">
        <f>Return!C783</f>
        <v>5</v>
      </c>
      <c r="D783" s="2">
        <f>COUNTA(Argument!E783)</f>
        <v>1</v>
      </c>
      <c r="E783" s="2" t="str">
        <f>IF(C783,Return!D783,Return!E783)</f>
        <v>v</v>
      </c>
      <c r="F783" s="2" t="str">
        <f t="shared" si="36"/>
        <v>[v]</v>
      </c>
      <c r="G783" s="2" t="str">
        <f t="shared" si="38"/>
        <v>[v]</v>
      </c>
      <c r="H783" s="2" t="str">
        <f t="shared" si="37"/>
        <v>, v, [v], [v], [v], [v]</v>
      </c>
      <c r="I783" s="2" t="str">
        <f>IF(Return!C783=0,REPLACE(INDEX(H:H,ROW()+Return!B783,),1,2,Return!E783&amp;"(")&amp;")","")</f>
        <v/>
      </c>
      <c r="M783" s="1"/>
    </row>
    <row r="784" spans="1:13" x14ac:dyDescent="0.55000000000000004">
      <c r="A784" s="1" t="s">
        <v>1698</v>
      </c>
      <c r="C784" s="2">
        <f>Return!C784</f>
        <v>0</v>
      </c>
      <c r="D784" s="2">
        <f>COUNTA(Argument!E784)</f>
        <v>0</v>
      </c>
      <c r="E784" s="2" t="str">
        <f>IF(C784,Return!D784,Return!E784)</f>
        <v>v</v>
      </c>
      <c r="F784" s="2" t="str">
        <f t="shared" si="36"/>
        <v/>
      </c>
      <c r="G784" s="2" t="str">
        <f t="shared" si="38"/>
        <v/>
      </c>
      <c r="H784" s="2" t="str">
        <f t="shared" si="37"/>
        <v/>
      </c>
      <c r="I784" s="2" t="str">
        <f>IF(Return!C784=0,REPLACE(INDEX(H:H,ROW()+Return!B784,),1,2,Return!E784&amp;"(")&amp;")","")</f>
        <v>v(v, v, v, v, [v])</v>
      </c>
      <c r="M784" s="1"/>
    </row>
    <row r="785" spans="1:13" x14ac:dyDescent="0.55000000000000004">
      <c r="A785" s="1" t="s">
        <v>1698</v>
      </c>
      <c r="B785" t="s">
        <v>1290</v>
      </c>
      <c r="C785" s="2">
        <f>Return!C785</f>
        <v>1</v>
      </c>
      <c r="D785" s="2">
        <f>COUNTA(Argument!E785)</f>
        <v>0</v>
      </c>
      <c r="E785" s="2" t="str">
        <f>IF(C785,Return!D785,Return!E785)</f>
        <v>v</v>
      </c>
      <c r="F785" s="2" t="str">
        <f t="shared" si="36"/>
        <v>v</v>
      </c>
      <c r="G785" s="2" t="str">
        <f t="shared" si="38"/>
        <v>v</v>
      </c>
      <c r="H785" s="2" t="str">
        <f t="shared" si="37"/>
        <v>, v</v>
      </c>
      <c r="I785" s="2" t="str">
        <f>IF(Return!C785=0,REPLACE(INDEX(H:H,ROW()+Return!B785,),1,2,Return!E785&amp;"(")&amp;")","")</f>
        <v/>
      </c>
      <c r="M785" s="1"/>
    </row>
    <row r="786" spans="1:13" x14ac:dyDescent="0.55000000000000004">
      <c r="A786" s="1" t="s">
        <v>1698</v>
      </c>
      <c r="B786" t="s">
        <v>1291</v>
      </c>
      <c r="C786" s="2">
        <f>Return!C786</f>
        <v>2</v>
      </c>
      <c r="D786" s="2">
        <f>COUNTA(Argument!E786)</f>
        <v>0</v>
      </c>
      <c r="E786" s="2" t="str">
        <f>IF(C786,Return!D786,Return!E786)</f>
        <v>v</v>
      </c>
      <c r="F786" s="2" t="str">
        <f t="shared" si="36"/>
        <v>v</v>
      </c>
      <c r="G786" s="2" t="str">
        <f t="shared" si="38"/>
        <v>v</v>
      </c>
      <c r="H786" s="2" t="str">
        <f t="shared" si="37"/>
        <v>, v, v</v>
      </c>
      <c r="I786" s="2" t="str">
        <f>IF(Return!C786=0,REPLACE(INDEX(H:H,ROW()+Return!B786,),1,2,Return!E786&amp;"(")&amp;")","")</f>
        <v/>
      </c>
      <c r="M786" s="1"/>
    </row>
    <row r="787" spans="1:13" x14ac:dyDescent="0.55000000000000004">
      <c r="A787" s="1" t="s">
        <v>1698</v>
      </c>
      <c r="B787" t="s">
        <v>1292</v>
      </c>
      <c r="C787" s="2">
        <f>Return!C787</f>
        <v>3</v>
      </c>
      <c r="D787" s="2">
        <f>COUNTA(Argument!E787)</f>
        <v>0</v>
      </c>
      <c r="E787" s="2" t="str">
        <f>IF(C787,Return!D787,Return!E787)</f>
        <v>v</v>
      </c>
      <c r="F787" s="2" t="str">
        <f t="shared" si="36"/>
        <v>v</v>
      </c>
      <c r="G787" s="2" t="str">
        <f t="shared" si="38"/>
        <v>v</v>
      </c>
      <c r="H787" s="2" t="str">
        <f t="shared" si="37"/>
        <v>, v, v, v</v>
      </c>
      <c r="I787" s="2" t="str">
        <f>IF(Return!C787=0,REPLACE(INDEX(H:H,ROW()+Return!B787,),1,2,Return!E787&amp;"(")&amp;")","")</f>
        <v/>
      </c>
      <c r="M787" s="1"/>
    </row>
    <row r="788" spans="1:13" x14ac:dyDescent="0.55000000000000004">
      <c r="A788" s="1" t="s">
        <v>1698</v>
      </c>
      <c r="B788" t="s">
        <v>1294</v>
      </c>
      <c r="C788" s="2">
        <f>Return!C788</f>
        <v>4</v>
      </c>
      <c r="D788" s="2">
        <f>COUNTA(Argument!E788)</f>
        <v>1</v>
      </c>
      <c r="E788" s="2" t="str">
        <f>IF(C788,Return!D788,Return!E788)</f>
        <v>v</v>
      </c>
      <c r="F788" s="2" t="str">
        <f t="shared" si="36"/>
        <v>v</v>
      </c>
      <c r="G788" s="2" t="str">
        <f t="shared" si="38"/>
        <v>v</v>
      </c>
      <c r="H788" s="2" t="str">
        <f t="shared" si="37"/>
        <v>, v, v, v, v</v>
      </c>
      <c r="I788" s="2" t="str">
        <f>IF(Return!C788=0,REPLACE(INDEX(H:H,ROW()+Return!B788,),1,2,Return!E788&amp;"(")&amp;")","")</f>
        <v/>
      </c>
      <c r="M788" s="1"/>
    </row>
    <row r="789" spans="1:13" x14ac:dyDescent="0.55000000000000004">
      <c r="A789" s="1" t="s">
        <v>1698</v>
      </c>
      <c r="B789" t="s">
        <v>1261</v>
      </c>
      <c r="C789" s="2">
        <f>Return!C789</f>
        <v>5</v>
      </c>
      <c r="D789" s="2">
        <f>COUNTA(Argument!E789)</f>
        <v>1</v>
      </c>
      <c r="E789" s="2" t="str">
        <f>IF(C789,Return!D789,Return!E789)</f>
        <v>v</v>
      </c>
      <c r="F789" s="2" t="str">
        <f t="shared" si="36"/>
        <v>[v]</v>
      </c>
      <c r="G789" s="2" t="str">
        <f t="shared" si="38"/>
        <v>[v]</v>
      </c>
      <c r="H789" s="2" t="str">
        <f t="shared" si="37"/>
        <v>, v, v, v, v, [v]</v>
      </c>
      <c r="I789" s="2" t="str">
        <f>IF(Return!C789=0,REPLACE(INDEX(H:H,ROW()+Return!B789,),1,2,Return!E789&amp;"(")&amp;")","")</f>
        <v/>
      </c>
      <c r="M789" s="1"/>
    </row>
    <row r="790" spans="1:13" x14ac:dyDescent="0.55000000000000004">
      <c r="A790" s="1" t="s">
        <v>1699</v>
      </c>
      <c r="C790" s="2">
        <f>Return!C790</f>
        <v>0</v>
      </c>
      <c r="D790" s="2">
        <f>COUNTA(Argument!E790)</f>
        <v>1</v>
      </c>
      <c r="E790" s="2" t="str">
        <f>IF(C790,Return!D790,Return!E790)</f>
        <v>v</v>
      </c>
      <c r="F790" s="2" t="str">
        <f t="shared" si="36"/>
        <v/>
      </c>
      <c r="G790" s="2" t="str">
        <f t="shared" si="38"/>
        <v/>
      </c>
      <c r="H790" s="2" t="str">
        <f t="shared" si="37"/>
        <v/>
      </c>
      <c r="I790" s="2" t="str">
        <f>IF(Return!C790=0,REPLACE(INDEX(H:H,ROW()+Return!B790,),1,2,Return!E790&amp;"(")&amp;")","")</f>
        <v>v([v])</v>
      </c>
      <c r="M790" s="1"/>
    </row>
    <row r="791" spans="1:13" x14ac:dyDescent="0.55000000000000004">
      <c r="A791" s="1" t="s">
        <v>1699</v>
      </c>
      <c r="B791" t="s">
        <v>2028</v>
      </c>
      <c r="C791" s="2">
        <f>Return!C791</f>
        <v>1</v>
      </c>
      <c r="D791" s="2">
        <f>COUNTA(Argument!E791)</f>
        <v>1</v>
      </c>
      <c r="E791" s="2" t="str">
        <f>IF(C791,Return!D791,Return!E791)</f>
        <v>v</v>
      </c>
      <c r="F791" s="2" t="str">
        <f t="shared" si="36"/>
        <v>[v]</v>
      </c>
      <c r="G791" s="2" t="str">
        <f t="shared" si="38"/>
        <v>[v]</v>
      </c>
      <c r="H791" s="2" t="str">
        <f t="shared" si="37"/>
        <v>, [v]</v>
      </c>
      <c r="I791" s="2" t="str">
        <f>IF(Return!C791=0,REPLACE(INDEX(H:H,ROW()+Return!B791,),1,2,Return!E791&amp;"(")&amp;")","")</f>
        <v/>
      </c>
      <c r="M791" s="1"/>
    </row>
    <row r="792" spans="1:13" x14ac:dyDescent="0.55000000000000004">
      <c r="A792" s="1" t="s">
        <v>1700</v>
      </c>
      <c r="C792" s="2">
        <f>Return!C792</f>
        <v>0</v>
      </c>
      <c r="D792" s="2">
        <f>COUNTA(Argument!E792)</f>
        <v>1</v>
      </c>
      <c r="E792" s="2" t="str">
        <f>IF(C792,Return!D792,Return!E792)</f>
        <v>v</v>
      </c>
      <c r="F792" s="2" t="str">
        <f t="shared" si="36"/>
        <v/>
      </c>
      <c r="G792" s="2" t="str">
        <f t="shared" si="38"/>
        <v/>
      </c>
      <c r="H792" s="2" t="str">
        <f t="shared" si="37"/>
        <v/>
      </c>
      <c r="I792" s="2" t="str">
        <f>IF(Return!C792=0,REPLACE(INDEX(H:H,ROW()+Return!B792,),1,2,Return!E792&amp;"(")&amp;")","")</f>
        <v>v([v])</v>
      </c>
      <c r="M792" s="1"/>
    </row>
    <row r="793" spans="1:13" x14ac:dyDescent="0.55000000000000004">
      <c r="A793" s="1" t="s">
        <v>1700</v>
      </c>
      <c r="B793" t="s">
        <v>1921</v>
      </c>
      <c r="C793" s="2">
        <f>Return!C793</f>
        <v>1</v>
      </c>
      <c r="D793" s="2">
        <f>COUNTA(Argument!E793)</f>
        <v>1</v>
      </c>
      <c r="E793" s="2" t="str">
        <f>IF(C793,Return!D793,Return!E793)</f>
        <v>v</v>
      </c>
      <c r="F793" s="2" t="str">
        <f t="shared" si="36"/>
        <v>[v]</v>
      </c>
      <c r="G793" s="2" t="str">
        <f t="shared" si="38"/>
        <v>[v]</v>
      </c>
      <c r="H793" s="2" t="str">
        <f t="shared" si="37"/>
        <v>, [v]</v>
      </c>
      <c r="I793" s="2" t="str">
        <f>IF(Return!C793=0,REPLACE(INDEX(H:H,ROW()+Return!B793,),1,2,Return!E793&amp;"(")&amp;")","")</f>
        <v/>
      </c>
      <c r="M793" s="1"/>
    </row>
    <row r="794" spans="1:13" x14ac:dyDescent="0.55000000000000004">
      <c r="A794" s="1" t="s">
        <v>1701</v>
      </c>
      <c r="C794" s="2">
        <f>Return!C794</f>
        <v>0</v>
      </c>
      <c r="D794" s="2">
        <f>COUNTA(Argument!E794)</f>
        <v>0</v>
      </c>
      <c r="E794" s="2" t="str">
        <f>IF(C794,Return!D794,Return!E794)</f>
        <v>a</v>
      </c>
      <c r="F794" s="2" t="str">
        <f t="shared" si="36"/>
        <v/>
      </c>
      <c r="G794" s="2" t="str">
        <f t="shared" si="38"/>
        <v/>
      </c>
      <c r="H794" s="2" t="str">
        <f t="shared" si="37"/>
        <v/>
      </c>
      <c r="I794" s="2" t="str">
        <f>IF(Return!C794=0,REPLACE(INDEX(H:H,ROW()+Return!B794,),1,2,Return!E794&amp;"(")&amp;")","")</f>
        <v>a(ar, ar)</v>
      </c>
      <c r="M794" s="1"/>
    </row>
    <row r="795" spans="1:13" x14ac:dyDescent="0.55000000000000004">
      <c r="A795" s="1" t="s">
        <v>1701</v>
      </c>
      <c r="B795" t="s">
        <v>1313</v>
      </c>
      <c r="C795" s="2">
        <f>Return!C795</f>
        <v>1</v>
      </c>
      <c r="D795" s="2">
        <f>COUNTA(Argument!E795)</f>
        <v>0</v>
      </c>
      <c r="E795" s="2" t="str">
        <f>IF(C795,Return!D795,Return!E795)</f>
        <v>ar</v>
      </c>
      <c r="F795" s="2" t="str">
        <f t="shared" si="36"/>
        <v>ar</v>
      </c>
      <c r="G795" s="2" t="str">
        <f t="shared" si="38"/>
        <v>ar</v>
      </c>
      <c r="H795" s="2" t="str">
        <f t="shared" si="37"/>
        <v>, ar</v>
      </c>
      <c r="I795" s="2" t="str">
        <f>IF(Return!C795=0,REPLACE(INDEX(H:H,ROW()+Return!B795,),1,2,Return!E795&amp;"(")&amp;")","")</f>
        <v/>
      </c>
      <c r="M795" s="1"/>
    </row>
    <row r="796" spans="1:13" x14ac:dyDescent="0.55000000000000004">
      <c r="A796" s="1" t="s">
        <v>1701</v>
      </c>
      <c r="B796" t="s">
        <v>1314</v>
      </c>
      <c r="C796" s="2">
        <f>Return!C796</f>
        <v>2</v>
      </c>
      <c r="D796" s="2">
        <f>COUNTA(Argument!E796)</f>
        <v>1</v>
      </c>
      <c r="E796" s="2" t="str">
        <f>IF(C796,Return!D796,Return!E796)</f>
        <v>ar</v>
      </c>
      <c r="F796" s="2" t="str">
        <f t="shared" si="36"/>
        <v>ar</v>
      </c>
      <c r="G796" s="2" t="str">
        <f t="shared" si="38"/>
        <v>ar</v>
      </c>
      <c r="H796" s="2" t="str">
        <f t="shared" si="37"/>
        <v>, ar, ar</v>
      </c>
      <c r="I796" s="2" t="str">
        <f>IF(Return!C796=0,REPLACE(INDEX(H:H,ROW()+Return!B796,),1,2,Return!E796&amp;"(")&amp;")","")</f>
        <v/>
      </c>
      <c r="M796" s="1"/>
    </row>
    <row r="797" spans="1:13" x14ac:dyDescent="0.55000000000000004">
      <c r="A797" s="1" t="s">
        <v>1702</v>
      </c>
      <c r="C797" s="2">
        <f>Return!C797</f>
        <v>0</v>
      </c>
      <c r="D797" s="2">
        <f>COUNTA(Argument!E797)</f>
        <v>1</v>
      </c>
      <c r="E797" s="2" t="str">
        <f>IF(C797,Return!D797,Return!E797)</f>
        <v>v</v>
      </c>
      <c r="F797" s="2" t="str">
        <f t="shared" si="36"/>
        <v/>
      </c>
      <c r="G797" s="2" t="str">
        <f t="shared" si="38"/>
        <v/>
      </c>
      <c r="H797" s="2" t="str">
        <f t="shared" si="37"/>
        <v/>
      </c>
      <c r="I797" s="2" t="str">
        <f>IF(Return!C797=0,REPLACE(INDEX(H:H,ROW()+Return!B797,),1,2,Return!E797&amp;"(")&amp;")","")</f>
        <v>v([v], [a])</v>
      </c>
      <c r="M797" s="1"/>
    </row>
    <row r="798" spans="1:13" x14ac:dyDescent="0.55000000000000004">
      <c r="A798" s="1" t="s">
        <v>1702</v>
      </c>
      <c r="B798" t="s">
        <v>1980</v>
      </c>
      <c r="C798" s="2">
        <f>Return!C798</f>
        <v>1</v>
      </c>
      <c r="D798" s="2">
        <f>COUNTA(Argument!E798)</f>
        <v>1</v>
      </c>
      <c r="E798" s="2" t="str">
        <f>IF(C798,Return!D798,Return!E798)</f>
        <v>v</v>
      </c>
      <c r="F798" s="2" t="str">
        <f t="shared" si="36"/>
        <v>[v]</v>
      </c>
      <c r="G798" s="2" t="str">
        <f t="shared" si="38"/>
        <v>[v]</v>
      </c>
      <c r="H798" s="2" t="str">
        <f t="shared" si="37"/>
        <v>, [v]</v>
      </c>
      <c r="I798" s="2" t="str">
        <f>IF(Return!C798=0,REPLACE(INDEX(H:H,ROW()+Return!B798,),1,2,Return!E798&amp;"(")&amp;")","")</f>
        <v/>
      </c>
      <c r="M798" s="1"/>
    </row>
    <row r="799" spans="1:13" x14ac:dyDescent="0.55000000000000004">
      <c r="A799" s="1" t="s">
        <v>1702</v>
      </c>
      <c r="B799" t="s">
        <v>2029</v>
      </c>
      <c r="C799" s="2">
        <f>Return!C799</f>
        <v>2</v>
      </c>
      <c r="D799" s="2">
        <f>COUNTA(Argument!E799)</f>
        <v>1</v>
      </c>
      <c r="E799" s="2" t="str">
        <f>IF(C799,Return!D799,Return!E799)</f>
        <v>a</v>
      </c>
      <c r="F799" s="2" t="str">
        <f t="shared" si="36"/>
        <v>[a]</v>
      </c>
      <c r="G799" s="2" t="str">
        <f t="shared" si="38"/>
        <v>[a]</v>
      </c>
      <c r="H799" s="2" t="str">
        <f t="shared" si="37"/>
        <v>, [v], [a]</v>
      </c>
      <c r="I799" s="2" t="str">
        <f>IF(Return!C799=0,REPLACE(INDEX(H:H,ROW()+Return!B799,),1,2,Return!E799&amp;"(")&amp;")","")</f>
        <v/>
      </c>
      <c r="M799" s="1"/>
    </row>
    <row r="800" spans="1:13" x14ac:dyDescent="0.55000000000000004">
      <c r="A800" s="1" t="s">
        <v>1703</v>
      </c>
      <c r="C800" s="2">
        <f>Return!C800</f>
        <v>0</v>
      </c>
      <c r="D800" s="2">
        <f>COUNTA(Argument!E800)</f>
        <v>0</v>
      </c>
      <c r="E800" s="2" t="str">
        <f>IF(C800,Return!D800,Return!E800)</f>
        <v>v</v>
      </c>
      <c r="F800" s="2" t="str">
        <f t="shared" si="36"/>
        <v/>
      </c>
      <c r="G800" s="2" t="str">
        <f t="shared" si="38"/>
        <v/>
      </c>
      <c r="H800" s="2" t="str">
        <f t="shared" si="37"/>
        <v/>
      </c>
      <c r="I800" s="2" t="str">
        <f>IF(Return!C800=0,REPLACE(INDEX(H:H,ROW()+Return!B800,),1,2,Return!E800&amp;"(")&amp;")","")</f>
        <v>v(v)</v>
      </c>
      <c r="M800" s="1"/>
    </row>
    <row r="801" spans="1:13" x14ac:dyDescent="0.55000000000000004">
      <c r="A801" s="1" t="s">
        <v>1703</v>
      </c>
      <c r="B801" t="s">
        <v>1980</v>
      </c>
      <c r="C801" s="2">
        <f>Return!C801</f>
        <v>1</v>
      </c>
      <c r="D801" s="2">
        <f>COUNTA(Argument!E801)</f>
        <v>1</v>
      </c>
      <c r="E801" s="2" t="str">
        <f>IF(C801,Return!D801,Return!E801)</f>
        <v>v</v>
      </c>
      <c r="F801" s="2" t="str">
        <f t="shared" si="36"/>
        <v>v</v>
      </c>
      <c r="G801" s="2" t="str">
        <f t="shared" si="38"/>
        <v>v</v>
      </c>
      <c r="H801" s="2" t="str">
        <f t="shared" si="37"/>
        <v>, v</v>
      </c>
      <c r="I801" s="2" t="str">
        <f>IF(Return!C801=0,REPLACE(INDEX(H:H,ROW()+Return!B801,),1,2,Return!E801&amp;"(")&amp;")","")</f>
        <v/>
      </c>
      <c r="M801" s="1"/>
    </row>
    <row r="802" spans="1:13" x14ac:dyDescent="0.55000000000000004">
      <c r="A802" s="1" t="s">
        <v>1704</v>
      </c>
      <c r="C802" s="2">
        <f>Return!C802</f>
        <v>0</v>
      </c>
      <c r="D802" s="2">
        <f>COUNTA(Argument!E802)</f>
        <v>0</v>
      </c>
      <c r="E802" s="2" t="str">
        <f>IF(C802,Return!D802,Return!E802)</f>
        <v>v</v>
      </c>
      <c r="F802" s="2" t="str">
        <f t="shared" si="36"/>
        <v/>
      </c>
      <c r="G802" s="2" t="str">
        <f t="shared" si="38"/>
        <v/>
      </c>
      <c r="H802" s="2" t="str">
        <f t="shared" si="37"/>
        <v/>
      </c>
      <c r="I802" s="2" t="str">
        <f>IF(Return!C802=0,REPLACE(INDEX(H:H,ROW()+Return!B802,),1,2,Return!E802&amp;"(")&amp;")","")</f>
        <v>v(v)</v>
      </c>
      <c r="M802" s="1"/>
    </row>
    <row r="803" spans="1:13" x14ac:dyDescent="0.55000000000000004">
      <c r="A803" s="1" t="s">
        <v>1704</v>
      </c>
      <c r="B803" t="s">
        <v>1981</v>
      </c>
      <c r="C803" s="2">
        <f>Return!C803</f>
        <v>1</v>
      </c>
      <c r="D803" s="2">
        <f>COUNTA(Argument!E803)</f>
        <v>1</v>
      </c>
      <c r="E803" s="2" t="str">
        <f>IF(C803,Return!D803,Return!E803)</f>
        <v>v</v>
      </c>
      <c r="F803" s="2" t="str">
        <f t="shared" si="36"/>
        <v>v</v>
      </c>
      <c r="G803" s="2" t="str">
        <f t="shared" si="38"/>
        <v>v</v>
      </c>
      <c r="H803" s="2" t="str">
        <f t="shared" si="37"/>
        <v>, v</v>
      </c>
      <c r="I803" s="2" t="str">
        <f>IF(Return!C803=0,REPLACE(INDEX(H:H,ROW()+Return!B803,),1,2,Return!E803&amp;"(")&amp;")","")</f>
        <v/>
      </c>
      <c r="M803" s="1"/>
    </row>
    <row r="804" spans="1:13" x14ac:dyDescent="0.55000000000000004">
      <c r="A804" s="1" t="s">
        <v>1705</v>
      </c>
      <c r="C804" s="2">
        <f>Return!C804</f>
        <v>0</v>
      </c>
      <c r="D804" s="2">
        <f>COUNTA(Argument!E804)</f>
        <v>0</v>
      </c>
      <c r="E804" s="2" t="str">
        <f>IF(C804,Return!D804,Return!E804)</f>
        <v>var</v>
      </c>
      <c r="F804" s="2" t="str">
        <f t="shared" si="36"/>
        <v/>
      </c>
      <c r="G804" s="2" t="str">
        <f t="shared" si="38"/>
        <v/>
      </c>
      <c r="H804" s="2" t="str">
        <f t="shared" si="37"/>
        <v/>
      </c>
      <c r="I804" s="2" t="str">
        <f>IF(Return!C804=0,REPLACE(INDEX(H:H,ROW()+Return!B804,),1,2,Return!E804&amp;"(")&amp;")","")</f>
        <v>var(v)</v>
      </c>
      <c r="M804" s="1"/>
    </row>
    <row r="805" spans="1:13" x14ac:dyDescent="0.55000000000000004">
      <c r="A805" s="1" t="s">
        <v>1705</v>
      </c>
      <c r="B805" t="s">
        <v>1972</v>
      </c>
      <c r="C805" s="2">
        <f>Return!C805</f>
        <v>1</v>
      </c>
      <c r="D805" s="2">
        <f>COUNTA(Argument!E805)</f>
        <v>1</v>
      </c>
      <c r="E805" s="2" t="str">
        <f>IF(C805,Return!D805,Return!E805)</f>
        <v>v</v>
      </c>
      <c r="F805" s="2" t="str">
        <f t="shared" si="36"/>
        <v>v</v>
      </c>
      <c r="G805" s="2" t="str">
        <f t="shared" si="38"/>
        <v>v</v>
      </c>
      <c r="H805" s="2" t="str">
        <f t="shared" si="37"/>
        <v>, v</v>
      </c>
      <c r="I805" s="2" t="str">
        <f>IF(Return!C805=0,REPLACE(INDEX(H:H,ROW()+Return!B805,),1,2,Return!E805&amp;"(")&amp;")","")</f>
        <v/>
      </c>
      <c r="M805" s="1"/>
    </row>
    <row r="806" spans="1:13" x14ac:dyDescent="0.55000000000000004">
      <c r="A806" s="1" t="s">
        <v>1706</v>
      </c>
      <c r="C806" s="2">
        <f>Return!C806</f>
        <v>0</v>
      </c>
      <c r="D806" s="2">
        <f>COUNTA(Argument!E806)</f>
        <v>0</v>
      </c>
      <c r="E806" s="2" t="str">
        <f>IF(C806,Return!D806,Return!E806)</f>
        <v>va</v>
      </c>
      <c r="F806" s="2" t="str">
        <f t="shared" si="36"/>
        <v/>
      </c>
      <c r="G806" s="2" t="str">
        <f t="shared" si="38"/>
        <v/>
      </c>
      <c r="H806" s="2" t="str">
        <f t="shared" si="37"/>
        <v/>
      </c>
      <c r="I806" s="2" t="str">
        <f>IF(Return!C806=0,REPLACE(INDEX(H:H,ROW()+Return!B806,),1,2,Return!E806&amp;"(")&amp;")","")</f>
        <v>va(v, [v])</v>
      </c>
      <c r="M806" s="1"/>
    </row>
    <row r="807" spans="1:13" x14ac:dyDescent="0.55000000000000004">
      <c r="A807" s="1" t="s">
        <v>1706</v>
      </c>
      <c r="B807" t="s">
        <v>1921</v>
      </c>
      <c r="C807" s="2">
        <f>Return!C807</f>
        <v>1</v>
      </c>
      <c r="D807" s="2">
        <f>COUNTA(Argument!E807)</f>
        <v>1</v>
      </c>
      <c r="E807" s="2" t="str">
        <f>IF(C807,Return!D807,Return!E807)</f>
        <v>v</v>
      </c>
      <c r="F807" s="2" t="str">
        <f t="shared" si="36"/>
        <v>v</v>
      </c>
      <c r="G807" s="2" t="str">
        <f t="shared" si="38"/>
        <v>v</v>
      </c>
      <c r="H807" s="2" t="str">
        <f t="shared" si="37"/>
        <v>, v</v>
      </c>
      <c r="I807" s="2" t="str">
        <f>IF(Return!C807=0,REPLACE(INDEX(H:H,ROW()+Return!B807,),1,2,Return!E807&amp;"(")&amp;")","")</f>
        <v/>
      </c>
      <c r="M807" s="1"/>
    </row>
    <row r="808" spans="1:13" x14ac:dyDescent="0.55000000000000004">
      <c r="A808" s="1" t="s">
        <v>1706</v>
      </c>
      <c r="B808" t="s">
        <v>1981</v>
      </c>
      <c r="C808" s="2">
        <f>Return!C808</f>
        <v>2</v>
      </c>
      <c r="D808" s="2">
        <f>COUNTA(Argument!E808)</f>
        <v>1</v>
      </c>
      <c r="E808" s="2" t="str">
        <f>IF(C808,Return!D808,Return!E808)</f>
        <v>v</v>
      </c>
      <c r="F808" s="2" t="str">
        <f t="shared" si="36"/>
        <v>[v]</v>
      </c>
      <c r="G808" s="2" t="str">
        <f t="shared" si="38"/>
        <v>[v]</v>
      </c>
      <c r="H808" s="2" t="str">
        <f t="shared" si="37"/>
        <v>, v, [v]</v>
      </c>
      <c r="I808" s="2" t="str">
        <f>IF(Return!C808=0,REPLACE(INDEX(H:H,ROW()+Return!B808,),1,2,Return!E808&amp;"(")&amp;")","")</f>
        <v/>
      </c>
      <c r="M808" s="1"/>
    </row>
    <row r="809" spans="1:13" x14ac:dyDescent="0.55000000000000004">
      <c r="A809" s="1" t="s">
        <v>1707</v>
      </c>
      <c r="C809" s="2">
        <f>Return!C809</f>
        <v>0</v>
      </c>
      <c r="D809" s="2">
        <f>COUNTA(Argument!E809)</f>
        <v>0</v>
      </c>
      <c r="E809" s="2" t="str">
        <f>IF(C809,Return!D809,Return!E809)</f>
        <v>va</v>
      </c>
      <c r="F809" s="2" t="str">
        <f t="shared" si="36"/>
        <v/>
      </c>
      <c r="G809" s="2" t="str">
        <f t="shared" si="38"/>
        <v/>
      </c>
      <c r="H809" s="2" t="str">
        <f t="shared" si="37"/>
        <v/>
      </c>
      <c r="I809" s="2" t="str">
        <f>IF(Return!C809=0,REPLACE(INDEX(H:H,ROW()+Return!B809,),1,2,Return!E809&amp;"(")&amp;")","")</f>
        <v>va(v, [v], [v])</v>
      </c>
      <c r="M809" s="1"/>
    </row>
    <row r="810" spans="1:13" x14ac:dyDescent="0.55000000000000004">
      <c r="A810" s="1" t="s">
        <v>1707</v>
      </c>
      <c r="B810" t="s">
        <v>1921</v>
      </c>
      <c r="C810" s="2">
        <f>Return!C810</f>
        <v>1</v>
      </c>
      <c r="D810" s="2">
        <f>COUNTA(Argument!E810)</f>
        <v>1</v>
      </c>
      <c r="E810" s="2" t="str">
        <f>IF(C810,Return!D810,Return!E810)</f>
        <v>v</v>
      </c>
      <c r="F810" s="2" t="str">
        <f t="shared" si="36"/>
        <v>v</v>
      </c>
      <c r="G810" s="2" t="str">
        <f t="shared" si="38"/>
        <v>v</v>
      </c>
      <c r="H810" s="2" t="str">
        <f t="shared" si="37"/>
        <v>, v</v>
      </c>
      <c r="I810" s="2" t="str">
        <f>IF(Return!C810=0,REPLACE(INDEX(H:H,ROW()+Return!B810,),1,2,Return!E810&amp;"(")&amp;")","")</f>
        <v/>
      </c>
      <c r="M810" s="1"/>
    </row>
    <row r="811" spans="1:13" x14ac:dyDescent="0.55000000000000004">
      <c r="A811" s="1" t="s">
        <v>1707</v>
      </c>
      <c r="B811" t="s">
        <v>1981</v>
      </c>
      <c r="C811" s="2">
        <f>Return!C811</f>
        <v>2</v>
      </c>
      <c r="D811" s="2">
        <f>COUNTA(Argument!E811)</f>
        <v>1</v>
      </c>
      <c r="E811" s="2" t="str">
        <f>IF(C811,Return!D811,Return!E811)</f>
        <v>v</v>
      </c>
      <c r="F811" s="2" t="str">
        <f t="shared" si="36"/>
        <v>[v]</v>
      </c>
      <c r="G811" s="2" t="str">
        <f t="shared" si="38"/>
        <v>[v]</v>
      </c>
      <c r="H811" s="2" t="str">
        <f t="shared" si="37"/>
        <v>, v, [v]</v>
      </c>
      <c r="I811" s="2" t="str">
        <f>IF(Return!C811=0,REPLACE(INDEX(H:H,ROW()+Return!B811,),1,2,Return!E811&amp;"(")&amp;")","")</f>
        <v/>
      </c>
      <c r="M811" s="1"/>
    </row>
    <row r="812" spans="1:13" x14ac:dyDescent="0.55000000000000004">
      <c r="A812" s="1" t="s">
        <v>1707</v>
      </c>
      <c r="B812" t="s">
        <v>1984</v>
      </c>
      <c r="C812" s="2">
        <f>Return!C812</f>
        <v>3</v>
      </c>
      <c r="D812" s="2">
        <f>COUNTA(Argument!E812)</f>
        <v>1</v>
      </c>
      <c r="E812" s="2" t="str">
        <f>IF(C812,Return!D812,Return!E812)</f>
        <v>v</v>
      </c>
      <c r="F812" s="2" t="str">
        <f t="shared" si="36"/>
        <v>[v]</v>
      </c>
      <c r="G812" s="2" t="str">
        <f t="shared" si="38"/>
        <v>[v]</v>
      </c>
      <c r="H812" s="2" t="str">
        <f t="shared" si="37"/>
        <v>, v, [v], [v]</v>
      </c>
      <c r="I812" s="2" t="str">
        <f>IF(Return!C812=0,REPLACE(INDEX(H:H,ROW()+Return!B812,),1,2,Return!E812&amp;"(")&amp;")","")</f>
        <v/>
      </c>
      <c r="M812" s="1"/>
    </row>
    <row r="813" spans="1:13" x14ac:dyDescent="0.55000000000000004">
      <c r="A813" s="1" t="s">
        <v>1708</v>
      </c>
      <c r="C813" s="2">
        <f>Return!C813</f>
        <v>0</v>
      </c>
      <c r="D813" s="2">
        <f>COUNTA(Argument!E813)</f>
        <v>0</v>
      </c>
      <c r="E813" s="2" t="str">
        <f>IF(C813,Return!D813,Return!E813)</f>
        <v>v</v>
      </c>
      <c r="F813" s="2" t="str">
        <f t="shared" si="36"/>
        <v/>
      </c>
      <c r="G813" s="2" t="str">
        <f t="shared" si="38"/>
        <v/>
      </c>
      <c r="H813" s="2" t="str">
        <f t="shared" si="37"/>
        <v/>
      </c>
      <c r="I813" s="2" t="str">
        <f>IF(Return!C813=0,REPLACE(INDEX(H:H,ROW()+Return!B813,),1,2,Return!E813&amp;"(")&amp;")","")</f>
        <v>v(v, [v], [v])</v>
      </c>
      <c r="M813" s="1"/>
    </row>
    <row r="814" spans="1:13" x14ac:dyDescent="0.55000000000000004">
      <c r="A814" s="1" t="s">
        <v>1708</v>
      </c>
      <c r="B814" t="s">
        <v>1982</v>
      </c>
      <c r="C814" s="2">
        <f>Return!C814</f>
        <v>1</v>
      </c>
      <c r="D814" s="2">
        <f>COUNTA(Argument!E814)</f>
        <v>1</v>
      </c>
      <c r="E814" s="2" t="str">
        <f>IF(C814,Return!D814,Return!E814)</f>
        <v>v</v>
      </c>
      <c r="F814" s="2" t="str">
        <f t="shared" si="36"/>
        <v>v</v>
      </c>
      <c r="G814" s="2" t="str">
        <f t="shared" si="38"/>
        <v>v</v>
      </c>
      <c r="H814" s="2" t="str">
        <f t="shared" si="37"/>
        <v>, v</v>
      </c>
      <c r="I814" s="2" t="str">
        <f>IF(Return!C814=0,REPLACE(INDEX(H:H,ROW()+Return!B814,),1,2,Return!E814&amp;"(")&amp;")","")</f>
        <v/>
      </c>
      <c r="M814" s="1"/>
    </row>
    <row r="815" spans="1:13" x14ac:dyDescent="0.55000000000000004">
      <c r="A815" s="1" t="s">
        <v>1708</v>
      </c>
      <c r="B815" t="s">
        <v>1983</v>
      </c>
      <c r="C815" s="2">
        <f>Return!C815</f>
        <v>2</v>
      </c>
      <c r="D815" s="2">
        <f>COUNTA(Argument!E815)</f>
        <v>1</v>
      </c>
      <c r="E815" s="2" t="str">
        <f>IF(C815,Return!D815,Return!E815)</f>
        <v>v</v>
      </c>
      <c r="F815" s="2" t="str">
        <f t="shared" si="36"/>
        <v>[v]</v>
      </c>
      <c r="G815" s="2" t="str">
        <f t="shared" si="38"/>
        <v>[v]</v>
      </c>
      <c r="H815" s="2" t="str">
        <f t="shared" si="37"/>
        <v>, v, [v]</v>
      </c>
      <c r="I815" s="2" t="str">
        <f>IF(Return!C815=0,REPLACE(INDEX(H:H,ROW()+Return!B815,),1,2,Return!E815&amp;"(")&amp;")","")</f>
        <v/>
      </c>
      <c r="M815" s="1"/>
    </row>
    <row r="816" spans="1:13" x14ac:dyDescent="0.55000000000000004">
      <c r="A816" s="1" t="s">
        <v>1708</v>
      </c>
      <c r="B816" t="s">
        <v>2030</v>
      </c>
      <c r="C816" s="2">
        <f>Return!C816</f>
        <v>3</v>
      </c>
      <c r="D816" s="2">
        <f>COUNTA(Argument!E816)</f>
        <v>1</v>
      </c>
      <c r="E816" s="2" t="str">
        <f>IF(C816,Return!D816,Return!E816)</f>
        <v>v</v>
      </c>
      <c r="F816" s="2" t="str">
        <f t="shared" si="36"/>
        <v>[v]</v>
      </c>
      <c r="G816" s="2" t="str">
        <f t="shared" si="38"/>
        <v>[v]</v>
      </c>
      <c r="H816" s="2" t="str">
        <f t="shared" si="37"/>
        <v>, v, [v], [v]</v>
      </c>
      <c r="I816" s="2" t="str">
        <f>IF(Return!C816=0,REPLACE(INDEX(H:H,ROW()+Return!B816,),1,2,Return!E816&amp;"(")&amp;")","")</f>
        <v/>
      </c>
      <c r="M816" s="1"/>
    </row>
    <row r="817" spans="1:13" x14ac:dyDescent="0.55000000000000004">
      <c r="A817" s="1" t="s">
        <v>1709</v>
      </c>
      <c r="C817" s="2">
        <f>Return!C817</f>
        <v>0</v>
      </c>
      <c r="D817" s="2">
        <f>COUNTA(Argument!E817)</f>
        <v>0</v>
      </c>
      <c r="E817" s="2" t="str">
        <f>IF(C817,Return!D817,Return!E817)</f>
        <v>v</v>
      </c>
      <c r="F817" s="2" t="str">
        <f t="shared" si="36"/>
        <v/>
      </c>
      <c r="G817" s="2" t="str">
        <f t="shared" si="38"/>
        <v/>
      </c>
      <c r="H817" s="2" t="str">
        <f t="shared" si="37"/>
        <v/>
      </c>
      <c r="I817" s="2" t="str">
        <f>IF(Return!C817=0,REPLACE(INDEX(H:H,ROW()+Return!B817,),1,2,Return!E817&amp;"(")&amp;")","")</f>
        <v>v(v)</v>
      </c>
      <c r="M817" s="1"/>
    </row>
    <row r="818" spans="1:13" x14ac:dyDescent="0.55000000000000004">
      <c r="A818" s="1" t="s">
        <v>1709</v>
      </c>
      <c r="B818" t="s">
        <v>1315</v>
      </c>
      <c r="C818" s="2">
        <f>Return!C818</f>
        <v>1</v>
      </c>
      <c r="D818" s="2">
        <f>COUNTA(Argument!E818)</f>
        <v>1</v>
      </c>
      <c r="E818" s="2" t="str">
        <f>IF(C818,Return!D818,Return!E818)</f>
        <v>v</v>
      </c>
      <c r="F818" s="2" t="str">
        <f t="shared" si="36"/>
        <v>v</v>
      </c>
      <c r="G818" s="2" t="str">
        <f t="shared" si="38"/>
        <v>v</v>
      </c>
      <c r="H818" s="2" t="str">
        <f t="shared" si="37"/>
        <v>, v</v>
      </c>
      <c r="I818" s="2" t="str">
        <f>IF(Return!C818=0,REPLACE(INDEX(H:H,ROW()+Return!B818,),1,2,Return!E818&amp;"(")&amp;")","")</f>
        <v/>
      </c>
      <c r="M818" s="1"/>
    </row>
    <row r="819" spans="1:13" x14ac:dyDescent="0.55000000000000004">
      <c r="A819" s="1" t="s">
        <v>1710</v>
      </c>
      <c r="C819" s="2">
        <f>Return!C819</f>
        <v>0</v>
      </c>
      <c r="D819" s="2">
        <f>COUNTA(Argument!E819)</f>
        <v>1</v>
      </c>
      <c r="E819" s="2" t="str">
        <f>IF(C819,Return!D819,Return!E819)</f>
        <v>v</v>
      </c>
      <c r="F819" s="2" t="str">
        <f t="shared" si="36"/>
        <v/>
      </c>
      <c r="G819" s="2" t="str">
        <f t="shared" si="38"/>
        <v/>
      </c>
      <c r="H819" s="2" t="str">
        <f t="shared" si="37"/>
        <v/>
      </c>
      <c r="I819" s="2" t="str">
        <f>IF(Return!C819=0,REPLACE(INDEX(H:H,ROW()+Return!B819,),1,2,Return!E819&amp;"(")&amp;")","")</f>
        <v>v([v])</v>
      </c>
      <c r="M819" s="1"/>
    </row>
    <row r="820" spans="1:13" x14ac:dyDescent="0.55000000000000004">
      <c r="A820" s="1" t="s">
        <v>1710</v>
      </c>
      <c r="B820" t="s">
        <v>1233</v>
      </c>
      <c r="C820" s="2">
        <f>Return!C820</f>
        <v>1</v>
      </c>
      <c r="D820" s="2">
        <f>COUNTA(Argument!E820)</f>
        <v>1</v>
      </c>
      <c r="E820" s="2" t="str">
        <f>IF(C820,Return!D820,Return!E820)</f>
        <v>v</v>
      </c>
      <c r="F820" s="2" t="str">
        <f t="shared" si="36"/>
        <v>[v]</v>
      </c>
      <c r="G820" s="2" t="str">
        <f t="shared" si="38"/>
        <v>[v]</v>
      </c>
      <c r="H820" s="2" t="str">
        <f t="shared" si="37"/>
        <v>, [v]</v>
      </c>
      <c r="I820" s="2" t="str">
        <f>IF(Return!C820=0,REPLACE(INDEX(H:H,ROW()+Return!B820,),1,2,Return!E820&amp;"(")&amp;")","")</f>
        <v/>
      </c>
      <c r="M820" s="1"/>
    </row>
    <row r="821" spans="1:13" x14ac:dyDescent="0.55000000000000004">
      <c r="A821" s="1" t="s">
        <v>1711</v>
      </c>
      <c r="C821" s="2">
        <f>Return!C821</f>
        <v>0</v>
      </c>
      <c r="D821" s="2">
        <f>COUNTA(Argument!E821)</f>
        <v>1</v>
      </c>
      <c r="E821" s="2" t="str">
        <f>IF(C821,Return!D821,Return!E821)</f>
        <v>v</v>
      </c>
      <c r="F821" s="2" t="str">
        <f t="shared" si="36"/>
        <v/>
      </c>
      <c r="G821" s="2" t="str">
        <f t="shared" si="38"/>
        <v/>
      </c>
      <c r="H821" s="2" t="str">
        <f t="shared" si="37"/>
        <v/>
      </c>
      <c r="I821" s="2" t="str">
        <f>IF(Return!C821=0,REPLACE(INDEX(H:H,ROW()+Return!B821,),1,2,Return!E821&amp;"(")&amp;")","")</f>
        <v>v([v])</v>
      </c>
      <c r="M821" s="1"/>
    </row>
    <row r="822" spans="1:13" x14ac:dyDescent="0.55000000000000004">
      <c r="A822" s="1" t="s">
        <v>1711</v>
      </c>
      <c r="B822" t="s">
        <v>1233</v>
      </c>
      <c r="C822" s="2">
        <f>Return!C822</f>
        <v>1</v>
      </c>
      <c r="D822" s="2">
        <f>COUNTA(Argument!E822)</f>
        <v>1</v>
      </c>
      <c r="E822" s="2" t="str">
        <f>IF(C822,Return!D822,Return!E822)</f>
        <v>v</v>
      </c>
      <c r="F822" s="2" t="str">
        <f t="shared" si="36"/>
        <v>[v]</v>
      </c>
      <c r="G822" s="2" t="str">
        <f t="shared" si="38"/>
        <v>[v]</v>
      </c>
      <c r="H822" s="2" t="str">
        <f t="shared" si="37"/>
        <v>, [v]</v>
      </c>
      <c r="I822" s="2" t="str">
        <f>IF(Return!C822=0,REPLACE(INDEX(H:H,ROW()+Return!B822,),1,2,Return!E822&amp;"(")&amp;")","")</f>
        <v/>
      </c>
      <c r="M822" s="1"/>
    </row>
    <row r="823" spans="1:13" x14ac:dyDescent="0.55000000000000004">
      <c r="A823" s="1" t="s">
        <v>1712</v>
      </c>
      <c r="C823" s="2">
        <f>Return!C823</f>
        <v>0</v>
      </c>
      <c r="D823" s="2">
        <f>COUNTA(Argument!E823)</f>
        <v>1</v>
      </c>
      <c r="E823" s="2" t="str">
        <f>IF(C823,Return!D823,Return!E823)</f>
        <v>v</v>
      </c>
      <c r="F823" s="2" t="str">
        <f t="shared" si="36"/>
        <v/>
      </c>
      <c r="G823" s="2" t="str">
        <f t="shared" si="38"/>
        <v/>
      </c>
      <c r="H823" s="2" t="str">
        <f t="shared" si="37"/>
        <v/>
      </c>
      <c r="I823" s="2" t="str">
        <f>IF(Return!C823=0,REPLACE(INDEX(H:H,ROW()+Return!B823,),1,2,Return!E823&amp;"(")&amp;")","")</f>
        <v>v([va], [v])</v>
      </c>
      <c r="M823" s="1"/>
    </row>
    <row r="824" spans="1:13" x14ac:dyDescent="0.55000000000000004">
      <c r="A824" s="1" t="s">
        <v>1712</v>
      </c>
      <c r="B824" t="s">
        <v>1981</v>
      </c>
      <c r="C824" s="2">
        <f>Return!C824</f>
        <v>1</v>
      </c>
      <c r="D824" s="2">
        <f>COUNTA(Argument!E824)</f>
        <v>1</v>
      </c>
      <c r="E824" s="2" t="str">
        <f>IF(C824,Return!D824,Return!E824)</f>
        <v>va</v>
      </c>
      <c r="F824" s="2" t="str">
        <f t="shared" si="36"/>
        <v>[va]</v>
      </c>
      <c r="G824" s="2" t="str">
        <f t="shared" si="38"/>
        <v>[va]</v>
      </c>
      <c r="H824" s="2" t="str">
        <f t="shared" si="37"/>
        <v>, [va]</v>
      </c>
      <c r="I824" s="2" t="str">
        <f>IF(Return!C824=0,REPLACE(INDEX(H:H,ROW()+Return!B824,),1,2,Return!E824&amp;"(")&amp;")","")</f>
        <v/>
      </c>
      <c r="M824" s="1"/>
    </row>
    <row r="825" spans="1:13" x14ac:dyDescent="0.55000000000000004">
      <c r="A825" s="1" t="s">
        <v>1712</v>
      </c>
      <c r="B825" t="s">
        <v>2031</v>
      </c>
      <c r="C825" s="2">
        <f>Return!C825</f>
        <v>2</v>
      </c>
      <c r="D825" s="2">
        <f>COUNTA(Argument!E825)</f>
        <v>1</v>
      </c>
      <c r="E825" s="2" t="str">
        <f>IF(C825,Return!D825,Return!E825)</f>
        <v>v</v>
      </c>
      <c r="F825" s="2" t="str">
        <f t="shared" si="36"/>
        <v>[v]</v>
      </c>
      <c r="G825" s="2" t="str">
        <f t="shared" si="38"/>
        <v>[v]</v>
      </c>
      <c r="H825" s="2" t="str">
        <f t="shared" si="37"/>
        <v>, [va], [v]</v>
      </c>
      <c r="I825" s="2" t="str">
        <f>IF(Return!C825=0,REPLACE(INDEX(H:H,ROW()+Return!B825,),1,2,Return!E825&amp;"(")&amp;")","")</f>
        <v/>
      </c>
      <c r="M825" s="1"/>
    </row>
    <row r="826" spans="1:13" x14ac:dyDescent="0.55000000000000004">
      <c r="A826" s="1" t="s">
        <v>1713</v>
      </c>
      <c r="C826" s="2">
        <f>Return!C826</f>
        <v>0</v>
      </c>
      <c r="D826" s="2">
        <f>COUNTA(Argument!E826)</f>
        <v>0</v>
      </c>
      <c r="E826" s="2" t="str">
        <f>IF(C826,Return!D826,Return!E826)</f>
        <v>v</v>
      </c>
      <c r="F826" s="2" t="str">
        <f t="shared" si="36"/>
        <v/>
      </c>
      <c r="G826" s="2" t="str">
        <f t="shared" si="38"/>
        <v/>
      </c>
      <c r="H826" s="2" t="str">
        <f t="shared" si="37"/>
        <v/>
      </c>
      <c r="I826" s="2" t="str">
        <f>IF(Return!C826=0,REPLACE(INDEX(H:H,ROW()+Return!B826,),1,2,Return!E826&amp;"(")&amp;")","")</f>
        <v>v(v, v, v)</v>
      </c>
      <c r="M826" s="1"/>
    </row>
    <row r="827" spans="1:13" x14ac:dyDescent="0.55000000000000004">
      <c r="A827" s="1" t="s">
        <v>1713</v>
      </c>
      <c r="B827" t="s">
        <v>1981</v>
      </c>
      <c r="C827" s="2">
        <f>Return!C827</f>
        <v>1</v>
      </c>
      <c r="D827" s="2">
        <f>COUNTA(Argument!E827)</f>
        <v>0</v>
      </c>
      <c r="E827" s="2" t="str">
        <f>IF(C827,Return!D827,Return!E827)</f>
        <v>v</v>
      </c>
      <c r="F827" s="2" t="str">
        <f t="shared" si="36"/>
        <v>v</v>
      </c>
      <c r="G827" s="2" t="str">
        <f t="shared" si="38"/>
        <v>v</v>
      </c>
      <c r="H827" s="2" t="str">
        <f t="shared" si="37"/>
        <v>, v</v>
      </c>
      <c r="I827" s="2" t="str">
        <f>IF(Return!C827=0,REPLACE(INDEX(H:H,ROW()+Return!B827,),1,2,Return!E827&amp;"(")&amp;")","")</f>
        <v/>
      </c>
      <c r="M827" s="1"/>
    </row>
    <row r="828" spans="1:13" x14ac:dyDescent="0.55000000000000004">
      <c r="A828" s="1" t="s">
        <v>1713</v>
      </c>
      <c r="B828" t="s">
        <v>1984</v>
      </c>
      <c r="C828" s="2">
        <f>Return!C828</f>
        <v>2</v>
      </c>
      <c r="D828" s="2">
        <f>COUNTA(Argument!E828)</f>
        <v>0</v>
      </c>
      <c r="E828" s="2" t="str">
        <f>IF(C828,Return!D828,Return!E828)</f>
        <v>v</v>
      </c>
      <c r="F828" s="2" t="str">
        <f t="shared" si="36"/>
        <v>v</v>
      </c>
      <c r="G828" s="2" t="str">
        <f t="shared" si="38"/>
        <v>v</v>
      </c>
      <c r="H828" s="2" t="str">
        <f t="shared" si="37"/>
        <v>, v, v</v>
      </c>
      <c r="I828" s="2" t="str">
        <f>IF(Return!C828=0,REPLACE(INDEX(H:H,ROW()+Return!B828,),1,2,Return!E828&amp;"(")&amp;")","")</f>
        <v/>
      </c>
      <c r="M828" s="1"/>
    </row>
    <row r="829" spans="1:13" x14ac:dyDescent="0.55000000000000004">
      <c r="A829" s="1" t="s">
        <v>1713</v>
      </c>
      <c r="B829" t="s">
        <v>1949</v>
      </c>
      <c r="C829" s="2">
        <f>Return!C829</f>
        <v>3</v>
      </c>
      <c r="D829" s="2">
        <f>COUNTA(Argument!E829)</f>
        <v>1</v>
      </c>
      <c r="E829" s="2" t="str">
        <f>IF(C829,Return!D829,Return!E829)</f>
        <v>v</v>
      </c>
      <c r="F829" s="2" t="str">
        <f t="shared" si="36"/>
        <v>v</v>
      </c>
      <c r="G829" s="2" t="str">
        <f t="shared" si="38"/>
        <v>v</v>
      </c>
      <c r="H829" s="2" t="str">
        <f t="shared" si="37"/>
        <v>, v, v, v</v>
      </c>
      <c r="I829" s="2" t="str">
        <f>IF(Return!C829=0,REPLACE(INDEX(H:H,ROW()+Return!B829,),1,2,Return!E829&amp;"(")&amp;")","")</f>
        <v/>
      </c>
      <c r="M829" s="1"/>
    </row>
    <row r="830" spans="1:13" x14ac:dyDescent="0.55000000000000004">
      <c r="A830" s="1" t="s">
        <v>1714</v>
      </c>
      <c r="C830" s="2">
        <f>Return!C830</f>
        <v>0</v>
      </c>
      <c r="D830" s="2">
        <f>COUNTA(Argument!E830)</f>
        <v>0</v>
      </c>
      <c r="E830" s="2" t="str">
        <f>IF(C830,Return!D830,Return!E830)</f>
        <v>v</v>
      </c>
      <c r="F830" s="2" t="str">
        <f t="shared" si="36"/>
        <v/>
      </c>
      <c r="G830" s="2" t="str">
        <f t="shared" si="38"/>
        <v/>
      </c>
      <c r="H830" s="2" t="str">
        <f t="shared" si="37"/>
        <v/>
      </c>
      <c r="I830" s="2" t="str">
        <f>IF(Return!C830=0,REPLACE(INDEX(H:H,ROW()+Return!B830,),1,2,Return!E830&amp;"(")&amp;")","")</f>
        <v>v(v, v, v)</v>
      </c>
      <c r="M830" s="1"/>
    </row>
    <row r="831" spans="1:13" x14ac:dyDescent="0.55000000000000004">
      <c r="A831" s="1" t="s">
        <v>1714</v>
      </c>
      <c r="B831" t="s">
        <v>1981</v>
      </c>
      <c r="C831" s="2">
        <f>Return!C831</f>
        <v>1</v>
      </c>
      <c r="D831" s="2">
        <f>COUNTA(Argument!E831)</f>
        <v>0</v>
      </c>
      <c r="E831" s="2" t="str">
        <f>IF(C831,Return!D831,Return!E831)</f>
        <v>v</v>
      </c>
      <c r="F831" s="2" t="str">
        <f t="shared" si="36"/>
        <v>v</v>
      </c>
      <c r="G831" s="2" t="str">
        <f t="shared" si="38"/>
        <v>v</v>
      </c>
      <c r="H831" s="2" t="str">
        <f t="shared" si="37"/>
        <v>, v</v>
      </c>
      <c r="I831" s="2" t="str">
        <f>IF(Return!C831=0,REPLACE(INDEX(H:H,ROW()+Return!B831,),1,2,Return!E831&amp;"(")&amp;")","")</f>
        <v/>
      </c>
      <c r="M831" s="1"/>
    </row>
    <row r="832" spans="1:13" x14ac:dyDescent="0.55000000000000004">
      <c r="A832" s="1" t="s">
        <v>1714</v>
      </c>
      <c r="B832" t="s">
        <v>1984</v>
      </c>
      <c r="C832" s="2">
        <f>Return!C832</f>
        <v>2</v>
      </c>
      <c r="D832" s="2">
        <f>COUNTA(Argument!E832)</f>
        <v>0</v>
      </c>
      <c r="E832" s="2" t="str">
        <f>IF(C832,Return!D832,Return!E832)</f>
        <v>v</v>
      </c>
      <c r="F832" s="2" t="str">
        <f t="shared" si="36"/>
        <v>v</v>
      </c>
      <c r="G832" s="2" t="str">
        <f t="shared" si="38"/>
        <v>v</v>
      </c>
      <c r="H832" s="2" t="str">
        <f t="shared" si="37"/>
        <v>, v, v</v>
      </c>
      <c r="I832" s="2" t="str">
        <f>IF(Return!C832=0,REPLACE(INDEX(H:H,ROW()+Return!B832,),1,2,Return!E832&amp;"(")&amp;")","")</f>
        <v/>
      </c>
      <c r="M832" s="1"/>
    </row>
    <row r="833" spans="1:13" x14ac:dyDescent="0.55000000000000004">
      <c r="A833" s="1" t="s">
        <v>1714</v>
      </c>
      <c r="B833" t="s">
        <v>2032</v>
      </c>
      <c r="C833" s="2">
        <f>Return!C833</f>
        <v>3</v>
      </c>
      <c r="D833" s="2">
        <f>COUNTA(Argument!E833)</f>
        <v>1</v>
      </c>
      <c r="E833" s="2" t="str">
        <f>IF(C833,Return!D833,Return!E833)</f>
        <v>v</v>
      </c>
      <c r="F833" s="2" t="str">
        <f t="shared" si="36"/>
        <v>v</v>
      </c>
      <c r="G833" s="2" t="str">
        <f t="shared" si="38"/>
        <v>v</v>
      </c>
      <c r="H833" s="2" t="str">
        <f t="shared" si="37"/>
        <v>, v, v, v</v>
      </c>
      <c r="I833" s="2" t="str">
        <f>IF(Return!C833=0,REPLACE(INDEX(H:H,ROW()+Return!B833,),1,2,Return!E833&amp;"(")&amp;")","")</f>
        <v/>
      </c>
      <c r="M833" s="1"/>
    </row>
    <row r="834" spans="1:13" x14ac:dyDescent="0.55000000000000004">
      <c r="A834" s="1" t="s">
        <v>1715</v>
      </c>
      <c r="C834" s="2">
        <f>Return!C834</f>
        <v>0</v>
      </c>
      <c r="D834" s="2">
        <f>COUNTA(Argument!E834)</f>
        <v>0</v>
      </c>
      <c r="E834" s="2" t="str">
        <f>IF(C834,Return!D834,Return!E834)</f>
        <v>v</v>
      </c>
      <c r="F834" s="2" t="str">
        <f t="shared" si="36"/>
        <v/>
      </c>
      <c r="G834" s="2" t="str">
        <f t="shared" si="38"/>
        <v/>
      </c>
      <c r="H834" s="2" t="str">
        <f t="shared" si="37"/>
        <v/>
      </c>
      <c r="I834" s="2" t="str">
        <f>IF(Return!C834=0,REPLACE(INDEX(H:H,ROW()+Return!B834,),1,2,Return!E834&amp;"(")&amp;")","")</f>
        <v>v(v, v, [v])</v>
      </c>
      <c r="M834" s="1"/>
    </row>
    <row r="835" spans="1:13" x14ac:dyDescent="0.55000000000000004">
      <c r="A835" s="1" t="s">
        <v>1715</v>
      </c>
      <c r="B835" t="s">
        <v>1932</v>
      </c>
      <c r="C835" s="2">
        <f>Return!C835</f>
        <v>1</v>
      </c>
      <c r="D835" s="2">
        <f>COUNTA(Argument!E835)</f>
        <v>0</v>
      </c>
      <c r="E835" s="2" t="str">
        <f>IF(C835,Return!D835,Return!E835)</f>
        <v>v</v>
      </c>
      <c r="F835" s="2" t="str">
        <f t="shared" ref="F835:F898" si="39">IF(C835,IF(D835,IF(D834,"["&amp;E835&amp;"]",E835),E835),"")</f>
        <v>v</v>
      </c>
      <c r="G835" s="2" t="str">
        <f t="shared" si="38"/>
        <v>v</v>
      </c>
      <c r="H835" s="2" t="str">
        <f t="shared" ref="H835:H898" si="40">IF(C835&gt;0,H834&amp;", "&amp;G835,"")</f>
        <v>, v</v>
      </c>
      <c r="I835" s="2" t="str">
        <f>IF(Return!C835=0,REPLACE(INDEX(H:H,ROW()+Return!B835,),1,2,Return!E835&amp;"(")&amp;")","")</f>
        <v/>
      </c>
      <c r="M835" s="1"/>
    </row>
    <row r="836" spans="1:13" x14ac:dyDescent="0.55000000000000004">
      <c r="A836" s="1" t="s">
        <v>1715</v>
      </c>
      <c r="B836" t="s">
        <v>1933</v>
      </c>
      <c r="C836" s="2">
        <f>Return!C836</f>
        <v>2</v>
      </c>
      <c r="D836" s="2">
        <f>COUNTA(Argument!E836)</f>
        <v>1</v>
      </c>
      <c r="E836" s="2" t="str">
        <f>IF(C836,Return!D836,Return!E836)</f>
        <v>v</v>
      </c>
      <c r="F836" s="2" t="str">
        <f t="shared" si="39"/>
        <v>v</v>
      </c>
      <c r="G836" s="2" t="str">
        <f t="shared" ref="G836:G899" si="41">IF(B836="...",IF(C837&gt;0,"["&amp;E836,"…"),IF(B835=" ...",IF(C836&gt;0,E836&amp;"], …",F836),F836))</f>
        <v>v</v>
      </c>
      <c r="H836" s="2" t="str">
        <f t="shared" si="40"/>
        <v>, v, v</v>
      </c>
      <c r="I836" s="2" t="str">
        <f>IF(Return!C836=0,REPLACE(INDEX(H:H,ROW()+Return!B836,),1,2,Return!E836&amp;"(")&amp;")","")</f>
        <v/>
      </c>
      <c r="M836" s="1"/>
    </row>
    <row r="837" spans="1:13" x14ac:dyDescent="0.55000000000000004">
      <c r="A837" s="1" t="s">
        <v>1715</v>
      </c>
      <c r="B837" t="s">
        <v>1312</v>
      </c>
      <c r="C837" s="2">
        <f>Return!C837</f>
        <v>3</v>
      </c>
      <c r="D837" s="2">
        <f>COUNTA(Argument!E837)</f>
        <v>1</v>
      </c>
      <c r="E837" s="2" t="str">
        <f>IF(C837,Return!D837,Return!E837)</f>
        <v>v</v>
      </c>
      <c r="F837" s="2" t="str">
        <f t="shared" si="39"/>
        <v>[v]</v>
      </c>
      <c r="G837" s="2" t="str">
        <f t="shared" si="41"/>
        <v>[v]</v>
      </c>
      <c r="H837" s="2" t="str">
        <f t="shared" si="40"/>
        <v>, v, v, [v]</v>
      </c>
      <c r="I837" s="2" t="str">
        <f>IF(Return!C837=0,REPLACE(INDEX(H:H,ROW()+Return!B837,),1,2,Return!E837&amp;"(")&amp;")","")</f>
        <v/>
      </c>
      <c r="M837" s="1"/>
    </row>
    <row r="838" spans="1:13" x14ac:dyDescent="0.55000000000000004">
      <c r="A838" s="1" t="s">
        <v>1716</v>
      </c>
      <c r="C838" s="2">
        <f>Return!C838</f>
        <v>0</v>
      </c>
      <c r="D838" s="2">
        <f>COUNTA(Argument!E838)</f>
        <v>0</v>
      </c>
      <c r="E838" s="2" t="str">
        <f>IF(C838,Return!D838,Return!E838)</f>
        <v>va</v>
      </c>
      <c r="F838" s="2" t="str">
        <f t="shared" si="39"/>
        <v/>
      </c>
      <c r="G838" s="2" t="str">
        <f t="shared" si="41"/>
        <v/>
      </c>
      <c r="H838" s="2" t="str">
        <f t="shared" si="40"/>
        <v/>
      </c>
      <c r="I838" s="2" t="str">
        <f>IF(Return!C838=0,REPLACE(INDEX(H:H,ROW()+Return!B838,),1,2,Return!E838&amp;"(")&amp;")","")</f>
        <v>va(v, [v])</v>
      </c>
      <c r="M838" s="1"/>
    </row>
    <row r="839" spans="1:13" x14ac:dyDescent="0.55000000000000004">
      <c r="A839" s="1" t="s">
        <v>1716</v>
      </c>
      <c r="B839" t="s">
        <v>1921</v>
      </c>
      <c r="C839" s="2">
        <f>Return!C839</f>
        <v>1</v>
      </c>
      <c r="D839" s="2">
        <f>COUNTA(Argument!E839)</f>
        <v>1</v>
      </c>
      <c r="E839" s="2" t="str">
        <f>IF(C839,Return!D839,Return!E839)</f>
        <v>v</v>
      </c>
      <c r="F839" s="2" t="str">
        <f t="shared" si="39"/>
        <v>v</v>
      </c>
      <c r="G839" s="2" t="str">
        <f t="shared" si="41"/>
        <v>v</v>
      </c>
      <c r="H839" s="2" t="str">
        <f t="shared" si="40"/>
        <v>, v</v>
      </c>
      <c r="I839" s="2" t="str">
        <f>IF(Return!C839=0,REPLACE(INDEX(H:H,ROW()+Return!B839,),1,2,Return!E839&amp;"(")&amp;")","")</f>
        <v/>
      </c>
      <c r="M839" s="1"/>
    </row>
    <row r="840" spans="1:13" x14ac:dyDescent="0.55000000000000004">
      <c r="A840" s="1" t="s">
        <v>1716</v>
      </c>
      <c r="B840" t="s">
        <v>1919</v>
      </c>
      <c r="C840" s="2">
        <f>Return!C840</f>
        <v>2</v>
      </c>
      <c r="D840" s="2">
        <f>COUNTA(Argument!E840)</f>
        <v>1</v>
      </c>
      <c r="E840" s="2" t="str">
        <f>IF(C840,Return!D840,Return!E840)</f>
        <v>v</v>
      </c>
      <c r="F840" s="2" t="str">
        <f t="shared" si="39"/>
        <v>[v]</v>
      </c>
      <c r="G840" s="2" t="str">
        <f t="shared" si="41"/>
        <v>[v]</v>
      </c>
      <c r="H840" s="2" t="str">
        <f t="shared" si="40"/>
        <v>, v, [v]</v>
      </c>
      <c r="I840" s="2" t="str">
        <f>IF(Return!C840=0,REPLACE(INDEX(H:H,ROW()+Return!B840,),1,2,Return!E840&amp;"(")&amp;")","")</f>
        <v/>
      </c>
      <c r="M840" s="1"/>
    </row>
    <row r="841" spans="1:13" x14ac:dyDescent="0.55000000000000004">
      <c r="A841" s="1" t="s">
        <v>1717</v>
      </c>
      <c r="C841" s="2">
        <f>Return!C841</f>
        <v>0</v>
      </c>
      <c r="D841" s="2">
        <f>COUNTA(Argument!E841)</f>
        <v>0</v>
      </c>
      <c r="E841" s="2" t="str">
        <f>IF(C841,Return!D841,Return!E841)</f>
        <v>v</v>
      </c>
      <c r="F841" s="2" t="str">
        <f t="shared" si="39"/>
        <v/>
      </c>
      <c r="G841" s="2" t="str">
        <f t="shared" si="41"/>
        <v/>
      </c>
      <c r="H841" s="2" t="str">
        <f t="shared" si="40"/>
        <v/>
      </c>
      <c r="I841" s="2" t="str">
        <f>IF(Return!C841=0,REPLACE(INDEX(H:H,ROW()+Return!B841,),1,2,Return!E841&amp;"(")&amp;")","")</f>
        <v>v(var, [var], …)</v>
      </c>
      <c r="M841" s="1"/>
    </row>
    <row r="842" spans="1:13" x14ac:dyDescent="0.55000000000000004">
      <c r="A842" s="1" t="s">
        <v>1717</v>
      </c>
      <c r="B842" t="s">
        <v>1219</v>
      </c>
      <c r="C842" s="2">
        <f>Return!C842</f>
        <v>1</v>
      </c>
      <c r="D842" s="2">
        <f>COUNTA(Argument!E842)</f>
        <v>1</v>
      </c>
      <c r="E842" s="2" t="str">
        <f>IF(C842,Return!D842,Return!E842)</f>
        <v>var</v>
      </c>
      <c r="F842" s="2" t="str">
        <f t="shared" si="39"/>
        <v>var</v>
      </c>
      <c r="G842" s="2" t="str">
        <f t="shared" si="41"/>
        <v>var</v>
      </c>
      <c r="H842" s="2" t="str">
        <f t="shared" si="40"/>
        <v>, var</v>
      </c>
      <c r="I842" s="2" t="str">
        <f>IF(Return!C842=0,REPLACE(INDEX(H:H,ROW()+Return!B842,),1,2,Return!E842&amp;"(")&amp;")","")</f>
        <v/>
      </c>
      <c r="M842" s="1"/>
    </row>
    <row r="843" spans="1:13" x14ac:dyDescent="0.55000000000000004">
      <c r="A843" s="1" t="s">
        <v>1717</v>
      </c>
      <c r="B843" t="s">
        <v>1220</v>
      </c>
      <c r="C843" s="2">
        <f>Return!C843</f>
        <v>2</v>
      </c>
      <c r="D843" s="2">
        <f>COUNTA(Argument!E843)</f>
        <v>1</v>
      </c>
      <c r="E843" s="2" t="str">
        <f>IF(C843,Return!D843,Return!E843)</f>
        <v>var</v>
      </c>
      <c r="F843" s="2" t="str">
        <f t="shared" si="39"/>
        <v>[var]</v>
      </c>
      <c r="G843" s="2" t="str">
        <f t="shared" si="41"/>
        <v>[var]</v>
      </c>
      <c r="H843" s="2" t="str">
        <f t="shared" si="40"/>
        <v>, var, [var]</v>
      </c>
      <c r="I843" s="2" t="str">
        <f>IF(Return!C843=0,REPLACE(INDEX(H:H,ROW()+Return!B843,),1,2,Return!E843&amp;"(")&amp;")","")</f>
        <v/>
      </c>
      <c r="M843" s="1"/>
    </row>
    <row r="844" spans="1:13" x14ac:dyDescent="0.55000000000000004">
      <c r="A844" s="1" t="s">
        <v>1717</v>
      </c>
      <c r="B844" t="s">
        <v>1214</v>
      </c>
      <c r="C844" s="2">
        <f>Return!C844</f>
        <v>3</v>
      </c>
      <c r="D844" s="2">
        <f>COUNTA(Argument!E844)</f>
        <v>1</v>
      </c>
      <c r="E844" s="2" t="str">
        <f>IF(C844,Return!D844,Return!E844)</f>
        <v>var</v>
      </c>
      <c r="F844" s="2" t="str">
        <f t="shared" si="39"/>
        <v>[var]</v>
      </c>
      <c r="G844" s="2" t="str">
        <f t="shared" si="41"/>
        <v>…</v>
      </c>
      <c r="H844" s="2" t="str">
        <f t="shared" si="40"/>
        <v>, var, [var], …</v>
      </c>
      <c r="I844" s="2" t="str">
        <f>IF(Return!C844=0,REPLACE(INDEX(H:H,ROW()+Return!B844,),1,2,Return!E844&amp;"(")&amp;")","")</f>
        <v/>
      </c>
      <c r="M844" s="1"/>
    </row>
    <row r="845" spans="1:13" x14ac:dyDescent="0.55000000000000004">
      <c r="A845" s="1" t="s">
        <v>1718</v>
      </c>
      <c r="C845" s="2">
        <f>Return!C845</f>
        <v>0</v>
      </c>
      <c r="D845" s="2">
        <f>COUNTA(Argument!E845)</f>
        <v>0</v>
      </c>
      <c r="E845" s="2" t="str">
        <f>IF(C845,Return!D845,Return!E845)</f>
        <v>v</v>
      </c>
      <c r="F845" s="2" t="str">
        <f t="shared" si="39"/>
        <v/>
      </c>
      <c r="G845" s="2" t="str">
        <f t="shared" si="41"/>
        <v/>
      </c>
      <c r="H845" s="2" t="str">
        <f t="shared" si="40"/>
        <v/>
      </c>
      <c r="I845" s="2" t="str">
        <f>IF(Return!C845=0,REPLACE(INDEX(H:H,ROW()+Return!B845,),1,2,Return!E845&amp;"(")&amp;")","")</f>
        <v>v(v, v, v, [v], [v])</v>
      </c>
      <c r="M845" s="1"/>
    </row>
    <row r="846" spans="1:13" x14ac:dyDescent="0.55000000000000004">
      <c r="A846" s="1" t="s">
        <v>1718</v>
      </c>
      <c r="B846" t="s">
        <v>1316</v>
      </c>
      <c r="C846" s="2">
        <f>Return!C846</f>
        <v>1</v>
      </c>
      <c r="D846" s="2">
        <f>COUNTA(Argument!E846)</f>
        <v>0</v>
      </c>
      <c r="E846" s="2" t="str">
        <f>IF(C846,Return!D846,Return!E846)</f>
        <v>v</v>
      </c>
      <c r="F846" s="2" t="str">
        <f t="shared" si="39"/>
        <v>v</v>
      </c>
      <c r="G846" s="2" t="str">
        <f t="shared" si="41"/>
        <v>v</v>
      </c>
      <c r="H846" s="2" t="str">
        <f t="shared" si="40"/>
        <v>, v</v>
      </c>
      <c r="I846" s="2" t="str">
        <f>IF(Return!C846=0,REPLACE(INDEX(H:H,ROW()+Return!B846,),1,2,Return!E846&amp;"(")&amp;")","")</f>
        <v/>
      </c>
      <c r="M846" s="1"/>
    </row>
    <row r="847" spans="1:13" x14ac:dyDescent="0.55000000000000004">
      <c r="A847" s="1" t="s">
        <v>1718</v>
      </c>
      <c r="B847" t="s">
        <v>1317</v>
      </c>
      <c r="C847" s="2">
        <f>Return!C847</f>
        <v>2</v>
      </c>
      <c r="D847" s="2">
        <f>COUNTA(Argument!E847)</f>
        <v>0</v>
      </c>
      <c r="E847" s="2" t="str">
        <f>IF(C847,Return!D847,Return!E847)</f>
        <v>v</v>
      </c>
      <c r="F847" s="2" t="str">
        <f t="shared" si="39"/>
        <v>v</v>
      </c>
      <c r="G847" s="2" t="str">
        <f t="shared" si="41"/>
        <v>v</v>
      </c>
      <c r="H847" s="2" t="str">
        <f t="shared" si="40"/>
        <v>, v, v</v>
      </c>
      <c r="I847" s="2" t="str">
        <f>IF(Return!C847=0,REPLACE(INDEX(H:H,ROW()+Return!B847,),1,2,Return!E847&amp;"(")&amp;")","")</f>
        <v/>
      </c>
      <c r="M847" s="1"/>
    </row>
    <row r="848" spans="1:13" x14ac:dyDescent="0.55000000000000004">
      <c r="A848" s="1" t="s">
        <v>1718</v>
      </c>
      <c r="B848" t="s">
        <v>1318</v>
      </c>
      <c r="C848" s="2">
        <f>Return!C848</f>
        <v>3</v>
      </c>
      <c r="D848" s="2">
        <f>COUNTA(Argument!E848)</f>
        <v>1</v>
      </c>
      <c r="E848" s="2" t="str">
        <f>IF(C848,Return!D848,Return!E848)</f>
        <v>v</v>
      </c>
      <c r="F848" s="2" t="str">
        <f t="shared" si="39"/>
        <v>v</v>
      </c>
      <c r="G848" s="2" t="str">
        <f t="shared" si="41"/>
        <v>v</v>
      </c>
      <c r="H848" s="2" t="str">
        <f t="shared" si="40"/>
        <v>, v, v, v</v>
      </c>
      <c r="I848" s="2" t="str">
        <f>IF(Return!C848=0,REPLACE(INDEX(H:H,ROW()+Return!B848,),1,2,Return!E848&amp;"(")&amp;")","")</f>
        <v/>
      </c>
      <c r="M848" s="1"/>
    </row>
    <row r="849" spans="1:13" x14ac:dyDescent="0.55000000000000004">
      <c r="A849" s="1" t="s">
        <v>1718</v>
      </c>
      <c r="B849" t="s">
        <v>1319</v>
      </c>
      <c r="C849" s="2">
        <f>Return!C849</f>
        <v>4</v>
      </c>
      <c r="D849" s="2">
        <f>COUNTA(Argument!E849)</f>
        <v>1</v>
      </c>
      <c r="E849" s="2" t="str">
        <f>IF(C849,Return!D849,Return!E849)</f>
        <v>v</v>
      </c>
      <c r="F849" s="2" t="str">
        <f t="shared" si="39"/>
        <v>[v]</v>
      </c>
      <c r="G849" s="2" t="str">
        <f t="shared" si="41"/>
        <v>[v]</v>
      </c>
      <c r="H849" s="2" t="str">
        <f t="shared" si="40"/>
        <v>, v, v, v, [v]</v>
      </c>
      <c r="I849" s="2" t="str">
        <f>IF(Return!C849=0,REPLACE(INDEX(H:H,ROW()+Return!B849,),1,2,Return!E849&amp;"(")&amp;")","")</f>
        <v/>
      </c>
      <c r="M849" s="1"/>
    </row>
    <row r="850" spans="1:13" x14ac:dyDescent="0.55000000000000004">
      <c r="A850" s="1" t="s">
        <v>1718</v>
      </c>
      <c r="B850" t="s">
        <v>1320</v>
      </c>
      <c r="C850" s="2">
        <f>Return!C850</f>
        <v>5</v>
      </c>
      <c r="D850" s="2">
        <f>COUNTA(Argument!E850)</f>
        <v>1</v>
      </c>
      <c r="E850" s="2" t="str">
        <f>IF(C850,Return!D850,Return!E850)</f>
        <v>v</v>
      </c>
      <c r="F850" s="2" t="str">
        <f t="shared" si="39"/>
        <v>[v]</v>
      </c>
      <c r="G850" s="2" t="str">
        <f t="shared" si="41"/>
        <v>[v]</v>
      </c>
      <c r="H850" s="2" t="str">
        <f t="shared" si="40"/>
        <v>, v, v, v, [v], [v]</v>
      </c>
      <c r="I850" s="2" t="str">
        <f>IF(Return!C850=0,REPLACE(INDEX(H:H,ROW()+Return!B850,),1,2,Return!E850&amp;"(")&amp;")","")</f>
        <v/>
      </c>
      <c r="M850" s="1"/>
    </row>
    <row r="851" spans="1:13" x14ac:dyDescent="0.55000000000000004">
      <c r="A851" s="1" t="s">
        <v>1719</v>
      </c>
      <c r="C851" s="2">
        <f>Return!C851</f>
        <v>0</v>
      </c>
      <c r="D851" s="2">
        <f>COUNTA(Argument!E851)</f>
        <v>0</v>
      </c>
      <c r="E851" s="2" t="str">
        <f>IF(C851,Return!D851,Return!E851)</f>
        <v>v</v>
      </c>
      <c r="F851" s="2" t="str">
        <f t="shared" si="39"/>
        <v/>
      </c>
      <c r="G851" s="2" t="str">
        <f t="shared" si="41"/>
        <v/>
      </c>
      <c r="H851" s="2" t="str">
        <f t="shared" si="40"/>
        <v/>
      </c>
      <c r="I851" s="2" t="str">
        <f>IF(Return!C851=0,REPLACE(INDEX(H:H,ROW()+Return!B851,),1,2,Return!E851&amp;"(")&amp;")","")</f>
        <v>v(v)</v>
      </c>
      <c r="M851" s="1"/>
    </row>
    <row r="852" spans="1:13" x14ac:dyDescent="0.55000000000000004">
      <c r="A852" s="1" t="s">
        <v>1719</v>
      </c>
      <c r="B852" t="s">
        <v>1316</v>
      </c>
      <c r="C852" s="2">
        <f>Return!C852</f>
        <v>1</v>
      </c>
      <c r="D852" s="2">
        <f>COUNTA(Argument!E852)</f>
        <v>1</v>
      </c>
      <c r="E852" s="2" t="str">
        <f>IF(C852,Return!D852,Return!E852)</f>
        <v>v</v>
      </c>
      <c r="F852" s="2" t="str">
        <f t="shared" si="39"/>
        <v>v</v>
      </c>
      <c r="G852" s="2" t="str">
        <f t="shared" si="41"/>
        <v>v</v>
      </c>
      <c r="H852" s="2" t="str">
        <f t="shared" si="40"/>
        <v>, v</v>
      </c>
      <c r="I852" s="2" t="str">
        <f>IF(Return!C852=0,REPLACE(INDEX(H:H,ROW()+Return!B852,),1,2,Return!E852&amp;"(")&amp;")","")</f>
        <v/>
      </c>
      <c r="M852" s="1"/>
    </row>
    <row r="853" spans="1:13" x14ac:dyDescent="0.55000000000000004">
      <c r="A853" s="1" t="s">
        <v>1720</v>
      </c>
      <c r="C853" s="2">
        <f>Return!C853</f>
        <v>0</v>
      </c>
      <c r="D853" s="2">
        <f>COUNTA(Argument!E853)</f>
        <v>0</v>
      </c>
      <c r="E853" s="2" t="str">
        <f>IF(C853,Return!D853,Return!E853)</f>
        <v>v</v>
      </c>
      <c r="F853" s="2" t="str">
        <f t="shared" si="39"/>
        <v/>
      </c>
      <c r="G853" s="2" t="str">
        <f t="shared" si="41"/>
        <v/>
      </c>
      <c r="H853" s="2" t="str">
        <f t="shared" si="40"/>
        <v/>
      </c>
      <c r="I853" s="2" t="str">
        <f>IF(Return!C853=0,REPLACE(INDEX(H:H,ROW()+Return!B853,),1,2,Return!E853&amp;"(")&amp;")","")</f>
        <v>v(v, v, v, [v], [v])</v>
      </c>
      <c r="M853" s="1"/>
    </row>
    <row r="854" spans="1:13" x14ac:dyDescent="0.55000000000000004">
      <c r="A854" s="1" t="s">
        <v>1720</v>
      </c>
      <c r="B854" t="s">
        <v>1321</v>
      </c>
      <c r="C854" s="2">
        <f>Return!C854</f>
        <v>1</v>
      </c>
      <c r="D854" s="2">
        <f>COUNTA(Argument!E854)</f>
        <v>0</v>
      </c>
      <c r="E854" s="2" t="str">
        <f>IF(C854,Return!D854,Return!E854)</f>
        <v>v</v>
      </c>
      <c r="F854" s="2" t="str">
        <f t="shared" si="39"/>
        <v>v</v>
      </c>
      <c r="G854" s="2" t="str">
        <f t="shared" si="41"/>
        <v>v</v>
      </c>
      <c r="H854" s="2" t="str">
        <f t="shared" si="40"/>
        <v>, v</v>
      </c>
      <c r="I854" s="2" t="str">
        <f>IF(Return!C854=0,REPLACE(INDEX(H:H,ROW()+Return!B854,),1,2,Return!E854&amp;"(")&amp;")","")</f>
        <v/>
      </c>
      <c r="M854" s="1"/>
    </row>
    <row r="855" spans="1:13" x14ac:dyDescent="0.55000000000000004">
      <c r="A855" s="1" t="s">
        <v>1720</v>
      </c>
      <c r="B855" t="s">
        <v>1317</v>
      </c>
      <c r="C855" s="2">
        <f>Return!C855</f>
        <v>2</v>
      </c>
      <c r="D855" s="2">
        <f>COUNTA(Argument!E855)</f>
        <v>0</v>
      </c>
      <c r="E855" s="2" t="str">
        <f>IF(C855,Return!D855,Return!E855)</f>
        <v>v</v>
      </c>
      <c r="F855" s="2" t="str">
        <f t="shared" si="39"/>
        <v>v</v>
      </c>
      <c r="G855" s="2" t="str">
        <f t="shared" si="41"/>
        <v>v</v>
      </c>
      <c r="H855" s="2" t="str">
        <f t="shared" si="40"/>
        <v>, v, v</v>
      </c>
      <c r="I855" s="2" t="str">
        <f>IF(Return!C855=0,REPLACE(INDEX(H:H,ROW()+Return!B855,),1,2,Return!E855&amp;"(")&amp;")","")</f>
        <v/>
      </c>
      <c r="M855" s="1"/>
    </row>
    <row r="856" spans="1:13" x14ac:dyDescent="0.55000000000000004">
      <c r="A856" s="1" t="s">
        <v>1720</v>
      </c>
      <c r="B856" t="s">
        <v>1318</v>
      </c>
      <c r="C856" s="2">
        <f>Return!C856</f>
        <v>3</v>
      </c>
      <c r="D856" s="2">
        <f>COUNTA(Argument!E856)</f>
        <v>1</v>
      </c>
      <c r="E856" s="2" t="str">
        <f>IF(C856,Return!D856,Return!E856)</f>
        <v>v</v>
      </c>
      <c r="F856" s="2" t="str">
        <f t="shared" si="39"/>
        <v>v</v>
      </c>
      <c r="G856" s="2" t="str">
        <f t="shared" si="41"/>
        <v>v</v>
      </c>
      <c r="H856" s="2" t="str">
        <f t="shared" si="40"/>
        <v>, v, v, v</v>
      </c>
      <c r="I856" s="2" t="str">
        <f>IF(Return!C856=0,REPLACE(INDEX(H:H,ROW()+Return!B856,),1,2,Return!E856&amp;"(")&amp;")","")</f>
        <v/>
      </c>
      <c r="M856" s="1"/>
    </row>
    <row r="857" spans="1:13" x14ac:dyDescent="0.55000000000000004">
      <c r="A857" s="1" t="s">
        <v>1720</v>
      </c>
      <c r="B857" t="s">
        <v>1319</v>
      </c>
      <c r="C857" s="2">
        <f>Return!C857</f>
        <v>4</v>
      </c>
      <c r="D857" s="2">
        <f>COUNTA(Argument!E857)</f>
        <v>1</v>
      </c>
      <c r="E857" s="2" t="str">
        <f>IF(C857,Return!D857,Return!E857)</f>
        <v>v</v>
      </c>
      <c r="F857" s="2" t="str">
        <f t="shared" si="39"/>
        <v>[v]</v>
      </c>
      <c r="G857" s="2" t="str">
        <f t="shared" si="41"/>
        <v>[v]</v>
      </c>
      <c r="H857" s="2" t="str">
        <f t="shared" si="40"/>
        <v>, v, v, v, [v]</v>
      </c>
      <c r="I857" s="2" t="str">
        <f>IF(Return!C857=0,REPLACE(INDEX(H:H,ROW()+Return!B857,),1,2,Return!E857&amp;"(")&amp;")","")</f>
        <v/>
      </c>
      <c r="M857" s="1"/>
    </row>
    <row r="858" spans="1:13" x14ac:dyDescent="0.55000000000000004">
      <c r="A858" s="1" t="s">
        <v>1720</v>
      </c>
      <c r="B858" t="s">
        <v>1320</v>
      </c>
      <c r="C858" s="2">
        <f>Return!C858</f>
        <v>5</v>
      </c>
      <c r="D858" s="2">
        <f>COUNTA(Argument!E858)</f>
        <v>1</v>
      </c>
      <c r="E858" s="2" t="str">
        <f>IF(C858,Return!D858,Return!E858)</f>
        <v>v</v>
      </c>
      <c r="F858" s="2" t="str">
        <f t="shared" si="39"/>
        <v>[v]</v>
      </c>
      <c r="G858" s="2" t="str">
        <f t="shared" si="41"/>
        <v>[v]</v>
      </c>
      <c r="H858" s="2" t="str">
        <f t="shared" si="40"/>
        <v>, v, v, v, [v], [v]</v>
      </c>
      <c r="I858" s="2" t="str">
        <f>IF(Return!C858=0,REPLACE(INDEX(H:H,ROW()+Return!B858,),1,2,Return!E858&amp;"(")&amp;")","")</f>
        <v/>
      </c>
      <c r="M858" s="1"/>
    </row>
    <row r="859" spans="1:13" x14ac:dyDescent="0.55000000000000004">
      <c r="A859" s="1" t="s">
        <v>1721</v>
      </c>
      <c r="C859" s="2">
        <f>Return!C859</f>
        <v>0</v>
      </c>
      <c r="D859" s="2">
        <f>COUNTA(Argument!E859)</f>
        <v>0</v>
      </c>
      <c r="E859" s="2" t="str">
        <f>IF(C859,Return!D859,Return!E859)</f>
        <v>v</v>
      </c>
      <c r="F859" s="2" t="str">
        <f t="shared" si="39"/>
        <v/>
      </c>
      <c r="G859" s="2" t="str">
        <f t="shared" si="41"/>
        <v/>
      </c>
      <c r="H859" s="2" t="str">
        <f t="shared" si="40"/>
        <v/>
      </c>
      <c r="I859" s="2" t="str">
        <f>IF(Return!C859=0,REPLACE(INDEX(H:H,ROW()+Return!B859,),1,2,Return!E859&amp;"(")&amp;")","")</f>
        <v>v(v, v, v, v)</v>
      </c>
      <c r="M859" s="1"/>
    </row>
    <row r="860" spans="1:13" x14ac:dyDescent="0.55000000000000004">
      <c r="A860" s="1" t="s">
        <v>1721</v>
      </c>
      <c r="B860" t="s">
        <v>1322</v>
      </c>
      <c r="C860" s="2">
        <f>Return!C860</f>
        <v>1</v>
      </c>
      <c r="D860" s="2">
        <f>COUNTA(Argument!E860)</f>
        <v>0</v>
      </c>
      <c r="E860" s="2" t="str">
        <f>IF(C860,Return!D860,Return!E860)</f>
        <v>v</v>
      </c>
      <c r="F860" s="2" t="str">
        <f t="shared" si="39"/>
        <v>v</v>
      </c>
      <c r="G860" s="2" t="str">
        <f t="shared" si="41"/>
        <v>v</v>
      </c>
      <c r="H860" s="2" t="str">
        <f t="shared" si="40"/>
        <v>, v</v>
      </c>
      <c r="I860" s="2" t="str">
        <f>IF(Return!C860=0,REPLACE(INDEX(H:H,ROW()+Return!B860,),1,2,Return!E860&amp;"(")&amp;")","")</f>
        <v/>
      </c>
      <c r="M860" s="1"/>
    </row>
    <row r="861" spans="1:13" x14ac:dyDescent="0.55000000000000004">
      <c r="A861" s="1" t="s">
        <v>1721</v>
      </c>
      <c r="B861" t="s">
        <v>1323</v>
      </c>
      <c r="C861" s="2">
        <f>Return!C861</f>
        <v>2</v>
      </c>
      <c r="D861" s="2">
        <f>COUNTA(Argument!E861)</f>
        <v>0</v>
      </c>
      <c r="E861" s="2" t="str">
        <f>IF(C861,Return!D861,Return!E861)</f>
        <v>v</v>
      </c>
      <c r="F861" s="2" t="str">
        <f t="shared" si="39"/>
        <v>v</v>
      </c>
      <c r="G861" s="2" t="str">
        <f t="shared" si="41"/>
        <v>v</v>
      </c>
      <c r="H861" s="2" t="str">
        <f t="shared" si="40"/>
        <v>, v, v</v>
      </c>
      <c r="I861" s="2" t="str">
        <f>IF(Return!C861=0,REPLACE(INDEX(H:H,ROW()+Return!B861,),1,2,Return!E861&amp;"(")&amp;")","")</f>
        <v/>
      </c>
      <c r="M861" s="1"/>
    </row>
    <row r="862" spans="1:13" x14ac:dyDescent="0.55000000000000004">
      <c r="A862" s="1" t="s">
        <v>1721</v>
      </c>
      <c r="B862" t="s">
        <v>1324</v>
      </c>
      <c r="C862" s="2">
        <f>Return!C862</f>
        <v>3</v>
      </c>
      <c r="D862" s="2">
        <f>COUNTA(Argument!E862)</f>
        <v>0</v>
      </c>
      <c r="E862" s="2" t="str">
        <f>IF(C862,Return!D862,Return!E862)</f>
        <v>v</v>
      </c>
      <c r="F862" s="2" t="str">
        <f t="shared" si="39"/>
        <v>v</v>
      </c>
      <c r="G862" s="2" t="str">
        <f t="shared" si="41"/>
        <v>v</v>
      </c>
      <c r="H862" s="2" t="str">
        <f t="shared" si="40"/>
        <v>, v, v, v</v>
      </c>
      <c r="I862" s="2" t="str">
        <f>IF(Return!C862=0,REPLACE(INDEX(H:H,ROW()+Return!B862,),1,2,Return!E862&amp;"(")&amp;")","")</f>
        <v/>
      </c>
      <c r="M862" s="1"/>
    </row>
    <row r="863" spans="1:13" x14ac:dyDescent="0.55000000000000004">
      <c r="A863" s="1" t="s">
        <v>1721</v>
      </c>
      <c r="B863" t="s">
        <v>1325</v>
      </c>
      <c r="C863" s="2">
        <f>Return!C863</f>
        <v>4</v>
      </c>
      <c r="D863" s="2">
        <f>COUNTA(Argument!E863)</f>
        <v>1</v>
      </c>
      <c r="E863" s="2" t="str">
        <f>IF(C863,Return!D863,Return!E863)</f>
        <v>v</v>
      </c>
      <c r="F863" s="2" t="str">
        <f t="shared" si="39"/>
        <v>v</v>
      </c>
      <c r="G863" s="2" t="str">
        <f t="shared" si="41"/>
        <v>v</v>
      </c>
      <c r="H863" s="2" t="str">
        <f t="shared" si="40"/>
        <v>, v, v, v, v</v>
      </c>
      <c r="I863" s="2" t="str">
        <f>IF(Return!C863=0,REPLACE(INDEX(H:H,ROW()+Return!B863,),1,2,Return!E863&amp;"(")&amp;")","")</f>
        <v/>
      </c>
      <c r="M863" s="1"/>
    </row>
    <row r="864" spans="1:13" x14ac:dyDescent="0.55000000000000004">
      <c r="A864" s="1" t="s">
        <v>1722</v>
      </c>
      <c r="C864" s="2">
        <f>Return!C864</f>
        <v>0</v>
      </c>
      <c r="D864" s="2">
        <f>COUNTA(Argument!E864)</f>
        <v>0</v>
      </c>
      <c r="E864" s="2" t="str">
        <f>IF(C864,Return!D864,Return!E864)</f>
        <v>v</v>
      </c>
      <c r="F864" s="2" t="str">
        <f t="shared" si="39"/>
        <v/>
      </c>
      <c r="G864" s="2" t="str">
        <f t="shared" si="41"/>
        <v/>
      </c>
      <c r="H864" s="2" t="str">
        <f t="shared" si="40"/>
        <v/>
      </c>
      <c r="I864" s="2" t="str">
        <f>IF(Return!C864=0,REPLACE(INDEX(H:H,ROW()+Return!B864,),1,2,Return!E864&amp;"(")&amp;")","")</f>
        <v>v(v, v)</v>
      </c>
      <c r="M864" s="1"/>
    </row>
    <row r="865" spans="1:13" x14ac:dyDescent="0.55000000000000004">
      <c r="A865" s="1" t="s">
        <v>1722</v>
      </c>
      <c r="B865" t="s">
        <v>1316</v>
      </c>
      <c r="C865" s="2">
        <f>Return!C865</f>
        <v>1</v>
      </c>
      <c r="D865" s="2">
        <f>COUNTA(Argument!E865)</f>
        <v>0</v>
      </c>
      <c r="E865" s="2" t="str">
        <f>IF(C865,Return!D865,Return!E865)</f>
        <v>v</v>
      </c>
      <c r="F865" s="2" t="str">
        <f t="shared" si="39"/>
        <v>v</v>
      </c>
      <c r="G865" s="2" t="str">
        <f t="shared" si="41"/>
        <v>v</v>
      </c>
      <c r="H865" s="2" t="str">
        <f t="shared" si="40"/>
        <v>, v</v>
      </c>
      <c r="I865" s="2" t="str">
        <f>IF(Return!C865=0,REPLACE(INDEX(H:H,ROW()+Return!B865,),1,2,Return!E865&amp;"(")&amp;")","")</f>
        <v/>
      </c>
      <c r="M865" s="1"/>
    </row>
    <row r="866" spans="1:13" x14ac:dyDescent="0.55000000000000004">
      <c r="A866" s="1" t="s">
        <v>1722</v>
      </c>
      <c r="B866" t="s">
        <v>1326</v>
      </c>
      <c r="C866" s="2">
        <f>Return!C866</f>
        <v>2</v>
      </c>
      <c r="D866" s="2">
        <f>COUNTA(Argument!E866)</f>
        <v>1</v>
      </c>
      <c r="E866" s="2" t="str">
        <f>IF(C866,Return!D866,Return!E866)</f>
        <v>v</v>
      </c>
      <c r="F866" s="2" t="str">
        <f t="shared" si="39"/>
        <v>v</v>
      </c>
      <c r="G866" s="2" t="str">
        <f t="shared" si="41"/>
        <v>v</v>
      </c>
      <c r="H866" s="2" t="str">
        <f t="shared" si="40"/>
        <v>, v, v</v>
      </c>
      <c r="I866" s="2" t="str">
        <f>IF(Return!C866=0,REPLACE(INDEX(H:H,ROW()+Return!B866,),1,2,Return!E866&amp;"(")&amp;")","")</f>
        <v/>
      </c>
      <c r="M866" s="1"/>
    </row>
    <row r="867" spans="1:13" x14ac:dyDescent="0.55000000000000004">
      <c r="A867" s="1" t="s">
        <v>1723</v>
      </c>
      <c r="C867" s="2">
        <f>Return!C867</f>
        <v>0</v>
      </c>
      <c r="D867" s="2">
        <f>COUNTA(Argument!E867)</f>
        <v>0</v>
      </c>
      <c r="E867" s="2" t="str">
        <f>IF(C867,Return!D867,Return!E867)</f>
        <v>v</v>
      </c>
      <c r="F867" s="2" t="str">
        <f t="shared" si="39"/>
        <v/>
      </c>
      <c r="G867" s="2" t="str">
        <f t="shared" si="41"/>
        <v/>
      </c>
      <c r="H867" s="2" t="str">
        <f t="shared" si="40"/>
        <v/>
      </c>
      <c r="I867" s="2" t="str">
        <f>IF(Return!C867=0,REPLACE(INDEX(H:H,ROW()+Return!B867,),1,2,Return!E867&amp;"(")&amp;")","")</f>
        <v>v(v, v)</v>
      </c>
      <c r="M867" s="1"/>
    </row>
    <row r="868" spans="1:13" x14ac:dyDescent="0.55000000000000004">
      <c r="A868" s="1" t="s">
        <v>1723</v>
      </c>
      <c r="B868" t="s">
        <v>1321</v>
      </c>
      <c r="C868" s="2">
        <f>Return!C868</f>
        <v>1</v>
      </c>
      <c r="D868" s="2">
        <f>COUNTA(Argument!E868)</f>
        <v>0</v>
      </c>
      <c r="E868" s="2" t="str">
        <f>IF(C868,Return!D868,Return!E868)</f>
        <v>v</v>
      </c>
      <c r="F868" s="2" t="str">
        <f t="shared" si="39"/>
        <v>v</v>
      </c>
      <c r="G868" s="2" t="str">
        <f t="shared" si="41"/>
        <v>v</v>
      </c>
      <c r="H868" s="2" t="str">
        <f t="shared" si="40"/>
        <v>, v</v>
      </c>
      <c r="I868" s="2" t="str">
        <f>IF(Return!C868=0,REPLACE(INDEX(H:H,ROW()+Return!B868,),1,2,Return!E868&amp;"(")&amp;")","")</f>
        <v/>
      </c>
      <c r="M868" s="1"/>
    </row>
    <row r="869" spans="1:13" x14ac:dyDescent="0.55000000000000004">
      <c r="A869" s="1" t="s">
        <v>1723</v>
      </c>
      <c r="B869" t="s">
        <v>1326</v>
      </c>
      <c r="C869" s="2">
        <f>Return!C869</f>
        <v>2</v>
      </c>
      <c r="D869" s="2">
        <f>COUNTA(Argument!E869)</f>
        <v>1</v>
      </c>
      <c r="E869" s="2" t="str">
        <f>IF(C869,Return!D869,Return!E869)</f>
        <v>v</v>
      </c>
      <c r="F869" s="2" t="str">
        <f t="shared" si="39"/>
        <v>v</v>
      </c>
      <c r="G869" s="2" t="str">
        <f t="shared" si="41"/>
        <v>v</v>
      </c>
      <c r="H869" s="2" t="str">
        <f t="shared" si="40"/>
        <v>, v, v</v>
      </c>
      <c r="I869" s="2" t="str">
        <f>IF(Return!C869=0,REPLACE(INDEX(H:H,ROW()+Return!B869,),1,2,Return!E869&amp;"(")&amp;")","")</f>
        <v/>
      </c>
      <c r="M869" s="1"/>
    </row>
    <row r="870" spans="1:13" x14ac:dyDescent="0.55000000000000004">
      <c r="A870" s="1" t="s">
        <v>1724</v>
      </c>
      <c r="C870" s="2">
        <f>Return!C870</f>
        <v>0</v>
      </c>
      <c r="D870" s="2">
        <f>COUNTA(Argument!E870)</f>
        <v>0</v>
      </c>
      <c r="E870" s="2" t="str">
        <f>IF(C870,Return!D870,Return!E870)</f>
        <v>v</v>
      </c>
      <c r="F870" s="2" t="str">
        <f t="shared" si="39"/>
        <v/>
      </c>
      <c r="G870" s="2" t="str">
        <f t="shared" si="41"/>
        <v/>
      </c>
      <c r="H870" s="2" t="str">
        <f t="shared" si="40"/>
        <v/>
      </c>
      <c r="I870" s="2" t="str">
        <f>IF(Return!C870=0,REPLACE(INDEX(H:H,ROW()+Return!B870,),1,2,Return!E870&amp;"(")&amp;")","")</f>
        <v>v(v, v)</v>
      </c>
      <c r="M870" s="1"/>
    </row>
    <row r="871" spans="1:13" x14ac:dyDescent="0.55000000000000004">
      <c r="A871" s="1" t="s">
        <v>1724</v>
      </c>
      <c r="B871" t="s">
        <v>1223</v>
      </c>
      <c r="C871" s="2">
        <f>Return!C871</f>
        <v>1</v>
      </c>
      <c r="D871" s="2">
        <f>COUNTA(Argument!E871)</f>
        <v>0</v>
      </c>
      <c r="E871" s="2" t="str">
        <f>IF(C871,Return!D871,Return!E871)</f>
        <v>v</v>
      </c>
      <c r="F871" s="2" t="str">
        <f t="shared" si="39"/>
        <v>v</v>
      </c>
      <c r="G871" s="2" t="str">
        <f t="shared" si="41"/>
        <v>v</v>
      </c>
      <c r="H871" s="2" t="str">
        <f t="shared" si="40"/>
        <v>, v</v>
      </c>
      <c r="I871" s="2" t="str">
        <f>IF(Return!C871=0,REPLACE(INDEX(H:H,ROW()+Return!B871,),1,2,Return!E871&amp;"(")&amp;")","")</f>
        <v/>
      </c>
      <c r="M871" s="1"/>
    </row>
    <row r="872" spans="1:13" x14ac:dyDescent="0.55000000000000004">
      <c r="A872" s="1" t="s">
        <v>1724</v>
      </c>
      <c r="B872" t="s">
        <v>1327</v>
      </c>
      <c r="C872" s="2">
        <f>Return!C872</f>
        <v>2</v>
      </c>
      <c r="D872" s="2">
        <f>COUNTA(Argument!E872)</f>
        <v>1</v>
      </c>
      <c r="E872" s="2" t="str">
        <f>IF(C872,Return!D872,Return!E872)</f>
        <v>v</v>
      </c>
      <c r="F872" s="2" t="str">
        <f t="shared" si="39"/>
        <v>v</v>
      </c>
      <c r="G872" s="2" t="str">
        <f t="shared" si="41"/>
        <v>v</v>
      </c>
      <c r="H872" s="2" t="str">
        <f t="shared" si="40"/>
        <v>, v, v</v>
      </c>
      <c r="I872" s="2" t="str">
        <f>IF(Return!C872=0,REPLACE(INDEX(H:H,ROW()+Return!B872,),1,2,Return!E872&amp;"(")&amp;")","")</f>
        <v/>
      </c>
      <c r="M872" s="1"/>
    </row>
    <row r="873" spans="1:13" x14ac:dyDescent="0.55000000000000004">
      <c r="A873" s="1" t="s">
        <v>1725</v>
      </c>
      <c r="C873" s="2">
        <f>Return!C873</f>
        <v>0</v>
      </c>
      <c r="D873" s="2">
        <f>COUNTA(Argument!E873)</f>
        <v>0</v>
      </c>
      <c r="E873" s="2" t="str">
        <f>IF(C873,Return!D873,Return!E873)</f>
        <v>v</v>
      </c>
      <c r="F873" s="2" t="str">
        <f t="shared" si="39"/>
        <v/>
      </c>
      <c r="G873" s="2" t="str">
        <f t="shared" si="41"/>
        <v/>
      </c>
      <c r="H873" s="2" t="str">
        <f t="shared" si="40"/>
        <v/>
      </c>
      <c r="I873" s="2" t="str">
        <f>IF(Return!C873=0,REPLACE(INDEX(H:H,ROW()+Return!B873,),1,2,Return!E873&amp;"(")&amp;")","")</f>
        <v>v(v, v, v)</v>
      </c>
      <c r="M873" s="1"/>
    </row>
    <row r="874" spans="1:13" x14ac:dyDescent="0.55000000000000004">
      <c r="A874" s="1" t="s">
        <v>1725</v>
      </c>
      <c r="B874" t="s">
        <v>1317</v>
      </c>
      <c r="C874" s="2">
        <f>Return!C874</f>
        <v>1</v>
      </c>
      <c r="D874" s="2">
        <f>COUNTA(Argument!E874)</f>
        <v>0</v>
      </c>
      <c r="E874" s="2" t="str">
        <f>IF(C874,Return!D874,Return!E874)</f>
        <v>v</v>
      </c>
      <c r="F874" s="2" t="str">
        <f t="shared" si="39"/>
        <v>v</v>
      </c>
      <c r="G874" s="2" t="str">
        <f t="shared" si="41"/>
        <v>v</v>
      </c>
      <c r="H874" s="2" t="str">
        <f t="shared" si="40"/>
        <v>, v</v>
      </c>
      <c r="I874" s="2" t="str">
        <f>IF(Return!C874=0,REPLACE(INDEX(H:H,ROW()+Return!B874,),1,2,Return!E874&amp;"(")&amp;")","")</f>
        <v/>
      </c>
      <c r="M874" s="1"/>
    </row>
    <row r="875" spans="1:13" x14ac:dyDescent="0.55000000000000004">
      <c r="A875" s="1" t="s">
        <v>1725</v>
      </c>
      <c r="B875" t="s">
        <v>1328</v>
      </c>
      <c r="C875" s="2">
        <f>Return!C875</f>
        <v>2</v>
      </c>
      <c r="D875" s="2">
        <f>COUNTA(Argument!E875)</f>
        <v>0</v>
      </c>
      <c r="E875" s="2" t="str">
        <f>IF(C875,Return!D875,Return!E875)</f>
        <v>v</v>
      </c>
      <c r="F875" s="2" t="str">
        <f t="shared" si="39"/>
        <v>v</v>
      </c>
      <c r="G875" s="2" t="str">
        <f t="shared" si="41"/>
        <v>v</v>
      </c>
      <c r="H875" s="2" t="str">
        <f t="shared" si="40"/>
        <v>, v, v</v>
      </c>
      <c r="I875" s="2" t="str">
        <f>IF(Return!C875=0,REPLACE(INDEX(H:H,ROW()+Return!B875,),1,2,Return!E875&amp;"(")&amp;")","")</f>
        <v/>
      </c>
      <c r="M875" s="1"/>
    </row>
    <row r="876" spans="1:13" x14ac:dyDescent="0.55000000000000004">
      <c r="A876" s="1" t="s">
        <v>1725</v>
      </c>
      <c r="B876" t="s">
        <v>1329</v>
      </c>
      <c r="C876" s="2">
        <f>Return!C876</f>
        <v>3</v>
      </c>
      <c r="D876" s="2">
        <f>COUNTA(Argument!E876)</f>
        <v>1</v>
      </c>
      <c r="E876" s="2" t="str">
        <f>IF(C876,Return!D876,Return!E876)</f>
        <v>v</v>
      </c>
      <c r="F876" s="2" t="str">
        <f t="shared" si="39"/>
        <v>v</v>
      </c>
      <c r="G876" s="2" t="str">
        <f t="shared" si="41"/>
        <v>v</v>
      </c>
      <c r="H876" s="2" t="str">
        <f t="shared" si="40"/>
        <v>, v, v, v</v>
      </c>
      <c r="I876" s="2" t="str">
        <f>IF(Return!C876=0,REPLACE(INDEX(H:H,ROW()+Return!B876,),1,2,Return!E876&amp;"(")&amp;")","")</f>
        <v/>
      </c>
      <c r="M876" s="1"/>
    </row>
    <row r="877" spans="1:13" x14ac:dyDescent="0.55000000000000004">
      <c r="A877" s="1" t="s">
        <v>1726</v>
      </c>
      <c r="C877" s="2">
        <f>Return!C877</f>
        <v>0</v>
      </c>
      <c r="D877" s="2">
        <f>COUNTA(Argument!E877)</f>
        <v>0</v>
      </c>
      <c r="E877" s="2" t="str">
        <f>IF(C877,Return!D877,Return!E877)</f>
        <v>v</v>
      </c>
      <c r="F877" s="2" t="str">
        <f t="shared" si="39"/>
        <v/>
      </c>
      <c r="G877" s="2" t="str">
        <f t="shared" si="41"/>
        <v/>
      </c>
      <c r="H877" s="2" t="str">
        <f t="shared" si="40"/>
        <v/>
      </c>
      <c r="I877" s="2" t="str">
        <f>IF(Return!C877=0,REPLACE(INDEX(H:H,ROW()+Return!B877,),1,2,Return!E877&amp;"(")&amp;")","")</f>
        <v>v(v, v, v)</v>
      </c>
      <c r="M877" s="1"/>
    </row>
    <row r="878" spans="1:13" x14ac:dyDescent="0.55000000000000004">
      <c r="A878" s="1" t="s">
        <v>1726</v>
      </c>
      <c r="B878" t="s">
        <v>1323</v>
      </c>
      <c r="C878" s="2">
        <f>Return!C878</f>
        <v>1</v>
      </c>
      <c r="D878" s="2">
        <f>COUNTA(Argument!E878)</f>
        <v>0</v>
      </c>
      <c r="E878" s="2" t="str">
        <f>IF(C878,Return!D878,Return!E878)</f>
        <v>v</v>
      </c>
      <c r="F878" s="2" t="str">
        <f t="shared" si="39"/>
        <v>v</v>
      </c>
      <c r="G878" s="2" t="str">
        <f t="shared" si="41"/>
        <v>v</v>
      </c>
      <c r="H878" s="2" t="str">
        <f t="shared" si="40"/>
        <v>, v</v>
      </c>
      <c r="I878" s="2" t="str">
        <f>IF(Return!C878=0,REPLACE(INDEX(H:H,ROW()+Return!B878,),1,2,Return!E878&amp;"(")&amp;")","")</f>
        <v/>
      </c>
      <c r="M878" s="1"/>
    </row>
    <row r="879" spans="1:13" x14ac:dyDescent="0.55000000000000004">
      <c r="A879" s="1" t="s">
        <v>1726</v>
      </c>
      <c r="B879" t="s">
        <v>1324</v>
      </c>
      <c r="C879" s="2">
        <f>Return!C879</f>
        <v>2</v>
      </c>
      <c r="D879" s="2">
        <f>COUNTA(Argument!E879)</f>
        <v>0</v>
      </c>
      <c r="E879" s="2" t="str">
        <f>IF(C879,Return!D879,Return!E879)</f>
        <v>v</v>
      </c>
      <c r="F879" s="2" t="str">
        <f t="shared" si="39"/>
        <v>v</v>
      </c>
      <c r="G879" s="2" t="str">
        <f t="shared" si="41"/>
        <v>v</v>
      </c>
      <c r="H879" s="2" t="str">
        <f t="shared" si="40"/>
        <v>, v, v</v>
      </c>
      <c r="I879" s="2" t="str">
        <f>IF(Return!C879=0,REPLACE(INDEX(H:H,ROW()+Return!B879,),1,2,Return!E879&amp;"(")&amp;")","")</f>
        <v/>
      </c>
      <c r="M879" s="1"/>
    </row>
    <row r="880" spans="1:13" x14ac:dyDescent="0.55000000000000004">
      <c r="A880" s="1" t="s">
        <v>1726</v>
      </c>
      <c r="B880" t="s">
        <v>1317</v>
      </c>
      <c r="C880" s="2">
        <f>Return!C880</f>
        <v>3</v>
      </c>
      <c r="D880" s="2">
        <f>COUNTA(Argument!E880)</f>
        <v>1</v>
      </c>
      <c r="E880" s="2" t="str">
        <f>IF(C880,Return!D880,Return!E880)</f>
        <v>v</v>
      </c>
      <c r="F880" s="2" t="str">
        <f t="shared" si="39"/>
        <v>v</v>
      </c>
      <c r="G880" s="2" t="str">
        <f t="shared" si="41"/>
        <v>v</v>
      </c>
      <c r="H880" s="2" t="str">
        <f t="shared" si="40"/>
        <v>, v, v, v</v>
      </c>
      <c r="I880" s="2" t="str">
        <f>IF(Return!C880=0,REPLACE(INDEX(H:H,ROW()+Return!B880,),1,2,Return!E880&amp;"(")&amp;")","")</f>
        <v/>
      </c>
      <c r="M880" s="1"/>
    </row>
    <row r="881" spans="1:13" x14ac:dyDescent="0.55000000000000004">
      <c r="A881" s="1" t="s">
        <v>1727</v>
      </c>
      <c r="C881" s="2">
        <f>Return!C881</f>
        <v>0</v>
      </c>
      <c r="D881" s="2">
        <f>COUNTA(Argument!E881)</f>
        <v>0</v>
      </c>
      <c r="E881" s="2" t="str">
        <f>IF(C881,Return!D881,Return!E881)</f>
        <v>v</v>
      </c>
      <c r="F881" s="2" t="str">
        <f t="shared" si="39"/>
        <v/>
      </c>
      <c r="G881" s="2" t="str">
        <f t="shared" si="41"/>
        <v/>
      </c>
      <c r="H881" s="2" t="str">
        <f t="shared" si="40"/>
        <v/>
      </c>
      <c r="I881" s="2" t="str">
        <f>IF(Return!C881=0,REPLACE(INDEX(H:H,ROW()+Return!B881,),1,2,Return!E881&amp;"(")&amp;")","")</f>
        <v>v(v)</v>
      </c>
      <c r="M881" s="1"/>
    </row>
    <row r="882" spans="1:13" x14ac:dyDescent="0.55000000000000004">
      <c r="A882" s="1" t="s">
        <v>1727</v>
      </c>
      <c r="B882" t="s">
        <v>1223</v>
      </c>
      <c r="C882" s="2">
        <f>Return!C882</f>
        <v>1</v>
      </c>
      <c r="D882" s="2">
        <f>COUNTA(Argument!E882)</f>
        <v>1</v>
      </c>
      <c r="E882" s="2" t="str">
        <f>IF(C882,Return!D882,Return!E882)</f>
        <v>v</v>
      </c>
      <c r="F882" s="2" t="str">
        <f t="shared" si="39"/>
        <v>v</v>
      </c>
      <c r="G882" s="2" t="str">
        <f t="shared" si="41"/>
        <v>v</v>
      </c>
      <c r="H882" s="2" t="str">
        <f t="shared" si="40"/>
        <v>, v</v>
      </c>
      <c r="I882" s="2" t="str">
        <f>IF(Return!C882=0,REPLACE(INDEX(H:H,ROW()+Return!B882,),1,2,Return!E882&amp;"(")&amp;")","")</f>
        <v/>
      </c>
      <c r="M882" s="1"/>
    </row>
    <row r="883" spans="1:13" x14ac:dyDescent="0.55000000000000004">
      <c r="A883" s="1" t="s">
        <v>1728</v>
      </c>
      <c r="C883" s="2">
        <f>Return!C883</f>
        <v>0</v>
      </c>
      <c r="D883" s="2">
        <f>COUNTA(Argument!E883)</f>
        <v>0</v>
      </c>
      <c r="E883" s="2" t="str">
        <f>IF(C883,Return!D883,Return!E883)</f>
        <v>v</v>
      </c>
      <c r="F883" s="2" t="str">
        <f t="shared" si="39"/>
        <v/>
      </c>
      <c r="G883" s="2" t="str">
        <f t="shared" si="41"/>
        <v/>
      </c>
      <c r="H883" s="2" t="str">
        <f t="shared" si="40"/>
        <v/>
      </c>
      <c r="I883" s="2" t="str">
        <f>IF(Return!C883=0,REPLACE(INDEX(H:H,ROW()+Return!B883,),1,2,Return!E883&amp;"(")&amp;")","")</f>
        <v>v(v, v, v)</v>
      </c>
      <c r="M883" s="1"/>
    </row>
    <row r="884" spans="1:13" x14ac:dyDescent="0.55000000000000004">
      <c r="A884" s="1" t="s">
        <v>1728</v>
      </c>
      <c r="B884" t="s">
        <v>1316</v>
      </c>
      <c r="C884" s="2">
        <f>Return!C884</f>
        <v>1</v>
      </c>
      <c r="D884" s="2">
        <f>COUNTA(Argument!E884)</f>
        <v>0</v>
      </c>
      <c r="E884" s="2" t="str">
        <f>IF(C884,Return!D884,Return!E884)</f>
        <v>v</v>
      </c>
      <c r="F884" s="2" t="str">
        <f t="shared" si="39"/>
        <v>v</v>
      </c>
      <c r="G884" s="2" t="str">
        <f t="shared" si="41"/>
        <v>v</v>
      </c>
      <c r="H884" s="2" t="str">
        <f t="shared" si="40"/>
        <v>, v</v>
      </c>
      <c r="I884" s="2" t="str">
        <f>IF(Return!C884=0,REPLACE(INDEX(H:H,ROW()+Return!B884,),1,2,Return!E884&amp;"(")&amp;")","")</f>
        <v/>
      </c>
      <c r="M884" s="1"/>
    </row>
    <row r="885" spans="1:13" x14ac:dyDescent="0.55000000000000004">
      <c r="A885" s="1" t="s">
        <v>1728</v>
      </c>
      <c r="B885" t="s">
        <v>1330</v>
      </c>
      <c r="C885" s="2">
        <f>Return!C885</f>
        <v>2</v>
      </c>
      <c r="D885" s="2">
        <f>COUNTA(Argument!E885)</f>
        <v>0</v>
      </c>
      <c r="E885" s="2" t="str">
        <f>IF(C885,Return!D885,Return!E885)</f>
        <v>v</v>
      </c>
      <c r="F885" s="2" t="str">
        <f t="shared" si="39"/>
        <v>v</v>
      </c>
      <c r="G885" s="2" t="str">
        <f t="shared" si="41"/>
        <v>v</v>
      </c>
      <c r="H885" s="2" t="str">
        <f t="shared" si="40"/>
        <v>, v, v</v>
      </c>
      <c r="I885" s="2" t="str">
        <f>IF(Return!C885=0,REPLACE(INDEX(H:H,ROW()+Return!B885,),1,2,Return!E885&amp;"(")&amp;")","")</f>
        <v/>
      </c>
      <c r="M885" s="1"/>
    </row>
    <row r="886" spans="1:13" x14ac:dyDescent="0.55000000000000004">
      <c r="A886" s="1" t="s">
        <v>1728</v>
      </c>
      <c r="B886" t="s">
        <v>1325</v>
      </c>
      <c r="C886" s="2">
        <f>Return!C886</f>
        <v>3</v>
      </c>
      <c r="D886" s="2">
        <f>COUNTA(Argument!E886)</f>
        <v>1</v>
      </c>
      <c r="E886" s="2" t="str">
        <f>IF(C886,Return!D886,Return!E886)</f>
        <v>v</v>
      </c>
      <c r="F886" s="2" t="str">
        <f t="shared" si="39"/>
        <v>v</v>
      </c>
      <c r="G886" s="2" t="str">
        <f t="shared" si="41"/>
        <v>v</v>
      </c>
      <c r="H886" s="2" t="str">
        <f t="shared" si="40"/>
        <v>, v, v, v</v>
      </c>
      <c r="I886" s="2" t="str">
        <f>IF(Return!C886=0,REPLACE(INDEX(H:H,ROW()+Return!B886,),1,2,Return!E886&amp;"(")&amp;")","")</f>
        <v/>
      </c>
      <c r="M886" s="1"/>
    </row>
    <row r="887" spans="1:13" x14ac:dyDescent="0.55000000000000004">
      <c r="A887" s="1" t="s">
        <v>1729</v>
      </c>
      <c r="C887" s="2">
        <f>Return!C887</f>
        <v>0</v>
      </c>
      <c r="D887" s="2">
        <f>COUNTA(Argument!E887)</f>
        <v>0</v>
      </c>
      <c r="E887" s="2" t="str">
        <f>IF(C887,Return!D887,Return!E887)</f>
        <v>v</v>
      </c>
      <c r="F887" s="2" t="str">
        <f t="shared" si="39"/>
        <v/>
      </c>
      <c r="G887" s="2" t="str">
        <f t="shared" si="41"/>
        <v/>
      </c>
      <c r="H887" s="2" t="str">
        <f t="shared" si="40"/>
        <v/>
      </c>
      <c r="I887" s="2" t="str">
        <f>IF(Return!C887=0,REPLACE(INDEX(H:H,ROW()+Return!B887,),1,2,Return!E887&amp;"(")&amp;")","")</f>
        <v>v(v, v, v)</v>
      </c>
      <c r="M887" s="1"/>
    </row>
    <row r="888" spans="1:13" x14ac:dyDescent="0.55000000000000004">
      <c r="A888" s="1" t="s">
        <v>1729</v>
      </c>
      <c r="B888" t="s">
        <v>1316</v>
      </c>
      <c r="C888" s="2">
        <f>Return!C888</f>
        <v>1</v>
      </c>
      <c r="D888" s="2">
        <f>COUNTA(Argument!E888)</f>
        <v>0</v>
      </c>
      <c r="E888" s="2" t="str">
        <f>IF(C888,Return!D888,Return!E888)</f>
        <v>v</v>
      </c>
      <c r="F888" s="2" t="str">
        <f t="shared" si="39"/>
        <v>v</v>
      </c>
      <c r="G888" s="2" t="str">
        <f t="shared" si="41"/>
        <v>v</v>
      </c>
      <c r="H888" s="2" t="str">
        <f t="shared" si="40"/>
        <v>, v</v>
      </c>
      <c r="I888" s="2" t="str">
        <f>IF(Return!C888=0,REPLACE(INDEX(H:H,ROW()+Return!B888,),1,2,Return!E888&amp;"(")&amp;")","")</f>
        <v/>
      </c>
      <c r="M888" s="1"/>
    </row>
    <row r="889" spans="1:13" x14ac:dyDescent="0.55000000000000004">
      <c r="A889" s="1" t="s">
        <v>1729</v>
      </c>
      <c r="B889" t="s">
        <v>1331</v>
      </c>
      <c r="C889" s="2">
        <f>Return!C889</f>
        <v>2</v>
      </c>
      <c r="D889" s="2">
        <f>COUNTA(Argument!E889)</f>
        <v>0</v>
      </c>
      <c r="E889" s="2" t="str">
        <f>IF(C889,Return!D889,Return!E889)</f>
        <v>v</v>
      </c>
      <c r="F889" s="2" t="str">
        <f t="shared" si="39"/>
        <v>v</v>
      </c>
      <c r="G889" s="2" t="str">
        <f t="shared" si="41"/>
        <v>v</v>
      </c>
      <c r="H889" s="2" t="str">
        <f t="shared" si="40"/>
        <v>, v, v</v>
      </c>
      <c r="I889" s="2" t="str">
        <f>IF(Return!C889=0,REPLACE(INDEX(H:H,ROW()+Return!B889,),1,2,Return!E889&amp;"(")&amp;")","")</f>
        <v/>
      </c>
      <c r="M889" s="1"/>
    </row>
    <row r="890" spans="1:13" x14ac:dyDescent="0.55000000000000004">
      <c r="A890" s="1" t="s">
        <v>1729</v>
      </c>
      <c r="B890" t="s">
        <v>1332</v>
      </c>
      <c r="C890" s="2">
        <f>Return!C890</f>
        <v>3</v>
      </c>
      <c r="D890" s="2">
        <f>COUNTA(Argument!E890)</f>
        <v>1</v>
      </c>
      <c r="E890" s="2" t="str">
        <f>IF(C890,Return!D890,Return!E890)</f>
        <v>v</v>
      </c>
      <c r="F890" s="2" t="str">
        <f t="shared" si="39"/>
        <v>v</v>
      </c>
      <c r="G890" s="2" t="str">
        <f t="shared" si="41"/>
        <v>v</v>
      </c>
      <c r="H890" s="2" t="str">
        <f t="shared" si="40"/>
        <v>, v, v, v</v>
      </c>
      <c r="I890" s="2" t="str">
        <f>IF(Return!C890=0,REPLACE(INDEX(H:H,ROW()+Return!B890,),1,2,Return!E890&amp;"(")&amp;")","")</f>
        <v/>
      </c>
      <c r="M890" s="1"/>
    </row>
    <row r="891" spans="1:13" x14ac:dyDescent="0.55000000000000004">
      <c r="A891" s="1" t="s">
        <v>1730</v>
      </c>
      <c r="C891" s="2">
        <f>Return!C891</f>
        <v>0</v>
      </c>
      <c r="D891" s="2">
        <f>COUNTA(Argument!E891)</f>
        <v>0</v>
      </c>
      <c r="E891" s="2" t="str">
        <f>IF(C891,Return!D891,Return!E891)</f>
        <v>v</v>
      </c>
      <c r="F891" s="2" t="str">
        <f t="shared" si="39"/>
        <v/>
      </c>
      <c r="G891" s="2" t="str">
        <f t="shared" si="41"/>
        <v/>
      </c>
      <c r="H891" s="2" t="str">
        <f t="shared" si="40"/>
        <v/>
      </c>
      <c r="I891" s="2" t="str">
        <f>IF(Return!C891=0,REPLACE(INDEX(H:H,ROW()+Return!B891,),1,2,Return!E891&amp;"(")&amp;")","")</f>
        <v>v(v, v, v)</v>
      </c>
      <c r="M891" s="1"/>
    </row>
    <row r="892" spans="1:13" x14ac:dyDescent="0.55000000000000004">
      <c r="A892" s="1" t="s">
        <v>1730</v>
      </c>
      <c r="B892" t="s">
        <v>1321</v>
      </c>
      <c r="C892" s="2">
        <f>Return!C892</f>
        <v>1</v>
      </c>
      <c r="D892" s="2">
        <f>COUNTA(Argument!E892)</f>
        <v>0</v>
      </c>
      <c r="E892" s="2" t="str">
        <f>IF(C892,Return!D892,Return!E892)</f>
        <v>v</v>
      </c>
      <c r="F892" s="2" t="str">
        <f t="shared" si="39"/>
        <v>v</v>
      </c>
      <c r="G892" s="2" t="str">
        <f t="shared" si="41"/>
        <v>v</v>
      </c>
      <c r="H892" s="2" t="str">
        <f t="shared" si="40"/>
        <v>, v</v>
      </c>
      <c r="I892" s="2" t="str">
        <f>IF(Return!C892=0,REPLACE(INDEX(H:H,ROW()+Return!B892,),1,2,Return!E892&amp;"(")&amp;")","")</f>
        <v/>
      </c>
      <c r="M892" s="1"/>
    </row>
    <row r="893" spans="1:13" x14ac:dyDescent="0.55000000000000004">
      <c r="A893" s="1" t="s">
        <v>1730</v>
      </c>
      <c r="B893" t="s">
        <v>1331</v>
      </c>
      <c r="C893" s="2">
        <f>Return!C893</f>
        <v>2</v>
      </c>
      <c r="D893" s="2">
        <f>COUNTA(Argument!E893)</f>
        <v>0</v>
      </c>
      <c r="E893" s="2" t="str">
        <f>IF(C893,Return!D893,Return!E893)</f>
        <v>v</v>
      </c>
      <c r="F893" s="2" t="str">
        <f t="shared" si="39"/>
        <v>v</v>
      </c>
      <c r="G893" s="2" t="str">
        <f t="shared" si="41"/>
        <v>v</v>
      </c>
      <c r="H893" s="2" t="str">
        <f t="shared" si="40"/>
        <v>, v, v</v>
      </c>
      <c r="I893" s="2" t="str">
        <f>IF(Return!C893=0,REPLACE(INDEX(H:H,ROW()+Return!B893,),1,2,Return!E893&amp;"(")&amp;")","")</f>
        <v/>
      </c>
      <c r="M893" s="1"/>
    </row>
    <row r="894" spans="1:13" x14ac:dyDescent="0.55000000000000004">
      <c r="A894" s="1" t="s">
        <v>1730</v>
      </c>
      <c r="B894" t="s">
        <v>1332</v>
      </c>
      <c r="C894" s="2">
        <f>Return!C894</f>
        <v>3</v>
      </c>
      <c r="D894" s="2">
        <f>COUNTA(Argument!E894)</f>
        <v>1</v>
      </c>
      <c r="E894" s="2" t="str">
        <f>IF(C894,Return!D894,Return!E894)</f>
        <v>v</v>
      </c>
      <c r="F894" s="2" t="str">
        <f t="shared" si="39"/>
        <v>v</v>
      </c>
      <c r="G894" s="2" t="str">
        <f t="shared" si="41"/>
        <v>v</v>
      </c>
      <c r="H894" s="2" t="str">
        <f t="shared" si="40"/>
        <v>, v, v, v</v>
      </c>
      <c r="I894" s="2" t="str">
        <f>IF(Return!C894=0,REPLACE(INDEX(H:H,ROW()+Return!B894,),1,2,Return!E894&amp;"(")&amp;")","")</f>
        <v/>
      </c>
      <c r="M894" s="1"/>
    </row>
    <row r="895" spans="1:13" x14ac:dyDescent="0.55000000000000004">
      <c r="A895" s="1" t="s">
        <v>1731</v>
      </c>
      <c r="C895" s="2">
        <f>Return!C895</f>
        <v>0</v>
      </c>
      <c r="D895" s="2">
        <f>COUNTA(Argument!E895)</f>
        <v>0</v>
      </c>
      <c r="E895" s="2" t="str">
        <f>IF(C895,Return!D895,Return!E895)</f>
        <v>v</v>
      </c>
      <c r="F895" s="2" t="str">
        <f t="shared" si="39"/>
        <v/>
      </c>
      <c r="G895" s="2" t="str">
        <f t="shared" si="41"/>
        <v/>
      </c>
      <c r="H895" s="2" t="str">
        <f t="shared" si="40"/>
        <v/>
      </c>
      <c r="I895" s="2" t="str">
        <f>IF(Return!C895=0,REPLACE(INDEX(H:H,ROW()+Return!B895,),1,2,Return!E895&amp;"(")&amp;")","")</f>
        <v>v(v)</v>
      </c>
      <c r="M895" s="1"/>
    </row>
    <row r="896" spans="1:13" x14ac:dyDescent="0.55000000000000004">
      <c r="A896" s="1" t="s">
        <v>1731</v>
      </c>
      <c r="B896" t="s">
        <v>1316</v>
      </c>
      <c r="C896" s="2">
        <f>Return!C896</f>
        <v>1</v>
      </c>
      <c r="D896" s="2">
        <f>COUNTA(Argument!E896)</f>
        <v>1</v>
      </c>
      <c r="E896" s="2" t="str">
        <f>IF(C896,Return!D896,Return!E896)</f>
        <v>v</v>
      </c>
      <c r="F896" s="2" t="str">
        <f t="shared" si="39"/>
        <v>v</v>
      </c>
      <c r="G896" s="2" t="str">
        <f t="shared" si="41"/>
        <v>v</v>
      </c>
      <c r="H896" s="2" t="str">
        <f t="shared" si="40"/>
        <v>, v</v>
      </c>
      <c r="I896" s="2" t="str">
        <f>IF(Return!C896=0,REPLACE(INDEX(H:H,ROW()+Return!B896,),1,2,Return!E896&amp;"(")&amp;")","")</f>
        <v/>
      </c>
      <c r="M896" s="1"/>
    </row>
    <row r="897" spans="1:13" x14ac:dyDescent="0.55000000000000004">
      <c r="A897" s="1" t="s">
        <v>1732</v>
      </c>
      <c r="C897" s="2">
        <f>Return!C897</f>
        <v>0</v>
      </c>
      <c r="D897" s="2">
        <f>COUNTA(Argument!E897)</f>
        <v>0</v>
      </c>
      <c r="E897" s="2" t="str">
        <f>IF(C897,Return!D897,Return!E897)</f>
        <v>v</v>
      </c>
      <c r="F897" s="2" t="str">
        <f t="shared" si="39"/>
        <v/>
      </c>
      <c r="G897" s="2" t="str">
        <f t="shared" si="41"/>
        <v/>
      </c>
      <c r="H897" s="2" t="str">
        <f t="shared" si="40"/>
        <v/>
      </c>
      <c r="I897" s="2" t="str">
        <f>IF(Return!C897=0,REPLACE(INDEX(H:H,ROW()+Return!B897,),1,2,Return!E897&amp;"(")&amp;")","")</f>
        <v>v(v)</v>
      </c>
      <c r="M897" s="1"/>
    </row>
    <row r="898" spans="1:13" x14ac:dyDescent="0.55000000000000004">
      <c r="A898" s="1" t="s">
        <v>1732</v>
      </c>
      <c r="B898" t="s">
        <v>1333</v>
      </c>
      <c r="C898" s="2">
        <f>Return!C898</f>
        <v>1</v>
      </c>
      <c r="D898" s="2">
        <f>COUNTA(Argument!E898)</f>
        <v>1</v>
      </c>
      <c r="E898" s="2" t="str">
        <f>IF(C898,Return!D898,Return!E898)</f>
        <v>v</v>
      </c>
      <c r="F898" s="2" t="str">
        <f t="shared" si="39"/>
        <v>v</v>
      </c>
      <c r="G898" s="2" t="str">
        <f t="shared" si="41"/>
        <v>v</v>
      </c>
      <c r="H898" s="2" t="str">
        <f t="shared" si="40"/>
        <v>, v</v>
      </c>
      <c r="I898" s="2" t="str">
        <f>IF(Return!C898=0,REPLACE(INDEX(H:H,ROW()+Return!B898,),1,2,Return!E898&amp;"(")&amp;")","")</f>
        <v/>
      </c>
      <c r="M898" s="1"/>
    </row>
    <row r="899" spans="1:13" x14ac:dyDescent="0.55000000000000004">
      <c r="A899" s="1" t="s">
        <v>1733</v>
      </c>
      <c r="C899" s="2">
        <f>Return!C899</f>
        <v>0</v>
      </c>
      <c r="D899" s="2">
        <f>COUNTA(Argument!E899)</f>
        <v>0</v>
      </c>
      <c r="E899" s="2" t="str">
        <f>IF(C899,Return!D899,Return!E899)</f>
        <v>v</v>
      </c>
      <c r="F899" s="2" t="str">
        <f t="shared" ref="F899:F962" si="42">IF(C899,IF(D899,IF(D898,"["&amp;E899&amp;"]",E899),E899),"")</f>
        <v/>
      </c>
      <c r="G899" s="2" t="str">
        <f t="shared" si="41"/>
        <v/>
      </c>
      <c r="H899" s="2" t="str">
        <f t="shared" ref="H899:H962" si="43">IF(C899&gt;0,H898&amp;", "&amp;G899,"")</f>
        <v/>
      </c>
      <c r="I899" s="2" t="str">
        <f>IF(Return!C899=0,REPLACE(INDEX(H:H,ROW()+Return!B899,),1,2,Return!E899&amp;"(")&amp;")","")</f>
        <v>v(v, v)</v>
      </c>
      <c r="M899" s="1"/>
    </row>
    <row r="900" spans="1:13" x14ac:dyDescent="0.55000000000000004">
      <c r="A900" s="1" t="s">
        <v>1733</v>
      </c>
      <c r="B900" t="s">
        <v>1223</v>
      </c>
      <c r="C900" s="2">
        <f>Return!C900</f>
        <v>1</v>
      </c>
      <c r="D900" s="2">
        <f>COUNTA(Argument!E900)</f>
        <v>0</v>
      </c>
      <c r="E900" s="2" t="str">
        <f>IF(C900,Return!D900,Return!E900)</f>
        <v>v</v>
      </c>
      <c r="F900" s="2" t="str">
        <f t="shared" si="42"/>
        <v>v</v>
      </c>
      <c r="G900" s="2" t="str">
        <f t="shared" ref="G900:G963" si="44">IF(B900="...",IF(C901&gt;0,"["&amp;E900,"…"),IF(B899=" ...",IF(C900&gt;0,E900&amp;"], …",F900),F900))</f>
        <v>v</v>
      </c>
      <c r="H900" s="2" t="str">
        <f t="shared" si="43"/>
        <v>, v</v>
      </c>
      <c r="I900" s="2" t="str">
        <f>IF(Return!C900=0,REPLACE(INDEX(H:H,ROW()+Return!B900,),1,2,Return!E900&amp;"(")&amp;")","")</f>
        <v/>
      </c>
      <c r="M900" s="1"/>
    </row>
    <row r="901" spans="1:13" x14ac:dyDescent="0.55000000000000004">
      <c r="A901" s="1" t="s">
        <v>1733</v>
      </c>
      <c r="B901" t="s">
        <v>1334</v>
      </c>
      <c r="C901" s="2">
        <f>Return!C901</f>
        <v>2</v>
      </c>
      <c r="D901" s="2">
        <f>COUNTA(Argument!E901)</f>
        <v>1</v>
      </c>
      <c r="E901" s="2" t="str">
        <f>IF(C901,Return!D901,Return!E901)</f>
        <v>v</v>
      </c>
      <c r="F901" s="2" t="str">
        <f t="shared" si="42"/>
        <v>v</v>
      </c>
      <c r="G901" s="2" t="str">
        <f t="shared" si="44"/>
        <v>v</v>
      </c>
      <c r="H901" s="2" t="str">
        <f t="shared" si="43"/>
        <v>, v, v</v>
      </c>
      <c r="I901" s="2" t="str">
        <f>IF(Return!C901=0,REPLACE(INDEX(H:H,ROW()+Return!B901,),1,2,Return!E901&amp;"(")&amp;")","")</f>
        <v/>
      </c>
      <c r="M901" s="1"/>
    </row>
    <row r="902" spans="1:13" x14ac:dyDescent="0.55000000000000004">
      <c r="A902" s="1" t="s">
        <v>1734</v>
      </c>
      <c r="C902" s="2">
        <f>Return!C902</f>
        <v>0</v>
      </c>
      <c r="D902" s="2">
        <f>COUNTA(Argument!E902)</f>
        <v>0</v>
      </c>
      <c r="E902" s="2" t="str">
        <f>IF(C902,Return!D902,Return!E902)</f>
        <v>v</v>
      </c>
      <c r="F902" s="2" t="str">
        <f t="shared" si="42"/>
        <v/>
      </c>
      <c r="G902" s="2" t="str">
        <f t="shared" si="44"/>
        <v/>
      </c>
      <c r="H902" s="2" t="str">
        <f t="shared" si="43"/>
        <v/>
      </c>
      <c r="I902" s="2" t="str">
        <f>IF(Return!C902=0,REPLACE(INDEX(H:H,ROW()+Return!B902,),1,2,Return!E902&amp;"(")&amp;")","")</f>
        <v>v(v, v, v, v)</v>
      </c>
      <c r="M902" s="1"/>
    </row>
    <row r="903" spans="1:13" x14ac:dyDescent="0.55000000000000004">
      <c r="A903" s="1" t="s">
        <v>1734</v>
      </c>
      <c r="B903" t="s">
        <v>1316</v>
      </c>
      <c r="C903" s="2">
        <f>Return!C903</f>
        <v>1</v>
      </c>
      <c r="D903" s="2">
        <f>COUNTA(Argument!E903)</f>
        <v>0</v>
      </c>
      <c r="E903" s="2" t="str">
        <f>IF(C903,Return!D903,Return!E903)</f>
        <v>v</v>
      </c>
      <c r="F903" s="2" t="str">
        <f t="shared" si="42"/>
        <v>v</v>
      </c>
      <c r="G903" s="2" t="str">
        <f t="shared" si="44"/>
        <v>v</v>
      </c>
      <c r="H903" s="2" t="str">
        <f t="shared" si="43"/>
        <v>, v</v>
      </c>
      <c r="I903" s="2" t="str">
        <f>IF(Return!C903=0,REPLACE(INDEX(H:H,ROW()+Return!B903,),1,2,Return!E903&amp;"(")&amp;")","")</f>
        <v/>
      </c>
      <c r="M903" s="1"/>
    </row>
    <row r="904" spans="1:13" x14ac:dyDescent="0.55000000000000004">
      <c r="A904" s="1" t="s">
        <v>1734</v>
      </c>
      <c r="B904" t="s">
        <v>1317</v>
      </c>
      <c r="C904" s="2">
        <f>Return!C904</f>
        <v>2</v>
      </c>
      <c r="D904" s="2">
        <f>COUNTA(Argument!E904)</f>
        <v>0</v>
      </c>
      <c r="E904" s="2" t="str">
        <f>IF(C904,Return!D904,Return!E904)</f>
        <v>v</v>
      </c>
      <c r="F904" s="2" t="str">
        <f t="shared" si="42"/>
        <v>v</v>
      </c>
      <c r="G904" s="2" t="str">
        <f t="shared" si="44"/>
        <v>v</v>
      </c>
      <c r="H904" s="2" t="str">
        <f t="shared" si="43"/>
        <v>, v, v</v>
      </c>
      <c r="I904" s="2" t="str">
        <f>IF(Return!C904=0,REPLACE(INDEX(H:H,ROW()+Return!B904,),1,2,Return!E904&amp;"(")&amp;")","")</f>
        <v/>
      </c>
      <c r="M904" s="1"/>
    </row>
    <row r="905" spans="1:13" x14ac:dyDescent="0.55000000000000004">
      <c r="A905" s="1" t="s">
        <v>1734</v>
      </c>
      <c r="B905" t="s">
        <v>1318</v>
      </c>
      <c r="C905" s="2">
        <f>Return!C905</f>
        <v>3</v>
      </c>
      <c r="D905" s="2">
        <f>COUNTA(Argument!E905)</f>
        <v>0</v>
      </c>
      <c r="E905" s="2" t="str">
        <f>IF(C905,Return!D905,Return!E905)</f>
        <v>v</v>
      </c>
      <c r="F905" s="2" t="str">
        <f t="shared" si="42"/>
        <v>v</v>
      </c>
      <c r="G905" s="2" t="str">
        <f t="shared" si="44"/>
        <v>v</v>
      </c>
      <c r="H905" s="2" t="str">
        <f t="shared" si="43"/>
        <v>, v, v, v</v>
      </c>
      <c r="I905" s="2" t="str">
        <f>IF(Return!C905=0,REPLACE(INDEX(H:H,ROW()+Return!B905,),1,2,Return!E905&amp;"(")&amp;")","")</f>
        <v/>
      </c>
      <c r="M905" s="1"/>
    </row>
    <row r="906" spans="1:13" x14ac:dyDescent="0.55000000000000004">
      <c r="A906" s="1" t="s">
        <v>1734</v>
      </c>
      <c r="B906" t="s">
        <v>1325</v>
      </c>
      <c r="C906" s="2">
        <f>Return!C906</f>
        <v>4</v>
      </c>
      <c r="D906" s="2">
        <f>COUNTA(Argument!E906)</f>
        <v>1</v>
      </c>
      <c r="E906" s="2" t="str">
        <f>IF(C906,Return!D906,Return!E906)</f>
        <v>v</v>
      </c>
      <c r="F906" s="2" t="str">
        <f t="shared" si="42"/>
        <v>v</v>
      </c>
      <c r="G906" s="2" t="str">
        <f t="shared" si="44"/>
        <v>v</v>
      </c>
      <c r="H906" s="2" t="str">
        <f t="shared" si="43"/>
        <v>, v, v, v, v</v>
      </c>
      <c r="I906" s="2" t="str">
        <f>IF(Return!C906=0,REPLACE(INDEX(H:H,ROW()+Return!B906,),1,2,Return!E906&amp;"(")&amp;")","")</f>
        <v/>
      </c>
      <c r="M906" s="1"/>
    </row>
    <row r="907" spans="1:13" x14ac:dyDescent="0.55000000000000004">
      <c r="A907" s="1" t="s">
        <v>1735</v>
      </c>
      <c r="C907" s="2">
        <f>Return!C907</f>
        <v>0</v>
      </c>
      <c r="D907" s="2">
        <f>COUNTA(Argument!E907)</f>
        <v>0</v>
      </c>
      <c r="E907" s="2" t="str">
        <f>IF(C907,Return!D907,Return!E907)</f>
        <v>v</v>
      </c>
      <c r="F907" s="2" t="str">
        <f t="shared" si="42"/>
        <v/>
      </c>
      <c r="G907" s="2" t="str">
        <f t="shared" si="44"/>
        <v/>
      </c>
      <c r="H907" s="2" t="str">
        <f t="shared" si="43"/>
        <v/>
      </c>
      <c r="I907" s="2" t="str">
        <f>IF(Return!C907=0,REPLACE(INDEX(H:H,ROW()+Return!B907,),1,2,Return!E907&amp;"(")&amp;")","")</f>
        <v>v(v, v, v)</v>
      </c>
      <c r="M907" s="1"/>
    </row>
    <row r="908" spans="1:13" x14ac:dyDescent="0.55000000000000004">
      <c r="A908" s="1" t="s">
        <v>1735</v>
      </c>
      <c r="B908" t="s">
        <v>1321</v>
      </c>
      <c r="C908" s="2">
        <f>Return!C908</f>
        <v>1</v>
      </c>
      <c r="D908" s="2">
        <f>COUNTA(Argument!E908)</f>
        <v>0</v>
      </c>
      <c r="E908" s="2" t="str">
        <f>IF(C908,Return!D908,Return!E908)</f>
        <v>v</v>
      </c>
      <c r="F908" s="2" t="str">
        <f t="shared" si="42"/>
        <v>v</v>
      </c>
      <c r="G908" s="2" t="str">
        <f t="shared" si="44"/>
        <v>v</v>
      </c>
      <c r="H908" s="2" t="str">
        <f t="shared" si="43"/>
        <v>, v</v>
      </c>
      <c r="I908" s="2" t="str">
        <f>IF(Return!C908=0,REPLACE(INDEX(H:H,ROW()+Return!B908,),1,2,Return!E908&amp;"(")&amp;")","")</f>
        <v/>
      </c>
      <c r="M908" s="1"/>
    </row>
    <row r="909" spans="1:13" x14ac:dyDescent="0.55000000000000004">
      <c r="A909" s="1" t="s">
        <v>1735</v>
      </c>
      <c r="B909" t="s">
        <v>1317</v>
      </c>
      <c r="C909" s="2">
        <f>Return!C909</f>
        <v>2</v>
      </c>
      <c r="D909" s="2">
        <f>COUNTA(Argument!E909)</f>
        <v>0</v>
      </c>
      <c r="E909" s="2" t="str">
        <f>IF(C909,Return!D909,Return!E909)</f>
        <v>v</v>
      </c>
      <c r="F909" s="2" t="str">
        <f t="shared" si="42"/>
        <v>v</v>
      </c>
      <c r="G909" s="2" t="str">
        <f t="shared" si="44"/>
        <v>v</v>
      </c>
      <c r="H909" s="2" t="str">
        <f t="shared" si="43"/>
        <v>, v, v</v>
      </c>
      <c r="I909" s="2" t="str">
        <f>IF(Return!C909=0,REPLACE(INDEX(H:H,ROW()+Return!B909,),1,2,Return!E909&amp;"(")&amp;")","")</f>
        <v/>
      </c>
      <c r="M909" s="1"/>
    </row>
    <row r="910" spans="1:13" x14ac:dyDescent="0.55000000000000004">
      <c r="A910" s="1" t="s">
        <v>1735</v>
      </c>
      <c r="B910" t="s">
        <v>1318</v>
      </c>
      <c r="C910" s="2">
        <f>Return!C910</f>
        <v>3</v>
      </c>
      <c r="D910" s="2">
        <f>COUNTA(Argument!E910)</f>
        <v>1</v>
      </c>
      <c r="E910" s="2" t="str">
        <f>IF(C910,Return!D910,Return!E910)</f>
        <v>v</v>
      </c>
      <c r="F910" s="2" t="str">
        <f t="shared" si="42"/>
        <v>v</v>
      </c>
      <c r="G910" s="2" t="str">
        <f t="shared" si="44"/>
        <v>v</v>
      </c>
      <c r="H910" s="2" t="str">
        <f t="shared" si="43"/>
        <v>, v, v, v</v>
      </c>
      <c r="I910" s="2" t="str">
        <f>IF(Return!C910=0,REPLACE(INDEX(H:H,ROW()+Return!B910,),1,2,Return!E910&amp;"(")&amp;")","")</f>
        <v/>
      </c>
      <c r="M910" s="1"/>
    </row>
    <row r="911" spans="1:13" x14ac:dyDescent="0.55000000000000004">
      <c r="A911" s="1" t="s">
        <v>1736</v>
      </c>
      <c r="C911" s="2">
        <f>Return!C911</f>
        <v>0</v>
      </c>
      <c r="D911" s="2">
        <f>COUNTA(Argument!E911)</f>
        <v>0</v>
      </c>
      <c r="E911" s="2" t="str">
        <f>IF(C911,Return!D911,Return!E911)</f>
        <v>v</v>
      </c>
      <c r="F911" s="2" t="str">
        <f t="shared" si="42"/>
        <v/>
      </c>
      <c r="G911" s="2" t="str">
        <f t="shared" si="44"/>
        <v/>
      </c>
      <c r="H911" s="2" t="str">
        <f t="shared" si="43"/>
        <v/>
      </c>
      <c r="I911" s="2" t="str">
        <f>IF(Return!C911=0,REPLACE(INDEX(H:H,ROW()+Return!B911,),1,2,Return!E911&amp;"(")&amp;")","")</f>
        <v>v(v, v)</v>
      </c>
      <c r="M911" s="1"/>
    </row>
    <row r="912" spans="1:13" x14ac:dyDescent="0.55000000000000004">
      <c r="A912" s="1" t="s">
        <v>1736</v>
      </c>
      <c r="B912" t="s">
        <v>1223</v>
      </c>
      <c r="C912" s="2">
        <f>Return!C912</f>
        <v>1</v>
      </c>
      <c r="D912" s="2">
        <f>COUNTA(Argument!E912)</f>
        <v>0</v>
      </c>
      <c r="E912" s="2" t="str">
        <f>IF(C912,Return!D912,Return!E912)</f>
        <v>v</v>
      </c>
      <c r="F912" s="2" t="str">
        <f t="shared" si="42"/>
        <v>v</v>
      </c>
      <c r="G912" s="2" t="str">
        <f t="shared" si="44"/>
        <v>v</v>
      </c>
      <c r="H912" s="2" t="str">
        <f t="shared" si="43"/>
        <v>, v</v>
      </c>
      <c r="I912" s="2" t="str">
        <f>IF(Return!C912=0,REPLACE(INDEX(H:H,ROW()+Return!B912,),1,2,Return!E912&amp;"(")&amp;")","")</f>
        <v/>
      </c>
      <c r="M912" s="1"/>
    </row>
    <row r="913" spans="1:13" x14ac:dyDescent="0.55000000000000004">
      <c r="A913" s="1" t="s">
        <v>1736</v>
      </c>
      <c r="B913" t="s">
        <v>1334</v>
      </c>
      <c r="C913" s="2">
        <f>Return!C913</f>
        <v>2</v>
      </c>
      <c r="D913" s="2">
        <f>COUNTA(Argument!E913)</f>
        <v>1</v>
      </c>
      <c r="E913" s="2" t="str">
        <f>IF(C913,Return!D913,Return!E913)</f>
        <v>v</v>
      </c>
      <c r="F913" s="2" t="str">
        <f t="shared" si="42"/>
        <v>v</v>
      </c>
      <c r="G913" s="2" t="str">
        <f t="shared" si="44"/>
        <v>v</v>
      </c>
      <c r="H913" s="2" t="str">
        <f t="shared" si="43"/>
        <v>, v, v</v>
      </c>
      <c r="I913" s="2" t="str">
        <f>IF(Return!C913=0,REPLACE(INDEX(H:H,ROW()+Return!B913,),1,2,Return!E913&amp;"(")&amp;")","")</f>
        <v/>
      </c>
      <c r="M913" s="1"/>
    </row>
    <row r="914" spans="1:13" x14ac:dyDescent="0.55000000000000004">
      <c r="A914" s="1" t="s">
        <v>1737</v>
      </c>
      <c r="C914" s="2">
        <f>Return!C914</f>
        <v>0</v>
      </c>
      <c r="D914" s="2">
        <f>COUNTA(Argument!E914)</f>
        <v>0</v>
      </c>
      <c r="E914" s="2" t="str">
        <f>IF(C914,Return!D914,Return!E914)</f>
        <v>v</v>
      </c>
      <c r="F914" s="2" t="str">
        <f t="shared" si="42"/>
        <v/>
      </c>
      <c r="G914" s="2" t="str">
        <f t="shared" si="44"/>
        <v/>
      </c>
      <c r="H914" s="2" t="str">
        <f t="shared" si="43"/>
        <v/>
      </c>
      <c r="I914" s="2" t="str">
        <f>IF(Return!C914=0,REPLACE(INDEX(H:H,ROW()+Return!B914,),1,2,Return!E914&amp;"(")&amp;")","")</f>
        <v>v(v, v, v, v)</v>
      </c>
      <c r="M914" s="1"/>
    </row>
    <row r="915" spans="1:13" x14ac:dyDescent="0.55000000000000004">
      <c r="A915" s="1" t="s">
        <v>1737</v>
      </c>
      <c r="B915" t="s">
        <v>1335</v>
      </c>
      <c r="C915" s="2">
        <f>Return!C915</f>
        <v>1</v>
      </c>
      <c r="D915" s="2">
        <f>COUNTA(Argument!E915)</f>
        <v>0</v>
      </c>
      <c r="E915" s="2" t="str">
        <f>IF(C915,Return!D915,Return!E915)</f>
        <v>v</v>
      </c>
      <c r="F915" s="2" t="str">
        <f t="shared" si="42"/>
        <v>v</v>
      </c>
      <c r="G915" s="2" t="str">
        <f t="shared" si="44"/>
        <v>v</v>
      </c>
      <c r="H915" s="2" t="str">
        <f t="shared" si="43"/>
        <v>, v</v>
      </c>
      <c r="I915" s="2" t="str">
        <f>IF(Return!C915=0,REPLACE(INDEX(H:H,ROW()+Return!B915,),1,2,Return!E915&amp;"(")&amp;")","")</f>
        <v/>
      </c>
      <c r="M915" s="1"/>
    </row>
    <row r="916" spans="1:13" x14ac:dyDescent="0.55000000000000004">
      <c r="A916" s="1" t="s">
        <v>1737</v>
      </c>
      <c r="B916" t="s">
        <v>1336</v>
      </c>
      <c r="C916" s="2">
        <f>Return!C916</f>
        <v>2</v>
      </c>
      <c r="D916" s="2">
        <f>COUNTA(Argument!E916)</f>
        <v>0</v>
      </c>
      <c r="E916" s="2" t="str">
        <f>IF(C916,Return!D916,Return!E916)</f>
        <v>v</v>
      </c>
      <c r="F916" s="2" t="str">
        <f t="shared" si="42"/>
        <v>v</v>
      </c>
      <c r="G916" s="2" t="str">
        <f t="shared" si="44"/>
        <v>v</v>
      </c>
      <c r="H916" s="2" t="str">
        <f t="shared" si="43"/>
        <v>, v, v</v>
      </c>
      <c r="I916" s="2" t="str">
        <f>IF(Return!C916=0,REPLACE(INDEX(H:H,ROW()+Return!B916,),1,2,Return!E916&amp;"(")&amp;")","")</f>
        <v/>
      </c>
      <c r="M916" s="1"/>
    </row>
    <row r="917" spans="1:13" x14ac:dyDescent="0.55000000000000004">
      <c r="A917" s="1" t="s">
        <v>1737</v>
      </c>
      <c r="B917" t="s">
        <v>1337</v>
      </c>
      <c r="C917" s="2">
        <f>Return!C917</f>
        <v>3</v>
      </c>
      <c r="D917" s="2">
        <f>COUNTA(Argument!E917)</f>
        <v>0</v>
      </c>
      <c r="E917" s="2" t="str">
        <f>IF(C917,Return!D917,Return!E917)</f>
        <v>v</v>
      </c>
      <c r="F917" s="2" t="str">
        <f t="shared" si="42"/>
        <v>v</v>
      </c>
      <c r="G917" s="2" t="str">
        <f t="shared" si="44"/>
        <v>v</v>
      </c>
      <c r="H917" s="2" t="str">
        <f t="shared" si="43"/>
        <v>, v, v, v</v>
      </c>
      <c r="I917" s="2" t="str">
        <f>IF(Return!C917=0,REPLACE(INDEX(H:H,ROW()+Return!B917,),1,2,Return!E917&amp;"(")&amp;")","")</f>
        <v/>
      </c>
      <c r="M917" s="1"/>
    </row>
    <row r="918" spans="1:13" x14ac:dyDescent="0.55000000000000004">
      <c r="A918" s="1" t="s">
        <v>1737</v>
      </c>
      <c r="B918" t="s">
        <v>1338</v>
      </c>
      <c r="C918" s="2">
        <f>Return!C918</f>
        <v>4</v>
      </c>
      <c r="D918" s="2">
        <f>COUNTA(Argument!E918)</f>
        <v>1</v>
      </c>
      <c r="E918" s="2" t="str">
        <f>IF(C918,Return!D918,Return!E918)</f>
        <v>v</v>
      </c>
      <c r="F918" s="2" t="str">
        <f t="shared" si="42"/>
        <v>v</v>
      </c>
      <c r="G918" s="2" t="str">
        <f t="shared" si="44"/>
        <v>v</v>
      </c>
      <c r="H918" s="2" t="str">
        <f t="shared" si="43"/>
        <v>, v, v, v, v</v>
      </c>
      <c r="I918" s="2" t="str">
        <f>IF(Return!C918=0,REPLACE(INDEX(H:H,ROW()+Return!B918,),1,2,Return!E918&amp;"(")&amp;")","")</f>
        <v/>
      </c>
      <c r="M918" s="1"/>
    </row>
    <row r="919" spans="1:13" x14ac:dyDescent="0.55000000000000004">
      <c r="A919" s="1" t="s">
        <v>1738</v>
      </c>
      <c r="C919" s="2">
        <f>Return!C919</f>
        <v>0</v>
      </c>
      <c r="D919" s="2">
        <f>COUNTA(Argument!E919)</f>
        <v>0</v>
      </c>
      <c r="E919" s="2" t="str">
        <f>IF(C919,Return!D919,Return!E919)</f>
        <v>v</v>
      </c>
      <c r="F919" s="2" t="str">
        <f t="shared" si="42"/>
        <v/>
      </c>
      <c r="G919" s="2" t="str">
        <f t="shared" si="44"/>
        <v/>
      </c>
      <c r="H919" s="2" t="str">
        <f t="shared" si="43"/>
        <v/>
      </c>
      <c r="I919" s="2" t="str">
        <f>IF(Return!C919=0,REPLACE(INDEX(H:H,ROW()+Return!B919,),1,2,Return!E919&amp;"(")&amp;")","")</f>
        <v>v(v, v, v)</v>
      </c>
      <c r="M919" s="1"/>
    </row>
    <row r="920" spans="1:13" x14ac:dyDescent="0.55000000000000004">
      <c r="A920" s="1" t="s">
        <v>1738</v>
      </c>
      <c r="B920" t="s">
        <v>1316</v>
      </c>
      <c r="C920" s="2">
        <f>Return!C920</f>
        <v>1</v>
      </c>
      <c r="D920" s="2">
        <f>COUNTA(Argument!E920)</f>
        <v>0</v>
      </c>
      <c r="E920" s="2" t="str">
        <f>IF(C920,Return!D920,Return!E920)</f>
        <v>v</v>
      </c>
      <c r="F920" s="2" t="str">
        <f t="shared" si="42"/>
        <v>v</v>
      </c>
      <c r="G920" s="2" t="str">
        <f t="shared" si="44"/>
        <v>v</v>
      </c>
      <c r="H920" s="2" t="str">
        <f t="shared" si="43"/>
        <v>, v</v>
      </c>
      <c r="I920" s="2" t="str">
        <f>IF(Return!C920=0,REPLACE(INDEX(H:H,ROW()+Return!B920,),1,2,Return!E920&amp;"(")&amp;")","")</f>
        <v/>
      </c>
      <c r="M920" s="1"/>
    </row>
    <row r="921" spans="1:13" x14ac:dyDescent="0.55000000000000004">
      <c r="A921" s="1" t="s">
        <v>1738</v>
      </c>
      <c r="B921" t="s">
        <v>1339</v>
      </c>
      <c r="C921" s="2">
        <f>Return!C921</f>
        <v>2</v>
      </c>
      <c r="D921" s="2">
        <f>COUNTA(Argument!E921)</f>
        <v>0</v>
      </c>
      <c r="E921" s="2" t="str">
        <f>IF(C921,Return!D921,Return!E921)</f>
        <v>v</v>
      </c>
      <c r="F921" s="2" t="str">
        <f t="shared" si="42"/>
        <v>v</v>
      </c>
      <c r="G921" s="2" t="str">
        <f t="shared" si="44"/>
        <v>v</v>
      </c>
      <c r="H921" s="2" t="str">
        <f t="shared" si="43"/>
        <v>, v, v</v>
      </c>
      <c r="I921" s="2" t="str">
        <f>IF(Return!C921=0,REPLACE(INDEX(H:H,ROW()+Return!B921,),1,2,Return!E921&amp;"(")&amp;")","")</f>
        <v/>
      </c>
      <c r="M921" s="1"/>
    </row>
    <row r="922" spans="1:13" x14ac:dyDescent="0.55000000000000004">
      <c r="A922" s="1" t="s">
        <v>1738</v>
      </c>
      <c r="B922" t="s">
        <v>1328</v>
      </c>
      <c r="C922" s="2">
        <f>Return!C922</f>
        <v>3</v>
      </c>
      <c r="D922" s="2">
        <f>COUNTA(Argument!E922)</f>
        <v>1</v>
      </c>
      <c r="E922" s="2" t="str">
        <f>IF(C922,Return!D922,Return!E922)</f>
        <v>v</v>
      </c>
      <c r="F922" s="2" t="str">
        <f t="shared" si="42"/>
        <v>v</v>
      </c>
      <c r="G922" s="2" t="str">
        <f t="shared" si="44"/>
        <v>v</v>
      </c>
      <c r="H922" s="2" t="str">
        <f t="shared" si="43"/>
        <v>, v, v, v</v>
      </c>
      <c r="I922" s="2" t="str">
        <f>IF(Return!C922=0,REPLACE(INDEX(H:H,ROW()+Return!B922,),1,2,Return!E922&amp;"(")&amp;")","")</f>
        <v/>
      </c>
      <c r="M922" s="1"/>
    </row>
    <row r="923" spans="1:13" x14ac:dyDescent="0.55000000000000004">
      <c r="A923" s="1" t="s">
        <v>1739</v>
      </c>
      <c r="C923" s="2">
        <f>Return!C923</f>
        <v>0</v>
      </c>
      <c r="D923" s="2">
        <f>COUNTA(Argument!E923)</f>
        <v>0</v>
      </c>
      <c r="E923" s="2" t="str">
        <f>IF(C923,Return!D923,Return!E923)</f>
        <v>v</v>
      </c>
      <c r="F923" s="2" t="str">
        <f t="shared" si="42"/>
        <v/>
      </c>
      <c r="G923" s="2" t="str">
        <f t="shared" si="44"/>
        <v/>
      </c>
      <c r="H923" s="2" t="str">
        <f t="shared" si="43"/>
        <v/>
      </c>
      <c r="I923" s="2" t="str">
        <f>IF(Return!C923=0,REPLACE(INDEX(H:H,ROW()+Return!B923,),1,2,Return!E923&amp;"(")&amp;")","")</f>
        <v>v(v, v, v)</v>
      </c>
      <c r="M923" s="1"/>
    </row>
    <row r="924" spans="1:13" x14ac:dyDescent="0.55000000000000004">
      <c r="A924" s="1" t="s">
        <v>1739</v>
      </c>
      <c r="B924" t="s">
        <v>1321</v>
      </c>
      <c r="C924" s="2">
        <f>Return!C924</f>
        <v>1</v>
      </c>
      <c r="D924" s="2">
        <f>COUNTA(Argument!E924)</f>
        <v>0</v>
      </c>
      <c r="E924" s="2" t="str">
        <f>IF(C924,Return!D924,Return!E924)</f>
        <v>v</v>
      </c>
      <c r="F924" s="2" t="str">
        <f t="shared" si="42"/>
        <v>v</v>
      </c>
      <c r="G924" s="2" t="str">
        <f t="shared" si="44"/>
        <v>v</v>
      </c>
      <c r="H924" s="2" t="str">
        <f t="shared" si="43"/>
        <v>, v</v>
      </c>
      <c r="I924" s="2" t="str">
        <f>IF(Return!C924=0,REPLACE(INDEX(H:H,ROW()+Return!B924,),1,2,Return!E924&amp;"(")&amp;")","")</f>
        <v/>
      </c>
      <c r="M924" s="1"/>
    </row>
    <row r="925" spans="1:13" x14ac:dyDescent="0.55000000000000004">
      <c r="A925" s="1" t="s">
        <v>1739</v>
      </c>
      <c r="B925" t="s">
        <v>1339</v>
      </c>
      <c r="C925" s="2">
        <f>Return!C925</f>
        <v>2</v>
      </c>
      <c r="D925" s="2">
        <f>COUNTA(Argument!E925)</f>
        <v>0</v>
      </c>
      <c r="E925" s="2" t="str">
        <f>IF(C925,Return!D925,Return!E925)</f>
        <v>v</v>
      </c>
      <c r="F925" s="2" t="str">
        <f t="shared" si="42"/>
        <v>v</v>
      </c>
      <c r="G925" s="2" t="str">
        <f t="shared" si="44"/>
        <v>v</v>
      </c>
      <c r="H925" s="2" t="str">
        <f t="shared" si="43"/>
        <v>, v, v</v>
      </c>
      <c r="I925" s="2" t="str">
        <f>IF(Return!C925=0,REPLACE(INDEX(H:H,ROW()+Return!B925,),1,2,Return!E925&amp;"(")&amp;")","")</f>
        <v/>
      </c>
      <c r="M925" s="1"/>
    </row>
    <row r="926" spans="1:13" x14ac:dyDescent="0.55000000000000004">
      <c r="A926" s="1" t="s">
        <v>1739</v>
      </c>
      <c r="B926" t="s">
        <v>1328</v>
      </c>
      <c r="C926" s="2">
        <f>Return!C926</f>
        <v>3</v>
      </c>
      <c r="D926" s="2">
        <f>COUNTA(Argument!E926)</f>
        <v>1</v>
      </c>
      <c r="E926" s="2" t="str">
        <f>IF(C926,Return!D926,Return!E926)</f>
        <v>v</v>
      </c>
      <c r="F926" s="2" t="str">
        <f t="shared" si="42"/>
        <v>v</v>
      </c>
      <c r="G926" s="2" t="str">
        <f t="shared" si="44"/>
        <v>v</v>
      </c>
      <c r="H926" s="2" t="str">
        <f t="shared" si="43"/>
        <v>, v, v, v</v>
      </c>
      <c r="I926" s="2" t="str">
        <f>IF(Return!C926=0,REPLACE(INDEX(H:H,ROW()+Return!B926,),1,2,Return!E926&amp;"(")&amp;")","")</f>
        <v/>
      </c>
      <c r="M926" s="1"/>
    </row>
    <row r="927" spans="1:13" x14ac:dyDescent="0.55000000000000004">
      <c r="A927" s="1" t="s">
        <v>1740</v>
      </c>
      <c r="C927" s="2">
        <f>Return!C927</f>
        <v>0</v>
      </c>
      <c r="D927" s="2">
        <f>COUNTA(Argument!E927)</f>
        <v>0</v>
      </c>
      <c r="E927" s="2" t="str">
        <f>IF(C927,Return!D927,Return!E927)</f>
        <v>v</v>
      </c>
      <c r="F927" s="2" t="str">
        <f t="shared" si="42"/>
        <v/>
      </c>
      <c r="G927" s="2" t="str">
        <f t="shared" si="44"/>
        <v/>
      </c>
      <c r="H927" s="2" t="str">
        <f t="shared" si="43"/>
        <v/>
      </c>
      <c r="I927" s="2" t="str">
        <f>IF(Return!C927=0,REPLACE(INDEX(H:H,ROW()+Return!B927,),1,2,Return!E927&amp;"(")&amp;")","")</f>
        <v>v(v, v, v)</v>
      </c>
      <c r="M927" s="1"/>
    </row>
    <row r="928" spans="1:13" x14ac:dyDescent="0.55000000000000004">
      <c r="A928" s="1" t="s">
        <v>1740</v>
      </c>
      <c r="B928" t="s">
        <v>1340</v>
      </c>
      <c r="C928" s="2">
        <f>Return!C928</f>
        <v>1</v>
      </c>
      <c r="D928" s="2">
        <f>COUNTA(Argument!E928)</f>
        <v>0</v>
      </c>
      <c r="E928" s="2" t="str">
        <f>IF(C928,Return!D928,Return!E928)</f>
        <v>v</v>
      </c>
      <c r="F928" s="2" t="str">
        <f t="shared" si="42"/>
        <v>v</v>
      </c>
      <c r="G928" s="2" t="str">
        <f t="shared" si="44"/>
        <v>v</v>
      </c>
      <c r="H928" s="2" t="str">
        <f t="shared" si="43"/>
        <v>, v</v>
      </c>
      <c r="I928" s="2" t="str">
        <f>IF(Return!C928=0,REPLACE(INDEX(H:H,ROW()+Return!B928,),1,2,Return!E928&amp;"(")&amp;")","")</f>
        <v/>
      </c>
      <c r="M928" s="1"/>
    </row>
    <row r="929" spans="1:13" x14ac:dyDescent="0.55000000000000004">
      <c r="A929" s="1" t="s">
        <v>1740</v>
      </c>
      <c r="B929" t="s">
        <v>1322</v>
      </c>
      <c r="C929" s="2">
        <f>Return!C929</f>
        <v>2</v>
      </c>
      <c r="D929" s="2">
        <f>COUNTA(Argument!E929)</f>
        <v>0</v>
      </c>
      <c r="E929" s="2" t="str">
        <f>IF(C929,Return!D929,Return!E929)</f>
        <v>v</v>
      </c>
      <c r="F929" s="2" t="str">
        <f t="shared" si="42"/>
        <v>v</v>
      </c>
      <c r="G929" s="2" t="str">
        <f t="shared" si="44"/>
        <v>v</v>
      </c>
      <c r="H929" s="2" t="str">
        <f t="shared" si="43"/>
        <v>, v, v</v>
      </c>
      <c r="I929" s="2" t="str">
        <f>IF(Return!C929=0,REPLACE(INDEX(H:H,ROW()+Return!B929,),1,2,Return!E929&amp;"(")&amp;")","")</f>
        <v/>
      </c>
      <c r="M929" s="1"/>
    </row>
    <row r="930" spans="1:13" x14ac:dyDescent="0.55000000000000004">
      <c r="A930" s="1" t="s">
        <v>1740</v>
      </c>
      <c r="B930" t="s">
        <v>1324</v>
      </c>
      <c r="C930" s="2">
        <f>Return!C930</f>
        <v>3</v>
      </c>
      <c r="D930" s="2">
        <f>COUNTA(Argument!E930)</f>
        <v>1</v>
      </c>
      <c r="E930" s="2" t="str">
        <f>IF(C930,Return!D930,Return!E930)</f>
        <v>v</v>
      </c>
      <c r="F930" s="2" t="str">
        <f t="shared" si="42"/>
        <v>v</v>
      </c>
      <c r="G930" s="2" t="str">
        <f t="shared" si="44"/>
        <v>v</v>
      </c>
      <c r="H930" s="2" t="str">
        <f t="shared" si="43"/>
        <v>, v, v, v</v>
      </c>
      <c r="I930" s="2" t="str">
        <f>IF(Return!C930=0,REPLACE(INDEX(H:H,ROW()+Return!B930,),1,2,Return!E930&amp;"(")&amp;")","")</f>
        <v/>
      </c>
      <c r="M930" s="1"/>
    </row>
    <row r="931" spans="1:13" x14ac:dyDescent="0.55000000000000004">
      <c r="A931" s="1" t="s">
        <v>1741</v>
      </c>
      <c r="C931" s="2">
        <f>Return!C931</f>
        <v>0</v>
      </c>
      <c r="D931" s="2">
        <f>COUNTA(Argument!E931)</f>
        <v>0</v>
      </c>
      <c r="E931" s="2" t="str">
        <f>IF(C931,Return!D931,Return!E931)</f>
        <v>v</v>
      </c>
      <c r="F931" s="2" t="str">
        <f t="shared" si="42"/>
        <v/>
      </c>
      <c r="G931" s="2" t="str">
        <f t="shared" si="44"/>
        <v/>
      </c>
      <c r="H931" s="2" t="str">
        <f t="shared" si="43"/>
        <v/>
      </c>
      <c r="I931" s="2" t="str">
        <f>IF(Return!C931=0,REPLACE(INDEX(H:H,ROW()+Return!B931,),1,2,Return!E931&amp;"(")&amp;")","")</f>
        <v>v(v, v, v, v)</v>
      </c>
      <c r="M931" s="1"/>
    </row>
    <row r="932" spans="1:13" x14ac:dyDescent="0.55000000000000004">
      <c r="A932" s="1" t="s">
        <v>1741</v>
      </c>
      <c r="B932" t="s">
        <v>1316</v>
      </c>
      <c r="C932" s="2">
        <f>Return!C932</f>
        <v>1</v>
      </c>
      <c r="D932" s="2">
        <f>COUNTA(Argument!E932)</f>
        <v>0</v>
      </c>
      <c r="E932" s="2" t="str">
        <f>IF(C932,Return!D932,Return!E932)</f>
        <v>v</v>
      </c>
      <c r="F932" s="2" t="str">
        <f t="shared" si="42"/>
        <v>v</v>
      </c>
      <c r="G932" s="2" t="str">
        <f t="shared" si="44"/>
        <v>v</v>
      </c>
      <c r="H932" s="2" t="str">
        <f t="shared" si="43"/>
        <v>, v</v>
      </c>
      <c r="I932" s="2" t="str">
        <f>IF(Return!C932=0,REPLACE(INDEX(H:H,ROW()+Return!B932,),1,2,Return!E932&amp;"(")&amp;")","")</f>
        <v/>
      </c>
      <c r="M932" s="1"/>
    </row>
    <row r="933" spans="1:13" x14ac:dyDescent="0.55000000000000004">
      <c r="A933" s="1" t="s">
        <v>1741</v>
      </c>
      <c r="B933" t="s">
        <v>1339</v>
      </c>
      <c r="C933" s="2">
        <f>Return!C933</f>
        <v>2</v>
      </c>
      <c r="D933" s="2">
        <f>COUNTA(Argument!E933)</f>
        <v>0</v>
      </c>
      <c r="E933" s="2" t="str">
        <f>IF(C933,Return!D933,Return!E933)</f>
        <v>v</v>
      </c>
      <c r="F933" s="2" t="str">
        <f t="shared" si="42"/>
        <v>v</v>
      </c>
      <c r="G933" s="2" t="str">
        <f t="shared" si="44"/>
        <v>v</v>
      </c>
      <c r="H933" s="2" t="str">
        <f t="shared" si="43"/>
        <v>, v, v</v>
      </c>
      <c r="I933" s="2" t="str">
        <f>IF(Return!C933=0,REPLACE(INDEX(H:H,ROW()+Return!B933,),1,2,Return!E933&amp;"(")&amp;")","")</f>
        <v/>
      </c>
      <c r="M933" s="1"/>
    </row>
    <row r="934" spans="1:13" x14ac:dyDescent="0.55000000000000004">
      <c r="A934" s="1" t="s">
        <v>1741</v>
      </c>
      <c r="B934" t="s">
        <v>1328</v>
      </c>
      <c r="C934" s="2">
        <f>Return!C934</f>
        <v>3</v>
      </c>
      <c r="D934" s="2">
        <f>COUNTA(Argument!E934)</f>
        <v>0</v>
      </c>
      <c r="E934" s="2" t="str">
        <f>IF(C934,Return!D934,Return!E934)</f>
        <v>v</v>
      </c>
      <c r="F934" s="2" t="str">
        <f t="shared" si="42"/>
        <v>v</v>
      </c>
      <c r="G934" s="2" t="str">
        <f t="shared" si="44"/>
        <v>v</v>
      </c>
      <c r="H934" s="2" t="str">
        <f t="shared" si="43"/>
        <v>, v, v, v</v>
      </c>
      <c r="I934" s="2" t="str">
        <f>IF(Return!C934=0,REPLACE(INDEX(H:H,ROW()+Return!B934,),1,2,Return!E934&amp;"(")&amp;")","")</f>
        <v/>
      </c>
      <c r="M934" s="1"/>
    </row>
    <row r="935" spans="1:13" x14ac:dyDescent="0.55000000000000004">
      <c r="A935" s="1" t="s">
        <v>1741</v>
      </c>
      <c r="B935" t="s">
        <v>1325</v>
      </c>
      <c r="C935" s="2">
        <f>Return!C935</f>
        <v>4</v>
      </c>
      <c r="D935" s="2">
        <f>COUNTA(Argument!E935)</f>
        <v>1</v>
      </c>
      <c r="E935" s="2" t="str">
        <f>IF(C935,Return!D935,Return!E935)</f>
        <v>v</v>
      </c>
      <c r="F935" s="2" t="str">
        <f t="shared" si="42"/>
        <v>v</v>
      </c>
      <c r="G935" s="2" t="str">
        <f t="shared" si="44"/>
        <v>v</v>
      </c>
      <c r="H935" s="2" t="str">
        <f t="shared" si="43"/>
        <v>, v, v, v, v</v>
      </c>
      <c r="I935" s="2" t="str">
        <f>IF(Return!C935=0,REPLACE(INDEX(H:H,ROW()+Return!B935,),1,2,Return!E935&amp;"(")&amp;")","")</f>
        <v/>
      </c>
      <c r="M935" s="1"/>
    </row>
    <row r="936" spans="1:13" x14ac:dyDescent="0.55000000000000004">
      <c r="A936" s="1" t="s">
        <v>1742</v>
      </c>
      <c r="C936" s="2">
        <f>Return!C936</f>
        <v>0</v>
      </c>
      <c r="D936" s="2">
        <f>COUNTA(Argument!E936)</f>
        <v>0</v>
      </c>
      <c r="E936" s="2" t="str">
        <f>IF(C936,Return!D936,Return!E936)</f>
        <v>v</v>
      </c>
      <c r="F936" s="2" t="str">
        <f t="shared" si="42"/>
        <v/>
      </c>
      <c r="G936" s="2" t="str">
        <f t="shared" si="44"/>
        <v/>
      </c>
      <c r="H936" s="2" t="str">
        <f t="shared" si="43"/>
        <v/>
      </c>
      <c r="I936" s="2" t="str">
        <f>IF(Return!C936=0,REPLACE(INDEX(H:H,ROW()+Return!B936,),1,2,Return!E936&amp;"(")&amp;")","")</f>
        <v>v(v)</v>
      </c>
      <c r="M936" s="1"/>
    </row>
    <row r="937" spans="1:13" x14ac:dyDescent="0.55000000000000004">
      <c r="A937" s="1" t="s">
        <v>1742</v>
      </c>
      <c r="B937" t="s">
        <v>1341</v>
      </c>
      <c r="C937" s="2">
        <f>Return!C937</f>
        <v>1</v>
      </c>
      <c r="D937" s="2">
        <f>COUNTA(Argument!E937)</f>
        <v>1</v>
      </c>
      <c r="E937" s="2" t="str">
        <f>IF(C937,Return!D937,Return!E937)</f>
        <v>v</v>
      </c>
      <c r="F937" s="2" t="str">
        <f t="shared" si="42"/>
        <v>v</v>
      </c>
      <c r="G937" s="2" t="str">
        <f t="shared" si="44"/>
        <v>v</v>
      </c>
      <c r="H937" s="2" t="str">
        <f t="shared" si="43"/>
        <v>, v</v>
      </c>
      <c r="I937" s="2" t="str">
        <f>IF(Return!C937=0,REPLACE(INDEX(H:H,ROW()+Return!B937,),1,2,Return!E937&amp;"(")&amp;")","")</f>
        <v/>
      </c>
      <c r="M937" s="1"/>
    </row>
    <row r="938" spans="1:13" x14ac:dyDescent="0.55000000000000004">
      <c r="A938" s="1" t="s">
        <v>1743</v>
      </c>
      <c r="C938" s="2">
        <f>Return!C938</f>
        <v>0</v>
      </c>
      <c r="D938" s="2">
        <f>COUNTA(Argument!E938)</f>
        <v>0</v>
      </c>
      <c r="E938" s="2" t="str">
        <f>IF(C938,Return!D938,Return!E938)</f>
        <v>v</v>
      </c>
      <c r="F938" s="2" t="str">
        <f t="shared" si="42"/>
        <v/>
      </c>
      <c r="G938" s="2" t="str">
        <f t="shared" si="44"/>
        <v/>
      </c>
      <c r="H938" s="2" t="str">
        <f t="shared" si="43"/>
        <v/>
      </c>
      <c r="I938" s="2" t="str">
        <f>IF(Return!C938=0,REPLACE(INDEX(H:H,ROW()+Return!B938,),1,2,Return!E938&amp;"(")&amp;")","")</f>
        <v>v(v, v, v)</v>
      </c>
      <c r="M938" s="1"/>
    </row>
    <row r="939" spans="1:13" x14ac:dyDescent="0.55000000000000004">
      <c r="A939" s="1" t="s">
        <v>1743</v>
      </c>
      <c r="B939" t="s">
        <v>1321</v>
      </c>
      <c r="C939" s="2">
        <f>Return!C939</f>
        <v>1</v>
      </c>
      <c r="D939" s="2">
        <f>COUNTA(Argument!E939)</f>
        <v>0</v>
      </c>
      <c r="E939" s="2" t="str">
        <f>IF(C939,Return!D939,Return!E939)</f>
        <v>v</v>
      </c>
      <c r="F939" s="2" t="str">
        <f t="shared" si="42"/>
        <v>v</v>
      </c>
      <c r="G939" s="2" t="str">
        <f t="shared" si="44"/>
        <v>v</v>
      </c>
      <c r="H939" s="2" t="str">
        <f t="shared" si="43"/>
        <v>, v</v>
      </c>
      <c r="I939" s="2" t="str">
        <f>IF(Return!C939=0,REPLACE(INDEX(H:H,ROW()+Return!B939,),1,2,Return!E939&amp;"(")&amp;")","")</f>
        <v/>
      </c>
      <c r="M939" s="1"/>
    </row>
    <row r="940" spans="1:13" x14ac:dyDescent="0.55000000000000004">
      <c r="A940" s="1" t="s">
        <v>1743</v>
      </c>
      <c r="B940" t="s">
        <v>1339</v>
      </c>
      <c r="C940" s="2">
        <f>Return!C940</f>
        <v>2</v>
      </c>
      <c r="D940" s="2">
        <f>COUNTA(Argument!E940)</f>
        <v>0</v>
      </c>
      <c r="E940" s="2" t="str">
        <f>IF(C940,Return!D940,Return!E940)</f>
        <v>v</v>
      </c>
      <c r="F940" s="2" t="str">
        <f t="shared" si="42"/>
        <v>v</v>
      </c>
      <c r="G940" s="2" t="str">
        <f t="shared" si="44"/>
        <v>v</v>
      </c>
      <c r="H940" s="2" t="str">
        <f t="shared" si="43"/>
        <v>, v, v</v>
      </c>
      <c r="I940" s="2" t="str">
        <f>IF(Return!C940=0,REPLACE(INDEX(H:H,ROW()+Return!B940,),1,2,Return!E940&amp;"(")&amp;")","")</f>
        <v/>
      </c>
      <c r="M940" s="1"/>
    </row>
    <row r="941" spans="1:13" x14ac:dyDescent="0.55000000000000004">
      <c r="A941" s="1" t="s">
        <v>1743</v>
      </c>
      <c r="B941" t="s">
        <v>1328</v>
      </c>
      <c r="C941" s="2">
        <f>Return!C941</f>
        <v>3</v>
      </c>
      <c r="D941" s="2">
        <f>COUNTA(Argument!E941)</f>
        <v>1</v>
      </c>
      <c r="E941" s="2" t="str">
        <f>IF(C941,Return!D941,Return!E941)</f>
        <v>v</v>
      </c>
      <c r="F941" s="2" t="str">
        <f t="shared" si="42"/>
        <v>v</v>
      </c>
      <c r="G941" s="2" t="str">
        <f t="shared" si="44"/>
        <v>v</v>
      </c>
      <c r="H941" s="2" t="str">
        <f t="shared" si="43"/>
        <v>, v, v, v</v>
      </c>
      <c r="I941" s="2" t="str">
        <f>IF(Return!C941=0,REPLACE(INDEX(H:H,ROW()+Return!B941,),1,2,Return!E941&amp;"(")&amp;")","")</f>
        <v/>
      </c>
      <c r="M941" s="1"/>
    </row>
    <row r="942" spans="1:13" x14ac:dyDescent="0.55000000000000004">
      <c r="A942" s="1" t="s">
        <v>1744</v>
      </c>
      <c r="C942" s="2">
        <f>Return!C942</f>
        <v>0</v>
      </c>
      <c r="D942" s="2">
        <f>COUNTA(Argument!E942)</f>
        <v>0</v>
      </c>
      <c r="E942" s="2" t="str">
        <f>IF(C942,Return!D942,Return!E942)</f>
        <v>v</v>
      </c>
      <c r="F942" s="2" t="str">
        <f t="shared" si="42"/>
        <v/>
      </c>
      <c r="G942" s="2" t="str">
        <f t="shared" si="44"/>
        <v/>
      </c>
      <c r="H942" s="2" t="str">
        <f t="shared" si="43"/>
        <v/>
      </c>
      <c r="I942" s="2" t="str">
        <f>IF(Return!C942=0,REPLACE(INDEX(H:H,ROW()+Return!B942,),1,2,Return!E942&amp;"(")&amp;")","")</f>
        <v>v(v)</v>
      </c>
      <c r="M942" s="1"/>
    </row>
    <row r="943" spans="1:13" x14ac:dyDescent="0.55000000000000004">
      <c r="A943" s="1" t="s">
        <v>1744</v>
      </c>
      <c r="B943" t="s">
        <v>1321</v>
      </c>
      <c r="C943" s="2">
        <f>Return!C943</f>
        <v>1</v>
      </c>
      <c r="D943" s="2">
        <f>COUNTA(Argument!E943)</f>
        <v>1</v>
      </c>
      <c r="E943" s="2" t="str">
        <f>IF(C943,Return!D943,Return!E943)</f>
        <v>v</v>
      </c>
      <c r="F943" s="2" t="str">
        <f t="shared" si="42"/>
        <v>v</v>
      </c>
      <c r="G943" s="2" t="str">
        <f t="shared" si="44"/>
        <v>v</v>
      </c>
      <c r="H943" s="2" t="str">
        <f t="shared" si="43"/>
        <v>, v</v>
      </c>
      <c r="I943" s="2" t="str">
        <f>IF(Return!C943=0,REPLACE(INDEX(H:H,ROW()+Return!B943,),1,2,Return!E943&amp;"(")&amp;")","")</f>
        <v/>
      </c>
      <c r="M943" s="1"/>
    </row>
    <row r="944" spans="1:13" x14ac:dyDescent="0.55000000000000004">
      <c r="A944" s="1" t="s">
        <v>1745</v>
      </c>
      <c r="C944" s="2">
        <f>Return!C944</f>
        <v>0</v>
      </c>
      <c r="D944" s="2">
        <f>COUNTA(Argument!E944)</f>
        <v>0</v>
      </c>
      <c r="E944" s="2" t="str">
        <f>IF(C944,Return!D944,Return!E944)</f>
        <v>v</v>
      </c>
      <c r="F944" s="2" t="str">
        <f t="shared" si="42"/>
        <v/>
      </c>
      <c r="G944" s="2" t="str">
        <f t="shared" si="44"/>
        <v/>
      </c>
      <c r="H944" s="2" t="str">
        <f t="shared" si="43"/>
        <v/>
      </c>
      <c r="I944" s="2" t="str">
        <f>IF(Return!C944=0,REPLACE(INDEX(H:H,ROW()+Return!B944,),1,2,Return!E944&amp;"(")&amp;")","")</f>
        <v>v(v, v, v)</v>
      </c>
      <c r="M944" s="1"/>
    </row>
    <row r="945" spans="1:13" x14ac:dyDescent="0.55000000000000004">
      <c r="A945" s="1" t="s">
        <v>1745</v>
      </c>
      <c r="B945" t="s">
        <v>1316</v>
      </c>
      <c r="C945" s="2">
        <f>Return!C945</f>
        <v>1</v>
      </c>
      <c r="D945" s="2">
        <f>COUNTA(Argument!E945)</f>
        <v>0</v>
      </c>
      <c r="E945" s="2" t="str">
        <f>IF(C945,Return!D945,Return!E945)</f>
        <v>v</v>
      </c>
      <c r="F945" s="2" t="str">
        <f t="shared" si="42"/>
        <v>v</v>
      </c>
      <c r="G945" s="2" t="str">
        <f t="shared" si="44"/>
        <v>v</v>
      </c>
      <c r="H945" s="2" t="str">
        <f t="shared" si="43"/>
        <v>, v</v>
      </c>
      <c r="I945" s="2" t="str">
        <f>IF(Return!C945=0,REPLACE(INDEX(H:H,ROW()+Return!B945,),1,2,Return!E945&amp;"(")&amp;")","")</f>
        <v/>
      </c>
      <c r="M945" s="1"/>
    </row>
    <row r="946" spans="1:13" x14ac:dyDescent="0.55000000000000004">
      <c r="A946" s="1" t="s">
        <v>1745</v>
      </c>
      <c r="B946" t="s">
        <v>1339</v>
      </c>
      <c r="C946" s="2">
        <f>Return!C946</f>
        <v>2</v>
      </c>
      <c r="D946" s="2">
        <f>COUNTA(Argument!E946)</f>
        <v>0</v>
      </c>
      <c r="E946" s="2" t="str">
        <f>IF(C946,Return!D946,Return!E946)</f>
        <v>v</v>
      </c>
      <c r="F946" s="2" t="str">
        <f t="shared" si="42"/>
        <v>v</v>
      </c>
      <c r="G946" s="2" t="str">
        <f t="shared" si="44"/>
        <v>v</v>
      </c>
      <c r="H946" s="2" t="str">
        <f t="shared" si="43"/>
        <v>, v, v</v>
      </c>
      <c r="I946" s="2" t="str">
        <f>IF(Return!C946=0,REPLACE(INDEX(H:H,ROW()+Return!B946,),1,2,Return!E946&amp;"(")&amp;")","")</f>
        <v/>
      </c>
      <c r="M946" s="1"/>
    </row>
    <row r="947" spans="1:13" x14ac:dyDescent="0.55000000000000004">
      <c r="A947" s="1" t="s">
        <v>1745</v>
      </c>
      <c r="B947" t="s">
        <v>1328</v>
      </c>
      <c r="C947" s="2">
        <f>Return!C947</f>
        <v>3</v>
      </c>
      <c r="D947" s="2">
        <f>COUNTA(Argument!E947)</f>
        <v>1</v>
      </c>
      <c r="E947" s="2" t="str">
        <f>IF(C947,Return!D947,Return!E947)</f>
        <v>v</v>
      </c>
      <c r="F947" s="2" t="str">
        <f t="shared" si="42"/>
        <v>v</v>
      </c>
      <c r="G947" s="2" t="str">
        <f t="shared" si="44"/>
        <v>v</v>
      </c>
      <c r="H947" s="2" t="str">
        <f t="shared" si="43"/>
        <v>, v, v, v</v>
      </c>
      <c r="I947" s="2" t="str">
        <f>IF(Return!C947=0,REPLACE(INDEX(H:H,ROW()+Return!B947,),1,2,Return!E947&amp;"(")&amp;")","")</f>
        <v/>
      </c>
      <c r="M947" s="1"/>
    </row>
    <row r="948" spans="1:13" x14ac:dyDescent="0.55000000000000004">
      <c r="A948" s="1" t="s">
        <v>1746</v>
      </c>
      <c r="C948" s="2">
        <f>Return!C948</f>
        <v>0</v>
      </c>
      <c r="D948" s="2">
        <f>COUNTA(Argument!E948)</f>
        <v>0</v>
      </c>
      <c r="E948" s="2" t="str">
        <f>IF(C948,Return!D948,Return!E948)</f>
        <v>v</v>
      </c>
      <c r="F948" s="2" t="str">
        <f t="shared" si="42"/>
        <v/>
      </c>
      <c r="G948" s="2" t="str">
        <f t="shared" si="44"/>
        <v/>
      </c>
      <c r="H948" s="2" t="str">
        <f t="shared" si="43"/>
        <v/>
      </c>
      <c r="I948" s="2" t="str">
        <f>IF(Return!C948=0,REPLACE(INDEX(H:H,ROW()+Return!B948,),1,2,Return!E948&amp;"(")&amp;")","")</f>
        <v>v(v)</v>
      </c>
      <c r="M948" s="1"/>
    </row>
    <row r="949" spans="1:13" x14ac:dyDescent="0.55000000000000004">
      <c r="A949" s="1" t="s">
        <v>1746</v>
      </c>
      <c r="B949" t="s">
        <v>1223</v>
      </c>
      <c r="C949" s="2">
        <f>Return!C949</f>
        <v>1</v>
      </c>
      <c r="D949" s="2">
        <f>COUNTA(Argument!E949)</f>
        <v>1</v>
      </c>
      <c r="E949" s="2" t="str">
        <f>IF(C949,Return!D949,Return!E949)</f>
        <v>v</v>
      </c>
      <c r="F949" s="2" t="str">
        <f t="shared" si="42"/>
        <v>v</v>
      </c>
      <c r="G949" s="2" t="str">
        <f t="shared" si="44"/>
        <v>v</v>
      </c>
      <c r="H949" s="2" t="str">
        <f t="shared" si="43"/>
        <v>, v</v>
      </c>
      <c r="I949" s="2" t="str">
        <f>IF(Return!C949=0,REPLACE(INDEX(H:H,ROW()+Return!B949,),1,2,Return!E949&amp;"(")&amp;")","")</f>
        <v/>
      </c>
      <c r="M949" s="1"/>
    </row>
    <row r="950" spans="1:13" x14ac:dyDescent="0.55000000000000004">
      <c r="A950" s="1" t="s">
        <v>1747</v>
      </c>
      <c r="C950" s="2">
        <f>Return!C950</f>
        <v>0</v>
      </c>
      <c r="D950" s="2">
        <f>COUNTA(Argument!E950)</f>
        <v>0</v>
      </c>
      <c r="E950" s="2" t="str">
        <f>IF(C950,Return!D950,Return!E950)</f>
        <v>v</v>
      </c>
      <c r="F950" s="2" t="str">
        <f t="shared" si="42"/>
        <v/>
      </c>
      <c r="G950" s="2" t="str">
        <f t="shared" si="44"/>
        <v/>
      </c>
      <c r="H950" s="2" t="str">
        <f t="shared" si="43"/>
        <v/>
      </c>
      <c r="I950" s="2" t="str">
        <f>IF(Return!C950=0,REPLACE(INDEX(H:H,ROW()+Return!B950,),1,2,Return!E950&amp;"(")&amp;")","")</f>
        <v>v(v, v)</v>
      </c>
      <c r="M950" s="1"/>
    </row>
    <row r="951" spans="1:13" x14ac:dyDescent="0.55000000000000004">
      <c r="A951" s="1" t="s">
        <v>1747</v>
      </c>
      <c r="B951" t="s">
        <v>1223</v>
      </c>
      <c r="C951" s="2">
        <f>Return!C951</f>
        <v>1</v>
      </c>
      <c r="D951" s="2">
        <f>COUNTA(Argument!E951)</f>
        <v>0</v>
      </c>
      <c r="E951" s="2" t="str">
        <f>IF(C951,Return!D951,Return!E951)</f>
        <v>v</v>
      </c>
      <c r="F951" s="2" t="str">
        <f t="shared" si="42"/>
        <v>v</v>
      </c>
      <c r="G951" s="2" t="str">
        <f t="shared" si="44"/>
        <v>v</v>
      </c>
      <c r="H951" s="2" t="str">
        <f t="shared" si="43"/>
        <v>, v</v>
      </c>
      <c r="I951" s="2" t="str">
        <f>IF(Return!C951=0,REPLACE(INDEX(H:H,ROW()+Return!B951,),1,2,Return!E951&amp;"(")&amp;")","")</f>
        <v/>
      </c>
      <c r="M951" s="1"/>
    </row>
    <row r="952" spans="1:13" x14ac:dyDescent="0.55000000000000004">
      <c r="A952" s="1" t="s">
        <v>1747</v>
      </c>
      <c r="B952" t="s">
        <v>1327</v>
      </c>
      <c r="C952" s="2">
        <f>Return!C952</f>
        <v>2</v>
      </c>
      <c r="D952" s="2">
        <f>COUNTA(Argument!E952)</f>
        <v>1</v>
      </c>
      <c r="E952" s="2" t="str">
        <f>IF(C952,Return!D952,Return!E952)</f>
        <v>v</v>
      </c>
      <c r="F952" s="2" t="str">
        <f t="shared" si="42"/>
        <v>v</v>
      </c>
      <c r="G952" s="2" t="str">
        <f t="shared" si="44"/>
        <v>v</v>
      </c>
      <c r="H952" s="2" t="str">
        <f t="shared" si="43"/>
        <v>, v, v</v>
      </c>
      <c r="I952" s="2" t="str">
        <f>IF(Return!C952=0,REPLACE(INDEX(H:H,ROW()+Return!B952,),1,2,Return!E952&amp;"(")&amp;")","")</f>
        <v/>
      </c>
      <c r="M952" s="1"/>
    </row>
    <row r="953" spans="1:13" x14ac:dyDescent="0.55000000000000004">
      <c r="A953" s="1" t="s">
        <v>1748</v>
      </c>
      <c r="C953" s="2">
        <f>Return!C953</f>
        <v>0</v>
      </c>
      <c r="D953" s="2">
        <f>COUNTA(Argument!E953)</f>
        <v>0</v>
      </c>
      <c r="E953" s="2" t="str">
        <f>IF(C953,Return!D953,Return!E953)</f>
        <v>v</v>
      </c>
      <c r="F953" s="2" t="str">
        <f t="shared" si="42"/>
        <v/>
      </c>
      <c r="G953" s="2" t="str">
        <f t="shared" si="44"/>
        <v/>
      </c>
      <c r="H953" s="2" t="str">
        <f t="shared" si="43"/>
        <v/>
      </c>
      <c r="I953" s="2" t="str">
        <f>IF(Return!C953=0,REPLACE(INDEX(H:H,ROW()+Return!B953,),1,2,Return!E953&amp;"(")&amp;")","")</f>
        <v>v(v, v, v)</v>
      </c>
      <c r="M953" s="1"/>
    </row>
    <row r="954" spans="1:13" x14ac:dyDescent="0.55000000000000004">
      <c r="A954" s="1" t="s">
        <v>1748</v>
      </c>
      <c r="B954" t="s">
        <v>1316</v>
      </c>
      <c r="C954" s="2">
        <f>Return!C954</f>
        <v>1</v>
      </c>
      <c r="D954" s="2">
        <f>COUNTA(Argument!E954)</f>
        <v>0</v>
      </c>
      <c r="E954" s="2" t="str">
        <f>IF(C954,Return!D954,Return!E954)</f>
        <v>v</v>
      </c>
      <c r="F954" s="2" t="str">
        <f t="shared" si="42"/>
        <v>v</v>
      </c>
      <c r="G954" s="2" t="str">
        <f t="shared" si="44"/>
        <v>v</v>
      </c>
      <c r="H954" s="2" t="str">
        <f t="shared" si="43"/>
        <v>, v</v>
      </c>
      <c r="I954" s="2" t="str">
        <f>IF(Return!C954=0,REPLACE(INDEX(H:H,ROW()+Return!B954,),1,2,Return!E954&amp;"(")&amp;")","")</f>
        <v/>
      </c>
      <c r="M954" s="1"/>
    </row>
    <row r="955" spans="1:13" x14ac:dyDescent="0.55000000000000004">
      <c r="A955" s="1" t="s">
        <v>1748</v>
      </c>
      <c r="B955" t="s">
        <v>1339</v>
      </c>
      <c r="C955" s="2">
        <f>Return!C955</f>
        <v>2</v>
      </c>
      <c r="D955" s="2">
        <f>COUNTA(Argument!E955)</f>
        <v>0</v>
      </c>
      <c r="E955" s="2" t="str">
        <f>IF(C955,Return!D955,Return!E955)</f>
        <v>v</v>
      </c>
      <c r="F955" s="2" t="str">
        <f t="shared" si="42"/>
        <v>v</v>
      </c>
      <c r="G955" s="2" t="str">
        <f t="shared" si="44"/>
        <v>v</v>
      </c>
      <c r="H955" s="2" t="str">
        <f t="shared" si="43"/>
        <v>, v, v</v>
      </c>
      <c r="I955" s="2" t="str">
        <f>IF(Return!C955=0,REPLACE(INDEX(H:H,ROW()+Return!B955,),1,2,Return!E955&amp;"(")&amp;")","")</f>
        <v/>
      </c>
      <c r="M955" s="1"/>
    </row>
    <row r="956" spans="1:13" x14ac:dyDescent="0.55000000000000004">
      <c r="A956" s="1" t="s">
        <v>1748</v>
      </c>
      <c r="B956" t="s">
        <v>1325</v>
      </c>
      <c r="C956" s="2">
        <f>Return!C956</f>
        <v>3</v>
      </c>
      <c r="D956" s="2">
        <f>COUNTA(Argument!E956)</f>
        <v>1</v>
      </c>
      <c r="E956" s="2" t="str">
        <f>IF(C956,Return!D956,Return!E956)</f>
        <v>v</v>
      </c>
      <c r="F956" s="2" t="str">
        <f t="shared" si="42"/>
        <v>v</v>
      </c>
      <c r="G956" s="2" t="str">
        <f t="shared" si="44"/>
        <v>v</v>
      </c>
      <c r="H956" s="2" t="str">
        <f t="shared" si="43"/>
        <v>, v, v, v</v>
      </c>
      <c r="I956" s="2" t="str">
        <f>IF(Return!C956=0,REPLACE(INDEX(H:H,ROW()+Return!B956,),1,2,Return!E956&amp;"(")&amp;")","")</f>
        <v/>
      </c>
      <c r="M956" s="1"/>
    </row>
    <row r="957" spans="1:13" x14ac:dyDescent="0.55000000000000004">
      <c r="A957" s="1" t="s">
        <v>1749</v>
      </c>
      <c r="C957" s="2">
        <f>Return!C957</f>
        <v>0</v>
      </c>
      <c r="D957" s="2">
        <f>COUNTA(Argument!E957)</f>
        <v>0</v>
      </c>
      <c r="E957" s="2" t="str">
        <f>IF(C957,Return!D957,Return!E957)</f>
        <v>v</v>
      </c>
      <c r="F957" s="2" t="str">
        <f t="shared" si="42"/>
        <v/>
      </c>
      <c r="G957" s="2" t="str">
        <f t="shared" si="44"/>
        <v/>
      </c>
      <c r="H957" s="2" t="str">
        <f t="shared" si="43"/>
        <v/>
      </c>
      <c r="I957" s="2" t="str">
        <f>IF(Return!C957=0,REPLACE(INDEX(H:H,ROW()+Return!B957,),1,2,Return!E957&amp;"(")&amp;")","")</f>
        <v>v(v, v, v)</v>
      </c>
      <c r="M957" s="1"/>
    </row>
    <row r="958" spans="1:13" x14ac:dyDescent="0.55000000000000004">
      <c r="A958" s="1" t="s">
        <v>1749</v>
      </c>
      <c r="B958" t="s">
        <v>1316</v>
      </c>
      <c r="C958" s="2">
        <f>Return!C958</f>
        <v>1</v>
      </c>
      <c r="D958" s="2">
        <f>COUNTA(Argument!E958)</f>
        <v>0</v>
      </c>
      <c r="E958" s="2" t="str">
        <f>IF(C958,Return!D958,Return!E958)</f>
        <v>v</v>
      </c>
      <c r="F958" s="2" t="str">
        <f t="shared" si="42"/>
        <v>v</v>
      </c>
      <c r="G958" s="2" t="str">
        <f t="shared" si="44"/>
        <v>v</v>
      </c>
      <c r="H958" s="2" t="str">
        <f t="shared" si="43"/>
        <v>, v</v>
      </c>
      <c r="I958" s="2" t="str">
        <f>IF(Return!C958=0,REPLACE(INDEX(H:H,ROW()+Return!B958,),1,2,Return!E958&amp;"(")&amp;")","")</f>
        <v/>
      </c>
      <c r="M958" s="1"/>
    </row>
    <row r="959" spans="1:13" x14ac:dyDescent="0.55000000000000004">
      <c r="A959" s="1" t="s">
        <v>1749</v>
      </c>
      <c r="B959" t="s">
        <v>1326</v>
      </c>
      <c r="C959" s="2">
        <f>Return!C959</f>
        <v>2</v>
      </c>
      <c r="D959" s="2">
        <f>COUNTA(Argument!E959)</f>
        <v>0</v>
      </c>
      <c r="E959" s="2" t="str">
        <f>IF(C959,Return!D959,Return!E959)</f>
        <v>v</v>
      </c>
      <c r="F959" s="2" t="str">
        <f t="shared" si="42"/>
        <v>v</v>
      </c>
      <c r="G959" s="2" t="str">
        <f t="shared" si="44"/>
        <v>v</v>
      </c>
      <c r="H959" s="2" t="str">
        <f t="shared" si="43"/>
        <v>, v, v</v>
      </c>
      <c r="I959" s="2" t="str">
        <f>IF(Return!C959=0,REPLACE(INDEX(H:H,ROW()+Return!B959,),1,2,Return!E959&amp;"(")&amp;")","")</f>
        <v/>
      </c>
      <c r="M959" s="1"/>
    </row>
    <row r="960" spans="1:13" x14ac:dyDescent="0.55000000000000004">
      <c r="A960" s="1" t="s">
        <v>1749</v>
      </c>
      <c r="B960" t="s">
        <v>1342</v>
      </c>
      <c r="C960" s="2">
        <f>Return!C960</f>
        <v>3</v>
      </c>
      <c r="D960" s="2">
        <f>COUNTA(Argument!E960)</f>
        <v>1</v>
      </c>
      <c r="E960" s="2" t="str">
        <f>IF(C960,Return!D960,Return!E960)</f>
        <v>v</v>
      </c>
      <c r="F960" s="2" t="str">
        <f t="shared" si="42"/>
        <v>v</v>
      </c>
      <c r="G960" s="2" t="str">
        <f t="shared" si="44"/>
        <v>v</v>
      </c>
      <c r="H960" s="2" t="str">
        <f t="shared" si="43"/>
        <v>, v, v, v</v>
      </c>
      <c r="I960" s="2" t="str">
        <f>IF(Return!C960=0,REPLACE(INDEX(H:H,ROW()+Return!B960,),1,2,Return!E960&amp;"(")&amp;")","")</f>
        <v/>
      </c>
      <c r="M960" s="1"/>
    </row>
    <row r="961" spans="1:13" x14ac:dyDescent="0.55000000000000004">
      <c r="A961" s="1" t="s">
        <v>1750</v>
      </c>
      <c r="C961" s="2">
        <f>Return!C961</f>
        <v>0</v>
      </c>
      <c r="D961" s="2">
        <f>COUNTA(Argument!E961)</f>
        <v>0</v>
      </c>
      <c r="E961" s="2" t="str">
        <f>IF(C961,Return!D961,Return!E961)</f>
        <v>v</v>
      </c>
      <c r="F961" s="2" t="str">
        <f t="shared" si="42"/>
        <v/>
      </c>
      <c r="G961" s="2" t="str">
        <f t="shared" si="44"/>
        <v/>
      </c>
      <c r="H961" s="2" t="str">
        <f t="shared" si="43"/>
        <v/>
      </c>
      <c r="I961" s="2" t="str">
        <f>IF(Return!C961=0,REPLACE(INDEX(H:H,ROW()+Return!B961,),1,2,Return!E961&amp;"(")&amp;")","")</f>
        <v>v(v, v, v, v)</v>
      </c>
      <c r="M961" s="1"/>
    </row>
    <row r="962" spans="1:13" x14ac:dyDescent="0.55000000000000004">
      <c r="A962" s="1" t="s">
        <v>1750</v>
      </c>
      <c r="B962" t="s">
        <v>1316</v>
      </c>
      <c r="C962" s="2">
        <f>Return!C962</f>
        <v>1</v>
      </c>
      <c r="D962" s="2">
        <f>COUNTA(Argument!E962)</f>
        <v>0</v>
      </c>
      <c r="E962" s="2" t="str">
        <f>IF(C962,Return!D962,Return!E962)</f>
        <v>v</v>
      </c>
      <c r="F962" s="2" t="str">
        <f t="shared" si="42"/>
        <v>v</v>
      </c>
      <c r="G962" s="2" t="str">
        <f t="shared" si="44"/>
        <v>v</v>
      </c>
      <c r="H962" s="2" t="str">
        <f t="shared" si="43"/>
        <v>, v</v>
      </c>
      <c r="I962" s="2" t="str">
        <f>IF(Return!C962=0,REPLACE(INDEX(H:H,ROW()+Return!B962,),1,2,Return!E962&amp;"(")&amp;")","")</f>
        <v/>
      </c>
      <c r="M962" s="1"/>
    </row>
    <row r="963" spans="1:13" x14ac:dyDescent="0.55000000000000004">
      <c r="A963" s="1" t="s">
        <v>1750</v>
      </c>
      <c r="B963" t="s">
        <v>1317</v>
      </c>
      <c r="C963" s="2">
        <f>Return!C963</f>
        <v>2</v>
      </c>
      <c r="D963" s="2">
        <f>COUNTA(Argument!E963)</f>
        <v>0</v>
      </c>
      <c r="E963" s="2" t="str">
        <f>IF(C963,Return!D963,Return!E963)</f>
        <v>v</v>
      </c>
      <c r="F963" s="2" t="str">
        <f t="shared" ref="F963:F1026" si="45">IF(C963,IF(D963,IF(D962,"["&amp;E963&amp;"]",E963),E963),"")</f>
        <v>v</v>
      </c>
      <c r="G963" s="2" t="str">
        <f t="shared" si="44"/>
        <v>v</v>
      </c>
      <c r="H963" s="2" t="str">
        <f t="shared" ref="H963:H1026" si="46">IF(C963&gt;0,H962&amp;", "&amp;G963,"")</f>
        <v>, v, v</v>
      </c>
      <c r="I963" s="2" t="str">
        <f>IF(Return!C963=0,REPLACE(INDEX(H:H,ROW()+Return!B963,),1,2,Return!E963&amp;"(")&amp;")","")</f>
        <v/>
      </c>
      <c r="M963" s="1"/>
    </row>
    <row r="964" spans="1:13" x14ac:dyDescent="0.55000000000000004">
      <c r="A964" s="1" t="s">
        <v>1750</v>
      </c>
      <c r="B964" t="s">
        <v>1318</v>
      </c>
      <c r="C964" s="2">
        <f>Return!C964</f>
        <v>3</v>
      </c>
      <c r="D964" s="2">
        <f>COUNTA(Argument!E964)</f>
        <v>0</v>
      </c>
      <c r="E964" s="2" t="str">
        <f>IF(C964,Return!D964,Return!E964)</f>
        <v>v</v>
      </c>
      <c r="F964" s="2" t="str">
        <f t="shared" si="45"/>
        <v>v</v>
      </c>
      <c r="G964" s="2" t="str">
        <f t="shared" ref="G964:G1027" si="47">IF(B964="...",IF(C965&gt;0,"["&amp;E964,"…"),IF(B963=" ...",IF(C964&gt;0,E964&amp;"], …",F964),F964))</f>
        <v>v</v>
      </c>
      <c r="H964" s="2" t="str">
        <f t="shared" si="46"/>
        <v>, v, v, v</v>
      </c>
      <c r="I964" s="2" t="str">
        <f>IF(Return!C964=0,REPLACE(INDEX(H:H,ROW()+Return!B964,),1,2,Return!E964&amp;"(")&amp;")","")</f>
        <v/>
      </c>
      <c r="M964" s="1"/>
    </row>
    <row r="965" spans="1:13" x14ac:dyDescent="0.55000000000000004">
      <c r="A965" s="1" t="s">
        <v>1750</v>
      </c>
      <c r="B965" t="s">
        <v>1325</v>
      </c>
      <c r="C965" s="2">
        <f>Return!C965</f>
        <v>4</v>
      </c>
      <c r="D965" s="2">
        <f>COUNTA(Argument!E965)</f>
        <v>1</v>
      </c>
      <c r="E965" s="2" t="str">
        <f>IF(C965,Return!D965,Return!E965)</f>
        <v>v</v>
      </c>
      <c r="F965" s="2" t="str">
        <f t="shared" si="45"/>
        <v>v</v>
      </c>
      <c r="G965" s="2" t="str">
        <f t="shared" si="47"/>
        <v>v</v>
      </c>
      <c r="H965" s="2" t="str">
        <f t="shared" si="46"/>
        <v>, v, v, v, v</v>
      </c>
      <c r="I965" s="2" t="str">
        <f>IF(Return!C965=0,REPLACE(INDEX(H:H,ROW()+Return!B965,),1,2,Return!E965&amp;"(")&amp;")","")</f>
        <v/>
      </c>
      <c r="M965" s="1"/>
    </row>
    <row r="966" spans="1:13" x14ac:dyDescent="0.55000000000000004">
      <c r="A966" s="1" t="s">
        <v>1751</v>
      </c>
      <c r="C966" s="2">
        <f>Return!C966</f>
        <v>0</v>
      </c>
      <c r="D966" s="2">
        <f>COUNTA(Argument!E966)</f>
        <v>0</v>
      </c>
      <c r="E966" s="2" t="str">
        <f>IF(C966,Return!D966,Return!E966)</f>
        <v>v</v>
      </c>
      <c r="F966" s="2" t="str">
        <f t="shared" si="45"/>
        <v/>
      </c>
      <c r="G966" s="2" t="str">
        <f t="shared" si="47"/>
        <v/>
      </c>
      <c r="H966" s="2" t="str">
        <f t="shared" si="46"/>
        <v/>
      </c>
      <c r="I966" s="2" t="str">
        <f>IF(Return!C966=0,REPLACE(INDEX(H:H,ROW()+Return!B966,),1,2,Return!E966&amp;"(")&amp;")","")</f>
        <v>v(a, a)</v>
      </c>
      <c r="M966" s="1"/>
    </row>
    <row r="967" spans="1:13" x14ac:dyDescent="0.55000000000000004">
      <c r="A967" s="1" t="s">
        <v>1751</v>
      </c>
      <c r="B967" t="s">
        <v>1343</v>
      </c>
      <c r="C967" s="2">
        <f>Return!C967</f>
        <v>1</v>
      </c>
      <c r="D967" s="2">
        <f>COUNTA(Argument!E967)</f>
        <v>0</v>
      </c>
      <c r="E967" s="2" t="str">
        <f>IF(C967,Return!D967,Return!E967)</f>
        <v>a</v>
      </c>
      <c r="F967" s="2" t="str">
        <f t="shared" si="45"/>
        <v>a</v>
      </c>
      <c r="G967" s="2" t="str">
        <f t="shared" si="47"/>
        <v>a</v>
      </c>
      <c r="H967" s="2" t="str">
        <f t="shared" si="46"/>
        <v>, a</v>
      </c>
      <c r="I967" s="2" t="str">
        <f>IF(Return!C967=0,REPLACE(INDEX(H:H,ROW()+Return!B967,),1,2,Return!E967&amp;"(")&amp;")","")</f>
        <v/>
      </c>
      <c r="M967" s="1"/>
    </row>
    <row r="968" spans="1:13" x14ac:dyDescent="0.55000000000000004">
      <c r="A968" s="1" t="s">
        <v>1751</v>
      </c>
      <c r="B968" t="s">
        <v>1344</v>
      </c>
      <c r="C968" s="2">
        <f>Return!C968</f>
        <v>2</v>
      </c>
      <c r="D968" s="2">
        <f>COUNTA(Argument!E968)</f>
        <v>1</v>
      </c>
      <c r="E968" s="2" t="str">
        <f>IF(C968,Return!D968,Return!E968)</f>
        <v>a</v>
      </c>
      <c r="F968" s="2" t="str">
        <f t="shared" si="45"/>
        <v>a</v>
      </c>
      <c r="G968" s="2" t="str">
        <f t="shared" si="47"/>
        <v>a</v>
      </c>
      <c r="H968" s="2" t="str">
        <f t="shared" si="46"/>
        <v>, a, a</v>
      </c>
      <c r="I968" s="2" t="str">
        <f>IF(Return!C968=0,REPLACE(INDEX(H:H,ROW()+Return!B968,),1,2,Return!E968&amp;"(")&amp;")","")</f>
        <v/>
      </c>
      <c r="M968" s="1"/>
    </row>
    <row r="969" spans="1:13" x14ac:dyDescent="0.55000000000000004">
      <c r="A969" s="1" t="s">
        <v>2055</v>
      </c>
      <c r="C969" s="2">
        <f>Return!C969</f>
        <v>0</v>
      </c>
      <c r="D969" s="2">
        <f>COUNTA(Argument!E969)</f>
        <v>0</v>
      </c>
      <c r="E969" s="2" t="str">
        <f>IF(C969,Return!D969,Return!E969)</f>
        <v>v</v>
      </c>
      <c r="F969" s="2" t="str">
        <f t="shared" si="45"/>
        <v/>
      </c>
      <c r="G969" s="2" t="str">
        <f t="shared" si="47"/>
        <v/>
      </c>
      <c r="H969" s="2" t="str">
        <f t="shared" si="46"/>
        <v/>
      </c>
      <c r="I969" s="2" t="str">
        <f>IF(Return!C969=0,REPLACE(INDEX(H:H,ROW()+Return!B969,),1,2,Return!E969&amp;"(")&amp;")","")</f>
        <v>v(a, a)</v>
      </c>
      <c r="M969" s="1"/>
    </row>
    <row r="970" spans="1:13" x14ac:dyDescent="0.55000000000000004">
      <c r="A970" s="1" t="s">
        <v>2055</v>
      </c>
      <c r="B970" t="s">
        <v>1343</v>
      </c>
      <c r="C970" s="2">
        <f>Return!C970</f>
        <v>1</v>
      </c>
      <c r="D970" s="2">
        <f>COUNTA(Argument!E970)</f>
        <v>0</v>
      </c>
      <c r="E970" s="2" t="str">
        <f>IF(C970,Return!D970,Return!E970)</f>
        <v>a</v>
      </c>
      <c r="F970" s="2" t="str">
        <f t="shared" si="45"/>
        <v>a</v>
      </c>
      <c r="G970" s="2" t="str">
        <f t="shared" si="47"/>
        <v>a</v>
      </c>
      <c r="H970" s="2" t="str">
        <f t="shared" si="46"/>
        <v>, a</v>
      </c>
      <c r="I970" s="2" t="str">
        <f>IF(Return!C970=0,REPLACE(INDEX(H:H,ROW()+Return!B970,),1,2,Return!E970&amp;"(")&amp;")","")</f>
        <v/>
      </c>
      <c r="M970" s="1"/>
    </row>
    <row r="971" spans="1:13" x14ac:dyDescent="0.55000000000000004">
      <c r="A971" s="1" t="s">
        <v>2055</v>
      </c>
      <c r="B971" t="s">
        <v>1344</v>
      </c>
      <c r="C971" s="2">
        <f>Return!C971</f>
        <v>2</v>
      </c>
      <c r="D971" s="2">
        <f>COUNTA(Argument!E971)</f>
        <v>1</v>
      </c>
      <c r="E971" s="2" t="str">
        <f>IF(C971,Return!D971,Return!E971)</f>
        <v>a</v>
      </c>
      <c r="F971" s="2" t="str">
        <f t="shared" si="45"/>
        <v>a</v>
      </c>
      <c r="G971" s="2" t="str">
        <f t="shared" si="47"/>
        <v>a</v>
      </c>
      <c r="H971" s="2" t="str">
        <f t="shared" si="46"/>
        <v>, a, a</v>
      </c>
      <c r="I971" s="2" t="str">
        <f>IF(Return!C971=0,REPLACE(INDEX(H:H,ROW()+Return!B971,),1,2,Return!E971&amp;"(")&amp;")","")</f>
        <v/>
      </c>
      <c r="M971" s="1"/>
    </row>
    <row r="972" spans="1:13" x14ac:dyDescent="0.55000000000000004">
      <c r="A972" s="1" t="s">
        <v>2056</v>
      </c>
      <c r="C972" s="2">
        <f>Return!C972</f>
        <v>0</v>
      </c>
      <c r="D972" s="2">
        <f>COUNTA(Argument!E972)</f>
        <v>0</v>
      </c>
      <c r="E972" s="2" t="str">
        <f>IF(C972,Return!D972,Return!E972)</f>
        <v>v</v>
      </c>
      <c r="F972" s="2" t="str">
        <f t="shared" si="45"/>
        <v/>
      </c>
      <c r="G972" s="2" t="str">
        <f t="shared" si="47"/>
        <v/>
      </c>
      <c r="H972" s="2" t="str">
        <f t="shared" si="46"/>
        <v/>
      </c>
      <c r="I972" s="2" t="str">
        <f>IF(Return!C972=0,REPLACE(INDEX(H:H,ROW()+Return!B972,),1,2,Return!E972&amp;"(")&amp;")","")</f>
        <v>v(a, a)</v>
      </c>
      <c r="M972" s="1"/>
    </row>
    <row r="973" spans="1:13" x14ac:dyDescent="0.55000000000000004">
      <c r="A973" s="1" t="s">
        <v>2056</v>
      </c>
      <c r="B973" t="s">
        <v>1343</v>
      </c>
      <c r="C973" s="2">
        <f>Return!C973</f>
        <v>1</v>
      </c>
      <c r="D973" s="2">
        <f>COUNTA(Argument!E973)</f>
        <v>0</v>
      </c>
      <c r="E973" s="2" t="str">
        <f>IF(C973,Return!D973,Return!E973)</f>
        <v>a</v>
      </c>
      <c r="F973" s="2" t="str">
        <f t="shared" si="45"/>
        <v>a</v>
      </c>
      <c r="G973" s="2" t="str">
        <f t="shared" si="47"/>
        <v>a</v>
      </c>
      <c r="H973" s="2" t="str">
        <f t="shared" si="46"/>
        <v>, a</v>
      </c>
      <c r="I973" s="2" t="str">
        <f>IF(Return!C973=0,REPLACE(INDEX(H:H,ROW()+Return!B973,),1,2,Return!E973&amp;"(")&amp;")","")</f>
        <v/>
      </c>
      <c r="M973" s="1"/>
    </row>
    <row r="974" spans="1:13" x14ac:dyDescent="0.55000000000000004">
      <c r="A974" s="1" t="s">
        <v>2056</v>
      </c>
      <c r="B974" t="s">
        <v>1344</v>
      </c>
      <c r="C974" s="2">
        <f>Return!C974</f>
        <v>2</v>
      </c>
      <c r="D974" s="2">
        <f>COUNTA(Argument!E974)</f>
        <v>1</v>
      </c>
      <c r="E974" s="2" t="str">
        <f>IF(C974,Return!D974,Return!E974)</f>
        <v>a</v>
      </c>
      <c r="F974" s="2" t="str">
        <f t="shared" si="45"/>
        <v>a</v>
      </c>
      <c r="G974" s="2" t="str">
        <f t="shared" si="47"/>
        <v>a</v>
      </c>
      <c r="H974" s="2" t="str">
        <f t="shared" si="46"/>
        <v>, a, a</v>
      </c>
      <c r="I974" s="2" t="str">
        <f>IF(Return!C974=0,REPLACE(INDEX(H:H,ROW()+Return!B974,),1,2,Return!E974&amp;"(")&amp;")","")</f>
        <v/>
      </c>
      <c r="M974" s="1"/>
    </row>
    <row r="975" spans="1:13" x14ac:dyDescent="0.55000000000000004">
      <c r="A975" s="1" t="s">
        <v>1752</v>
      </c>
      <c r="C975" s="2">
        <f>Return!C975</f>
        <v>0</v>
      </c>
      <c r="D975" s="2">
        <f>COUNTA(Argument!E975)</f>
        <v>0</v>
      </c>
      <c r="E975" s="2" t="str">
        <f>IF(C975,Return!D975,Return!E975)</f>
        <v>v</v>
      </c>
      <c r="F975" s="2" t="str">
        <f t="shared" si="45"/>
        <v/>
      </c>
      <c r="G975" s="2" t="str">
        <f t="shared" si="47"/>
        <v/>
      </c>
      <c r="H975" s="2" t="str">
        <f t="shared" si="46"/>
        <v/>
      </c>
      <c r="I975" s="2" t="str">
        <f>IF(Return!C975=0,REPLACE(INDEX(H:H,ROW()+Return!B975,),1,2,Return!E975&amp;"(")&amp;")","")</f>
        <v>v(a, a)</v>
      </c>
      <c r="M975" s="1"/>
    </row>
    <row r="976" spans="1:13" x14ac:dyDescent="0.55000000000000004">
      <c r="A976" s="1" t="s">
        <v>1752</v>
      </c>
      <c r="B976" t="s">
        <v>1345</v>
      </c>
      <c r="C976" s="2">
        <f>Return!C976</f>
        <v>1</v>
      </c>
      <c r="D976" s="2">
        <f>COUNTA(Argument!E976)</f>
        <v>0</v>
      </c>
      <c r="E976" s="2" t="str">
        <f>IF(C976,Return!D976,Return!E976)</f>
        <v>a</v>
      </c>
      <c r="F976" s="2" t="str">
        <f t="shared" si="45"/>
        <v>a</v>
      </c>
      <c r="G976" s="2" t="str">
        <f t="shared" si="47"/>
        <v>a</v>
      </c>
      <c r="H976" s="2" t="str">
        <f t="shared" si="46"/>
        <v>, a</v>
      </c>
      <c r="I976" s="2" t="str">
        <f>IF(Return!C976=0,REPLACE(INDEX(H:H,ROW()+Return!B976,),1,2,Return!E976&amp;"(")&amp;")","")</f>
        <v/>
      </c>
      <c r="M976" s="1"/>
    </row>
    <row r="977" spans="1:13" x14ac:dyDescent="0.55000000000000004">
      <c r="A977" s="1" t="s">
        <v>1752</v>
      </c>
      <c r="B977" t="s">
        <v>1346</v>
      </c>
      <c r="C977" s="2">
        <f>Return!C977</f>
        <v>2</v>
      </c>
      <c r="D977" s="2">
        <f>COUNTA(Argument!E977)</f>
        <v>1</v>
      </c>
      <c r="E977" s="2" t="str">
        <f>IF(C977,Return!D977,Return!E977)</f>
        <v>a</v>
      </c>
      <c r="F977" s="2" t="str">
        <f t="shared" si="45"/>
        <v>a</v>
      </c>
      <c r="G977" s="2" t="str">
        <f t="shared" si="47"/>
        <v>a</v>
      </c>
      <c r="H977" s="2" t="str">
        <f t="shared" si="46"/>
        <v>, a, a</v>
      </c>
      <c r="I977" s="2" t="str">
        <f>IF(Return!C977=0,REPLACE(INDEX(H:H,ROW()+Return!B977,),1,2,Return!E977&amp;"(")&amp;")","")</f>
        <v/>
      </c>
      <c r="M977" s="1"/>
    </row>
    <row r="978" spans="1:13" x14ac:dyDescent="0.55000000000000004">
      <c r="A978" s="1" t="s">
        <v>1753</v>
      </c>
      <c r="C978" s="2">
        <f>Return!C978</f>
        <v>0</v>
      </c>
      <c r="D978" s="2">
        <f>COUNTA(Argument!E978)</f>
        <v>0</v>
      </c>
      <c r="E978" s="2" t="str">
        <f>IF(C978,Return!D978,Return!E978)</f>
        <v>v</v>
      </c>
      <c r="F978" s="2" t="str">
        <f t="shared" si="45"/>
        <v/>
      </c>
      <c r="G978" s="2" t="str">
        <f t="shared" si="47"/>
        <v/>
      </c>
      <c r="H978" s="2" t="str">
        <f t="shared" si="46"/>
        <v/>
      </c>
      <c r="I978" s="2" t="str">
        <f>IF(Return!C978=0,REPLACE(INDEX(H:H,ROW()+Return!B978,),1,2,Return!E978&amp;"(")&amp;")","")</f>
        <v>v(a, a)</v>
      </c>
      <c r="M978" s="1"/>
    </row>
    <row r="979" spans="1:13" x14ac:dyDescent="0.55000000000000004">
      <c r="A979" s="1" t="s">
        <v>1753</v>
      </c>
      <c r="B979" t="s">
        <v>1298</v>
      </c>
      <c r="C979" s="2">
        <f>Return!C979</f>
        <v>1</v>
      </c>
      <c r="D979" s="2">
        <f>COUNTA(Argument!E979)</f>
        <v>0</v>
      </c>
      <c r="E979" s="2" t="str">
        <f>IF(C979,Return!D979,Return!E979)</f>
        <v>a</v>
      </c>
      <c r="F979" s="2" t="str">
        <f t="shared" si="45"/>
        <v>a</v>
      </c>
      <c r="G979" s="2" t="str">
        <f t="shared" si="47"/>
        <v>a</v>
      </c>
      <c r="H979" s="2" t="str">
        <f t="shared" si="46"/>
        <v>, a</v>
      </c>
      <c r="I979" s="2" t="str">
        <f>IF(Return!C979=0,REPLACE(INDEX(H:H,ROW()+Return!B979,),1,2,Return!E979&amp;"(")&amp;")","")</f>
        <v/>
      </c>
      <c r="M979" s="1"/>
    </row>
    <row r="980" spans="1:13" x14ac:dyDescent="0.55000000000000004">
      <c r="A980" s="1" t="s">
        <v>1753</v>
      </c>
      <c r="B980" t="s">
        <v>1299</v>
      </c>
      <c r="C980" s="2">
        <f>Return!C980</f>
        <v>2</v>
      </c>
      <c r="D980" s="2">
        <f>COUNTA(Argument!E980)</f>
        <v>1</v>
      </c>
      <c r="E980" s="2" t="str">
        <f>IF(C980,Return!D980,Return!E980)</f>
        <v>a</v>
      </c>
      <c r="F980" s="2" t="str">
        <f t="shared" si="45"/>
        <v>a</v>
      </c>
      <c r="G980" s="2" t="str">
        <f t="shared" si="47"/>
        <v>a</v>
      </c>
      <c r="H980" s="2" t="str">
        <f t="shared" si="46"/>
        <v>, a, a</v>
      </c>
      <c r="I980" s="2" t="str">
        <f>IF(Return!C980=0,REPLACE(INDEX(H:H,ROW()+Return!B980,),1,2,Return!E980&amp;"(")&amp;")","")</f>
        <v/>
      </c>
      <c r="M980" s="1"/>
    </row>
    <row r="981" spans="1:13" x14ac:dyDescent="0.55000000000000004">
      <c r="A981" s="1" t="s">
        <v>1754</v>
      </c>
      <c r="C981" s="2">
        <f>Return!C981</f>
        <v>0</v>
      </c>
      <c r="D981" s="2">
        <f>COUNTA(Argument!E981)</f>
        <v>0</v>
      </c>
      <c r="E981" s="2" t="str">
        <f>IF(C981,Return!D981,Return!E981)</f>
        <v>v</v>
      </c>
      <c r="F981" s="2" t="str">
        <f t="shared" si="45"/>
        <v/>
      </c>
      <c r="G981" s="2" t="str">
        <f t="shared" si="47"/>
        <v/>
      </c>
      <c r="H981" s="2" t="str">
        <f t="shared" si="46"/>
        <v/>
      </c>
      <c r="I981" s="2" t="str">
        <f>IF(Return!C981=0,REPLACE(INDEX(H:H,ROW()+Return!B981,),1,2,Return!E981&amp;"(")&amp;")","")</f>
        <v>v(a, a)</v>
      </c>
      <c r="M981" s="1"/>
    </row>
    <row r="982" spans="1:13" x14ac:dyDescent="0.55000000000000004">
      <c r="A982" s="1" t="s">
        <v>1754</v>
      </c>
      <c r="B982" t="s">
        <v>1298</v>
      </c>
      <c r="C982" s="2">
        <f>Return!C982</f>
        <v>1</v>
      </c>
      <c r="D982" s="2">
        <f>COUNTA(Argument!E982)</f>
        <v>0</v>
      </c>
      <c r="E982" s="2" t="str">
        <f>IF(C982,Return!D982,Return!E982)</f>
        <v>a</v>
      </c>
      <c r="F982" s="2" t="str">
        <f t="shared" si="45"/>
        <v>a</v>
      </c>
      <c r="G982" s="2" t="str">
        <f t="shared" si="47"/>
        <v>a</v>
      </c>
      <c r="H982" s="2" t="str">
        <f t="shared" si="46"/>
        <v>, a</v>
      </c>
      <c r="I982" s="2" t="str">
        <f>IF(Return!C982=0,REPLACE(INDEX(H:H,ROW()+Return!B982,),1,2,Return!E982&amp;"(")&amp;")","")</f>
        <v/>
      </c>
      <c r="M982" s="1"/>
    </row>
    <row r="983" spans="1:13" x14ac:dyDescent="0.55000000000000004">
      <c r="A983" s="1" t="s">
        <v>1754</v>
      </c>
      <c r="B983" t="s">
        <v>1299</v>
      </c>
      <c r="C983" s="2">
        <f>Return!C983</f>
        <v>2</v>
      </c>
      <c r="D983" s="2">
        <f>COUNTA(Argument!E983)</f>
        <v>1</v>
      </c>
      <c r="E983" s="2" t="str">
        <f>IF(C983,Return!D983,Return!E983)</f>
        <v>a</v>
      </c>
      <c r="F983" s="2" t="str">
        <f t="shared" si="45"/>
        <v>a</v>
      </c>
      <c r="G983" s="2" t="str">
        <f t="shared" si="47"/>
        <v>a</v>
      </c>
      <c r="H983" s="2" t="str">
        <f t="shared" si="46"/>
        <v>, a, a</v>
      </c>
      <c r="I983" s="2" t="str">
        <f>IF(Return!C983=0,REPLACE(INDEX(H:H,ROW()+Return!B983,),1,2,Return!E983&amp;"(")&amp;")","")</f>
        <v/>
      </c>
      <c r="M983" s="1"/>
    </row>
    <row r="984" spans="1:13" x14ac:dyDescent="0.55000000000000004">
      <c r="A984" s="1" t="s">
        <v>1755</v>
      </c>
      <c r="C984" s="2">
        <f>Return!C984</f>
        <v>0</v>
      </c>
      <c r="D984" s="2">
        <f>COUNTA(Argument!E984)</f>
        <v>0</v>
      </c>
      <c r="E984" s="2" t="str">
        <f>IF(C984,Return!D984,Return!E984)</f>
        <v>v</v>
      </c>
      <c r="F984" s="2" t="str">
        <f t="shared" si="45"/>
        <v/>
      </c>
      <c r="G984" s="2" t="str">
        <f t="shared" si="47"/>
        <v/>
      </c>
      <c r="H984" s="2" t="str">
        <f t="shared" si="46"/>
        <v/>
      </c>
      <c r="I984" s="2" t="str">
        <f>IF(Return!C984=0,REPLACE(INDEX(H:H,ROW()+Return!B984,),1,2,Return!E984&amp;"(")&amp;")","")</f>
        <v>v(v, a, a)</v>
      </c>
      <c r="M984" s="1"/>
    </row>
    <row r="985" spans="1:13" x14ac:dyDescent="0.55000000000000004">
      <c r="A985" s="1" t="s">
        <v>1755</v>
      </c>
      <c r="B985" t="s">
        <v>1316</v>
      </c>
      <c r="C985" s="2">
        <f>Return!C985</f>
        <v>1</v>
      </c>
      <c r="D985" s="2">
        <f>COUNTA(Argument!E985)</f>
        <v>0</v>
      </c>
      <c r="E985" s="2" t="str">
        <f>IF(C985,Return!D985,Return!E985)</f>
        <v>v</v>
      </c>
      <c r="F985" s="2" t="str">
        <f t="shared" si="45"/>
        <v>v</v>
      </c>
      <c r="G985" s="2" t="str">
        <f t="shared" si="47"/>
        <v>v</v>
      </c>
      <c r="H985" s="2" t="str">
        <f t="shared" si="46"/>
        <v>, v</v>
      </c>
      <c r="I985" s="2" t="str">
        <f>IF(Return!C985=0,REPLACE(INDEX(H:H,ROW()+Return!B985,),1,2,Return!E985&amp;"(")&amp;")","")</f>
        <v/>
      </c>
      <c r="M985" s="1"/>
    </row>
    <row r="986" spans="1:13" x14ac:dyDescent="0.55000000000000004">
      <c r="A986" s="1" t="s">
        <v>1755</v>
      </c>
      <c r="B986" t="s">
        <v>1916</v>
      </c>
      <c r="C986" s="2">
        <f>Return!C986</f>
        <v>2</v>
      </c>
      <c r="D986" s="2">
        <f>COUNTA(Argument!E986)</f>
        <v>0</v>
      </c>
      <c r="E986" s="2" t="str">
        <f>IF(C986,Return!D986,Return!E986)</f>
        <v>a</v>
      </c>
      <c r="F986" s="2" t="str">
        <f t="shared" si="45"/>
        <v>a</v>
      </c>
      <c r="G986" s="2" t="str">
        <f t="shared" si="47"/>
        <v>a</v>
      </c>
      <c r="H986" s="2" t="str">
        <f t="shared" si="46"/>
        <v>, v, a</v>
      </c>
      <c r="I986" s="2" t="str">
        <f>IF(Return!C986=0,REPLACE(INDEX(H:H,ROW()+Return!B986,),1,2,Return!E986&amp;"(")&amp;")","")</f>
        <v/>
      </c>
      <c r="M986" s="1"/>
    </row>
    <row r="987" spans="1:13" x14ac:dyDescent="0.55000000000000004">
      <c r="A987" s="1" t="s">
        <v>1755</v>
      </c>
      <c r="B987" t="s">
        <v>1917</v>
      </c>
      <c r="C987" s="2">
        <f>Return!C987</f>
        <v>3</v>
      </c>
      <c r="D987" s="2">
        <f>COUNTA(Argument!E987)</f>
        <v>1</v>
      </c>
      <c r="E987" s="2" t="str">
        <f>IF(C987,Return!D987,Return!E987)</f>
        <v>a</v>
      </c>
      <c r="F987" s="2" t="str">
        <f t="shared" si="45"/>
        <v>a</v>
      </c>
      <c r="G987" s="2" t="str">
        <f t="shared" si="47"/>
        <v>a</v>
      </c>
      <c r="H987" s="2" t="str">
        <f t="shared" si="46"/>
        <v>, v, a, a</v>
      </c>
      <c r="I987" s="2" t="str">
        <f>IF(Return!C987=0,REPLACE(INDEX(H:H,ROW()+Return!B987,),1,2,Return!E987&amp;"(")&amp;")","")</f>
        <v/>
      </c>
      <c r="M987" s="1"/>
    </row>
    <row r="988" spans="1:13" x14ac:dyDescent="0.55000000000000004">
      <c r="A988" s="1" t="s">
        <v>1756</v>
      </c>
      <c r="C988" s="2">
        <f>Return!C988</f>
        <v>0</v>
      </c>
      <c r="D988" s="2">
        <f>COUNTA(Argument!E988)</f>
        <v>0</v>
      </c>
      <c r="E988" s="2" t="str">
        <f>IF(C988,Return!D988,Return!E988)</f>
        <v>v</v>
      </c>
      <c r="F988" s="2" t="str">
        <f t="shared" si="45"/>
        <v/>
      </c>
      <c r="G988" s="2" t="str">
        <f t="shared" si="47"/>
        <v/>
      </c>
      <c r="H988" s="2" t="str">
        <f t="shared" si="46"/>
        <v/>
      </c>
      <c r="I988" s="2" t="str">
        <f>IF(Return!C988=0,REPLACE(INDEX(H:H,ROW()+Return!B988,),1,2,Return!E988&amp;"(")&amp;")","")</f>
        <v>v(a, a)</v>
      </c>
      <c r="M988" s="1"/>
    </row>
    <row r="989" spans="1:13" x14ac:dyDescent="0.55000000000000004">
      <c r="A989" s="1" t="s">
        <v>1756</v>
      </c>
      <c r="B989" t="s">
        <v>1298</v>
      </c>
      <c r="C989" s="2">
        <f>Return!C989</f>
        <v>1</v>
      </c>
      <c r="D989" s="2">
        <f>COUNTA(Argument!E989)</f>
        <v>0</v>
      </c>
      <c r="E989" s="2" t="str">
        <f>IF(C989,Return!D989,Return!E989)</f>
        <v>a</v>
      </c>
      <c r="F989" s="2" t="str">
        <f t="shared" si="45"/>
        <v>a</v>
      </c>
      <c r="G989" s="2" t="str">
        <f t="shared" si="47"/>
        <v>a</v>
      </c>
      <c r="H989" s="2" t="str">
        <f t="shared" si="46"/>
        <v>, a</v>
      </c>
      <c r="I989" s="2" t="str">
        <f>IF(Return!C989=0,REPLACE(INDEX(H:H,ROW()+Return!B989,),1,2,Return!E989&amp;"(")&amp;")","")</f>
        <v/>
      </c>
      <c r="M989" s="1"/>
    </row>
    <row r="990" spans="1:13" x14ac:dyDescent="0.55000000000000004">
      <c r="A990" s="1" t="s">
        <v>1756</v>
      </c>
      <c r="B990" t="s">
        <v>1299</v>
      </c>
      <c r="C990" s="2">
        <f>Return!C990</f>
        <v>2</v>
      </c>
      <c r="D990" s="2">
        <f>COUNTA(Argument!E990)</f>
        <v>1</v>
      </c>
      <c r="E990" s="2" t="str">
        <f>IF(C990,Return!D990,Return!E990)</f>
        <v>a</v>
      </c>
      <c r="F990" s="2" t="str">
        <f t="shared" si="45"/>
        <v>a</v>
      </c>
      <c r="G990" s="2" t="str">
        <f t="shared" si="47"/>
        <v>a</v>
      </c>
      <c r="H990" s="2" t="str">
        <f t="shared" si="46"/>
        <v>, a, a</v>
      </c>
      <c r="I990" s="2" t="str">
        <f>IF(Return!C990=0,REPLACE(INDEX(H:H,ROW()+Return!B990,),1,2,Return!E990&amp;"(")&amp;")","")</f>
        <v/>
      </c>
      <c r="M990" s="1"/>
    </row>
    <row r="991" spans="1:13" x14ac:dyDescent="0.55000000000000004">
      <c r="A991" s="1" t="s">
        <v>1757</v>
      </c>
      <c r="C991" s="2">
        <f>Return!C991</f>
        <v>0</v>
      </c>
      <c r="D991" s="2">
        <f>COUNTA(Argument!E991)</f>
        <v>0</v>
      </c>
      <c r="E991" s="2" t="str">
        <f>IF(C991,Return!D991,Return!E991)</f>
        <v>v</v>
      </c>
      <c r="F991" s="2" t="str">
        <f t="shared" si="45"/>
        <v/>
      </c>
      <c r="G991" s="2" t="str">
        <f t="shared" si="47"/>
        <v/>
      </c>
      <c r="H991" s="2" t="str">
        <f t="shared" si="46"/>
        <v/>
      </c>
      <c r="I991" s="2" t="str">
        <f>IF(Return!C991=0,REPLACE(INDEX(H:H,ROW()+Return!B991,),1,2,Return!E991&amp;"(")&amp;")","")</f>
        <v>v(a, a)</v>
      </c>
      <c r="M991" s="1"/>
    </row>
    <row r="992" spans="1:13" x14ac:dyDescent="0.55000000000000004">
      <c r="A992" s="1" t="s">
        <v>1757</v>
      </c>
      <c r="B992" t="s">
        <v>1916</v>
      </c>
      <c r="C992" s="2">
        <f>Return!C992</f>
        <v>1</v>
      </c>
      <c r="D992" s="2">
        <f>COUNTA(Argument!E992)</f>
        <v>0</v>
      </c>
      <c r="E992" s="2" t="str">
        <f>IF(C992,Return!D992,Return!E992)</f>
        <v>a</v>
      </c>
      <c r="F992" s="2" t="str">
        <f t="shared" si="45"/>
        <v>a</v>
      </c>
      <c r="G992" s="2" t="str">
        <f t="shared" si="47"/>
        <v>a</v>
      </c>
      <c r="H992" s="2" t="str">
        <f t="shared" si="46"/>
        <v>, a</v>
      </c>
      <c r="I992" s="2" t="str">
        <f>IF(Return!C992=0,REPLACE(INDEX(H:H,ROW()+Return!B992,),1,2,Return!E992&amp;"(")&amp;")","")</f>
        <v/>
      </c>
      <c r="M992" s="1"/>
    </row>
    <row r="993" spans="1:13" x14ac:dyDescent="0.55000000000000004">
      <c r="A993" s="1" t="s">
        <v>1757</v>
      </c>
      <c r="B993" t="s">
        <v>1917</v>
      </c>
      <c r="C993" s="2">
        <f>Return!C993</f>
        <v>2</v>
      </c>
      <c r="D993" s="2">
        <f>COUNTA(Argument!E993)</f>
        <v>1</v>
      </c>
      <c r="E993" s="2" t="str">
        <f>IF(C993,Return!D993,Return!E993)</f>
        <v>a</v>
      </c>
      <c r="F993" s="2" t="str">
        <f t="shared" si="45"/>
        <v>a</v>
      </c>
      <c r="G993" s="2" t="str">
        <f t="shared" si="47"/>
        <v>a</v>
      </c>
      <c r="H993" s="2" t="str">
        <f t="shared" si="46"/>
        <v>, a, a</v>
      </c>
      <c r="I993" s="2" t="str">
        <f>IF(Return!C993=0,REPLACE(INDEX(H:H,ROW()+Return!B993,),1,2,Return!E993&amp;"(")&amp;")","")</f>
        <v/>
      </c>
      <c r="M993" s="1"/>
    </row>
    <row r="994" spans="1:13" x14ac:dyDescent="0.55000000000000004">
      <c r="A994" s="1" t="s">
        <v>1758</v>
      </c>
      <c r="C994" s="2">
        <f>Return!C994</f>
        <v>0</v>
      </c>
      <c r="D994" s="2">
        <f>COUNTA(Argument!E994)</f>
        <v>0</v>
      </c>
      <c r="E994" s="2" t="str">
        <f>IF(C994,Return!D994,Return!E994)</f>
        <v>v</v>
      </c>
      <c r="F994" s="2" t="str">
        <f t="shared" si="45"/>
        <v/>
      </c>
      <c r="G994" s="2" t="str">
        <f t="shared" si="47"/>
        <v/>
      </c>
      <c r="H994" s="2" t="str">
        <f t="shared" si="46"/>
        <v/>
      </c>
      <c r="I994" s="2" t="str">
        <f>IF(Return!C994=0,REPLACE(INDEX(H:H,ROW()+Return!B994,),1,2,Return!E994&amp;"(")&amp;")","")</f>
        <v>v(a, a)</v>
      </c>
      <c r="M994" s="1"/>
    </row>
    <row r="995" spans="1:13" x14ac:dyDescent="0.55000000000000004">
      <c r="A995" s="1" t="s">
        <v>1758</v>
      </c>
      <c r="B995" t="s">
        <v>1298</v>
      </c>
      <c r="C995" s="2">
        <f>Return!C995</f>
        <v>1</v>
      </c>
      <c r="D995" s="2">
        <f>COUNTA(Argument!E995)</f>
        <v>0</v>
      </c>
      <c r="E995" s="2" t="str">
        <f>IF(C995,Return!D995,Return!E995)</f>
        <v>a</v>
      </c>
      <c r="F995" s="2" t="str">
        <f t="shared" si="45"/>
        <v>a</v>
      </c>
      <c r="G995" s="2" t="str">
        <f t="shared" si="47"/>
        <v>a</v>
      </c>
      <c r="H995" s="2" t="str">
        <f t="shared" si="46"/>
        <v>, a</v>
      </c>
      <c r="I995" s="2" t="str">
        <f>IF(Return!C995=0,REPLACE(INDEX(H:H,ROW()+Return!B995,),1,2,Return!E995&amp;"(")&amp;")","")</f>
        <v/>
      </c>
      <c r="M995" s="1"/>
    </row>
    <row r="996" spans="1:13" x14ac:dyDescent="0.55000000000000004">
      <c r="A996" s="1" t="s">
        <v>1758</v>
      </c>
      <c r="B996" t="s">
        <v>1299</v>
      </c>
      <c r="C996" s="2">
        <f>Return!C996</f>
        <v>2</v>
      </c>
      <c r="D996" s="2">
        <f>COUNTA(Argument!E996)</f>
        <v>1</v>
      </c>
      <c r="E996" s="2" t="str">
        <f>IF(C996,Return!D996,Return!E996)</f>
        <v>a</v>
      </c>
      <c r="F996" s="2" t="str">
        <f t="shared" si="45"/>
        <v>a</v>
      </c>
      <c r="G996" s="2" t="str">
        <f t="shared" si="47"/>
        <v>a</v>
      </c>
      <c r="H996" s="2" t="str">
        <f t="shared" si="46"/>
        <v>, a, a</v>
      </c>
      <c r="I996" s="2" t="str">
        <f>IF(Return!C996=0,REPLACE(INDEX(H:H,ROW()+Return!B996,),1,2,Return!E996&amp;"(")&amp;")","")</f>
        <v/>
      </c>
      <c r="M996" s="1"/>
    </row>
    <row r="997" spans="1:13" x14ac:dyDescent="0.55000000000000004">
      <c r="A997" s="1" t="s">
        <v>1759</v>
      </c>
      <c r="C997" s="2">
        <f>Return!C997</f>
        <v>0</v>
      </c>
      <c r="D997" s="2">
        <f>COUNTA(Argument!E997)</f>
        <v>0</v>
      </c>
      <c r="E997" s="2" t="str">
        <f>IF(C997,Return!D997,Return!E997)</f>
        <v>v</v>
      </c>
      <c r="F997" s="2" t="str">
        <f t="shared" si="45"/>
        <v/>
      </c>
      <c r="G997" s="2" t="str">
        <f t="shared" si="47"/>
        <v/>
      </c>
      <c r="H997" s="2" t="str">
        <f t="shared" si="46"/>
        <v/>
      </c>
      <c r="I997" s="2" t="str">
        <f>IF(Return!C997=0,REPLACE(INDEX(H:H,ROW()+Return!B997,),1,2,Return!E997&amp;"(")&amp;")","")</f>
        <v>v(a, a)</v>
      </c>
      <c r="M997" s="1"/>
    </row>
    <row r="998" spans="1:13" x14ac:dyDescent="0.55000000000000004">
      <c r="A998" s="1" t="s">
        <v>1759</v>
      </c>
      <c r="B998" t="s">
        <v>1916</v>
      </c>
      <c r="C998" s="2">
        <f>Return!C998</f>
        <v>1</v>
      </c>
      <c r="D998" s="2">
        <f>COUNTA(Argument!E998)</f>
        <v>0</v>
      </c>
      <c r="E998" s="2" t="str">
        <f>IF(C998,Return!D998,Return!E998)</f>
        <v>a</v>
      </c>
      <c r="F998" s="2" t="str">
        <f t="shared" si="45"/>
        <v>a</v>
      </c>
      <c r="G998" s="2" t="str">
        <f t="shared" si="47"/>
        <v>a</v>
      </c>
      <c r="H998" s="2" t="str">
        <f t="shared" si="46"/>
        <v>, a</v>
      </c>
      <c r="I998" s="2" t="str">
        <f>IF(Return!C998=0,REPLACE(INDEX(H:H,ROW()+Return!B998,),1,2,Return!E998&amp;"(")&amp;")","")</f>
        <v/>
      </c>
      <c r="M998" s="1"/>
    </row>
    <row r="999" spans="1:13" x14ac:dyDescent="0.55000000000000004">
      <c r="A999" s="1" t="s">
        <v>1759</v>
      </c>
      <c r="B999" t="s">
        <v>1917</v>
      </c>
      <c r="C999" s="2">
        <f>Return!C999</f>
        <v>2</v>
      </c>
      <c r="D999" s="2">
        <f>COUNTA(Argument!E999)</f>
        <v>1</v>
      </c>
      <c r="E999" s="2" t="str">
        <f>IF(C999,Return!D999,Return!E999)</f>
        <v>a</v>
      </c>
      <c r="F999" s="2" t="str">
        <f t="shared" si="45"/>
        <v>a</v>
      </c>
      <c r="G999" s="2" t="str">
        <f t="shared" si="47"/>
        <v>a</v>
      </c>
      <c r="H999" s="2" t="str">
        <f t="shared" si="46"/>
        <v>, a, a</v>
      </c>
      <c r="I999" s="2" t="str">
        <f>IF(Return!C999=0,REPLACE(INDEX(H:H,ROW()+Return!B999,),1,2,Return!E999&amp;"(")&amp;")","")</f>
        <v/>
      </c>
      <c r="M999" s="1"/>
    </row>
    <row r="1000" spans="1:13" x14ac:dyDescent="0.55000000000000004">
      <c r="A1000" s="1" t="s">
        <v>1760</v>
      </c>
      <c r="C1000" s="2">
        <f>Return!C1000</f>
        <v>0</v>
      </c>
      <c r="D1000" s="2">
        <f>COUNTA(Argument!E1000)</f>
        <v>0</v>
      </c>
      <c r="E1000" s="2" t="str">
        <f>IF(C1000,Return!D1000,Return!E1000)</f>
        <v>v</v>
      </c>
      <c r="F1000" s="2" t="str">
        <f t="shared" si="45"/>
        <v/>
      </c>
      <c r="G1000" s="2" t="str">
        <f t="shared" si="47"/>
        <v/>
      </c>
      <c r="H1000" s="2" t="str">
        <f t="shared" si="46"/>
        <v/>
      </c>
      <c r="I1000" s="2" t="str">
        <f>IF(Return!C1000=0,REPLACE(INDEX(H:H,ROW()+Return!B1000,),1,2,Return!E1000&amp;"(")&amp;")","")</f>
        <v>v(a, a)</v>
      </c>
      <c r="M1000" s="1"/>
    </row>
    <row r="1001" spans="1:13" x14ac:dyDescent="0.55000000000000004">
      <c r="A1001" s="1" t="s">
        <v>1760</v>
      </c>
      <c r="B1001" t="s">
        <v>1916</v>
      </c>
      <c r="C1001" s="2">
        <f>Return!C1001</f>
        <v>1</v>
      </c>
      <c r="D1001" s="2">
        <f>COUNTA(Argument!E1001)</f>
        <v>0</v>
      </c>
      <c r="E1001" s="2" t="str">
        <f>IF(C1001,Return!D1001,Return!E1001)</f>
        <v>a</v>
      </c>
      <c r="F1001" s="2" t="str">
        <f t="shared" si="45"/>
        <v>a</v>
      </c>
      <c r="G1001" s="2" t="str">
        <f t="shared" si="47"/>
        <v>a</v>
      </c>
      <c r="H1001" s="2" t="str">
        <f t="shared" si="46"/>
        <v>, a</v>
      </c>
      <c r="I1001" s="2" t="str">
        <f>IF(Return!C1001=0,REPLACE(INDEX(H:H,ROW()+Return!B1001,),1,2,Return!E1001&amp;"(")&amp;")","")</f>
        <v/>
      </c>
      <c r="M1001" s="1"/>
    </row>
    <row r="1002" spans="1:13" x14ac:dyDescent="0.55000000000000004">
      <c r="A1002" s="1" t="s">
        <v>1760</v>
      </c>
      <c r="B1002" t="s">
        <v>1917</v>
      </c>
      <c r="C1002" s="2">
        <f>Return!C1002</f>
        <v>2</v>
      </c>
      <c r="D1002" s="2">
        <f>COUNTA(Argument!E1002)</f>
        <v>1</v>
      </c>
      <c r="E1002" s="2" t="str">
        <f>IF(C1002,Return!D1002,Return!E1002)</f>
        <v>a</v>
      </c>
      <c r="F1002" s="2" t="str">
        <f t="shared" si="45"/>
        <v>a</v>
      </c>
      <c r="G1002" s="2" t="str">
        <f t="shared" si="47"/>
        <v>a</v>
      </c>
      <c r="H1002" s="2" t="str">
        <f t="shared" si="46"/>
        <v>, a, a</v>
      </c>
      <c r="I1002" s="2" t="str">
        <f>IF(Return!C1002=0,REPLACE(INDEX(H:H,ROW()+Return!B1002,),1,2,Return!E1002&amp;"(")&amp;")","")</f>
        <v/>
      </c>
      <c r="M1002" s="1"/>
    </row>
    <row r="1003" spans="1:13" x14ac:dyDescent="0.55000000000000004">
      <c r="A1003" s="1" t="s">
        <v>1761</v>
      </c>
      <c r="C1003" s="2">
        <f>Return!C1003</f>
        <v>0</v>
      </c>
      <c r="D1003" s="2">
        <f>COUNTA(Argument!E1003)</f>
        <v>0</v>
      </c>
      <c r="E1003" s="2" t="str">
        <f>IF(C1003,Return!D1003,Return!E1003)</f>
        <v>v</v>
      </c>
      <c r="F1003" s="2" t="str">
        <f t="shared" si="45"/>
        <v/>
      </c>
      <c r="G1003" s="2" t="str">
        <f t="shared" si="47"/>
        <v/>
      </c>
      <c r="H1003" s="2" t="str">
        <f t="shared" si="46"/>
        <v/>
      </c>
      <c r="I1003" s="2" t="str">
        <f>IF(Return!C1003=0,REPLACE(INDEX(H:H,ROW()+Return!B1003,),1,2,Return!E1003&amp;"(")&amp;")","")</f>
        <v>v(a, a)</v>
      </c>
      <c r="M1003" s="1"/>
    </row>
    <row r="1004" spans="1:13" x14ac:dyDescent="0.55000000000000004">
      <c r="A1004" s="1" t="s">
        <v>1761</v>
      </c>
      <c r="B1004" t="s">
        <v>1916</v>
      </c>
      <c r="C1004" s="2">
        <f>Return!C1004</f>
        <v>1</v>
      </c>
      <c r="D1004" s="2">
        <f>COUNTA(Argument!E1004)</f>
        <v>0</v>
      </c>
      <c r="E1004" s="2" t="str">
        <f>IF(C1004,Return!D1004,Return!E1004)</f>
        <v>a</v>
      </c>
      <c r="F1004" s="2" t="str">
        <f t="shared" si="45"/>
        <v>a</v>
      </c>
      <c r="G1004" s="2" t="str">
        <f t="shared" si="47"/>
        <v>a</v>
      </c>
      <c r="H1004" s="2" t="str">
        <f t="shared" si="46"/>
        <v>, a</v>
      </c>
      <c r="I1004" s="2" t="str">
        <f>IF(Return!C1004=0,REPLACE(INDEX(H:H,ROW()+Return!B1004,),1,2,Return!E1004&amp;"(")&amp;")","")</f>
        <v/>
      </c>
      <c r="M1004" s="1"/>
    </row>
    <row r="1005" spans="1:13" x14ac:dyDescent="0.55000000000000004">
      <c r="A1005" s="1" t="s">
        <v>1761</v>
      </c>
      <c r="B1005" t="s">
        <v>1917</v>
      </c>
      <c r="C1005" s="2">
        <f>Return!C1005</f>
        <v>2</v>
      </c>
      <c r="D1005" s="2">
        <f>COUNTA(Argument!E1005)</f>
        <v>1</v>
      </c>
      <c r="E1005" s="2" t="str">
        <f>IF(C1005,Return!D1005,Return!E1005)</f>
        <v>a</v>
      </c>
      <c r="F1005" s="2" t="str">
        <f t="shared" si="45"/>
        <v>a</v>
      </c>
      <c r="G1005" s="2" t="str">
        <f t="shared" si="47"/>
        <v>a</v>
      </c>
      <c r="H1005" s="2" t="str">
        <f t="shared" si="46"/>
        <v>, a, a</v>
      </c>
      <c r="I1005" s="2" t="str">
        <f>IF(Return!C1005=0,REPLACE(INDEX(H:H,ROW()+Return!B1005,),1,2,Return!E1005&amp;"(")&amp;")","")</f>
        <v/>
      </c>
      <c r="M1005" s="1"/>
    </row>
    <row r="1006" spans="1:13" x14ac:dyDescent="0.55000000000000004">
      <c r="A1006" s="1" t="s">
        <v>1762</v>
      </c>
      <c r="C1006" s="2">
        <f>Return!C1006</f>
        <v>0</v>
      </c>
      <c r="D1006" s="2">
        <f>COUNTA(Argument!E1006)</f>
        <v>0</v>
      </c>
      <c r="E1006" s="2" t="str">
        <f>IF(C1006,Return!D1006,Return!E1006)</f>
        <v>v</v>
      </c>
      <c r="F1006" s="2" t="str">
        <f t="shared" si="45"/>
        <v/>
      </c>
      <c r="G1006" s="2" t="str">
        <f t="shared" si="47"/>
        <v/>
      </c>
      <c r="H1006" s="2" t="str">
        <f t="shared" si="46"/>
        <v/>
      </c>
      <c r="I1006" s="2" t="str">
        <f>IF(Return!C1006=0,REPLACE(INDEX(H:H,ROW()+Return!B1006,),1,2,Return!E1006&amp;"(")&amp;")","")</f>
        <v>v(a, a, v, v)</v>
      </c>
      <c r="M1006" s="1"/>
    </row>
    <row r="1007" spans="1:13" x14ac:dyDescent="0.55000000000000004">
      <c r="A1007" s="1" t="s">
        <v>1762</v>
      </c>
      <c r="B1007" t="s">
        <v>1298</v>
      </c>
      <c r="C1007" s="2">
        <f>Return!C1007</f>
        <v>1</v>
      </c>
      <c r="D1007" s="2">
        <f>COUNTA(Argument!E1007)</f>
        <v>0</v>
      </c>
      <c r="E1007" s="2" t="str">
        <f>IF(C1007,Return!D1007,Return!E1007)</f>
        <v>a</v>
      </c>
      <c r="F1007" s="2" t="str">
        <f t="shared" si="45"/>
        <v>a</v>
      </c>
      <c r="G1007" s="2" t="str">
        <f t="shared" si="47"/>
        <v>a</v>
      </c>
      <c r="H1007" s="2" t="str">
        <f t="shared" si="46"/>
        <v>, a</v>
      </c>
      <c r="I1007" s="2" t="str">
        <f>IF(Return!C1007=0,REPLACE(INDEX(H:H,ROW()+Return!B1007,),1,2,Return!E1007&amp;"(")&amp;")","")</f>
        <v/>
      </c>
      <c r="M1007" s="1"/>
    </row>
    <row r="1008" spans="1:13" x14ac:dyDescent="0.55000000000000004">
      <c r="A1008" s="1" t="s">
        <v>1762</v>
      </c>
      <c r="B1008" t="s">
        <v>1299</v>
      </c>
      <c r="C1008" s="2">
        <f>Return!C1008</f>
        <v>2</v>
      </c>
      <c r="D1008" s="2">
        <f>COUNTA(Argument!E1008)</f>
        <v>0</v>
      </c>
      <c r="E1008" s="2" t="str">
        <f>IF(C1008,Return!D1008,Return!E1008)</f>
        <v>a</v>
      </c>
      <c r="F1008" s="2" t="str">
        <f t="shared" si="45"/>
        <v>a</v>
      </c>
      <c r="G1008" s="2" t="str">
        <f t="shared" si="47"/>
        <v>a</v>
      </c>
      <c r="H1008" s="2" t="str">
        <f t="shared" si="46"/>
        <v>, a, a</v>
      </c>
      <c r="I1008" s="2" t="str">
        <f>IF(Return!C1008=0,REPLACE(INDEX(H:H,ROW()+Return!B1008,),1,2,Return!E1008&amp;"(")&amp;")","")</f>
        <v/>
      </c>
      <c r="M1008" s="1"/>
    </row>
    <row r="1009" spans="1:13" x14ac:dyDescent="0.55000000000000004">
      <c r="A1009" s="1" t="s">
        <v>1762</v>
      </c>
      <c r="B1009" t="s">
        <v>1342</v>
      </c>
      <c r="C1009" s="2">
        <f>Return!C1009</f>
        <v>3</v>
      </c>
      <c r="D1009" s="2">
        <f>COUNTA(Argument!E1009)</f>
        <v>0</v>
      </c>
      <c r="E1009" s="2" t="str">
        <f>IF(C1009,Return!D1009,Return!E1009)</f>
        <v>v</v>
      </c>
      <c r="F1009" s="2" t="str">
        <f t="shared" si="45"/>
        <v>v</v>
      </c>
      <c r="G1009" s="2" t="str">
        <f t="shared" si="47"/>
        <v>v</v>
      </c>
      <c r="H1009" s="2" t="str">
        <f t="shared" si="46"/>
        <v>, a, a, v</v>
      </c>
      <c r="I1009" s="2" t="str">
        <f>IF(Return!C1009=0,REPLACE(INDEX(H:H,ROW()+Return!B1009,),1,2,Return!E1009&amp;"(")&amp;")","")</f>
        <v/>
      </c>
      <c r="M1009" s="1"/>
    </row>
    <row r="1010" spans="1:13" x14ac:dyDescent="0.55000000000000004">
      <c r="A1010" s="1" t="s">
        <v>1762</v>
      </c>
      <c r="B1010" t="s">
        <v>1252</v>
      </c>
      <c r="C1010" s="2">
        <f>Return!C1010</f>
        <v>4</v>
      </c>
      <c r="D1010" s="2">
        <f>COUNTA(Argument!E1010)</f>
        <v>1</v>
      </c>
      <c r="E1010" s="2" t="str">
        <f>IF(C1010,Return!D1010,Return!E1010)</f>
        <v>v</v>
      </c>
      <c r="F1010" s="2" t="str">
        <f t="shared" si="45"/>
        <v>v</v>
      </c>
      <c r="G1010" s="2" t="str">
        <f t="shared" si="47"/>
        <v>v</v>
      </c>
      <c r="H1010" s="2" t="str">
        <f t="shared" si="46"/>
        <v>, a, a, v, v</v>
      </c>
      <c r="I1010" s="2" t="str">
        <f>IF(Return!C1010=0,REPLACE(INDEX(H:H,ROW()+Return!B1010,),1,2,Return!E1010&amp;"(")&amp;")","")</f>
        <v/>
      </c>
      <c r="M1010" s="1"/>
    </row>
    <row r="1011" spans="1:13" x14ac:dyDescent="0.55000000000000004">
      <c r="A1011" s="1" t="s">
        <v>1763</v>
      </c>
      <c r="C1011" s="2">
        <f>Return!C1011</f>
        <v>0</v>
      </c>
      <c r="D1011" s="2">
        <f>COUNTA(Argument!E1011)</f>
        <v>0</v>
      </c>
      <c r="E1011" s="2" t="str">
        <f>IF(C1011,Return!D1011,Return!E1011)</f>
        <v>v</v>
      </c>
      <c r="F1011" s="2" t="str">
        <f t="shared" si="45"/>
        <v/>
      </c>
      <c r="G1011" s="2" t="str">
        <f t="shared" si="47"/>
        <v/>
      </c>
      <c r="H1011" s="2" t="str">
        <f t="shared" si="46"/>
        <v/>
      </c>
      <c r="I1011" s="2" t="str">
        <f>IF(Return!C1011=0,REPLACE(INDEX(H:H,ROW()+Return!B1011,),1,2,Return!E1011&amp;"(")&amp;")","")</f>
        <v>v(a, a, v, [v])</v>
      </c>
      <c r="M1011" s="1"/>
    </row>
    <row r="1012" spans="1:13" x14ac:dyDescent="0.55000000000000004">
      <c r="A1012" s="1" t="s">
        <v>1763</v>
      </c>
      <c r="B1012" t="s">
        <v>1347</v>
      </c>
      <c r="C1012" s="2">
        <f>Return!C1012</f>
        <v>1</v>
      </c>
      <c r="D1012" s="2">
        <f>COUNTA(Argument!E1012)</f>
        <v>0</v>
      </c>
      <c r="E1012" s="2" t="str">
        <f>IF(C1012,Return!D1012,Return!E1012)</f>
        <v>a</v>
      </c>
      <c r="F1012" s="2" t="str">
        <f t="shared" si="45"/>
        <v>a</v>
      </c>
      <c r="G1012" s="2" t="str">
        <f t="shared" si="47"/>
        <v>a</v>
      </c>
      <c r="H1012" s="2" t="str">
        <f t="shared" si="46"/>
        <v>, a</v>
      </c>
      <c r="I1012" s="2" t="str">
        <f>IF(Return!C1012=0,REPLACE(INDEX(H:H,ROW()+Return!B1012,),1,2,Return!E1012&amp;"(")&amp;")","")</f>
        <v/>
      </c>
      <c r="M1012" s="1"/>
    </row>
    <row r="1013" spans="1:13" x14ac:dyDescent="0.55000000000000004">
      <c r="A1013" s="1" t="s">
        <v>1763</v>
      </c>
      <c r="B1013" t="s">
        <v>1348</v>
      </c>
      <c r="C1013" s="2">
        <f>Return!C1013</f>
        <v>2</v>
      </c>
      <c r="D1013" s="2">
        <f>COUNTA(Argument!E1013)</f>
        <v>0</v>
      </c>
      <c r="E1013" s="2" t="str">
        <f>IF(C1013,Return!D1013,Return!E1013)</f>
        <v>a</v>
      </c>
      <c r="F1013" s="2" t="str">
        <f t="shared" si="45"/>
        <v>a</v>
      </c>
      <c r="G1013" s="2" t="str">
        <f t="shared" si="47"/>
        <v>a</v>
      </c>
      <c r="H1013" s="2" t="str">
        <f t="shared" si="46"/>
        <v>, a, a</v>
      </c>
      <c r="I1013" s="2" t="str">
        <f>IF(Return!C1013=0,REPLACE(INDEX(H:H,ROW()+Return!B1013,),1,2,Return!E1013&amp;"(")&amp;")","")</f>
        <v/>
      </c>
      <c r="M1013" s="1"/>
    </row>
    <row r="1014" spans="1:13" x14ac:dyDescent="0.55000000000000004">
      <c r="A1014" s="1" t="s">
        <v>1763</v>
      </c>
      <c r="B1014" t="s">
        <v>1349</v>
      </c>
      <c r="C1014" s="2">
        <f>Return!C1014</f>
        <v>3</v>
      </c>
      <c r="D1014" s="2">
        <f>COUNTA(Argument!E1014)</f>
        <v>1</v>
      </c>
      <c r="E1014" s="2" t="str">
        <f>IF(C1014,Return!D1014,Return!E1014)</f>
        <v>v</v>
      </c>
      <c r="F1014" s="2" t="str">
        <f t="shared" si="45"/>
        <v>v</v>
      </c>
      <c r="G1014" s="2" t="str">
        <f t="shared" si="47"/>
        <v>v</v>
      </c>
      <c r="H1014" s="2" t="str">
        <f t="shared" si="46"/>
        <v>, a, a, v</v>
      </c>
      <c r="I1014" s="2" t="str">
        <f>IF(Return!C1014=0,REPLACE(INDEX(H:H,ROW()+Return!B1014,),1,2,Return!E1014&amp;"(")&amp;")","")</f>
        <v/>
      </c>
      <c r="M1014" s="1"/>
    </row>
    <row r="1015" spans="1:13" x14ac:dyDescent="0.55000000000000004">
      <c r="A1015" s="1" t="s">
        <v>1763</v>
      </c>
      <c r="B1015" t="s">
        <v>1350</v>
      </c>
      <c r="C1015" s="2">
        <f>Return!C1015</f>
        <v>4</v>
      </c>
      <c r="D1015" s="2">
        <f>COUNTA(Argument!E1015)</f>
        <v>1</v>
      </c>
      <c r="E1015" s="2" t="str">
        <f>IF(C1015,Return!D1015,Return!E1015)</f>
        <v>v</v>
      </c>
      <c r="F1015" s="2" t="str">
        <f t="shared" si="45"/>
        <v>[v]</v>
      </c>
      <c r="G1015" s="2" t="str">
        <f t="shared" si="47"/>
        <v>[v]</v>
      </c>
      <c r="H1015" s="2" t="str">
        <f t="shared" si="46"/>
        <v>, a, a, v, [v]</v>
      </c>
      <c r="I1015" s="2" t="str">
        <f>IF(Return!C1015=0,REPLACE(INDEX(H:H,ROW()+Return!B1015,),1,2,Return!E1015&amp;"(")&amp;")","")</f>
        <v/>
      </c>
      <c r="M1015" s="1"/>
    </row>
    <row r="1016" spans="1:13" x14ac:dyDescent="0.55000000000000004">
      <c r="A1016" s="1" t="s">
        <v>1764</v>
      </c>
      <c r="C1016" s="2">
        <f>Return!C1016</f>
        <v>0</v>
      </c>
      <c r="D1016" s="2">
        <f>COUNTA(Argument!E1016)</f>
        <v>0</v>
      </c>
      <c r="E1016" s="2" t="str">
        <f>IF(C1016,Return!D1016,Return!E1016)</f>
        <v>v</v>
      </c>
      <c r="F1016" s="2" t="str">
        <f t="shared" si="45"/>
        <v/>
      </c>
      <c r="G1016" s="2" t="str">
        <f t="shared" si="47"/>
        <v/>
      </c>
      <c r="H1016" s="2" t="str">
        <f t="shared" si="46"/>
        <v/>
      </c>
      <c r="I1016" s="2" t="str">
        <f>IF(Return!C1016=0,REPLACE(INDEX(H:H,ROW()+Return!B1016,),1,2,Return!E1016&amp;"(")&amp;")","")</f>
        <v>v(var, [var], …)</v>
      </c>
      <c r="M1016" s="1"/>
    </row>
    <row r="1017" spans="1:13" x14ac:dyDescent="0.55000000000000004">
      <c r="A1017" s="1" t="s">
        <v>1764</v>
      </c>
      <c r="B1017" t="s">
        <v>1219</v>
      </c>
      <c r="C1017" s="2">
        <f>Return!C1017</f>
        <v>1</v>
      </c>
      <c r="D1017" s="2">
        <f>COUNTA(Argument!E1017)</f>
        <v>1</v>
      </c>
      <c r="E1017" s="2" t="str">
        <f>IF(C1017,Return!D1017,Return!E1017)</f>
        <v>var</v>
      </c>
      <c r="F1017" s="2" t="str">
        <f t="shared" si="45"/>
        <v>var</v>
      </c>
      <c r="G1017" s="2" t="str">
        <f t="shared" si="47"/>
        <v>var</v>
      </c>
      <c r="H1017" s="2" t="str">
        <f t="shared" si="46"/>
        <v>, var</v>
      </c>
      <c r="I1017" s="2" t="str">
        <f>IF(Return!C1017=0,REPLACE(INDEX(H:H,ROW()+Return!B1017,),1,2,Return!E1017&amp;"(")&amp;")","")</f>
        <v/>
      </c>
      <c r="M1017" s="1"/>
    </row>
    <row r="1018" spans="1:13" x14ac:dyDescent="0.55000000000000004">
      <c r="A1018" s="1" t="s">
        <v>1764</v>
      </c>
      <c r="B1018" t="s">
        <v>1220</v>
      </c>
      <c r="C1018" s="2">
        <f>Return!C1018</f>
        <v>2</v>
      </c>
      <c r="D1018" s="2">
        <f>COUNTA(Argument!E1018)</f>
        <v>1</v>
      </c>
      <c r="E1018" s="2" t="str">
        <f>IF(C1018,Return!D1018,Return!E1018)</f>
        <v>var</v>
      </c>
      <c r="F1018" s="2" t="str">
        <f t="shared" si="45"/>
        <v>[var]</v>
      </c>
      <c r="G1018" s="2" t="str">
        <f t="shared" si="47"/>
        <v>[var]</v>
      </c>
      <c r="H1018" s="2" t="str">
        <f t="shared" si="46"/>
        <v>, var, [var]</v>
      </c>
      <c r="I1018" s="2" t="str">
        <f>IF(Return!C1018=0,REPLACE(INDEX(H:H,ROW()+Return!B1018,),1,2,Return!E1018&amp;"(")&amp;")","")</f>
        <v/>
      </c>
      <c r="M1018" s="1"/>
    </row>
    <row r="1019" spans="1:13" x14ac:dyDescent="0.55000000000000004">
      <c r="A1019" s="1" t="s">
        <v>1764</v>
      </c>
      <c r="B1019" t="s">
        <v>1214</v>
      </c>
      <c r="C1019" s="2">
        <f>Return!C1019</f>
        <v>3</v>
      </c>
      <c r="D1019" s="2">
        <f>COUNTA(Argument!E1019)</f>
        <v>1</v>
      </c>
      <c r="E1019" s="2" t="str">
        <f>IF(C1019,Return!D1019,Return!E1019)</f>
        <v>var</v>
      </c>
      <c r="F1019" s="2" t="str">
        <f t="shared" si="45"/>
        <v>[var]</v>
      </c>
      <c r="G1019" s="2" t="str">
        <f t="shared" si="47"/>
        <v>…</v>
      </c>
      <c r="H1019" s="2" t="str">
        <f t="shared" si="46"/>
        <v>, var, [var], …</v>
      </c>
      <c r="I1019" s="2" t="str">
        <f>IF(Return!C1019=0,REPLACE(INDEX(H:H,ROW()+Return!B1019,),1,2,Return!E1019&amp;"(")&amp;")","")</f>
        <v/>
      </c>
      <c r="M1019" s="1"/>
    </row>
    <row r="1020" spans="1:13" x14ac:dyDescent="0.55000000000000004">
      <c r="A1020" s="1" t="s">
        <v>1765</v>
      </c>
      <c r="C1020" s="2">
        <f>Return!C1020</f>
        <v>0</v>
      </c>
      <c r="D1020" s="2">
        <f>COUNTA(Argument!E1020)</f>
        <v>0</v>
      </c>
      <c r="E1020" s="2" t="str">
        <f>IF(C1020,Return!D1020,Return!E1020)</f>
        <v>v</v>
      </c>
      <c r="F1020" s="2" t="str">
        <f t="shared" si="45"/>
        <v/>
      </c>
      <c r="G1020" s="2" t="str">
        <f t="shared" si="47"/>
        <v/>
      </c>
      <c r="H1020" s="2" t="str">
        <f t="shared" si="46"/>
        <v/>
      </c>
      <c r="I1020" s="2" t="str">
        <f>IF(Return!C1020=0,REPLACE(INDEX(H:H,ROW()+Return!B1020,),1,2,Return!E1020&amp;"(")&amp;")","")</f>
        <v>v(var, [var], …)</v>
      </c>
      <c r="M1020" s="1"/>
    </row>
    <row r="1021" spans="1:13" x14ac:dyDescent="0.55000000000000004">
      <c r="A1021" s="1" t="s">
        <v>1765</v>
      </c>
      <c r="B1021" t="s">
        <v>1219</v>
      </c>
      <c r="C1021" s="2">
        <f>Return!C1021</f>
        <v>1</v>
      </c>
      <c r="D1021" s="2">
        <f>COUNTA(Argument!E1021)</f>
        <v>1</v>
      </c>
      <c r="E1021" s="2" t="str">
        <f>IF(C1021,Return!D1021,Return!E1021)</f>
        <v>var</v>
      </c>
      <c r="F1021" s="2" t="str">
        <f t="shared" si="45"/>
        <v>var</v>
      </c>
      <c r="G1021" s="2" t="str">
        <f t="shared" si="47"/>
        <v>var</v>
      </c>
      <c r="H1021" s="2" t="str">
        <f t="shared" si="46"/>
        <v>, var</v>
      </c>
      <c r="I1021" s="2" t="str">
        <f>IF(Return!C1021=0,REPLACE(INDEX(H:H,ROW()+Return!B1021,),1,2,Return!E1021&amp;"(")&amp;")","")</f>
        <v/>
      </c>
      <c r="M1021" s="1"/>
    </row>
    <row r="1022" spans="1:13" x14ac:dyDescent="0.55000000000000004">
      <c r="A1022" s="1" t="s">
        <v>1765</v>
      </c>
      <c r="B1022" t="s">
        <v>1220</v>
      </c>
      <c r="C1022" s="2">
        <f>Return!C1022</f>
        <v>2</v>
      </c>
      <c r="D1022" s="2">
        <f>COUNTA(Argument!E1022)</f>
        <v>1</v>
      </c>
      <c r="E1022" s="2" t="str">
        <f>IF(C1022,Return!D1022,Return!E1022)</f>
        <v>var</v>
      </c>
      <c r="F1022" s="2" t="str">
        <f t="shared" si="45"/>
        <v>[var]</v>
      </c>
      <c r="G1022" s="2" t="str">
        <f t="shared" si="47"/>
        <v>[var]</v>
      </c>
      <c r="H1022" s="2" t="str">
        <f t="shared" si="46"/>
        <v>, var, [var]</v>
      </c>
      <c r="I1022" s="2" t="str">
        <f>IF(Return!C1022=0,REPLACE(INDEX(H:H,ROW()+Return!B1022,),1,2,Return!E1022&amp;"(")&amp;")","")</f>
        <v/>
      </c>
      <c r="M1022" s="1"/>
    </row>
    <row r="1023" spans="1:13" x14ac:dyDescent="0.55000000000000004">
      <c r="A1023" s="1" t="s">
        <v>1765</v>
      </c>
      <c r="B1023" t="s">
        <v>1214</v>
      </c>
      <c r="C1023" s="2">
        <f>Return!C1023</f>
        <v>3</v>
      </c>
      <c r="D1023" s="2">
        <f>COUNTA(Argument!E1023)</f>
        <v>1</v>
      </c>
      <c r="E1023" s="2" t="str">
        <f>IF(C1023,Return!D1023,Return!E1023)</f>
        <v>var</v>
      </c>
      <c r="F1023" s="2" t="str">
        <f t="shared" si="45"/>
        <v>[var]</v>
      </c>
      <c r="G1023" s="2" t="str">
        <f t="shared" si="47"/>
        <v>…</v>
      </c>
      <c r="H1023" s="2" t="str">
        <f t="shared" si="46"/>
        <v>, var, [var], …</v>
      </c>
      <c r="I1023" s="2" t="str">
        <f>IF(Return!C1023=0,REPLACE(INDEX(H:H,ROW()+Return!B1023,),1,2,Return!E1023&amp;"(")&amp;")","")</f>
        <v/>
      </c>
      <c r="M1023" s="1"/>
    </row>
    <row r="1024" spans="1:13" x14ac:dyDescent="0.55000000000000004">
      <c r="A1024" s="1" t="s">
        <v>1766</v>
      </c>
      <c r="C1024" s="2">
        <f>Return!C1024</f>
        <v>0</v>
      </c>
      <c r="D1024" s="2">
        <f>COUNTA(Argument!E1024)</f>
        <v>0</v>
      </c>
      <c r="E1024" s="2" t="str">
        <f>IF(C1024,Return!D1024,Return!E1024)</f>
        <v>v</v>
      </c>
      <c r="F1024" s="2" t="str">
        <f t="shared" si="45"/>
        <v/>
      </c>
      <c r="G1024" s="2" t="str">
        <f t="shared" si="47"/>
        <v/>
      </c>
      <c r="H1024" s="2" t="str">
        <f t="shared" si="46"/>
        <v/>
      </c>
      <c r="I1024" s="2" t="str">
        <f>IF(Return!C1024=0,REPLACE(INDEX(H:H,ROW()+Return!B1024,),1,2,Return!E1024&amp;"(")&amp;")","")</f>
        <v>v(var, [var], …)</v>
      </c>
      <c r="M1024" s="1"/>
    </row>
    <row r="1025" spans="1:13" x14ac:dyDescent="0.55000000000000004">
      <c r="A1025" s="1" t="s">
        <v>1766</v>
      </c>
      <c r="B1025" t="s">
        <v>1219</v>
      </c>
      <c r="C1025" s="2">
        <f>Return!C1025</f>
        <v>1</v>
      </c>
      <c r="D1025" s="2">
        <f>COUNTA(Argument!E1025)</f>
        <v>1</v>
      </c>
      <c r="E1025" s="2" t="str">
        <f>IF(C1025,Return!D1025,Return!E1025)</f>
        <v>var</v>
      </c>
      <c r="F1025" s="2" t="str">
        <f t="shared" si="45"/>
        <v>var</v>
      </c>
      <c r="G1025" s="2" t="str">
        <f t="shared" si="47"/>
        <v>var</v>
      </c>
      <c r="H1025" s="2" t="str">
        <f t="shared" si="46"/>
        <v>, var</v>
      </c>
      <c r="I1025" s="2" t="str">
        <f>IF(Return!C1025=0,REPLACE(INDEX(H:H,ROW()+Return!B1025,),1,2,Return!E1025&amp;"(")&amp;")","")</f>
        <v/>
      </c>
      <c r="M1025" s="1"/>
    </row>
    <row r="1026" spans="1:13" x14ac:dyDescent="0.55000000000000004">
      <c r="A1026" s="1" t="s">
        <v>1766</v>
      </c>
      <c r="B1026" t="s">
        <v>1220</v>
      </c>
      <c r="C1026" s="2">
        <f>Return!C1026</f>
        <v>2</v>
      </c>
      <c r="D1026" s="2">
        <f>COUNTA(Argument!E1026)</f>
        <v>1</v>
      </c>
      <c r="E1026" s="2" t="str">
        <f>IF(C1026,Return!D1026,Return!E1026)</f>
        <v>var</v>
      </c>
      <c r="F1026" s="2" t="str">
        <f t="shared" si="45"/>
        <v>[var]</v>
      </c>
      <c r="G1026" s="2" t="str">
        <f t="shared" si="47"/>
        <v>[var]</v>
      </c>
      <c r="H1026" s="2" t="str">
        <f t="shared" si="46"/>
        <v>, var, [var]</v>
      </c>
      <c r="I1026" s="2" t="str">
        <f>IF(Return!C1026=0,REPLACE(INDEX(H:H,ROW()+Return!B1026,),1,2,Return!E1026&amp;"(")&amp;")","")</f>
        <v/>
      </c>
      <c r="M1026" s="1"/>
    </row>
    <row r="1027" spans="1:13" x14ac:dyDescent="0.55000000000000004">
      <c r="A1027" s="1" t="s">
        <v>1766</v>
      </c>
      <c r="B1027" t="s">
        <v>1214</v>
      </c>
      <c r="C1027" s="2">
        <f>Return!C1027</f>
        <v>3</v>
      </c>
      <c r="D1027" s="2">
        <f>COUNTA(Argument!E1027)</f>
        <v>1</v>
      </c>
      <c r="E1027" s="2" t="str">
        <f>IF(C1027,Return!D1027,Return!E1027)</f>
        <v>var</v>
      </c>
      <c r="F1027" s="2" t="str">
        <f t="shared" ref="F1027:F1090" si="48">IF(C1027,IF(D1027,IF(D1026,"["&amp;E1027&amp;"]",E1027),E1027),"")</f>
        <v>[var]</v>
      </c>
      <c r="G1027" s="2" t="str">
        <f t="shared" si="47"/>
        <v>…</v>
      </c>
      <c r="H1027" s="2" t="str">
        <f t="shared" ref="H1027:H1090" si="49">IF(C1027&gt;0,H1026&amp;", "&amp;G1027,"")</f>
        <v>, var, [var], …</v>
      </c>
      <c r="I1027" s="2" t="str">
        <f>IF(Return!C1027=0,REPLACE(INDEX(H:H,ROW()+Return!B1027,),1,2,Return!E1027&amp;"(")&amp;")","")</f>
        <v/>
      </c>
      <c r="M1027" s="1"/>
    </row>
    <row r="1028" spans="1:13" x14ac:dyDescent="0.55000000000000004">
      <c r="A1028" s="1" t="s">
        <v>1767</v>
      </c>
      <c r="C1028" s="2">
        <f>Return!C1028</f>
        <v>0</v>
      </c>
      <c r="D1028" s="2">
        <f>COUNTA(Argument!E1028)</f>
        <v>0</v>
      </c>
      <c r="E1028" s="2" t="str">
        <f>IF(C1028,Return!D1028,Return!E1028)</f>
        <v>v</v>
      </c>
      <c r="F1028" s="2" t="str">
        <f t="shared" si="48"/>
        <v/>
      </c>
      <c r="G1028" s="2" t="str">
        <f t="shared" ref="G1028:G1091" si="50">IF(B1028="...",IF(C1029&gt;0,"["&amp;E1028,"…"),IF(B1027=" ...",IF(C1028&gt;0,E1028&amp;"], …",F1028),F1028))</f>
        <v/>
      </c>
      <c r="H1028" s="2" t="str">
        <f t="shared" si="49"/>
        <v/>
      </c>
      <c r="I1028" s="2" t="str">
        <f>IF(Return!C1028=0,REPLACE(INDEX(H:H,ROW()+Return!B1028,),1,2,Return!E1028&amp;"(")&amp;")","")</f>
        <v>v(var, [var], …)</v>
      </c>
      <c r="M1028" s="1"/>
    </row>
    <row r="1029" spans="1:13" x14ac:dyDescent="0.55000000000000004">
      <c r="A1029" s="1" t="s">
        <v>1767</v>
      </c>
      <c r="B1029" t="s">
        <v>1219</v>
      </c>
      <c r="C1029" s="2">
        <f>Return!C1029</f>
        <v>1</v>
      </c>
      <c r="D1029" s="2">
        <f>COUNTA(Argument!E1029)</f>
        <v>1</v>
      </c>
      <c r="E1029" s="2" t="str">
        <f>IF(C1029,Return!D1029,Return!E1029)</f>
        <v>var</v>
      </c>
      <c r="F1029" s="2" t="str">
        <f t="shared" si="48"/>
        <v>var</v>
      </c>
      <c r="G1029" s="2" t="str">
        <f t="shared" si="50"/>
        <v>var</v>
      </c>
      <c r="H1029" s="2" t="str">
        <f t="shared" si="49"/>
        <v>, var</v>
      </c>
      <c r="I1029" s="2" t="str">
        <f>IF(Return!C1029=0,REPLACE(INDEX(H:H,ROW()+Return!B1029,),1,2,Return!E1029&amp;"(")&amp;")","")</f>
        <v/>
      </c>
      <c r="M1029" s="1"/>
    </row>
    <row r="1030" spans="1:13" x14ac:dyDescent="0.55000000000000004">
      <c r="A1030" s="1" t="s">
        <v>1767</v>
      </c>
      <c r="B1030" t="s">
        <v>1220</v>
      </c>
      <c r="C1030" s="2">
        <f>Return!C1030</f>
        <v>2</v>
      </c>
      <c r="D1030" s="2">
        <f>COUNTA(Argument!E1030)</f>
        <v>1</v>
      </c>
      <c r="E1030" s="2" t="str">
        <f>IF(C1030,Return!D1030,Return!E1030)</f>
        <v>var</v>
      </c>
      <c r="F1030" s="2" t="str">
        <f t="shared" si="48"/>
        <v>[var]</v>
      </c>
      <c r="G1030" s="2" t="str">
        <f t="shared" si="50"/>
        <v>[var]</v>
      </c>
      <c r="H1030" s="2" t="str">
        <f t="shared" si="49"/>
        <v>, var, [var]</v>
      </c>
      <c r="I1030" s="2" t="str">
        <f>IF(Return!C1030=0,REPLACE(INDEX(H:H,ROW()+Return!B1030,),1,2,Return!E1030&amp;"(")&amp;")","")</f>
        <v/>
      </c>
      <c r="M1030" s="1"/>
    </row>
    <row r="1031" spans="1:13" x14ac:dyDescent="0.55000000000000004">
      <c r="A1031" s="1" t="s">
        <v>1767</v>
      </c>
      <c r="B1031" t="s">
        <v>1214</v>
      </c>
      <c r="C1031" s="2">
        <f>Return!C1031</f>
        <v>3</v>
      </c>
      <c r="D1031" s="2">
        <f>COUNTA(Argument!E1031)</f>
        <v>1</v>
      </c>
      <c r="E1031" s="2" t="str">
        <f>IF(C1031,Return!D1031,Return!E1031)</f>
        <v>var</v>
      </c>
      <c r="F1031" s="2" t="str">
        <f t="shared" si="48"/>
        <v>[var]</v>
      </c>
      <c r="G1031" s="2" t="str">
        <f t="shared" si="50"/>
        <v>…</v>
      </c>
      <c r="H1031" s="2" t="str">
        <f t="shared" si="49"/>
        <v>, var, [var], …</v>
      </c>
      <c r="I1031" s="2" t="str">
        <f>IF(Return!C1031=0,REPLACE(INDEX(H:H,ROW()+Return!B1031,),1,2,Return!E1031&amp;"(")&amp;")","")</f>
        <v/>
      </c>
      <c r="M1031" s="1"/>
    </row>
    <row r="1032" spans="1:13" x14ac:dyDescent="0.55000000000000004">
      <c r="A1032" s="1" t="s">
        <v>1768</v>
      </c>
      <c r="C1032" s="2">
        <f>Return!C1032</f>
        <v>0</v>
      </c>
      <c r="D1032" s="2">
        <f>COUNTA(Argument!E1032)</f>
        <v>0</v>
      </c>
      <c r="E1032" s="2" t="str">
        <f>IF(C1032,Return!D1032,Return!E1032)</f>
        <v>v</v>
      </c>
      <c r="F1032" s="2" t="str">
        <f t="shared" si="48"/>
        <v/>
      </c>
      <c r="G1032" s="2" t="str">
        <f t="shared" si="50"/>
        <v/>
      </c>
      <c r="H1032" s="2" t="str">
        <f t="shared" si="49"/>
        <v/>
      </c>
      <c r="I1032" s="2" t="str">
        <f>IF(Return!C1032=0,REPLACE(INDEX(H:H,ROW()+Return!B1032,),1,2,Return!E1032&amp;"(")&amp;")","")</f>
        <v>v(var, [var], …)</v>
      </c>
      <c r="M1032" s="1"/>
    </row>
    <row r="1033" spans="1:13" x14ac:dyDescent="0.55000000000000004">
      <c r="A1033" s="1" t="s">
        <v>1768</v>
      </c>
      <c r="B1033" t="s">
        <v>1219</v>
      </c>
      <c r="C1033" s="2">
        <f>Return!C1033</f>
        <v>1</v>
      </c>
      <c r="D1033" s="2">
        <f>COUNTA(Argument!E1033)</f>
        <v>1</v>
      </c>
      <c r="E1033" s="2" t="str">
        <f>IF(C1033,Return!D1033,Return!E1033)</f>
        <v>var</v>
      </c>
      <c r="F1033" s="2" t="str">
        <f t="shared" si="48"/>
        <v>var</v>
      </c>
      <c r="G1033" s="2" t="str">
        <f t="shared" si="50"/>
        <v>var</v>
      </c>
      <c r="H1033" s="2" t="str">
        <f t="shared" si="49"/>
        <v>, var</v>
      </c>
      <c r="I1033" s="2" t="str">
        <f>IF(Return!C1033=0,REPLACE(INDEX(H:H,ROW()+Return!B1033,),1,2,Return!E1033&amp;"(")&amp;")","")</f>
        <v/>
      </c>
      <c r="M1033" s="1"/>
    </row>
    <row r="1034" spans="1:13" x14ac:dyDescent="0.55000000000000004">
      <c r="A1034" s="1" t="s">
        <v>1768</v>
      </c>
      <c r="B1034" t="s">
        <v>1220</v>
      </c>
      <c r="C1034" s="2">
        <f>Return!C1034</f>
        <v>2</v>
      </c>
      <c r="D1034" s="2">
        <f>COUNTA(Argument!E1034)</f>
        <v>1</v>
      </c>
      <c r="E1034" s="2" t="str">
        <f>IF(C1034,Return!D1034,Return!E1034)</f>
        <v>var</v>
      </c>
      <c r="F1034" s="2" t="str">
        <f t="shared" si="48"/>
        <v>[var]</v>
      </c>
      <c r="G1034" s="2" t="str">
        <f t="shared" si="50"/>
        <v>[var]</v>
      </c>
      <c r="H1034" s="2" t="str">
        <f t="shared" si="49"/>
        <v>, var, [var]</v>
      </c>
      <c r="I1034" s="2" t="str">
        <f>IF(Return!C1034=0,REPLACE(INDEX(H:H,ROW()+Return!B1034,),1,2,Return!E1034&amp;"(")&amp;")","")</f>
        <v/>
      </c>
      <c r="M1034" s="1"/>
    </row>
    <row r="1035" spans="1:13" x14ac:dyDescent="0.55000000000000004">
      <c r="A1035" s="1" t="s">
        <v>1768</v>
      </c>
      <c r="B1035" t="s">
        <v>1214</v>
      </c>
      <c r="C1035" s="2">
        <f>Return!C1035</f>
        <v>3</v>
      </c>
      <c r="D1035" s="2">
        <f>COUNTA(Argument!E1035)</f>
        <v>1</v>
      </c>
      <c r="E1035" s="2" t="str">
        <f>IF(C1035,Return!D1035,Return!E1035)</f>
        <v>var</v>
      </c>
      <c r="F1035" s="2" t="str">
        <f t="shared" si="48"/>
        <v>[var]</v>
      </c>
      <c r="G1035" s="2" t="str">
        <f t="shared" si="50"/>
        <v>…</v>
      </c>
      <c r="H1035" s="2" t="str">
        <f t="shared" si="49"/>
        <v>, var, [var], …</v>
      </c>
      <c r="I1035" s="2" t="str">
        <f>IF(Return!C1035=0,REPLACE(INDEX(H:H,ROW()+Return!B1035,),1,2,Return!E1035&amp;"(")&amp;")","")</f>
        <v/>
      </c>
      <c r="M1035" s="1"/>
    </row>
    <row r="1036" spans="1:13" x14ac:dyDescent="0.55000000000000004">
      <c r="A1036" s="1" t="s">
        <v>1769</v>
      </c>
      <c r="C1036" s="2">
        <f>Return!C1036</f>
        <v>0</v>
      </c>
      <c r="D1036" s="2">
        <f>COUNTA(Argument!E1036)</f>
        <v>0</v>
      </c>
      <c r="E1036" s="2" t="str">
        <f>IF(C1036,Return!D1036,Return!E1036)</f>
        <v>v</v>
      </c>
      <c r="F1036" s="2" t="str">
        <f t="shared" si="48"/>
        <v/>
      </c>
      <c r="G1036" s="2" t="str">
        <f t="shared" si="50"/>
        <v/>
      </c>
      <c r="H1036" s="2" t="str">
        <f t="shared" si="49"/>
        <v/>
      </c>
      <c r="I1036" s="2" t="str">
        <f>IF(Return!C1036=0,REPLACE(INDEX(H:H,ROW()+Return!B1036,),1,2,Return!E1036&amp;"(")&amp;")","")</f>
        <v>v(var, [var], …)</v>
      </c>
      <c r="M1036" s="1"/>
    </row>
    <row r="1037" spans="1:13" x14ac:dyDescent="0.55000000000000004">
      <c r="A1037" s="1" t="s">
        <v>1769</v>
      </c>
      <c r="B1037" t="s">
        <v>1219</v>
      </c>
      <c r="C1037" s="2">
        <f>Return!C1037</f>
        <v>1</v>
      </c>
      <c r="D1037" s="2">
        <f>COUNTA(Argument!E1037)</f>
        <v>1</v>
      </c>
      <c r="E1037" s="2" t="str">
        <f>IF(C1037,Return!D1037,Return!E1037)</f>
        <v>var</v>
      </c>
      <c r="F1037" s="2" t="str">
        <f t="shared" si="48"/>
        <v>var</v>
      </c>
      <c r="G1037" s="2" t="str">
        <f t="shared" si="50"/>
        <v>var</v>
      </c>
      <c r="H1037" s="2" t="str">
        <f t="shared" si="49"/>
        <v>, var</v>
      </c>
      <c r="I1037" s="2" t="str">
        <f>IF(Return!C1037=0,REPLACE(INDEX(H:H,ROW()+Return!B1037,),1,2,Return!E1037&amp;"(")&amp;")","")</f>
        <v/>
      </c>
      <c r="M1037" s="1"/>
    </row>
    <row r="1038" spans="1:13" x14ac:dyDescent="0.55000000000000004">
      <c r="A1038" s="1" t="s">
        <v>1769</v>
      </c>
      <c r="B1038" t="s">
        <v>1220</v>
      </c>
      <c r="C1038" s="2">
        <f>Return!C1038</f>
        <v>2</v>
      </c>
      <c r="D1038" s="2">
        <f>COUNTA(Argument!E1038)</f>
        <v>1</v>
      </c>
      <c r="E1038" s="2" t="str">
        <f>IF(C1038,Return!D1038,Return!E1038)</f>
        <v>var</v>
      </c>
      <c r="F1038" s="2" t="str">
        <f t="shared" si="48"/>
        <v>[var]</v>
      </c>
      <c r="G1038" s="2" t="str">
        <f t="shared" si="50"/>
        <v>[var]</v>
      </c>
      <c r="H1038" s="2" t="str">
        <f t="shared" si="49"/>
        <v>, var, [var]</v>
      </c>
      <c r="I1038" s="2" t="str">
        <f>IF(Return!C1038=0,REPLACE(INDEX(H:H,ROW()+Return!B1038,),1,2,Return!E1038&amp;"(")&amp;")","")</f>
        <v/>
      </c>
      <c r="M1038" s="1"/>
    </row>
    <row r="1039" spans="1:13" x14ac:dyDescent="0.55000000000000004">
      <c r="A1039" s="1" t="s">
        <v>1769</v>
      </c>
      <c r="B1039" t="s">
        <v>1214</v>
      </c>
      <c r="C1039" s="2">
        <f>Return!C1039</f>
        <v>3</v>
      </c>
      <c r="D1039" s="2">
        <f>COUNTA(Argument!E1039)</f>
        <v>1</v>
      </c>
      <c r="E1039" s="2" t="str">
        <f>IF(C1039,Return!D1039,Return!E1039)</f>
        <v>var</v>
      </c>
      <c r="F1039" s="2" t="str">
        <f t="shared" si="48"/>
        <v>[var]</v>
      </c>
      <c r="G1039" s="2" t="str">
        <f t="shared" si="50"/>
        <v>…</v>
      </c>
      <c r="H1039" s="2" t="str">
        <f t="shared" si="49"/>
        <v>, var, [var], …</v>
      </c>
      <c r="I1039" s="2" t="str">
        <f>IF(Return!C1039=0,REPLACE(INDEX(H:H,ROW()+Return!B1039,),1,2,Return!E1039&amp;"(")&amp;")","")</f>
        <v/>
      </c>
      <c r="M1039" s="1"/>
    </row>
    <row r="1040" spans="1:13" x14ac:dyDescent="0.55000000000000004">
      <c r="A1040" s="1" t="s">
        <v>1770</v>
      </c>
      <c r="C1040" s="2">
        <f>Return!C1040</f>
        <v>0</v>
      </c>
      <c r="D1040" s="2">
        <f>COUNTA(Argument!E1040)</f>
        <v>0</v>
      </c>
      <c r="E1040" s="2" t="str">
        <f>IF(C1040,Return!D1040,Return!E1040)</f>
        <v>v</v>
      </c>
      <c r="F1040" s="2" t="str">
        <f t="shared" si="48"/>
        <v/>
      </c>
      <c r="G1040" s="2" t="str">
        <f t="shared" si="50"/>
        <v/>
      </c>
      <c r="H1040" s="2" t="str">
        <f t="shared" si="49"/>
        <v/>
      </c>
      <c r="I1040" s="2" t="str">
        <f>IF(Return!C1040=0,REPLACE(INDEX(H:H,ROW()+Return!B1040,),1,2,Return!E1040&amp;"(")&amp;")","")</f>
        <v>v(var, v, [v])</v>
      </c>
      <c r="M1040" s="1"/>
    </row>
    <row r="1041" spans="1:13" x14ac:dyDescent="0.55000000000000004">
      <c r="A1041" s="1" t="s">
        <v>1770</v>
      </c>
      <c r="B1041" t="s">
        <v>1230</v>
      </c>
      <c r="C1041" s="2">
        <f>Return!C1041</f>
        <v>1</v>
      </c>
      <c r="D1041" s="2">
        <f>COUNTA(Argument!E1041)</f>
        <v>0</v>
      </c>
      <c r="E1041" s="2" t="str">
        <f>IF(C1041,Return!D1041,Return!E1041)</f>
        <v>var</v>
      </c>
      <c r="F1041" s="2" t="str">
        <f t="shared" si="48"/>
        <v>var</v>
      </c>
      <c r="G1041" s="2" t="str">
        <f t="shared" si="50"/>
        <v>var</v>
      </c>
      <c r="H1041" s="2" t="str">
        <f t="shared" si="49"/>
        <v>, var</v>
      </c>
      <c r="I1041" s="2" t="str">
        <f>IF(Return!C1041=0,REPLACE(INDEX(H:H,ROW()+Return!B1041,),1,2,Return!E1041&amp;"(")&amp;")","")</f>
        <v/>
      </c>
      <c r="M1041" s="1"/>
    </row>
    <row r="1042" spans="1:13" x14ac:dyDescent="0.55000000000000004">
      <c r="A1042" s="1" t="s">
        <v>1770</v>
      </c>
      <c r="B1042" t="s">
        <v>1316</v>
      </c>
      <c r="C1042" s="2">
        <f>Return!C1042</f>
        <v>2</v>
      </c>
      <c r="D1042" s="2">
        <f>COUNTA(Argument!E1042)</f>
        <v>1</v>
      </c>
      <c r="E1042" s="2" t="str">
        <f>IF(C1042,Return!D1042,Return!E1042)</f>
        <v>v</v>
      </c>
      <c r="F1042" s="2" t="str">
        <f t="shared" si="48"/>
        <v>v</v>
      </c>
      <c r="G1042" s="2" t="str">
        <f t="shared" si="50"/>
        <v>v</v>
      </c>
      <c r="H1042" s="2" t="str">
        <f t="shared" si="49"/>
        <v>, var, v</v>
      </c>
      <c r="I1042" s="2" t="str">
        <f>IF(Return!C1042=0,REPLACE(INDEX(H:H,ROW()+Return!B1042,),1,2,Return!E1042&amp;"(")&amp;")","")</f>
        <v/>
      </c>
      <c r="M1042" s="1"/>
    </row>
    <row r="1043" spans="1:13" x14ac:dyDescent="0.55000000000000004">
      <c r="A1043" s="1" t="s">
        <v>1770</v>
      </c>
      <c r="B1043" t="s">
        <v>1351</v>
      </c>
      <c r="C1043" s="2">
        <f>Return!C1043</f>
        <v>3</v>
      </c>
      <c r="D1043" s="2">
        <f>COUNTA(Argument!E1043)</f>
        <v>1</v>
      </c>
      <c r="E1043" s="2" t="str">
        <f>IF(C1043,Return!D1043,Return!E1043)</f>
        <v>v</v>
      </c>
      <c r="F1043" s="2" t="str">
        <f t="shared" si="48"/>
        <v>[v]</v>
      </c>
      <c r="G1043" s="2" t="str">
        <f t="shared" si="50"/>
        <v>[v]</v>
      </c>
      <c r="H1043" s="2" t="str">
        <f t="shared" si="49"/>
        <v>, var, v, [v]</v>
      </c>
      <c r="I1043" s="2" t="str">
        <f>IF(Return!C1043=0,REPLACE(INDEX(H:H,ROW()+Return!B1043,),1,2,Return!E1043&amp;"(")&amp;")","")</f>
        <v/>
      </c>
      <c r="M1043" s="1"/>
    </row>
    <row r="1044" spans="1:13" x14ac:dyDescent="0.55000000000000004">
      <c r="A1044" s="1" t="s">
        <v>1771</v>
      </c>
      <c r="C1044" s="2">
        <f>Return!C1044</f>
        <v>0</v>
      </c>
      <c r="D1044" s="2">
        <f>COUNTA(Argument!E1044)</f>
        <v>0</v>
      </c>
      <c r="E1044" s="2" t="str">
        <f>IF(C1044,Return!D1044,Return!E1044)</f>
        <v>v</v>
      </c>
      <c r="F1044" s="2" t="str">
        <f t="shared" si="48"/>
        <v/>
      </c>
      <c r="G1044" s="2" t="str">
        <f t="shared" si="50"/>
        <v/>
      </c>
      <c r="H1044" s="2" t="str">
        <f t="shared" si="49"/>
        <v/>
      </c>
      <c r="I1044" s="2" t="str">
        <f>IF(Return!C1044=0,REPLACE(INDEX(H:H,ROW()+Return!B1044,),1,2,Return!E1044&amp;"(")&amp;")","")</f>
        <v>v(var, v)</v>
      </c>
      <c r="M1044" s="1"/>
    </row>
    <row r="1045" spans="1:13" x14ac:dyDescent="0.55000000000000004">
      <c r="A1045" s="1" t="s">
        <v>1771</v>
      </c>
      <c r="B1045" t="s">
        <v>1230</v>
      </c>
      <c r="C1045" s="2">
        <f>Return!C1045</f>
        <v>1</v>
      </c>
      <c r="D1045" s="2">
        <f>COUNTA(Argument!E1045)</f>
        <v>0</v>
      </c>
      <c r="E1045" s="2" t="str">
        <f>IF(C1045,Return!D1045,Return!E1045)</f>
        <v>var</v>
      </c>
      <c r="F1045" s="2" t="str">
        <f t="shared" si="48"/>
        <v>var</v>
      </c>
      <c r="G1045" s="2" t="str">
        <f t="shared" si="50"/>
        <v>var</v>
      </c>
      <c r="H1045" s="2" t="str">
        <f t="shared" si="49"/>
        <v>, var</v>
      </c>
      <c r="I1045" s="2" t="str">
        <f>IF(Return!C1045=0,REPLACE(INDEX(H:H,ROW()+Return!B1045,),1,2,Return!E1045&amp;"(")&amp;")","")</f>
        <v/>
      </c>
      <c r="M1045" s="1"/>
    </row>
    <row r="1046" spans="1:13" x14ac:dyDescent="0.55000000000000004">
      <c r="A1046" s="1" t="s">
        <v>1771</v>
      </c>
      <c r="B1046" t="s">
        <v>1352</v>
      </c>
      <c r="C1046" s="2">
        <f>Return!C1046</f>
        <v>2</v>
      </c>
      <c r="D1046" s="2">
        <f>COUNTA(Argument!E1046)</f>
        <v>1</v>
      </c>
      <c r="E1046" s="2" t="str">
        <f>IF(C1046,Return!D1046,Return!E1046)</f>
        <v>v</v>
      </c>
      <c r="F1046" s="2" t="str">
        <f t="shared" si="48"/>
        <v>v</v>
      </c>
      <c r="G1046" s="2" t="str">
        <f t="shared" si="50"/>
        <v>v</v>
      </c>
      <c r="H1046" s="2" t="str">
        <f t="shared" si="49"/>
        <v>, var, v</v>
      </c>
      <c r="I1046" s="2" t="str">
        <f>IF(Return!C1046=0,REPLACE(INDEX(H:H,ROW()+Return!B1046,),1,2,Return!E1046&amp;"(")&amp;")","")</f>
        <v/>
      </c>
      <c r="M1046" s="1"/>
    </row>
    <row r="1047" spans="1:13" x14ac:dyDescent="0.55000000000000004">
      <c r="A1047" s="1" t="s">
        <v>1772</v>
      </c>
      <c r="C1047" s="2">
        <f>Return!C1047</f>
        <v>0</v>
      </c>
      <c r="D1047" s="2">
        <f>COUNTA(Argument!E1047)</f>
        <v>0</v>
      </c>
      <c r="E1047" s="2" t="str">
        <f>IF(C1047,Return!D1047,Return!E1047)</f>
        <v>v</v>
      </c>
      <c r="F1047" s="2" t="str">
        <f t="shared" si="48"/>
        <v/>
      </c>
      <c r="G1047" s="2" t="str">
        <f t="shared" si="50"/>
        <v/>
      </c>
      <c r="H1047" s="2" t="str">
        <f t="shared" si="49"/>
        <v/>
      </c>
      <c r="I1047" s="2" t="str">
        <f>IF(Return!C1047=0,REPLACE(INDEX(H:H,ROW()+Return!B1047,),1,2,Return!E1047&amp;"(")&amp;")","")</f>
        <v>v(var, v)</v>
      </c>
      <c r="M1047" s="1"/>
    </row>
    <row r="1048" spans="1:13" x14ac:dyDescent="0.55000000000000004">
      <c r="A1048" s="1" t="s">
        <v>1772</v>
      </c>
      <c r="B1048" t="s">
        <v>1230</v>
      </c>
      <c r="C1048" s="2">
        <f>Return!C1048</f>
        <v>1</v>
      </c>
      <c r="D1048" s="2">
        <f>COUNTA(Argument!E1048)</f>
        <v>0</v>
      </c>
      <c r="E1048" s="2" t="str">
        <f>IF(C1048,Return!D1048,Return!E1048)</f>
        <v>var</v>
      </c>
      <c r="F1048" s="2" t="str">
        <f t="shared" si="48"/>
        <v>var</v>
      </c>
      <c r="G1048" s="2" t="str">
        <f t="shared" si="50"/>
        <v>var</v>
      </c>
      <c r="H1048" s="2" t="str">
        <f t="shared" si="49"/>
        <v>, var</v>
      </c>
      <c r="I1048" s="2" t="str">
        <f>IF(Return!C1048=0,REPLACE(INDEX(H:H,ROW()+Return!B1048,),1,2,Return!E1048&amp;"(")&amp;")","")</f>
        <v/>
      </c>
      <c r="M1048" s="1"/>
    </row>
    <row r="1049" spans="1:13" x14ac:dyDescent="0.55000000000000004">
      <c r="A1049" s="1" t="s">
        <v>1772</v>
      </c>
      <c r="B1049" t="s">
        <v>1352</v>
      </c>
      <c r="C1049" s="2">
        <f>Return!C1049</f>
        <v>2</v>
      </c>
      <c r="D1049" s="2">
        <f>COUNTA(Argument!E1049)</f>
        <v>1</v>
      </c>
      <c r="E1049" s="2" t="str">
        <f>IF(C1049,Return!D1049,Return!E1049)</f>
        <v>v</v>
      </c>
      <c r="F1049" s="2" t="str">
        <f t="shared" si="48"/>
        <v>v</v>
      </c>
      <c r="G1049" s="2" t="str">
        <f t="shared" si="50"/>
        <v>v</v>
      </c>
      <c r="H1049" s="2" t="str">
        <f t="shared" si="49"/>
        <v>, var, v</v>
      </c>
      <c r="I1049" s="2" t="str">
        <f>IF(Return!C1049=0,REPLACE(INDEX(H:H,ROW()+Return!B1049,),1,2,Return!E1049&amp;"(")&amp;")","")</f>
        <v/>
      </c>
      <c r="M1049" s="1"/>
    </row>
    <row r="1050" spans="1:13" x14ac:dyDescent="0.55000000000000004">
      <c r="A1050" s="1" t="s">
        <v>1773</v>
      </c>
      <c r="C1050" s="2">
        <f>Return!C1050</f>
        <v>0</v>
      </c>
      <c r="D1050" s="2">
        <f>COUNTA(Argument!E1050)</f>
        <v>0</v>
      </c>
      <c r="E1050" s="2" t="str">
        <f>IF(C1050,Return!D1050,Return!E1050)</f>
        <v>v</v>
      </c>
      <c r="F1050" s="2" t="str">
        <f t="shared" si="48"/>
        <v/>
      </c>
      <c r="G1050" s="2" t="str">
        <f t="shared" si="50"/>
        <v/>
      </c>
      <c r="H1050" s="2" t="str">
        <f t="shared" si="49"/>
        <v/>
      </c>
      <c r="I1050" s="2" t="str">
        <f>IF(Return!C1050=0,REPLACE(INDEX(H:H,ROW()+Return!B1050,),1,2,Return!E1050&amp;"(")&amp;")","")</f>
        <v>v(var, v)</v>
      </c>
      <c r="M1050" s="1"/>
    </row>
    <row r="1051" spans="1:13" x14ac:dyDescent="0.55000000000000004">
      <c r="A1051" s="1" t="s">
        <v>1773</v>
      </c>
      <c r="B1051" t="s">
        <v>1230</v>
      </c>
      <c r="C1051" s="2">
        <f>Return!C1051</f>
        <v>1</v>
      </c>
      <c r="D1051" s="2">
        <f>COUNTA(Argument!E1051)</f>
        <v>0</v>
      </c>
      <c r="E1051" s="2" t="str">
        <f>IF(C1051,Return!D1051,Return!E1051)</f>
        <v>var</v>
      </c>
      <c r="F1051" s="2" t="str">
        <f t="shared" si="48"/>
        <v>var</v>
      </c>
      <c r="G1051" s="2" t="str">
        <f t="shared" si="50"/>
        <v>var</v>
      </c>
      <c r="H1051" s="2" t="str">
        <f t="shared" si="49"/>
        <v>, var</v>
      </c>
      <c r="I1051" s="2" t="str">
        <f>IF(Return!C1051=0,REPLACE(INDEX(H:H,ROW()+Return!B1051,),1,2,Return!E1051&amp;"(")&amp;")","")</f>
        <v/>
      </c>
      <c r="M1051" s="1"/>
    </row>
    <row r="1052" spans="1:13" x14ac:dyDescent="0.55000000000000004">
      <c r="A1052" s="1" t="s">
        <v>1773</v>
      </c>
      <c r="B1052" t="s">
        <v>1353</v>
      </c>
      <c r="C1052" s="2">
        <f>Return!C1052</f>
        <v>2</v>
      </c>
      <c r="D1052" s="2">
        <f>COUNTA(Argument!E1052)</f>
        <v>1</v>
      </c>
      <c r="E1052" s="2" t="str">
        <f>IF(C1052,Return!D1052,Return!E1052)</f>
        <v>v</v>
      </c>
      <c r="F1052" s="2" t="str">
        <f t="shared" si="48"/>
        <v>v</v>
      </c>
      <c r="G1052" s="2" t="str">
        <f t="shared" si="50"/>
        <v>v</v>
      </c>
      <c r="H1052" s="2" t="str">
        <f t="shared" si="49"/>
        <v>, var, v</v>
      </c>
      <c r="I1052" s="2" t="str">
        <f>IF(Return!C1052=0,REPLACE(INDEX(H:H,ROW()+Return!B1052,),1,2,Return!E1052&amp;"(")&amp;")","")</f>
        <v/>
      </c>
      <c r="M1052" s="1"/>
    </row>
    <row r="1053" spans="1:13" x14ac:dyDescent="0.55000000000000004">
      <c r="A1053" s="1" t="s">
        <v>1774</v>
      </c>
      <c r="C1053" s="2">
        <f>Return!C1053</f>
        <v>0</v>
      </c>
      <c r="D1053" s="2">
        <f>COUNTA(Argument!E1053)</f>
        <v>0</v>
      </c>
      <c r="E1053" s="2" t="str">
        <f>IF(C1053,Return!D1053,Return!E1053)</f>
        <v>v</v>
      </c>
      <c r="F1053" s="2" t="str">
        <f t="shared" si="48"/>
        <v/>
      </c>
      <c r="G1053" s="2" t="str">
        <f t="shared" si="50"/>
        <v/>
      </c>
      <c r="H1053" s="2" t="str">
        <f t="shared" si="49"/>
        <v/>
      </c>
      <c r="I1053" s="2" t="str">
        <f>IF(Return!C1053=0,REPLACE(INDEX(H:H,ROW()+Return!B1053,),1,2,Return!E1053&amp;"(")&amp;")","")</f>
        <v>v(var, v)</v>
      </c>
      <c r="M1053" s="1"/>
    </row>
    <row r="1054" spans="1:13" x14ac:dyDescent="0.55000000000000004">
      <c r="A1054" s="1" t="s">
        <v>1774</v>
      </c>
      <c r="B1054" t="s">
        <v>1230</v>
      </c>
      <c r="C1054" s="2">
        <f>Return!C1054</f>
        <v>1</v>
      </c>
      <c r="D1054" s="2">
        <f>COUNTA(Argument!E1054)</f>
        <v>0</v>
      </c>
      <c r="E1054" s="2" t="str">
        <f>IF(C1054,Return!D1054,Return!E1054)</f>
        <v>var</v>
      </c>
      <c r="F1054" s="2" t="str">
        <f t="shared" si="48"/>
        <v>var</v>
      </c>
      <c r="G1054" s="2" t="str">
        <f t="shared" si="50"/>
        <v>var</v>
      </c>
      <c r="H1054" s="2" t="str">
        <f t="shared" si="49"/>
        <v>, var</v>
      </c>
      <c r="I1054" s="2" t="str">
        <f>IF(Return!C1054=0,REPLACE(INDEX(H:H,ROW()+Return!B1054,),1,2,Return!E1054&amp;"(")&amp;")","")</f>
        <v/>
      </c>
      <c r="M1054" s="1"/>
    </row>
    <row r="1055" spans="1:13" x14ac:dyDescent="0.55000000000000004">
      <c r="A1055" s="1" t="s">
        <v>1774</v>
      </c>
      <c r="B1055" t="s">
        <v>1352</v>
      </c>
      <c r="C1055" s="2">
        <f>Return!C1055</f>
        <v>2</v>
      </c>
      <c r="D1055" s="2">
        <f>COUNTA(Argument!E1055)</f>
        <v>1</v>
      </c>
      <c r="E1055" s="2" t="str">
        <f>IF(C1055,Return!D1055,Return!E1055)</f>
        <v>v</v>
      </c>
      <c r="F1055" s="2" t="str">
        <f t="shared" si="48"/>
        <v>v</v>
      </c>
      <c r="G1055" s="2" t="str">
        <f t="shared" si="50"/>
        <v>v</v>
      </c>
      <c r="H1055" s="2" t="str">
        <f t="shared" si="49"/>
        <v>, var, v</v>
      </c>
      <c r="I1055" s="2" t="str">
        <f>IF(Return!C1055=0,REPLACE(INDEX(H:H,ROW()+Return!B1055,),1,2,Return!E1055&amp;"(")&amp;")","")</f>
        <v/>
      </c>
      <c r="M1055" s="1"/>
    </row>
    <row r="1056" spans="1:13" x14ac:dyDescent="0.55000000000000004">
      <c r="A1056" s="1" t="s">
        <v>1775</v>
      </c>
      <c r="C1056" s="2">
        <f>Return!C1056</f>
        <v>0</v>
      </c>
      <c r="D1056" s="2">
        <f>COUNTA(Argument!E1056)</f>
        <v>0</v>
      </c>
      <c r="E1056" s="2" t="str">
        <f>IF(C1056,Return!D1056,Return!E1056)</f>
        <v>v</v>
      </c>
      <c r="F1056" s="2" t="str">
        <f t="shared" si="48"/>
        <v/>
      </c>
      <c r="G1056" s="2" t="str">
        <f t="shared" si="50"/>
        <v/>
      </c>
      <c r="H1056" s="2" t="str">
        <f t="shared" si="49"/>
        <v/>
      </c>
      <c r="I1056" s="2" t="str">
        <f>IF(Return!C1056=0,REPLACE(INDEX(H:H,ROW()+Return!B1056,),1,2,Return!E1056&amp;"(")&amp;")","")</f>
        <v>v(var, v, [v])</v>
      </c>
      <c r="M1056" s="1"/>
    </row>
    <row r="1057" spans="1:13" x14ac:dyDescent="0.55000000000000004">
      <c r="A1057" s="1" t="s">
        <v>1775</v>
      </c>
      <c r="B1057" t="s">
        <v>1230</v>
      </c>
      <c r="C1057" s="2">
        <f>Return!C1057</f>
        <v>1</v>
      </c>
      <c r="D1057" s="2">
        <f>COUNTA(Argument!E1057)</f>
        <v>0</v>
      </c>
      <c r="E1057" s="2" t="str">
        <f>IF(C1057,Return!D1057,Return!E1057)</f>
        <v>var</v>
      </c>
      <c r="F1057" s="2" t="str">
        <f t="shared" si="48"/>
        <v>var</v>
      </c>
      <c r="G1057" s="2" t="str">
        <f t="shared" si="50"/>
        <v>var</v>
      </c>
      <c r="H1057" s="2" t="str">
        <f t="shared" si="49"/>
        <v>, var</v>
      </c>
      <c r="I1057" s="2" t="str">
        <f>IF(Return!C1057=0,REPLACE(INDEX(H:H,ROW()+Return!B1057,),1,2,Return!E1057&amp;"(")&amp;")","")</f>
        <v/>
      </c>
      <c r="M1057" s="1"/>
    </row>
    <row r="1058" spans="1:13" x14ac:dyDescent="0.55000000000000004">
      <c r="A1058" s="1" t="s">
        <v>1775</v>
      </c>
      <c r="B1058" t="s">
        <v>1316</v>
      </c>
      <c r="C1058" s="2">
        <f>Return!C1058</f>
        <v>2</v>
      </c>
      <c r="D1058" s="2">
        <f>COUNTA(Argument!E1058)</f>
        <v>1</v>
      </c>
      <c r="E1058" s="2" t="str">
        <f>IF(C1058,Return!D1058,Return!E1058)</f>
        <v>v</v>
      </c>
      <c r="F1058" s="2" t="str">
        <f t="shared" si="48"/>
        <v>v</v>
      </c>
      <c r="G1058" s="2" t="str">
        <f t="shared" si="50"/>
        <v>v</v>
      </c>
      <c r="H1058" s="2" t="str">
        <f t="shared" si="49"/>
        <v>, var, v</v>
      </c>
      <c r="I1058" s="2" t="str">
        <f>IF(Return!C1058=0,REPLACE(INDEX(H:H,ROW()+Return!B1058,),1,2,Return!E1058&amp;"(")&amp;")","")</f>
        <v/>
      </c>
      <c r="M1058" s="1"/>
    </row>
    <row r="1059" spans="1:13" x14ac:dyDescent="0.55000000000000004">
      <c r="A1059" s="1" t="s">
        <v>1775</v>
      </c>
      <c r="B1059" t="s">
        <v>1334</v>
      </c>
      <c r="C1059" s="2">
        <f>Return!C1059</f>
        <v>3</v>
      </c>
      <c r="D1059" s="2">
        <f>COUNTA(Argument!E1059)</f>
        <v>1</v>
      </c>
      <c r="E1059" s="2" t="str">
        <f>IF(C1059,Return!D1059,Return!E1059)</f>
        <v>v</v>
      </c>
      <c r="F1059" s="2" t="str">
        <f t="shared" si="48"/>
        <v>[v]</v>
      </c>
      <c r="G1059" s="2" t="str">
        <f t="shared" si="50"/>
        <v>[v]</v>
      </c>
      <c r="H1059" s="2" t="str">
        <f t="shared" si="49"/>
        <v>, var, v, [v]</v>
      </c>
      <c r="I1059" s="2" t="str">
        <f>IF(Return!C1059=0,REPLACE(INDEX(H:H,ROW()+Return!B1059,),1,2,Return!E1059&amp;"(")&amp;")","")</f>
        <v/>
      </c>
      <c r="M1059" s="1"/>
    </row>
    <row r="1060" spans="1:13" x14ac:dyDescent="0.55000000000000004">
      <c r="A1060" s="1" t="s">
        <v>1776</v>
      </c>
      <c r="C1060" s="2">
        <f>Return!C1060</f>
        <v>0</v>
      </c>
      <c r="D1060" s="2">
        <f>COUNTA(Argument!E1060)</f>
        <v>0</v>
      </c>
      <c r="E1060" s="2" t="str">
        <f>IF(C1060,Return!D1060,Return!E1060)</f>
        <v>v</v>
      </c>
      <c r="F1060" s="2" t="str">
        <f t="shared" si="48"/>
        <v/>
      </c>
      <c r="G1060" s="2" t="str">
        <f t="shared" si="50"/>
        <v/>
      </c>
      <c r="H1060" s="2" t="str">
        <f t="shared" si="49"/>
        <v/>
      </c>
      <c r="I1060" s="2" t="str">
        <f>IF(Return!C1060=0,REPLACE(INDEX(H:H,ROW()+Return!B1060,),1,2,Return!E1060&amp;"(")&amp;")","")</f>
        <v>v(a, [a], …)</v>
      </c>
      <c r="M1060" s="1"/>
    </row>
    <row r="1061" spans="1:13" x14ac:dyDescent="0.55000000000000004">
      <c r="A1061" s="1" t="s">
        <v>1776</v>
      </c>
      <c r="B1061" t="s">
        <v>1219</v>
      </c>
      <c r="C1061" s="2">
        <f>Return!C1061</f>
        <v>1</v>
      </c>
      <c r="D1061" s="2">
        <f>COUNTA(Argument!E1061)</f>
        <v>1</v>
      </c>
      <c r="E1061" s="2" t="str">
        <f>IF(C1061,Return!D1061,Return!E1061)</f>
        <v>a</v>
      </c>
      <c r="F1061" s="2" t="str">
        <f t="shared" si="48"/>
        <v>a</v>
      </c>
      <c r="G1061" s="2" t="str">
        <f t="shared" si="50"/>
        <v>a</v>
      </c>
      <c r="H1061" s="2" t="str">
        <f t="shared" si="49"/>
        <v>, a</v>
      </c>
      <c r="I1061" s="2" t="str">
        <f>IF(Return!C1061=0,REPLACE(INDEX(H:H,ROW()+Return!B1061,),1,2,Return!E1061&amp;"(")&amp;")","")</f>
        <v/>
      </c>
      <c r="M1061" s="1"/>
    </row>
    <row r="1062" spans="1:13" x14ac:dyDescent="0.55000000000000004">
      <c r="A1062" s="1" t="s">
        <v>1776</v>
      </c>
      <c r="B1062" t="s">
        <v>1220</v>
      </c>
      <c r="C1062" s="2">
        <f>Return!C1062</f>
        <v>2</v>
      </c>
      <c r="D1062" s="2">
        <f>COUNTA(Argument!E1062)</f>
        <v>1</v>
      </c>
      <c r="E1062" s="2" t="str">
        <f>IF(C1062,Return!D1062,Return!E1062)</f>
        <v>a</v>
      </c>
      <c r="F1062" s="2" t="str">
        <f t="shared" si="48"/>
        <v>[a]</v>
      </c>
      <c r="G1062" s="2" t="str">
        <f t="shared" si="50"/>
        <v>[a]</v>
      </c>
      <c r="H1062" s="2" t="str">
        <f t="shared" si="49"/>
        <v>, a, [a]</v>
      </c>
      <c r="I1062" s="2" t="str">
        <f>IF(Return!C1062=0,REPLACE(INDEX(H:H,ROW()+Return!B1062,),1,2,Return!E1062&amp;"(")&amp;")","")</f>
        <v/>
      </c>
      <c r="M1062" s="1"/>
    </row>
    <row r="1063" spans="1:13" x14ac:dyDescent="0.55000000000000004">
      <c r="A1063" s="1" t="s">
        <v>1776</v>
      </c>
      <c r="B1063" t="s">
        <v>1214</v>
      </c>
      <c r="C1063" s="2">
        <f>Return!C1063</f>
        <v>3</v>
      </c>
      <c r="D1063" s="2">
        <f>COUNTA(Argument!E1063)</f>
        <v>1</v>
      </c>
      <c r="E1063" s="2" t="str">
        <f>IF(C1063,Return!D1063,Return!E1063)</f>
        <v>a</v>
      </c>
      <c r="F1063" s="2" t="str">
        <f t="shared" si="48"/>
        <v>[a]</v>
      </c>
      <c r="G1063" s="2" t="str">
        <f t="shared" si="50"/>
        <v>…</v>
      </c>
      <c r="H1063" s="2" t="str">
        <f t="shared" si="49"/>
        <v>, a, [a], …</v>
      </c>
      <c r="I1063" s="2" t="str">
        <f>IF(Return!C1063=0,REPLACE(INDEX(H:H,ROW()+Return!B1063,),1,2,Return!E1063&amp;"(")&amp;")","")</f>
        <v/>
      </c>
      <c r="M1063" s="1"/>
    </row>
    <row r="1064" spans="1:13" x14ac:dyDescent="0.55000000000000004">
      <c r="A1064" s="1" t="s">
        <v>1777</v>
      </c>
      <c r="C1064" s="2">
        <f>Return!C1064</f>
        <v>0</v>
      </c>
      <c r="D1064" s="2">
        <f>COUNTA(Argument!E1064)</f>
        <v>0</v>
      </c>
      <c r="E1064" s="2" t="str">
        <f>IF(C1064,Return!D1064,Return!E1064)</f>
        <v>v</v>
      </c>
      <c r="F1064" s="2" t="str">
        <f t="shared" si="48"/>
        <v/>
      </c>
      <c r="G1064" s="2" t="str">
        <f t="shared" si="50"/>
        <v/>
      </c>
      <c r="H1064" s="2" t="str">
        <f t="shared" si="49"/>
        <v/>
      </c>
      <c r="I1064" s="2" t="str">
        <f>IF(Return!C1064=0,REPLACE(INDEX(H:H,ROW()+Return!B1064,),1,2,Return!E1064&amp;"(")&amp;")","")</f>
        <v>v(var, v)</v>
      </c>
      <c r="M1064" s="1"/>
    </row>
    <row r="1065" spans="1:13" x14ac:dyDescent="0.55000000000000004">
      <c r="A1065" s="1" t="s">
        <v>1777</v>
      </c>
      <c r="B1065" t="s">
        <v>1230</v>
      </c>
      <c r="C1065" s="2">
        <f>Return!C1065</f>
        <v>1</v>
      </c>
      <c r="D1065" s="2">
        <f>COUNTA(Argument!E1065)</f>
        <v>0</v>
      </c>
      <c r="E1065" s="2" t="str">
        <f>IF(C1065,Return!D1065,Return!E1065)</f>
        <v>var</v>
      </c>
      <c r="F1065" s="2" t="str">
        <f t="shared" si="48"/>
        <v>var</v>
      </c>
      <c r="G1065" s="2" t="str">
        <f t="shared" si="50"/>
        <v>var</v>
      </c>
      <c r="H1065" s="2" t="str">
        <f t="shared" si="49"/>
        <v>, var</v>
      </c>
      <c r="I1065" s="2" t="str">
        <f>IF(Return!C1065=0,REPLACE(INDEX(H:H,ROW()+Return!B1065,),1,2,Return!E1065&amp;"(")&amp;")","")</f>
        <v/>
      </c>
      <c r="M1065" s="1"/>
    </row>
    <row r="1066" spans="1:13" x14ac:dyDescent="0.55000000000000004">
      <c r="A1066" s="1" t="s">
        <v>1777</v>
      </c>
      <c r="B1066" t="s">
        <v>1354</v>
      </c>
      <c r="C1066" s="2">
        <f>Return!C1066</f>
        <v>2</v>
      </c>
      <c r="D1066" s="2">
        <f>COUNTA(Argument!E1066)</f>
        <v>1</v>
      </c>
      <c r="E1066" s="2" t="str">
        <f>IF(C1066,Return!D1066,Return!E1066)</f>
        <v>v</v>
      </c>
      <c r="F1066" s="2" t="str">
        <f t="shared" si="48"/>
        <v>v</v>
      </c>
      <c r="G1066" s="2" t="str">
        <f t="shared" si="50"/>
        <v>v</v>
      </c>
      <c r="H1066" s="2" t="str">
        <f t="shared" si="49"/>
        <v>, var, v</v>
      </c>
      <c r="I1066" s="2" t="str">
        <f>IF(Return!C1066=0,REPLACE(INDEX(H:H,ROW()+Return!B1066,),1,2,Return!E1066&amp;"(")&amp;")","")</f>
        <v/>
      </c>
      <c r="M1066" s="1"/>
    </row>
    <row r="1067" spans="1:13" x14ac:dyDescent="0.55000000000000004">
      <c r="A1067" s="1" t="s">
        <v>1778</v>
      </c>
      <c r="C1067" s="2">
        <f>Return!C1067</f>
        <v>0</v>
      </c>
      <c r="D1067" s="2">
        <f>COUNTA(Argument!E1067)</f>
        <v>0</v>
      </c>
      <c r="E1067" s="2" t="str">
        <f>IF(C1067,Return!D1067,Return!E1067)</f>
        <v>v</v>
      </c>
      <c r="F1067" s="2" t="str">
        <f t="shared" si="48"/>
        <v/>
      </c>
      <c r="G1067" s="2" t="str">
        <f t="shared" si="50"/>
        <v/>
      </c>
      <c r="H1067" s="2" t="str">
        <f t="shared" si="49"/>
        <v/>
      </c>
      <c r="I1067" s="2" t="str">
        <f>IF(Return!C1067=0,REPLACE(INDEX(H:H,ROW()+Return!B1067,),1,2,Return!E1067&amp;"(")&amp;")","")</f>
        <v>v(v, v)</v>
      </c>
      <c r="M1067" s="1"/>
    </row>
    <row r="1068" spans="1:13" x14ac:dyDescent="0.55000000000000004">
      <c r="A1068" s="1" t="s">
        <v>1778</v>
      </c>
      <c r="B1068" t="s">
        <v>1321</v>
      </c>
      <c r="C1068" s="2">
        <f>Return!C1068</f>
        <v>1</v>
      </c>
      <c r="D1068" s="2">
        <f>COUNTA(Argument!E1068)</f>
        <v>0</v>
      </c>
      <c r="E1068" s="2" t="str">
        <f>IF(C1068,Return!D1068,Return!E1068)</f>
        <v>v</v>
      </c>
      <c r="F1068" s="2" t="str">
        <f t="shared" si="48"/>
        <v>v</v>
      </c>
      <c r="G1068" s="2" t="str">
        <f t="shared" si="50"/>
        <v>v</v>
      </c>
      <c r="H1068" s="2" t="str">
        <f t="shared" si="49"/>
        <v>, v</v>
      </c>
      <c r="I1068" s="2" t="str">
        <f>IF(Return!C1068=0,REPLACE(INDEX(H:H,ROW()+Return!B1068,),1,2,Return!E1068&amp;"(")&amp;")","")</f>
        <v/>
      </c>
      <c r="M1068" s="1"/>
    </row>
    <row r="1069" spans="1:13" x14ac:dyDescent="0.55000000000000004">
      <c r="A1069" s="1" t="s">
        <v>1778</v>
      </c>
      <c r="B1069" t="s">
        <v>1326</v>
      </c>
      <c r="C1069" s="2">
        <f>Return!C1069</f>
        <v>2</v>
      </c>
      <c r="D1069" s="2">
        <f>COUNTA(Argument!E1069)</f>
        <v>1</v>
      </c>
      <c r="E1069" s="2" t="str">
        <f>IF(C1069,Return!D1069,Return!E1069)</f>
        <v>v</v>
      </c>
      <c r="F1069" s="2" t="str">
        <f t="shared" si="48"/>
        <v>v</v>
      </c>
      <c r="G1069" s="2" t="str">
        <f t="shared" si="50"/>
        <v>v</v>
      </c>
      <c r="H1069" s="2" t="str">
        <f t="shared" si="49"/>
        <v>, v, v</v>
      </c>
      <c r="I1069" s="2" t="str">
        <f>IF(Return!C1069=0,REPLACE(INDEX(H:H,ROW()+Return!B1069,),1,2,Return!E1069&amp;"(")&amp;")","")</f>
        <v/>
      </c>
      <c r="M1069" s="1"/>
    </row>
    <row r="1070" spans="1:13" x14ac:dyDescent="0.55000000000000004">
      <c r="A1070" s="1" t="s">
        <v>1779</v>
      </c>
      <c r="C1070" s="2">
        <f>Return!C1070</f>
        <v>0</v>
      </c>
      <c r="D1070" s="2">
        <f>COUNTA(Argument!E1070)</f>
        <v>0</v>
      </c>
      <c r="E1070" s="2" t="str">
        <f>IF(C1070,Return!D1070,Return!E1070)</f>
        <v>v</v>
      </c>
      <c r="F1070" s="2" t="str">
        <f t="shared" si="48"/>
        <v/>
      </c>
      <c r="G1070" s="2" t="str">
        <f t="shared" si="50"/>
        <v/>
      </c>
      <c r="H1070" s="2" t="str">
        <f t="shared" si="49"/>
        <v/>
      </c>
      <c r="I1070" s="2" t="str">
        <f>IF(Return!C1070=0,REPLACE(INDEX(H:H,ROW()+Return!B1070,),1,2,Return!E1070&amp;"(")&amp;")","")</f>
        <v>v(v, v, v, [v])</v>
      </c>
      <c r="M1070" s="1"/>
    </row>
    <row r="1071" spans="1:13" x14ac:dyDescent="0.55000000000000004">
      <c r="A1071" s="1" t="s">
        <v>1779</v>
      </c>
      <c r="B1071" t="s">
        <v>1978</v>
      </c>
      <c r="C1071" s="2">
        <f>Return!C1071</f>
        <v>1</v>
      </c>
      <c r="D1071" s="2">
        <f>COUNTA(Argument!E1071)</f>
        <v>0</v>
      </c>
      <c r="E1071" s="2" t="str">
        <f>IF(C1071,Return!D1071,Return!E1071)</f>
        <v>v</v>
      </c>
      <c r="F1071" s="2" t="str">
        <f t="shared" si="48"/>
        <v>v</v>
      </c>
      <c r="G1071" s="2" t="str">
        <f t="shared" si="50"/>
        <v>v</v>
      </c>
      <c r="H1071" s="2" t="str">
        <f t="shared" si="49"/>
        <v>, v</v>
      </c>
      <c r="I1071" s="2" t="str">
        <f>IF(Return!C1071=0,REPLACE(INDEX(H:H,ROW()+Return!B1071,),1,2,Return!E1071&amp;"(")&amp;")","")</f>
        <v/>
      </c>
      <c r="M1071" s="1"/>
    </row>
    <row r="1072" spans="1:13" x14ac:dyDescent="0.55000000000000004">
      <c r="A1072" s="1" t="s">
        <v>1779</v>
      </c>
      <c r="B1072" t="s">
        <v>1985</v>
      </c>
      <c r="C1072" s="2">
        <f>Return!C1072</f>
        <v>2</v>
      </c>
      <c r="D1072" s="2">
        <f>COUNTA(Argument!E1072)</f>
        <v>0</v>
      </c>
      <c r="E1072" s="2" t="str">
        <f>IF(C1072,Return!D1072,Return!E1072)</f>
        <v>v</v>
      </c>
      <c r="F1072" s="2" t="str">
        <f t="shared" si="48"/>
        <v>v</v>
      </c>
      <c r="G1072" s="2" t="str">
        <f t="shared" si="50"/>
        <v>v</v>
      </c>
      <c r="H1072" s="2" t="str">
        <f t="shared" si="49"/>
        <v>, v, v</v>
      </c>
      <c r="I1072" s="2" t="str">
        <f>IF(Return!C1072=0,REPLACE(INDEX(H:H,ROW()+Return!B1072,),1,2,Return!E1072&amp;"(")&amp;")","")</f>
        <v/>
      </c>
      <c r="M1072" s="1"/>
    </row>
    <row r="1073" spans="1:13" x14ac:dyDescent="0.55000000000000004">
      <c r="A1073" s="1" t="s">
        <v>1779</v>
      </c>
      <c r="B1073" t="s">
        <v>1986</v>
      </c>
      <c r="C1073" s="2">
        <f>Return!C1073</f>
        <v>3</v>
      </c>
      <c r="D1073" s="2">
        <f>COUNTA(Argument!E1073)</f>
        <v>1</v>
      </c>
      <c r="E1073" s="2" t="str">
        <f>IF(C1073,Return!D1073,Return!E1073)</f>
        <v>v</v>
      </c>
      <c r="F1073" s="2" t="str">
        <f t="shared" si="48"/>
        <v>v</v>
      </c>
      <c r="G1073" s="2" t="str">
        <f t="shared" si="50"/>
        <v>v</v>
      </c>
      <c r="H1073" s="2" t="str">
        <f t="shared" si="49"/>
        <v>, v, v, v</v>
      </c>
      <c r="I1073" s="2" t="str">
        <f>IF(Return!C1073=0,REPLACE(INDEX(H:H,ROW()+Return!B1073,),1,2,Return!E1073&amp;"(")&amp;")","")</f>
        <v/>
      </c>
      <c r="M1073" s="1"/>
    </row>
    <row r="1074" spans="1:13" x14ac:dyDescent="0.55000000000000004">
      <c r="A1074" s="1" t="s">
        <v>1779</v>
      </c>
      <c r="B1074" t="s">
        <v>2033</v>
      </c>
      <c r="C1074" s="2">
        <f>Return!C1074</f>
        <v>4</v>
      </c>
      <c r="D1074" s="2">
        <f>COUNTA(Argument!E1074)</f>
        <v>1</v>
      </c>
      <c r="E1074" s="2" t="str">
        <f>IF(C1074,Return!D1074,Return!E1074)</f>
        <v>v</v>
      </c>
      <c r="F1074" s="2" t="str">
        <f t="shared" si="48"/>
        <v>[v]</v>
      </c>
      <c r="G1074" s="2" t="str">
        <f t="shared" si="50"/>
        <v>[v]</v>
      </c>
      <c r="H1074" s="2" t="str">
        <f t="shared" si="49"/>
        <v>, v, v, v, [v]</v>
      </c>
      <c r="I1074" s="2" t="str">
        <f>IF(Return!C1074=0,REPLACE(INDEX(H:H,ROW()+Return!B1074,),1,2,Return!E1074&amp;"(")&amp;")","")</f>
        <v/>
      </c>
      <c r="M1074" s="1"/>
    </row>
    <row r="1075" spans="1:13" x14ac:dyDescent="0.55000000000000004">
      <c r="A1075" s="1" t="s">
        <v>1780</v>
      </c>
      <c r="C1075" s="2">
        <f>Return!C1075</f>
        <v>0</v>
      </c>
      <c r="D1075" s="2">
        <f>COUNTA(Argument!E1075)</f>
        <v>0</v>
      </c>
      <c r="E1075" s="2" t="str">
        <f>IF(C1075,Return!D1075,Return!E1075)</f>
        <v>v</v>
      </c>
      <c r="F1075" s="2" t="str">
        <f t="shared" si="48"/>
        <v/>
      </c>
      <c r="G1075" s="2" t="str">
        <f t="shared" si="50"/>
        <v/>
      </c>
      <c r="H1075" s="2" t="str">
        <f t="shared" si="49"/>
        <v/>
      </c>
      <c r="I1075" s="2" t="str">
        <f>IF(Return!C1075=0,REPLACE(INDEX(H:H,ROW()+Return!B1075,),1,2,Return!E1075&amp;"(")&amp;")","")</f>
        <v>v(v, v, [v])</v>
      </c>
      <c r="M1075" s="1"/>
    </row>
    <row r="1076" spans="1:13" x14ac:dyDescent="0.55000000000000004">
      <c r="A1076" s="1" t="s">
        <v>1780</v>
      </c>
      <c r="B1076" t="s">
        <v>1978</v>
      </c>
      <c r="C1076" s="2">
        <f>Return!C1076</f>
        <v>1</v>
      </c>
      <c r="D1076" s="2">
        <f>COUNTA(Argument!E1076)</f>
        <v>0</v>
      </c>
      <c r="E1076" s="2" t="str">
        <f>IF(C1076,Return!D1076,Return!E1076)</f>
        <v>v</v>
      </c>
      <c r="F1076" s="2" t="str">
        <f t="shared" si="48"/>
        <v>v</v>
      </c>
      <c r="G1076" s="2" t="str">
        <f t="shared" si="50"/>
        <v>v</v>
      </c>
      <c r="H1076" s="2" t="str">
        <f t="shared" si="49"/>
        <v>, v</v>
      </c>
      <c r="I1076" s="2" t="str">
        <f>IF(Return!C1076=0,REPLACE(INDEX(H:H,ROW()+Return!B1076,),1,2,Return!E1076&amp;"(")&amp;")","")</f>
        <v/>
      </c>
      <c r="M1076" s="1"/>
    </row>
    <row r="1077" spans="1:13" x14ac:dyDescent="0.55000000000000004">
      <c r="A1077" s="1" t="s">
        <v>1780</v>
      </c>
      <c r="B1077" t="s">
        <v>1985</v>
      </c>
      <c r="C1077" s="2">
        <f>Return!C1077</f>
        <v>2</v>
      </c>
      <c r="D1077" s="2">
        <f>COUNTA(Argument!E1077)</f>
        <v>1</v>
      </c>
      <c r="E1077" s="2" t="str">
        <f>IF(C1077,Return!D1077,Return!E1077)</f>
        <v>v</v>
      </c>
      <c r="F1077" s="2" t="str">
        <f t="shared" si="48"/>
        <v>v</v>
      </c>
      <c r="G1077" s="2" t="str">
        <f t="shared" si="50"/>
        <v>v</v>
      </c>
      <c r="H1077" s="2" t="str">
        <f t="shared" si="49"/>
        <v>, v, v</v>
      </c>
      <c r="I1077" s="2" t="str">
        <f>IF(Return!C1077=0,REPLACE(INDEX(H:H,ROW()+Return!B1077,),1,2,Return!E1077&amp;"(")&amp;")","")</f>
        <v/>
      </c>
      <c r="M1077" s="1"/>
    </row>
    <row r="1078" spans="1:13" x14ac:dyDescent="0.55000000000000004">
      <c r="A1078" s="1" t="s">
        <v>1780</v>
      </c>
      <c r="B1078" t="s">
        <v>2034</v>
      </c>
      <c r="C1078" s="2">
        <f>Return!C1078</f>
        <v>3</v>
      </c>
      <c r="D1078" s="2">
        <f>COUNTA(Argument!E1078)</f>
        <v>1</v>
      </c>
      <c r="E1078" s="2" t="str">
        <f>IF(C1078,Return!D1078,Return!E1078)</f>
        <v>v</v>
      </c>
      <c r="F1078" s="2" t="str">
        <f t="shared" si="48"/>
        <v>[v]</v>
      </c>
      <c r="G1078" s="2" t="str">
        <f t="shared" si="50"/>
        <v>[v]</v>
      </c>
      <c r="H1078" s="2" t="str">
        <f t="shared" si="49"/>
        <v>, v, v, [v]</v>
      </c>
      <c r="I1078" s="2" t="str">
        <f>IF(Return!C1078=0,REPLACE(INDEX(H:H,ROW()+Return!B1078,),1,2,Return!E1078&amp;"(")&amp;")","")</f>
        <v/>
      </c>
      <c r="M1078" s="1"/>
    </row>
    <row r="1079" spans="1:13" x14ac:dyDescent="0.55000000000000004">
      <c r="A1079" s="1" t="s">
        <v>1781</v>
      </c>
      <c r="C1079" s="2">
        <f>Return!C1079</f>
        <v>0</v>
      </c>
      <c r="D1079" s="2">
        <f>COUNTA(Argument!E1079)</f>
        <v>0</v>
      </c>
      <c r="E1079" s="2" t="str">
        <f>IF(C1079,Return!D1079,Return!E1079)</f>
        <v>v</v>
      </c>
      <c r="F1079" s="2" t="str">
        <f t="shared" si="48"/>
        <v/>
      </c>
      <c r="G1079" s="2" t="str">
        <f t="shared" si="50"/>
        <v/>
      </c>
      <c r="H1079" s="2" t="str">
        <f t="shared" si="49"/>
        <v/>
      </c>
      <c r="I1079" s="2" t="str">
        <f>IF(Return!C1079=0,REPLACE(INDEX(H:H,ROW()+Return!B1079,),1,2,Return!E1079&amp;"(")&amp;")","")</f>
        <v>v(v, [v], …)</v>
      </c>
      <c r="M1079" s="1"/>
    </row>
    <row r="1080" spans="1:13" x14ac:dyDescent="0.55000000000000004">
      <c r="A1080" s="1" t="s">
        <v>1781</v>
      </c>
      <c r="B1080" t="s">
        <v>1282</v>
      </c>
      <c r="C1080" s="2">
        <f>Return!C1080</f>
        <v>1</v>
      </c>
      <c r="D1080" s="2">
        <f>COUNTA(Argument!E1080)</f>
        <v>1</v>
      </c>
      <c r="E1080" s="2" t="str">
        <f>IF(C1080,Return!D1080,Return!E1080)</f>
        <v>v</v>
      </c>
      <c r="F1080" s="2" t="str">
        <f t="shared" si="48"/>
        <v>v</v>
      </c>
      <c r="G1080" s="2" t="str">
        <f t="shared" si="50"/>
        <v>v</v>
      </c>
      <c r="H1080" s="2" t="str">
        <f t="shared" si="49"/>
        <v>, v</v>
      </c>
      <c r="I1080" s="2" t="str">
        <f>IF(Return!C1080=0,REPLACE(INDEX(H:H,ROW()+Return!B1080,),1,2,Return!E1080&amp;"(")&amp;")","")</f>
        <v/>
      </c>
      <c r="M1080" s="1"/>
    </row>
    <row r="1081" spans="1:13" x14ac:dyDescent="0.55000000000000004">
      <c r="A1081" s="1" t="s">
        <v>1781</v>
      </c>
      <c r="B1081" t="s">
        <v>1283</v>
      </c>
      <c r="C1081" s="2">
        <f>Return!C1081</f>
        <v>2</v>
      </c>
      <c r="D1081" s="2">
        <f>COUNTA(Argument!E1081)</f>
        <v>1</v>
      </c>
      <c r="E1081" s="2" t="str">
        <f>IF(C1081,Return!D1081,Return!E1081)</f>
        <v>v</v>
      </c>
      <c r="F1081" s="2" t="str">
        <f t="shared" si="48"/>
        <v>[v]</v>
      </c>
      <c r="G1081" s="2" t="str">
        <f t="shared" si="50"/>
        <v>[v]</v>
      </c>
      <c r="H1081" s="2" t="str">
        <f t="shared" si="49"/>
        <v>, v, [v]</v>
      </c>
      <c r="I1081" s="2" t="str">
        <f>IF(Return!C1081=0,REPLACE(INDEX(H:H,ROW()+Return!B1081,),1,2,Return!E1081&amp;"(")&amp;")","")</f>
        <v/>
      </c>
      <c r="M1081" s="1"/>
    </row>
    <row r="1082" spans="1:13" x14ac:dyDescent="0.55000000000000004">
      <c r="A1082" s="1" t="s">
        <v>1781</v>
      </c>
      <c r="B1082" t="s">
        <v>1214</v>
      </c>
      <c r="C1082" s="2">
        <f>Return!C1082</f>
        <v>3</v>
      </c>
      <c r="D1082" s="2">
        <f>COUNTA(Argument!E1082)</f>
        <v>1</v>
      </c>
      <c r="E1082" s="2" t="str">
        <f>IF(C1082,Return!D1082,Return!E1082)</f>
        <v>v</v>
      </c>
      <c r="F1082" s="2" t="str">
        <f t="shared" si="48"/>
        <v>[v]</v>
      </c>
      <c r="G1082" s="2" t="str">
        <f t="shared" si="50"/>
        <v>…</v>
      </c>
      <c r="H1082" s="2" t="str">
        <f t="shared" si="49"/>
        <v>, v, [v], …</v>
      </c>
      <c r="I1082" s="2" t="str">
        <f>IF(Return!C1082=0,REPLACE(INDEX(H:H,ROW()+Return!B1082,),1,2,Return!E1082&amp;"(")&amp;")","")</f>
        <v/>
      </c>
      <c r="M1082" s="1"/>
    </row>
    <row r="1083" spans="1:13" x14ac:dyDescent="0.55000000000000004">
      <c r="A1083" s="1" t="s">
        <v>1782</v>
      </c>
      <c r="C1083" s="2">
        <f>Return!C1083</f>
        <v>0</v>
      </c>
      <c r="D1083" s="2">
        <f>COUNTA(Argument!E1083)</f>
        <v>0</v>
      </c>
      <c r="E1083" s="2" t="str">
        <f>IF(C1083,Return!D1083,Return!E1083)</f>
        <v>v</v>
      </c>
      <c r="F1083" s="2" t="str">
        <f t="shared" si="48"/>
        <v/>
      </c>
      <c r="G1083" s="2" t="str">
        <f t="shared" si="50"/>
        <v/>
      </c>
      <c r="H1083" s="2" t="str">
        <f t="shared" si="49"/>
        <v/>
      </c>
      <c r="I1083" s="2" t="str">
        <f>IF(Return!C1083=0,REPLACE(INDEX(H:H,ROW()+Return!B1083,),1,2,Return!E1083&amp;"(")&amp;")","")</f>
        <v>v(v, v)</v>
      </c>
      <c r="M1083" s="1"/>
    </row>
    <row r="1084" spans="1:13" x14ac:dyDescent="0.55000000000000004">
      <c r="A1084" s="1" t="s">
        <v>1782</v>
      </c>
      <c r="B1084" t="s">
        <v>1223</v>
      </c>
      <c r="C1084" s="2">
        <f>Return!C1084</f>
        <v>1</v>
      </c>
      <c r="D1084" s="2">
        <f>COUNTA(Argument!E1084)</f>
        <v>0</v>
      </c>
      <c r="E1084" s="2" t="str">
        <f>IF(C1084,Return!D1084,Return!E1084)</f>
        <v>v</v>
      </c>
      <c r="F1084" s="2" t="str">
        <f t="shared" si="48"/>
        <v>v</v>
      </c>
      <c r="G1084" s="2" t="str">
        <f t="shared" si="50"/>
        <v>v</v>
      </c>
      <c r="H1084" s="2" t="str">
        <f t="shared" si="49"/>
        <v>, v</v>
      </c>
      <c r="I1084" s="2" t="str">
        <f>IF(Return!C1084=0,REPLACE(INDEX(H:H,ROW()+Return!B1084,),1,2,Return!E1084&amp;"(")&amp;")","")</f>
        <v/>
      </c>
      <c r="M1084" s="1"/>
    </row>
    <row r="1085" spans="1:13" x14ac:dyDescent="0.55000000000000004">
      <c r="A1085" s="1" t="s">
        <v>1782</v>
      </c>
      <c r="B1085" t="s">
        <v>1355</v>
      </c>
      <c r="C1085" s="2">
        <f>Return!C1085</f>
        <v>2</v>
      </c>
      <c r="D1085" s="2">
        <f>COUNTA(Argument!E1085)</f>
        <v>1</v>
      </c>
      <c r="E1085" s="2" t="str">
        <f>IF(C1085,Return!D1085,Return!E1085)</f>
        <v>v</v>
      </c>
      <c r="F1085" s="2" t="str">
        <f t="shared" si="48"/>
        <v>v</v>
      </c>
      <c r="G1085" s="2" t="str">
        <f t="shared" si="50"/>
        <v>v</v>
      </c>
      <c r="H1085" s="2" t="str">
        <f t="shared" si="49"/>
        <v>, v, v</v>
      </c>
      <c r="I1085" s="2" t="str">
        <f>IF(Return!C1085=0,REPLACE(INDEX(H:H,ROW()+Return!B1085,),1,2,Return!E1085&amp;"(")&amp;")","")</f>
        <v/>
      </c>
      <c r="M1085" s="1"/>
    </row>
    <row r="1086" spans="1:13" x14ac:dyDescent="0.55000000000000004">
      <c r="A1086" s="1" t="s">
        <v>1783</v>
      </c>
      <c r="C1086" s="2">
        <f>Return!C1086</f>
        <v>0</v>
      </c>
      <c r="D1086" s="2">
        <f>COUNTA(Argument!E1086)</f>
        <v>0</v>
      </c>
      <c r="E1086" s="2" t="str">
        <f>IF(C1086,Return!D1086,Return!E1086)</f>
        <v>v</v>
      </c>
      <c r="F1086" s="2" t="str">
        <f t="shared" si="48"/>
        <v/>
      </c>
      <c r="G1086" s="2" t="str">
        <f t="shared" si="50"/>
        <v/>
      </c>
      <c r="H1086" s="2" t="str">
        <f t="shared" si="49"/>
        <v/>
      </c>
      <c r="I1086" s="2" t="str">
        <f>IF(Return!C1086=0,REPLACE(INDEX(H:H,ROW()+Return!B1086,),1,2,Return!E1086&amp;"(")&amp;")","")</f>
        <v>v(v, v, [v], [v], [v], [v], [v], [v], [v])</v>
      </c>
      <c r="M1086" s="1"/>
    </row>
    <row r="1087" spans="1:13" x14ac:dyDescent="0.55000000000000004">
      <c r="A1087" s="1" t="s">
        <v>1783</v>
      </c>
      <c r="B1087" t="s">
        <v>1987</v>
      </c>
      <c r="C1087" s="2">
        <f>Return!C1087</f>
        <v>1</v>
      </c>
      <c r="D1087" s="2">
        <f>COUNTA(Argument!E1087)</f>
        <v>0</v>
      </c>
      <c r="E1087" s="2" t="str">
        <f>IF(C1087,Return!D1087,Return!E1087)</f>
        <v>v</v>
      </c>
      <c r="F1087" s="2" t="str">
        <f t="shared" si="48"/>
        <v>v</v>
      </c>
      <c r="G1087" s="2" t="str">
        <f t="shared" si="50"/>
        <v>v</v>
      </c>
      <c r="H1087" s="2" t="str">
        <f t="shared" si="49"/>
        <v>, v</v>
      </c>
      <c r="I1087" s="2" t="str">
        <f>IF(Return!C1087=0,REPLACE(INDEX(H:H,ROW()+Return!B1087,),1,2,Return!E1087&amp;"(")&amp;")","")</f>
        <v/>
      </c>
      <c r="M1087" s="1"/>
    </row>
    <row r="1088" spans="1:13" x14ac:dyDescent="0.55000000000000004">
      <c r="A1088" s="1" t="s">
        <v>1783</v>
      </c>
      <c r="B1088" t="s">
        <v>1988</v>
      </c>
      <c r="C1088" s="2">
        <f>Return!C1088</f>
        <v>2</v>
      </c>
      <c r="D1088" s="2">
        <f>COUNTA(Argument!E1088)</f>
        <v>1</v>
      </c>
      <c r="E1088" s="2" t="str">
        <f>IF(C1088,Return!D1088,Return!E1088)</f>
        <v>v</v>
      </c>
      <c r="F1088" s="2" t="str">
        <f t="shared" si="48"/>
        <v>v</v>
      </c>
      <c r="G1088" s="2" t="str">
        <f t="shared" si="50"/>
        <v>v</v>
      </c>
      <c r="H1088" s="2" t="str">
        <f t="shared" si="49"/>
        <v>, v, v</v>
      </c>
      <c r="I1088" s="2" t="str">
        <f>IF(Return!C1088=0,REPLACE(INDEX(H:H,ROW()+Return!B1088,),1,2,Return!E1088&amp;"(")&amp;")","")</f>
        <v/>
      </c>
      <c r="M1088" s="1"/>
    </row>
    <row r="1089" spans="1:13" x14ac:dyDescent="0.55000000000000004">
      <c r="A1089" s="1" t="s">
        <v>1783</v>
      </c>
      <c r="B1089" t="s">
        <v>1989</v>
      </c>
      <c r="C1089" s="2">
        <f>Return!C1089</f>
        <v>3</v>
      </c>
      <c r="D1089" s="2">
        <f>COUNTA(Argument!E1089)</f>
        <v>1</v>
      </c>
      <c r="E1089" s="2" t="str">
        <f>IF(C1089,Return!D1089,Return!E1089)</f>
        <v>v</v>
      </c>
      <c r="F1089" s="2" t="str">
        <f t="shared" si="48"/>
        <v>[v]</v>
      </c>
      <c r="G1089" s="2" t="str">
        <f t="shared" si="50"/>
        <v>[v]</v>
      </c>
      <c r="H1089" s="2" t="str">
        <f t="shared" si="49"/>
        <v>, v, v, [v]</v>
      </c>
      <c r="I1089" s="2" t="str">
        <f>IF(Return!C1089=0,REPLACE(INDEX(H:H,ROW()+Return!B1089,),1,2,Return!E1089&amp;"(")&amp;")","")</f>
        <v/>
      </c>
      <c r="M1089" s="1"/>
    </row>
    <row r="1090" spans="1:13" x14ac:dyDescent="0.55000000000000004">
      <c r="A1090" s="1" t="s">
        <v>1783</v>
      </c>
      <c r="B1090" t="s">
        <v>1984</v>
      </c>
      <c r="C1090" s="2">
        <f>Return!C1090</f>
        <v>4</v>
      </c>
      <c r="D1090" s="2">
        <f>COUNTA(Argument!E1090)</f>
        <v>1</v>
      </c>
      <c r="E1090" s="2" t="str">
        <f>IF(C1090,Return!D1090,Return!E1090)</f>
        <v>v</v>
      </c>
      <c r="F1090" s="2" t="str">
        <f t="shared" si="48"/>
        <v>[v]</v>
      </c>
      <c r="G1090" s="2" t="str">
        <f t="shared" si="50"/>
        <v>[v]</v>
      </c>
      <c r="H1090" s="2" t="str">
        <f t="shared" si="49"/>
        <v>, v, v, [v], [v]</v>
      </c>
      <c r="I1090" s="2" t="str">
        <f>IF(Return!C1090=0,REPLACE(INDEX(H:H,ROW()+Return!B1090,),1,2,Return!E1090&amp;"(")&amp;")","")</f>
        <v/>
      </c>
      <c r="M1090" s="1"/>
    </row>
    <row r="1091" spans="1:13" x14ac:dyDescent="0.55000000000000004">
      <c r="A1091" s="1" t="s">
        <v>1783</v>
      </c>
      <c r="B1091" t="s">
        <v>1990</v>
      </c>
      <c r="C1091" s="2">
        <f>Return!C1091</f>
        <v>5</v>
      </c>
      <c r="D1091" s="2">
        <f>COUNTA(Argument!E1091)</f>
        <v>1</v>
      </c>
      <c r="E1091" s="2" t="str">
        <f>IF(C1091,Return!D1091,Return!E1091)</f>
        <v>v</v>
      </c>
      <c r="F1091" s="2" t="str">
        <f t="shared" ref="F1091:F1154" si="51">IF(C1091,IF(D1091,IF(D1090,"["&amp;E1091&amp;"]",E1091),E1091),"")</f>
        <v>[v]</v>
      </c>
      <c r="G1091" s="2" t="str">
        <f t="shared" si="50"/>
        <v>[v]</v>
      </c>
      <c r="H1091" s="2" t="str">
        <f t="shared" ref="H1091:H1154" si="52">IF(C1091&gt;0,H1090&amp;", "&amp;G1091,"")</f>
        <v>, v, v, [v], [v], [v]</v>
      </c>
      <c r="I1091" s="2" t="str">
        <f>IF(Return!C1091=0,REPLACE(INDEX(H:H,ROW()+Return!B1091,),1,2,Return!E1091&amp;"(")&amp;")","")</f>
        <v/>
      </c>
      <c r="M1091" s="1"/>
    </row>
    <row r="1092" spans="1:13" x14ac:dyDescent="0.55000000000000004">
      <c r="A1092" s="1" t="s">
        <v>1783</v>
      </c>
      <c r="B1092" t="s">
        <v>1991</v>
      </c>
      <c r="C1092" s="2">
        <f>Return!C1092</f>
        <v>6</v>
      </c>
      <c r="D1092" s="2">
        <f>COUNTA(Argument!E1092)</f>
        <v>1</v>
      </c>
      <c r="E1092" s="2" t="str">
        <f>IF(C1092,Return!D1092,Return!E1092)</f>
        <v>v</v>
      </c>
      <c r="F1092" s="2" t="str">
        <f t="shared" si="51"/>
        <v>[v]</v>
      </c>
      <c r="G1092" s="2" t="str">
        <f t="shared" ref="G1092:G1155" si="53">IF(B1092="...",IF(C1093&gt;0,"["&amp;E1092,"…"),IF(B1091=" ...",IF(C1092&gt;0,E1092&amp;"], …",F1092),F1092))</f>
        <v>[v]</v>
      </c>
      <c r="H1092" s="2" t="str">
        <f t="shared" si="52"/>
        <v>, v, v, [v], [v], [v], [v]</v>
      </c>
      <c r="I1092" s="2" t="str">
        <f>IF(Return!C1092=0,REPLACE(INDEX(H:H,ROW()+Return!B1092,),1,2,Return!E1092&amp;"(")&amp;")","")</f>
        <v/>
      </c>
      <c r="M1092" s="1"/>
    </row>
    <row r="1093" spans="1:13" x14ac:dyDescent="0.55000000000000004">
      <c r="A1093" s="1" t="s">
        <v>1783</v>
      </c>
      <c r="B1093" t="s">
        <v>1992</v>
      </c>
      <c r="C1093" s="2">
        <f>Return!C1093</f>
        <v>7</v>
      </c>
      <c r="D1093" s="2">
        <f>COUNTA(Argument!E1093)</f>
        <v>1</v>
      </c>
      <c r="E1093" s="2" t="str">
        <f>IF(C1093,Return!D1093,Return!E1093)</f>
        <v>v</v>
      </c>
      <c r="F1093" s="2" t="str">
        <f t="shared" si="51"/>
        <v>[v]</v>
      </c>
      <c r="G1093" s="2" t="str">
        <f t="shared" si="53"/>
        <v>[v]</v>
      </c>
      <c r="H1093" s="2" t="str">
        <f t="shared" si="52"/>
        <v>, v, v, [v], [v], [v], [v], [v]</v>
      </c>
      <c r="I1093" s="2" t="str">
        <f>IF(Return!C1093=0,REPLACE(INDEX(H:H,ROW()+Return!B1093,),1,2,Return!E1093&amp;"(")&amp;")","")</f>
        <v/>
      </c>
      <c r="M1093" s="1"/>
    </row>
    <row r="1094" spans="1:13" x14ac:dyDescent="0.55000000000000004">
      <c r="A1094" s="1" t="s">
        <v>1783</v>
      </c>
      <c r="B1094" t="s">
        <v>1993</v>
      </c>
      <c r="C1094" s="2">
        <f>Return!C1094</f>
        <v>8</v>
      </c>
      <c r="D1094" s="2">
        <f>COUNTA(Argument!E1094)</f>
        <v>1</v>
      </c>
      <c r="E1094" s="2" t="str">
        <f>IF(C1094,Return!D1094,Return!E1094)</f>
        <v>v</v>
      </c>
      <c r="F1094" s="2" t="str">
        <f t="shared" si="51"/>
        <v>[v]</v>
      </c>
      <c r="G1094" s="2" t="str">
        <f t="shared" si="53"/>
        <v>[v]</v>
      </c>
      <c r="H1094" s="2" t="str">
        <f t="shared" si="52"/>
        <v>, v, v, [v], [v], [v], [v], [v], [v]</v>
      </c>
      <c r="I1094" s="2" t="str">
        <f>IF(Return!C1094=0,REPLACE(INDEX(H:H,ROW()+Return!B1094,),1,2,Return!E1094&amp;"(")&amp;")","")</f>
        <v/>
      </c>
      <c r="M1094" s="1"/>
    </row>
    <row r="1095" spans="1:13" x14ac:dyDescent="0.55000000000000004">
      <c r="A1095" s="1" t="s">
        <v>1783</v>
      </c>
      <c r="B1095" t="s">
        <v>1244</v>
      </c>
      <c r="C1095" s="2">
        <f>Return!C1095</f>
        <v>9</v>
      </c>
      <c r="D1095" s="2">
        <f>COUNTA(Argument!E1095)</f>
        <v>1</v>
      </c>
      <c r="E1095" s="2" t="str">
        <f>IF(C1095,Return!D1095,Return!E1095)</f>
        <v>v</v>
      </c>
      <c r="F1095" s="2" t="str">
        <f t="shared" si="51"/>
        <v>[v]</v>
      </c>
      <c r="G1095" s="2" t="str">
        <f t="shared" si="53"/>
        <v>[v]</v>
      </c>
      <c r="H1095" s="2" t="str">
        <f t="shared" si="52"/>
        <v>, v, v, [v], [v], [v], [v], [v], [v], [v]</v>
      </c>
      <c r="I1095" s="2" t="str">
        <f>IF(Return!C1095=0,REPLACE(INDEX(H:H,ROW()+Return!B1095,),1,2,Return!E1095&amp;"(")&amp;")","")</f>
        <v/>
      </c>
      <c r="M1095" s="1"/>
    </row>
    <row r="1096" spans="1:13" x14ac:dyDescent="0.55000000000000004">
      <c r="A1096" s="1" t="s">
        <v>1784</v>
      </c>
      <c r="C1096" s="2">
        <f>Return!C1096</f>
        <v>0</v>
      </c>
      <c r="D1096" s="2">
        <f>COUNTA(Argument!E1096)</f>
        <v>0</v>
      </c>
      <c r="E1096" s="2" t="str">
        <f>IF(C1096,Return!D1096,Return!E1096)</f>
        <v>va</v>
      </c>
      <c r="F1096" s="2" t="str">
        <f t="shared" si="51"/>
        <v/>
      </c>
      <c r="G1096" s="2" t="str">
        <f t="shared" si="53"/>
        <v/>
      </c>
      <c r="H1096" s="2" t="str">
        <f t="shared" si="52"/>
        <v/>
      </c>
      <c r="I1096" s="2" t="str">
        <f>IF(Return!C1096=0,REPLACE(INDEX(H:H,ROW()+Return!B1096,),1,2,Return!E1096&amp;"(")&amp;")","")</f>
        <v>va(v, [v])</v>
      </c>
      <c r="M1096" s="1"/>
    </row>
    <row r="1097" spans="1:13" x14ac:dyDescent="0.55000000000000004">
      <c r="A1097" s="1" t="s">
        <v>1784</v>
      </c>
      <c r="B1097" t="s">
        <v>1921</v>
      </c>
      <c r="C1097" s="2">
        <f>Return!C1097</f>
        <v>1</v>
      </c>
      <c r="D1097" s="2">
        <f>COUNTA(Argument!E1097)</f>
        <v>1</v>
      </c>
      <c r="E1097" s="2" t="str">
        <f>IF(C1097,Return!D1097,Return!E1097)</f>
        <v>v</v>
      </c>
      <c r="F1097" s="2" t="str">
        <f t="shared" si="51"/>
        <v>v</v>
      </c>
      <c r="G1097" s="2" t="str">
        <f t="shared" si="53"/>
        <v>v</v>
      </c>
      <c r="H1097" s="2" t="str">
        <f t="shared" si="52"/>
        <v>, v</v>
      </c>
      <c r="I1097" s="2" t="str">
        <f>IF(Return!C1097=0,REPLACE(INDEX(H:H,ROW()+Return!B1097,),1,2,Return!E1097&amp;"(")&amp;")","")</f>
        <v/>
      </c>
      <c r="M1097" s="1"/>
    </row>
    <row r="1098" spans="1:13" x14ac:dyDescent="0.55000000000000004">
      <c r="A1098" s="1" t="s">
        <v>1784</v>
      </c>
      <c r="B1098" t="s">
        <v>2035</v>
      </c>
      <c r="C1098" s="2">
        <f>Return!C1098</f>
        <v>2</v>
      </c>
      <c r="D1098" s="2">
        <f>COUNTA(Argument!E1098)</f>
        <v>1</v>
      </c>
      <c r="E1098" s="2" t="str">
        <f>IF(C1098,Return!D1098,Return!E1098)</f>
        <v>v</v>
      </c>
      <c r="F1098" s="2" t="str">
        <f t="shared" si="51"/>
        <v>[v]</v>
      </c>
      <c r="G1098" s="2" t="str">
        <f t="shared" si="53"/>
        <v>[v]</v>
      </c>
      <c r="H1098" s="2" t="str">
        <f t="shared" si="52"/>
        <v>, v, [v]</v>
      </c>
      <c r="I1098" s="2" t="str">
        <f>IF(Return!C1098=0,REPLACE(INDEX(H:H,ROW()+Return!B1098,),1,2,Return!E1098&amp;"(")&amp;")","")</f>
        <v/>
      </c>
      <c r="M1098" s="1"/>
    </row>
    <row r="1099" spans="1:13" x14ac:dyDescent="0.55000000000000004">
      <c r="A1099" s="1" t="s">
        <v>1785</v>
      </c>
      <c r="C1099" s="2">
        <f>Return!C1099</f>
        <v>0</v>
      </c>
      <c r="D1099" s="2">
        <f>COUNTA(Argument!E1099)</f>
        <v>0</v>
      </c>
      <c r="E1099" s="2" t="str">
        <f>IF(C1099,Return!D1099,Return!E1099)</f>
        <v>va</v>
      </c>
      <c r="F1099" s="2" t="str">
        <f t="shared" si="51"/>
        <v/>
      </c>
      <c r="G1099" s="2" t="str">
        <f t="shared" si="53"/>
        <v/>
      </c>
      <c r="H1099" s="2" t="str">
        <f t="shared" si="52"/>
        <v/>
      </c>
      <c r="I1099" s="2" t="str">
        <f>IF(Return!C1099=0,REPLACE(INDEX(H:H,ROW()+Return!B1099,),1,2,Return!E1099&amp;"(")&amp;")","")</f>
        <v>va(v, [v], [v])</v>
      </c>
      <c r="M1099" s="1"/>
    </row>
    <row r="1100" spans="1:13" x14ac:dyDescent="0.55000000000000004">
      <c r="A1100" s="1" t="s">
        <v>1785</v>
      </c>
      <c r="B1100" t="s">
        <v>1921</v>
      </c>
      <c r="C1100" s="2">
        <f>Return!C1100</f>
        <v>1</v>
      </c>
      <c r="D1100" s="2">
        <f>COUNTA(Argument!E1100)</f>
        <v>1</v>
      </c>
      <c r="E1100" s="2" t="str">
        <f>IF(C1100,Return!D1100,Return!E1100)</f>
        <v>v</v>
      </c>
      <c r="F1100" s="2" t="str">
        <f t="shared" si="51"/>
        <v>v</v>
      </c>
      <c r="G1100" s="2" t="str">
        <f t="shared" si="53"/>
        <v>v</v>
      </c>
      <c r="H1100" s="2" t="str">
        <f t="shared" si="52"/>
        <v>, v</v>
      </c>
      <c r="I1100" s="2" t="str">
        <f>IF(Return!C1100=0,REPLACE(INDEX(H:H,ROW()+Return!B1100,),1,2,Return!E1100&amp;"(")&amp;")","")</f>
        <v/>
      </c>
      <c r="M1100" s="1"/>
    </row>
    <row r="1101" spans="1:13" x14ac:dyDescent="0.55000000000000004">
      <c r="A1101" s="1" t="s">
        <v>1785</v>
      </c>
      <c r="B1101" t="s">
        <v>1988</v>
      </c>
      <c r="C1101" s="2">
        <f>Return!C1101</f>
        <v>2</v>
      </c>
      <c r="D1101" s="2">
        <f>COUNTA(Argument!E1101)</f>
        <v>1</v>
      </c>
      <c r="E1101" s="2" t="str">
        <f>IF(C1101,Return!D1101,Return!E1101)</f>
        <v>v</v>
      </c>
      <c r="F1101" s="2" t="str">
        <f t="shared" si="51"/>
        <v>[v]</v>
      </c>
      <c r="G1101" s="2" t="str">
        <f t="shared" si="53"/>
        <v>[v]</v>
      </c>
      <c r="H1101" s="2" t="str">
        <f t="shared" si="52"/>
        <v>, v, [v]</v>
      </c>
      <c r="I1101" s="2" t="str">
        <f>IF(Return!C1101=0,REPLACE(INDEX(H:H,ROW()+Return!B1101,),1,2,Return!E1101&amp;"(")&amp;")","")</f>
        <v/>
      </c>
      <c r="M1101" s="1"/>
    </row>
    <row r="1102" spans="1:13" x14ac:dyDescent="0.55000000000000004">
      <c r="A1102" s="1" t="s">
        <v>1785</v>
      </c>
      <c r="B1102" t="s">
        <v>2035</v>
      </c>
      <c r="C1102" s="2">
        <f>Return!C1102</f>
        <v>3</v>
      </c>
      <c r="D1102" s="2">
        <f>COUNTA(Argument!E1102)</f>
        <v>1</v>
      </c>
      <c r="E1102" s="2" t="str">
        <f>IF(C1102,Return!D1102,Return!E1102)</f>
        <v>v</v>
      </c>
      <c r="F1102" s="2" t="str">
        <f t="shared" si="51"/>
        <v>[v]</v>
      </c>
      <c r="G1102" s="2" t="str">
        <f t="shared" si="53"/>
        <v>[v]</v>
      </c>
      <c r="H1102" s="2" t="str">
        <f t="shared" si="52"/>
        <v>, v, [v], [v]</v>
      </c>
      <c r="I1102" s="2" t="str">
        <f>IF(Return!C1102=0,REPLACE(INDEX(H:H,ROW()+Return!B1102,),1,2,Return!E1102&amp;"(")&amp;")","")</f>
        <v/>
      </c>
      <c r="M1102" s="1"/>
    </row>
    <row r="1103" spans="1:13" x14ac:dyDescent="0.55000000000000004">
      <c r="A1103" s="1" t="s">
        <v>1786</v>
      </c>
      <c r="C1103" s="2">
        <f>Return!C1103</f>
        <v>0</v>
      </c>
      <c r="D1103" s="2">
        <f>COUNTA(Argument!E1103)</f>
        <v>0</v>
      </c>
      <c r="E1103" s="2" t="str">
        <f>IF(C1103,Return!D1103,Return!E1103)</f>
        <v>v</v>
      </c>
      <c r="F1103" s="2" t="str">
        <f t="shared" si="51"/>
        <v/>
      </c>
      <c r="G1103" s="2" t="str">
        <f t="shared" si="53"/>
        <v/>
      </c>
      <c r="H1103" s="2" t="str">
        <f t="shared" si="52"/>
        <v/>
      </c>
      <c r="I1103" s="2" t="str">
        <f>IF(Return!C1103=0,REPLACE(INDEX(H:H,ROW()+Return!B1103,),1,2,Return!E1103&amp;"(")&amp;")","")</f>
        <v>v(v, [v], [v], [v])</v>
      </c>
      <c r="M1103" s="1"/>
    </row>
    <row r="1104" spans="1:13" x14ac:dyDescent="0.55000000000000004">
      <c r="A1104" s="1" t="s">
        <v>1786</v>
      </c>
      <c r="B1104" t="s">
        <v>1921</v>
      </c>
      <c r="C1104" s="2">
        <f>Return!C1104</f>
        <v>1</v>
      </c>
      <c r="D1104" s="2">
        <f>COUNTA(Argument!E1104)</f>
        <v>1</v>
      </c>
      <c r="E1104" s="2" t="str">
        <f>IF(C1104,Return!D1104,Return!E1104)</f>
        <v>v</v>
      </c>
      <c r="F1104" s="2" t="str">
        <f t="shared" si="51"/>
        <v>v</v>
      </c>
      <c r="G1104" s="2" t="str">
        <f t="shared" si="53"/>
        <v>v</v>
      </c>
      <c r="H1104" s="2" t="str">
        <f t="shared" si="52"/>
        <v>, v</v>
      </c>
      <c r="I1104" s="2" t="str">
        <f>IF(Return!C1104=0,REPLACE(INDEX(H:H,ROW()+Return!B1104,),1,2,Return!E1104&amp;"(")&amp;")","")</f>
        <v/>
      </c>
      <c r="M1104" s="1"/>
    </row>
    <row r="1105" spans="1:13" x14ac:dyDescent="0.55000000000000004">
      <c r="A1105" s="1" t="s">
        <v>1786</v>
      </c>
      <c r="B1105" t="s">
        <v>1994</v>
      </c>
      <c r="C1105" s="2">
        <f>Return!C1105</f>
        <v>2</v>
      </c>
      <c r="D1105" s="2">
        <f>COUNTA(Argument!E1105)</f>
        <v>1</v>
      </c>
      <c r="E1105" s="2" t="str">
        <f>IF(C1105,Return!D1105,Return!E1105)</f>
        <v>v</v>
      </c>
      <c r="F1105" s="2" t="str">
        <f t="shared" si="51"/>
        <v>[v]</v>
      </c>
      <c r="G1105" s="2" t="str">
        <f t="shared" si="53"/>
        <v>[v]</v>
      </c>
      <c r="H1105" s="2" t="str">
        <f t="shared" si="52"/>
        <v>, v, [v]</v>
      </c>
      <c r="I1105" s="2" t="str">
        <f>IF(Return!C1105=0,REPLACE(INDEX(H:H,ROW()+Return!B1105,),1,2,Return!E1105&amp;"(")&amp;")","")</f>
        <v/>
      </c>
      <c r="M1105" s="1"/>
    </row>
    <row r="1106" spans="1:13" x14ac:dyDescent="0.55000000000000004">
      <c r="A1106" s="1" t="s">
        <v>1786</v>
      </c>
      <c r="B1106" t="s">
        <v>1988</v>
      </c>
      <c r="C1106" s="2">
        <f>Return!C1106</f>
        <v>3</v>
      </c>
      <c r="D1106" s="2">
        <f>COUNTA(Argument!E1106)</f>
        <v>1</v>
      </c>
      <c r="E1106" s="2" t="str">
        <f>IF(C1106,Return!D1106,Return!E1106)</f>
        <v>v</v>
      </c>
      <c r="F1106" s="2" t="str">
        <f t="shared" si="51"/>
        <v>[v]</v>
      </c>
      <c r="G1106" s="2" t="str">
        <f t="shared" si="53"/>
        <v>[v]</v>
      </c>
      <c r="H1106" s="2" t="str">
        <f t="shared" si="52"/>
        <v>, v, [v], [v]</v>
      </c>
      <c r="I1106" s="2" t="str">
        <f>IF(Return!C1106=0,REPLACE(INDEX(H:H,ROW()+Return!B1106,),1,2,Return!E1106&amp;"(")&amp;")","")</f>
        <v/>
      </c>
      <c r="M1106" s="1"/>
    </row>
    <row r="1107" spans="1:13" x14ac:dyDescent="0.55000000000000004">
      <c r="A1107" s="1" t="s">
        <v>1786</v>
      </c>
      <c r="B1107" t="s">
        <v>2035</v>
      </c>
      <c r="C1107" s="2">
        <f>Return!C1107</f>
        <v>4</v>
      </c>
      <c r="D1107" s="2">
        <f>COUNTA(Argument!E1107)</f>
        <v>1</v>
      </c>
      <c r="E1107" s="2" t="str">
        <f>IF(C1107,Return!D1107,Return!E1107)</f>
        <v>v</v>
      </c>
      <c r="F1107" s="2" t="str">
        <f t="shared" si="51"/>
        <v>[v]</v>
      </c>
      <c r="G1107" s="2" t="str">
        <f t="shared" si="53"/>
        <v>[v]</v>
      </c>
      <c r="H1107" s="2" t="str">
        <f t="shared" si="52"/>
        <v>, v, [v], [v], [v]</v>
      </c>
      <c r="I1107" s="2" t="str">
        <f>IF(Return!C1107=0,REPLACE(INDEX(H:H,ROW()+Return!B1107,),1,2,Return!E1107&amp;"(")&amp;")","")</f>
        <v/>
      </c>
      <c r="M1107" s="1"/>
    </row>
    <row r="1108" spans="1:13" x14ac:dyDescent="0.55000000000000004">
      <c r="A1108" s="1" t="s">
        <v>1787</v>
      </c>
      <c r="C1108" s="2">
        <f>Return!C1108</f>
        <v>0</v>
      </c>
      <c r="D1108" s="2">
        <f>COUNTA(Argument!E1108)</f>
        <v>0</v>
      </c>
      <c r="E1108" s="2" t="str">
        <f>IF(C1108,Return!D1108,Return!E1108)</f>
        <v>v</v>
      </c>
      <c r="F1108" s="2" t="str">
        <f t="shared" si="51"/>
        <v/>
      </c>
      <c r="G1108" s="2" t="str">
        <f t="shared" si="53"/>
        <v/>
      </c>
      <c r="H1108" s="2" t="str">
        <f t="shared" si="52"/>
        <v/>
      </c>
      <c r="I1108" s="2" t="str">
        <f>IF(Return!C1108=0,REPLACE(INDEX(H:H,ROW()+Return!B1108,),1,2,Return!E1108&amp;"(")&amp;")","")</f>
        <v>v(v)</v>
      </c>
      <c r="M1108" s="1"/>
    </row>
    <row r="1109" spans="1:13" x14ac:dyDescent="0.55000000000000004">
      <c r="A1109" s="1" t="s">
        <v>1787</v>
      </c>
      <c r="B1109" t="s">
        <v>1356</v>
      </c>
      <c r="C1109" s="2">
        <f>Return!C1109</f>
        <v>1</v>
      </c>
      <c r="D1109" s="2">
        <f>COUNTA(Argument!E1109)</f>
        <v>1</v>
      </c>
      <c r="E1109" s="2" t="str">
        <f>IF(C1109,Return!D1109,Return!E1109)</f>
        <v>v</v>
      </c>
      <c r="F1109" s="2" t="str">
        <f t="shared" si="51"/>
        <v>v</v>
      </c>
      <c r="G1109" s="2" t="str">
        <f t="shared" si="53"/>
        <v>v</v>
      </c>
      <c r="H1109" s="2" t="str">
        <f t="shared" si="52"/>
        <v>, v</v>
      </c>
      <c r="I1109" s="2" t="str">
        <f>IF(Return!C1109=0,REPLACE(INDEX(H:H,ROW()+Return!B1109,),1,2,Return!E1109&amp;"(")&amp;")","")</f>
        <v/>
      </c>
      <c r="M1109" s="1"/>
    </row>
    <row r="1110" spans="1:13" x14ac:dyDescent="0.55000000000000004">
      <c r="A1110" s="1" t="s">
        <v>1788</v>
      </c>
      <c r="C1110" s="2">
        <f>Return!C1110</f>
        <v>0</v>
      </c>
      <c r="D1110" s="2">
        <f>COUNTA(Argument!E1110)</f>
        <v>0</v>
      </c>
      <c r="E1110" s="2" t="str">
        <f>IF(C1110,Return!D1110,Return!E1110)</f>
        <v>v</v>
      </c>
      <c r="F1110" s="2" t="str">
        <f t="shared" si="51"/>
        <v/>
      </c>
      <c r="G1110" s="2" t="str">
        <f t="shared" si="53"/>
        <v/>
      </c>
      <c r="H1110" s="2" t="str">
        <f t="shared" si="52"/>
        <v/>
      </c>
      <c r="I1110" s="2" t="str">
        <f>IF(Return!C1110=0,REPLACE(INDEX(H:H,ROW()+Return!B1110,),1,2,Return!E1110&amp;"(")&amp;")","")</f>
        <v>v(v)</v>
      </c>
      <c r="M1110" s="1"/>
    </row>
    <row r="1111" spans="1:13" x14ac:dyDescent="0.55000000000000004">
      <c r="A1111" s="1" t="s">
        <v>1788</v>
      </c>
      <c r="B1111" t="s">
        <v>1356</v>
      </c>
      <c r="C1111" s="2">
        <f>Return!C1111</f>
        <v>1</v>
      </c>
      <c r="D1111" s="2">
        <f>COUNTA(Argument!E1111)</f>
        <v>1</v>
      </c>
      <c r="E1111" s="2" t="str">
        <f>IF(C1111,Return!D1111,Return!E1111)</f>
        <v>v</v>
      </c>
      <c r="F1111" s="2" t="str">
        <f t="shared" si="51"/>
        <v>v</v>
      </c>
      <c r="G1111" s="2" t="str">
        <f t="shared" si="53"/>
        <v>v</v>
      </c>
      <c r="H1111" s="2" t="str">
        <f t="shared" si="52"/>
        <v>, v</v>
      </c>
      <c r="I1111" s="2" t="str">
        <f>IF(Return!C1111=0,REPLACE(INDEX(H:H,ROW()+Return!B1111,),1,2,Return!E1111&amp;"(")&amp;")","")</f>
        <v/>
      </c>
      <c r="M1111" s="1"/>
    </row>
    <row r="1112" spans="1:13" x14ac:dyDescent="0.55000000000000004">
      <c r="A1112" s="1" t="s">
        <v>1789</v>
      </c>
      <c r="C1112" s="2">
        <f>Return!C1112</f>
        <v>0</v>
      </c>
      <c r="D1112" s="2">
        <f>COUNTA(Argument!E1112)</f>
        <v>0</v>
      </c>
      <c r="E1112" s="2" t="str">
        <f>IF(C1112,Return!D1112,Return!E1112)</f>
        <v>v</v>
      </c>
      <c r="F1112" s="2" t="str">
        <f t="shared" si="51"/>
        <v/>
      </c>
      <c r="G1112" s="2" t="str">
        <f t="shared" si="53"/>
        <v/>
      </c>
      <c r="H1112" s="2" t="str">
        <f t="shared" si="52"/>
        <v/>
      </c>
      <c r="I1112" s="2" t="str">
        <f>IF(Return!C1112=0,REPLACE(INDEX(H:H,ROW()+Return!B1112,),1,2,Return!E1112&amp;"(")&amp;")","")</f>
        <v>v(v, r, …)</v>
      </c>
      <c r="M1112" s="1"/>
    </row>
    <row r="1113" spans="1:13" x14ac:dyDescent="0.55000000000000004">
      <c r="A1113" s="1" t="s">
        <v>1789</v>
      </c>
      <c r="B1113" t="s">
        <v>1357</v>
      </c>
      <c r="C1113" s="2">
        <f>Return!C1113</f>
        <v>1</v>
      </c>
      <c r="D1113" s="2">
        <f>COUNTA(Argument!E1113)</f>
        <v>0</v>
      </c>
      <c r="E1113" s="2" t="str">
        <f>IF(C1113,Return!D1113,Return!E1113)</f>
        <v>v</v>
      </c>
      <c r="F1113" s="2" t="str">
        <f t="shared" si="51"/>
        <v>v</v>
      </c>
      <c r="G1113" s="2" t="str">
        <f t="shared" si="53"/>
        <v>v</v>
      </c>
      <c r="H1113" s="2" t="str">
        <f t="shared" si="52"/>
        <v>, v</v>
      </c>
      <c r="I1113" s="2" t="str">
        <f>IF(Return!C1113=0,REPLACE(INDEX(H:H,ROW()+Return!B1113,),1,2,Return!E1113&amp;"(")&amp;")","")</f>
        <v/>
      </c>
      <c r="M1113" s="1"/>
    </row>
    <row r="1114" spans="1:13" x14ac:dyDescent="0.55000000000000004">
      <c r="A1114" s="1" t="s">
        <v>1789</v>
      </c>
      <c r="B1114" t="s">
        <v>1358</v>
      </c>
      <c r="C1114" s="2">
        <f>Return!C1114</f>
        <v>2</v>
      </c>
      <c r="D1114" s="2">
        <f>COUNTA(Argument!E1114)</f>
        <v>1</v>
      </c>
      <c r="E1114" s="2" t="str">
        <f>IF(C1114,Return!D1114,Return!E1114)</f>
        <v>r</v>
      </c>
      <c r="F1114" s="2" t="str">
        <f t="shared" si="51"/>
        <v>r</v>
      </c>
      <c r="G1114" s="2" t="str">
        <f t="shared" si="53"/>
        <v>r</v>
      </c>
      <c r="H1114" s="2" t="str">
        <f t="shared" si="52"/>
        <v>, v, r</v>
      </c>
      <c r="I1114" s="2" t="str">
        <f>IF(Return!C1114=0,REPLACE(INDEX(H:H,ROW()+Return!B1114,),1,2,Return!E1114&amp;"(")&amp;")","")</f>
        <v/>
      </c>
      <c r="M1114" s="1"/>
    </row>
    <row r="1115" spans="1:13" x14ac:dyDescent="0.55000000000000004">
      <c r="A1115" s="1" t="s">
        <v>1789</v>
      </c>
      <c r="B1115" t="s">
        <v>1214</v>
      </c>
      <c r="C1115" s="2">
        <f>Return!C1115</f>
        <v>3</v>
      </c>
      <c r="D1115" s="2">
        <f>COUNTA(Argument!E1115)</f>
        <v>1</v>
      </c>
      <c r="E1115" s="2" t="str">
        <f>IF(C1115,Return!D1115,Return!E1115)</f>
        <v>r</v>
      </c>
      <c r="F1115" s="2" t="str">
        <f t="shared" si="51"/>
        <v>[r]</v>
      </c>
      <c r="G1115" s="2" t="str">
        <f t="shared" si="53"/>
        <v>…</v>
      </c>
      <c r="H1115" s="2" t="str">
        <f t="shared" si="52"/>
        <v>, v, r, …</v>
      </c>
      <c r="I1115" s="2" t="str">
        <f>IF(Return!C1115=0,REPLACE(INDEX(H:H,ROW()+Return!B1115,),1,2,Return!E1115&amp;"(")&amp;")","")</f>
        <v/>
      </c>
      <c r="M1115" s="1"/>
    </row>
    <row r="1116" spans="1:13" x14ac:dyDescent="0.55000000000000004">
      <c r="A1116" s="1" t="s">
        <v>1790</v>
      </c>
      <c r="C1116" s="2">
        <f>Return!C1116</f>
        <v>0</v>
      </c>
      <c r="D1116" s="2">
        <f>COUNTA(Argument!E1116)</f>
        <v>0</v>
      </c>
      <c r="E1116" s="2" t="str">
        <f>IF(C1116,Return!D1116,Return!E1116)</f>
        <v>v</v>
      </c>
      <c r="F1116" s="2" t="str">
        <f t="shared" si="51"/>
        <v/>
      </c>
      <c r="G1116" s="2" t="str">
        <f t="shared" si="53"/>
        <v/>
      </c>
      <c r="H1116" s="2" t="str">
        <f t="shared" si="52"/>
        <v/>
      </c>
      <c r="I1116" s="2" t="str">
        <f>IF(Return!C1116=0,REPLACE(INDEX(H:H,ROW()+Return!B1116,),1,2,Return!E1116&amp;"(")&amp;")","")</f>
        <v>v(r, v, [r])</v>
      </c>
      <c r="M1116" s="1"/>
    </row>
    <row r="1117" spans="1:13" x14ac:dyDescent="0.55000000000000004">
      <c r="A1117" s="1" t="s">
        <v>1790</v>
      </c>
      <c r="B1117" t="s">
        <v>1359</v>
      </c>
      <c r="C1117" s="2">
        <f>Return!C1117</f>
        <v>1</v>
      </c>
      <c r="D1117" s="2">
        <f>COUNTA(Argument!E1117)</f>
        <v>0</v>
      </c>
      <c r="E1117" s="2" t="str">
        <f>IF(C1117,Return!D1117,Return!E1117)</f>
        <v>r</v>
      </c>
      <c r="F1117" s="2" t="str">
        <f t="shared" si="51"/>
        <v>r</v>
      </c>
      <c r="G1117" s="2" t="str">
        <f t="shared" si="53"/>
        <v>r</v>
      </c>
      <c r="H1117" s="2" t="str">
        <f t="shared" si="52"/>
        <v>, r</v>
      </c>
      <c r="I1117" s="2" t="str">
        <f>IF(Return!C1117=0,REPLACE(INDEX(H:H,ROW()+Return!B1117,),1,2,Return!E1117&amp;"(")&amp;")","")</f>
        <v/>
      </c>
      <c r="M1117" s="1"/>
    </row>
    <row r="1118" spans="1:13" x14ac:dyDescent="0.55000000000000004">
      <c r="A1118" s="1" t="s">
        <v>1790</v>
      </c>
      <c r="B1118" t="s">
        <v>1243</v>
      </c>
      <c r="C1118" s="2">
        <f>Return!C1118</f>
        <v>2</v>
      </c>
      <c r="D1118" s="2">
        <f>COUNTA(Argument!E1118)</f>
        <v>1</v>
      </c>
      <c r="E1118" s="2" t="str">
        <f>IF(C1118,Return!D1118,Return!E1118)</f>
        <v>v</v>
      </c>
      <c r="F1118" s="2" t="str">
        <f t="shared" si="51"/>
        <v>v</v>
      </c>
      <c r="G1118" s="2" t="str">
        <f t="shared" si="53"/>
        <v>v</v>
      </c>
      <c r="H1118" s="2" t="str">
        <f t="shared" si="52"/>
        <v>, r, v</v>
      </c>
      <c r="I1118" s="2" t="str">
        <f>IF(Return!C1118=0,REPLACE(INDEX(H:H,ROW()+Return!B1118,),1,2,Return!E1118&amp;"(")&amp;")","")</f>
        <v/>
      </c>
      <c r="M1118" s="1"/>
    </row>
    <row r="1119" spans="1:13" x14ac:dyDescent="0.55000000000000004">
      <c r="A1119" s="1" t="s">
        <v>1790</v>
      </c>
      <c r="B1119" t="s">
        <v>1360</v>
      </c>
      <c r="C1119" s="2">
        <f>Return!C1119</f>
        <v>3</v>
      </c>
      <c r="D1119" s="2">
        <f>COUNTA(Argument!E1119)</f>
        <v>1</v>
      </c>
      <c r="E1119" s="2" t="str">
        <f>IF(C1119,Return!D1119,Return!E1119)</f>
        <v>r</v>
      </c>
      <c r="F1119" s="2" t="str">
        <f t="shared" si="51"/>
        <v>[r]</v>
      </c>
      <c r="G1119" s="2" t="str">
        <f t="shared" si="53"/>
        <v>[r]</v>
      </c>
      <c r="H1119" s="2" t="str">
        <f t="shared" si="52"/>
        <v>, r, v, [r]</v>
      </c>
      <c r="I1119" s="2" t="str">
        <f>IF(Return!C1119=0,REPLACE(INDEX(H:H,ROW()+Return!B1119,),1,2,Return!E1119&amp;"(")&amp;")","")</f>
        <v/>
      </c>
      <c r="M1119" s="1"/>
    </row>
    <row r="1120" spans="1:13" x14ac:dyDescent="0.55000000000000004">
      <c r="A1120" s="1" t="s">
        <v>1791</v>
      </c>
      <c r="C1120" s="2">
        <f>Return!C1120</f>
        <v>0</v>
      </c>
      <c r="D1120" s="2">
        <f>COUNTA(Argument!E1120)</f>
        <v>0</v>
      </c>
      <c r="E1120" s="2" t="str">
        <f>IF(C1120,Return!D1120,Return!E1120)</f>
        <v>v</v>
      </c>
      <c r="F1120" s="2" t="str">
        <f t="shared" si="51"/>
        <v/>
      </c>
      <c r="G1120" s="2" t="str">
        <f t="shared" si="53"/>
        <v/>
      </c>
      <c r="H1120" s="2" t="str">
        <f t="shared" si="52"/>
        <v/>
      </c>
      <c r="I1120" s="2" t="str">
        <f>IF(Return!C1120=0,REPLACE(INDEX(H:H,ROW()+Return!B1120,),1,2,Return!E1120&amp;"(")&amp;")","")</f>
        <v>v(r, v)</v>
      </c>
      <c r="M1120" s="1"/>
    </row>
    <row r="1121" spans="1:13" x14ac:dyDescent="0.55000000000000004">
      <c r="A1121" s="1" t="s">
        <v>1791</v>
      </c>
      <c r="B1121" t="s">
        <v>1359</v>
      </c>
      <c r="C1121" s="2">
        <f>Return!C1121</f>
        <v>1</v>
      </c>
      <c r="D1121" s="2">
        <f>COUNTA(Argument!E1121)</f>
        <v>0</v>
      </c>
      <c r="E1121" s="2" t="str">
        <f>IF(C1121,Return!D1121,Return!E1121)</f>
        <v>r</v>
      </c>
      <c r="F1121" s="2" t="str">
        <f t="shared" si="51"/>
        <v>r</v>
      </c>
      <c r="G1121" s="2" t="str">
        <f t="shared" si="53"/>
        <v>r</v>
      </c>
      <c r="H1121" s="2" t="str">
        <f t="shared" si="52"/>
        <v>, r</v>
      </c>
      <c r="I1121" s="2" t="str">
        <f>IF(Return!C1121=0,REPLACE(INDEX(H:H,ROW()+Return!B1121,),1,2,Return!E1121&amp;"(")&amp;")","")</f>
        <v/>
      </c>
      <c r="M1121" s="1"/>
    </row>
    <row r="1122" spans="1:13" x14ac:dyDescent="0.55000000000000004">
      <c r="A1122" s="1" t="s">
        <v>1791</v>
      </c>
      <c r="B1122" t="s">
        <v>1243</v>
      </c>
      <c r="C1122" s="2">
        <f>Return!C1122</f>
        <v>2</v>
      </c>
      <c r="D1122" s="2">
        <f>COUNTA(Argument!E1122)</f>
        <v>1</v>
      </c>
      <c r="E1122" s="2" t="str">
        <f>IF(C1122,Return!D1122,Return!E1122)</f>
        <v>v</v>
      </c>
      <c r="F1122" s="2" t="str">
        <f t="shared" si="51"/>
        <v>v</v>
      </c>
      <c r="G1122" s="2" t="str">
        <f t="shared" si="53"/>
        <v>v</v>
      </c>
      <c r="H1122" s="2" t="str">
        <f t="shared" si="52"/>
        <v>, r, v</v>
      </c>
      <c r="I1122" s="2" t="str">
        <f>IF(Return!C1122=0,REPLACE(INDEX(H:H,ROW()+Return!B1122,),1,2,Return!E1122&amp;"(")&amp;")","")</f>
        <v/>
      </c>
      <c r="M1122" s="1"/>
    </row>
    <row r="1123" spans="1:13" x14ac:dyDescent="0.55000000000000004">
      <c r="A1123" s="1" t="s">
        <v>1792</v>
      </c>
      <c r="C1123" s="2">
        <f>Return!C1123</f>
        <v>0</v>
      </c>
      <c r="D1123" s="2">
        <f>COUNTA(Argument!E1123)</f>
        <v>0</v>
      </c>
      <c r="E1123" s="2" t="str">
        <f>IF(C1123,Return!D1123,Return!E1123)</f>
        <v>v</v>
      </c>
      <c r="F1123" s="2" t="str">
        <f t="shared" si="51"/>
        <v/>
      </c>
      <c r="G1123" s="2" t="str">
        <f t="shared" si="53"/>
        <v/>
      </c>
      <c r="H1123" s="2" t="str">
        <f t="shared" si="52"/>
        <v/>
      </c>
      <c r="I1123" s="2" t="str">
        <f>IF(Return!C1123=0,REPLACE(INDEX(H:H,ROW()+Return!B1123,),1,2,Return!E1123&amp;"(")&amp;")","")</f>
        <v>v(r)</v>
      </c>
      <c r="M1123" s="1"/>
    </row>
    <row r="1124" spans="1:13" x14ac:dyDescent="0.55000000000000004">
      <c r="A1124" s="1" t="s">
        <v>1792</v>
      </c>
      <c r="B1124" t="s">
        <v>1359</v>
      </c>
      <c r="C1124" s="2">
        <f>Return!C1124</f>
        <v>1</v>
      </c>
      <c r="D1124" s="2">
        <f>COUNTA(Argument!E1124)</f>
        <v>1</v>
      </c>
      <c r="E1124" s="2" t="str">
        <f>IF(C1124,Return!D1124,Return!E1124)</f>
        <v>r</v>
      </c>
      <c r="F1124" s="2" t="str">
        <f t="shared" si="51"/>
        <v>r</v>
      </c>
      <c r="G1124" s="2" t="str">
        <f t="shared" si="53"/>
        <v>r</v>
      </c>
      <c r="H1124" s="2" t="str">
        <f t="shared" si="52"/>
        <v>, r</v>
      </c>
      <c r="I1124" s="2" t="str">
        <f>IF(Return!C1124=0,REPLACE(INDEX(H:H,ROW()+Return!B1124,),1,2,Return!E1124&amp;"(")&amp;")","")</f>
        <v/>
      </c>
      <c r="M1124" s="1"/>
    </row>
    <row r="1125" spans="1:13" x14ac:dyDescent="0.55000000000000004">
      <c r="A1125" s="1" t="s">
        <v>1793</v>
      </c>
      <c r="C1125" s="2">
        <f>Return!C1125</f>
        <v>0</v>
      </c>
      <c r="D1125" s="2">
        <f>COUNTA(Argument!E1125)</f>
        <v>0</v>
      </c>
      <c r="E1125" s="2" t="str">
        <f>IF(C1125,Return!D1125,Return!E1125)</f>
        <v>r</v>
      </c>
      <c r="F1125" s="2" t="str">
        <f t="shared" si="51"/>
        <v/>
      </c>
      <c r="G1125" s="2" t="str">
        <f t="shared" si="53"/>
        <v/>
      </c>
      <c r="H1125" s="2" t="str">
        <f t="shared" si="52"/>
        <v/>
      </c>
      <c r="I1125" s="2" t="str">
        <f>IF(Return!C1125=0,REPLACE(INDEX(H:H,ROW()+Return!B1125,),1,2,Return!E1125&amp;"(")&amp;")","")</f>
        <v>r(v, [v])</v>
      </c>
      <c r="M1125" s="1"/>
    </row>
    <row r="1126" spans="1:13" x14ac:dyDescent="0.55000000000000004">
      <c r="A1126" s="1" t="s">
        <v>1793</v>
      </c>
      <c r="B1126" t="s">
        <v>1921</v>
      </c>
      <c r="C1126" s="2">
        <f>Return!C1126</f>
        <v>1</v>
      </c>
      <c r="D1126" s="2">
        <f>COUNTA(Argument!E1126)</f>
        <v>1</v>
      </c>
      <c r="E1126" s="2" t="str">
        <f>IF(C1126,Return!D1126,Return!E1126)</f>
        <v>v</v>
      </c>
      <c r="F1126" s="2" t="str">
        <f t="shared" si="51"/>
        <v>v</v>
      </c>
      <c r="G1126" s="2" t="str">
        <f t="shared" si="53"/>
        <v>v</v>
      </c>
      <c r="H1126" s="2" t="str">
        <f t="shared" si="52"/>
        <v>, v</v>
      </c>
      <c r="I1126" s="2" t="str">
        <f>IF(Return!C1126=0,REPLACE(INDEX(H:H,ROW()+Return!B1126,),1,2,Return!E1126&amp;"(")&amp;")","")</f>
        <v/>
      </c>
      <c r="M1126" s="1"/>
    </row>
    <row r="1127" spans="1:13" x14ac:dyDescent="0.55000000000000004">
      <c r="A1127" s="1" t="s">
        <v>1793</v>
      </c>
      <c r="B1127" t="s">
        <v>2036</v>
      </c>
      <c r="C1127" s="2">
        <f>Return!C1127</f>
        <v>2</v>
      </c>
      <c r="D1127" s="2">
        <f>COUNTA(Argument!E1127)</f>
        <v>1</v>
      </c>
      <c r="E1127" s="2" t="str">
        <f>IF(C1127,Return!D1127,Return!E1127)</f>
        <v>v</v>
      </c>
      <c r="F1127" s="2" t="str">
        <f t="shared" si="51"/>
        <v>[v]</v>
      </c>
      <c r="G1127" s="2" t="str">
        <f t="shared" si="53"/>
        <v>[v]</v>
      </c>
      <c r="H1127" s="2" t="str">
        <f t="shared" si="52"/>
        <v>, v, [v]</v>
      </c>
      <c r="I1127" s="2" t="str">
        <f>IF(Return!C1127=0,REPLACE(INDEX(H:H,ROW()+Return!B1127,),1,2,Return!E1127&amp;"(")&amp;")","")</f>
        <v/>
      </c>
      <c r="M1127" s="1"/>
    </row>
    <row r="1128" spans="1:13" x14ac:dyDescent="0.55000000000000004">
      <c r="A1128" s="1" t="s">
        <v>1794</v>
      </c>
      <c r="C1128" s="2">
        <f>Return!C1128</f>
        <v>0</v>
      </c>
      <c r="D1128" s="2">
        <f>COUNTA(Argument!E1128)</f>
        <v>0</v>
      </c>
      <c r="E1128" s="2" t="str">
        <f>IF(C1128,Return!D1128,Return!E1128)</f>
        <v>va</v>
      </c>
      <c r="F1128" s="2" t="str">
        <f t="shared" si="51"/>
        <v/>
      </c>
      <c r="G1128" s="2" t="str">
        <f t="shared" si="53"/>
        <v/>
      </c>
      <c r="H1128" s="2" t="str">
        <f t="shared" si="52"/>
        <v/>
      </c>
      <c r="I1128" s="2" t="str">
        <f>IF(Return!C1128=0,REPLACE(INDEX(H:H,ROW()+Return!B1128,),1,2,Return!E1128&amp;"(")&amp;")","")</f>
        <v>va(va)</v>
      </c>
      <c r="M1128" s="1"/>
    </row>
    <row r="1129" spans="1:13" x14ac:dyDescent="0.55000000000000004">
      <c r="A1129" s="1" t="s">
        <v>1794</v>
      </c>
      <c r="B1129" t="s">
        <v>2037</v>
      </c>
      <c r="C1129" s="2">
        <f>Return!C1129</f>
        <v>1</v>
      </c>
      <c r="D1129" s="2">
        <f>COUNTA(Argument!E1129)</f>
        <v>1</v>
      </c>
      <c r="E1129" s="2" t="str">
        <f>IF(C1129,Return!D1129,Return!E1129)</f>
        <v>va</v>
      </c>
      <c r="F1129" s="2" t="str">
        <f t="shared" si="51"/>
        <v>va</v>
      </c>
      <c r="G1129" s="2" t="str">
        <f t="shared" si="53"/>
        <v>va</v>
      </c>
      <c r="H1129" s="2" t="str">
        <f t="shared" si="52"/>
        <v>, va</v>
      </c>
      <c r="I1129" s="2" t="str">
        <f>IF(Return!C1129=0,REPLACE(INDEX(H:H,ROW()+Return!B1129,),1,2,Return!E1129&amp;"(")&amp;")","")</f>
        <v/>
      </c>
      <c r="M1129" s="1"/>
    </row>
    <row r="1130" spans="1:13" x14ac:dyDescent="0.55000000000000004">
      <c r="A1130" s="1" t="s">
        <v>1795</v>
      </c>
      <c r="C1130" s="2">
        <f>Return!C1130</f>
        <v>0</v>
      </c>
      <c r="D1130" s="2">
        <f>COUNTA(Argument!E1130)</f>
        <v>0</v>
      </c>
      <c r="E1130" s="2" t="str">
        <f>IF(C1130,Return!D1130,Return!E1130)</f>
        <v>v</v>
      </c>
      <c r="F1130" s="2" t="str">
        <f t="shared" si="51"/>
        <v/>
      </c>
      <c r="G1130" s="2" t="str">
        <f t="shared" si="53"/>
        <v/>
      </c>
      <c r="H1130" s="2" t="str">
        <f t="shared" si="52"/>
        <v/>
      </c>
      <c r="I1130" s="2" t="str">
        <f>IF(Return!C1130=0,REPLACE(INDEX(H:H,ROW()+Return!B1130,),1,2,Return!E1130&amp;"(")&amp;")","")</f>
        <v>v(v, v, v, v)</v>
      </c>
      <c r="M1130" s="1"/>
    </row>
    <row r="1131" spans="1:13" x14ac:dyDescent="0.55000000000000004">
      <c r="A1131" s="1" t="s">
        <v>1795</v>
      </c>
      <c r="B1131" t="s">
        <v>1222</v>
      </c>
      <c r="C1131" s="2">
        <f>Return!C1131</f>
        <v>1</v>
      </c>
      <c r="D1131" s="2">
        <f>COUNTA(Argument!E1131)</f>
        <v>0</v>
      </c>
      <c r="E1131" s="2" t="str">
        <f>IF(C1131,Return!D1131,Return!E1131)</f>
        <v>v</v>
      </c>
      <c r="F1131" s="2" t="str">
        <f t="shared" si="51"/>
        <v>v</v>
      </c>
      <c r="G1131" s="2" t="str">
        <f t="shared" si="53"/>
        <v>v</v>
      </c>
      <c r="H1131" s="2" t="str">
        <f t="shared" si="52"/>
        <v>, v</v>
      </c>
      <c r="I1131" s="2" t="str">
        <f>IF(Return!C1131=0,REPLACE(INDEX(H:H,ROW()+Return!B1131,),1,2,Return!E1131&amp;"(")&amp;")","")</f>
        <v/>
      </c>
      <c r="M1131" s="1"/>
    </row>
    <row r="1132" spans="1:13" x14ac:dyDescent="0.55000000000000004">
      <c r="A1132" s="1" t="s">
        <v>1795</v>
      </c>
      <c r="B1132" t="s">
        <v>1293</v>
      </c>
      <c r="C1132" s="2">
        <f>Return!C1132</f>
        <v>2</v>
      </c>
      <c r="D1132" s="2">
        <f>COUNTA(Argument!E1132)</f>
        <v>0</v>
      </c>
      <c r="E1132" s="2" t="str">
        <f>IF(C1132,Return!D1132,Return!E1132)</f>
        <v>v</v>
      </c>
      <c r="F1132" s="2" t="str">
        <f t="shared" si="51"/>
        <v>v</v>
      </c>
      <c r="G1132" s="2" t="str">
        <f t="shared" si="53"/>
        <v>v</v>
      </c>
      <c r="H1132" s="2" t="str">
        <f t="shared" si="52"/>
        <v>, v, v</v>
      </c>
      <c r="I1132" s="2" t="str">
        <f>IF(Return!C1132=0,REPLACE(INDEX(H:H,ROW()+Return!B1132,),1,2,Return!E1132&amp;"(")&amp;")","")</f>
        <v/>
      </c>
      <c r="M1132" s="1"/>
    </row>
    <row r="1133" spans="1:13" x14ac:dyDescent="0.55000000000000004">
      <c r="A1133" s="1" t="s">
        <v>1795</v>
      </c>
      <c r="B1133" t="s">
        <v>1249</v>
      </c>
      <c r="C1133" s="2">
        <f>Return!C1133</f>
        <v>3</v>
      </c>
      <c r="D1133" s="2">
        <f>COUNTA(Argument!E1133)</f>
        <v>0</v>
      </c>
      <c r="E1133" s="2" t="str">
        <f>IF(C1133,Return!D1133,Return!E1133)</f>
        <v>v</v>
      </c>
      <c r="F1133" s="2" t="str">
        <f t="shared" si="51"/>
        <v>v</v>
      </c>
      <c r="G1133" s="2" t="str">
        <f t="shared" si="53"/>
        <v>v</v>
      </c>
      <c r="H1133" s="2" t="str">
        <f t="shared" si="52"/>
        <v>, v, v, v</v>
      </c>
      <c r="I1133" s="2" t="str">
        <f>IF(Return!C1133=0,REPLACE(INDEX(H:H,ROW()+Return!B1133,),1,2,Return!E1133&amp;"(")&amp;")","")</f>
        <v/>
      </c>
      <c r="M1133" s="1"/>
    </row>
    <row r="1134" spans="1:13" x14ac:dyDescent="0.55000000000000004">
      <c r="A1134" s="1" t="s">
        <v>1795</v>
      </c>
      <c r="B1134" t="s">
        <v>1253</v>
      </c>
      <c r="C1134" s="2">
        <f>Return!C1134</f>
        <v>4</v>
      </c>
      <c r="D1134" s="2">
        <f>COUNTA(Argument!E1134)</f>
        <v>1</v>
      </c>
      <c r="E1134" s="2" t="str">
        <f>IF(C1134,Return!D1134,Return!E1134)</f>
        <v>v</v>
      </c>
      <c r="F1134" s="2" t="str">
        <f t="shared" si="51"/>
        <v>v</v>
      </c>
      <c r="G1134" s="2" t="str">
        <f t="shared" si="53"/>
        <v>v</v>
      </c>
      <c r="H1134" s="2" t="str">
        <f t="shared" si="52"/>
        <v>, v, v, v, v</v>
      </c>
      <c r="I1134" s="2" t="str">
        <f>IF(Return!C1134=0,REPLACE(INDEX(H:H,ROW()+Return!B1134,),1,2,Return!E1134&amp;"(")&amp;")","")</f>
        <v/>
      </c>
      <c r="M1134" s="1"/>
    </row>
    <row r="1135" spans="1:13" x14ac:dyDescent="0.55000000000000004">
      <c r="A1135" s="1" t="s">
        <v>2057</v>
      </c>
      <c r="C1135" s="2">
        <f>Return!C1135</f>
        <v>0</v>
      </c>
      <c r="D1135" s="2">
        <f>COUNTA(Argument!E1135)</f>
        <v>0</v>
      </c>
      <c r="E1135" s="2" t="str">
        <f>IF(C1135,Return!D1135,Return!E1135)</f>
        <v>v</v>
      </c>
      <c r="F1135" s="2" t="str">
        <f t="shared" si="51"/>
        <v/>
      </c>
      <c r="G1135" s="2" t="str">
        <f t="shared" si="53"/>
        <v/>
      </c>
      <c r="H1135" s="2" t="str">
        <f t="shared" si="52"/>
        <v/>
      </c>
      <c r="I1135" s="2" t="str">
        <f>IF(Return!C1135=0,REPLACE(INDEX(H:H,ROW()+Return!B1135,),1,2,Return!E1135&amp;"(")&amp;")","")</f>
        <v>v(v, v, v)</v>
      </c>
      <c r="M1135" s="1"/>
    </row>
    <row r="1136" spans="1:13" x14ac:dyDescent="0.55000000000000004">
      <c r="A1136" s="1" t="s">
        <v>2057</v>
      </c>
      <c r="B1136" t="s">
        <v>1995</v>
      </c>
      <c r="C1136" s="2">
        <f>Return!C1136</f>
        <v>1</v>
      </c>
      <c r="D1136" s="2">
        <f>COUNTA(Argument!E1136)</f>
        <v>0</v>
      </c>
      <c r="E1136" s="2" t="str">
        <f>IF(C1136,Return!D1136,Return!E1136)</f>
        <v>v</v>
      </c>
      <c r="F1136" s="2" t="str">
        <f t="shared" si="51"/>
        <v>v</v>
      </c>
      <c r="G1136" s="2" t="str">
        <f t="shared" si="53"/>
        <v>v</v>
      </c>
      <c r="H1136" s="2" t="str">
        <f t="shared" si="52"/>
        <v>, v</v>
      </c>
      <c r="I1136" s="2" t="str">
        <f>IF(Return!C1136=0,REPLACE(INDEX(H:H,ROW()+Return!B1136,),1,2,Return!E1136&amp;"(")&amp;")","")</f>
        <v/>
      </c>
      <c r="M1136" s="1"/>
    </row>
    <row r="1137" spans="1:13" x14ac:dyDescent="0.55000000000000004">
      <c r="A1137" s="1" t="s">
        <v>2057</v>
      </c>
      <c r="B1137" t="s">
        <v>1996</v>
      </c>
      <c r="C1137" s="2">
        <f>Return!C1137</f>
        <v>2</v>
      </c>
      <c r="D1137" s="2">
        <f>COUNTA(Argument!E1137)</f>
        <v>0</v>
      </c>
      <c r="E1137" s="2" t="str">
        <f>IF(C1137,Return!D1137,Return!E1137)</f>
        <v>v</v>
      </c>
      <c r="F1137" s="2" t="str">
        <f t="shared" si="51"/>
        <v>v</v>
      </c>
      <c r="G1137" s="2" t="str">
        <f t="shared" si="53"/>
        <v>v</v>
      </c>
      <c r="H1137" s="2" t="str">
        <f t="shared" si="52"/>
        <v>, v, v</v>
      </c>
      <c r="I1137" s="2" t="str">
        <f>IF(Return!C1137=0,REPLACE(INDEX(H:H,ROW()+Return!B1137,),1,2,Return!E1137&amp;"(")&amp;")","")</f>
        <v/>
      </c>
      <c r="M1137" s="1"/>
    </row>
    <row r="1138" spans="1:13" x14ac:dyDescent="0.55000000000000004">
      <c r="A1138" s="1" t="s">
        <v>2057</v>
      </c>
      <c r="B1138" t="s">
        <v>2038</v>
      </c>
      <c r="C1138" s="2">
        <f>Return!C1138</f>
        <v>3</v>
      </c>
      <c r="D1138" s="2">
        <f>COUNTA(Argument!E1138)</f>
        <v>1</v>
      </c>
      <c r="E1138" s="2" t="str">
        <f>IF(C1138,Return!D1138,Return!E1138)</f>
        <v>v</v>
      </c>
      <c r="F1138" s="2" t="str">
        <f t="shared" si="51"/>
        <v>v</v>
      </c>
      <c r="G1138" s="2" t="str">
        <f t="shared" si="53"/>
        <v>v</v>
      </c>
      <c r="H1138" s="2" t="str">
        <f t="shared" si="52"/>
        <v>, v, v, v</v>
      </c>
      <c r="I1138" s="2" t="str">
        <f>IF(Return!C1138=0,REPLACE(INDEX(H:H,ROW()+Return!B1138,),1,2,Return!E1138&amp;"(")&amp;")","")</f>
        <v/>
      </c>
      <c r="M1138" s="1"/>
    </row>
    <row r="1139" spans="1:13" x14ac:dyDescent="0.55000000000000004">
      <c r="A1139" s="1" t="s">
        <v>2058</v>
      </c>
      <c r="C1139" s="2">
        <f>Return!C1139</f>
        <v>0</v>
      </c>
      <c r="D1139" s="2">
        <f>COUNTA(Argument!E1139)</f>
        <v>0</v>
      </c>
      <c r="E1139" s="2" t="str">
        <f>IF(C1139,Return!D1139,Return!E1139)</f>
        <v>v</v>
      </c>
      <c r="F1139" s="2" t="str">
        <f t="shared" si="51"/>
        <v/>
      </c>
      <c r="G1139" s="2" t="str">
        <f t="shared" si="53"/>
        <v/>
      </c>
      <c r="H1139" s="2" t="str">
        <f t="shared" si="52"/>
        <v/>
      </c>
      <c r="I1139" s="2" t="str">
        <f>IF(Return!C1139=0,REPLACE(INDEX(H:H,ROW()+Return!B1139,),1,2,Return!E1139&amp;"(")&amp;")","")</f>
        <v>v(v)</v>
      </c>
      <c r="M1139" s="1"/>
    </row>
    <row r="1140" spans="1:13" x14ac:dyDescent="0.55000000000000004">
      <c r="A1140" s="1" t="s">
        <v>2058</v>
      </c>
      <c r="B1140" t="s">
        <v>1995</v>
      </c>
      <c r="C1140" s="2">
        <f>Return!C1140</f>
        <v>1</v>
      </c>
      <c r="D1140" s="2">
        <f>COUNTA(Argument!E1140)</f>
        <v>1</v>
      </c>
      <c r="E1140" s="2" t="str">
        <f>IF(C1140,Return!D1140,Return!E1140)</f>
        <v>v</v>
      </c>
      <c r="F1140" s="2" t="str">
        <f t="shared" si="51"/>
        <v>v</v>
      </c>
      <c r="G1140" s="2" t="str">
        <f t="shared" si="53"/>
        <v>v</v>
      </c>
      <c r="H1140" s="2" t="str">
        <f t="shared" si="52"/>
        <v>, v</v>
      </c>
      <c r="I1140" s="2" t="str">
        <f>IF(Return!C1140=0,REPLACE(INDEX(H:H,ROW()+Return!B1140,),1,2,Return!E1140&amp;"(")&amp;")","")</f>
        <v/>
      </c>
      <c r="M1140" s="1"/>
    </row>
    <row r="1141" spans="1:13" x14ac:dyDescent="0.55000000000000004">
      <c r="A1141" s="1" t="s">
        <v>2059</v>
      </c>
      <c r="C1141" s="2">
        <f>Return!C1141</f>
        <v>0</v>
      </c>
      <c r="D1141" s="2">
        <f>COUNTA(Argument!E1141)</f>
        <v>0</v>
      </c>
      <c r="E1141" s="2" t="str">
        <f>IF(C1141,Return!D1141,Return!E1141)</f>
        <v>v</v>
      </c>
      <c r="F1141" s="2" t="str">
        <f t="shared" si="51"/>
        <v/>
      </c>
      <c r="G1141" s="2" t="str">
        <f t="shared" si="53"/>
        <v/>
      </c>
      <c r="H1141" s="2" t="str">
        <f t="shared" si="52"/>
        <v/>
      </c>
      <c r="I1141" s="2" t="str">
        <f>IF(Return!C1141=0,REPLACE(INDEX(H:H,ROW()+Return!B1141,),1,2,Return!E1141&amp;"(")&amp;")","")</f>
        <v>v(v, v)</v>
      </c>
      <c r="M1141" s="1"/>
    </row>
    <row r="1142" spans="1:13" x14ac:dyDescent="0.55000000000000004">
      <c r="A1142" s="1" t="s">
        <v>2059</v>
      </c>
      <c r="B1142" t="s">
        <v>1995</v>
      </c>
      <c r="C1142" s="2">
        <f>Return!C1142</f>
        <v>1</v>
      </c>
      <c r="D1142" s="2">
        <f>COUNTA(Argument!E1142)</f>
        <v>0</v>
      </c>
      <c r="E1142" s="2" t="str">
        <f>IF(C1142,Return!D1142,Return!E1142)</f>
        <v>v</v>
      </c>
      <c r="F1142" s="2" t="str">
        <f t="shared" si="51"/>
        <v>v</v>
      </c>
      <c r="G1142" s="2" t="str">
        <f t="shared" si="53"/>
        <v>v</v>
      </c>
      <c r="H1142" s="2" t="str">
        <f t="shared" si="52"/>
        <v>, v</v>
      </c>
      <c r="I1142" s="2" t="str">
        <f>IF(Return!C1142=0,REPLACE(INDEX(H:H,ROW()+Return!B1142,),1,2,Return!E1142&amp;"(")&amp;")","")</f>
        <v/>
      </c>
      <c r="M1142" s="1"/>
    </row>
    <row r="1143" spans="1:13" x14ac:dyDescent="0.55000000000000004">
      <c r="A1143" s="1" t="s">
        <v>2059</v>
      </c>
      <c r="B1143" t="s">
        <v>1996</v>
      </c>
      <c r="C1143" s="2">
        <f>Return!C1143</f>
        <v>2</v>
      </c>
      <c r="D1143" s="2">
        <f>COUNTA(Argument!E1143)</f>
        <v>1</v>
      </c>
      <c r="E1143" s="2" t="str">
        <f>IF(C1143,Return!D1143,Return!E1143)</f>
        <v>v</v>
      </c>
      <c r="F1143" s="2" t="str">
        <f t="shared" si="51"/>
        <v>v</v>
      </c>
      <c r="G1143" s="2" t="str">
        <f t="shared" si="53"/>
        <v>v</v>
      </c>
      <c r="H1143" s="2" t="str">
        <f t="shared" si="52"/>
        <v>, v, v</v>
      </c>
      <c r="I1143" s="2" t="str">
        <f>IF(Return!C1143=0,REPLACE(INDEX(H:H,ROW()+Return!B1143,),1,2,Return!E1143&amp;"(")&amp;")","")</f>
        <v/>
      </c>
      <c r="M1143" s="1"/>
    </row>
    <row r="1144" spans="1:13" x14ac:dyDescent="0.55000000000000004">
      <c r="A1144" s="1" t="s">
        <v>1796</v>
      </c>
      <c r="C1144" s="2">
        <f>Return!C1144</f>
        <v>0</v>
      </c>
      <c r="D1144" s="2">
        <f>COUNTA(Argument!E1144)</f>
        <v>0</v>
      </c>
      <c r="E1144" s="2" t="str">
        <f>IF(C1144,Return!D1144,Return!E1144)</f>
        <v>v</v>
      </c>
      <c r="F1144" s="2" t="str">
        <f t="shared" si="51"/>
        <v/>
      </c>
      <c r="G1144" s="2" t="str">
        <f t="shared" si="53"/>
        <v/>
      </c>
      <c r="H1144" s="2" t="str">
        <f t="shared" si="52"/>
        <v/>
      </c>
      <c r="I1144" s="2" t="str">
        <f>IF(Return!C1144=0,REPLACE(INDEX(H:H,ROW()+Return!B1144,),1,2,Return!E1144&amp;"(")&amp;")","")</f>
        <v>v(v, [v])</v>
      </c>
      <c r="M1144" s="1"/>
    </row>
    <row r="1145" spans="1:13" x14ac:dyDescent="0.55000000000000004">
      <c r="A1145" s="1" t="s">
        <v>1796</v>
      </c>
      <c r="B1145" t="s">
        <v>1223</v>
      </c>
      <c r="C1145" s="2">
        <f>Return!C1145</f>
        <v>1</v>
      </c>
      <c r="D1145" s="2">
        <f>COUNTA(Argument!E1145)</f>
        <v>1</v>
      </c>
      <c r="E1145" s="2" t="str">
        <f>IF(C1145,Return!D1145,Return!E1145)</f>
        <v>v</v>
      </c>
      <c r="F1145" s="2" t="str">
        <f t="shared" si="51"/>
        <v>v</v>
      </c>
      <c r="G1145" s="2" t="str">
        <f t="shared" si="53"/>
        <v>v</v>
      </c>
      <c r="H1145" s="2" t="str">
        <f t="shared" si="52"/>
        <v>, v</v>
      </c>
      <c r="I1145" s="2" t="str">
        <f>IF(Return!C1145=0,REPLACE(INDEX(H:H,ROW()+Return!B1145,),1,2,Return!E1145&amp;"(")&amp;")","")</f>
        <v/>
      </c>
      <c r="M1145" s="1"/>
    </row>
    <row r="1146" spans="1:13" x14ac:dyDescent="0.55000000000000004">
      <c r="A1146" s="1" t="s">
        <v>1796</v>
      </c>
      <c r="B1146" t="s">
        <v>1361</v>
      </c>
      <c r="C1146" s="2">
        <f>Return!C1146</f>
        <v>2</v>
      </c>
      <c r="D1146" s="2">
        <f>COUNTA(Argument!E1146)</f>
        <v>1</v>
      </c>
      <c r="E1146" s="2" t="str">
        <f>IF(C1146,Return!D1146,Return!E1146)</f>
        <v>v</v>
      </c>
      <c r="F1146" s="2" t="str">
        <f t="shared" si="51"/>
        <v>[v]</v>
      </c>
      <c r="G1146" s="2" t="str">
        <f t="shared" si="53"/>
        <v>[v]</v>
      </c>
      <c r="H1146" s="2" t="str">
        <f t="shared" si="52"/>
        <v>, v, [v]</v>
      </c>
      <c r="I1146" s="2" t="str">
        <f>IF(Return!C1146=0,REPLACE(INDEX(H:H,ROW()+Return!B1146,),1,2,Return!E1146&amp;"(")&amp;")","")</f>
        <v/>
      </c>
      <c r="M1146" s="1"/>
    </row>
    <row r="1147" spans="1:13" x14ac:dyDescent="0.55000000000000004">
      <c r="A1147" s="1" t="s">
        <v>1797</v>
      </c>
      <c r="C1147" s="2">
        <f>Return!C1147</f>
        <v>0</v>
      </c>
      <c r="D1147" s="2">
        <f>COUNTA(Argument!E1147)</f>
        <v>1</v>
      </c>
      <c r="E1147" s="2" t="str">
        <f>IF(C1147,Return!D1147,Return!E1147)</f>
        <v>v</v>
      </c>
      <c r="F1147" s="2" t="str">
        <f t="shared" si="51"/>
        <v/>
      </c>
      <c r="G1147" s="2" t="str">
        <f t="shared" si="53"/>
        <v/>
      </c>
      <c r="H1147" s="2" t="str">
        <f t="shared" si="52"/>
        <v/>
      </c>
      <c r="I1147" s="2" t="str">
        <f>IF(Return!C1147=0,REPLACE(INDEX(H:H,ROW()+Return!B1147,),1,2,Return!E1147&amp;"(")&amp;")","")</f>
        <v>v([v], [v], [v], [v])</v>
      </c>
      <c r="M1147" s="1"/>
    </row>
    <row r="1148" spans="1:13" x14ac:dyDescent="0.55000000000000004">
      <c r="A1148" s="1" t="s">
        <v>1797</v>
      </c>
      <c r="B1148" t="s">
        <v>1997</v>
      </c>
      <c r="C1148" s="2">
        <f>Return!C1148</f>
        <v>1</v>
      </c>
      <c r="D1148" s="2">
        <f>COUNTA(Argument!E1148)</f>
        <v>1</v>
      </c>
      <c r="E1148" s="2" t="str">
        <f>IF(C1148,Return!D1148,Return!E1148)</f>
        <v>v</v>
      </c>
      <c r="F1148" s="2" t="str">
        <f t="shared" si="51"/>
        <v>[v]</v>
      </c>
      <c r="G1148" s="2" t="str">
        <f t="shared" si="53"/>
        <v>[v]</v>
      </c>
      <c r="H1148" s="2" t="str">
        <f t="shared" si="52"/>
        <v>, [v]</v>
      </c>
      <c r="I1148" s="2" t="str">
        <f>IF(Return!C1148=0,REPLACE(INDEX(H:H,ROW()+Return!B1148,),1,2,Return!E1148&amp;"(")&amp;")","")</f>
        <v/>
      </c>
      <c r="M1148" s="1"/>
    </row>
    <row r="1149" spans="1:13" x14ac:dyDescent="0.55000000000000004">
      <c r="A1149" s="1" t="s">
        <v>1797</v>
      </c>
      <c r="B1149" t="s">
        <v>1998</v>
      </c>
      <c r="C1149" s="2">
        <f>Return!C1149</f>
        <v>2</v>
      </c>
      <c r="D1149" s="2">
        <f>COUNTA(Argument!E1149)</f>
        <v>1</v>
      </c>
      <c r="E1149" s="2" t="str">
        <f>IF(C1149,Return!D1149,Return!E1149)</f>
        <v>v</v>
      </c>
      <c r="F1149" s="2" t="str">
        <f t="shared" si="51"/>
        <v>[v]</v>
      </c>
      <c r="G1149" s="2" t="str">
        <f t="shared" si="53"/>
        <v>[v]</v>
      </c>
      <c r="H1149" s="2" t="str">
        <f t="shared" si="52"/>
        <v>, [v], [v]</v>
      </c>
      <c r="I1149" s="2" t="str">
        <f>IF(Return!C1149=0,REPLACE(INDEX(H:H,ROW()+Return!B1149,),1,2,Return!E1149&amp;"(")&amp;")","")</f>
        <v/>
      </c>
      <c r="M1149" s="1"/>
    </row>
    <row r="1150" spans="1:13" x14ac:dyDescent="0.55000000000000004">
      <c r="A1150" s="1" t="s">
        <v>1797</v>
      </c>
      <c r="B1150" t="s">
        <v>1999</v>
      </c>
      <c r="C1150" s="2">
        <f>Return!C1150</f>
        <v>3</v>
      </c>
      <c r="D1150" s="2">
        <f>COUNTA(Argument!E1150)</f>
        <v>1</v>
      </c>
      <c r="E1150" s="2" t="str">
        <f>IF(C1150,Return!D1150,Return!E1150)</f>
        <v>v</v>
      </c>
      <c r="F1150" s="2" t="str">
        <f t="shared" si="51"/>
        <v>[v]</v>
      </c>
      <c r="G1150" s="2" t="str">
        <f t="shared" si="53"/>
        <v>[v]</v>
      </c>
      <c r="H1150" s="2" t="str">
        <f t="shared" si="52"/>
        <v>, [v], [v], [v]</v>
      </c>
      <c r="I1150" s="2" t="str">
        <f>IF(Return!C1150=0,REPLACE(INDEX(H:H,ROW()+Return!B1150,),1,2,Return!E1150&amp;"(")&amp;")","")</f>
        <v/>
      </c>
      <c r="M1150" s="1"/>
    </row>
    <row r="1151" spans="1:13" x14ac:dyDescent="0.55000000000000004">
      <c r="A1151" s="1" t="s">
        <v>1797</v>
      </c>
      <c r="B1151" t="s">
        <v>2039</v>
      </c>
      <c r="C1151" s="2">
        <f>Return!C1151</f>
        <v>4</v>
      </c>
      <c r="D1151" s="2">
        <f>COUNTA(Argument!E1151)</f>
        <v>1</v>
      </c>
      <c r="E1151" s="2" t="str">
        <f>IF(C1151,Return!D1151,Return!E1151)</f>
        <v>v</v>
      </c>
      <c r="F1151" s="2" t="str">
        <f t="shared" si="51"/>
        <v>[v]</v>
      </c>
      <c r="G1151" s="2" t="str">
        <f t="shared" si="53"/>
        <v>[v]</v>
      </c>
      <c r="H1151" s="2" t="str">
        <f t="shared" si="52"/>
        <v>, [v], [v], [v], [v]</v>
      </c>
      <c r="I1151" s="2" t="str">
        <f>IF(Return!C1151=0,REPLACE(INDEX(H:H,ROW()+Return!B1151,),1,2,Return!E1151&amp;"(")&amp;")","")</f>
        <v/>
      </c>
      <c r="M1151" s="1"/>
    </row>
    <row r="1152" spans="1:13" x14ac:dyDescent="0.55000000000000004">
      <c r="A1152" s="1" t="s">
        <v>1798</v>
      </c>
      <c r="C1152" s="2">
        <f>Return!C1152</f>
        <v>0</v>
      </c>
      <c r="D1152" s="2">
        <f>COUNTA(Argument!E1152)</f>
        <v>1</v>
      </c>
      <c r="E1152" s="2" t="str">
        <f>IF(C1152,Return!D1152,Return!E1152)</f>
        <v>v</v>
      </c>
      <c r="F1152" s="2" t="str">
        <f t="shared" si="51"/>
        <v/>
      </c>
      <c r="G1152" s="2" t="str">
        <f t="shared" si="53"/>
        <v/>
      </c>
      <c r="H1152" s="2" t="str">
        <f t="shared" si="52"/>
        <v/>
      </c>
      <c r="I1152" s="2" t="str">
        <f>IF(Return!C1152=0,REPLACE(INDEX(H:H,ROW()+Return!B1152,),1,2,Return!E1152&amp;"(")&amp;")","")</f>
        <v>v([v], [v], [v], [v], [v])</v>
      </c>
      <c r="M1152" s="1"/>
    </row>
    <row r="1153" spans="1:13" x14ac:dyDescent="0.55000000000000004">
      <c r="A1153" s="1" t="s">
        <v>1798</v>
      </c>
      <c r="B1153" t="s">
        <v>2000</v>
      </c>
      <c r="C1153" s="2">
        <f>Return!C1153</f>
        <v>1</v>
      </c>
      <c r="D1153" s="2">
        <f>COUNTA(Argument!E1153)</f>
        <v>1</v>
      </c>
      <c r="E1153" s="2" t="str">
        <f>IF(C1153,Return!D1153,Return!E1153)</f>
        <v>v</v>
      </c>
      <c r="F1153" s="2" t="str">
        <f t="shared" si="51"/>
        <v>[v]</v>
      </c>
      <c r="G1153" s="2" t="str">
        <f t="shared" si="53"/>
        <v>[v]</v>
      </c>
      <c r="H1153" s="2" t="str">
        <f t="shared" si="52"/>
        <v>, [v]</v>
      </c>
      <c r="I1153" s="2" t="str">
        <f>IF(Return!C1153=0,REPLACE(INDEX(H:H,ROW()+Return!B1153,),1,2,Return!E1153&amp;"(")&amp;")","")</f>
        <v/>
      </c>
      <c r="M1153" s="1"/>
    </row>
    <row r="1154" spans="1:13" x14ac:dyDescent="0.55000000000000004">
      <c r="A1154" s="1" t="s">
        <v>1798</v>
      </c>
      <c r="B1154" t="s">
        <v>1999</v>
      </c>
      <c r="C1154" s="2">
        <f>Return!C1154</f>
        <v>2</v>
      </c>
      <c r="D1154" s="2">
        <f>COUNTA(Argument!E1154)</f>
        <v>1</v>
      </c>
      <c r="E1154" s="2" t="str">
        <f>IF(C1154,Return!D1154,Return!E1154)</f>
        <v>v</v>
      </c>
      <c r="F1154" s="2" t="str">
        <f t="shared" si="51"/>
        <v>[v]</v>
      </c>
      <c r="G1154" s="2" t="str">
        <f t="shared" si="53"/>
        <v>[v]</v>
      </c>
      <c r="H1154" s="2" t="str">
        <f t="shared" si="52"/>
        <v>, [v], [v]</v>
      </c>
      <c r="I1154" s="2" t="str">
        <f>IF(Return!C1154=0,REPLACE(INDEX(H:H,ROW()+Return!B1154,),1,2,Return!E1154&amp;"(")&amp;")","")</f>
        <v/>
      </c>
      <c r="M1154" s="1"/>
    </row>
    <row r="1155" spans="1:13" x14ac:dyDescent="0.55000000000000004">
      <c r="A1155" s="1" t="s">
        <v>1798</v>
      </c>
      <c r="B1155" t="s">
        <v>1998</v>
      </c>
      <c r="C1155" s="2">
        <f>Return!C1155</f>
        <v>3</v>
      </c>
      <c r="D1155" s="2">
        <f>COUNTA(Argument!E1155)</f>
        <v>1</v>
      </c>
      <c r="E1155" s="2" t="str">
        <f>IF(C1155,Return!D1155,Return!E1155)</f>
        <v>v</v>
      </c>
      <c r="F1155" s="2" t="str">
        <f t="shared" ref="F1155:F1218" si="54">IF(C1155,IF(D1155,IF(D1154,"["&amp;E1155&amp;"]",E1155),E1155),"")</f>
        <v>[v]</v>
      </c>
      <c r="G1155" s="2" t="str">
        <f t="shared" si="53"/>
        <v>[v]</v>
      </c>
      <c r="H1155" s="2" t="str">
        <f t="shared" ref="H1155:H1218" si="55">IF(C1155&gt;0,H1154&amp;", "&amp;G1155,"")</f>
        <v>, [v], [v], [v]</v>
      </c>
      <c r="I1155" s="2" t="str">
        <f>IF(Return!C1155=0,REPLACE(INDEX(H:H,ROW()+Return!B1155,),1,2,Return!E1155&amp;"(")&amp;")","")</f>
        <v/>
      </c>
      <c r="M1155" s="1"/>
    </row>
    <row r="1156" spans="1:13" x14ac:dyDescent="0.55000000000000004">
      <c r="A1156" s="1" t="s">
        <v>1798</v>
      </c>
      <c r="B1156" t="s">
        <v>1997</v>
      </c>
      <c r="C1156" s="2">
        <f>Return!C1156</f>
        <v>4</v>
      </c>
      <c r="D1156" s="2">
        <f>COUNTA(Argument!E1156)</f>
        <v>1</v>
      </c>
      <c r="E1156" s="2" t="str">
        <f>IF(C1156,Return!D1156,Return!E1156)</f>
        <v>v</v>
      </c>
      <c r="F1156" s="2" t="str">
        <f t="shared" si="54"/>
        <v>[v]</v>
      </c>
      <c r="G1156" s="2" t="str">
        <f t="shared" ref="G1156:G1219" si="56">IF(B1156="...",IF(C1157&gt;0,"["&amp;E1156,"…"),IF(B1155=" ...",IF(C1156&gt;0,E1156&amp;"], …",F1156),F1156))</f>
        <v>[v]</v>
      </c>
      <c r="H1156" s="2" t="str">
        <f t="shared" si="55"/>
        <v>, [v], [v], [v], [v]</v>
      </c>
      <c r="I1156" s="2" t="str">
        <f>IF(Return!C1156=0,REPLACE(INDEX(H:H,ROW()+Return!B1156,),1,2,Return!E1156&amp;"(")&amp;")","")</f>
        <v/>
      </c>
      <c r="M1156" s="1"/>
    </row>
    <row r="1157" spans="1:13" x14ac:dyDescent="0.55000000000000004">
      <c r="A1157" s="1" t="s">
        <v>1798</v>
      </c>
      <c r="B1157" t="s">
        <v>2039</v>
      </c>
      <c r="C1157" s="2">
        <f>Return!C1157</f>
        <v>5</v>
      </c>
      <c r="D1157" s="2">
        <f>COUNTA(Argument!E1157)</f>
        <v>1</v>
      </c>
      <c r="E1157" s="2" t="str">
        <f>IF(C1157,Return!D1157,Return!E1157)</f>
        <v>v</v>
      </c>
      <c r="F1157" s="2" t="str">
        <f t="shared" si="54"/>
        <v>[v]</v>
      </c>
      <c r="G1157" s="2" t="str">
        <f t="shared" si="56"/>
        <v>[v]</v>
      </c>
      <c r="H1157" s="2" t="str">
        <f t="shared" si="55"/>
        <v>, [v], [v], [v], [v], [v]</v>
      </c>
      <c r="I1157" s="2" t="str">
        <f>IF(Return!C1157=0,REPLACE(INDEX(H:H,ROW()+Return!B1157,),1,2,Return!E1157&amp;"(")&amp;")","")</f>
        <v/>
      </c>
      <c r="M1157" s="1"/>
    </row>
    <row r="1158" spans="1:13" x14ac:dyDescent="0.55000000000000004">
      <c r="A1158" s="1" t="s">
        <v>1799</v>
      </c>
      <c r="C1158" s="2">
        <f>Return!C1158</f>
        <v>0</v>
      </c>
      <c r="D1158" s="2">
        <f>COUNTA(Argument!E1158)</f>
        <v>0</v>
      </c>
      <c r="E1158" s="2" t="str">
        <f>IF(C1158,Return!D1158,Return!E1158)</f>
        <v>r</v>
      </c>
      <c r="F1158" s="2" t="str">
        <f t="shared" si="54"/>
        <v/>
      </c>
      <c r="G1158" s="2" t="str">
        <f t="shared" si="56"/>
        <v/>
      </c>
      <c r="H1158" s="2" t="str">
        <f t="shared" si="55"/>
        <v/>
      </c>
      <c r="I1158" s="2" t="str">
        <f>IF(Return!C1158=0,REPLACE(INDEX(H:H,ROW()+Return!B1158,),1,2,Return!E1158&amp;"(")&amp;")","")</f>
        <v>r(v, [v])</v>
      </c>
      <c r="M1158" s="1"/>
    </row>
    <row r="1159" spans="1:13" x14ac:dyDescent="0.55000000000000004">
      <c r="A1159" s="1" t="s">
        <v>1799</v>
      </c>
      <c r="B1159" t="s">
        <v>1921</v>
      </c>
      <c r="C1159" s="2">
        <f>Return!C1159</f>
        <v>1</v>
      </c>
      <c r="D1159" s="2">
        <f>COUNTA(Argument!E1159)</f>
        <v>1</v>
      </c>
      <c r="E1159" s="2" t="str">
        <f>IF(C1159,Return!D1159,Return!E1159)</f>
        <v>v</v>
      </c>
      <c r="F1159" s="2" t="str">
        <f t="shared" si="54"/>
        <v>v</v>
      </c>
      <c r="G1159" s="2" t="str">
        <f t="shared" si="56"/>
        <v>v</v>
      </c>
      <c r="H1159" s="2" t="str">
        <f t="shared" si="55"/>
        <v>, v</v>
      </c>
      <c r="I1159" s="2" t="str">
        <f>IF(Return!C1159=0,REPLACE(INDEX(H:H,ROW()+Return!B1159,),1,2,Return!E1159&amp;"(")&amp;")","")</f>
        <v/>
      </c>
      <c r="M1159" s="1"/>
    </row>
    <row r="1160" spans="1:13" x14ac:dyDescent="0.55000000000000004">
      <c r="A1160" s="1" t="s">
        <v>1799</v>
      </c>
      <c r="B1160" t="s">
        <v>2040</v>
      </c>
      <c r="C1160" s="2">
        <f>Return!C1160</f>
        <v>2</v>
      </c>
      <c r="D1160" s="2">
        <f>COUNTA(Argument!E1160)</f>
        <v>1</v>
      </c>
      <c r="E1160" s="2" t="str">
        <f>IF(C1160,Return!D1160,Return!E1160)</f>
        <v>v</v>
      </c>
      <c r="F1160" s="2" t="str">
        <f t="shared" si="54"/>
        <v>[v]</v>
      </c>
      <c r="G1160" s="2" t="str">
        <f t="shared" si="56"/>
        <v>[v]</v>
      </c>
      <c r="H1160" s="2" t="str">
        <f t="shared" si="55"/>
        <v>, v, [v]</v>
      </c>
      <c r="I1160" s="2" t="str">
        <f>IF(Return!C1160=0,REPLACE(INDEX(H:H,ROW()+Return!B1160,),1,2,Return!E1160&amp;"(")&amp;")","")</f>
        <v/>
      </c>
      <c r="M1160" s="1"/>
    </row>
    <row r="1161" spans="1:13" x14ac:dyDescent="0.55000000000000004">
      <c r="A1161" s="1" t="s">
        <v>1800</v>
      </c>
      <c r="C1161" s="2">
        <f>Return!C1161</f>
        <v>0</v>
      </c>
      <c r="D1161" s="2">
        <f>COUNTA(Argument!E1161)</f>
        <v>0</v>
      </c>
      <c r="E1161" s="2" t="str">
        <f>IF(C1161,Return!D1161,Return!E1161)</f>
        <v>v</v>
      </c>
      <c r="F1161" s="2" t="str">
        <f t="shared" si="54"/>
        <v/>
      </c>
      <c r="G1161" s="2" t="str">
        <f t="shared" si="56"/>
        <v/>
      </c>
      <c r="H1161" s="2" t="str">
        <f t="shared" si="55"/>
        <v/>
      </c>
      <c r="I1161" s="2" t="str">
        <f>IF(Return!C1161=0,REPLACE(INDEX(H:H,ROW()+Return!B1161,),1,2,Return!E1161&amp;"(")&amp;")","")</f>
        <v>v(vr, vr, [v], [v], v, v)</v>
      </c>
      <c r="M1161" s="1"/>
    </row>
    <row r="1162" spans="1:13" x14ac:dyDescent="0.55000000000000004">
      <c r="A1162" s="1" t="s">
        <v>1800</v>
      </c>
      <c r="B1162" t="s">
        <v>1362</v>
      </c>
      <c r="C1162" s="2">
        <f>Return!C1162</f>
        <v>1</v>
      </c>
      <c r="D1162" s="2">
        <f>COUNTA(Argument!E1162)</f>
        <v>0</v>
      </c>
      <c r="E1162" s="2" t="str">
        <f>IF(C1162,Return!D1162,Return!E1162)</f>
        <v>vr</v>
      </c>
      <c r="F1162" s="2" t="str">
        <f t="shared" si="54"/>
        <v>vr</v>
      </c>
      <c r="G1162" s="2" t="str">
        <f t="shared" si="56"/>
        <v>vr</v>
      </c>
      <c r="H1162" s="2" t="str">
        <f t="shared" si="55"/>
        <v>, vr</v>
      </c>
      <c r="I1162" s="2" t="str">
        <f>IF(Return!C1162=0,REPLACE(INDEX(H:H,ROW()+Return!B1162,),1,2,Return!E1162&amp;"(")&amp;")","")</f>
        <v/>
      </c>
      <c r="M1162" s="1"/>
    </row>
    <row r="1163" spans="1:13" x14ac:dyDescent="0.55000000000000004">
      <c r="A1163" s="1" t="s">
        <v>1800</v>
      </c>
      <c r="B1163" t="s">
        <v>1363</v>
      </c>
      <c r="C1163" s="2">
        <f>Return!C1163</f>
        <v>2</v>
      </c>
      <c r="D1163" s="2">
        <f>COUNTA(Argument!E1163)</f>
        <v>1</v>
      </c>
      <c r="E1163" s="2" t="str">
        <f>IF(C1163,Return!D1163,Return!E1163)</f>
        <v>vr</v>
      </c>
      <c r="F1163" s="2" t="str">
        <f t="shared" si="54"/>
        <v>vr</v>
      </c>
      <c r="G1163" s="2" t="str">
        <f t="shared" si="56"/>
        <v>vr</v>
      </c>
      <c r="H1163" s="2" t="str">
        <f t="shared" si="55"/>
        <v>, vr, vr</v>
      </c>
      <c r="I1163" s="2" t="str">
        <f>IF(Return!C1163=0,REPLACE(INDEX(H:H,ROW()+Return!B1163,),1,2,Return!E1163&amp;"(")&amp;")","")</f>
        <v/>
      </c>
      <c r="M1163" s="1"/>
    </row>
    <row r="1164" spans="1:13" x14ac:dyDescent="0.55000000000000004">
      <c r="A1164" s="1" t="s">
        <v>1800</v>
      </c>
      <c r="B1164" t="s">
        <v>2255</v>
      </c>
      <c r="C1164" s="2">
        <f>Return!C1164</f>
        <v>3</v>
      </c>
      <c r="D1164" s="2">
        <f>COUNTA(Argument!E1164)</f>
        <v>1</v>
      </c>
      <c r="E1164" s="2" t="str">
        <f>IF(C1164,Return!D1164,Return!E1164)</f>
        <v>v</v>
      </c>
      <c r="F1164" s="2" t="str">
        <f t="shared" si="54"/>
        <v>[v]</v>
      </c>
      <c r="G1164" s="2" t="str">
        <f t="shared" si="56"/>
        <v>[v]</v>
      </c>
      <c r="H1164" s="2" t="str">
        <f t="shared" si="55"/>
        <v>, vr, vr, [v]</v>
      </c>
      <c r="I1164" s="2" t="str">
        <f>IF(Return!C1164=0,REPLACE(INDEX(H:H,ROW()+Return!B1164,),1,2,Return!E1164&amp;"(")&amp;")","")</f>
        <v/>
      </c>
      <c r="M1164" s="1"/>
    </row>
    <row r="1165" spans="1:13" x14ac:dyDescent="0.55000000000000004">
      <c r="A1165" s="1" t="s">
        <v>1800</v>
      </c>
      <c r="B1165" t="s">
        <v>2256</v>
      </c>
      <c r="C1165" s="2">
        <f>Return!C1165</f>
        <v>4</v>
      </c>
      <c r="D1165" s="2">
        <f>COUNTA(Argument!E1165)</f>
        <v>1</v>
      </c>
      <c r="E1165" s="2" t="str">
        <f>IF(C1165,Return!D1165,Return!E1165)</f>
        <v>v</v>
      </c>
      <c r="F1165" s="2" t="str">
        <f t="shared" si="54"/>
        <v>[v]</v>
      </c>
      <c r="G1165" s="2" t="str">
        <f t="shared" si="56"/>
        <v>[v]</v>
      </c>
      <c r="H1165" s="2" t="str">
        <f t="shared" si="55"/>
        <v>, vr, vr, [v], [v]</v>
      </c>
      <c r="I1165" s="2" t="str">
        <f>IF(Return!C1165=0,REPLACE(INDEX(H:H,ROW()+Return!B1165,),1,2,Return!E1165&amp;"(")&amp;")","")</f>
        <v/>
      </c>
      <c r="M1165" s="1"/>
    </row>
    <row r="1166" spans="1:13" x14ac:dyDescent="0.55000000000000004">
      <c r="A1166" s="1" t="s">
        <v>1800</v>
      </c>
      <c r="B1166" t="s">
        <v>2253</v>
      </c>
      <c r="C1166" s="2">
        <f>Return!C1166</f>
        <v>5</v>
      </c>
      <c r="D1166" s="2">
        <f>COUNTA(Argument!E1166)</f>
        <v>0</v>
      </c>
      <c r="E1166" s="2" t="str">
        <f>IF(C1166,Return!D1166,Return!E1166)</f>
        <v>v</v>
      </c>
      <c r="F1166" s="2" t="str">
        <f t="shared" si="54"/>
        <v>v</v>
      </c>
      <c r="G1166" s="2" t="str">
        <f t="shared" si="56"/>
        <v>v</v>
      </c>
      <c r="H1166" s="2" t="str">
        <f t="shared" si="55"/>
        <v>, vr, vr, [v], [v], v</v>
      </c>
      <c r="I1166" s="2" t="str">
        <f>IF(Return!C1166=0,REPLACE(INDEX(H:H,ROW()+Return!B1166,),1,2,Return!E1166&amp;"(")&amp;")","")</f>
        <v/>
      </c>
      <c r="M1166" s="1"/>
    </row>
    <row r="1167" spans="1:13" x14ac:dyDescent="0.55000000000000004">
      <c r="A1167" s="1" t="s">
        <v>1800</v>
      </c>
      <c r="B1167" s="1" t="s">
        <v>2254</v>
      </c>
      <c r="C1167" s="2">
        <f>Return!C1167</f>
        <v>6</v>
      </c>
      <c r="D1167" s="2">
        <f>COUNTA(Argument!E1167)</f>
        <v>1</v>
      </c>
      <c r="E1167" s="2" t="str">
        <f>IF(C1167,Return!D1167,Return!E1167)</f>
        <v>v</v>
      </c>
      <c r="F1167" s="2" t="str">
        <f t="shared" si="54"/>
        <v>v</v>
      </c>
      <c r="G1167" s="2" t="str">
        <f t="shared" si="56"/>
        <v>v</v>
      </c>
      <c r="H1167" s="2" t="str">
        <f t="shared" si="55"/>
        <v>, vr, vr, [v], [v], v, v</v>
      </c>
      <c r="I1167" s="2" t="str">
        <f>IF(Return!C1167=0,REPLACE(INDEX(H:H,ROW()+Return!B1167,),1,2,Return!E1167&amp;"(")&amp;")","")</f>
        <v/>
      </c>
      <c r="K1167" s="1"/>
      <c r="M1167" s="1"/>
    </row>
    <row r="1168" spans="1:13" x14ac:dyDescent="0.55000000000000004">
      <c r="A1168" s="1" t="s">
        <v>1801</v>
      </c>
      <c r="C1168" s="2">
        <f>Return!C1168</f>
        <v>0</v>
      </c>
      <c r="D1168" s="2">
        <f>COUNTA(Argument!E1168)</f>
        <v>0</v>
      </c>
      <c r="E1168" s="2" t="str">
        <f>IF(C1168,Return!D1168,Return!E1168)</f>
        <v>va</v>
      </c>
      <c r="F1168" s="2" t="str">
        <f t="shared" si="54"/>
        <v/>
      </c>
      <c r="G1168" s="2" t="str">
        <f t="shared" si="56"/>
        <v/>
      </c>
      <c r="H1168" s="2" t="str">
        <f t="shared" si="55"/>
        <v/>
      </c>
      <c r="I1168" s="2" t="str">
        <f>IF(Return!C1168=0,REPLACE(INDEX(H:H,ROW()+Return!B1168,),1,2,Return!E1168&amp;"(")&amp;")","")</f>
        <v>va(v, [va])</v>
      </c>
      <c r="M1168" s="1"/>
    </row>
    <row r="1169" spans="1:13" x14ac:dyDescent="0.55000000000000004">
      <c r="A1169" s="1" t="s">
        <v>1801</v>
      </c>
      <c r="B1169" t="s">
        <v>1364</v>
      </c>
      <c r="C1169" s="2">
        <f>Return!C1169</f>
        <v>1</v>
      </c>
      <c r="D1169" s="2">
        <f>COUNTA(Argument!E1169)</f>
        <v>1</v>
      </c>
      <c r="E1169" s="2" t="str">
        <f>IF(C1169,Return!D1169,Return!E1169)</f>
        <v>v</v>
      </c>
      <c r="F1169" s="2" t="str">
        <f t="shared" si="54"/>
        <v>v</v>
      </c>
      <c r="G1169" s="2" t="str">
        <f t="shared" si="56"/>
        <v>v</v>
      </c>
      <c r="H1169" s="2" t="str">
        <f t="shared" si="55"/>
        <v>, v</v>
      </c>
      <c r="I1169" s="2" t="str">
        <f>IF(Return!C1169=0,REPLACE(INDEX(H:H,ROW()+Return!B1169,),1,2,Return!E1169&amp;"(")&amp;")","")</f>
        <v/>
      </c>
      <c r="M1169" s="1"/>
    </row>
    <row r="1170" spans="1:13" x14ac:dyDescent="0.55000000000000004">
      <c r="A1170" s="1" t="s">
        <v>1801</v>
      </c>
      <c r="B1170" t="s">
        <v>1365</v>
      </c>
      <c r="C1170" s="2">
        <f>Return!C1170</f>
        <v>2</v>
      </c>
      <c r="D1170" s="2">
        <f>COUNTA(Argument!E1170)</f>
        <v>1</v>
      </c>
      <c r="E1170" s="2" t="str">
        <f>IF(C1170,Return!D1170,Return!E1170)</f>
        <v>va</v>
      </c>
      <c r="F1170" s="2" t="str">
        <f t="shared" si="54"/>
        <v>[va]</v>
      </c>
      <c r="G1170" s="2" t="str">
        <f t="shared" si="56"/>
        <v>[va]</v>
      </c>
      <c r="H1170" s="2" t="str">
        <f t="shared" si="55"/>
        <v>, v, [va]</v>
      </c>
      <c r="I1170" s="2" t="str">
        <f>IF(Return!C1170=0,REPLACE(INDEX(H:H,ROW()+Return!B1170,),1,2,Return!E1170&amp;"(")&amp;")","")</f>
        <v/>
      </c>
      <c r="M1170" s="1"/>
    </row>
    <row r="1171" spans="1:13" x14ac:dyDescent="0.55000000000000004">
      <c r="A1171" s="1" t="s">
        <v>1802</v>
      </c>
      <c r="C1171" s="2">
        <f>Return!C1171</f>
        <v>0</v>
      </c>
      <c r="D1171" s="2">
        <f>COUNTA(Argument!E1171)</f>
        <v>0</v>
      </c>
      <c r="E1171" s="2" t="str">
        <f>IF(C1171,Return!D1171,Return!E1171)</f>
        <v>v</v>
      </c>
      <c r="F1171" s="2" t="str">
        <f t="shared" si="54"/>
        <v/>
      </c>
      <c r="G1171" s="2" t="str">
        <f t="shared" si="56"/>
        <v/>
      </c>
      <c r="H1171" s="2" t="str">
        <f t="shared" si="55"/>
        <v/>
      </c>
      <c r="I1171" s="2" t="str">
        <f>IF(Return!C1171=0,REPLACE(INDEX(H:H,ROW()+Return!B1171,),1,2,Return!E1171&amp;"(")&amp;")","")</f>
        <v>v(r)</v>
      </c>
      <c r="M1171" s="1"/>
    </row>
    <row r="1172" spans="1:13" x14ac:dyDescent="0.55000000000000004">
      <c r="A1172" s="1" t="s">
        <v>1802</v>
      </c>
      <c r="B1172" t="s">
        <v>1221</v>
      </c>
      <c r="C1172" s="2">
        <f>Return!C1172</f>
        <v>1</v>
      </c>
      <c r="D1172" s="2">
        <f>COUNTA(Argument!E1172)</f>
        <v>1</v>
      </c>
      <c r="E1172" s="2" t="str">
        <f>IF(C1172,Return!D1172,Return!E1172)</f>
        <v>r</v>
      </c>
      <c r="F1172" s="2" t="str">
        <f t="shared" si="54"/>
        <v>r</v>
      </c>
      <c r="G1172" s="2" t="str">
        <f t="shared" si="56"/>
        <v>r</v>
      </c>
      <c r="H1172" s="2" t="str">
        <f t="shared" si="55"/>
        <v>, r</v>
      </c>
      <c r="I1172" s="2" t="str">
        <f>IF(Return!C1172=0,REPLACE(INDEX(H:H,ROW()+Return!B1172,),1,2,Return!E1172&amp;"(")&amp;")","")</f>
        <v/>
      </c>
      <c r="M1172" s="1"/>
    </row>
    <row r="1173" spans="1:13" x14ac:dyDescent="0.55000000000000004">
      <c r="A1173" s="1" t="s">
        <v>1803</v>
      </c>
      <c r="C1173" s="2">
        <f>Return!C1173</f>
        <v>0</v>
      </c>
      <c r="D1173" s="2">
        <f>COUNTA(Argument!E1173)</f>
        <v>0</v>
      </c>
      <c r="E1173" s="2" t="str">
        <f>IF(C1173,Return!D1173,Return!E1173)</f>
        <v>v</v>
      </c>
      <c r="F1173" s="2" t="str">
        <f t="shared" si="54"/>
        <v/>
      </c>
      <c r="G1173" s="2" t="str">
        <f t="shared" si="56"/>
        <v/>
      </c>
      <c r="H1173" s="2" t="str">
        <f t="shared" si="55"/>
        <v/>
      </c>
      <c r="I1173" s="2" t="str">
        <f>IF(Return!C1173=0,REPLACE(INDEX(H:H,ROW()+Return!B1173,),1,2,Return!E1173&amp;"(")&amp;")","")</f>
        <v>v(var, [var], …)</v>
      </c>
      <c r="M1173" s="1"/>
    </row>
    <row r="1174" spans="1:13" x14ac:dyDescent="0.55000000000000004">
      <c r="A1174" s="1" t="s">
        <v>1803</v>
      </c>
      <c r="B1174" t="s">
        <v>1212</v>
      </c>
      <c r="C1174" s="2">
        <f>Return!C1174</f>
        <v>1</v>
      </c>
      <c r="D1174" s="2">
        <f>COUNTA(Argument!E1174)</f>
        <v>1</v>
      </c>
      <c r="E1174" s="2" t="str">
        <f>IF(C1174,Return!D1174,Return!E1174)</f>
        <v>var</v>
      </c>
      <c r="F1174" s="2" t="str">
        <f t="shared" si="54"/>
        <v>var</v>
      </c>
      <c r="G1174" s="2" t="str">
        <f t="shared" si="56"/>
        <v>var</v>
      </c>
      <c r="H1174" s="2" t="str">
        <f t="shared" si="55"/>
        <v>, var</v>
      </c>
      <c r="I1174" s="2" t="str">
        <f>IF(Return!C1174=0,REPLACE(INDEX(H:H,ROW()+Return!B1174,),1,2,Return!E1174&amp;"(")&amp;")","")</f>
        <v/>
      </c>
      <c r="M1174" s="1"/>
    </row>
    <row r="1175" spans="1:13" x14ac:dyDescent="0.55000000000000004">
      <c r="A1175" s="1" t="s">
        <v>1803</v>
      </c>
      <c r="B1175" t="s">
        <v>1213</v>
      </c>
      <c r="C1175" s="2">
        <f>Return!C1175</f>
        <v>2</v>
      </c>
      <c r="D1175" s="2">
        <f>COUNTA(Argument!E1175)</f>
        <v>1</v>
      </c>
      <c r="E1175" s="2" t="str">
        <f>IF(C1175,Return!D1175,Return!E1175)</f>
        <v>var</v>
      </c>
      <c r="F1175" s="2" t="str">
        <f t="shared" si="54"/>
        <v>[var]</v>
      </c>
      <c r="G1175" s="2" t="str">
        <f t="shared" si="56"/>
        <v>[var]</v>
      </c>
      <c r="H1175" s="2" t="str">
        <f t="shared" si="55"/>
        <v>, var, [var]</v>
      </c>
      <c r="I1175" s="2" t="str">
        <f>IF(Return!C1175=0,REPLACE(INDEX(H:H,ROW()+Return!B1175,),1,2,Return!E1175&amp;"(")&amp;")","")</f>
        <v/>
      </c>
      <c r="M1175" s="1"/>
    </row>
    <row r="1176" spans="1:13" x14ac:dyDescent="0.55000000000000004">
      <c r="A1176" s="1" t="s">
        <v>1803</v>
      </c>
      <c r="B1176" t="s">
        <v>1214</v>
      </c>
      <c r="C1176" s="2">
        <f>Return!C1176</f>
        <v>3</v>
      </c>
      <c r="D1176" s="2">
        <f>COUNTA(Argument!E1176)</f>
        <v>1</v>
      </c>
      <c r="E1176" s="2" t="str">
        <f>IF(C1176,Return!D1176,Return!E1176)</f>
        <v>var</v>
      </c>
      <c r="F1176" s="2" t="str">
        <f t="shared" si="54"/>
        <v>[var]</v>
      </c>
      <c r="G1176" s="2" t="str">
        <f t="shared" si="56"/>
        <v>…</v>
      </c>
      <c r="H1176" s="2" t="str">
        <f t="shared" si="55"/>
        <v>, var, [var], …</v>
      </c>
      <c r="I1176" s="2" t="str">
        <f>IF(Return!C1176=0,REPLACE(INDEX(H:H,ROW()+Return!B1176,),1,2,Return!E1176&amp;"(")&amp;")","")</f>
        <v/>
      </c>
      <c r="M1176" s="1"/>
    </row>
    <row r="1177" spans="1:13" x14ac:dyDescent="0.55000000000000004">
      <c r="A1177" s="1" t="s">
        <v>1804</v>
      </c>
      <c r="C1177" s="2">
        <f>Return!C1177</f>
        <v>0</v>
      </c>
      <c r="D1177" s="2">
        <f>COUNTA(Argument!E1177)</f>
        <v>0</v>
      </c>
      <c r="E1177" s="2" t="str">
        <f>IF(C1177,Return!D1177,Return!E1177)</f>
        <v>v</v>
      </c>
      <c r="F1177" s="2" t="str">
        <f t="shared" si="54"/>
        <v/>
      </c>
      <c r="G1177" s="2" t="str">
        <f t="shared" si="56"/>
        <v/>
      </c>
      <c r="H1177" s="2" t="str">
        <f t="shared" si="55"/>
        <v/>
      </c>
      <c r="I1177" s="2" t="str">
        <f>IF(Return!C1177=0,REPLACE(INDEX(H:H,ROW()+Return!B1177,),1,2,Return!E1177&amp;"(")&amp;")","")</f>
        <v>v(var, [var], …)</v>
      </c>
      <c r="M1177" s="1"/>
    </row>
    <row r="1178" spans="1:13" x14ac:dyDescent="0.55000000000000004">
      <c r="A1178" s="1" t="s">
        <v>1804</v>
      </c>
      <c r="B1178" t="s">
        <v>1212</v>
      </c>
      <c r="C1178" s="2">
        <f>Return!C1178</f>
        <v>1</v>
      </c>
      <c r="D1178" s="2">
        <f>COUNTA(Argument!E1178)</f>
        <v>1</v>
      </c>
      <c r="E1178" s="2" t="str">
        <f>IF(C1178,Return!D1178,Return!E1178)</f>
        <v>var</v>
      </c>
      <c r="F1178" s="2" t="str">
        <f t="shared" si="54"/>
        <v>var</v>
      </c>
      <c r="G1178" s="2" t="str">
        <f t="shared" si="56"/>
        <v>var</v>
      </c>
      <c r="H1178" s="2" t="str">
        <f t="shared" si="55"/>
        <v>, var</v>
      </c>
      <c r="I1178" s="2" t="str">
        <f>IF(Return!C1178=0,REPLACE(INDEX(H:H,ROW()+Return!B1178,),1,2,Return!E1178&amp;"(")&amp;")","")</f>
        <v/>
      </c>
      <c r="M1178" s="1"/>
    </row>
    <row r="1179" spans="1:13" x14ac:dyDescent="0.55000000000000004">
      <c r="A1179" s="1" t="s">
        <v>1804</v>
      </c>
      <c r="B1179" t="s">
        <v>1213</v>
      </c>
      <c r="C1179" s="2">
        <f>Return!C1179</f>
        <v>2</v>
      </c>
      <c r="D1179" s="2">
        <f>COUNTA(Argument!E1179)</f>
        <v>1</v>
      </c>
      <c r="E1179" s="2" t="str">
        <f>IF(C1179,Return!D1179,Return!E1179)</f>
        <v>var</v>
      </c>
      <c r="F1179" s="2" t="str">
        <f t="shared" si="54"/>
        <v>[var]</v>
      </c>
      <c r="G1179" s="2" t="str">
        <f t="shared" si="56"/>
        <v>[var]</v>
      </c>
      <c r="H1179" s="2" t="str">
        <f t="shared" si="55"/>
        <v>, var, [var]</v>
      </c>
      <c r="I1179" s="2" t="str">
        <f>IF(Return!C1179=0,REPLACE(INDEX(H:H,ROW()+Return!B1179,),1,2,Return!E1179&amp;"(")&amp;")","")</f>
        <v/>
      </c>
      <c r="M1179" s="1"/>
    </row>
    <row r="1180" spans="1:13" x14ac:dyDescent="0.55000000000000004">
      <c r="A1180" s="1" t="s">
        <v>1804</v>
      </c>
      <c r="B1180" t="s">
        <v>1214</v>
      </c>
      <c r="C1180" s="2">
        <f>Return!C1180</f>
        <v>3</v>
      </c>
      <c r="D1180" s="2">
        <f>COUNTA(Argument!E1180)</f>
        <v>1</v>
      </c>
      <c r="E1180" s="2" t="str">
        <f>IF(C1180,Return!D1180,Return!E1180)</f>
        <v>var</v>
      </c>
      <c r="F1180" s="2" t="str">
        <f t="shared" si="54"/>
        <v>[var]</v>
      </c>
      <c r="G1180" s="2" t="str">
        <f t="shared" si="56"/>
        <v>…</v>
      </c>
      <c r="H1180" s="2" t="str">
        <f t="shared" si="55"/>
        <v>, var, [var], …</v>
      </c>
      <c r="I1180" s="2" t="str">
        <f>IF(Return!C1180=0,REPLACE(INDEX(H:H,ROW()+Return!B1180,),1,2,Return!E1180&amp;"(")&amp;")","")</f>
        <v/>
      </c>
      <c r="M1180" s="1"/>
    </row>
    <row r="1181" spans="1:13" x14ac:dyDescent="0.55000000000000004">
      <c r="A1181" s="1" t="s">
        <v>1805</v>
      </c>
      <c r="C1181" s="2">
        <f>Return!C1181</f>
        <v>0</v>
      </c>
      <c r="D1181" s="2">
        <f>COUNTA(Argument!E1181)</f>
        <v>0</v>
      </c>
      <c r="E1181" s="2" t="str">
        <f>IF(C1181,Return!D1181,Return!E1181)</f>
        <v>v</v>
      </c>
      <c r="F1181" s="2" t="str">
        <f t="shared" si="54"/>
        <v/>
      </c>
      <c r="G1181" s="2" t="str">
        <f t="shared" si="56"/>
        <v/>
      </c>
      <c r="H1181" s="2" t="str">
        <f t="shared" si="55"/>
        <v/>
      </c>
      <c r="I1181" s="2" t="str">
        <f>IF(Return!C1181=0,REPLACE(INDEX(H:H,ROW()+Return!B1181,),1,2,Return!E1181&amp;"(")&amp;")","")</f>
        <v>v(var, [var], …)</v>
      </c>
      <c r="M1181" s="1"/>
    </row>
    <row r="1182" spans="1:13" x14ac:dyDescent="0.55000000000000004">
      <c r="A1182" s="1" t="s">
        <v>1805</v>
      </c>
      <c r="B1182" t="s">
        <v>1212</v>
      </c>
      <c r="C1182" s="2">
        <f>Return!C1182</f>
        <v>1</v>
      </c>
      <c r="D1182" s="2">
        <f>COUNTA(Argument!E1182)</f>
        <v>1</v>
      </c>
      <c r="E1182" s="2" t="str">
        <f>IF(C1182,Return!D1182,Return!E1182)</f>
        <v>var</v>
      </c>
      <c r="F1182" s="2" t="str">
        <f t="shared" si="54"/>
        <v>var</v>
      </c>
      <c r="G1182" s="2" t="str">
        <f t="shared" si="56"/>
        <v>var</v>
      </c>
      <c r="H1182" s="2" t="str">
        <f t="shared" si="55"/>
        <v>, var</v>
      </c>
      <c r="I1182" s="2" t="str">
        <f>IF(Return!C1182=0,REPLACE(INDEX(H:H,ROW()+Return!B1182,),1,2,Return!E1182&amp;"(")&amp;")","")</f>
        <v/>
      </c>
      <c r="M1182" s="1"/>
    </row>
    <row r="1183" spans="1:13" x14ac:dyDescent="0.55000000000000004">
      <c r="A1183" s="1" t="s">
        <v>1805</v>
      </c>
      <c r="B1183" t="s">
        <v>1213</v>
      </c>
      <c r="C1183" s="2">
        <f>Return!C1183</f>
        <v>2</v>
      </c>
      <c r="D1183" s="2">
        <f>COUNTA(Argument!E1183)</f>
        <v>1</v>
      </c>
      <c r="E1183" s="2" t="str">
        <f>IF(C1183,Return!D1183,Return!E1183)</f>
        <v>var</v>
      </c>
      <c r="F1183" s="2" t="str">
        <f t="shared" si="54"/>
        <v>[var]</v>
      </c>
      <c r="G1183" s="2" t="str">
        <f t="shared" si="56"/>
        <v>[var]</v>
      </c>
      <c r="H1183" s="2" t="str">
        <f t="shared" si="55"/>
        <v>, var, [var]</v>
      </c>
      <c r="I1183" s="2" t="str">
        <f>IF(Return!C1183=0,REPLACE(INDEX(H:H,ROW()+Return!B1183,),1,2,Return!E1183&amp;"(")&amp;")","")</f>
        <v/>
      </c>
      <c r="M1183" s="1"/>
    </row>
    <row r="1184" spans="1:13" x14ac:dyDescent="0.55000000000000004">
      <c r="A1184" s="1" t="s">
        <v>1805</v>
      </c>
      <c r="B1184" t="s">
        <v>1214</v>
      </c>
      <c r="C1184" s="2">
        <f>Return!C1184</f>
        <v>3</v>
      </c>
      <c r="D1184" s="2">
        <f>COUNTA(Argument!E1184)</f>
        <v>1</v>
      </c>
      <c r="E1184" s="2" t="str">
        <f>IF(C1184,Return!D1184,Return!E1184)</f>
        <v>var</v>
      </c>
      <c r="F1184" s="2" t="str">
        <f t="shared" si="54"/>
        <v>[var]</v>
      </c>
      <c r="G1184" s="2" t="str">
        <f t="shared" si="56"/>
        <v>…</v>
      </c>
      <c r="H1184" s="2" t="str">
        <f t="shared" si="55"/>
        <v>, var, [var], …</v>
      </c>
      <c r="I1184" s="2" t="str">
        <f>IF(Return!C1184=0,REPLACE(INDEX(H:H,ROW()+Return!B1184,),1,2,Return!E1184&amp;"(")&amp;")","")</f>
        <v/>
      </c>
      <c r="M1184" s="1"/>
    </row>
    <row r="1185" spans="1:13" x14ac:dyDescent="0.55000000000000004">
      <c r="A1185" s="1" t="s">
        <v>1806</v>
      </c>
      <c r="C1185" s="2">
        <f>Return!C1185</f>
        <v>0</v>
      </c>
      <c r="D1185" s="2">
        <f>COUNTA(Argument!E1185)</f>
        <v>0</v>
      </c>
      <c r="E1185" s="2" t="str">
        <f>IF(C1185,Return!D1185,Return!E1185)</f>
        <v>v</v>
      </c>
      <c r="F1185" s="2" t="str">
        <f t="shared" si="54"/>
        <v/>
      </c>
      <c r="G1185" s="2" t="str">
        <f t="shared" si="56"/>
        <v/>
      </c>
      <c r="H1185" s="2" t="str">
        <f t="shared" si="55"/>
        <v/>
      </c>
      <c r="I1185" s="2" t="str">
        <f>IF(Return!C1185=0,REPLACE(INDEX(H:H,ROW()+Return!B1185,),1,2,Return!E1185&amp;"(")&amp;")","")</f>
        <v>v(var, [var], …)</v>
      </c>
      <c r="M1185" s="1"/>
    </row>
    <row r="1186" spans="1:13" x14ac:dyDescent="0.55000000000000004">
      <c r="A1186" s="1" t="s">
        <v>1806</v>
      </c>
      <c r="B1186" t="s">
        <v>1212</v>
      </c>
      <c r="C1186" s="2">
        <f>Return!C1186</f>
        <v>1</v>
      </c>
      <c r="D1186" s="2">
        <f>COUNTA(Argument!E1186)</f>
        <v>1</v>
      </c>
      <c r="E1186" s="2" t="str">
        <f>IF(C1186,Return!D1186,Return!E1186)</f>
        <v>var</v>
      </c>
      <c r="F1186" s="2" t="str">
        <f t="shared" si="54"/>
        <v>var</v>
      </c>
      <c r="G1186" s="2" t="str">
        <f t="shared" si="56"/>
        <v>var</v>
      </c>
      <c r="H1186" s="2" t="str">
        <f t="shared" si="55"/>
        <v>, var</v>
      </c>
      <c r="I1186" s="2" t="str">
        <f>IF(Return!C1186=0,REPLACE(INDEX(H:H,ROW()+Return!B1186,),1,2,Return!E1186&amp;"(")&amp;")","")</f>
        <v/>
      </c>
      <c r="M1186" s="1"/>
    </row>
    <row r="1187" spans="1:13" x14ac:dyDescent="0.55000000000000004">
      <c r="A1187" s="1" t="s">
        <v>1806</v>
      </c>
      <c r="B1187" t="s">
        <v>1213</v>
      </c>
      <c r="C1187" s="2">
        <f>Return!C1187</f>
        <v>2</v>
      </c>
      <c r="D1187" s="2">
        <f>COUNTA(Argument!E1187)</f>
        <v>1</v>
      </c>
      <c r="E1187" s="2" t="str">
        <f>IF(C1187,Return!D1187,Return!E1187)</f>
        <v>var</v>
      </c>
      <c r="F1187" s="2" t="str">
        <f t="shared" si="54"/>
        <v>[var]</v>
      </c>
      <c r="G1187" s="2" t="str">
        <f t="shared" si="56"/>
        <v>[var]</v>
      </c>
      <c r="H1187" s="2" t="str">
        <f t="shared" si="55"/>
        <v>, var, [var]</v>
      </c>
      <c r="I1187" s="2" t="str">
        <f>IF(Return!C1187=0,REPLACE(INDEX(H:H,ROW()+Return!B1187,),1,2,Return!E1187&amp;"(")&amp;")","")</f>
        <v/>
      </c>
      <c r="M1187" s="1"/>
    </row>
    <row r="1188" spans="1:13" x14ac:dyDescent="0.55000000000000004">
      <c r="A1188" s="1" t="s">
        <v>1806</v>
      </c>
      <c r="B1188" t="s">
        <v>1214</v>
      </c>
      <c r="C1188" s="2">
        <f>Return!C1188</f>
        <v>3</v>
      </c>
      <c r="D1188" s="2">
        <f>COUNTA(Argument!E1188)</f>
        <v>1</v>
      </c>
      <c r="E1188" s="2" t="str">
        <f>IF(C1188,Return!D1188,Return!E1188)</f>
        <v>var</v>
      </c>
      <c r="F1188" s="2" t="str">
        <f t="shared" si="54"/>
        <v>[var]</v>
      </c>
      <c r="G1188" s="2" t="str">
        <f t="shared" si="56"/>
        <v>…</v>
      </c>
      <c r="H1188" s="2" t="str">
        <f t="shared" si="55"/>
        <v>, var, [var], …</v>
      </c>
      <c r="I1188" s="2" t="str">
        <f>IF(Return!C1188=0,REPLACE(INDEX(H:H,ROW()+Return!B1188,),1,2,Return!E1188&amp;"(")&amp;")","")</f>
        <v/>
      </c>
      <c r="M1188" s="1"/>
    </row>
    <row r="1189" spans="1:13" x14ac:dyDescent="0.55000000000000004">
      <c r="A1189" s="1" t="s">
        <v>1807</v>
      </c>
      <c r="C1189" s="2">
        <f>Return!C1189</f>
        <v>0</v>
      </c>
      <c r="D1189" s="2">
        <f>COUNTA(Argument!E1189)</f>
        <v>0</v>
      </c>
      <c r="E1189" s="2" t="str">
        <f>IF(C1189,Return!D1189,Return!E1189)</f>
        <v>v</v>
      </c>
      <c r="F1189" s="2" t="str">
        <f t="shared" si="54"/>
        <v/>
      </c>
      <c r="G1189" s="2" t="str">
        <f t="shared" si="56"/>
        <v/>
      </c>
      <c r="H1189" s="2" t="str">
        <f t="shared" si="55"/>
        <v/>
      </c>
      <c r="I1189" s="2" t="str">
        <f>IF(Return!C1189=0,REPLACE(INDEX(H:H,ROW()+Return!B1189,),1,2,Return!E1189&amp;"(")&amp;")","")</f>
        <v>v(var, [var], …)</v>
      </c>
      <c r="M1189" s="1"/>
    </row>
    <row r="1190" spans="1:13" x14ac:dyDescent="0.55000000000000004">
      <c r="A1190" s="1" t="s">
        <v>1807</v>
      </c>
      <c r="B1190" t="s">
        <v>1212</v>
      </c>
      <c r="C1190" s="2">
        <f>Return!C1190</f>
        <v>1</v>
      </c>
      <c r="D1190" s="2">
        <f>COUNTA(Argument!E1190)</f>
        <v>1</v>
      </c>
      <c r="E1190" s="2" t="str">
        <f>IF(C1190,Return!D1190,Return!E1190)</f>
        <v>var</v>
      </c>
      <c r="F1190" s="2" t="str">
        <f t="shared" si="54"/>
        <v>var</v>
      </c>
      <c r="G1190" s="2" t="str">
        <f t="shared" si="56"/>
        <v>var</v>
      </c>
      <c r="H1190" s="2" t="str">
        <f t="shared" si="55"/>
        <v>, var</v>
      </c>
      <c r="I1190" s="2" t="str">
        <f>IF(Return!C1190=0,REPLACE(INDEX(H:H,ROW()+Return!B1190,),1,2,Return!E1190&amp;"(")&amp;")","")</f>
        <v/>
      </c>
      <c r="M1190" s="1"/>
    </row>
    <row r="1191" spans="1:13" x14ac:dyDescent="0.55000000000000004">
      <c r="A1191" s="1" t="s">
        <v>1807</v>
      </c>
      <c r="B1191" t="s">
        <v>1213</v>
      </c>
      <c r="C1191" s="2">
        <f>Return!C1191</f>
        <v>2</v>
      </c>
      <c r="D1191" s="2">
        <f>COUNTA(Argument!E1191)</f>
        <v>1</v>
      </c>
      <c r="E1191" s="2" t="str">
        <f>IF(C1191,Return!D1191,Return!E1191)</f>
        <v>var</v>
      </c>
      <c r="F1191" s="2" t="str">
        <f t="shared" si="54"/>
        <v>[var]</v>
      </c>
      <c r="G1191" s="2" t="str">
        <f t="shared" si="56"/>
        <v>[var]</v>
      </c>
      <c r="H1191" s="2" t="str">
        <f t="shared" si="55"/>
        <v>, var, [var]</v>
      </c>
      <c r="I1191" s="2" t="str">
        <f>IF(Return!C1191=0,REPLACE(INDEX(H:H,ROW()+Return!B1191,),1,2,Return!E1191&amp;"(")&amp;")","")</f>
        <v/>
      </c>
      <c r="M1191" s="1"/>
    </row>
    <row r="1192" spans="1:13" x14ac:dyDescent="0.55000000000000004">
      <c r="A1192" s="1" t="s">
        <v>1807</v>
      </c>
      <c r="B1192" t="s">
        <v>1214</v>
      </c>
      <c r="C1192" s="2">
        <f>Return!C1192</f>
        <v>3</v>
      </c>
      <c r="D1192" s="2">
        <f>COUNTA(Argument!E1192)</f>
        <v>1</v>
      </c>
      <c r="E1192" s="2" t="str">
        <f>IF(C1192,Return!D1192,Return!E1192)</f>
        <v>var</v>
      </c>
      <c r="F1192" s="2" t="str">
        <f t="shared" si="54"/>
        <v>[var]</v>
      </c>
      <c r="G1192" s="2" t="str">
        <f t="shared" si="56"/>
        <v>…</v>
      </c>
      <c r="H1192" s="2" t="str">
        <f t="shared" si="55"/>
        <v>, var, [var], …</v>
      </c>
      <c r="I1192" s="2" t="str">
        <f>IF(Return!C1192=0,REPLACE(INDEX(H:H,ROW()+Return!B1192,),1,2,Return!E1192&amp;"(")&amp;")","")</f>
        <v/>
      </c>
      <c r="M1192" s="1"/>
    </row>
    <row r="1193" spans="1:13" x14ac:dyDescent="0.55000000000000004">
      <c r="A1193" s="1" t="s">
        <v>1808</v>
      </c>
      <c r="C1193" s="2">
        <f>Return!C1193</f>
        <v>0</v>
      </c>
      <c r="D1193" s="2">
        <f>COUNTA(Argument!E1193)</f>
        <v>0</v>
      </c>
      <c r="E1193" s="2" t="str">
        <f>IF(C1193,Return!D1193,Return!E1193)</f>
        <v>v</v>
      </c>
      <c r="F1193" s="2" t="str">
        <f t="shared" si="54"/>
        <v/>
      </c>
      <c r="G1193" s="2" t="str">
        <f t="shared" si="56"/>
        <v/>
      </c>
      <c r="H1193" s="2" t="str">
        <f t="shared" si="55"/>
        <v/>
      </c>
      <c r="I1193" s="2" t="str">
        <f>IF(Return!C1193=0,REPLACE(INDEX(H:H,ROW()+Return!B1193,),1,2,Return!E1193&amp;"(")&amp;")","")</f>
        <v>v(var, [var], …)</v>
      </c>
      <c r="M1193" s="1"/>
    </row>
    <row r="1194" spans="1:13" x14ac:dyDescent="0.55000000000000004">
      <c r="A1194" s="1" t="s">
        <v>1808</v>
      </c>
      <c r="B1194" t="s">
        <v>1212</v>
      </c>
      <c r="C1194" s="2">
        <f>Return!C1194</f>
        <v>1</v>
      </c>
      <c r="D1194" s="2">
        <f>COUNTA(Argument!E1194)</f>
        <v>1</v>
      </c>
      <c r="E1194" s="2" t="str">
        <f>IF(C1194,Return!D1194,Return!E1194)</f>
        <v>var</v>
      </c>
      <c r="F1194" s="2" t="str">
        <f t="shared" si="54"/>
        <v>var</v>
      </c>
      <c r="G1194" s="2" t="str">
        <f t="shared" si="56"/>
        <v>var</v>
      </c>
      <c r="H1194" s="2" t="str">
        <f t="shared" si="55"/>
        <v>, var</v>
      </c>
      <c r="I1194" s="2" t="str">
        <f>IF(Return!C1194=0,REPLACE(INDEX(H:H,ROW()+Return!B1194,),1,2,Return!E1194&amp;"(")&amp;")","")</f>
        <v/>
      </c>
      <c r="M1194" s="1"/>
    </row>
    <row r="1195" spans="1:13" x14ac:dyDescent="0.55000000000000004">
      <c r="A1195" s="1" t="s">
        <v>1808</v>
      </c>
      <c r="B1195" t="s">
        <v>1213</v>
      </c>
      <c r="C1195" s="2">
        <f>Return!C1195</f>
        <v>2</v>
      </c>
      <c r="D1195" s="2">
        <f>COUNTA(Argument!E1195)</f>
        <v>1</v>
      </c>
      <c r="E1195" s="2" t="str">
        <f>IF(C1195,Return!D1195,Return!E1195)</f>
        <v>var</v>
      </c>
      <c r="F1195" s="2" t="str">
        <f t="shared" si="54"/>
        <v>[var]</v>
      </c>
      <c r="G1195" s="2" t="str">
        <f t="shared" si="56"/>
        <v>[var]</v>
      </c>
      <c r="H1195" s="2" t="str">
        <f t="shared" si="55"/>
        <v>, var, [var]</v>
      </c>
      <c r="I1195" s="2" t="str">
        <f>IF(Return!C1195=0,REPLACE(INDEX(H:H,ROW()+Return!B1195,),1,2,Return!E1195&amp;"(")&amp;")","")</f>
        <v/>
      </c>
      <c r="M1195" s="1"/>
    </row>
    <row r="1196" spans="1:13" x14ac:dyDescent="0.55000000000000004">
      <c r="A1196" s="1" t="s">
        <v>1808</v>
      </c>
      <c r="B1196" t="s">
        <v>1214</v>
      </c>
      <c r="C1196" s="2">
        <f>Return!C1196</f>
        <v>3</v>
      </c>
      <c r="D1196" s="2">
        <f>COUNTA(Argument!E1196)</f>
        <v>1</v>
      </c>
      <c r="E1196" s="2" t="str">
        <f>IF(C1196,Return!D1196,Return!E1196)</f>
        <v>var</v>
      </c>
      <c r="F1196" s="2" t="str">
        <f t="shared" si="54"/>
        <v>[var]</v>
      </c>
      <c r="G1196" s="2" t="str">
        <f t="shared" si="56"/>
        <v>…</v>
      </c>
      <c r="H1196" s="2" t="str">
        <f t="shared" si="55"/>
        <v>, var, [var], …</v>
      </c>
      <c r="I1196" s="2" t="str">
        <f>IF(Return!C1196=0,REPLACE(INDEX(H:H,ROW()+Return!B1196,),1,2,Return!E1196&amp;"(")&amp;")","")</f>
        <v/>
      </c>
      <c r="M1196" s="1"/>
    </row>
    <row r="1197" spans="1:13" x14ac:dyDescent="0.55000000000000004">
      <c r="A1197" s="1" t="s">
        <v>1809</v>
      </c>
      <c r="C1197" s="2">
        <f>Return!C1197</f>
        <v>0</v>
      </c>
      <c r="D1197" s="2">
        <f>COUNTA(Argument!E1197)</f>
        <v>0</v>
      </c>
      <c r="E1197" s="2" t="str">
        <f>IF(C1197,Return!D1197,Return!E1197)</f>
        <v>v</v>
      </c>
      <c r="F1197" s="2" t="str">
        <f t="shared" si="54"/>
        <v/>
      </c>
      <c r="G1197" s="2" t="str">
        <f t="shared" si="56"/>
        <v/>
      </c>
      <c r="H1197" s="2" t="str">
        <f t="shared" si="55"/>
        <v/>
      </c>
      <c r="I1197" s="2" t="str">
        <f>IF(Return!C1197=0,REPLACE(INDEX(H:H,ROW()+Return!B1197,),1,2,Return!E1197&amp;"(")&amp;")","")</f>
        <v>v(var, [var], …)</v>
      </c>
      <c r="M1197" s="1"/>
    </row>
    <row r="1198" spans="1:13" x14ac:dyDescent="0.55000000000000004">
      <c r="A1198" s="1" t="s">
        <v>1809</v>
      </c>
      <c r="B1198" t="s">
        <v>1212</v>
      </c>
      <c r="C1198" s="2">
        <f>Return!C1198</f>
        <v>1</v>
      </c>
      <c r="D1198" s="2">
        <f>COUNTA(Argument!E1198)</f>
        <v>1</v>
      </c>
      <c r="E1198" s="2" t="str">
        <f>IF(C1198,Return!D1198,Return!E1198)</f>
        <v>var</v>
      </c>
      <c r="F1198" s="2" t="str">
        <f t="shared" si="54"/>
        <v>var</v>
      </c>
      <c r="G1198" s="2" t="str">
        <f t="shared" si="56"/>
        <v>var</v>
      </c>
      <c r="H1198" s="2" t="str">
        <f t="shared" si="55"/>
        <v>, var</v>
      </c>
      <c r="I1198" s="2" t="str">
        <f>IF(Return!C1198=0,REPLACE(INDEX(H:H,ROW()+Return!B1198,),1,2,Return!E1198&amp;"(")&amp;")","")</f>
        <v/>
      </c>
      <c r="M1198" s="1"/>
    </row>
    <row r="1199" spans="1:13" x14ac:dyDescent="0.55000000000000004">
      <c r="A1199" s="1" t="s">
        <v>1809</v>
      </c>
      <c r="B1199" t="s">
        <v>1213</v>
      </c>
      <c r="C1199" s="2">
        <f>Return!C1199</f>
        <v>2</v>
      </c>
      <c r="D1199" s="2">
        <f>COUNTA(Argument!E1199)</f>
        <v>1</v>
      </c>
      <c r="E1199" s="2" t="str">
        <f>IF(C1199,Return!D1199,Return!E1199)</f>
        <v>var</v>
      </c>
      <c r="F1199" s="2" t="str">
        <f t="shared" si="54"/>
        <v>[var]</v>
      </c>
      <c r="G1199" s="2" t="str">
        <f t="shared" si="56"/>
        <v>[var]</v>
      </c>
      <c r="H1199" s="2" t="str">
        <f t="shared" si="55"/>
        <v>, var, [var]</v>
      </c>
      <c r="I1199" s="2" t="str">
        <f>IF(Return!C1199=0,REPLACE(INDEX(H:H,ROW()+Return!B1199,),1,2,Return!E1199&amp;"(")&amp;")","")</f>
        <v/>
      </c>
      <c r="M1199" s="1"/>
    </row>
    <row r="1200" spans="1:13" x14ac:dyDescent="0.55000000000000004">
      <c r="A1200" s="1" t="s">
        <v>1809</v>
      </c>
      <c r="B1200" t="s">
        <v>1214</v>
      </c>
      <c r="C1200" s="2">
        <f>Return!C1200</f>
        <v>3</v>
      </c>
      <c r="D1200" s="2">
        <f>COUNTA(Argument!E1200)</f>
        <v>1</v>
      </c>
      <c r="E1200" s="2" t="str">
        <f>IF(C1200,Return!D1200,Return!E1200)</f>
        <v>var</v>
      </c>
      <c r="F1200" s="2" t="str">
        <f t="shared" si="54"/>
        <v>[var]</v>
      </c>
      <c r="G1200" s="2" t="str">
        <f t="shared" si="56"/>
        <v>…</v>
      </c>
      <c r="H1200" s="2" t="str">
        <f t="shared" si="55"/>
        <v>, var, [var], …</v>
      </c>
      <c r="I1200" s="2" t="str">
        <f>IF(Return!C1200=0,REPLACE(INDEX(H:H,ROW()+Return!B1200,),1,2,Return!E1200&amp;"(")&amp;")","")</f>
        <v/>
      </c>
      <c r="M1200" s="1"/>
    </row>
    <row r="1201" spans="1:13" x14ac:dyDescent="0.55000000000000004">
      <c r="A1201" s="1" t="s">
        <v>1810</v>
      </c>
      <c r="C1201" s="2">
        <f>Return!C1201</f>
        <v>0</v>
      </c>
      <c r="D1201" s="2">
        <f>COUNTA(Argument!E1201)</f>
        <v>0</v>
      </c>
      <c r="E1201" s="2" t="str">
        <f>IF(C1201,Return!D1201,Return!E1201)</f>
        <v>v</v>
      </c>
      <c r="F1201" s="2" t="str">
        <f t="shared" si="54"/>
        <v/>
      </c>
      <c r="G1201" s="2" t="str">
        <f t="shared" si="56"/>
        <v/>
      </c>
      <c r="H1201" s="2" t="str">
        <f t="shared" si="55"/>
        <v/>
      </c>
      <c r="I1201" s="2" t="str">
        <f>IF(Return!C1201=0,REPLACE(INDEX(H:H,ROW()+Return!B1201,),1,2,Return!E1201&amp;"(")&amp;")","")</f>
        <v>v(v)</v>
      </c>
      <c r="M1201" s="1"/>
    </row>
    <row r="1202" spans="1:13" x14ac:dyDescent="0.55000000000000004">
      <c r="A1202" s="1" t="s">
        <v>1810</v>
      </c>
      <c r="B1202" t="s">
        <v>1223</v>
      </c>
      <c r="C1202" s="2">
        <f>Return!C1202</f>
        <v>1</v>
      </c>
      <c r="D1202" s="2">
        <f>COUNTA(Argument!E1202)</f>
        <v>1</v>
      </c>
      <c r="E1202" s="2" t="str">
        <f>IF(C1202,Return!D1202,Return!E1202)</f>
        <v>v</v>
      </c>
      <c r="F1202" s="2" t="str">
        <f t="shared" si="54"/>
        <v>v</v>
      </c>
      <c r="G1202" s="2" t="str">
        <f t="shared" si="56"/>
        <v>v</v>
      </c>
      <c r="H1202" s="2" t="str">
        <f t="shared" si="55"/>
        <v>, v</v>
      </c>
      <c r="I1202" s="2" t="str">
        <f>IF(Return!C1202=0,REPLACE(INDEX(H:H,ROW()+Return!B1202,),1,2,Return!E1202&amp;"(")&amp;")","")</f>
        <v/>
      </c>
      <c r="M1202" s="1"/>
    </row>
    <row r="1203" spans="1:13" x14ac:dyDescent="0.55000000000000004">
      <c r="A1203" s="1" t="s">
        <v>1811</v>
      </c>
      <c r="C1203" s="2">
        <f>Return!C1203</f>
        <v>0</v>
      </c>
      <c r="D1203" s="2">
        <f>COUNTA(Argument!E1203)</f>
        <v>0</v>
      </c>
      <c r="E1203" s="2" t="str">
        <f>IF(C1203,Return!D1203,Return!E1203)</f>
        <v>v</v>
      </c>
      <c r="F1203" s="2" t="str">
        <f t="shared" si="54"/>
        <v/>
      </c>
      <c r="G1203" s="2" t="str">
        <f t="shared" si="56"/>
        <v/>
      </c>
      <c r="H1203" s="2" t="str">
        <f t="shared" si="55"/>
        <v/>
      </c>
      <c r="I1203" s="2" t="str">
        <f>IF(Return!C1203=0,REPLACE(INDEX(H:H,ROW()+Return!B1203,),1,2,Return!E1203&amp;"(")&amp;")","")</f>
        <v>v(v)</v>
      </c>
      <c r="M1203" s="1"/>
    </row>
    <row r="1204" spans="1:13" x14ac:dyDescent="0.55000000000000004">
      <c r="A1204" s="1" t="s">
        <v>1811</v>
      </c>
      <c r="B1204" t="s">
        <v>1223</v>
      </c>
      <c r="C1204" s="2">
        <f>Return!C1204</f>
        <v>1</v>
      </c>
      <c r="D1204" s="2">
        <f>COUNTA(Argument!E1204)</f>
        <v>1</v>
      </c>
      <c r="E1204" s="2" t="str">
        <f>IF(C1204,Return!D1204,Return!E1204)</f>
        <v>v</v>
      </c>
      <c r="F1204" s="2" t="str">
        <f t="shared" si="54"/>
        <v>v</v>
      </c>
      <c r="G1204" s="2" t="str">
        <f t="shared" si="56"/>
        <v>v</v>
      </c>
      <c r="H1204" s="2" t="str">
        <f t="shared" si="55"/>
        <v>, v</v>
      </c>
      <c r="I1204" s="2" t="str">
        <f>IF(Return!C1204=0,REPLACE(INDEX(H:H,ROW()+Return!B1204,),1,2,Return!E1204&amp;"(")&amp;")","")</f>
        <v/>
      </c>
      <c r="M1204" s="1"/>
    </row>
    <row r="1205" spans="1:13" x14ac:dyDescent="0.55000000000000004">
      <c r="A1205" s="1" t="s">
        <v>1812</v>
      </c>
      <c r="C1205" s="2">
        <f>Return!C1205</f>
        <v>0</v>
      </c>
      <c r="D1205" s="2">
        <f>COUNTA(Argument!E1205)</f>
        <v>0</v>
      </c>
      <c r="E1205" s="2" t="str">
        <f>IF(C1205,Return!D1205,Return!E1205)</f>
        <v>v</v>
      </c>
      <c r="F1205" s="2" t="str">
        <f t="shared" si="54"/>
        <v/>
      </c>
      <c r="G1205" s="2" t="str">
        <f t="shared" si="56"/>
        <v/>
      </c>
      <c r="H1205" s="2" t="str">
        <f t="shared" si="55"/>
        <v/>
      </c>
      <c r="I1205" s="2" t="str">
        <f>IF(Return!C1205=0,REPLACE(INDEX(H:H,ROW()+Return!B1205,),1,2,Return!E1205&amp;"(")&amp;")","")</f>
        <v>v(v)</v>
      </c>
      <c r="M1205" s="1"/>
    </row>
    <row r="1206" spans="1:13" x14ac:dyDescent="0.55000000000000004">
      <c r="A1206" s="1" t="s">
        <v>1812</v>
      </c>
      <c r="B1206" t="s">
        <v>1223</v>
      </c>
      <c r="C1206" s="2">
        <f>Return!C1206</f>
        <v>1</v>
      </c>
      <c r="D1206" s="2">
        <f>COUNTA(Argument!E1206)</f>
        <v>1</v>
      </c>
      <c r="E1206" s="2" t="str">
        <f>IF(C1206,Return!D1206,Return!E1206)</f>
        <v>v</v>
      </c>
      <c r="F1206" s="2" t="str">
        <f t="shared" si="54"/>
        <v>v</v>
      </c>
      <c r="G1206" s="2" t="str">
        <f t="shared" si="56"/>
        <v>v</v>
      </c>
      <c r="H1206" s="2" t="str">
        <f t="shared" si="55"/>
        <v>, v</v>
      </c>
      <c r="I1206" s="2" t="str">
        <f>IF(Return!C1206=0,REPLACE(INDEX(H:H,ROW()+Return!B1206,),1,2,Return!E1206&amp;"(")&amp;")","")</f>
        <v/>
      </c>
      <c r="M1206" s="1"/>
    </row>
    <row r="1207" spans="1:13" x14ac:dyDescent="0.55000000000000004">
      <c r="A1207" s="1" t="s">
        <v>1813</v>
      </c>
      <c r="C1207" s="2">
        <f>Return!C1207</f>
        <v>0</v>
      </c>
      <c r="D1207" s="2">
        <f>COUNTA(Argument!E1207)</f>
        <v>0</v>
      </c>
      <c r="E1207" s="2" t="str">
        <f>IF(C1207,Return!D1207,Return!E1207)</f>
        <v>v</v>
      </c>
      <c r="F1207" s="2" t="str">
        <f t="shared" si="54"/>
        <v/>
      </c>
      <c r="G1207" s="2" t="str">
        <f t="shared" si="56"/>
        <v/>
      </c>
      <c r="H1207" s="2" t="str">
        <f t="shared" si="55"/>
        <v/>
      </c>
      <c r="I1207" s="2" t="str">
        <f>IF(Return!C1207=0,REPLACE(INDEX(H:H,ROW()+Return!B1207,),1,2,Return!E1207&amp;"(")&amp;")","")</f>
        <v>v(v)</v>
      </c>
      <c r="M1207" s="1"/>
    </row>
    <row r="1208" spans="1:13" x14ac:dyDescent="0.55000000000000004">
      <c r="A1208" s="1" t="s">
        <v>1813</v>
      </c>
      <c r="B1208" t="s">
        <v>1223</v>
      </c>
      <c r="C1208" s="2">
        <f>Return!C1208</f>
        <v>1</v>
      </c>
      <c r="D1208" s="2">
        <f>COUNTA(Argument!E1208)</f>
        <v>1</v>
      </c>
      <c r="E1208" s="2" t="str">
        <f>IF(C1208,Return!D1208,Return!E1208)</f>
        <v>v</v>
      </c>
      <c r="F1208" s="2" t="str">
        <f t="shared" si="54"/>
        <v>v</v>
      </c>
      <c r="G1208" s="2" t="str">
        <f t="shared" si="56"/>
        <v>v</v>
      </c>
      <c r="H1208" s="2" t="str">
        <f t="shared" si="55"/>
        <v>, v</v>
      </c>
      <c r="I1208" s="2" t="str">
        <f>IF(Return!C1208=0,REPLACE(INDEX(H:H,ROW()+Return!B1208,),1,2,Return!E1208&amp;"(")&amp;")","")</f>
        <v/>
      </c>
      <c r="M1208" s="1"/>
    </row>
    <row r="1209" spans="1:13" x14ac:dyDescent="0.55000000000000004">
      <c r="A1209" s="1" t="s">
        <v>1814</v>
      </c>
      <c r="C1209" s="2">
        <f>Return!C1209</f>
        <v>0</v>
      </c>
      <c r="D1209" s="2">
        <f>COUNTA(Argument!E1209)</f>
        <v>0</v>
      </c>
      <c r="E1209" s="2" t="str">
        <f>IF(C1209,Return!D1209,Return!E1209)</f>
        <v>v</v>
      </c>
      <c r="F1209" s="2" t="str">
        <f t="shared" si="54"/>
        <v/>
      </c>
      <c r="G1209" s="2" t="str">
        <f t="shared" si="56"/>
        <v/>
      </c>
      <c r="H1209" s="2" t="str">
        <f t="shared" si="55"/>
        <v/>
      </c>
      <c r="I1209" s="2" t="str">
        <f>IF(Return!C1209=0,REPLACE(INDEX(H:H,ROW()+Return!B1209,),1,2,Return!E1209&amp;"(")&amp;")","")</f>
        <v>v(v)</v>
      </c>
      <c r="M1209" s="1"/>
    </row>
    <row r="1210" spans="1:13" x14ac:dyDescent="0.55000000000000004">
      <c r="A1210" s="1" t="s">
        <v>1814</v>
      </c>
      <c r="B1210" t="s">
        <v>1223</v>
      </c>
      <c r="C1210" s="2">
        <f>Return!C1210</f>
        <v>1</v>
      </c>
      <c r="D1210" s="2">
        <f>COUNTA(Argument!E1210)</f>
        <v>1</v>
      </c>
      <c r="E1210" s="2" t="str">
        <f>IF(C1210,Return!D1210,Return!E1210)</f>
        <v>v</v>
      </c>
      <c r="F1210" s="2" t="str">
        <f t="shared" si="54"/>
        <v>v</v>
      </c>
      <c r="G1210" s="2" t="str">
        <f t="shared" si="56"/>
        <v>v</v>
      </c>
      <c r="H1210" s="2" t="str">
        <f t="shared" si="55"/>
        <v>, v</v>
      </c>
      <c r="I1210" s="2" t="str">
        <f>IF(Return!C1210=0,REPLACE(INDEX(H:H,ROW()+Return!B1210,),1,2,Return!E1210&amp;"(")&amp;")","")</f>
        <v/>
      </c>
      <c r="M1210" s="1"/>
    </row>
    <row r="1211" spans="1:13" x14ac:dyDescent="0.55000000000000004">
      <c r="A1211" s="1" t="s">
        <v>1815</v>
      </c>
      <c r="C1211" s="2">
        <f>Return!C1211</f>
        <v>0</v>
      </c>
      <c r="D1211" s="2">
        <f>COUNTA(Argument!E1211)</f>
        <v>0</v>
      </c>
      <c r="E1211" s="2" t="str">
        <f>IF(C1211,Return!D1211,Return!E1211)</f>
        <v>v</v>
      </c>
      <c r="F1211" s="2" t="str">
        <f t="shared" si="54"/>
        <v/>
      </c>
      <c r="G1211" s="2" t="str">
        <f t="shared" si="56"/>
        <v/>
      </c>
      <c r="H1211" s="2" t="str">
        <f t="shared" si="55"/>
        <v/>
      </c>
      <c r="I1211" s="2" t="str">
        <f>IF(Return!C1211=0,REPLACE(INDEX(H:H,ROW()+Return!B1211,),1,2,Return!E1211&amp;"(")&amp;")","")</f>
        <v>v(v)</v>
      </c>
      <c r="M1211" s="1"/>
    </row>
    <row r="1212" spans="1:13" x14ac:dyDescent="0.55000000000000004">
      <c r="A1212" s="1" t="s">
        <v>1815</v>
      </c>
      <c r="B1212" t="s">
        <v>1223</v>
      </c>
      <c r="C1212" s="2">
        <f>Return!C1212</f>
        <v>1</v>
      </c>
      <c r="D1212" s="2">
        <f>COUNTA(Argument!E1212)</f>
        <v>1</v>
      </c>
      <c r="E1212" s="2" t="str">
        <f>IF(C1212,Return!D1212,Return!E1212)</f>
        <v>v</v>
      </c>
      <c r="F1212" s="2" t="str">
        <f t="shared" si="54"/>
        <v>v</v>
      </c>
      <c r="G1212" s="2" t="str">
        <f t="shared" si="56"/>
        <v>v</v>
      </c>
      <c r="H1212" s="2" t="str">
        <f t="shared" si="55"/>
        <v>, v</v>
      </c>
      <c r="I1212" s="2" t="str">
        <f>IF(Return!C1212=0,REPLACE(INDEX(H:H,ROW()+Return!B1212,),1,2,Return!E1212&amp;"(")&amp;")","")</f>
        <v/>
      </c>
      <c r="M1212" s="1"/>
    </row>
    <row r="1213" spans="1:13" x14ac:dyDescent="0.55000000000000004">
      <c r="A1213" s="1" t="s">
        <v>1816</v>
      </c>
      <c r="C1213" s="2">
        <f>Return!C1213</f>
        <v>0</v>
      </c>
      <c r="D1213" s="2">
        <f>COUNTA(Argument!E1213)</f>
        <v>0</v>
      </c>
      <c r="E1213" s="2" t="str">
        <f>IF(C1213,Return!D1213,Return!E1213)</f>
        <v>v</v>
      </c>
      <c r="F1213" s="2" t="str">
        <f t="shared" si="54"/>
        <v/>
      </c>
      <c r="G1213" s="2" t="str">
        <f t="shared" si="56"/>
        <v/>
      </c>
      <c r="H1213" s="2" t="str">
        <f t="shared" si="55"/>
        <v/>
      </c>
      <c r="I1213" s="2" t="str">
        <f>IF(Return!C1213=0,REPLACE(INDEX(H:H,ROW()+Return!B1213,),1,2,Return!E1213&amp;"(")&amp;")","")</f>
        <v>v(v)</v>
      </c>
      <c r="M1213" s="1"/>
    </row>
    <row r="1214" spans="1:13" x14ac:dyDescent="0.55000000000000004">
      <c r="A1214" s="1" t="s">
        <v>1816</v>
      </c>
      <c r="B1214" t="s">
        <v>1233</v>
      </c>
      <c r="C1214" s="2">
        <f>Return!C1214</f>
        <v>1</v>
      </c>
      <c r="D1214" s="2">
        <f>COUNTA(Argument!E1214)</f>
        <v>1</v>
      </c>
      <c r="E1214" s="2" t="str">
        <f>IF(C1214,Return!D1214,Return!E1214)</f>
        <v>v</v>
      </c>
      <c r="F1214" s="2" t="str">
        <f t="shared" si="54"/>
        <v>v</v>
      </c>
      <c r="G1214" s="2" t="str">
        <f t="shared" si="56"/>
        <v>v</v>
      </c>
      <c r="H1214" s="2" t="str">
        <f t="shared" si="55"/>
        <v>, v</v>
      </c>
      <c r="I1214" s="2" t="str">
        <f>IF(Return!C1214=0,REPLACE(INDEX(H:H,ROW()+Return!B1214,),1,2,Return!E1214&amp;"(")&amp;")","")</f>
        <v/>
      </c>
      <c r="M1214" s="1"/>
    </row>
    <row r="1215" spans="1:13" x14ac:dyDescent="0.55000000000000004">
      <c r="A1215" s="1" t="s">
        <v>1817</v>
      </c>
      <c r="C1215" s="2">
        <f>Return!C1215</f>
        <v>0</v>
      </c>
      <c r="D1215" s="2">
        <f>COUNTA(Argument!E1215)</f>
        <v>0</v>
      </c>
      <c r="E1215" s="2" t="str">
        <f>IF(C1215,Return!D1215,Return!E1215)</f>
        <v>v</v>
      </c>
      <c r="F1215" s="2" t="str">
        <f t="shared" si="54"/>
        <v/>
      </c>
      <c r="G1215" s="2" t="str">
        <f t="shared" si="56"/>
        <v/>
      </c>
      <c r="H1215" s="2" t="str">
        <f t="shared" si="55"/>
        <v/>
      </c>
      <c r="I1215" s="2" t="str">
        <f>IF(Return!C1215=0,REPLACE(INDEX(H:H,ROW()+Return!B1215,),1,2,Return!E1215&amp;"(")&amp;")","")</f>
        <v>v(v)</v>
      </c>
      <c r="M1215" s="1"/>
    </row>
    <row r="1216" spans="1:13" x14ac:dyDescent="0.55000000000000004">
      <c r="A1216" s="1" t="s">
        <v>1817</v>
      </c>
      <c r="B1216" t="s">
        <v>1233</v>
      </c>
      <c r="C1216" s="2">
        <f>Return!C1216</f>
        <v>1</v>
      </c>
      <c r="D1216" s="2">
        <f>COUNTA(Argument!E1216)</f>
        <v>1</v>
      </c>
      <c r="E1216" s="2" t="str">
        <f>IF(C1216,Return!D1216,Return!E1216)</f>
        <v>v</v>
      </c>
      <c r="F1216" s="2" t="str">
        <f t="shared" si="54"/>
        <v>v</v>
      </c>
      <c r="G1216" s="2" t="str">
        <f t="shared" si="56"/>
        <v>v</v>
      </c>
      <c r="H1216" s="2" t="str">
        <f t="shared" si="55"/>
        <v>, v</v>
      </c>
      <c r="I1216" s="2" t="str">
        <f>IF(Return!C1216=0,REPLACE(INDEX(H:H,ROW()+Return!B1216,),1,2,Return!E1216&amp;"(")&amp;")","")</f>
        <v/>
      </c>
      <c r="M1216" s="1"/>
    </row>
    <row r="1217" spans="1:13" x14ac:dyDescent="0.55000000000000004">
      <c r="A1217" s="1" t="s">
        <v>1818</v>
      </c>
      <c r="C1217" s="2">
        <f>Return!C1217</f>
        <v>0</v>
      </c>
      <c r="D1217" s="2">
        <f>COUNTA(Argument!E1217)</f>
        <v>0</v>
      </c>
      <c r="E1217" s="2" t="str">
        <f>IF(C1217,Return!D1217,Return!E1217)</f>
        <v>v</v>
      </c>
      <c r="F1217" s="2" t="str">
        <f t="shared" si="54"/>
        <v/>
      </c>
      <c r="G1217" s="2" t="str">
        <f t="shared" si="56"/>
        <v/>
      </c>
      <c r="H1217" s="2" t="str">
        <f t="shared" si="55"/>
        <v/>
      </c>
      <c r="I1217" s="2" t="str">
        <f>IF(Return!C1217=0,REPLACE(INDEX(H:H,ROW()+Return!B1217,),1,2,Return!E1217&amp;"(")&amp;")","")</f>
        <v>v(v)</v>
      </c>
      <c r="M1217" s="1"/>
    </row>
    <row r="1218" spans="1:13" x14ac:dyDescent="0.55000000000000004">
      <c r="A1218" s="1" t="s">
        <v>1818</v>
      </c>
      <c r="B1218" t="s">
        <v>1223</v>
      </c>
      <c r="C1218" s="2">
        <f>Return!C1218</f>
        <v>1</v>
      </c>
      <c r="D1218" s="2">
        <f>COUNTA(Argument!E1218)</f>
        <v>1</v>
      </c>
      <c r="E1218" s="2" t="str">
        <f>IF(C1218,Return!D1218,Return!E1218)</f>
        <v>v</v>
      </c>
      <c r="F1218" s="2" t="str">
        <f t="shared" si="54"/>
        <v>v</v>
      </c>
      <c r="G1218" s="2" t="str">
        <f t="shared" si="56"/>
        <v>v</v>
      </c>
      <c r="H1218" s="2" t="str">
        <f t="shared" si="55"/>
        <v>, v</v>
      </c>
      <c r="I1218" s="2" t="str">
        <f>IF(Return!C1218=0,REPLACE(INDEX(H:H,ROW()+Return!B1218,),1,2,Return!E1218&amp;"(")&amp;")","")</f>
        <v/>
      </c>
      <c r="M1218" s="1"/>
    </row>
    <row r="1219" spans="1:13" x14ac:dyDescent="0.55000000000000004">
      <c r="A1219" s="1" t="s">
        <v>1819</v>
      </c>
      <c r="C1219" s="2">
        <f>Return!C1219</f>
        <v>0</v>
      </c>
      <c r="D1219" s="2">
        <f>COUNTA(Argument!E1219)</f>
        <v>0</v>
      </c>
      <c r="E1219" s="2" t="str">
        <f>IF(C1219,Return!D1219,Return!E1219)</f>
        <v>v</v>
      </c>
      <c r="F1219" s="2" t="str">
        <f t="shared" ref="F1219:F1282" si="57">IF(C1219,IF(D1219,IF(D1218,"["&amp;E1219&amp;"]",E1219),E1219),"")</f>
        <v/>
      </c>
      <c r="G1219" s="2" t="str">
        <f t="shared" si="56"/>
        <v/>
      </c>
      <c r="H1219" s="2" t="str">
        <f t="shared" ref="H1219:H1282" si="58">IF(C1219&gt;0,H1218&amp;", "&amp;G1219,"")</f>
        <v/>
      </c>
      <c r="I1219" s="2" t="str">
        <f>IF(Return!C1219=0,REPLACE(INDEX(H:H,ROW()+Return!B1219,),1,2,Return!E1219&amp;"(")&amp;")","")</f>
        <v>v(v)</v>
      </c>
      <c r="M1219" s="1"/>
    </row>
    <row r="1220" spans="1:13" x14ac:dyDescent="0.55000000000000004">
      <c r="A1220" s="1" t="s">
        <v>1819</v>
      </c>
      <c r="B1220" t="s">
        <v>1223</v>
      </c>
      <c r="C1220" s="2">
        <f>Return!C1220</f>
        <v>1</v>
      </c>
      <c r="D1220" s="2">
        <f>COUNTA(Argument!E1220)</f>
        <v>1</v>
      </c>
      <c r="E1220" s="2" t="str">
        <f>IF(C1220,Return!D1220,Return!E1220)</f>
        <v>v</v>
      </c>
      <c r="F1220" s="2" t="str">
        <f t="shared" si="57"/>
        <v>v</v>
      </c>
      <c r="G1220" s="2" t="str">
        <f t="shared" ref="G1220:G1283" si="59">IF(B1220="...",IF(C1221&gt;0,"["&amp;E1220,"…"),IF(B1219=" ...",IF(C1220&gt;0,E1220&amp;"], …",F1220),F1220))</f>
        <v>v</v>
      </c>
      <c r="H1220" s="2" t="str">
        <f t="shared" si="58"/>
        <v>, v</v>
      </c>
      <c r="I1220" s="2" t="str">
        <f>IF(Return!C1220=0,REPLACE(INDEX(H:H,ROW()+Return!B1220,),1,2,Return!E1220&amp;"(")&amp;")","")</f>
        <v/>
      </c>
      <c r="M1220" s="1"/>
    </row>
    <row r="1221" spans="1:13" x14ac:dyDescent="0.55000000000000004">
      <c r="A1221" s="1" t="s">
        <v>1820</v>
      </c>
      <c r="C1221" s="2">
        <f>Return!C1221</f>
        <v>0</v>
      </c>
      <c r="D1221" s="2">
        <f>COUNTA(Argument!E1221)</f>
        <v>0</v>
      </c>
      <c r="E1221" s="2" t="str">
        <f>IF(C1221,Return!D1221,Return!E1221)</f>
        <v>v</v>
      </c>
      <c r="F1221" s="2" t="str">
        <f t="shared" si="57"/>
        <v/>
      </c>
      <c r="G1221" s="2" t="str">
        <f t="shared" si="59"/>
        <v/>
      </c>
      <c r="H1221" s="2" t="str">
        <f t="shared" si="58"/>
        <v/>
      </c>
      <c r="I1221" s="2" t="str">
        <f>IF(Return!C1221=0,REPLACE(INDEX(H:H,ROW()+Return!B1221,),1,2,Return!E1221&amp;"(")&amp;")","")</f>
        <v>v(v)</v>
      </c>
      <c r="M1221" s="1"/>
    </row>
    <row r="1222" spans="1:13" x14ac:dyDescent="0.55000000000000004">
      <c r="A1222" s="1" t="s">
        <v>1820</v>
      </c>
      <c r="B1222" t="s">
        <v>1223</v>
      </c>
      <c r="C1222" s="2">
        <f>Return!C1222</f>
        <v>1</v>
      </c>
      <c r="D1222" s="2">
        <f>COUNTA(Argument!E1222)</f>
        <v>1</v>
      </c>
      <c r="E1222" s="2" t="str">
        <f>IF(C1222,Return!D1222,Return!E1222)</f>
        <v>v</v>
      </c>
      <c r="F1222" s="2" t="str">
        <f t="shared" si="57"/>
        <v>v</v>
      </c>
      <c r="G1222" s="2" t="str">
        <f t="shared" si="59"/>
        <v>v</v>
      </c>
      <c r="H1222" s="2" t="str">
        <f t="shared" si="58"/>
        <v>, v</v>
      </c>
      <c r="I1222" s="2" t="str">
        <f>IF(Return!C1222=0,REPLACE(INDEX(H:H,ROW()+Return!B1222,),1,2,Return!E1222&amp;"(")&amp;")","")</f>
        <v/>
      </c>
      <c r="M1222" s="1"/>
    </row>
    <row r="1223" spans="1:13" x14ac:dyDescent="0.55000000000000004">
      <c r="A1223" s="1" t="s">
        <v>1821</v>
      </c>
      <c r="C1223" s="2">
        <f>Return!C1223</f>
        <v>0</v>
      </c>
      <c r="D1223" s="2">
        <f>COUNTA(Argument!E1223)</f>
        <v>0</v>
      </c>
      <c r="E1223" s="2" t="str">
        <f>IF(C1223,Return!D1223,Return!E1223)</f>
        <v>v</v>
      </c>
      <c r="F1223" s="2" t="str">
        <f t="shared" si="57"/>
        <v/>
      </c>
      <c r="G1223" s="2" t="str">
        <f t="shared" si="59"/>
        <v/>
      </c>
      <c r="H1223" s="2" t="str">
        <f t="shared" si="58"/>
        <v/>
      </c>
      <c r="I1223" s="2" t="str">
        <f>IF(Return!C1223=0,REPLACE(INDEX(H:H,ROW()+Return!B1223,),1,2,Return!E1223&amp;"(")&amp;")","")</f>
        <v>v(v, v, v, [v], …)</v>
      </c>
      <c r="M1223" s="1"/>
    </row>
    <row r="1224" spans="1:13" x14ac:dyDescent="0.55000000000000004">
      <c r="A1224" s="1" t="s">
        <v>1821</v>
      </c>
      <c r="B1224" t="s">
        <v>1366</v>
      </c>
      <c r="C1224" s="2">
        <f>Return!C1224</f>
        <v>1</v>
      </c>
      <c r="D1224" s="2">
        <f>COUNTA(Argument!E1224)</f>
        <v>0</v>
      </c>
      <c r="E1224" s="2" t="str">
        <f>IF(C1224,Return!D1224,Return!E1224)</f>
        <v>v</v>
      </c>
      <c r="F1224" s="2" t="str">
        <f t="shared" si="57"/>
        <v>v</v>
      </c>
      <c r="G1224" s="2" t="str">
        <f t="shared" si="59"/>
        <v>v</v>
      </c>
      <c r="H1224" s="2" t="str">
        <f t="shared" si="58"/>
        <v>, v</v>
      </c>
      <c r="I1224" s="2" t="str">
        <f>IF(Return!C1224=0,REPLACE(INDEX(H:H,ROW()+Return!B1224,),1,2,Return!E1224&amp;"(")&amp;")","")</f>
        <v/>
      </c>
      <c r="M1224" s="1"/>
    </row>
    <row r="1225" spans="1:13" x14ac:dyDescent="0.55000000000000004">
      <c r="A1225" s="1" t="s">
        <v>1821</v>
      </c>
      <c r="B1225" t="s">
        <v>1367</v>
      </c>
      <c r="C1225" s="2">
        <f>Return!C1225</f>
        <v>2</v>
      </c>
      <c r="D1225" s="2">
        <f>COUNTA(Argument!E1225)</f>
        <v>0</v>
      </c>
      <c r="E1225" s="2" t="str">
        <f>IF(C1225,Return!D1225,Return!E1225)</f>
        <v>v</v>
      </c>
      <c r="F1225" s="2" t="str">
        <f t="shared" si="57"/>
        <v>v</v>
      </c>
      <c r="G1225" s="2" t="str">
        <f t="shared" si="59"/>
        <v>v</v>
      </c>
      <c r="H1225" s="2" t="str">
        <f t="shared" si="58"/>
        <v>, v, v</v>
      </c>
      <c r="I1225" s="2" t="str">
        <f>IF(Return!C1225=0,REPLACE(INDEX(H:H,ROW()+Return!B1225,),1,2,Return!E1225&amp;"(")&amp;")","")</f>
        <v/>
      </c>
      <c r="M1225" s="1"/>
    </row>
    <row r="1226" spans="1:13" x14ac:dyDescent="0.55000000000000004">
      <c r="A1226" s="1" t="s">
        <v>1821</v>
      </c>
      <c r="B1226" t="s">
        <v>1368</v>
      </c>
      <c r="C1226" s="2">
        <f>Return!C1226</f>
        <v>3</v>
      </c>
      <c r="D1226" s="2">
        <f>COUNTA(Argument!E1226)</f>
        <v>1</v>
      </c>
      <c r="E1226" s="2" t="str">
        <f>IF(C1226,Return!D1226,Return!E1226)</f>
        <v>v</v>
      </c>
      <c r="F1226" s="2" t="str">
        <f t="shared" si="57"/>
        <v>v</v>
      </c>
      <c r="G1226" s="2" t="str">
        <f t="shared" si="59"/>
        <v>v</v>
      </c>
      <c r="H1226" s="2" t="str">
        <f t="shared" si="58"/>
        <v>, v, v, v</v>
      </c>
      <c r="I1226" s="2" t="str">
        <f>IF(Return!C1226=0,REPLACE(INDEX(H:H,ROW()+Return!B1226,),1,2,Return!E1226&amp;"(")&amp;")","")</f>
        <v/>
      </c>
      <c r="M1226" s="1"/>
    </row>
    <row r="1227" spans="1:13" x14ac:dyDescent="0.55000000000000004">
      <c r="A1227" s="1" t="s">
        <v>1821</v>
      </c>
      <c r="B1227" t="s">
        <v>1369</v>
      </c>
      <c r="C1227" s="2">
        <f>Return!C1227</f>
        <v>4</v>
      </c>
      <c r="D1227" s="2">
        <f>COUNTA(Argument!E1227)</f>
        <v>1</v>
      </c>
      <c r="E1227" s="2" t="str">
        <f>IF(C1227,Return!D1227,Return!E1227)</f>
        <v>v</v>
      </c>
      <c r="F1227" s="2" t="str">
        <f t="shared" si="57"/>
        <v>[v]</v>
      </c>
      <c r="G1227" s="2" t="str">
        <f t="shared" si="59"/>
        <v>[v]</v>
      </c>
      <c r="H1227" s="2" t="str">
        <f t="shared" si="58"/>
        <v>, v, v, v, [v]</v>
      </c>
      <c r="I1227" s="2" t="str">
        <f>IF(Return!C1227=0,REPLACE(INDEX(H:H,ROW()+Return!B1227,),1,2,Return!E1227&amp;"(")&amp;")","")</f>
        <v/>
      </c>
      <c r="M1227" s="1"/>
    </row>
    <row r="1228" spans="1:13" x14ac:dyDescent="0.55000000000000004">
      <c r="A1228" s="1" t="s">
        <v>1821</v>
      </c>
      <c r="B1228" t="s">
        <v>1214</v>
      </c>
      <c r="C1228" s="2">
        <f>Return!C1228</f>
        <v>5</v>
      </c>
      <c r="D1228" s="2">
        <f>COUNTA(Argument!E1228)</f>
        <v>1</v>
      </c>
      <c r="E1228" s="2" t="str">
        <f>IF(C1228,Return!D1228,Return!E1228)</f>
        <v>v</v>
      </c>
      <c r="F1228" s="2" t="str">
        <f t="shared" si="57"/>
        <v>[v]</v>
      </c>
      <c r="G1228" s="2" t="str">
        <f t="shared" si="59"/>
        <v>…</v>
      </c>
      <c r="H1228" s="2" t="str">
        <f t="shared" si="58"/>
        <v>, v, v, v, [v], …</v>
      </c>
      <c r="I1228" s="2" t="str">
        <f>IF(Return!C1228=0,REPLACE(INDEX(H:H,ROW()+Return!B1228,),1,2,Return!E1228&amp;"(")&amp;")","")</f>
        <v/>
      </c>
      <c r="M1228" s="1"/>
    </row>
    <row r="1229" spans="1:13" x14ac:dyDescent="0.55000000000000004">
      <c r="A1229" s="1" t="s">
        <v>1822</v>
      </c>
      <c r="C1229" s="2">
        <f>Return!C1229</f>
        <v>0</v>
      </c>
      <c r="D1229" s="2">
        <f>COUNTA(Argument!E1229)</f>
        <v>0</v>
      </c>
      <c r="E1229" s="2" t="str">
        <f>IF(C1229,Return!D1229,Return!E1229)</f>
        <v>v</v>
      </c>
      <c r="F1229" s="2" t="str">
        <f t="shared" si="57"/>
        <v/>
      </c>
      <c r="G1229" s="2" t="str">
        <f t="shared" si="59"/>
        <v/>
      </c>
      <c r="H1229" s="2" t="str">
        <f t="shared" si="58"/>
        <v/>
      </c>
      <c r="I1229" s="2" t="str">
        <f>IF(Return!C1229=0,REPLACE(INDEX(H:H,ROW()+Return!B1229,),1,2,Return!E1229&amp;"(")&amp;")","")</f>
        <v>v(v, [var], …)</v>
      </c>
      <c r="M1229" s="1"/>
    </row>
    <row r="1230" spans="1:13" x14ac:dyDescent="0.55000000000000004">
      <c r="A1230" s="1" t="s">
        <v>1822</v>
      </c>
      <c r="B1230" t="s">
        <v>1370</v>
      </c>
      <c r="C1230" s="2">
        <f>Return!C1230</f>
        <v>1</v>
      </c>
      <c r="D1230" s="2">
        <f>COUNTA(Argument!E1230)</f>
        <v>1</v>
      </c>
      <c r="E1230" s="2" t="str">
        <f>IF(C1230,Return!D1230,Return!E1230)</f>
        <v>v</v>
      </c>
      <c r="F1230" s="2" t="str">
        <f t="shared" si="57"/>
        <v>v</v>
      </c>
      <c r="G1230" s="2" t="str">
        <f t="shared" si="59"/>
        <v>v</v>
      </c>
      <c r="H1230" s="2" t="str">
        <f t="shared" si="58"/>
        <v>, v</v>
      </c>
      <c r="I1230" s="2" t="str">
        <f>IF(Return!C1230=0,REPLACE(INDEX(H:H,ROW()+Return!B1230,),1,2,Return!E1230&amp;"(")&amp;")","")</f>
        <v/>
      </c>
      <c r="M1230" s="1"/>
    </row>
    <row r="1231" spans="1:13" x14ac:dyDescent="0.55000000000000004">
      <c r="A1231" s="1" t="s">
        <v>1822</v>
      </c>
      <c r="B1231" t="s">
        <v>1371</v>
      </c>
      <c r="C1231" s="2">
        <f>Return!C1231</f>
        <v>2</v>
      </c>
      <c r="D1231" s="2">
        <f>COUNTA(Argument!E1231)</f>
        <v>1</v>
      </c>
      <c r="E1231" s="2" t="str">
        <f>IF(C1231,Return!D1231,Return!E1231)</f>
        <v>var</v>
      </c>
      <c r="F1231" s="2" t="str">
        <f t="shared" si="57"/>
        <v>[var]</v>
      </c>
      <c r="G1231" s="2" t="str">
        <f t="shared" si="59"/>
        <v>[var]</v>
      </c>
      <c r="H1231" s="2" t="str">
        <f t="shared" si="58"/>
        <v>, v, [var]</v>
      </c>
      <c r="I1231" s="2" t="str">
        <f>IF(Return!C1231=0,REPLACE(INDEX(H:H,ROW()+Return!B1231,),1,2,Return!E1231&amp;"(")&amp;")","")</f>
        <v/>
      </c>
      <c r="M1231" s="1"/>
    </row>
    <row r="1232" spans="1:13" x14ac:dyDescent="0.55000000000000004">
      <c r="A1232" s="1" t="s">
        <v>1822</v>
      </c>
      <c r="B1232" t="s">
        <v>1214</v>
      </c>
      <c r="C1232" s="2">
        <f>Return!C1232</f>
        <v>3</v>
      </c>
      <c r="D1232" s="2">
        <f>COUNTA(Argument!E1232)</f>
        <v>1</v>
      </c>
      <c r="E1232" s="2" t="str">
        <f>IF(C1232,Return!D1232,Return!E1232)</f>
        <v>var</v>
      </c>
      <c r="F1232" s="2" t="str">
        <f t="shared" si="57"/>
        <v>[var]</v>
      </c>
      <c r="G1232" s="2" t="str">
        <f t="shared" si="59"/>
        <v>…</v>
      </c>
      <c r="H1232" s="2" t="str">
        <f t="shared" si="58"/>
        <v>, v, [var], …</v>
      </c>
      <c r="I1232" s="2" t="str">
        <f>IF(Return!C1232=0,REPLACE(INDEX(H:H,ROW()+Return!B1232,),1,2,Return!E1232&amp;"(")&amp;")","")</f>
        <v/>
      </c>
      <c r="M1232" s="1"/>
    </row>
    <row r="1233" spans="1:13" x14ac:dyDescent="0.55000000000000004">
      <c r="A1233" s="1" t="s">
        <v>1823</v>
      </c>
      <c r="C1233" s="2">
        <f>Return!C1233</f>
        <v>0</v>
      </c>
      <c r="D1233" s="2">
        <f>COUNTA(Argument!E1233)</f>
        <v>0</v>
      </c>
      <c r="E1233" s="2" t="str">
        <f>IF(C1233,Return!D1233,Return!E1233)</f>
        <v>v</v>
      </c>
      <c r="F1233" s="2" t="str">
        <f t="shared" si="57"/>
        <v/>
      </c>
      <c r="G1233" s="2" t="str">
        <f t="shared" si="59"/>
        <v/>
      </c>
      <c r="H1233" s="2" t="str">
        <f t="shared" si="58"/>
        <v/>
      </c>
      <c r="I1233" s="2" t="str">
        <f>IF(Return!C1233=0,REPLACE(INDEX(H:H,ROW()+Return!B1233,),1,2,Return!E1233&amp;"(")&amp;")","")</f>
        <v>v(v, var, [v])</v>
      </c>
      <c r="M1233" s="1"/>
    </row>
    <row r="1234" spans="1:13" x14ac:dyDescent="0.55000000000000004">
      <c r="A1234" s="1" t="s">
        <v>1823</v>
      </c>
      <c r="B1234" t="s">
        <v>1370</v>
      </c>
      <c r="C1234" s="2">
        <f>Return!C1234</f>
        <v>1</v>
      </c>
      <c r="D1234" s="2">
        <f>COUNTA(Argument!E1234)</f>
        <v>0</v>
      </c>
      <c r="E1234" s="2" t="str">
        <f>IF(C1234,Return!D1234,Return!E1234)</f>
        <v>v</v>
      </c>
      <c r="F1234" s="2" t="str">
        <f t="shared" si="57"/>
        <v>v</v>
      </c>
      <c r="G1234" s="2" t="str">
        <f t="shared" si="59"/>
        <v>v</v>
      </c>
      <c r="H1234" s="2" t="str">
        <f t="shared" si="58"/>
        <v>, v</v>
      </c>
      <c r="I1234" s="2" t="str">
        <f>IF(Return!C1234=0,REPLACE(INDEX(H:H,ROW()+Return!B1234,),1,2,Return!E1234&amp;"(")&amp;")","")</f>
        <v/>
      </c>
      <c r="M1234" s="1"/>
    </row>
    <row r="1235" spans="1:13" x14ac:dyDescent="0.55000000000000004">
      <c r="A1235" s="1" t="s">
        <v>1823</v>
      </c>
      <c r="B1235" t="s">
        <v>1372</v>
      </c>
      <c r="C1235" s="2">
        <f>Return!C1235</f>
        <v>2</v>
      </c>
      <c r="D1235" s="2">
        <f>COUNTA(Argument!E1235)</f>
        <v>1</v>
      </c>
      <c r="E1235" s="2" t="str">
        <f>IF(C1235,Return!D1235,Return!E1235)</f>
        <v>var</v>
      </c>
      <c r="F1235" s="2" t="str">
        <f t="shared" si="57"/>
        <v>var</v>
      </c>
      <c r="G1235" s="2" t="str">
        <f t="shared" si="59"/>
        <v>var</v>
      </c>
      <c r="H1235" s="2" t="str">
        <f t="shared" si="58"/>
        <v>, v, var</v>
      </c>
      <c r="I1235" s="2" t="str">
        <f>IF(Return!C1235=0,REPLACE(INDEX(H:H,ROW()+Return!B1235,),1,2,Return!E1235&amp;"(")&amp;")","")</f>
        <v/>
      </c>
      <c r="M1235" s="1"/>
    </row>
    <row r="1236" spans="1:13" x14ac:dyDescent="0.55000000000000004">
      <c r="A1236" s="1" t="s">
        <v>1823</v>
      </c>
      <c r="B1236" t="s">
        <v>1373</v>
      </c>
      <c r="C1236" s="2">
        <f>Return!C1236</f>
        <v>3</v>
      </c>
      <c r="D1236" s="2">
        <f>COUNTA(Argument!E1236)</f>
        <v>1</v>
      </c>
      <c r="E1236" s="2" t="str">
        <f>IF(C1236,Return!D1236,Return!E1236)</f>
        <v>v</v>
      </c>
      <c r="F1236" s="2" t="str">
        <f t="shared" si="57"/>
        <v>[v]</v>
      </c>
      <c r="G1236" s="2" t="str">
        <f t="shared" si="59"/>
        <v>[v]</v>
      </c>
      <c r="H1236" s="2" t="str">
        <f t="shared" si="58"/>
        <v>, v, var, [v]</v>
      </c>
      <c r="I1236" s="2" t="str">
        <f>IF(Return!C1236=0,REPLACE(INDEX(H:H,ROW()+Return!B1236,),1,2,Return!E1236&amp;"(")&amp;")","")</f>
        <v/>
      </c>
      <c r="M1236" s="1"/>
    </row>
    <row r="1237" spans="1:13" x14ac:dyDescent="0.55000000000000004">
      <c r="A1237" s="1" t="s">
        <v>1824</v>
      </c>
      <c r="C1237" s="2">
        <f>Return!C1237</f>
        <v>0</v>
      </c>
      <c r="D1237" s="2">
        <f>COUNTA(Argument!E1237)</f>
        <v>0</v>
      </c>
      <c r="E1237" s="2" t="str">
        <f>IF(C1237,Return!D1237,Return!E1237)</f>
        <v>v</v>
      </c>
      <c r="F1237" s="2" t="str">
        <f t="shared" si="57"/>
        <v/>
      </c>
      <c r="G1237" s="2" t="str">
        <f t="shared" si="59"/>
        <v/>
      </c>
      <c r="H1237" s="2" t="str">
        <f t="shared" si="58"/>
        <v/>
      </c>
      <c r="I1237" s="2" t="str">
        <f>IF(Return!C1237=0,REPLACE(INDEX(H:H,ROW()+Return!B1237,),1,2,Return!E1237&amp;"(")&amp;")","")</f>
        <v>v(v, v, v)</v>
      </c>
      <c r="M1237" s="1"/>
    </row>
    <row r="1238" spans="1:13" x14ac:dyDescent="0.55000000000000004">
      <c r="A1238" s="1" t="s">
        <v>1824</v>
      </c>
      <c r="B1238" t="s">
        <v>1370</v>
      </c>
      <c r="C1238" s="2">
        <f>Return!C1238</f>
        <v>1</v>
      </c>
      <c r="D1238" s="2">
        <f>COUNTA(Argument!E1238)</f>
        <v>0</v>
      </c>
      <c r="E1238" s="2" t="str">
        <f>IF(C1238,Return!D1238,Return!E1238)</f>
        <v>v</v>
      </c>
      <c r="F1238" s="2" t="str">
        <f t="shared" si="57"/>
        <v>v</v>
      </c>
      <c r="G1238" s="2" t="str">
        <f t="shared" si="59"/>
        <v>v</v>
      </c>
      <c r="H1238" s="2" t="str">
        <f t="shared" si="58"/>
        <v>, v</v>
      </c>
      <c r="I1238" s="2" t="str">
        <f>IF(Return!C1238=0,REPLACE(INDEX(H:H,ROW()+Return!B1238,),1,2,Return!E1238&amp;"(")&amp;")","")</f>
        <v/>
      </c>
      <c r="M1238" s="1"/>
    </row>
    <row r="1239" spans="1:13" x14ac:dyDescent="0.55000000000000004">
      <c r="A1239" s="1" t="s">
        <v>1824</v>
      </c>
      <c r="B1239" t="s">
        <v>1372</v>
      </c>
      <c r="C1239" s="2">
        <f>Return!C1239</f>
        <v>2</v>
      </c>
      <c r="D1239" s="2">
        <f>COUNTA(Argument!E1239)</f>
        <v>0</v>
      </c>
      <c r="E1239" s="2" t="str">
        <f>IF(C1239,Return!D1239,Return!E1239)</f>
        <v>v</v>
      </c>
      <c r="F1239" s="2" t="str">
        <f t="shared" si="57"/>
        <v>v</v>
      </c>
      <c r="G1239" s="2" t="str">
        <f t="shared" si="59"/>
        <v>v</v>
      </c>
      <c r="H1239" s="2" t="str">
        <f t="shared" si="58"/>
        <v>, v, v</v>
      </c>
      <c r="I1239" s="2" t="str">
        <f>IF(Return!C1239=0,REPLACE(INDEX(H:H,ROW()+Return!B1239,),1,2,Return!E1239&amp;"(")&amp;")","")</f>
        <v/>
      </c>
      <c r="M1239" s="1"/>
    </row>
    <row r="1240" spans="1:13" x14ac:dyDescent="0.55000000000000004">
      <c r="A1240" s="1" t="s">
        <v>1824</v>
      </c>
      <c r="B1240" t="s">
        <v>1374</v>
      </c>
      <c r="C1240" s="2">
        <f>Return!C1240</f>
        <v>3</v>
      </c>
      <c r="D1240" s="2">
        <f>COUNTA(Argument!E1240)</f>
        <v>1</v>
      </c>
      <c r="E1240" s="2" t="str">
        <f>IF(C1240,Return!D1240,Return!E1240)</f>
        <v>v</v>
      </c>
      <c r="F1240" s="2" t="str">
        <f t="shared" si="57"/>
        <v>v</v>
      </c>
      <c r="G1240" s="2" t="str">
        <f t="shared" si="59"/>
        <v>v</v>
      </c>
      <c r="H1240" s="2" t="str">
        <f t="shared" si="58"/>
        <v>, v, v, v</v>
      </c>
      <c r="I1240" s="2" t="str">
        <f>IF(Return!C1240=0,REPLACE(INDEX(H:H,ROW()+Return!B1240,),1,2,Return!E1240&amp;"(")&amp;")","")</f>
        <v/>
      </c>
      <c r="M1240" s="1"/>
    </row>
    <row r="1241" spans="1:13" x14ac:dyDescent="0.55000000000000004">
      <c r="A1241" s="1" t="s">
        <v>1825</v>
      </c>
      <c r="C1241" s="2">
        <f>Return!C1241</f>
        <v>0</v>
      </c>
      <c r="D1241" s="2">
        <f>COUNTA(Argument!E1241)</f>
        <v>0</v>
      </c>
      <c r="E1241" s="2" t="str">
        <f>IF(C1241,Return!D1241,Return!E1241)</f>
        <v>v</v>
      </c>
      <c r="F1241" s="2" t="str">
        <f t="shared" si="57"/>
        <v/>
      </c>
      <c r="G1241" s="2" t="str">
        <f t="shared" si="59"/>
        <v/>
      </c>
      <c r="H1241" s="2" t="str">
        <f t="shared" si="58"/>
        <v/>
      </c>
      <c r="I1241" s="2" t="str">
        <f>IF(Return!C1241=0,REPLACE(INDEX(H:H,ROW()+Return!B1241,),1,2,Return!E1241&amp;"(")&amp;")","")</f>
        <v>v(v, v, v, [v])</v>
      </c>
      <c r="M1241" s="1"/>
    </row>
    <row r="1242" spans="1:13" x14ac:dyDescent="0.55000000000000004">
      <c r="A1242" s="1" t="s">
        <v>1825</v>
      </c>
      <c r="B1242" t="s">
        <v>1370</v>
      </c>
      <c r="C1242" s="2">
        <f>Return!C1242</f>
        <v>1</v>
      </c>
      <c r="D1242" s="2">
        <f>COUNTA(Argument!E1242)</f>
        <v>0</v>
      </c>
      <c r="E1242" s="2" t="str">
        <f>IF(C1242,Return!D1242,Return!E1242)</f>
        <v>v</v>
      </c>
      <c r="F1242" s="2" t="str">
        <f t="shared" si="57"/>
        <v>v</v>
      </c>
      <c r="G1242" s="2" t="str">
        <f t="shared" si="59"/>
        <v>v</v>
      </c>
      <c r="H1242" s="2" t="str">
        <f t="shared" si="58"/>
        <v>, v</v>
      </c>
      <c r="I1242" s="2" t="str">
        <f>IF(Return!C1242=0,REPLACE(INDEX(H:H,ROW()+Return!B1242,),1,2,Return!E1242&amp;"(")&amp;")","")</f>
        <v/>
      </c>
      <c r="M1242" s="1"/>
    </row>
    <row r="1243" spans="1:13" x14ac:dyDescent="0.55000000000000004">
      <c r="A1243" s="1" t="s">
        <v>1825</v>
      </c>
      <c r="B1243" t="s">
        <v>1375</v>
      </c>
      <c r="C1243" s="2">
        <f>Return!C1243</f>
        <v>2</v>
      </c>
      <c r="D1243" s="2">
        <f>COUNTA(Argument!E1243)</f>
        <v>0</v>
      </c>
      <c r="E1243" s="2" t="str">
        <f>IF(C1243,Return!D1243,Return!E1243)</f>
        <v>v</v>
      </c>
      <c r="F1243" s="2" t="str">
        <f t="shared" si="57"/>
        <v>v</v>
      </c>
      <c r="G1243" s="2" t="str">
        <f t="shared" si="59"/>
        <v>v</v>
      </c>
      <c r="H1243" s="2" t="str">
        <f t="shared" si="58"/>
        <v>, v, v</v>
      </c>
      <c r="I1243" s="2" t="str">
        <f>IF(Return!C1243=0,REPLACE(INDEX(H:H,ROW()+Return!B1243,),1,2,Return!E1243&amp;"(")&amp;")","")</f>
        <v/>
      </c>
      <c r="M1243" s="1"/>
    </row>
    <row r="1244" spans="1:13" x14ac:dyDescent="0.55000000000000004">
      <c r="A1244" s="1" t="s">
        <v>1825</v>
      </c>
      <c r="B1244" t="s">
        <v>1376</v>
      </c>
      <c r="C1244" s="2">
        <f>Return!C1244</f>
        <v>3</v>
      </c>
      <c r="D1244" s="2">
        <f>COUNTA(Argument!E1244)</f>
        <v>1</v>
      </c>
      <c r="E1244" s="2" t="str">
        <f>IF(C1244,Return!D1244,Return!E1244)</f>
        <v>v</v>
      </c>
      <c r="F1244" s="2" t="str">
        <f t="shared" si="57"/>
        <v>v</v>
      </c>
      <c r="G1244" s="2" t="str">
        <f t="shared" si="59"/>
        <v>v</v>
      </c>
      <c r="H1244" s="2" t="str">
        <f t="shared" si="58"/>
        <v>, v, v, v</v>
      </c>
      <c r="I1244" s="2" t="str">
        <f>IF(Return!C1244=0,REPLACE(INDEX(H:H,ROW()+Return!B1244,),1,2,Return!E1244&amp;"(")&amp;")","")</f>
        <v/>
      </c>
      <c r="M1244" s="1"/>
    </row>
    <row r="1245" spans="1:13" x14ac:dyDescent="0.55000000000000004">
      <c r="A1245" s="1" t="s">
        <v>1825</v>
      </c>
      <c r="B1245" t="s">
        <v>1373</v>
      </c>
      <c r="C1245" s="2">
        <f>Return!C1245</f>
        <v>4</v>
      </c>
      <c r="D1245" s="2">
        <f>COUNTA(Argument!E1245)</f>
        <v>1</v>
      </c>
      <c r="E1245" s="2" t="str">
        <f>IF(C1245,Return!D1245,Return!E1245)</f>
        <v>v</v>
      </c>
      <c r="F1245" s="2" t="str">
        <f t="shared" si="57"/>
        <v>[v]</v>
      </c>
      <c r="G1245" s="2" t="str">
        <f t="shared" si="59"/>
        <v>[v]</v>
      </c>
      <c r="H1245" s="2" t="str">
        <f t="shared" si="58"/>
        <v>, v, v, v, [v]</v>
      </c>
      <c r="I1245" s="2" t="str">
        <f>IF(Return!C1245=0,REPLACE(INDEX(H:H,ROW()+Return!B1245,),1,2,Return!E1245&amp;"(")&amp;")","")</f>
        <v/>
      </c>
      <c r="M1245" s="1"/>
    </row>
    <row r="1246" spans="1:13" x14ac:dyDescent="0.55000000000000004">
      <c r="A1246" s="1" t="s">
        <v>2060</v>
      </c>
      <c r="C1246" s="2">
        <f>Return!C1246</f>
        <v>0</v>
      </c>
      <c r="D1246" s="2">
        <f>COUNTA(Argument!E1246)</f>
        <v>0</v>
      </c>
      <c r="E1246" s="2" t="str">
        <f>IF(C1246,Return!D1246,Return!E1246)</f>
        <v>v</v>
      </c>
      <c r="F1246" s="2" t="str">
        <f t="shared" si="57"/>
        <v/>
      </c>
      <c r="G1246" s="2" t="str">
        <f t="shared" si="59"/>
        <v/>
      </c>
      <c r="H1246" s="2" t="str">
        <f t="shared" si="58"/>
        <v/>
      </c>
      <c r="I1246" s="2" t="str">
        <f>IF(Return!C1246=0,REPLACE(INDEX(H:H,ROW()+Return!B1246,),1,2,Return!E1246&amp;"(")&amp;")","")</f>
        <v>v(vr, [vr])</v>
      </c>
      <c r="M1246" s="1"/>
    </row>
    <row r="1247" spans="1:13" x14ac:dyDescent="0.55000000000000004">
      <c r="A1247" s="1" t="s">
        <v>2060</v>
      </c>
      <c r="B1247" t="s">
        <v>1223</v>
      </c>
      <c r="C1247" s="2">
        <f>Return!C1247</f>
        <v>1</v>
      </c>
      <c r="D1247" s="2">
        <f>COUNTA(Argument!E1247)</f>
        <v>1</v>
      </c>
      <c r="E1247" s="2" t="str">
        <f>IF(C1247,Return!D1247,Return!E1247)</f>
        <v>vr</v>
      </c>
      <c r="F1247" s="2" t="str">
        <f t="shared" si="57"/>
        <v>vr</v>
      </c>
      <c r="G1247" s="2" t="str">
        <f t="shared" si="59"/>
        <v>vr</v>
      </c>
      <c r="H1247" s="2" t="str">
        <f t="shared" si="58"/>
        <v>, vr</v>
      </c>
      <c r="I1247" s="2" t="str">
        <f>IF(Return!C1247=0,REPLACE(INDEX(H:H,ROW()+Return!B1247,),1,2,Return!E1247&amp;"(")&amp;")","")</f>
        <v/>
      </c>
      <c r="M1247" s="1"/>
    </row>
    <row r="1248" spans="1:13" x14ac:dyDescent="0.55000000000000004">
      <c r="A1248" s="1" t="s">
        <v>2060</v>
      </c>
      <c r="B1248" t="s">
        <v>1377</v>
      </c>
      <c r="C1248" s="2">
        <f>Return!C1248</f>
        <v>2</v>
      </c>
      <c r="D1248" s="2">
        <f>COUNTA(Argument!E1248)</f>
        <v>1</v>
      </c>
      <c r="E1248" s="2" t="str">
        <f>IF(C1248,Return!D1248,Return!E1248)</f>
        <v>vr</v>
      </c>
      <c r="F1248" s="2" t="str">
        <f t="shared" si="57"/>
        <v>[vr]</v>
      </c>
      <c r="G1248" s="2" t="str">
        <f t="shared" si="59"/>
        <v>[vr]</v>
      </c>
      <c r="H1248" s="2" t="str">
        <f t="shared" si="58"/>
        <v>, vr, [vr]</v>
      </c>
      <c r="I1248" s="2" t="str">
        <f>IF(Return!C1248=0,REPLACE(INDEX(H:H,ROW()+Return!B1248,),1,2,Return!E1248&amp;"(")&amp;")","")</f>
        <v/>
      </c>
      <c r="M1248" s="1"/>
    </row>
    <row r="1249" spans="1:13" x14ac:dyDescent="0.55000000000000004">
      <c r="A1249" s="1" t="s">
        <v>2061</v>
      </c>
      <c r="C1249" s="2">
        <f>Return!C1249</f>
        <v>0</v>
      </c>
      <c r="D1249" s="2">
        <f>COUNTA(Argument!E1249)</f>
        <v>0</v>
      </c>
      <c r="E1249" s="2" t="str">
        <f>IF(C1249,Return!D1249,Return!E1249)</f>
        <v>v</v>
      </c>
      <c r="F1249" s="2" t="str">
        <f t="shared" si="57"/>
        <v/>
      </c>
      <c r="G1249" s="2" t="str">
        <f t="shared" si="59"/>
        <v/>
      </c>
      <c r="H1249" s="2" t="str">
        <f t="shared" si="58"/>
        <v/>
      </c>
      <c r="I1249" s="2" t="str">
        <f>IF(Return!C1249=0,REPLACE(INDEX(H:H,ROW()+Return!B1249,),1,2,Return!E1249&amp;"(")&amp;")","")</f>
        <v>v(vr)</v>
      </c>
      <c r="M1249" s="1"/>
    </row>
    <row r="1250" spans="1:13" x14ac:dyDescent="0.55000000000000004">
      <c r="A1250" s="1" t="s">
        <v>2061</v>
      </c>
      <c r="B1250" t="s">
        <v>1223</v>
      </c>
      <c r="C1250" s="2">
        <f>Return!C1250</f>
        <v>1</v>
      </c>
      <c r="D1250" s="2">
        <f>COUNTA(Argument!E1250)</f>
        <v>1</v>
      </c>
      <c r="E1250" s="2" t="str">
        <f>IF(C1250,Return!D1250,Return!E1250)</f>
        <v>vr</v>
      </c>
      <c r="F1250" s="2" t="str">
        <f t="shared" si="57"/>
        <v>vr</v>
      </c>
      <c r="G1250" s="2" t="str">
        <f t="shared" si="59"/>
        <v>vr</v>
      </c>
      <c r="H1250" s="2" t="str">
        <f t="shared" si="58"/>
        <v>, vr</v>
      </c>
      <c r="I1250" s="2" t="str">
        <f>IF(Return!C1250=0,REPLACE(INDEX(H:H,ROW()+Return!B1250,),1,2,Return!E1250&amp;"(")&amp;")","")</f>
        <v/>
      </c>
      <c r="M1250" s="1"/>
    </row>
    <row r="1251" spans="1:13" x14ac:dyDescent="0.55000000000000004">
      <c r="A1251" s="1" t="s">
        <v>2062</v>
      </c>
      <c r="C1251" s="2">
        <f>Return!C1251</f>
        <v>0</v>
      </c>
      <c r="D1251" s="2">
        <f>COUNTA(Argument!E1251)</f>
        <v>0</v>
      </c>
      <c r="E1251" s="2" t="str">
        <f>IF(C1251,Return!D1251,Return!E1251)</f>
        <v>v</v>
      </c>
      <c r="F1251" s="2" t="str">
        <f t="shared" si="57"/>
        <v/>
      </c>
      <c r="G1251" s="2" t="str">
        <f t="shared" si="59"/>
        <v/>
      </c>
      <c r="H1251" s="2" t="str">
        <f t="shared" si="58"/>
        <v/>
      </c>
      <c r="I1251" s="2" t="str">
        <f>IF(Return!C1251=0,REPLACE(INDEX(H:H,ROW()+Return!B1251,),1,2,Return!E1251&amp;"(")&amp;")","")</f>
        <v>v(vr, [vr])</v>
      </c>
      <c r="M1251" s="1"/>
    </row>
    <row r="1252" spans="1:13" x14ac:dyDescent="0.55000000000000004">
      <c r="A1252" s="1" t="s">
        <v>2062</v>
      </c>
      <c r="B1252" t="s">
        <v>1223</v>
      </c>
      <c r="C1252" s="2">
        <f>Return!C1252</f>
        <v>1</v>
      </c>
      <c r="D1252" s="2">
        <f>COUNTA(Argument!E1252)</f>
        <v>1</v>
      </c>
      <c r="E1252" s="2" t="str">
        <f>IF(C1252,Return!D1252,Return!E1252)</f>
        <v>vr</v>
      </c>
      <c r="F1252" s="2" t="str">
        <f t="shared" si="57"/>
        <v>vr</v>
      </c>
      <c r="G1252" s="2" t="str">
        <f t="shared" si="59"/>
        <v>vr</v>
      </c>
      <c r="H1252" s="2" t="str">
        <f t="shared" si="58"/>
        <v>, vr</v>
      </c>
      <c r="I1252" s="2" t="str">
        <f>IF(Return!C1252=0,REPLACE(INDEX(H:H,ROW()+Return!B1252,),1,2,Return!E1252&amp;"(")&amp;")","")</f>
        <v/>
      </c>
      <c r="M1252" s="1"/>
    </row>
    <row r="1253" spans="1:13" x14ac:dyDescent="0.55000000000000004">
      <c r="A1253" s="1" t="s">
        <v>2062</v>
      </c>
      <c r="B1253" t="s">
        <v>1377</v>
      </c>
      <c r="C1253" s="2">
        <f>Return!C1253</f>
        <v>2</v>
      </c>
      <c r="D1253" s="2">
        <f>COUNTA(Argument!E1253)</f>
        <v>1</v>
      </c>
      <c r="E1253" s="2" t="str">
        <f>IF(C1253,Return!D1253,Return!E1253)</f>
        <v>vr</v>
      </c>
      <c r="F1253" s="2" t="str">
        <f t="shared" si="57"/>
        <v>[vr]</v>
      </c>
      <c r="G1253" s="2" t="str">
        <f t="shared" si="59"/>
        <v>[vr]</v>
      </c>
      <c r="H1253" s="2" t="str">
        <f t="shared" si="58"/>
        <v>, vr, [vr]</v>
      </c>
      <c r="I1253" s="2" t="str">
        <f>IF(Return!C1253=0,REPLACE(INDEX(H:H,ROW()+Return!B1253,),1,2,Return!E1253&amp;"(")&amp;")","")</f>
        <v/>
      </c>
      <c r="M1253" s="1"/>
    </row>
    <row r="1254" spans="1:13" x14ac:dyDescent="0.55000000000000004">
      <c r="A1254" s="1" t="s">
        <v>2063</v>
      </c>
      <c r="C1254" s="2">
        <f>Return!C1254</f>
        <v>0</v>
      </c>
      <c r="D1254" s="2">
        <f>COUNTA(Argument!E1254)</f>
        <v>0</v>
      </c>
      <c r="E1254" s="2" t="str">
        <f>IF(C1254,Return!D1254,Return!E1254)</f>
        <v>v</v>
      </c>
      <c r="F1254" s="2" t="str">
        <f t="shared" si="57"/>
        <v/>
      </c>
      <c r="G1254" s="2" t="str">
        <f t="shared" si="59"/>
        <v/>
      </c>
      <c r="H1254" s="2" t="str">
        <f t="shared" si="58"/>
        <v/>
      </c>
      <c r="I1254" s="2" t="str">
        <f>IF(Return!C1254=0,REPLACE(INDEX(H:H,ROW()+Return!B1254,),1,2,Return!E1254&amp;"(")&amp;")","")</f>
        <v>v(vr, [vr])</v>
      </c>
      <c r="M1254" s="1"/>
    </row>
    <row r="1255" spans="1:13" x14ac:dyDescent="0.55000000000000004">
      <c r="A1255" s="1" t="s">
        <v>2063</v>
      </c>
      <c r="B1255" t="s">
        <v>1223</v>
      </c>
      <c r="C1255" s="2">
        <f>Return!C1255</f>
        <v>1</v>
      </c>
      <c r="D1255" s="2">
        <f>COUNTA(Argument!E1255)</f>
        <v>1</v>
      </c>
      <c r="E1255" s="2" t="str">
        <f>IF(C1255,Return!D1255,Return!E1255)</f>
        <v>vr</v>
      </c>
      <c r="F1255" s="2" t="str">
        <f t="shared" si="57"/>
        <v>vr</v>
      </c>
      <c r="G1255" s="2" t="str">
        <f t="shared" si="59"/>
        <v>vr</v>
      </c>
      <c r="H1255" s="2" t="str">
        <f t="shared" si="58"/>
        <v>, vr</v>
      </c>
      <c r="I1255" s="2" t="str">
        <f>IF(Return!C1255=0,REPLACE(INDEX(H:H,ROW()+Return!B1255,),1,2,Return!E1255&amp;"(")&amp;")","")</f>
        <v/>
      </c>
      <c r="M1255" s="1"/>
    </row>
    <row r="1256" spans="1:13" x14ac:dyDescent="0.55000000000000004">
      <c r="A1256" s="1" t="s">
        <v>2063</v>
      </c>
      <c r="B1256" t="s">
        <v>1377</v>
      </c>
      <c r="C1256" s="2">
        <f>Return!C1256</f>
        <v>2</v>
      </c>
      <c r="D1256" s="2">
        <f>COUNTA(Argument!E1256)</f>
        <v>1</v>
      </c>
      <c r="E1256" s="2" t="str">
        <f>IF(C1256,Return!D1256,Return!E1256)</f>
        <v>vr</v>
      </c>
      <c r="F1256" s="2" t="str">
        <f t="shared" si="57"/>
        <v>[vr]</v>
      </c>
      <c r="G1256" s="2" t="str">
        <f t="shared" si="59"/>
        <v>[vr]</v>
      </c>
      <c r="H1256" s="2" t="str">
        <f t="shared" si="58"/>
        <v>, vr, [vr]</v>
      </c>
      <c r="I1256" s="2" t="str">
        <f>IF(Return!C1256=0,REPLACE(INDEX(H:H,ROW()+Return!B1256,),1,2,Return!E1256&amp;"(")&amp;")","")</f>
        <v/>
      </c>
      <c r="M1256" s="1"/>
    </row>
    <row r="1257" spans="1:13" x14ac:dyDescent="0.55000000000000004">
      <c r="A1257" s="1" t="s">
        <v>2064</v>
      </c>
      <c r="C1257" s="2">
        <f>Return!C1257</f>
        <v>0</v>
      </c>
      <c r="D1257" s="2">
        <f>COUNTA(Argument!E1257)</f>
        <v>0</v>
      </c>
      <c r="E1257" s="2" t="str">
        <f>IF(C1257,Return!D1257,Return!E1257)</f>
        <v>v</v>
      </c>
      <c r="F1257" s="2" t="str">
        <f t="shared" si="57"/>
        <v/>
      </c>
      <c r="G1257" s="2" t="str">
        <f t="shared" si="59"/>
        <v/>
      </c>
      <c r="H1257" s="2" t="str">
        <f t="shared" si="58"/>
        <v/>
      </c>
      <c r="I1257" s="2" t="str">
        <f>IF(Return!C1257=0,REPLACE(INDEX(H:H,ROW()+Return!B1257,),1,2,Return!E1257&amp;"(")&amp;")","")</f>
        <v>v(vr, [vr])</v>
      </c>
      <c r="M1257" s="1"/>
    </row>
    <row r="1258" spans="1:13" x14ac:dyDescent="0.55000000000000004">
      <c r="A1258" s="1" t="s">
        <v>2064</v>
      </c>
      <c r="B1258" t="s">
        <v>1223</v>
      </c>
      <c r="C1258" s="2">
        <f>Return!C1258</f>
        <v>1</v>
      </c>
      <c r="D1258" s="2">
        <f>COUNTA(Argument!E1258)</f>
        <v>1</v>
      </c>
      <c r="E1258" s="2" t="str">
        <f>IF(C1258,Return!D1258,Return!E1258)</f>
        <v>vr</v>
      </c>
      <c r="F1258" s="2" t="str">
        <f t="shared" si="57"/>
        <v>vr</v>
      </c>
      <c r="G1258" s="2" t="str">
        <f t="shared" si="59"/>
        <v>vr</v>
      </c>
      <c r="H1258" s="2" t="str">
        <f t="shared" si="58"/>
        <v>, vr</v>
      </c>
      <c r="I1258" s="2" t="str">
        <f>IF(Return!C1258=0,REPLACE(INDEX(H:H,ROW()+Return!B1258,),1,2,Return!E1258&amp;"(")&amp;")","")</f>
        <v/>
      </c>
      <c r="M1258" s="1"/>
    </row>
    <row r="1259" spans="1:13" x14ac:dyDescent="0.55000000000000004">
      <c r="A1259" s="1" t="s">
        <v>2064</v>
      </c>
      <c r="B1259" t="s">
        <v>1377</v>
      </c>
      <c r="C1259" s="2">
        <f>Return!C1259</f>
        <v>2</v>
      </c>
      <c r="D1259" s="2">
        <f>COUNTA(Argument!E1259)</f>
        <v>1</v>
      </c>
      <c r="E1259" s="2" t="str">
        <f>IF(C1259,Return!D1259,Return!E1259)</f>
        <v>vr</v>
      </c>
      <c r="F1259" s="2" t="str">
        <f t="shared" si="57"/>
        <v>[vr]</v>
      </c>
      <c r="G1259" s="2" t="str">
        <f t="shared" si="59"/>
        <v>[vr]</v>
      </c>
      <c r="H1259" s="2" t="str">
        <f t="shared" si="58"/>
        <v>, vr, [vr]</v>
      </c>
      <c r="I1259" s="2" t="str">
        <f>IF(Return!C1259=0,REPLACE(INDEX(H:H,ROW()+Return!B1259,),1,2,Return!E1259&amp;"(")&amp;")","")</f>
        <v/>
      </c>
      <c r="M1259" s="1"/>
    </row>
    <row r="1260" spans="1:13" x14ac:dyDescent="0.55000000000000004">
      <c r="A1260" s="1" t="s">
        <v>2065</v>
      </c>
      <c r="C1260" s="2">
        <f>Return!C1260</f>
        <v>0</v>
      </c>
      <c r="D1260" s="2">
        <f>COUNTA(Argument!E1260)</f>
        <v>0</v>
      </c>
      <c r="E1260" s="2" t="str">
        <f>IF(C1260,Return!D1260,Return!E1260)</f>
        <v>v</v>
      </c>
      <c r="F1260" s="2" t="str">
        <f t="shared" si="57"/>
        <v/>
      </c>
      <c r="G1260" s="2" t="str">
        <f t="shared" si="59"/>
        <v/>
      </c>
      <c r="H1260" s="2" t="str">
        <f t="shared" si="58"/>
        <v/>
      </c>
      <c r="I1260" s="2" t="str">
        <f>IF(Return!C1260=0,REPLACE(INDEX(H:H,ROW()+Return!B1260,),1,2,Return!E1260&amp;"(")&amp;")","")</f>
        <v>v(vr, [vr])</v>
      </c>
      <c r="M1260" s="1"/>
    </row>
    <row r="1261" spans="1:13" x14ac:dyDescent="0.55000000000000004">
      <c r="A1261" s="1" t="s">
        <v>2065</v>
      </c>
      <c r="B1261" t="s">
        <v>1223</v>
      </c>
      <c r="C1261" s="2">
        <f>Return!C1261</f>
        <v>1</v>
      </c>
      <c r="D1261" s="2">
        <f>COUNTA(Argument!E1261)</f>
        <v>1</v>
      </c>
      <c r="E1261" s="2" t="str">
        <f>IF(C1261,Return!D1261,Return!E1261)</f>
        <v>vr</v>
      </c>
      <c r="F1261" s="2" t="str">
        <f t="shared" si="57"/>
        <v>vr</v>
      </c>
      <c r="G1261" s="2" t="str">
        <f t="shared" si="59"/>
        <v>vr</v>
      </c>
      <c r="H1261" s="2" t="str">
        <f t="shared" si="58"/>
        <v>, vr</v>
      </c>
      <c r="I1261" s="2" t="str">
        <f>IF(Return!C1261=0,REPLACE(INDEX(H:H,ROW()+Return!B1261,),1,2,Return!E1261&amp;"(")&amp;")","")</f>
        <v/>
      </c>
      <c r="M1261" s="1"/>
    </row>
    <row r="1262" spans="1:13" x14ac:dyDescent="0.55000000000000004">
      <c r="A1262" s="1" t="s">
        <v>2065</v>
      </c>
      <c r="B1262" t="s">
        <v>1377</v>
      </c>
      <c r="C1262" s="2">
        <f>Return!C1262</f>
        <v>2</v>
      </c>
      <c r="D1262" s="2">
        <f>COUNTA(Argument!E1262)</f>
        <v>1</v>
      </c>
      <c r="E1262" s="2" t="str">
        <f>IF(C1262,Return!D1262,Return!E1262)</f>
        <v>vr</v>
      </c>
      <c r="F1262" s="2" t="str">
        <f t="shared" si="57"/>
        <v>[vr]</v>
      </c>
      <c r="G1262" s="2" t="str">
        <f t="shared" si="59"/>
        <v>[vr]</v>
      </c>
      <c r="H1262" s="2" t="str">
        <f t="shared" si="58"/>
        <v>, vr, [vr]</v>
      </c>
      <c r="I1262" s="2" t="str">
        <f>IF(Return!C1262=0,REPLACE(INDEX(H:H,ROW()+Return!B1262,),1,2,Return!E1262&amp;"(")&amp;")","")</f>
        <v/>
      </c>
      <c r="M1262" s="1"/>
    </row>
    <row r="1263" spans="1:13" x14ac:dyDescent="0.55000000000000004">
      <c r="A1263" s="1" t="s">
        <v>2066</v>
      </c>
      <c r="C1263" s="2">
        <f>Return!C1263</f>
        <v>0</v>
      </c>
      <c r="D1263" s="2">
        <f>COUNTA(Argument!E1263)</f>
        <v>0</v>
      </c>
      <c r="E1263" s="2" t="str">
        <f>IF(C1263,Return!D1263,Return!E1263)</f>
        <v>v</v>
      </c>
      <c r="F1263" s="2" t="str">
        <f t="shared" si="57"/>
        <v/>
      </c>
      <c r="G1263" s="2" t="str">
        <f t="shared" si="59"/>
        <v/>
      </c>
      <c r="H1263" s="2" t="str">
        <f t="shared" si="58"/>
        <v/>
      </c>
      <c r="I1263" s="2" t="str">
        <f>IF(Return!C1263=0,REPLACE(INDEX(H:H,ROW()+Return!B1263,),1,2,Return!E1263&amp;"(")&amp;")","")</f>
        <v>v(vr, [vr])</v>
      </c>
      <c r="M1263" s="1"/>
    </row>
    <row r="1264" spans="1:13" x14ac:dyDescent="0.55000000000000004">
      <c r="A1264" s="1" t="s">
        <v>2066</v>
      </c>
      <c r="B1264" t="s">
        <v>1223</v>
      </c>
      <c r="C1264" s="2">
        <f>Return!C1264</f>
        <v>1</v>
      </c>
      <c r="D1264" s="2">
        <f>COUNTA(Argument!E1264)</f>
        <v>1</v>
      </c>
      <c r="E1264" s="2" t="str">
        <f>IF(C1264,Return!D1264,Return!E1264)</f>
        <v>vr</v>
      </c>
      <c r="F1264" s="2" t="str">
        <f t="shared" si="57"/>
        <v>vr</v>
      </c>
      <c r="G1264" s="2" t="str">
        <f t="shared" si="59"/>
        <v>vr</v>
      </c>
      <c r="H1264" s="2" t="str">
        <f t="shared" si="58"/>
        <v>, vr</v>
      </c>
      <c r="I1264" s="2" t="str">
        <f>IF(Return!C1264=0,REPLACE(INDEX(H:H,ROW()+Return!B1264,),1,2,Return!E1264&amp;"(")&amp;")","")</f>
        <v/>
      </c>
      <c r="M1264" s="1"/>
    </row>
    <row r="1265" spans="1:13" x14ac:dyDescent="0.55000000000000004">
      <c r="A1265" s="1" t="s">
        <v>2066</v>
      </c>
      <c r="B1265" t="s">
        <v>1377</v>
      </c>
      <c r="C1265" s="2">
        <f>Return!C1265</f>
        <v>2</v>
      </c>
      <c r="D1265" s="2">
        <f>COUNTA(Argument!E1265)</f>
        <v>1</v>
      </c>
      <c r="E1265" s="2" t="str">
        <f>IF(C1265,Return!D1265,Return!E1265)</f>
        <v>vr</v>
      </c>
      <c r="F1265" s="2" t="str">
        <f t="shared" si="57"/>
        <v>[vr]</v>
      </c>
      <c r="G1265" s="2" t="str">
        <f t="shared" si="59"/>
        <v>[vr]</v>
      </c>
      <c r="H1265" s="2" t="str">
        <f t="shared" si="58"/>
        <v>, vr, [vr]</v>
      </c>
      <c r="I1265" s="2" t="str">
        <f>IF(Return!C1265=0,REPLACE(INDEX(H:H,ROW()+Return!B1265,),1,2,Return!E1265&amp;"(")&amp;")","")</f>
        <v/>
      </c>
      <c r="M1265" s="1"/>
    </row>
    <row r="1266" spans="1:13" x14ac:dyDescent="0.55000000000000004">
      <c r="A1266" s="1" t="s">
        <v>2067</v>
      </c>
      <c r="C1266" s="2">
        <f>Return!C1266</f>
        <v>0</v>
      </c>
      <c r="D1266" s="2">
        <f>COUNTA(Argument!E1266)</f>
        <v>0</v>
      </c>
      <c r="E1266" s="2" t="str">
        <f>IF(C1266,Return!D1266,Return!E1266)</f>
        <v>v</v>
      </c>
      <c r="F1266" s="2" t="str">
        <f t="shared" si="57"/>
        <v/>
      </c>
      <c r="G1266" s="2" t="str">
        <f t="shared" si="59"/>
        <v/>
      </c>
      <c r="H1266" s="2" t="str">
        <f t="shared" si="58"/>
        <v/>
      </c>
      <c r="I1266" s="2" t="str">
        <f>IF(Return!C1266=0,REPLACE(INDEX(H:H,ROW()+Return!B1266,),1,2,Return!E1266&amp;"(")&amp;")","")</f>
        <v>v(vr, [vr])</v>
      </c>
      <c r="M1266" s="1"/>
    </row>
    <row r="1267" spans="1:13" x14ac:dyDescent="0.55000000000000004">
      <c r="A1267" s="1" t="s">
        <v>2067</v>
      </c>
      <c r="B1267" t="s">
        <v>1223</v>
      </c>
      <c r="C1267" s="2">
        <f>Return!C1267</f>
        <v>1</v>
      </c>
      <c r="D1267" s="2">
        <f>COUNTA(Argument!E1267)</f>
        <v>1</v>
      </c>
      <c r="E1267" s="2" t="str">
        <f>IF(C1267,Return!D1267,Return!E1267)</f>
        <v>vr</v>
      </c>
      <c r="F1267" s="2" t="str">
        <f t="shared" si="57"/>
        <v>vr</v>
      </c>
      <c r="G1267" s="2" t="str">
        <f t="shared" si="59"/>
        <v>vr</v>
      </c>
      <c r="H1267" s="2" t="str">
        <f t="shared" si="58"/>
        <v>, vr</v>
      </c>
      <c r="I1267" s="2" t="str">
        <f>IF(Return!C1267=0,REPLACE(INDEX(H:H,ROW()+Return!B1267,),1,2,Return!E1267&amp;"(")&amp;")","")</f>
        <v/>
      </c>
      <c r="M1267" s="1"/>
    </row>
    <row r="1268" spans="1:13" x14ac:dyDescent="0.55000000000000004">
      <c r="A1268" s="1" t="s">
        <v>2067</v>
      </c>
      <c r="B1268" t="s">
        <v>1377</v>
      </c>
      <c r="C1268" s="2">
        <f>Return!C1268</f>
        <v>2</v>
      </c>
      <c r="D1268" s="2">
        <f>COUNTA(Argument!E1268)</f>
        <v>1</v>
      </c>
      <c r="E1268" s="2" t="str">
        <f>IF(C1268,Return!D1268,Return!E1268)</f>
        <v>vr</v>
      </c>
      <c r="F1268" s="2" t="str">
        <f t="shared" si="57"/>
        <v>[vr]</v>
      </c>
      <c r="G1268" s="2" t="str">
        <f t="shared" si="59"/>
        <v>[vr]</v>
      </c>
      <c r="H1268" s="2" t="str">
        <f t="shared" si="58"/>
        <v>, vr, [vr]</v>
      </c>
      <c r="I1268" s="2" t="str">
        <f>IF(Return!C1268=0,REPLACE(INDEX(H:H,ROW()+Return!B1268,),1,2,Return!E1268&amp;"(")&amp;")","")</f>
        <v/>
      </c>
      <c r="M1268" s="1"/>
    </row>
    <row r="1269" spans="1:13" x14ac:dyDescent="0.55000000000000004">
      <c r="A1269" s="1" t="s">
        <v>2068</v>
      </c>
      <c r="C1269" s="2">
        <f>Return!C1269</f>
        <v>0</v>
      </c>
      <c r="D1269" s="2">
        <f>COUNTA(Argument!E1269)</f>
        <v>0</v>
      </c>
      <c r="E1269" s="2" t="str">
        <f>IF(C1269,Return!D1269,Return!E1269)</f>
        <v>v</v>
      </c>
      <c r="F1269" s="2" t="str">
        <f t="shared" si="57"/>
        <v/>
      </c>
      <c r="G1269" s="2" t="str">
        <f t="shared" si="59"/>
        <v/>
      </c>
      <c r="H1269" s="2" t="str">
        <f t="shared" si="58"/>
        <v/>
      </c>
      <c r="I1269" s="2" t="str">
        <f>IF(Return!C1269=0,REPLACE(INDEX(H:H,ROW()+Return!B1269,),1,2,Return!E1269&amp;"(")&amp;")","")</f>
        <v>v(vr)</v>
      </c>
      <c r="M1269" s="1"/>
    </row>
    <row r="1270" spans="1:13" x14ac:dyDescent="0.55000000000000004">
      <c r="A1270" s="1" t="s">
        <v>2068</v>
      </c>
      <c r="B1270" t="s">
        <v>1223</v>
      </c>
      <c r="C1270" s="2">
        <f>Return!C1270</f>
        <v>1</v>
      </c>
      <c r="D1270" s="2">
        <f>COUNTA(Argument!E1270)</f>
        <v>1</v>
      </c>
      <c r="E1270" s="2" t="str">
        <f>IF(C1270,Return!D1270,Return!E1270)</f>
        <v>vr</v>
      </c>
      <c r="F1270" s="2" t="str">
        <f t="shared" si="57"/>
        <v>vr</v>
      </c>
      <c r="G1270" s="2" t="str">
        <f t="shared" si="59"/>
        <v>vr</v>
      </c>
      <c r="H1270" s="2" t="str">
        <f t="shared" si="58"/>
        <v>, vr</v>
      </c>
      <c r="I1270" s="2" t="str">
        <f>IF(Return!C1270=0,REPLACE(INDEX(H:H,ROW()+Return!B1270,),1,2,Return!E1270&amp;"(")&amp;")","")</f>
        <v/>
      </c>
      <c r="M1270" s="1"/>
    </row>
    <row r="1271" spans="1:13" x14ac:dyDescent="0.55000000000000004">
      <c r="A1271" s="1" t="s">
        <v>2069</v>
      </c>
      <c r="C1271" s="2">
        <f>Return!C1271</f>
        <v>0</v>
      </c>
      <c r="D1271" s="2">
        <f>COUNTA(Argument!E1271)</f>
        <v>0</v>
      </c>
      <c r="E1271" s="2" t="str">
        <f>IF(C1271,Return!D1271,Return!E1271)</f>
        <v>v</v>
      </c>
      <c r="F1271" s="2" t="str">
        <f t="shared" si="57"/>
        <v/>
      </c>
      <c r="G1271" s="2" t="str">
        <f t="shared" si="59"/>
        <v/>
      </c>
      <c r="H1271" s="2" t="str">
        <f t="shared" si="58"/>
        <v/>
      </c>
      <c r="I1271" s="2" t="str">
        <f>IF(Return!C1271=0,REPLACE(INDEX(H:H,ROW()+Return!B1271,),1,2,Return!E1271&amp;"(")&amp;")","")</f>
        <v>v(vr)</v>
      </c>
      <c r="M1271" s="1"/>
    </row>
    <row r="1272" spans="1:13" x14ac:dyDescent="0.55000000000000004">
      <c r="A1272" s="1" t="s">
        <v>2069</v>
      </c>
      <c r="B1272" t="s">
        <v>1223</v>
      </c>
      <c r="C1272" s="2">
        <f>Return!C1272</f>
        <v>1</v>
      </c>
      <c r="D1272" s="2">
        <f>COUNTA(Argument!E1272)</f>
        <v>1</v>
      </c>
      <c r="E1272" s="2" t="str">
        <f>IF(C1272,Return!D1272,Return!E1272)</f>
        <v>vr</v>
      </c>
      <c r="F1272" s="2" t="str">
        <f t="shared" si="57"/>
        <v>vr</v>
      </c>
      <c r="G1272" s="2" t="str">
        <f t="shared" si="59"/>
        <v>vr</v>
      </c>
      <c r="H1272" s="2" t="str">
        <f t="shared" si="58"/>
        <v>, vr</v>
      </c>
      <c r="I1272" s="2" t="str">
        <f>IF(Return!C1272=0,REPLACE(INDEX(H:H,ROW()+Return!B1272,),1,2,Return!E1272&amp;"(")&amp;")","")</f>
        <v/>
      </c>
      <c r="M1272" s="1"/>
    </row>
    <row r="1273" spans="1:13" x14ac:dyDescent="0.55000000000000004">
      <c r="A1273" s="1" t="s">
        <v>2070</v>
      </c>
      <c r="C1273" s="2">
        <f>Return!C1273</f>
        <v>0</v>
      </c>
      <c r="D1273" s="2">
        <f>COUNTA(Argument!E1273)</f>
        <v>0</v>
      </c>
      <c r="E1273" s="2" t="str">
        <f>IF(C1273,Return!D1273,Return!E1273)</f>
        <v>v</v>
      </c>
      <c r="F1273" s="2" t="str">
        <f t="shared" si="57"/>
        <v/>
      </c>
      <c r="G1273" s="2" t="str">
        <f t="shared" si="59"/>
        <v/>
      </c>
      <c r="H1273" s="2" t="str">
        <f t="shared" si="58"/>
        <v/>
      </c>
      <c r="I1273" s="2" t="str">
        <f>IF(Return!C1273=0,REPLACE(INDEX(H:H,ROW()+Return!B1273,),1,2,Return!E1273&amp;"(")&amp;")","")</f>
        <v>v(vr, [vr])</v>
      </c>
      <c r="M1273" s="1"/>
    </row>
    <row r="1274" spans="1:13" x14ac:dyDescent="0.55000000000000004">
      <c r="A1274" s="1" t="s">
        <v>2070</v>
      </c>
      <c r="B1274" t="s">
        <v>1223</v>
      </c>
      <c r="C1274" s="2">
        <f>Return!C1274</f>
        <v>1</v>
      </c>
      <c r="D1274" s="2">
        <f>COUNTA(Argument!E1274)</f>
        <v>1</v>
      </c>
      <c r="E1274" s="2" t="str">
        <f>IF(C1274,Return!D1274,Return!E1274)</f>
        <v>vr</v>
      </c>
      <c r="F1274" s="2" t="str">
        <f t="shared" si="57"/>
        <v>vr</v>
      </c>
      <c r="G1274" s="2" t="str">
        <f t="shared" si="59"/>
        <v>vr</v>
      </c>
      <c r="H1274" s="2" t="str">
        <f t="shared" si="58"/>
        <v>, vr</v>
      </c>
      <c r="I1274" s="2" t="str">
        <f>IF(Return!C1274=0,REPLACE(INDEX(H:H,ROW()+Return!B1274,),1,2,Return!E1274&amp;"(")&amp;")","")</f>
        <v/>
      </c>
      <c r="M1274" s="1"/>
    </row>
    <row r="1275" spans="1:13" x14ac:dyDescent="0.55000000000000004">
      <c r="A1275" s="1" t="s">
        <v>2070</v>
      </c>
      <c r="B1275" t="s">
        <v>1377</v>
      </c>
      <c r="C1275" s="2">
        <f>Return!C1275</f>
        <v>2</v>
      </c>
      <c r="D1275" s="2">
        <f>COUNTA(Argument!E1275)</f>
        <v>1</v>
      </c>
      <c r="E1275" s="2" t="str">
        <f>IF(C1275,Return!D1275,Return!E1275)</f>
        <v>vr</v>
      </c>
      <c r="F1275" s="2" t="str">
        <f t="shared" si="57"/>
        <v>[vr]</v>
      </c>
      <c r="G1275" s="2" t="str">
        <f t="shared" si="59"/>
        <v>[vr]</v>
      </c>
      <c r="H1275" s="2" t="str">
        <f t="shared" si="58"/>
        <v>, vr, [vr]</v>
      </c>
      <c r="I1275" s="2" t="str">
        <f>IF(Return!C1275=0,REPLACE(INDEX(H:H,ROW()+Return!B1275,),1,2,Return!E1275&amp;"(")&amp;")","")</f>
        <v/>
      </c>
      <c r="M1275" s="1"/>
    </row>
    <row r="1276" spans="1:13" x14ac:dyDescent="0.55000000000000004">
      <c r="A1276" s="1" t="s">
        <v>2071</v>
      </c>
      <c r="C1276" s="2">
        <f>Return!C1276</f>
        <v>0</v>
      </c>
      <c r="D1276" s="2">
        <f>COUNTA(Argument!E1276)</f>
        <v>0</v>
      </c>
      <c r="E1276" s="2" t="str">
        <f>IF(C1276,Return!D1276,Return!E1276)</f>
        <v>v</v>
      </c>
      <c r="F1276" s="2" t="str">
        <f t="shared" si="57"/>
        <v/>
      </c>
      <c r="G1276" s="2" t="str">
        <f t="shared" si="59"/>
        <v/>
      </c>
      <c r="H1276" s="2" t="str">
        <f t="shared" si="58"/>
        <v/>
      </c>
      <c r="I1276" s="2" t="str">
        <f>IF(Return!C1276=0,REPLACE(INDEX(H:H,ROW()+Return!B1276,),1,2,Return!E1276&amp;"(")&amp;")","")</f>
        <v>v(vr, [vr])</v>
      </c>
      <c r="M1276" s="1"/>
    </row>
    <row r="1277" spans="1:13" x14ac:dyDescent="0.55000000000000004">
      <c r="A1277" s="1" t="s">
        <v>2071</v>
      </c>
      <c r="B1277" t="s">
        <v>1223</v>
      </c>
      <c r="C1277" s="2">
        <f>Return!C1277</f>
        <v>1</v>
      </c>
      <c r="D1277" s="2">
        <f>COUNTA(Argument!E1277)</f>
        <v>1</v>
      </c>
      <c r="E1277" s="2" t="str">
        <f>IF(C1277,Return!D1277,Return!E1277)</f>
        <v>vr</v>
      </c>
      <c r="F1277" s="2" t="str">
        <f t="shared" si="57"/>
        <v>vr</v>
      </c>
      <c r="G1277" s="2" t="str">
        <f t="shared" si="59"/>
        <v>vr</v>
      </c>
      <c r="H1277" s="2" t="str">
        <f t="shared" si="58"/>
        <v>, vr</v>
      </c>
      <c r="I1277" s="2" t="str">
        <f>IF(Return!C1277=0,REPLACE(INDEX(H:H,ROW()+Return!B1277,),1,2,Return!E1277&amp;"(")&amp;")","")</f>
        <v/>
      </c>
      <c r="M1277" s="1"/>
    </row>
    <row r="1278" spans="1:13" x14ac:dyDescent="0.55000000000000004">
      <c r="A1278" s="1" t="s">
        <v>2071</v>
      </c>
      <c r="B1278" t="s">
        <v>1377</v>
      </c>
      <c r="C1278" s="2">
        <f>Return!C1278</f>
        <v>2</v>
      </c>
      <c r="D1278" s="2">
        <f>COUNTA(Argument!E1278)</f>
        <v>1</v>
      </c>
      <c r="E1278" s="2" t="str">
        <f>IF(C1278,Return!D1278,Return!E1278)</f>
        <v>vr</v>
      </c>
      <c r="F1278" s="2" t="str">
        <f t="shared" si="57"/>
        <v>[vr]</v>
      </c>
      <c r="G1278" s="2" t="str">
        <f t="shared" si="59"/>
        <v>[vr]</v>
      </c>
      <c r="H1278" s="2" t="str">
        <f t="shared" si="58"/>
        <v>, vr, [vr]</v>
      </c>
      <c r="I1278" s="2" t="str">
        <f>IF(Return!C1278=0,REPLACE(INDEX(H:H,ROW()+Return!B1278,),1,2,Return!E1278&amp;"(")&amp;")","")</f>
        <v/>
      </c>
      <c r="M1278" s="1"/>
    </row>
    <row r="1279" spans="1:13" x14ac:dyDescent="0.55000000000000004">
      <c r="A1279" s="1" t="s">
        <v>1826</v>
      </c>
      <c r="C1279" s="2">
        <f>Return!C1279</f>
        <v>0</v>
      </c>
      <c r="D1279" s="2">
        <f>COUNTA(Argument!E1279)</f>
        <v>0</v>
      </c>
      <c r="E1279" s="2" t="str">
        <f>IF(C1279,Return!D1279,Return!E1279)</f>
        <v>v</v>
      </c>
      <c r="F1279" s="2" t="str">
        <f t="shared" si="57"/>
        <v/>
      </c>
      <c r="G1279" s="2" t="str">
        <f t="shared" si="59"/>
        <v/>
      </c>
      <c r="H1279" s="2" t="str">
        <f t="shared" si="58"/>
        <v/>
      </c>
      <c r="I1279" s="2" t="str">
        <f>IF(Return!C1279=0,REPLACE(INDEX(H:H,ROW()+Return!B1279,),1,2,Return!E1279&amp;"(")&amp;")","")</f>
        <v>v(vr, vr)</v>
      </c>
      <c r="M1279" s="1"/>
    </row>
    <row r="1280" spans="1:13" x14ac:dyDescent="0.55000000000000004">
      <c r="A1280" s="1" t="s">
        <v>1826</v>
      </c>
      <c r="B1280" t="s">
        <v>1378</v>
      </c>
      <c r="C1280" s="2">
        <f>Return!C1280</f>
        <v>1</v>
      </c>
      <c r="D1280" s="2">
        <f>COUNTA(Argument!E1280)</f>
        <v>0</v>
      </c>
      <c r="E1280" s="2" t="str">
        <f>IF(C1280,Return!D1280,Return!E1280)</f>
        <v>vr</v>
      </c>
      <c r="F1280" s="2" t="str">
        <f t="shared" si="57"/>
        <v>vr</v>
      </c>
      <c r="G1280" s="2" t="str">
        <f t="shared" si="59"/>
        <v>vr</v>
      </c>
      <c r="H1280" s="2" t="str">
        <f t="shared" si="58"/>
        <v>, vr</v>
      </c>
      <c r="I1280" s="2" t="str">
        <f>IF(Return!C1280=0,REPLACE(INDEX(H:H,ROW()+Return!B1280,),1,2,Return!E1280&amp;"(")&amp;")","")</f>
        <v/>
      </c>
      <c r="M1280" s="1"/>
    </row>
    <row r="1281" spans="1:13" x14ac:dyDescent="0.55000000000000004">
      <c r="A1281" s="1" t="s">
        <v>1826</v>
      </c>
      <c r="B1281" t="s">
        <v>1379</v>
      </c>
      <c r="C1281" s="2">
        <f>Return!C1281</f>
        <v>2</v>
      </c>
      <c r="D1281" s="2">
        <f>COUNTA(Argument!E1281)</f>
        <v>1</v>
      </c>
      <c r="E1281" s="2" t="str">
        <f>IF(C1281,Return!D1281,Return!E1281)</f>
        <v>vr</v>
      </c>
      <c r="F1281" s="2" t="str">
        <f t="shared" si="57"/>
        <v>vr</v>
      </c>
      <c r="G1281" s="2" t="str">
        <f t="shared" si="59"/>
        <v>vr</v>
      </c>
      <c r="H1281" s="2" t="str">
        <f t="shared" si="58"/>
        <v>, vr, vr</v>
      </c>
      <c r="I1281" s="2" t="str">
        <f>IF(Return!C1281=0,REPLACE(INDEX(H:H,ROW()+Return!B1281,),1,2,Return!E1281&amp;"(")&amp;")","")</f>
        <v/>
      </c>
      <c r="M1281" s="1"/>
    </row>
    <row r="1282" spans="1:13" x14ac:dyDescent="0.55000000000000004">
      <c r="A1282" s="1" t="s">
        <v>1827</v>
      </c>
      <c r="C1282" s="2">
        <f>Return!C1282</f>
        <v>0</v>
      </c>
      <c r="D1282" s="2">
        <f>COUNTA(Argument!E1282)</f>
        <v>0</v>
      </c>
      <c r="E1282" s="2" t="str">
        <f>IF(C1282,Return!D1282,Return!E1282)</f>
        <v>v</v>
      </c>
      <c r="F1282" s="2" t="str">
        <f t="shared" si="57"/>
        <v/>
      </c>
      <c r="G1282" s="2" t="str">
        <f t="shared" si="59"/>
        <v/>
      </c>
      <c r="H1282" s="2" t="str">
        <f t="shared" si="58"/>
        <v/>
      </c>
      <c r="I1282" s="2" t="str">
        <f>IF(Return!C1282=0,REPLACE(INDEX(H:H,ROW()+Return!B1282,),1,2,Return!E1282&amp;"(")&amp;")","")</f>
        <v>v(vr, vr)</v>
      </c>
      <c r="M1282" s="1"/>
    </row>
    <row r="1283" spans="1:13" x14ac:dyDescent="0.55000000000000004">
      <c r="A1283" s="1" t="s">
        <v>1827</v>
      </c>
      <c r="B1283" t="s">
        <v>1378</v>
      </c>
      <c r="C1283" s="2">
        <f>Return!C1283</f>
        <v>1</v>
      </c>
      <c r="D1283" s="2">
        <f>COUNTA(Argument!E1283)</f>
        <v>0</v>
      </c>
      <c r="E1283" s="2" t="str">
        <f>IF(C1283,Return!D1283,Return!E1283)</f>
        <v>vr</v>
      </c>
      <c r="F1283" s="2" t="str">
        <f t="shared" ref="F1283:F1346" si="60">IF(C1283,IF(D1283,IF(D1282,"["&amp;E1283&amp;"]",E1283),E1283),"")</f>
        <v>vr</v>
      </c>
      <c r="G1283" s="2" t="str">
        <f t="shared" si="59"/>
        <v>vr</v>
      </c>
      <c r="H1283" s="2" t="str">
        <f t="shared" ref="H1283:H1346" si="61">IF(C1283&gt;0,H1282&amp;", "&amp;G1283,"")</f>
        <v>, vr</v>
      </c>
      <c r="I1283" s="2" t="str">
        <f>IF(Return!C1283=0,REPLACE(INDEX(H:H,ROW()+Return!B1283,),1,2,Return!E1283&amp;"(")&amp;")","")</f>
        <v/>
      </c>
      <c r="M1283" s="1"/>
    </row>
    <row r="1284" spans="1:13" x14ac:dyDescent="0.55000000000000004">
      <c r="A1284" s="1" t="s">
        <v>1827</v>
      </c>
      <c r="B1284" t="s">
        <v>1379</v>
      </c>
      <c r="C1284" s="2">
        <f>Return!C1284</f>
        <v>2</v>
      </c>
      <c r="D1284" s="2">
        <f>COUNTA(Argument!E1284)</f>
        <v>1</v>
      </c>
      <c r="E1284" s="2" t="str">
        <f>IF(C1284,Return!D1284,Return!E1284)</f>
        <v>vr</v>
      </c>
      <c r="F1284" s="2" t="str">
        <f t="shared" si="60"/>
        <v>vr</v>
      </c>
      <c r="G1284" s="2" t="str">
        <f t="shared" ref="G1284:G1347" si="62">IF(B1284="...",IF(C1285&gt;0,"["&amp;E1284,"…"),IF(B1283=" ...",IF(C1284&gt;0,E1284&amp;"], …",F1284),F1284))</f>
        <v>vr</v>
      </c>
      <c r="H1284" s="2" t="str">
        <f t="shared" si="61"/>
        <v>, vr, vr</v>
      </c>
      <c r="I1284" s="2" t="str">
        <f>IF(Return!C1284=0,REPLACE(INDEX(H:H,ROW()+Return!B1284,),1,2,Return!E1284&amp;"(")&amp;")","")</f>
        <v/>
      </c>
      <c r="M1284" s="1"/>
    </row>
    <row r="1285" spans="1:13" x14ac:dyDescent="0.55000000000000004">
      <c r="A1285" s="1" t="s">
        <v>1828</v>
      </c>
      <c r="C1285" s="2">
        <f>Return!C1285</f>
        <v>0</v>
      </c>
      <c r="D1285" s="2">
        <f>COUNTA(Argument!E1285)</f>
        <v>0</v>
      </c>
      <c r="E1285" s="2" t="str">
        <f>IF(C1285,Return!D1285,Return!E1285)</f>
        <v>v</v>
      </c>
      <c r="F1285" s="2" t="str">
        <f t="shared" si="60"/>
        <v/>
      </c>
      <c r="G1285" s="2" t="str">
        <f t="shared" si="62"/>
        <v/>
      </c>
      <c r="H1285" s="2" t="str">
        <f t="shared" si="61"/>
        <v/>
      </c>
      <c r="I1285" s="2" t="str">
        <f>IF(Return!C1285=0,REPLACE(INDEX(H:H,ROW()+Return!B1285,),1,2,Return!E1285&amp;"(")&amp;")","")</f>
        <v>v(vr, vr)</v>
      </c>
      <c r="M1285" s="1"/>
    </row>
    <row r="1286" spans="1:13" x14ac:dyDescent="0.55000000000000004">
      <c r="A1286" s="1" t="s">
        <v>1828</v>
      </c>
      <c r="B1286" t="s">
        <v>1380</v>
      </c>
      <c r="C1286" s="2">
        <f>Return!C1286</f>
        <v>1</v>
      </c>
      <c r="D1286" s="2">
        <f>COUNTA(Argument!E1286)</f>
        <v>0</v>
      </c>
      <c r="E1286" s="2" t="str">
        <f>IF(C1286,Return!D1286,Return!E1286)</f>
        <v>vr</v>
      </c>
      <c r="F1286" s="2" t="str">
        <f t="shared" si="60"/>
        <v>vr</v>
      </c>
      <c r="G1286" s="2" t="str">
        <f t="shared" si="62"/>
        <v>vr</v>
      </c>
      <c r="H1286" s="2" t="str">
        <f t="shared" si="61"/>
        <v>, vr</v>
      </c>
      <c r="I1286" s="2" t="str">
        <f>IF(Return!C1286=0,REPLACE(INDEX(H:H,ROW()+Return!B1286,),1,2,Return!E1286&amp;"(")&amp;")","")</f>
        <v/>
      </c>
      <c r="M1286" s="1"/>
    </row>
    <row r="1287" spans="1:13" x14ac:dyDescent="0.55000000000000004">
      <c r="A1287" s="1" t="s">
        <v>1828</v>
      </c>
      <c r="B1287" t="s">
        <v>1223</v>
      </c>
      <c r="C1287" s="2">
        <f>Return!C1287</f>
        <v>2</v>
      </c>
      <c r="D1287" s="2">
        <f>COUNTA(Argument!E1287)</f>
        <v>1</v>
      </c>
      <c r="E1287" s="2" t="str">
        <f>IF(C1287,Return!D1287,Return!E1287)</f>
        <v>vr</v>
      </c>
      <c r="F1287" s="2" t="str">
        <f t="shared" si="60"/>
        <v>vr</v>
      </c>
      <c r="G1287" s="2" t="str">
        <f t="shared" si="62"/>
        <v>vr</v>
      </c>
      <c r="H1287" s="2" t="str">
        <f t="shared" si="61"/>
        <v>, vr, vr</v>
      </c>
      <c r="I1287" s="2" t="str">
        <f>IF(Return!C1287=0,REPLACE(INDEX(H:H,ROW()+Return!B1287,),1,2,Return!E1287&amp;"(")&amp;")","")</f>
        <v/>
      </c>
      <c r="M1287" s="1"/>
    </row>
    <row r="1288" spans="1:13" x14ac:dyDescent="0.55000000000000004">
      <c r="A1288" s="1" t="s">
        <v>1829</v>
      </c>
      <c r="C1288" s="2">
        <f>Return!C1288</f>
        <v>0</v>
      </c>
      <c r="D1288" s="2">
        <f>COUNTA(Argument!E1288)</f>
        <v>0</v>
      </c>
      <c r="E1288" s="2" t="str">
        <f>IF(C1288,Return!D1288,Return!E1288)</f>
        <v>v</v>
      </c>
      <c r="F1288" s="2" t="str">
        <f t="shared" si="60"/>
        <v/>
      </c>
      <c r="G1288" s="2" t="str">
        <f t="shared" si="62"/>
        <v/>
      </c>
      <c r="H1288" s="2" t="str">
        <f t="shared" si="61"/>
        <v/>
      </c>
      <c r="I1288" s="2" t="str">
        <f>IF(Return!C1288=0,REPLACE(INDEX(H:H,ROW()+Return!B1288,),1,2,Return!E1288&amp;"(")&amp;")","")</f>
        <v>v(vr)</v>
      </c>
      <c r="M1288" s="1"/>
    </row>
    <row r="1289" spans="1:13" x14ac:dyDescent="0.55000000000000004">
      <c r="A1289" s="1" t="s">
        <v>1829</v>
      </c>
      <c r="B1289" t="s">
        <v>1380</v>
      </c>
      <c r="C1289" s="2">
        <f>Return!C1289</f>
        <v>1</v>
      </c>
      <c r="D1289" s="2">
        <f>COUNTA(Argument!E1289)</f>
        <v>1</v>
      </c>
      <c r="E1289" s="2" t="str">
        <f>IF(C1289,Return!D1289,Return!E1289)</f>
        <v>vr</v>
      </c>
      <c r="F1289" s="2" t="str">
        <f t="shared" si="60"/>
        <v>vr</v>
      </c>
      <c r="G1289" s="2" t="str">
        <f t="shared" si="62"/>
        <v>vr</v>
      </c>
      <c r="H1289" s="2" t="str">
        <f t="shared" si="61"/>
        <v>, vr</v>
      </c>
      <c r="I1289" s="2" t="str">
        <f>IF(Return!C1289=0,REPLACE(INDEX(H:H,ROW()+Return!B1289,),1,2,Return!E1289&amp;"(")&amp;")","")</f>
        <v/>
      </c>
      <c r="M1289" s="1"/>
    </row>
    <row r="1290" spans="1:13" x14ac:dyDescent="0.55000000000000004">
      <c r="A1290" s="1" t="s">
        <v>1830</v>
      </c>
      <c r="C1290" s="2">
        <f>Return!C1290</f>
        <v>0</v>
      </c>
      <c r="D1290" s="2">
        <f>COUNTA(Argument!E1290)</f>
        <v>0</v>
      </c>
      <c r="E1290" s="2" t="str">
        <f>IF(C1290,Return!D1290,Return!E1290)</f>
        <v>v</v>
      </c>
      <c r="F1290" s="2" t="str">
        <f t="shared" si="60"/>
        <v/>
      </c>
      <c r="G1290" s="2" t="str">
        <f t="shared" si="62"/>
        <v/>
      </c>
      <c r="H1290" s="2" t="str">
        <f t="shared" si="61"/>
        <v/>
      </c>
      <c r="I1290" s="2" t="str">
        <f>IF(Return!C1290=0,REPLACE(INDEX(H:H,ROW()+Return!B1290,),1,2,Return!E1290&amp;"(")&amp;")","")</f>
        <v>v(vr)</v>
      </c>
      <c r="M1290" s="1"/>
    </row>
    <row r="1291" spans="1:13" x14ac:dyDescent="0.55000000000000004">
      <c r="A1291" s="1" t="s">
        <v>1830</v>
      </c>
      <c r="B1291" t="s">
        <v>1380</v>
      </c>
      <c r="C1291" s="2">
        <f>Return!C1291</f>
        <v>1</v>
      </c>
      <c r="D1291" s="2">
        <f>COUNTA(Argument!E1291)</f>
        <v>1</v>
      </c>
      <c r="E1291" s="2" t="str">
        <f>IF(C1291,Return!D1291,Return!E1291)</f>
        <v>vr</v>
      </c>
      <c r="F1291" s="2" t="str">
        <f t="shared" si="60"/>
        <v>vr</v>
      </c>
      <c r="G1291" s="2" t="str">
        <f t="shared" si="62"/>
        <v>vr</v>
      </c>
      <c r="H1291" s="2" t="str">
        <f t="shared" si="61"/>
        <v>, vr</v>
      </c>
      <c r="I1291" s="2" t="str">
        <f>IF(Return!C1291=0,REPLACE(INDEX(H:H,ROW()+Return!B1291,),1,2,Return!E1291&amp;"(")&amp;")","")</f>
        <v/>
      </c>
      <c r="M1291" s="1"/>
    </row>
    <row r="1292" spans="1:13" x14ac:dyDescent="0.55000000000000004">
      <c r="A1292" s="1" t="s">
        <v>1831</v>
      </c>
      <c r="C1292" s="2">
        <f>Return!C1292</f>
        <v>0</v>
      </c>
      <c r="D1292" s="2">
        <f>COUNTA(Argument!E1292)</f>
        <v>0</v>
      </c>
      <c r="E1292" s="2" t="str">
        <f>IF(C1292,Return!D1292,Return!E1292)</f>
        <v>v</v>
      </c>
      <c r="F1292" s="2" t="str">
        <f t="shared" si="60"/>
        <v/>
      </c>
      <c r="G1292" s="2" t="str">
        <f t="shared" si="62"/>
        <v/>
      </c>
      <c r="H1292" s="2" t="str">
        <f t="shared" si="61"/>
        <v/>
      </c>
      <c r="I1292" s="2" t="str">
        <f>IF(Return!C1292=0,REPLACE(INDEX(H:H,ROW()+Return!B1292,),1,2,Return!E1292&amp;"(")&amp;")","")</f>
        <v>v(vr)</v>
      </c>
      <c r="M1292" s="1"/>
    </row>
    <row r="1293" spans="1:13" x14ac:dyDescent="0.55000000000000004">
      <c r="A1293" s="1" t="s">
        <v>1831</v>
      </c>
      <c r="B1293" t="s">
        <v>1380</v>
      </c>
      <c r="C1293" s="2">
        <f>Return!C1293</f>
        <v>1</v>
      </c>
      <c r="D1293" s="2">
        <f>COUNTA(Argument!E1293)</f>
        <v>1</v>
      </c>
      <c r="E1293" s="2" t="str">
        <f>IF(C1293,Return!D1293,Return!E1293)</f>
        <v>vr</v>
      </c>
      <c r="F1293" s="2" t="str">
        <f t="shared" si="60"/>
        <v>vr</v>
      </c>
      <c r="G1293" s="2" t="str">
        <f t="shared" si="62"/>
        <v>vr</v>
      </c>
      <c r="H1293" s="2" t="str">
        <f t="shared" si="61"/>
        <v>, vr</v>
      </c>
      <c r="I1293" s="2" t="str">
        <f>IF(Return!C1293=0,REPLACE(INDEX(H:H,ROW()+Return!B1293,),1,2,Return!E1293&amp;"(")&amp;")","")</f>
        <v/>
      </c>
      <c r="M1293" s="1"/>
    </row>
    <row r="1294" spans="1:13" x14ac:dyDescent="0.55000000000000004">
      <c r="A1294" s="1" t="s">
        <v>1832</v>
      </c>
      <c r="C1294" s="2">
        <f>Return!C1294</f>
        <v>0</v>
      </c>
      <c r="D1294" s="2">
        <f>COUNTA(Argument!E1294)</f>
        <v>0</v>
      </c>
      <c r="E1294" s="2" t="str">
        <f>IF(C1294,Return!D1294,Return!E1294)</f>
        <v>v</v>
      </c>
      <c r="F1294" s="2" t="str">
        <f t="shared" si="60"/>
        <v/>
      </c>
      <c r="G1294" s="2" t="str">
        <f t="shared" si="62"/>
        <v/>
      </c>
      <c r="H1294" s="2" t="str">
        <f t="shared" si="61"/>
        <v/>
      </c>
      <c r="I1294" s="2" t="str">
        <f>IF(Return!C1294=0,REPLACE(INDEX(H:H,ROW()+Return!B1294,),1,2,Return!E1294&amp;"(")&amp;")","")</f>
        <v>v(vr)</v>
      </c>
      <c r="M1294" s="1"/>
    </row>
    <row r="1295" spans="1:13" x14ac:dyDescent="0.55000000000000004">
      <c r="A1295" s="1" t="s">
        <v>1832</v>
      </c>
      <c r="B1295" t="s">
        <v>1380</v>
      </c>
      <c r="C1295" s="2">
        <f>Return!C1295</f>
        <v>1</v>
      </c>
      <c r="D1295" s="2">
        <f>COUNTA(Argument!E1295)</f>
        <v>1</v>
      </c>
      <c r="E1295" s="2" t="str">
        <f>IF(C1295,Return!D1295,Return!E1295)</f>
        <v>vr</v>
      </c>
      <c r="F1295" s="2" t="str">
        <f t="shared" si="60"/>
        <v>vr</v>
      </c>
      <c r="G1295" s="2" t="str">
        <f t="shared" si="62"/>
        <v>vr</v>
      </c>
      <c r="H1295" s="2" t="str">
        <f t="shared" si="61"/>
        <v>, vr</v>
      </c>
      <c r="I1295" s="2" t="str">
        <f>IF(Return!C1295=0,REPLACE(INDEX(H:H,ROW()+Return!B1295,),1,2,Return!E1295&amp;"(")&amp;")","")</f>
        <v/>
      </c>
      <c r="M1295" s="1"/>
    </row>
    <row r="1296" spans="1:13" x14ac:dyDescent="0.55000000000000004">
      <c r="A1296" s="1" t="s">
        <v>1833</v>
      </c>
      <c r="C1296" s="2">
        <f>Return!C1296</f>
        <v>0</v>
      </c>
      <c r="D1296" s="2">
        <f>COUNTA(Argument!E1296)</f>
        <v>0</v>
      </c>
      <c r="E1296" s="2" t="str">
        <f>IF(C1296,Return!D1296,Return!E1296)</f>
        <v>v</v>
      </c>
      <c r="F1296" s="2" t="str">
        <f t="shared" si="60"/>
        <v/>
      </c>
      <c r="G1296" s="2" t="str">
        <f t="shared" si="62"/>
        <v/>
      </c>
      <c r="H1296" s="2" t="str">
        <f t="shared" si="61"/>
        <v/>
      </c>
      <c r="I1296" s="2" t="str">
        <f>IF(Return!C1296=0,REPLACE(INDEX(H:H,ROW()+Return!B1296,),1,2,Return!E1296&amp;"(")&amp;")","")</f>
        <v>v(vr)</v>
      </c>
      <c r="M1296" s="1"/>
    </row>
    <row r="1297" spans="1:13" x14ac:dyDescent="0.55000000000000004">
      <c r="A1297" s="1" t="s">
        <v>1833</v>
      </c>
      <c r="B1297" t="s">
        <v>1380</v>
      </c>
      <c r="C1297" s="2">
        <f>Return!C1297</f>
        <v>1</v>
      </c>
      <c r="D1297" s="2">
        <f>COUNTA(Argument!E1297)</f>
        <v>1</v>
      </c>
      <c r="E1297" s="2" t="str">
        <f>IF(C1297,Return!D1297,Return!E1297)</f>
        <v>vr</v>
      </c>
      <c r="F1297" s="2" t="str">
        <f t="shared" si="60"/>
        <v>vr</v>
      </c>
      <c r="G1297" s="2" t="str">
        <f t="shared" si="62"/>
        <v>vr</v>
      </c>
      <c r="H1297" s="2" t="str">
        <f t="shared" si="61"/>
        <v>, vr</v>
      </c>
      <c r="I1297" s="2" t="str">
        <f>IF(Return!C1297=0,REPLACE(INDEX(H:H,ROW()+Return!B1297,),1,2,Return!E1297&amp;"(")&amp;")","")</f>
        <v/>
      </c>
      <c r="M1297" s="1"/>
    </row>
    <row r="1298" spans="1:13" x14ac:dyDescent="0.55000000000000004">
      <c r="A1298" s="1" t="s">
        <v>1834</v>
      </c>
      <c r="C1298" s="2">
        <f>Return!C1298</f>
        <v>0</v>
      </c>
      <c r="D1298" s="2">
        <f>COUNTA(Argument!E1298)</f>
        <v>0</v>
      </c>
      <c r="E1298" s="2" t="str">
        <f>IF(C1298,Return!D1298,Return!E1298)</f>
        <v>v</v>
      </c>
      <c r="F1298" s="2" t="str">
        <f t="shared" si="60"/>
        <v/>
      </c>
      <c r="G1298" s="2" t="str">
        <f t="shared" si="62"/>
        <v/>
      </c>
      <c r="H1298" s="2" t="str">
        <f t="shared" si="61"/>
        <v/>
      </c>
      <c r="I1298" s="2" t="str">
        <f>IF(Return!C1298=0,REPLACE(INDEX(H:H,ROW()+Return!B1298,),1,2,Return!E1298&amp;"(")&amp;")","")</f>
        <v>v(vr)</v>
      </c>
      <c r="M1298" s="1"/>
    </row>
    <row r="1299" spans="1:13" x14ac:dyDescent="0.55000000000000004">
      <c r="A1299" s="1" t="s">
        <v>1834</v>
      </c>
      <c r="B1299" t="s">
        <v>1380</v>
      </c>
      <c r="C1299" s="2">
        <f>Return!C1299</f>
        <v>1</v>
      </c>
      <c r="D1299" s="2">
        <f>COUNTA(Argument!E1299)</f>
        <v>1</v>
      </c>
      <c r="E1299" s="2" t="str">
        <f>IF(C1299,Return!D1299,Return!E1299)</f>
        <v>vr</v>
      </c>
      <c r="F1299" s="2" t="str">
        <f t="shared" si="60"/>
        <v>vr</v>
      </c>
      <c r="G1299" s="2" t="str">
        <f t="shared" si="62"/>
        <v>vr</v>
      </c>
      <c r="H1299" s="2" t="str">
        <f t="shared" si="61"/>
        <v>, vr</v>
      </c>
      <c r="I1299" s="2" t="str">
        <f>IF(Return!C1299=0,REPLACE(INDEX(H:H,ROW()+Return!B1299,),1,2,Return!E1299&amp;"(")&amp;")","")</f>
        <v/>
      </c>
      <c r="M1299" s="1"/>
    </row>
    <row r="1300" spans="1:13" x14ac:dyDescent="0.55000000000000004">
      <c r="A1300" s="1" t="s">
        <v>1835</v>
      </c>
      <c r="C1300" s="2">
        <f>Return!C1300</f>
        <v>0</v>
      </c>
      <c r="D1300" s="2">
        <f>COUNTA(Argument!E1300)</f>
        <v>0</v>
      </c>
      <c r="E1300" s="2" t="str">
        <f>IF(C1300,Return!D1300,Return!E1300)</f>
        <v>v</v>
      </c>
      <c r="F1300" s="2" t="str">
        <f t="shared" si="60"/>
        <v/>
      </c>
      <c r="G1300" s="2" t="str">
        <f t="shared" si="62"/>
        <v/>
      </c>
      <c r="H1300" s="2" t="str">
        <f t="shared" si="61"/>
        <v/>
      </c>
      <c r="I1300" s="2" t="str">
        <f>IF(Return!C1300=0,REPLACE(INDEX(H:H,ROW()+Return!B1300,),1,2,Return!E1300&amp;"(")&amp;")","")</f>
        <v>v(vr)</v>
      </c>
      <c r="M1300" s="1"/>
    </row>
    <row r="1301" spans="1:13" x14ac:dyDescent="0.55000000000000004">
      <c r="A1301" s="1" t="s">
        <v>1835</v>
      </c>
      <c r="B1301" t="s">
        <v>1380</v>
      </c>
      <c r="C1301" s="2">
        <f>Return!C1301</f>
        <v>1</v>
      </c>
      <c r="D1301" s="2">
        <f>COUNTA(Argument!E1301)</f>
        <v>1</v>
      </c>
      <c r="E1301" s="2" t="str">
        <f>IF(C1301,Return!D1301,Return!E1301)</f>
        <v>vr</v>
      </c>
      <c r="F1301" s="2" t="str">
        <f t="shared" si="60"/>
        <v>vr</v>
      </c>
      <c r="G1301" s="2" t="str">
        <f t="shared" si="62"/>
        <v>vr</v>
      </c>
      <c r="H1301" s="2" t="str">
        <f t="shared" si="61"/>
        <v>, vr</v>
      </c>
      <c r="I1301" s="2" t="str">
        <f>IF(Return!C1301=0,REPLACE(INDEX(H:H,ROW()+Return!B1301,),1,2,Return!E1301&amp;"(")&amp;")","")</f>
        <v/>
      </c>
      <c r="M1301" s="1"/>
    </row>
    <row r="1302" spans="1:13" x14ac:dyDescent="0.55000000000000004">
      <c r="A1302" s="1" t="s">
        <v>1836</v>
      </c>
      <c r="C1302" s="2">
        <f>Return!C1302</f>
        <v>0</v>
      </c>
      <c r="D1302" s="2">
        <f>COUNTA(Argument!E1302)</f>
        <v>0</v>
      </c>
      <c r="E1302" s="2" t="str">
        <f>IF(C1302,Return!D1302,Return!E1302)</f>
        <v>v</v>
      </c>
      <c r="F1302" s="2" t="str">
        <f t="shared" si="60"/>
        <v/>
      </c>
      <c r="G1302" s="2" t="str">
        <f t="shared" si="62"/>
        <v/>
      </c>
      <c r="H1302" s="2" t="str">
        <f t="shared" si="61"/>
        <v/>
      </c>
      <c r="I1302" s="2" t="str">
        <f>IF(Return!C1302=0,REPLACE(INDEX(H:H,ROW()+Return!B1302,),1,2,Return!E1302&amp;"(")&amp;")","")</f>
        <v>v(vr)</v>
      </c>
      <c r="M1302" s="1"/>
    </row>
    <row r="1303" spans="1:13" x14ac:dyDescent="0.55000000000000004">
      <c r="A1303" s="1" t="s">
        <v>1836</v>
      </c>
      <c r="B1303" t="s">
        <v>1380</v>
      </c>
      <c r="C1303" s="2">
        <f>Return!C1303</f>
        <v>1</v>
      </c>
      <c r="D1303" s="2">
        <f>COUNTA(Argument!E1303)</f>
        <v>1</v>
      </c>
      <c r="E1303" s="2" t="str">
        <f>IF(C1303,Return!D1303,Return!E1303)</f>
        <v>vr</v>
      </c>
      <c r="F1303" s="2" t="str">
        <f t="shared" si="60"/>
        <v>vr</v>
      </c>
      <c r="G1303" s="2" t="str">
        <f t="shared" si="62"/>
        <v>vr</v>
      </c>
      <c r="H1303" s="2" t="str">
        <f t="shared" si="61"/>
        <v>, vr</v>
      </c>
      <c r="I1303" s="2" t="str">
        <f>IF(Return!C1303=0,REPLACE(INDEX(H:H,ROW()+Return!B1303,),1,2,Return!E1303&amp;"(")&amp;")","")</f>
        <v/>
      </c>
      <c r="M1303" s="1"/>
    </row>
    <row r="1304" spans="1:13" x14ac:dyDescent="0.55000000000000004">
      <c r="A1304" s="1" t="s">
        <v>1837</v>
      </c>
      <c r="C1304" s="2">
        <f>Return!C1304</f>
        <v>0</v>
      </c>
      <c r="D1304" s="2">
        <f>COUNTA(Argument!E1304)</f>
        <v>0</v>
      </c>
      <c r="E1304" s="2" t="str">
        <f>IF(C1304,Return!D1304,Return!E1304)</f>
        <v>v</v>
      </c>
      <c r="F1304" s="2" t="str">
        <f t="shared" si="60"/>
        <v/>
      </c>
      <c r="G1304" s="2" t="str">
        <f t="shared" si="62"/>
        <v/>
      </c>
      <c r="H1304" s="2" t="str">
        <f t="shared" si="61"/>
        <v/>
      </c>
      <c r="I1304" s="2" t="str">
        <f>IF(Return!C1304=0,REPLACE(INDEX(H:H,ROW()+Return!B1304,),1,2,Return!E1304&amp;"(")&amp;")","")</f>
        <v>v(vr)</v>
      </c>
      <c r="M1304" s="1"/>
    </row>
    <row r="1305" spans="1:13" x14ac:dyDescent="0.55000000000000004">
      <c r="A1305" s="1" t="s">
        <v>1837</v>
      </c>
      <c r="B1305" t="s">
        <v>1380</v>
      </c>
      <c r="C1305" s="2">
        <f>Return!C1305</f>
        <v>1</v>
      </c>
      <c r="D1305" s="2">
        <f>COUNTA(Argument!E1305)</f>
        <v>1</v>
      </c>
      <c r="E1305" s="2" t="str">
        <f>IF(C1305,Return!D1305,Return!E1305)</f>
        <v>vr</v>
      </c>
      <c r="F1305" s="2" t="str">
        <f t="shared" si="60"/>
        <v>vr</v>
      </c>
      <c r="G1305" s="2" t="str">
        <f t="shared" si="62"/>
        <v>vr</v>
      </c>
      <c r="H1305" s="2" t="str">
        <f t="shared" si="61"/>
        <v>, vr</v>
      </c>
      <c r="I1305" s="2" t="str">
        <f>IF(Return!C1305=0,REPLACE(INDEX(H:H,ROW()+Return!B1305,),1,2,Return!E1305&amp;"(")&amp;")","")</f>
        <v/>
      </c>
      <c r="M1305" s="1"/>
    </row>
    <row r="1306" spans="1:13" x14ac:dyDescent="0.55000000000000004">
      <c r="A1306" s="1" t="s">
        <v>1838</v>
      </c>
      <c r="C1306" s="2">
        <f>Return!C1306</f>
        <v>0</v>
      </c>
      <c r="D1306" s="2">
        <f>COUNTA(Argument!E1306)</f>
        <v>0</v>
      </c>
      <c r="E1306" s="2" t="str">
        <f>IF(C1306,Return!D1306,Return!E1306)</f>
        <v>v</v>
      </c>
      <c r="F1306" s="2" t="str">
        <f t="shared" si="60"/>
        <v/>
      </c>
      <c r="G1306" s="2" t="str">
        <f t="shared" si="62"/>
        <v/>
      </c>
      <c r="H1306" s="2" t="str">
        <f t="shared" si="61"/>
        <v/>
      </c>
      <c r="I1306" s="2" t="str">
        <f>IF(Return!C1306=0,REPLACE(INDEX(H:H,ROW()+Return!B1306,),1,2,Return!E1306&amp;"(")&amp;")","")</f>
        <v>v(vr)</v>
      </c>
      <c r="M1306" s="1"/>
    </row>
    <row r="1307" spans="1:13" x14ac:dyDescent="0.55000000000000004">
      <c r="A1307" s="1" t="s">
        <v>1838</v>
      </c>
      <c r="B1307" t="s">
        <v>1380</v>
      </c>
      <c r="C1307" s="2">
        <f>Return!C1307</f>
        <v>1</v>
      </c>
      <c r="D1307" s="2">
        <f>COUNTA(Argument!E1307)</f>
        <v>1</v>
      </c>
      <c r="E1307" s="2" t="str">
        <f>IF(C1307,Return!D1307,Return!E1307)</f>
        <v>vr</v>
      </c>
      <c r="F1307" s="2" t="str">
        <f t="shared" si="60"/>
        <v>vr</v>
      </c>
      <c r="G1307" s="2" t="str">
        <f t="shared" si="62"/>
        <v>vr</v>
      </c>
      <c r="H1307" s="2" t="str">
        <f t="shared" si="61"/>
        <v>, vr</v>
      </c>
      <c r="I1307" s="2" t="str">
        <f>IF(Return!C1307=0,REPLACE(INDEX(H:H,ROW()+Return!B1307,),1,2,Return!E1307&amp;"(")&amp;")","")</f>
        <v/>
      </c>
      <c r="M1307" s="1"/>
    </row>
    <row r="1308" spans="1:13" x14ac:dyDescent="0.55000000000000004">
      <c r="A1308" s="1" t="s">
        <v>1839</v>
      </c>
      <c r="C1308" s="2">
        <f>Return!C1308</f>
        <v>0</v>
      </c>
      <c r="D1308" s="2">
        <f>COUNTA(Argument!E1308)</f>
        <v>0</v>
      </c>
      <c r="E1308" s="2" t="str">
        <f>IF(C1308,Return!D1308,Return!E1308)</f>
        <v>v</v>
      </c>
      <c r="F1308" s="2" t="str">
        <f t="shared" si="60"/>
        <v/>
      </c>
      <c r="G1308" s="2" t="str">
        <f t="shared" si="62"/>
        <v/>
      </c>
      <c r="H1308" s="2" t="str">
        <f t="shared" si="61"/>
        <v/>
      </c>
      <c r="I1308" s="2" t="str">
        <f>IF(Return!C1308=0,REPLACE(INDEX(H:H,ROW()+Return!B1308,),1,2,Return!E1308&amp;"(")&amp;")","")</f>
        <v>v(vr)</v>
      </c>
      <c r="M1308" s="1"/>
    </row>
    <row r="1309" spans="1:13" x14ac:dyDescent="0.55000000000000004">
      <c r="A1309" s="1" t="s">
        <v>1839</v>
      </c>
      <c r="B1309" t="s">
        <v>1380</v>
      </c>
      <c r="C1309" s="2">
        <f>Return!C1309</f>
        <v>1</v>
      </c>
      <c r="D1309" s="2">
        <f>COUNTA(Argument!E1309)</f>
        <v>1</v>
      </c>
      <c r="E1309" s="2" t="str">
        <f>IF(C1309,Return!D1309,Return!E1309)</f>
        <v>vr</v>
      </c>
      <c r="F1309" s="2" t="str">
        <f t="shared" si="60"/>
        <v>vr</v>
      </c>
      <c r="G1309" s="2" t="str">
        <f t="shared" si="62"/>
        <v>vr</v>
      </c>
      <c r="H1309" s="2" t="str">
        <f t="shared" si="61"/>
        <v>, vr</v>
      </c>
      <c r="I1309" s="2" t="str">
        <f>IF(Return!C1309=0,REPLACE(INDEX(H:H,ROW()+Return!B1309,),1,2,Return!E1309&amp;"(")&amp;")","")</f>
        <v/>
      </c>
      <c r="M1309" s="1"/>
    </row>
    <row r="1310" spans="1:13" x14ac:dyDescent="0.55000000000000004">
      <c r="A1310" s="1" t="s">
        <v>1840</v>
      </c>
      <c r="C1310" s="2">
        <f>Return!C1310</f>
        <v>0</v>
      </c>
      <c r="D1310" s="2">
        <f>COUNTA(Argument!E1310)</f>
        <v>0</v>
      </c>
      <c r="E1310" s="2" t="str">
        <f>IF(C1310,Return!D1310,Return!E1310)</f>
        <v>v</v>
      </c>
      <c r="F1310" s="2" t="str">
        <f t="shared" si="60"/>
        <v/>
      </c>
      <c r="G1310" s="2" t="str">
        <f t="shared" si="62"/>
        <v/>
      </c>
      <c r="H1310" s="2" t="str">
        <f t="shared" si="61"/>
        <v/>
      </c>
      <c r="I1310" s="2" t="str">
        <f>IF(Return!C1310=0,REPLACE(INDEX(H:H,ROW()+Return!B1310,),1,2,Return!E1310&amp;"(")&amp;")","")</f>
        <v>v(vr)</v>
      </c>
      <c r="M1310" s="1"/>
    </row>
    <row r="1311" spans="1:13" x14ac:dyDescent="0.55000000000000004">
      <c r="A1311" s="1" t="s">
        <v>1840</v>
      </c>
      <c r="B1311" t="s">
        <v>1380</v>
      </c>
      <c r="C1311" s="2">
        <f>Return!C1311</f>
        <v>1</v>
      </c>
      <c r="D1311" s="2">
        <f>COUNTA(Argument!E1311)</f>
        <v>1</v>
      </c>
      <c r="E1311" s="2" t="str">
        <f>IF(C1311,Return!D1311,Return!E1311)</f>
        <v>vr</v>
      </c>
      <c r="F1311" s="2" t="str">
        <f t="shared" si="60"/>
        <v>vr</v>
      </c>
      <c r="G1311" s="2" t="str">
        <f t="shared" si="62"/>
        <v>vr</v>
      </c>
      <c r="H1311" s="2" t="str">
        <f t="shared" si="61"/>
        <v>, vr</v>
      </c>
      <c r="I1311" s="2" t="str">
        <f>IF(Return!C1311=0,REPLACE(INDEX(H:H,ROW()+Return!B1311,),1,2,Return!E1311&amp;"(")&amp;")","")</f>
        <v/>
      </c>
      <c r="M1311" s="1"/>
    </row>
    <row r="1312" spans="1:13" x14ac:dyDescent="0.55000000000000004">
      <c r="A1312" s="1" t="s">
        <v>1841</v>
      </c>
      <c r="C1312" s="2">
        <f>Return!C1312</f>
        <v>0</v>
      </c>
      <c r="D1312" s="2">
        <f>COUNTA(Argument!E1312)</f>
        <v>0</v>
      </c>
      <c r="E1312" s="2" t="str">
        <f>IF(C1312,Return!D1312,Return!E1312)</f>
        <v>v</v>
      </c>
      <c r="F1312" s="2" t="str">
        <f t="shared" si="60"/>
        <v/>
      </c>
      <c r="G1312" s="2" t="str">
        <f t="shared" si="62"/>
        <v/>
      </c>
      <c r="H1312" s="2" t="str">
        <f t="shared" si="61"/>
        <v/>
      </c>
      <c r="I1312" s="2" t="str">
        <f>IF(Return!C1312=0,REPLACE(INDEX(H:H,ROW()+Return!B1312,),1,2,Return!E1312&amp;"(")&amp;")","")</f>
        <v>v(vr, vr, [vr])</v>
      </c>
      <c r="M1312" s="1"/>
    </row>
    <row r="1313" spans="1:13" x14ac:dyDescent="0.55000000000000004">
      <c r="A1313" s="1" t="s">
        <v>1841</v>
      </c>
      <c r="B1313" t="s">
        <v>1381</v>
      </c>
      <c r="C1313" s="2">
        <f>Return!C1313</f>
        <v>1</v>
      </c>
      <c r="D1313" s="2">
        <f>COUNTA(Argument!E1313)</f>
        <v>0</v>
      </c>
      <c r="E1313" s="2" t="str">
        <f>IF(C1313,Return!D1313,Return!E1313)</f>
        <v>vr</v>
      </c>
      <c r="F1313" s="2" t="str">
        <f t="shared" si="60"/>
        <v>vr</v>
      </c>
      <c r="G1313" s="2" t="str">
        <f t="shared" si="62"/>
        <v>vr</v>
      </c>
      <c r="H1313" s="2" t="str">
        <f t="shared" si="61"/>
        <v>, vr</v>
      </c>
      <c r="I1313" s="2" t="str">
        <f>IF(Return!C1313=0,REPLACE(INDEX(H:H,ROW()+Return!B1313,),1,2,Return!E1313&amp;"(")&amp;")","")</f>
        <v/>
      </c>
      <c r="M1313" s="1"/>
    </row>
    <row r="1314" spans="1:13" x14ac:dyDescent="0.55000000000000004">
      <c r="A1314" s="1" t="s">
        <v>1841</v>
      </c>
      <c r="B1314" t="s">
        <v>1382</v>
      </c>
      <c r="C1314" s="2">
        <f>Return!C1314</f>
        <v>2</v>
      </c>
      <c r="D1314" s="2">
        <f>COUNTA(Argument!E1314)</f>
        <v>1</v>
      </c>
      <c r="E1314" s="2" t="str">
        <f>IF(C1314,Return!D1314,Return!E1314)</f>
        <v>vr</v>
      </c>
      <c r="F1314" s="2" t="str">
        <f t="shared" si="60"/>
        <v>vr</v>
      </c>
      <c r="G1314" s="2" t="str">
        <f t="shared" si="62"/>
        <v>vr</v>
      </c>
      <c r="H1314" s="2" t="str">
        <f t="shared" si="61"/>
        <v>, vr, vr</v>
      </c>
      <c r="I1314" s="2" t="str">
        <f>IF(Return!C1314=0,REPLACE(INDEX(H:H,ROW()+Return!B1314,),1,2,Return!E1314&amp;"(")&amp;")","")</f>
        <v/>
      </c>
      <c r="M1314" s="1"/>
    </row>
    <row r="1315" spans="1:13" x14ac:dyDescent="0.55000000000000004">
      <c r="A1315" s="1" t="s">
        <v>1841</v>
      </c>
      <c r="B1315" t="s">
        <v>1383</v>
      </c>
      <c r="C1315" s="2">
        <f>Return!C1315</f>
        <v>3</v>
      </c>
      <c r="D1315" s="2">
        <f>COUNTA(Argument!E1315)</f>
        <v>1</v>
      </c>
      <c r="E1315" s="2" t="str">
        <f>IF(C1315,Return!D1315,Return!E1315)</f>
        <v>vr</v>
      </c>
      <c r="F1315" s="2" t="str">
        <f t="shared" si="60"/>
        <v>[vr]</v>
      </c>
      <c r="G1315" s="2" t="str">
        <f t="shared" si="62"/>
        <v>[vr]</v>
      </c>
      <c r="H1315" s="2" t="str">
        <f t="shared" si="61"/>
        <v>, vr, vr, [vr]</v>
      </c>
      <c r="I1315" s="2" t="str">
        <f>IF(Return!C1315=0,REPLACE(INDEX(H:H,ROW()+Return!B1315,),1,2,Return!E1315&amp;"(")&amp;")","")</f>
        <v/>
      </c>
      <c r="M1315" s="1"/>
    </row>
    <row r="1316" spans="1:13" x14ac:dyDescent="0.55000000000000004">
      <c r="A1316" s="1" t="s">
        <v>1842</v>
      </c>
      <c r="C1316" s="2">
        <f>Return!C1316</f>
        <v>0</v>
      </c>
      <c r="D1316" s="2">
        <f>COUNTA(Argument!E1316)</f>
        <v>0</v>
      </c>
      <c r="E1316" s="2" t="str">
        <f>IF(C1316,Return!D1316,Return!E1316)</f>
        <v>v</v>
      </c>
      <c r="F1316" s="2" t="str">
        <f t="shared" si="60"/>
        <v/>
      </c>
      <c r="G1316" s="2" t="str">
        <f t="shared" si="62"/>
        <v/>
      </c>
      <c r="H1316" s="2" t="str">
        <f t="shared" si="61"/>
        <v/>
      </c>
      <c r="I1316" s="2" t="str">
        <f>IF(Return!C1316=0,REPLACE(INDEX(H:H,ROW()+Return!B1316,),1,2,Return!E1316&amp;"(")&amp;")","")</f>
        <v>v(var, [var], …)</v>
      </c>
      <c r="M1316" s="1"/>
    </row>
    <row r="1317" spans="1:13" x14ac:dyDescent="0.55000000000000004">
      <c r="A1317" s="1" t="s">
        <v>1842</v>
      </c>
      <c r="B1317" t="s">
        <v>1378</v>
      </c>
      <c r="C1317" s="2">
        <f>Return!C1317</f>
        <v>1</v>
      </c>
      <c r="D1317" s="2">
        <f>COUNTA(Argument!E1317)</f>
        <v>1</v>
      </c>
      <c r="E1317" s="2" t="str">
        <f>IF(C1317,Return!D1317,Return!E1317)</f>
        <v>var</v>
      </c>
      <c r="F1317" s="2" t="str">
        <f t="shared" si="60"/>
        <v>var</v>
      </c>
      <c r="G1317" s="2" t="str">
        <f t="shared" si="62"/>
        <v>var</v>
      </c>
      <c r="H1317" s="2" t="str">
        <f t="shared" si="61"/>
        <v>, var</v>
      </c>
      <c r="I1317" s="2" t="str">
        <f>IF(Return!C1317=0,REPLACE(INDEX(H:H,ROW()+Return!B1317,),1,2,Return!E1317&amp;"(")&amp;")","")</f>
        <v/>
      </c>
      <c r="M1317" s="1"/>
    </row>
    <row r="1318" spans="1:13" x14ac:dyDescent="0.55000000000000004">
      <c r="A1318" s="1" t="s">
        <v>1842</v>
      </c>
      <c r="B1318" t="s">
        <v>1379</v>
      </c>
      <c r="C1318" s="2">
        <f>Return!C1318</f>
        <v>2</v>
      </c>
      <c r="D1318" s="2">
        <f>COUNTA(Argument!E1318)</f>
        <v>1</v>
      </c>
      <c r="E1318" s="2" t="str">
        <f>IF(C1318,Return!D1318,Return!E1318)</f>
        <v>var</v>
      </c>
      <c r="F1318" s="2" t="str">
        <f t="shared" si="60"/>
        <v>[var]</v>
      </c>
      <c r="G1318" s="2" t="str">
        <f t="shared" si="62"/>
        <v>[var]</v>
      </c>
      <c r="H1318" s="2" t="str">
        <f t="shared" si="61"/>
        <v>, var, [var]</v>
      </c>
      <c r="I1318" s="2" t="str">
        <f>IF(Return!C1318=0,REPLACE(INDEX(H:H,ROW()+Return!B1318,),1,2,Return!E1318&amp;"(")&amp;")","")</f>
        <v/>
      </c>
      <c r="M1318" s="1"/>
    </row>
    <row r="1319" spans="1:13" x14ac:dyDescent="0.55000000000000004">
      <c r="A1319" s="1" t="s">
        <v>1842</v>
      </c>
      <c r="B1319" t="s">
        <v>1214</v>
      </c>
      <c r="C1319" s="2">
        <f>Return!C1319</f>
        <v>3</v>
      </c>
      <c r="D1319" s="2">
        <f>COUNTA(Argument!E1319)</f>
        <v>1</v>
      </c>
      <c r="E1319" s="2" t="str">
        <f>IF(C1319,Return!D1319,Return!E1319)</f>
        <v>var</v>
      </c>
      <c r="F1319" s="2" t="str">
        <f t="shared" si="60"/>
        <v>[var]</v>
      </c>
      <c r="G1319" s="2" t="str">
        <f t="shared" si="62"/>
        <v>…</v>
      </c>
      <c r="H1319" s="2" t="str">
        <f t="shared" si="61"/>
        <v>, var, [var], …</v>
      </c>
      <c r="I1319" s="2" t="str">
        <f>IF(Return!C1319=0,REPLACE(INDEX(H:H,ROW()+Return!B1319,),1,2,Return!E1319&amp;"(")&amp;")","")</f>
        <v/>
      </c>
      <c r="M1319" s="1"/>
    </row>
    <row r="1320" spans="1:13" x14ac:dyDescent="0.55000000000000004">
      <c r="A1320" s="1" t="s">
        <v>1843</v>
      </c>
      <c r="C1320" s="2">
        <f>Return!C1320</f>
        <v>0</v>
      </c>
      <c r="D1320" s="2">
        <f>COUNTA(Argument!E1320)</f>
        <v>0</v>
      </c>
      <c r="E1320" s="2" t="str">
        <f>IF(C1320,Return!D1320,Return!E1320)</f>
        <v>v</v>
      </c>
      <c r="F1320" s="2" t="str">
        <f t="shared" si="60"/>
        <v/>
      </c>
      <c r="G1320" s="2" t="str">
        <f t="shared" si="62"/>
        <v/>
      </c>
      <c r="H1320" s="2" t="str">
        <f t="shared" si="61"/>
        <v/>
      </c>
      <c r="I1320" s="2" t="str">
        <f>IF(Return!C1320=0,REPLACE(INDEX(H:H,ROW()+Return!B1320,),1,2,Return!E1320&amp;"(")&amp;")","")</f>
        <v>v(var, [var], …)</v>
      </c>
      <c r="M1320" s="1"/>
    </row>
    <row r="1321" spans="1:13" x14ac:dyDescent="0.55000000000000004">
      <c r="A1321" s="1" t="s">
        <v>1843</v>
      </c>
      <c r="B1321" t="s">
        <v>1378</v>
      </c>
      <c r="C1321" s="2">
        <f>Return!C1321</f>
        <v>1</v>
      </c>
      <c r="D1321" s="2">
        <f>COUNTA(Argument!E1321)</f>
        <v>1</v>
      </c>
      <c r="E1321" s="2" t="str">
        <f>IF(C1321,Return!D1321,Return!E1321)</f>
        <v>var</v>
      </c>
      <c r="F1321" s="2" t="str">
        <f t="shared" si="60"/>
        <v>var</v>
      </c>
      <c r="G1321" s="2" t="str">
        <f t="shared" si="62"/>
        <v>var</v>
      </c>
      <c r="H1321" s="2" t="str">
        <f t="shared" si="61"/>
        <v>, var</v>
      </c>
      <c r="I1321" s="2" t="str">
        <f>IF(Return!C1321=0,REPLACE(INDEX(H:H,ROW()+Return!B1321,),1,2,Return!E1321&amp;"(")&amp;")","")</f>
        <v/>
      </c>
      <c r="M1321" s="1"/>
    </row>
    <row r="1322" spans="1:13" x14ac:dyDescent="0.55000000000000004">
      <c r="A1322" s="1" t="s">
        <v>1843</v>
      </c>
      <c r="B1322" t="s">
        <v>1379</v>
      </c>
      <c r="C1322" s="2">
        <f>Return!C1322</f>
        <v>2</v>
      </c>
      <c r="D1322" s="2">
        <f>COUNTA(Argument!E1322)</f>
        <v>1</v>
      </c>
      <c r="E1322" s="2" t="str">
        <f>IF(C1322,Return!D1322,Return!E1322)</f>
        <v>var</v>
      </c>
      <c r="F1322" s="2" t="str">
        <f t="shared" si="60"/>
        <v>[var]</v>
      </c>
      <c r="G1322" s="2" t="str">
        <f t="shared" si="62"/>
        <v>[var]</v>
      </c>
      <c r="H1322" s="2" t="str">
        <f t="shared" si="61"/>
        <v>, var, [var]</v>
      </c>
      <c r="I1322" s="2" t="str">
        <f>IF(Return!C1322=0,REPLACE(INDEX(H:H,ROW()+Return!B1322,),1,2,Return!E1322&amp;"(")&amp;")","")</f>
        <v/>
      </c>
      <c r="M1322" s="1"/>
    </row>
    <row r="1323" spans="1:13" x14ac:dyDescent="0.55000000000000004">
      <c r="A1323" s="1" t="s">
        <v>1843</v>
      </c>
      <c r="B1323" t="s">
        <v>1214</v>
      </c>
      <c r="C1323" s="2">
        <f>Return!C1323</f>
        <v>3</v>
      </c>
      <c r="D1323" s="2">
        <f>COUNTA(Argument!E1323)</f>
        <v>1</v>
      </c>
      <c r="E1323" s="2" t="str">
        <f>IF(C1323,Return!D1323,Return!E1323)</f>
        <v>var</v>
      </c>
      <c r="F1323" s="2" t="str">
        <f t="shared" si="60"/>
        <v>[var]</v>
      </c>
      <c r="G1323" s="2" t="str">
        <f t="shared" si="62"/>
        <v>…</v>
      </c>
      <c r="H1323" s="2" t="str">
        <f t="shared" si="61"/>
        <v>, var, [var], …</v>
      </c>
      <c r="I1323" s="2" t="str">
        <f>IF(Return!C1323=0,REPLACE(INDEX(H:H,ROW()+Return!B1323,),1,2,Return!E1323&amp;"(")&amp;")","")</f>
        <v/>
      </c>
      <c r="M1323" s="1"/>
    </row>
    <row r="1324" spans="1:13" x14ac:dyDescent="0.55000000000000004">
      <c r="A1324" s="1" t="s">
        <v>1844</v>
      </c>
      <c r="C1324" s="2">
        <f>Return!C1324</f>
        <v>0</v>
      </c>
      <c r="D1324" s="2">
        <f>COUNTA(Argument!E1324)</f>
        <v>0</v>
      </c>
      <c r="E1324" s="2" t="str">
        <f>IF(C1324,Return!D1324,Return!E1324)</f>
        <v>v</v>
      </c>
      <c r="F1324" s="2" t="str">
        <f t="shared" si="60"/>
        <v/>
      </c>
      <c r="G1324" s="2" t="str">
        <f t="shared" si="62"/>
        <v/>
      </c>
      <c r="H1324" s="2" t="str">
        <f t="shared" si="61"/>
        <v/>
      </c>
      <c r="I1324" s="2" t="str">
        <f>IF(Return!C1324=0,REPLACE(INDEX(H:H,ROW()+Return!B1324,),1,2,Return!E1324&amp;"(")&amp;")","")</f>
        <v>v(vr, vr, vr, var)</v>
      </c>
      <c r="M1324" s="1"/>
    </row>
    <row r="1325" spans="1:13" x14ac:dyDescent="0.55000000000000004">
      <c r="A1325" s="1" t="s">
        <v>1844</v>
      </c>
      <c r="B1325" t="s">
        <v>1316</v>
      </c>
      <c r="C1325" s="2">
        <f>Return!C1325</f>
        <v>1</v>
      </c>
      <c r="D1325" s="2">
        <f>COUNTA(Argument!E1325)</f>
        <v>0</v>
      </c>
      <c r="E1325" s="2" t="str">
        <f>IF(C1325,Return!D1325,Return!E1325)</f>
        <v>vr</v>
      </c>
      <c r="F1325" s="2" t="str">
        <f t="shared" si="60"/>
        <v>vr</v>
      </c>
      <c r="G1325" s="2" t="str">
        <f t="shared" si="62"/>
        <v>vr</v>
      </c>
      <c r="H1325" s="2" t="str">
        <f t="shared" si="61"/>
        <v>, vr</v>
      </c>
      <c r="I1325" s="2" t="str">
        <f>IF(Return!C1325=0,REPLACE(INDEX(H:H,ROW()+Return!B1325,),1,2,Return!E1325&amp;"(")&amp;")","")</f>
        <v/>
      </c>
      <c r="M1325" s="1"/>
    </row>
    <row r="1326" spans="1:13" x14ac:dyDescent="0.55000000000000004">
      <c r="A1326" s="1" t="s">
        <v>1844</v>
      </c>
      <c r="B1326" t="s">
        <v>1384</v>
      </c>
      <c r="C1326" s="2">
        <f>Return!C1326</f>
        <v>2</v>
      </c>
      <c r="D1326" s="2">
        <f>COUNTA(Argument!E1326)</f>
        <v>0</v>
      </c>
      <c r="E1326" s="2" t="str">
        <f>IF(C1326,Return!D1326,Return!E1326)</f>
        <v>vr</v>
      </c>
      <c r="F1326" s="2" t="str">
        <f t="shared" si="60"/>
        <v>vr</v>
      </c>
      <c r="G1326" s="2" t="str">
        <f t="shared" si="62"/>
        <v>vr</v>
      </c>
      <c r="H1326" s="2" t="str">
        <f t="shared" si="61"/>
        <v>, vr, vr</v>
      </c>
      <c r="I1326" s="2" t="str">
        <f>IF(Return!C1326=0,REPLACE(INDEX(H:H,ROW()+Return!B1326,),1,2,Return!E1326&amp;"(")&amp;")","")</f>
        <v/>
      </c>
      <c r="M1326" s="1"/>
    </row>
    <row r="1327" spans="1:13" x14ac:dyDescent="0.55000000000000004">
      <c r="A1327" s="1" t="s">
        <v>1844</v>
      </c>
      <c r="B1327" t="s">
        <v>1385</v>
      </c>
      <c r="C1327" s="2">
        <f>Return!C1327</f>
        <v>3</v>
      </c>
      <c r="D1327" s="2">
        <f>COUNTA(Argument!E1327)</f>
        <v>0</v>
      </c>
      <c r="E1327" s="2" t="str">
        <f>IF(C1327,Return!D1327,Return!E1327)</f>
        <v>vr</v>
      </c>
      <c r="F1327" s="2" t="str">
        <f t="shared" si="60"/>
        <v>vr</v>
      </c>
      <c r="G1327" s="2" t="str">
        <f t="shared" si="62"/>
        <v>vr</v>
      </c>
      <c r="H1327" s="2" t="str">
        <f t="shared" si="61"/>
        <v>, vr, vr, vr</v>
      </c>
      <c r="I1327" s="2" t="str">
        <f>IF(Return!C1327=0,REPLACE(INDEX(H:H,ROW()+Return!B1327,),1,2,Return!E1327&amp;"(")&amp;")","")</f>
        <v/>
      </c>
      <c r="M1327" s="1"/>
    </row>
    <row r="1328" spans="1:13" x14ac:dyDescent="0.55000000000000004">
      <c r="A1328" s="1" t="s">
        <v>1844</v>
      </c>
      <c r="B1328" t="s">
        <v>1386</v>
      </c>
      <c r="C1328" s="2">
        <f>Return!C1328</f>
        <v>4</v>
      </c>
      <c r="D1328" s="2">
        <f>COUNTA(Argument!E1328)</f>
        <v>1</v>
      </c>
      <c r="E1328" s="2" t="str">
        <f>IF(C1328,Return!D1328,Return!E1328)</f>
        <v>var</v>
      </c>
      <c r="F1328" s="2" t="str">
        <f t="shared" si="60"/>
        <v>var</v>
      </c>
      <c r="G1328" s="2" t="str">
        <f t="shared" si="62"/>
        <v>var</v>
      </c>
      <c r="H1328" s="2" t="str">
        <f t="shared" si="61"/>
        <v>, vr, vr, vr, var</v>
      </c>
      <c r="I1328" s="2" t="str">
        <f>IF(Return!C1328=0,REPLACE(INDEX(H:H,ROW()+Return!B1328,),1,2,Return!E1328&amp;"(")&amp;")","")</f>
        <v/>
      </c>
      <c r="M1328" s="1"/>
    </row>
    <row r="1329" spans="1:13" x14ac:dyDescent="0.55000000000000004">
      <c r="A1329" s="1" t="s">
        <v>1845</v>
      </c>
      <c r="C1329" s="2">
        <f>Return!C1329</f>
        <v>0</v>
      </c>
      <c r="D1329" s="2">
        <f>COUNTA(Argument!E1329)</f>
        <v>0</v>
      </c>
      <c r="E1329" s="2" t="str">
        <f>IF(C1329,Return!D1329,Return!E1329)</f>
        <v>v</v>
      </c>
      <c r="F1329" s="2" t="str">
        <f t="shared" si="60"/>
        <v/>
      </c>
      <c r="G1329" s="2" t="str">
        <f t="shared" si="62"/>
        <v/>
      </c>
      <c r="H1329" s="2" t="str">
        <f t="shared" si="61"/>
        <v/>
      </c>
      <c r="I1329" s="2" t="str">
        <f>IF(Return!C1329=0,REPLACE(INDEX(H:H,ROW()+Return!B1329,),1,2,Return!E1329&amp;"(")&amp;")","")</f>
        <v>v(vr)</v>
      </c>
      <c r="M1329" s="1"/>
    </row>
    <row r="1330" spans="1:13" x14ac:dyDescent="0.55000000000000004">
      <c r="A1330" s="1" t="s">
        <v>1845</v>
      </c>
      <c r="B1330" t="s">
        <v>1223</v>
      </c>
      <c r="C1330" s="2">
        <f>Return!C1330</f>
        <v>1</v>
      </c>
      <c r="D1330" s="2">
        <f>COUNTA(Argument!E1330)</f>
        <v>1</v>
      </c>
      <c r="E1330" s="2" t="str">
        <f>IF(C1330,Return!D1330,Return!E1330)</f>
        <v>vr</v>
      </c>
      <c r="F1330" s="2" t="str">
        <f t="shared" si="60"/>
        <v>vr</v>
      </c>
      <c r="G1330" s="2" t="str">
        <f t="shared" si="62"/>
        <v>vr</v>
      </c>
      <c r="H1330" s="2" t="str">
        <f t="shared" si="61"/>
        <v>, vr</v>
      </c>
      <c r="I1330" s="2" t="str">
        <f>IF(Return!C1330=0,REPLACE(INDEX(H:H,ROW()+Return!B1330,),1,2,Return!E1330&amp;"(")&amp;")","")</f>
        <v/>
      </c>
      <c r="M1330" s="1"/>
    </row>
    <row r="1331" spans="1:13" x14ac:dyDescent="0.55000000000000004">
      <c r="A1331" s="1" t="s">
        <v>1846</v>
      </c>
      <c r="C1331" s="2">
        <f>Return!C1331</f>
        <v>0</v>
      </c>
      <c r="D1331" s="2">
        <f>COUNTA(Argument!E1331)</f>
        <v>0</v>
      </c>
      <c r="E1331" s="2" t="str">
        <f>IF(C1331,Return!D1331,Return!E1331)</f>
        <v>v</v>
      </c>
      <c r="F1331" s="2" t="str">
        <f t="shared" si="60"/>
        <v/>
      </c>
      <c r="G1331" s="2" t="str">
        <f t="shared" si="62"/>
        <v/>
      </c>
      <c r="H1331" s="2" t="str">
        <f t="shared" si="61"/>
        <v/>
      </c>
      <c r="I1331" s="2" t="str">
        <f>IF(Return!C1331=0,REPLACE(INDEX(H:H,ROW()+Return!B1331,),1,2,Return!E1331&amp;"(")&amp;")","")</f>
        <v>v(vr)</v>
      </c>
      <c r="M1331" s="1"/>
    </row>
    <row r="1332" spans="1:13" x14ac:dyDescent="0.55000000000000004">
      <c r="A1332" s="1" t="s">
        <v>1846</v>
      </c>
      <c r="B1332" t="s">
        <v>1223</v>
      </c>
      <c r="C1332" s="2">
        <f>Return!C1332</f>
        <v>1</v>
      </c>
      <c r="D1332" s="2">
        <f>COUNTA(Argument!E1332)</f>
        <v>1</v>
      </c>
      <c r="E1332" s="2" t="str">
        <f>IF(C1332,Return!D1332,Return!E1332)</f>
        <v>vr</v>
      </c>
      <c r="F1332" s="2" t="str">
        <f t="shared" si="60"/>
        <v>vr</v>
      </c>
      <c r="G1332" s="2" t="str">
        <f t="shared" si="62"/>
        <v>vr</v>
      </c>
      <c r="H1332" s="2" t="str">
        <f t="shared" si="61"/>
        <v>, vr</v>
      </c>
      <c r="I1332" s="2" t="str">
        <f>IF(Return!C1332=0,REPLACE(INDEX(H:H,ROW()+Return!B1332,),1,2,Return!E1332&amp;"(")&amp;")","")</f>
        <v/>
      </c>
      <c r="M1332" s="1"/>
    </row>
    <row r="1333" spans="1:13" x14ac:dyDescent="0.55000000000000004">
      <c r="A1333" s="1" t="s">
        <v>1847</v>
      </c>
      <c r="C1333" s="2">
        <f>Return!C1333</f>
        <v>0</v>
      </c>
      <c r="D1333" s="2">
        <f>COUNTA(Argument!E1333)</f>
        <v>0</v>
      </c>
      <c r="E1333" s="2" t="str">
        <f>IF(C1333,Return!D1333,Return!E1333)</f>
        <v>v</v>
      </c>
      <c r="F1333" s="2" t="str">
        <f t="shared" si="60"/>
        <v/>
      </c>
      <c r="G1333" s="2" t="str">
        <f t="shared" si="62"/>
        <v/>
      </c>
      <c r="H1333" s="2" t="str">
        <f t="shared" si="61"/>
        <v/>
      </c>
      <c r="I1333" s="2" t="str">
        <f>IF(Return!C1333=0,REPLACE(INDEX(H:H,ROW()+Return!B1333,),1,2,Return!E1333&amp;"(")&amp;")","")</f>
        <v>v(vr, vr)</v>
      </c>
      <c r="M1333" s="1"/>
    </row>
    <row r="1334" spans="1:13" x14ac:dyDescent="0.55000000000000004">
      <c r="A1334" s="1" t="s">
        <v>1847</v>
      </c>
      <c r="B1334" t="s">
        <v>1387</v>
      </c>
      <c r="C1334" s="2">
        <f>Return!C1334</f>
        <v>1</v>
      </c>
      <c r="D1334" s="2">
        <f>COUNTA(Argument!E1334)</f>
        <v>0</v>
      </c>
      <c r="E1334" s="2" t="str">
        <f>IF(C1334,Return!D1334,Return!E1334)</f>
        <v>vr</v>
      </c>
      <c r="F1334" s="2" t="str">
        <f t="shared" si="60"/>
        <v>vr</v>
      </c>
      <c r="G1334" s="2" t="str">
        <f t="shared" si="62"/>
        <v>vr</v>
      </c>
      <c r="H1334" s="2" t="str">
        <f t="shared" si="61"/>
        <v>, vr</v>
      </c>
      <c r="I1334" s="2" t="str">
        <f>IF(Return!C1334=0,REPLACE(INDEX(H:H,ROW()+Return!B1334,),1,2,Return!E1334&amp;"(")&amp;")","")</f>
        <v/>
      </c>
      <c r="M1334" s="1"/>
    </row>
    <row r="1335" spans="1:13" x14ac:dyDescent="0.55000000000000004">
      <c r="A1335" s="1" t="s">
        <v>1847</v>
      </c>
      <c r="B1335" t="s">
        <v>1388</v>
      </c>
      <c r="C1335" s="2">
        <f>Return!C1335</f>
        <v>2</v>
      </c>
      <c r="D1335" s="2">
        <f>COUNTA(Argument!E1335)</f>
        <v>1</v>
      </c>
      <c r="E1335" s="2" t="str">
        <f>IF(C1335,Return!D1335,Return!E1335)</f>
        <v>vr</v>
      </c>
      <c r="F1335" s="2" t="str">
        <f t="shared" si="60"/>
        <v>vr</v>
      </c>
      <c r="G1335" s="2" t="str">
        <f t="shared" si="62"/>
        <v>vr</v>
      </c>
      <c r="H1335" s="2" t="str">
        <f t="shared" si="61"/>
        <v>, vr, vr</v>
      </c>
      <c r="I1335" s="2" t="str">
        <f>IF(Return!C1335=0,REPLACE(INDEX(H:H,ROW()+Return!B1335,),1,2,Return!E1335&amp;"(")&amp;")","")</f>
        <v/>
      </c>
      <c r="M1335" s="1"/>
    </row>
    <row r="1336" spans="1:13" x14ac:dyDescent="0.55000000000000004">
      <c r="A1336" s="1" t="s">
        <v>1848</v>
      </c>
      <c r="C1336" s="2">
        <f>Return!C1336</f>
        <v>0</v>
      </c>
      <c r="D1336" s="2">
        <f>COUNTA(Argument!E1336)</f>
        <v>0</v>
      </c>
      <c r="E1336" s="2" t="str">
        <f>IF(C1336,Return!D1336,Return!E1336)</f>
        <v>v</v>
      </c>
      <c r="F1336" s="2" t="str">
        <f t="shared" si="60"/>
        <v/>
      </c>
      <c r="G1336" s="2" t="str">
        <f t="shared" si="62"/>
        <v/>
      </c>
      <c r="H1336" s="2" t="str">
        <f t="shared" si="61"/>
        <v/>
      </c>
      <c r="I1336" s="2" t="str">
        <f>IF(Return!C1336=0,REPLACE(INDEX(H:H,ROW()+Return!B1336,),1,2,Return!E1336&amp;"(")&amp;")","")</f>
        <v>v(vr, [vr])</v>
      </c>
      <c r="M1336" s="1"/>
    </row>
    <row r="1337" spans="1:13" x14ac:dyDescent="0.55000000000000004">
      <c r="A1337" s="1" t="s">
        <v>1848</v>
      </c>
      <c r="B1337" t="s">
        <v>1219</v>
      </c>
      <c r="C1337" s="2">
        <f>Return!C1337</f>
        <v>1</v>
      </c>
      <c r="D1337" s="2">
        <f>COUNTA(Argument!E1337)</f>
        <v>1</v>
      </c>
      <c r="E1337" s="2" t="str">
        <f>IF(C1337,Return!D1337,Return!E1337)</f>
        <v>vr</v>
      </c>
      <c r="F1337" s="2" t="str">
        <f t="shared" si="60"/>
        <v>vr</v>
      </c>
      <c r="G1337" s="2" t="str">
        <f t="shared" si="62"/>
        <v>vr</v>
      </c>
      <c r="H1337" s="2" t="str">
        <f t="shared" si="61"/>
        <v>, vr</v>
      </c>
      <c r="I1337" s="2" t="str">
        <f>IF(Return!C1337=0,REPLACE(INDEX(H:H,ROW()+Return!B1337,),1,2,Return!E1337&amp;"(")&amp;")","")</f>
        <v/>
      </c>
      <c r="M1337" s="1"/>
    </row>
    <row r="1338" spans="1:13" x14ac:dyDescent="0.55000000000000004">
      <c r="A1338" s="1" t="s">
        <v>1848</v>
      </c>
      <c r="B1338" t="s">
        <v>1220</v>
      </c>
      <c r="C1338" s="2">
        <f>Return!C1338</f>
        <v>2</v>
      </c>
      <c r="D1338" s="2">
        <f>COUNTA(Argument!E1338)</f>
        <v>1</v>
      </c>
      <c r="E1338" s="2" t="str">
        <f>IF(C1338,Return!D1338,Return!E1338)</f>
        <v>vr</v>
      </c>
      <c r="F1338" s="2" t="str">
        <f t="shared" si="60"/>
        <v>[vr]</v>
      </c>
      <c r="G1338" s="2" t="str">
        <f t="shared" si="62"/>
        <v>[vr]</v>
      </c>
      <c r="H1338" s="2" t="str">
        <f t="shared" si="61"/>
        <v>, vr, [vr]</v>
      </c>
      <c r="I1338" s="2" t="str">
        <f>IF(Return!C1338=0,REPLACE(INDEX(H:H,ROW()+Return!B1338,),1,2,Return!E1338&amp;"(")&amp;")","")</f>
        <v/>
      </c>
      <c r="M1338" s="1"/>
    </row>
    <row r="1339" spans="1:13" x14ac:dyDescent="0.55000000000000004">
      <c r="A1339" s="1" t="s">
        <v>1849</v>
      </c>
      <c r="C1339" s="2">
        <f>Return!C1339</f>
        <v>0</v>
      </c>
      <c r="D1339" s="2">
        <f>COUNTA(Argument!E1339)</f>
        <v>0</v>
      </c>
      <c r="E1339" s="2" t="str">
        <f>IF(C1339,Return!D1339,Return!E1339)</f>
        <v>v</v>
      </c>
      <c r="F1339" s="2" t="str">
        <f t="shared" si="60"/>
        <v/>
      </c>
      <c r="G1339" s="2" t="str">
        <f t="shared" si="62"/>
        <v/>
      </c>
      <c r="H1339" s="2" t="str">
        <f t="shared" si="61"/>
        <v/>
      </c>
      <c r="I1339" s="2" t="str">
        <f>IF(Return!C1339=0,REPLACE(INDEX(H:H,ROW()+Return!B1339,),1,2,Return!E1339&amp;"(")&amp;")","")</f>
        <v>v(vr, [vr])</v>
      </c>
      <c r="M1339" s="1"/>
    </row>
    <row r="1340" spans="1:13" x14ac:dyDescent="0.55000000000000004">
      <c r="A1340" s="1" t="s">
        <v>1849</v>
      </c>
      <c r="B1340" t="s">
        <v>1223</v>
      </c>
      <c r="C1340" s="2">
        <f>Return!C1340</f>
        <v>1</v>
      </c>
      <c r="D1340" s="2">
        <f>COUNTA(Argument!E1340)</f>
        <v>1</v>
      </c>
      <c r="E1340" s="2" t="str">
        <f>IF(C1340,Return!D1340,Return!E1340)</f>
        <v>vr</v>
      </c>
      <c r="F1340" s="2" t="str">
        <f t="shared" si="60"/>
        <v>vr</v>
      </c>
      <c r="G1340" s="2" t="str">
        <f t="shared" si="62"/>
        <v>vr</v>
      </c>
      <c r="H1340" s="2" t="str">
        <f t="shared" si="61"/>
        <v>, vr</v>
      </c>
      <c r="I1340" s="2" t="str">
        <f>IF(Return!C1340=0,REPLACE(INDEX(H:H,ROW()+Return!B1340,),1,2,Return!E1340&amp;"(")&amp;")","")</f>
        <v/>
      </c>
      <c r="M1340" s="1"/>
    </row>
    <row r="1341" spans="1:13" x14ac:dyDescent="0.55000000000000004">
      <c r="A1341" s="1" t="s">
        <v>1849</v>
      </c>
      <c r="B1341" t="s">
        <v>1389</v>
      </c>
      <c r="C1341" s="2">
        <f>Return!C1341</f>
        <v>2</v>
      </c>
      <c r="D1341" s="2">
        <f>COUNTA(Argument!E1341)</f>
        <v>1</v>
      </c>
      <c r="E1341" s="2" t="str">
        <f>IF(C1341,Return!D1341,Return!E1341)</f>
        <v>vr</v>
      </c>
      <c r="F1341" s="2" t="str">
        <f t="shared" si="60"/>
        <v>[vr]</v>
      </c>
      <c r="G1341" s="2" t="str">
        <f t="shared" si="62"/>
        <v>[vr]</v>
      </c>
      <c r="H1341" s="2" t="str">
        <f t="shared" si="61"/>
        <v>, vr, [vr]</v>
      </c>
      <c r="I1341" s="2" t="str">
        <f>IF(Return!C1341=0,REPLACE(INDEX(H:H,ROW()+Return!B1341,),1,2,Return!E1341&amp;"(")&amp;")","")</f>
        <v/>
      </c>
      <c r="M1341" s="1"/>
    </row>
    <row r="1342" spans="1:13" x14ac:dyDescent="0.55000000000000004">
      <c r="A1342" s="1" t="s">
        <v>1850</v>
      </c>
      <c r="C1342" s="2">
        <f>Return!C1342</f>
        <v>0</v>
      </c>
      <c r="D1342" s="2">
        <f>COUNTA(Argument!E1342)</f>
        <v>0</v>
      </c>
      <c r="E1342" s="2" t="str">
        <f>IF(C1342,Return!D1342,Return!E1342)</f>
        <v>v</v>
      </c>
      <c r="F1342" s="2" t="str">
        <f t="shared" si="60"/>
        <v/>
      </c>
      <c r="G1342" s="2" t="str">
        <f t="shared" si="62"/>
        <v/>
      </c>
      <c r="H1342" s="2" t="str">
        <f t="shared" si="61"/>
        <v/>
      </c>
      <c r="I1342" s="2" t="str">
        <f>IF(Return!C1342=0,REPLACE(INDEX(H:H,ROW()+Return!B1342,),1,2,Return!E1342&amp;"(")&amp;")","")</f>
        <v>v(vr)</v>
      </c>
      <c r="M1342" s="1"/>
    </row>
    <row r="1343" spans="1:13" x14ac:dyDescent="0.55000000000000004">
      <c r="A1343" s="1" t="s">
        <v>1850</v>
      </c>
      <c r="B1343" t="s">
        <v>1223</v>
      </c>
      <c r="C1343" s="2">
        <f>Return!C1343</f>
        <v>1</v>
      </c>
      <c r="D1343" s="2">
        <f>COUNTA(Argument!E1343)</f>
        <v>1</v>
      </c>
      <c r="E1343" s="2" t="str">
        <f>IF(C1343,Return!D1343,Return!E1343)</f>
        <v>vr</v>
      </c>
      <c r="F1343" s="2" t="str">
        <f t="shared" si="60"/>
        <v>vr</v>
      </c>
      <c r="G1343" s="2" t="str">
        <f t="shared" si="62"/>
        <v>vr</v>
      </c>
      <c r="H1343" s="2" t="str">
        <f t="shared" si="61"/>
        <v>, vr</v>
      </c>
      <c r="I1343" s="2" t="str">
        <f>IF(Return!C1343=0,REPLACE(INDEX(H:H,ROW()+Return!B1343,),1,2,Return!E1343&amp;"(")&amp;")","")</f>
        <v/>
      </c>
      <c r="M1343" s="1"/>
    </row>
    <row r="1344" spans="1:13" x14ac:dyDescent="0.55000000000000004">
      <c r="A1344" s="1" t="s">
        <v>1851</v>
      </c>
      <c r="C1344" s="2">
        <f>Return!C1344</f>
        <v>0</v>
      </c>
      <c r="D1344" s="2">
        <f>COUNTA(Argument!E1344)</f>
        <v>0</v>
      </c>
      <c r="E1344" s="2" t="str">
        <f>IF(C1344,Return!D1344,Return!E1344)</f>
        <v>v</v>
      </c>
      <c r="F1344" s="2" t="str">
        <f t="shared" si="60"/>
        <v/>
      </c>
      <c r="G1344" s="2" t="str">
        <f t="shared" si="62"/>
        <v/>
      </c>
      <c r="H1344" s="2" t="str">
        <f t="shared" si="61"/>
        <v/>
      </c>
      <c r="I1344" s="2" t="str">
        <f>IF(Return!C1344=0,REPLACE(INDEX(H:H,ROW()+Return!B1344,),1,2,Return!E1344&amp;"(")&amp;")","")</f>
        <v>v(vr)</v>
      </c>
      <c r="M1344" s="1"/>
    </row>
    <row r="1345" spans="1:13" x14ac:dyDescent="0.55000000000000004">
      <c r="A1345" s="1" t="s">
        <v>1851</v>
      </c>
      <c r="B1345" t="s">
        <v>1223</v>
      </c>
      <c r="C1345" s="2">
        <f>Return!C1345</f>
        <v>1</v>
      </c>
      <c r="D1345" s="2">
        <f>COUNTA(Argument!E1345)</f>
        <v>1</v>
      </c>
      <c r="E1345" s="2" t="str">
        <f>IF(C1345,Return!D1345,Return!E1345)</f>
        <v>vr</v>
      </c>
      <c r="F1345" s="2" t="str">
        <f t="shared" si="60"/>
        <v>vr</v>
      </c>
      <c r="G1345" s="2" t="str">
        <f t="shared" si="62"/>
        <v>vr</v>
      </c>
      <c r="H1345" s="2" t="str">
        <f t="shared" si="61"/>
        <v>, vr</v>
      </c>
      <c r="I1345" s="2" t="str">
        <f>IF(Return!C1345=0,REPLACE(INDEX(H:H,ROW()+Return!B1345,),1,2,Return!E1345&amp;"(")&amp;")","")</f>
        <v/>
      </c>
      <c r="M1345" s="1"/>
    </row>
    <row r="1346" spans="1:13" x14ac:dyDescent="0.55000000000000004">
      <c r="A1346" s="1" t="s">
        <v>1852</v>
      </c>
      <c r="C1346" s="2">
        <f>Return!C1346</f>
        <v>0</v>
      </c>
      <c r="D1346" s="2">
        <f>COUNTA(Argument!E1346)</f>
        <v>0</v>
      </c>
      <c r="E1346" s="2" t="str">
        <f>IF(C1346,Return!D1346,Return!E1346)</f>
        <v>v</v>
      </c>
      <c r="F1346" s="2" t="str">
        <f t="shared" si="60"/>
        <v/>
      </c>
      <c r="G1346" s="2" t="str">
        <f t="shared" si="62"/>
        <v/>
      </c>
      <c r="H1346" s="2" t="str">
        <f t="shared" si="61"/>
        <v/>
      </c>
      <c r="I1346" s="2" t="str">
        <f>IF(Return!C1346=0,REPLACE(INDEX(H:H,ROW()+Return!B1346,),1,2,Return!E1346&amp;"(")&amp;")","")</f>
        <v>v(vr, vr)</v>
      </c>
      <c r="M1346" s="1"/>
    </row>
    <row r="1347" spans="1:13" x14ac:dyDescent="0.55000000000000004">
      <c r="A1347" s="1" t="s">
        <v>1852</v>
      </c>
      <c r="B1347" t="s">
        <v>1223</v>
      </c>
      <c r="C1347" s="2">
        <f>Return!C1347</f>
        <v>1</v>
      </c>
      <c r="D1347" s="2">
        <f>COUNTA(Argument!E1347)</f>
        <v>0</v>
      </c>
      <c r="E1347" s="2" t="str">
        <f>IF(C1347,Return!D1347,Return!E1347)</f>
        <v>vr</v>
      </c>
      <c r="F1347" s="2" t="str">
        <f t="shared" ref="F1347:F1410" si="63">IF(C1347,IF(D1347,IF(D1346,"["&amp;E1347&amp;"]",E1347),E1347),"")</f>
        <v>vr</v>
      </c>
      <c r="G1347" s="2" t="str">
        <f t="shared" si="62"/>
        <v>vr</v>
      </c>
      <c r="H1347" s="2" t="str">
        <f t="shared" ref="H1347:H1410" si="64">IF(C1347&gt;0,H1346&amp;", "&amp;G1347,"")</f>
        <v>, vr</v>
      </c>
      <c r="I1347" s="2" t="str">
        <f>IF(Return!C1347=0,REPLACE(INDEX(H:H,ROW()+Return!B1347,),1,2,Return!E1347&amp;"(")&amp;")","")</f>
        <v/>
      </c>
      <c r="M1347" s="1"/>
    </row>
    <row r="1348" spans="1:13" x14ac:dyDescent="0.55000000000000004">
      <c r="A1348" s="1" t="s">
        <v>1852</v>
      </c>
      <c r="B1348" t="s">
        <v>1390</v>
      </c>
      <c r="C1348" s="2">
        <f>Return!C1348</f>
        <v>2</v>
      </c>
      <c r="D1348" s="2">
        <f>COUNTA(Argument!E1348)</f>
        <v>1</v>
      </c>
      <c r="E1348" s="2" t="str">
        <f>IF(C1348,Return!D1348,Return!E1348)</f>
        <v>vr</v>
      </c>
      <c r="F1348" s="2" t="str">
        <f t="shared" si="63"/>
        <v>vr</v>
      </c>
      <c r="G1348" s="2" t="str">
        <f t="shared" ref="G1348:G1411" si="65">IF(B1348="...",IF(C1349&gt;0,"["&amp;E1348,"…"),IF(B1347=" ...",IF(C1348&gt;0,E1348&amp;"], …",F1348),F1348))</f>
        <v>vr</v>
      </c>
      <c r="H1348" s="2" t="str">
        <f t="shared" si="64"/>
        <v>, vr, vr</v>
      </c>
      <c r="I1348" s="2" t="str">
        <f>IF(Return!C1348=0,REPLACE(INDEX(H:H,ROW()+Return!B1348,),1,2,Return!E1348&amp;"(")&amp;")","")</f>
        <v/>
      </c>
      <c r="M1348" s="1"/>
    </row>
    <row r="1349" spans="1:13" x14ac:dyDescent="0.55000000000000004">
      <c r="A1349" s="1" t="s">
        <v>1853</v>
      </c>
      <c r="C1349" s="2">
        <f>Return!C1349</f>
        <v>0</v>
      </c>
      <c r="D1349" s="2">
        <f>COUNTA(Argument!E1349)</f>
        <v>0</v>
      </c>
      <c r="E1349" s="2" t="str">
        <f>IF(C1349,Return!D1349,Return!E1349)</f>
        <v>v</v>
      </c>
      <c r="F1349" s="2" t="str">
        <f t="shared" si="63"/>
        <v/>
      </c>
      <c r="G1349" s="2" t="str">
        <f t="shared" si="65"/>
        <v/>
      </c>
      <c r="H1349" s="2" t="str">
        <f t="shared" si="64"/>
        <v/>
      </c>
      <c r="I1349" s="2" t="str">
        <f>IF(Return!C1349=0,REPLACE(INDEX(H:H,ROW()+Return!B1349,),1,2,Return!E1349&amp;"(")&amp;")","")</f>
        <v>v(vr, [vr])</v>
      </c>
      <c r="M1349" s="1"/>
    </row>
    <row r="1350" spans="1:13" x14ac:dyDescent="0.55000000000000004">
      <c r="A1350" s="1" t="s">
        <v>1853</v>
      </c>
      <c r="B1350" t="s">
        <v>1349</v>
      </c>
      <c r="C1350" s="2">
        <f>Return!C1350</f>
        <v>1</v>
      </c>
      <c r="D1350" s="2">
        <f>COUNTA(Argument!E1350)</f>
        <v>1</v>
      </c>
      <c r="E1350" s="2" t="str">
        <f>IF(C1350,Return!D1350,Return!E1350)</f>
        <v>vr</v>
      </c>
      <c r="F1350" s="2" t="str">
        <f t="shared" si="63"/>
        <v>vr</v>
      </c>
      <c r="G1350" s="2" t="str">
        <f t="shared" si="65"/>
        <v>vr</v>
      </c>
      <c r="H1350" s="2" t="str">
        <f t="shared" si="64"/>
        <v>, vr</v>
      </c>
      <c r="I1350" s="2" t="str">
        <f>IF(Return!C1350=0,REPLACE(INDEX(H:H,ROW()+Return!B1350,),1,2,Return!E1350&amp;"(")&amp;")","")</f>
        <v/>
      </c>
      <c r="M1350" s="1"/>
    </row>
    <row r="1351" spans="1:13" x14ac:dyDescent="0.55000000000000004">
      <c r="A1351" s="1" t="s">
        <v>1853</v>
      </c>
      <c r="B1351" t="s">
        <v>1350</v>
      </c>
      <c r="C1351" s="2">
        <f>Return!C1351</f>
        <v>2</v>
      </c>
      <c r="D1351" s="2">
        <f>COUNTA(Argument!E1351)</f>
        <v>1</v>
      </c>
      <c r="E1351" s="2" t="str">
        <f>IF(C1351,Return!D1351,Return!E1351)</f>
        <v>vr</v>
      </c>
      <c r="F1351" s="2" t="str">
        <f t="shared" si="63"/>
        <v>[vr]</v>
      </c>
      <c r="G1351" s="2" t="str">
        <f t="shared" si="65"/>
        <v>[vr]</v>
      </c>
      <c r="H1351" s="2" t="str">
        <f t="shared" si="64"/>
        <v>, vr, [vr]</v>
      </c>
      <c r="I1351" s="2" t="str">
        <f>IF(Return!C1351=0,REPLACE(INDEX(H:H,ROW()+Return!B1351,),1,2,Return!E1351&amp;"(")&amp;")","")</f>
        <v/>
      </c>
      <c r="M1351" s="1"/>
    </row>
    <row r="1352" spans="1:13" x14ac:dyDescent="0.55000000000000004">
      <c r="A1352" s="1" t="s">
        <v>1854</v>
      </c>
      <c r="C1352" s="2">
        <f>Return!C1352</f>
        <v>0</v>
      </c>
      <c r="D1352" s="2">
        <f>COUNTA(Argument!E1352)</f>
        <v>0</v>
      </c>
      <c r="E1352" s="2" t="str">
        <f>IF(C1352,Return!D1352,Return!E1352)</f>
        <v>v</v>
      </c>
      <c r="F1352" s="2" t="str">
        <f t="shared" si="63"/>
        <v/>
      </c>
      <c r="G1352" s="2" t="str">
        <f t="shared" si="65"/>
        <v/>
      </c>
      <c r="H1352" s="2" t="str">
        <f t="shared" si="64"/>
        <v/>
      </c>
      <c r="I1352" s="2" t="str">
        <f>IF(Return!C1352=0,REPLACE(INDEX(H:H,ROW()+Return!B1352,),1,2,Return!E1352&amp;"(")&amp;")","")</f>
        <v>v(vr)</v>
      </c>
      <c r="M1352" s="1"/>
    </row>
    <row r="1353" spans="1:13" x14ac:dyDescent="0.55000000000000004">
      <c r="A1353" s="1" t="s">
        <v>1854</v>
      </c>
      <c r="B1353" t="s">
        <v>1316</v>
      </c>
      <c r="C1353" s="2">
        <f>Return!C1353</f>
        <v>1</v>
      </c>
      <c r="D1353" s="2">
        <f>COUNTA(Argument!E1353)</f>
        <v>1</v>
      </c>
      <c r="E1353" s="2" t="str">
        <f>IF(C1353,Return!D1353,Return!E1353)</f>
        <v>vr</v>
      </c>
      <c r="F1353" s="2" t="str">
        <f t="shared" si="63"/>
        <v>vr</v>
      </c>
      <c r="G1353" s="2" t="str">
        <f t="shared" si="65"/>
        <v>vr</v>
      </c>
      <c r="H1353" s="2" t="str">
        <f t="shared" si="64"/>
        <v>, vr</v>
      </c>
      <c r="I1353" s="2" t="str">
        <f>IF(Return!C1353=0,REPLACE(INDEX(H:H,ROW()+Return!B1353,),1,2,Return!E1353&amp;"(")&amp;")","")</f>
        <v/>
      </c>
      <c r="M1353" s="1"/>
    </row>
    <row r="1354" spans="1:13" x14ac:dyDescent="0.55000000000000004">
      <c r="A1354" s="1" t="s">
        <v>1855</v>
      </c>
      <c r="C1354" s="2">
        <f>Return!C1354</f>
        <v>0</v>
      </c>
      <c r="D1354" s="2">
        <f>COUNTA(Argument!E1354)</f>
        <v>0</v>
      </c>
      <c r="E1354" s="2" t="str">
        <f>IF(C1354,Return!D1354,Return!E1354)</f>
        <v>v</v>
      </c>
      <c r="F1354" s="2" t="str">
        <f t="shared" si="63"/>
        <v/>
      </c>
      <c r="G1354" s="2" t="str">
        <f t="shared" si="65"/>
        <v/>
      </c>
      <c r="H1354" s="2" t="str">
        <f t="shared" si="64"/>
        <v/>
      </c>
      <c r="I1354" s="2" t="str">
        <f>IF(Return!C1354=0,REPLACE(INDEX(H:H,ROW()+Return!B1354,),1,2,Return!E1354&amp;"(")&amp;")","")</f>
        <v>v(vr, vr)</v>
      </c>
      <c r="M1354" s="1"/>
    </row>
    <row r="1355" spans="1:13" x14ac:dyDescent="0.55000000000000004">
      <c r="A1355" s="1" t="s">
        <v>1855</v>
      </c>
      <c r="B1355" t="s">
        <v>1316</v>
      </c>
      <c r="C1355" s="2">
        <f>Return!C1355</f>
        <v>1</v>
      </c>
      <c r="D1355" s="2">
        <f>COUNTA(Argument!E1355)</f>
        <v>0</v>
      </c>
      <c r="E1355" s="2" t="str">
        <f>IF(C1355,Return!D1355,Return!E1355)</f>
        <v>vr</v>
      </c>
      <c r="F1355" s="2" t="str">
        <f t="shared" si="63"/>
        <v>vr</v>
      </c>
      <c r="G1355" s="2" t="str">
        <f t="shared" si="65"/>
        <v>vr</v>
      </c>
      <c r="H1355" s="2" t="str">
        <f t="shared" si="64"/>
        <v>, vr</v>
      </c>
      <c r="I1355" s="2" t="str">
        <f>IF(Return!C1355=0,REPLACE(INDEX(H:H,ROW()+Return!B1355,),1,2,Return!E1355&amp;"(")&amp;")","")</f>
        <v/>
      </c>
      <c r="M1355" s="1"/>
    </row>
    <row r="1356" spans="1:13" x14ac:dyDescent="0.55000000000000004">
      <c r="A1356" s="1" t="s">
        <v>1855</v>
      </c>
      <c r="B1356" t="s">
        <v>1384</v>
      </c>
      <c r="C1356" s="2">
        <f>Return!C1356</f>
        <v>2</v>
      </c>
      <c r="D1356" s="2">
        <f>COUNTA(Argument!E1356)</f>
        <v>1</v>
      </c>
      <c r="E1356" s="2" t="str">
        <f>IF(C1356,Return!D1356,Return!E1356)</f>
        <v>vr</v>
      </c>
      <c r="F1356" s="2" t="str">
        <f t="shared" si="63"/>
        <v>vr</v>
      </c>
      <c r="G1356" s="2" t="str">
        <f t="shared" si="65"/>
        <v>vr</v>
      </c>
      <c r="H1356" s="2" t="str">
        <f t="shared" si="64"/>
        <v>, vr, vr</v>
      </c>
      <c r="I1356" s="2" t="str">
        <f>IF(Return!C1356=0,REPLACE(INDEX(H:H,ROW()+Return!B1356,),1,2,Return!E1356&amp;"(")&amp;")","")</f>
        <v/>
      </c>
      <c r="M1356" s="1"/>
    </row>
    <row r="1357" spans="1:13" x14ac:dyDescent="0.55000000000000004">
      <c r="A1357" s="1" t="s">
        <v>1856</v>
      </c>
      <c r="C1357" s="2">
        <f>Return!C1357</f>
        <v>0</v>
      </c>
      <c r="D1357" s="2">
        <f>COUNTA(Argument!E1357)</f>
        <v>0</v>
      </c>
      <c r="E1357" s="2" t="str">
        <f>IF(C1357,Return!D1357,Return!E1357)</f>
        <v>v</v>
      </c>
      <c r="F1357" s="2" t="str">
        <f t="shared" si="63"/>
        <v/>
      </c>
      <c r="G1357" s="2" t="str">
        <f t="shared" si="65"/>
        <v/>
      </c>
      <c r="H1357" s="2" t="str">
        <f t="shared" si="64"/>
        <v/>
      </c>
      <c r="I1357" s="2" t="str">
        <f>IF(Return!C1357=0,REPLACE(INDEX(H:H,ROW()+Return!B1357,),1,2,Return!E1357&amp;"(")&amp;")","")</f>
        <v>v(vr, vr)</v>
      </c>
      <c r="M1357" s="1"/>
    </row>
    <row r="1358" spans="1:13" x14ac:dyDescent="0.55000000000000004">
      <c r="A1358" s="1" t="s">
        <v>1856</v>
      </c>
      <c r="B1358" t="s">
        <v>1316</v>
      </c>
      <c r="C1358" s="2">
        <f>Return!C1358</f>
        <v>1</v>
      </c>
      <c r="D1358" s="2">
        <f>COUNTA(Argument!E1358)</f>
        <v>0</v>
      </c>
      <c r="E1358" s="2" t="str">
        <f>IF(C1358,Return!D1358,Return!E1358)</f>
        <v>vr</v>
      </c>
      <c r="F1358" s="2" t="str">
        <f t="shared" si="63"/>
        <v>vr</v>
      </c>
      <c r="G1358" s="2" t="str">
        <f t="shared" si="65"/>
        <v>vr</v>
      </c>
      <c r="H1358" s="2" t="str">
        <f t="shared" si="64"/>
        <v>, vr</v>
      </c>
      <c r="I1358" s="2" t="str">
        <f>IF(Return!C1358=0,REPLACE(INDEX(H:H,ROW()+Return!B1358,),1,2,Return!E1358&amp;"(")&amp;")","")</f>
        <v/>
      </c>
      <c r="M1358" s="1"/>
    </row>
    <row r="1359" spans="1:13" x14ac:dyDescent="0.55000000000000004">
      <c r="A1359" s="1" t="s">
        <v>1856</v>
      </c>
      <c r="B1359" t="s">
        <v>1384</v>
      </c>
      <c r="C1359" s="2">
        <f>Return!C1359</f>
        <v>2</v>
      </c>
      <c r="D1359" s="2">
        <f>COUNTA(Argument!E1359)</f>
        <v>1</v>
      </c>
      <c r="E1359" s="2" t="str">
        <f>IF(C1359,Return!D1359,Return!E1359)</f>
        <v>vr</v>
      </c>
      <c r="F1359" s="2" t="str">
        <f t="shared" si="63"/>
        <v>vr</v>
      </c>
      <c r="G1359" s="2" t="str">
        <f t="shared" si="65"/>
        <v>vr</v>
      </c>
      <c r="H1359" s="2" t="str">
        <f t="shared" si="64"/>
        <v>, vr, vr</v>
      </c>
      <c r="I1359" s="2" t="str">
        <f>IF(Return!C1359=0,REPLACE(INDEX(H:H,ROW()+Return!B1359,),1,2,Return!E1359&amp;"(")&amp;")","")</f>
        <v/>
      </c>
      <c r="M1359" s="1"/>
    </row>
    <row r="1360" spans="1:13" x14ac:dyDescent="0.55000000000000004">
      <c r="A1360" s="1" t="s">
        <v>1857</v>
      </c>
      <c r="C1360" s="2">
        <f>Return!C1360</f>
        <v>0</v>
      </c>
      <c r="D1360" s="2">
        <f>COUNTA(Argument!E1360)</f>
        <v>0</v>
      </c>
      <c r="E1360" s="2" t="str">
        <f>IF(C1360,Return!D1360,Return!E1360)</f>
        <v>v</v>
      </c>
      <c r="F1360" s="2" t="str">
        <f t="shared" si="63"/>
        <v/>
      </c>
      <c r="G1360" s="2" t="str">
        <f t="shared" si="65"/>
        <v/>
      </c>
      <c r="H1360" s="2" t="str">
        <f t="shared" si="64"/>
        <v/>
      </c>
      <c r="I1360" s="2" t="str">
        <f>IF(Return!C1360=0,REPLACE(INDEX(H:H,ROW()+Return!B1360,),1,2,Return!E1360&amp;"(")&amp;")","")</f>
        <v>v(vr, vr)</v>
      </c>
      <c r="M1360" s="1"/>
    </row>
    <row r="1361" spans="1:13" x14ac:dyDescent="0.55000000000000004">
      <c r="A1361" s="1" t="s">
        <v>1857</v>
      </c>
      <c r="B1361" t="s">
        <v>1316</v>
      </c>
      <c r="C1361" s="2">
        <f>Return!C1361</f>
        <v>1</v>
      </c>
      <c r="D1361" s="2">
        <f>COUNTA(Argument!E1361)</f>
        <v>0</v>
      </c>
      <c r="E1361" s="2" t="str">
        <f>IF(C1361,Return!D1361,Return!E1361)</f>
        <v>vr</v>
      </c>
      <c r="F1361" s="2" t="str">
        <f t="shared" si="63"/>
        <v>vr</v>
      </c>
      <c r="G1361" s="2" t="str">
        <f t="shared" si="65"/>
        <v>vr</v>
      </c>
      <c r="H1361" s="2" t="str">
        <f t="shared" si="64"/>
        <v>, vr</v>
      </c>
      <c r="I1361" s="2" t="str">
        <f>IF(Return!C1361=0,REPLACE(INDEX(H:H,ROW()+Return!B1361,),1,2,Return!E1361&amp;"(")&amp;")","")</f>
        <v/>
      </c>
      <c r="M1361" s="1"/>
    </row>
    <row r="1362" spans="1:13" x14ac:dyDescent="0.55000000000000004">
      <c r="A1362" s="1" t="s">
        <v>1857</v>
      </c>
      <c r="B1362" t="s">
        <v>1384</v>
      </c>
      <c r="C1362" s="2">
        <f>Return!C1362</f>
        <v>2</v>
      </c>
      <c r="D1362" s="2">
        <f>COUNTA(Argument!E1362)</f>
        <v>1</v>
      </c>
      <c r="E1362" s="2" t="str">
        <f>IF(C1362,Return!D1362,Return!E1362)</f>
        <v>vr</v>
      </c>
      <c r="F1362" s="2" t="str">
        <f t="shared" si="63"/>
        <v>vr</v>
      </c>
      <c r="G1362" s="2" t="str">
        <f t="shared" si="65"/>
        <v>vr</v>
      </c>
      <c r="H1362" s="2" t="str">
        <f t="shared" si="64"/>
        <v>, vr, vr</v>
      </c>
      <c r="I1362" s="2" t="str">
        <f>IF(Return!C1362=0,REPLACE(INDEX(H:H,ROW()+Return!B1362,),1,2,Return!E1362&amp;"(")&amp;")","")</f>
        <v/>
      </c>
      <c r="M1362" s="1"/>
    </row>
    <row r="1363" spans="1:13" x14ac:dyDescent="0.55000000000000004">
      <c r="A1363" s="1" t="s">
        <v>1858</v>
      </c>
      <c r="C1363" s="2">
        <f>Return!C1363</f>
        <v>0</v>
      </c>
      <c r="D1363" s="2">
        <f>COUNTA(Argument!E1363)</f>
        <v>0</v>
      </c>
      <c r="E1363" s="2" t="str">
        <f>IF(C1363,Return!D1363,Return!E1363)</f>
        <v>v</v>
      </c>
      <c r="F1363" s="2" t="str">
        <f t="shared" si="63"/>
        <v/>
      </c>
      <c r="G1363" s="2" t="str">
        <f t="shared" si="65"/>
        <v/>
      </c>
      <c r="H1363" s="2" t="str">
        <f t="shared" si="64"/>
        <v/>
      </c>
      <c r="I1363" s="2" t="str">
        <f>IF(Return!C1363=0,REPLACE(INDEX(H:H,ROW()+Return!B1363,),1,2,Return!E1363&amp;"(")&amp;")","")</f>
        <v>v(vr, vr)</v>
      </c>
      <c r="M1363" s="1"/>
    </row>
    <row r="1364" spans="1:13" x14ac:dyDescent="0.55000000000000004">
      <c r="A1364" s="1" t="s">
        <v>1858</v>
      </c>
      <c r="B1364" t="s">
        <v>1316</v>
      </c>
      <c r="C1364" s="2">
        <f>Return!C1364</f>
        <v>1</v>
      </c>
      <c r="D1364" s="2">
        <f>COUNTA(Argument!E1364)</f>
        <v>0</v>
      </c>
      <c r="E1364" s="2" t="str">
        <f>IF(C1364,Return!D1364,Return!E1364)</f>
        <v>vr</v>
      </c>
      <c r="F1364" s="2" t="str">
        <f t="shared" si="63"/>
        <v>vr</v>
      </c>
      <c r="G1364" s="2" t="str">
        <f t="shared" si="65"/>
        <v>vr</v>
      </c>
      <c r="H1364" s="2" t="str">
        <f t="shared" si="64"/>
        <v>, vr</v>
      </c>
      <c r="I1364" s="2" t="str">
        <f>IF(Return!C1364=0,REPLACE(INDEX(H:H,ROW()+Return!B1364,),1,2,Return!E1364&amp;"(")&amp;")","")</f>
        <v/>
      </c>
      <c r="M1364" s="1"/>
    </row>
    <row r="1365" spans="1:13" x14ac:dyDescent="0.55000000000000004">
      <c r="A1365" s="1" t="s">
        <v>1858</v>
      </c>
      <c r="B1365" t="s">
        <v>1384</v>
      </c>
      <c r="C1365" s="2">
        <f>Return!C1365</f>
        <v>2</v>
      </c>
      <c r="D1365" s="2">
        <f>COUNTA(Argument!E1365)</f>
        <v>1</v>
      </c>
      <c r="E1365" s="2" t="str">
        <f>IF(C1365,Return!D1365,Return!E1365)</f>
        <v>vr</v>
      </c>
      <c r="F1365" s="2" t="str">
        <f t="shared" si="63"/>
        <v>vr</v>
      </c>
      <c r="G1365" s="2" t="str">
        <f t="shared" si="65"/>
        <v>vr</v>
      </c>
      <c r="H1365" s="2" t="str">
        <f t="shared" si="64"/>
        <v>, vr, vr</v>
      </c>
      <c r="I1365" s="2" t="str">
        <f>IF(Return!C1365=0,REPLACE(INDEX(H:H,ROW()+Return!B1365,),1,2,Return!E1365&amp;"(")&amp;")","")</f>
        <v/>
      </c>
      <c r="M1365" s="1"/>
    </row>
    <row r="1366" spans="1:13" x14ac:dyDescent="0.55000000000000004">
      <c r="A1366" s="1" t="s">
        <v>1859</v>
      </c>
      <c r="C1366" s="2">
        <f>Return!C1366</f>
        <v>0</v>
      </c>
      <c r="D1366" s="2">
        <f>COUNTA(Argument!E1366)</f>
        <v>0</v>
      </c>
      <c r="E1366" s="2" t="str">
        <f>IF(C1366,Return!D1366,Return!E1366)</f>
        <v>v</v>
      </c>
      <c r="F1366" s="2" t="str">
        <f t="shared" si="63"/>
        <v/>
      </c>
      <c r="G1366" s="2" t="str">
        <f t="shared" si="65"/>
        <v/>
      </c>
      <c r="H1366" s="2" t="str">
        <f t="shared" si="64"/>
        <v/>
      </c>
      <c r="I1366" s="2" t="str">
        <f>IF(Return!C1366=0,REPLACE(INDEX(H:H,ROW()+Return!B1366,),1,2,Return!E1366&amp;"(")&amp;")","")</f>
        <v>v(var, var, [vr])</v>
      </c>
      <c r="M1366" s="1"/>
    </row>
    <row r="1367" spans="1:13" x14ac:dyDescent="0.55000000000000004">
      <c r="A1367" s="1" t="s">
        <v>1859</v>
      </c>
      <c r="B1367" t="s">
        <v>1255</v>
      </c>
      <c r="C1367" s="2">
        <f>Return!C1367</f>
        <v>1</v>
      </c>
      <c r="D1367" s="2">
        <f>COUNTA(Argument!E1367)</f>
        <v>0</v>
      </c>
      <c r="E1367" s="2" t="str">
        <f>IF(C1367,Return!D1367,Return!E1367)</f>
        <v>var</v>
      </c>
      <c r="F1367" s="2" t="str">
        <f t="shared" si="63"/>
        <v>var</v>
      </c>
      <c r="G1367" s="2" t="str">
        <f t="shared" si="65"/>
        <v>var</v>
      </c>
      <c r="H1367" s="2" t="str">
        <f t="shared" si="64"/>
        <v>, var</v>
      </c>
      <c r="I1367" s="2" t="str">
        <f>IF(Return!C1367=0,REPLACE(INDEX(H:H,ROW()+Return!B1367,),1,2,Return!E1367&amp;"(")&amp;")","")</f>
        <v/>
      </c>
      <c r="M1367" s="1"/>
    </row>
    <row r="1368" spans="1:13" x14ac:dyDescent="0.55000000000000004">
      <c r="A1368" s="1" t="s">
        <v>1859</v>
      </c>
      <c r="B1368" t="s">
        <v>1391</v>
      </c>
      <c r="C1368" s="2">
        <f>Return!C1368</f>
        <v>2</v>
      </c>
      <c r="D1368" s="2">
        <f>COUNTA(Argument!E1368)</f>
        <v>1</v>
      </c>
      <c r="E1368" s="2" t="str">
        <f>IF(C1368,Return!D1368,Return!E1368)</f>
        <v>var</v>
      </c>
      <c r="F1368" s="2" t="str">
        <f t="shared" si="63"/>
        <v>var</v>
      </c>
      <c r="G1368" s="2" t="str">
        <f t="shared" si="65"/>
        <v>var</v>
      </c>
      <c r="H1368" s="2" t="str">
        <f t="shared" si="64"/>
        <v>, var, var</v>
      </c>
      <c r="I1368" s="2" t="str">
        <f>IF(Return!C1368=0,REPLACE(INDEX(H:H,ROW()+Return!B1368,),1,2,Return!E1368&amp;"(")&amp;")","")</f>
        <v/>
      </c>
      <c r="M1368" s="1"/>
    </row>
    <row r="1369" spans="1:13" x14ac:dyDescent="0.55000000000000004">
      <c r="A1369" s="1" t="s">
        <v>1859</v>
      </c>
      <c r="B1369" t="s">
        <v>1254</v>
      </c>
      <c r="C1369" s="2">
        <f>Return!C1369</f>
        <v>3</v>
      </c>
      <c r="D1369" s="2">
        <f>COUNTA(Argument!E1369)</f>
        <v>1</v>
      </c>
      <c r="E1369" s="2" t="str">
        <f>IF(C1369,Return!D1369,Return!E1369)</f>
        <v>vr</v>
      </c>
      <c r="F1369" s="2" t="str">
        <f t="shared" si="63"/>
        <v>[vr]</v>
      </c>
      <c r="G1369" s="2" t="str">
        <f t="shared" si="65"/>
        <v>[vr]</v>
      </c>
      <c r="H1369" s="2" t="str">
        <f t="shared" si="64"/>
        <v>, var, var, [vr]</v>
      </c>
      <c r="I1369" s="2" t="str">
        <f>IF(Return!C1369=0,REPLACE(INDEX(H:H,ROW()+Return!B1369,),1,2,Return!E1369&amp;"(")&amp;")","")</f>
        <v/>
      </c>
      <c r="M1369" s="1"/>
    </row>
    <row r="1370" spans="1:13" x14ac:dyDescent="0.55000000000000004">
      <c r="A1370" s="1" t="s">
        <v>1860</v>
      </c>
      <c r="C1370" s="2">
        <f>Return!C1370</f>
        <v>0</v>
      </c>
      <c r="D1370" s="2">
        <f>COUNTA(Argument!E1370)</f>
        <v>0</v>
      </c>
      <c r="E1370" s="2" t="str">
        <f>IF(C1370,Return!D1370,Return!E1370)</f>
        <v>v</v>
      </c>
      <c r="F1370" s="2" t="str">
        <f t="shared" si="63"/>
        <v/>
      </c>
      <c r="G1370" s="2" t="str">
        <f t="shared" si="65"/>
        <v/>
      </c>
      <c r="H1370" s="2" t="str">
        <f t="shared" si="64"/>
        <v/>
      </c>
      <c r="I1370" s="2" t="str">
        <f>IF(Return!C1370=0,REPLACE(INDEX(H:H,ROW()+Return!B1370,),1,2,Return!E1370&amp;"(")&amp;")","")</f>
        <v>v(vr, var, var)</v>
      </c>
      <c r="M1370" s="1"/>
    </row>
    <row r="1371" spans="1:13" x14ac:dyDescent="0.55000000000000004">
      <c r="A1371" s="1" t="s">
        <v>1860</v>
      </c>
      <c r="B1371" t="s">
        <v>1222</v>
      </c>
      <c r="C1371" s="2">
        <f>Return!C1371</f>
        <v>1</v>
      </c>
      <c r="D1371" s="2">
        <f>COUNTA(Argument!E1371)</f>
        <v>0</v>
      </c>
      <c r="E1371" s="2" t="str">
        <f>IF(C1371,Return!D1371,Return!E1371)</f>
        <v>vr</v>
      </c>
      <c r="F1371" s="2" t="str">
        <f t="shared" si="63"/>
        <v>vr</v>
      </c>
      <c r="G1371" s="2" t="str">
        <f t="shared" si="65"/>
        <v>vr</v>
      </c>
      <c r="H1371" s="2" t="str">
        <f t="shared" si="64"/>
        <v>, vr</v>
      </c>
      <c r="I1371" s="2" t="str">
        <f>IF(Return!C1371=0,REPLACE(INDEX(H:H,ROW()+Return!B1371,),1,2,Return!E1371&amp;"(")&amp;")","")</f>
        <v/>
      </c>
      <c r="M1371" s="1"/>
    </row>
    <row r="1372" spans="1:13" x14ac:dyDescent="0.55000000000000004">
      <c r="A1372" s="1" t="s">
        <v>1860</v>
      </c>
      <c r="B1372" t="s">
        <v>1255</v>
      </c>
      <c r="C1372" s="2">
        <f>Return!C1372</f>
        <v>2</v>
      </c>
      <c r="D1372" s="2">
        <f>COUNTA(Argument!E1372)</f>
        <v>0</v>
      </c>
      <c r="E1372" s="2" t="str">
        <f>IF(C1372,Return!D1372,Return!E1372)</f>
        <v>var</v>
      </c>
      <c r="F1372" s="2" t="str">
        <f t="shared" si="63"/>
        <v>var</v>
      </c>
      <c r="G1372" s="2" t="str">
        <f t="shared" si="65"/>
        <v>var</v>
      </c>
      <c r="H1372" s="2" t="str">
        <f t="shared" si="64"/>
        <v>, vr, var</v>
      </c>
      <c r="I1372" s="2" t="str">
        <f>IF(Return!C1372=0,REPLACE(INDEX(H:H,ROW()+Return!B1372,),1,2,Return!E1372&amp;"(")&amp;")","")</f>
        <v/>
      </c>
      <c r="M1372" s="1"/>
    </row>
    <row r="1373" spans="1:13" x14ac:dyDescent="0.55000000000000004">
      <c r="A1373" s="1" t="s">
        <v>1860</v>
      </c>
      <c r="B1373" t="s">
        <v>1391</v>
      </c>
      <c r="C1373" s="2">
        <f>Return!C1373</f>
        <v>3</v>
      </c>
      <c r="D1373" s="2">
        <f>COUNTA(Argument!E1373)</f>
        <v>1</v>
      </c>
      <c r="E1373" s="2" t="str">
        <f>IF(C1373,Return!D1373,Return!E1373)</f>
        <v>var</v>
      </c>
      <c r="F1373" s="2" t="str">
        <f t="shared" si="63"/>
        <v>var</v>
      </c>
      <c r="G1373" s="2" t="str">
        <f t="shared" si="65"/>
        <v>var</v>
      </c>
      <c r="H1373" s="2" t="str">
        <f t="shared" si="64"/>
        <v>, vr, var, var</v>
      </c>
      <c r="I1373" s="2" t="str">
        <f>IF(Return!C1373=0,REPLACE(INDEX(H:H,ROW()+Return!B1373,),1,2,Return!E1373&amp;"(")&amp;")","")</f>
        <v/>
      </c>
      <c r="M1373" s="1"/>
    </row>
    <row r="1374" spans="1:13" x14ac:dyDescent="0.55000000000000004">
      <c r="A1374" s="1" t="s">
        <v>1861</v>
      </c>
      <c r="C1374" s="2">
        <f>Return!C1374</f>
        <v>0</v>
      </c>
      <c r="D1374" s="2">
        <f>COUNTA(Argument!E1374)</f>
        <v>0</v>
      </c>
      <c r="E1374" s="2" t="str">
        <f>IF(C1374,Return!D1374,Return!E1374)</f>
        <v>v</v>
      </c>
      <c r="F1374" s="2" t="str">
        <f t="shared" si="63"/>
        <v/>
      </c>
      <c r="G1374" s="2" t="str">
        <f t="shared" si="65"/>
        <v/>
      </c>
      <c r="H1374" s="2" t="str">
        <f t="shared" si="64"/>
        <v/>
      </c>
      <c r="I1374" s="2" t="str">
        <f>IF(Return!C1374=0,REPLACE(INDEX(H:H,ROW()+Return!B1374,),1,2,Return!E1374&amp;"(")&amp;")","")</f>
        <v>v(vr, vr, vr, vr, vr, [vr])</v>
      </c>
      <c r="M1374" s="1"/>
    </row>
    <row r="1375" spans="1:13" x14ac:dyDescent="0.55000000000000004">
      <c r="A1375" s="1" t="s">
        <v>1861</v>
      </c>
      <c r="B1375" t="s">
        <v>1392</v>
      </c>
      <c r="C1375" s="2">
        <f>Return!C1375</f>
        <v>1</v>
      </c>
      <c r="D1375" s="2">
        <f>COUNTA(Argument!E1375)</f>
        <v>0</v>
      </c>
      <c r="E1375" s="2" t="str">
        <f>IF(C1375,Return!D1375,Return!E1375)</f>
        <v>vr</v>
      </c>
      <c r="F1375" s="2" t="str">
        <f t="shared" si="63"/>
        <v>vr</v>
      </c>
      <c r="G1375" s="2" t="str">
        <f t="shared" si="65"/>
        <v>vr</v>
      </c>
      <c r="H1375" s="2" t="str">
        <f t="shared" si="64"/>
        <v>, vr</v>
      </c>
      <c r="I1375" s="2" t="str">
        <f>IF(Return!C1375=0,REPLACE(INDEX(H:H,ROW()+Return!B1375,),1,2,Return!E1375&amp;"(")&amp;")","")</f>
        <v/>
      </c>
      <c r="M1375" s="1"/>
    </row>
    <row r="1376" spans="1:13" x14ac:dyDescent="0.55000000000000004">
      <c r="A1376" s="1" t="s">
        <v>1861</v>
      </c>
      <c r="B1376" t="s">
        <v>1393</v>
      </c>
      <c r="C1376" s="2">
        <f>Return!C1376</f>
        <v>2</v>
      </c>
      <c r="D1376" s="2">
        <f>COUNTA(Argument!E1376)</f>
        <v>0</v>
      </c>
      <c r="E1376" s="2" t="str">
        <f>IF(C1376,Return!D1376,Return!E1376)</f>
        <v>vr</v>
      </c>
      <c r="F1376" s="2" t="str">
        <f t="shared" si="63"/>
        <v>vr</v>
      </c>
      <c r="G1376" s="2" t="str">
        <f t="shared" si="65"/>
        <v>vr</v>
      </c>
      <c r="H1376" s="2" t="str">
        <f t="shared" si="64"/>
        <v>, vr, vr</v>
      </c>
      <c r="I1376" s="2" t="str">
        <f>IF(Return!C1376=0,REPLACE(INDEX(H:H,ROW()+Return!B1376,),1,2,Return!E1376&amp;"(")&amp;")","")</f>
        <v/>
      </c>
      <c r="M1376" s="1"/>
    </row>
    <row r="1377" spans="1:13" x14ac:dyDescent="0.55000000000000004">
      <c r="A1377" s="1" t="s">
        <v>1861</v>
      </c>
      <c r="B1377" t="s">
        <v>1394</v>
      </c>
      <c r="C1377" s="2">
        <f>Return!C1377</f>
        <v>3</v>
      </c>
      <c r="D1377" s="2">
        <f>COUNTA(Argument!E1377)</f>
        <v>0</v>
      </c>
      <c r="E1377" s="2" t="str">
        <f>IF(C1377,Return!D1377,Return!E1377)</f>
        <v>vr</v>
      </c>
      <c r="F1377" s="2" t="str">
        <f t="shared" si="63"/>
        <v>vr</v>
      </c>
      <c r="G1377" s="2" t="str">
        <f t="shared" si="65"/>
        <v>vr</v>
      </c>
      <c r="H1377" s="2" t="str">
        <f t="shared" si="64"/>
        <v>, vr, vr, vr</v>
      </c>
      <c r="I1377" s="2" t="str">
        <f>IF(Return!C1377=0,REPLACE(INDEX(H:H,ROW()+Return!B1377,),1,2,Return!E1377&amp;"(")&amp;")","")</f>
        <v/>
      </c>
      <c r="M1377" s="1"/>
    </row>
    <row r="1378" spans="1:13" x14ac:dyDescent="0.55000000000000004">
      <c r="A1378" s="1" t="s">
        <v>1861</v>
      </c>
      <c r="B1378" t="s">
        <v>1222</v>
      </c>
      <c r="C1378" s="2">
        <f>Return!C1378</f>
        <v>4</v>
      </c>
      <c r="D1378" s="2">
        <f>COUNTA(Argument!E1378)</f>
        <v>0</v>
      </c>
      <c r="E1378" s="2" t="str">
        <f>IF(C1378,Return!D1378,Return!E1378)</f>
        <v>vr</v>
      </c>
      <c r="F1378" s="2" t="str">
        <f t="shared" si="63"/>
        <v>vr</v>
      </c>
      <c r="G1378" s="2" t="str">
        <f t="shared" si="65"/>
        <v>vr</v>
      </c>
      <c r="H1378" s="2" t="str">
        <f t="shared" si="64"/>
        <v>, vr, vr, vr, vr</v>
      </c>
      <c r="I1378" s="2" t="str">
        <f>IF(Return!C1378=0,REPLACE(INDEX(H:H,ROW()+Return!B1378,),1,2,Return!E1378&amp;"(")&amp;")","")</f>
        <v/>
      </c>
      <c r="M1378" s="1"/>
    </row>
    <row r="1379" spans="1:13" x14ac:dyDescent="0.55000000000000004">
      <c r="A1379" s="1" t="s">
        <v>1861</v>
      </c>
      <c r="B1379" t="s">
        <v>1395</v>
      </c>
      <c r="C1379" s="2">
        <f>Return!C1379</f>
        <v>5</v>
      </c>
      <c r="D1379" s="2">
        <f>COUNTA(Argument!E1379)</f>
        <v>1</v>
      </c>
      <c r="E1379" s="2" t="str">
        <f>IF(C1379,Return!D1379,Return!E1379)</f>
        <v>vr</v>
      </c>
      <c r="F1379" s="2" t="str">
        <f t="shared" si="63"/>
        <v>vr</v>
      </c>
      <c r="G1379" s="2" t="str">
        <f t="shared" si="65"/>
        <v>vr</v>
      </c>
      <c r="H1379" s="2" t="str">
        <f t="shared" si="64"/>
        <v>, vr, vr, vr, vr, vr</v>
      </c>
      <c r="I1379" s="2" t="str">
        <f>IF(Return!C1379=0,REPLACE(INDEX(H:H,ROW()+Return!B1379,),1,2,Return!E1379&amp;"(")&amp;")","")</f>
        <v/>
      </c>
      <c r="M1379" s="1"/>
    </row>
    <row r="1380" spans="1:13" x14ac:dyDescent="0.55000000000000004">
      <c r="A1380" s="1" t="s">
        <v>1861</v>
      </c>
      <c r="B1380" t="s">
        <v>1396</v>
      </c>
      <c r="C1380" s="2">
        <f>Return!C1380</f>
        <v>6</v>
      </c>
      <c r="D1380" s="2">
        <f>COUNTA(Argument!E1380)</f>
        <v>1</v>
      </c>
      <c r="E1380" s="2" t="str">
        <f>IF(C1380,Return!D1380,Return!E1380)</f>
        <v>vr</v>
      </c>
      <c r="F1380" s="2" t="str">
        <f t="shared" si="63"/>
        <v>[vr]</v>
      </c>
      <c r="G1380" s="2" t="str">
        <f t="shared" si="65"/>
        <v>[vr]</v>
      </c>
      <c r="H1380" s="2" t="str">
        <f t="shared" si="64"/>
        <v>, vr, vr, vr, vr, vr, [vr]</v>
      </c>
      <c r="I1380" s="2" t="str">
        <f>IF(Return!C1380=0,REPLACE(INDEX(H:H,ROW()+Return!B1380,),1,2,Return!E1380&amp;"(")&amp;")","")</f>
        <v/>
      </c>
      <c r="M1380" s="1"/>
    </row>
    <row r="1381" spans="1:13" x14ac:dyDescent="0.55000000000000004">
      <c r="A1381" s="1" t="s">
        <v>1862</v>
      </c>
      <c r="C1381" s="2">
        <f>Return!C1381</f>
        <v>0</v>
      </c>
      <c r="D1381" s="2">
        <f>COUNTA(Argument!E1381)</f>
        <v>0</v>
      </c>
      <c r="E1381" s="2" t="str">
        <f>IF(C1381,Return!D1381,Return!E1381)</f>
        <v>v</v>
      </c>
      <c r="F1381" s="2" t="str">
        <f t="shared" si="63"/>
        <v/>
      </c>
      <c r="G1381" s="2" t="str">
        <f t="shared" si="65"/>
        <v/>
      </c>
      <c r="H1381" s="2" t="str">
        <f t="shared" si="64"/>
        <v/>
      </c>
      <c r="I1381" s="2" t="str">
        <f>IF(Return!C1381=0,REPLACE(INDEX(H:H,ROW()+Return!B1381,),1,2,Return!E1381&amp;"(")&amp;")","")</f>
        <v>v(vr, vr, vr, vr, vr, [vr])</v>
      </c>
      <c r="M1381" s="1"/>
    </row>
    <row r="1382" spans="1:13" x14ac:dyDescent="0.55000000000000004">
      <c r="A1382" s="1" t="s">
        <v>1862</v>
      </c>
      <c r="B1382" t="s">
        <v>1392</v>
      </c>
      <c r="C1382" s="2">
        <f>Return!C1382</f>
        <v>1</v>
      </c>
      <c r="D1382" s="2">
        <f>COUNTA(Argument!E1382)</f>
        <v>0</v>
      </c>
      <c r="E1382" s="2" t="str">
        <f>IF(C1382,Return!D1382,Return!E1382)</f>
        <v>vr</v>
      </c>
      <c r="F1382" s="2" t="str">
        <f t="shared" si="63"/>
        <v>vr</v>
      </c>
      <c r="G1382" s="2" t="str">
        <f t="shared" si="65"/>
        <v>vr</v>
      </c>
      <c r="H1382" s="2" t="str">
        <f t="shared" si="64"/>
        <v>, vr</v>
      </c>
      <c r="I1382" s="2" t="str">
        <f>IF(Return!C1382=0,REPLACE(INDEX(H:H,ROW()+Return!B1382,),1,2,Return!E1382&amp;"(")&amp;")","")</f>
        <v/>
      </c>
      <c r="M1382" s="1"/>
    </row>
    <row r="1383" spans="1:13" x14ac:dyDescent="0.55000000000000004">
      <c r="A1383" s="1" t="s">
        <v>1862</v>
      </c>
      <c r="B1383" t="s">
        <v>1393</v>
      </c>
      <c r="C1383" s="2">
        <f>Return!C1383</f>
        <v>2</v>
      </c>
      <c r="D1383" s="2">
        <f>COUNTA(Argument!E1383)</f>
        <v>0</v>
      </c>
      <c r="E1383" s="2" t="str">
        <f>IF(C1383,Return!D1383,Return!E1383)</f>
        <v>vr</v>
      </c>
      <c r="F1383" s="2" t="str">
        <f t="shared" si="63"/>
        <v>vr</v>
      </c>
      <c r="G1383" s="2" t="str">
        <f t="shared" si="65"/>
        <v>vr</v>
      </c>
      <c r="H1383" s="2" t="str">
        <f t="shared" si="64"/>
        <v>, vr, vr</v>
      </c>
      <c r="I1383" s="2" t="str">
        <f>IF(Return!C1383=0,REPLACE(INDEX(H:H,ROW()+Return!B1383,),1,2,Return!E1383&amp;"(")&amp;")","")</f>
        <v/>
      </c>
      <c r="M1383" s="1"/>
    </row>
    <row r="1384" spans="1:13" x14ac:dyDescent="0.55000000000000004">
      <c r="A1384" s="1" t="s">
        <v>1862</v>
      </c>
      <c r="B1384" t="s">
        <v>1394</v>
      </c>
      <c r="C1384" s="2">
        <f>Return!C1384</f>
        <v>3</v>
      </c>
      <c r="D1384" s="2">
        <f>COUNTA(Argument!E1384)</f>
        <v>0</v>
      </c>
      <c r="E1384" s="2" t="str">
        <f>IF(C1384,Return!D1384,Return!E1384)</f>
        <v>vr</v>
      </c>
      <c r="F1384" s="2" t="str">
        <f t="shared" si="63"/>
        <v>vr</v>
      </c>
      <c r="G1384" s="2" t="str">
        <f t="shared" si="65"/>
        <v>vr</v>
      </c>
      <c r="H1384" s="2" t="str">
        <f t="shared" si="64"/>
        <v>, vr, vr, vr</v>
      </c>
      <c r="I1384" s="2" t="str">
        <f>IF(Return!C1384=0,REPLACE(INDEX(H:H,ROW()+Return!B1384,),1,2,Return!E1384&amp;"(")&amp;")","")</f>
        <v/>
      </c>
      <c r="M1384" s="1"/>
    </row>
    <row r="1385" spans="1:13" x14ac:dyDescent="0.55000000000000004">
      <c r="A1385" s="1" t="s">
        <v>1862</v>
      </c>
      <c r="B1385" t="s">
        <v>1222</v>
      </c>
      <c r="C1385" s="2">
        <f>Return!C1385</f>
        <v>4</v>
      </c>
      <c r="D1385" s="2">
        <f>COUNTA(Argument!E1385)</f>
        <v>0</v>
      </c>
      <c r="E1385" s="2" t="str">
        <f>IF(C1385,Return!D1385,Return!E1385)</f>
        <v>vr</v>
      </c>
      <c r="F1385" s="2" t="str">
        <f t="shared" si="63"/>
        <v>vr</v>
      </c>
      <c r="G1385" s="2" t="str">
        <f t="shared" si="65"/>
        <v>vr</v>
      </c>
      <c r="H1385" s="2" t="str">
        <f t="shared" si="64"/>
        <v>, vr, vr, vr, vr</v>
      </c>
      <c r="I1385" s="2" t="str">
        <f>IF(Return!C1385=0,REPLACE(INDEX(H:H,ROW()+Return!B1385,),1,2,Return!E1385&amp;"(")&amp;")","")</f>
        <v/>
      </c>
      <c r="M1385" s="1"/>
    </row>
    <row r="1386" spans="1:13" x14ac:dyDescent="0.55000000000000004">
      <c r="A1386" s="1" t="s">
        <v>1862</v>
      </c>
      <c r="B1386" t="s">
        <v>1397</v>
      </c>
      <c r="C1386" s="2">
        <f>Return!C1386</f>
        <v>5</v>
      </c>
      <c r="D1386" s="2">
        <f>COUNTA(Argument!E1386)</f>
        <v>1</v>
      </c>
      <c r="E1386" s="2" t="str">
        <f>IF(C1386,Return!D1386,Return!E1386)</f>
        <v>vr</v>
      </c>
      <c r="F1386" s="2" t="str">
        <f t="shared" si="63"/>
        <v>vr</v>
      </c>
      <c r="G1386" s="2" t="str">
        <f t="shared" si="65"/>
        <v>vr</v>
      </c>
      <c r="H1386" s="2" t="str">
        <f t="shared" si="64"/>
        <v>, vr, vr, vr, vr, vr</v>
      </c>
      <c r="I1386" s="2" t="str">
        <f>IF(Return!C1386=0,REPLACE(INDEX(H:H,ROW()+Return!B1386,),1,2,Return!E1386&amp;"(")&amp;")","")</f>
        <v/>
      </c>
      <c r="M1386" s="1"/>
    </row>
    <row r="1387" spans="1:13" x14ac:dyDescent="0.55000000000000004">
      <c r="A1387" s="1" t="s">
        <v>1862</v>
      </c>
      <c r="B1387" t="s">
        <v>1396</v>
      </c>
      <c r="C1387" s="2">
        <f>Return!C1387</f>
        <v>6</v>
      </c>
      <c r="D1387" s="2">
        <f>COUNTA(Argument!E1387)</f>
        <v>1</v>
      </c>
      <c r="E1387" s="2" t="str">
        <f>IF(C1387,Return!D1387,Return!E1387)</f>
        <v>vr</v>
      </c>
      <c r="F1387" s="2" t="str">
        <f t="shared" si="63"/>
        <v>[vr]</v>
      </c>
      <c r="G1387" s="2" t="str">
        <f t="shared" si="65"/>
        <v>[vr]</v>
      </c>
      <c r="H1387" s="2" t="str">
        <f t="shared" si="64"/>
        <v>, vr, vr, vr, vr, vr, [vr]</v>
      </c>
      <c r="I1387" s="2" t="str">
        <f>IF(Return!C1387=0,REPLACE(INDEX(H:H,ROW()+Return!B1387,),1,2,Return!E1387&amp;"(")&amp;")","")</f>
        <v/>
      </c>
      <c r="M1387" s="1"/>
    </row>
    <row r="1388" spans="1:13" x14ac:dyDescent="0.55000000000000004">
      <c r="A1388" s="1" t="s">
        <v>1863</v>
      </c>
      <c r="C1388" s="2">
        <f>Return!C1388</f>
        <v>0</v>
      </c>
      <c r="D1388" s="2">
        <f>COUNTA(Argument!E1388)</f>
        <v>0</v>
      </c>
      <c r="E1388" s="2" t="str">
        <f>IF(C1388,Return!D1388,Return!E1388)</f>
        <v>v</v>
      </c>
      <c r="F1388" s="2" t="str">
        <f t="shared" si="63"/>
        <v/>
      </c>
      <c r="G1388" s="2" t="str">
        <f t="shared" si="65"/>
        <v/>
      </c>
      <c r="H1388" s="2" t="str">
        <f t="shared" si="64"/>
        <v/>
      </c>
      <c r="I1388" s="2" t="str">
        <f>IF(Return!C1388=0,REPLACE(INDEX(H:H,ROW()+Return!B1388,),1,2,Return!E1388&amp;"(")&amp;")","")</f>
        <v>v(vr, vr, vr, vr, [vr])</v>
      </c>
      <c r="M1388" s="1"/>
    </row>
    <row r="1389" spans="1:13" x14ac:dyDescent="0.55000000000000004">
      <c r="A1389" s="1" t="s">
        <v>1863</v>
      </c>
      <c r="B1389" t="s">
        <v>1392</v>
      </c>
      <c r="C1389" s="2">
        <f>Return!C1389</f>
        <v>1</v>
      </c>
      <c r="D1389" s="2">
        <f>COUNTA(Argument!E1389)</f>
        <v>0</v>
      </c>
      <c r="E1389" s="2" t="str">
        <f>IF(C1389,Return!D1389,Return!E1389)</f>
        <v>vr</v>
      </c>
      <c r="F1389" s="2" t="str">
        <f t="shared" si="63"/>
        <v>vr</v>
      </c>
      <c r="G1389" s="2" t="str">
        <f t="shared" si="65"/>
        <v>vr</v>
      </c>
      <c r="H1389" s="2" t="str">
        <f t="shared" si="64"/>
        <v>, vr</v>
      </c>
      <c r="I1389" s="2" t="str">
        <f>IF(Return!C1389=0,REPLACE(INDEX(H:H,ROW()+Return!B1389,),1,2,Return!E1389&amp;"(")&amp;")","")</f>
        <v/>
      </c>
      <c r="M1389" s="1"/>
    </row>
    <row r="1390" spans="1:13" x14ac:dyDescent="0.55000000000000004">
      <c r="A1390" s="1" t="s">
        <v>1863</v>
      </c>
      <c r="B1390" t="s">
        <v>1393</v>
      </c>
      <c r="C1390" s="2">
        <f>Return!C1390</f>
        <v>2</v>
      </c>
      <c r="D1390" s="2">
        <f>COUNTA(Argument!E1390)</f>
        <v>0</v>
      </c>
      <c r="E1390" s="2" t="str">
        <f>IF(C1390,Return!D1390,Return!E1390)</f>
        <v>vr</v>
      </c>
      <c r="F1390" s="2" t="str">
        <f t="shared" si="63"/>
        <v>vr</v>
      </c>
      <c r="G1390" s="2" t="str">
        <f t="shared" si="65"/>
        <v>vr</v>
      </c>
      <c r="H1390" s="2" t="str">
        <f t="shared" si="64"/>
        <v>, vr, vr</v>
      </c>
      <c r="I1390" s="2" t="str">
        <f>IF(Return!C1390=0,REPLACE(INDEX(H:H,ROW()+Return!B1390,),1,2,Return!E1390&amp;"(")&amp;")","")</f>
        <v/>
      </c>
      <c r="M1390" s="1"/>
    </row>
    <row r="1391" spans="1:13" x14ac:dyDescent="0.55000000000000004">
      <c r="A1391" s="1" t="s">
        <v>1863</v>
      </c>
      <c r="B1391" t="s">
        <v>1398</v>
      </c>
      <c r="C1391" s="2">
        <f>Return!C1391</f>
        <v>3</v>
      </c>
      <c r="D1391" s="2">
        <f>COUNTA(Argument!E1391)</f>
        <v>0</v>
      </c>
      <c r="E1391" s="2" t="str">
        <f>IF(C1391,Return!D1391,Return!E1391)</f>
        <v>vr</v>
      </c>
      <c r="F1391" s="2" t="str">
        <f t="shared" si="63"/>
        <v>vr</v>
      </c>
      <c r="G1391" s="2" t="str">
        <f t="shared" si="65"/>
        <v>vr</v>
      </c>
      <c r="H1391" s="2" t="str">
        <f t="shared" si="64"/>
        <v>, vr, vr, vr</v>
      </c>
      <c r="I1391" s="2" t="str">
        <f>IF(Return!C1391=0,REPLACE(INDEX(H:H,ROW()+Return!B1391,),1,2,Return!E1391&amp;"(")&amp;")","")</f>
        <v/>
      </c>
      <c r="M1391" s="1"/>
    </row>
    <row r="1392" spans="1:13" x14ac:dyDescent="0.55000000000000004">
      <c r="A1392" s="1" t="s">
        <v>1863</v>
      </c>
      <c r="B1392" t="s">
        <v>1399</v>
      </c>
      <c r="C1392" s="2">
        <f>Return!C1392</f>
        <v>4</v>
      </c>
      <c r="D1392" s="2">
        <f>COUNTA(Argument!E1392)</f>
        <v>1</v>
      </c>
      <c r="E1392" s="2" t="str">
        <f>IF(C1392,Return!D1392,Return!E1392)</f>
        <v>vr</v>
      </c>
      <c r="F1392" s="2" t="str">
        <f t="shared" si="63"/>
        <v>vr</v>
      </c>
      <c r="G1392" s="2" t="str">
        <f t="shared" si="65"/>
        <v>vr</v>
      </c>
      <c r="H1392" s="2" t="str">
        <f t="shared" si="64"/>
        <v>, vr, vr, vr, vr</v>
      </c>
      <c r="I1392" s="2" t="str">
        <f>IF(Return!C1392=0,REPLACE(INDEX(H:H,ROW()+Return!B1392,),1,2,Return!E1392&amp;"(")&amp;")","")</f>
        <v/>
      </c>
      <c r="M1392" s="1"/>
    </row>
    <row r="1393" spans="1:13" x14ac:dyDescent="0.55000000000000004">
      <c r="A1393" s="1" t="s">
        <v>1863</v>
      </c>
      <c r="B1393" t="s">
        <v>1396</v>
      </c>
      <c r="C1393" s="2">
        <f>Return!C1393</f>
        <v>5</v>
      </c>
      <c r="D1393" s="2">
        <f>COUNTA(Argument!E1393)</f>
        <v>1</v>
      </c>
      <c r="E1393" s="2" t="str">
        <f>IF(C1393,Return!D1393,Return!E1393)</f>
        <v>vr</v>
      </c>
      <c r="F1393" s="2" t="str">
        <f t="shared" si="63"/>
        <v>[vr]</v>
      </c>
      <c r="G1393" s="2" t="str">
        <f t="shared" si="65"/>
        <v>[vr]</v>
      </c>
      <c r="H1393" s="2" t="str">
        <f t="shared" si="64"/>
        <v>, vr, vr, vr, vr, [vr]</v>
      </c>
      <c r="I1393" s="2" t="str">
        <f>IF(Return!C1393=0,REPLACE(INDEX(H:H,ROW()+Return!B1393,),1,2,Return!E1393&amp;"(")&amp;")","")</f>
        <v/>
      </c>
      <c r="M1393" s="1"/>
    </row>
    <row r="1394" spans="1:13" x14ac:dyDescent="0.55000000000000004">
      <c r="A1394" s="1" t="s">
        <v>1864</v>
      </c>
      <c r="C1394" s="2">
        <f>Return!C1394</f>
        <v>0</v>
      </c>
      <c r="D1394" s="2">
        <f>COUNTA(Argument!E1394)</f>
        <v>0</v>
      </c>
      <c r="E1394" s="2" t="str">
        <f>IF(C1394,Return!D1394,Return!E1394)</f>
        <v>v</v>
      </c>
      <c r="F1394" s="2" t="str">
        <f t="shared" si="63"/>
        <v/>
      </c>
      <c r="G1394" s="2" t="str">
        <f t="shared" si="65"/>
        <v/>
      </c>
      <c r="H1394" s="2" t="str">
        <f t="shared" si="64"/>
        <v/>
      </c>
      <c r="I1394" s="2" t="str">
        <f>IF(Return!C1394=0,REPLACE(INDEX(H:H,ROW()+Return!B1394,),1,2,Return!E1394&amp;"(")&amp;")","")</f>
        <v>v(vr, vr, vr, vr, [vr])</v>
      </c>
      <c r="M1394" s="1"/>
    </row>
    <row r="1395" spans="1:13" x14ac:dyDescent="0.55000000000000004">
      <c r="A1395" s="1" t="s">
        <v>1864</v>
      </c>
      <c r="B1395" t="s">
        <v>1392</v>
      </c>
      <c r="C1395" s="2">
        <f>Return!C1395</f>
        <v>1</v>
      </c>
      <c r="D1395" s="2">
        <f>COUNTA(Argument!E1395)</f>
        <v>0</v>
      </c>
      <c r="E1395" s="2" t="str">
        <f>IF(C1395,Return!D1395,Return!E1395)</f>
        <v>vr</v>
      </c>
      <c r="F1395" s="2" t="str">
        <f t="shared" si="63"/>
        <v>vr</v>
      </c>
      <c r="G1395" s="2" t="str">
        <f t="shared" si="65"/>
        <v>vr</v>
      </c>
      <c r="H1395" s="2" t="str">
        <f t="shared" si="64"/>
        <v>, vr</v>
      </c>
      <c r="I1395" s="2" t="str">
        <f>IF(Return!C1395=0,REPLACE(INDEX(H:H,ROW()+Return!B1395,),1,2,Return!E1395&amp;"(")&amp;")","")</f>
        <v/>
      </c>
      <c r="M1395" s="1"/>
    </row>
    <row r="1396" spans="1:13" x14ac:dyDescent="0.55000000000000004">
      <c r="A1396" s="1" t="s">
        <v>1864</v>
      </c>
      <c r="B1396" t="s">
        <v>1393</v>
      </c>
      <c r="C1396" s="2">
        <f>Return!C1396</f>
        <v>2</v>
      </c>
      <c r="D1396" s="2">
        <f>COUNTA(Argument!E1396)</f>
        <v>0</v>
      </c>
      <c r="E1396" s="2" t="str">
        <f>IF(C1396,Return!D1396,Return!E1396)</f>
        <v>vr</v>
      </c>
      <c r="F1396" s="2" t="str">
        <f t="shared" si="63"/>
        <v>vr</v>
      </c>
      <c r="G1396" s="2" t="str">
        <f t="shared" si="65"/>
        <v>vr</v>
      </c>
      <c r="H1396" s="2" t="str">
        <f t="shared" si="64"/>
        <v>, vr, vr</v>
      </c>
      <c r="I1396" s="2" t="str">
        <f>IF(Return!C1396=0,REPLACE(INDEX(H:H,ROW()+Return!B1396,),1,2,Return!E1396&amp;"(")&amp;")","")</f>
        <v/>
      </c>
      <c r="M1396" s="1"/>
    </row>
    <row r="1397" spans="1:13" x14ac:dyDescent="0.55000000000000004">
      <c r="A1397" s="1" t="s">
        <v>1864</v>
      </c>
      <c r="B1397" t="s">
        <v>1398</v>
      </c>
      <c r="C1397" s="2">
        <f>Return!C1397</f>
        <v>3</v>
      </c>
      <c r="D1397" s="2">
        <f>COUNTA(Argument!E1397)</f>
        <v>0</v>
      </c>
      <c r="E1397" s="2" t="str">
        <f>IF(C1397,Return!D1397,Return!E1397)</f>
        <v>vr</v>
      </c>
      <c r="F1397" s="2" t="str">
        <f t="shared" si="63"/>
        <v>vr</v>
      </c>
      <c r="G1397" s="2" t="str">
        <f t="shared" si="65"/>
        <v>vr</v>
      </c>
      <c r="H1397" s="2" t="str">
        <f t="shared" si="64"/>
        <v>, vr, vr, vr</v>
      </c>
      <c r="I1397" s="2" t="str">
        <f>IF(Return!C1397=0,REPLACE(INDEX(H:H,ROW()+Return!B1397,),1,2,Return!E1397&amp;"(")&amp;")","")</f>
        <v/>
      </c>
      <c r="M1397" s="1"/>
    </row>
    <row r="1398" spans="1:13" x14ac:dyDescent="0.55000000000000004">
      <c r="A1398" s="1" t="s">
        <v>1864</v>
      </c>
      <c r="B1398" t="s">
        <v>1400</v>
      </c>
      <c r="C1398" s="2">
        <f>Return!C1398</f>
        <v>4</v>
      </c>
      <c r="D1398" s="2">
        <f>COUNTA(Argument!E1398)</f>
        <v>1</v>
      </c>
      <c r="E1398" s="2" t="str">
        <f>IF(C1398,Return!D1398,Return!E1398)</f>
        <v>vr</v>
      </c>
      <c r="F1398" s="2" t="str">
        <f t="shared" si="63"/>
        <v>vr</v>
      </c>
      <c r="G1398" s="2" t="str">
        <f t="shared" si="65"/>
        <v>vr</v>
      </c>
      <c r="H1398" s="2" t="str">
        <f t="shared" si="64"/>
        <v>, vr, vr, vr, vr</v>
      </c>
      <c r="I1398" s="2" t="str">
        <f>IF(Return!C1398=0,REPLACE(INDEX(H:H,ROW()+Return!B1398,),1,2,Return!E1398&amp;"(")&amp;")","")</f>
        <v/>
      </c>
      <c r="M1398" s="1"/>
    </row>
    <row r="1399" spans="1:13" x14ac:dyDescent="0.55000000000000004">
      <c r="A1399" s="1" t="s">
        <v>1864</v>
      </c>
      <c r="B1399" t="s">
        <v>1396</v>
      </c>
      <c r="C1399" s="2">
        <f>Return!C1399</f>
        <v>5</v>
      </c>
      <c r="D1399" s="2">
        <f>COUNTA(Argument!E1399)</f>
        <v>1</v>
      </c>
      <c r="E1399" s="2" t="str">
        <f>IF(C1399,Return!D1399,Return!E1399)</f>
        <v>vr</v>
      </c>
      <c r="F1399" s="2" t="str">
        <f t="shared" si="63"/>
        <v>[vr]</v>
      </c>
      <c r="G1399" s="2" t="str">
        <f t="shared" si="65"/>
        <v>[vr]</v>
      </c>
      <c r="H1399" s="2" t="str">
        <f t="shared" si="64"/>
        <v>, vr, vr, vr, vr, [vr]</v>
      </c>
      <c r="I1399" s="2" t="str">
        <f>IF(Return!C1399=0,REPLACE(INDEX(H:H,ROW()+Return!B1399,),1,2,Return!E1399&amp;"(")&amp;")","")</f>
        <v/>
      </c>
      <c r="M1399" s="1"/>
    </row>
    <row r="1400" spans="1:13" x14ac:dyDescent="0.55000000000000004">
      <c r="A1400" s="1" t="s">
        <v>1865</v>
      </c>
      <c r="C1400" s="2">
        <f>Return!C1400</f>
        <v>0</v>
      </c>
      <c r="D1400" s="2">
        <f>COUNTA(Argument!E1400)</f>
        <v>0</v>
      </c>
      <c r="E1400" s="2" t="str">
        <f>IF(C1400,Return!D1400,Return!E1400)</f>
        <v>v</v>
      </c>
      <c r="F1400" s="2" t="str">
        <f t="shared" si="63"/>
        <v/>
      </c>
      <c r="G1400" s="2" t="str">
        <f t="shared" si="65"/>
        <v/>
      </c>
      <c r="H1400" s="2" t="str">
        <f t="shared" si="64"/>
        <v/>
      </c>
      <c r="I1400" s="2" t="str">
        <f>IF(Return!C1400=0,REPLACE(INDEX(H:H,ROW()+Return!B1400,),1,2,Return!E1400&amp;"(")&amp;")","")</f>
        <v>v(vr, vr, vr, vr, [vr])</v>
      </c>
      <c r="M1400" s="1"/>
    </row>
    <row r="1401" spans="1:13" x14ac:dyDescent="0.55000000000000004">
      <c r="A1401" s="1" t="s">
        <v>1865</v>
      </c>
      <c r="B1401" t="s">
        <v>1392</v>
      </c>
      <c r="C1401" s="2">
        <f>Return!C1401</f>
        <v>1</v>
      </c>
      <c r="D1401" s="2">
        <f>COUNTA(Argument!E1401)</f>
        <v>0</v>
      </c>
      <c r="E1401" s="2" t="str">
        <f>IF(C1401,Return!D1401,Return!E1401)</f>
        <v>vr</v>
      </c>
      <c r="F1401" s="2" t="str">
        <f t="shared" si="63"/>
        <v>vr</v>
      </c>
      <c r="G1401" s="2" t="str">
        <f t="shared" si="65"/>
        <v>vr</v>
      </c>
      <c r="H1401" s="2" t="str">
        <f t="shared" si="64"/>
        <v>, vr</v>
      </c>
      <c r="I1401" s="2" t="str">
        <f>IF(Return!C1401=0,REPLACE(INDEX(H:H,ROW()+Return!B1401,),1,2,Return!E1401&amp;"(")&amp;")","")</f>
        <v/>
      </c>
      <c r="M1401" s="1"/>
    </row>
    <row r="1402" spans="1:13" x14ac:dyDescent="0.55000000000000004">
      <c r="A1402" s="1" t="s">
        <v>1865</v>
      </c>
      <c r="B1402" t="s">
        <v>1393</v>
      </c>
      <c r="C1402" s="2">
        <f>Return!C1402</f>
        <v>2</v>
      </c>
      <c r="D1402" s="2">
        <f>COUNTA(Argument!E1402)</f>
        <v>0</v>
      </c>
      <c r="E1402" s="2" t="str">
        <f>IF(C1402,Return!D1402,Return!E1402)</f>
        <v>vr</v>
      </c>
      <c r="F1402" s="2" t="str">
        <f t="shared" si="63"/>
        <v>vr</v>
      </c>
      <c r="G1402" s="2" t="str">
        <f t="shared" si="65"/>
        <v>vr</v>
      </c>
      <c r="H1402" s="2" t="str">
        <f t="shared" si="64"/>
        <v>, vr, vr</v>
      </c>
      <c r="I1402" s="2" t="str">
        <f>IF(Return!C1402=0,REPLACE(INDEX(H:H,ROW()+Return!B1402,),1,2,Return!E1402&amp;"(")&amp;")","")</f>
        <v/>
      </c>
      <c r="M1402" s="1"/>
    </row>
    <row r="1403" spans="1:13" x14ac:dyDescent="0.55000000000000004">
      <c r="A1403" s="1" t="s">
        <v>1865</v>
      </c>
      <c r="B1403" t="s">
        <v>1397</v>
      </c>
      <c r="C1403" s="2">
        <f>Return!C1403</f>
        <v>3</v>
      </c>
      <c r="D1403" s="2">
        <f>COUNTA(Argument!E1403)</f>
        <v>0</v>
      </c>
      <c r="E1403" s="2" t="str">
        <f>IF(C1403,Return!D1403,Return!E1403)</f>
        <v>vr</v>
      </c>
      <c r="F1403" s="2" t="str">
        <f t="shared" si="63"/>
        <v>vr</v>
      </c>
      <c r="G1403" s="2" t="str">
        <f t="shared" si="65"/>
        <v>vr</v>
      </c>
      <c r="H1403" s="2" t="str">
        <f t="shared" si="64"/>
        <v>, vr, vr, vr</v>
      </c>
      <c r="I1403" s="2" t="str">
        <f>IF(Return!C1403=0,REPLACE(INDEX(H:H,ROW()+Return!B1403,),1,2,Return!E1403&amp;"(")&amp;")","")</f>
        <v/>
      </c>
      <c r="M1403" s="1"/>
    </row>
    <row r="1404" spans="1:13" x14ac:dyDescent="0.55000000000000004">
      <c r="A1404" s="1" t="s">
        <v>1865</v>
      </c>
      <c r="B1404" t="s">
        <v>1399</v>
      </c>
      <c r="C1404" s="2">
        <f>Return!C1404</f>
        <v>4</v>
      </c>
      <c r="D1404" s="2">
        <f>COUNTA(Argument!E1404)</f>
        <v>1</v>
      </c>
      <c r="E1404" s="2" t="str">
        <f>IF(C1404,Return!D1404,Return!E1404)</f>
        <v>vr</v>
      </c>
      <c r="F1404" s="2" t="str">
        <f t="shared" si="63"/>
        <v>vr</v>
      </c>
      <c r="G1404" s="2" t="str">
        <f t="shared" si="65"/>
        <v>vr</v>
      </c>
      <c r="H1404" s="2" t="str">
        <f t="shared" si="64"/>
        <v>, vr, vr, vr, vr</v>
      </c>
      <c r="I1404" s="2" t="str">
        <f>IF(Return!C1404=0,REPLACE(INDEX(H:H,ROW()+Return!B1404,),1,2,Return!E1404&amp;"(")&amp;")","")</f>
        <v/>
      </c>
      <c r="M1404" s="1"/>
    </row>
    <row r="1405" spans="1:13" x14ac:dyDescent="0.55000000000000004">
      <c r="A1405" s="1" t="s">
        <v>1865</v>
      </c>
      <c r="B1405" t="s">
        <v>1396</v>
      </c>
      <c r="C1405" s="2">
        <f>Return!C1405</f>
        <v>5</v>
      </c>
      <c r="D1405" s="2">
        <f>COUNTA(Argument!E1405)</f>
        <v>1</v>
      </c>
      <c r="E1405" s="2" t="str">
        <f>IF(C1405,Return!D1405,Return!E1405)</f>
        <v>vr</v>
      </c>
      <c r="F1405" s="2" t="str">
        <f t="shared" si="63"/>
        <v>[vr]</v>
      </c>
      <c r="G1405" s="2" t="str">
        <f t="shared" si="65"/>
        <v>[vr]</v>
      </c>
      <c r="H1405" s="2" t="str">
        <f t="shared" si="64"/>
        <v>, vr, vr, vr, vr, [vr]</v>
      </c>
      <c r="I1405" s="2" t="str">
        <f>IF(Return!C1405=0,REPLACE(INDEX(H:H,ROW()+Return!B1405,),1,2,Return!E1405&amp;"(")&amp;")","")</f>
        <v/>
      </c>
      <c r="M1405" s="1"/>
    </row>
    <row r="1406" spans="1:13" x14ac:dyDescent="0.55000000000000004">
      <c r="A1406" s="1" t="s">
        <v>1866</v>
      </c>
      <c r="C1406" s="2">
        <f>Return!C1406</f>
        <v>0</v>
      </c>
      <c r="D1406" s="2">
        <f>COUNTA(Argument!E1406)</f>
        <v>0</v>
      </c>
      <c r="E1406" s="2" t="str">
        <f>IF(C1406,Return!D1406,Return!E1406)</f>
        <v>v</v>
      </c>
      <c r="F1406" s="2" t="str">
        <f t="shared" si="63"/>
        <v/>
      </c>
      <c r="G1406" s="2" t="str">
        <f t="shared" si="65"/>
        <v/>
      </c>
      <c r="H1406" s="2" t="str">
        <f t="shared" si="64"/>
        <v/>
      </c>
      <c r="I1406" s="2" t="str">
        <f>IF(Return!C1406=0,REPLACE(INDEX(H:H,ROW()+Return!B1406,),1,2,Return!E1406&amp;"(")&amp;")","")</f>
        <v>v(vr, vr, vr, vr, [vr])</v>
      </c>
      <c r="M1406" s="1"/>
    </row>
    <row r="1407" spans="1:13" x14ac:dyDescent="0.55000000000000004">
      <c r="A1407" s="1" t="s">
        <v>1866</v>
      </c>
      <c r="B1407" t="s">
        <v>1392</v>
      </c>
      <c r="C1407" s="2">
        <f>Return!C1407</f>
        <v>1</v>
      </c>
      <c r="D1407" s="2">
        <f>COUNTA(Argument!E1407)</f>
        <v>0</v>
      </c>
      <c r="E1407" s="2" t="str">
        <f>IF(C1407,Return!D1407,Return!E1407)</f>
        <v>vr</v>
      </c>
      <c r="F1407" s="2" t="str">
        <f t="shared" si="63"/>
        <v>vr</v>
      </c>
      <c r="G1407" s="2" t="str">
        <f t="shared" si="65"/>
        <v>vr</v>
      </c>
      <c r="H1407" s="2" t="str">
        <f t="shared" si="64"/>
        <v>, vr</v>
      </c>
      <c r="I1407" s="2" t="str">
        <f>IF(Return!C1407=0,REPLACE(INDEX(H:H,ROW()+Return!B1407,),1,2,Return!E1407&amp;"(")&amp;")","")</f>
        <v/>
      </c>
      <c r="M1407" s="1"/>
    </row>
    <row r="1408" spans="1:13" x14ac:dyDescent="0.55000000000000004">
      <c r="A1408" s="1" t="s">
        <v>1866</v>
      </c>
      <c r="B1408" t="s">
        <v>1393</v>
      </c>
      <c r="C1408" s="2">
        <f>Return!C1408</f>
        <v>2</v>
      </c>
      <c r="D1408" s="2">
        <f>COUNTA(Argument!E1408)</f>
        <v>0</v>
      </c>
      <c r="E1408" s="2" t="str">
        <f>IF(C1408,Return!D1408,Return!E1408)</f>
        <v>vr</v>
      </c>
      <c r="F1408" s="2" t="str">
        <f t="shared" si="63"/>
        <v>vr</v>
      </c>
      <c r="G1408" s="2" t="str">
        <f t="shared" si="65"/>
        <v>vr</v>
      </c>
      <c r="H1408" s="2" t="str">
        <f t="shared" si="64"/>
        <v>, vr, vr</v>
      </c>
      <c r="I1408" s="2" t="str">
        <f>IF(Return!C1408=0,REPLACE(INDEX(H:H,ROW()+Return!B1408,),1,2,Return!E1408&amp;"(")&amp;")","")</f>
        <v/>
      </c>
      <c r="M1408" s="1"/>
    </row>
    <row r="1409" spans="1:13" x14ac:dyDescent="0.55000000000000004">
      <c r="A1409" s="1" t="s">
        <v>1866</v>
      </c>
      <c r="B1409" t="s">
        <v>1400</v>
      </c>
      <c r="C1409" s="2">
        <f>Return!C1409</f>
        <v>3</v>
      </c>
      <c r="D1409" s="2">
        <f>COUNTA(Argument!E1409)</f>
        <v>0</v>
      </c>
      <c r="E1409" s="2" t="str">
        <f>IF(C1409,Return!D1409,Return!E1409)</f>
        <v>vr</v>
      </c>
      <c r="F1409" s="2" t="str">
        <f t="shared" si="63"/>
        <v>vr</v>
      </c>
      <c r="G1409" s="2" t="str">
        <f t="shared" si="65"/>
        <v>vr</v>
      </c>
      <c r="H1409" s="2" t="str">
        <f t="shared" si="64"/>
        <v>, vr, vr, vr</v>
      </c>
      <c r="I1409" s="2" t="str">
        <f>IF(Return!C1409=0,REPLACE(INDEX(H:H,ROW()+Return!B1409,),1,2,Return!E1409&amp;"(")&amp;")","")</f>
        <v/>
      </c>
      <c r="M1409" s="1"/>
    </row>
    <row r="1410" spans="1:13" x14ac:dyDescent="0.55000000000000004">
      <c r="A1410" s="1" t="s">
        <v>1866</v>
      </c>
      <c r="B1410" t="s">
        <v>1399</v>
      </c>
      <c r="C1410" s="2">
        <f>Return!C1410</f>
        <v>4</v>
      </c>
      <c r="D1410" s="2">
        <f>COUNTA(Argument!E1410)</f>
        <v>1</v>
      </c>
      <c r="E1410" s="2" t="str">
        <f>IF(C1410,Return!D1410,Return!E1410)</f>
        <v>vr</v>
      </c>
      <c r="F1410" s="2" t="str">
        <f t="shared" si="63"/>
        <v>vr</v>
      </c>
      <c r="G1410" s="2" t="str">
        <f t="shared" si="65"/>
        <v>vr</v>
      </c>
      <c r="H1410" s="2" t="str">
        <f t="shared" si="64"/>
        <v>, vr, vr, vr, vr</v>
      </c>
      <c r="I1410" s="2" t="str">
        <f>IF(Return!C1410=0,REPLACE(INDEX(H:H,ROW()+Return!B1410,),1,2,Return!E1410&amp;"(")&amp;")","")</f>
        <v/>
      </c>
      <c r="M1410" s="1"/>
    </row>
    <row r="1411" spans="1:13" x14ac:dyDescent="0.55000000000000004">
      <c r="A1411" s="1" t="s">
        <v>1866</v>
      </c>
      <c r="B1411" t="s">
        <v>1396</v>
      </c>
      <c r="C1411" s="2">
        <f>Return!C1411</f>
        <v>5</v>
      </c>
      <c r="D1411" s="2">
        <f>COUNTA(Argument!E1411)</f>
        <v>1</v>
      </c>
      <c r="E1411" s="2" t="str">
        <f>IF(C1411,Return!D1411,Return!E1411)</f>
        <v>vr</v>
      </c>
      <c r="F1411" s="2" t="str">
        <f t="shared" ref="F1411:F1474" si="66">IF(C1411,IF(D1411,IF(D1410,"["&amp;E1411&amp;"]",E1411),E1411),"")</f>
        <v>[vr]</v>
      </c>
      <c r="G1411" s="2" t="str">
        <f t="shared" si="65"/>
        <v>[vr]</v>
      </c>
      <c r="H1411" s="2" t="str">
        <f t="shared" ref="H1411:H1474" si="67">IF(C1411&gt;0,H1410&amp;", "&amp;G1411,"")</f>
        <v>, vr, vr, vr, vr, [vr]</v>
      </c>
      <c r="I1411" s="2" t="str">
        <f>IF(Return!C1411=0,REPLACE(INDEX(H:H,ROW()+Return!B1411,),1,2,Return!E1411&amp;"(")&amp;")","")</f>
        <v/>
      </c>
      <c r="M1411" s="1"/>
    </row>
    <row r="1412" spans="1:13" x14ac:dyDescent="0.55000000000000004">
      <c r="A1412" s="1" t="s">
        <v>1867</v>
      </c>
      <c r="C1412" s="2">
        <f>Return!C1412</f>
        <v>0</v>
      </c>
      <c r="D1412" s="2">
        <f>COUNTA(Argument!E1412)</f>
        <v>0</v>
      </c>
      <c r="E1412" s="2" t="str">
        <f>IF(C1412,Return!D1412,Return!E1412)</f>
        <v>v</v>
      </c>
      <c r="F1412" s="2" t="str">
        <f t="shared" si="66"/>
        <v/>
      </c>
      <c r="G1412" s="2" t="str">
        <f t="shared" ref="G1412:G1475" si="68">IF(B1412="...",IF(C1413&gt;0,"["&amp;E1412,"…"),IF(B1411=" ...",IF(C1412&gt;0,E1412&amp;"], …",F1412),F1412))</f>
        <v/>
      </c>
      <c r="H1412" s="2" t="str">
        <f t="shared" si="67"/>
        <v/>
      </c>
      <c r="I1412" s="2" t="str">
        <f>IF(Return!C1412=0,REPLACE(INDEX(H:H,ROW()+Return!B1412,),1,2,Return!E1412&amp;"(")&amp;")","")</f>
        <v>v(vr, vr, vr, vr, [vr])</v>
      </c>
      <c r="M1412" s="1"/>
    </row>
    <row r="1413" spans="1:13" x14ac:dyDescent="0.55000000000000004">
      <c r="A1413" s="1" t="s">
        <v>1867</v>
      </c>
      <c r="B1413" t="s">
        <v>1392</v>
      </c>
      <c r="C1413" s="2">
        <f>Return!C1413</f>
        <v>1</v>
      </c>
      <c r="D1413" s="2">
        <f>COUNTA(Argument!E1413)</f>
        <v>0</v>
      </c>
      <c r="E1413" s="2" t="str">
        <f>IF(C1413,Return!D1413,Return!E1413)</f>
        <v>vr</v>
      </c>
      <c r="F1413" s="2" t="str">
        <f t="shared" si="66"/>
        <v>vr</v>
      </c>
      <c r="G1413" s="2" t="str">
        <f t="shared" si="68"/>
        <v>vr</v>
      </c>
      <c r="H1413" s="2" t="str">
        <f t="shared" si="67"/>
        <v>, vr</v>
      </c>
      <c r="I1413" s="2" t="str">
        <f>IF(Return!C1413=0,REPLACE(INDEX(H:H,ROW()+Return!B1413,),1,2,Return!E1413&amp;"(")&amp;")","")</f>
        <v/>
      </c>
      <c r="M1413" s="1"/>
    </row>
    <row r="1414" spans="1:13" x14ac:dyDescent="0.55000000000000004">
      <c r="A1414" s="1" t="s">
        <v>1867</v>
      </c>
      <c r="B1414" t="s">
        <v>1393</v>
      </c>
      <c r="C1414" s="2">
        <f>Return!C1414</f>
        <v>2</v>
      </c>
      <c r="D1414" s="2">
        <f>COUNTA(Argument!E1414)</f>
        <v>0</v>
      </c>
      <c r="E1414" s="2" t="str">
        <f>IF(C1414,Return!D1414,Return!E1414)</f>
        <v>vr</v>
      </c>
      <c r="F1414" s="2" t="str">
        <f t="shared" si="66"/>
        <v>vr</v>
      </c>
      <c r="G1414" s="2" t="str">
        <f t="shared" si="68"/>
        <v>vr</v>
      </c>
      <c r="H1414" s="2" t="str">
        <f t="shared" si="67"/>
        <v>, vr, vr</v>
      </c>
      <c r="I1414" s="2" t="str">
        <f>IF(Return!C1414=0,REPLACE(INDEX(H:H,ROW()+Return!B1414,),1,2,Return!E1414&amp;"(")&amp;")","")</f>
        <v/>
      </c>
      <c r="M1414" s="1"/>
    </row>
    <row r="1415" spans="1:13" x14ac:dyDescent="0.55000000000000004">
      <c r="A1415" s="1" t="s">
        <v>1867</v>
      </c>
      <c r="B1415" t="s">
        <v>1397</v>
      </c>
      <c r="C1415" s="2">
        <f>Return!C1415</f>
        <v>3</v>
      </c>
      <c r="D1415" s="2">
        <f>COUNTA(Argument!E1415)</f>
        <v>0</v>
      </c>
      <c r="E1415" s="2" t="str">
        <f>IF(C1415,Return!D1415,Return!E1415)</f>
        <v>vr</v>
      </c>
      <c r="F1415" s="2" t="str">
        <f t="shared" si="66"/>
        <v>vr</v>
      </c>
      <c r="G1415" s="2" t="str">
        <f t="shared" si="68"/>
        <v>vr</v>
      </c>
      <c r="H1415" s="2" t="str">
        <f t="shared" si="67"/>
        <v>, vr, vr, vr</v>
      </c>
      <c r="I1415" s="2" t="str">
        <f>IF(Return!C1415=0,REPLACE(INDEX(H:H,ROW()+Return!B1415,),1,2,Return!E1415&amp;"(")&amp;")","")</f>
        <v/>
      </c>
      <c r="M1415" s="1"/>
    </row>
    <row r="1416" spans="1:13" x14ac:dyDescent="0.55000000000000004">
      <c r="A1416" s="1" t="s">
        <v>1867</v>
      </c>
      <c r="B1416" t="s">
        <v>1399</v>
      </c>
      <c r="C1416" s="2">
        <f>Return!C1416</f>
        <v>4</v>
      </c>
      <c r="D1416" s="2">
        <f>COUNTA(Argument!E1416)</f>
        <v>1</v>
      </c>
      <c r="E1416" s="2" t="str">
        <f>IF(C1416,Return!D1416,Return!E1416)</f>
        <v>vr</v>
      </c>
      <c r="F1416" s="2" t="str">
        <f t="shared" si="66"/>
        <v>vr</v>
      </c>
      <c r="G1416" s="2" t="str">
        <f t="shared" si="68"/>
        <v>vr</v>
      </c>
      <c r="H1416" s="2" t="str">
        <f t="shared" si="67"/>
        <v>, vr, vr, vr, vr</v>
      </c>
      <c r="I1416" s="2" t="str">
        <f>IF(Return!C1416=0,REPLACE(INDEX(H:H,ROW()+Return!B1416,),1,2,Return!E1416&amp;"(")&amp;")","")</f>
        <v/>
      </c>
      <c r="M1416" s="1"/>
    </row>
    <row r="1417" spans="1:13" x14ac:dyDescent="0.55000000000000004">
      <c r="A1417" s="1" t="s">
        <v>1867</v>
      </c>
      <c r="B1417" t="s">
        <v>1396</v>
      </c>
      <c r="C1417" s="2">
        <f>Return!C1417</f>
        <v>5</v>
      </c>
      <c r="D1417" s="2">
        <f>COUNTA(Argument!E1417)</f>
        <v>1</v>
      </c>
      <c r="E1417" s="2" t="str">
        <f>IF(C1417,Return!D1417,Return!E1417)</f>
        <v>vr</v>
      </c>
      <c r="F1417" s="2" t="str">
        <f t="shared" si="66"/>
        <v>[vr]</v>
      </c>
      <c r="G1417" s="2" t="str">
        <f t="shared" si="68"/>
        <v>[vr]</v>
      </c>
      <c r="H1417" s="2" t="str">
        <f t="shared" si="67"/>
        <v>, vr, vr, vr, vr, [vr]</v>
      </c>
      <c r="I1417" s="2" t="str">
        <f>IF(Return!C1417=0,REPLACE(INDEX(H:H,ROW()+Return!B1417,),1,2,Return!E1417&amp;"(")&amp;")","")</f>
        <v/>
      </c>
      <c r="M1417" s="1"/>
    </row>
    <row r="1418" spans="1:13" x14ac:dyDescent="0.55000000000000004">
      <c r="A1418" s="1" t="s">
        <v>1868</v>
      </c>
      <c r="C1418" s="2">
        <f>Return!C1418</f>
        <v>0</v>
      </c>
      <c r="D1418" s="2">
        <f>COUNTA(Argument!E1418)</f>
        <v>0</v>
      </c>
      <c r="E1418" s="2" t="str">
        <f>IF(C1418,Return!D1418,Return!E1418)</f>
        <v>v</v>
      </c>
      <c r="F1418" s="2" t="str">
        <f t="shared" si="66"/>
        <v/>
      </c>
      <c r="G1418" s="2" t="str">
        <f t="shared" si="68"/>
        <v/>
      </c>
      <c r="H1418" s="2" t="str">
        <f t="shared" si="67"/>
        <v/>
      </c>
      <c r="I1418" s="2" t="str">
        <f>IF(Return!C1418=0,REPLACE(INDEX(H:H,ROW()+Return!B1418,),1,2,Return!E1418&amp;"(")&amp;")","")</f>
        <v>v(vr, vr, vr)</v>
      </c>
      <c r="M1418" s="1"/>
    </row>
    <row r="1419" spans="1:13" x14ac:dyDescent="0.55000000000000004">
      <c r="A1419" s="1" t="s">
        <v>1868</v>
      </c>
      <c r="B1419" t="s">
        <v>1392</v>
      </c>
      <c r="C1419" s="2">
        <f>Return!C1419</f>
        <v>1</v>
      </c>
      <c r="D1419" s="2">
        <f>COUNTA(Argument!E1419)</f>
        <v>0</v>
      </c>
      <c r="E1419" s="2" t="str">
        <f>IF(C1419,Return!D1419,Return!E1419)</f>
        <v>vr</v>
      </c>
      <c r="F1419" s="2" t="str">
        <f t="shared" si="66"/>
        <v>vr</v>
      </c>
      <c r="G1419" s="2" t="str">
        <f t="shared" si="68"/>
        <v>vr</v>
      </c>
      <c r="H1419" s="2" t="str">
        <f t="shared" si="67"/>
        <v>, vr</v>
      </c>
      <c r="I1419" s="2" t="str">
        <f>IF(Return!C1419=0,REPLACE(INDEX(H:H,ROW()+Return!B1419,),1,2,Return!E1419&amp;"(")&amp;")","")</f>
        <v/>
      </c>
      <c r="M1419" s="1"/>
    </row>
    <row r="1420" spans="1:13" x14ac:dyDescent="0.55000000000000004">
      <c r="A1420" s="1" t="s">
        <v>1868</v>
      </c>
      <c r="B1420" t="s">
        <v>1393</v>
      </c>
      <c r="C1420" s="2">
        <f>Return!C1420</f>
        <v>2</v>
      </c>
      <c r="D1420" s="2">
        <f>COUNTA(Argument!E1420)</f>
        <v>0</v>
      </c>
      <c r="E1420" s="2" t="str">
        <f>IF(C1420,Return!D1420,Return!E1420)</f>
        <v>vr</v>
      </c>
      <c r="F1420" s="2" t="str">
        <f t="shared" si="66"/>
        <v>vr</v>
      </c>
      <c r="G1420" s="2" t="str">
        <f t="shared" si="68"/>
        <v>vr</v>
      </c>
      <c r="H1420" s="2" t="str">
        <f t="shared" si="67"/>
        <v>, vr, vr</v>
      </c>
      <c r="I1420" s="2" t="str">
        <f>IF(Return!C1420=0,REPLACE(INDEX(H:H,ROW()+Return!B1420,),1,2,Return!E1420&amp;"(")&amp;")","")</f>
        <v/>
      </c>
      <c r="M1420" s="1"/>
    </row>
    <row r="1421" spans="1:13" x14ac:dyDescent="0.55000000000000004">
      <c r="A1421" s="1" t="s">
        <v>1868</v>
      </c>
      <c r="B1421" t="s">
        <v>1400</v>
      </c>
      <c r="C1421" s="2">
        <f>Return!C1421</f>
        <v>3</v>
      </c>
      <c r="D1421" s="2">
        <f>COUNTA(Argument!E1421)</f>
        <v>1</v>
      </c>
      <c r="E1421" s="2" t="str">
        <f>IF(C1421,Return!D1421,Return!E1421)</f>
        <v>vr</v>
      </c>
      <c r="F1421" s="2" t="str">
        <f t="shared" si="66"/>
        <v>vr</v>
      </c>
      <c r="G1421" s="2" t="str">
        <f t="shared" si="68"/>
        <v>vr</v>
      </c>
      <c r="H1421" s="2" t="str">
        <f t="shared" si="67"/>
        <v>, vr, vr, vr</v>
      </c>
      <c r="I1421" s="2" t="str">
        <f>IF(Return!C1421=0,REPLACE(INDEX(H:H,ROW()+Return!B1421,),1,2,Return!E1421&amp;"(")&amp;")","")</f>
        <v/>
      </c>
      <c r="M1421" s="1"/>
    </row>
    <row r="1422" spans="1:13" x14ac:dyDescent="0.55000000000000004">
      <c r="A1422" s="1" t="s">
        <v>1869</v>
      </c>
      <c r="C1422" s="2">
        <f>Return!C1422</f>
        <v>0</v>
      </c>
      <c r="D1422" s="2">
        <f>COUNTA(Argument!E1422)</f>
        <v>0</v>
      </c>
      <c r="E1422" s="2" t="str">
        <f>IF(C1422,Return!D1422,Return!E1422)</f>
        <v>v</v>
      </c>
      <c r="F1422" s="2" t="str">
        <f t="shared" si="66"/>
        <v/>
      </c>
      <c r="G1422" s="2" t="str">
        <f t="shared" si="68"/>
        <v/>
      </c>
      <c r="H1422" s="2" t="str">
        <f t="shared" si="67"/>
        <v/>
      </c>
      <c r="I1422" s="2" t="str">
        <f>IF(Return!C1422=0,REPLACE(INDEX(H:H,ROW()+Return!B1422,),1,2,Return!E1422&amp;"(")&amp;")","")</f>
        <v>v(vr, vr, vr)</v>
      </c>
      <c r="M1422" s="1"/>
    </row>
    <row r="1423" spans="1:13" x14ac:dyDescent="0.55000000000000004">
      <c r="A1423" s="1" t="s">
        <v>1869</v>
      </c>
      <c r="B1423" t="s">
        <v>1392</v>
      </c>
      <c r="C1423" s="2">
        <f>Return!C1423</f>
        <v>1</v>
      </c>
      <c r="D1423" s="2">
        <f>COUNTA(Argument!E1423)</f>
        <v>0</v>
      </c>
      <c r="E1423" s="2" t="str">
        <f>IF(C1423,Return!D1423,Return!E1423)</f>
        <v>vr</v>
      </c>
      <c r="F1423" s="2" t="str">
        <f t="shared" si="66"/>
        <v>vr</v>
      </c>
      <c r="G1423" s="2" t="str">
        <f t="shared" si="68"/>
        <v>vr</v>
      </c>
      <c r="H1423" s="2" t="str">
        <f t="shared" si="67"/>
        <v>, vr</v>
      </c>
      <c r="I1423" s="2" t="str">
        <f>IF(Return!C1423=0,REPLACE(INDEX(H:H,ROW()+Return!B1423,),1,2,Return!E1423&amp;"(")&amp;")","")</f>
        <v/>
      </c>
      <c r="M1423" s="1"/>
    </row>
    <row r="1424" spans="1:13" x14ac:dyDescent="0.55000000000000004">
      <c r="A1424" s="1" t="s">
        <v>1869</v>
      </c>
      <c r="B1424" t="s">
        <v>1393</v>
      </c>
      <c r="C1424" s="2">
        <f>Return!C1424</f>
        <v>2</v>
      </c>
      <c r="D1424" s="2">
        <f>COUNTA(Argument!E1424)</f>
        <v>0</v>
      </c>
      <c r="E1424" s="2" t="str">
        <f>IF(C1424,Return!D1424,Return!E1424)</f>
        <v>vr</v>
      </c>
      <c r="F1424" s="2" t="str">
        <f t="shared" si="66"/>
        <v>vr</v>
      </c>
      <c r="G1424" s="2" t="str">
        <f t="shared" si="68"/>
        <v>vr</v>
      </c>
      <c r="H1424" s="2" t="str">
        <f t="shared" si="67"/>
        <v>, vr, vr</v>
      </c>
      <c r="I1424" s="2" t="str">
        <f>IF(Return!C1424=0,REPLACE(INDEX(H:H,ROW()+Return!B1424,),1,2,Return!E1424&amp;"(")&amp;")","")</f>
        <v/>
      </c>
      <c r="M1424" s="1"/>
    </row>
    <row r="1425" spans="1:13" x14ac:dyDescent="0.55000000000000004">
      <c r="A1425" s="1" t="s">
        <v>1869</v>
      </c>
      <c r="B1425" t="s">
        <v>1400</v>
      </c>
      <c r="C1425" s="2">
        <f>Return!C1425</f>
        <v>3</v>
      </c>
      <c r="D1425" s="2">
        <f>COUNTA(Argument!E1425)</f>
        <v>1</v>
      </c>
      <c r="E1425" s="2" t="str">
        <f>IF(C1425,Return!D1425,Return!E1425)</f>
        <v>vr</v>
      </c>
      <c r="F1425" s="2" t="str">
        <f t="shared" si="66"/>
        <v>vr</v>
      </c>
      <c r="G1425" s="2" t="str">
        <f t="shared" si="68"/>
        <v>vr</v>
      </c>
      <c r="H1425" s="2" t="str">
        <f t="shared" si="67"/>
        <v>, vr, vr, vr</v>
      </c>
      <c r="I1425" s="2" t="str">
        <f>IF(Return!C1425=0,REPLACE(INDEX(H:H,ROW()+Return!B1425,),1,2,Return!E1425&amp;"(")&amp;")","")</f>
        <v/>
      </c>
      <c r="M1425" s="1"/>
    </row>
    <row r="1426" spans="1:13" x14ac:dyDescent="0.55000000000000004">
      <c r="A1426" s="1" t="s">
        <v>1870</v>
      </c>
      <c r="C1426" s="2">
        <f>Return!C1426</f>
        <v>0</v>
      </c>
      <c r="D1426" s="2">
        <f>COUNTA(Argument!E1426)</f>
        <v>0</v>
      </c>
      <c r="E1426" s="2" t="str">
        <f>IF(C1426,Return!D1426,Return!E1426)</f>
        <v>v</v>
      </c>
      <c r="F1426" s="2" t="str">
        <f t="shared" si="66"/>
        <v/>
      </c>
      <c r="G1426" s="2" t="str">
        <f t="shared" si="68"/>
        <v/>
      </c>
      <c r="H1426" s="2" t="str">
        <f t="shared" si="67"/>
        <v/>
      </c>
      <c r="I1426" s="2" t="str">
        <f>IF(Return!C1426=0,REPLACE(INDEX(H:H,ROW()+Return!B1426,),1,2,Return!E1426&amp;"(")&amp;")","")</f>
        <v>v(vr, vr, vr)</v>
      </c>
      <c r="M1426" s="1"/>
    </row>
    <row r="1427" spans="1:13" x14ac:dyDescent="0.55000000000000004">
      <c r="A1427" s="1" t="s">
        <v>1870</v>
      </c>
      <c r="B1427" t="s">
        <v>1392</v>
      </c>
      <c r="C1427" s="2">
        <f>Return!C1427</f>
        <v>1</v>
      </c>
      <c r="D1427" s="2">
        <f>COUNTA(Argument!E1427)</f>
        <v>0</v>
      </c>
      <c r="E1427" s="2" t="str">
        <f>IF(C1427,Return!D1427,Return!E1427)</f>
        <v>vr</v>
      </c>
      <c r="F1427" s="2" t="str">
        <f t="shared" si="66"/>
        <v>vr</v>
      </c>
      <c r="G1427" s="2" t="str">
        <f t="shared" si="68"/>
        <v>vr</v>
      </c>
      <c r="H1427" s="2" t="str">
        <f t="shared" si="67"/>
        <v>, vr</v>
      </c>
      <c r="I1427" s="2" t="str">
        <f>IF(Return!C1427=0,REPLACE(INDEX(H:H,ROW()+Return!B1427,),1,2,Return!E1427&amp;"(")&amp;")","")</f>
        <v/>
      </c>
      <c r="M1427" s="1"/>
    </row>
    <row r="1428" spans="1:13" x14ac:dyDescent="0.55000000000000004">
      <c r="A1428" s="1" t="s">
        <v>1870</v>
      </c>
      <c r="B1428" t="s">
        <v>1393</v>
      </c>
      <c r="C1428" s="2">
        <f>Return!C1428</f>
        <v>2</v>
      </c>
      <c r="D1428" s="2">
        <f>COUNTA(Argument!E1428)</f>
        <v>0</v>
      </c>
      <c r="E1428" s="2" t="str">
        <f>IF(C1428,Return!D1428,Return!E1428)</f>
        <v>vr</v>
      </c>
      <c r="F1428" s="2" t="str">
        <f t="shared" si="66"/>
        <v>vr</v>
      </c>
      <c r="G1428" s="2" t="str">
        <f t="shared" si="68"/>
        <v>vr</v>
      </c>
      <c r="H1428" s="2" t="str">
        <f t="shared" si="67"/>
        <v>, vr, vr</v>
      </c>
      <c r="I1428" s="2" t="str">
        <f>IF(Return!C1428=0,REPLACE(INDEX(H:H,ROW()+Return!B1428,),1,2,Return!E1428&amp;"(")&amp;")","")</f>
        <v/>
      </c>
      <c r="M1428" s="1"/>
    </row>
    <row r="1429" spans="1:13" x14ac:dyDescent="0.55000000000000004">
      <c r="A1429" s="1" t="s">
        <v>1870</v>
      </c>
      <c r="B1429" t="s">
        <v>1397</v>
      </c>
      <c r="C1429" s="2">
        <f>Return!C1429</f>
        <v>3</v>
      </c>
      <c r="D1429" s="2">
        <f>COUNTA(Argument!E1429)</f>
        <v>1</v>
      </c>
      <c r="E1429" s="2" t="str">
        <f>IF(C1429,Return!D1429,Return!E1429)</f>
        <v>vr</v>
      </c>
      <c r="F1429" s="2" t="str">
        <f t="shared" si="66"/>
        <v>vr</v>
      </c>
      <c r="G1429" s="2" t="str">
        <f t="shared" si="68"/>
        <v>vr</v>
      </c>
      <c r="H1429" s="2" t="str">
        <f t="shared" si="67"/>
        <v>, vr, vr, vr</v>
      </c>
      <c r="I1429" s="2" t="str">
        <f>IF(Return!C1429=0,REPLACE(INDEX(H:H,ROW()+Return!B1429,),1,2,Return!E1429&amp;"(")&amp;")","")</f>
        <v/>
      </c>
      <c r="M1429" s="1"/>
    </row>
    <row r="1430" spans="1:13" x14ac:dyDescent="0.55000000000000004">
      <c r="A1430" s="1" t="s">
        <v>1871</v>
      </c>
      <c r="C1430" s="2">
        <f>Return!C1430</f>
        <v>0</v>
      </c>
      <c r="D1430" s="2">
        <f>COUNTA(Argument!E1430)</f>
        <v>0</v>
      </c>
      <c r="E1430" s="2" t="str">
        <f>IF(C1430,Return!D1430,Return!E1430)</f>
        <v>v</v>
      </c>
      <c r="F1430" s="2" t="str">
        <f t="shared" si="66"/>
        <v/>
      </c>
      <c r="G1430" s="2" t="str">
        <f t="shared" si="68"/>
        <v/>
      </c>
      <c r="H1430" s="2" t="str">
        <f t="shared" si="67"/>
        <v/>
      </c>
      <c r="I1430" s="2" t="str">
        <f>IF(Return!C1430=0,REPLACE(INDEX(H:H,ROW()+Return!B1430,),1,2,Return!E1430&amp;"(")&amp;")","")</f>
        <v>v(vr, vr, vr, vr, vr, vr, [vr])</v>
      </c>
      <c r="M1430" s="1"/>
    </row>
    <row r="1431" spans="1:13" x14ac:dyDescent="0.55000000000000004">
      <c r="A1431" s="1" t="s">
        <v>1871</v>
      </c>
      <c r="B1431" t="s">
        <v>1392</v>
      </c>
      <c r="C1431" s="2">
        <f>Return!C1431</f>
        <v>1</v>
      </c>
      <c r="D1431" s="2">
        <f>COUNTA(Argument!E1431)</f>
        <v>0</v>
      </c>
      <c r="E1431" s="2" t="str">
        <f>IF(C1431,Return!D1431,Return!E1431)</f>
        <v>vr</v>
      </c>
      <c r="F1431" s="2" t="str">
        <f t="shared" si="66"/>
        <v>vr</v>
      </c>
      <c r="G1431" s="2" t="str">
        <f t="shared" si="68"/>
        <v>vr</v>
      </c>
      <c r="H1431" s="2" t="str">
        <f t="shared" si="67"/>
        <v>, vr</v>
      </c>
      <c r="I1431" s="2" t="str">
        <f>IF(Return!C1431=0,REPLACE(INDEX(H:H,ROW()+Return!B1431,),1,2,Return!E1431&amp;"(")&amp;")","")</f>
        <v/>
      </c>
      <c r="M1431" s="1"/>
    </row>
    <row r="1432" spans="1:13" x14ac:dyDescent="0.55000000000000004">
      <c r="A1432" s="1" t="s">
        <v>1871</v>
      </c>
      <c r="B1432" t="s">
        <v>1393</v>
      </c>
      <c r="C1432" s="2">
        <f>Return!C1432</f>
        <v>2</v>
      </c>
      <c r="D1432" s="2">
        <f>COUNTA(Argument!E1432)</f>
        <v>0</v>
      </c>
      <c r="E1432" s="2" t="str">
        <f>IF(C1432,Return!D1432,Return!E1432)</f>
        <v>vr</v>
      </c>
      <c r="F1432" s="2" t="str">
        <f t="shared" si="66"/>
        <v>vr</v>
      </c>
      <c r="G1432" s="2" t="str">
        <f t="shared" si="68"/>
        <v>vr</v>
      </c>
      <c r="H1432" s="2" t="str">
        <f t="shared" si="67"/>
        <v>, vr, vr</v>
      </c>
      <c r="I1432" s="2" t="str">
        <f>IF(Return!C1432=0,REPLACE(INDEX(H:H,ROW()+Return!B1432,),1,2,Return!E1432&amp;"(")&amp;")","")</f>
        <v/>
      </c>
      <c r="M1432" s="1"/>
    </row>
    <row r="1433" spans="1:13" x14ac:dyDescent="0.55000000000000004">
      <c r="A1433" s="1" t="s">
        <v>1871</v>
      </c>
      <c r="B1433" t="s">
        <v>1222</v>
      </c>
      <c r="C1433" s="2">
        <f>Return!C1433</f>
        <v>3</v>
      </c>
      <c r="D1433" s="2">
        <f>COUNTA(Argument!E1433)</f>
        <v>0</v>
      </c>
      <c r="E1433" s="2" t="str">
        <f>IF(C1433,Return!D1433,Return!E1433)</f>
        <v>vr</v>
      </c>
      <c r="F1433" s="2" t="str">
        <f t="shared" si="66"/>
        <v>vr</v>
      </c>
      <c r="G1433" s="2" t="str">
        <f t="shared" si="68"/>
        <v>vr</v>
      </c>
      <c r="H1433" s="2" t="str">
        <f t="shared" si="67"/>
        <v>, vr, vr, vr</v>
      </c>
      <c r="I1433" s="2" t="str">
        <f>IF(Return!C1433=0,REPLACE(INDEX(H:H,ROW()+Return!B1433,),1,2,Return!E1433&amp;"(")&amp;")","")</f>
        <v/>
      </c>
      <c r="M1433" s="1"/>
    </row>
    <row r="1434" spans="1:13" x14ac:dyDescent="0.55000000000000004">
      <c r="A1434" s="1" t="s">
        <v>1871</v>
      </c>
      <c r="B1434" t="s">
        <v>1395</v>
      </c>
      <c r="C1434" s="2">
        <f>Return!C1434</f>
        <v>4</v>
      </c>
      <c r="D1434" s="2">
        <f>COUNTA(Argument!E1434)</f>
        <v>0</v>
      </c>
      <c r="E1434" s="2" t="str">
        <f>IF(C1434,Return!D1434,Return!E1434)</f>
        <v>vr</v>
      </c>
      <c r="F1434" s="2" t="str">
        <f t="shared" si="66"/>
        <v>vr</v>
      </c>
      <c r="G1434" s="2" t="str">
        <f t="shared" si="68"/>
        <v>vr</v>
      </c>
      <c r="H1434" s="2" t="str">
        <f t="shared" si="67"/>
        <v>, vr, vr, vr, vr</v>
      </c>
      <c r="I1434" s="2" t="str">
        <f>IF(Return!C1434=0,REPLACE(INDEX(H:H,ROW()+Return!B1434,),1,2,Return!E1434&amp;"(")&amp;")","")</f>
        <v/>
      </c>
      <c r="M1434" s="1"/>
    </row>
    <row r="1435" spans="1:13" x14ac:dyDescent="0.55000000000000004">
      <c r="A1435" s="1" t="s">
        <v>1871</v>
      </c>
      <c r="B1435" t="s">
        <v>1399</v>
      </c>
      <c r="C1435" s="2">
        <f>Return!C1435</f>
        <v>5</v>
      </c>
      <c r="D1435" s="2">
        <f>COUNTA(Argument!E1435)</f>
        <v>0</v>
      </c>
      <c r="E1435" s="2" t="str">
        <f>IF(C1435,Return!D1435,Return!E1435)</f>
        <v>vr</v>
      </c>
      <c r="F1435" s="2" t="str">
        <f t="shared" si="66"/>
        <v>vr</v>
      </c>
      <c r="G1435" s="2" t="str">
        <f t="shared" si="68"/>
        <v>vr</v>
      </c>
      <c r="H1435" s="2" t="str">
        <f t="shared" si="67"/>
        <v>, vr, vr, vr, vr, vr</v>
      </c>
      <c r="I1435" s="2" t="str">
        <f>IF(Return!C1435=0,REPLACE(INDEX(H:H,ROW()+Return!B1435,),1,2,Return!E1435&amp;"(")&amp;")","")</f>
        <v/>
      </c>
      <c r="M1435" s="1"/>
    </row>
    <row r="1436" spans="1:13" x14ac:dyDescent="0.55000000000000004">
      <c r="A1436" s="1" t="s">
        <v>1871</v>
      </c>
      <c r="B1436" t="s">
        <v>1401</v>
      </c>
      <c r="C1436" s="2">
        <f>Return!C1436</f>
        <v>6</v>
      </c>
      <c r="D1436" s="2">
        <f>COUNTA(Argument!E1436)</f>
        <v>1</v>
      </c>
      <c r="E1436" s="2" t="str">
        <f>IF(C1436,Return!D1436,Return!E1436)</f>
        <v>vr</v>
      </c>
      <c r="F1436" s="2" t="str">
        <f t="shared" si="66"/>
        <v>vr</v>
      </c>
      <c r="G1436" s="2" t="str">
        <f t="shared" si="68"/>
        <v>vr</v>
      </c>
      <c r="H1436" s="2" t="str">
        <f t="shared" si="67"/>
        <v>, vr, vr, vr, vr, vr, vr</v>
      </c>
      <c r="I1436" s="2" t="str">
        <f>IF(Return!C1436=0,REPLACE(INDEX(H:H,ROW()+Return!B1436,),1,2,Return!E1436&amp;"(")&amp;")","")</f>
        <v/>
      </c>
      <c r="M1436" s="1"/>
    </row>
    <row r="1437" spans="1:13" x14ac:dyDescent="0.55000000000000004">
      <c r="A1437" s="1" t="s">
        <v>1871</v>
      </c>
      <c r="B1437" t="s">
        <v>1396</v>
      </c>
      <c r="C1437" s="2">
        <f>Return!C1437</f>
        <v>7</v>
      </c>
      <c r="D1437" s="2">
        <f>COUNTA(Argument!E1437)</f>
        <v>1</v>
      </c>
      <c r="E1437" s="2" t="str">
        <f>IF(C1437,Return!D1437,Return!E1437)</f>
        <v>vr</v>
      </c>
      <c r="F1437" s="2" t="str">
        <f t="shared" si="66"/>
        <v>[vr]</v>
      </c>
      <c r="G1437" s="2" t="str">
        <f t="shared" si="68"/>
        <v>[vr]</v>
      </c>
      <c r="H1437" s="2" t="str">
        <f t="shared" si="67"/>
        <v>, vr, vr, vr, vr, vr, vr, [vr]</v>
      </c>
      <c r="I1437" s="2" t="str">
        <f>IF(Return!C1437=0,REPLACE(INDEX(H:H,ROW()+Return!B1437,),1,2,Return!E1437&amp;"(")&amp;")","")</f>
        <v/>
      </c>
      <c r="M1437" s="1"/>
    </row>
    <row r="1438" spans="1:13" x14ac:dyDescent="0.55000000000000004">
      <c r="A1438" s="1" t="s">
        <v>1872</v>
      </c>
      <c r="C1438" s="2">
        <f>Return!C1438</f>
        <v>0</v>
      </c>
      <c r="D1438" s="2">
        <f>COUNTA(Argument!E1438)</f>
        <v>0</v>
      </c>
      <c r="E1438" s="2" t="str">
        <f>IF(C1438,Return!D1438,Return!E1438)</f>
        <v>v</v>
      </c>
      <c r="F1438" s="2" t="str">
        <f t="shared" si="66"/>
        <v/>
      </c>
      <c r="G1438" s="2" t="str">
        <f t="shared" si="68"/>
        <v/>
      </c>
      <c r="H1438" s="2" t="str">
        <f t="shared" si="67"/>
        <v/>
      </c>
      <c r="I1438" s="2" t="str">
        <f>IF(Return!C1438=0,REPLACE(INDEX(H:H,ROW()+Return!B1438,),1,2,Return!E1438&amp;"(")&amp;")","")</f>
        <v>v(vr, vr, vr, vr, vr, vr, [vr])</v>
      </c>
      <c r="M1438" s="1"/>
    </row>
    <row r="1439" spans="1:13" x14ac:dyDescent="0.55000000000000004">
      <c r="A1439" s="1" t="s">
        <v>1872</v>
      </c>
      <c r="B1439" t="s">
        <v>1392</v>
      </c>
      <c r="C1439" s="2">
        <f>Return!C1439</f>
        <v>1</v>
      </c>
      <c r="D1439" s="2">
        <f>COUNTA(Argument!E1439)</f>
        <v>0</v>
      </c>
      <c r="E1439" s="2" t="str">
        <f>IF(C1439,Return!D1439,Return!E1439)</f>
        <v>vr</v>
      </c>
      <c r="F1439" s="2" t="str">
        <f t="shared" si="66"/>
        <v>vr</v>
      </c>
      <c r="G1439" s="2" t="str">
        <f t="shared" si="68"/>
        <v>vr</v>
      </c>
      <c r="H1439" s="2" t="str">
        <f t="shared" si="67"/>
        <v>, vr</v>
      </c>
      <c r="I1439" s="2" t="str">
        <f>IF(Return!C1439=0,REPLACE(INDEX(H:H,ROW()+Return!B1439,),1,2,Return!E1439&amp;"(")&amp;")","")</f>
        <v/>
      </c>
      <c r="M1439" s="1"/>
    </row>
    <row r="1440" spans="1:13" x14ac:dyDescent="0.55000000000000004">
      <c r="A1440" s="1" t="s">
        <v>1872</v>
      </c>
      <c r="B1440" t="s">
        <v>1393</v>
      </c>
      <c r="C1440" s="2">
        <f>Return!C1440</f>
        <v>2</v>
      </c>
      <c r="D1440" s="2">
        <f>COUNTA(Argument!E1440)</f>
        <v>0</v>
      </c>
      <c r="E1440" s="2" t="str">
        <f>IF(C1440,Return!D1440,Return!E1440)</f>
        <v>vr</v>
      </c>
      <c r="F1440" s="2" t="str">
        <f t="shared" si="66"/>
        <v>vr</v>
      </c>
      <c r="G1440" s="2" t="str">
        <f t="shared" si="68"/>
        <v>vr</v>
      </c>
      <c r="H1440" s="2" t="str">
        <f t="shared" si="67"/>
        <v>, vr, vr</v>
      </c>
      <c r="I1440" s="2" t="str">
        <f>IF(Return!C1440=0,REPLACE(INDEX(H:H,ROW()+Return!B1440,),1,2,Return!E1440&amp;"(")&amp;")","")</f>
        <v/>
      </c>
      <c r="M1440" s="1"/>
    </row>
    <row r="1441" spans="1:13" x14ac:dyDescent="0.55000000000000004">
      <c r="A1441" s="1" t="s">
        <v>1872</v>
      </c>
      <c r="B1441" t="s">
        <v>1222</v>
      </c>
      <c r="C1441" s="2">
        <f>Return!C1441</f>
        <v>3</v>
      </c>
      <c r="D1441" s="2">
        <f>COUNTA(Argument!E1441)</f>
        <v>0</v>
      </c>
      <c r="E1441" s="2" t="str">
        <f>IF(C1441,Return!D1441,Return!E1441)</f>
        <v>vr</v>
      </c>
      <c r="F1441" s="2" t="str">
        <f t="shared" si="66"/>
        <v>vr</v>
      </c>
      <c r="G1441" s="2" t="str">
        <f t="shared" si="68"/>
        <v>vr</v>
      </c>
      <c r="H1441" s="2" t="str">
        <f t="shared" si="67"/>
        <v>, vr, vr, vr</v>
      </c>
      <c r="I1441" s="2" t="str">
        <f>IF(Return!C1441=0,REPLACE(INDEX(H:H,ROW()+Return!B1441,),1,2,Return!E1441&amp;"(")&amp;")","")</f>
        <v/>
      </c>
      <c r="M1441" s="1"/>
    </row>
    <row r="1442" spans="1:13" x14ac:dyDescent="0.55000000000000004">
      <c r="A1442" s="1" t="s">
        <v>1872</v>
      </c>
      <c r="B1442" t="s">
        <v>1397</v>
      </c>
      <c r="C1442" s="2">
        <f>Return!C1442</f>
        <v>4</v>
      </c>
      <c r="D1442" s="2">
        <f>COUNTA(Argument!E1442)</f>
        <v>0</v>
      </c>
      <c r="E1442" s="2" t="str">
        <f>IF(C1442,Return!D1442,Return!E1442)</f>
        <v>vr</v>
      </c>
      <c r="F1442" s="2" t="str">
        <f t="shared" si="66"/>
        <v>vr</v>
      </c>
      <c r="G1442" s="2" t="str">
        <f t="shared" si="68"/>
        <v>vr</v>
      </c>
      <c r="H1442" s="2" t="str">
        <f t="shared" si="67"/>
        <v>, vr, vr, vr, vr</v>
      </c>
      <c r="I1442" s="2" t="str">
        <f>IF(Return!C1442=0,REPLACE(INDEX(H:H,ROW()+Return!B1442,),1,2,Return!E1442&amp;"(")&amp;")","")</f>
        <v/>
      </c>
      <c r="M1442" s="1"/>
    </row>
    <row r="1443" spans="1:13" x14ac:dyDescent="0.55000000000000004">
      <c r="A1443" s="1" t="s">
        <v>1872</v>
      </c>
      <c r="B1443" t="s">
        <v>1399</v>
      </c>
      <c r="C1443" s="2">
        <f>Return!C1443</f>
        <v>5</v>
      </c>
      <c r="D1443" s="2">
        <f>COUNTA(Argument!E1443)</f>
        <v>0</v>
      </c>
      <c r="E1443" s="2" t="str">
        <f>IF(C1443,Return!D1443,Return!E1443)</f>
        <v>vr</v>
      </c>
      <c r="F1443" s="2" t="str">
        <f t="shared" si="66"/>
        <v>vr</v>
      </c>
      <c r="G1443" s="2" t="str">
        <f t="shared" si="68"/>
        <v>vr</v>
      </c>
      <c r="H1443" s="2" t="str">
        <f t="shared" si="67"/>
        <v>, vr, vr, vr, vr, vr</v>
      </c>
      <c r="I1443" s="2" t="str">
        <f>IF(Return!C1443=0,REPLACE(INDEX(H:H,ROW()+Return!B1443,),1,2,Return!E1443&amp;"(")&amp;")","")</f>
        <v/>
      </c>
      <c r="M1443" s="1"/>
    </row>
    <row r="1444" spans="1:13" x14ac:dyDescent="0.55000000000000004">
      <c r="A1444" s="1" t="s">
        <v>1872</v>
      </c>
      <c r="B1444" t="s">
        <v>1401</v>
      </c>
      <c r="C1444" s="2">
        <f>Return!C1444</f>
        <v>6</v>
      </c>
      <c r="D1444" s="2">
        <f>COUNTA(Argument!E1444)</f>
        <v>1</v>
      </c>
      <c r="E1444" s="2" t="str">
        <f>IF(C1444,Return!D1444,Return!E1444)</f>
        <v>vr</v>
      </c>
      <c r="F1444" s="2" t="str">
        <f t="shared" si="66"/>
        <v>vr</v>
      </c>
      <c r="G1444" s="2" t="str">
        <f t="shared" si="68"/>
        <v>vr</v>
      </c>
      <c r="H1444" s="2" t="str">
        <f t="shared" si="67"/>
        <v>, vr, vr, vr, vr, vr, vr</v>
      </c>
      <c r="I1444" s="2" t="str">
        <f>IF(Return!C1444=0,REPLACE(INDEX(H:H,ROW()+Return!B1444,),1,2,Return!E1444&amp;"(")&amp;")","")</f>
        <v/>
      </c>
      <c r="M1444" s="1"/>
    </row>
    <row r="1445" spans="1:13" x14ac:dyDescent="0.55000000000000004">
      <c r="A1445" s="1" t="s">
        <v>1872</v>
      </c>
      <c r="B1445" t="s">
        <v>1396</v>
      </c>
      <c r="C1445" s="2">
        <f>Return!C1445</f>
        <v>7</v>
      </c>
      <c r="D1445" s="2">
        <f>COUNTA(Argument!E1445)</f>
        <v>1</v>
      </c>
      <c r="E1445" s="2" t="str">
        <f>IF(C1445,Return!D1445,Return!E1445)</f>
        <v>vr</v>
      </c>
      <c r="F1445" s="2" t="str">
        <f t="shared" si="66"/>
        <v>[vr]</v>
      </c>
      <c r="G1445" s="2" t="str">
        <f t="shared" si="68"/>
        <v>[vr]</v>
      </c>
      <c r="H1445" s="2" t="str">
        <f t="shared" si="67"/>
        <v>, vr, vr, vr, vr, vr, vr, [vr]</v>
      </c>
      <c r="I1445" s="2" t="str">
        <f>IF(Return!C1445=0,REPLACE(INDEX(H:H,ROW()+Return!B1445,),1,2,Return!E1445&amp;"(")&amp;")","")</f>
        <v/>
      </c>
      <c r="M1445" s="1"/>
    </row>
    <row r="1446" spans="1:13" x14ac:dyDescent="0.55000000000000004">
      <c r="A1446" s="1" t="s">
        <v>1873</v>
      </c>
      <c r="C1446" s="2">
        <f>Return!C1446</f>
        <v>0</v>
      </c>
      <c r="D1446" s="2">
        <f>COUNTA(Argument!E1446)</f>
        <v>0</v>
      </c>
      <c r="E1446" s="2" t="str">
        <f>IF(C1446,Return!D1446,Return!E1446)</f>
        <v>v</v>
      </c>
      <c r="F1446" s="2" t="str">
        <f t="shared" si="66"/>
        <v/>
      </c>
      <c r="G1446" s="2" t="str">
        <f t="shared" si="68"/>
        <v/>
      </c>
      <c r="H1446" s="2" t="str">
        <f t="shared" si="67"/>
        <v/>
      </c>
      <c r="I1446" s="2" t="str">
        <f>IF(Return!C1446=0,REPLACE(INDEX(H:H,ROW()+Return!B1446,),1,2,Return!E1446&amp;"(")&amp;")","")</f>
        <v>v(vr, vr)</v>
      </c>
      <c r="M1446" s="1"/>
    </row>
    <row r="1447" spans="1:13" x14ac:dyDescent="0.55000000000000004">
      <c r="A1447" s="1" t="s">
        <v>1873</v>
      </c>
      <c r="B1447" t="s">
        <v>1402</v>
      </c>
      <c r="C1447" s="2">
        <f>Return!C1447</f>
        <v>1</v>
      </c>
      <c r="D1447" s="2">
        <f>COUNTA(Argument!E1447)</f>
        <v>0</v>
      </c>
      <c r="E1447" s="2" t="str">
        <f>IF(C1447,Return!D1447,Return!E1447)</f>
        <v>vr</v>
      </c>
      <c r="F1447" s="2" t="str">
        <f t="shared" si="66"/>
        <v>vr</v>
      </c>
      <c r="G1447" s="2" t="str">
        <f t="shared" si="68"/>
        <v>vr</v>
      </c>
      <c r="H1447" s="2" t="str">
        <f t="shared" si="67"/>
        <v>, vr</v>
      </c>
      <c r="I1447" s="2" t="str">
        <f>IF(Return!C1447=0,REPLACE(INDEX(H:H,ROW()+Return!B1447,),1,2,Return!E1447&amp;"(")&amp;")","")</f>
        <v/>
      </c>
      <c r="M1447" s="1"/>
    </row>
    <row r="1448" spans="1:13" x14ac:dyDescent="0.55000000000000004">
      <c r="A1448" s="1" t="s">
        <v>1873</v>
      </c>
      <c r="B1448" t="s">
        <v>1403</v>
      </c>
      <c r="C1448" s="2">
        <f>Return!C1448</f>
        <v>2</v>
      </c>
      <c r="D1448" s="2">
        <f>COUNTA(Argument!E1448)</f>
        <v>1</v>
      </c>
      <c r="E1448" s="2" t="str">
        <f>IF(C1448,Return!D1448,Return!E1448)</f>
        <v>vr</v>
      </c>
      <c r="F1448" s="2" t="str">
        <f t="shared" si="66"/>
        <v>vr</v>
      </c>
      <c r="G1448" s="2" t="str">
        <f t="shared" si="68"/>
        <v>vr</v>
      </c>
      <c r="H1448" s="2" t="str">
        <f t="shared" si="67"/>
        <v>, vr, vr</v>
      </c>
      <c r="I1448" s="2" t="str">
        <f>IF(Return!C1448=0,REPLACE(INDEX(H:H,ROW()+Return!B1448,),1,2,Return!E1448&amp;"(")&amp;")","")</f>
        <v/>
      </c>
      <c r="M1448" s="1"/>
    </row>
    <row r="1449" spans="1:13" x14ac:dyDescent="0.55000000000000004">
      <c r="A1449" s="1" t="s">
        <v>1874</v>
      </c>
      <c r="C1449" s="2">
        <f>Return!C1449</f>
        <v>0</v>
      </c>
      <c r="D1449" s="2">
        <f>COUNTA(Argument!E1449)</f>
        <v>0</v>
      </c>
      <c r="E1449" s="2" t="str">
        <f>IF(C1449,Return!D1449,Return!E1449)</f>
        <v>v</v>
      </c>
      <c r="F1449" s="2" t="str">
        <f t="shared" si="66"/>
        <v/>
      </c>
      <c r="G1449" s="2" t="str">
        <f t="shared" si="68"/>
        <v/>
      </c>
      <c r="H1449" s="2" t="str">
        <f t="shared" si="67"/>
        <v/>
      </c>
      <c r="I1449" s="2" t="str">
        <f>IF(Return!C1449=0,REPLACE(INDEX(H:H,ROW()+Return!B1449,),1,2,Return!E1449&amp;"(")&amp;")","")</f>
        <v>v(vr, vr)</v>
      </c>
      <c r="M1449" s="1"/>
    </row>
    <row r="1450" spans="1:13" x14ac:dyDescent="0.55000000000000004">
      <c r="A1450" s="1" t="s">
        <v>1874</v>
      </c>
      <c r="B1450" t="s">
        <v>1404</v>
      </c>
      <c r="C1450" s="2">
        <f>Return!C1450</f>
        <v>1</v>
      </c>
      <c r="D1450" s="2">
        <f>COUNTA(Argument!E1450)</f>
        <v>0</v>
      </c>
      <c r="E1450" s="2" t="str">
        <f>IF(C1450,Return!D1450,Return!E1450)</f>
        <v>vr</v>
      </c>
      <c r="F1450" s="2" t="str">
        <f t="shared" si="66"/>
        <v>vr</v>
      </c>
      <c r="G1450" s="2" t="str">
        <f t="shared" si="68"/>
        <v>vr</v>
      </c>
      <c r="H1450" s="2" t="str">
        <f t="shared" si="67"/>
        <v>, vr</v>
      </c>
      <c r="I1450" s="2" t="str">
        <f>IF(Return!C1450=0,REPLACE(INDEX(H:H,ROW()+Return!B1450,),1,2,Return!E1450&amp;"(")&amp;")","")</f>
        <v/>
      </c>
      <c r="M1450" s="1"/>
    </row>
    <row r="1451" spans="1:13" x14ac:dyDescent="0.55000000000000004">
      <c r="A1451" s="1" t="s">
        <v>1874</v>
      </c>
      <c r="B1451" t="s">
        <v>1403</v>
      </c>
      <c r="C1451" s="2">
        <f>Return!C1451</f>
        <v>2</v>
      </c>
      <c r="D1451" s="2">
        <f>COUNTA(Argument!E1451)</f>
        <v>1</v>
      </c>
      <c r="E1451" s="2" t="str">
        <f>IF(C1451,Return!D1451,Return!E1451)</f>
        <v>vr</v>
      </c>
      <c r="F1451" s="2" t="str">
        <f t="shared" si="66"/>
        <v>vr</v>
      </c>
      <c r="G1451" s="2" t="str">
        <f t="shared" si="68"/>
        <v>vr</v>
      </c>
      <c r="H1451" s="2" t="str">
        <f t="shared" si="67"/>
        <v>, vr, vr</v>
      </c>
      <c r="I1451" s="2" t="str">
        <f>IF(Return!C1451=0,REPLACE(INDEX(H:H,ROW()+Return!B1451,),1,2,Return!E1451&amp;"(")&amp;")","")</f>
        <v/>
      </c>
      <c r="M1451" s="1"/>
    </row>
    <row r="1452" spans="1:13" x14ac:dyDescent="0.55000000000000004">
      <c r="A1452" s="1" t="s">
        <v>1875</v>
      </c>
      <c r="C1452" s="2">
        <f>Return!C1452</f>
        <v>0</v>
      </c>
      <c r="D1452" s="2">
        <f>COUNTA(Argument!E1452)</f>
        <v>0</v>
      </c>
      <c r="E1452" s="2" t="str">
        <f>IF(C1452,Return!D1452,Return!E1452)</f>
        <v>v</v>
      </c>
      <c r="F1452" s="2" t="str">
        <f t="shared" si="66"/>
        <v/>
      </c>
      <c r="G1452" s="2" t="str">
        <f t="shared" si="68"/>
        <v/>
      </c>
      <c r="H1452" s="2" t="str">
        <f t="shared" si="67"/>
        <v/>
      </c>
      <c r="I1452" s="2" t="str">
        <f>IF(Return!C1452=0,REPLACE(INDEX(H:H,ROW()+Return!B1452,),1,2,Return!E1452&amp;"(")&amp;")","")</f>
        <v>v(vr, vr)</v>
      </c>
      <c r="M1452" s="1"/>
    </row>
    <row r="1453" spans="1:13" x14ac:dyDescent="0.55000000000000004">
      <c r="A1453" s="1" t="s">
        <v>1875</v>
      </c>
      <c r="B1453" t="s">
        <v>1405</v>
      </c>
      <c r="C1453" s="2">
        <f>Return!C1453</f>
        <v>1</v>
      </c>
      <c r="D1453" s="2">
        <f>COUNTA(Argument!E1453)</f>
        <v>0</v>
      </c>
      <c r="E1453" s="2" t="str">
        <f>IF(C1453,Return!D1453,Return!E1453)</f>
        <v>vr</v>
      </c>
      <c r="F1453" s="2" t="str">
        <f t="shared" si="66"/>
        <v>vr</v>
      </c>
      <c r="G1453" s="2" t="str">
        <f t="shared" si="68"/>
        <v>vr</v>
      </c>
      <c r="H1453" s="2" t="str">
        <f t="shared" si="67"/>
        <v>, vr</v>
      </c>
      <c r="I1453" s="2" t="str">
        <f>IF(Return!C1453=0,REPLACE(INDEX(H:H,ROW()+Return!B1453,),1,2,Return!E1453&amp;"(")&amp;")","")</f>
        <v/>
      </c>
      <c r="M1453" s="1"/>
    </row>
    <row r="1454" spans="1:13" x14ac:dyDescent="0.55000000000000004">
      <c r="A1454" s="1" t="s">
        <v>1875</v>
      </c>
      <c r="B1454" t="s">
        <v>1406</v>
      </c>
      <c r="C1454" s="2">
        <f>Return!C1454</f>
        <v>2</v>
      </c>
      <c r="D1454" s="2">
        <f>COUNTA(Argument!E1454)</f>
        <v>1</v>
      </c>
      <c r="E1454" s="2" t="str">
        <f>IF(C1454,Return!D1454,Return!E1454)</f>
        <v>vr</v>
      </c>
      <c r="F1454" s="2" t="str">
        <f t="shared" si="66"/>
        <v>vr</v>
      </c>
      <c r="G1454" s="2" t="str">
        <f t="shared" si="68"/>
        <v>vr</v>
      </c>
      <c r="H1454" s="2" t="str">
        <f t="shared" si="67"/>
        <v>, vr, vr</v>
      </c>
      <c r="I1454" s="2" t="str">
        <f>IF(Return!C1454=0,REPLACE(INDEX(H:H,ROW()+Return!B1454,),1,2,Return!E1454&amp;"(")&amp;")","")</f>
        <v/>
      </c>
      <c r="M1454" s="1"/>
    </row>
    <row r="1455" spans="1:13" x14ac:dyDescent="0.55000000000000004">
      <c r="A1455" s="1" t="s">
        <v>1876</v>
      </c>
      <c r="C1455" s="2">
        <f>Return!C1455</f>
        <v>0</v>
      </c>
      <c r="D1455" s="2">
        <f>COUNTA(Argument!E1455)</f>
        <v>0</v>
      </c>
      <c r="E1455" s="2" t="str">
        <f>IF(C1455,Return!D1455,Return!E1455)</f>
        <v>v</v>
      </c>
      <c r="F1455" s="2" t="str">
        <f t="shared" si="66"/>
        <v/>
      </c>
      <c r="G1455" s="2" t="str">
        <f t="shared" si="68"/>
        <v/>
      </c>
      <c r="H1455" s="2" t="str">
        <f t="shared" si="67"/>
        <v/>
      </c>
      <c r="I1455" s="2" t="str">
        <f>IF(Return!C1455=0,REPLACE(INDEX(H:H,ROW()+Return!B1455,),1,2,Return!E1455&amp;"(")&amp;")","")</f>
        <v>v(vr, vr)</v>
      </c>
      <c r="M1455" s="1"/>
    </row>
    <row r="1456" spans="1:13" x14ac:dyDescent="0.55000000000000004">
      <c r="A1456" s="1" t="s">
        <v>1876</v>
      </c>
      <c r="B1456" t="s">
        <v>1407</v>
      </c>
      <c r="C1456" s="2">
        <f>Return!C1456</f>
        <v>1</v>
      </c>
      <c r="D1456" s="2">
        <f>COUNTA(Argument!E1456)</f>
        <v>0</v>
      </c>
      <c r="E1456" s="2" t="str">
        <f>IF(C1456,Return!D1456,Return!E1456)</f>
        <v>vr</v>
      </c>
      <c r="F1456" s="2" t="str">
        <f t="shared" si="66"/>
        <v>vr</v>
      </c>
      <c r="G1456" s="2" t="str">
        <f t="shared" si="68"/>
        <v>vr</v>
      </c>
      <c r="H1456" s="2" t="str">
        <f t="shared" si="67"/>
        <v>, vr</v>
      </c>
      <c r="I1456" s="2" t="str">
        <f>IF(Return!C1456=0,REPLACE(INDEX(H:H,ROW()+Return!B1456,),1,2,Return!E1456&amp;"(")&amp;")","")</f>
        <v/>
      </c>
      <c r="M1456" s="1"/>
    </row>
    <row r="1457" spans="1:13" x14ac:dyDescent="0.55000000000000004">
      <c r="A1457" s="1" t="s">
        <v>1876</v>
      </c>
      <c r="B1457" t="s">
        <v>1406</v>
      </c>
      <c r="C1457" s="2">
        <f>Return!C1457</f>
        <v>2</v>
      </c>
      <c r="D1457" s="2">
        <f>COUNTA(Argument!E1457)</f>
        <v>1</v>
      </c>
      <c r="E1457" s="2" t="str">
        <f>IF(C1457,Return!D1457,Return!E1457)</f>
        <v>vr</v>
      </c>
      <c r="F1457" s="2" t="str">
        <f t="shared" si="66"/>
        <v>vr</v>
      </c>
      <c r="G1457" s="2" t="str">
        <f t="shared" si="68"/>
        <v>vr</v>
      </c>
      <c r="H1457" s="2" t="str">
        <f t="shared" si="67"/>
        <v>, vr, vr</v>
      </c>
      <c r="I1457" s="2" t="str">
        <f>IF(Return!C1457=0,REPLACE(INDEX(H:H,ROW()+Return!B1457,),1,2,Return!E1457&amp;"(")&amp;")","")</f>
        <v/>
      </c>
      <c r="M1457" s="1"/>
    </row>
    <row r="1458" spans="1:13" x14ac:dyDescent="0.55000000000000004">
      <c r="A1458" s="1" t="s">
        <v>1877</v>
      </c>
      <c r="C1458" s="2">
        <f>Return!C1458</f>
        <v>0</v>
      </c>
      <c r="D1458" s="2">
        <f>COUNTA(Argument!E1458)</f>
        <v>0</v>
      </c>
      <c r="E1458" s="2" t="str">
        <f>IF(C1458,Return!D1458,Return!E1458)</f>
        <v>v</v>
      </c>
      <c r="F1458" s="2" t="str">
        <f t="shared" si="66"/>
        <v/>
      </c>
      <c r="G1458" s="2" t="str">
        <f t="shared" si="68"/>
        <v/>
      </c>
      <c r="H1458" s="2" t="str">
        <f t="shared" si="67"/>
        <v/>
      </c>
      <c r="I1458" s="2" t="str">
        <f>IF(Return!C1458=0,REPLACE(INDEX(H:H,ROW()+Return!B1458,),1,2,Return!E1458&amp;"(")&amp;")","")</f>
        <v>v(vr, vr, vr, vr, vr, vr)</v>
      </c>
      <c r="M1458" s="1"/>
    </row>
    <row r="1459" spans="1:13" x14ac:dyDescent="0.55000000000000004">
      <c r="A1459" s="1" t="s">
        <v>1877</v>
      </c>
      <c r="B1459" t="s">
        <v>1222</v>
      </c>
      <c r="C1459" s="2">
        <f>Return!C1459</f>
        <v>1</v>
      </c>
      <c r="D1459" s="2">
        <f>COUNTA(Argument!E1459)</f>
        <v>0</v>
      </c>
      <c r="E1459" s="2" t="str">
        <f>IF(C1459,Return!D1459,Return!E1459)</f>
        <v>vr</v>
      </c>
      <c r="F1459" s="2" t="str">
        <f t="shared" si="66"/>
        <v>vr</v>
      </c>
      <c r="G1459" s="2" t="str">
        <f t="shared" si="68"/>
        <v>vr</v>
      </c>
      <c r="H1459" s="2" t="str">
        <f t="shared" si="67"/>
        <v>, vr</v>
      </c>
      <c r="I1459" s="2" t="str">
        <f>IF(Return!C1459=0,REPLACE(INDEX(H:H,ROW()+Return!B1459,),1,2,Return!E1459&amp;"(")&amp;")","")</f>
        <v/>
      </c>
      <c r="M1459" s="1"/>
    </row>
    <row r="1460" spans="1:13" x14ac:dyDescent="0.55000000000000004">
      <c r="A1460" s="1" t="s">
        <v>1877</v>
      </c>
      <c r="B1460" t="s">
        <v>1249</v>
      </c>
      <c r="C1460" s="2">
        <f>Return!C1460</f>
        <v>2</v>
      </c>
      <c r="D1460" s="2">
        <f>COUNTA(Argument!E1460)</f>
        <v>0</v>
      </c>
      <c r="E1460" s="2" t="str">
        <f>IF(C1460,Return!D1460,Return!E1460)</f>
        <v>vr</v>
      </c>
      <c r="F1460" s="2" t="str">
        <f t="shared" si="66"/>
        <v>vr</v>
      </c>
      <c r="G1460" s="2" t="str">
        <f t="shared" si="68"/>
        <v>vr</v>
      </c>
      <c r="H1460" s="2" t="str">
        <f t="shared" si="67"/>
        <v>, vr, vr</v>
      </c>
      <c r="I1460" s="2" t="str">
        <f>IF(Return!C1460=0,REPLACE(INDEX(H:H,ROW()+Return!B1460,),1,2,Return!E1460&amp;"(")&amp;")","")</f>
        <v/>
      </c>
      <c r="M1460" s="1"/>
    </row>
    <row r="1461" spans="1:13" x14ac:dyDescent="0.55000000000000004">
      <c r="A1461" s="1" t="s">
        <v>1877</v>
      </c>
      <c r="B1461" t="s">
        <v>1253</v>
      </c>
      <c r="C1461" s="2">
        <f>Return!C1461</f>
        <v>3</v>
      </c>
      <c r="D1461" s="2">
        <f>COUNTA(Argument!E1461)</f>
        <v>0</v>
      </c>
      <c r="E1461" s="2" t="str">
        <f>IF(C1461,Return!D1461,Return!E1461)</f>
        <v>vr</v>
      </c>
      <c r="F1461" s="2" t="str">
        <f t="shared" si="66"/>
        <v>vr</v>
      </c>
      <c r="G1461" s="2" t="str">
        <f t="shared" si="68"/>
        <v>vr</v>
      </c>
      <c r="H1461" s="2" t="str">
        <f t="shared" si="67"/>
        <v>, vr, vr, vr</v>
      </c>
      <c r="I1461" s="2" t="str">
        <f>IF(Return!C1461=0,REPLACE(INDEX(H:H,ROW()+Return!B1461,),1,2,Return!E1461&amp;"(")&amp;")","")</f>
        <v/>
      </c>
      <c r="M1461" s="1"/>
    </row>
    <row r="1462" spans="1:13" x14ac:dyDescent="0.55000000000000004">
      <c r="A1462" s="1" t="s">
        <v>1877</v>
      </c>
      <c r="B1462" t="s">
        <v>1308</v>
      </c>
      <c r="C1462" s="2">
        <f>Return!C1462</f>
        <v>4</v>
      </c>
      <c r="D1462" s="2">
        <f>COUNTA(Argument!E1462)</f>
        <v>0</v>
      </c>
      <c r="E1462" s="2" t="str">
        <f>IF(C1462,Return!D1462,Return!E1462)</f>
        <v>vr</v>
      </c>
      <c r="F1462" s="2" t="str">
        <f t="shared" si="66"/>
        <v>vr</v>
      </c>
      <c r="G1462" s="2" t="str">
        <f t="shared" si="68"/>
        <v>vr</v>
      </c>
      <c r="H1462" s="2" t="str">
        <f t="shared" si="67"/>
        <v>, vr, vr, vr, vr</v>
      </c>
      <c r="I1462" s="2" t="str">
        <f>IF(Return!C1462=0,REPLACE(INDEX(H:H,ROW()+Return!B1462,),1,2,Return!E1462&amp;"(")&amp;")","")</f>
        <v/>
      </c>
      <c r="M1462" s="1"/>
    </row>
    <row r="1463" spans="1:13" x14ac:dyDescent="0.55000000000000004">
      <c r="A1463" s="1" t="s">
        <v>1877</v>
      </c>
      <c r="B1463" t="s">
        <v>1309</v>
      </c>
      <c r="C1463" s="2">
        <f>Return!C1463</f>
        <v>5</v>
      </c>
      <c r="D1463" s="2">
        <f>COUNTA(Argument!E1463)</f>
        <v>0</v>
      </c>
      <c r="E1463" s="2" t="str">
        <f>IF(C1463,Return!D1463,Return!E1463)</f>
        <v>vr</v>
      </c>
      <c r="F1463" s="2" t="str">
        <f t="shared" si="66"/>
        <v>vr</v>
      </c>
      <c r="G1463" s="2" t="str">
        <f t="shared" si="68"/>
        <v>vr</v>
      </c>
      <c r="H1463" s="2" t="str">
        <f t="shared" si="67"/>
        <v>, vr, vr, vr, vr, vr</v>
      </c>
      <c r="I1463" s="2" t="str">
        <f>IF(Return!C1463=0,REPLACE(INDEX(H:H,ROW()+Return!B1463,),1,2,Return!E1463&amp;"(")&amp;")","")</f>
        <v/>
      </c>
      <c r="M1463" s="1"/>
    </row>
    <row r="1464" spans="1:13" x14ac:dyDescent="0.55000000000000004">
      <c r="A1464" s="1" t="s">
        <v>1877</v>
      </c>
      <c r="B1464" t="s">
        <v>1252</v>
      </c>
      <c r="C1464" s="2">
        <f>Return!C1464</f>
        <v>6</v>
      </c>
      <c r="D1464" s="2">
        <f>COUNTA(Argument!E1464)</f>
        <v>1</v>
      </c>
      <c r="E1464" s="2" t="str">
        <f>IF(C1464,Return!D1464,Return!E1464)</f>
        <v>vr</v>
      </c>
      <c r="F1464" s="2" t="str">
        <f t="shared" si="66"/>
        <v>vr</v>
      </c>
      <c r="G1464" s="2" t="str">
        <f t="shared" si="68"/>
        <v>vr</v>
      </c>
      <c r="H1464" s="2" t="str">
        <f t="shared" si="67"/>
        <v>, vr, vr, vr, vr, vr, vr</v>
      </c>
      <c r="I1464" s="2" t="str">
        <f>IF(Return!C1464=0,REPLACE(INDEX(H:H,ROW()+Return!B1464,),1,2,Return!E1464&amp;"(")&amp;")","")</f>
        <v/>
      </c>
      <c r="M1464" s="1"/>
    </row>
    <row r="1465" spans="1:13" x14ac:dyDescent="0.55000000000000004">
      <c r="A1465" s="1" t="s">
        <v>1878</v>
      </c>
      <c r="C1465" s="2">
        <f>Return!C1465</f>
        <v>0</v>
      </c>
      <c r="D1465" s="2">
        <f>COUNTA(Argument!E1465)</f>
        <v>0</v>
      </c>
      <c r="E1465" s="2" t="str">
        <f>IF(C1465,Return!D1465,Return!E1465)</f>
        <v>v</v>
      </c>
      <c r="F1465" s="2" t="str">
        <f t="shared" si="66"/>
        <v/>
      </c>
      <c r="G1465" s="2" t="str">
        <f t="shared" si="68"/>
        <v/>
      </c>
      <c r="H1465" s="2" t="str">
        <f t="shared" si="67"/>
        <v/>
      </c>
      <c r="I1465" s="2" t="str">
        <f>IF(Return!C1465=0,REPLACE(INDEX(H:H,ROW()+Return!B1465,),1,2,Return!E1465&amp;"(")&amp;")","")</f>
        <v>v(vr, vr, vr, vr, vr, vr)</v>
      </c>
      <c r="M1465" s="1"/>
    </row>
    <row r="1466" spans="1:13" x14ac:dyDescent="0.55000000000000004">
      <c r="A1466" s="1" t="s">
        <v>1878</v>
      </c>
      <c r="B1466" t="s">
        <v>1222</v>
      </c>
      <c r="C1466" s="2">
        <f>Return!C1466</f>
        <v>1</v>
      </c>
      <c r="D1466" s="2">
        <f>COUNTA(Argument!E1466)</f>
        <v>0</v>
      </c>
      <c r="E1466" s="2" t="str">
        <f>IF(C1466,Return!D1466,Return!E1466)</f>
        <v>vr</v>
      </c>
      <c r="F1466" s="2" t="str">
        <f t="shared" si="66"/>
        <v>vr</v>
      </c>
      <c r="G1466" s="2" t="str">
        <f t="shared" si="68"/>
        <v>vr</v>
      </c>
      <c r="H1466" s="2" t="str">
        <f t="shared" si="67"/>
        <v>, vr</v>
      </c>
      <c r="I1466" s="2" t="str">
        <f>IF(Return!C1466=0,REPLACE(INDEX(H:H,ROW()+Return!B1466,),1,2,Return!E1466&amp;"(")&amp;")","")</f>
        <v/>
      </c>
      <c r="M1466" s="1"/>
    </row>
    <row r="1467" spans="1:13" x14ac:dyDescent="0.55000000000000004">
      <c r="A1467" s="1" t="s">
        <v>1878</v>
      </c>
      <c r="B1467" t="s">
        <v>1249</v>
      </c>
      <c r="C1467" s="2">
        <f>Return!C1467</f>
        <v>2</v>
      </c>
      <c r="D1467" s="2">
        <f>COUNTA(Argument!E1467)</f>
        <v>0</v>
      </c>
      <c r="E1467" s="2" t="str">
        <f>IF(C1467,Return!D1467,Return!E1467)</f>
        <v>vr</v>
      </c>
      <c r="F1467" s="2" t="str">
        <f t="shared" si="66"/>
        <v>vr</v>
      </c>
      <c r="G1467" s="2" t="str">
        <f t="shared" si="68"/>
        <v>vr</v>
      </c>
      <c r="H1467" s="2" t="str">
        <f t="shared" si="67"/>
        <v>, vr, vr</v>
      </c>
      <c r="I1467" s="2" t="str">
        <f>IF(Return!C1467=0,REPLACE(INDEX(H:H,ROW()+Return!B1467,),1,2,Return!E1467&amp;"(")&amp;")","")</f>
        <v/>
      </c>
      <c r="M1467" s="1"/>
    </row>
    <row r="1468" spans="1:13" x14ac:dyDescent="0.55000000000000004">
      <c r="A1468" s="1" t="s">
        <v>1878</v>
      </c>
      <c r="B1468" t="s">
        <v>1253</v>
      </c>
      <c r="C1468" s="2">
        <f>Return!C1468</f>
        <v>3</v>
      </c>
      <c r="D1468" s="2">
        <f>COUNTA(Argument!E1468)</f>
        <v>0</v>
      </c>
      <c r="E1468" s="2" t="str">
        <f>IF(C1468,Return!D1468,Return!E1468)</f>
        <v>vr</v>
      </c>
      <c r="F1468" s="2" t="str">
        <f t="shared" si="66"/>
        <v>vr</v>
      </c>
      <c r="G1468" s="2" t="str">
        <f t="shared" si="68"/>
        <v>vr</v>
      </c>
      <c r="H1468" s="2" t="str">
        <f t="shared" si="67"/>
        <v>, vr, vr, vr</v>
      </c>
      <c r="I1468" s="2" t="str">
        <f>IF(Return!C1468=0,REPLACE(INDEX(H:H,ROW()+Return!B1468,),1,2,Return!E1468&amp;"(")&amp;")","")</f>
        <v/>
      </c>
      <c r="M1468" s="1"/>
    </row>
    <row r="1469" spans="1:13" x14ac:dyDescent="0.55000000000000004">
      <c r="A1469" s="1" t="s">
        <v>1878</v>
      </c>
      <c r="B1469" t="s">
        <v>1308</v>
      </c>
      <c r="C1469" s="2">
        <f>Return!C1469</f>
        <v>4</v>
      </c>
      <c r="D1469" s="2">
        <f>COUNTA(Argument!E1469)</f>
        <v>0</v>
      </c>
      <c r="E1469" s="2" t="str">
        <f>IF(C1469,Return!D1469,Return!E1469)</f>
        <v>vr</v>
      </c>
      <c r="F1469" s="2" t="str">
        <f t="shared" si="66"/>
        <v>vr</v>
      </c>
      <c r="G1469" s="2" t="str">
        <f t="shared" si="68"/>
        <v>vr</v>
      </c>
      <c r="H1469" s="2" t="str">
        <f t="shared" si="67"/>
        <v>, vr, vr, vr, vr</v>
      </c>
      <c r="I1469" s="2" t="str">
        <f>IF(Return!C1469=0,REPLACE(INDEX(H:H,ROW()+Return!B1469,),1,2,Return!E1469&amp;"(")&amp;")","")</f>
        <v/>
      </c>
      <c r="M1469" s="1"/>
    </row>
    <row r="1470" spans="1:13" x14ac:dyDescent="0.55000000000000004">
      <c r="A1470" s="1" t="s">
        <v>1878</v>
      </c>
      <c r="B1470" t="s">
        <v>1309</v>
      </c>
      <c r="C1470" s="2">
        <f>Return!C1470</f>
        <v>5</v>
      </c>
      <c r="D1470" s="2">
        <f>COUNTA(Argument!E1470)</f>
        <v>0</v>
      </c>
      <c r="E1470" s="2" t="str">
        <f>IF(C1470,Return!D1470,Return!E1470)</f>
        <v>vr</v>
      </c>
      <c r="F1470" s="2" t="str">
        <f t="shared" si="66"/>
        <v>vr</v>
      </c>
      <c r="G1470" s="2" t="str">
        <f t="shared" si="68"/>
        <v>vr</v>
      </c>
      <c r="H1470" s="2" t="str">
        <f t="shared" si="67"/>
        <v>, vr, vr, vr, vr, vr</v>
      </c>
      <c r="I1470" s="2" t="str">
        <f>IF(Return!C1470=0,REPLACE(INDEX(H:H,ROW()+Return!B1470,),1,2,Return!E1470&amp;"(")&amp;")","")</f>
        <v/>
      </c>
      <c r="M1470" s="1"/>
    </row>
    <row r="1471" spans="1:13" x14ac:dyDescent="0.55000000000000004">
      <c r="A1471" s="1" t="s">
        <v>1878</v>
      </c>
      <c r="B1471" t="s">
        <v>1252</v>
      </c>
      <c r="C1471" s="2">
        <f>Return!C1471</f>
        <v>6</v>
      </c>
      <c r="D1471" s="2">
        <f>COUNTA(Argument!E1471)</f>
        <v>1</v>
      </c>
      <c r="E1471" s="2" t="str">
        <f>IF(C1471,Return!D1471,Return!E1471)</f>
        <v>vr</v>
      </c>
      <c r="F1471" s="2" t="str">
        <f t="shared" si="66"/>
        <v>vr</v>
      </c>
      <c r="G1471" s="2" t="str">
        <f t="shared" si="68"/>
        <v>vr</v>
      </c>
      <c r="H1471" s="2" t="str">
        <f t="shared" si="67"/>
        <v>, vr, vr, vr, vr, vr, vr</v>
      </c>
      <c r="I1471" s="2" t="str">
        <f>IF(Return!C1471=0,REPLACE(INDEX(H:H,ROW()+Return!B1471,),1,2,Return!E1471&amp;"(")&amp;")","")</f>
        <v/>
      </c>
      <c r="M1471" s="1"/>
    </row>
    <row r="1472" spans="1:13" x14ac:dyDescent="0.55000000000000004">
      <c r="A1472" s="1" t="s">
        <v>1879</v>
      </c>
      <c r="C1472" s="2">
        <f>Return!C1472</f>
        <v>0</v>
      </c>
      <c r="D1472" s="2">
        <f>COUNTA(Argument!E1472)</f>
        <v>0</v>
      </c>
      <c r="E1472" s="2" t="str">
        <f>IF(C1472,Return!D1472,Return!E1472)</f>
        <v>v</v>
      </c>
      <c r="F1472" s="2" t="str">
        <f t="shared" si="66"/>
        <v/>
      </c>
      <c r="G1472" s="2" t="str">
        <f t="shared" si="68"/>
        <v/>
      </c>
      <c r="H1472" s="2" t="str">
        <f t="shared" si="67"/>
        <v/>
      </c>
      <c r="I1472" s="2" t="str">
        <f>IF(Return!C1472=0,REPLACE(INDEX(H:H,ROW()+Return!B1472,),1,2,Return!E1472&amp;"(")&amp;")","")</f>
        <v>v(vr, vr)</v>
      </c>
      <c r="M1472" s="1"/>
    </row>
    <row r="1473" spans="1:13" x14ac:dyDescent="0.55000000000000004">
      <c r="A1473" s="1" t="s">
        <v>1879</v>
      </c>
      <c r="B1473" t="s">
        <v>1305</v>
      </c>
      <c r="C1473" s="2">
        <f>Return!C1473</f>
        <v>1</v>
      </c>
      <c r="D1473" s="2">
        <f>COUNTA(Argument!E1473)</f>
        <v>0</v>
      </c>
      <c r="E1473" s="2" t="str">
        <f>IF(C1473,Return!D1473,Return!E1473)</f>
        <v>vr</v>
      </c>
      <c r="F1473" s="2" t="str">
        <f t="shared" si="66"/>
        <v>vr</v>
      </c>
      <c r="G1473" s="2" t="str">
        <f t="shared" si="68"/>
        <v>vr</v>
      </c>
      <c r="H1473" s="2" t="str">
        <f t="shared" si="67"/>
        <v>, vr</v>
      </c>
      <c r="I1473" s="2" t="str">
        <f>IF(Return!C1473=0,REPLACE(INDEX(H:H,ROW()+Return!B1473,),1,2,Return!E1473&amp;"(")&amp;")","")</f>
        <v/>
      </c>
      <c r="M1473" s="1"/>
    </row>
    <row r="1474" spans="1:13" x14ac:dyDescent="0.55000000000000004">
      <c r="A1474" s="1" t="s">
        <v>1879</v>
      </c>
      <c r="B1474" t="s">
        <v>1408</v>
      </c>
      <c r="C1474" s="2">
        <f>Return!C1474</f>
        <v>2</v>
      </c>
      <c r="D1474" s="2">
        <f>COUNTA(Argument!E1474)</f>
        <v>1</v>
      </c>
      <c r="E1474" s="2" t="str">
        <f>IF(C1474,Return!D1474,Return!E1474)</f>
        <v>vr</v>
      </c>
      <c r="F1474" s="2" t="str">
        <f t="shared" si="66"/>
        <v>vr</v>
      </c>
      <c r="G1474" s="2" t="str">
        <f t="shared" si="68"/>
        <v>vr</v>
      </c>
      <c r="H1474" s="2" t="str">
        <f t="shared" si="67"/>
        <v>, vr, vr</v>
      </c>
      <c r="I1474" s="2" t="str">
        <f>IF(Return!C1474=0,REPLACE(INDEX(H:H,ROW()+Return!B1474,),1,2,Return!E1474&amp;"(")&amp;")","")</f>
        <v/>
      </c>
      <c r="M1474" s="1"/>
    </row>
    <row r="1475" spans="1:13" x14ac:dyDescent="0.55000000000000004">
      <c r="A1475" s="1" t="s">
        <v>1880</v>
      </c>
      <c r="C1475" s="2">
        <f>Return!C1475</f>
        <v>0</v>
      </c>
      <c r="D1475" s="2">
        <f>COUNTA(Argument!E1475)</f>
        <v>0</v>
      </c>
      <c r="E1475" s="2" t="str">
        <f>IF(C1475,Return!D1475,Return!E1475)</f>
        <v>v</v>
      </c>
      <c r="F1475" s="2" t="str">
        <f t="shared" ref="F1475:F1538" si="69">IF(C1475,IF(D1475,IF(D1474,"["&amp;E1475&amp;"]",E1475),E1475),"")</f>
        <v/>
      </c>
      <c r="G1475" s="2" t="str">
        <f t="shared" si="68"/>
        <v/>
      </c>
      <c r="H1475" s="2" t="str">
        <f t="shared" ref="H1475:H1538" si="70">IF(C1475&gt;0,H1474&amp;", "&amp;G1475,"")</f>
        <v/>
      </c>
      <c r="I1475" s="2" t="str">
        <f>IF(Return!C1475=0,REPLACE(INDEX(H:H,ROW()+Return!B1475,),1,2,Return!E1475&amp;"(")&amp;")","")</f>
        <v>v(vr, vr)</v>
      </c>
      <c r="M1475" s="1"/>
    </row>
    <row r="1476" spans="1:13" x14ac:dyDescent="0.55000000000000004">
      <c r="A1476" s="1" t="s">
        <v>1880</v>
      </c>
      <c r="B1476" t="s">
        <v>1305</v>
      </c>
      <c r="C1476" s="2">
        <f>Return!C1476</f>
        <v>1</v>
      </c>
      <c r="D1476" s="2">
        <f>COUNTA(Argument!E1476)</f>
        <v>0</v>
      </c>
      <c r="E1476" s="2" t="str">
        <f>IF(C1476,Return!D1476,Return!E1476)</f>
        <v>vr</v>
      </c>
      <c r="F1476" s="2" t="str">
        <f t="shared" si="69"/>
        <v>vr</v>
      </c>
      <c r="G1476" s="2" t="str">
        <f t="shared" ref="G1476:G1539" si="71">IF(B1476="...",IF(C1477&gt;0,"["&amp;E1476,"…"),IF(B1475=" ...",IF(C1476&gt;0,E1476&amp;"], …",F1476),F1476))</f>
        <v>vr</v>
      </c>
      <c r="H1476" s="2" t="str">
        <f t="shared" si="70"/>
        <v>, vr</v>
      </c>
      <c r="I1476" s="2" t="str">
        <f>IF(Return!C1476=0,REPLACE(INDEX(H:H,ROW()+Return!B1476,),1,2,Return!E1476&amp;"(")&amp;")","")</f>
        <v/>
      </c>
      <c r="M1476" s="1"/>
    </row>
    <row r="1477" spans="1:13" x14ac:dyDescent="0.55000000000000004">
      <c r="A1477" s="1" t="s">
        <v>1880</v>
      </c>
      <c r="B1477" t="s">
        <v>1408</v>
      </c>
      <c r="C1477" s="2">
        <f>Return!C1477</f>
        <v>2</v>
      </c>
      <c r="D1477" s="2">
        <f>COUNTA(Argument!E1477)</f>
        <v>1</v>
      </c>
      <c r="E1477" s="2" t="str">
        <f>IF(C1477,Return!D1477,Return!E1477)</f>
        <v>vr</v>
      </c>
      <c r="F1477" s="2" t="str">
        <f t="shared" si="69"/>
        <v>vr</v>
      </c>
      <c r="G1477" s="2" t="str">
        <f t="shared" si="71"/>
        <v>vr</v>
      </c>
      <c r="H1477" s="2" t="str">
        <f t="shared" si="70"/>
        <v>, vr, vr</v>
      </c>
      <c r="I1477" s="2" t="str">
        <f>IF(Return!C1477=0,REPLACE(INDEX(H:H,ROW()+Return!B1477,),1,2,Return!E1477&amp;"(")&amp;")","")</f>
        <v/>
      </c>
      <c r="M1477" s="1"/>
    </row>
    <row r="1478" spans="1:13" x14ac:dyDescent="0.55000000000000004">
      <c r="A1478" s="1" t="s">
        <v>1881</v>
      </c>
      <c r="C1478" s="2">
        <f>Return!C1478</f>
        <v>0</v>
      </c>
      <c r="D1478" s="2">
        <f>COUNTA(Argument!E1478)</f>
        <v>0</v>
      </c>
      <c r="E1478" s="2" t="str">
        <f>IF(C1478,Return!D1478,Return!E1478)</f>
        <v>v</v>
      </c>
      <c r="F1478" s="2" t="str">
        <f t="shared" si="69"/>
        <v/>
      </c>
      <c r="G1478" s="2" t="str">
        <f t="shared" si="71"/>
        <v/>
      </c>
      <c r="H1478" s="2" t="str">
        <f t="shared" si="70"/>
        <v/>
      </c>
      <c r="I1478" s="2" t="str">
        <f>IF(Return!C1478=0,REPLACE(INDEX(H:H,ROW()+Return!B1478,),1,2,Return!E1478&amp;"(")&amp;")","")</f>
        <v>v(vr, vr, [vr])</v>
      </c>
      <c r="M1478" s="1"/>
    </row>
    <row r="1479" spans="1:13" x14ac:dyDescent="0.55000000000000004">
      <c r="A1479" s="1" t="s">
        <v>1881</v>
      </c>
      <c r="B1479" t="s">
        <v>1305</v>
      </c>
      <c r="C1479" s="2">
        <f>Return!C1479</f>
        <v>1</v>
      </c>
      <c r="D1479" s="2">
        <f>COUNTA(Argument!E1479)</f>
        <v>0</v>
      </c>
      <c r="E1479" s="2" t="str">
        <f>IF(C1479,Return!D1479,Return!E1479)</f>
        <v>vr</v>
      </c>
      <c r="F1479" s="2" t="str">
        <f t="shared" si="69"/>
        <v>vr</v>
      </c>
      <c r="G1479" s="2" t="str">
        <f t="shared" si="71"/>
        <v>vr</v>
      </c>
      <c r="H1479" s="2" t="str">
        <f t="shared" si="70"/>
        <v>, vr</v>
      </c>
      <c r="I1479" s="2" t="str">
        <f>IF(Return!C1479=0,REPLACE(INDEX(H:H,ROW()+Return!B1479,),1,2,Return!E1479&amp;"(")&amp;")","")</f>
        <v/>
      </c>
      <c r="M1479" s="1"/>
    </row>
    <row r="1480" spans="1:13" x14ac:dyDescent="0.55000000000000004">
      <c r="A1480" s="1" t="s">
        <v>1881</v>
      </c>
      <c r="B1480" t="s">
        <v>1306</v>
      </c>
      <c r="C1480" s="2">
        <f>Return!C1480</f>
        <v>2</v>
      </c>
      <c r="D1480" s="2">
        <f>COUNTA(Argument!E1480)</f>
        <v>1</v>
      </c>
      <c r="E1480" s="2" t="str">
        <f>IF(C1480,Return!D1480,Return!E1480)</f>
        <v>vr</v>
      </c>
      <c r="F1480" s="2" t="str">
        <f t="shared" si="69"/>
        <v>vr</v>
      </c>
      <c r="G1480" s="2" t="str">
        <f t="shared" si="71"/>
        <v>vr</v>
      </c>
      <c r="H1480" s="2" t="str">
        <f t="shared" si="70"/>
        <v>, vr, vr</v>
      </c>
      <c r="I1480" s="2" t="str">
        <f>IF(Return!C1480=0,REPLACE(INDEX(H:H,ROW()+Return!B1480,),1,2,Return!E1480&amp;"(")&amp;")","")</f>
        <v/>
      </c>
      <c r="M1480" s="1"/>
    </row>
    <row r="1481" spans="1:13" x14ac:dyDescent="0.55000000000000004">
      <c r="A1481" s="1" t="s">
        <v>1881</v>
      </c>
      <c r="B1481" t="s">
        <v>1396</v>
      </c>
      <c r="C1481" s="2">
        <f>Return!C1481</f>
        <v>3</v>
      </c>
      <c r="D1481" s="2">
        <f>COUNTA(Argument!E1481)</f>
        <v>1</v>
      </c>
      <c r="E1481" s="2" t="str">
        <f>IF(C1481,Return!D1481,Return!E1481)</f>
        <v>vr</v>
      </c>
      <c r="F1481" s="2" t="str">
        <f t="shared" si="69"/>
        <v>[vr]</v>
      </c>
      <c r="G1481" s="2" t="str">
        <f t="shared" si="71"/>
        <v>[vr]</v>
      </c>
      <c r="H1481" s="2" t="str">
        <f t="shared" si="70"/>
        <v>, vr, vr, [vr]</v>
      </c>
      <c r="I1481" s="2" t="str">
        <f>IF(Return!C1481=0,REPLACE(INDEX(H:H,ROW()+Return!B1481,),1,2,Return!E1481&amp;"(")&amp;")","")</f>
        <v/>
      </c>
      <c r="M1481" s="1"/>
    </row>
    <row r="1482" spans="1:13" x14ac:dyDescent="0.55000000000000004">
      <c r="A1482" s="1" t="s">
        <v>1882</v>
      </c>
      <c r="C1482" s="2">
        <f>Return!C1482</f>
        <v>0</v>
      </c>
      <c r="D1482" s="2">
        <f>COUNTA(Argument!E1482)</f>
        <v>0</v>
      </c>
      <c r="E1482" s="2" t="str">
        <f>IF(C1482,Return!D1482,Return!E1482)</f>
        <v>v</v>
      </c>
      <c r="F1482" s="2" t="str">
        <f t="shared" si="69"/>
        <v/>
      </c>
      <c r="G1482" s="2" t="str">
        <f t="shared" si="71"/>
        <v/>
      </c>
      <c r="H1482" s="2" t="str">
        <f t="shared" si="70"/>
        <v/>
      </c>
      <c r="I1482" s="2" t="str">
        <f>IF(Return!C1482=0,REPLACE(INDEX(H:H,ROW()+Return!B1482,),1,2,Return!E1482&amp;"(")&amp;")","")</f>
        <v>v(vr, vr, vr, [vr])</v>
      </c>
      <c r="M1482" s="1"/>
    </row>
    <row r="1483" spans="1:13" x14ac:dyDescent="0.55000000000000004">
      <c r="A1483" s="1" t="s">
        <v>1882</v>
      </c>
      <c r="B1483" t="s">
        <v>1392</v>
      </c>
      <c r="C1483" s="2">
        <f>Return!C1483</f>
        <v>1</v>
      </c>
      <c r="D1483" s="2">
        <f>COUNTA(Argument!E1483)</f>
        <v>0</v>
      </c>
      <c r="E1483" s="2" t="str">
        <f>IF(C1483,Return!D1483,Return!E1483)</f>
        <v>vr</v>
      </c>
      <c r="F1483" s="2" t="str">
        <f t="shared" si="69"/>
        <v>vr</v>
      </c>
      <c r="G1483" s="2" t="str">
        <f t="shared" si="71"/>
        <v>vr</v>
      </c>
      <c r="H1483" s="2" t="str">
        <f t="shared" si="70"/>
        <v>, vr</v>
      </c>
      <c r="I1483" s="2" t="str">
        <f>IF(Return!C1483=0,REPLACE(INDEX(H:H,ROW()+Return!B1483,),1,2,Return!E1483&amp;"(")&amp;")","")</f>
        <v/>
      </c>
      <c r="M1483" s="1"/>
    </row>
    <row r="1484" spans="1:13" x14ac:dyDescent="0.55000000000000004">
      <c r="A1484" s="1" t="s">
        <v>1882</v>
      </c>
      <c r="B1484" t="s">
        <v>1393</v>
      </c>
      <c r="C1484" s="2">
        <f>Return!C1484</f>
        <v>2</v>
      </c>
      <c r="D1484" s="2">
        <f>COUNTA(Argument!E1484)</f>
        <v>0</v>
      </c>
      <c r="E1484" s="2" t="str">
        <f>IF(C1484,Return!D1484,Return!E1484)</f>
        <v>vr</v>
      </c>
      <c r="F1484" s="2" t="str">
        <f t="shared" si="69"/>
        <v>vr</v>
      </c>
      <c r="G1484" s="2" t="str">
        <f t="shared" si="71"/>
        <v>vr</v>
      </c>
      <c r="H1484" s="2" t="str">
        <f t="shared" si="70"/>
        <v>, vr, vr</v>
      </c>
      <c r="I1484" s="2" t="str">
        <f>IF(Return!C1484=0,REPLACE(INDEX(H:H,ROW()+Return!B1484,),1,2,Return!E1484&amp;"(")&amp;")","")</f>
        <v/>
      </c>
      <c r="M1484" s="1"/>
    </row>
    <row r="1485" spans="1:13" x14ac:dyDescent="0.55000000000000004">
      <c r="A1485" s="1" t="s">
        <v>1882</v>
      </c>
      <c r="B1485" t="s">
        <v>1401</v>
      </c>
      <c r="C1485" s="2">
        <f>Return!C1485</f>
        <v>3</v>
      </c>
      <c r="D1485" s="2">
        <f>COUNTA(Argument!E1485)</f>
        <v>1</v>
      </c>
      <c r="E1485" s="2" t="str">
        <f>IF(C1485,Return!D1485,Return!E1485)</f>
        <v>vr</v>
      </c>
      <c r="F1485" s="2" t="str">
        <f t="shared" si="69"/>
        <v>vr</v>
      </c>
      <c r="G1485" s="2" t="str">
        <f t="shared" si="71"/>
        <v>vr</v>
      </c>
      <c r="H1485" s="2" t="str">
        <f t="shared" si="70"/>
        <v>, vr, vr, vr</v>
      </c>
      <c r="I1485" s="2" t="str">
        <f>IF(Return!C1485=0,REPLACE(INDEX(H:H,ROW()+Return!B1485,),1,2,Return!E1485&amp;"(")&amp;")","")</f>
        <v/>
      </c>
      <c r="M1485" s="1"/>
    </row>
    <row r="1486" spans="1:13" x14ac:dyDescent="0.55000000000000004">
      <c r="A1486" s="1" t="s">
        <v>1882</v>
      </c>
      <c r="B1486" t="s">
        <v>1396</v>
      </c>
      <c r="C1486" s="2">
        <f>Return!C1486</f>
        <v>4</v>
      </c>
      <c r="D1486" s="2">
        <f>COUNTA(Argument!E1486)</f>
        <v>1</v>
      </c>
      <c r="E1486" s="2" t="str">
        <f>IF(C1486,Return!D1486,Return!E1486)</f>
        <v>vr</v>
      </c>
      <c r="F1486" s="2" t="str">
        <f t="shared" si="69"/>
        <v>[vr]</v>
      </c>
      <c r="G1486" s="2" t="str">
        <f t="shared" si="71"/>
        <v>[vr]</v>
      </c>
      <c r="H1486" s="2" t="str">
        <f t="shared" si="70"/>
        <v>, vr, vr, vr, [vr]</v>
      </c>
      <c r="I1486" s="2" t="str">
        <f>IF(Return!C1486=0,REPLACE(INDEX(H:H,ROW()+Return!B1486,),1,2,Return!E1486&amp;"(")&amp;")","")</f>
        <v/>
      </c>
      <c r="M1486" s="1"/>
    </row>
    <row r="1487" spans="1:13" x14ac:dyDescent="0.55000000000000004">
      <c r="A1487" s="1" t="s">
        <v>1883</v>
      </c>
      <c r="C1487" s="2">
        <f>Return!C1487</f>
        <v>0</v>
      </c>
      <c r="D1487" s="2">
        <f>COUNTA(Argument!E1487)</f>
        <v>0</v>
      </c>
      <c r="E1487" s="2" t="str">
        <f>IF(C1487,Return!D1487,Return!E1487)</f>
        <v>v</v>
      </c>
      <c r="F1487" s="2" t="str">
        <f t="shared" si="69"/>
        <v/>
      </c>
      <c r="G1487" s="2" t="str">
        <f t="shared" si="71"/>
        <v/>
      </c>
      <c r="H1487" s="2" t="str">
        <f t="shared" si="70"/>
        <v/>
      </c>
      <c r="I1487" s="2" t="str">
        <f>IF(Return!C1487=0,REPLACE(INDEX(H:H,ROW()+Return!B1487,),1,2,Return!E1487&amp;"(")&amp;")","")</f>
        <v>v(vr, vr, vr, [vr])</v>
      </c>
      <c r="M1487" s="1"/>
    </row>
    <row r="1488" spans="1:13" x14ac:dyDescent="0.55000000000000004">
      <c r="A1488" s="1" t="s">
        <v>1883</v>
      </c>
      <c r="B1488" t="s">
        <v>1392</v>
      </c>
      <c r="C1488" s="2">
        <f>Return!C1488</f>
        <v>1</v>
      </c>
      <c r="D1488" s="2">
        <f>COUNTA(Argument!E1488)</f>
        <v>0</v>
      </c>
      <c r="E1488" s="2" t="str">
        <f>IF(C1488,Return!D1488,Return!E1488)</f>
        <v>vr</v>
      </c>
      <c r="F1488" s="2" t="str">
        <f t="shared" si="69"/>
        <v>vr</v>
      </c>
      <c r="G1488" s="2" t="str">
        <f t="shared" si="71"/>
        <v>vr</v>
      </c>
      <c r="H1488" s="2" t="str">
        <f t="shared" si="70"/>
        <v>, vr</v>
      </c>
      <c r="I1488" s="2" t="str">
        <f>IF(Return!C1488=0,REPLACE(INDEX(H:H,ROW()+Return!B1488,),1,2,Return!E1488&amp;"(")&amp;")","")</f>
        <v/>
      </c>
      <c r="M1488" s="1"/>
    </row>
    <row r="1489" spans="1:13" x14ac:dyDescent="0.55000000000000004">
      <c r="A1489" s="1" t="s">
        <v>1883</v>
      </c>
      <c r="B1489" t="s">
        <v>1393</v>
      </c>
      <c r="C1489" s="2">
        <f>Return!C1489</f>
        <v>2</v>
      </c>
      <c r="D1489" s="2">
        <f>COUNTA(Argument!E1489)</f>
        <v>0</v>
      </c>
      <c r="E1489" s="2" t="str">
        <f>IF(C1489,Return!D1489,Return!E1489)</f>
        <v>vr</v>
      </c>
      <c r="F1489" s="2" t="str">
        <f t="shared" si="69"/>
        <v>vr</v>
      </c>
      <c r="G1489" s="2" t="str">
        <f t="shared" si="71"/>
        <v>vr</v>
      </c>
      <c r="H1489" s="2" t="str">
        <f t="shared" si="70"/>
        <v>, vr, vr</v>
      </c>
      <c r="I1489" s="2" t="str">
        <f>IF(Return!C1489=0,REPLACE(INDEX(H:H,ROW()+Return!B1489,),1,2,Return!E1489&amp;"(")&amp;")","")</f>
        <v/>
      </c>
      <c r="M1489" s="1"/>
    </row>
    <row r="1490" spans="1:13" x14ac:dyDescent="0.55000000000000004">
      <c r="A1490" s="1" t="s">
        <v>1883</v>
      </c>
      <c r="B1490" t="s">
        <v>1401</v>
      </c>
      <c r="C1490" s="2">
        <f>Return!C1490</f>
        <v>3</v>
      </c>
      <c r="D1490" s="2">
        <f>COUNTA(Argument!E1490)</f>
        <v>1</v>
      </c>
      <c r="E1490" s="2" t="str">
        <f>IF(C1490,Return!D1490,Return!E1490)</f>
        <v>vr</v>
      </c>
      <c r="F1490" s="2" t="str">
        <f t="shared" si="69"/>
        <v>vr</v>
      </c>
      <c r="G1490" s="2" t="str">
        <f t="shared" si="71"/>
        <v>vr</v>
      </c>
      <c r="H1490" s="2" t="str">
        <f t="shared" si="70"/>
        <v>, vr, vr, vr</v>
      </c>
      <c r="I1490" s="2" t="str">
        <f>IF(Return!C1490=0,REPLACE(INDEX(H:H,ROW()+Return!B1490,),1,2,Return!E1490&amp;"(")&amp;")","")</f>
        <v/>
      </c>
      <c r="M1490" s="1"/>
    </row>
    <row r="1491" spans="1:13" x14ac:dyDescent="0.55000000000000004">
      <c r="A1491" s="1" t="s">
        <v>1883</v>
      </c>
      <c r="B1491" t="s">
        <v>1396</v>
      </c>
      <c r="C1491" s="2">
        <f>Return!C1491</f>
        <v>4</v>
      </c>
      <c r="D1491" s="2">
        <f>COUNTA(Argument!E1491)</f>
        <v>1</v>
      </c>
      <c r="E1491" s="2" t="str">
        <f>IF(C1491,Return!D1491,Return!E1491)</f>
        <v>vr</v>
      </c>
      <c r="F1491" s="2" t="str">
        <f t="shared" si="69"/>
        <v>[vr]</v>
      </c>
      <c r="G1491" s="2" t="str">
        <f t="shared" si="71"/>
        <v>[vr]</v>
      </c>
      <c r="H1491" s="2" t="str">
        <f t="shared" si="70"/>
        <v>, vr, vr, vr, [vr]</v>
      </c>
      <c r="I1491" s="2" t="str">
        <f>IF(Return!C1491=0,REPLACE(INDEX(H:H,ROW()+Return!B1491,),1,2,Return!E1491&amp;"(")&amp;")","")</f>
        <v/>
      </c>
      <c r="M1491" s="1"/>
    </row>
    <row r="1492" spans="1:13" x14ac:dyDescent="0.55000000000000004">
      <c r="A1492" s="1" t="s">
        <v>1884</v>
      </c>
      <c r="C1492" s="2">
        <f>Return!C1492</f>
        <v>0</v>
      </c>
      <c r="D1492" s="2">
        <f>COUNTA(Argument!E1492)</f>
        <v>0</v>
      </c>
      <c r="E1492" s="2" t="str">
        <f>IF(C1492,Return!D1492,Return!E1492)</f>
        <v>v</v>
      </c>
      <c r="F1492" s="2" t="str">
        <f t="shared" si="69"/>
        <v/>
      </c>
      <c r="G1492" s="2" t="str">
        <f t="shared" si="71"/>
        <v/>
      </c>
      <c r="H1492" s="2" t="str">
        <f t="shared" si="70"/>
        <v/>
      </c>
      <c r="I1492" s="2" t="str">
        <f>IF(Return!C1492=0,REPLACE(INDEX(H:H,ROW()+Return!B1492,),1,2,Return!E1492&amp;"(")&amp;")","")</f>
        <v>v(vr, vr, vr, [vr])</v>
      </c>
      <c r="M1492" s="1"/>
    </row>
    <row r="1493" spans="1:13" x14ac:dyDescent="0.55000000000000004">
      <c r="A1493" s="1" t="s">
        <v>1884</v>
      </c>
      <c r="B1493" t="s">
        <v>1392</v>
      </c>
      <c r="C1493" s="2">
        <f>Return!C1493</f>
        <v>1</v>
      </c>
      <c r="D1493" s="2">
        <f>COUNTA(Argument!E1493)</f>
        <v>0</v>
      </c>
      <c r="E1493" s="2" t="str">
        <f>IF(C1493,Return!D1493,Return!E1493)</f>
        <v>vr</v>
      </c>
      <c r="F1493" s="2" t="str">
        <f t="shared" si="69"/>
        <v>vr</v>
      </c>
      <c r="G1493" s="2" t="str">
        <f t="shared" si="71"/>
        <v>vr</v>
      </c>
      <c r="H1493" s="2" t="str">
        <f t="shared" si="70"/>
        <v>, vr</v>
      </c>
      <c r="I1493" s="2" t="str">
        <f>IF(Return!C1493=0,REPLACE(INDEX(H:H,ROW()+Return!B1493,),1,2,Return!E1493&amp;"(")&amp;")","")</f>
        <v/>
      </c>
      <c r="M1493" s="1"/>
    </row>
    <row r="1494" spans="1:13" x14ac:dyDescent="0.55000000000000004">
      <c r="A1494" s="1" t="s">
        <v>1884</v>
      </c>
      <c r="B1494" t="s">
        <v>1393</v>
      </c>
      <c r="C1494" s="2">
        <f>Return!C1494</f>
        <v>2</v>
      </c>
      <c r="D1494" s="2">
        <f>COUNTA(Argument!E1494)</f>
        <v>0</v>
      </c>
      <c r="E1494" s="2" t="str">
        <f>IF(C1494,Return!D1494,Return!E1494)</f>
        <v>vr</v>
      </c>
      <c r="F1494" s="2" t="str">
        <f t="shared" si="69"/>
        <v>vr</v>
      </c>
      <c r="G1494" s="2" t="str">
        <f t="shared" si="71"/>
        <v>vr</v>
      </c>
      <c r="H1494" s="2" t="str">
        <f t="shared" si="70"/>
        <v>, vr, vr</v>
      </c>
      <c r="I1494" s="2" t="str">
        <f>IF(Return!C1494=0,REPLACE(INDEX(H:H,ROW()+Return!B1494,),1,2,Return!E1494&amp;"(")&amp;")","")</f>
        <v/>
      </c>
      <c r="M1494" s="1"/>
    </row>
    <row r="1495" spans="1:13" x14ac:dyDescent="0.55000000000000004">
      <c r="A1495" s="1" t="s">
        <v>1884</v>
      </c>
      <c r="B1495" t="s">
        <v>1401</v>
      </c>
      <c r="C1495" s="2">
        <f>Return!C1495</f>
        <v>3</v>
      </c>
      <c r="D1495" s="2">
        <f>COUNTA(Argument!E1495)</f>
        <v>1</v>
      </c>
      <c r="E1495" s="2" t="str">
        <f>IF(C1495,Return!D1495,Return!E1495)</f>
        <v>vr</v>
      </c>
      <c r="F1495" s="2" t="str">
        <f t="shared" si="69"/>
        <v>vr</v>
      </c>
      <c r="G1495" s="2" t="str">
        <f t="shared" si="71"/>
        <v>vr</v>
      </c>
      <c r="H1495" s="2" t="str">
        <f t="shared" si="70"/>
        <v>, vr, vr, vr</v>
      </c>
      <c r="I1495" s="2" t="str">
        <f>IF(Return!C1495=0,REPLACE(INDEX(H:H,ROW()+Return!B1495,),1,2,Return!E1495&amp;"(")&amp;")","")</f>
        <v/>
      </c>
      <c r="M1495" s="1"/>
    </row>
    <row r="1496" spans="1:13" x14ac:dyDescent="0.55000000000000004">
      <c r="A1496" s="1" t="s">
        <v>1884</v>
      </c>
      <c r="B1496" t="s">
        <v>1396</v>
      </c>
      <c r="C1496" s="2">
        <f>Return!C1496</f>
        <v>4</v>
      </c>
      <c r="D1496" s="2">
        <f>COUNTA(Argument!E1496)</f>
        <v>1</v>
      </c>
      <c r="E1496" s="2" t="str">
        <f>IF(C1496,Return!D1496,Return!E1496)</f>
        <v>vr</v>
      </c>
      <c r="F1496" s="2" t="str">
        <f t="shared" si="69"/>
        <v>[vr]</v>
      </c>
      <c r="G1496" s="2" t="str">
        <f t="shared" si="71"/>
        <v>[vr]</v>
      </c>
      <c r="H1496" s="2" t="str">
        <f t="shared" si="70"/>
        <v>, vr, vr, vr, [vr]</v>
      </c>
      <c r="I1496" s="2" t="str">
        <f>IF(Return!C1496=0,REPLACE(INDEX(H:H,ROW()+Return!B1496,),1,2,Return!E1496&amp;"(")&amp;")","")</f>
        <v/>
      </c>
      <c r="M1496" s="1"/>
    </row>
    <row r="1497" spans="1:13" x14ac:dyDescent="0.55000000000000004">
      <c r="A1497" s="1" t="s">
        <v>1885</v>
      </c>
      <c r="C1497" s="2">
        <f>Return!C1497</f>
        <v>0</v>
      </c>
      <c r="D1497" s="2">
        <f>COUNTA(Argument!E1497)</f>
        <v>0</v>
      </c>
      <c r="E1497" s="2" t="str">
        <f>IF(C1497,Return!D1497,Return!E1497)</f>
        <v>v</v>
      </c>
      <c r="F1497" s="2" t="str">
        <f t="shared" si="69"/>
        <v/>
      </c>
      <c r="G1497" s="2" t="str">
        <f t="shared" si="71"/>
        <v/>
      </c>
      <c r="H1497" s="2" t="str">
        <f t="shared" si="70"/>
        <v/>
      </c>
      <c r="I1497" s="2" t="str">
        <f>IF(Return!C1497=0,REPLACE(INDEX(H:H,ROW()+Return!B1497,),1,2,Return!E1497&amp;"(")&amp;")","")</f>
        <v>v(vr, vr, vr, [vr])</v>
      </c>
      <c r="M1497" s="1"/>
    </row>
    <row r="1498" spans="1:13" x14ac:dyDescent="0.55000000000000004">
      <c r="A1498" s="1" t="s">
        <v>1885</v>
      </c>
      <c r="B1498" t="s">
        <v>1392</v>
      </c>
      <c r="C1498" s="2">
        <f>Return!C1498</f>
        <v>1</v>
      </c>
      <c r="D1498" s="2">
        <f>COUNTA(Argument!E1498)</f>
        <v>0</v>
      </c>
      <c r="E1498" s="2" t="str">
        <f>IF(C1498,Return!D1498,Return!E1498)</f>
        <v>vr</v>
      </c>
      <c r="F1498" s="2" t="str">
        <f t="shared" si="69"/>
        <v>vr</v>
      </c>
      <c r="G1498" s="2" t="str">
        <f t="shared" si="71"/>
        <v>vr</v>
      </c>
      <c r="H1498" s="2" t="str">
        <f t="shared" si="70"/>
        <v>, vr</v>
      </c>
      <c r="I1498" s="2" t="str">
        <f>IF(Return!C1498=0,REPLACE(INDEX(H:H,ROW()+Return!B1498,),1,2,Return!E1498&amp;"(")&amp;")","")</f>
        <v/>
      </c>
      <c r="M1498" s="1"/>
    </row>
    <row r="1499" spans="1:13" x14ac:dyDescent="0.55000000000000004">
      <c r="A1499" s="1" t="s">
        <v>1885</v>
      </c>
      <c r="B1499" t="s">
        <v>1393</v>
      </c>
      <c r="C1499" s="2">
        <f>Return!C1499</f>
        <v>2</v>
      </c>
      <c r="D1499" s="2">
        <f>COUNTA(Argument!E1499)</f>
        <v>0</v>
      </c>
      <c r="E1499" s="2" t="str">
        <f>IF(C1499,Return!D1499,Return!E1499)</f>
        <v>vr</v>
      </c>
      <c r="F1499" s="2" t="str">
        <f t="shared" si="69"/>
        <v>vr</v>
      </c>
      <c r="G1499" s="2" t="str">
        <f t="shared" si="71"/>
        <v>vr</v>
      </c>
      <c r="H1499" s="2" t="str">
        <f t="shared" si="70"/>
        <v>, vr, vr</v>
      </c>
      <c r="I1499" s="2" t="str">
        <f>IF(Return!C1499=0,REPLACE(INDEX(H:H,ROW()+Return!B1499,),1,2,Return!E1499&amp;"(")&amp;")","")</f>
        <v/>
      </c>
      <c r="M1499" s="1"/>
    </row>
    <row r="1500" spans="1:13" x14ac:dyDescent="0.55000000000000004">
      <c r="A1500" s="1" t="s">
        <v>1885</v>
      </c>
      <c r="B1500" t="s">
        <v>1401</v>
      </c>
      <c r="C1500" s="2">
        <f>Return!C1500</f>
        <v>3</v>
      </c>
      <c r="D1500" s="2">
        <f>COUNTA(Argument!E1500)</f>
        <v>1</v>
      </c>
      <c r="E1500" s="2" t="str">
        <f>IF(C1500,Return!D1500,Return!E1500)</f>
        <v>vr</v>
      </c>
      <c r="F1500" s="2" t="str">
        <f t="shared" si="69"/>
        <v>vr</v>
      </c>
      <c r="G1500" s="2" t="str">
        <f t="shared" si="71"/>
        <v>vr</v>
      </c>
      <c r="H1500" s="2" t="str">
        <f t="shared" si="70"/>
        <v>, vr, vr, vr</v>
      </c>
      <c r="I1500" s="2" t="str">
        <f>IF(Return!C1500=0,REPLACE(INDEX(H:H,ROW()+Return!B1500,),1,2,Return!E1500&amp;"(")&amp;")","")</f>
        <v/>
      </c>
      <c r="M1500" s="1"/>
    </row>
    <row r="1501" spans="1:13" x14ac:dyDescent="0.55000000000000004">
      <c r="A1501" s="1" t="s">
        <v>1885</v>
      </c>
      <c r="B1501" t="s">
        <v>1396</v>
      </c>
      <c r="C1501" s="2">
        <f>Return!C1501</f>
        <v>4</v>
      </c>
      <c r="D1501" s="2">
        <f>COUNTA(Argument!E1501)</f>
        <v>1</v>
      </c>
      <c r="E1501" s="2" t="str">
        <f>IF(C1501,Return!D1501,Return!E1501)</f>
        <v>vr</v>
      </c>
      <c r="F1501" s="2" t="str">
        <f t="shared" si="69"/>
        <v>[vr]</v>
      </c>
      <c r="G1501" s="2" t="str">
        <f t="shared" si="71"/>
        <v>[vr]</v>
      </c>
      <c r="H1501" s="2" t="str">
        <f t="shared" si="70"/>
        <v>, vr, vr, vr, [vr]</v>
      </c>
      <c r="I1501" s="2" t="str">
        <f>IF(Return!C1501=0,REPLACE(INDEX(H:H,ROW()+Return!B1501,),1,2,Return!E1501&amp;"(")&amp;")","")</f>
        <v/>
      </c>
      <c r="M1501" s="1"/>
    </row>
    <row r="1502" spans="1:13" x14ac:dyDescent="0.55000000000000004">
      <c r="A1502" s="1" t="s">
        <v>1886</v>
      </c>
      <c r="C1502" s="2">
        <f>Return!C1502</f>
        <v>0</v>
      </c>
      <c r="D1502" s="2">
        <f>COUNTA(Argument!E1502)</f>
        <v>0</v>
      </c>
      <c r="E1502" s="2" t="str">
        <f>IF(C1502,Return!D1502,Return!E1502)</f>
        <v>v</v>
      </c>
      <c r="F1502" s="2" t="str">
        <f t="shared" si="69"/>
        <v/>
      </c>
      <c r="G1502" s="2" t="str">
        <f t="shared" si="71"/>
        <v/>
      </c>
      <c r="H1502" s="2" t="str">
        <f t="shared" si="70"/>
        <v/>
      </c>
      <c r="I1502" s="2" t="str">
        <f>IF(Return!C1502=0,REPLACE(INDEX(H:H,ROW()+Return!B1502,),1,2,Return!E1502&amp;"(")&amp;")","")</f>
        <v>v(vr, vr, vr, [vr])</v>
      </c>
      <c r="M1502" s="1"/>
    </row>
    <row r="1503" spans="1:13" x14ac:dyDescent="0.55000000000000004">
      <c r="A1503" s="1" t="s">
        <v>1886</v>
      </c>
      <c r="B1503" t="s">
        <v>1392</v>
      </c>
      <c r="C1503" s="2">
        <f>Return!C1503</f>
        <v>1</v>
      </c>
      <c r="D1503" s="2">
        <f>COUNTA(Argument!E1503)</f>
        <v>0</v>
      </c>
      <c r="E1503" s="2" t="str">
        <f>IF(C1503,Return!D1503,Return!E1503)</f>
        <v>vr</v>
      </c>
      <c r="F1503" s="2" t="str">
        <f t="shared" si="69"/>
        <v>vr</v>
      </c>
      <c r="G1503" s="2" t="str">
        <f t="shared" si="71"/>
        <v>vr</v>
      </c>
      <c r="H1503" s="2" t="str">
        <f t="shared" si="70"/>
        <v>, vr</v>
      </c>
      <c r="I1503" s="2" t="str">
        <f>IF(Return!C1503=0,REPLACE(INDEX(H:H,ROW()+Return!B1503,),1,2,Return!E1503&amp;"(")&amp;")","")</f>
        <v/>
      </c>
      <c r="M1503" s="1"/>
    </row>
    <row r="1504" spans="1:13" x14ac:dyDescent="0.55000000000000004">
      <c r="A1504" s="1" t="s">
        <v>1886</v>
      </c>
      <c r="B1504" t="s">
        <v>1393</v>
      </c>
      <c r="C1504" s="2">
        <f>Return!C1504</f>
        <v>2</v>
      </c>
      <c r="D1504" s="2">
        <f>COUNTA(Argument!E1504)</f>
        <v>0</v>
      </c>
      <c r="E1504" s="2" t="str">
        <f>IF(C1504,Return!D1504,Return!E1504)</f>
        <v>vr</v>
      </c>
      <c r="F1504" s="2" t="str">
        <f t="shared" si="69"/>
        <v>vr</v>
      </c>
      <c r="G1504" s="2" t="str">
        <f t="shared" si="71"/>
        <v>vr</v>
      </c>
      <c r="H1504" s="2" t="str">
        <f t="shared" si="70"/>
        <v>, vr, vr</v>
      </c>
      <c r="I1504" s="2" t="str">
        <f>IF(Return!C1504=0,REPLACE(INDEX(H:H,ROW()+Return!B1504,),1,2,Return!E1504&amp;"(")&amp;")","")</f>
        <v/>
      </c>
      <c r="M1504" s="1"/>
    </row>
    <row r="1505" spans="1:13" x14ac:dyDescent="0.55000000000000004">
      <c r="A1505" s="1" t="s">
        <v>1886</v>
      </c>
      <c r="B1505" t="s">
        <v>1401</v>
      </c>
      <c r="C1505" s="2">
        <f>Return!C1505</f>
        <v>3</v>
      </c>
      <c r="D1505" s="2">
        <f>COUNTA(Argument!E1505)</f>
        <v>1</v>
      </c>
      <c r="E1505" s="2" t="str">
        <f>IF(C1505,Return!D1505,Return!E1505)</f>
        <v>vr</v>
      </c>
      <c r="F1505" s="2" t="str">
        <f t="shared" si="69"/>
        <v>vr</v>
      </c>
      <c r="G1505" s="2" t="str">
        <f t="shared" si="71"/>
        <v>vr</v>
      </c>
      <c r="H1505" s="2" t="str">
        <f t="shared" si="70"/>
        <v>, vr, vr, vr</v>
      </c>
      <c r="I1505" s="2" t="str">
        <f>IF(Return!C1505=0,REPLACE(INDEX(H:H,ROW()+Return!B1505,),1,2,Return!E1505&amp;"(")&amp;")","")</f>
        <v/>
      </c>
      <c r="M1505" s="1"/>
    </row>
    <row r="1506" spans="1:13" x14ac:dyDescent="0.55000000000000004">
      <c r="A1506" s="1" t="s">
        <v>1886</v>
      </c>
      <c r="B1506" t="s">
        <v>1396</v>
      </c>
      <c r="C1506" s="2">
        <f>Return!C1506</f>
        <v>4</v>
      </c>
      <c r="D1506" s="2">
        <f>COUNTA(Argument!E1506)</f>
        <v>1</v>
      </c>
      <c r="E1506" s="2" t="str">
        <f>IF(C1506,Return!D1506,Return!E1506)</f>
        <v>vr</v>
      </c>
      <c r="F1506" s="2" t="str">
        <f t="shared" si="69"/>
        <v>[vr]</v>
      </c>
      <c r="G1506" s="2" t="str">
        <f t="shared" si="71"/>
        <v>[vr]</v>
      </c>
      <c r="H1506" s="2" t="str">
        <f t="shared" si="70"/>
        <v>, vr, vr, vr, [vr]</v>
      </c>
      <c r="I1506" s="2" t="str">
        <f>IF(Return!C1506=0,REPLACE(INDEX(H:H,ROW()+Return!B1506,),1,2,Return!E1506&amp;"(")&amp;")","")</f>
        <v/>
      </c>
      <c r="M1506" s="1"/>
    </row>
    <row r="1507" spans="1:13" x14ac:dyDescent="0.55000000000000004">
      <c r="A1507" s="1" t="s">
        <v>1887</v>
      </c>
      <c r="C1507" s="2">
        <f>Return!C1507</f>
        <v>0</v>
      </c>
      <c r="D1507" s="2">
        <f>COUNTA(Argument!E1507)</f>
        <v>0</v>
      </c>
      <c r="E1507" s="2" t="str">
        <f>IF(C1507,Return!D1507,Return!E1507)</f>
        <v>v</v>
      </c>
      <c r="F1507" s="2" t="str">
        <f t="shared" si="69"/>
        <v/>
      </c>
      <c r="G1507" s="2" t="str">
        <f t="shared" si="71"/>
        <v/>
      </c>
      <c r="H1507" s="2" t="str">
        <f t="shared" si="70"/>
        <v/>
      </c>
      <c r="I1507" s="2" t="str">
        <f>IF(Return!C1507=0,REPLACE(INDEX(H:H,ROW()+Return!B1507,),1,2,Return!E1507&amp;"(")&amp;")","")</f>
        <v>v(vr, vr, vr, [vr])</v>
      </c>
      <c r="M1507" s="1"/>
    </row>
    <row r="1508" spans="1:13" x14ac:dyDescent="0.55000000000000004">
      <c r="A1508" s="1" t="s">
        <v>1887</v>
      </c>
      <c r="B1508" t="s">
        <v>1392</v>
      </c>
      <c r="C1508" s="2">
        <f>Return!C1508</f>
        <v>1</v>
      </c>
      <c r="D1508" s="2">
        <f>COUNTA(Argument!E1508)</f>
        <v>0</v>
      </c>
      <c r="E1508" s="2" t="str">
        <f>IF(C1508,Return!D1508,Return!E1508)</f>
        <v>vr</v>
      </c>
      <c r="F1508" s="2" t="str">
        <f t="shared" si="69"/>
        <v>vr</v>
      </c>
      <c r="G1508" s="2" t="str">
        <f t="shared" si="71"/>
        <v>vr</v>
      </c>
      <c r="H1508" s="2" t="str">
        <f t="shared" si="70"/>
        <v>, vr</v>
      </c>
      <c r="I1508" s="2" t="str">
        <f>IF(Return!C1508=0,REPLACE(INDEX(H:H,ROW()+Return!B1508,),1,2,Return!E1508&amp;"(")&amp;")","")</f>
        <v/>
      </c>
      <c r="M1508" s="1"/>
    </row>
    <row r="1509" spans="1:13" x14ac:dyDescent="0.55000000000000004">
      <c r="A1509" s="1" t="s">
        <v>1887</v>
      </c>
      <c r="B1509" t="s">
        <v>1393</v>
      </c>
      <c r="C1509" s="2">
        <f>Return!C1509</f>
        <v>2</v>
      </c>
      <c r="D1509" s="2">
        <f>COUNTA(Argument!E1509)</f>
        <v>0</v>
      </c>
      <c r="E1509" s="2" t="str">
        <f>IF(C1509,Return!D1509,Return!E1509)</f>
        <v>vr</v>
      </c>
      <c r="F1509" s="2" t="str">
        <f t="shared" si="69"/>
        <v>vr</v>
      </c>
      <c r="G1509" s="2" t="str">
        <f t="shared" si="71"/>
        <v>vr</v>
      </c>
      <c r="H1509" s="2" t="str">
        <f t="shared" si="70"/>
        <v>, vr, vr</v>
      </c>
      <c r="I1509" s="2" t="str">
        <f>IF(Return!C1509=0,REPLACE(INDEX(H:H,ROW()+Return!B1509,),1,2,Return!E1509&amp;"(")&amp;")","")</f>
        <v/>
      </c>
      <c r="M1509" s="1"/>
    </row>
    <row r="1510" spans="1:13" x14ac:dyDescent="0.55000000000000004">
      <c r="A1510" s="1" t="s">
        <v>1887</v>
      </c>
      <c r="B1510" t="s">
        <v>1401</v>
      </c>
      <c r="C1510" s="2">
        <f>Return!C1510</f>
        <v>3</v>
      </c>
      <c r="D1510" s="2">
        <f>COUNTA(Argument!E1510)</f>
        <v>1</v>
      </c>
      <c r="E1510" s="2" t="str">
        <f>IF(C1510,Return!D1510,Return!E1510)</f>
        <v>vr</v>
      </c>
      <c r="F1510" s="2" t="str">
        <f t="shared" si="69"/>
        <v>vr</v>
      </c>
      <c r="G1510" s="2" t="str">
        <f t="shared" si="71"/>
        <v>vr</v>
      </c>
      <c r="H1510" s="2" t="str">
        <f t="shared" si="70"/>
        <v>, vr, vr, vr</v>
      </c>
      <c r="I1510" s="2" t="str">
        <f>IF(Return!C1510=0,REPLACE(INDEX(H:H,ROW()+Return!B1510,),1,2,Return!E1510&amp;"(")&amp;")","")</f>
        <v/>
      </c>
      <c r="M1510" s="1"/>
    </row>
    <row r="1511" spans="1:13" x14ac:dyDescent="0.55000000000000004">
      <c r="A1511" s="1" t="s">
        <v>1887</v>
      </c>
      <c r="B1511" t="s">
        <v>1396</v>
      </c>
      <c r="C1511" s="2">
        <f>Return!C1511</f>
        <v>4</v>
      </c>
      <c r="D1511" s="2">
        <f>COUNTA(Argument!E1511)</f>
        <v>1</v>
      </c>
      <c r="E1511" s="2" t="str">
        <f>IF(C1511,Return!D1511,Return!E1511)</f>
        <v>vr</v>
      </c>
      <c r="F1511" s="2" t="str">
        <f t="shared" si="69"/>
        <v>[vr]</v>
      </c>
      <c r="G1511" s="2" t="str">
        <f t="shared" si="71"/>
        <v>[vr]</v>
      </c>
      <c r="H1511" s="2" t="str">
        <f t="shared" si="70"/>
        <v>, vr, vr, vr, [vr]</v>
      </c>
      <c r="I1511" s="2" t="str">
        <f>IF(Return!C1511=0,REPLACE(INDEX(H:H,ROW()+Return!B1511,),1,2,Return!E1511&amp;"(")&amp;")","")</f>
        <v/>
      </c>
      <c r="M1511" s="1"/>
    </row>
    <row r="1512" spans="1:13" x14ac:dyDescent="0.55000000000000004">
      <c r="A1512" s="1" t="s">
        <v>1888</v>
      </c>
      <c r="C1512" s="2">
        <f>Return!C1512</f>
        <v>0</v>
      </c>
      <c r="D1512" s="2">
        <f>COUNTA(Argument!E1512)</f>
        <v>0</v>
      </c>
      <c r="E1512" s="2" t="str">
        <f>IF(C1512,Return!D1512,Return!E1512)</f>
        <v>v</v>
      </c>
      <c r="F1512" s="2" t="str">
        <f t="shared" si="69"/>
        <v/>
      </c>
      <c r="G1512" s="2" t="str">
        <f t="shared" si="71"/>
        <v/>
      </c>
      <c r="H1512" s="2" t="str">
        <f t="shared" si="70"/>
        <v/>
      </c>
      <c r="I1512" s="2" t="str">
        <f>IF(Return!C1512=0,REPLACE(INDEX(H:H,ROW()+Return!B1512,),1,2,Return!E1512&amp;"(")&amp;")","")</f>
        <v>v(vr, vr, vr, vr, vr, [vr])</v>
      </c>
      <c r="M1512" s="1"/>
    </row>
    <row r="1513" spans="1:13" x14ac:dyDescent="0.55000000000000004">
      <c r="A1513" s="1" t="s">
        <v>1888</v>
      </c>
      <c r="B1513" t="s">
        <v>1392</v>
      </c>
      <c r="C1513" s="2">
        <f>Return!C1513</f>
        <v>1</v>
      </c>
      <c r="D1513" s="2">
        <f>COUNTA(Argument!E1513)</f>
        <v>0</v>
      </c>
      <c r="E1513" s="2" t="str">
        <f>IF(C1513,Return!D1513,Return!E1513)</f>
        <v>vr</v>
      </c>
      <c r="F1513" s="2" t="str">
        <f t="shared" si="69"/>
        <v>vr</v>
      </c>
      <c r="G1513" s="2" t="str">
        <f t="shared" si="71"/>
        <v>vr</v>
      </c>
      <c r="H1513" s="2" t="str">
        <f t="shared" si="70"/>
        <v>, vr</v>
      </c>
      <c r="I1513" s="2" t="str">
        <f>IF(Return!C1513=0,REPLACE(INDEX(H:H,ROW()+Return!B1513,),1,2,Return!E1513&amp;"(")&amp;")","")</f>
        <v/>
      </c>
      <c r="M1513" s="1"/>
    </row>
    <row r="1514" spans="1:13" x14ac:dyDescent="0.55000000000000004">
      <c r="A1514" s="1" t="s">
        <v>1888</v>
      </c>
      <c r="B1514" t="s">
        <v>1393</v>
      </c>
      <c r="C1514" s="2">
        <f>Return!C1514</f>
        <v>2</v>
      </c>
      <c r="D1514" s="2">
        <f>COUNTA(Argument!E1514)</f>
        <v>0</v>
      </c>
      <c r="E1514" s="2" t="str">
        <f>IF(C1514,Return!D1514,Return!E1514)</f>
        <v>vr</v>
      </c>
      <c r="F1514" s="2" t="str">
        <f t="shared" si="69"/>
        <v>vr</v>
      </c>
      <c r="G1514" s="2" t="str">
        <f t="shared" si="71"/>
        <v>vr</v>
      </c>
      <c r="H1514" s="2" t="str">
        <f t="shared" si="70"/>
        <v>, vr, vr</v>
      </c>
      <c r="I1514" s="2" t="str">
        <f>IF(Return!C1514=0,REPLACE(INDEX(H:H,ROW()+Return!B1514,),1,2,Return!E1514&amp;"(")&amp;")","")</f>
        <v/>
      </c>
      <c r="M1514" s="1"/>
    </row>
    <row r="1515" spans="1:13" x14ac:dyDescent="0.55000000000000004">
      <c r="A1515" s="1" t="s">
        <v>1888</v>
      </c>
      <c r="B1515" t="s">
        <v>1409</v>
      </c>
      <c r="C1515" s="2">
        <f>Return!C1515</f>
        <v>3</v>
      </c>
      <c r="D1515" s="2">
        <f>COUNTA(Argument!E1515)</f>
        <v>0</v>
      </c>
      <c r="E1515" s="2" t="str">
        <f>IF(C1515,Return!D1515,Return!E1515)</f>
        <v>vr</v>
      </c>
      <c r="F1515" s="2" t="str">
        <f t="shared" si="69"/>
        <v>vr</v>
      </c>
      <c r="G1515" s="2" t="str">
        <f t="shared" si="71"/>
        <v>vr</v>
      </c>
      <c r="H1515" s="2" t="str">
        <f t="shared" si="70"/>
        <v>, vr, vr, vr</v>
      </c>
      <c r="I1515" s="2" t="str">
        <f>IF(Return!C1515=0,REPLACE(INDEX(H:H,ROW()+Return!B1515,),1,2,Return!E1515&amp;"(")&amp;")","")</f>
        <v/>
      </c>
      <c r="M1515" s="1"/>
    </row>
    <row r="1516" spans="1:13" x14ac:dyDescent="0.55000000000000004">
      <c r="A1516" s="1" t="s">
        <v>1888</v>
      </c>
      <c r="B1516" t="s">
        <v>1395</v>
      </c>
      <c r="C1516" s="2">
        <f>Return!C1516</f>
        <v>4</v>
      </c>
      <c r="D1516" s="2">
        <f>COUNTA(Argument!E1516)</f>
        <v>0</v>
      </c>
      <c r="E1516" s="2" t="str">
        <f>IF(C1516,Return!D1516,Return!E1516)</f>
        <v>vr</v>
      </c>
      <c r="F1516" s="2" t="str">
        <f t="shared" si="69"/>
        <v>vr</v>
      </c>
      <c r="G1516" s="2" t="str">
        <f t="shared" si="71"/>
        <v>vr</v>
      </c>
      <c r="H1516" s="2" t="str">
        <f t="shared" si="70"/>
        <v>, vr, vr, vr, vr</v>
      </c>
      <c r="I1516" s="2" t="str">
        <f>IF(Return!C1516=0,REPLACE(INDEX(H:H,ROW()+Return!B1516,),1,2,Return!E1516&amp;"(")&amp;")","")</f>
        <v/>
      </c>
      <c r="M1516" s="1"/>
    </row>
    <row r="1517" spans="1:13" x14ac:dyDescent="0.55000000000000004">
      <c r="A1517" s="1" t="s">
        <v>1888</v>
      </c>
      <c r="B1517" t="s">
        <v>1401</v>
      </c>
      <c r="C1517" s="2">
        <f>Return!C1517</f>
        <v>5</v>
      </c>
      <c r="D1517" s="2">
        <f>COUNTA(Argument!E1517)</f>
        <v>1</v>
      </c>
      <c r="E1517" s="2" t="str">
        <f>IF(C1517,Return!D1517,Return!E1517)</f>
        <v>vr</v>
      </c>
      <c r="F1517" s="2" t="str">
        <f t="shared" si="69"/>
        <v>vr</v>
      </c>
      <c r="G1517" s="2" t="str">
        <f t="shared" si="71"/>
        <v>vr</v>
      </c>
      <c r="H1517" s="2" t="str">
        <f t="shared" si="70"/>
        <v>, vr, vr, vr, vr, vr</v>
      </c>
      <c r="I1517" s="2" t="str">
        <f>IF(Return!C1517=0,REPLACE(INDEX(H:H,ROW()+Return!B1517,),1,2,Return!E1517&amp;"(")&amp;")","")</f>
        <v/>
      </c>
      <c r="M1517" s="1"/>
    </row>
    <row r="1518" spans="1:13" x14ac:dyDescent="0.55000000000000004">
      <c r="A1518" s="1" t="s">
        <v>1888</v>
      </c>
      <c r="B1518" t="s">
        <v>1396</v>
      </c>
      <c r="C1518" s="2">
        <f>Return!C1518</f>
        <v>6</v>
      </c>
      <c r="D1518" s="2">
        <f>COUNTA(Argument!E1518)</f>
        <v>1</v>
      </c>
      <c r="E1518" s="2" t="str">
        <f>IF(C1518,Return!D1518,Return!E1518)</f>
        <v>vr</v>
      </c>
      <c r="F1518" s="2" t="str">
        <f t="shared" si="69"/>
        <v>[vr]</v>
      </c>
      <c r="G1518" s="2" t="str">
        <f t="shared" si="71"/>
        <v>[vr]</v>
      </c>
      <c r="H1518" s="2" t="str">
        <f t="shared" si="70"/>
        <v>, vr, vr, vr, vr, vr, [vr]</v>
      </c>
      <c r="I1518" s="2" t="str">
        <f>IF(Return!C1518=0,REPLACE(INDEX(H:H,ROW()+Return!B1518,),1,2,Return!E1518&amp;"(")&amp;")","")</f>
        <v/>
      </c>
      <c r="M1518" s="1"/>
    </row>
    <row r="1519" spans="1:13" x14ac:dyDescent="0.55000000000000004">
      <c r="A1519" s="1" t="s">
        <v>1889</v>
      </c>
      <c r="C1519" s="2">
        <f>Return!C1519</f>
        <v>0</v>
      </c>
      <c r="D1519" s="2">
        <f>COUNTA(Argument!E1519)</f>
        <v>0</v>
      </c>
      <c r="E1519" s="2" t="str">
        <f>IF(C1519,Return!D1519,Return!E1519)</f>
        <v>v</v>
      </c>
      <c r="F1519" s="2" t="str">
        <f t="shared" si="69"/>
        <v/>
      </c>
      <c r="G1519" s="2" t="str">
        <f t="shared" si="71"/>
        <v/>
      </c>
      <c r="H1519" s="2" t="str">
        <f t="shared" si="70"/>
        <v/>
      </c>
      <c r="I1519" s="2" t="str">
        <f>IF(Return!C1519=0,REPLACE(INDEX(H:H,ROW()+Return!B1519,),1,2,Return!E1519&amp;"(")&amp;")","")</f>
        <v>v(vr, vr, vr, vr, vr, [vr])</v>
      </c>
      <c r="M1519" s="1"/>
    </row>
    <row r="1520" spans="1:13" x14ac:dyDescent="0.55000000000000004">
      <c r="A1520" s="1" t="s">
        <v>1889</v>
      </c>
      <c r="B1520" t="s">
        <v>1392</v>
      </c>
      <c r="C1520" s="2">
        <f>Return!C1520</f>
        <v>1</v>
      </c>
      <c r="D1520" s="2">
        <f>COUNTA(Argument!E1520)</f>
        <v>0</v>
      </c>
      <c r="E1520" s="2" t="str">
        <f>IF(C1520,Return!D1520,Return!E1520)</f>
        <v>vr</v>
      </c>
      <c r="F1520" s="2" t="str">
        <f t="shared" si="69"/>
        <v>vr</v>
      </c>
      <c r="G1520" s="2" t="str">
        <f t="shared" si="71"/>
        <v>vr</v>
      </c>
      <c r="H1520" s="2" t="str">
        <f t="shared" si="70"/>
        <v>, vr</v>
      </c>
      <c r="I1520" s="2" t="str">
        <f>IF(Return!C1520=0,REPLACE(INDEX(H:H,ROW()+Return!B1520,),1,2,Return!E1520&amp;"(")&amp;")","")</f>
        <v/>
      </c>
      <c r="M1520" s="1"/>
    </row>
    <row r="1521" spans="1:13" x14ac:dyDescent="0.55000000000000004">
      <c r="A1521" s="1" t="s">
        <v>1889</v>
      </c>
      <c r="B1521" t="s">
        <v>1393</v>
      </c>
      <c r="C1521" s="2">
        <f>Return!C1521</f>
        <v>2</v>
      </c>
      <c r="D1521" s="2">
        <f>COUNTA(Argument!E1521)</f>
        <v>0</v>
      </c>
      <c r="E1521" s="2" t="str">
        <f>IF(C1521,Return!D1521,Return!E1521)</f>
        <v>vr</v>
      </c>
      <c r="F1521" s="2" t="str">
        <f t="shared" si="69"/>
        <v>vr</v>
      </c>
      <c r="G1521" s="2" t="str">
        <f t="shared" si="71"/>
        <v>vr</v>
      </c>
      <c r="H1521" s="2" t="str">
        <f t="shared" si="70"/>
        <v>, vr, vr</v>
      </c>
      <c r="I1521" s="2" t="str">
        <f>IF(Return!C1521=0,REPLACE(INDEX(H:H,ROW()+Return!B1521,),1,2,Return!E1521&amp;"(")&amp;")","")</f>
        <v/>
      </c>
      <c r="M1521" s="1"/>
    </row>
    <row r="1522" spans="1:13" x14ac:dyDescent="0.55000000000000004">
      <c r="A1522" s="1" t="s">
        <v>1889</v>
      </c>
      <c r="B1522" t="s">
        <v>1409</v>
      </c>
      <c r="C1522" s="2">
        <f>Return!C1522</f>
        <v>3</v>
      </c>
      <c r="D1522" s="2">
        <f>COUNTA(Argument!E1522)</f>
        <v>0</v>
      </c>
      <c r="E1522" s="2" t="str">
        <f>IF(C1522,Return!D1522,Return!E1522)</f>
        <v>vr</v>
      </c>
      <c r="F1522" s="2" t="str">
        <f t="shared" si="69"/>
        <v>vr</v>
      </c>
      <c r="G1522" s="2" t="str">
        <f t="shared" si="71"/>
        <v>vr</v>
      </c>
      <c r="H1522" s="2" t="str">
        <f t="shared" si="70"/>
        <v>, vr, vr, vr</v>
      </c>
      <c r="I1522" s="2" t="str">
        <f>IF(Return!C1522=0,REPLACE(INDEX(H:H,ROW()+Return!B1522,),1,2,Return!E1522&amp;"(")&amp;")","")</f>
        <v/>
      </c>
      <c r="M1522" s="1"/>
    </row>
    <row r="1523" spans="1:13" x14ac:dyDescent="0.55000000000000004">
      <c r="A1523" s="1" t="s">
        <v>1889</v>
      </c>
      <c r="B1523" t="s">
        <v>1395</v>
      </c>
      <c r="C1523" s="2">
        <f>Return!C1523</f>
        <v>4</v>
      </c>
      <c r="D1523" s="2">
        <f>COUNTA(Argument!E1523)</f>
        <v>0</v>
      </c>
      <c r="E1523" s="2" t="str">
        <f>IF(C1523,Return!D1523,Return!E1523)</f>
        <v>vr</v>
      </c>
      <c r="F1523" s="2" t="str">
        <f t="shared" si="69"/>
        <v>vr</v>
      </c>
      <c r="G1523" s="2" t="str">
        <f t="shared" si="71"/>
        <v>vr</v>
      </c>
      <c r="H1523" s="2" t="str">
        <f t="shared" si="70"/>
        <v>, vr, vr, vr, vr</v>
      </c>
      <c r="I1523" s="2" t="str">
        <f>IF(Return!C1523=0,REPLACE(INDEX(H:H,ROW()+Return!B1523,),1,2,Return!E1523&amp;"(")&amp;")","")</f>
        <v/>
      </c>
      <c r="M1523" s="1"/>
    </row>
    <row r="1524" spans="1:13" x14ac:dyDescent="0.55000000000000004">
      <c r="A1524" s="1" t="s">
        <v>1889</v>
      </c>
      <c r="B1524" t="s">
        <v>1401</v>
      </c>
      <c r="C1524" s="2">
        <f>Return!C1524</f>
        <v>5</v>
      </c>
      <c r="D1524" s="2">
        <f>COUNTA(Argument!E1524)</f>
        <v>1</v>
      </c>
      <c r="E1524" s="2" t="str">
        <f>IF(C1524,Return!D1524,Return!E1524)</f>
        <v>vr</v>
      </c>
      <c r="F1524" s="2" t="str">
        <f t="shared" si="69"/>
        <v>vr</v>
      </c>
      <c r="G1524" s="2" t="str">
        <f t="shared" si="71"/>
        <v>vr</v>
      </c>
      <c r="H1524" s="2" t="str">
        <f t="shared" si="70"/>
        <v>, vr, vr, vr, vr, vr</v>
      </c>
      <c r="I1524" s="2" t="str">
        <f>IF(Return!C1524=0,REPLACE(INDEX(H:H,ROW()+Return!B1524,),1,2,Return!E1524&amp;"(")&amp;")","")</f>
        <v/>
      </c>
      <c r="M1524" s="1"/>
    </row>
    <row r="1525" spans="1:13" x14ac:dyDescent="0.55000000000000004">
      <c r="A1525" s="1" t="s">
        <v>1889</v>
      </c>
      <c r="B1525" t="s">
        <v>1396</v>
      </c>
      <c r="C1525" s="2">
        <f>Return!C1525</f>
        <v>6</v>
      </c>
      <c r="D1525" s="2">
        <f>COUNTA(Argument!E1525)</f>
        <v>1</v>
      </c>
      <c r="E1525" s="2" t="str">
        <f>IF(C1525,Return!D1525,Return!E1525)</f>
        <v>vr</v>
      </c>
      <c r="F1525" s="2" t="str">
        <f t="shared" si="69"/>
        <v>[vr]</v>
      </c>
      <c r="G1525" s="2" t="str">
        <f t="shared" si="71"/>
        <v>[vr]</v>
      </c>
      <c r="H1525" s="2" t="str">
        <f t="shared" si="70"/>
        <v>, vr, vr, vr, vr, vr, [vr]</v>
      </c>
      <c r="I1525" s="2" t="str">
        <f>IF(Return!C1525=0,REPLACE(INDEX(H:H,ROW()+Return!B1525,),1,2,Return!E1525&amp;"(")&amp;")","")</f>
        <v/>
      </c>
      <c r="M1525" s="1"/>
    </row>
    <row r="1526" spans="1:13" x14ac:dyDescent="0.55000000000000004">
      <c r="A1526" s="1" t="s">
        <v>1890</v>
      </c>
      <c r="C1526" s="2">
        <f>Return!C1526</f>
        <v>0</v>
      </c>
      <c r="D1526" s="2">
        <f>COUNTA(Argument!E1526)</f>
        <v>0</v>
      </c>
      <c r="E1526" s="2" t="str">
        <f>IF(C1526,Return!D1526,Return!E1526)</f>
        <v>v</v>
      </c>
      <c r="F1526" s="2" t="str">
        <f t="shared" si="69"/>
        <v/>
      </c>
      <c r="G1526" s="2" t="str">
        <f t="shared" si="71"/>
        <v/>
      </c>
      <c r="H1526" s="2" t="str">
        <f t="shared" si="70"/>
        <v/>
      </c>
      <c r="I1526" s="2" t="str">
        <f>IF(Return!C1526=0,REPLACE(INDEX(H:H,ROW()+Return!B1526,),1,2,Return!E1526&amp;"(")&amp;")","")</f>
        <v>v(vr, vr, vr, vr, vr, vr, vr, [vr])</v>
      </c>
      <c r="M1526" s="1"/>
    </row>
    <row r="1527" spans="1:13" x14ac:dyDescent="0.55000000000000004">
      <c r="A1527" s="1" t="s">
        <v>1890</v>
      </c>
      <c r="B1527" t="s">
        <v>1392</v>
      </c>
      <c r="C1527" s="2">
        <f>Return!C1527</f>
        <v>1</v>
      </c>
      <c r="D1527" s="2">
        <f>COUNTA(Argument!E1527)</f>
        <v>0</v>
      </c>
      <c r="E1527" s="2" t="str">
        <f>IF(C1527,Return!D1527,Return!E1527)</f>
        <v>vr</v>
      </c>
      <c r="F1527" s="2" t="str">
        <f t="shared" si="69"/>
        <v>vr</v>
      </c>
      <c r="G1527" s="2" t="str">
        <f t="shared" si="71"/>
        <v>vr</v>
      </c>
      <c r="H1527" s="2" t="str">
        <f t="shared" si="70"/>
        <v>, vr</v>
      </c>
      <c r="I1527" s="2" t="str">
        <f>IF(Return!C1527=0,REPLACE(INDEX(H:H,ROW()+Return!B1527,),1,2,Return!E1527&amp;"(")&amp;")","")</f>
        <v/>
      </c>
      <c r="M1527" s="1"/>
    </row>
    <row r="1528" spans="1:13" x14ac:dyDescent="0.55000000000000004">
      <c r="A1528" s="1" t="s">
        <v>1890</v>
      </c>
      <c r="B1528" t="s">
        <v>1393</v>
      </c>
      <c r="C1528" s="2">
        <f>Return!C1528</f>
        <v>2</v>
      </c>
      <c r="D1528" s="2">
        <f>COUNTA(Argument!E1528)</f>
        <v>0</v>
      </c>
      <c r="E1528" s="2" t="str">
        <f>IF(C1528,Return!D1528,Return!E1528)</f>
        <v>vr</v>
      </c>
      <c r="F1528" s="2" t="str">
        <f t="shared" si="69"/>
        <v>vr</v>
      </c>
      <c r="G1528" s="2" t="str">
        <f t="shared" si="71"/>
        <v>vr</v>
      </c>
      <c r="H1528" s="2" t="str">
        <f t="shared" si="70"/>
        <v>, vr, vr</v>
      </c>
      <c r="I1528" s="2" t="str">
        <f>IF(Return!C1528=0,REPLACE(INDEX(H:H,ROW()+Return!B1528,),1,2,Return!E1528&amp;"(")&amp;")","")</f>
        <v/>
      </c>
      <c r="M1528" s="1"/>
    </row>
    <row r="1529" spans="1:13" x14ac:dyDescent="0.55000000000000004">
      <c r="A1529" s="1" t="s">
        <v>1890</v>
      </c>
      <c r="B1529" t="s">
        <v>1410</v>
      </c>
      <c r="C1529" s="2">
        <f>Return!C1529</f>
        <v>3</v>
      </c>
      <c r="D1529" s="2">
        <f>COUNTA(Argument!E1529)</f>
        <v>0</v>
      </c>
      <c r="E1529" s="2" t="str">
        <f>IF(C1529,Return!D1529,Return!E1529)</f>
        <v>vr</v>
      </c>
      <c r="F1529" s="2" t="str">
        <f t="shared" si="69"/>
        <v>vr</v>
      </c>
      <c r="G1529" s="2" t="str">
        <f t="shared" si="71"/>
        <v>vr</v>
      </c>
      <c r="H1529" s="2" t="str">
        <f t="shared" si="70"/>
        <v>, vr, vr, vr</v>
      </c>
      <c r="I1529" s="2" t="str">
        <f>IF(Return!C1529=0,REPLACE(INDEX(H:H,ROW()+Return!B1529,),1,2,Return!E1529&amp;"(")&amp;")","")</f>
        <v/>
      </c>
      <c r="M1529" s="1"/>
    </row>
    <row r="1530" spans="1:13" x14ac:dyDescent="0.55000000000000004">
      <c r="A1530" s="1" t="s">
        <v>1890</v>
      </c>
      <c r="B1530" t="s">
        <v>1222</v>
      </c>
      <c r="C1530" s="2">
        <f>Return!C1530</f>
        <v>4</v>
      </c>
      <c r="D1530" s="2">
        <f>COUNTA(Argument!E1530)</f>
        <v>0</v>
      </c>
      <c r="E1530" s="2" t="str">
        <f>IF(C1530,Return!D1530,Return!E1530)</f>
        <v>vr</v>
      </c>
      <c r="F1530" s="2" t="str">
        <f t="shared" si="69"/>
        <v>vr</v>
      </c>
      <c r="G1530" s="2" t="str">
        <f t="shared" si="71"/>
        <v>vr</v>
      </c>
      <c r="H1530" s="2" t="str">
        <f t="shared" si="70"/>
        <v>, vr, vr, vr, vr</v>
      </c>
      <c r="I1530" s="2" t="str">
        <f>IF(Return!C1530=0,REPLACE(INDEX(H:H,ROW()+Return!B1530,),1,2,Return!E1530&amp;"(")&amp;")","")</f>
        <v/>
      </c>
      <c r="M1530" s="1"/>
    </row>
    <row r="1531" spans="1:13" x14ac:dyDescent="0.55000000000000004">
      <c r="A1531" s="1" t="s">
        <v>1890</v>
      </c>
      <c r="B1531" t="s">
        <v>1395</v>
      </c>
      <c r="C1531" s="2">
        <f>Return!C1531</f>
        <v>5</v>
      </c>
      <c r="D1531" s="2">
        <f>COUNTA(Argument!E1531)</f>
        <v>0</v>
      </c>
      <c r="E1531" s="2" t="str">
        <f>IF(C1531,Return!D1531,Return!E1531)</f>
        <v>vr</v>
      </c>
      <c r="F1531" s="2" t="str">
        <f t="shared" si="69"/>
        <v>vr</v>
      </c>
      <c r="G1531" s="2" t="str">
        <f t="shared" si="71"/>
        <v>vr</v>
      </c>
      <c r="H1531" s="2" t="str">
        <f t="shared" si="70"/>
        <v>, vr, vr, vr, vr, vr</v>
      </c>
      <c r="I1531" s="2" t="str">
        <f>IF(Return!C1531=0,REPLACE(INDEX(H:H,ROW()+Return!B1531,),1,2,Return!E1531&amp;"(")&amp;")","")</f>
        <v/>
      </c>
      <c r="M1531" s="1"/>
    </row>
    <row r="1532" spans="1:13" x14ac:dyDescent="0.55000000000000004">
      <c r="A1532" s="1" t="s">
        <v>1890</v>
      </c>
      <c r="B1532" t="s">
        <v>1399</v>
      </c>
      <c r="C1532" s="2">
        <f>Return!C1532</f>
        <v>6</v>
      </c>
      <c r="D1532" s="2">
        <f>COUNTA(Argument!E1532)</f>
        <v>0</v>
      </c>
      <c r="E1532" s="2" t="str">
        <f>IF(C1532,Return!D1532,Return!E1532)</f>
        <v>vr</v>
      </c>
      <c r="F1532" s="2" t="str">
        <f t="shared" si="69"/>
        <v>vr</v>
      </c>
      <c r="G1532" s="2" t="str">
        <f t="shared" si="71"/>
        <v>vr</v>
      </c>
      <c r="H1532" s="2" t="str">
        <f t="shared" si="70"/>
        <v>, vr, vr, vr, vr, vr, vr</v>
      </c>
      <c r="I1532" s="2" t="str">
        <f>IF(Return!C1532=0,REPLACE(INDEX(H:H,ROW()+Return!B1532,),1,2,Return!E1532&amp;"(")&amp;")","")</f>
        <v/>
      </c>
      <c r="M1532" s="1"/>
    </row>
    <row r="1533" spans="1:13" x14ac:dyDescent="0.55000000000000004">
      <c r="A1533" s="1" t="s">
        <v>1890</v>
      </c>
      <c r="B1533" t="s">
        <v>1401</v>
      </c>
      <c r="C1533" s="2">
        <f>Return!C1533</f>
        <v>7</v>
      </c>
      <c r="D1533" s="2">
        <f>COUNTA(Argument!E1533)</f>
        <v>1</v>
      </c>
      <c r="E1533" s="2" t="str">
        <f>IF(C1533,Return!D1533,Return!E1533)</f>
        <v>vr</v>
      </c>
      <c r="F1533" s="2" t="str">
        <f t="shared" si="69"/>
        <v>vr</v>
      </c>
      <c r="G1533" s="2" t="str">
        <f t="shared" si="71"/>
        <v>vr</v>
      </c>
      <c r="H1533" s="2" t="str">
        <f t="shared" si="70"/>
        <v>, vr, vr, vr, vr, vr, vr, vr</v>
      </c>
      <c r="I1533" s="2" t="str">
        <f>IF(Return!C1533=0,REPLACE(INDEX(H:H,ROW()+Return!B1533,),1,2,Return!E1533&amp;"(")&amp;")","")</f>
        <v/>
      </c>
      <c r="M1533" s="1"/>
    </row>
    <row r="1534" spans="1:13" x14ac:dyDescent="0.55000000000000004">
      <c r="A1534" s="1" t="s">
        <v>1890</v>
      </c>
      <c r="B1534" t="s">
        <v>1396</v>
      </c>
      <c r="C1534" s="2">
        <f>Return!C1534</f>
        <v>8</v>
      </c>
      <c r="D1534" s="2">
        <f>COUNTA(Argument!E1534)</f>
        <v>1</v>
      </c>
      <c r="E1534" s="2" t="str">
        <f>IF(C1534,Return!D1534,Return!E1534)</f>
        <v>vr</v>
      </c>
      <c r="F1534" s="2" t="str">
        <f t="shared" si="69"/>
        <v>[vr]</v>
      </c>
      <c r="G1534" s="2" t="str">
        <f t="shared" si="71"/>
        <v>[vr]</v>
      </c>
      <c r="H1534" s="2" t="str">
        <f t="shared" si="70"/>
        <v>, vr, vr, vr, vr, vr, vr, vr, [vr]</v>
      </c>
      <c r="I1534" s="2" t="str">
        <f>IF(Return!C1534=0,REPLACE(INDEX(H:H,ROW()+Return!B1534,),1,2,Return!E1534&amp;"(")&amp;")","")</f>
        <v/>
      </c>
      <c r="M1534" s="1"/>
    </row>
    <row r="1535" spans="1:13" x14ac:dyDescent="0.55000000000000004">
      <c r="A1535" s="1" t="s">
        <v>1891</v>
      </c>
      <c r="C1535" s="2">
        <f>Return!C1535</f>
        <v>0</v>
      </c>
      <c r="D1535" s="2">
        <f>COUNTA(Argument!E1535)</f>
        <v>0</v>
      </c>
      <c r="E1535" s="2" t="str">
        <f>IF(C1535,Return!D1535,Return!E1535)</f>
        <v>v</v>
      </c>
      <c r="F1535" s="2" t="str">
        <f t="shared" si="69"/>
        <v/>
      </c>
      <c r="G1535" s="2" t="str">
        <f t="shared" si="71"/>
        <v/>
      </c>
      <c r="H1535" s="2" t="str">
        <f t="shared" si="70"/>
        <v/>
      </c>
      <c r="I1535" s="2" t="str">
        <f>IF(Return!C1535=0,REPLACE(INDEX(H:H,ROW()+Return!B1535,),1,2,Return!E1535&amp;"(")&amp;")","")</f>
        <v>v(vr, vr, vr, vr, vr, vr, vr, [vr])</v>
      </c>
      <c r="M1535" s="1"/>
    </row>
    <row r="1536" spans="1:13" x14ac:dyDescent="0.55000000000000004">
      <c r="A1536" s="1" t="s">
        <v>1891</v>
      </c>
      <c r="B1536" t="s">
        <v>1392</v>
      </c>
      <c r="C1536" s="2">
        <f>Return!C1536</f>
        <v>1</v>
      </c>
      <c r="D1536" s="2">
        <f>COUNTA(Argument!E1536)</f>
        <v>0</v>
      </c>
      <c r="E1536" s="2" t="str">
        <f>IF(C1536,Return!D1536,Return!E1536)</f>
        <v>vr</v>
      </c>
      <c r="F1536" s="2" t="str">
        <f t="shared" si="69"/>
        <v>vr</v>
      </c>
      <c r="G1536" s="2" t="str">
        <f t="shared" si="71"/>
        <v>vr</v>
      </c>
      <c r="H1536" s="2" t="str">
        <f t="shared" si="70"/>
        <v>, vr</v>
      </c>
      <c r="I1536" s="2" t="str">
        <f>IF(Return!C1536=0,REPLACE(INDEX(H:H,ROW()+Return!B1536,),1,2,Return!E1536&amp;"(")&amp;")","")</f>
        <v/>
      </c>
      <c r="M1536" s="1"/>
    </row>
    <row r="1537" spans="1:13" x14ac:dyDescent="0.55000000000000004">
      <c r="A1537" s="1" t="s">
        <v>1891</v>
      </c>
      <c r="B1537" t="s">
        <v>1393</v>
      </c>
      <c r="C1537" s="2">
        <f>Return!C1537</f>
        <v>2</v>
      </c>
      <c r="D1537" s="2">
        <f>COUNTA(Argument!E1537)</f>
        <v>0</v>
      </c>
      <c r="E1537" s="2" t="str">
        <f>IF(C1537,Return!D1537,Return!E1537)</f>
        <v>vr</v>
      </c>
      <c r="F1537" s="2" t="str">
        <f t="shared" si="69"/>
        <v>vr</v>
      </c>
      <c r="G1537" s="2" t="str">
        <f t="shared" si="71"/>
        <v>vr</v>
      </c>
      <c r="H1537" s="2" t="str">
        <f t="shared" si="70"/>
        <v>, vr, vr</v>
      </c>
      <c r="I1537" s="2" t="str">
        <f>IF(Return!C1537=0,REPLACE(INDEX(H:H,ROW()+Return!B1537,),1,2,Return!E1537&amp;"(")&amp;")","")</f>
        <v/>
      </c>
      <c r="M1537" s="1"/>
    </row>
    <row r="1538" spans="1:13" x14ac:dyDescent="0.55000000000000004">
      <c r="A1538" s="1" t="s">
        <v>1891</v>
      </c>
      <c r="B1538" t="s">
        <v>1410</v>
      </c>
      <c r="C1538" s="2">
        <f>Return!C1538</f>
        <v>3</v>
      </c>
      <c r="D1538" s="2">
        <f>COUNTA(Argument!E1538)</f>
        <v>0</v>
      </c>
      <c r="E1538" s="2" t="str">
        <f>IF(C1538,Return!D1538,Return!E1538)</f>
        <v>vr</v>
      </c>
      <c r="F1538" s="2" t="str">
        <f t="shared" si="69"/>
        <v>vr</v>
      </c>
      <c r="G1538" s="2" t="str">
        <f t="shared" si="71"/>
        <v>vr</v>
      </c>
      <c r="H1538" s="2" t="str">
        <f t="shared" si="70"/>
        <v>, vr, vr, vr</v>
      </c>
      <c r="I1538" s="2" t="str">
        <f>IF(Return!C1538=0,REPLACE(INDEX(H:H,ROW()+Return!B1538,),1,2,Return!E1538&amp;"(")&amp;")","")</f>
        <v/>
      </c>
      <c r="M1538" s="1"/>
    </row>
    <row r="1539" spans="1:13" x14ac:dyDescent="0.55000000000000004">
      <c r="A1539" s="1" t="s">
        <v>1891</v>
      </c>
      <c r="B1539" t="s">
        <v>1222</v>
      </c>
      <c r="C1539" s="2">
        <f>Return!C1539</f>
        <v>4</v>
      </c>
      <c r="D1539" s="2">
        <f>COUNTA(Argument!E1539)</f>
        <v>0</v>
      </c>
      <c r="E1539" s="2" t="str">
        <f>IF(C1539,Return!D1539,Return!E1539)</f>
        <v>vr</v>
      </c>
      <c r="F1539" s="2" t="str">
        <f t="shared" ref="F1539:F1602" si="72">IF(C1539,IF(D1539,IF(D1538,"["&amp;E1539&amp;"]",E1539),E1539),"")</f>
        <v>vr</v>
      </c>
      <c r="G1539" s="2" t="str">
        <f t="shared" si="71"/>
        <v>vr</v>
      </c>
      <c r="H1539" s="2" t="str">
        <f t="shared" ref="H1539:H1602" si="73">IF(C1539&gt;0,H1538&amp;", "&amp;G1539,"")</f>
        <v>, vr, vr, vr, vr</v>
      </c>
      <c r="I1539" s="2" t="str">
        <f>IF(Return!C1539=0,REPLACE(INDEX(H:H,ROW()+Return!B1539,),1,2,Return!E1539&amp;"(")&amp;")","")</f>
        <v/>
      </c>
      <c r="M1539" s="1"/>
    </row>
    <row r="1540" spans="1:13" x14ac:dyDescent="0.55000000000000004">
      <c r="A1540" s="1" t="s">
        <v>1891</v>
      </c>
      <c r="B1540" t="s">
        <v>1397</v>
      </c>
      <c r="C1540" s="2">
        <f>Return!C1540</f>
        <v>5</v>
      </c>
      <c r="D1540" s="2">
        <f>COUNTA(Argument!E1540)</f>
        <v>0</v>
      </c>
      <c r="E1540" s="2" t="str">
        <f>IF(C1540,Return!D1540,Return!E1540)</f>
        <v>vr</v>
      </c>
      <c r="F1540" s="2" t="str">
        <f t="shared" si="72"/>
        <v>vr</v>
      </c>
      <c r="G1540" s="2" t="str">
        <f t="shared" ref="G1540:G1603" si="74">IF(B1540="...",IF(C1541&gt;0,"["&amp;E1540,"…"),IF(B1539=" ...",IF(C1540&gt;0,E1540&amp;"], …",F1540),F1540))</f>
        <v>vr</v>
      </c>
      <c r="H1540" s="2" t="str">
        <f t="shared" si="73"/>
        <v>, vr, vr, vr, vr, vr</v>
      </c>
      <c r="I1540" s="2" t="str">
        <f>IF(Return!C1540=0,REPLACE(INDEX(H:H,ROW()+Return!B1540,),1,2,Return!E1540&amp;"(")&amp;")","")</f>
        <v/>
      </c>
      <c r="M1540" s="1"/>
    </row>
    <row r="1541" spans="1:13" x14ac:dyDescent="0.55000000000000004">
      <c r="A1541" s="1" t="s">
        <v>1891</v>
      </c>
      <c r="B1541" t="s">
        <v>1399</v>
      </c>
      <c r="C1541" s="2">
        <f>Return!C1541</f>
        <v>6</v>
      </c>
      <c r="D1541" s="2">
        <f>COUNTA(Argument!E1541)</f>
        <v>0</v>
      </c>
      <c r="E1541" s="2" t="str">
        <f>IF(C1541,Return!D1541,Return!E1541)</f>
        <v>vr</v>
      </c>
      <c r="F1541" s="2" t="str">
        <f t="shared" si="72"/>
        <v>vr</v>
      </c>
      <c r="G1541" s="2" t="str">
        <f t="shared" si="74"/>
        <v>vr</v>
      </c>
      <c r="H1541" s="2" t="str">
        <f t="shared" si="73"/>
        <v>, vr, vr, vr, vr, vr, vr</v>
      </c>
      <c r="I1541" s="2" t="str">
        <f>IF(Return!C1541=0,REPLACE(INDEX(H:H,ROW()+Return!B1541,),1,2,Return!E1541&amp;"(")&amp;")","")</f>
        <v/>
      </c>
      <c r="M1541" s="1"/>
    </row>
    <row r="1542" spans="1:13" x14ac:dyDescent="0.55000000000000004">
      <c r="A1542" s="1" t="s">
        <v>1891</v>
      </c>
      <c r="B1542" t="s">
        <v>1401</v>
      </c>
      <c r="C1542" s="2">
        <f>Return!C1542</f>
        <v>7</v>
      </c>
      <c r="D1542" s="2">
        <f>COUNTA(Argument!E1542)</f>
        <v>1</v>
      </c>
      <c r="E1542" s="2" t="str">
        <f>IF(C1542,Return!D1542,Return!E1542)</f>
        <v>vr</v>
      </c>
      <c r="F1542" s="2" t="str">
        <f t="shared" si="72"/>
        <v>vr</v>
      </c>
      <c r="G1542" s="2" t="str">
        <f t="shared" si="74"/>
        <v>vr</v>
      </c>
      <c r="H1542" s="2" t="str">
        <f t="shared" si="73"/>
        <v>, vr, vr, vr, vr, vr, vr, vr</v>
      </c>
      <c r="I1542" s="2" t="str">
        <f>IF(Return!C1542=0,REPLACE(INDEX(H:H,ROW()+Return!B1542,),1,2,Return!E1542&amp;"(")&amp;")","")</f>
        <v/>
      </c>
      <c r="M1542" s="1"/>
    </row>
    <row r="1543" spans="1:13" x14ac:dyDescent="0.55000000000000004">
      <c r="A1543" s="1" t="s">
        <v>1891</v>
      </c>
      <c r="B1543" t="s">
        <v>1396</v>
      </c>
      <c r="C1543" s="2">
        <f>Return!C1543</f>
        <v>8</v>
      </c>
      <c r="D1543" s="2">
        <f>COUNTA(Argument!E1543)</f>
        <v>1</v>
      </c>
      <c r="E1543" s="2" t="str">
        <f>IF(C1543,Return!D1543,Return!E1543)</f>
        <v>vr</v>
      </c>
      <c r="F1543" s="2" t="str">
        <f t="shared" si="72"/>
        <v>[vr]</v>
      </c>
      <c r="G1543" s="2" t="str">
        <f t="shared" si="74"/>
        <v>[vr]</v>
      </c>
      <c r="H1543" s="2" t="str">
        <f t="shared" si="73"/>
        <v>, vr, vr, vr, vr, vr, vr, vr, [vr]</v>
      </c>
      <c r="I1543" s="2" t="str">
        <f>IF(Return!C1543=0,REPLACE(INDEX(H:H,ROW()+Return!B1543,),1,2,Return!E1543&amp;"(")&amp;")","")</f>
        <v/>
      </c>
      <c r="M1543" s="1"/>
    </row>
    <row r="1544" spans="1:13" x14ac:dyDescent="0.55000000000000004">
      <c r="A1544" s="1" t="s">
        <v>1892</v>
      </c>
      <c r="C1544" s="2">
        <f>Return!C1544</f>
        <v>0</v>
      </c>
      <c r="D1544" s="2">
        <f>COUNTA(Argument!E1544)</f>
        <v>0</v>
      </c>
      <c r="E1544" s="2" t="str">
        <f>IF(C1544,Return!D1544,Return!E1544)</f>
        <v>v</v>
      </c>
      <c r="F1544" s="2" t="str">
        <f t="shared" si="72"/>
        <v/>
      </c>
      <c r="G1544" s="2" t="str">
        <f t="shared" si="74"/>
        <v/>
      </c>
      <c r="H1544" s="2" t="str">
        <f t="shared" si="73"/>
        <v/>
      </c>
      <c r="I1544" s="2" t="str">
        <f>IF(Return!C1544=0,REPLACE(INDEX(H:H,ROW()+Return!B1544,),1,2,Return!E1544&amp;"(")&amp;")","")</f>
        <v>v(vr, vr, vr, vr, vr, vr, vr, vr, [vr])</v>
      </c>
      <c r="M1544" s="1"/>
    </row>
    <row r="1545" spans="1:13" x14ac:dyDescent="0.55000000000000004">
      <c r="A1545" s="1" t="s">
        <v>1892</v>
      </c>
      <c r="B1545" t="s">
        <v>1392</v>
      </c>
      <c r="C1545" s="2">
        <f>Return!C1545</f>
        <v>1</v>
      </c>
      <c r="D1545" s="2">
        <f>COUNTA(Argument!E1545)</f>
        <v>0</v>
      </c>
      <c r="E1545" s="2" t="str">
        <f>IF(C1545,Return!D1545,Return!E1545)</f>
        <v>vr</v>
      </c>
      <c r="F1545" s="2" t="str">
        <f t="shared" si="72"/>
        <v>vr</v>
      </c>
      <c r="G1545" s="2" t="str">
        <f t="shared" si="74"/>
        <v>vr</v>
      </c>
      <c r="H1545" s="2" t="str">
        <f t="shared" si="73"/>
        <v>, vr</v>
      </c>
      <c r="I1545" s="2" t="str">
        <f>IF(Return!C1545=0,REPLACE(INDEX(H:H,ROW()+Return!B1545,),1,2,Return!E1545&amp;"(")&amp;")","")</f>
        <v/>
      </c>
      <c r="M1545" s="1"/>
    </row>
    <row r="1546" spans="1:13" x14ac:dyDescent="0.55000000000000004">
      <c r="A1546" s="1" t="s">
        <v>1892</v>
      </c>
      <c r="B1546" t="s">
        <v>1393</v>
      </c>
      <c r="C1546" s="2">
        <f>Return!C1546</f>
        <v>2</v>
      </c>
      <c r="D1546" s="2">
        <f>COUNTA(Argument!E1546)</f>
        <v>0</v>
      </c>
      <c r="E1546" s="2" t="str">
        <f>IF(C1546,Return!D1546,Return!E1546)</f>
        <v>vr</v>
      </c>
      <c r="F1546" s="2" t="str">
        <f t="shared" si="72"/>
        <v>vr</v>
      </c>
      <c r="G1546" s="2" t="str">
        <f t="shared" si="74"/>
        <v>vr</v>
      </c>
      <c r="H1546" s="2" t="str">
        <f t="shared" si="73"/>
        <v>, vr, vr</v>
      </c>
      <c r="I1546" s="2" t="str">
        <f>IF(Return!C1546=0,REPLACE(INDEX(H:H,ROW()+Return!B1546,),1,2,Return!E1546&amp;"(")&amp;")","")</f>
        <v/>
      </c>
      <c r="M1546" s="1"/>
    </row>
    <row r="1547" spans="1:13" x14ac:dyDescent="0.55000000000000004">
      <c r="A1547" s="1" t="s">
        <v>1892</v>
      </c>
      <c r="B1547" t="s">
        <v>1394</v>
      </c>
      <c r="C1547" s="2">
        <f>Return!C1547</f>
        <v>3</v>
      </c>
      <c r="D1547" s="2">
        <f>COUNTA(Argument!E1547)</f>
        <v>0</v>
      </c>
      <c r="E1547" s="2" t="str">
        <f>IF(C1547,Return!D1547,Return!E1547)</f>
        <v>vr</v>
      </c>
      <c r="F1547" s="2" t="str">
        <f t="shared" si="72"/>
        <v>vr</v>
      </c>
      <c r="G1547" s="2" t="str">
        <f t="shared" si="74"/>
        <v>vr</v>
      </c>
      <c r="H1547" s="2" t="str">
        <f t="shared" si="73"/>
        <v>, vr, vr, vr</v>
      </c>
      <c r="I1547" s="2" t="str">
        <f>IF(Return!C1547=0,REPLACE(INDEX(H:H,ROW()+Return!B1547,),1,2,Return!E1547&amp;"(")&amp;")","")</f>
        <v/>
      </c>
      <c r="M1547" s="1"/>
    </row>
    <row r="1548" spans="1:13" x14ac:dyDescent="0.55000000000000004">
      <c r="A1548" s="1" t="s">
        <v>1892</v>
      </c>
      <c r="B1548" t="s">
        <v>1411</v>
      </c>
      <c r="C1548" s="2">
        <f>Return!C1548</f>
        <v>4</v>
      </c>
      <c r="D1548" s="2">
        <f>COUNTA(Argument!E1548)</f>
        <v>0</v>
      </c>
      <c r="E1548" s="2" t="str">
        <f>IF(C1548,Return!D1548,Return!E1548)</f>
        <v>vr</v>
      </c>
      <c r="F1548" s="2" t="str">
        <f t="shared" si="72"/>
        <v>vr</v>
      </c>
      <c r="G1548" s="2" t="str">
        <f t="shared" si="74"/>
        <v>vr</v>
      </c>
      <c r="H1548" s="2" t="str">
        <f t="shared" si="73"/>
        <v>, vr, vr, vr, vr</v>
      </c>
      <c r="I1548" s="2" t="str">
        <f>IF(Return!C1548=0,REPLACE(INDEX(H:H,ROW()+Return!B1548,),1,2,Return!E1548&amp;"(")&amp;")","")</f>
        <v/>
      </c>
      <c r="M1548" s="1"/>
    </row>
    <row r="1549" spans="1:13" x14ac:dyDescent="0.55000000000000004">
      <c r="A1549" s="1" t="s">
        <v>1892</v>
      </c>
      <c r="B1549" t="s">
        <v>1222</v>
      </c>
      <c r="C1549" s="2">
        <f>Return!C1549</f>
        <v>5</v>
      </c>
      <c r="D1549" s="2">
        <f>COUNTA(Argument!E1549)</f>
        <v>0</v>
      </c>
      <c r="E1549" s="2" t="str">
        <f>IF(C1549,Return!D1549,Return!E1549)</f>
        <v>vr</v>
      </c>
      <c r="F1549" s="2" t="str">
        <f t="shared" si="72"/>
        <v>vr</v>
      </c>
      <c r="G1549" s="2" t="str">
        <f t="shared" si="74"/>
        <v>vr</v>
      </c>
      <c r="H1549" s="2" t="str">
        <f t="shared" si="73"/>
        <v>, vr, vr, vr, vr, vr</v>
      </c>
      <c r="I1549" s="2" t="str">
        <f>IF(Return!C1549=0,REPLACE(INDEX(H:H,ROW()+Return!B1549,),1,2,Return!E1549&amp;"(")&amp;")","")</f>
        <v/>
      </c>
      <c r="M1549" s="1"/>
    </row>
    <row r="1550" spans="1:13" x14ac:dyDescent="0.55000000000000004">
      <c r="A1550" s="1" t="s">
        <v>1892</v>
      </c>
      <c r="B1550" t="s">
        <v>1395</v>
      </c>
      <c r="C1550" s="2">
        <f>Return!C1550</f>
        <v>6</v>
      </c>
      <c r="D1550" s="2">
        <f>COUNTA(Argument!E1550)</f>
        <v>0</v>
      </c>
      <c r="E1550" s="2" t="str">
        <f>IF(C1550,Return!D1550,Return!E1550)</f>
        <v>vr</v>
      </c>
      <c r="F1550" s="2" t="str">
        <f t="shared" si="72"/>
        <v>vr</v>
      </c>
      <c r="G1550" s="2" t="str">
        <f t="shared" si="74"/>
        <v>vr</v>
      </c>
      <c r="H1550" s="2" t="str">
        <f t="shared" si="73"/>
        <v>, vr, vr, vr, vr, vr, vr</v>
      </c>
      <c r="I1550" s="2" t="str">
        <f>IF(Return!C1550=0,REPLACE(INDEX(H:H,ROW()+Return!B1550,),1,2,Return!E1550&amp;"(")&amp;")","")</f>
        <v/>
      </c>
      <c r="M1550" s="1"/>
    </row>
    <row r="1551" spans="1:13" x14ac:dyDescent="0.55000000000000004">
      <c r="A1551" s="1" t="s">
        <v>1892</v>
      </c>
      <c r="B1551" t="s">
        <v>1399</v>
      </c>
      <c r="C1551" s="2">
        <f>Return!C1551</f>
        <v>7</v>
      </c>
      <c r="D1551" s="2">
        <f>COUNTA(Argument!E1551)</f>
        <v>0</v>
      </c>
      <c r="E1551" s="2" t="str">
        <f>IF(C1551,Return!D1551,Return!E1551)</f>
        <v>vr</v>
      </c>
      <c r="F1551" s="2" t="str">
        <f t="shared" si="72"/>
        <v>vr</v>
      </c>
      <c r="G1551" s="2" t="str">
        <f t="shared" si="74"/>
        <v>vr</v>
      </c>
      <c r="H1551" s="2" t="str">
        <f t="shared" si="73"/>
        <v>, vr, vr, vr, vr, vr, vr, vr</v>
      </c>
      <c r="I1551" s="2" t="str">
        <f>IF(Return!C1551=0,REPLACE(INDEX(H:H,ROW()+Return!B1551,),1,2,Return!E1551&amp;"(")&amp;")","")</f>
        <v/>
      </c>
      <c r="M1551" s="1"/>
    </row>
    <row r="1552" spans="1:13" x14ac:dyDescent="0.55000000000000004">
      <c r="A1552" s="1" t="s">
        <v>1892</v>
      </c>
      <c r="B1552" t="s">
        <v>1401</v>
      </c>
      <c r="C1552" s="2">
        <f>Return!C1552</f>
        <v>8</v>
      </c>
      <c r="D1552" s="2">
        <f>COUNTA(Argument!E1552)</f>
        <v>1</v>
      </c>
      <c r="E1552" s="2" t="str">
        <f>IF(C1552,Return!D1552,Return!E1552)</f>
        <v>vr</v>
      </c>
      <c r="F1552" s="2" t="str">
        <f t="shared" si="72"/>
        <v>vr</v>
      </c>
      <c r="G1552" s="2" t="str">
        <f t="shared" si="74"/>
        <v>vr</v>
      </c>
      <c r="H1552" s="2" t="str">
        <f t="shared" si="73"/>
        <v>, vr, vr, vr, vr, vr, vr, vr, vr</v>
      </c>
      <c r="I1552" s="2" t="str">
        <f>IF(Return!C1552=0,REPLACE(INDEX(H:H,ROW()+Return!B1552,),1,2,Return!E1552&amp;"(")&amp;")","")</f>
        <v/>
      </c>
      <c r="M1552" s="1"/>
    </row>
    <row r="1553" spans="1:13" x14ac:dyDescent="0.55000000000000004">
      <c r="A1553" s="1" t="s">
        <v>1892</v>
      </c>
      <c r="B1553" t="s">
        <v>1396</v>
      </c>
      <c r="C1553" s="2">
        <f>Return!C1553</f>
        <v>9</v>
      </c>
      <c r="D1553" s="2">
        <f>COUNTA(Argument!E1553)</f>
        <v>1</v>
      </c>
      <c r="E1553" s="2" t="str">
        <f>IF(C1553,Return!D1553,Return!E1553)</f>
        <v>vr</v>
      </c>
      <c r="F1553" s="2" t="str">
        <f t="shared" si="72"/>
        <v>[vr]</v>
      </c>
      <c r="G1553" s="2" t="str">
        <f t="shared" si="74"/>
        <v>[vr]</v>
      </c>
      <c r="H1553" s="2" t="str">
        <f t="shared" si="73"/>
        <v>, vr, vr, vr, vr, vr, vr, vr, vr, [vr]</v>
      </c>
      <c r="I1553" s="2" t="str">
        <f>IF(Return!C1553=0,REPLACE(INDEX(H:H,ROW()+Return!B1553,),1,2,Return!E1553&amp;"(")&amp;")","")</f>
        <v/>
      </c>
      <c r="M1553" s="1"/>
    </row>
    <row r="1554" spans="1:13" x14ac:dyDescent="0.55000000000000004">
      <c r="A1554" s="1" t="s">
        <v>1893</v>
      </c>
      <c r="C1554" s="2">
        <f>Return!C1554</f>
        <v>0</v>
      </c>
      <c r="D1554" s="2">
        <f>COUNTA(Argument!E1554)</f>
        <v>0</v>
      </c>
      <c r="E1554" s="2" t="str">
        <f>IF(C1554,Return!D1554,Return!E1554)</f>
        <v>v</v>
      </c>
      <c r="F1554" s="2" t="str">
        <f t="shared" si="72"/>
        <v/>
      </c>
      <c r="G1554" s="2" t="str">
        <f t="shared" si="74"/>
        <v/>
      </c>
      <c r="H1554" s="2" t="str">
        <f t="shared" si="73"/>
        <v/>
      </c>
      <c r="I1554" s="2" t="str">
        <f>IF(Return!C1554=0,REPLACE(INDEX(H:H,ROW()+Return!B1554,),1,2,Return!E1554&amp;"(")&amp;")","")</f>
        <v>v(vr, vr, vr, vr, vr, vr, vr, vr, [vr])</v>
      </c>
      <c r="M1554" s="1"/>
    </row>
    <row r="1555" spans="1:13" x14ac:dyDescent="0.55000000000000004">
      <c r="A1555" s="1" t="s">
        <v>1893</v>
      </c>
      <c r="B1555" t="s">
        <v>1392</v>
      </c>
      <c r="C1555" s="2">
        <f>Return!C1555</f>
        <v>1</v>
      </c>
      <c r="D1555" s="2">
        <f>COUNTA(Argument!E1555)</f>
        <v>0</v>
      </c>
      <c r="E1555" s="2" t="str">
        <f>IF(C1555,Return!D1555,Return!E1555)</f>
        <v>vr</v>
      </c>
      <c r="F1555" s="2" t="str">
        <f t="shared" si="72"/>
        <v>vr</v>
      </c>
      <c r="G1555" s="2" t="str">
        <f t="shared" si="74"/>
        <v>vr</v>
      </c>
      <c r="H1555" s="2" t="str">
        <f t="shared" si="73"/>
        <v>, vr</v>
      </c>
      <c r="I1555" s="2" t="str">
        <f>IF(Return!C1555=0,REPLACE(INDEX(H:H,ROW()+Return!B1555,),1,2,Return!E1555&amp;"(")&amp;")","")</f>
        <v/>
      </c>
      <c r="M1555" s="1"/>
    </row>
    <row r="1556" spans="1:13" x14ac:dyDescent="0.55000000000000004">
      <c r="A1556" s="1" t="s">
        <v>1893</v>
      </c>
      <c r="B1556" t="s">
        <v>1393</v>
      </c>
      <c r="C1556" s="2">
        <f>Return!C1556</f>
        <v>2</v>
      </c>
      <c r="D1556" s="2">
        <f>COUNTA(Argument!E1556)</f>
        <v>0</v>
      </c>
      <c r="E1556" s="2" t="str">
        <f>IF(C1556,Return!D1556,Return!E1556)</f>
        <v>vr</v>
      </c>
      <c r="F1556" s="2" t="str">
        <f t="shared" si="72"/>
        <v>vr</v>
      </c>
      <c r="G1556" s="2" t="str">
        <f t="shared" si="74"/>
        <v>vr</v>
      </c>
      <c r="H1556" s="2" t="str">
        <f t="shared" si="73"/>
        <v>, vr, vr</v>
      </c>
      <c r="I1556" s="2" t="str">
        <f>IF(Return!C1556=0,REPLACE(INDEX(H:H,ROW()+Return!B1556,),1,2,Return!E1556&amp;"(")&amp;")","")</f>
        <v/>
      </c>
      <c r="M1556" s="1"/>
    </row>
    <row r="1557" spans="1:13" x14ac:dyDescent="0.55000000000000004">
      <c r="A1557" s="1" t="s">
        <v>1893</v>
      </c>
      <c r="B1557" t="s">
        <v>1394</v>
      </c>
      <c r="C1557" s="2">
        <f>Return!C1557</f>
        <v>3</v>
      </c>
      <c r="D1557" s="2">
        <f>COUNTA(Argument!E1557)</f>
        <v>0</v>
      </c>
      <c r="E1557" s="2" t="str">
        <f>IF(C1557,Return!D1557,Return!E1557)</f>
        <v>vr</v>
      </c>
      <c r="F1557" s="2" t="str">
        <f t="shared" si="72"/>
        <v>vr</v>
      </c>
      <c r="G1557" s="2" t="str">
        <f t="shared" si="74"/>
        <v>vr</v>
      </c>
      <c r="H1557" s="2" t="str">
        <f t="shared" si="73"/>
        <v>, vr, vr, vr</v>
      </c>
      <c r="I1557" s="2" t="str">
        <f>IF(Return!C1557=0,REPLACE(INDEX(H:H,ROW()+Return!B1557,),1,2,Return!E1557&amp;"(")&amp;")","")</f>
        <v/>
      </c>
      <c r="M1557" s="1"/>
    </row>
    <row r="1558" spans="1:13" x14ac:dyDescent="0.55000000000000004">
      <c r="A1558" s="1" t="s">
        <v>1893</v>
      </c>
      <c r="B1558" t="s">
        <v>1411</v>
      </c>
      <c r="C1558" s="2">
        <f>Return!C1558</f>
        <v>4</v>
      </c>
      <c r="D1558" s="2">
        <f>COUNTA(Argument!E1558)</f>
        <v>0</v>
      </c>
      <c r="E1558" s="2" t="str">
        <f>IF(C1558,Return!D1558,Return!E1558)</f>
        <v>vr</v>
      </c>
      <c r="F1558" s="2" t="str">
        <f t="shared" si="72"/>
        <v>vr</v>
      </c>
      <c r="G1558" s="2" t="str">
        <f t="shared" si="74"/>
        <v>vr</v>
      </c>
      <c r="H1558" s="2" t="str">
        <f t="shared" si="73"/>
        <v>, vr, vr, vr, vr</v>
      </c>
      <c r="I1558" s="2" t="str">
        <f>IF(Return!C1558=0,REPLACE(INDEX(H:H,ROW()+Return!B1558,),1,2,Return!E1558&amp;"(")&amp;")","")</f>
        <v/>
      </c>
      <c r="M1558" s="1"/>
    </row>
    <row r="1559" spans="1:13" x14ac:dyDescent="0.55000000000000004">
      <c r="A1559" s="1" t="s">
        <v>1893</v>
      </c>
      <c r="B1559" t="s">
        <v>1222</v>
      </c>
      <c r="C1559" s="2">
        <f>Return!C1559</f>
        <v>5</v>
      </c>
      <c r="D1559" s="2">
        <f>COUNTA(Argument!E1559)</f>
        <v>0</v>
      </c>
      <c r="E1559" s="2" t="str">
        <f>IF(C1559,Return!D1559,Return!E1559)</f>
        <v>vr</v>
      </c>
      <c r="F1559" s="2" t="str">
        <f t="shared" si="72"/>
        <v>vr</v>
      </c>
      <c r="G1559" s="2" t="str">
        <f t="shared" si="74"/>
        <v>vr</v>
      </c>
      <c r="H1559" s="2" t="str">
        <f t="shared" si="73"/>
        <v>, vr, vr, vr, vr, vr</v>
      </c>
      <c r="I1559" s="2" t="str">
        <f>IF(Return!C1559=0,REPLACE(INDEX(H:H,ROW()+Return!B1559,),1,2,Return!E1559&amp;"(")&amp;")","")</f>
        <v/>
      </c>
      <c r="M1559" s="1"/>
    </row>
    <row r="1560" spans="1:13" x14ac:dyDescent="0.55000000000000004">
      <c r="A1560" s="1" t="s">
        <v>1893</v>
      </c>
      <c r="B1560" t="s">
        <v>1397</v>
      </c>
      <c r="C1560" s="2">
        <f>Return!C1560</f>
        <v>6</v>
      </c>
      <c r="D1560" s="2">
        <f>COUNTA(Argument!E1560)</f>
        <v>0</v>
      </c>
      <c r="E1560" s="2" t="str">
        <f>IF(C1560,Return!D1560,Return!E1560)</f>
        <v>vr</v>
      </c>
      <c r="F1560" s="2" t="str">
        <f t="shared" si="72"/>
        <v>vr</v>
      </c>
      <c r="G1560" s="2" t="str">
        <f t="shared" si="74"/>
        <v>vr</v>
      </c>
      <c r="H1560" s="2" t="str">
        <f t="shared" si="73"/>
        <v>, vr, vr, vr, vr, vr, vr</v>
      </c>
      <c r="I1560" s="2" t="str">
        <f>IF(Return!C1560=0,REPLACE(INDEX(H:H,ROW()+Return!B1560,),1,2,Return!E1560&amp;"(")&amp;")","")</f>
        <v/>
      </c>
      <c r="M1560" s="1"/>
    </row>
    <row r="1561" spans="1:13" x14ac:dyDescent="0.55000000000000004">
      <c r="A1561" s="1" t="s">
        <v>1893</v>
      </c>
      <c r="B1561" t="s">
        <v>1399</v>
      </c>
      <c r="C1561" s="2">
        <f>Return!C1561</f>
        <v>7</v>
      </c>
      <c r="D1561" s="2">
        <f>COUNTA(Argument!E1561)</f>
        <v>0</v>
      </c>
      <c r="E1561" s="2" t="str">
        <f>IF(C1561,Return!D1561,Return!E1561)</f>
        <v>vr</v>
      </c>
      <c r="F1561" s="2" t="str">
        <f t="shared" si="72"/>
        <v>vr</v>
      </c>
      <c r="G1561" s="2" t="str">
        <f t="shared" si="74"/>
        <v>vr</v>
      </c>
      <c r="H1561" s="2" t="str">
        <f t="shared" si="73"/>
        <v>, vr, vr, vr, vr, vr, vr, vr</v>
      </c>
      <c r="I1561" s="2" t="str">
        <f>IF(Return!C1561=0,REPLACE(INDEX(H:H,ROW()+Return!B1561,),1,2,Return!E1561&amp;"(")&amp;")","")</f>
        <v/>
      </c>
      <c r="M1561" s="1"/>
    </row>
    <row r="1562" spans="1:13" x14ac:dyDescent="0.55000000000000004">
      <c r="A1562" s="1" t="s">
        <v>1893</v>
      </c>
      <c r="B1562" t="s">
        <v>1401</v>
      </c>
      <c r="C1562" s="2">
        <f>Return!C1562</f>
        <v>8</v>
      </c>
      <c r="D1562" s="2">
        <f>COUNTA(Argument!E1562)</f>
        <v>1</v>
      </c>
      <c r="E1562" s="2" t="str">
        <f>IF(C1562,Return!D1562,Return!E1562)</f>
        <v>vr</v>
      </c>
      <c r="F1562" s="2" t="str">
        <f t="shared" si="72"/>
        <v>vr</v>
      </c>
      <c r="G1562" s="2" t="str">
        <f t="shared" si="74"/>
        <v>vr</v>
      </c>
      <c r="H1562" s="2" t="str">
        <f t="shared" si="73"/>
        <v>, vr, vr, vr, vr, vr, vr, vr, vr</v>
      </c>
      <c r="I1562" s="2" t="str">
        <f>IF(Return!C1562=0,REPLACE(INDEX(H:H,ROW()+Return!B1562,),1,2,Return!E1562&amp;"(")&amp;")","")</f>
        <v/>
      </c>
      <c r="M1562" s="1"/>
    </row>
    <row r="1563" spans="1:13" x14ac:dyDescent="0.55000000000000004">
      <c r="A1563" s="1" t="s">
        <v>1893</v>
      </c>
      <c r="B1563" t="s">
        <v>1396</v>
      </c>
      <c r="C1563" s="2">
        <f>Return!C1563</f>
        <v>9</v>
      </c>
      <c r="D1563" s="2">
        <f>COUNTA(Argument!E1563)</f>
        <v>1</v>
      </c>
      <c r="E1563" s="2" t="str">
        <f>IF(C1563,Return!D1563,Return!E1563)</f>
        <v>vr</v>
      </c>
      <c r="F1563" s="2" t="str">
        <f t="shared" si="72"/>
        <v>[vr]</v>
      </c>
      <c r="G1563" s="2" t="str">
        <f t="shared" si="74"/>
        <v>[vr]</v>
      </c>
      <c r="H1563" s="2" t="str">
        <f t="shared" si="73"/>
        <v>, vr, vr, vr, vr, vr, vr, vr, vr, [vr]</v>
      </c>
      <c r="I1563" s="2" t="str">
        <f>IF(Return!C1563=0,REPLACE(INDEX(H:H,ROW()+Return!B1563,),1,2,Return!E1563&amp;"(")&amp;")","")</f>
        <v/>
      </c>
      <c r="M1563" s="1"/>
    </row>
    <row r="1564" spans="1:13" x14ac:dyDescent="0.55000000000000004">
      <c r="A1564" s="1" t="s">
        <v>1894</v>
      </c>
      <c r="C1564" s="2">
        <f>Return!C1564</f>
        <v>0</v>
      </c>
      <c r="D1564" s="2">
        <f>COUNTA(Argument!E1564)</f>
        <v>0</v>
      </c>
      <c r="E1564" s="2" t="str">
        <f>IF(C1564,Return!D1564,Return!E1564)</f>
        <v>v</v>
      </c>
      <c r="F1564" s="2" t="str">
        <f t="shared" si="72"/>
        <v/>
      </c>
      <c r="G1564" s="2" t="str">
        <f t="shared" si="74"/>
        <v/>
      </c>
      <c r="H1564" s="2" t="str">
        <f t="shared" si="73"/>
        <v/>
      </c>
      <c r="I1564" s="2" t="str">
        <f>IF(Return!C1564=0,REPLACE(INDEX(H:H,ROW()+Return!B1564,),1,2,Return!E1564&amp;"(")&amp;")","")</f>
        <v>v(vr, vr)</v>
      </c>
      <c r="M1564" s="1"/>
    </row>
    <row r="1565" spans="1:13" x14ac:dyDescent="0.55000000000000004">
      <c r="A1565" s="1" t="s">
        <v>1894</v>
      </c>
      <c r="B1565" t="s">
        <v>1412</v>
      </c>
      <c r="C1565" s="2">
        <f>Return!C1565</f>
        <v>1</v>
      </c>
      <c r="D1565" s="2">
        <f>COUNTA(Argument!E1565)</f>
        <v>0</v>
      </c>
      <c r="E1565" s="2" t="str">
        <f>IF(C1565,Return!D1565,Return!E1565)</f>
        <v>vr</v>
      </c>
      <c r="F1565" s="2" t="str">
        <f t="shared" si="72"/>
        <v>vr</v>
      </c>
      <c r="G1565" s="2" t="str">
        <f t="shared" si="74"/>
        <v>vr</v>
      </c>
      <c r="H1565" s="2" t="str">
        <f t="shared" si="73"/>
        <v>, vr</v>
      </c>
      <c r="I1565" s="2" t="str">
        <f>IF(Return!C1565=0,REPLACE(INDEX(H:H,ROW()+Return!B1565,),1,2,Return!E1565&amp;"(")&amp;")","")</f>
        <v/>
      </c>
      <c r="M1565" s="1"/>
    </row>
    <row r="1566" spans="1:13" x14ac:dyDescent="0.55000000000000004">
      <c r="A1566" s="1" t="s">
        <v>1894</v>
      </c>
      <c r="B1566" t="s">
        <v>1413</v>
      </c>
      <c r="C1566" s="2">
        <f>Return!C1566</f>
        <v>2</v>
      </c>
      <c r="D1566" s="2">
        <f>COUNTA(Argument!E1566)</f>
        <v>1</v>
      </c>
      <c r="E1566" s="2" t="str">
        <f>IF(C1566,Return!D1566,Return!E1566)</f>
        <v>vr</v>
      </c>
      <c r="F1566" s="2" t="str">
        <f t="shared" si="72"/>
        <v>vr</v>
      </c>
      <c r="G1566" s="2" t="str">
        <f t="shared" si="74"/>
        <v>vr</v>
      </c>
      <c r="H1566" s="2" t="str">
        <f t="shared" si="73"/>
        <v>, vr, vr</v>
      </c>
      <c r="I1566" s="2" t="str">
        <f>IF(Return!C1566=0,REPLACE(INDEX(H:H,ROW()+Return!B1566,),1,2,Return!E1566&amp;"(")&amp;")","")</f>
        <v/>
      </c>
      <c r="M1566" s="1"/>
    </row>
    <row r="1567" spans="1:13" x14ac:dyDescent="0.55000000000000004">
      <c r="A1567" s="1" t="s">
        <v>1895</v>
      </c>
      <c r="C1567" s="2">
        <f>Return!C1567</f>
        <v>0</v>
      </c>
      <c r="D1567" s="2">
        <f>COUNTA(Argument!E1567)</f>
        <v>0</v>
      </c>
      <c r="E1567" s="2" t="str">
        <f>IF(C1567,Return!D1567,Return!E1567)</f>
        <v>v</v>
      </c>
      <c r="F1567" s="2" t="str">
        <f t="shared" si="72"/>
        <v/>
      </c>
      <c r="G1567" s="2" t="str">
        <f t="shared" si="74"/>
        <v/>
      </c>
      <c r="H1567" s="2" t="str">
        <f t="shared" si="73"/>
        <v/>
      </c>
      <c r="I1567" s="2" t="str">
        <f>IF(Return!C1567=0,REPLACE(INDEX(H:H,ROW()+Return!B1567,),1,2,Return!E1567&amp;"(")&amp;")","")</f>
        <v>v(vr, [vr])</v>
      </c>
      <c r="M1567" s="1"/>
    </row>
    <row r="1568" spans="1:13" x14ac:dyDescent="0.55000000000000004">
      <c r="A1568" s="1" t="s">
        <v>1895</v>
      </c>
      <c r="B1568" t="s">
        <v>1266</v>
      </c>
      <c r="C1568" s="2">
        <f>Return!C1568</f>
        <v>1</v>
      </c>
      <c r="D1568" s="2">
        <f>COUNTA(Argument!E1568)</f>
        <v>1</v>
      </c>
      <c r="E1568" s="2" t="str">
        <f>IF(C1568,Return!D1568,Return!E1568)</f>
        <v>vr</v>
      </c>
      <c r="F1568" s="2" t="str">
        <f t="shared" si="72"/>
        <v>vr</v>
      </c>
      <c r="G1568" s="2" t="str">
        <f t="shared" si="74"/>
        <v>vr</v>
      </c>
      <c r="H1568" s="2" t="str">
        <f t="shared" si="73"/>
        <v>, vr</v>
      </c>
      <c r="I1568" s="2" t="str">
        <f>IF(Return!C1568=0,REPLACE(INDEX(H:H,ROW()+Return!B1568,),1,2,Return!E1568&amp;"(")&amp;")","")</f>
        <v/>
      </c>
      <c r="M1568" s="1"/>
    </row>
    <row r="1569" spans="1:13" x14ac:dyDescent="0.55000000000000004">
      <c r="A1569" s="1" t="s">
        <v>1895</v>
      </c>
      <c r="B1569" t="s">
        <v>1267</v>
      </c>
      <c r="C1569" s="2">
        <f>Return!C1569</f>
        <v>2</v>
      </c>
      <c r="D1569" s="2">
        <f>COUNTA(Argument!E1569)</f>
        <v>1</v>
      </c>
      <c r="E1569" s="2" t="str">
        <f>IF(C1569,Return!D1569,Return!E1569)</f>
        <v>vr</v>
      </c>
      <c r="F1569" s="2" t="str">
        <f t="shared" si="72"/>
        <v>[vr]</v>
      </c>
      <c r="G1569" s="2" t="str">
        <f t="shared" si="74"/>
        <v>[vr]</v>
      </c>
      <c r="H1569" s="2" t="str">
        <f t="shared" si="73"/>
        <v>, vr, [vr]</v>
      </c>
      <c r="I1569" s="2" t="str">
        <f>IF(Return!C1569=0,REPLACE(INDEX(H:H,ROW()+Return!B1569,),1,2,Return!E1569&amp;"(")&amp;")","")</f>
        <v/>
      </c>
      <c r="M1569" s="1"/>
    </row>
    <row r="1570" spans="1:13" x14ac:dyDescent="0.55000000000000004">
      <c r="A1570" s="1" t="s">
        <v>1896</v>
      </c>
      <c r="C1570" s="2">
        <f>Return!C1570</f>
        <v>0</v>
      </c>
      <c r="D1570" s="2">
        <f>COUNTA(Argument!E1570)</f>
        <v>0</v>
      </c>
      <c r="E1570" s="2" t="str">
        <f>IF(C1570,Return!D1570,Return!E1570)</f>
        <v>v</v>
      </c>
      <c r="F1570" s="2" t="str">
        <f t="shared" si="72"/>
        <v/>
      </c>
      <c r="G1570" s="2" t="str">
        <f t="shared" si="74"/>
        <v/>
      </c>
      <c r="H1570" s="2" t="str">
        <f t="shared" si="73"/>
        <v/>
      </c>
      <c r="I1570" s="2" t="str">
        <f>IF(Return!C1570=0,REPLACE(INDEX(H:H,ROW()+Return!B1570,),1,2,Return!E1570&amp;"(")&amp;")","")</f>
        <v>v(vr, vr, vr, vr, vr, vr, [vr])</v>
      </c>
      <c r="M1570" s="1"/>
    </row>
    <row r="1571" spans="1:13" x14ac:dyDescent="0.55000000000000004">
      <c r="A1571" s="1" t="s">
        <v>1896</v>
      </c>
      <c r="B1571" t="s">
        <v>1290</v>
      </c>
      <c r="C1571" s="2">
        <f>Return!C1571</f>
        <v>1</v>
      </c>
      <c r="D1571" s="2">
        <f>COUNTA(Argument!E1571)</f>
        <v>0</v>
      </c>
      <c r="E1571" s="2" t="str">
        <f>IF(C1571,Return!D1571,Return!E1571)</f>
        <v>vr</v>
      </c>
      <c r="F1571" s="2" t="str">
        <f t="shared" si="72"/>
        <v>vr</v>
      </c>
      <c r="G1571" s="2" t="str">
        <f t="shared" si="74"/>
        <v>vr</v>
      </c>
      <c r="H1571" s="2" t="str">
        <f t="shared" si="73"/>
        <v>, vr</v>
      </c>
      <c r="I1571" s="2" t="str">
        <f>IF(Return!C1571=0,REPLACE(INDEX(H:H,ROW()+Return!B1571,),1,2,Return!E1571&amp;"(")&amp;")","")</f>
        <v/>
      </c>
      <c r="M1571" s="1"/>
    </row>
    <row r="1572" spans="1:13" x14ac:dyDescent="0.55000000000000004">
      <c r="A1572" s="1" t="s">
        <v>1896</v>
      </c>
      <c r="B1572" t="s">
        <v>1414</v>
      </c>
      <c r="C1572" s="2">
        <f>Return!C1572</f>
        <v>2</v>
      </c>
      <c r="D1572" s="2">
        <f>COUNTA(Argument!E1572)</f>
        <v>0</v>
      </c>
      <c r="E1572" s="2" t="str">
        <f>IF(C1572,Return!D1572,Return!E1572)</f>
        <v>vr</v>
      </c>
      <c r="F1572" s="2" t="str">
        <f t="shared" si="72"/>
        <v>vr</v>
      </c>
      <c r="G1572" s="2" t="str">
        <f t="shared" si="74"/>
        <v>vr</v>
      </c>
      <c r="H1572" s="2" t="str">
        <f t="shared" si="73"/>
        <v>, vr, vr</v>
      </c>
      <c r="I1572" s="2" t="str">
        <f>IF(Return!C1572=0,REPLACE(INDEX(H:H,ROW()+Return!B1572,),1,2,Return!E1572&amp;"(")&amp;")","")</f>
        <v/>
      </c>
      <c r="M1572" s="1"/>
    </row>
    <row r="1573" spans="1:13" x14ac:dyDescent="0.55000000000000004">
      <c r="A1573" s="1" t="s">
        <v>1896</v>
      </c>
      <c r="B1573" t="s">
        <v>1415</v>
      </c>
      <c r="C1573" s="2">
        <f>Return!C1573</f>
        <v>3</v>
      </c>
      <c r="D1573" s="2">
        <f>COUNTA(Argument!E1573)</f>
        <v>0</v>
      </c>
      <c r="E1573" s="2" t="str">
        <f>IF(C1573,Return!D1573,Return!E1573)</f>
        <v>vr</v>
      </c>
      <c r="F1573" s="2" t="str">
        <f t="shared" si="72"/>
        <v>vr</v>
      </c>
      <c r="G1573" s="2" t="str">
        <f t="shared" si="74"/>
        <v>vr</v>
      </c>
      <c r="H1573" s="2" t="str">
        <f t="shared" si="73"/>
        <v>, vr, vr, vr</v>
      </c>
      <c r="I1573" s="2" t="str">
        <f>IF(Return!C1573=0,REPLACE(INDEX(H:H,ROW()+Return!B1573,),1,2,Return!E1573&amp;"(")&amp;")","")</f>
        <v/>
      </c>
      <c r="M1573" s="1"/>
    </row>
    <row r="1574" spans="1:13" x14ac:dyDescent="0.55000000000000004">
      <c r="A1574" s="1" t="s">
        <v>1896</v>
      </c>
      <c r="B1574" t="s">
        <v>1291</v>
      </c>
      <c r="C1574" s="2">
        <f>Return!C1574</f>
        <v>4</v>
      </c>
      <c r="D1574" s="2">
        <f>COUNTA(Argument!E1574)</f>
        <v>0</v>
      </c>
      <c r="E1574" s="2" t="str">
        <f>IF(C1574,Return!D1574,Return!E1574)</f>
        <v>vr</v>
      </c>
      <c r="F1574" s="2" t="str">
        <f t="shared" si="72"/>
        <v>vr</v>
      </c>
      <c r="G1574" s="2" t="str">
        <f t="shared" si="74"/>
        <v>vr</v>
      </c>
      <c r="H1574" s="2" t="str">
        <f t="shared" si="73"/>
        <v>, vr, vr, vr, vr</v>
      </c>
      <c r="I1574" s="2" t="str">
        <f>IF(Return!C1574=0,REPLACE(INDEX(H:H,ROW()+Return!B1574,),1,2,Return!E1574&amp;"(")&amp;")","")</f>
        <v/>
      </c>
      <c r="M1574" s="1"/>
    </row>
    <row r="1575" spans="1:13" x14ac:dyDescent="0.55000000000000004">
      <c r="A1575" s="1" t="s">
        <v>1896</v>
      </c>
      <c r="B1575" t="s">
        <v>1294</v>
      </c>
      <c r="C1575" s="2">
        <f>Return!C1575</f>
        <v>5</v>
      </c>
      <c r="D1575" s="2">
        <f>COUNTA(Argument!E1575)</f>
        <v>0</v>
      </c>
      <c r="E1575" s="2" t="str">
        <f>IF(C1575,Return!D1575,Return!E1575)</f>
        <v>vr</v>
      </c>
      <c r="F1575" s="2" t="str">
        <f t="shared" si="72"/>
        <v>vr</v>
      </c>
      <c r="G1575" s="2" t="str">
        <f t="shared" si="74"/>
        <v>vr</v>
      </c>
      <c r="H1575" s="2" t="str">
        <f t="shared" si="73"/>
        <v>, vr, vr, vr, vr, vr</v>
      </c>
      <c r="I1575" s="2" t="str">
        <f>IF(Return!C1575=0,REPLACE(INDEX(H:H,ROW()+Return!B1575,),1,2,Return!E1575&amp;"(")&amp;")","")</f>
        <v/>
      </c>
      <c r="M1575" s="1"/>
    </row>
    <row r="1576" spans="1:13" x14ac:dyDescent="0.55000000000000004">
      <c r="A1576" s="1" t="s">
        <v>1896</v>
      </c>
      <c r="B1576" t="s">
        <v>1222</v>
      </c>
      <c r="C1576" s="2">
        <f>Return!C1576</f>
        <v>6</v>
      </c>
      <c r="D1576" s="2">
        <f>COUNTA(Argument!E1576)</f>
        <v>1</v>
      </c>
      <c r="E1576" s="2" t="str">
        <f>IF(C1576,Return!D1576,Return!E1576)</f>
        <v>vr</v>
      </c>
      <c r="F1576" s="2" t="str">
        <f t="shared" si="72"/>
        <v>vr</v>
      </c>
      <c r="G1576" s="2" t="str">
        <f t="shared" si="74"/>
        <v>vr</v>
      </c>
      <c r="H1576" s="2" t="str">
        <f t="shared" si="73"/>
        <v>, vr, vr, vr, vr, vr, vr</v>
      </c>
      <c r="I1576" s="2" t="str">
        <f>IF(Return!C1576=0,REPLACE(INDEX(H:H,ROW()+Return!B1576,),1,2,Return!E1576&amp;"(")&amp;")","")</f>
        <v/>
      </c>
      <c r="M1576" s="1"/>
    </row>
    <row r="1577" spans="1:13" x14ac:dyDescent="0.55000000000000004">
      <c r="A1577" s="1" t="s">
        <v>1896</v>
      </c>
      <c r="B1577" t="s">
        <v>1396</v>
      </c>
      <c r="C1577" s="2">
        <f>Return!C1577</f>
        <v>7</v>
      </c>
      <c r="D1577" s="2">
        <f>COUNTA(Argument!E1577)</f>
        <v>1</v>
      </c>
      <c r="E1577" s="2" t="str">
        <f>IF(C1577,Return!D1577,Return!E1577)</f>
        <v>vr</v>
      </c>
      <c r="F1577" s="2" t="str">
        <f t="shared" si="72"/>
        <v>[vr]</v>
      </c>
      <c r="G1577" s="2" t="str">
        <f t="shared" si="74"/>
        <v>[vr]</v>
      </c>
      <c r="H1577" s="2" t="str">
        <f t="shared" si="73"/>
        <v>, vr, vr, vr, vr, vr, vr, [vr]</v>
      </c>
      <c r="I1577" s="2" t="str">
        <f>IF(Return!C1577=0,REPLACE(INDEX(H:H,ROW()+Return!B1577,),1,2,Return!E1577&amp;"(")&amp;")","")</f>
        <v/>
      </c>
      <c r="M1577" s="1"/>
    </row>
    <row r="1578" spans="1:13" x14ac:dyDescent="0.55000000000000004">
      <c r="A1578" s="1" t="s">
        <v>1897</v>
      </c>
      <c r="C1578" s="2">
        <f>Return!C1578</f>
        <v>0</v>
      </c>
      <c r="D1578" s="2">
        <f>COUNTA(Argument!E1578)</f>
        <v>0</v>
      </c>
      <c r="E1578" s="2" t="str">
        <f>IF(C1578,Return!D1578,Return!E1578)</f>
        <v>v</v>
      </c>
      <c r="F1578" s="2" t="str">
        <f t="shared" si="72"/>
        <v/>
      </c>
      <c r="G1578" s="2" t="str">
        <f t="shared" si="74"/>
        <v/>
      </c>
      <c r="H1578" s="2" t="str">
        <f t="shared" si="73"/>
        <v/>
      </c>
      <c r="I1578" s="2" t="str">
        <f>IF(Return!C1578=0,REPLACE(INDEX(H:H,ROW()+Return!B1578,),1,2,Return!E1578&amp;"(")&amp;")","")</f>
        <v>v(vr, vr, vr, vr, vr, vr, [vr])</v>
      </c>
      <c r="M1578" s="1"/>
    </row>
    <row r="1579" spans="1:13" x14ac:dyDescent="0.55000000000000004">
      <c r="A1579" s="1" t="s">
        <v>1897</v>
      </c>
      <c r="B1579" t="s">
        <v>1290</v>
      </c>
      <c r="C1579" s="2">
        <f>Return!C1579</f>
        <v>1</v>
      </c>
      <c r="D1579" s="2">
        <f>COUNTA(Argument!E1579)</f>
        <v>0</v>
      </c>
      <c r="E1579" s="2" t="str">
        <f>IF(C1579,Return!D1579,Return!E1579)</f>
        <v>vr</v>
      </c>
      <c r="F1579" s="2" t="str">
        <f t="shared" si="72"/>
        <v>vr</v>
      </c>
      <c r="G1579" s="2" t="str">
        <f t="shared" si="74"/>
        <v>vr</v>
      </c>
      <c r="H1579" s="2" t="str">
        <f t="shared" si="73"/>
        <v>, vr</v>
      </c>
      <c r="I1579" s="2" t="str">
        <f>IF(Return!C1579=0,REPLACE(INDEX(H:H,ROW()+Return!B1579,),1,2,Return!E1579&amp;"(")&amp;")","")</f>
        <v/>
      </c>
      <c r="M1579" s="1"/>
    </row>
    <row r="1580" spans="1:13" x14ac:dyDescent="0.55000000000000004">
      <c r="A1580" s="1" t="s">
        <v>1897</v>
      </c>
      <c r="B1580" t="s">
        <v>1414</v>
      </c>
      <c r="C1580" s="2">
        <f>Return!C1580</f>
        <v>2</v>
      </c>
      <c r="D1580" s="2">
        <f>COUNTA(Argument!E1580)</f>
        <v>0</v>
      </c>
      <c r="E1580" s="2" t="str">
        <f>IF(C1580,Return!D1580,Return!E1580)</f>
        <v>vr</v>
      </c>
      <c r="F1580" s="2" t="str">
        <f t="shared" si="72"/>
        <v>vr</v>
      </c>
      <c r="G1580" s="2" t="str">
        <f t="shared" si="74"/>
        <v>vr</v>
      </c>
      <c r="H1580" s="2" t="str">
        <f t="shared" si="73"/>
        <v>, vr, vr</v>
      </c>
      <c r="I1580" s="2" t="str">
        <f>IF(Return!C1580=0,REPLACE(INDEX(H:H,ROW()+Return!B1580,),1,2,Return!E1580&amp;"(")&amp;")","")</f>
        <v/>
      </c>
      <c r="M1580" s="1"/>
    </row>
    <row r="1581" spans="1:13" x14ac:dyDescent="0.55000000000000004">
      <c r="A1581" s="1" t="s">
        <v>1897</v>
      </c>
      <c r="B1581" t="s">
        <v>1415</v>
      </c>
      <c r="C1581" s="2">
        <f>Return!C1581</f>
        <v>3</v>
      </c>
      <c r="D1581" s="2">
        <f>COUNTA(Argument!E1581)</f>
        <v>0</v>
      </c>
      <c r="E1581" s="2" t="str">
        <f>IF(C1581,Return!D1581,Return!E1581)</f>
        <v>vr</v>
      </c>
      <c r="F1581" s="2" t="str">
        <f t="shared" si="72"/>
        <v>vr</v>
      </c>
      <c r="G1581" s="2" t="str">
        <f t="shared" si="74"/>
        <v>vr</v>
      </c>
      <c r="H1581" s="2" t="str">
        <f t="shared" si="73"/>
        <v>, vr, vr, vr</v>
      </c>
      <c r="I1581" s="2" t="str">
        <f>IF(Return!C1581=0,REPLACE(INDEX(H:H,ROW()+Return!B1581,),1,2,Return!E1581&amp;"(")&amp;")","")</f>
        <v/>
      </c>
      <c r="M1581" s="1"/>
    </row>
    <row r="1582" spans="1:13" x14ac:dyDescent="0.55000000000000004">
      <c r="A1582" s="1" t="s">
        <v>1897</v>
      </c>
      <c r="B1582" t="s">
        <v>1291</v>
      </c>
      <c r="C1582" s="2">
        <f>Return!C1582</f>
        <v>4</v>
      </c>
      <c r="D1582" s="2">
        <f>COUNTA(Argument!E1582)</f>
        <v>0</v>
      </c>
      <c r="E1582" s="2" t="str">
        <f>IF(C1582,Return!D1582,Return!E1582)</f>
        <v>vr</v>
      </c>
      <c r="F1582" s="2" t="str">
        <f t="shared" si="72"/>
        <v>vr</v>
      </c>
      <c r="G1582" s="2" t="str">
        <f t="shared" si="74"/>
        <v>vr</v>
      </c>
      <c r="H1582" s="2" t="str">
        <f t="shared" si="73"/>
        <v>, vr, vr, vr, vr</v>
      </c>
      <c r="I1582" s="2" t="str">
        <f>IF(Return!C1582=0,REPLACE(INDEX(H:H,ROW()+Return!B1582,),1,2,Return!E1582&amp;"(")&amp;")","")</f>
        <v/>
      </c>
      <c r="M1582" s="1"/>
    </row>
    <row r="1583" spans="1:13" x14ac:dyDescent="0.55000000000000004">
      <c r="A1583" s="1" t="s">
        <v>1897</v>
      </c>
      <c r="B1583" t="s">
        <v>1294</v>
      </c>
      <c r="C1583" s="2">
        <f>Return!C1583</f>
        <v>5</v>
      </c>
      <c r="D1583" s="2">
        <f>COUNTA(Argument!E1583)</f>
        <v>0</v>
      </c>
      <c r="E1583" s="2" t="str">
        <f>IF(C1583,Return!D1583,Return!E1583)</f>
        <v>vr</v>
      </c>
      <c r="F1583" s="2" t="str">
        <f t="shared" si="72"/>
        <v>vr</v>
      </c>
      <c r="G1583" s="2" t="str">
        <f t="shared" si="74"/>
        <v>vr</v>
      </c>
      <c r="H1583" s="2" t="str">
        <f t="shared" si="73"/>
        <v>, vr, vr, vr, vr, vr</v>
      </c>
      <c r="I1583" s="2" t="str">
        <f>IF(Return!C1583=0,REPLACE(INDEX(H:H,ROW()+Return!B1583,),1,2,Return!E1583&amp;"(")&amp;")","")</f>
        <v/>
      </c>
      <c r="M1583" s="1"/>
    </row>
    <row r="1584" spans="1:13" x14ac:dyDescent="0.55000000000000004">
      <c r="A1584" s="1" t="s">
        <v>1897</v>
      </c>
      <c r="B1584" t="s">
        <v>1222</v>
      </c>
      <c r="C1584" s="2">
        <f>Return!C1584</f>
        <v>6</v>
      </c>
      <c r="D1584" s="2">
        <f>COUNTA(Argument!E1584)</f>
        <v>1</v>
      </c>
      <c r="E1584" s="2" t="str">
        <f>IF(C1584,Return!D1584,Return!E1584)</f>
        <v>vr</v>
      </c>
      <c r="F1584" s="2" t="str">
        <f t="shared" si="72"/>
        <v>vr</v>
      </c>
      <c r="G1584" s="2" t="str">
        <f t="shared" si="74"/>
        <v>vr</v>
      </c>
      <c r="H1584" s="2" t="str">
        <f t="shared" si="73"/>
        <v>, vr, vr, vr, vr, vr, vr</v>
      </c>
      <c r="I1584" s="2" t="str">
        <f>IF(Return!C1584=0,REPLACE(INDEX(H:H,ROW()+Return!B1584,),1,2,Return!E1584&amp;"(")&amp;")","")</f>
        <v/>
      </c>
      <c r="M1584" s="1"/>
    </row>
    <row r="1585" spans="1:13" x14ac:dyDescent="0.55000000000000004">
      <c r="A1585" s="1" t="s">
        <v>1897</v>
      </c>
      <c r="B1585" t="s">
        <v>1396</v>
      </c>
      <c r="C1585" s="2">
        <f>Return!C1585</f>
        <v>7</v>
      </c>
      <c r="D1585" s="2">
        <f>COUNTA(Argument!E1585)</f>
        <v>1</v>
      </c>
      <c r="E1585" s="2" t="str">
        <f>IF(C1585,Return!D1585,Return!E1585)</f>
        <v>vr</v>
      </c>
      <c r="F1585" s="2" t="str">
        <f t="shared" si="72"/>
        <v>[vr]</v>
      </c>
      <c r="G1585" s="2" t="str">
        <f t="shared" si="74"/>
        <v>[vr]</v>
      </c>
      <c r="H1585" s="2" t="str">
        <f t="shared" si="73"/>
        <v>, vr, vr, vr, vr, vr, vr, [vr]</v>
      </c>
      <c r="I1585" s="2" t="str">
        <f>IF(Return!C1585=0,REPLACE(INDEX(H:H,ROW()+Return!B1585,),1,2,Return!E1585&amp;"(")&amp;")","")</f>
        <v/>
      </c>
      <c r="M1585" s="1"/>
    </row>
    <row r="1586" spans="1:13" x14ac:dyDescent="0.55000000000000004">
      <c r="A1586" s="1" t="s">
        <v>1898</v>
      </c>
      <c r="C1586" s="2">
        <f>Return!C1586</f>
        <v>0</v>
      </c>
      <c r="D1586" s="2">
        <f>COUNTA(Argument!E1586)</f>
        <v>0</v>
      </c>
      <c r="E1586" s="2" t="str">
        <f>IF(C1586,Return!D1586,Return!E1586)</f>
        <v>v</v>
      </c>
      <c r="F1586" s="2" t="str">
        <f t="shared" si="72"/>
        <v/>
      </c>
      <c r="G1586" s="2" t="str">
        <f t="shared" si="74"/>
        <v/>
      </c>
      <c r="H1586" s="2" t="str">
        <f t="shared" si="73"/>
        <v/>
      </c>
      <c r="I1586" s="2" t="str">
        <f>IF(Return!C1586=0,REPLACE(INDEX(H:H,ROW()+Return!B1586,),1,2,Return!E1586&amp;"(")&amp;")","")</f>
        <v>v(vr, vr, vr)</v>
      </c>
      <c r="M1586" s="1"/>
    </row>
    <row r="1587" spans="1:13" x14ac:dyDescent="0.55000000000000004">
      <c r="A1587" s="1" t="s">
        <v>1898</v>
      </c>
      <c r="B1587" t="s">
        <v>1223</v>
      </c>
      <c r="C1587" s="2">
        <f>Return!C1587</f>
        <v>1</v>
      </c>
      <c r="D1587" s="2">
        <f>COUNTA(Argument!E1587)</f>
        <v>0</v>
      </c>
      <c r="E1587" s="2" t="str">
        <f>IF(C1587,Return!D1587,Return!E1587)</f>
        <v>vr</v>
      </c>
      <c r="F1587" s="2" t="str">
        <f t="shared" si="72"/>
        <v>vr</v>
      </c>
      <c r="G1587" s="2" t="str">
        <f t="shared" si="74"/>
        <v>vr</v>
      </c>
      <c r="H1587" s="2" t="str">
        <f t="shared" si="73"/>
        <v>, vr</v>
      </c>
      <c r="I1587" s="2" t="str">
        <f>IF(Return!C1587=0,REPLACE(INDEX(H:H,ROW()+Return!B1587,),1,2,Return!E1587&amp;"(")&amp;")","")</f>
        <v/>
      </c>
      <c r="M1587" s="1"/>
    </row>
    <row r="1588" spans="1:13" x14ac:dyDescent="0.55000000000000004">
      <c r="A1588" s="1" t="s">
        <v>1898</v>
      </c>
      <c r="B1588" t="s">
        <v>1416</v>
      </c>
      <c r="C1588" s="2">
        <f>Return!C1588</f>
        <v>2</v>
      </c>
      <c r="D1588" s="2">
        <f>COUNTA(Argument!E1588)</f>
        <v>0</v>
      </c>
      <c r="E1588" s="2" t="str">
        <f>IF(C1588,Return!D1588,Return!E1588)</f>
        <v>vr</v>
      </c>
      <c r="F1588" s="2" t="str">
        <f t="shared" si="72"/>
        <v>vr</v>
      </c>
      <c r="G1588" s="2" t="str">
        <f t="shared" si="74"/>
        <v>vr</v>
      </c>
      <c r="H1588" s="2" t="str">
        <f t="shared" si="73"/>
        <v>, vr, vr</v>
      </c>
      <c r="I1588" s="2" t="str">
        <f>IF(Return!C1588=0,REPLACE(INDEX(H:H,ROW()+Return!B1588,),1,2,Return!E1588&amp;"(")&amp;")","")</f>
        <v/>
      </c>
      <c r="M1588" s="1"/>
    </row>
    <row r="1589" spans="1:13" x14ac:dyDescent="0.55000000000000004">
      <c r="A1589" s="1" t="s">
        <v>1898</v>
      </c>
      <c r="B1589" t="s">
        <v>1417</v>
      </c>
      <c r="C1589" s="2">
        <f>Return!C1589</f>
        <v>3</v>
      </c>
      <c r="D1589" s="2">
        <f>COUNTA(Argument!E1589)</f>
        <v>1</v>
      </c>
      <c r="E1589" s="2" t="str">
        <f>IF(C1589,Return!D1589,Return!E1589)</f>
        <v>vr</v>
      </c>
      <c r="F1589" s="2" t="str">
        <f t="shared" si="72"/>
        <v>vr</v>
      </c>
      <c r="G1589" s="2" t="str">
        <f t="shared" si="74"/>
        <v>vr</v>
      </c>
      <c r="H1589" s="2" t="str">
        <f t="shared" si="73"/>
        <v>, vr, vr, vr</v>
      </c>
      <c r="I1589" s="2" t="str">
        <f>IF(Return!C1589=0,REPLACE(INDEX(H:H,ROW()+Return!B1589,),1,2,Return!E1589&amp;"(")&amp;")","")</f>
        <v/>
      </c>
      <c r="M1589" s="1"/>
    </row>
    <row r="1590" spans="1:13" x14ac:dyDescent="0.55000000000000004">
      <c r="A1590" s="1" t="s">
        <v>1899</v>
      </c>
      <c r="C1590" s="2">
        <f>Return!C1590</f>
        <v>0</v>
      </c>
      <c r="D1590" s="2">
        <f>COUNTA(Argument!E1590)</f>
        <v>0</v>
      </c>
      <c r="E1590" s="2" t="str">
        <f>IF(C1590,Return!D1590,Return!E1590)</f>
        <v>v</v>
      </c>
      <c r="F1590" s="2" t="str">
        <f t="shared" si="72"/>
        <v/>
      </c>
      <c r="G1590" s="2" t="str">
        <f t="shared" si="74"/>
        <v/>
      </c>
      <c r="H1590" s="2" t="str">
        <f t="shared" si="73"/>
        <v/>
      </c>
      <c r="I1590" s="2" t="str">
        <f>IF(Return!C1590=0,REPLACE(INDEX(H:H,ROW()+Return!B1590,),1,2,Return!E1590&amp;"(")&amp;")","")</f>
        <v>v(vr, vr, vr, vr, vr, vr, [vr], [vr])</v>
      </c>
      <c r="M1590" s="1"/>
    </row>
    <row r="1591" spans="1:13" x14ac:dyDescent="0.55000000000000004">
      <c r="A1591" s="1" t="s">
        <v>1899</v>
      </c>
      <c r="B1591" t="s">
        <v>1394</v>
      </c>
      <c r="C1591" s="2">
        <f>Return!C1591</f>
        <v>1</v>
      </c>
      <c r="D1591" s="2">
        <f>COUNTA(Argument!E1591)</f>
        <v>0</v>
      </c>
      <c r="E1591" s="2" t="str">
        <f>IF(C1591,Return!D1591,Return!E1591)</f>
        <v>vr</v>
      </c>
      <c r="F1591" s="2" t="str">
        <f t="shared" si="72"/>
        <v>vr</v>
      </c>
      <c r="G1591" s="2" t="str">
        <f t="shared" si="74"/>
        <v>vr</v>
      </c>
      <c r="H1591" s="2" t="str">
        <f t="shared" si="73"/>
        <v>, vr</v>
      </c>
      <c r="I1591" s="2" t="str">
        <f>IF(Return!C1591=0,REPLACE(INDEX(H:H,ROW()+Return!B1591,),1,2,Return!E1591&amp;"(")&amp;")","")</f>
        <v/>
      </c>
      <c r="M1591" s="1"/>
    </row>
    <row r="1592" spans="1:13" x14ac:dyDescent="0.55000000000000004">
      <c r="A1592" s="1" t="s">
        <v>1899</v>
      </c>
      <c r="B1592" t="s">
        <v>1418</v>
      </c>
      <c r="C1592" s="2">
        <f>Return!C1592</f>
        <v>2</v>
      </c>
      <c r="D1592" s="2">
        <f>COUNTA(Argument!E1592)</f>
        <v>0</v>
      </c>
      <c r="E1592" s="2" t="str">
        <f>IF(C1592,Return!D1592,Return!E1592)</f>
        <v>vr</v>
      </c>
      <c r="F1592" s="2" t="str">
        <f t="shared" si="72"/>
        <v>vr</v>
      </c>
      <c r="G1592" s="2" t="str">
        <f t="shared" si="74"/>
        <v>vr</v>
      </c>
      <c r="H1592" s="2" t="str">
        <f t="shared" si="73"/>
        <v>, vr, vr</v>
      </c>
      <c r="I1592" s="2" t="str">
        <f>IF(Return!C1592=0,REPLACE(INDEX(H:H,ROW()+Return!B1592,),1,2,Return!E1592&amp;"(")&amp;")","")</f>
        <v/>
      </c>
      <c r="M1592" s="1"/>
    </row>
    <row r="1593" spans="1:13" x14ac:dyDescent="0.55000000000000004">
      <c r="A1593" s="1" t="s">
        <v>1899</v>
      </c>
      <c r="B1593" t="s">
        <v>1392</v>
      </c>
      <c r="C1593" s="2">
        <f>Return!C1593</f>
        <v>3</v>
      </c>
      <c r="D1593" s="2">
        <f>COUNTA(Argument!E1593)</f>
        <v>0</v>
      </c>
      <c r="E1593" s="2" t="str">
        <f>IF(C1593,Return!D1593,Return!E1593)</f>
        <v>vr</v>
      </c>
      <c r="F1593" s="2" t="str">
        <f t="shared" si="72"/>
        <v>vr</v>
      </c>
      <c r="G1593" s="2" t="str">
        <f t="shared" si="74"/>
        <v>vr</v>
      </c>
      <c r="H1593" s="2" t="str">
        <f t="shared" si="73"/>
        <v>, vr, vr, vr</v>
      </c>
      <c r="I1593" s="2" t="str">
        <f>IF(Return!C1593=0,REPLACE(INDEX(H:H,ROW()+Return!B1593,),1,2,Return!E1593&amp;"(")&amp;")","")</f>
        <v/>
      </c>
      <c r="M1593" s="1"/>
    </row>
    <row r="1594" spans="1:13" x14ac:dyDescent="0.55000000000000004">
      <c r="A1594" s="1" t="s">
        <v>1899</v>
      </c>
      <c r="B1594" t="s">
        <v>1222</v>
      </c>
      <c r="C1594" s="2">
        <f>Return!C1594</f>
        <v>4</v>
      </c>
      <c r="D1594" s="2">
        <f>COUNTA(Argument!E1594)</f>
        <v>0</v>
      </c>
      <c r="E1594" s="2" t="str">
        <f>IF(C1594,Return!D1594,Return!E1594)</f>
        <v>vr</v>
      </c>
      <c r="F1594" s="2" t="str">
        <f t="shared" si="72"/>
        <v>vr</v>
      </c>
      <c r="G1594" s="2" t="str">
        <f t="shared" si="74"/>
        <v>vr</v>
      </c>
      <c r="H1594" s="2" t="str">
        <f t="shared" si="73"/>
        <v>, vr, vr, vr, vr</v>
      </c>
      <c r="I1594" s="2" t="str">
        <f>IF(Return!C1594=0,REPLACE(INDEX(H:H,ROW()+Return!B1594,),1,2,Return!E1594&amp;"(")&amp;")","")</f>
        <v/>
      </c>
      <c r="M1594" s="1"/>
    </row>
    <row r="1595" spans="1:13" x14ac:dyDescent="0.55000000000000004">
      <c r="A1595" s="1" t="s">
        <v>1899</v>
      </c>
      <c r="B1595" t="s">
        <v>1419</v>
      </c>
      <c r="C1595" s="2">
        <f>Return!C1595</f>
        <v>5</v>
      </c>
      <c r="D1595" s="2">
        <f>COUNTA(Argument!E1595)</f>
        <v>0</v>
      </c>
      <c r="E1595" s="2" t="str">
        <f>IF(C1595,Return!D1595,Return!E1595)</f>
        <v>vr</v>
      </c>
      <c r="F1595" s="2" t="str">
        <f t="shared" si="72"/>
        <v>vr</v>
      </c>
      <c r="G1595" s="2" t="str">
        <f t="shared" si="74"/>
        <v>vr</v>
      </c>
      <c r="H1595" s="2" t="str">
        <f t="shared" si="73"/>
        <v>, vr, vr, vr, vr, vr</v>
      </c>
      <c r="I1595" s="2" t="str">
        <f>IF(Return!C1595=0,REPLACE(INDEX(H:H,ROW()+Return!B1595,),1,2,Return!E1595&amp;"(")&amp;")","")</f>
        <v/>
      </c>
      <c r="M1595" s="1"/>
    </row>
    <row r="1596" spans="1:13" x14ac:dyDescent="0.55000000000000004">
      <c r="A1596" s="1" t="s">
        <v>1899</v>
      </c>
      <c r="B1596" t="s">
        <v>1401</v>
      </c>
      <c r="C1596" s="2">
        <f>Return!C1596</f>
        <v>6</v>
      </c>
      <c r="D1596" s="2">
        <f>COUNTA(Argument!E1596)</f>
        <v>1</v>
      </c>
      <c r="E1596" s="2" t="str">
        <f>IF(C1596,Return!D1596,Return!E1596)</f>
        <v>vr</v>
      </c>
      <c r="F1596" s="2" t="str">
        <f t="shared" si="72"/>
        <v>vr</v>
      </c>
      <c r="G1596" s="2" t="str">
        <f t="shared" si="74"/>
        <v>vr</v>
      </c>
      <c r="H1596" s="2" t="str">
        <f t="shared" si="73"/>
        <v>, vr, vr, vr, vr, vr, vr</v>
      </c>
      <c r="I1596" s="2" t="str">
        <f>IF(Return!C1596=0,REPLACE(INDEX(H:H,ROW()+Return!B1596,),1,2,Return!E1596&amp;"(")&amp;")","")</f>
        <v/>
      </c>
      <c r="M1596" s="1"/>
    </row>
    <row r="1597" spans="1:13" x14ac:dyDescent="0.55000000000000004">
      <c r="A1597" s="1" t="s">
        <v>1899</v>
      </c>
      <c r="B1597" t="s">
        <v>1396</v>
      </c>
      <c r="C1597" s="2">
        <f>Return!C1597</f>
        <v>7</v>
      </c>
      <c r="D1597" s="2">
        <f>COUNTA(Argument!E1597)</f>
        <v>1</v>
      </c>
      <c r="E1597" s="2" t="str">
        <f>IF(C1597,Return!D1597,Return!E1597)</f>
        <v>vr</v>
      </c>
      <c r="F1597" s="2" t="str">
        <f t="shared" si="72"/>
        <v>[vr]</v>
      </c>
      <c r="G1597" s="2" t="str">
        <f t="shared" si="74"/>
        <v>[vr]</v>
      </c>
      <c r="H1597" s="2" t="str">
        <f t="shared" si="73"/>
        <v>, vr, vr, vr, vr, vr, vr, [vr]</v>
      </c>
      <c r="I1597" s="2" t="str">
        <f>IF(Return!C1597=0,REPLACE(INDEX(H:H,ROW()+Return!B1597,),1,2,Return!E1597&amp;"(")&amp;")","")</f>
        <v/>
      </c>
      <c r="M1597" s="1"/>
    </row>
    <row r="1598" spans="1:13" x14ac:dyDescent="0.55000000000000004">
      <c r="A1598" s="1" t="s">
        <v>1899</v>
      </c>
      <c r="B1598" t="s">
        <v>1420</v>
      </c>
      <c r="C1598" s="2">
        <f>Return!C1598</f>
        <v>8</v>
      </c>
      <c r="D1598" s="2">
        <f>COUNTA(Argument!E1598)</f>
        <v>1</v>
      </c>
      <c r="E1598" s="2" t="str">
        <f>IF(C1598,Return!D1598,Return!E1598)</f>
        <v>vr</v>
      </c>
      <c r="F1598" s="2" t="str">
        <f t="shared" si="72"/>
        <v>[vr]</v>
      </c>
      <c r="G1598" s="2" t="str">
        <f t="shared" si="74"/>
        <v>[vr]</v>
      </c>
      <c r="H1598" s="2" t="str">
        <f t="shared" si="73"/>
        <v>, vr, vr, vr, vr, vr, vr, [vr], [vr]</v>
      </c>
      <c r="I1598" s="2" t="str">
        <f>IF(Return!C1598=0,REPLACE(INDEX(H:H,ROW()+Return!B1598,),1,2,Return!E1598&amp;"(")&amp;")","")</f>
        <v/>
      </c>
      <c r="M1598" s="1"/>
    </row>
    <row r="1599" spans="1:13" x14ac:dyDescent="0.55000000000000004">
      <c r="A1599" s="1" t="s">
        <v>1900</v>
      </c>
      <c r="C1599" s="2">
        <f>Return!C1599</f>
        <v>0</v>
      </c>
      <c r="D1599" s="2">
        <f>COUNTA(Argument!E1599)</f>
        <v>0</v>
      </c>
      <c r="E1599" s="2" t="str">
        <f>IF(C1599,Return!D1599,Return!E1599)</f>
        <v>v</v>
      </c>
      <c r="F1599" s="2" t="str">
        <f t="shared" si="72"/>
        <v/>
      </c>
      <c r="G1599" s="2" t="str">
        <f t="shared" si="74"/>
        <v/>
      </c>
      <c r="H1599" s="2" t="str">
        <f t="shared" si="73"/>
        <v/>
      </c>
      <c r="I1599" s="2" t="str">
        <f>IF(Return!C1599=0,REPLACE(INDEX(H:H,ROW()+Return!B1599,),1,2,Return!E1599&amp;"(")&amp;")","")</f>
        <v>v(vr, vr, vr, vr, [vr])</v>
      </c>
      <c r="M1599" s="1"/>
    </row>
    <row r="1600" spans="1:13" x14ac:dyDescent="0.55000000000000004">
      <c r="A1600" s="1" t="s">
        <v>1900</v>
      </c>
      <c r="B1600" t="s">
        <v>1394</v>
      </c>
      <c r="C1600" s="2">
        <f>Return!C1600</f>
        <v>1</v>
      </c>
      <c r="D1600" s="2">
        <f>COUNTA(Argument!E1600)</f>
        <v>0</v>
      </c>
      <c r="E1600" s="2" t="str">
        <f>IF(C1600,Return!D1600,Return!E1600)</f>
        <v>vr</v>
      </c>
      <c r="F1600" s="2" t="str">
        <f t="shared" si="72"/>
        <v>vr</v>
      </c>
      <c r="G1600" s="2" t="str">
        <f t="shared" si="74"/>
        <v>vr</v>
      </c>
      <c r="H1600" s="2" t="str">
        <f t="shared" si="73"/>
        <v>, vr</v>
      </c>
      <c r="I1600" s="2" t="str">
        <f>IF(Return!C1600=0,REPLACE(INDEX(H:H,ROW()+Return!B1600,),1,2,Return!E1600&amp;"(")&amp;")","")</f>
        <v/>
      </c>
      <c r="M1600" s="1"/>
    </row>
    <row r="1601" spans="1:13" x14ac:dyDescent="0.55000000000000004">
      <c r="A1601" s="1" t="s">
        <v>1900</v>
      </c>
      <c r="B1601" t="s">
        <v>1392</v>
      </c>
      <c r="C1601" s="2">
        <f>Return!C1601</f>
        <v>2</v>
      </c>
      <c r="D1601" s="2">
        <f>COUNTA(Argument!E1601)</f>
        <v>0</v>
      </c>
      <c r="E1601" s="2" t="str">
        <f>IF(C1601,Return!D1601,Return!E1601)</f>
        <v>vr</v>
      </c>
      <c r="F1601" s="2" t="str">
        <f t="shared" si="72"/>
        <v>vr</v>
      </c>
      <c r="G1601" s="2" t="str">
        <f t="shared" si="74"/>
        <v>vr</v>
      </c>
      <c r="H1601" s="2" t="str">
        <f t="shared" si="73"/>
        <v>, vr, vr</v>
      </c>
      <c r="I1601" s="2" t="str">
        <f>IF(Return!C1601=0,REPLACE(INDEX(H:H,ROW()+Return!B1601,),1,2,Return!E1601&amp;"(")&amp;")","")</f>
        <v/>
      </c>
      <c r="M1601" s="1"/>
    </row>
    <row r="1602" spans="1:13" x14ac:dyDescent="0.55000000000000004">
      <c r="A1602" s="1" t="s">
        <v>1900</v>
      </c>
      <c r="B1602" t="s">
        <v>1222</v>
      </c>
      <c r="C1602" s="2">
        <f>Return!C1602</f>
        <v>3</v>
      </c>
      <c r="D1602" s="2">
        <f>COUNTA(Argument!E1602)</f>
        <v>0</v>
      </c>
      <c r="E1602" s="2" t="str">
        <f>IF(C1602,Return!D1602,Return!E1602)</f>
        <v>vr</v>
      </c>
      <c r="F1602" s="2" t="str">
        <f t="shared" si="72"/>
        <v>vr</v>
      </c>
      <c r="G1602" s="2" t="str">
        <f t="shared" si="74"/>
        <v>vr</v>
      </c>
      <c r="H1602" s="2" t="str">
        <f t="shared" si="73"/>
        <v>, vr, vr, vr</v>
      </c>
      <c r="I1602" s="2" t="str">
        <f>IF(Return!C1602=0,REPLACE(INDEX(H:H,ROW()+Return!B1602,),1,2,Return!E1602&amp;"(")&amp;")","")</f>
        <v/>
      </c>
      <c r="M1602" s="1"/>
    </row>
    <row r="1603" spans="1:13" x14ac:dyDescent="0.55000000000000004">
      <c r="A1603" s="1" t="s">
        <v>1900</v>
      </c>
      <c r="B1603" t="s">
        <v>1419</v>
      </c>
      <c r="C1603" s="2">
        <f>Return!C1603</f>
        <v>4</v>
      </c>
      <c r="D1603" s="2">
        <f>COUNTA(Argument!E1603)</f>
        <v>1</v>
      </c>
      <c r="E1603" s="2" t="str">
        <f>IF(C1603,Return!D1603,Return!E1603)</f>
        <v>vr</v>
      </c>
      <c r="F1603" s="2" t="str">
        <f t="shared" ref="F1603:F1666" si="75">IF(C1603,IF(D1603,IF(D1602,"["&amp;E1603&amp;"]",E1603),E1603),"")</f>
        <v>vr</v>
      </c>
      <c r="G1603" s="2" t="str">
        <f t="shared" si="74"/>
        <v>vr</v>
      </c>
      <c r="H1603" s="2" t="str">
        <f t="shared" ref="H1603:H1666" si="76">IF(C1603&gt;0,H1602&amp;", "&amp;G1603,"")</f>
        <v>, vr, vr, vr, vr</v>
      </c>
      <c r="I1603" s="2" t="str">
        <f>IF(Return!C1603=0,REPLACE(INDEX(H:H,ROW()+Return!B1603,),1,2,Return!E1603&amp;"(")&amp;")","")</f>
        <v/>
      </c>
      <c r="M1603" s="1"/>
    </row>
    <row r="1604" spans="1:13" x14ac:dyDescent="0.55000000000000004">
      <c r="A1604" s="1" t="s">
        <v>1900</v>
      </c>
      <c r="B1604" t="s">
        <v>1396</v>
      </c>
      <c r="C1604" s="2">
        <f>Return!C1604</f>
        <v>5</v>
      </c>
      <c r="D1604" s="2">
        <f>COUNTA(Argument!E1604)</f>
        <v>1</v>
      </c>
      <c r="E1604" s="2" t="str">
        <f>IF(C1604,Return!D1604,Return!E1604)</f>
        <v>vr</v>
      </c>
      <c r="F1604" s="2" t="str">
        <f t="shared" si="75"/>
        <v>[vr]</v>
      </c>
      <c r="G1604" s="2" t="str">
        <f t="shared" ref="G1604:G1667" si="77">IF(B1604="...",IF(C1605&gt;0,"["&amp;E1604,"…"),IF(B1603=" ...",IF(C1604&gt;0,E1604&amp;"], …",F1604),F1604))</f>
        <v>[vr]</v>
      </c>
      <c r="H1604" s="2" t="str">
        <f t="shared" si="76"/>
        <v>, vr, vr, vr, vr, [vr]</v>
      </c>
      <c r="I1604" s="2" t="str">
        <f>IF(Return!C1604=0,REPLACE(INDEX(H:H,ROW()+Return!B1604,),1,2,Return!E1604&amp;"(")&amp;")","")</f>
        <v/>
      </c>
      <c r="M1604" s="1"/>
    </row>
    <row r="1605" spans="1:13" x14ac:dyDescent="0.55000000000000004">
      <c r="A1605" s="1" t="s">
        <v>1901</v>
      </c>
      <c r="C1605" s="2">
        <f>Return!C1605</f>
        <v>0</v>
      </c>
      <c r="D1605" s="2">
        <f>COUNTA(Argument!E1605)</f>
        <v>0</v>
      </c>
      <c r="E1605" s="2" t="str">
        <f>IF(C1605,Return!D1605,Return!E1605)</f>
        <v>v</v>
      </c>
      <c r="F1605" s="2" t="str">
        <f t="shared" si="75"/>
        <v/>
      </c>
      <c r="G1605" s="2" t="str">
        <f t="shared" si="77"/>
        <v/>
      </c>
      <c r="H1605" s="2" t="str">
        <f t="shared" si="76"/>
        <v/>
      </c>
      <c r="I1605" s="2" t="str">
        <f>IF(Return!C1605=0,REPLACE(INDEX(H:H,ROW()+Return!B1605,),1,2,Return!E1605&amp;"(")&amp;")","")</f>
        <v>v(vr, vr, [var])</v>
      </c>
      <c r="M1605" s="1"/>
    </row>
    <row r="1606" spans="1:13" x14ac:dyDescent="0.55000000000000004">
      <c r="A1606" s="1" t="s">
        <v>1901</v>
      </c>
      <c r="B1606" t="s">
        <v>1305</v>
      </c>
      <c r="C1606" s="2">
        <f>Return!C1606</f>
        <v>1</v>
      </c>
      <c r="D1606" s="2">
        <f>COUNTA(Argument!E1606)</f>
        <v>0</v>
      </c>
      <c r="E1606" s="2" t="str">
        <f>IF(C1606,Return!D1606,Return!E1606)</f>
        <v>vr</v>
      </c>
      <c r="F1606" s="2" t="str">
        <f t="shared" si="75"/>
        <v>vr</v>
      </c>
      <c r="G1606" s="2" t="str">
        <f t="shared" si="77"/>
        <v>vr</v>
      </c>
      <c r="H1606" s="2" t="str">
        <f t="shared" si="76"/>
        <v>, vr</v>
      </c>
      <c r="I1606" s="2" t="str">
        <f>IF(Return!C1606=0,REPLACE(INDEX(H:H,ROW()+Return!B1606,),1,2,Return!E1606&amp;"(")&amp;")","")</f>
        <v/>
      </c>
      <c r="M1606" s="1"/>
    </row>
    <row r="1607" spans="1:13" x14ac:dyDescent="0.55000000000000004">
      <c r="A1607" s="1" t="s">
        <v>1901</v>
      </c>
      <c r="B1607" t="s">
        <v>1421</v>
      </c>
      <c r="C1607" s="2">
        <f>Return!C1607</f>
        <v>2</v>
      </c>
      <c r="D1607" s="2">
        <f>COUNTA(Argument!E1607)</f>
        <v>1</v>
      </c>
      <c r="E1607" s="2" t="str">
        <f>IF(C1607,Return!D1607,Return!E1607)</f>
        <v>vr</v>
      </c>
      <c r="F1607" s="2" t="str">
        <f t="shared" si="75"/>
        <v>vr</v>
      </c>
      <c r="G1607" s="2" t="str">
        <f t="shared" si="77"/>
        <v>vr</v>
      </c>
      <c r="H1607" s="2" t="str">
        <f t="shared" si="76"/>
        <v>, vr, vr</v>
      </c>
      <c r="I1607" s="2" t="str">
        <f>IF(Return!C1607=0,REPLACE(INDEX(H:H,ROW()+Return!B1607,),1,2,Return!E1607&amp;"(")&amp;")","")</f>
        <v/>
      </c>
      <c r="M1607" s="1"/>
    </row>
    <row r="1608" spans="1:13" x14ac:dyDescent="0.55000000000000004">
      <c r="A1608" s="1" t="s">
        <v>1901</v>
      </c>
      <c r="B1608" t="s">
        <v>1422</v>
      </c>
      <c r="C1608" s="2">
        <f>Return!C1608</f>
        <v>3</v>
      </c>
      <c r="D1608" s="2">
        <f>COUNTA(Argument!E1608)</f>
        <v>1</v>
      </c>
      <c r="E1608" s="2" t="str">
        <f>IF(C1608,Return!D1608,Return!E1608)</f>
        <v>var</v>
      </c>
      <c r="F1608" s="2" t="str">
        <f t="shared" si="75"/>
        <v>[var]</v>
      </c>
      <c r="G1608" s="2" t="str">
        <f t="shared" si="77"/>
        <v>[var]</v>
      </c>
      <c r="H1608" s="2" t="str">
        <f t="shared" si="76"/>
        <v>, vr, vr, [var]</v>
      </c>
      <c r="I1608" s="2" t="str">
        <f>IF(Return!C1608=0,REPLACE(INDEX(H:H,ROW()+Return!B1608,),1,2,Return!E1608&amp;"(")&amp;")","")</f>
        <v/>
      </c>
      <c r="M1608" s="1"/>
    </row>
    <row r="1609" spans="1:13" x14ac:dyDescent="0.55000000000000004">
      <c r="A1609" s="1" t="s">
        <v>1902</v>
      </c>
      <c r="C1609" s="2">
        <f>Return!C1609</f>
        <v>0</v>
      </c>
      <c r="D1609" s="2">
        <f>COUNTA(Argument!E1609)</f>
        <v>0</v>
      </c>
      <c r="E1609" s="2" t="str">
        <f>IF(C1609,Return!D1609,Return!E1609)</f>
        <v>v</v>
      </c>
      <c r="F1609" s="2" t="str">
        <f t="shared" si="75"/>
        <v/>
      </c>
      <c r="G1609" s="2" t="str">
        <f t="shared" si="77"/>
        <v/>
      </c>
      <c r="H1609" s="2" t="str">
        <f t="shared" si="76"/>
        <v/>
      </c>
      <c r="I1609" s="2" t="str">
        <f>IF(Return!C1609=0,REPLACE(INDEX(H:H,ROW()+Return!B1609,),1,2,Return!E1609&amp;"(")&amp;")","")</f>
        <v>v(vr, vr, [var])</v>
      </c>
      <c r="M1609" s="1"/>
    </row>
    <row r="1610" spans="1:13" x14ac:dyDescent="0.55000000000000004">
      <c r="A1610" s="1" t="s">
        <v>1902</v>
      </c>
      <c r="B1610" t="s">
        <v>1305</v>
      </c>
      <c r="C1610" s="2">
        <f>Return!C1610</f>
        <v>1</v>
      </c>
      <c r="D1610" s="2">
        <f>COUNTA(Argument!E1610)</f>
        <v>0</v>
      </c>
      <c r="E1610" s="2" t="str">
        <f>IF(C1610,Return!D1610,Return!E1610)</f>
        <v>vr</v>
      </c>
      <c r="F1610" s="2" t="str">
        <f t="shared" si="75"/>
        <v>vr</v>
      </c>
      <c r="G1610" s="2" t="str">
        <f t="shared" si="77"/>
        <v>vr</v>
      </c>
      <c r="H1610" s="2" t="str">
        <f t="shared" si="76"/>
        <v>, vr</v>
      </c>
      <c r="I1610" s="2" t="str">
        <f>IF(Return!C1610=0,REPLACE(INDEX(H:H,ROW()+Return!B1610,),1,2,Return!E1610&amp;"(")&amp;")","")</f>
        <v/>
      </c>
      <c r="M1610" s="1"/>
    </row>
    <row r="1611" spans="1:13" x14ac:dyDescent="0.55000000000000004">
      <c r="A1611" s="1" t="s">
        <v>1902</v>
      </c>
      <c r="B1611" t="s">
        <v>1306</v>
      </c>
      <c r="C1611" s="2">
        <f>Return!C1611</f>
        <v>2</v>
      </c>
      <c r="D1611" s="2">
        <f>COUNTA(Argument!E1611)</f>
        <v>1</v>
      </c>
      <c r="E1611" s="2" t="str">
        <f>IF(C1611,Return!D1611,Return!E1611)</f>
        <v>vr</v>
      </c>
      <c r="F1611" s="2" t="str">
        <f t="shared" si="75"/>
        <v>vr</v>
      </c>
      <c r="G1611" s="2" t="str">
        <f t="shared" si="77"/>
        <v>vr</v>
      </c>
      <c r="H1611" s="2" t="str">
        <f t="shared" si="76"/>
        <v>, vr, vr</v>
      </c>
      <c r="I1611" s="2" t="str">
        <f>IF(Return!C1611=0,REPLACE(INDEX(H:H,ROW()+Return!B1611,),1,2,Return!E1611&amp;"(")&amp;")","")</f>
        <v/>
      </c>
      <c r="M1611" s="1"/>
    </row>
    <row r="1612" spans="1:13" x14ac:dyDescent="0.55000000000000004">
      <c r="A1612" s="1" t="s">
        <v>1902</v>
      </c>
      <c r="B1612" t="s">
        <v>1422</v>
      </c>
      <c r="C1612" s="2">
        <f>Return!C1612</f>
        <v>3</v>
      </c>
      <c r="D1612" s="2">
        <f>COUNTA(Argument!E1612)</f>
        <v>1</v>
      </c>
      <c r="E1612" s="2" t="str">
        <f>IF(C1612,Return!D1612,Return!E1612)</f>
        <v>var</v>
      </c>
      <c r="F1612" s="2" t="str">
        <f t="shared" si="75"/>
        <v>[var]</v>
      </c>
      <c r="G1612" s="2" t="str">
        <f t="shared" si="77"/>
        <v>[var]</v>
      </c>
      <c r="H1612" s="2" t="str">
        <f t="shared" si="76"/>
        <v>, vr, vr, [var]</v>
      </c>
      <c r="I1612" s="2" t="str">
        <f>IF(Return!C1612=0,REPLACE(INDEX(H:H,ROW()+Return!B1612,),1,2,Return!E1612&amp;"(")&amp;")","")</f>
        <v/>
      </c>
      <c r="M1612" s="1"/>
    </row>
    <row r="1613" spans="1:13" x14ac:dyDescent="0.55000000000000004">
      <c r="A1613" s="1" t="s">
        <v>1903</v>
      </c>
      <c r="C1613" s="2">
        <f>Return!C1613</f>
        <v>0</v>
      </c>
      <c r="D1613" s="2">
        <f>COUNTA(Argument!E1613)</f>
        <v>0</v>
      </c>
      <c r="E1613" s="2" t="str">
        <f>IF(C1613,Return!D1613,Return!E1613)</f>
        <v>v</v>
      </c>
      <c r="F1613" s="2" t="str">
        <f t="shared" si="75"/>
        <v/>
      </c>
      <c r="G1613" s="2" t="str">
        <f t="shared" si="77"/>
        <v/>
      </c>
      <c r="H1613" s="2" t="str">
        <f t="shared" si="76"/>
        <v/>
      </c>
      <c r="I1613" s="2" t="str">
        <f>IF(Return!C1613=0,REPLACE(INDEX(H:H,ROW()+Return!B1613,),1,2,Return!E1613&amp;"(")&amp;")","")</f>
        <v>v(var, [var], …)</v>
      </c>
      <c r="M1613" s="1"/>
    </row>
    <row r="1614" spans="1:13" x14ac:dyDescent="0.55000000000000004">
      <c r="A1614" s="1" t="s">
        <v>1903</v>
      </c>
      <c r="B1614" t="s">
        <v>1219</v>
      </c>
      <c r="C1614" s="2">
        <f>Return!C1614</f>
        <v>1</v>
      </c>
      <c r="D1614" s="2">
        <f>COUNTA(Argument!E1614)</f>
        <v>1</v>
      </c>
      <c r="E1614" s="2" t="str">
        <f>IF(C1614,Return!D1614,Return!E1614)</f>
        <v>var</v>
      </c>
      <c r="F1614" s="2" t="str">
        <f t="shared" si="75"/>
        <v>var</v>
      </c>
      <c r="G1614" s="2" t="str">
        <f t="shared" si="77"/>
        <v>var</v>
      </c>
      <c r="H1614" s="2" t="str">
        <f t="shared" si="76"/>
        <v>, var</v>
      </c>
      <c r="I1614" s="2" t="str">
        <f>IF(Return!C1614=0,REPLACE(INDEX(H:H,ROW()+Return!B1614,),1,2,Return!E1614&amp;"(")&amp;")","")</f>
        <v/>
      </c>
      <c r="M1614" s="1"/>
    </row>
    <row r="1615" spans="1:13" x14ac:dyDescent="0.55000000000000004">
      <c r="A1615" s="1" t="s">
        <v>1903</v>
      </c>
      <c r="B1615" t="s">
        <v>1220</v>
      </c>
      <c r="C1615" s="2">
        <f>Return!C1615</f>
        <v>2</v>
      </c>
      <c r="D1615" s="2">
        <f>COUNTA(Argument!E1615)</f>
        <v>1</v>
      </c>
      <c r="E1615" s="2" t="str">
        <f>IF(C1615,Return!D1615,Return!E1615)</f>
        <v>var</v>
      </c>
      <c r="F1615" s="2" t="str">
        <f t="shared" si="75"/>
        <v>[var]</v>
      </c>
      <c r="G1615" s="2" t="str">
        <f t="shared" si="77"/>
        <v>[var]</v>
      </c>
      <c r="H1615" s="2" t="str">
        <f t="shared" si="76"/>
        <v>, var, [var]</v>
      </c>
      <c r="I1615" s="2" t="str">
        <f>IF(Return!C1615=0,REPLACE(INDEX(H:H,ROW()+Return!B1615,),1,2,Return!E1615&amp;"(")&amp;")","")</f>
        <v/>
      </c>
      <c r="M1615" s="1"/>
    </row>
    <row r="1616" spans="1:13" x14ac:dyDescent="0.55000000000000004">
      <c r="A1616" s="1" t="s">
        <v>1903</v>
      </c>
      <c r="B1616" t="s">
        <v>1214</v>
      </c>
      <c r="C1616" s="2">
        <f>Return!C1616</f>
        <v>3</v>
      </c>
      <c r="D1616" s="2">
        <f>COUNTA(Argument!E1616)</f>
        <v>1</v>
      </c>
      <c r="E1616" s="2" t="str">
        <f>IF(C1616,Return!D1616,Return!E1616)</f>
        <v>var</v>
      </c>
      <c r="F1616" s="2" t="str">
        <f t="shared" si="75"/>
        <v>[var]</v>
      </c>
      <c r="G1616" s="2" t="str">
        <f t="shared" si="77"/>
        <v>…</v>
      </c>
      <c r="H1616" s="2" t="str">
        <f t="shared" si="76"/>
        <v>, var, [var], …</v>
      </c>
      <c r="I1616" s="2" t="str">
        <f>IF(Return!C1616=0,REPLACE(INDEX(H:H,ROW()+Return!B1616,),1,2,Return!E1616&amp;"(")&amp;")","")</f>
        <v/>
      </c>
      <c r="M1616" s="1"/>
    </row>
    <row r="1617" spans="1:13" x14ac:dyDescent="0.55000000000000004">
      <c r="A1617" s="1" t="s">
        <v>1904</v>
      </c>
      <c r="C1617" s="2">
        <f>Return!C1617</f>
        <v>0</v>
      </c>
      <c r="D1617" s="2">
        <f>COUNTA(Argument!E1617)</f>
        <v>0</v>
      </c>
      <c r="E1617" s="2" t="str">
        <f>IF(C1617,Return!D1617,Return!E1617)</f>
        <v>v</v>
      </c>
      <c r="F1617" s="2" t="str">
        <f t="shared" si="75"/>
        <v/>
      </c>
      <c r="G1617" s="2" t="str">
        <f t="shared" si="77"/>
        <v/>
      </c>
      <c r="H1617" s="2" t="str">
        <f t="shared" si="76"/>
        <v/>
      </c>
      <c r="I1617" s="2" t="str">
        <f>IF(Return!C1617=0,REPLACE(INDEX(H:H,ROW()+Return!B1617,),1,2,Return!E1617&amp;"(")&amp;")","")</f>
        <v>v(var, [var], …)</v>
      </c>
      <c r="M1617" s="1"/>
    </row>
    <row r="1618" spans="1:13" x14ac:dyDescent="0.55000000000000004">
      <c r="A1618" s="1" t="s">
        <v>1904</v>
      </c>
      <c r="B1618" t="s">
        <v>1219</v>
      </c>
      <c r="C1618" s="2">
        <f>Return!C1618</f>
        <v>1</v>
      </c>
      <c r="D1618" s="2">
        <f>COUNTA(Argument!E1618)</f>
        <v>1</v>
      </c>
      <c r="E1618" s="2" t="str">
        <f>IF(C1618,Return!D1618,Return!E1618)</f>
        <v>var</v>
      </c>
      <c r="F1618" s="2" t="str">
        <f t="shared" si="75"/>
        <v>var</v>
      </c>
      <c r="G1618" s="2" t="str">
        <f t="shared" si="77"/>
        <v>var</v>
      </c>
      <c r="H1618" s="2" t="str">
        <f t="shared" si="76"/>
        <v>, var</v>
      </c>
      <c r="I1618" s="2" t="str">
        <f>IF(Return!C1618=0,REPLACE(INDEX(H:H,ROW()+Return!B1618,),1,2,Return!E1618&amp;"(")&amp;")","")</f>
        <v/>
      </c>
      <c r="M1618" s="1"/>
    </row>
    <row r="1619" spans="1:13" x14ac:dyDescent="0.55000000000000004">
      <c r="A1619" s="1" t="s">
        <v>1904</v>
      </c>
      <c r="B1619" t="s">
        <v>1220</v>
      </c>
      <c r="C1619" s="2">
        <f>Return!C1619</f>
        <v>2</v>
      </c>
      <c r="D1619" s="2">
        <f>COUNTA(Argument!E1619)</f>
        <v>1</v>
      </c>
      <c r="E1619" s="2" t="str">
        <f>IF(C1619,Return!D1619,Return!E1619)</f>
        <v>var</v>
      </c>
      <c r="F1619" s="2" t="str">
        <f t="shared" si="75"/>
        <v>[var]</v>
      </c>
      <c r="G1619" s="2" t="str">
        <f t="shared" si="77"/>
        <v>[var]</v>
      </c>
      <c r="H1619" s="2" t="str">
        <f t="shared" si="76"/>
        <v>, var, [var]</v>
      </c>
      <c r="I1619" s="2" t="str">
        <f>IF(Return!C1619=0,REPLACE(INDEX(H:H,ROW()+Return!B1619,),1,2,Return!E1619&amp;"(")&amp;")","")</f>
        <v/>
      </c>
      <c r="M1619" s="1"/>
    </row>
    <row r="1620" spans="1:13" x14ac:dyDescent="0.55000000000000004">
      <c r="A1620" s="1" t="s">
        <v>1904</v>
      </c>
      <c r="B1620" t="s">
        <v>1214</v>
      </c>
      <c r="C1620" s="2">
        <f>Return!C1620</f>
        <v>3</v>
      </c>
      <c r="D1620" s="2">
        <f>COUNTA(Argument!E1620)</f>
        <v>1</v>
      </c>
      <c r="E1620" s="2" t="str">
        <f>IF(C1620,Return!D1620,Return!E1620)</f>
        <v>var</v>
      </c>
      <c r="F1620" s="2" t="str">
        <f t="shared" si="75"/>
        <v>[var]</v>
      </c>
      <c r="G1620" s="2" t="str">
        <f t="shared" si="77"/>
        <v>…</v>
      </c>
      <c r="H1620" s="2" t="str">
        <f t="shared" si="76"/>
        <v>, var, [var], …</v>
      </c>
      <c r="I1620" s="2" t="str">
        <f>IF(Return!C1620=0,REPLACE(INDEX(H:H,ROW()+Return!B1620,),1,2,Return!E1620&amp;"(")&amp;")","")</f>
        <v/>
      </c>
      <c r="M1620" s="1"/>
    </row>
    <row r="1621" spans="1:13" x14ac:dyDescent="0.55000000000000004">
      <c r="A1621" s="1" t="s">
        <v>1905</v>
      </c>
      <c r="C1621" s="2">
        <f>Return!C1621</f>
        <v>0</v>
      </c>
      <c r="D1621" s="2">
        <f>COUNTA(Argument!E1621)</f>
        <v>0</v>
      </c>
      <c r="E1621" s="2" t="str">
        <f>IF(C1621,Return!D1621,Return!E1621)</f>
        <v>v</v>
      </c>
      <c r="F1621" s="2" t="str">
        <f t="shared" si="75"/>
        <v/>
      </c>
      <c r="G1621" s="2" t="str">
        <f t="shared" si="77"/>
        <v/>
      </c>
      <c r="H1621" s="2" t="str">
        <f t="shared" si="76"/>
        <v/>
      </c>
      <c r="I1621" s="2" t="str">
        <f>IF(Return!C1621=0,REPLACE(INDEX(H:H,ROW()+Return!B1621,),1,2,Return!E1621&amp;"(")&amp;")","")</f>
        <v>v(var, [var], …)</v>
      </c>
      <c r="M1621" s="1"/>
    </row>
    <row r="1622" spans="1:13" x14ac:dyDescent="0.55000000000000004">
      <c r="A1622" s="1" t="s">
        <v>1905</v>
      </c>
      <c r="B1622" t="s">
        <v>1219</v>
      </c>
      <c r="C1622" s="2">
        <f>Return!C1622</f>
        <v>1</v>
      </c>
      <c r="D1622" s="2">
        <f>COUNTA(Argument!E1622)</f>
        <v>1</v>
      </c>
      <c r="E1622" s="2" t="str">
        <f>IF(C1622,Return!D1622,Return!E1622)</f>
        <v>var</v>
      </c>
      <c r="F1622" s="2" t="str">
        <f t="shared" si="75"/>
        <v>var</v>
      </c>
      <c r="G1622" s="2" t="str">
        <f t="shared" si="77"/>
        <v>var</v>
      </c>
      <c r="H1622" s="2" t="str">
        <f t="shared" si="76"/>
        <v>, var</v>
      </c>
      <c r="I1622" s="2" t="str">
        <f>IF(Return!C1622=0,REPLACE(INDEX(H:H,ROW()+Return!B1622,),1,2,Return!E1622&amp;"(")&amp;")","")</f>
        <v/>
      </c>
      <c r="M1622" s="1"/>
    </row>
    <row r="1623" spans="1:13" x14ac:dyDescent="0.55000000000000004">
      <c r="A1623" s="1" t="s">
        <v>1905</v>
      </c>
      <c r="B1623" t="s">
        <v>1220</v>
      </c>
      <c r="C1623" s="2">
        <f>Return!C1623</f>
        <v>2</v>
      </c>
      <c r="D1623" s="2">
        <f>COUNTA(Argument!E1623)</f>
        <v>1</v>
      </c>
      <c r="E1623" s="2" t="str">
        <f>IF(C1623,Return!D1623,Return!E1623)</f>
        <v>var</v>
      </c>
      <c r="F1623" s="2" t="str">
        <f t="shared" si="75"/>
        <v>[var]</v>
      </c>
      <c r="G1623" s="2" t="str">
        <f t="shared" si="77"/>
        <v>[var]</v>
      </c>
      <c r="H1623" s="2" t="str">
        <f t="shared" si="76"/>
        <v>, var, [var]</v>
      </c>
      <c r="I1623" s="2" t="str">
        <f>IF(Return!C1623=0,REPLACE(INDEX(H:H,ROW()+Return!B1623,),1,2,Return!E1623&amp;"(")&amp;")","")</f>
        <v/>
      </c>
      <c r="M1623" s="1"/>
    </row>
    <row r="1624" spans="1:13" x14ac:dyDescent="0.55000000000000004">
      <c r="A1624" s="1" t="s">
        <v>1905</v>
      </c>
      <c r="B1624" t="s">
        <v>1214</v>
      </c>
      <c r="C1624" s="2">
        <f>Return!C1624</f>
        <v>3</v>
      </c>
      <c r="D1624" s="2">
        <f>COUNTA(Argument!E1624)</f>
        <v>1</v>
      </c>
      <c r="E1624" s="2" t="str">
        <f>IF(C1624,Return!D1624,Return!E1624)</f>
        <v>var</v>
      </c>
      <c r="F1624" s="2" t="str">
        <f t="shared" si="75"/>
        <v>[var]</v>
      </c>
      <c r="G1624" s="2" t="str">
        <f t="shared" si="77"/>
        <v>…</v>
      </c>
      <c r="H1624" s="2" t="str">
        <f t="shared" si="76"/>
        <v>, var, [var], …</v>
      </c>
      <c r="I1624" s="2" t="str">
        <f>IF(Return!C1624=0,REPLACE(INDEX(H:H,ROW()+Return!B1624,),1,2,Return!E1624&amp;"(")&amp;")","")</f>
        <v/>
      </c>
      <c r="M1624" s="1"/>
    </row>
    <row r="1625" spans="1:13" x14ac:dyDescent="0.55000000000000004">
      <c r="A1625" s="1" t="s">
        <v>1906</v>
      </c>
      <c r="C1625" s="2">
        <f>Return!C1625</f>
        <v>0</v>
      </c>
      <c r="D1625" s="2">
        <f>COUNTA(Argument!E1625)</f>
        <v>0</v>
      </c>
      <c r="E1625" s="2" t="str">
        <f>IF(C1625,Return!D1625,Return!E1625)</f>
        <v>v</v>
      </c>
      <c r="F1625" s="2" t="str">
        <f t="shared" si="75"/>
        <v/>
      </c>
      <c r="G1625" s="2" t="str">
        <f t="shared" si="77"/>
        <v/>
      </c>
      <c r="H1625" s="2" t="str">
        <f t="shared" si="76"/>
        <v/>
      </c>
      <c r="I1625" s="2" t="str">
        <f>IF(Return!C1625=0,REPLACE(INDEX(H:H,ROW()+Return!B1625,),1,2,Return!E1625&amp;"(")&amp;")","")</f>
        <v>v(vr, var)</v>
      </c>
      <c r="M1625" s="1"/>
    </row>
    <row r="1626" spans="1:13" x14ac:dyDescent="0.55000000000000004">
      <c r="A1626" s="1" t="s">
        <v>1906</v>
      </c>
      <c r="B1626" t="s">
        <v>1423</v>
      </c>
      <c r="C1626" s="2">
        <f>Return!C1626</f>
        <v>1</v>
      </c>
      <c r="D1626" s="2">
        <f>COUNTA(Argument!E1626)</f>
        <v>0</v>
      </c>
      <c r="E1626" s="2" t="str">
        <f>IF(C1626,Return!D1626,Return!E1626)</f>
        <v>vr</v>
      </c>
      <c r="F1626" s="2" t="str">
        <f t="shared" si="75"/>
        <v>vr</v>
      </c>
      <c r="G1626" s="2" t="str">
        <f t="shared" si="77"/>
        <v>vr</v>
      </c>
      <c r="H1626" s="2" t="str">
        <f t="shared" si="76"/>
        <v>, vr</v>
      </c>
      <c r="I1626" s="2" t="str">
        <f>IF(Return!C1626=0,REPLACE(INDEX(H:H,ROW()+Return!B1626,),1,2,Return!E1626&amp;"(")&amp;")","")</f>
        <v/>
      </c>
      <c r="M1626" s="1"/>
    </row>
    <row r="1627" spans="1:13" x14ac:dyDescent="0.55000000000000004">
      <c r="A1627" s="1" t="s">
        <v>1906</v>
      </c>
      <c r="B1627" t="s">
        <v>1424</v>
      </c>
      <c r="C1627" s="2">
        <f>Return!C1627</f>
        <v>2</v>
      </c>
      <c r="D1627" s="2">
        <f>COUNTA(Argument!E1627)</f>
        <v>1</v>
      </c>
      <c r="E1627" s="2" t="str">
        <f>IF(C1627,Return!D1627,Return!E1627)</f>
        <v>var</v>
      </c>
      <c r="F1627" s="2" t="str">
        <f t="shared" si="75"/>
        <v>var</v>
      </c>
      <c r="G1627" s="2" t="str">
        <f t="shared" si="77"/>
        <v>var</v>
      </c>
      <c r="H1627" s="2" t="str">
        <f t="shared" si="76"/>
        <v>, vr, var</v>
      </c>
      <c r="I1627" s="2" t="str">
        <f>IF(Return!C1627=0,REPLACE(INDEX(H:H,ROW()+Return!B1627,),1,2,Return!E1627&amp;"(")&amp;")","")</f>
        <v/>
      </c>
      <c r="M1627" s="1"/>
    </row>
    <row r="1628" spans="1:13" x14ac:dyDescent="0.55000000000000004">
      <c r="A1628" s="1" t="s">
        <v>1907</v>
      </c>
      <c r="C1628" s="2">
        <f>Return!C1628</f>
        <v>0</v>
      </c>
      <c r="D1628" s="2">
        <f>COUNTA(Argument!E1628)</f>
        <v>0</v>
      </c>
      <c r="E1628" s="2" t="str">
        <f>IF(C1628,Return!D1628,Return!E1628)</f>
        <v>v</v>
      </c>
      <c r="F1628" s="2" t="str">
        <f t="shared" si="75"/>
        <v/>
      </c>
      <c r="G1628" s="2" t="str">
        <f t="shared" si="77"/>
        <v/>
      </c>
      <c r="H1628" s="2" t="str">
        <f t="shared" si="76"/>
        <v/>
      </c>
      <c r="I1628" s="2" t="str">
        <f>IF(Return!C1628=0,REPLACE(INDEX(H:H,ROW()+Return!B1628,),1,2,Return!E1628&amp;"(")&amp;")","")</f>
        <v>v(v, v, v, [v])</v>
      </c>
      <c r="M1628" s="1"/>
    </row>
    <row r="1629" spans="1:13" x14ac:dyDescent="0.55000000000000004">
      <c r="A1629" s="1" t="s">
        <v>1907</v>
      </c>
      <c r="B1629" t="s">
        <v>1370</v>
      </c>
      <c r="C1629" s="2">
        <f>Return!C1629</f>
        <v>1</v>
      </c>
      <c r="D1629" s="2">
        <f>COUNTA(Argument!E1629)</f>
        <v>0</v>
      </c>
      <c r="E1629" s="2" t="str">
        <f>IF(C1629,Return!D1629,Return!E1629)</f>
        <v>v</v>
      </c>
      <c r="F1629" s="2" t="str">
        <f t="shared" si="75"/>
        <v>v</v>
      </c>
      <c r="G1629" s="2" t="str">
        <f t="shared" si="77"/>
        <v>v</v>
      </c>
      <c r="H1629" s="2" t="str">
        <f t="shared" si="76"/>
        <v>, v</v>
      </c>
      <c r="I1629" s="2" t="str">
        <f>IF(Return!C1629=0,REPLACE(INDEX(H:H,ROW()+Return!B1629,),1,2,Return!E1629&amp;"(")&amp;")","")</f>
        <v/>
      </c>
      <c r="M1629" s="1"/>
    </row>
    <row r="1630" spans="1:13" x14ac:dyDescent="0.55000000000000004">
      <c r="A1630" s="1" t="s">
        <v>1907</v>
      </c>
      <c r="B1630" t="s">
        <v>1425</v>
      </c>
      <c r="C1630" s="2">
        <f>Return!C1630</f>
        <v>2</v>
      </c>
      <c r="D1630" s="2">
        <f>COUNTA(Argument!E1630)</f>
        <v>0</v>
      </c>
      <c r="E1630" s="2" t="str">
        <f>IF(C1630,Return!D1630,Return!E1630)</f>
        <v>v</v>
      </c>
      <c r="F1630" s="2" t="str">
        <f t="shared" si="75"/>
        <v>v</v>
      </c>
      <c r="G1630" s="2" t="str">
        <f t="shared" si="77"/>
        <v>v</v>
      </c>
      <c r="H1630" s="2" t="str">
        <f t="shared" si="76"/>
        <v>, v, v</v>
      </c>
      <c r="I1630" s="2" t="str">
        <f>IF(Return!C1630=0,REPLACE(INDEX(H:H,ROW()+Return!B1630,),1,2,Return!E1630&amp;"(")&amp;")","")</f>
        <v/>
      </c>
      <c r="M1630" s="1"/>
    </row>
    <row r="1631" spans="1:13" x14ac:dyDescent="0.55000000000000004">
      <c r="A1631" s="1" t="s">
        <v>1907</v>
      </c>
      <c r="B1631" t="s">
        <v>1426</v>
      </c>
      <c r="C1631" s="2">
        <f>Return!C1631</f>
        <v>3</v>
      </c>
      <c r="D1631" s="2">
        <f>COUNTA(Argument!E1631)</f>
        <v>1</v>
      </c>
      <c r="E1631" s="2" t="str">
        <f>IF(C1631,Return!D1631,Return!E1631)</f>
        <v>v</v>
      </c>
      <c r="F1631" s="2" t="str">
        <f t="shared" si="75"/>
        <v>v</v>
      </c>
      <c r="G1631" s="2" t="str">
        <f t="shared" si="77"/>
        <v>v</v>
      </c>
      <c r="H1631" s="2" t="str">
        <f t="shared" si="76"/>
        <v>, v, v, v</v>
      </c>
      <c r="I1631" s="2" t="str">
        <f>IF(Return!C1631=0,REPLACE(INDEX(H:H,ROW()+Return!B1631,),1,2,Return!E1631&amp;"(")&amp;")","")</f>
        <v/>
      </c>
      <c r="M1631" s="1"/>
    </row>
    <row r="1632" spans="1:13" x14ac:dyDescent="0.55000000000000004">
      <c r="A1632" s="1" t="s">
        <v>1907</v>
      </c>
      <c r="B1632" t="s">
        <v>1373</v>
      </c>
      <c r="C1632" s="2">
        <f>Return!C1632</f>
        <v>4</v>
      </c>
      <c r="D1632" s="2">
        <f>COUNTA(Argument!E1632)</f>
        <v>1</v>
      </c>
      <c r="E1632" s="2" t="str">
        <f>IF(C1632,Return!D1632,Return!E1632)</f>
        <v>v</v>
      </c>
      <c r="F1632" s="2" t="str">
        <f t="shared" si="75"/>
        <v>[v]</v>
      </c>
      <c r="G1632" s="2" t="str">
        <f t="shared" si="77"/>
        <v>[v]</v>
      </c>
      <c r="H1632" s="2" t="str">
        <f t="shared" si="76"/>
        <v>, v, v, v, [v]</v>
      </c>
      <c r="I1632" s="2" t="str">
        <f>IF(Return!C1632=0,REPLACE(INDEX(H:H,ROW()+Return!B1632,),1,2,Return!E1632&amp;"(")&amp;")","")</f>
        <v/>
      </c>
      <c r="M1632" s="1"/>
    </row>
    <row r="1633" spans="1:13" x14ac:dyDescent="0.55000000000000004">
      <c r="A1633" s="1" t="s">
        <v>1908</v>
      </c>
      <c r="C1633" s="2">
        <f>Return!C1633</f>
        <v>0</v>
      </c>
      <c r="D1633" s="2">
        <f>COUNTA(Argument!E1633)</f>
        <v>0</v>
      </c>
      <c r="E1633" s="2" t="str">
        <f>IF(C1633,Return!D1633,Return!E1633)</f>
        <v>v</v>
      </c>
      <c r="F1633" s="2" t="str">
        <f t="shared" si="75"/>
        <v/>
      </c>
      <c r="G1633" s="2" t="str">
        <f t="shared" si="77"/>
        <v/>
      </c>
      <c r="H1633" s="2" t="str">
        <f t="shared" si="76"/>
        <v/>
      </c>
      <c r="I1633" s="2" t="str">
        <f>IF(Return!C1633=0,REPLACE(INDEX(H:H,ROW()+Return!B1633,),1,2,Return!E1633&amp;"(")&amp;")","")</f>
        <v>v(v, var, [v], [v], [v])</v>
      </c>
      <c r="M1633" s="1"/>
    </row>
    <row r="1634" spans="1:13" x14ac:dyDescent="0.55000000000000004">
      <c r="A1634" s="1" t="s">
        <v>1908</v>
      </c>
      <c r="B1634" t="s">
        <v>1370</v>
      </c>
      <c r="C1634" s="2">
        <f>Return!C1634</f>
        <v>1</v>
      </c>
      <c r="D1634" s="2">
        <f>COUNTA(Argument!E1634)</f>
        <v>0</v>
      </c>
      <c r="E1634" s="2" t="str">
        <f>IF(C1634,Return!D1634,Return!E1634)</f>
        <v>v</v>
      </c>
      <c r="F1634" s="2" t="str">
        <f t="shared" si="75"/>
        <v>v</v>
      </c>
      <c r="G1634" s="2" t="str">
        <f t="shared" si="77"/>
        <v>v</v>
      </c>
      <c r="H1634" s="2" t="str">
        <f t="shared" si="76"/>
        <v>, v</v>
      </c>
      <c r="I1634" s="2" t="str">
        <f>IF(Return!C1634=0,REPLACE(INDEX(H:H,ROW()+Return!B1634,),1,2,Return!E1634&amp;"(")&amp;")","")</f>
        <v/>
      </c>
      <c r="M1634" s="1"/>
    </row>
    <row r="1635" spans="1:13" x14ac:dyDescent="0.55000000000000004">
      <c r="A1635" s="1" t="s">
        <v>1908</v>
      </c>
      <c r="B1635" t="s">
        <v>1375</v>
      </c>
      <c r="C1635" s="2">
        <f>Return!C1635</f>
        <v>2</v>
      </c>
      <c r="D1635" s="2">
        <f>COUNTA(Argument!E1635)</f>
        <v>1</v>
      </c>
      <c r="E1635" s="2" t="str">
        <f>IF(C1635,Return!D1635,Return!E1635)</f>
        <v>var</v>
      </c>
      <c r="F1635" s="2" t="str">
        <f t="shared" si="75"/>
        <v>var</v>
      </c>
      <c r="G1635" s="2" t="str">
        <f t="shared" si="77"/>
        <v>var</v>
      </c>
      <c r="H1635" s="2" t="str">
        <f t="shared" si="76"/>
        <v>, v, var</v>
      </c>
      <c r="I1635" s="2" t="str">
        <f>IF(Return!C1635=0,REPLACE(INDEX(H:H,ROW()+Return!B1635,),1,2,Return!E1635&amp;"(")&amp;")","")</f>
        <v/>
      </c>
      <c r="M1635" s="1"/>
    </row>
    <row r="1636" spans="1:13" x14ac:dyDescent="0.55000000000000004">
      <c r="A1636" s="1" t="s">
        <v>1908</v>
      </c>
      <c r="B1636" t="s">
        <v>1373</v>
      </c>
      <c r="C1636" s="2">
        <f>Return!C1636</f>
        <v>3</v>
      </c>
      <c r="D1636" s="2">
        <f>COUNTA(Argument!E1636)</f>
        <v>1</v>
      </c>
      <c r="E1636" s="2" t="str">
        <f>IF(C1636,Return!D1636,Return!E1636)</f>
        <v>v</v>
      </c>
      <c r="F1636" s="2" t="str">
        <f t="shared" si="75"/>
        <v>[v]</v>
      </c>
      <c r="G1636" s="2" t="str">
        <f t="shared" si="77"/>
        <v>[v]</v>
      </c>
      <c r="H1636" s="2" t="str">
        <f t="shared" si="76"/>
        <v>, v, var, [v]</v>
      </c>
      <c r="I1636" s="2" t="str">
        <f>IF(Return!C1636=0,REPLACE(INDEX(H:H,ROW()+Return!B1636,),1,2,Return!E1636&amp;"(")&amp;")","")</f>
        <v/>
      </c>
      <c r="M1636" s="1"/>
    </row>
    <row r="1637" spans="1:13" x14ac:dyDescent="0.55000000000000004">
      <c r="A1637" s="1" t="s">
        <v>1908</v>
      </c>
      <c r="B1637" t="s">
        <v>1427</v>
      </c>
      <c r="C1637" s="2">
        <f>Return!C1637</f>
        <v>4</v>
      </c>
      <c r="D1637" s="2">
        <f>COUNTA(Argument!E1637)</f>
        <v>1</v>
      </c>
      <c r="E1637" s="2" t="str">
        <f>IF(C1637,Return!D1637,Return!E1637)</f>
        <v>v</v>
      </c>
      <c r="F1637" s="2" t="str">
        <f t="shared" si="75"/>
        <v>[v]</v>
      </c>
      <c r="G1637" s="2" t="str">
        <f t="shared" si="77"/>
        <v>[v]</v>
      </c>
      <c r="H1637" s="2" t="str">
        <f t="shared" si="76"/>
        <v>, v, var, [v], [v]</v>
      </c>
      <c r="I1637" s="2" t="str">
        <f>IF(Return!C1637=0,REPLACE(INDEX(H:H,ROW()+Return!B1637,),1,2,Return!E1637&amp;"(")&amp;")","")</f>
        <v/>
      </c>
      <c r="M1637" s="1"/>
    </row>
    <row r="1638" spans="1:13" x14ac:dyDescent="0.55000000000000004">
      <c r="A1638" s="1" t="s">
        <v>1908</v>
      </c>
      <c r="B1638" t="s">
        <v>1428</v>
      </c>
      <c r="C1638" s="2">
        <f>Return!C1638</f>
        <v>5</v>
      </c>
      <c r="D1638" s="2">
        <f>COUNTA(Argument!E1638)</f>
        <v>1</v>
      </c>
      <c r="E1638" s="2" t="str">
        <f>IF(C1638,Return!D1638,Return!E1638)</f>
        <v>v</v>
      </c>
      <c r="F1638" s="2" t="str">
        <f t="shared" si="75"/>
        <v>[v]</v>
      </c>
      <c r="G1638" s="2" t="str">
        <f t="shared" si="77"/>
        <v>[v]</v>
      </c>
      <c r="H1638" s="2" t="str">
        <f t="shared" si="76"/>
        <v>, v, var, [v], [v], [v]</v>
      </c>
      <c r="I1638" s="2" t="str">
        <f>IF(Return!C1638=0,REPLACE(INDEX(H:H,ROW()+Return!B1638,),1,2,Return!E1638&amp;"(")&amp;")","")</f>
        <v/>
      </c>
      <c r="M1638" s="1"/>
    </row>
    <row r="1639" spans="1:13" x14ac:dyDescent="0.55000000000000004">
      <c r="A1639" s="1" t="s">
        <v>1909</v>
      </c>
      <c r="C1639" s="2">
        <f>Return!C1639</f>
        <v>0</v>
      </c>
      <c r="D1639" s="2">
        <f>COUNTA(Argument!E1639)</f>
        <v>0</v>
      </c>
      <c r="E1639" s="2" t="str">
        <f>IF(C1639,Return!D1639,Return!E1639)</f>
        <v>v</v>
      </c>
      <c r="F1639" s="2" t="str">
        <f t="shared" si="75"/>
        <v/>
      </c>
      <c r="G1639" s="2" t="str">
        <f t="shared" si="77"/>
        <v/>
      </c>
      <c r="H1639" s="2" t="str">
        <f t="shared" si="76"/>
        <v/>
      </c>
      <c r="I1639" s="2" t="str">
        <f>IF(Return!C1639=0,REPLACE(INDEX(H:H,ROW()+Return!B1639,),1,2,Return!E1639&amp;"(")&amp;")","")</f>
        <v>v(v)</v>
      </c>
      <c r="M1639" s="1"/>
    </row>
    <row r="1640" spans="1:13" x14ac:dyDescent="0.55000000000000004">
      <c r="A1640" s="1" t="s">
        <v>1909</v>
      </c>
      <c r="B1640" t="s">
        <v>1429</v>
      </c>
      <c r="C1640" s="2">
        <f>Return!C1640</f>
        <v>1</v>
      </c>
      <c r="D1640" s="2">
        <f>COUNTA(Argument!E1640)</f>
        <v>1</v>
      </c>
      <c r="E1640" s="2" t="str">
        <f>IF(C1640,Return!D1640,Return!E1640)</f>
        <v>v</v>
      </c>
      <c r="F1640" s="2" t="str">
        <f t="shared" si="75"/>
        <v>v</v>
      </c>
      <c r="G1640" s="2" t="str">
        <f t="shared" si="77"/>
        <v>v</v>
      </c>
      <c r="H1640" s="2" t="str">
        <f t="shared" si="76"/>
        <v>, v</v>
      </c>
      <c r="I1640" s="2" t="str">
        <f>IF(Return!C1640=0,REPLACE(INDEX(H:H,ROW()+Return!B1640,),1,2,Return!E1640&amp;"(")&amp;")","")</f>
        <v/>
      </c>
      <c r="M1640" s="1"/>
    </row>
    <row r="1641" spans="1:13" x14ac:dyDescent="0.55000000000000004">
      <c r="A1641" s="1" t="s">
        <v>1910</v>
      </c>
      <c r="C1641" s="2">
        <f>Return!C1641</f>
        <v>0</v>
      </c>
      <c r="D1641" s="2">
        <f>COUNTA(Argument!E1641)</f>
        <v>0</v>
      </c>
      <c r="E1641" s="2" t="str">
        <f>IF(C1641,Return!D1641,Return!E1641)</f>
        <v>va</v>
      </c>
      <c r="F1641" s="2" t="str">
        <f t="shared" si="75"/>
        <v/>
      </c>
      <c r="G1641" s="2" t="str">
        <f t="shared" si="77"/>
        <v/>
      </c>
      <c r="H1641" s="2" t="str">
        <f t="shared" si="76"/>
        <v/>
      </c>
      <c r="I1641" s="2" t="str">
        <f>IF(Return!C1641=0,REPLACE(INDEX(H:H,ROW()+Return!B1641,),1,2,Return!E1641&amp;"(")&amp;")","")</f>
        <v>va(va, var)</v>
      </c>
      <c r="M1641" s="1"/>
    </row>
    <row r="1642" spans="1:13" x14ac:dyDescent="0.55000000000000004">
      <c r="A1642" s="1" t="s">
        <v>1910</v>
      </c>
      <c r="B1642" t="s">
        <v>1218</v>
      </c>
      <c r="C1642" s="2">
        <f>Return!C1642</f>
        <v>1</v>
      </c>
      <c r="D1642" s="2">
        <f>COUNTA(Argument!E1642)</f>
        <v>0</v>
      </c>
      <c r="E1642" s="2" t="str">
        <f>IF(C1642,Return!D1642,Return!E1642)</f>
        <v>va</v>
      </c>
      <c r="F1642" s="2" t="str">
        <f t="shared" si="75"/>
        <v>va</v>
      </c>
      <c r="G1642" s="2" t="str">
        <f t="shared" si="77"/>
        <v>va</v>
      </c>
      <c r="H1642" s="2" t="str">
        <f t="shared" si="76"/>
        <v>, va</v>
      </c>
      <c r="I1642" s="2" t="str">
        <f>IF(Return!C1642=0,REPLACE(INDEX(H:H,ROW()+Return!B1642,),1,2,Return!E1642&amp;"(")&amp;")","")</f>
        <v/>
      </c>
      <c r="M1642" s="1"/>
    </row>
    <row r="1643" spans="1:13" x14ac:dyDescent="0.55000000000000004">
      <c r="A1643" s="1" t="s">
        <v>1910</v>
      </c>
      <c r="B1643" t="s">
        <v>1430</v>
      </c>
      <c r="C1643" s="2">
        <f>Return!C1643</f>
        <v>2</v>
      </c>
      <c r="D1643" s="2">
        <f>COUNTA(Argument!E1643)</f>
        <v>1</v>
      </c>
      <c r="E1643" s="2" t="str">
        <f>IF(C1643,Return!D1643,Return!E1643)</f>
        <v>var</v>
      </c>
      <c r="F1643" s="2" t="str">
        <f t="shared" si="75"/>
        <v>var</v>
      </c>
      <c r="G1643" s="2" t="str">
        <f t="shared" si="77"/>
        <v>var</v>
      </c>
      <c r="H1643" s="2" t="str">
        <f t="shared" si="76"/>
        <v>, va, var</v>
      </c>
      <c r="I1643" s="2" t="str">
        <f>IF(Return!C1643=0,REPLACE(INDEX(H:H,ROW()+Return!B1643,),1,2,Return!E1643&amp;"(")&amp;")","")</f>
        <v/>
      </c>
      <c r="M1643" s="1"/>
    </row>
    <row r="1644" spans="1:13" x14ac:dyDescent="0.55000000000000004">
      <c r="A1644" s="1" t="s">
        <v>1911</v>
      </c>
      <c r="C1644" s="2">
        <f>Return!C1644</f>
        <v>0</v>
      </c>
      <c r="D1644" s="2">
        <f>COUNTA(Argument!E1644)</f>
        <v>0</v>
      </c>
      <c r="E1644" s="2" t="str">
        <f>IF(C1644,Return!D1644,Return!E1644)</f>
        <v>v</v>
      </c>
      <c r="F1644" s="2" t="str">
        <f t="shared" si="75"/>
        <v/>
      </c>
      <c r="G1644" s="2" t="str">
        <f t="shared" si="77"/>
        <v/>
      </c>
      <c r="H1644" s="2" t="str">
        <f t="shared" si="76"/>
        <v/>
      </c>
      <c r="I1644" s="2" t="str">
        <f>IF(Return!C1644=0,REPLACE(INDEX(H:H,ROW()+Return!B1644,),1,2,Return!E1644&amp;"(")&amp;")","")</f>
        <v>v(r, v, [r, v)</v>
      </c>
      <c r="M1644" s="1"/>
    </row>
    <row r="1645" spans="1:13" x14ac:dyDescent="0.55000000000000004">
      <c r="A1645" s="1" t="s">
        <v>1911</v>
      </c>
      <c r="B1645" t="s">
        <v>1431</v>
      </c>
      <c r="C1645" s="2">
        <f>Return!C1645</f>
        <v>1</v>
      </c>
      <c r="D1645" s="2">
        <f>COUNTA(Argument!E1645)</f>
        <v>0</v>
      </c>
      <c r="E1645" s="2" t="str">
        <f>IF(C1645,Return!D1645,Return!E1645)</f>
        <v>r</v>
      </c>
      <c r="F1645" s="2" t="str">
        <f t="shared" si="75"/>
        <v>r</v>
      </c>
      <c r="G1645" s="2" t="str">
        <f t="shared" si="77"/>
        <v>r</v>
      </c>
      <c r="H1645" s="2" t="str">
        <f t="shared" si="76"/>
        <v>, r</v>
      </c>
      <c r="I1645" s="2" t="str">
        <f>IF(Return!C1645=0,REPLACE(INDEX(H:H,ROW()+Return!B1645,),1,2,Return!E1645&amp;"(")&amp;")","")</f>
        <v/>
      </c>
      <c r="M1645" s="1"/>
    </row>
    <row r="1646" spans="1:13" x14ac:dyDescent="0.55000000000000004">
      <c r="A1646" s="1" t="s">
        <v>1911</v>
      </c>
      <c r="B1646" t="s">
        <v>1243</v>
      </c>
      <c r="C1646" s="2">
        <f>Return!C1646</f>
        <v>2</v>
      </c>
      <c r="D1646" s="2">
        <f>COUNTA(Argument!E1646)</f>
        <v>1</v>
      </c>
      <c r="E1646" s="2" t="str">
        <f>IF(C1646,Return!D1646,Return!E1646)</f>
        <v>v</v>
      </c>
      <c r="F1646" s="2" t="str">
        <f t="shared" si="75"/>
        <v>v</v>
      </c>
      <c r="G1646" s="2" t="str">
        <f t="shared" si="77"/>
        <v>v</v>
      </c>
      <c r="H1646" s="2" t="str">
        <f t="shared" si="76"/>
        <v>, r, v</v>
      </c>
      <c r="I1646" s="2" t="str">
        <f>IF(Return!C1646=0,REPLACE(INDEX(H:H,ROW()+Return!B1646,),1,2,Return!E1646&amp;"(")&amp;")","")</f>
        <v/>
      </c>
      <c r="M1646" s="1"/>
    </row>
    <row r="1647" spans="1:13" x14ac:dyDescent="0.55000000000000004">
      <c r="A1647" s="1" t="s">
        <v>1911</v>
      </c>
      <c r="B1647" t="s">
        <v>1214</v>
      </c>
      <c r="C1647" s="2">
        <f>Return!C1647</f>
        <v>3</v>
      </c>
      <c r="D1647" s="2">
        <f>COUNTA(Argument!E1647)</f>
        <v>0</v>
      </c>
      <c r="E1647" s="2" t="str">
        <f>IF(C1647,Return!D1647,Return!E1647)</f>
        <v>r</v>
      </c>
      <c r="F1647" s="2" t="str">
        <f t="shared" si="75"/>
        <v>r</v>
      </c>
      <c r="G1647" s="2" t="str">
        <f t="shared" si="77"/>
        <v>[r</v>
      </c>
      <c r="H1647" s="2" t="str">
        <f t="shared" si="76"/>
        <v>, r, v, [r</v>
      </c>
      <c r="I1647" s="2" t="str">
        <f>IF(Return!C1647=0,REPLACE(INDEX(H:H,ROW()+Return!B1647,),1,2,Return!E1647&amp;"(")&amp;")","")</f>
        <v/>
      </c>
      <c r="M1647" s="1"/>
    </row>
    <row r="1648" spans="1:13" x14ac:dyDescent="0.55000000000000004">
      <c r="A1648" s="1" t="s">
        <v>1911</v>
      </c>
      <c r="B1648" s="1"/>
      <c r="C1648" s="2">
        <f>Return!C1648</f>
        <v>4</v>
      </c>
      <c r="D1648" s="2">
        <f>COUNTA(Argument!E1648)</f>
        <v>1</v>
      </c>
      <c r="E1648" s="2" t="str">
        <f>IF(C1648,Return!D1648,Return!E1648)</f>
        <v>v</v>
      </c>
      <c r="F1648" s="2" t="str">
        <f t="shared" si="75"/>
        <v>v</v>
      </c>
      <c r="G1648" s="2" t="str">
        <f t="shared" si="77"/>
        <v>v</v>
      </c>
      <c r="H1648" s="2" t="str">
        <f t="shared" si="76"/>
        <v>, r, v, [r, v</v>
      </c>
      <c r="I1648" s="2" t="str">
        <f>IF(Return!C1648=0,REPLACE(INDEX(H:H,ROW()+Return!B1648,),1,2,Return!E1648&amp;"(")&amp;")","")</f>
        <v/>
      </c>
      <c r="K1648" s="1"/>
      <c r="M1648" s="1"/>
    </row>
    <row r="1649" spans="1:13" x14ac:dyDescent="0.55000000000000004">
      <c r="A1649" s="1" t="s">
        <v>1912</v>
      </c>
      <c r="C1649" s="2">
        <f>Return!C1649</f>
        <v>0</v>
      </c>
      <c r="D1649" s="2">
        <f>COUNTA(Argument!E1649)</f>
        <v>0</v>
      </c>
      <c r="E1649" s="2" t="str">
        <f>IF(C1649,Return!D1649,Return!E1649)</f>
        <v>v</v>
      </c>
      <c r="F1649" s="2" t="str">
        <f t="shared" si="75"/>
        <v/>
      </c>
      <c r="G1649" s="2" t="str">
        <f t="shared" si="77"/>
        <v/>
      </c>
      <c r="H1649" s="2" t="str">
        <f t="shared" si="76"/>
        <v/>
      </c>
      <c r="I1649" s="2" t="str">
        <f>IF(Return!C1649=0,REPLACE(INDEX(H:H,ROW()+Return!B1649,),1,2,Return!E1649&amp;"(")&amp;")","")</f>
        <v>v(r, r, v, [r, v)</v>
      </c>
      <c r="M1649" s="1"/>
    </row>
    <row r="1650" spans="1:13" x14ac:dyDescent="0.55000000000000004">
      <c r="A1650" s="1" t="s">
        <v>1912</v>
      </c>
      <c r="B1650" t="s">
        <v>1360</v>
      </c>
      <c r="C1650" s="2">
        <f>Return!C1650</f>
        <v>1</v>
      </c>
      <c r="D1650" s="2">
        <f>COUNTA(Argument!E1650)</f>
        <v>0</v>
      </c>
      <c r="E1650" s="2" t="str">
        <f>IF(C1650,Return!D1650,Return!E1650)</f>
        <v>r</v>
      </c>
      <c r="F1650" s="2" t="str">
        <f t="shared" si="75"/>
        <v>r</v>
      </c>
      <c r="G1650" s="2" t="str">
        <f t="shared" si="77"/>
        <v>r</v>
      </c>
      <c r="H1650" s="2" t="str">
        <f t="shared" si="76"/>
        <v>, r</v>
      </c>
      <c r="I1650" s="2" t="str">
        <f>IF(Return!C1650=0,REPLACE(INDEX(H:H,ROW()+Return!B1650,),1,2,Return!E1650&amp;"(")&amp;")","")</f>
        <v/>
      </c>
      <c r="M1650" s="1"/>
    </row>
    <row r="1651" spans="1:13" x14ac:dyDescent="0.55000000000000004">
      <c r="A1651" s="1" t="s">
        <v>1912</v>
      </c>
      <c r="B1651" t="s">
        <v>1431</v>
      </c>
      <c r="C1651" s="2">
        <f>Return!C1651</f>
        <v>2</v>
      </c>
      <c r="D1651" s="2">
        <f>COUNTA(Argument!E1651)</f>
        <v>0</v>
      </c>
      <c r="E1651" s="2" t="str">
        <f>IF(C1651,Return!D1651,Return!E1651)</f>
        <v>r</v>
      </c>
      <c r="F1651" s="2" t="str">
        <f t="shared" si="75"/>
        <v>r</v>
      </c>
      <c r="G1651" s="2" t="str">
        <f t="shared" si="77"/>
        <v>r</v>
      </c>
      <c r="H1651" s="2" t="str">
        <f t="shared" si="76"/>
        <v>, r, r</v>
      </c>
      <c r="I1651" s="2" t="str">
        <f>IF(Return!C1651=0,REPLACE(INDEX(H:H,ROW()+Return!B1651,),1,2,Return!E1651&amp;"(")&amp;")","")</f>
        <v/>
      </c>
      <c r="M1651" s="1"/>
    </row>
    <row r="1652" spans="1:13" x14ac:dyDescent="0.55000000000000004">
      <c r="A1652" s="1" t="s">
        <v>1912</v>
      </c>
      <c r="B1652" t="s">
        <v>1243</v>
      </c>
      <c r="C1652" s="2">
        <f>Return!C1652</f>
        <v>3</v>
      </c>
      <c r="D1652" s="2">
        <f>COUNTA(Argument!E1652)</f>
        <v>1</v>
      </c>
      <c r="E1652" s="2" t="str">
        <f>IF(C1652,Return!D1652,Return!E1652)</f>
        <v>v</v>
      </c>
      <c r="F1652" s="2" t="str">
        <f t="shared" si="75"/>
        <v>v</v>
      </c>
      <c r="G1652" s="2" t="str">
        <f t="shared" si="77"/>
        <v>v</v>
      </c>
      <c r="H1652" s="2" t="str">
        <f t="shared" si="76"/>
        <v>, r, r, v</v>
      </c>
      <c r="I1652" s="2" t="str">
        <f>IF(Return!C1652=0,REPLACE(INDEX(H:H,ROW()+Return!B1652,),1,2,Return!E1652&amp;"(")&amp;")","")</f>
        <v/>
      </c>
      <c r="M1652" s="1"/>
    </row>
    <row r="1653" spans="1:13" x14ac:dyDescent="0.55000000000000004">
      <c r="A1653" s="1" t="s">
        <v>1912</v>
      </c>
      <c r="B1653" t="s">
        <v>1214</v>
      </c>
      <c r="C1653" s="2">
        <f>Return!C1653</f>
        <v>4</v>
      </c>
      <c r="D1653" s="2">
        <f>COUNTA(Argument!E1653)</f>
        <v>0</v>
      </c>
      <c r="E1653" s="2" t="str">
        <f>IF(C1653,Return!D1653,Return!E1653)</f>
        <v>r</v>
      </c>
      <c r="F1653" s="2" t="str">
        <f t="shared" si="75"/>
        <v>r</v>
      </c>
      <c r="G1653" s="2" t="str">
        <f t="shared" si="77"/>
        <v>[r</v>
      </c>
      <c r="H1653" s="2" t="str">
        <f t="shared" si="76"/>
        <v>, r, r, v, [r</v>
      </c>
      <c r="I1653" s="2" t="str">
        <f>IF(Return!C1653=0,REPLACE(INDEX(H:H,ROW()+Return!B1653,),1,2,Return!E1653&amp;"(")&amp;")","")</f>
        <v/>
      </c>
      <c r="M1653" s="1"/>
    </row>
    <row r="1654" spans="1:13" x14ac:dyDescent="0.55000000000000004">
      <c r="A1654" s="1" t="s">
        <v>1912</v>
      </c>
      <c r="B1654" s="1"/>
      <c r="C1654" s="2">
        <f>Return!C1654</f>
        <v>5</v>
      </c>
      <c r="D1654" s="2">
        <f>COUNTA(Argument!E1654)</f>
        <v>1</v>
      </c>
      <c r="E1654" s="2" t="str">
        <f>IF(C1654,Return!D1654,Return!E1654)</f>
        <v>v</v>
      </c>
      <c r="F1654" s="2" t="str">
        <f t="shared" si="75"/>
        <v>v</v>
      </c>
      <c r="G1654" s="2" t="str">
        <f t="shared" si="77"/>
        <v>v</v>
      </c>
      <c r="H1654" s="2" t="str">
        <f t="shared" si="76"/>
        <v>, r, r, v, [r, v</v>
      </c>
      <c r="I1654" s="2" t="str">
        <f>IF(Return!C1654=0,REPLACE(INDEX(H:H,ROW()+Return!B1654,),1,2,Return!E1654&amp;"(")&amp;")","")</f>
        <v/>
      </c>
      <c r="K1654" s="1"/>
      <c r="M1654" s="1"/>
    </row>
    <row r="1655" spans="1:13" x14ac:dyDescent="0.55000000000000004">
      <c r="A1655" s="1" t="s">
        <v>1913</v>
      </c>
      <c r="C1655" s="2">
        <f>Return!C1655</f>
        <v>0</v>
      </c>
      <c r="D1655" s="2">
        <f>COUNTA(Argument!E1655)</f>
        <v>0</v>
      </c>
      <c r="E1655" s="2" t="str">
        <f>IF(C1655,Return!D1655,Return!E1655)</f>
        <v>v</v>
      </c>
      <c r="F1655" s="2" t="str">
        <f t="shared" si="75"/>
        <v/>
      </c>
      <c r="G1655" s="2" t="str">
        <f t="shared" si="77"/>
        <v/>
      </c>
      <c r="H1655" s="2" t="str">
        <f t="shared" si="76"/>
        <v/>
      </c>
      <c r="I1655" s="2" t="str">
        <f>IF(Return!C1655=0,REPLACE(INDEX(H:H,ROW()+Return!B1655,),1,2,Return!E1655&amp;"(")&amp;")","")</f>
        <v>v(r, v, [r])</v>
      </c>
      <c r="M1655" s="1"/>
    </row>
    <row r="1656" spans="1:13" x14ac:dyDescent="0.55000000000000004">
      <c r="A1656" s="1" t="s">
        <v>1913</v>
      </c>
      <c r="B1656" t="s">
        <v>1359</v>
      </c>
      <c r="C1656" s="2">
        <f>Return!C1656</f>
        <v>1</v>
      </c>
      <c r="D1656" s="2">
        <f>COUNTA(Argument!E1656)</f>
        <v>0</v>
      </c>
      <c r="E1656" s="2" t="str">
        <f>IF(C1656,Return!D1656,Return!E1656)</f>
        <v>r</v>
      </c>
      <c r="F1656" s="2" t="str">
        <f t="shared" si="75"/>
        <v>r</v>
      </c>
      <c r="G1656" s="2" t="str">
        <f t="shared" si="77"/>
        <v>r</v>
      </c>
      <c r="H1656" s="2" t="str">
        <f t="shared" si="76"/>
        <v>, r</v>
      </c>
      <c r="I1656" s="2" t="str">
        <f>IF(Return!C1656=0,REPLACE(INDEX(H:H,ROW()+Return!B1656,),1,2,Return!E1656&amp;"(")&amp;")","")</f>
        <v/>
      </c>
      <c r="M1656" s="1"/>
    </row>
    <row r="1657" spans="1:13" x14ac:dyDescent="0.55000000000000004">
      <c r="A1657" s="1" t="s">
        <v>1913</v>
      </c>
      <c r="B1657" t="s">
        <v>1243</v>
      </c>
      <c r="C1657" s="2">
        <f>Return!C1657</f>
        <v>2</v>
      </c>
      <c r="D1657" s="2">
        <f>COUNTA(Argument!E1657)</f>
        <v>1</v>
      </c>
      <c r="E1657" s="2" t="str">
        <f>IF(C1657,Return!D1657,Return!E1657)</f>
        <v>v</v>
      </c>
      <c r="F1657" s="2" t="str">
        <f t="shared" si="75"/>
        <v>v</v>
      </c>
      <c r="G1657" s="2" t="str">
        <f t="shared" si="77"/>
        <v>v</v>
      </c>
      <c r="H1657" s="2" t="str">
        <f t="shared" si="76"/>
        <v>, r, v</v>
      </c>
      <c r="I1657" s="2" t="str">
        <f>IF(Return!C1657=0,REPLACE(INDEX(H:H,ROW()+Return!B1657,),1,2,Return!E1657&amp;"(")&amp;")","")</f>
        <v/>
      </c>
      <c r="M1657" s="1"/>
    </row>
    <row r="1658" spans="1:13" x14ac:dyDescent="0.55000000000000004">
      <c r="A1658" s="1" t="s">
        <v>1913</v>
      </c>
      <c r="B1658" t="s">
        <v>1432</v>
      </c>
      <c r="C1658" s="2">
        <f>Return!C1658</f>
        <v>3</v>
      </c>
      <c r="D1658" s="2">
        <f>COUNTA(Argument!E1658)</f>
        <v>1</v>
      </c>
      <c r="E1658" s="2" t="str">
        <f>IF(C1658,Return!D1658,Return!E1658)</f>
        <v>r</v>
      </c>
      <c r="F1658" s="2" t="str">
        <f t="shared" si="75"/>
        <v>[r]</v>
      </c>
      <c r="G1658" s="2" t="str">
        <f t="shared" si="77"/>
        <v>[r]</v>
      </c>
      <c r="H1658" s="2" t="str">
        <f t="shared" si="76"/>
        <v>, r, v, [r]</v>
      </c>
      <c r="I1658" s="2" t="str">
        <f>IF(Return!C1658=0,REPLACE(INDEX(H:H,ROW()+Return!B1658,),1,2,Return!E1658&amp;"(")&amp;")","")</f>
        <v/>
      </c>
      <c r="M1658" s="1"/>
    </row>
    <row r="1659" spans="1:13" x14ac:dyDescent="0.55000000000000004">
      <c r="A1659" s="1" t="s">
        <v>1914</v>
      </c>
      <c r="C1659" s="2">
        <f>Return!C1659</f>
        <v>0</v>
      </c>
      <c r="D1659" s="2">
        <f>COUNTA(Argument!E1659)</f>
        <v>0</v>
      </c>
      <c r="E1659" s="2" t="str">
        <f>IF(C1659,Return!D1659,Return!E1659)</f>
        <v>v</v>
      </c>
      <c r="F1659" s="2" t="str">
        <f t="shared" si="75"/>
        <v/>
      </c>
      <c r="G1659" s="2" t="str">
        <f t="shared" si="77"/>
        <v/>
      </c>
      <c r="H1659" s="2" t="str">
        <f t="shared" si="76"/>
        <v/>
      </c>
      <c r="I1659" s="2" t="str">
        <f>IF(Return!C1659=0,REPLACE(INDEX(H:H,ROW()+Return!B1659,),1,2,Return!E1659&amp;"(")&amp;")","")</f>
        <v>v(r, r, v, [r, v)</v>
      </c>
      <c r="M1659" s="1"/>
    </row>
    <row r="1660" spans="1:13" x14ac:dyDescent="0.55000000000000004">
      <c r="A1660" s="1" t="s">
        <v>1914</v>
      </c>
      <c r="B1660" t="s">
        <v>1432</v>
      </c>
      <c r="C1660" s="2">
        <f>Return!C1660</f>
        <v>1</v>
      </c>
      <c r="D1660" s="2">
        <f>COUNTA(Argument!E1660)</f>
        <v>0</v>
      </c>
      <c r="E1660" s="2" t="str">
        <f>IF(C1660,Return!D1660,Return!E1660)</f>
        <v>r</v>
      </c>
      <c r="F1660" s="2" t="str">
        <f t="shared" si="75"/>
        <v>r</v>
      </c>
      <c r="G1660" s="2" t="str">
        <f t="shared" si="77"/>
        <v>r</v>
      </c>
      <c r="H1660" s="2" t="str">
        <f t="shared" si="76"/>
        <v>, r</v>
      </c>
      <c r="I1660" s="2" t="str">
        <f>IF(Return!C1660=0,REPLACE(INDEX(H:H,ROW()+Return!B1660,),1,2,Return!E1660&amp;"(")&amp;")","")</f>
        <v/>
      </c>
      <c r="M1660" s="1"/>
    </row>
    <row r="1661" spans="1:13" x14ac:dyDescent="0.55000000000000004">
      <c r="A1661" s="1" t="s">
        <v>1914</v>
      </c>
      <c r="B1661" t="s">
        <v>1431</v>
      </c>
      <c r="C1661" s="2">
        <f>Return!C1661</f>
        <v>2</v>
      </c>
      <c r="D1661" s="2">
        <f>COUNTA(Argument!E1661)</f>
        <v>0</v>
      </c>
      <c r="E1661" s="2" t="str">
        <f>IF(C1661,Return!D1661,Return!E1661)</f>
        <v>r</v>
      </c>
      <c r="F1661" s="2" t="str">
        <f t="shared" si="75"/>
        <v>r</v>
      </c>
      <c r="G1661" s="2" t="str">
        <f t="shared" si="77"/>
        <v>r</v>
      </c>
      <c r="H1661" s="2" t="str">
        <f t="shared" si="76"/>
        <v>, r, r</v>
      </c>
      <c r="I1661" s="2" t="str">
        <f>IF(Return!C1661=0,REPLACE(INDEX(H:H,ROW()+Return!B1661,),1,2,Return!E1661&amp;"(")&amp;")","")</f>
        <v/>
      </c>
      <c r="M1661" s="1"/>
    </row>
    <row r="1662" spans="1:13" x14ac:dyDescent="0.55000000000000004">
      <c r="A1662" s="1" t="s">
        <v>1914</v>
      </c>
      <c r="B1662" t="s">
        <v>1243</v>
      </c>
      <c r="C1662" s="2">
        <f>Return!C1662</f>
        <v>3</v>
      </c>
      <c r="D1662" s="2">
        <f>COUNTA(Argument!E1662)</f>
        <v>1</v>
      </c>
      <c r="E1662" s="2" t="str">
        <f>IF(C1662,Return!D1662,Return!E1662)</f>
        <v>v</v>
      </c>
      <c r="F1662" s="2" t="str">
        <f t="shared" si="75"/>
        <v>v</v>
      </c>
      <c r="G1662" s="2" t="str">
        <f t="shared" si="77"/>
        <v>v</v>
      </c>
      <c r="H1662" s="2" t="str">
        <f t="shared" si="76"/>
        <v>, r, r, v</v>
      </c>
      <c r="I1662" s="2" t="str">
        <f>IF(Return!C1662=0,REPLACE(INDEX(H:H,ROW()+Return!B1662,),1,2,Return!E1662&amp;"(")&amp;")","")</f>
        <v/>
      </c>
      <c r="M1662" s="1"/>
    </row>
    <row r="1663" spans="1:13" x14ac:dyDescent="0.55000000000000004">
      <c r="A1663" s="1" t="s">
        <v>1914</v>
      </c>
      <c r="B1663" t="s">
        <v>1214</v>
      </c>
      <c r="C1663" s="2">
        <f>Return!C1663</f>
        <v>4</v>
      </c>
      <c r="D1663" s="2">
        <f>COUNTA(Argument!E1663)</f>
        <v>0</v>
      </c>
      <c r="E1663" s="2" t="str">
        <f>IF(C1663,Return!D1663,Return!E1663)</f>
        <v>r</v>
      </c>
      <c r="F1663" s="2" t="str">
        <f t="shared" si="75"/>
        <v>r</v>
      </c>
      <c r="G1663" s="2" t="str">
        <f t="shared" si="77"/>
        <v>[r</v>
      </c>
      <c r="H1663" s="2" t="str">
        <f t="shared" si="76"/>
        <v>, r, r, v, [r</v>
      </c>
      <c r="I1663" s="2" t="str">
        <f>IF(Return!C1663=0,REPLACE(INDEX(H:H,ROW()+Return!B1663,),1,2,Return!E1663&amp;"(")&amp;")","")</f>
        <v/>
      </c>
      <c r="M1663" s="1"/>
    </row>
    <row r="1664" spans="1:13" x14ac:dyDescent="0.55000000000000004">
      <c r="A1664" s="1" t="s">
        <v>1914</v>
      </c>
      <c r="B1664" s="1"/>
      <c r="C1664" s="2">
        <f>Return!C1664</f>
        <v>5</v>
      </c>
      <c r="D1664" s="2">
        <f>COUNTA(Argument!E1664)</f>
        <v>1</v>
      </c>
      <c r="E1664" s="2" t="str">
        <f>IF(C1664,Return!D1664,Return!E1664)</f>
        <v>v</v>
      </c>
      <c r="F1664" s="2" t="str">
        <f t="shared" si="75"/>
        <v>v</v>
      </c>
      <c r="G1664" s="2" t="str">
        <f t="shared" si="77"/>
        <v>v</v>
      </c>
      <c r="H1664" s="2" t="str">
        <f t="shared" si="76"/>
        <v>, r, r, v, [r, v</v>
      </c>
      <c r="I1664" s="2" t="str">
        <f>IF(Return!C1664=0,REPLACE(INDEX(H:H,ROW()+Return!B1664,),1,2,Return!E1664&amp;"(")&amp;")","")</f>
        <v/>
      </c>
      <c r="K1664" s="1"/>
      <c r="M1664" s="1"/>
    </row>
    <row r="1665" spans="1:13" x14ac:dyDescent="0.55000000000000004">
      <c r="A1665" s="1" t="s">
        <v>1915</v>
      </c>
      <c r="C1665" s="2">
        <f>Return!C1665</f>
        <v>0</v>
      </c>
      <c r="D1665" s="2">
        <f>COUNTA(Argument!E1665)</f>
        <v>0</v>
      </c>
      <c r="E1665" s="2" t="str">
        <f>IF(C1665,Return!D1665,Return!E1665)</f>
        <v>v</v>
      </c>
      <c r="F1665" s="2" t="str">
        <f t="shared" si="75"/>
        <v/>
      </c>
      <c r="G1665" s="2" t="str">
        <f t="shared" si="77"/>
        <v/>
      </c>
      <c r="H1665" s="2" t="str">
        <f t="shared" si="76"/>
        <v/>
      </c>
      <c r="I1665" s="2" t="str">
        <f>IF(Return!C1665=0,REPLACE(INDEX(H:H,ROW()+Return!B1665,),1,2,Return!E1665&amp;"(")&amp;")","")</f>
        <v>v(v, v, ar, [vr], [r])</v>
      </c>
      <c r="M1665" s="1"/>
    </row>
    <row r="1666" spans="1:13" x14ac:dyDescent="0.55000000000000004">
      <c r="A1666" s="1" t="s">
        <v>1915</v>
      </c>
      <c r="B1666" t="s">
        <v>1357</v>
      </c>
      <c r="C1666" s="2">
        <f>Return!C1666</f>
        <v>1</v>
      </c>
      <c r="D1666" s="2">
        <f>COUNTA(Argument!E1666)</f>
        <v>0</v>
      </c>
      <c r="E1666" s="2" t="str">
        <f>IF(C1666,Return!D1666,Return!E1666)</f>
        <v>v</v>
      </c>
      <c r="F1666" s="2" t="str">
        <f t="shared" si="75"/>
        <v>v</v>
      </c>
      <c r="G1666" s="2" t="str">
        <f t="shared" si="77"/>
        <v>v</v>
      </c>
      <c r="H1666" s="2" t="str">
        <f t="shared" si="76"/>
        <v>, v</v>
      </c>
      <c r="I1666" s="2" t="str">
        <f>IF(Return!C1666=0,REPLACE(INDEX(H:H,ROW()+Return!B1666,),1,2,Return!E1666&amp;"(")&amp;")","")</f>
        <v/>
      </c>
      <c r="M1666" s="1"/>
    </row>
    <row r="1667" spans="1:13" x14ac:dyDescent="0.55000000000000004">
      <c r="A1667" s="1" t="s">
        <v>1915</v>
      </c>
      <c r="B1667" t="s">
        <v>1433</v>
      </c>
      <c r="C1667" s="2">
        <f>Return!C1667</f>
        <v>2</v>
      </c>
      <c r="D1667" s="2">
        <f>COUNTA(Argument!E1667)</f>
        <v>0</v>
      </c>
      <c r="E1667" s="2" t="str">
        <f>IF(C1667,Return!D1667,Return!E1667)</f>
        <v>v</v>
      </c>
      <c r="F1667" s="2" t="str">
        <f t="shared" ref="F1667:F1730" si="78">IF(C1667,IF(D1667,IF(D1666,"["&amp;E1667&amp;"]",E1667),E1667),"")</f>
        <v>v</v>
      </c>
      <c r="G1667" s="2" t="str">
        <f t="shared" si="77"/>
        <v>v</v>
      </c>
      <c r="H1667" s="2" t="str">
        <f t="shared" ref="H1667:H1730" si="79">IF(C1667&gt;0,H1666&amp;", "&amp;G1667,"")</f>
        <v>, v, v</v>
      </c>
      <c r="I1667" s="2" t="str">
        <f>IF(Return!C1667=0,REPLACE(INDEX(H:H,ROW()+Return!B1667,),1,2,Return!E1667&amp;"(")&amp;")","")</f>
        <v/>
      </c>
      <c r="M1667" s="1"/>
    </row>
    <row r="1668" spans="1:13" x14ac:dyDescent="0.55000000000000004">
      <c r="A1668" s="1" t="s">
        <v>1915</v>
      </c>
      <c r="B1668" t="s">
        <v>1230</v>
      </c>
      <c r="C1668" s="2">
        <f>Return!C1668</f>
        <v>3</v>
      </c>
      <c r="D1668" s="2">
        <f>COUNTA(Argument!E1668)</f>
        <v>1</v>
      </c>
      <c r="E1668" s="2" t="str">
        <f>IF(C1668,Return!D1668,Return!E1668)</f>
        <v>ar</v>
      </c>
      <c r="F1668" s="2" t="str">
        <f t="shared" si="78"/>
        <v>ar</v>
      </c>
      <c r="G1668" s="2" t="str">
        <f t="shared" ref="G1668:G1731" si="80">IF(B1668="...",IF(C1669&gt;0,"["&amp;E1668,"…"),IF(B1667=" ...",IF(C1668&gt;0,E1668&amp;"], …",F1668),F1668))</f>
        <v>ar</v>
      </c>
      <c r="H1668" s="2" t="str">
        <f t="shared" si="79"/>
        <v>, v, v, ar</v>
      </c>
      <c r="I1668" s="2" t="str">
        <f>IF(Return!C1668=0,REPLACE(INDEX(H:H,ROW()+Return!B1668,),1,2,Return!E1668&amp;"(")&amp;")","")</f>
        <v/>
      </c>
      <c r="M1668" s="1"/>
    </row>
    <row r="1669" spans="1:13" x14ac:dyDescent="0.55000000000000004">
      <c r="A1669" s="1" t="s">
        <v>1915</v>
      </c>
      <c r="B1669" t="s">
        <v>1352</v>
      </c>
      <c r="C1669" s="2">
        <f>Return!C1669</f>
        <v>4</v>
      </c>
      <c r="D1669" s="2">
        <f>COUNTA(Argument!E1669)</f>
        <v>1</v>
      </c>
      <c r="E1669" s="2" t="str">
        <f>IF(C1669,Return!D1669,Return!E1669)</f>
        <v>vr</v>
      </c>
      <c r="F1669" s="2" t="str">
        <f t="shared" si="78"/>
        <v>[vr]</v>
      </c>
      <c r="G1669" s="2" t="str">
        <f t="shared" si="80"/>
        <v>[vr]</v>
      </c>
      <c r="H1669" s="2" t="str">
        <f t="shared" si="79"/>
        <v>, v, v, ar, [vr]</v>
      </c>
      <c r="I1669" s="2" t="str">
        <f>IF(Return!C1669=0,REPLACE(INDEX(H:H,ROW()+Return!B1669,),1,2,Return!E1669&amp;"(")&amp;")","")</f>
        <v/>
      </c>
      <c r="M1669" s="1"/>
    </row>
    <row r="1670" spans="1:13" x14ac:dyDescent="0.55000000000000004">
      <c r="A1670" s="1" t="s">
        <v>1915</v>
      </c>
      <c r="B1670" s="1"/>
      <c r="C1670" s="2">
        <f>Return!C1670</f>
        <v>5</v>
      </c>
      <c r="D1670" s="2">
        <f>COUNTA(Argument!E1670)</f>
        <v>1</v>
      </c>
      <c r="E1670" s="2" t="str">
        <f>IF(C1670,Return!D1670,Return!E1670)</f>
        <v>r</v>
      </c>
      <c r="F1670" s="2" t="str">
        <f t="shared" si="78"/>
        <v>[r]</v>
      </c>
      <c r="G1670" s="2" t="str">
        <f t="shared" si="80"/>
        <v>[r]</v>
      </c>
      <c r="H1670" s="2" t="str">
        <f t="shared" si="79"/>
        <v>, v, v, ar, [vr], [r]</v>
      </c>
      <c r="I1670" s="2" t="str">
        <f>IF(Return!C1670=0,REPLACE(INDEX(H:H,ROW()+Return!B1670,),1,2,Return!E1670&amp;"(")&amp;")","")</f>
        <v/>
      </c>
      <c r="K1670" s="1"/>
      <c r="M1670" s="1"/>
    </row>
    <row r="1671" spans="1:13" x14ac:dyDescent="0.55000000000000004">
      <c r="A1671" s="1" t="s">
        <v>1915</v>
      </c>
      <c r="B1671" s="1"/>
      <c r="C1671" s="2">
        <f>Return!C1671</f>
        <v>6</v>
      </c>
      <c r="D1671" s="2">
        <f>COUNTA(Argument!E1671)</f>
        <v>1</v>
      </c>
      <c r="E1671" s="2" t="str">
        <f>IF(C1671,Return!D1671,Return!E1671)</f>
        <v>r</v>
      </c>
      <c r="F1671" s="2" t="str">
        <f t="shared" si="78"/>
        <v>[r]</v>
      </c>
      <c r="G1671" s="2" t="str">
        <f t="shared" si="80"/>
        <v>[r]</v>
      </c>
      <c r="H1671" s="2" t="str">
        <f t="shared" si="79"/>
        <v>, v, v, ar, [vr], [r], [r]</v>
      </c>
      <c r="I1671" s="2" t="str">
        <f>IF(Return!C1671=0,REPLACE(INDEX(H:H,ROW()+Return!B1671,),1,2,Return!E1671&amp;"(")&amp;")","")</f>
        <v/>
      </c>
      <c r="K1671" s="1"/>
      <c r="M1671" s="1"/>
    </row>
    <row r="1672" spans="1:13" x14ac:dyDescent="0.55000000000000004">
      <c r="A1672" s="1" t="s">
        <v>2072</v>
      </c>
      <c r="C1672" s="2">
        <f>Return!C1672</f>
        <v>0</v>
      </c>
      <c r="D1672" s="2">
        <f>COUNTA(Argument!E1672)</f>
        <v>0</v>
      </c>
      <c r="E1672" s="2" t="str">
        <f>IF(C1672,Return!D1672,Return!E1672)</f>
        <v>v</v>
      </c>
      <c r="F1672" s="2" t="str">
        <f t="shared" si="78"/>
        <v/>
      </c>
      <c r="G1672" s="2" t="str">
        <f t="shared" si="80"/>
        <v/>
      </c>
      <c r="H1672" s="2" t="str">
        <f t="shared" si="79"/>
        <v/>
      </c>
      <c r="I1672" s="2" t="str">
        <f>IF(Return!C1672=0,REPLACE(INDEX(H:H,ROW()+Return!B1672,),1,2,Return!E1672&amp;"(")&amp;")","")</f>
        <v>v(v, v, v, v)</v>
      </c>
      <c r="M1672" s="1"/>
    </row>
    <row r="1673" spans="1:13" x14ac:dyDescent="0.55000000000000004">
      <c r="A1673" s="1" t="s">
        <v>2072</v>
      </c>
      <c r="B1673" t="s">
        <v>1322</v>
      </c>
      <c r="C1673" s="2">
        <f>Return!C1673</f>
        <v>1</v>
      </c>
      <c r="D1673" s="2">
        <f>COUNTA(Argument!E1673)</f>
        <v>0</v>
      </c>
      <c r="E1673" s="2" t="str">
        <f>IF(C1673,Return!D1673,Return!E1673)</f>
        <v>v</v>
      </c>
      <c r="F1673" s="2" t="str">
        <f t="shared" si="78"/>
        <v>v</v>
      </c>
      <c r="G1673" s="2" t="str">
        <f t="shared" si="80"/>
        <v>v</v>
      </c>
      <c r="H1673" s="2" t="str">
        <f t="shared" si="79"/>
        <v>, v</v>
      </c>
      <c r="I1673" s="2" t="str">
        <f>IF(Return!C1673=0,REPLACE(INDEX(H:H,ROW()+Return!B1673,),1,2,Return!E1673&amp;"(")&amp;")","")</f>
        <v/>
      </c>
      <c r="M1673" s="1"/>
    </row>
    <row r="1674" spans="1:13" x14ac:dyDescent="0.55000000000000004">
      <c r="A1674" s="1" t="s">
        <v>2072</v>
      </c>
      <c r="B1674" t="s">
        <v>1323</v>
      </c>
      <c r="C1674" s="2">
        <f>Return!C1674</f>
        <v>2</v>
      </c>
      <c r="D1674" s="2">
        <f>COUNTA(Argument!E1674)</f>
        <v>0</v>
      </c>
      <c r="E1674" s="2" t="str">
        <f>IF(C1674,Return!D1674,Return!E1674)</f>
        <v>v</v>
      </c>
      <c r="F1674" s="2" t="str">
        <f t="shared" si="78"/>
        <v>v</v>
      </c>
      <c r="G1674" s="2" t="str">
        <f t="shared" si="80"/>
        <v>v</v>
      </c>
      <c r="H1674" s="2" t="str">
        <f t="shared" si="79"/>
        <v>, v, v</v>
      </c>
      <c r="I1674" s="2" t="str">
        <f>IF(Return!C1674=0,REPLACE(INDEX(H:H,ROW()+Return!B1674,),1,2,Return!E1674&amp;"(")&amp;")","")</f>
        <v/>
      </c>
      <c r="M1674" s="1"/>
    </row>
    <row r="1675" spans="1:13" x14ac:dyDescent="0.55000000000000004">
      <c r="A1675" s="1" t="s">
        <v>2072</v>
      </c>
      <c r="B1675" t="s">
        <v>1324</v>
      </c>
      <c r="C1675" s="2">
        <f>Return!C1675</f>
        <v>3</v>
      </c>
      <c r="D1675" s="2">
        <f>COUNTA(Argument!E1675)</f>
        <v>0</v>
      </c>
      <c r="E1675" s="2" t="str">
        <f>IF(C1675,Return!D1675,Return!E1675)</f>
        <v>v</v>
      </c>
      <c r="F1675" s="2" t="str">
        <f t="shared" si="78"/>
        <v>v</v>
      </c>
      <c r="G1675" s="2" t="str">
        <f t="shared" si="80"/>
        <v>v</v>
      </c>
      <c r="H1675" s="2" t="str">
        <f t="shared" si="79"/>
        <v>, v, v, v</v>
      </c>
      <c r="I1675" s="2" t="str">
        <f>IF(Return!C1675=0,REPLACE(INDEX(H:H,ROW()+Return!B1675,),1,2,Return!E1675&amp;"(")&amp;")","")</f>
        <v/>
      </c>
      <c r="M1675" s="1"/>
    </row>
    <row r="1676" spans="1:13" x14ac:dyDescent="0.55000000000000004">
      <c r="A1676" s="1" t="s">
        <v>2072</v>
      </c>
      <c r="B1676" t="s">
        <v>1325</v>
      </c>
      <c r="C1676" s="2">
        <f>Return!C1676</f>
        <v>4</v>
      </c>
      <c r="D1676" s="2">
        <f>COUNTA(Argument!E1676)</f>
        <v>1</v>
      </c>
      <c r="E1676" s="2" t="str">
        <f>IF(C1676,Return!D1676,Return!E1676)</f>
        <v>v</v>
      </c>
      <c r="F1676" s="2" t="str">
        <f t="shared" si="78"/>
        <v>v</v>
      </c>
      <c r="G1676" s="2" t="str">
        <f t="shared" si="80"/>
        <v>v</v>
      </c>
      <c r="H1676" s="2" t="str">
        <f t="shared" si="79"/>
        <v>, v, v, v, v</v>
      </c>
      <c r="I1676" s="2" t="str">
        <f>IF(Return!C1676=0,REPLACE(INDEX(H:H,ROW()+Return!B1676,),1,2,Return!E1676&amp;"(")&amp;")","")</f>
        <v/>
      </c>
      <c r="M1676" s="1"/>
    </row>
    <row r="1677" spans="1:13" x14ac:dyDescent="0.55000000000000004">
      <c r="A1677" s="1" t="s">
        <v>2073</v>
      </c>
      <c r="C1677" s="2">
        <f>Return!C1677</f>
        <v>0</v>
      </c>
      <c r="D1677" s="2">
        <f>COUNTA(Argument!E1677)</f>
        <v>0</v>
      </c>
      <c r="E1677" s="2" t="str">
        <f>IF(C1677,Return!D1677,Return!E1677)</f>
        <v>v</v>
      </c>
      <c r="F1677" s="2" t="str">
        <f t="shared" si="78"/>
        <v/>
      </c>
      <c r="G1677" s="2" t="str">
        <f t="shared" si="80"/>
        <v/>
      </c>
      <c r="H1677" s="2" t="str">
        <f t="shared" si="79"/>
        <v/>
      </c>
      <c r="I1677" s="2" t="str">
        <f>IF(Return!C1677=0,REPLACE(INDEX(H:H,ROW()+Return!B1677,),1,2,Return!E1677&amp;"(")&amp;")","")</f>
        <v>v(v, v, v)</v>
      </c>
      <c r="M1677" s="1"/>
    </row>
    <row r="1678" spans="1:13" x14ac:dyDescent="0.55000000000000004">
      <c r="A1678" s="1" t="s">
        <v>2073</v>
      </c>
      <c r="B1678" t="s">
        <v>1323</v>
      </c>
      <c r="C1678" s="2">
        <f>Return!C1678</f>
        <v>1</v>
      </c>
      <c r="D1678" s="2">
        <f>COUNTA(Argument!E1678)</f>
        <v>0</v>
      </c>
      <c r="E1678" s="2" t="str">
        <f>IF(C1678,Return!D1678,Return!E1678)</f>
        <v>v</v>
      </c>
      <c r="F1678" s="2" t="str">
        <f t="shared" si="78"/>
        <v>v</v>
      </c>
      <c r="G1678" s="2" t="str">
        <f t="shared" si="80"/>
        <v>v</v>
      </c>
      <c r="H1678" s="2" t="str">
        <f t="shared" si="79"/>
        <v>, v</v>
      </c>
      <c r="I1678" s="2" t="str">
        <f>IF(Return!C1678=0,REPLACE(INDEX(H:H,ROW()+Return!B1678,),1,2,Return!E1678&amp;"(")&amp;")","")</f>
        <v/>
      </c>
      <c r="M1678" s="1"/>
    </row>
    <row r="1679" spans="1:13" x14ac:dyDescent="0.55000000000000004">
      <c r="A1679" s="1" t="s">
        <v>2073</v>
      </c>
      <c r="B1679" t="s">
        <v>1324</v>
      </c>
      <c r="C1679" s="2">
        <f>Return!C1679</f>
        <v>2</v>
      </c>
      <c r="D1679" s="2">
        <f>COUNTA(Argument!E1679)</f>
        <v>0</v>
      </c>
      <c r="E1679" s="2" t="str">
        <f>IF(C1679,Return!D1679,Return!E1679)</f>
        <v>v</v>
      </c>
      <c r="F1679" s="2" t="str">
        <f t="shared" si="78"/>
        <v>v</v>
      </c>
      <c r="G1679" s="2" t="str">
        <f t="shared" si="80"/>
        <v>v</v>
      </c>
      <c r="H1679" s="2" t="str">
        <f t="shared" si="79"/>
        <v>, v, v</v>
      </c>
      <c r="I1679" s="2" t="str">
        <f>IF(Return!C1679=0,REPLACE(INDEX(H:H,ROW()+Return!B1679,),1,2,Return!E1679&amp;"(")&amp;")","")</f>
        <v/>
      </c>
      <c r="M1679" s="1"/>
    </row>
    <row r="1680" spans="1:13" x14ac:dyDescent="0.55000000000000004">
      <c r="A1680" s="1" t="s">
        <v>2073</v>
      </c>
      <c r="B1680" t="s">
        <v>1317</v>
      </c>
      <c r="C1680" s="2">
        <f>Return!C1680</f>
        <v>3</v>
      </c>
      <c r="D1680" s="2">
        <f>COUNTA(Argument!E1680)</f>
        <v>1</v>
      </c>
      <c r="E1680" s="2" t="str">
        <f>IF(C1680,Return!D1680,Return!E1680)</f>
        <v>v</v>
      </c>
      <c r="F1680" s="2" t="str">
        <f t="shared" si="78"/>
        <v>v</v>
      </c>
      <c r="G1680" s="2" t="str">
        <f t="shared" si="80"/>
        <v>v</v>
      </c>
      <c r="H1680" s="2" t="str">
        <f t="shared" si="79"/>
        <v>, v, v, v</v>
      </c>
      <c r="I1680" s="2" t="str">
        <f>IF(Return!C1680=0,REPLACE(INDEX(H:H,ROW()+Return!B1680,),1,2,Return!E1680&amp;"(")&amp;")","")</f>
        <v/>
      </c>
      <c r="M1680" s="1"/>
    </row>
    <row r="1681" spans="1:13" x14ac:dyDescent="0.55000000000000004">
      <c r="A1681" s="1" t="s">
        <v>2074</v>
      </c>
      <c r="C1681" s="2">
        <f>Return!C1681</f>
        <v>0</v>
      </c>
      <c r="D1681" s="2">
        <f>COUNTA(Argument!E1681)</f>
        <v>0</v>
      </c>
      <c r="E1681" s="2" t="str">
        <f>IF(C1681,Return!D1681,Return!E1681)</f>
        <v>v</v>
      </c>
      <c r="F1681" s="2" t="str">
        <f t="shared" si="78"/>
        <v/>
      </c>
      <c r="G1681" s="2" t="str">
        <f t="shared" si="80"/>
        <v/>
      </c>
      <c r="H1681" s="2" t="str">
        <f t="shared" si="79"/>
        <v/>
      </c>
      <c r="I1681" s="2" t="str">
        <f>IF(Return!C1681=0,REPLACE(INDEX(H:H,ROW()+Return!B1681,),1,2,Return!E1681&amp;"(")&amp;")","")</f>
        <v>v(v, v, v)</v>
      </c>
      <c r="M1681" s="1"/>
    </row>
    <row r="1682" spans="1:13" x14ac:dyDescent="0.55000000000000004">
      <c r="A1682" s="1" t="s">
        <v>2074</v>
      </c>
      <c r="B1682" t="s">
        <v>1317</v>
      </c>
      <c r="C1682" s="2">
        <f>Return!C1682</f>
        <v>1</v>
      </c>
      <c r="D1682" s="2">
        <f>COUNTA(Argument!E1682)</f>
        <v>0</v>
      </c>
      <c r="E1682" s="2" t="str">
        <f>IF(C1682,Return!D1682,Return!E1682)</f>
        <v>v</v>
      </c>
      <c r="F1682" s="2" t="str">
        <f t="shared" si="78"/>
        <v>v</v>
      </c>
      <c r="G1682" s="2" t="str">
        <f t="shared" si="80"/>
        <v>v</v>
      </c>
      <c r="H1682" s="2" t="str">
        <f t="shared" si="79"/>
        <v>, v</v>
      </c>
      <c r="I1682" s="2" t="str">
        <f>IF(Return!C1682=0,REPLACE(INDEX(H:H,ROW()+Return!B1682,),1,2,Return!E1682&amp;"(")&amp;")","")</f>
        <v/>
      </c>
      <c r="M1682" s="1"/>
    </row>
    <row r="1683" spans="1:13" x14ac:dyDescent="0.55000000000000004">
      <c r="A1683" s="1" t="s">
        <v>2074</v>
      </c>
      <c r="B1683" t="s">
        <v>1328</v>
      </c>
      <c r="C1683" s="2">
        <f>Return!C1683</f>
        <v>2</v>
      </c>
      <c r="D1683" s="2">
        <f>COUNTA(Argument!E1683)</f>
        <v>0</v>
      </c>
      <c r="E1683" s="2" t="str">
        <f>IF(C1683,Return!D1683,Return!E1683)</f>
        <v>v</v>
      </c>
      <c r="F1683" s="2" t="str">
        <f t="shared" si="78"/>
        <v>v</v>
      </c>
      <c r="G1683" s="2" t="str">
        <f t="shared" si="80"/>
        <v>v</v>
      </c>
      <c r="H1683" s="2" t="str">
        <f t="shared" si="79"/>
        <v>, v, v</v>
      </c>
      <c r="I1683" s="2" t="str">
        <f>IF(Return!C1683=0,REPLACE(INDEX(H:H,ROW()+Return!B1683,),1,2,Return!E1683&amp;"(")&amp;")","")</f>
        <v/>
      </c>
      <c r="M1683" s="1"/>
    </row>
    <row r="1684" spans="1:13" x14ac:dyDescent="0.55000000000000004">
      <c r="A1684" s="1" t="s">
        <v>2074</v>
      </c>
      <c r="B1684" t="s">
        <v>1329</v>
      </c>
      <c r="C1684" s="2">
        <f>Return!C1684</f>
        <v>3</v>
      </c>
      <c r="D1684" s="2">
        <f>COUNTA(Argument!E1684)</f>
        <v>1</v>
      </c>
      <c r="E1684" s="2" t="str">
        <f>IF(C1684,Return!D1684,Return!E1684)</f>
        <v>v</v>
      </c>
      <c r="F1684" s="2" t="str">
        <f t="shared" si="78"/>
        <v>v</v>
      </c>
      <c r="G1684" s="2" t="str">
        <f t="shared" si="80"/>
        <v>v</v>
      </c>
      <c r="H1684" s="2" t="str">
        <f t="shared" si="79"/>
        <v>, v, v, v</v>
      </c>
      <c r="I1684" s="2" t="str">
        <f>IF(Return!C1684=0,REPLACE(INDEX(H:H,ROW()+Return!B1684,),1,2,Return!E1684&amp;"(")&amp;")","")</f>
        <v/>
      </c>
      <c r="M1684" s="1"/>
    </row>
    <row r="1685" spans="1:13" x14ac:dyDescent="0.55000000000000004">
      <c r="A1685" s="1" t="s">
        <v>2075</v>
      </c>
      <c r="C1685" s="2">
        <f>Return!C1685</f>
        <v>0</v>
      </c>
      <c r="D1685" s="2">
        <f>COUNTA(Argument!E1685)</f>
        <v>0</v>
      </c>
      <c r="E1685" s="2" t="str">
        <f>IF(C1685,Return!D1685,Return!E1685)</f>
        <v>v</v>
      </c>
      <c r="F1685" s="2" t="str">
        <f t="shared" si="78"/>
        <v/>
      </c>
      <c r="G1685" s="2" t="str">
        <f t="shared" si="80"/>
        <v/>
      </c>
      <c r="H1685" s="2" t="str">
        <f t="shared" si="79"/>
        <v/>
      </c>
      <c r="I1685" s="2" t="str">
        <f>IF(Return!C1685=0,REPLACE(INDEX(H:H,ROW()+Return!B1685,),1,2,Return!E1685&amp;"(")&amp;")","")</f>
        <v>v(v, v, v)</v>
      </c>
      <c r="M1685" s="1"/>
    </row>
    <row r="1686" spans="1:13" x14ac:dyDescent="0.55000000000000004">
      <c r="A1686" s="1" t="s">
        <v>2075</v>
      </c>
      <c r="B1686" t="s">
        <v>1317</v>
      </c>
      <c r="C1686" s="2">
        <f>Return!C1686</f>
        <v>1</v>
      </c>
      <c r="D1686" s="2">
        <f>COUNTA(Argument!E1686)</f>
        <v>0</v>
      </c>
      <c r="E1686" s="2" t="str">
        <f>IF(C1686,Return!D1686,Return!E1686)</f>
        <v>v</v>
      </c>
      <c r="F1686" s="2" t="str">
        <f t="shared" si="78"/>
        <v>v</v>
      </c>
      <c r="G1686" s="2" t="str">
        <f t="shared" si="80"/>
        <v>v</v>
      </c>
      <c r="H1686" s="2" t="str">
        <f t="shared" si="79"/>
        <v>, v</v>
      </c>
      <c r="I1686" s="2" t="str">
        <f>IF(Return!C1686=0,REPLACE(INDEX(H:H,ROW()+Return!B1686,),1,2,Return!E1686&amp;"(")&amp;")","")</f>
        <v/>
      </c>
      <c r="M1686" s="1"/>
    </row>
    <row r="1687" spans="1:13" x14ac:dyDescent="0.55000000000000004">
      <c r="A1687" s="1" t="s">
        <v>2075</v>
      </c>
      <c r="B1687" t="s">
        <v>1328</v>
      </c>
      <c r="C1687" s="2">
        <f>Return!C1687</f>
        <v>2</v>
      </c>
      <c r="D1687" s="2">
        <f>COUNTA(Argument!E1687)</f>
        <v>0</v>
      </c>
      <c r="E1687" s="2" t="str">
        <f>IF(C1687,Return!D1687,Return!E1687)</f>
        <v>v</v>
      </c>
      <c r="F1687" s="2" t="str">
        <f t="shared" si="78"/>
        <v>v</v>
      </c>
      <c r="G1687" s="2" t="str">
        <f t="shared" si="80"/>
        <v>v</v>
      </c>
      <c r="H1687" s="2" t="str">
        <f t="shared" si="79"/>
        <v>, v, v</v>
      </c>
      <c r="I1687" s="2" t="str">
        <f>IF(Return!C1687=0,REPLACE(INDEX(H:H,ROW()+Return!B1687,),1,2,Return!E1687&amp;"(")&amp;")","")</f>
        <v/>
      </c>
      <c r="M1687" s="1"/>
    </row>
    <row r="1688" spans="1:13" x14ac:dyDescent="0.55000000000000004">
      <c r="A1688" s="1" t="s">
        <v>2075</v>
      </c>
      <c r="B1688" t="s">
        <v>1329</v>
      </c>
      <c r="C1688" s="2">
        <f>Return!C1688</f>
        <v>3</v>
      </c>
      <c r="D1688" s="2">
        <f>COUNTA(Argument!E1688)</f>
        <v>1</v>
      </c>
      <c r="E1688" s="2" t="str">
        <f>IF(C1688,Return!D1688,Return!E1688)</f>
        <v>v</v>
      </c>
      <c r="F1688" s="2" t="str">
        <f t="shared" si="78"/>
        <v>v</v>
      </c>
      <c r="G1688" s="2" t="str">
        <f t="shared" si="80"/>
        <v>v</v>
      </c>
      <c r="H1688" s="2" t="str">
        <f t="shared" si="79"/>
        <v>, v, v, v</v>
      </c>
      <c r="I1688" s="2" t="str">
        <f>IF(Return!C1688=0,REPLACE(INDEX(H:H,ROW()+Return!B1688,),1,2,Return!E1688&amp;"(")&amp;")","")</f>
        <v/>
      </c>
      <c r="M1688" s="1"/>
    </row>
    <row r="1689" spans="1:13" x14ac:dyDescent="0.55000000000000004">
      <c r="A1689" s="1" t="s">
        <v>2076</v>
      </c>
      <c r="C1689" s="2">
        <f>Return!C1689</f>
        <v>0</v>
      </c>
      <c r="D1689" s="2">
        <f>COUNTA(Argument!E1689)</f>
        <v>0</v>
      </c>
      <c r="E1689" s="2" t="str">
        <f>IF(C1689,Return!D1689,Return!E1689)</f>
        <v>v</v>
      </c>
      <c r="F1689" s="2" t="str">
        <f t="shared" si="78"/>
        <v/>
      </c>
      <c r="G1689" s="2" t="str">
        <f t="shared" si="80"/>
        <v/>
      </c>
      <c r="H1689" s="2" t="str">
        <f t="shared" si="79"/>
        <v/>
      </c>
      <c r="I1689" s="2" t="str">
        <f>IF(Return!C1689=0,REPLACE(INDEX(H:H,ROW()+Return!B1689,),1,2,Return!E1689&amp;"(")&amp;")","")</f>
        <v>v(a, a)</v>
      </c>
      <c r="M1689" s="1"/>
    </row>
    <row r="1690" spans="1:13" x14ac:dyDescent="0.55000000000000004">
      <c r="A1690" s="1" t="s">
        <v>2076</v>
      </c>
      <c r="B1690" t="s">
        <v>1345</v>
      </c>
      <c r="C1690" s="2">
        <f>Return!C1690</f>
        <v>1</v>
      </c>
      <c r="D1690" s="2">
        <f>COUNTA(Argument!E1690)</f>
        <v>0</v>
      </c>
      <c r="E1690" s="2" t="str">
        <f>IF(C1690,Return!D1690,Return!E1690)</f>
        <v>a</v>
      </c>
      <c r="F1690" s="2" t="str">
        <f t="shared" si="78"/>
        <v>a</v>
      </c>
      <c r="G1690" s="2" t="str">
        <f t="shared" si="80"/>
        <v>a</v>
      </c>
      <c r="H1690" s="2" t="str">
        <f t="shared" si="79"/>
        <v>, a</v>
      </c>
      <c r="I1690" s="2" t="str">
        <f>IF(Return!C1690=0,REPLACE(INDEX(H:H,ROW()+Return!B1690,),1,2,Return!E1690&amp;"(")&amp;")","")</f>
        <v/>
      </c>
      <c r="M1690" s="1"/>
    </row>
    <row r="1691" spans="1:13" x14ac:dyDescent="0.55000000000000004">
      <c r="A1691" s="1" t="s">
        <v>2076</v>
      </c>
      <c r="B1691" t="s">
        <v>1346</v>
      </c>
      <c r="C1691" s="2">
        <f>Return!C1691</f>
        <v>2</v>
      </c>
      <c r="D1691" s="2">
        <f>COUNTA(Argument!E1691)</f>
        <v>1</v>
      </c>
      <c r="E1691" s="2" t="str">
        <f>IF(C1691,Return!D1691,Return!E1691)</f>
        <v>a</v>
      </c>
      <c r="F1691" s="2" t="str">
        <f t="shared" si="78"/>
        <v>a</v>
      </c>
      <c r="G1691" s="2" t="str">
        <f t="shared" si="80"/>
        <v>a</v>
      </c>
      <c r="H1691" s="2" t="str">
        <f t="shared" si="79"/>
        <v>, a, a</v>
      </c>
      <c r="I1691" s="2" t="str">
        <f>IF(Return!C1691=0,REPLACE(INDEX(H:H,ROW()+Return!B1691,),1,2,Return!E1691&amp;"(")&amp;")","")</f>
        <v/>
      </c>
      <c r="M1691" s="1"/>
    </row>
    <row r="1692" spans="1:13" x14ac:dyDescent="0.55000000000000004">
      <c r="A1692" s="1" t="s">
        <v>2077</v>
      </c>
      <c r="C1692" s="2">
        <f>Return!C1692</f>
        <v>0</v>
      </c>
      <c r="D1692" s="2">
        <f>COUNTA(Argument!E1692)</f>
        <v>0</v>
      </c>
      <c r="E1692" s="2" t="str">
        <f>IF(C1692,Return!D1692,Return!E1692)</f>
        <v>v</v>
      </c>
      <c r="F1692" s="2" t="str">
        <f t="shared" si="78"/>
        <v/>
      </c>
      <c r="G1692" s="2" t="str">
        <f t="shared" si="80"/>
        <v/>
      </c>
      <c r="H1692" s="2" t="str">
        <f t="shared" si="79"/>
        <v/>
      </c>
      <c r="I1692" s="2" t="str">
        <f>IF(Return!C1692=0,REPLACE(INDEX(H:H,ROW()+Return!B1692,),1,2,Return!E1692&amp;"(")&amp;")","")</f>
        <v>v(a, a)</v>
      </c>
      <c r="M1692" s="1"/>
    </row>
    <row r="1693" spans="1:13" x14ac:dyDescent="0.55000000000000004">
      <c r="A1693" s="1" t="s">
        <v>2077</v>
      </c>
      <c r="B1693" t="s">
        <v>1298</v>
      </c>
      <c r="C1693" s="2">
        <f>Return!C1693</f>
        <v>1</v>
      </c>
      <c r="D1693" s="2">
        <f>COUNTA(Argument!E1693)</f>
        <v>0</v>
      </c>
      <c r="E1693" s="2" t="str">
        <f>IF(C1693,Return!D1693,Return!E1693)</f>
        <v>a</v>
      </c>
      <c r="F1693" s="2" t="str">
        <f t="shared" si="78"/>
        <v>a</v>
      </c>
      <c r="G1693" s="2" t="str">
        <f t="shared" si="80"/>
        <v>a</v>
      </c>
      <c r="H1693" s="2" t="str">
        <f t="shared" si="79"/>
        <v>, a</v>
      </c>
      <c r="I1693" s="2" t="str">
        <f>IF(Return!C1693=0,REPLACE(INDEX(H:H,ROW()+Return!B1693,),1,2,Return!E1693&amp;"(")&amp;")","")</f>
        <v/>
      </c>
      <c r="M1693" s="1"/>
    </row>
    <row r="1694" spans="1:13" x14ac:dyDescent="0.55000000000000004">
      <c r="A1694" s="1" t="s">
        <v>2077</v>
      </c>
      <c r="B1694" t="s">
        <v>1299</v>
      </c>
      <c r="C1694" s="2">
        <f>Return!C1694</f>
        <v>2</v>
      </c>
      <c r="D1694" s="2">
        <f>COUNTA(Argument!E1694)</f>
        <v>1</v>
      </c>
      <c r="E1694" s="2" t="str">
        <f>IF(C1694,Return!D1694,Return!E1694)</f>
        <v>a</v>
      </c>
      <c r="F1694" s="2" t="str">
        <f t="shared" si="78"/>
        <v>a</v>
      </c>
      <c r="G1694" s="2" t="str">
        <f t="shared" si="80"/>
        <v>a</v>
      </c>
      <c r="H1694" s="2" t="str">
        <f t="shared" si="79"/>
        <v>, a, a</v>
      </c>
      <c r="I1694" s="2" t="str">
        <f>IF(Return!C1694=0,REPLACE(INDEX(H:H,ROW()+Return!B1694,),1,2,Return!E1694&amp;"(")&amp;")","")</f>
        <v/>
      </c>
      <c r="M1694" s="1"/>
    </row>
    <row r="1695" spans="1:13" x14ac:dyDescent="0.55000000000000004">
      <c r="A1695" s="1" t="s">
        <v>2078</v>
      </c>
      <c r="C1695" s="2">
        <f>Return!C1695</f>
        <v>0</v>
      </c>
      <c r="D1695" s="2">
        <f>COUNTA(Argument!E1695)</f>
        <v>0</v>
      </c>
      <c r="E1695" s="2" t="str">
        <f>IF(C1695,Return!D1695,Return!E1695)</f>
        <v>v</v>
      </c>
      <c r="F1695" s="2" t="str">
        <f t="shared" si="78"/>
        <v/>
      </c>
      <c r="G1695" s="2" t="str">
        <f t="shared" si="80"/>
        <v/>
      </c>
      <c r="H1695" s="2" t="str">
        <f t="shared" si="79"/>
        <v/>
      </c>
      <c r="I1695" s="2" t="str">
        <f>IF(Return!C1695=0,REPLACE(INDEX(H:H,ROW()+Return!B1695,),1,2,Return!E1695&amp;"(")&amp;")","")</f>
        <v>v(a, a)</v>
      </c>
      <c r="M1695" s="1"/>
    </row>
    <row r="1696" spans="1:13" x14ac:dyDescent="0.55000000000000004">
      <c r="A1696" s="1" t="s">
        <v>2078</v>
      </c>
      <c r="B1696" t="s">
        <v>1298</v>
      </c>
      <c r="C1696" s="2">
        <f>Return!C1696</f>
        <v>1</v>
      </c>
      <c r="D1696" s="2">
        <f>COUNTA(Argument!E1696)</f>
        <v>0</v>
      </c>
      <c r="E1696" s="2" t="str">
        <f>IF(C1696,Return!D1696,Return!E1696)</f>
        <v>a</v>
      </c>
      <c r="F1696" s="2" t="str">
        <f t="shared" si="78"/>
        <v>a</v>
      </c>
      <c r="G1696" s="2" t="str">
        <f t="shared" si="80"/>
        <v>a</v>
      </c>
      <c r="H1696" s="2" t="str">
        <f t="shared" si="79"/>
        <v>, a</v>
      </c>
      <c r="I1696" s="2" t="str">
        <f>IF(Return!C1696=0,REPLACE(INDEX(H:H,ROW()+Return!B1696,),1,2,Return!E1696&amp;"(")&amp;")","")</f>
        <v/>
      </c>
      <c r="M1696" s="1"/>
    </row>
    <row r="1697" spans="1:13" x14ac:dyDescent="0.55000000000000004">
      <c r="A1697" s="1" t="s">
        <v>2078</v>
      </c>
      <c r="B1697" t="s">
        <v>1299</v>
      </c>
      <c r="C1697" s="2">
        <f>Return!C1697</f>
        <v>2</v>
      </c>
      <c r="D1697" s="2">
        <f>COUNTA(Argument!E1697)</f>
        <v>1</v>
      </c>
      <c r="E1697" s="2" t="str">
        <f>IF(C1697,Return!D1697,Return!E1697)</f>
        <v>a</v>
      </c>
      <c r="F1697" s="2" t="str">
        <f t="shared" si="78"/>
        <v>a</v>
      </c>
      <c r="G1697" s="2" t="str">
        <f t="shared" si="80"/>
        <v>a</v>
      </c>
      <c r="H1697" s="2" t="str">
        <f t="shared" si="79"/>
        <v>, a, a</v>
      </c>
      <c r="I1697" s="2" t="str">
        <f>IF(Return!C1697=0,REPLACE(INDEX(H:H,ROW()+Return!B1697,),1,2,Return!E1697&amp;"(")&amp;")","")</f>
        <v/>
      </c>
      <c r="M1697" s="1"/>
    </row>
    <row r="1698" spans="1:13" x14ac:dyDescent="0.55000000000000004">
      <c r="A1698" s="1" t="s">
        <v>2079</v>
      </c>
      <c r="C1698" s="2">
        <f>Return!C1698</f>
        <v>0</v>
      </c>
      <c r="D1698" s="2">
        <f>COUNTA(Argument!E1698)</f>
        <v>0</v>
      </c>
      <c r="E1698" s="2" t="str">
        <f>IF(C1698,Return!D1698,Return!E1698)</f>
        <v>v</v>
      </c>
      <c r="F1698" s="2" t="str">
        <f t="shared" si="78"/>
        <v/>
      </c>
      <c r="G1698" s="2" t="str">
        <f t="shared" si="80"/>
        <v/>
      </c>
      <c r="H1698" s="2" t="str">
        <f t="shared" si="79"/>
        <v/>
      </c>
      <c r="I1698" s="2" t="str">
        <f>IF(Return!C1698=0,REPLACE(INDEX(H:H,ROW()+Return!B1698,),1,2,Return!E1698&amp;"(")&amp;")","")</f>
        <v>v(a, a)</v>
      </c>
      <c r="M1698" s="1"/>
    </row>
    <row r="1699" spans="1:13" x14ac:dyDescent="0.55000000000000004">
      <c r="A1699" s="1" t="s">
        <v>2079</v>
      </c>
      <c r="B1699" t="s">
        <v>1298</v>
      </c>
      <c r="C1699" s="2">
        <f>Return!C1699</f>
        <v>1</v>
      </c>
      <c r="D1699" s="2">
        <f>COUNTA(Argument!E1699)</f>
        <v>0</v>
      </c>
      <c r="E1699" s="2" t="str">
        <f>IF(C1699,Return!D1699,Return!E1699)</f>
        <v>a</v>
      </c>
      <c r="F1699" s="2" t="str">
        <f t="shared" si="78"/>
        <v>a</v>
      </c>
      <c r="G1699" s="2" t="str">
        <f t="shared" si="80"/>
        <v>a</v>
      </c>
      <c r="H1699" s="2" t="str">
        <f t="shared" si="79"/>
        <v>, a</v>
      </c>
      <c r="I1699" s="2" t="str">
        <f>IF(Return!C1699=0,REPLACE(INDEX(H:H,ROW()+Return!B1699,),1,2,Return!E1699&amp;"(")&amp;")","")</f>
        <v/>
      </c>
      <c r="M1699" s="1"/>
    </row>
    <row r="1700" spans="1:13" x14ac:dyDescent="0.55000000000000004">
      <c r="A1700" s="1" t="s">
        <v>2079</v>
      </c>
      <c r="B1700" t="s">
        <v>1299</v>
      </c>
      <c r="C1700" s="2">
        <f>Return!C1700</f>
        <v>2</v>
      </c>
      <c r="D1700" s="2">
        <f>COUNTA(Argument!E1700)</f>
        <v>1</v>
      </c>
      <c r="E1700" s="2" t="str">
        <f>IF(C1700,Return!D1700,Return!E1700)</f>
        <v>a</v>
      </c>
      <c r="F1700" s="2" t="str">
        <f t="shared" si="78"/>
        <v>a</v>
      </c>
      <c r="G1700" s="2" t="str">
        <f t="shared" si="80"/>
        <v>a</v>
      </c>
      <c r="H1700" s="2" t="str">
        <f t="shared" si="79"/>
        <v>, a, a</v>
      </c>
      <c r="I1700" s="2" t="str">
        <f>IF(Return!C1700=0,REPLACE(INDEX(H:H,ROW()+Return!B1700,),1,2,Return!E1700&amp;"(")&amp;")","")</f>
        <v/>
      </c>
      <c r="M1700" s="1"/>
    </row>
    <row r="1701" spans="1:13" x14ac:dyDescent="0.55000000000000004">
      <c r="A1701" s="1" t="s">
        <v>2080</v>
      </c>
      <c r="C1701" s="2">
        <f>Return!C1701</f>
        <v>0</v>
      </c>
      <c r="D1701" s="2">
        <f>COUNTA(Argument!E1701)</f>
        <v>0</v>
      </c>
      <c r="E1701" s="2" t="str">
        <f>IF(C1701,Return!D1701,Return!E1701)</f>
        <v>v</v>
      </c>
      <c r="F1701" s="2" t="str">
        <f t="shared" si="78"/>
        <v/>
      </c>
      <c r="G1701" s="2" t="str">
        <f t="shared" si="80"/>
        <v/>
      </c>
      <c r="H1701" s="2" t="str">
        <f t="shared" si="79"/>
        <v/>
      </c>
      <c r="I1701" s="2" t="str">
        <f>IF(Return!C1701=0,REPLACE(INDEX(H:H,ROW()+Return!B1701,),1,2,Return!E1701&amp;"(")&amp;")","")</f>
        <v>v(v, v, v)</v>
      </c>
      <c r="M1701" s="1"/>
    </row>
    <row r="1702" spans="1:13" x14ac:dyDescent="0.55000000000000004">
      <c r="A1702" s="1" t="s">
        <v>2080</v>
      </c>
      <c r="B1702" t="s">
        <v>1316</v>
      </c>
      <c r="C1702" s="2">
        <f>Return!C1702</f>
        <v>1</v>
      </c>
      <c r="D1702" s="2">
        <f>COUNTA(Argument!E1702)</f>
        <v>0</v>
      </c>
      <c r="E1702" s="2" t="str">
        <f>IF(C1702,Return!D1702,Return!E1702)</f>
        <v>v</v>
      </c>
      <c r="F1702" s="2" t="str">
        <f t="shared" si="78"/>
        <v>v</v>
      </c>
      <c r="G1702" s="2" t="str">
        <f t="shared" si="80"/>
        <v>v</v>
      </c>
      <c r="H1702" s="2" t="str">
        <f t="shared" si="79"/>
        <v>, v</v>
      </c>
      <c r="I1702" s="2" t="str">
        <f>IF(Return!C1702=0,REPLACE(INDEX(H:H,ROW()+Return!B1702,),1,2,Return!E1702&amp;"(")&amp;")","")</f>
        <v/>
      </c>
      <c r="M1702" s="1"/>
    </row>
    <row r="1703" spans="1:13" x14ac:dyDescent="0.55000000000000004">
      <c r="A1703" s="1" t="s">
        <v>2080</v>
      </c>
      <c r="B1703" t="s">
        <v>1330</v>
      </c>
      <c r="C1703" s="2">
        <f>Return!C1703</f>
        <v>2</v>
      </c>
      <c r="D1703" s="2">
        <f>COUNTA(Argument!E1703)</f>
        <v>0</v>
      </c>
      <c r="E1703" s="2" t="str">
        <f>IF(C1703,Return!D1703,Return!E1703)</f>
        <v>v</v>
      </c>
      <c r="F1703" s="2" t="str">
        <f t="shared" si="78"/>
        <v>v</v>
      </c>
      <c r="G1703" s="2" t="str">
        <f t="shared" si="80"/>
        <v>v</v>
      </c>
      <c r="H1703" s="2" t="str">
        <f t="shared" si="79"/>
        <v>, v, v</v>
      </c>
      <c r="I1703" s="2" t="str">
        <f>IF(Return!C1703=0,REPLACE(INDEX(H:H,ROW()+Return!B1703,),1,2,Return!E1703&amp;"(")&amp;")","")</f>
        <v/>
      </c>
      <c r="M1703" s="1"/>
    </row>
    <row r="1704" spans="1:13" x14ac:dyDescent="0.55000000000000004">
      <c r="A1704" s="1" t="s">
        <v>2080</v>
      </c>
      <c r="B1704" t="s">
        <v>1325</v>
      </c>
      <c r="C1704" s="2">
        <f>Return!C1704</f>
        <v>3</v>
      </c>
      <c r="D1704" s="2">
        <f>COUNTA(Argument!E1704)</f>
        <v>1</v>
      </c>
      <c r="E1704" s="2" t="str">
        <f>IF(C1704,Return!D1704,Return!E1704)</f>
        <v>v</v>
      </c>
      <c r="F1704" s="2" t="str">
        <f t="shared" si="78"/>
        <v>v</v>
      </c>
      <c r="G1704" s="2" t="str">
        <f t="shared" si="80"/>
        <v>v</v>
      </c>
      <c r="H1704" s="2" t="str">
        <f t="shared" si="79"/>
        <v>, v, v, v</v>
      </c>
      <c r="I1704" s="2" t="str">
        <f>IF(Return!C1704=0,REPLACE(INDEX(H:H,ROW()+Return!B1704,),1,2,Return!E1704&amp;"(")&amp;")","")</f>
        <v/>
      </c>
      <c r="M1704" s="1"/>
    </row>
    <row r="1705" spans="1:13" x14ac:dyDescent="0.55000000000000004">
      <c r="A1705" s="1" t="s">
        <v>2081</v>
      </c>
      <c r="C1705" s="2">
        <f>Return!C1705</f>
        <v>0</v>
      </c>
      <c r="D1705" s="2">
        <f>COUNTA(Argument!E1705)</f>
        <v>0</v>
      </c>
      <c r="E1705" s="2" t="str">
        <f>IF(C1705,Return!D1705,Return!E1705)</f>
        <v>v</v>
      </c>
      <c r="F1705" s="2" t="str">
        <f t="shared" si="78"/>
        <v/>
      </c>
      <c r="G1705" s="2" t="str">
        <f t="shared" si="80"/>
        <v/>
      </c>
      <c r="H1705" s="2" t="str">
        <f t="shared" si="79"/>
        <v/>
      </c>
      <c r="I1705" s="2" t="str">
        <f>IF(Return!C1705=0,REPLACE(INDEX(H:H,ROW()+Return!B1705,),1,2,Return!E1705&amp;"(")&amp;")","")</f>
        <v>v(v, v, v, v)</v>
      </c>
      <c r="M1705" s="1"/>
    </row>
    <row r="1706" spans="1:13" x14ac:dyDescent="0.55000000000000004">
      <c r="A1706" s="1" t="s">
        <v>2081</v>
      </c>
      <c r="B1706" t="s">
        <v>1316</v>
      </c>
      <c r="C1706" s="2">
        <f>Return!C1706</f>
        <v>1</v>
      </c>
      <c r="D1706" s="2">
        <f>COUNTA(Argument!E1706)</f>
        <v>0</v>
      </c>
      <c r="E1706" s="2" t="str">
        <f>IF(C1706,Return!D1706,Return!E1706)</f>
        <v>v</v>
      </c>
      <c r="F1706" s="2" t="str">
        <f t="shared" si="78"/>
        <v>v</v>
      </c>
      <c r="G1706" s="2" t="str">
        <f t="shared" si="80"/>
        <v>v</v>
      </c>
      <c r="H1706" s="2" t="str">
        <f t="shared" si="79"/>
        <v>, v</v>
      </c>
      <c r="I1706" s="2" t="str">
        <f>IF(Return!C1706=0,REPLACE(INDEX(H:H,ROW()+Return!B1706,),1,2,Return!E1706&amp;"(")&amp;")","")</f>
        <v/>
      </c>
      <c r="M1706" s="1"/>
    </row>
    <row r="1707" spans="1:13" x14ac:dyDescent="0.55000000000000004">
      <c r="A1707" s="1" t="s">
        <v>2081</v>
      </c>
      <c r="B1707" t="s">
        <v>1317</v>
      </c>
      <c r="C1707" s="2">
        <f>Return!C1707</f>
        <v>2</v>
      </c>
      <c r="D1707" s="2">
        <f>COUNTA(Argument!E1707)</f>
        <v>0</v>
      </c>
      <c r="E1707" s="2" t="str">
        <f>IF(C1707,Return!D1707,Return!E1707)</f>
        <v>v</v>
      </c>
      <c r="F1707" s="2" t="str">
        <f t="shared" si="78"/>
        <v>v</v>
      </c>
      <c r="G1707" s="2" t="str">
        <f t="shared" si="80"/>
        <v>v</v>
      </c>
      <c r="H1707" s="2" t="str">
        <f t="shared" si="79"/>
        <v>, v, v</v>
      </c>
      <c r="I1707" s="2" t="str">
        <f>IF(Return!C1707=0,REPLACE(INDEX(H:H,ROW()+Return!B1707,),1,2,Return!E1707&amp;"(")&amp;")","")</f>
        <v/>
      </c>
      <c r="M1707" s="1"/>
    </row>
    <row r="1708" spans="1:13" x14ac:dyDescent="0.55000000000000004">
      <c r="A1708" s="1" t="s">
        <v>2081</v>
      </c>
      <c r="B1708" t="s">
        <v>1318</v>
      </c>
      <c r="C1708" s="2">
        <f>Return!C1708</f>
        <v>3</v>
      </c>
      <c r="D1708" s="2">
        <f>COUNTA(Argument!E1708)</f>
        <v>0</v>
      </c>
      <c r="E1708" s="2" t="str">
        <f>IF(C1708,Return!D1708,Return!E1708)</f>
        <v>v</v>
      </c>
      <c r="F1708" s="2" t="str">
        <f t="shared" si="78"/>
        <v>v</v>
      </c>
      <c r="G1708" s="2" t="str">
        <f t="shared" si="80"/>
        <v>v</v>
      </c>
      <c r="H1708" s="2" t="str">
        <f t="shared" si="79"/>
        <v>, v, v, v</v>
      </c>
      <c r="I1708" s="2" t="str">
        <f>IF(Return!C1708=0,REPLACE(INDEX(H:H,ROW()+Return!B1708,),1,2,Return!E1708&amp;"(")&amp;")","")</f>
        <v/>
      </c>
      <c r="M1708" s="1"/>
    </row>
    <row r="1709" spans="1:13" x14ac:dyDescent="0.55000000000000004">
      <c r="A1709" s="1" t="s">
        <v>2081</v>
      </c>
      <c r="B1709" t="s">
        <v>1325</v>
      </c>
      <c r="C1709" s="2">
        <f>Return!C1709</f>
        <v>4</v>
      </c>
      <c r="D1709" s="2">
        <f>COUNTA(Argument!E1709)</f>
        <v>1</v>
      </c>
      <c r="E1709" s="2" t="str">
        <f>IF(C1709,Return!D1709,Return!E1709)</f>
        <v>v</v>
      </c>
      <c r="F1709" s="2" t="str">
        <f t="shared" si="78"/>
        <v>v</v>
      </c>
      <c r="G1709" s="2" t="str">
        <f t="shared" si="80"/>
        <v>v</v>
      </c>
      <c r="H1709" s="2" t="str">
        <f t="shared" si="79"/>
        <v>, v, v, v, v</v>
      </c>
      <c r="I1709" s="2" t="str">
        <f>IF(Return!C1709=0,REPLACE(INDEX(H:H,ROW()+Return!B1709,),1,2,Return!E1709&amp;"(")&amp;")","")</f>
        <v/>
      </c>
      <c r="M1709" s="1"/>
    </row>
    <row r="1710" spans="1:13" x14ac:dyDescent="0.55000000000000004">
      <c r="A1710" s="1" t="s">
        <v>2082</v>
      </c>
      <c r="C1710" s="2">
        <f>Return!C1710</f>
        <v>0</v>
      </c>
      <c r="D1710" s="2">
        <f>COUNTA(Argument!E1710)</f>
        <v>0</v>
      </c>
      <c r="E1710" s="2" t="str">
        <f>IF(C1710,Return!D1710,Return!E1710)</f>
        <v>v</v>
      </c>
      <c r="F1710" s="2" t="str">
        <f t="shared" si="78"/>
        <v/>
      </c>
      <c r="G1710" s="2" t="str">
        <f t="shared" si="80"/>
        <v/>
      </c>
      <c r="H1710" s="2" t="str">
        <f t="shared" si="79"/>
        <v/>
      </c>
      <c r="I1710" s="2" t="str">
        <f>IF(Return!C1710=0,REPLACE(INDEX(H:H,ROW()+Return!B1710,),1,2,Return!E1710&amp;"(")&amp;")","")</f>
        <v>v(v, v, v)</v>
      </c>
      <c r="M1710" s="1"/>
    </row>
    <row r="1711" spans="1:13" x14ac:dyDescent="0.55000000000000004">
      <c r="A1711" s="1" t="s">
        <v>2082</v>
      </c>
      <c r="B1711" t="s">
        <v>1321</v>
      </c>
      <c r="C1711" s="2">
        <f>Return!C1711</f>
        <v>1</v>
      </c>
      <c r="D1711" s="2">
        <f>COUNTA(Argument!E1711)</f>
        <v>0</v>
      </c>
      <c r="E1711" s="2" t="str">
        <f>IF(C1711,Return!D1711,Return!E1711)</f>
        <v>v</v>
      </c>
      <c r="F1711" s="2" t="str">
        <f t="shared" si="78"/>
        <v>v</v>
      </c>
      <c r="G1711" s="2" t="str">
        <f t="shared" si="80"/>
        <v>v</v>
      </c>
      <c r="H1711" s="2" t="str">
        <f t="shared" si="79"/>
        <v>, v</v>
      </c>
      <c r="I1711" s="2" t="str">
        <f>IF(Return!C1711=0,REPLACE(INDEX(H:H,ROW()+Return!B1711,),1,2,Return!E1711&amp;"(")&amp;")","")</f>
        <v/>
      </c>
      <c r="M1711" s="1"/>
    </row>
    <row r="1712" spans="1:13" x14ac:dyDescent="0.55000000000000004">
      <c r="A1712" s="1" t="s">
        <v>2082</v>
      </c>
      <c r="B1712" t="s">
        <v>1317</v>
      </c>
      <c r="C1712" s="2">
        <f>Return!C1712</f>
        <v>2</v>
      </c>
      <c r="D1712" s="2">
        <f>COUNTA(Argument!E1712)</f>
        <v>0</v>
      </c>
      <c r="E1712" s="2" t="str">
        <f>IF(C1712,Return!D1712,Return!E1712)</f>
        <v>v</v>
      </c>
      <c r="F1712" s="2" t="str">
        <f t="shared" si="78"/>
        <v>v</v>
      </c>
      <c r="G1712" s="2" t="str">
        <f t="shared" si="80"/>
        <v>v</v>
      </c>
      <c r="H1712" s="2" t="str">
        <f t="shared" si="79"/>
        <v>, v, v</v>
      </c>
      <c r="I1712" s="2" t="str">
        <f>IF(Return!C1712=0,REPLACE(INDEX(H:H,ROW()+Return!B1712,),1,2,Return!E1712&amp;"(")&amp;")","")</f>
        <v/>
      </c>
      <c r="M1712" s="1"/>
    </row>
    <row r="1713" spans="1:13" x14ac:dyDescent="0.55000000000000004">
      <c r="A1713" s="1" t="s">
        <v>2082</v>
      </c>
      <c r="B1713" t="s">
        <v>1318</v>
      </c>
      <c r="C1713" s="2">
        <f>Return!C1713</f>
        <v>3</v>
      </c>
      <c r="D1713" s="2">
        <f>COUNTA(Argument!E1713)</f>
        <v>1</v>
      </c>
      <c r="E1713" s="2" t="str">
        <f>IF(C1713,Return!D1713,Return!E1713)</f>
        <v>v</v>
      </c>
      <c r="F1713" s="2" t="str">
        <f t="shared" si="78"/>
        <v>v</v>
      </c>
      <c r="G1713" s="2" t="str">
        <f t="shared" si="80"/>
        <v>v</v>
      </c>
      <c r="H1713" s="2" t="str">
        <f t="shared" si="79"/>
        <v>, v, v, v</v>
      </c>
      <c r="I1713" s="2" t="str">
        <f>IF(Return!C1713=0,REPLACE(INDEX(H:H,ROW()+Return!B1713,),1,2,Return!E1713&amp;"(")&amp;")","")</f>
        <v/>
      </c>
      <c r="M1713" s="1"/>
    </row>
    <row r="1714" spans="1:13" x14ac:dyDescent="0.55000000000000004">
      <c r="A1714" s="1" t="s">
        <v>2083</v>
      </c>
      <c r="C1714" s="2">
        <f>Return!C1714</f>
        <v>0</v>
      </c>
      <c r="D1714" s="2">
        <f>COUNTA(Argument!E1714)</f>
        <v>0</v>
      </c>
      <c r="E1714" s="2" t="str">
        <f>IF(C1714,Return!D1714,Return!E1714)</f>
        <v>v</v>
      </c>
      <c r="F1714" s="2" t="str">
        <f t="shared" si="78"/>
        <v/>
      </c>
      <c r="G1714" s="2" t="str">
        <f t="shared" si="80"/>
        <v/>
      </c>
      <c r="H1714" s="2" t="str">
        <f t="shared" si="79"/>
        <v/>
      </c>
      <c r="I1714" s="2" t="str">
        <f>IF(Return!C1714=0,REPLACE(INDEX(H:H,ROW()+Return!B1714,),1,2,Return!E1714&amp;"(")&amp;")","")</f>
        <v>v(a, [a], …)</v>
      </c>
      <c r="M1714" s="1"/>
    </row>
    <row r="1715" spans="1:13" x14ac:dyDescent="0.55000000000000004">
      <c r="A1715" s="1" t="s">
        <v>2083</v>
      </c>
      <c r="B1715" t="s">
        <v>1219</v>
      </c>
      <c r="C1715" s="2">
        <f>Return!C1715</f>
        <v>1</v>
      </c>
      <c r="D1715" s="2">
        <f>COUNTA(Argument!E1715)</f>
        <v>1</v>
      </c>
      <c r="E1715" s="2" t="str">
        <f>IF(C1715,Return!D1715,Return!E1715)</f>
        <v>a</v>
      </c>
      <c r="F1715" s="2" t="str">
        <f t="shared" si="78"/>
        <v>a</v>
      </c>
      <c r="G1715" s="2" t="str">
        <f t="shared" si="80"/>
        <v>a</v>
      </c>
      <c r="H1715" s="2" t="str">
        <f t="shared" si="79"/>
        <v>, a</v>
      </c>
      <c r="I1715" s="2" t="str">
        <f>IF(Return!C1715=0,REPLACE(INDEX(H:H,ROW()+Return!B1715,),1,2,Return!E1715&amp;"(")&amp;")","")</f>
        <v/>
      </c>
      <c r="M1715" s="1"/>
    </row>
    <row r="1716" spans="1:13" x14ac:dyDescent="0.55000000000000004">
      <c r="A1716" s="1" t="s">
        <v>2083</v>
      </c>
      <c r="B1716" t="s">
        <v>1220</v>
      </c>
      <c r="C1716" s="2">
        <f>Return!C1716</f>
        <v>2</v>
      </c>
      <c r="D1716" s="2">
        <f>COUNTA(Argument!E1716)</f>
        <v>1</v>
      </c>
      <c r="E1716" s="2" t="str">
        <f>IF(C1716,Return!D1716,Return!E1716)</f>
        <v>a</v>
      </c>
      <c r="F1716" s="2" t="str">
        <f t="shared" si="78"/>
        <v>[a]</v>
      </c>
      <c r="G1716" s="2" t="str">
        <f t="shared" si="80"/>
        <v>[a]</v>
      </c>
      <c r="H1716" s="2" t="str">
        <f t="shared" si="79"/>
        <v>, a, [a]</v>
      </c>
      <c r="I1716" s="2" t="str">
        <f>IF(Return!C1716=0,REPLACE(INDEX(H:H,ROW()+Return!B1716,),1,2,Return!E1716&amp;"(")&amp;")","")</f>
        <v/>
      </c>
      <c r="M1716" s="1"/>
    </row>
    <row r="1717" spans="1:13" x14ac:dyDescent="0.55000000000000004">
      <c r="A1717" s="1" t="s">
        <v>2083</v>
      </c>
      <c r="B1717" t="s">
        <v>1214</v>
      </c>
      <c r="C1717" s="2">
        <f>Return!C1717</f>
        <v>3</v>
      </c>
      <c r="D1717" s="2">
        <f>COUNTA(Argument!E1717)</f>
        <v>1</v>
      </c>
      <c r="E1717" s="2" t="str">
        <f>IF(C1717,Return!D1717,Return!E1717)</f>
        <v>a</v>
      </c>
      <c r="F1717" s="2" t="str">
        <f t="shared" si="78"/>
        <v>[a]</v>
      </c>
      <c r="G1717" s="2" t="str">
        <f t="shared" si="80"/>
        <v>…</v>
      </c>
      <c r="H1717" s="2" t="str">
        <f t="shared" si="79"/>
        <v>, a, [a], …</v>
      </c>
      <c r="I1717" s="2" t="str">
        <f>IF(Return!C1717=0,REPLACE(INDEX(H:H,ROW()+Return!B1717,),1,2,Return!E1717&amp;"(")&amp;")","")</f>
        <v/>
      </c>
      <c r="M1717" s="1"/>
    </row>
    <row r="1718" spans="1:13" x14ac:dyDescent="0.55000000000000004">
      <c r="A1718" s="1" t="s">
        <v>2084</v>
      </c>
      <c r="C1718" s="2">
        <f>Return!C1718</f>
        <v>0</v>
      </c>
      <c r="D1718" s="2">
        <f>COUNTA(Argument!E1718)</f>
        <v>0</v>
      </c>
      <c r="E1718" s="2" t="str">
        <f>IF(C1718,Return!D1718,Return!E1718)</f>
        <v>v</v>
      </c>
      <c r="F1718" s="2" t="str">
        <f t="shared" si="78"/>
        <v/>
      </c>
      <c r="G1718" s="2" t="str">
        <f t="shared" si="80"/>
        <v/>
      </c>
      <c r="H1718" s="2" t="str">
        <f t="shared" si="79"/>
        <v/>
      </c>
      <c r="I1718" s="2" t="str">
        <f>IF(Return!C1718=0,REPLACE(INDEX(H:H,ROW()+Return!B1718,),1,2,Return!E1718&amp;"(")&amp;")","")</f>
        <v>v(a, [a], …)</v>
      </c>
      <c r="M1718" s="1"/>
    </row>
    <row r="1719" spans="1:13" x14ac:dyDescent="0.55000000000000004">
      <c r="A1719" s="1" t="s">
        <v>2084</v>
      </c>
      <c r="B1719" t="s">
        <v>1219</v>
      </c>
      <c r="C1719" s="2">
        <f>Return!C1719</f>
        <v>1</v>
      </c>
      <c r="D1719" s="2">
        <f>COUNTA(Argument!E1719)</f>
        <v>1</v>
      </c>
      <c r="E1719" s="2" t="str">
        <f>IF(C1719,Return!D1719,Return!E1719)</f>
        <v>a</v>
      </c>
      <c r="F1719" s="2" t="str">
        <f t="shared" si="78"/>
        <v>a</v>
      </c>
      <c r="G1719" s="2" t="str">
        <f t="shared" si="80"/>
        <v>a</v>
      </c>
      <c r="H1719" s="2" t="str">
        <f t="shared" si="79"/>
        <v>, a</v>
      </c>
      <c r="I1719" s="2" t="str">
        <f>IF(Return!C1719=0,REPLACE(INDEX(H:H,ROW()+Return!B1719,),1,2,Return!E1719&amp;"(")&amp;")","")</f>
        <v/>
      </c>
      <c r="M1719" s="1"/>
    </row>
    <row r="1720" spans="1:13" x14ac:dyDescent="0.55000000000000004">
      <c r="A1720" s="1" t="s">
        <v>2084</v>
      </c>
      <c r="B1720" t="s">
        <v>1220</v>
      </c>
      <c r="C1720" s="2">
        <f>Return!C1720</f>
        <v>2</v>
      </c>
      <c r="D1720" s="2">
        <f>COUNTA(Argument!E1720)</f>
        <v>1</v>
      </c>
      <c r="E1720" s="2" t="str">
        <f>IF(C1720,Return!D1720,Return!E1720)</f>
        <v>a</v>
      </c>
      <c r="F1720" s="2" t="str">
        <f t="shared" si="78"/>
        <v>[a]</v>
      </c>
      <c r="G1720" s="2" t="str">
        <f t="shared" si="80"/>
        <v>[a]</v>
      </c>
      <c r="H1720" s="2" t="str">
        <f t="shared" si="79"/>
        <v>, a, [a]</v>
      </c>
      <c r="I1720" s="2" t="str">
        <f>IF(Return!C1720=0,REPLACE(INDEX(H:H,ROW()+Return!B1720,),1,2,Return!E1720&amp;"(")&amp;")","")</f>
        <v/>
      </c>
      <c r="M1720" s="1"/>
    </row>
    <row r="1721" spans="1:13" x14ac:dyDescent="0.55000000000000004">
      <c r="A1721" s="1" t="s">
        <v>2084</v>
      </c>
      <c r="B1721" t="s">
        <v>1214</v>
      </c>
      <c r="C1721" s="2">
        <f>Return!C1721</f>
        <v>3</v>
      </c>
      <c r="D1721" s="2">
        <f>COUNTA(Argument!E1721)</f>
        <v>1</v>
      </c>
      <c r="E1721" s="2" t="str">
        <f>IF(C1721,Return!D1721,Return!E1721)</f>
        <v>a</v>
      </c>
      <c r="F1721" s="2" t="str">
        <f t="shared" si="78"/>
        <v>[a]</v>
      </c>
      <c r="G1721" s="2" t="str">
        <f t="shared" si="80"/>
        <v>…</v>
      </c>
      <c r="H1721" s="2" t="str">
        <f t="shared" si="79"/>
        <v>, a, [a], …</v>
      </c>
      <c r="I1721" s="2" t="str">
        <f>IF(Return!C1721=0,REPLACE(INDEX(H:H,ROW()+Return!B1721,),1,2,Return!E1721&amp;"(")&amp;")","")</f>
        <v/>
      </c>
      <c r="M1721" s="1"/>
    </row>
    <row r="1722" spans="1:13" x14ac:dyDescent="0.55000000000000004">
      <c r="A1722" s="1" t="s">
        <v>2085</v>
      </c>
      <c r="C1722" s="2">
        <f>Return!C1722</f>
        <v>0</v>
      </c>
      <c r="D1722" s="2">
        <f>COUNTA(Argument!E1722)</f>
        <v>0</v>
      </c>
      <c r="E1722" s="2" t="str">
        <f>IF(C1722,Return!D1722,Return!E1722)</f>
        <v>v</v>
      </c>
      <c r="F1722" s="2" t="str">
        <f t="shared" si="78"/>
        <v/>
      </c>
      <c r="G1722" s="2" t="str">
        <f t="shared" si="80"/>
        <v/>
      </c>
      <c r="H1722" s="2" t="str">
        <f t="shared" si="79"/>
        <v/>
      </c>
      <c r="I1722" s="2" t="str">
        <f>IF(Return!C1722=0,REPLACE(INDEX(H:H,ROW()+Return!B1722,),1,2,Return!E1722&amp;"(")&amp;")","")</f>
        <v>v(v, v, v, v)</v>
      </c>
      <c r="M1722" s="1"/>
    </row>
    <row r="1723" spans="1:13" x14ac:dyDescent="0.55000000000000004">
      <c r="A1723" s="1" t="s">
        <v>2085</v>
      </c>
      <c r="B1723" t="s">
        <v>1316</v>
      </c>
      <c r="C1723" s="2">
        <f>Return!C1723</f>
        <v>1</v>
      </c>
      <c r="D1723" s="2">
        <f>COUNTA(Argument!E1723)</f>
        <v>0</v>
      </c>
      <c r="E1723" s="2" t="str">
        <f>IF(C1723,Return!D1723,Return!E1723)</f>
        <v>v</v>
      </c>
      <c r="F1723" s="2" t="str">
        <f t="shared" si="78"/>
        <v>v</v>
      </c>
      <c r="G1723" s="2" t="str">
        <f t="shared" si="80"/>
        <v>v</v>
      </c>
      <c r="H1723" s="2" t="str">
        <f t="shared" si="79"/>
        <v>, v</v>
      </c>
      <c r="I1723" s="2" t="str">
        <f>IF(Return!C1723=0,REPLACE(INDEX(H:H,ROW()+Return!B1723,),1,2,Return!E1723&amp;"(")&amp;")","")</f>
        <v/>
      </c>
      <c r="M1723" s="1"/>
    </row>
    <row r="1724" spans="1:13" x14ac:dyDescent="0.55000000000000004">
      <c r="A1724" s="1" t="s">
        <v>2085</v>
      </c>
      <c r="B1724" t="s">
        <v>1339</v>
      </c>
      <c r="C1724" s="2">
        <f>Return!C1724</f>
        <v>2</v>
      </c>
      <c r="D1724" s="2">
        <f>COUNTA(Argument!E1724)</f>
        <v>0</v>
      </c>
      <c r="E1724" s="2" t="str">
        <f>IF(C1724,Return!D1724,Return!E1724)</f>
        <v>v</v>
      </c>
      <c r="F1724" s="2" t="str">
        <f t="shared" si="78"/>
        <v>v</v>
      </c>
      <c r="G1724" s="2" t="str">
        <f t="shared" si="80"/>
        <v>v</v>
      </c>
      <c r="H1724" s="2" t="str">
        <f t="shared" si="79"/>
        <v>, v, v</v>
      </c>
      <c r="I1724" s="2" t="str">
        <f>IF(Return!C1724=0,REPLACE(INDEX(H:H,ROW()+Return!B1724,),1,2,Return!E1724&amp;"(")&amp;")","")</f>
        <v/>
      </c>
      <c r="M1724" s="1"/>
    </row>
    <row r="1725" spans="1:13" x14ac:dyDescent="0.55000000000000004">
      <c r="A1725" s="1" t="s">
        <v>2085</v>
      </c>
      <c r="B1725" t="s">
        <v>1328</v>
      </c>
      <c r="C1725" s="2">
        <f>Return!C1725</f>
        <v>3</v>
      </c>
      <c r="D1725" s="2">
        <f>COUNTA(Argument!E1725)</f>
        <v>0</v>
      </c>
      <c r="E1725" s="2" t="str">
        <f>IF(C1725,Return!D1725,Return!E1725)</f>
        <v>v</v>
      </c>
      <c r="F1725" s="2" t="str">
        <f t="shared" si="78"/>
        <v>v</v>
      </c>
      <c r="G1725" s="2" t="str">
        <f t="shared" si="80"/>
        <v>v</v>
      </c>
      <c r="H1725" s="2" t="str">
        <f t="shared" si="79"/>
        <v>, v, v, v</v>
      </c>
      <c r="I1725" s="2" t="str">
        <f>IF(Return!C1725=0,REPLACE(INDEX(H:H,ROW()+Return!B1725,),1,2,Return!E1725&amp;"(")&amp;")","")</f>
        <v/>
      </c>
      <c r="M1725" s="1"/>
    </row>
    <row r="1726" spans="1:13" x14ac:dyDescent="0.55000000000000004">
      <c r="A1726" s="1" t="s">
        <v>2085</v>
      </c>
      <c r="B1726" t="s">
        <v>1325</v>
      </c>
      <c r="C1726" s="2">
        <f>Return!C1726</f>
        <v>4</v>
      </c>
      <c r="D1726" s="2">
        <f>COUNTA(Argument!E1726)</f>
        <v>1</v>
      </c>
      <c r="E1726" s="2" t="str">
        <f>IF(C1726,Return!D1726,Return!E1726)</f>
        <v>v</v>
      </c>
      <c r="F1726" s="2" t="str">
        <f t="shared" si="78"/>
        <v>v</v>
      </c>
      <c r="G1726" s="2" t="str">
        <f t="shared" si="80"/>
        <v>v</v>
      </c>
      <c r="H1726" s="2" t="str">
        <f t="shared" si="79"/>
        <v>, v, v, v, v</v>
      </c>
      <c r="I1726" s="2" t="str">
        <f>IF(Return!C1726=0,REPLACE(INDEX(H:H,ROW()+Return!B1726,),1,2,Return!E1726&amp;"(")&amp;")","")</f>
        <v/>
      </c>
      <c r="M1726" s="1"/>
    </row>
    <row r="1727" spans="1:13" x14ac:dyDescent="0.55000000000000004">
      <c r="A1727" s="1" t="s">
        <v>2086</v>
      </c>
      <c r="C1727" s="2">
        <f>Return!C1727</f>
        <v>0</v>
      </c>
      <c r="D1727" s="2">
        <f>COUNTA(Argument!E1727)</f>
        <v>0</v>
      </c>
      <c r="E1727" s="2" t="str">
        <f>IF(C1727,Return!D1727,Return!E1727)</f>
        <v>v</v>
      </c>
      <c r="F1727" s="2" t="str">
        <f t="shared" si="78"/>
        <v/>
      </c>
      <c r="G1727" s="2" t="str">
        <f t="shared" si="80"/>
        <v/>
      </c>
      <c r="H1727" s="2" t="str">
        <f t="shared" si="79"/>
        <v/>
      </c>
      <c r="I1727" s="2" t="str">
        <f>IF(Return!C1727=0,REPLACE(INDEX(H:H,ROW()+Return!B1727,),1,2,Return!E1727&amp;"(")&amp;")","")</f>
        <v>v(v, v, v)</v>
      </c>
      <c r="M1727" s="1"/>
    </row>
    <row r="1728" spans="1:13" x14ac:dyDescent="0.55000000000000004">
      <c r="A1728" s="1" t="s">
        <v>2086</v>
      </c>
      <c r="B1728" t="s">
        <v>1321</v>
      </c>
      <c r="C1728" s="2">
        <f>Return!C1728</f>
        <v>1</v>
      </c>
      <c r="D1728" s="2">
        <f>COUNTA(Argument!E1728)</f>
        <v>0</v>
      </c>
      <c r="E1728" s="2" t="str">
        <f>IF(C1728,Return!D1728,Return!E1728)</f>
        <v>v</v>
      </c>
      <c r="F1728" s="2" t="str">
        <f t="shared" si="78"/>
        <v>v</v>
      </c>
      <c r="G1728" s="2" t="str">
        <f t="shared" si="80"/>
        <v>v</v>
      </c>
      <c r="H1728" s="2" t="str">
        <f t="shared" si="79"/>
        <v>, v</v>
      </c>
      <c r="I1728" s="2" t="str">
        <f>IF(Return!C1728=0,REPLACE(INDEX(H:H,ROW()+Return!B1728,),1,2,Return!E1728&amp;"(")&amp;")","")</f>
        <v/>
      </c>
      <c r="M1728" s="1"/>
    </row>
    <row r="1729" spans="1:13" x14ac:dyDescent="0.55000000000000004">
      <c r="A1729" s="1" t="s">
        <v>2086</v>
      </c>
      <c r="B1729" t="s">
        <v>1339</v>
      </c>
      <c r="C1729" s="2">
        <f>Return!C1729</f>
        <v>2</v>
      </c>
      <c r="D1729" s="2">
        <f>COUNTA(Argument!E1729)</f>
        <v>0</v>
      </c>
      <c r="E1729" s="2" t="str">
        <f>IF(C1729,Return!D1729,Return!E1729)</f>
        <v>v</v>
      </c>
      <c r="F1729" s="2" t="str">
        <f t="shared" si="78"/>
        <v>v</v>
      </c>
      <c r="G1729" s="2" t="str">
        <f t="shared" si="80"/>
        <v>v</v>
      </c>
      <c r="H1729" s="2" t="str">
        <f t="shared" si="79"/>
        <v>, v, v</v>
      </c>
      <c r="I1729" s="2" t="str">
        <f>IF(Return!C1729=0,REPLACE(INDEX(H:H,ROW()+Return!B1729,),1,2,Return!E1729&amp;"(")&amp;")","")</f>
        <v/>
      </c>
      <c r="M1729" s="1"/>
    </row>
    <row r="1730" spans="1:13" x14ac:dyDescent="0.55000000000000004">
      <c r="A1730" s="1" t="s">
        <v>2086</v>
      </c>
      <c r="B1730" t="s">
        <v>1328</v>
      </c>
      <c r="C1730" s="2">
        <f>Return!C1730</f>
        <v>3</v>
      </c>
      <c r="D1730" s="2">
        <f>COUNTA(Argument!E1730)</f>
        <v>1</v>
      </c>
      <c r="E1730" s="2" t="str">
        <f>IF(C1730,Return!D1730,Return!E1730)</f>
        <v>v</v>
      </c>
      <c r="F1730" s="2" t="str">
        <f t="shared" si="78"/>
        <v>v</v>
      </c>
      <c r="G1730" s="2" t="str">
        <f t="shared" si="80"/>
        <v>v</v>
      </c>
      <c r="H1730" s="2" t="str">
        <f t="shared" si="79"/>
        <v>, v, v, v</v>
      </c>
      <c r="I1730" s="2" t="str">
        <f>IF(Return!C1730=0,REPLACE(INDEX(H:H,ROW()+Return!B1730,),1,2,Return!E1730&amp;"(")&amp;")","")</f>
        <v/>
      </c>
      <c r="M1730" s="1"/>
    </row>
    <row r="1731" spans="1:13" x14ac:dyDescent="0.55000000000000004">
      <c r="A1731" s="1" t="s">
        <v>2087</v>
      </c>
      <c r="C1731" s="2">
        <f>Return!C1731</f>
        <v>0</v>
      </c>
      <c r="D1731" s="2">
        <f>COUNTA(Argument!E1731)</f>
        <v>0</v>
      </c>
      <c r="E1731" s="2" t="str">
        <f>IF(C1731,Return!D1731,Return!E1731)</f>
        <v>v</v>
      </c>
      <c r="F1731" s="2" t="str">
        <f t="shared" ref="F1731:F1794" si="81">IF(C1731,IF(D1731,IF(D1730,"["&amp;E1731&amp;"]",E1731),E1731),"")</f>
        <v/>
      </c>
      <c r="G1731" s="2" t="str">
        <f t="shared" si="80"/>
        <v/>
      </c>
      <c r="H1731" s="2" t="str">
        <f t="shared" ref="H1731:H1794" si="82">IF(C1731&gt;0,H1730&amp;", "&amp;G1731,"")</f>
        <v/>
      </c>
      <c r="I1731" s="2" t="str">
        <f>IF(Return!C1731=0,REPLACE(INDEX(H:H,ROW()+Return!B1731,),1,2,Return!E1731&amp;"(")&amp;")","")</f>
        <v>v(var, v)</v>
      </c>
      <c r="M1731" s="1"/>
    </row>
    <row r="1732" spans="1:13" x14ac:dyDescent="0.55000000000000004">
      <c r="A1732" s="1" t="s">
        <v>2087</v>
      </c>
      <c r="B1732" t="s">
        <v>1230</v>
      </c>
      <c r="C1732" s="2">
        <f>Return!C1732</f>
        <v>1</v>
      </c>
      <c r="D1732" s="2">
        <f>COUNTA(Argument!E1732)</f>
        <v>0</v>
      </c>
      <c r="E1732" s="2" t="str">
        <f>IF(C1732,Return!D1732,Return!E1732)</f>
        <v>var</v>
      </c>
      <c r="F1732" s="2" t="str">
        <f t="shared" si="81"/>
        <v>var</v>
      </c>
      <c r="G1732" s="2" t="str">
        <f t="shared" ref="G1732:G1795" si="83">IF(B1732="...",IF(C1733&gt;0,"["&amp;E1732,"…"),IF(B1731=" ...",IF(C1732&gt;0,E1732&amp;"], …",F1732),F1732))</f>
        <v>var</v>
      </c>
      <c r="H1732" s="2" t="str">
        <f t="shared" si="82"/>
        <v>, var</v>
      </c>
      <c r="I1732" s="2" t="str">
        <f>IF(Return!C1732=0,REPLACE(INDEX(H:H,ROW()+Return!B1732,),1,2,Return!E1732&amp;"(")&amp;")","")</f>
        <v/>
      </c>
      <c r="M1732" s="1"/>
    </row>
    <row r="1733" spans="1:13" x14ac:dyDescent="0.55000000000000004">
      <c r="A1733" s="1" t="s">
        <v>2087</v>
      </c>
      <c r="B1733" t="s">
        <v>1352</v>
      </c>
      <c r="C1733" s="2">
        <f>Return!C1733</f>
        <v>2</v>
      </c>
      <c r="D1733" s="2">
        <f>COUNTA(Argument!E1733)</f>
        <v>1</v>
      </c>
      <c r="E1733" s="2" t="str">
        <f>IF(C1733,Return!D1733,Return!E1733)</f>
        <v>v</v>
      </c>
      <c r="F1733" s="2" t="str">
        <f t="shared" si="81"/>
        <v>v</v>
      </c>
      <c r="G1733" s="2" t="str">
        <f t="shared" si="83"/>
        <v>v</v>
      </c>
      <c r="H1733" s="2" t="str">
        <f t="shared" si="82"/>
        <v>, var, v</v>
      </c>
      <c r="I1733" s="2" t="str">
        <f>IF(Return!C1733=0,REPLACE(INDEX(H:H,ROW()+Return!B1733,),1,2,Return!E1733&amp;"(")&amp;")","")</f>
        <v/>
      </c>
      <c r="M1733" s="1"/>
    </row>
    <row r="1734" spans="1:13" x14ac:dyDescent="0.55000000000000004">
      <c r="A1734" s="1" t="s">
        <v>2088</v>
      </c>
      <c r="C1734" s="2">
        <f>Return!C1734</f>
        <v>0</v>
      </c>
      <c r="D1734" s="2">
        <f>COUNTA(Argument!E1734)</f>
        <v>0</v>
      </c>
      <c r="E1734" s="2" t="str">
        <f>IF(C1734,Return!D1734,Return!E1734)</f>
        <v>v</v>
      </c>
      <c r="F1734" s="2" t="str">
        <f t="shared" si="81"/>
        <v/>
      </c>
      <c r="G1734" s="2" t="str">
        <f t="shared" si="83"/>
        <v/>
      </c>
      <c r="H1734" s="2" t="str">
        <f t="shared" si="82"/>
        <v/>
      </c>
      <c r="I1734" s="2" t="str">
        <f>IF(Return!C1734=0,REPLACE(INDEX(H:H,ROW()+Return!B1734,),1,2,Return!E1734&amp;"(")&amp;")","")</f>
        <v>v(var, v)</v>
      </c>
      <c r="M1734" s="1"/>
    </row>
    <row r="1735" spans="1:13" x14ac:dyDescent="0.55000000000000004">
      <c r="A1735" s="1" t="s">
        <v>2088</v>
      </c>
      <c r="B1735" t="s">
        <v>1230</v>
      </c>
      <c r="C1735" s="2">
        <f>Return!C1735</f>
        <v>1</v>
      </c>
      <c r="D1735" s="2">
        <f>COUNTA(Argument!E1735)</f>
        <v>0</v>
      </c>
      <c r="E1735" s="2" t="str">
        <f>IF(C1735,Return!D1735,Return!E1735)</f>
        <v>var</v>
      </c>
      <c r="F1735" s="2" t="str">
        <f t="shared" si="81"/>
        <v>var</v>
      </c>
      <c r="G1735" s="2" t="str">
        <f t="shared" si="83"/>
        <v>var</v>
      </c>
      <c r="H1735" s="2" t="str">
        <f t="shared" si="82"/>
        <v>, var</v>
      </c>
      <c r="I1735" s="2" t="str">
        <f>IF(Return!C1735=0,REPLACE(INDEX(H:H,ROW()+Return!B1735,),1,2,Return!E1735&amp;"(")&amp;")","")</f>
        <v/>
      </c>
      <c r="M1735" s="1"/>
    </row>
    <row r="1736" spans="1:13" x14ac:dyDescent="0.55000000000000004">
      <c r="A1736" s="1" t="s">
        <v>2088</v>
      </c>
      <c r="B1736" t="s">
        <v>1352</v>
      </c>
      <c r="C1736" s="2">
        <f>Return!C1736</f>
        <v>2</v>
      </c>
      <c r="D1736" s="2">
        <f>COUNTA(Argument!E1736)</f>
        <v>1</v>
      </c>
      <c r="E1736" s="2" t="str">
        <f>IF(C1736,Return!D1736,Return!E1736)</f>
        <v>v</v>
      </c>
      <c r="F1736" s="2" t="str">
        <f t="shared" si="81"/>
        <v>v</v>
      </c>
      <c r="G1736" s="2" t="str">
        <f t="shared" si="83"/>
        <v>v</v>
      </c>
      <c r="H1736" s="2" t="str">
        <f t="shared" si="82"/>
        <v>, var, v</v>
      </c>
      <c r="I1736" s="2" t="str">
        <f>IF(Return!C1736=0,REPLACE(INDEX(H:H,ROW()+Return!B1736,),1,2,Return!E1736&amp;"(")&amp;")","")</f>
        <v/>
      </c>
      <c r="M1736" s="1"/>
    </row>
    <row r="1737" spans="1:13" x14ac:dyDescent="0.55000000000000004">
      <c r="A1737" s="1" t="s">
        <v>2089</v>
      </c>
      <c r="C1737" s="2">
        <f>Return!C1737</f>
        <v>0</v>
      </c>
      <c r="D1737" s="2">
        <f>COUNTA(Argument!E1737)</f>
        <v>0</v>
      </c>
      <c r="E1737" s="2" t="str">
        <f>IF(C1737,Return!D1737,Return!E1737)</f>
        <v>v</v>
      </c>
      <c r="F1737" s="2" t="str">
        <f t="shared" si="81"/>
        <v/>
      </c>
      <c r="G1737" s="2" t="str">
        <f t="shared" si="83"/>
        <v/>
      </c>
      <c r="H1737" s="2" t="str">
        <f t="shared" si="82"/>
        <v/>
      </c>
      <c r="I1737" s="2" t="str">
        <f>IF(Return!C1737=0,REPLACE(INDEX(H:H,ROW()+Return!B1737,),1,2,Return!E1737&amp;"(")&amp;")","")</f>
        <v>v(var, v, [v])</v>
      </c>
      <c r="M1737" s="1"/>
    </row>
    <row r="1738" spans="1:13" x14ac:dyDescent="0.55000000000000004">
      <c r="A1738" s="1" t="s">
        <v>2089</v>
      </c>
      <c r="B1738" t="s">
        <v>1230</v>
      </c>
      <c r="C1738" s="2">
        <f>Return!C1738</f>
        <v>1</v>
      </c>
      <c r="D1738" s="2">
        <f>COUNTA(Argument!E1738)</f>
        <v>0</v>
      </c>
      <c r="E1738" s="2" t="str">
        <f>IF(C1738,Return!D1738,Return!E1738)</f>
        <v>var</v>
      </c>
      <c r="F1738" s="2" t="str">
        <f t="shared" si="81"/>
        <v>var</v>
      </c>
      <c r="G1738" s="2" t="str">
        <f t="shared" si="83"/>
        <v>var</v>
      </c>
      <c r="H1738" s="2" t="str">
        <f t="shared" si="82"/>
        <v>, var</v>
      </c>
      <c r="I1738" s="2" t="str">
        <f>IF(Return!C1738=0,REPLACE(INDEX(H:H,ROW()+Return!B1738,),1,2,Return!E1738&amp;"(")&amp;")","")</f>
        <v/>
      </c>
      <c r="M1738" s="1"/>
    </row>
    <row r="1739" spans="1:13" x14ac:dyDescent="0.55000000000000004">
      <c r="A1739" s="1" t="s">
        <v>2089</v>
      </c>
      <c r="B1739" t="s">
        <v>1316</v>
      </c>
      <c r="C1739" s="2">
        <f>Return!C1739</f>
        <v>2</v>
      </c>
      <c r="D1739" s="2">
        <f>COUNTA(Argument!E1739)</f>
        <v>1</v>
      </c>
      <c r="E1739" s="2" t="str">
        <f>IF(C1739,Return!D1739,Return!E1739)</f>
        <v>v</v>
      </c>
      <c r="F1739" s="2" t="str">
        <f t="shared" si="81"/>
        <v>v</v>
      </c>
      <c r="G1739" s="2" t="str">
        <f t="shared" si="83"/>
        <v>v</v>
      </c>
      <c r="H1739" s="2" t="str">
        <f t="shared" si="82"/>
        <v>, var, v</v>
      </c>
      <c r="I1739" s="2" t="str">
        <f>IF(Return!C1739=0,REPLACE(INDEX(H:H,ROW()+Return!B1739,),1,2,Return!E1739&amp;"(")&amp;")","")</f>
        <v/>
      </c>
      <c r="M1739" s="1"/>
    </row>
    <row r="1740" spans="1:13" x14ac:dyDescent="0.55000000000000004">
      <c r="A1740" s="1" t="s">
        <v>2089</v>
      </c>
      <c r="B1740" t="s">
        <v>1334</v>
      </c>
      <c r="C1740" s="2">
        <f>Return!C1740</f>
        <v>3</v>
      </c>
      <c r="D1740" s="2">
        <f>COUNTA(Argument!E1740)</f>
        <v>1</v>
      </c>
      <c r="E1740" s="2" t="str">
        <f>IF(C1740,Return!D1740,Return!E1740)</f>
        <v>v</v>
      </c>
      <c r="F1740" s="2" t="str">
        <f t="shared" si="81"/>
        <v>[v]</v>
      </c>
      <c r="G1740" s="2" t="str">
        <f t="shared" si="83"/>
        <v>[v]</v>
      </c>
      <c r="H1740" s="2" t="str">
        <f t="shared" si="82"/>
        <v>, var, v, [v]</v>
      </c>
      <c r="I1740" s="2" t="str">
        <f>IF(Return!C1740=0,REPLACE(INDEX(H:H,ROW()+Return!B1740,),1,2,Return!E1740&amp;"(")&amp;")","")</f>
        <v/>
      </c>
      <c r="M1740" s="1"/>
    </row>
    <row r="1741" spans="1:13" x14ac:dyDescent="0.55000000000000004">
      <c r="A1741" s="1" t="s">
        <v>2090</v>
      </c>
      <c r="C1741" s="2">
        <f>Return!C1741</f>
        <v>0</v>
      </c>
      <c r="D1741" s="2">
        <f>COUNTA(Argument!E1741)</f>
        <v>0</v>
      </c>
      <c r="E1741" s="2" t="str">
        <f>IF(C1741,Return!D1741,Return!E1741)</f>
        <v>v</v>
      </c>
      <c r="F1741" s="2" t="str">
        <f t="shared" si="81"/>
        <v/>
      </c>
      <c r="G1741" s="2" t="str">
        <f t="shared" si="83"/>
        <v/>
      </c>
      <c r="H1741" s="2" t="str">
        <f t="shared" si="82"/>
        <v/>
      </c>
      <c r="I1741" s="2" t="str">
        <f>IF(Return!C1741=0,REPLACE(INDEX(H:H,ROW()+Return!B1741,),1,2,Return!E1741&amp;"(")&amp;")","")</f>
        <v>v(var, v, [v])</v>
      </c>
      <c r="M1741" s="1"/>
    </row>
    <row r="1742" spans="1:13" x14ac:dyDescent="0.55000000000000004">
      <c r="A1742" s="1" t="s">
        <v>2090</v>
      </c>
      <c r="B1742" t="s">
        <v>1230</v>
      </c>
      <c r="C1742" s="2">
        <f>Return!C1742</f>
        <v>1</v>
      </c>
      <c r="D1742" s="2">
        <f>COUNTA(Argument!E1742)</f>
        <v>0</v>
      </c>
      <c r="E1742" s="2" t="str">
        <f>IF(C1742,Return!D1742,Return!E1742)</f>
        <v>var</v>
      </c>
      <c r="F1742" s="2" t="str">
        <f t="shared" si="81"/>
        <v>var</v>
      </c>
      <c r="G1742" s="2" t="str">
        <f t="shared" si="83"/>
        <v>var</v>
      </c>
      <c r="H1742" s="2" t="str">
        <f t="shared" si="82"/>
        <v>, var</v>
      </c>
      <c r="I1742" s="2" t="str">
        <f>IF(Return!C1742=0,REPLACE(INDEX(H:H,ROW()+Return!B1742,),1,2,Return!E1742&amp;"(")&amp;")","")</f>
        <v/>
      </c>
      <c r="M1742" s="1"/>
    </row>
    <row r="1743" spans="1:13" x14ac:dyDescent="0.55000000000000004">
      <c r="A1743" s="1" t="s">
        <v>2090</v>
      </c>
      <c r="B1743" t="s">
        <v>1316</v>
      </c>
      <c r="C1743" s="2">
        <f>Return!C1743</f>
        <v>2</v>
      </c>
      <c r="D1743" s="2">
        <f>COUNTA(Argument!E1743)</f>
        <v>1</v>
      </c>
      <c r="E1743" s="2" t="str">
        <f>IF(C1743,Return!D1743,Return!E1743)</f>
        <v>v</v>
      </c>
      <c r="F1743" s="2" t="str">
        <f t="shared" si="81"/>
        <v>v</v>
      </c>
      <c r="G1743" s="2" t="str">
        <f t="shared" si="83"/>
        <v>v</v>
      </c>
      <c r="H1743" s="2" t="str">
        <f t="shared" si="82"/>
        <v>, var, v</v>
      </c>
      <c r="I1743" s="2" t="str">
        <f>IF(Return!C1743=0,REPLACE(INDEX(H:H,ROW()+Return!B1743,),1,2,Return!E1743&amp;"(")&amp;")","")</f>
        <v/>
      </c>
      <c r="M1743" s="1"/>
    </row>
    <row r="1744" spans="1:13" x14ac:dyDescent="0.55000000000000004">
      <c r="A1744" s="1" t="s">
        <v>2090</v>
      </c>
      <c r="B1744" t="s">
        <v>1334</v>
      </c>
      <c r="C1744" s="2">
        <f>Return!C1744</f>
        <v>3</v>
      </c>
      <c r="D1744" s="2">
        <f>COUNTA(Argument!E1744)</f>
        <v>1</v>
      </c>
      <c r="E1744" s="2" t="str">
        <f>IF(C1744,Return!D1744,Return!E1744)</f>
        <v>v</v>
      </c>
      <c r="F1744" s="2" t="str">
        <f t="shared" si="81"/>
        <v>[v]</v>
      </c>
      <c r="G1744" s="2" t="str">
        <f t="shared" si="83"/>
        <v>[v]</v>
      </c>
      <c r="H1744" s="2" t="str">
        <f t="shared" si="82"/>
        <v>, var, v, [v]</v>
      </c>
      <c r="I1744" s="2" t="str">
        <f>IF(Return!C1744=0,REPLACE(INDEX(H:H,ROW()+Return!B1744,),1,2,Return!E1744&amp;"(")&amp;")","")</f>
        <v/>
      </c>
      <c r="M1744" s="1"/>
    </row>
    <row r="1745" spans="1:13" x14ac:dyDescent="0.55000000000000004">
      <c r="A1745" s="1" t="s">
        <v>2091</v>
      </c>
      <c r="C1745" s="2">
        <f>Return!C1745</f>
        <v>0</v>
      </c>
      <c r="D1745" s="2">
        <f>COUNTA(Argument!E1745)</f>
        <v>0</v>
      </c>
      <c r="E1745" s="2" t="str">
        <f>IF(C1745,Return!D1745,Return!E1745)</f>
        <v>v</v>
      </c>
      <c r="F1745" s="2" t="str">
        <f t="shared" si="81"/>
        <v/>
      </c>
      <c r="G1745" s="2" t="str">
        <f t="shared" si="83"/>
        <v/>
      </c>
      <c r="H1745" s="2" t="str">
        <f t="shared" si="82"/>
        <v/>
      </c>
      <c r="I1745" s="2" t="str">
        <f>IF(Return!C1745=0,REPLACE(INDEX(H:H,ROW()+Return!B1745,),1,2,Return!E1745&amp;"(")&amp;")","")</f>
        <v>v(v, v, v)</v>
      </c>
      <c r="M1745" s="1"/>
    </row>
    <row r="1746" spans="1:13" x14ac:dyDescent="0.55000000000000004">
      <c r="A1746" s="1" t="s">
        <v>2091</v>
      </c>
      <c r="B1746" t="s">
        <v>1316</v>
      </c>
      <c r="C1746" s="2">
        <f>Return!C1746</f>
        <v>1</v>
      </c>
      <c r="D1746" s="2">
        <f>COUNTA(Argument!E1746)</f>
        <v>0</v>
      </c>
      <c r="E1746" s="2" t="str">
        <f>IF(C1746,Return!D1746,Return!E1746)</f>
        <v>v</v>
      </c>
      <c r="F1746" s="2" t="str">
        <f t="shared" si="81"/>
        <v>v</v>
      </c>
      <c r="G1746" s="2" t="str">
        <f t="shared" si="83"/>
        <v>v</v>
      </c>
      <c r="H1746" s="2" t="str">
        <f t="shared" si="82"/>
        <v>, v</v>
      </c>
      <c r="I1746" s="2" t="str">
        <f>IF(Return!C1746=0,REPLACE(INDEX(H:H,ROW()+Return!B1746,),1,2,Return!E1746&amp;"(")&amp;")","")</f>
        <v/>
      </c>
      <c r="M1746" s="1"/>
    </row>
    <row r="1747" spans="1:13" x14ac:dyDescent="0.55000000000000004">
      <c r="A1747" s="1" t="s">
        <v>2091</v>
      </c>
      <c r="B1747" t="s">
        <v>1339</v>
      </c>
      <c r="C1747" s="2">
        <f>Return!C1747</f>
        <v>2</v>
      </c>
      <c r="D1747" s="2">
        <f>COUNTA(Argument!E1747)</f>
        <v>0</v>
      </c>
      <c r="E1747" s="2" t="str">
        <f>IF(C1747,Return!D1747,Return!E1747)</f>
        <v>v</v>
      </c>
      <c r="F1747" s="2" t="str">
        <f t="shared" si="81"/>
        <v>v</v>
      </c>
      <c r="G1747" s="2" t="str">
        <f t="shared" si="83"/>
        <v>v</v>
      </c>
      <c r="H1747" s="2" t="str">
        <f t="shared" si="82"/>
        <v>, v, v</v>
      </c>
      <c r="I1747" s="2" t="str">
        <f>IF(Return!C1747=0,REPLACE(INDEX(H:H,ROW()+Return!B1747,),1,2,Return!E1747&amp;"(")&amp;")","")</f>
        <v/>
      </c>
      <c r="M1747" s="1"/>
    </row>
    <row r="1748" spans="1:13" x14ac:dyDescent="0.55000000000000004">
      <c r="A1748" s="1" t="s">
        <v>2091</v>
      </c>
      <c r="B1748" t="s">
        <v>1325</v>
      </c>
      <c r="C1748" s="2">
        <f>Return!C1748</f>
        <v>3</v>
      </c>
      <c r="D1748" s="2">
        <f>COUNTA(Argument!E1748)</f>
        <v>1</v>
      </c>
      <c r="E1748" s="2" t="str">
        <f>IF(C1748,Return!D1748,Return!E1748)</f>
        <v>v</v>
      </c>
      <c r="F1748" s="2" t="str">
        <f t="shared" si="81"/>
        <v>v</v>
      </c>
      <c r="G1748" s="2" t="str">
        <f t="shared" si="83"/>
        <v>v</v>
      </c>
      <c r="H1748" s="2" t="str">
        <f t="shared" si="82"/>
        <v>, v, v, v</v>
      </c>
      <c r="I1748" s="2" t="str">
        <f>IF(Return!C1748=0,REPLACE(INDEX(H:H,ROW()+Return!B1748,),1,2,Return!E1748&amp;"(")&amp;")","")</f>
        <v/>
      </c>
      <c r="M1748" s="1"/>
    </row>
    <row r="1749" spans="1:13" x14ac:dyDescent="0.55000000000000004">
      <c r="A1749" s="1" t="s">
        <v>2092</v>
      </c>
      <c r="C1749" s="2">
        <f>Return!C1749</f>
        <v>0</v>
      </c>
      <c r="D1749" s="2">
        <f>COUNTA(Argument!E1749)</f>
        <v>0</v>
      </c>
      <c r="E1749" s="2" t="str">
        <f>IF(C1749,Return!D1749,Return!E1749)</f>
        <v>v</v>
      </c>
      <c r="F1749" s="2" t="str">
        <f t="shared" si="81"/>
        <v/>
      </c>
      <c r="G1749" s="2" t="str">
        <f t="shared" si="83"/>
        <v/>
      </c>
      <c r="H1749" s="2" t="str">
        <f t="shared" si="82"/>
        <v/>
      </c>
      <c r="I1749" s="2" t="str">
        <f>IF(Return!C1749=0,REPLACE(INDEX(H:H,ROW()+Return!B1749,),1,2,Return!E1749&amp;"(")&amp;")","")</f>
        <v>v(var, v)</v>
      </c>
      <c r="M1749" s="1"/>
    </row>
    <row r="1750" spans="1:13" x14ac:dyDescent="0.55000000000000004">
      <c r="A1750" s="1" t="s">
        <v>2092</v>
      </c>
      <c r="B1750" t="s">
        <v>1230</v>
      </c>
      <c r="C1750" s="2">
        <f>Return!C1750</f>
        <v>1</v>
      </c>
      <c r="D1750" s="2">
        <f>COUNTA(Argument!E1750)</f>
        <v>0</v>
      </c>
      <c r="E1750" s="2" t="str">
        <f>IF(C1750,Return!D1750,Return!E1750)</f>
        <v>var</v>
      </c>
      <c r="F1750" s="2" t="str">
        <f t="shared" si="81"/>
        <v>var</v>
      </c>
      <c r="G1750" s="2" t="str">
        <f t="shared" si="83"/>
        <v>var</v>
      </c>
      <c r="H1750" s="2" t="str">
        <f t="shared" si="82"/>
        <v>, var</v>
      </c>
      <c r="I1750" s="2" t="str">
        <f>IF(Return!C1750=0,REPLACE(INDEX(H:H,ROW()+Return!B1750,),1,2,Return!E1750&amp;"(")&amp;")","")</f>
        <v/>
      </c>
      <c r="M1750" s="1"/>
    </row>
    <row r="1751" spans="1:13" x14ac:dyDescent="0.55000000000000004">
      <c r="A1751" s="1" t="s">
        <v>2092</v>
      </c>
      <c r="B1751" t="s">
        <v>1353</v>
      </c>
      <c r="C1751" s="2">
        <f>Return!C1751</f>
        <v>2</v>
      </c>
      <c r="D1751" s="2">
        <f>COUNTA(Argument!E1751)</f>
        <v>1</v>
      </c>
      <c r="E1751" s="2" t="str">
        <f>IF(C1751,Return!D1751,Return!E1751)</f>
        <v>v</v>
      </c>
      <c r="F1751" s="2" t="str">
        <f t="shared" si="81"/>
        <v>v</v>
      </c>
      <c r="G1751" s="2" t="str">
        <f t="shared" si="83"/>
        <v>v</v>
      </c>
      <c r="H1751" s="2" t="str">
        <f t="shared" si="82"/>
        <v>, var, v</v>
      </c>
      <c r="I1751" s="2" t="str">
        <f>IF(Return!C1751=0,REPLACE(INDEX(H:H,ROW()+Return!B1751,),1,2,Return!E1751&amp;"(")&amp;")","")</f>
        <v/>
      </c>
      <c r="M1751" s="1"/>
    </row>
    <row r="1752" spans="1:13" x14ac:dyDescent="0.55000000000000004">
      <c r="A1752" s="1" t="s">
        <v>2093</v>
      </c>
      <c r="C1752" s="2">
        <f>Return!C1752</f>
        <v>0</v>
      </c>
      <c r="D1752" s="2">
        <f>COUNTA(Argument!E1752)</f>
        <v>0</v>
      </c>
      <c r="E1752" s="2" t="str">
        <f>IF(C1752,Return!D1752,Return!E1752)</f>
        <v>v</v>
      </c>
      <c r="F1752" s="2" t="str">
        <f t="shared" si="81"/>
        <v/>
      </c>
      <c r="G1752" s="2" t="str">
        <f t="shared" si="83"/>
        <v/>
      </c>
      <c r="H1752" s="2" t="str">
        <f t="shared" si="82"/>
        <v/>
      </c>
      <c r="I1752" s="2" t="str">
        <f>IF(Return!C1752=0,REPLACE(INDEX(H:H,ROW()+Return!B1752,),1,2,Return!E1752&amp;"(")&amp;")","")</f>
        <v>v(var, v)</v>
      </c>
      <c r="M1752" s="1"/>
    </row>
    <row r="1753" spans="1:13" x14ac:dyDescent="0.55000000000000004">
      <c r="A1753" s="1" t="s">
        <v>2093</v>
      </c>
      <c r="B1753" t="s">
        <v>1230</v>
      </c>
      <c r="C1753" s="2">
        <f>Return!C1753</f>
        <v>1</v>
      </c>
      <c r="D1753" s="2">
        <f>COUNTA(Argument!E1753)</f>
        <v>0</v>
      </c>
      <c r="E1753" s="2" t="str">
        <f>IF(C1753,Return!D1753,Return!E1753)</f>
        <v>var</v>
      </c>
      <c r="F1753" s="2" t="str">
        <f t="shared" si="81"/>
        <v>var</v>
      </c>
      <c r="G1753" s="2" t="str">
        <f t="shared" si="83"/>
        <v>var</v>
      </c>
      <c r="H1753" s="2" t="str">
        <f t="shared" si="82"/>
        <v>, var</v>
      </c>
      <c r="I1753" s="2" t="str">
        <f>IF(Return!C1753=0,REPLACE(INDEX(H:H,ROW()+Return!B1753,),1,2,Return!E1753&amp;"(")&amp;")","")</f>
        <v/>
      </c>
      <c r="M1753" s="1"/>
    </row>
    <row r="1754" spans="1:13" x14ac:dyDescent="0.55000000000000004">
      <c r="A1754" s="1" t="s">
        <v>2093</v>
      </c>
      <c r="B1754" t="s">
        <v>1353</v>
      </c>
      <c r="C1754" s="2">
        <f>Return!C1754</f>
        <v>2</v>
      </c>
      <c r="D1754" s="2">
        <f>COUNTA(Argument!E1754)</f>
        <v>1</v>
      </c>
      <c r="E1754" s="2" t="str">
        <f>IF(C1754,Return!D1754,Return!E1754)</f>
        <v>v</v>
      </c>
      <c r="F1754" s="2" t="str">
        <f t="shared" si="81"/>
        <v>v</v>
      </c>
      <c r="G1754" s="2" t="str">
        <f t="shared" si="83"/>
        <v>v</v>
      </c>
      <c r="H1754" s="2" t="str">
        <f t="shared" si="82"/>
        <v>, var, v</v>
      </c>
      <c r="I1754" s="2" t="str">
        <f>IF(Return!C1754=0,REPLACE(INDEX(H:H,ROW()+Return!B1754,),1,2,Return!E1754&amp;"(")&amp;")","")</f>
        <v/>
      </c>
      <c r="M1754" s="1"/>
    </row>
    <row r="1755" spans="1:13" x14ac:dyDescent="0.55000000000000004">
      <c r="A1755" s="1" t="s">
        <v>2094</v>
      </c>
      <c r="C1755" s="2">
        <f>Return!C1755</f>
        <v>0</v>
      </c>
      <c r="D1755" s="2">
        <f>COUNTA(Argument!E1755)</f>
        <v>0</v>
      </c>
      <c r="E1755" s="2" t="str">
        <f>IF(C1755,Return!D1755,Return!E1755)</f>
        <v>v</v>
      </c>
      <c r="F1755" s="2" t="str">
        <f t="shared" si="81"/>
        <v/>
      </c>
      <c r="G1755" s="2" t="str">
        <f t="shared" si="83"/>
        <v/>
      </c>
      <c r="H1755" s="2" t="str">
        <f t="shared" si="82"/>
        <v/>
      </c>
      <c r="I1755" s="2" t="str">
        <f>IF(Return!C1755=0,REPLACE(INDEX(H:H,ROW()+Return!B1755,),1,2,Return!E1755&amp;"(")&amp;")","")</f>
        <v>v(v, r, [v])</v>
      </c>
      <c r="M1755" s="1"/>
    </row>
    <row r="1756" spans="1:13" x14ac:dyDescent="0.55000000000000004">
      <c r="A1756" s="1" t="s">
        <v>2094</v>
      </c>
      <c r="B1756" t="s">
        <v>1223</v>
      </c>
      <c r="C1756" s="2">
        <f>Return!C1756</f>
        <v>1</v>
      </c>
      <c r="D1756" s="2">
        <f>COUNTA(Argument!E1756)</f>
        <v>0</v>
      </c>
      <c r="E1756" s="2" t="str">
        <f>IF(C1756,Return!D1756,Return!E1756)</f>
        <v>v</v>
      </c>
      <c r="F1756" s="2" t="str">
        <f t="shared" si="81"/>
        <v>v</v>
      </c>
      <c r="G1756" s="2" t="str">
        <f t="shared" si="83"/>
        <v>v</v>
      </c>
      <c r="H1756" s="2" t="str">
        <f t="shared" si="82"/>
        <v>, v</v>
      </c>
      <c r="I1756" s="2" t="str">
        <f>IF(Return!C1756=0,REPLACE(INDEX(H:H,ROW()+Return!B1756,),1,2,Return!E1756&amp;"(")&amp;")","")</f>
        <v/>
      </c>
      <c r="M1756" s="1"/>
    </row>
    <row r="1757" spans="1:13" x14ac:dyDescent="0.55000000000000004">
      <c r="A1757" s="1" t="s">
        <v>2094</v>
      </c>
      <c r="B1757" t="s">
        <v>1301</v>
      </c>
      <c r="C1757" s="2">
        <f>Return!C1757</f>
        <v>2</v>
      </c>
      <c r="D1757" s="2">
        <f>COUNTA(Argument!E1757)</f>
        <v>1</v>
      </c>
      <c r="E1757" s="2" t="str">
        <f>IF(C1757,Return!D1757,Return!E1757)</f>
        <v>r</v>
      </c>
      <c r="F1757" s="2" t="str">
        <f t="shared" si="81"/>
        <v>r</v>
      </c>
      <c r="G1757" s="2" t="str">
        <f t="shared" si="83"/>
        <v>r</v>
      </c>
      <c r="H1757" s="2" t="str">
        <f t="shared" si="82"/>
        <v>, v, r</v>
      </c>
      <c r="I1757" s="2" t="str">
        <f>IF(Return!C1757=0,REPLACE(INDEX(H:H,ROW()+Return!B1757,),1,2,Return!E1757&amp;"(")&amp;")","")</f>
        <v/>
      </c>
      <c r="M1757" s="1"/>
    </row>
    <row r="1758" spans="1:13" x14ac:dyDescent="0.55000000000000004">
      <c r="A1758" s="1" t="s">
        <v>2094</v>
      </c>
      <c r="B1758" t="s">
        <v>1302</v>
      </c>
      <c r="C1758" s="2">
        <f>Return!C1758</f>
        <v>3</v>
      </c>
      <c r="D1758" s="2">
        <f>COUNTA(Argument!E1758)</f>
        <v>1</v>
      </c>
      <c r="E1758" s="2" t="str">
        <f>IF(C1758,Return!D1758,Return!E1758)</f>
        <v>v</v>
      </c>
      <c r="F1758" s="2" t="str">
        <f t="shared" si="81"/>
        <v>[v]</v>
      </c>
      <c r="G1758" s="2" t="str">
        <f t="shared" si="83"/>
        <v>[v]</v>
      </c>
      <c r="H1758" s="2" t="str">
        <f t="shared" si="82"/>
        <v>, v, r, [v]</v>
      </c>
      <c r="I1758" s="2" t="str">
        <f>IF(Return!C1758=0,REPLACE(INDEX(H:H,ROW()+Return!B1758,),1,2,Return!E1758&amp;"(")&amp;")","")</f>
        <v/>
      </c>
      <c r="M1758" s="1"/>
    </row>
    <row r="1759" spans="1:13" x14ac:dyDescent="0.55000000000000004">
      <c r="A1759" s="1" t="s">
        <v>2095</v>
      </c>
      <c r="C1759" s="2">
        <f>Return!C1759</f>
        <v>0</v>
      </c>
      <c r="D1759" s="2">
        <f>COUNTA(Argument!E1759)</f>
        <v>0</v>
      </c>
      <c r="E1759" s="2" t="str">
        <f>IF(C1759,Return!D1759,Return!E1759)</f>
        <v>v</v>
      </c>
      <c r="F1759" s="2" t="str">
        <f t="shared" si="81"/>
        <v/>
      </c>
      <c r="G1759" s="2" t="str">
        <f t="shared" si="83"/>
        <v/>
      </c>
      <c r="H1759" s="2" t="str">
        <f t="shared" si="82"/>
        <v/>
      </c>
      <c r="I1759" s="2" t="str">
        <f>IF(Return!C1759=0,REPLACE(INDEX(H:H,ROW()+Return!B1759,),1,2,Return!E1759&amp;"(")&amp;")","")</f>
        <v>v(v, r, [v])</v>
      </c>
      <c r="M1759" s="1"/>
    </row>
    <row r="1760" spans="1:13" x14ac:dyDescent="0.55000000000000004">
      <c r="A1760" s="1" t="s">
        <v>2095</v>
      </c>
      <c r="B1760" t="s">
        <v>1223</v>
      </c>
      <c r="C1760" s="2">
        <f>Return!C1760</f>
        <v>1</v>
      </c>
      <c r="D1760" s="2">
        <f>COUNTA(Argument!E1760)</f>
        <v>0</v>
      </c>
      <c r="E1760" s="2" t="str">
        <f>IF(C1760,Return!D1760,Return!E1760)</f>
        <v>v</v>
      </c>
      <c r="F1760" s="2" t="str">
        <f t="shared" si="81"/>
        <v>v</v>
      </c>
      <c r="G1760" s="2" t="str">
        <f t="shared" si="83"/>
        <v>v</v>
      </c>
      <c r="H1760" s="2" t="str">
        <f t="shared" si="82"/>
        <v>, v</v>
      </c>
      <c r="I1760" s="2" t="str">
        <f>IF(Return!C1760=0,REPLACE(INDEX(H:H,ROW()+Return!B1760,),1,2,Return!E1760&amp;"(")&amp;")","")</f>
        <v/>
      </c>
      <c r="M1760" s="1"/>
    </row>
    <row r="1761" spans="1:13" x14ac:dyDescent="0.55000000000000004">
      <c r="A1761" s="1" t="s">
        <v>2095</v>
      </c>
      <c r="B1761" t="s">
        <v>1301</v>
      </c>
      <c r="C1761" s="2">
        <f>Return!C1761</f>
        <v>2</v>
      </c>
      <c r="D1761" s="2">
        <f>COUNTA(Argument!E1761)</f>
        <v>1</v>
      </c>
      <c r="E1761" s="2" t="str">
        <f>IF(C1761,Return!D1761,Return!E1761)</f>
        <v>r</v>
      </c>
      <c r="F1761" s="2" t="str">
        <f t="shared" si="81"/>
        <v>r</v>
      </c>
      <c r="G1761" s="2" t="str">
        <f t="shared" si="83"/>
        <v>r</v>
      </c>
      <c r="H1761" s="2" t="str">
        <f t="shared" si="82"/>
        <v>, v, r</v>
      </c>
      <c r="I1761" s="2" t="str">
        <f>IF(Return!C1761=0,REPLACE(INDEX(H:H,ROW()+Return!B1761,),1,2,Return!E1761&amp;"(")&amp;")","")</f>
        <v/>
      </c>
      <c r="M1761" s="1"/>
    </row>
    <row r="1762" spans="1:13" x14ac:dyDescent="0.55000000000000004">
      <c r="A1762" s="1" t="s">
        <v>2095</v>
      </c>
      <c r="B1762" t="s">
        <v>1302</v>
      </c>
      <c r="C1762" s="2">
        <f>Return!C1762</f>
        <v>3</v>
      </c>
      <c r="D1762" s="2">
        <f>COUNTA(Argument!E1762)</f>
        <v>1</v>
      </c>
      <c r="E1762" s="2" t="str">
        <f>IF(C1762,Return!D1762,Return!E1762)</f>
        <v>v</v>
      </c>
      <c r="F1762" s="2" t="str">
        <f t="shared" si="81"/>
        <v>[v]</v>
      </c>
      <c r="G1762" s="2" t="str">
        <f t="shared" si="83"/>
        <v>[v]</v>
      </c>
      <c r="H1762" s="2" t="str">
        <f t="shared" si="82"/>
        <v>, v, r, [v]</v>
      </c>
      <c r="I1762" s="2" t="str">
        <f>IF(Return!C1762=0,REPLACE(INDEX(H:H,ROW()+Return!B1762,),1,2,Return!E1762&amp;"(")&amp;")","")</f>
        <v/>
      </c>
      <c r="M1762" s="1"/>
    </row>
    <row r="1763" spans="1:13" x14ac:dyDescent="0.55000000000000004">
      <c r="A1763" s="1" t="s">
        <v>2096</v>
      </c>
      <c r="C1763" s="2">
        <f>Return!C1763</f>
        <v>0</v>
      </c>
      <c r="D1763" s="2">
        <f>COUNTA(Argument!E1763)</f>
        <v>0</v>
      </c>
      <c r="E1763" s="2" t="str">
        <f>IF(C1763,Return!D1763,Return!E1763)</f>
        <v>v</v>
      </c>
      <c r="F1763" s="2" t="str">
        <f t="shared" si="81"/>
        <v/>
      </c>
      <c r="G1763" s="2" t="str">
        <f t="shared" si="83"/>
        <v/>
      </c>
      <c r="H1763" s="2" t="str">
        <f t="shared" si="82"/>
        <v/>
      </c>
      <c r="I1763" s="2" t="str">
        <f>IF(Return!C1763=0,REPLACE(INDEX(H:H,ROW()+Return!B1763,),1,2,Return!E1763&amp;"(")&amp;")","")</f>
        <v>v(var, [var], …)</v>
      </c>
      <c r="M1763" s="1"/>
    </row>
    <row r="1764" spans="1:13" x14ac:dyDescent="0.55000000000000004">
      <c r="A1764" s="1" t="s">
        <v>2096</v>
      </c>
      <c r="B1764" t="s">
        <v>1219</v>
      </c>
      <c r="C1764" s="2">
        <f>Return!C1764</f>
        <v>1</v>
      </c>
      <c r="D1764" s="2">
        <f>COUNTA(Argument!E1764)</f>
        <v>1</v>
      </c>
      <c r="E1764" s="2" t="str">
        <f>IF(C1764,Return!D1764,Return!E1764)</f>
        <v>var</v>
      </c>
      <c r="F1764" s="2" t="str">
        <f t="shared" si="81"/>
        <v>var</v>
      </c>
      <c r="G1764" s="2" t="str">
        <f t="shared" si="83"/>
        <v>var</v>
      </c>
      <c r="H1764" s="2" t="str">
        <f t="shared" si="82"/>
        <v>, var</v>
      </c>
      <c r="I1764" s="2" t="str">
        <f>IF(Return!C1764=0,REPLACE(INDEX(H:H,ROW()+Return!B1764,),1,2,Return!E1764&amp;"(")&amp;")","")</f>
        <v/>
      </c>
      <c r="M1764" s="1"/>
    </row>
    <row r="1765" spans="1:13" x14ac:dyDescent="0.55000000000000004">
      <c r="A1765" s="1" t="s">
        <v>2096</v>
      </c>
      <c r="B1765" t="s">
        <v>1220</v>
      </c>
      <c r="C1765" s="2">
        <f>Return!C1765</f>
        <v>2</v>
      </c>
      <c r="D1765" s="2">
        <f>COUNTA(Argument!E1765)</f>
        <v>1</v>
      </c>
      <c r="E1765" s="2" t="str">
        <f>IF(C1765,Return!D1765,Return!E1765)</f>
        <v>var</v>
      </c>
      <c r="F1765" s="2" t="str">
        <f t="shared" si="81"/>
        <v>[var]</v>
      </c>
      <c r="G1765" s="2" t="str">
        <f t="shared" si="83"/>
        <v>[var]</v>
      </c>
      <c r="H1765" s="2" t="str">
        <f t="shared" si="82"/>
        <v>, var, [var]</v>
      </c>
      <c r="I1765" s="2" t="str">
        <f>IF(Return!C1765=0,REPLACE(INDEX(H:H,ROW()+Return!B1765,),1,2,Return!E1765&amp;"(")&amp;")","")</f>
        <v/>
      </c>
      <c r="M1765" s="1"/>
    </row>
    <row r="1766" spans="1:13" x14ac:dyDescent="0.55000000000000004">
      <c r="A1766" s="1" t="s">
        <v>2096</v>
      </c>
      <c r="B1766" t="s">
        <v>1214</v>
      </c>
      <c r="C1766" s="2">
        <f>Return!C1766</f>
        <v>3</v>
      </c>
      <c r="D1766" s="2">
        <f>COUNTA(Argument!E1766)</f>
        <v>1</v>
      </c>
      <c r="E1766" s="2" t="str">
        <f>IF(C1766,Return!D1766,Return!E1766)</f>
        <v>var</v>
      </c>
      <c r="F1766" s="2" t="str">
        <f t="shared" si="81"/>
        <v>[var]</v>
      </c>
      <c r="G1766" s="2" t="str">
        <f t="shared" si="83"/>
        <v>…</v>
      </c>
      <c r="H1766" s="2" t="str">
        <f t="shared" si="82"/>
        <v>, var, [var], …</v>
      </c>
      <c r="I1766" s="2" t="str">
        <f>IF(Return!C1766=0,REPLACE(INDEX(H:H,ROW()+Return!B1766,),1,2,Return!E1766&amp;"(")&amp;")","")</f>
        <v/>
      </c>
      <c r="M1766" s="1"/>
    </row>
    <row r="1767" spans="1:13" x14ac:dyDescent="0.55000000000000004">
      <c r="A1767" s="1" t="s">
        <v>2097</v>
      </c>
      <c r="C1767" s="2">
        <f>Return!C1767</f>
        <v>0</v>
      </c>
      <c r="D1767" s="2">
        <f>COUNTA(Argument!E1767)</f>
        <v>0</v>
      </c>
      <c r="E1767" s="2" t="str">
        <f>IF(C1767,Return!D1767,Return!E1767)</f>
        <v>v</v>
      </c>
      <c r="F1767" s="2" t="str">
        <f t="shared" si="81"/>
        <v/>
      </c>
      <c r="G1767" s="2" t="str">
        <f t="shared" si="83"/>
        <v/>
      </c>
      <c r="H1767" s="2" t="str">
        <f t="shared" si="82"/>
        <v/>
      </c>
      <c r="I1767" s="2" t="str">
        <f>IF(Return!C1767=0,REPLACE(INDEX(H:H,ROW()+Return!B1767,),1,2,Return!E1767&amp;"(")&amp;")","")</f>
        <v>v(var, [var], …)</v>
      </c>
      <c r="M1767" s="1"/>
    </row>
    <row r="1768" spans="1:13" x14ac:dyDescent="0.55000000000000004">
      <c r="A1768" s="1" t="s">
        <v>2097</v>
      </c>
      <c r="B1768" t="s">
        <v>1219</v>
      </c>
      <c r="C1768" s="2">
        <f>Return!C1768</f>
        <v>1</v>
      </c>
      <c r="D1768" s="2">
        <f>COUNTA(Argument!E1768)</f>
        <v>1</v>
      </c>
      <c r="E1768" s="2" t="str">
        <f>IF(C1768,Return!D1768,Return!E1768)</f>
        <v>var</v>
      </c>
      <c r="F1768" s="2" t="str">
        <f t="shared" si="81"/>
        <v>var</v>
      </c>
      <c r="G1768" s="2" t="str">
        <f t="shared" si="83"/>
        <v>var</v>
      </c>
      <c r="H1768" s="2" t="str">
        <f t="shared" si="82"/>
        <v>, var</v>
      </c>
      <c r="I1768" s="2" t="str">
        <f>IF(Return!C1768=0,REPLACE(INDEX(H:H,ROW()+Return!B1768,),1,2,Return!E1768&amp;"(")&amp;")","")</f>
        <v/>
      </c>
      <c r="M1768" s="1"/>
    </row>
    <row r="1769" spans="1:13" x14ac:dyDescent="0.55000000000000004">
      <c r="A1769" s="1" t="s">
        <v>2097</v>
      </c>
      <c r="B1769" t="s">
        <v>1220</v>
      </c>
      <c r="C1769" s="2">
        <f>Return!C1769</f>
        <v>2</v>
      </c>
      <c r="D1769" s="2">
        <f>COUNTA(Argument!E1769)</f>
        <v>1</v>
      </c>
      <c r="E1769" s="2" t="str">
        <f>IF(C1769,Return!D1769,Return!E1769)</f>
        <v>var</v>
      </c>
      <c r="F1769" s="2" t="str">
        <f t="shared" si="81"/>
        <v>[var]</v>
      </c>
      <c r="G1769" s="2" t="str">
        <f t="shared" si="83"/>
        <v>[var]</v>
      </c>
      <c r="H1769" s="2" t="str">
        <f t="shared" si="82"/>
        <v>, var, [var]</v>
      </c>
      <c r="I1769" s="2" t="str">
        <f>IF(Return!C1769=0,REPLACE(INDEX(H:H,ROW()+Return!B1769,),1,2,Return!E1769&amp;"(")&amp;")","")</f>
        <v/>
      </c>
      <c r="M1769" s="1"/>
    </row>
    <row r="1770" spans="1:13" x14ac:dyDescent="0.55000000000000004">
      <c r="A1770" s="1" t="s">
        <v>2097</v>
      </c>
      <c r="B1770" t="s">
        <v>1214</v>
      </c>
      <c r="C1770" s="2">
        <f>Return!C1770</f>
        <v>3</v>
      </c>
      <c r="D1770" s="2">
        <f>COUNTA(Argument!E1770)</f>
        <v>1</v>
      </c>
      <c r="E1770" s="2" t="str">
        <f>IF(C1770,Return!D1770,Return!E1770)</f>
        <v>var</v>
      </c>
      <c r="F1770" s="2" t="str">
        <f t="shared" si="81"/>
        <v>[var]</v>
      </c>
      <c r="G1770" s="2" t="str">
        <f t="shared" si="83"/>
        <v>…</v>
      </c>
      <c r="H1770" s="2" t="str">
        <f t="shared" si="82"/>
        <v>, var, [var], …</v>
      </c>
      <c r="I1770" s="2" t="str">
        <f>IF(Return!C1770=0,REPLACE(INDEX(H:H,ROW()+Return!B1770,),1,2,Return!E1770&amp;"(")&amp;")","")</f>
        <v/>
      </c>
      <c r="M1770" s="1"/>
    </row>
    <row r="1771" spans="1:13" x14ac:dyDescent="0.55000000000000004">
      <c r="A1771" s="1" t="s">
        <v>2098</v>
      </c>
      <c r="C1771" s="2">
        <f>Return!C1771</f>
        <v>0</v>
      </c>
      <c r="D1771" s="2">
        <f>COUNTA(Argument!E1771)</f>
        <v>0</v>
      </c>
      <c r="E1771" s="2" t="str">
        <f>IF(C1771,Return!D1771,Return!E1771)</f>
        <v>v</v>
      </c>
      <c r="F1771" s="2" t="str">
        <f t="shared" si="81"/>
        <v/>
      </c>
      <c r="G1771" s="2" t="str">
        <f t="shared" si="83"/>
        <v/>
      </c>
      <c r="H1771" s="2" t="str">
        <f t="shared" si="82"/>
        <v/>
      </c>
      <c r="I1771" s="2" t="str">
        <f>IF(Return!C1771=0,REPLACE(INDEX(H:H,ROW()+Return!B1771,),1,2,Return!E1771&amp;"(")&amp;")","")</f>
        <v>v(v, v, v)</v>
      </c>
      <c r="M1771" s="1"/>
    </row>
    <row r="1772" spans="1:13" x14ac:dyDescent="0.55000000000000004">
      <c r="A1772" s="1" t="s">
        <v>2098</v>
      </c>
      <c r="B1772" t="s">
        <v>1316</v>
      </c>
      <c r="C1772" s="2">
        <f>Return!C1772</f>
        <v>1</v>
      </c>
      <c r="D1772" s="2">
        <f>COUNTA(Argument!E1772)</f>
        <v>0</v>
      </c>
      <c r="E1772" s="2" t="str">
        <f>IF(C1772,Return!D1772,Return!E1772)</f>
        <v>v</v>
      </c>
      <c r="F1772" s="2" t="str">
        <f t="shared" si="81"/>
        <v>v</v>
      </c>
      <c r="G1772" s="2" t="str">
        <f t="shared" si="83"/>
        <v>v</v>
      </c>
      <c r="H1772" s="2" t="str">
        <f t="shared" si="82"/>
        <v>, v</v>
      </c>
      <c r="I1772" s="2" t="str">
        <f>IF(Return!C1772=0,REPLACE(INDEX(H:H,ROW()+Return!B1772,),1,2,Return!E1772&amp;"(")&amp;")","")</f>
        <v/>
      </c>
      <c r="M1772" s="1"/>
    </row>
    <row r="1773" spans="1:13" x14ac:dyDescent="0.55000000000000004">
      <c r="A1773" s="1" t="s">
        <v>2098</v>
      </c>
      <c r="B1773" t="s">
        <v>1326</v>
      </c>
      <c r="C1773" s="2">
        <f>Return!C1773</f>
        <v>2</v>
      </c>
      <c r="D1773" s="2">
        <f>COUNTA(Argument!E1773)</f>
        <v>0</v>
      </c>
      <c r="E1773" s="2" t="str">
        <f>IF(C1773,Return!D1773,Return!E1773)</f>
        <v>v</v>
      </c>
      <c r="F1773" s="2" t="str">
        <f t="shared" si="81"/>
        <v>v</v>
      </c>
      <c r="G1773" s="2" t="str">
        <f t="shared" si="83"/>
        <v>v</v>
      </c>
      <c r="H1773" s="2" t="str">
        <f t="shared" si="82"/>
        <v>, v, v</v>
      </c>
      <c r="I1773" s="2" t="str">
        <f>IF(Return!C1773=0,REPLACE(INDEX(H:H,ROW()+Return!B1773,),1,2,Return!E1773&amp;"(")&amp;")","")</f>
        <v/>
      </c>
      <c r="M1773" s="1"/>
    </row>
    <row r="1774" spans="1:13" x14ac:dyDescent="0.55000000000000004">
      <c r="A1774" s="1" t="s">
        <v>2098</v>
      </c>
      <c r="B1774" t="s">
        <v>1325</v>
      </c>
      <c r="C1774" s="2">
        <f>Return!C1774</f>
        <v>3</v>
      </c>
      <c r="D1774" s="2">
        <f>COUNTA(Argument!E1774)</f>
        <v>1</v>
      </c>
      <c r="E1774" s="2" t="str">
        <f>IF(C1774,Return!D1774,Return!E1774)</f>
        <v>v</v>
      </c>
      <c r="F1774" s="2" t="str">
        <f t="shared" si="81"/>
        <v>v</v>
      </c>
      <c r="G1774" s="2" t="str">
        <f t="shared" si="83"/>
        <v>v</v>
      </c>
      <c r="H1774" s="2" t="str">
        <f t="shared" si="82"/>
        <v>, v, v, v</v>
      </c>
      <c r="I1774" s="2" t="str">
        <f>IF(Return!C1774=0,REPLACE(INDEX(H:H,ROW()+Return!B1774,),1,2,Return!E1774&amp;"(")&amp;")","")</f>
        <v/>
      </c>
      <c r="M1774" s="1"/>
    </row>
    <row r="1775" spans="1:13" x14ac:dyDescent="0.55000000000000004">
      <c r="A1775" s="1" t="s">
        <v>2099</v>
      </c>
      <c r="C1775" s="2">
        <f>Return!C1775</f>
        <v>0</v>
      </c>
      <c r="D1775" s="2">
        <f>COUNTA(Argument!E1775)</f>
        <v>0</v>
      </c>
      <c r="E1775" s="2" t="str">
        <f>IF(C1775,Return!D1775,Return!E1775)</f>
        <v>v</v>
      </c>
      <c r="F1775" s="2" t="str">
        <f t="shared" si="81"/>
        <v/>
      </c>
      <c r="G1775" s="2" t="str">
        <f t="shared" si="83"/>
        <v/>
      </c>
      <c r="H1775" s="2" t="str">
        <f t="shared" si="82"/>
        <v/>
      </c>
      <c r="I1775" s="2" t="str">
        <f>IF(Return!C1775=0,REPLACE(INDEX(H:H,ROW()+Return!B1775,),1,2,Return!E1775&amp;"(")&amp;")","")</f>
        <v>v(v, v)</v>
      </c>
      <c r="M1775" s="1"/>
    </row>
    <row r="1776" spans="1:13" x14ac:dyDescent="0.55000000000000004">
      <c r="A1776" s="1" t="s">
        <v>2099</v>
      </c>
      <c r="B1776" t="s">
        <v>1316</v>
      </c>
      <c r="C1776" s="2">
        <f>Return!C1776</f>
        <v>1</v>
      </c>
      <c r="D1776" s="2">
        <f>COUNTA(Argument!E1776)</f>
        <v>0</v>
      </c>
      <c r="E1776" s="2" t="str">
        <f>IF(C1776,Return!D1776,Return!E1776)</f>
        <v>v</v>
      </c>
      <c r="F1776" s="2" t="str">
        <f t="shared" si="81"/>
        <v>v</v>
      </c>
      <c r="G1776" s="2" t="str">
        <f t="shared" si="83"/>
        <v>v</v>
      </c>
      <c r="H1776" s="2" t="str">
        <f t="shared" si="82"/>
        <v>, v</v>
      </c>
      <c r="I1776" s="2" t="str">
        <f>IF(Return!C1776=0,REPLACE(INDEX(H:H,ROW()+Return!B1776,),1,2,Return!E1776&amp;"(")&amp;")","")</f>
        <v/>
      </c>
      <c r="M1776" s="1"/>
    </row>
    <row r="1777" spans="1:13" x14ac:dyDescent="0.55000000000000004">
      <c r="A1777" s="1" t="s">
        <v>2099</v>
      </c>
      <c r="B1777" t="s">
        <v>1326</v>
      </c>
      <c r="C1777" s="2">
        <f>Return!C1777</f>
        <v>2</v>
      </c>
      <c r="D1777" s="2">
        <f>COUNTA(Argument!E1777)</f>
        <v>1</v>
      </c>
      <c r="E1777" s="2" t="str">
        <f>IF(C1777,Return!D1777,Return!E1777)</f>
        <v>v</v>
      </c>
      <c r="F1777" s="2" t="str">
        <f t="shared" si="81"/>
        <v>v</v>
      </c>
      <c r="G1777" s="2" t="str">
        <f t="shared" si="83"/>
        <v>v</v>
      </c>
      <c r="H1777" s="2" t="str">
        <f t="shared" si="82"/>
        <v>, v, v</v>
      </c>
      <c r="I1777" s="2" t="str">
        <f>IF(Return!C1777=0,REPLACE(INDEX(H:H,ROW()+Return!B1777,),1,2,Return!E1777&amp;"(")&amp;")","")</f>
        <v/>
      </c>
      <c r="M1777" s="1"/>
    </row>
    <row r="1778" spans="1:13" x14ac:dyDescent="0.55000000000000004">
      <c r="A1778" s="1" t="s">
        <v>2100</v>
      </c>
      <c r="C1778" s="2">
        <f>Return!C1778</f>
        <v>0</v>
      </c>
      <c r="D1778" s="2">
        <f>COUNTA(Argument!E1778)</f>
        <v>0</v>
      </c>
      <c r="E1778" s="2" t="str">
        <f>IF(C1778,Return!D1778,Return!E1778)</f>
        <v>v</v>
      </c>
      <c r="F1778" s="2" t="str">
        <f t="shared" si="81"/>
        <v/>
      </c>
      <c r="G1778" s="2" t="str">
        <f t="shared" si="83"/>
        <v/>
      </c>
      <c r="H1778" s="2" t="str">
        <f t="shared" si="82"/>
        <v/>
      </c>
      <c r="I1778" s="2" t="str">
        <f>IF(Return!C1778=0,REPLACE(INDEX(H:H,ROW()+Return!B1778,),1,2,Return!E1778&amp;"(")&amp;")","")</f>
        <v>v(v, v)</v>
      </c>
      <c r="M1778" s="1"/>
    </row>
    <row r="1779" spans="1:13" x14ac:dyDescent="0.55000000000000004">
      <c r="A1779" s="1" t="s">
        <v>2100</v>
      </c>
      <c r="B1779" t="s">
        <v>1316</v>
      </c>
      <c r="C1779" s="2">
        <f>Return!C1779</f>
        <v>1</v>
      </c>
      <c r="D1779" s="2">
        <f>COUNTA(Argument!E1779)</f>
        <v>0</v>
      </c>
      <c r="E1779" s="2" t="str">
        <f>IF(C1779,Return!D1779,Return!E1779)</f>
        <v>v</v>
      </c>
      <c r="F1779" s="2" t="str">
        <f t="shared" si="81"/>
        <v>v</v>
      </c>
      <c r="G1779" s="2" t="str">
        <f t="shared" si="83"/>
        <v>v</v>
      </c>
      <c r="H1779" s="2" t="str">
        <f t="shared" si="82"/>
        <v>, v</v>
      </c>
      <c r="I1779" s="2" t="str">
        <f>IF(Return!C1779=0,REPLACE(INDEX(H:H,ROW()+Return!B1779,),1,2,Return!E1779&amp;"(")&amp;")","")</f>
        <v/>
      </c>
      <c r="M1779" s="1"/>
    </row>
    <row r="1780" spans="1:13" x14ac:dyDescent="0.55000000000000004">
      <c r="A1780" s="1" t="s">
        <v>2100</v>
      </c>
      <c r="B1780" t="s">
        <v>1326</v>
      </c>
      <c r="C1780" s="2">
        <f>Return!C1780</f>
        <v>2</v>
      </c>
      <c r="D1780" s="2">
        <f>COUNTA(Argument!E1780)</f>
        <v>1</v>
      </c>
      <c r="E1780" s="2" t="str">
        <f>IF(C1780,Return!D1780,Return!E1780)</f>
        <v>v</v>
      </c>
      <c r="F1780" s="2" t="str">
        <f t="shared" si="81"/>
        <v>v</v>
      </c>
      <c r="G1780" s="2" t="str">
        <f t="shared" si="83"/>
        <v>v</v>
      </c>
      <c r="H1780" s="2" t="str">
        <f t="shared" si="82"/>
        <v>, v, v</v>
      </c>
      <c r="I1780" s="2" t="str">
        <f>IF(Return!C1780=0,REPLACE(INDEX(H:H,ROW()+Return!B1780,),1,2,Return!E1780&amp;"(")&amp;")","")</f>
        <v/>
      </c>
      <c r="M1780" s="1"/>
    </row>
    <row r="1781" spans="1:13" x14ac:dyDescent="0.55000000000000004">
      <c r="A1781" s="1" t="s">
        <v>2101</v>
      </c>
      <c r="C1781" s="2">
        <f>Return!C1781</f>
        <v>0</v>
      </c>
      <c r="D1781" s="2">
        <f>COUNTA(Argument!E1781)</f>
        <v>0</v>
      </c>
      <c r="E1781" s="2" t="str">
        <f>IF(C1781,Return!D1781,Return!E1781)</f>
        <v>v</v>
      </c>
      <c r="F1781" s="2" t="str">
        <f t="shared" si="81"/>
        <v/>
      </c>
      <c r="G1781" s="2" t="str">
        <f t="shared" si="83"/>
        <v/>
      </c>
      <c r="H1781" s="2" t="str">
        <f t="shared" si="82"/>
        <v/>
      </c>
      <c r="I1781" s="2" t="str">
        <f>IF(Return!C1781=0,REPLACE(INDEX(H:H,ROW()+Return!B1781,),1,2,Return!E1781&amp;"(")&amp;")","")</f>
        <v>v(v, v)</v>
      </c>
      <c r="M1781" s="1"/>
    </row>
    <row r="1782" spans="1:13" x14ac:dyDescent="0.55000000000000004">
      <c r="A1782" s="1" t="s">
        <v>2101</v>
      </c>
      <c r="B1782" t="s">
        <v>1321</v>
      </c>
      <c r="C1782" s="2">
        <f>Return!C1782</f>
        <v>1</v>
      </c>
      <c r="D1782" s="2">
        <f>COUNTA(Argument!E1782)</f>
        <v>0</v>
      </c>
      <c r="E1782" s="2" t="str">
        <f>IF(C1782,Return!D1782,Return!E1782)</f>
        <v>v</v>
      </c>
      <c r="F1782" s="2" t="str">
        <f t="shared" si="81"/>
        <v>v</v>
      </c>
      <c r="G1782" s="2" t="str">
        <f t="shared" si="83"/>
        <v>v</v>
      </c>
      <c r="H1782" s="2" t="str">
        <f t="shared" si="82"/>
        <v>, v</v>
      </c>
      <c r="I1782" s="2" t="str">
        <f>IF(Return!C1782=0,REPLACE(INDEX(H:H,ROW()+Return!B1782,),1,2,Return!E1782&amp;"(")&amp;")","")</f>
        <v/>
      </c>
      <c r="M1782" s="1"/>
    </row>
    <row r="1783" spans="1:13" x14ac:dyDescent="0.55000000000000004">
      <c r="A1783" s="1" t="s">
        <v>2101</v>
      </c>
      <c r="B1783" t="s">
        <v>1326</v>
      </c>
      <c r="C1783" s="2">
        <f>Return!C1783</f>
        <v>2</v>
      </c>
      <c r="D1783" s="2">
        <f>COUNTA(Argument!E1783)</f>
        <v>1</v>
      </c>
      <c r="E1783" s="2" t="str">
        <f>IF(C1783,Return!D1783,Return!E1783)</f>
        <v>v</v>
      </c>
      <c r="F1783" s="2" t="str">
        <f t="shared" si="81"/>
        <v>v</v>
      </c>
      <c r="G1783" s="2" t="str">
        <f t="shared" si="83"/>
        <v>v</v>
      </c>
      <c r="H1783" s="2" t="str">
        <f t="shared" si="82"/>
        <v>, v, v</v>
      </c>
      <c r="I1783" s="2" t="str">
        <f>IF(Return!C1783=0,REPLACE(INDEX(H:H,ROW()+Return!B1783,),1,2,Return!E1783&amp;"(")&amp;")","")</f>
        <v/>
      </c>
      <c r="M1783" s="1"/>
    </row>
    <row r="1784" spans="1:13" x14ac:dyDescent="0.55000000000000004">
      <c r="A1784" s="1" t="s">
        <v>2102</v>
      </c>
      <c r="C1784" s="2">
        <f>Return!C1784</f>
        <v>0</v>
      </c>
      <c r="D1784" s="2">
        <f>COUNTA(Argument!E1784)</f>
        <v>0</v>
      </c>
      <c r="E1784" s="2" t="str">
        <f>IF(C1784,Return!D1784,Return!E1784)</f>
        <v>v</v>
      </c>
      <c r="F1784" s="2" t="str">
        <f t="shared" si="81"/>
        <v/>
      </c>
      <c r="G1784" s="2" t="str">
        <f t="shared" si="83"/>
        <v/>
      </c>
      <c r="H1784" s="2" t="str">
        <f t="shared" si="82"/>
        <v/>
      </c>
      <c r="I1784" s="2" t="str">
        <f>IF(Return!C1784=0,REPLACE(INDEX(H:H,ROW()+Return!B1784,),1,2,Return!E1784&amp;"(")&amp;")","")</f>
        <v>v(v, v)</v>
      </c>
      <c r="M1784" s="1"/>
    </row>
    <row r="1785" spans="1:13" x14ac:dyDescent="0.55000000000000004">
      <c r="A1785" s="1" t="s">
        <v>2102</v>
      </c>
      <c r="B1785" t="s">
        <v>1321</v>
      </c>
      <c r="C1785" s="2">
        <f>Return!C1785</f>
        <v>1</v>
      </c>
      <c r="D1785" s="2">
        <f>COUNTA(Argument!E1785)</f>
        <v>0</v>
      </c>
      <c r="E1785" s="2" t="str">
        <f>IF(C1785,Return!D1785,Return!E1785)</f>
        <v>v</v>
      </c>
      <c r="F1785" s="2" t="str">
        <f t="shared" si="81"/>
        <v>v</v>
      </c>
      <c r="G1785" s="2" t="str">
        <f t="shared" si="83"/>
        <v>v</v>
      </c>
      <c r="H1785" s="2" t="str">
        <f t="shared" si="82"/>
        <v>, v</v>
      </c>
      <c r="I1785" s="2" t="str">
        <f>IF(Return!C1785=0,REPLACE(INDEX(H:H,ROW()+Return!B1785,),1,2,Return!E1785&amp;"(")&amp;")","")</f>
        <v/>
      </c>
      <c r="M1785" s="1"/>
    </row>
    <row r="1786" spans="1:13" x14ac:dyDescent="0.55000000000000004">
      <c r="A1786" s="1" t="s">
        <v>2102</v>
      </c>
      <c r="B1786" t="s">
        <v>1326</v>
      </c>
      <c r="C1786" s="2">
        <f>Return!C1786</f>
        <v>2</v>
      </c>
      <c r="D1786" s="2">
        <f>COUNTA(Argument!E1786)</f>
        <v>1</v>
      </c>
      <c r="E1786" s="2" t="str">
        <f>IF(C1786,Return!D1786,Return!E1786)</f>
        <v>v</v>
      </c>
      <c r="F1786" s="2" t="str">
        <f t="shared" si="81"/>
        <v>v</v>
      </c>
      <c r="G1786" s="2" t="str">
        <f t="shared" si="83"/>
        <v>v</v>
      </c>
      <c r="H1786" s="2" t="str">
        <f t="shared" si="82"/>
        <v>, v, v</v>
      </c>
      <c r="I1786" s="2" t="str">
        <f>IF(Return!C1786=0,REPLACE(INDEX(H:H,ROW()+Return!B1786,),1,2,Return!E1786&amp;"(")&amp;")","")</f>
        <v/>
      </c>
      <c r="M1786" s="1"/>
    </row>
    <row r="1787" spans="1:13" x14ac:dyDescent="0.55000000000000004">
      <c r="A1787" s="1" t="s">
        <v>2103</v>
      </c>
      <c r="C1787" s="2">
        <f>Return!C1787</f>
        <v>0</v>
      </c>
      <c r="D1787" s="2">
        <f>COUNTA(Argument!E1787)</f>
        <v>0</v>
      </c>
      <c r="E1787" s="2" t="str">
        <f>IF(C1787,Return!D1787,Return!E1787)</f>
        <v>v</v>
      </c>
      <c r="F1787" s="2" t="str">
        <f t="shared" si="81"/>
        <v/>
      </c>
      <c r="G1787" s="2" t="str">
        <f t="shared" si="83"/>
        <v/>
      </c>
      <c r="H1787" s="2" t="str">
        <f t="shared" si="82"/>
        <v/>
      </c>
      <c r="I1787" s="2" t="str">
        <f>IF(Return!C1787=0,REPLACE(INDEX(H:H,ROW()+Return!B1787,),1,2,Return!E1787&amp;"(")&amp;")","")</f>
        <v>v(var, [var], …)</v>
      </c>
      <c r="M1787" s="1"/>
    </row>
    <row r="1788" spans="1:13" x14ac:dyDescent="0.55000000000000004">
      <c r="A1788" s="1" t="s">
        <v>2103</v>
      </c>
      <c r="B1788" t="s">
        <v>1219</v>
      </c>
      <c r="C1788" s="2">
        <f>Return!C1788</f>
        <v>1</v>
      </c>
      <c r="D1788" s="2">
        <f>COUNTA(Argument!E1788)</f>
        <v>1</v>
      </c>
      <c r="E1788" s="2" t="str">
        <f>IF(C1788,Return!D1788,Return!E1788)</f>
        <v>var</v>
      </c>
      <c r="F1788" s="2" t="str">
        <f t="shared" si="81"/>
        <v>var</v>
      </c>
      <c r="G1788" s="2" t="str">
        <f t="shared" si="83"/>
        <v>var</v>
      </c>
      <c r="H1788" s="2" t="str">
        <f t="shared" si="82"/>
        <v>, var</v>
      </c>
      <c r="I1788" s="2" t="str">
        <f>IF(Return!C1788=0,REPLACE(INDEX(H:H,ROW()+Return!B1788,),1,2,Return!E1788&amp;"(")&amp;")","")</f>
        <v/>
      </c>
      <c r="M1788" s="1"/>
    </row>
    <row r="1789" spans="1:13" x14ac:dyDescent="0.55000000000000004">
      <c r="A1789" s="1" t="s">
        <v>2103</v>
      </c>
      <c r="B1789" t="s">
        <v>1220</v>
      </c>
      <c r="C1789" s="2">
        <f>Return!C1789</f>
        <v>2</v>
      </c>
      <c r="D1789" s="2">
        <f>COUNTA(Argument!E1789)</f>
        <v>1</v>
      </c>
      <c r="E1789" s="2" t="str">
        <f>IF(C1789,Return!D1789,Return!E1789)</f>
        <v>var</v>
      </c>
      <c r="F1789" s="2" t="str">
        <f t="shared" si="81"/>
        <v>[var]</v>
      </c>
      <c r="G1789" s="2" t="str">
        <f t="shared" si="83"/>
        <v>[var]</v>
      </c>
      <c r="H1789" s="2" t="str">
        <f t="shared" si="82"/>
        <v>, var, [var]</v>
      </c>
      <c r="I1789" s="2" t="str">
        <f>IF(Return!C1789=0,REPLACE(INDEX(H:H,ROW()+Return!B1789,),1,2,Return!E1789&amp;"(")&amp;")","")</f>
        <v/>
      </c>
      <c r="M1789" s="1"/>
    </row>
    <row r="1790" spans="1:13" x14ac:dyDescent="0.55000000000000004">
      <c r="A1790" s="1" t="s">
        <v>2103</v>
      </c>
      <c r="B1790" t="s">
        <v>1214</v>
      </c>
      <c r="C1790" s="2">
        <f>Return!C1790</f>
        <v>3</v>
      </c>
      <c r="D1790" s="2">
        <f>COUNTA(Argument!E1790)</f>
        <v>1</v>
      </c>
      <c r="E1790" s="2" t="str">
        <f>IF(C1790,Return!D1790,Return!E1790)</f>
        <v>var</v>
      </c>
      <c r="F1790" s="2" t="str">
        <f t="shared" si="81"/>
        <v>[var]</v>
      </c>
      <c r="G1790" s="2" t="str">
        <f t="shared" si="83"/>
        <v>…</v>
      </c>
      <c r="H1790" s="2" t="str">
        <f t="shared" si="82"/>
        <v>, var, [var], …</v>
      </c>
      <c r="I1790" s="2" t="str">
        <f>IF(Return!C1790=0,REPLACE(INDEX(H:H,ROW()+Return!B1790,),1,2,Return!E1790&amp;"(")&amp;")","")</f>
        <v/>
      </c>
      <c r="M1790" s="1"/>
    </row>
    <row r="1791" spans="1:13" x14ac:dyDescent="0.55000000000000004">
      <c r="A1791" s="1" t="s">
        <v>2104</v>
      </c>
      <c r="C1791" s="2">
        <f>Return!C1791</f>
        <v>0</v>
      </c>
      <c r="D1791" s="2">
        <f>COUNTA(Argument!E1791)</f>
        <v>0</v>
      </c>
      <c r="E1791" s="2" t="str">
        <f>IF(C1791,Return!D1791,Return!E1791)</f>
        <v>v</v>
      </c>
      <c r="F1791" s="2" t="str">
        <f t="shared" si="81"/>
        <v/>
      </c>
      <c r="G1791" s="2" t="str">
        <f t="shared" si="83"/>
        <v/>
      </c>
      <c r="H1791" s="2" t="str">
        <f t="shared" si="82"/>
        <v/>
      </c>
      <c r="I1791" s="2" t="str">
        <f>IF(Return!C1791=0,REPLACE(INDEX(H:H,ROW()+Return!B1791,),1,2,Return!E1791&amp;"(")&amp;")","")</f>
        <v>v(var, [var], …)</v>
      </c>
      <c r="M1791" s="1"/>
    </row>
    <row r="1792" spans="1:13" x14ac:dyDescent="0.55000000000000004">
      <c r="A1792" s="1" t="s">
        <v>2104</v>
      </c>
      <c r="B1792" t="s">
        <v>1219</v>
      </c>
      <c r="C1792" s="2">
        <f>Return!C1792</f>
        <v>1</v>
      </c>
      <c r="D1792" s="2">
        <f>COUNTA(Argument!E1792)</f>
        <v>1</v>
      </c>
      <c r="E1792" s="2" t="str">
        <f>IF(C1792,Return!D1792,Return!E1792)</f>
        <v>var</v>
      </c>
      <c r="F1792" s="2" t="str">
        <f t="shared" si="81"/>
        <v>var</v>
      </c>
      <c r="G1792" s="2" t="str">
        <f t="shared" si="83"/>
        <v>var</v>
      </c>
      <c r="H1792" s="2" t="str">
        <f t="shared" si="82"/>
        <v>, var</v>
      </c>
      <c r="I1792" s="2" t="str">
        <f>IF(Return!C1792=0,REPLACE(INDEX(H:H,ROW()+Return!B1792,),1,2,Return!E1792&amp;"(")&amp;")","")</f>
        <v/>
      </c>
      <c r="M1792" s="1"/>
    </row>
    <row r="1793" spans="1:13" x14ac:dyDescent="0.55000000000000004">
      <c r="A1793" s="1" t="s">
        <v>2104</v>
      </c>
      <c r="B1793" t="s">
        <v>1220</v>
      </c>
      <c r="C1793" s="2">
        <f>Return!C1793</f>
        <v>2</v>
      </c>
      <c r="D1793" s="2">
        <f>COUNTA(Argument!E1793)</f>
        <v>1</v>
      </c>
      <c r="E1793" s="2" t="str">
        <f>IF(C1793,Return!D1793,Return!E1793)</f>
        <v>var</v>
      </c>
      <c r="F1793" s="2" t="str">
        <f t="shared" si="81"/>
        <v>[var]</v>
      </c>
      <c r="G1793" s="2" t="str">
        <f t="shared" si="83"/>
        <v>[var]</v>
      </c>
      <c r="H1793" s="2" t="str">
        <f t="shared" si="82"/>
        <v>, var, [var]</v>
      </c>
      <c r="I1793" s="2" t="str">
        <f>IF(Return!C1793=0,REPLACE(INDEX(H:H,ROW()+Return!B1793,),1,2,Return!E1793&amp;"(")&amp;")","")</f>
        <v/>
      </c>
      <c r="M1793" s="1"/>
    </row>
    <row r="1794" spans="1:13" x14ac:dyDescent="0.55000000000000004">
      <c r="A1794" s="1" t="s">
        <v>2104</v>
      </c>
      <c r="B1794" t="s">
        <v>1214</v>
      </c>
      <c r="C1794" s="2">
        <f>Return!C1794</f>
        <v>3</v>
      </c>
      <c r="D1794" s="2">
        <f>COUNTA(Argument!E1794)</f>
        <v>1</v>
      </c>
      <c r="E1794" s="2" t="str">
        <f>IF(C1794,Return!D1794,Return!E1794)</f>
        <v>var</v>
      </c>
      <c r="F1794" s="2" t="str">
        <f t="shared" si="81"/>
        <v>[var]</v>
      </c>
      <c r="G1794" s="2" t="str">
        <f t="shared" si="83"/>
        <v>…</v>
      </c>
      <c r="H1794" s="2" t="str">
        <f t="shared" si="82"/>
        <v>, var, [var], …</v>
      </c>
      <c r="I1794" s="2" t="str">
        <f>IF(Return!C1794=0,REPLACE(INDEX(H:H,ROW()+Return!B1794,),1,2,Return!E1794&amp;"(")&amp;")","")</f>
        <v/>
      </c>
      <c r="M1794" s="1"/>
    </row>
    <row r="1795" spans="1:13" x14ac:dyDescent="0.55000000000000004">
      <c r="A1795" s="1" t="s">
        <v>2105</v>
      </c>
      <c r="C1795" s="2">
        <f>Return!C1795</f>
        <v>0</v>
      </c>
      <c r="D1795" s="2">
        <f>COUNTA(Argument!E1795)</f>
        <v>0</v>
      </c>
      <c r="E1795" s="2" t="str">
        <f>IF(C1795,Return!D1795,Return!E1795)</f>
        <v>v</v>
      </c>
      <c r="F1795" s="2" t="str">
        <f t="shared" ref="F1795:F1858" si="84">IF(C1795,IF(D1795,IF(D1794,"["&amp;E1795&amp;"]",E1795),E1795),"")</f>
        <v/>
      </c>
      <c r="G1795" s="2" t="str">
        <f t="shared" si="83"/>
        <v/>
      </c>
      <c r="H1795" s="2" t="str">
        <f t="shared" ref="H1795:H1858" si="85">IF(C1795&gt;0,H1794&amp;", "&amp;G1795,"")</f>
        <v/>
      </c>
      <c r="I1795" s="2" t="str">
        <f>IF(Return!C1795=0,REPLACE(INDEX(H:H,ROW()+Return!B1795,),1,2,Return!E1795&amp;"(")&amp;")","")</f>
        <v>v(v, v, v, v)</v>
      </c>
      <c r="M1795" s="1"/>
    </row>
    <row r="1796" spans="1:13" x14ac:dyDescent="0.55000000000000004">
      <c r="A1796" s="1" t="s">
        <v>2105</v>
      </c>
      <c r="B1796" t="s">
        <v>1316</v>
      </c>
      <c r="C1796" s="2">
        <f>Return!C1796</f>
        <v>1</v>
      </c>
      <c r="D1796" s="2">
        <f>COUNTA(Argument!E1796)</f>
        <v>0</v>
      </c>
      <c r="E1796" s="2" t="str">
        <f>IF(C1796,Return!D1796,Return!E1796)</f>
        <v>v</v>
      </c>
      <c r="F1796" s="2" t="str">
        <f t="shared" si="84"/>
        <v>v</v>
      </c>
      <c r="G1796" s="2" t="str">
        <f t="shared" ref="G1796:G1859" si="86">IF(B1796="...",IF(C1797&gt;0,"["&amp;E1796,"…"),IF(B1795=" ...",IF(C1796&gt;0,E1796&amp;"], …",F1796),F1796))</f>
        <v>v</v>
      </c>
      <c r="H1796" s="2" t="str">
        <f t="shared" si="85"/>
        <v>, v</v>
      </c>
      <c r="I1796" s="2" t="str">
        <f>IF(Return!C1796=0,REPLACE(INDEX(H:H,ROW()+Return!B1796,),1,2,Return!E1796&amp;"(")&amp;")","")</f>
        <v/>
      </c>
      <c r="M1796" s="1"/>
    </row>
    <row r="1797" spans="1:13" x14ac:dyDescent="0.55000000000000004">
      <c r="A1797" s="1" t="s">
        <v>2105</v>
      </c>
      <c r="B1797" t="s">
        <v>1317</v>
      </c>
      <c r="C1797" s="2">
        <f>Return!C1797</f>
        <v>2</v>
      </c>
      <c r="D1797" s="2">
        <f>COUNTA(Argument!E1797)</f>
        <v>0</v>
      </c>
      <c r="E1797" s="2" t="str">
        <f>IF(C1797,Return!D1797,Return!E1797)</f>
        <v>v</v>
      </c>
      <c r="F1797" s="2" t="str">
        <f t="shared" si="84"/>
        <v>v</v>
      </c>
      <c r="G1797" s="2" t="str">
        <f t="shared" si="86"/>
        <v>v</v>
      </c>
      <c r="H1797" s="2" t="str">
        <f t="shared" si="85"/>
        <v>, v, v</v>
      </c>
      <c r="I1797" s="2" t="str">
        <f>IF(Return!C1797=0,REPLACE(INDEX(H:H,ROW()+Return!B1797,),1,2,Return!E1797&amp;"(")&amp;")","")</f>
        <v/>
      </c>
      <c r="M1797" s="1"/>
    </row>
    <row r="1798" spans="1:13" x14ac:dyDescent="0.55000000000000004">
      <c r="A1798" s="1" t="s">
        <v>2105</v>
      </c>
      <c r="B1798" t="s">
        <v>1318</v>
      </c>
      <c r="C1798" s="2">
        <f>Return!C1798</f>
        <v>3</v>
      </c>
      <c r="D1798" s="2">
        <f>COUNTA(Argument!E1798)</f>
        <v>0</v>
      </c>
      <c r="E1798" s="2" t="str">
        <f>IF(C1798,Return!D1798,Return!E1798)</f>
        <v>v</v>
      </c>
      <c r="F1798" s="2" t="str">
        <f t="shared" si="84"/>
        <v>v</v>
      </c>
      <c r="G1798" s="2" t="str">
        <f t="shared" si="86"/>
        <v>v</v>
      </c>
      <c r="H1798" s="2" t="str">
        <f t="shared" si="85"/>
        <v>, v, v, v</v>
      </c>
      <c r="I1798" s="2" t="str">
        <f>IF(Return!C1798=0,REPLACE(INDEX(H:H,ROW()+Return!B1798,),1,2,Return!E1798&amp;"(")&amp;")","")</f>
        <v/>
      </c>
      <c r="M1798" s="1"/>
    </row>
    <row r="1799" spans="1:13" x14ac:dyDescent="0.55000000000000004">
      <c r="A1799" s="1" t="s">
        <v>2105</v>
      </c>
      <c r="B1799" t="s">
        <v>1325</v>
      </c>
      <c r="C1799" s="2">
        <f>Return!C1799</f>
        <v>4</v>
      </c>
      <c r="D1799" s="2">
        <f>COUNTA(Argument!E1799)</f>
        <v>1</v>
      </c>
      <c r="E1799" s="2" t="str">
        <f>IF(C1799,Return!D1799,Return!E1799)</f>
        <v>v</v>
      </c>
      <c r="F1799" s="2" t="str">
        <f t="shared" si="84"/>
        <v>v</v>
      </c>
      <c r="G1799" s="2" t="str">
        <f t="shared" si="86"/>
        <v>v</v>
      </c>
      <c r="H1799" s="2" t="str">
        <f t="shared" si="85"/>
        <v>, v, v, v, v</v>
      </c>
      <c r="I1799" s="2" t="str">
        <f>IF(Return!C1799=0,REPLACE(INDEX(H:H,ROW()+Return!B1799,),1,2,Return!E1799&amp;"(")&amp;")","")</f>
        <v/>
      </c>
      <c r="M1799" s="1"/>
    </row>
    <row r="1800" spans="1:13" x14ac:dyDescent="0.55000000000000004">
      <c r="A1800" s="1" t="s">
        <v>2106</v>
      </c>
      <c r="C1800" s="2">
        <f>Return!C1800</f>
        <v>0</v>
      </c>
      <c r="D1800" s="2">
        <f>COUNTA(Argument!E1800)</f>
        <v>0</v>
      </c>
      <c r="E1800" s="2" t="str">
        <f>IF(C1800,Return!D1800,Return!E1800)</f>
        <v>v</v>
      </c>
      <c r="F1800" s="2" t="str">
        <f t="shared" si="84"/>
        <v/>
      </c>
      <c r="G1800" s="2" t="str">
        <f t="shared" si="86"/>
        <v/>
      </c>
      <c r="H1800" s="2" t="str">
        <f t="shared" si="85"/>
        <v/>
      </c>
      <c r="I1800" s="2" t="str">
        <f>IF(Return!C1800=0,REPLACE(INDEX(H:H,ROW()+Return!B1800,),1,2,Return!E1800&amp;"(")&amp;")","")</f>
        <v>v(vr, vr, [v], [var])</v>
      </c>
      <c r="M1800" s="1"/>
    </row>
    <row r="1801" spans="1:13" x14ac:dyDescent="0.55000000000000004">
      <c r="A1801" s="1" t="s">
        <v>2106</v>
      </c>
      <c r="B1801" t="s">
        <v>1305</v>
      </c>
      <c r="C1801" s="2">
        <f>Return!C1801</f>
        <v>1</v>
      </c>
      <c r="D1801" s="2">
        <f>COUNTA(Argument!E1801)</f>
        <v>0</v>
      </c>
      <c r="E1801" s="2" t="str">
        <f>IF(C1801,Return!D1801,Return!E1801)</f>
        <v>vr</v>
      </c>
      <c r="F1801" s="2" t="str">
        <f t="shared" si="84"/>
        <v>vr</v>
      </c>
      <c r="G1801" s="2" t="str">
        <f t="shared" si="86"/>
        <v>vr</v>
      </c>
      <c r="H1801" s="2" t="str">
        <f t="shared" si="85"/>
        <v>, vr</v>
      </c>
      <c r="I1801" s="2" t="str">
        <f>IF(Return!C1801=0,REPLACE(INDEX(H:H,ROW()+Return!B1801,),1,2,Return!E1801&amp;"(")&amp;")","")</f>
        <v/>
      </c>
      <c r="M1801" s="1"/>
    </row>
    <row r="1802" spans="1:13" x14ac:dyDescent="0.55000000000000004">
      <c r="A1802" s="1" t="s">
        <v>2106</v>
      </c>
      <c r="B1802" t="s">
        <v>1306</v>
      </c>
      <c r="C1802" s="2">
        <f>Return!C1802</f>
        <v>2</v>
      </c>
      <c r="D1802" s="2">
        <f>COUNTA(Argument!E1802)</f>
        <v>1</v>
      </c>
      <c r="E1802" s="2" t="str">
        <f>IF(C1802,Return!D1802,Return!E1802)</f>
        <v>vr</v>
      </c>
      <c r="F1802" s="2" t="str">
        <f t="shared" si="84"/>
        <v>vr</v>
      </c>
      <c r="G1802" s="2" t="str">
        <f t="shared" si="86"/>
        <v>vr</v>
      </c>
      <c r="H1802" s="2" t="str">
        <f t="shared" si="85"/>
        <v>, vr, vr</v>
      </c>
      <c r="I1802" s="2" t="str">
        <f>IF(Return!C1802=0,REPLACE(INDEX(H:H,ROW()+Return!B1802,),1,2,Return!E1802&amp;"(")&amp;")","")</f>
        <v/>
      </c>
      <c r="M1802" s="1"/>
    </row>
    <row r="1803" spans="1:13" x14ac:dyDescent="0.55000000000000004">
      <c r="A1803" s="1" t="s">
        <v>2106</v>
      </c>
      <c r="B1803" t="s">
        <v>1434</v>
      </c>
      <c r="C1803" s="2">
        <f>Return!C1803</f>
        <v>3</v>
      </c>
      <c r="D1803" s="2">
        <f>COUNTA(Argument!E1803)</f>
        <v>1</v>
      </c>
      <c r="E1803" s="2" t="str">
        <f>IF(C1803,Return!D1803,Return!E1803)</f>
        <v>v</v>
      </c>
      <c r="F1803" s="2" t="str">
        <f t="shared" si="84"/>
        <v>[v]</v>
      </c>
      <c r="G1803" s="2" t="str">
        <f t="shared" si="86"/>
        <v>[v]</v>
      </c>
      <c r="H1803" s="2" t="str">
        <f t="shared" si="85"/>
        <v>, vr, vr, [v]</v>
      </c>
      <c r="I1803" s="2" t="str">
        <f>IF(Return!C1803=0,REPLACE(INDEX(H:H,ROW()+Return!B1803,),1,2,Return!E1803&amp;"(")&amp;")","")</f>
        <v/>
      </c>
      <c r="M1803" s="1"/>
    </row>
    <row r="1804" spans="1:13" x14ac:dyDescent="0.55000000000000004">
      <c r="A1804" s="1" t="s">
        <v>2106</v>
      </c>
      <c r="B1804" t="s">
        <v>1422</v>
      </c>
      <c r="C1804" s="2">
        <f>Return!C1804</f>
        <v>4</v>
      </c>
      <c r="D1804" s="2">
        <f>COUNTA(Argument!E1804)</f>
        <v>1</v>
      </c>
      <c r="E1804" s="2" t="str">
        <f>IF(C1804,Return!D1804,Return!E1804)</f>
        <v>var</v>
      </c>
      <c r="F1804" s="2" t="str">
        <f t="shared" si="84"/>
        <v>[var]</v>
      </c>
      <c r="G1804" s="2" t="str">
        <f t="shared" si="86"/>
        <v>[var]</v>
      </c>
      <c r="H1804" s="2" t="str">
        <f t="shared" si="85"/>
        <v>, vr, vr, [v], [var]</v>
      </c>
      <c r="I1804" s="2" t="str">
        <f>IF(Return!C1804=0,REPLACE(INDEX(H:H,ROW()+Return!B1804,),1,2,Return!E1804&amp;"(")&amp;")","")</f>
        <v/>
      </c>
      <c r="M1804" s="1"/>
    </row>
    <row r="1805" spans="1:13" x14ac:dyDescent="0.55000000000000004">
      <c r="A1805" s="1" t="s">
        <v>2107</v>
      </c>
      <c r="C1805" s="2">
        <f>Return!C1805</f>
        <v>0</v>
      </c>
      <c r="D1805" s="2">
        <f>COUNTA(Argument!E1805)</f>
        <v>0</v>
      </c>
      <c r="E1805" s="2" t="str">
        <f>IF(C1805,Return!D1805,Return!E1805)</f>
        <v>v</v>
      </c>
      <c r="F1805" s="2" t="str">
        <f t="shared" si="84"/>
        <v/>
      </c>
      <c r="G1805" s="2" t="str">
        <f t="shared" si="86"/>
        <v/>
      </c>
      <c r="H1805" s="2" t="str">
        <f t="shared" si="85"/>
        <v/>
      </c>
      <c r="I1805" s="2" t="str">
        <f>IF(Return!C1805=0,REPLACE(INDEX(H:H,ROW()+Return!B1805,),1,2,Return!E1805&amp;"(")&amp;")","")</f>
        <v>v(vr, vr, [v], [var])</v>
      </c>
      <c r="M1805" s="1"/>
    </row>
    <row r="1806" spans="1:13" x14ac:dyDescent="0.55000000000000004">
      <c r="A1806" s="1" t="s">
        <v>2107</v>
      </c>
      <c r="B1806" t="s">
        <v>1305</v>
      </c>
      <c r="C1806" s="2">
        <f>Return!C1806</f>
        <v>1</v>
      </c>
      <c r="D1806" s="2">
        <f>COUNTA(Argument!E1806)</f>
        <v>0</v>
      </c>
      <c r="E1806" s="2" t="str">
        <f>IF(C1806,Return!D1806,Return!E1806)</f>
        <v>vr</v>
      </c>
      <c r="F1806" s="2" t="str">
        <f t="shared" si="84"/>
        <v>vr</v>
      </c>
      <c r="G1806" s="2" t="str">
        <f t="shared" si="86"/>
        <v>vr</v>
      </c>
      <c r="H1806" s="2" t="str">
        <f t="shared" si="85"/>
        <v>, vr</v>
      </c>
      <c r="I1806" s="2" t="str">
        <f>IF(Return!C1806=0,REPLACE(INDEX(H:H,ROW()+Return!B1806,),1,2,Return!E1806&amp;"(")&amp;")","")</f>
        <v/>
      </c>
      <c r="M1806" s="1"/>
    </row>
    <row r="1807" spans="1:13" x14ac:dyDescent="0.55000000000000004">
      <c r="A1807" s="1" t="s">
        <v>2107</v>
      </c>
      <c r="B1807" t="s">
        <v>1421</v>
      </c>
      <c r="C1807" s="2">
        <f>Return!C1807</f>
        <v>2</v>
      </c>
      <c r="D1807" s="2">
        <f>COUNTA(Argument!E1807)</f>
        <v>1</v>
      </c>
      <c r="E1807" s="2" t="str">
        <f>IF(C1807,Return!D1807,Return!E1807)</f>
        <v>vr</v>
      </c>
      <c r="F1807" s="2" t="str">
        <f t="shared" si="84"/>
        <v>vr</v>
      </c>
      <c r="G1807" s="2" t="str">
        <f t="shared" si="86"/>
        <v>vr</v>
      </c>
      <c r="H1807" s="2" t="str">
        <f t="shared" si="85"/>
        <v>, vr, vr</v>
      </c>
      <c r="I1807" s="2" t="str">
        <f>IF(Return!C1807=0,REPLACE(INDEX(H:H,ROW()+Return!B1807,),1,2,Return!E1807&amp;"(")&amp;")","")</f>
        <v/>
      </c>
      <c r="M1807" s="1"/>
    </row>
    <row r="1808" spans="1:13" x14ac:dyDescent="0.55000000000000004">
      <c r="A1808" s="1" t="s">
        <v>2107</v>
      </c>
      <c r="B1808" t="s">
        <v>1434</v>
      </c>
      <c r="C1808" s="2">
        <f>Return!C1808</f>
        <v>3</v>
      </c>
      <c r="D1808" s="2">
        <f>COUNTA(Argument!E1808)</f>
        <v>1</v>
      </c>
      <c r="E1808" s="2" t="str">
        <f>IF(C1808,Return!D1808,Return!E1808)</f>
        <v>v</v>
      </c>
      <c r="F1808" s="2" t="str">
        <f t="shared" si="84"/>
        <v>[v]</v>
      </c>
      <c r="G1808" s="2" t="str">
        <f t="shared" si="86"/>
        <v>[v]</v>
      </c>
      <c r="H1808" s="2" t="str">
        <f t="shared" si="85"/>
        <v>, vr, vr, [v]</v>
      </c>
      <c r="I1808" s="2" t="str">
        <f>IF(Return!C1808=0,REPLACE(INDEX(H:H,ROW()+Return!B1808,),1,2,Return!E1808&amp;"(")&amp;")","")</f>
        <v/>
      </c>
      <c r="M1808" s="1"/>
    </row>
    <row r="1809" spans="1:13" x14ac:dyDescent="0.55000000000000004">
      <c r="A1809" s="1" t="s">
        <v>2107</v>
      </c>
      <c r="B1809" t="s">
        <v>1422</v>
      </c>
      <c r="C1809" s="2">
        <f>Return!C1809</f>
        <v>4</v>
      </c>
      <c r="D1809" s="2">
        <f>COUNTA(Argument!E1809)</f>
        <v>1</v>
      </c>
      <c r="E1809" s="2" t="str">
        <f>IF(C1809,Return!D1809,Return!E1809)</f>
        <v>var</v>
      </c>
      <c r="F1809" s="2" t="str">
        <f t="shared" si="84"/>
        <v>[var]</v>
      </c>
      <c r="G1809" s="2" t="str">
        <f t="shared" si="86"/>
        <v>[var]</v>
      </c>
      <c r="H1809" s="2" t="str">
        <f t="shared" si="85"/>
        <v>, vr, vr, [v], [var]</v>
      </c>
      <c r="I1809" s="2" t="str">
        <f>IF(Return!C1809=0,REPLACE(INDEX(H:H,ROW()+Return!B1809,),1,2,Return!E1809&amp;"(")&amp;")","")</f>
        <v/>
      </c>
      <c r="M1809" s="1"/>
    </row>
    <row r="1810" spans="1:13" x14ac:dyDescent="0.55000000000000004">
      <c r="A1810" s="1" t="s">
        <v>2108</v>
      </c>
      <c r="C1810" s="2">
        <f>Return!C1810</f>
        <v>0</v>
      </c>
      <c r="D1810" s="2">
        <f>COUNTA(Argument!E1810)</f>
        <v>0</v>
      </c>
      <c r="E1810" s="2" t="str">
        <f>IF(C1810,Return!D1810,Return!E1810)</f>
        <v>v</v>
      </c>
      <c r="F1810" s="2" t="str">
        <f t="shared" si="84"/>
        <v/>
      </c>
      <c r="G1810" s="2" t="str">
        <f t="shared" si="86"/>
        <v/>
      </c>
      <c r="H1810" s="2" t="str">
        <f t="shared" si="85"/>
        <v/>
      </c>
      <c r="I1810" s="2" t="str">
        <f>IF(Return!C1810=0,REPLACE(INDEX(H:H,ROW()+Return!B1810,),1,2,Return!E1810&amp;"(")&amp;")","")</f>
        <v>v(v, v)</v>
      </c>
      <c r="M1810" s="1"/>
    </row>
    <row r="1811" spans="1:13" x14ac:dyDescent="0.55000000000000004">
      <c r="A1811" s="1" t="s">
        <v>2108</v>
      </c>
      <c r="B1811" t="s">
        <v>1223</v>
      </c>
      <c r="C1811" s="2">
        <f>Return!C1811</f>
        <v>1</v>
      </c>
      <c r="D1811" s="2">
        <f>COUNTA(Argument!E1811)</f>
        <v>0</v>
      </c>
      <c r="E1811" s="2" t="str">
        <f>IF(C1811,Return!D1811,Return!E1811)</f>
        <v>v</v>
      </c>
      <c r="F1811" s="2" t="str">
        <f t="shared" si="84"/>
        <v>v</v>
      </c>
      <c r="G1811" s="2" t="str">
        <f t="shared" si="86"/>
        <v>v</v>
      </c>
      <c r="H1811" s="2" t="str">
        <f t="shared" si="85"/>
        <v>, v</v>
      </c>
      <c r="I1811" s="2" t="str">
        <f>IF(Return!C1811=0,REPLACE(INDEX(H:H,ROW()+Return!B1811,),1,2,Return!E1811&amp;"(")&amp;")","")</f>
        <v/>
      </c>
      <c r="M1811" s="1"/>
    </row>
    <row r="1812" spans="1:13" x14ac:dyDescent="0.55000000000000004">
      <c r="A1812" s="1" t="s">
        <v>2108</v>
      </c>
      <c r="B1812" t="s">
        <v>1334</v>
      </c>
      <c r="C1812" s="2">
        <f>Return!C1812</f>
        <v>2</v>
      </c>
      <c r="D1812" s="2">
        <f>COUNTA(Argument!E1812)</f>
        <v>1</v>
      </c>
      <c r="E1812" s="2" t="str">
        <f>IF(C1812,Return!D1812,Return!E1812)</f>
        <v>v</v>
      </c>
      <c r="F1812" s="2" t="str">
        <f t="shared" si="84"/>
        <v>v</v>
      </c>
      <c r="G1812" s="2" t="str">
        <f t="shared" si="86"/>
        <v>v</v>
      </c>
      <c r="H1812" s="2" t="str">
        <f t="shared" si="85"/>
        <v>, v, v</v>
      </c>
      <c r="I1812" s="2" t="str">
        <f>IF(Return!C1812=0,REPLACE(INDEX(H:H,ROW()+Return!B1812,),1,2,Return!E1812&amp;"(")&amp;")","")</f>
        <v/>
      </c>
      <c r="M1812" s="1"/>
    </row>
    <row r="1813" spans="1:13" x14ac:dyDescent="0.55000000000000004">
      <c r="A1813" s="1" t="s">
        <v>2109</v>
      </c>
      <c r="C1813" s="2">
        <f>Return!C1813</f>
        <v>0</v>
      </c>
      <c r="D1813" s="2">
        <f>COUNTA(Argument!E1813)</f>
        <v>0</v>
      </c>
      <c r="E1813" s="2" t="str">
        <f>IF(C1813,Return!D1813,Return!E1813)</f>
        <v>v</v>
      </c>
      <c r="F1813" s="2" t="str">
        <f t="shared" si="84"/>
        <v/>
      </c>
      <c r="G1813" s="2" t="str">
        <f t="shared" si="86"/>
        <v/>
      </c>
      <c r="H1813" s="2" t="str">
        <f t="shared" si="85"/>
        <v/>
      </c>
      <c r="I1813" s="2" t="str">
        <f>IF(Return!C1813=0,REPLACE(INDEX(H:H,ROW()+Return!B1813,),1,2,Return!E1813&amp;"(")&amp;")","")</f>
        <v>v(v, [v])</v>
      </c>
      <c r="M1813" s="1"/>
    </row>
    <row r="1814" spans="1:13" x14ac:dyDescent="0.55000000000000004">
      <c r="A1814" s="1" t="s">
        <v>2109</v>
      </c>
      <c r="B1814" t="s">
        <v>1223</v>
      </c>
      <c r="C1814" s="2">
        <f>Return!C1814</f>
        <v>1</v>
      </c>
      <c r="D1814" s="2">
        <f>COUNTA(Argument!E1814)</f>
        <v>1</v>
      </c>
      <c r="E1814" s="2" t="str">
        <f>IF(C1814,Return!D1814,Return!E1814)</f>
        <v>v</v>
      </c>
      <c r="F1814" s="2" t="str">
        <f t="shared" si="84"/>
        <v>v</v>
      </c>
      <c r="G1814" s="2" t="str">
        <f t="shared" si="86"/>
        <v>v</v>
      </c>
      <c r="H1814" s="2" t="str">
        <f t="shared" si="85"/>
        <v>, v</v>
      </c>
      <c r="I1814" s="2" t="str">
        <f>IF(Return!C1814=0,REPLACE(INDEX(H:H,ROW()+Return!B1814,),1,2,Return!E1814&amp;"(")&amp;")","")</f>
        <v/>
      </c>
      <c r="M1814" s="1"/>
    </row>
    <row r="1815" spans="1:13" x14ac:dyDescent="0.55000000000000004">
      <c r="A1815" s="1" t="s">
        <v>2109</v>
      </c>
      <c r="B1815" t="s">
        <v>1334</v>
      </c>
      <c r="C1815" s="2">
        <f>Return!C1815</f>
        <v>2</v>
      </c>
      <c r="D1815" s="2">
        <f>COUNTA(Argument!E1815)</f>
        <v>1</v>
      </c>
      <c r="E1815" s="2" t="str">
        <f>IF(C1815,Return!D1815,Return!E1815)</f>
        <v>v</v>
      </c>
      <c r="F1815" s="2" t="str">
        <f t="shared" si="84"/>
        <v>[v]</v>
      </c>
      <c r="G1815" s="2" t="str">
        <f t="shared" si="86"/>
        <v>[v]</v>
      </c>
      <c r="H1815" s="2" t="str">
        <f t="shared" si="85"/>
        <v>, v, [v]</v>
      </c>
      <c r="I1815" s="2" t="str">
        <f>IF(Return!C1815=0,REPLACE(INDEX(H:H,ROW()+Return!B1815,),1,2,Return!E1815&amp;"(")&amp;")","")</f>
        <v/>
      </c>
      <c r="M1815" s="1"/>
    </row>
    <row r="1816" spans="1:13" x14ac:dyDescent="0.55000000000000004">
      <c r="A1816" s="1" t="s">
        <v>2110</v>
      </c>
      <c r="C1816" s="2">
        <f>Return!C1816</f>
        <v>0</v>
      </c>
      <c r="D1816" s="2">
        <f>COUNTA(Argument!E1816)</f>
        <v>0</v>
      </c>
      <c r="E1816" s="2" t="str">
        <f>IF(C1816,Return!D1816,Return!E1816)</f>
        <v>v</v>
      </c>
      <c r="F1816" s="2" t="str">
        <f t="shared" si="84"/>
        <v/>
      </c>
      <c r="G1816" s="2" t="str">
        <f t="shared" si="86"/>
        <v/>
      </c>
      <c r="H1816" s="2" t="str">
        <f t="shared" si="85"/>
        <v/>
      </c>
      <c r="I1816" s="2" t="str">
        <f>IF(Return!C1816=0,REPLACE(INDEX(H:H,ROW()+Return!B1816,),1,2,Return!E1816&amp;"(")&amp;")","")</f>
        <v>v(v, v, v, v, [v], [v])</v>
      </c>
      <c r="M1816" s="1"/>
    </row>
    <row r="1817" spans="1:13" x14ac:dyDescent="0.55000000000000004">
      <c r="A1817" s="1" t="s">
        <v>2110</v>
      </c>
      <c r="B1817" t="s">
        <v>1316</v>
      </c>
      <c r="C1817" s="2">
        <f>Return!C1817</f>
        <v>1</v>
      </c>
      <c r="D1817" s="2">
        <f>COUNTA(Argument!E1817)</f>
        <v>0</v>
      </c>
      <c r="E1817" s="2" t="str">
        <f>IF(C1817,Return!D1817,Return!E1817)</f>
        <v>v</v>
      </c>
      <c r="F1817" s="2" t="str">
        <f t="shared" si="84"/>
        <v>v</v>
      </c>
      <c r="G1817" s="2" t="str">
        <f t="shared" si="86"/>
        <v>v</v>
      </c>
      <c r="H1817" s="2" t="str">
        <f t="shared" si="85"/>
        <v>, v</v>
      </c>
      <c r="I1817" s="2" t="str">
        <f>IF(Return!C1817=0,REPLACE(INDEX(H:H,ROW()+Return!B1817,),1,2,Return!E1817&amp;"(")&amp;")","")</f>
        <v/>
      </c>
      <c r="M1817" s="1"/>
    </row>
    <row r="1818" spans="1:13" x14ac:dyDescent="0.55000000000000004">
      <c r="A1818" s="1" t="s">
        <v>2110</v>
      </c>
      <c r="B1818" t="s">
        <v>1317</v>
      </c>
      <c r="C1818" s="2">
        <f>Return!C1818</f>
        <v>2</v>
      </c>
      <c r="D1818" s="2">
        <f>COUNTA(Argument!E1818)</f>
        <v>0</v>
      </c>
      <c r="E1818" s="2" t="str">
        <f>IF(C1818,Return!D1818,Return!E1818)</f>
        <v>v</v>
      </c>
      <c r="F1818" s="2" t="str">
        <f t="shared" si="84"/>
        <v>v</v>
      </c>
      <c r="G1818" s="2" t="str">
        <f t="shared" si="86"/>
        <v>v</v>
      </c>
      <c r="H1818" s="2" t="str">
        <f t="shared" si="85"/>
        <v>, v, v</v>
      </c>
      <c r="I1818" s="2" t="str">
        <f>IF(Return!C1818=0,REPLACE(INDEX(H:H,ROW()+Return!B1818,),1,2,Return!E1818&amp;"(")&amp;")","")</f>
        <v/>
      </c>
      <c r="M1818" s="1"/>
    </row>
    <row r="1819" spans="1:13" x14ac:dyDescent="0.55000000000000004">
      <c r="A1819" s="1" t="s">
        <v>2110</v>
      </c>
      <c r="B1819" t="s">
        <v>1318</v>
      </c>
      <c r="C1819" s="2">
        <f>Return!C1819</f>
        <v>3</v>
      </c>
      <c r="D1819" s="2">
        <f>COUNTA(Argument!E1819)</f>
        <v>0</v>
      </c>
      <c r="E1819" s="2" t="str">
        <f>IF(C1819,Return!D1819,Return!E1819)</f>
        <v>v</v>
      </c>
      <c r="F1819" s="2" t="str">
        <f t="shared" si="84"/>
        <v>v</v>
      </c>
      <c r="G1819" s="2" t="str">
        <f t="shared" si="86"/>
        <v>v</v>
      </c>
      <c r="H1819" s="2" t="str">
        <f t="shared" si="85"/>
        <v>, v, v, v</v>
      </c>
      <c r="I1819" s="2" t="str">
        <f>IF(Return!C1819=0,REPLACE(INDEX(H:H,ROW()+Return!B1819,),1,2,Return!E1819&amp;"(")&amp;")","")</f>
        <v/>
      </c>
      <c r="M1819" s="1"/>
    </row>
    <row r="1820" spans="1:13" x14ac:dyDescent="0.55000000000000004">
      <c r="A1820" s="1" t="s">
        <v>2110</v>
      </c>
      <c r="B1820" t="s">
        <v>1325</v>
      </c>
      <c r="C1820" s="2">
        <f>Return!C1820</f>
        <v>4</v>
      </c>
      <c r="D1820" s="2">
        <f>COUNTA(Argument!E1820)</f>
        <v>1</v>
      </c>
      <c r="E1820" s="2" t="str">
        <f>IF(C1820,Return!D1820,Return!E1820)</f>
        <v>v</v>
      </c>
      <c r="F1820" s="2" t="str">
        <f t="shared" si="84"/>
        <v>v</v>
      </c>
      <c r="G1820" s="2" t="str">
        <f t="shared" si="86"/>
        <v>v</v>
      </c>
      <c r="H1820" s="2" t="str">
        <f t="shared" si="85"/>
        <v>, v, v, v, v</v>
      </c>
      <c r="I1820" s="2" t="str">
        <f>IF(Return!C1820=0,REPLACE(INDEX(H:H,ROW()+Return!B1820,),1,2,Return!E1820&amp;"(")&amp;")","")</f>
        <v/>
      </c>
      <c r="M1820" s="1"/>
    </row>
    <row r="1821" spans="1:13" x14ac:dyDescent="0.55000000000000004">
      <c r="A1821" s="1" t="s">
        <v>2110</v>
      </c>
      <c r="B1821" t="s">
        <v>1319</v>
      </c>
      <c r="C1821" s="2">
        <f>Return!C1821</f>
        <v>5</v>
      </c>
      <c r="D1821" s="2">
        <f>COUNTA(Argument!E1821)</f>
        <v>1</v>
      </c>
      <c r="E1821" s="2" t="str">
        <f>IF(C1821,Return!D1821,Return!E1821)</f>
        <v>v</v>
      </c>
      <c r="F1821" s="2" t="str">
        <f t="shared" si="84"/>
        <v>[v]</v>
      </c>
      <c r="G1821" s="2" t="str">
        <f t="shared" si="86"/>
        <v>[v]</v>
      </c>
      <c r="H1821" s="2" t="str">
        <f t="shared" si="85"/>
        <v>, v, v, v, v, [v]</v>
      </c>
      <c r="I1821" s="2" t="str">
        <f>IF(Return!C1821=0,REPLACE(INDEX(H:H,ROW()+Return!B1821,),1,2,Return!E1821&amp;"(")&amp;")","")</f>
        <v/>
      </c>
      <c r="M1821" s="1"/>
    </row>
    <row r="1822" spans="1:13" x14ac:dyDescent="0.55000000000000004">
      <c r="A1822" s="1" t="s">
        <v>2110</v>
      </c>
      <c r="B1822" t="s">
        <v>1320</v>
      </c>
      <c r="C1822" s="2">
        <f>Return!C1822</f>
        <v>6</v>
      </c>
      <c r="D1822" s="2">
        <f>COUNTA(Argument!E1822)</f>
        <v>1</v>
      </c>
      <c r="E1822" s="2" t="str">
        <f>IF(C1822,Return!D1822,Return!E1822)</f>
        <v>v</v>
      </c>
      <c r="F1822" s="2" t="str">
        <f t="shared" si="84"/>
        <v>[v]</v>
      </c>
      <c r="G1822" s="2" t="str">
        <f t="shared" si="86"/>
        <v>[v]</v>
      </c>
      <c r="H1822" s="2" t="str">
        <f t="shared" si="85"/>
        <v>, v, v, v, v, [v], [v]</v>
      </c>
      <c r="I1822" s="2" t="str">
        <f>IF(Return!C1822=0,REPLACE(INDEX(H:H,ROW()+Return!B1822,),1,2,Return!E1822&amp;"(")&amp;")","")</f>
        <v/>
      </c>
      <c r="M1822" s="1"/>
    </row>
    <row r="1823" spans="1:13" x14ac:dyDescent="0.55000000000000004">
      <c r="A1823" s="1" t="s">
        <v>2111</v>
      </c>
      <c r="C1823" s="2">
        <f>Return!C1823</f>
        <v>0</v>
      </c>
      <c r="D1823" s="2">
        <f>COUNTA(Argument!E1823)</f>
        <v>0</v>
      </c>
      <c r="E1823" s="2" t="str">
        <f>IF(C1823,Return!D1823,Return!E1823)</f>
        <v>v</v>
      </c>
      <c r="F1823" s="2" t="str">
        <f t="shared" si="84"/>
        <v/>
      </c>
      <c r="G1823" s="2" t="str">
        <f t="shared" si="86"/>
        <v/>
      </c>
      <c r="H1823" s="2" t="str">
        <f t="shared" si="85"/>
        <v/>
      </c>
      <c r="I1823" s="2" t="str">
        <f>IF(Return!C1823=0,REPLACE(INDEX(H:H,ROW()+Return!B1823,),1,2,Return!E1823&amp;"(")&amp;")","")</f>
        <v>v(v, v, v, [v], [v])</v>
      </c>
      <c r="M1823" s="1"/>
    </row>
    <row r="1824" spans="1:13" x14ac:dyDescent="0.55000000000000004">
      <c r="A1824" s="1" t="s">
        <v>2111</v>
      </c>
      <c r="B1824" t="s">
        <v>1321</v>
      </c>
      <c r="C1824" s="2">
        <f>Return!C1824</f>
        <v>1</v>
      </c>
      <c r="D1824" s="2">
        <f>COUNTA(Argument!E1824)</f>
        <v>0</v>
      </c>
      <c r="E1824" s="2" t="str">
        <f>IF(C1824,Return!D1824,Return!E1824)</f>
        <v>v</v>
      </c>
      <c r="F1824" s="2" t="str">
        <f t="shared" si="84"/>
        <v>v</v>
      </c>
      <c r="G1824" s="2" t="str">
        <f t="shared" si="86"/>
        <v>v</v>
      </c>
      <c r="H1824" s="2" t="str">
        <f t="shared" si="85"/>
        <v>, v</v>
      </c>
      <c r="I1824" s="2" t="str">
        <f>IF(Return!C1824=0,REPLACE(INDEX(H:H,ROW()+Return!B1824,),1,2,Return!E1824&amp;"(")&amp;")","")</f>
        <v/>
      </c>
      <c r="M1824" s="1"/>
    </row>
    <row r="1825" spans="1:13" x14ac:dyDescent="0.55000000000000004">
      <c r="A1825" s="1" t="s">
        <v>2111</v>
      </c>
      <c r="B1825" t="s">
        <v>1317</v>
      </c>
      <c r="C1825" s="2">
        <f>Return!C1825</f>
        <v>2</v>
      </c>
      <c r="D1825" s="2">
        <f>COUNTA(Argument!E1825)</f>
        <v>0</v>
      </c>
      <c r="E1825" s="2" t="str">
        <f>IF(C1825,Return!D1825,Return!E1825)</f>
        <v>v</v>
      </c>
      <c r="F1825" s="2" t="str">
        <f t="shared" si="84"/>
        <v>v</v>
      </c>
      <c r="G1825" s="2" t="str">
        <f t="shared" si="86"/>
        <v>v</v>
      </c>
      <c r="H1825" s="2" t="str">
        <f t="shared" si="85"/>
        <v>, v, v</v>
      </c>
      <c r="I1825" s="2" t="str">
        <f>IF(Return!C1825=0,REPLACE(INDEX(H:H,ROW()+Return!B1825,),1,2,Return!E1825&amp;"(")&amp;")","")</f>
        <v/>
      </c>
      <c r="M1825" s="1"/>
    </row>
    <row r="1826" spans="1:13" x14ac:dyDescent="0.55000000000000004">
      <c r="A1826" s="1" t="s">
        <v>2111</v>
      </c>
      <c r="B1826" t="s">
        <v>1318</v>
      </c>
      <c r="C1826" s="2">
        <f>Return!C1826</f>
        <v>3</v>
      </c>
      <c r="D1826" s="2">
        <f>COUNTA(Argument!E1826)</f>
        <v>1</v>
      </c>
      <c r="E1826" s="2" t="str">
        <f>IF(C1826,Return!D1826,Return!E1826)</f>
        <v>v</v>
      </c>
      <c r="F1826" s="2" t="str">
        <f t="shared" si="84"/>
        <v>v</v>
      </c>
      <c r="G1826" s="2" t="str">
        <f t="shared" si="86"/>
        <v>v</v>
      </c>
      <c r="H1826" s="2" t="str">
        <f t="shared" si="85"/>
        <v>, v, v, v</v>
      </c>
      <c r="I1826" s="2" t="str">
        <f>IF(Return!C1826=0,REPLACE(INDEX(H:H,ROW()+Return!B1826,),1,2,Return!E1826&amp;"(")&amp;")","")</f>
        <v/>
      </c>
      <c r="M1826" s="1"/>
    </row>
    <row r="1827" spans="1:13" x14ac:dyDescent="0.55000000000000004">
      <c r="A1827" s="1" t="s">
        <v>2111</v>
      </c>
      <c r="B1827" t="s">
        <v>1319</v>
      </c>
      <c r="C1827" s="2">
        <f>Return!C1827</f>
        <v>4</v>
      </c>
      <c r="D1827" s="2">
        <f>COUNTA(Argument!E1827)</f>
        <v>1</v>
      </c>
      <c r="E1827" s="2" t="str">
        <f>IF(C1827,Return!D1827,Return!E1827)</f>
        <v>v</v>
      </c>
      <c r="F1827" s="2" t="str">
        <f t="shared" si="84"/>
        <v>[v]</v>
      </c>
      <c r="G1827" s="2" t="str">
        <f t="shared" si="86"/>
        <v>[v]</v>
      </c>
      <c r="H1827" s="2" t="str">
        <f t="shared" si="85"/>
        <v>, v, v, v, [v]</v>
      </c>
      <c r="I1827" s="2" t="str">
        <f>IF(Return!C1827=0,REPLACE(INDEX(H:H,ROW()+Return!B1827,),1,2,Return!E1827&amp;"(")&amp;")","")</f>
        <v/>
      </c>
      <c r="M1827" s="1"/>
    </row>
    <row r="1828" spans="1:13" x14ac:dyDescent="0.55000000000000004">
      <c r="A1828" s="1" t="s">
        <v>2111</v>
      </c>
      <c r="B1828" t="s">
        <v>1320</v>
      </c>
      <c r="C1828" s="2">
        <f>Return!C1828</f>
        <v>5</v>
      </c>
      <c r="D1828" s="2">
        <f>COUNTA(Argument!E1828)</f>
        <v>1</v>
      </c>
      <c r="E1828" s="2" t="str">
        <f>IF(C1828,Return!D1828,Return!E1828)</f>
        <v>v</v>
      </c>
      <c r="F1828" s="2" t="str">
        <f t="shared" si="84"/>
        <v>[v]</v>
      </c>
      <c r="G1828" s="2" t="str">
        <f t="shared" si="86"/>
        <v>[v]</v>
      </c>
      <c r="H1828" s="2" t="str">
        <f t="shared" si="85"/>
        <v>, v, v, v, [v], [v]</v>
      </c>
      <c r="I1828" s="2" t="str">
        <f>IF(Return!C1828=0,REPLACE(INDEX(H:H,ROW()+Return!B1828,),1,2,Return!E1828&amp;"(")&amp;")","")</f>
        <v/>
      </c>
      <c r="M1828" s="1"/>
    </row>
    <row r="1829" spans="1:13" x14ac:dyDescent="0.55000000000000004">
      <c r="A1829" s="1" t="s">
        <v>2112</v>
      </c>
      <c r="C1829" s="2">
        <f>Return!C1829</f>
        <v>0</v>
      </c>
      <c r="D1829" s="2">
        <f>COUNTA(Argument!E1829)</f>
        <v>0</v>
      </c>
      <c r="E1829" s="2" t="str">
        <f>IF(C1829,Return!D1829,Return!E1829)</f>
        <v>v</v>
      </c>
      <c r="F1829" s="2" t="str">
        <f t="shared" si="84"/>
        <v/>
      </c>
      <c r="G1829" s="2" t="str">
        <f t="shared" si="86"/>
        <v/>
      </c>
      <c r="H1829" s="2" t="str">
        <f t="shared" si="85"/>
        <v/>
      </c>
      <c r="I1829" s="2" t="str">
        <f>IF(Return!C1829=0,REPLACE(INDEX(H:H,ROW()+Return!B1829,),1,2,Return!E1829&amp;"(")&amp;")","")</f>
        <v>v(v, v, v)</v>
      </c>
      <c r="M1829" s="1"/>
    </row>
    <row r="1830" spans="1:13" x14ac:dyDescent="0.55000000000000004">
      <c r="A1830" s="1" t="s">
        <v>2112</v>
      </c>
      <c r="B1830" t="s">
        <v>1316</v>
      </c>
      <c r="C1830" s="2">
        <f>Return!C1830</f>
        <v>1</v>
      </c>
      <c r="D1830" s="2">
        <f>COUNTA(Argument!E1830)</f>
        <v>0</v>
      </c>
      <c r="E1830" s="2" t="str">
        <f>IF(C1830,Return!D1830,Return!E1830)</f>
        <v>v</v>
      </c>
      <c r="F1830" s="2" t="str">
        <f t="shared" si="84"/>
        <v>v</v>
      </c>
      <c r="G1830" s="2" t="str">
        <f t="shared" si="86"/>
        <v>v</v>
      </c>
      <c r="H1830" s="2" t="str">
        <f t="shared" si="85"/>
        <v>, v</v>
      </c>
      <c r="I1830" s="2" t="str">
        <f>IF(Return!C1830=0,REPLACE(INDEX(H:H,ROW()+Return!B1830,),1,2,Return!E1830&amp;"(")&amp;")","")</f>
        <v/>
      </c>
      <c r="M1830" s="1"/>
    </row>
    <row r="1831" spans="1:13" x14ac:dyDescent="0.55000000000000004">
      <c r="A1831" s="1" t="s">
        <v>2112</v>
      </c>
      <c r="B1831" t="s">
        <v>1326</v>
      </c>
      <c r="C1831" s="2">
        <f>Return!C1831</f>
        <v>2</v>
      </c>
      <c r="D1831" s="2">
        <f>COUNTA(Argument!E1831)</f>
        <v>0</v>
      </c>
      <c r="E1831" s="2" t="str">
        <f>IF(C1831,Return!D1831,Return!E1831)</f>
        <v>v</v>
      </c>
      <c r="F1831" s="2" t="str">
        <f t="shared" si="84"/>
        <v>v</v>
      </c>
      <c r="G1831" s="2" t="str">
        <f t="shared" si="86"/>
        <v>v</v>
      </c>
      <c r="H1831" s="2" t="str">
        <f t="shared" si="85"/>
        <v>, v, v</v>
      </c>
      <c r="I1831" s="2" t="str">
        <f>IF(Return!C1831=0,REPLACE(INDEX(H:H,ROW()+Return!B1831,),1,2,Return!E1831&amp;"(")&amp;")","")</f>
        <v/>
      </c>
      <c r="M1831" s="1"/>
    </row>
    <row r="1832" spans="1:13" x14ac:dyDescent="0.55000000000000004">
      <c r="A1832" s="1" t="s">
        <v>2112</v>
      </c>
      <c r="B1832" t="s">
        <v>1325</v>
      </c>
      <c r="C1832" s="2">
        <f>Return!C1832</f>
        <v>3</v>
      </c>
      <c r="D1832" s="2">
        <f>COUNTA(Argument!E1832)</f>
        <v>1</v>
      </c>
      <c r="E1832" s="2" t="str">
        <f>IF(C1832,Return!D1832,Return!E1832)</f>
        <v>v</v>
      </c>
      <c r="F1832" s="2" t="str">
        <f t="shared" si="84"/>
        <v>v</v>
      </c>
      <c r="G1832" s="2" t="str">
        <f t="shared" si="86"/>
        <v>v</v>
      </c>
      <c r="H1832" s="2" t="str">
        <f t="shared" si="85"/>
        <v>, v, v, v</v>
      </c>
      <c r="I1832" s="2" t="str">
        <f>IF(Return!C1832=0,REPLACE(INDEX(H:H,ROW()+Return!B1832,),1,2,Return!E1832&amp;"(")&amp;")","")</f>
        <v/>
      </c>
      <c r="M1832" s="1"/>
    </row>
    <row r="1833" spans="1:13" x14ac:dyDescent="0.55000000000000004">
      <c r="A1833" s="1" t="s">
        <v>2113</v>
      </c>
      <c r="C1833" s="2">
        <f>Return!C1833</f>
        <v>0</v>
      </c>
      <c r="D1833" s="2">
        <f>COUNTA(Argument!E1833)</f>
        <v>0</v>
      </c>
      <c r="E1833" s="2" t="str">
        <f>IF(C1833,Return!D1833,Return!E1833)</f>
        <v>v</v>
      </c>
      <c r="F1833" s="2" t="str">
        <f t="shared" si="84"/>
        <v/>
      </c>
      <c r="G1833" s="2" t="str">
        <f t="shared" si="86"/>
        <v/>
      </c>
      <c r="H1833" s="2" t="str">
        <f t="shared" si="85"/>
        <v/>
      </c>
      <c r="I1833" s="2" t="str">
        <f>IF(Return!C1833=0,REPLACE(INDEX(H:H,ROW()+Return!B1833,),1,2,Return!E1833&amp;"(")&amp;")","")</f>
        <v>v(v, v)</v>
      </c>
      <c r="M1833" s="1"/>
    </row>
    <row r="1834" spans="1:13" x14ac:dyDescent="0.55000000000000004">
      <c r="A1834" s="1" t="s">
        <v>2113</v>
      </c>
      <c r="B1834" t="s">
        <v>1316</v>
      </c>
      <c r="C1834" s="2">
        <f>Return!C1834</f>
        <v>1</v>
      </c>
      <c r="D1834" s="2">
        <f>COUNTA(Argument!E1834)</f>
        <v>0</v>
      </c>
      <c r="E1834" s="2" t="str">
        <f>IF(C1834,Return!D1834,Return!E1834)</f>
        <v>v</v>
      </c>
      <c r="F1834" s="2" t="str">
        <f t="shared" si="84"/>
        <v>v</v>
      </c>
      <c r="G1834" s="2" t="str">
        <f t="shared" si="86"/>
        <v>v</v>
      </c>
      <c r="H1834" s="2" t="str">
        <f t="shared" si="85"/>
        <v>, v</v>
      </c>
      <c r="I1834" s="2" t="str">
        <f>IF(Return!C1834=0,REPLACE(INDEX(H:H,ROW()+Return!B1834,),1,2,Return!E1834&amp;"(")&amp;")","")</f>
        <v/>
      </c>
      <c r="M1834" s="1"/>
    </row>
    <row r="1835" spans="1:13" x14ac:dyDescent="0.55000000000000004">
      <c r="A1835" s="1" t="s">
        <v>2113</v>
      </c>
      <c r="B1835" t="s">
        <v>1326</v>
      </c>
      <c r="C1835" s="2">
        <f>Return!C1835</f>
        <v>2</v>
      </c>
      <c r="D1835" s="2">
        <f>COUNTA(Argument!E1835)</f>
        <v>1</v>
      </c>
      <c r="E1835" s="2" t="str">
        <f>IF(C1835,Return!D1835,Return!E1835)</f>
        <v>v</v>
      </c>
      <c r="F1835" s="2" t="str">
        <f t="shared" si="84"/>
        <v>v</v>
      </c>
      <c r="G1835" s="2" t="str">
        <f t="shared" si="86"/>
        <v>v</v>
      </c>
      <c r="H1835" s="2" t="str">
        <f t="shared" si="85"/>
        <v>, v, v</v>
      </c>
      <c r="I1835" s="2" t="str">
        <f>IF(Return!C1835=0,REPLACE(INDEX(H:H,ROW()+Return!B1835,),1,2,Return!E1835&amp;"(")&amp;")","")</f>
        <v/>
      </c>
      <c r="M1835" s="1"/>
    </row>
    <row r="1836" spans="1:13" x14ac:dyDescent="0.55000000000000004">
      <c r="A1836" s="1" t="s">
        <v>2114</v>
      </c>
      <c r="C1836" s="2">
        <f>Return!C1836</f>
        <v>0</v>
      </c>
      <c r="D1836" s="2">
        <f>COUNTA(Argument!E1836)</f>
        <v>0</v>
      </c>
      <c r="E1836" s="2" t="str">
        <f>IF(C1836,Return!D1836,Return!E1836)</f>
        <v>v</v>
      </c>
      <c r="F1836" s="2" t="str">
        <f t="shared" si="84"/>
        <v/>
      </c>
      <c r="G1836" s="2" t="str">
        <f t="shared" si="86"/>
        <v/>
      </c>
      <c r="H1836" s="2" t="str">
        <f t="shared" si="85"/>
        <v/>
      </c>
      <c r="I1836" s="2" t="str">
        <f>IF(Return!C1836=0,REPLACE(INDEX(H:H,ROW()+Return!B1836,),1,2,Return!E1836&amp;"(")&amp;")","")</f>
        <v>v(v, v)</v>
      </c>
      <c r="M1836" s="1"/>
    </row>
    <row r="1837" spans="1:13" x14ac:dyDescent="0.55000000000000004">
      <c r="A1837" s="1" t="s">
        <v>2114</v>
      </c>
      <c r="B1837" t="s">
        <v>1321</v>
      </c>
      <c r="C1837" s="2">
        <f>Return!C1837</f>
        <v>1</v>
      </c>
      <c r="D1837" s="2">
        <f>COUNTA(Argument!E1837)</f>
        <v>0</v>
      </c>
      <c r="E1837" s="2" t="str">
        <f>IF(C1837,Return!D1837,Return!E1837)</f>
        <v>v</v>
      </c>
      <c r="F1837" s="2" t="str">
        <f t="shared" si="84"/>
        <v>v</v>
      </c>
      <c r="G1837" s="2" t="str">
        <f t="shared" si="86"/>
        <v>v</v>
      </c>
      <c r="H1837" s="2" t="str">
        <f t="shared" si="85"/>
        <v>, v</v>
      </c>
      <c r="I1837" s="2" t="str">
        <f>IF(Return!C1837=0,REPLACE(INDEX(H:H,ROW()+Return!B1837,),1,2,Return!E1837&amp;"(")&amp;")","")</f>
        <v/>
      </c>
      <c r="M1837" s="1"/>
    </row>
    <row r="1838" spans="1:13" x14ac:dyDescent="0.55000000000000004">
      <c r="A1838" s="1" t="s">
        <v>2114</v>
      </c>
      <c r="B1838" t="s">
        <v>1326</v>
      </c>
      <c r="C1838" s="2">
        <f>Return!C1838</f>
        <v>2</v>
      </c>
      <c r="D1838" s="2">
        <f>COUNTA(Argument!E1838)</f>
        <v>1</v>
      </c>
      <c r="E1838" s="2" t="str">
        <f>IF(C1838,Return!D1838,Return!E1838)</f>
        <v>v</v>
      </c>
      <c r="F1838" s="2" t="str">
        <f t="shared" si="84"/>
        <v>v</v>
      </c>
      <c r="G1838" s="2" t="str">
        <f t="shared" si="86"/>
        <v>v</v>
      </c>
      <c r="H1838" s="2" t="str">
        <f t="shared" si="85"/>
        <v>, v, v</v>
      </c>
      <c r="I1838" s="2" t="str">
        <f>IF(Return!C1838=0,REPLACE(INDEX(H:H,ROW()+Return!B1838,),1,2,Return!E1838&amp;"(")&amp;")","")</f>
        <v/>
      </c>
      <c r="M1838" s="1"/>
    </row>
    <row r="1839" spans="1:13" x14ac:dyDescent="0.55000000000000004">
      <c r="A1839" s="1" t="s">
        <v>2115</v>
      </c>
      <c r="C1839" s="2">
        <f>Return!C1839</f>
        <v>0</v>
      </c>
      <c r="D1839" s="2">
        <f>COUNTA(Argument!E1839)</f>
        <v>0</v>
      </c>
      <c r="E1839" s="2" t="str">
        <f>IF(C1839,Return!D1839,Return!E1839)</f>
        <v>v</v>
      </c>
      <c r="F1839" s="2" t="str">
        <f t="shared" si="84"/>
        <v/>
      </c>
      <c r="G1839" s="2" t="str">
        <f t="shared" si="86"/>
        <v/>
      </c>
      <c r="H1839" s="2" t="str">
        <f t="shared" si="85"/>
        <v/>
      </c>
      <c r="I1839" s="2" t="str">
        <f>IF(Return!C1839=0,REPLACE(INDEX(H:H,ROW()+Return!B1839,),1,2,Return!E1839&amp;"(")&amp;")","")</f>
        <v>v(v, v)</v>
      </c>
      <c r="M1839" s="1"/>
    </row>
    <row r="1840" spans="1:13" x14ac:dyDescent="0.55000000000000004">
      <c r="A1840" s="1" t="s">
        <v>2115</v>
      </c>
      <c r="B1840" t="s">
        <v>1321</v>
      </c>
      <c r="C1840" s="2">
        <f>Return!C1840</f>
        <v>1</v>
      </c>
      <c r="D1840" s="2">
        <f>COUNTA(Argument!E1840)</f>
        <v>0</v>
      </c>
      <c r="E1840" s="2" t="str">
        <f>IF(C1840,Return!D1840,Return!E1840)</f>
        <v>v</v>
      </c>
      <c r="F1840" s="2" t="str">
        <f t="shared" si="84"/>
        <v>v</v>
      </c>
      <c r="G1840" s="2" t="str">
        <f t="shared" si="86"/>
        <v>v</v>
      </c>
      <c r="H1840" s="2" t="str">
        <f t="shared" si="85"/>
        <v>, v</v>
      </c>
      <c r="I1840" s="2" t="str">
        <f>IF(Return!C1840=0,REPLACE(INDEX(H:H,ROW()+Return!B1840,),1,2,Return!E1840&amp;"(")&amp;")","")</f>
        <v/>
      </c>
      <c r="M1840" s="1"/>
    </row>
    <row r="1841" spans="1:13" x14ac:dyDescent="0.55000000000000004">
      <c r="A1841" s="1" t="s">
        <v>2115</v>
      </c>
      <c r="B1841" t="s">
        <v>1326</v>
      </c>
      <c r="C1841" s="2">
        <f>Return!C1841</f>
        <v>2</v>
      </c>
      <c r="D1841" s="2">
        <f>COUNTA(Argument!E1841)</f>
        <v>1</v>
      </c>
      <c r="E1841" s="2" t="str">
        <f>IF(C1841,Return!D1841,Return!E1841)</f>
        <v>v</v>
      </c>
      <c r="F1841" s="2" t="str">
        <f t="shared" si="84"/>
        <v>v</v>
      </c>
      <c r="G1841" s="2" t="str">
        <f t="shared" si="86"/>
        <v>v</v>
      </c>
      <c r="H1841" s="2" t="str">
        <f t="shared" si="85"/>
        <v>, v, v</v>
      </c>
      <c r="I1841" s="2" t="str">
        <f>IF(Return!C1841=0,REPLACE(INDEX(H:H,ROW()+Return!B1841,),1,2,Return!E1841&amp;"(")&amp;")","")</f>
        <v/>
      </c>
      <c r="M1841" s="1"/>
    </row>
    <row r="1842" spans="1:13" x14ac:dyDescent="0.55000000000000004">
      <c r="A1842" s="1" t="s">
        <v>2116</v>
      </c>
      <c r="C1842" s="2">
        <f>Return!C1842</f>
        <v>0</v>
      </c>
      <c r="D1842" s="2">
        <f>COUNTA(Argument!E1842)</f>
        <v>0</v>
      </c>
      <c r="E1842" s="2" t="str">
        <f>IF(C1842,Return!D1842,Return!E1842)</f>
        <v>v</v>
      </c>
      <c r="F1842" s="2" t="str">
        <f t="shared" si="84"/>
        <v/>
      </c>
      <c r="G1842" s="2" t="str">
        <f t="shared" si="86"/>
        <v/>
      </c>
      <c r="H1842" s="2" t="str">
        <f t="shared" si="85"/>
        <v/>
      </c>
      <c r="I1842" s="2" t="str">
        <f>IF(Return!C1842=0,REPLACE(INDEX(H:H,ROW()+Return!B1842,),1,2,Return!E1842&amp;"(")&amp;")","")</f>
        <v>v(v, v, v, v)</v>
      </c>
      <c r="M1842" s="1"/>
    </row>
    <row r="1843" spans="1:13" x14ac:dyDescent="0.55000000000000004">
      <c r="A1843" s="1" t="s">
        <v>2116</v>
      </c>
      <c r="B1843" t="s">
        <v>1316</v>
      </c>
      <c r="C1843" s="2">
        <f>Return!C1843</f>
        <v>1</v>
      </c>
      <c r="D1843" s="2">
        <f>COUNTA(Argument!E1843)</f>
        <v>0</v>
      </c>
      <c r="E1843" s="2" t="str">
        <f>IF(C1843,Return!D1843,Return!E1843)</f>
        <v>v</v>
      </c>
      <c r="F1843" s="2" t="str">
        <f t="shared" si="84"/>
        <v>v</v>
      </c>
      <c r="G1843" s="2" t="str">
        <f t="shared" si="86"/>
        <v>v</v>
      </c>
      <c r="H1843" s="2" t="str">
        <f t="shared" si="85"/>
        <v>, v</v>
      </c>
      <c r="I1843" s="2" t="str">
        <f>IF(Return!C1843=0,REPLACE(INDEX(H:H,ROW()+Return!B1843,),1,2,Return!E1843&amp;"(")&amp;")","")</f>
        <v/>
      </c>
      <c r="M1843" s="1"/>
    </row>
    <row r="1844" spans="1:13" x14ac:dyDescent="0.55000000000000004">
      <c r="A1844" s="1" t="s">
        <v>2116</v>
      </c>
      <c r="B1844" t="s">
        <v>1331</v>
      </c>
      <c r="C1844" s="2">
        <f>Return!C1844</f>
        <v>2</v>
      </c>
      <c r="D1844" s="2">
        <f>COUNTA(Argument!E1844)</f>
        <v>0</v>
      </c>
      <c r="E1844" s="2" t="str">
        <f>IF(C1844,Return!D1844,Return!E1844)</f>
        <v>v</v>
      </c>
      <c r="F1844" s="2" t="str">
        <f t="shared" si="84"/>
        <v>v</v>
      </c>
      <c r="G1844" s="2" t="str">
        <f t="shared" si="86"/>
        <v>v</v>
      </c>
      <c r="H1844" s="2" t="str">
        <f t="shared" si="85"/>
        <v>, v, v</v>
      </c>
      <c r="I1844" s="2" t="str">
        <f>IF(Return!C1844=0,REPLACE(INDEX(H:H,ROW()+Return!B1844,),1,2,Return!E1844&amp;"(")&amp;")","")</f>
        <v/>
      </c>
      <c r="M1844" s="1"/>
    </row>
    <row r="1845" spans="1:13" x14ac:dyDescent="0.55000000000000004">
      <c r="A1845" s="1" t="s">
        <v>2116</v>
      </c>
      <c r="B1845" t="s">
        <v>1332</v>
      </c>
      <c r="C1845" s="2">
        <f>Return!C1845</f>
        <v>3</v>
      </c>
      <c r="D1845" s="2">
        <f>COUNTA(Argument!E1845)</f>
        <v>0</v>
      </c>
      <c r="E1845" s="2" t="str">
        <f>IF(C1845,Return!D1845,Return!E1845)</f>
        <v>v</v>
      </c>
      <c r="F1845" s="2" t="str">
        <f t="shared" si="84"/>
        <v>v</v>
      </c>
      <c r="G1845" s="2" t="str">
        <f t="shared" si="86"/>
        <v>v</v>
      </c>
      <c r="H1845" s="2" t="str">
        <f t="shared" si="85"/>
        <v>, v, v, v</v>
      </c>
      <c r="I1845" s="2" t="str">
        <f>IF(Return!C1845=0,REPLACE(INDEX(H:H,ROW()+Return!B1845,),1,2,Return!E1845&amp;"(")&amp;")","")</f>
        <v/>
      </c>
      <c r="M1845" s="1"/>
    </row>
    <row r="1846" spans="1:13" x14ac:dyDescent="0.55000000000000004">
      <c r="A1846" s="1" t="s">
        <v>2116</v>
      </c>
      <c r="B1846" t="s">
        <v>1325</v>
      </c>
      <c r="C1846" s="2">
        <f>Return!C1846</f>
        <v>4</v>
      </c>
      <c r="D1846" s="2">
        <f>COUNTA(Argument!E1846)</f>
        <v>1</v>
      </c>
      <c r="E1846" s="2" t="str">
        <f>IF(C1846,Return!D1846,Return!E1846)</f>
        <v>v</v>
      </c>
      <c r="F1846" s="2" t="str">
        <f t="shared" si="84"/>
        <v>v</v>
      </c>
      <c r="G1846" s="2" t="str">
        <f t="shared" si="86"/>
        <v>v</v>
      </c>
      <c r="H1846" s="2" t="str">
        <f t="shared" si="85"/>
        <v>, v, v, v, v</v>
      </c>
      <c r="I1846" s="2" t="str">
        <f>IF(Return!C1846=0,REPLACE(INDEX(H:H,ROW()+Return!B1846,),1,2,Return!E1846&amp;"(")&amp;")","")</f>
        <v/>
      </c>
      <c r="M1846" s="1"/>
    </row>
    <row r="1847" spans="1:13" x14ac:dyDescent="0.55000000000000004">
      <c r="A1847" s="1" t="s">
        <v>2117</v>
      </c>
      <c r="C1847" s="2">
        <f>Return!C1847</f>
        <v>0</v>
      </c>
      <c r="D1847" s="2">
        <f>COUNTA(Argument!E1847)</f>
        <v>0</v>
      </c>
      <c r="E1847" s="2" t="str">
        <f>IF(C1847,Return!D1847,Return!E1847)</f>
        <v>v</v>
      </c>
      <c r="F1847" s="2" t="str">
        <f t="shared" si="84"/>
        <v/>
      </c>
      <c r="G1847" s="2" t="str">
        <f t="shared" si="86"/>
        <v/>
      </c>
      <c r="H1847" s="2" t="str">
        <f t="shared" si="85"/>
        <v/>
      </c>
      <c r="I1847" s="2" t="str">
        <f>IF(Return!C1847=0,REPLACE(INDEX(H:H,ROW()+Return!B1847,),1,2,Return!E1847&amp;"(")&amp;")","")</f>
        <v>v(v, v, v)</v>
      </c>
      <c r="M1847" s="1"/>
    </row>
    <row r="1848" spans="1:13" x14ac:dyDescent="0.55000000000000004">
      <c r="A1848" s="1" t="s">
        <v>2117</v>
      </c>
      <c r="B1848" t="s">
        <v>1316</v>
      </c>
      <c r="C1848" s="2">
        <f>Return!C1848</f>
        <v>1</v>
      </c>
      <c r="D1848" s="2">
        <f>COUNTA(Argument!E1848)</f>
        <v>0</v>
      </c>
      <c r="E1848" s="2" t="str">
        <f>IF(C1848,Return!D1848,Return!E1848)</f>
        <v>v</v>
      </c>
      <c r="F1848" s="2" t="str">
        <f t="shared" si="84"/>
        <v>v</v>
      </c>
      <c r="G1848" s="2" t="str">
        <f t="shared" si="86"/>
        <v>v</v>
      </c>
      <c r="H1848" s="2" t="str">
        <f t="shared" si="85"/>
        <v>, v</v>
      </c>
      <c r="I1848" s="2" t="str">
        <f>IF(Return!C1848=0,REPLACE(INDEX(H:H,ROW()+Return!B1848,),1,2,Return!E1848&amp;"(")&amp;")","")</f>
        <v/>
      </c>
      <c r="M1848" s="1"/>
    </row>
    <row r="1849" spans="1:13" x14ac:dyDescent="0.55000000000000004">
      <c r="A1849" s="1" t="s">
        <v>2117</v>
      </c>
      <c r="B1849" t="s">
        <v>1331</v>
      </c>
      <c r="C1849" s="2">
        <f>Return!C1849</f>
        <v>2</v>
      </c>
      <c r="D1849" s="2">
        <f>COUNTA(Argument!E1849)</f>
        <v>0</v>
      </c>
      <c r="E1849" s="2" t="str">
        <f>IF(C1849,Return!D1849,Return!E1849)</f>
        <v>v</v>
      </c>
      <c r="F1849" s="2" t="str">
        <f t="shared" si="84"/>
        <v>v</v>
      </c>
      <c r="G1849" s="2" t="str">
        <f t="shared" si="86"/>
        <v>v</v>
      </c>
      <c r="H1849" s="2" t="str">
        <f t="shared" si="85"/>
        <v>, v, v</v>
      </c>
      <c r="I1849" s="2" t="str">
        <f>IF(Return!C1849=0,REPLACE(INDEX(H:H,ROW()+Return!B1849,),1,2,Return!E1849&amp;"(")&amp;")","")</f>
        <v/>
      </c>
      <c r="M1849" s="1"/>
    </row>
    <row r="1850" spans="1:13" x14ac:dyDescent="0.55000000000000004">
      <c r="A1850" s="1" t="s">
        <v>2117</v>
      </c>
      <c r="B1850" t="s">
        <v>1332</v>
      </c>
      <c r="C1850" s="2">
        <f>Return!C1850</f>
        <v>3</v>
      </c>
      <c r="D1850" s="2">
        <f>COUNTA(Argument!E1850)</f>
        <v>1</v>
      </c>
      <c r="E1850" s="2" t="str">
        <f>IF(C1850,Return!D1850,Return!E1850)</f>
        <v>v</v>
      </c>
      <c r="F1850" s="2" t="str">
        <f t="shared" si="84"/>
        <v>v</v>
      </c>
      <c r="G1850" s="2" t="str">
        <f t="shared" si="86"/>
        <v>v</v>
      </c>
      <c r="H1850" s="2" t="str">
        <f t="shared" si="85"/>
        <v>, v, v, v</v>
      </c>
      <c r="I1850" s="2" t="str">
        <f>IF(Return!C1850=0,REPLACE(INDEX(H:H,ROW()+Return!B1850,),1,2,Return!E1850&amp;"(")&amp;")","")</f>
        <v/>
      </c>
      <c r="M1850" s="1"/>
    </row>
    <row r="1851" spans="1:13" x14ac:dyDescent="0.55000000000000004">
      <c r="A1851" s="1" t="s">
        <v>2118</v>
      </c>
      <c r="C1851" s="2">
        <f>Return!C1851</f>
        <v>0</v>
      </c>
      <c r="D1851" s="2">
        <f>COUNTA(Argument!E1851)</f>
        <v>0</v>
      </c>
      <c r="E1851" s="2" t="str">
        <f>IF(C1851,Return!D1851,Return!E1851)</f>
        <v>v</v>
      </c>
      <c r="F1851" s="2" t="str">
        <f t="shared" si="84"/>
        <v/>
      </c>
      <c r="G1851" s="2" t="str">
        <f t="shared" si="86"/>
        <v/>
      </c>
      <c r="H1851" s="2" t="str">
        <f t="shared" si="85"/>
        <v/>
      </c>
      <c r="I1851" s="2" t="str">
        <f>IF(Return!C1851=0,REPLACE(INDEX(H:H,ROW()+Return!B1851,),1,2,Return!E1851&amp;"(")&amp;")","")</f>
        <v>v(v, v, v)</v>
      </c>
      <c r="M1851" s="1"/>
    </row>
    <row r="1852" spans="1:13" x14ac:dyDescent="0.55000000000000004">
      <c r="A1852" s="1" t="s">
        <v>2118</v>
      </c>
      <c r="B1852" t="s">
        <v>1321</v>
      </c>
      <c r="C1852" s="2">
        <f>Return!C1852</f>
        <v>1</v>
      </c>
      <c r="D1852" s="2">
        <f>COUNTA(Argument!E1852)</f>
        <v>0</v>
      </c>
      <c r="E1852" s="2" t="str">
        <f>IF(C1852,Return!D1852,Return!E1852)</f>
        <v>v</v>
      </c>
      <c r="F1852" s="2" t="str">
        <f t="shared" si="84"/>
        <v>v</v>
      </c>
      <c r="G1852" s="2" t="str">
        <f t="shared" si="86"/>
        <v>v</v>
      </c>
      <c r="H1852" s="2" t="str">
        <f t="shared" si="85"/>
        <v>, v</v>
      </c>
      <c r="I1852" s="2" t="str">
        <f>IF(Return!C1852=0,REPLACE(INDEX(H:H,ROW()+Return!B1852,),1,2,Return!E1852&amp;"(")&amp;")","")</f>
        <v/>
      </c>
      <c r="M1852" s="1"/>
    </row>
    <row r="1853" spans="1:13" x14ac:dyDescent="0.55000000000000004">
      <c r="A1853" s="1" t="s">
        <v>2118</v>
      </c>
      <c r="B1853" t="s">
        <v>1331</v>
      </c>
      <c r="C1853" s="2">
        <f>Return!C1853</f>
        <v>2</v>
      </c>
      <c r="D1853" s="2">
        <f>COUNTA(Argument!E1853)</f>
        <v>0</v>
      </c>
      <c r="E1853" s="2" t="str">
        <f>IF(C1853,Return!D1853,Return!E1853)</f>
        <v>v</v>
      </c>
      <c r="F1853" s="2" t="str">
        <f t="shared" si="84"/>
        <v>v</v>
      </c>
      <c r="G1853" s="2" t="str">
        <f t="shared" si="86"/>
        <v>v</v>
      </c>
      <c r="H1853" s="2" t="str">
        <f t="shared" si="85"/>
        <v>, v, v</v>
      </c>
      <c r="I1853" s="2" t="str">
        <f>IF(Return!C1853=0,REPLACE(INDEX(H:H,ROW()+Return!B1853,),1,2,Return!E1853&amp;"(")&amp;")","")</f>
        <v/>
      </c>
      <c r="M1853" s="1"/>
    </row>
    <row r="1854" spans="1:13" x14ac:dyDescent="0.55000000000000004">
      <c r="A1854" s="1" t="s">
        <v>2118</v>
      </c>
      <c r="B1854" t="s">
        <v>1332</v>
      </c>
      <c r="C1854" s="2">
        <f>Return!C1854</f>
        <v>3</v>
      </c>
      <c r="D1854" s="2">
        <f>COUNTA(Argument!E1854)</f>
        <v>1</v>
      </c>
      <c r="E1854" s="2" t="str">
        <f>IF(C1854,Return!D1854,Return!E1854)</f>
        <v>v</v>
      </c>
      <c r="F1854" s="2" t="str">
        <f t="shared" si="84"/>
        <v>v</v>
      </c>
      <c r="G1854" s="2" t="str">
        <f t="shared" si="86"/>
        <v>v</v>
      </c>
      <c r="H1854" s="2" t="str">
        <f t="shared" si="85"/>
        <v>, v, v, v</v>
      </c>
      <c r="I1854" s="2" t="str">
        <f>IF(Return!C1854=0,REPLACE(INDEX(H:H,ROW()+Return!B1854,),1,2,Return!E1854&amp;"(")&amp;")","")</f>
        <v/>
      </c>
      <c r="M1854" s="1"/>
    </row>
    <row r="1855" spans="1:13" x14ac:dyDescent="0.55000000000000004">
      <c r="A1855" s="1" t="s">
        <v>2119</v>
      </c>
      <c r="C1855" s="2">
        <f>Return!C1855</f>
        <v>0</v>
      </c>
      <c r="D1855" s="2">
        <f>COUNTA(Argument!E1855)</f>
        <v>0</v>
      </c>
      <c r="E1855" s="2" t="str">
        <f>IF(C1855,Return!D1855,Return!E1855)</f>
        <v>v</v>
      </c>
      <c r="F1855" s="2" t="str">
        <f t="shared" si="84"/>
        <v/>
      </c>
      <c r="G1855" s="2" t="str">
        <f t="shared" si="86"/>
        <v/>
      </c>
      <c r="H1855" s="2" t="str">
        <f t="shared" si="85"/>
        <v/>
      </c>
      <c r="I1855" s="2" t="str">
        <f>IF(Return!C1855=0,REPLACE(INDEX(H:H,ROW()+Return!B1855,),1,2,Return!E1855&amp;"(")&amp;")","")</f>
        <v>v(v, v, v)</v>
      </c>
      <c r="M1855" s="1"/>
    </row>
    <row r="1856" spans="1:13" x14ac:dyDescent="0.55000000000000004">
      <c r="A1856" s="1" t="s">
        <v>2119</v>
      </c>
      <c r="B1856" t="s">
        <v>1321</v>
      </c>
      <c r="C1856" s="2">
        <f>Return!C1856</f>
        <v>1</v>
      </c>
      <c r="D1856" s="2">
        <f>COUNTA(Argument!E1856)</f>
        <v>0</v>
      </c>
      <c r="E1856" s="2" t="str">
        <f>IF(C1856,Return!D1856,Return!E1856)</f>
        <v>v</v>
      </c>
      <c r="F1856" s="2" t="str">
        <f t="shared" si="84"/>
        <v>v</v>
      </c>
      <c r="G1856" s="2" t="str">
        <f t="shared" si="86"/>
        <v>v</v>
      </c>
      <c r="H1856" s="2" t="str">
        <f t="shared" si="85"/>
        <v>, v</v>
      </c>
      <c r="I1856" s="2" t="str">
        <f>IF(Return!C1856=0,REPLACE(INDEX(H:H,ROW()+Return!B1856,),1,2,Return!E1856&amp;"(")&amp;")","")</f>
        <v/>
      </c>
      <c r="M1856" s="1"/>
    </row>
    <row r="1857" spans="1:13" x14ac:dyDescent="0.55000000000000004">
      <c r="A1857" s="1" t="s">
        <v>2119</v>
      </c>
      <c r="B1857" t="s">
        <v>1331</v>
      </c>
      <c r="C1857" s="2">
        <f>Return!C1857</f>
        <v>2</v>
      </c>
      <c r="D1857" s="2">
        <f>COUNTA(Argument!E1857)</f>
        <v>0</v>
      </c>
      <c r="E1857" s="2" t="str">
        <f>IF(C1857,Return!D1857,Return!E1857)</f>
        <v>v</v>
      </c>
      <c r="F1857" s="2" t="str">
        <f t="shared" si="84"/>
        <v>v</v>
      </c>
      <c r="G1857" s="2" t="str">
        <f t="shared" si="86"/>
        <v>v</v>
      </c>
      <c r="H1857" s="2" t="str">
        <f t="shared" si="85"/>
        <v>, v, v</v>
      </c>
      <c r="I1857" s="2" t="str">
        <f>IF(Return!C1857=0,REPLACE(INDEX(H:H,ROW()+Return!B1857,),1,2,Return!E1857&amp;"(")&amp;")","")</f>
        <v/>
      </c>
      <c r="M1857" s="1"/>
    </row>
    <row r="1858" spans="1:13" x14ac:dyDescent="0.55000000000000004">
      <c r="A1858" s="1" t="s">
        <v>2119</v>
      </c>
      <c r="B1858" t="s">
        <v>1332</v>
      </c>
      <c r="C1858" s="2">
        <f>Return!C1858</f>
        <v>3</v>
      </c>
      <c r="D1858" s="2">
        <f>COUNTA(Argument!E1858)</f>
        <v>1</v>
      </c>
      <c r="E1858" s="2" t="str">
        <f>IF(C1858,Return!D1858,Return!E1858)</f>
        <v>v</v>
      </c>
      <c r="F1858" s="2" t="str">
        <f t="shared" si="84"/>
        <v>v</v>
      </c>
      <c r="G1858" s="2" t="str">
        <f t="shared" si="86"/>
        <v>v</v>
      </c>
      <c r="H1858" s="2" t="str">
        <f t="shared" si="85"/>
        <v>, v, v, v</v>
      </c>
      <c r="I1858" s="2" t="str">
        <f>IF(Return!C1858=0,REPLACE(INDEX(H:H,ROW()+Return!B1858,),1,2,Return!E1858&amp;"(")&amp;")","")</f>
        <v/>
      </c>
      <c r="M1858" s="1"/>
    </row>
    <row r="1859" spans="1:13" x14ac:dyDescent="0.55000000000000004">
      <c r="A1859" s="1" t="s">
        <v>2120</v>
      </c>
      <c r="C1859" s="2">
        <f>Return!C1859</f>
        <v>0</v>
      </c>
      <c r="D1859" s="2">
        <f>COUNTA(Argument!E1859)</f>
        <v>0</v>
      </c>
      <c r="E1859" s="2" t="str">
        <f>IF(C1859,Return!D1859,Return!E1859)</f>
        <v>v</v>
      </c>
      <c r="F1859" s="2" t="str">
        <f t="shared" ref="F1859:F1922" si="87">IF(C1859,IF(D1859,IF(D1858,"["&amp;E1859&amp;"]",E1859),E1859),"")</f>
        <v/>
      </c>
      <c r="G1859" s="2" t="str">
        <f t="shared" si="86"/>
        <v/>
      </c>
      <c r="H1859" s="2" t="str">
        <f t="shared" ref="H1859:H1922" si="88">IF(C1859&gt;0,H1858&amp;", "&amp;G1859,"")</f>
        <v/>
      </c>
      <c r="I1859" s="2" t="str">
        <f>IF(Return!C1859=0,REPLACE(INDEX(H:H,ROW()+Return!B1859,),1,2,Return!E1859&amp;"(")&amp;")","")</f>
        <v>v(v, v, v, v, v)</v>
      </c>
      <c r="M1859" s="1"/>
    </row>
    <row r="1860" spans="1:13" x14ac:dyDescent="0.55000000000000004">
      <c r="A1860" s="1" t="s">
        <v>2120</v>
      </c>
      <c r="B1860" t="s">
        <v>1335</v>
      </c>
      <c r="C1860" s="2">
        <f>Return!C1860</f>
        <v>1</v>
      </c>
      <c r="D1860" s="2">
        <f>COUNTA(Argument!E1860)</f>
        <v>0</v>
      </c>
      <c r="E1860" s="2" t="str">
        <f>IF(C1860,Return!D1860,Return!E1860)</f>
        <v>v</v>
      </c>
      <c r="F1860" s="2" t="str">
        <f t="shared" si="87"/>
        <v>v</v>
      </c>
      <c r="G1860" s="2" t="str">
        <f t="shared" ref="G1860:G1923" si="89">IF(B1860="...",IF(C1861&gt;0,"["&amp;E1860,"…"),IF(B1859=" ...",IF(C1860&gt;0,E1860&amp;"], …",F1860),F1860))</f>
        <v>v</v>
      </c>
      <c r="H1860" s="2" t="str">
        <f t="shared" si="88"/>
        <v>, v</v>
      </c>
      <c r="I1860" s="2" t="str">
        <f>IF(Return!C1860=0,REPLACE(INDEX(H:H,ROW()+Return!B1860,),1,2,Return!E1860&amp;"(")&amp;")","")</f>
        <v/>
      </c>
      <c r="M1860" s="1"/>
    </row>
    <row r="1861" spans="1:13" x14ac:dyDescent="0.55000000000000004">
      <c r="A1861" s="1" t="s">
        <v>2120</v>
      </c>
      <c r="B1861" t="s">
        <v>1336</v>
      </c>
      <c r="C1861" s="2">
        <f>Return!C1861</f>
        <v>2</v>
      </c>
      <c r="D1861" s="2">
        <f>COUNTA(Argument!E1861)</f>
        <v>0</v>
      </c>
      <c r="E1861" s="2" t="str">
        <f>IF(C1861,Return!D1861,Return!E1861)</f>
        <v>v</v>
      </c>
      <c r="F1861" s="2" t="str">
        <f t="shared" si="87"/>
        <v>v</v>
      </c>
      <c r="G1861" s="2" t="str">
        <f t="shared" si="89"/>
        <v>v</v>
      </c>
      <c r="H1861" s="2" t="str">
        <f t="shared" si="88"/>
        <v>, v, v</v>
      </c>
      <c r="I1861" s="2" t="str">
        <f>IF(Return!C1861=0,REPLACE(INDEX(H:H,ROW()+Return!B1861,),1,2,Return!E1861&amp;"(")&amp;")","")</f>
        <v/>
      </c>
      <c r="M1861" s="1"/>
    </row>
    <row r="1862" spans="1:13" x14ac:dyDescent="0.55000000000000004">
      <c r="A1862" s="1" t="s">
        <v>2120</v>
      </c>
      <c r="B1862" t="s">
        <v>1337</v>
      </c>
      <c r="C1862" s="2">
        <f>Return!C1862</f>
        <v>3</v>
      </c>
      <c r="D1862" s="2">
        <f>COUNTA(Argument!E1862)</f>
        <v>0</v>
      </c>
      <c r="E1862" s="2" t="str">
        <f>IF(C1862,Return!D1862,Return!E1862)</f>
        <v>v</v>
      </c>
      <c r="F1862" s="2" t="str">
        <f t="shared" si="87"/>
        <v>v</v>
      </c>
      <c r="G1862" s="2" t="str">
        <f t="shared" si="89"/>
        <v>v</v>
      </c>
      <c r="H1862" s="2" t="str">
        <f t="shared" si="88"/>
        <v>, v, v, v</v>
      </c>
      <c r="I1862" s="2" t="str">
        <f>IF(Return!C1862=0,REPLACE(INDEX(H:H,ROW()+Return!B1862,),1,2,Return!E1862&amp;"(")&amp;")","")</f>
        <v/>
      </c>
      <c r="M1862" s="1"/>
    </row>
    <row r="1863" spans="1:13" x14ac:dyDescent="0.55000000000000004">
      <c r="A1863" s="1" t="s">
        <v>2120</v>
      </c>
      <c r="B1863" t="s">
        <v>1338</v>
      </c>
      <c r="C1863" s="2">
        <f>Return!C1863</f>
        <v>4</v>
      </c>
      <c r="D1863" s="2">
        <f>COUNTA(Argument!E1863)</f>
        <v>0</v>
      </c>
      <c r="E1863" s="2" t="str">
        <f>IF(C1863,Return!D1863,Return!E1863)</f>
        <v>v</v>
      </c>
      <c r="F1863" s="2" t="str">
        <f t="shared" si="87"/>
        <v>v</v>
      </c>
      <c r="G1863" s="2" t="str">
        <f t="shared" si="89"/>
        <v>v</v>
      </c>
      <c r="H1863" s="2" t="str">
        <f t="shared" si="88"/>
        <v>, v, v, v, v</v>
      </c>
      <c r="I1863" s="2" t="str">
        <f>IF(Return!C1863=0,REPLACE(INDEX(H:H,ROW()+Return!B1863,),1,2,Return!E1863&amp;"(")&amp;")","")</f>
        <v/>
      </c>
      <c r="M1863" s="1"/>
    </row>
    <row r="1864" spans="1:13" x14ac:dyDescent="0.55000000000000004">
      <c r="A1864" s="1" t="s">
        <v>2120</v>
      </c>
      <c r="B1864" t="s">
        <v>1325</v>
      </c>
      <c r="C1864" s="2">
        <f>Return!C1864</f>
        <v>5</v>
      </c>
      <c r="D1864" s="2">
        <f>COUNTA(Argument!E1864)</f>
        <v>1</v>
      </c>
      <c r="E1864" s="2" t="str">
        <f>IF(C1864,Return!D1864,Return!E1864)</f>
        <v>v</v>
      </c>
      <c r="F1864" s="2" t="str">
        <f t="shared" si="87"/>
        <v>v</v>
      </c>
      <c r="G1864" s="2" t="str">
        <f t="shared" si="89"/>
        <v>v</v>
      </c>
      <c r="H1864" s="2" t="str">
        <f t="shared" si="88"/>
        <v>, v, v, v, v, v</v>
      </c>
      <c r="I1864" s="2" t="str">
        <f>IF(Return!C1864=0,REPLACE(INDEX(H:H,ROW()+Return!B1864,),1,2,Return!E1864&amp;"(")&amp;")","")</f>
        <v/>
      </c>
      <c r="M1864" s="1"/>
    </row>
    <row r="1865" spans="1:13" x14ac:dyDescent="0.55000000000000004">
      <c r="A1865" s="1" t="s">
        <v>2121</v>
      </c>
      <c r="C1865" s="2">
        <f>Return!C1865</f>
        <v>0</v>
      </c>
      <c r="D1865" s="2">
        <f>COUNTA(Argument!E1865)</f>
        <v>0</v>
      </c>
      <c r="E1865" s="2" t="str">
        <f>IF(C1865,Return!D1865,Return!E1865)</f>
        <v>v</v>
      </c>
      <c r="F1865" s="2" t="str">
        <f t="shared" si="87"/>
        <v/>
      </c>
      <c r="G1865" s="2" t="str">
        <f t="shared" si="89"/>
        <v/>
      </c>
      <c r="H1865" s="2" t="str">
        <f t="shared" si="88"/>
        <v/>
      </c>
      <c r="I1865" s="2" t="str">
        <f>IF(Return!C1865=0,REPLACE(INDEX(H:H,ROW()+Return!B1865,),1,2,Return!E1865&amp;"(")&amp;")","")</f>
        <v>v(v, v, v, v)</v>
      </c>
      <c r="M1865" s="1"/>
    </row>
    <row r="1866" spans="1:13" x14ac:dyDescent="0.55000000000000004">
      <c r="A1866" s="1" t="s">
        <v>2121</v>
      </c>
      <c r="B1866" t="s">
        <v>1316</v>
      </c>
      <c r="C1866" s="2">
        <f>Return!C1866</f>
        <v>1</v>
      </c>
      <c r="D1866" s="2">
        <f>COUNTA(Argument!E1866)</f>
        <v>0</v>
      </c>
      <c r="E1866" s="2" t="str">
        <f>IF(C1866,Return!D1866,Return!E1866)</f>
        <v>v</v>
      </c>
      <c r="F1866" s="2" t="str">
        <f t="shared" si="87"/>
        <v>v</v>
      </c>
      <c r="G1866" s="2" t="str">
        <f t="shared" si="89"/>
        <v>v</v>
      </c>
      <c r="H1866" s="2" t="str">
        <f t="shared" si="88"/>
        <v>, v</v>
      </c>
      <c r="I1866" s="2" t="str">
        <f>IF(Return!C1866=0,REPLACE(INDEX(H:H,ROW()+Return!B1866,),1,2,Return!E1866&amp;"(")&amp;")","")</f>
        <v/>
      </c>
      <c r="M1866" s="1"/>
    </row>
    <row r="1867" spans="1:13" x14ac:dyDescent="0.55000000000000004">
      <c r="A1867" s="1" t="s">
        <v>2121</v>
      </c>
      <c r="B1867" t="s">
        <v>1339</v>
      </c>
      <c r="C1867" s="2">
        <f>Return!C1867</f>
        <v>2</v>
      </c>
      <c r="D1867" s="2">
        <f>COUNTA(Argument!E1867)</f>
        <v>0</v>
      </c>
      <c r="E1867" s="2" t="str">
        <f>IF(C1867,Return!D1867,Return!E1867)</f>
        <v>v</v>
      </c>
      <c r="F1867" s="2" t="str">
        <f t="shared" si="87"/>
        <v>v</v>
      </c>
      <c r="G1867" s="2" t="str">
        <f t="shared" si="89"/>
        <v>v</v>
      </c>
      <c r="H1867" s="2" t="str">
        <f t="shared" si="88"/>
        <v>, v, v</v>
      </c>
      <c r="I1867" s="2" t="str">
        <f>IF(Return!C1867=0,REPLACE(INDEX(H:H,ROW()+Return!B1867,),1,2,Return!E1867&amp;"(")&amp;")","")</f>
        <v/>
      </c>
      <c r="M1867" s="1"/>
    </row>
    <row r="1868" spans="1:13" x14ac:dyDescent="0.55000000000000004">
      <c r="A1868" s="1" t="s">
        <v>2121</v>
      </c>
      <c r="B1868" t="s">
        <v>1328</v>
      </c>
      <c r="C1868" s="2">
        <f>Return!C1868</f>
        <v>3</v>
      </c>
      <c r="D1868" s="2">
        <f>COUNTA(Argument!E1868)</f>
        <v>0</v>
      </c>
      <c r="E1868" s="2" t="str">
        <f>IF(C1868,Return!D1868,Return!E1868)</f>
        <v>v</v>
      </c>
      <c r="F1868" s="2" t="str">
        <f t="shared" si="87"/>
        <v>v</v>
      </c>
      <c r="G1868" s="2" t="str">
        <f t="shared" si="89"/>
        <v>v</v>
      </c>
      <c r="H1868" s="2" t="str">
        <f t="shared" si="88"/>
        <v>, v, v, v</v>
      </c>
      <c r="I1868" s="2" t="str">
        <f>IF(Return!C1868=0,REPLACE(INDEX(H:H,ROW()+Return!B1868,),1,2,Return!E1868&amp;"(")&amp;")","")</f>
        <v/>
      </c>
      <c r="M1868" s="1"/>
    </row>
    <row r="1869" spans="1:13" x14ac:dyDescent="0.55000000000000004">
      <c r="A1869" s="1" t="s">
        <v>2121</v>
      </c>
      <c r="B1869" t="s">
        <v>1325</v>
      </c>
      <c r="C1869" s="2">
        <f>Return!C1869</f>
        <v>4</v>
      </c>
      <c r="D1869" s="2">
        <f>COUNTA(Argument!E1869)</f>
        <v>1</v>
      </c>
      <c r="E1869" s="2" t="str">
        <f>IF(C1869,Return!D1869,Return!E1869)</f>
        <v>v</v>
      </c>
      <c r="F1869" s="2" t="str">
        <f t="shared" si="87"/>
        <v>v</v>
      </c>
      <c r="G1869" s="2" t="str">
        <f t="shared" si="89"/>
        <v>v</v>
      </c>
      <c r="H1869" s="2" t="str">
        <f t="shared" si="88"/>
        <v>, v, v, v, v</v>
      </c>
      <c r="I1869" s="2" t="str">
        <f>IF(Return!C1869=0,REPLACE(INDEX(H:H,ROW()+Return!B1869,),1,2,Return!E1869&amp;"(")&amp;")","")</f>
        <v/>
      </c>
      <c r="M1869" s="1"/>
    </row>
    <row r="1870" spans="1:13" x14ac:dyDescent="0.55000000000000004">
      <c r="A1870" s="1" t="s">
        <v>2122</v>
      </c>
      <c r="C1870" s="2">
        <f>Return!C1870</f>
        <v>0</v>
      </c>
      <c r="D1870" s="2">
        <f>COUNTA(Argument!E1870)</f>
        <v>0</v>
      </c>
      <c r="E1870" s="2" t="str">
        <f>IF(C1870,Return!D1870,Return!E1870)</f>
        <v>v</v>
      </c>
      <c r="F1870" s="2" t="str">
        <f t="shared" si="87"/>
        <v/>
      </c>
      <c r="G1870" s="2" t="str">
        <f t="shared" si="89"/>
        <v/>
      </c>
      <c r="H1870" s="2" t="str">
        <f t="shared" si="88"/>
        <v/>
      </c>
      <c r="I1870" s="2" t="str">
        <f>IF(Return!C1870=0,REPLACE(INDEX(H:H,ROW()+Return!B1870,),1,2,Return!E1870&amp;"(")&amp;")","")</f>
        <v>v(v, v, v)</v>
      </c>
      <c r="M1870" s="1"/>
    </row>
    <row r="1871" spans="1:13" x14ac:dyDescent="0.55000000000000004">
      <c r="A1871" s="1" t="s">
        <v>2122</v>
      </c>
      <c r="B1871" t="s">
        <v>1321</v>
      </c>
      <c r="C1871" s="2">
        <f>Return!C1871</f>
        <v>1</v>
      </c>
      <c r="D1871" s="2">
        <f>COUNTA(Argument!E1871)</f>
        <v>0</v>
      </c>
      <c r="E1871" s="2" t="str">
        <f>IF(C1871,Return!D1871,Return!E1871)</f>
        <v>v</v>
      </c>
      <c r="F1871" s="2" t="str">
        <f t="shared" si="87"/>
        <v>v</v>
      </c>
      <c r="G1871" s="2" t="str">
        <f t="shared" si="89"/>
        <v>v</v>
      </c>
      <c r="H1871" s="2" t="str">
        <f t="shared" si="88"/>
        <v>, v</v>
      </c>
      <c r="I1871" s="2" t="str">
        <f>IF(Return!C1871=0,REPLACE(INDEX(H:H,ROW()+Return!B1871,),1,2,Return!E1871&amp;"(")&amp;")","")</f>
        <v/>
      </c>
      <c r="M1871" s="1"/>
    </row>
    <row r="1872" spans="1:13" x14ac:dyDescent="0.55000000000000004">
      <c r="A1872" s="1" t="s">
        <v>2122</v>
      </c>
      <c r="B1872" t="s">
        <v>1339</v>
      </c>
      <c r="C1872" s="2">
        <f>Return!C1872</f>
        <v>2</v>
      </c>
      <c r="D1872" s="2">
        <f>COUNTA(Argument!E1872)</f>
        <v>0</v>
      </c>
      <c r="E1872" s="2" t="str">
        <f>IF(C1872,Return!D1872,Return!E1872)</f>
        <v>v</v>
      </c>
      <c r="F1872" s="2" t="str">
        <f t="shared" si="87"/>
        <v>v</v>
      </c>
      <c r="G1872" s="2" t="str">
        <f t="shared" si="89"/>
        <v>v</v>
      </c>
      <c r="H1872" s="2" t="str">
        <f t="shared" si="88"/>
        <v>, v, v</v>
      </c>
      <c r="I1872" s="2" t="str">
        <f>IF(Return!C1872=0,REPLACE(INDEX(H:H,ROW()+Return!B1872,),1,2,Return!E1872&amp;"(")&amp;")","")</f>
        <v/>
      </c>
      <c r="M1872" s="1"/>
    </row>
    <row r="1873" spans="1:13" x14ac:dyDescent="0.55000000000000004">
      <c r="A1873" s="1" t="s">
        <v>2122</v>
      </c>
      <c r="B1873" t="s">
        <v>1328</v>
      </c>
      <c r="C1873" s="2">
        <f>Return!C1873</f>
        <v>3</v>
      </c>
      <c r="D1873" s="2">
        <f>COUNTA(Argument!E1873)</f>
        <v>1</v>
      </c>
      <c r="E1873" s="2" t="str">
        <f>IF(C1873,Return!D1873,Return!E1873)</f>
        <v>v</v>
      </c>
      <c r="F1873" s="2" t="str">
        <f t="shared" si="87"/>
        <v>v</v>
      </c>
      <c r="G1873" s="2" t="str">
        <f t="shared" si="89"/>
        <v>v</v>
      </c>
      <c r="H1873" s="2" t="str">
        <f t="shared" si="88"/>
        <v>, v, v, v</v>
      </c>
      <c r="I1873" s="2" t="str">
        <f>IF(Return!C1873=0,REPLACE(INDEX(H:H,ROW()+Return!B1873,),1,2,Return!E1873&amp;"(")&amp;")","")</f>
        <v/>
      </c>
      <c r="M1873" s="1"/>
    </row>
    <row r="1874" spans="1:13" x14ac:dyDescent="0.55000000000000004">
      <c r="A1874" s="1" t="s">
        <v>2123</v>
      </c>
      <c r="C1874" s="2">
        <f>Return!C1874</f>
        <v>0</v>
      </c>
      <c r="D1874" s="2">
        <f>COUNTA(Argument!E1874)</f>
        <v>0</v>
      </c>
      <c r="E1874" s="2" t="str">
        <f>IF(C1874,Return!D1874,Return!E1874)</f>
        <v>v</v>
      </c>
      <c r="F1874" s="2" t="str">
        <f t="shared" si="87"/>
        <v/>
      </c>
      <c r="G1874" s="2" t="str">
        <f t="shared" si="89"/>
        <v/>
      </c>
      <c r="H1874" s="2" t="str">
        <f t="shared" si="88"/>
        <v/>
      </c>
      <c r="I1874" s="2" t="str">
        <f>IF(Return!C1874=0,REPLACE(INDEX(H:H,ROW()+Return!B1874,),1,2,Return!E1874&amp;"(")&amp;")","")</f>
        <v>v(v, v, v, v)</v>
      </c>
      <c r="M1874" s="1"/>
    </row>
    <row r="1875" spans="1:13" x14ac:dyDescent="0.55000000000000004">
      <c r="A1875" s="1" t="s">
        <v>2123</v>
      </c>
      <c r="B1875" t="s">
        <v>1340</v>
      </c>
      <c r="C1875" s="2">
        <f>Return!C1875</f>
        <v>1</v>
      </c>
      <c r="D1875" s="2">
        <f>COUNTA(Argument!E1875)</f>
        <v>0</v>
      </c>
      <c r="E1875" s="2" t="str">
        <f>IF(C1875,Return!D1875,Return!E1875)</f>
        <v>v</v>
      </c>
      <c r="F1875" s="2" t="str">
        <f t="shared" si="87"/>
        <v>v</v>
      </c>
      <c r="G1875" s="2" t="str">
        <f t="shared" si="89"/>
        <v>v</v>
      </c>
      <c r="H1875" s="2" t="str">
        <f t="shared" si="88"/>
        <v>, v</v>
      </c>
      <c r="I1875" s="2" t="str">
        <f>IF(Return!C1875=0,REPLACE(INDEX(H:H,ROW()+Return!B1875,),1,2,Return!E1875&amp;"(")&amp;")","")</f>
        <v/>
      </c>
      <c r="M1875" s="1"/>
    </row>
    <row r="1876" spans="1:13" x14ac:dyDescent="0.55000000000000004">
      <c r="A1876" s="1" t="s">
        <v>2123</v>
      </c>
      <c r="B1876" t="s">
        <v>1322</v>
      </c>
      <c r="C1876" s="2">
        <f>Return!C1876</f>
        <v>2</v>
      </c>
      <c r="D1876" s="2">
        <f>COUNTA(Argument!E1876)</f>
        <v>0</v>
      </c>
      <c r="E1876" s="2" t="str">
        <f>IF(C1876,Return!D1876,Return!E1876)</f>
        <v>v</v>
      </c>
      <c r="F1876" s="2" t="str">
        <f t="shared" si="87"/>
        <v>v</v>
      </c>
      <c r="G1876" s="2" t="str">
        <f t="shared" si="89"/>
        <v>v</v>
      </c>
      <c r="H1876" s="2" t="str">
        <f t="shared" si="88"/>
        <v>, v, v</v>
      </c>
      <c r="I1876" s="2" t="str">
        <f>IF(Return!C1876=0,REPLACE(INDEX(H:H,ROW()+Return!B1876,),1,2,Return!E1876&amp;"(")&amp;")","")</f>
        <v/>
      </c>
      <c r="M1876" s="1"/>
    </row>
    <row r="1877" spans="1:13" x14ac:dyDescent="0.55000000000000004">
      <c r="A1877" s="1" t="s">
        <v>2123</v>
      </c>
      <c r="B1877" t="s">
        <v>1324</v>
      </c>
      <c r="C1877" s="2">
        <f>Return!C1877</f>
        <v>3</v>
      </c>
      <c r="D1877" s="2">
        <f>COUNTA(Argument!E1877)</f>
        <v>0</v>
      </c>
      <c r="E1877" s="2" t="str">
        <f>IF(C1877,Return!D1877,Return!E1877)</f>
        <v>v</v>
      </c>
      <c r="F1877" s="2" t="str">
        <f t="shared" si="87"/>
        <v>v</v>
      </c>
      <c r="G1877" s="2" t="str">
        <f t="shared" si="89"/>
        <v>v</v>
      </c>
      <c r="H1877" s="2" t="str">
        <f t="shared" si="88"/>
        <v>, v, v, v</v>
      </c>
      <c r="I1877" s="2" t="str">
        <f>IF(Return!C1877=0,REPLACE(INDEX(H:H,ROW()+Return!B1877,),1,2,Return!E1877&amp;"(")&amp;")","")</f>
        <v/>
      </c>
      <c r="M1877" s="1"/>
    </row>
    <row r="1878" spans="1:13" x14ac:dyDescent="0.55000000000000004">
      <c r="A1878" s="1" t="s">
        <v>2123</v>
      </c>
      <c r="B1878" t="s">
        <v>1325</v>
      </c>
      <c r="C1878" s="2">
        <f>Return!C1878</f>
        <v>4</v>
      </c>
      <c r="D1878" s="2">
        <f>COUNTA(Argument!E1878)</f>
        <v>1</v>
      </c>
      <c r="E1878" s="2" t="str">
        <f>IF(C1878,Return!D1878,Return!E1878)</f>
        <v>v</v>
      </c>
      <c r="F1878" s="2" t="str">
        <f t="shared" si="87"/>
        <v>v</v>
      </c>
      <c r="G1878" s="2" t="str">
        <f t="shared" si="89"/>
        <v>v</v>
      </c>
      <c r="H1878" s="2" t="str">
        <f t="shared" si="88"/>
        <v>, v, v, v, v</v>
      </c>
      <c r="I1878" s="2" t="str">
        <f>IF(Return!C1878=0,REPLACE(INDEX(H:H,ROW()+Return!B1878,),1,2,Return!E1878&amp;"(")&amp;")","")</f>
        <v/>
      </c>
      <c r="M1878" s="1"/>
    </row>
    <row r="1879" spans="1:13" x14ac:dyDescent="0.55000000000000004">
      <c r="A1879" s="1" t="s">
        <v>2124</v>
      </c>
      <c r="C1879" s="2">
        <f>Return!C1879</f>
        <v>0</v>
      </c>
      <c r="D1879" s="2">
        <f>COUNTA(Argument!E1879)</f>
        <v>0</v>
      </c>
      <c r="E1879" s="2" t="str">
        <f>IF(C1879,Return!D1879,Return!E1879)</f>
        <v>v</v>
      </c>
      <c r="F1879" s="2" t="str">
        <f t="shared" si="87"/>
        <v/>
      </c>
      <c r="G1879" s="2" t="str">
        <f t="shared" si="89"/>
        <v/>
      </c>
      <c r="H1879" s="2" t="str">
        <f t="shared" si="88"/>
        <v/>
      </c>
      <c r="I1879" s="2" t="str">
        <f>IF(Return!C1879=0,REPLACE(INDEX(H:H,ROW()+Return!B1879,),1,2,Return!E1879&amp;"(")&amp;")","")</f>
        <v>v(v, v)</v>
      </c>
      <c r="M1879" s="1"/>
    </row>
    <row r="1880" spans="1:13" x14ac:dyDescent="0.55000000000000004">
      <c r="A1880" s="1" t="s">
        <v>2124</v>
      </c>
      <c r="B1880" t="s">
        <v>1341</v>
      </c>
      <c r="C1880" s="2">
        <f>Return!C1880</f>
        <v>1</v>
      </c>
      <c r="D1880" s="2">
        <f>COUNTA(Argument!E1880)</f>
        <v>0</v>
      </c>
      <c r="E1880" s="2" t="str">
        <f>IF(C1880,Return!D1880,Return!E1880)</f>
        <v>v</v>
      </c>
      <c r="F1880" s="2" t="str">
        <f t="shared" si="87"/>
        <v>v</v>
      </c>
      <c r="G1880" s="2" t="str">
        <f t="shared" si="89"/>
        <v>v</v>
      </c>
      <c r="H1880" s="2" t="str">
        <f t="shared" si="88"/>
        <v>, v</v>
      </c>
      <c r="I1880" s="2" t="str">
        <f>IF(Return!C1880=0,REPLACE(INDEX(H:H,ROW()+Return!B1880,),1,2,Return!E1880&amp;"(")&amp;")","")</f>
        <v/>
      </c>
      <c r="M1880" s="1"/>
    </row>
    <row r="1881" spans="1:13" x14ac:dyDescent="0.55000000000000004">
      <c r="A1881" s="1" t="s">
        <v>2124</v>
      </c>
      <c r="B1881" t="s">
        <v>1325</v>
      </c>
      <c r="C1881" s="2">
        <f>Return!C1881</f>
        <v>2</v>
      </c>
      <c r="D1881" s="2">
        <f>COUNTA(Argument!E1881)</f>
        <v>1</v>
      </c>
      <c r="E1881" s="2" t="str">
        <f>IF(C1881,Return!D1881,Return!E1881)</f>
        <v>v</v>
      </c>
      <c r="F1881" s="2" t="str">
        <f t="shared" si="87"/>
        <v>v</v>
      </c>
      <c r="G1881" s="2" t="str">
        <f t="shared" si="89"/>
        <v>v</v>
      </c>
      <c r="H1881" s="2" t="str">
        <f t="shared" si="88"/>
        <v>, v, v</v>
      </c>
      <c r="I1881" s="2" t="str">
        <f>IF(Return!C1881=0,REPLACE(INDEX(H:H,ROW()+Return!B1881,),1,2,Return!E1881&amp;"(")&amp;")","")</f>
        <v/>
      </c>
      <c r="M1881" s="1"/>
    </row>
    <row r="1882" spans="1:13" x14ac:dyDescent="0.55000000000000004">
      <c r="A1882" s="1" t="s">
        <v>2125</v>
      </c>
      <c r="C1882" s="2">
        <f>Return!C1882</f>
        <v>0</v>
      </c>
      <c r="D1882" s="2">
        <f>COUNTA(Argument!E1882)</f>
        <v>0</v>
      </c>
      <c r="E1882" s="2" t="str">
        <f>IF(C1882,Return!D1882,Return!E1882)</f>
        <v>v</v>
      </c>
      <c r="F1882" s="2" t="str">
        <f t="shared" si="87"/>
        <v/>
      </c>
      <c r="G1882" s="2" t="str">
        <f t="shared" si="89"/>
        <v/>
      </c>
      <c r="H1882" s="2" t="str">
        <f t="shared" si="88"/>
        <v/>
      </c>
      <c r="I1882" s="2" t="str">
        <f>IF(Return!C1882=0,REPLACE(INDEX(H:H,ROW()+Return!B1882,),1,2,Return!E1882&amp;"(")&amp;")","")</f>
        <v>v(v)</v>
      </c>
      <c r="M1882" s="1"/>
    </row>
    <row r="1883" spans="1:13" x14ac:dyDescent="0.55000000000000004">
      <c r="A1883" s="1" t="s">
        <v>2125</v>
      </c>
      <c r="B1883" t="s">
        <v>1321</v>
      </c>
      <c r="C1883" s="2">
        <f>Return!C1883</f>
        <v>1</v>
      </c>
      <c r="D1883" s="2">
        <f>COUNTA(Argument!E1883)</f>
        <v>1</v>
      </c>
      <c r="E1883" s="2" t="str">
        <f>IF(C1883,Return!D1883,Return!E1883)</f>
        <v>v</v>
      </c>
      <c r="F1883" s="2" t="str">
        <f t="shared" si="87"/>
        <v>v</v>
      </c>
      <c r="G1883" s="2" t="str">
        <f t="shared" si="89"/>
        <v>v</v>
      </c>
      <c r="H1883" s="2" t="str">
        <f t="shared" si="88"/>
        <v>, v</v>
      </c>
      <c r="I1883" s="2" t="str">
        <f>IF(Return!C1883=0,REPLACE(INDEX(H:H,ROW()+Return!B1883,),1,2,Return!E1883&amp;"(")&amp;")","")</f>
        <v/>
      </c>
      <c r="M1883" s="1"/>
    </row>
    <row r="1884" spans="1:13" x14ac:dyDescent="0.55000000000000004">
      <c r="A1884" s="1" t="s">
        <v>2126</v>
      </c>
      <c r="C1884" s="2">
        <f>Return!C1884</f>
        <v>0</v>
      </c>
      <c r="D1884" s="2">
        <f>COUNTA(Argument!E1884)</f>
        <v>0</v>
      </c>
      <c r="E1884" s="2" t="str">
        <f>IF(C1884,Return!D1884,Return!E1884)</f>
        <v>v</v>
      </c>
      <c r="F1884" s="2" t="str">
        <f t="shared" si="87"/>
        <v/>
      </c>
      <c r="G1884" s="2" t="str">
        <f t="shared" si="89"/>
        <v/>
      </c>
      <c r="H1884" s="2" t="str">
        <f t="shared" si="88"/>
        <v/>
      </c>
      <c r="I1884" s="2" t="str">
        <f>IF(Return!C1884=0,REPLACE(INDEX(H:H,ROW()+Return!B1884,),1,2,Return!E1884&amp;"(")&amp;")","")</f>
        <v>v(a, a, v, v)</v>
      </c>
      <c r="M1884" s="1"/>
    </row>
    <row r="1885" spans="1:13" x14ac:dyDescent="0.55000000000000004">
      <c r="A1885" s="1" t="s">
        <v>2126</v>
      </c>
      <c r="B1885" t="s">
        <v>1298</v>
      </c>
      <c r="C1885" s="2">
        <f>Return!C1885</f>
        <v>1</v>
      </c>
      <c r="D1885" s="2">
        <f>COUNTA(Argument!E1885)</f>
        <v>0</v>
      </c>
      <c r="E1885" s="2" t="str">
        <f>IF(C1885,Return!D1885,Return!E1885)</f>
        <v>a</v>
      </c>
      <c r="F1885" s="2" t="str">
        <f t="shared" si="87"/>
        <v>a</v>
      </c>
      <c r="G1885" s="2" t="str">
        <f t="shared" si="89"/>
        <v>a</v>
      </c>
      <c r="H1885" s="2" t="str">
        <f t="shared" si="88"/>
        <v>, a</v>
      </c>
      <c r="I1885" s="2" t="str">
        <f>IF(Return!C1885=0,REPLACE(INDEX(H:H,ROW()+Return!B1885,),1,2,Return!E1885&amp;"(")&amp;")","")</f>
        <v/>
      </c>
      <c r="M1885" s="1"/>
    </row>
    <row r="1886" spans="1:13" x14ac:dyDescent="0.55000000000000004">
      <c r="A1886" s="1" t="s">
        <v>2126</v>
      </c>
      <c r="B1886" t="s">
        <v>1299</v>
      </c>
      <c r="C1886" s="2">
        <f>Return!C1886</f>
        <v>2</v>
      </c>
      <c r="D1886" s="2">
        <f>COUNTA(Argument!E1886)</f>
        <v>0</v>
      </c>
      <c r="E1886" s="2" t="str">
        <f>IF(C1886,Return!D1886,Return!E1886)</f>
        <v>a</v>
      </c>
      <c r="F1886" s="2" t="str">
        <f t="shared" si="87"/>
        <v>a</v>
      </c>
      <c r="G1886" s="2" t="str">
        <f t="shared" si="89"/>
        <v>a</v>
      </c>
      <c r="H1886" s="2" t="str">
        <f t="shared" si="88"/>
        <v>, a, a</v>
      </c>
      <c r="I1886" s="2" t="str">
        <f>IF(Return!C1886=0,REPLACE(INDEX(H:H,ROW()+Return!B1886,),1,2,Return!E1886&amp;"(")&amp;")","")</f>
        <v/>
      </c>
      <c r="M1886" s="1"/>
    </row>
    <row r="1887" spans="1:13" x14ac:dyDescent="0.55000000000000004">
      <c r="A1887" s="1" t="s">
        <v>2126</v>
      </c>
      <c r="B1887" t="s">
        <v>1342</v>
      </c>
      <c r="C1887" s="2">
        <f>Return!C1887</f>
        <v>3</v>
      </c>
      <c r="D1887" s="2">
        <f>COUNTA(Argument!E1887)</f>
        <v>0</v>
      </c>
      <c r="E1887" s="2" t="str">
        <f>IF(C1887,Return!D1887,Return!E1887)</f>
        <v>v</v>
      </c>
      <c r="F1887" s="2" t="str">
        <f t="shared" si="87"/>
        <v>v</v>
      </c>
      <c r="G1887" s="2" t="str">
        <f t="shared" si="89"/>
        <v>v</v>
      </c>
      <c r="H1887" s="2" t="str">
        <f t="shared" si="88"/>
        <v>, a, a, v</v>
      </c>
      <c r="I1887" s="2" t="str">
        <f>IF(Return!C1887=0,REPLACE(INDEX(H:H,ROW()+Return!B1887,),1,2,Return!E1887&amp;"(")&amp;")","")</f>
        <v/>
      </c>
      <c r="M1887" s="1"/>
    </row>
    <row r="1888" spans="1:13" x14ac:dyDescent="0.55000000000000004">
      <c r="A1888" s="1" t="s">
        <v>2126</v>
      </c>
      <c r="B1888" t="s">
        <v>1252</v>
      </c>
      <c r="C1888" s="2">
        <f>Return!C1888</f>
        <v>4</v>
      </c>
      <c r="D1888" s="2">
        <f>COUNTA(Argument!E1888)</f>
        <v>1</v>
      </c>
      <c r="E1888" s="2" t="str">
        <f>IF(C1888,Return!D1888,Return!E1888)</f>
        <v>v</v>
      </c>
      <c r="F1888" s="2" t="str">
        <f t="shared" si="87"/>
        <v>v</v>
      </c>
      <c r="G1888" s="2" t="str">
        <f t="shared" si="89"/>
        <v>v</v>
      </c>
      <c r="H1888" s="2" t="str">
        <f t="shared" si="88"/>
        <v>, a, a, v, v</v>
      </c>
      <c r="I1888" s="2" t="str">
        <f>IF(Return!C1888=0,REPLACE(INDEX(H:H,ROW()+Return!B1888,),1,2,Return!E1888&amp;"(")&amp;")","")</f>
        <v/>
      </c>
      <c r="M1888" s="1"/>
    </row>
    <row r="1889" spans="1:13" x14ac:dyDescent="0.55000000000000004">
      <c r="A1889" s="1" t="s">
        <v>2127</v>
      </c>
      <c r="C1889" s="2">
        <f>Return!C1889</f>
        <v>0</v>
      </c>
      <c r="D1889" s="2">
        <f>COUNTA(Argument!E1889)</f>
        <v>0</v>
      </c>
      <c r="E1889" s="2" t="str">
        <f>IF(C1889,Return!D1889,Return!E1889)</f>
        <v>v</v>
      </c>
      <c r="F1889" s="2" t="str">
        <f t="shared" si="87"/>
        <v/>
      </c>
      <c r="G1889" s="2" t="str">
        <f t="shared" si="89"/>
        <v/>
      </c>
      <c r="H1889" s="2" t="str">
        <f t="shared" si="88"/>
        <v/>
      </c>
      <c r="I1889" s="2" t="str">
        <f>IF(Return!C1889=0,REPLACE(INDEX(H:H,ROW()+Return!B1889,),1,2,Return!E1889&amp;"(")&amp;")","")</f>
        <v>v(var, v, [v])</v>
      </c>
      <c r="M1889" s="1"/>
    </row>
    <row r="1890" spans="1:13" x14ac:dyDescent="0.55000000000000004">
      <c r="A1890" s="1" t="s">
        <v>2127</v>
      </c>
      <c r="B1890" t="s">
        <v>1230</v>
      </c>
      <c r="C1890" s="2">
        <f>Return!C1890</f>
        <v>1</v>
      </c>
      <c r="D1890" s="2">
        <f>COUNTA(Argument!E1890)</f>
        <v>0</v>
      </c>
      <c r="E1890" s="2" t="str">
        <f>IF(C1890,Return!D1890,Return!E1890)</f>
        <v>var</v>
      </c>
      <c r="F1890" s="2" t="str">
        <f t="shared" si="87"/>
        <v>var</v>
      </c>
      <c r="G1890" s="2" t="str">
        <f t="shared" si="89"/>
        <v>var</v>
      </c>
      <c r="H1890" s="2" t="str">
        <f t="shared" si="88"/>
        <v>, var</v>
      </c>
      <c r="I1890" s="2" t="str">
        <f>IF(Return!C1890=0,REPLACE(INDEX(H:H,ROW()+Return!B1890,),1,2,Return!E1890&amp;"(")&amp;")","")</f>
        <v/>
      </c>
      <c r="M1890" s="1"/>
    </row>
    <row r="1891" spans="1:13" x14ac:dyDescent="0.55000000000000004">
      <c r="A1891" s="1" t="s">
        <v>2127</v>
      </c>
      <c r="B1891" t="s">
        <v>1316</v>
      </c>
      <c r="C1891" s="2">
        <f>Return!C1891</f>
        <v>2</v>
      </c>
      <c r="D1891" s="2">
        <f>COUNTA(Argument!E1891)</f>
        <v>1</v>
      </c>
      <c r="E1891" s="2" t="str">
        <f>IF(C1891,Return!D1891,Return!E1891)</f>
        <v>v</v>
      </c>
      <c r="F1891" s="2" t="str">
        <f t="shared" si="87"/>
        <v>v</v>
      </c>
      <c r="G1891" s="2" t="str">
        <f t="shared" si="89"/>
        <v>v</v>
      </c>
      <c r="H1891" s="2" t="str">
        <f t="shared" si="88"/>
        <v>, var, v</v>
      </c>
      <c r="I1891" s="2" t="str">
        <f>IF(Return!C1891=0,REPLACE(INDEX(H:H,ROW()+Return!B1891,),1,2,Return!E1891&amp;"(")&amp;")","")</f>
        <v/>
      </c>
      <c r="M1891" s="1"/>
    </row>
    <row r="1892" spans="1:13" x14ac:dyDescent="0.55000000000000004">
      <c r="A1892" s="1" t="s">
        <v>2127</v>
      </c>
      <c r="B1892" t="s">
        <v>1351</v>
      </c>
      <c r="C1892" s="2">
        <f>Return!C1892</f>
        <v>3</v>
      </c>
      <c r="D1892" s="2">
        <f>COUNTA(Argument!E1892)</f>
        <v>1</v>
      </c>
      <c r="E1892" s="2" t="str">
        <f>IF(C1892,Return!D1892,Return!E1892)</f>
        <v>v</v>
      </c>
      <c r="F1892" s="2" t="str">
        <f t="shared" si="87"/>
        <v>[v]</v>
      </c>
      <c r="G1892" s="2" t="str">
        <f t="shared" si="89"/>
        <v>[v]</v>
      </c>
      <c r="H1892" s="2" t="str">
        <f t="shared" si="88"/>
        <v>, var, v, [v]</v>
      </c>
      <c r="I1892" s="2" t="str">
        <f>IF(Return!C1892=0,REPLACE(INDEX(H:H,ROW()+Return!B1892,),1,2,Return!E1892&amp;"(")&amp;")","")</f>
        <v/>
      </c>
      <c r="M1892" s="1"/>
    </row>
    <row r="1893" spans="1:13" x14ac:dyDescent="0.55000000000000004">
      <c r="A1893" s="1" t="s">
        <v>2128</v>
      </c>
      <c r="C1893" s="2">
        <f>Return!C1893</f>
        <v>0</v>
      </c>
      <c r="D1893" s="2">
        <f>COUNTA(Argument!E1893)</f>
        <v>0</v>
      </c>
      <c r="E1893" s="2" t="str">
        <f>IF(C1893,Return!D1893,Return!E1893)</f>
        <v>v</v>
      </c>
      <c r="F1893" s="2" t="str">
        <f t="shared" si="87"/>
        <v/>
      </c>
      <c r="G1893" s="2" t="str">
        <f t="shared" si="89"/>
        <v/>
      </c>
      <c r="H1893" s="2" t="str">
        <f t="shared" si="88"/>
        <v/>
      </c>
      <c r="I1893" s="2" t="str">
        <f>IF(Return!C1893=0,REPLACE(INDEX(H:H,ROW()+Return!B1893,),1,2,Return!E1893&amp;"(")&amp;")","")</f>
        <v>v(vr)</v>
      </c>
      <c r="M1893" s="1"/>
    </row>
    <row r="1894" spans="1:13" x14ac:dyDescent="0.55000000000000004">
      <c r="A1894" s="1" t="s">
        <v>2128</v>
      </c>
      <c r="B1894" t="s">
        <v>1435</v>
      </c>
      <c r="C1894" s="2">
        <f>Return!C1894</f>
        <v>1</v>
      </c>
      <c r="D1894" s="2">
        <f>COUNTA(Argument!E1894)</f>
        <v>1</v>
      </c>
      <c r="E1894" s="2" t="str">
        <f>IF(C1894,Return!D1894,Return!E1894)</f>
        <v>vr</v>
      </c>
      <c r="F1894" s="2" t="str">
        <f t="shared" si="87"/>
        <v>vr</v>
      </c>
      <c r="G1894" s="2" t="str">
        <f t="shared" si="89"/>
        <v>vr</v>
      </c>
      <c r="H1894" s="2" t="str">
        <f t="shared" si="88"/>
        <v>, vr</v>
      </c>
      <c r="I1894" s="2" t="str">
        <f>IF(Return!C1894=0,REPLACE(INDEX(H:H,ROW()+Return!B1894,),1,2,Return!E1894&amp;"(")&amp;")","")</f>
        <v/>
      </c>
      <c r="M1894" s="1"/>
    </row>
    <row r="1895" spans="1:13" x14ac:dyDescent="0.55000000000000004">
      <c r="A1895" s="1" t="s">
        <v>2129</v>
      </c>
      <c r="C1895" s="2">
        <f>Return!C1895</f>
        <v>0</v>
      </c>
      <c r="D1895" s="2">
        <f>COUNTA(Argument!E1895)</f>
        <v>0</v>
      </c>
      <c r="E1895" s="2" t="str">
        <f>IF(C1895,Return!D1895,Return!E1895)</f>
        <v>v</v>
      </c>
      <c r="F1895" s="2" t="str">
        <f t="shared" si="87"/>
        <v/>
      </c>
      <c r="G1895" s="2" t="str">
        <f t="shared" si="89"/>
        <v/>
      </c>
      <c r="H1895" s="2" t="str">
        <f t="shared" si="88"/>
        <v/>
      </c>
      <c r="I1895" s="2" t="str">
        <f>IF(Return!C1895=0,REPLACE(INDEX(H:H,ROW()+Return!B1895,),1,2,Return!E1895&amp;"(")&amp;")","")</f>
        <v>v(vr)</v>
      </c>
      <c r="M1895" s="1"/>
    </row>
    <row r="1896" spans="1:13" x14ac:dyDescent="0.55000000000000004">
      <c r="A1896" s="1" t="s">
        <v>2129</v>
      </c>
      <c r="B1896" t="s">
        <v>1435</v>
      </c>
      <c r="C1896" s="2">
        <f>Return!C1896</f>
        <v>1</v>
      </c>
      <c r="D1896" s="2">
        <f>COUNTA(Argument!E1896)</f>
        <v>1</v>
      </c>
      <c r="E1896" s="2" t="str">
        <f>IF(C1896,Return!D1896,Return!E1896)</f>
        <v>vr</v>
      </c>
      <c r="F1896" s="2" t="str">
        <f t="shared" si="87"/>
        <v>vr</v>
      </c>
      <c r="G1896" s="2" t="str">
        <f t="shared" si="89"/>
        <v>vr</v>
      </c>
      <c r="H1896" s="2" t="str">
        <f t="shared" si="88"/>
        <v>, vr</v>
      </c>
      <c r="I1896" s="2" t="str">
        <f>IF(Return!C1896=0,REPLACE(INDEX(H:H,ROW()+Return!B1896,),1,2,Return!E1896&amp;"(")&amp;")","")</f>
        <v/>
      </c>
      <c r="M1896" s="1"/>
    </row>
    <row r="1897" spans="1:13" x14ac:dyDescent="0.55000000000000004">
      <c r="A1897" s="1" t="s">
        <v>2130</v>
      </c>
      <c r="C1897" s="2">
        <f>Return!C1897</f>
        <v>0</v>
      </c>
      <c r="D1897" s="2">
        <f>COUNTA(Argument!E1897)</f>
        <v>0</v>
      </c>
      <c r="E1897" s="2" t="str">
        <f>IF(C1897,Return!D1897,Return!E1897)</f>
        <v>v</v>
      </c>
      <c r="F1897" s="2" t="str">
        <f t="shared" si="87"/>
        <v/>
      </c>
      <c r="G1897" s="2" t="str">
        <f t="shared" si="89"/>
        <v/>
      </c>
      <c r="H1897" s="2" t="str">
        <f t="shared" si="88"/>
        <v/>
      </c>
      <c r="I1897" s="2" t="str">
        <f>IF(Return!C1897=0,REPLACE(INDEX(H:H,ROW()+Return!B1897,),1,2,Return!E1897&amp;"(")&amp;")","")</f>
        <v>v(v)</v>
      </c>
      <c r="M1897" s="1"/>
    </row>
    <row r="1898" spans="1:13" x14ac:dyDescent="0.55000000000000004">
      <c r="A1898" s="1" t="s">
        <v>2130</v>
      </c>
      <c r="B1898" t="s">
        <v>1316</v>
      </c>
      <c r="C1898" s="2">
        <f>Return!C1898</f>
        <v>1</v>
      </c>
      <c r="D1898" s="2">
        <f>COUNTA(Argument!E1898)</f>
        <v>1</v>
      </c>
      <c r="E1898" s="2" t="str">
        <f>IF(C1898,Return!D1898,Return!E1898)</f>
        <v>v</v>
      </c>
      <c r="F1898" s="2" t="str">
        <f t="shared" si="87"/>
        <v>v</v>
      </c>
      <c r="G1898" s="2" t="str">
        <f t="shared" si="89"/>
        <v>v</v>
      </c>
      <c r="H1898" s="2" t="str">
        <f t="shared" si="88"/>
        <v>, v</v>
      </c>
      <c r="I1898" s="2" t="str">
        <f>IF(Return!C1898=0,REPLACE(INDEX(H:H,ROW()+Return!B1898,),1,2,Return!E1898&amp;"(")&amp;")","")</f>
        <v/>
      </c>
      <c r="M1898" s="1"/>
    </row>
    <row r="1899" spans="1:13" x14ac:dyDescent="0.55000000000000004">
      <c r="A1899" s="1" t="s">
        <v>2131</v>
      </c>
      <c r="C1899" s="2">
        <f>Return!C1899</f>
        <v>0</v>
      </c>
      <c r="D1899" s="2">
        <f>COUNTA(Argument!E1899)</f>
        <v>0</v>
      </c>
      <c r="E1899" s="2" t="str">
        <f>IF(C1899,Return!D1899,Return!E1899)</f>
        <v>v</v>
      </c>
      <c r="F1899" s="2" t="str">
        <f t="shared" si="87"/>
        <v/>
      </c>
      <c r="G1899" s="2" t="str">
        <f t="shared" si="89"/>
        <v/>
      </c>
      <c r="H1899" s="2" t="str">
        <f t="shared" si="88"/>
        <v/>
      </c>
      <c r="I1899" s="2" t="str">
        <f>IF(Return!C1899=0,REPLACE(INDEX(H:H,ROW()+Return!B1899,),1,2,Return!E1899&amp;"(")&amp;")","")</f>
        <v>v(v, [v])</v>
      </c>
      <c r="M1899" s="1"/>
    </row>
    <row r="1900" spans="1:13" x14ac:dyDescent="0.55000000000000004">
      <c r="A1900" s="1" t="s">
        <v>2131</v>
      </c>
      <c r="B1900" t="s">
        <v>1223</v>
      </c>
      <c r="C1900" s="2">
        <f>Return!C1900</f>
        <v>1</v>
      </c>
      <c r="D1900" s="2">
        <f>COUNTA(Argument!E1900)</f>
        <v>1</v>
      </c>
      <c r="E1900" s="2" t="str">
        <f>IF(C1900,Return!D1900,Return!E1900)</f>
        <v>v</v>
      </c>
      <c r="F1900" s="2" t="str">
        <f t="shared" si="87"/>
        <v>v</v>
      </c>
      <c r="G1900" s="2" t="str">
        <f t="shared" si="89"/>
        <v>v</v>
      </c>
      <c r="H1900" s="2" t="str">
        <f t="shared" si="88"/>
        <v>, v</v>
      </c>
      <c r="I1900" s="2" t="str">
        <f>IF(Return!C1900=0,REPLACE(INDEX(H:H,ROW()+Return!B1900,),1,2,Return!E1900&amp;"(")&amp;")","")</f>
        <v/>
      </c>
      <c r="M1900" s="1"/>
    </row>
    <row r="1901" spans="1:13" x14ac:dyDescent="0.55000000000000004">
      <c r="A1901" s="1" t="s">
        <v>2131</v>
      </c>
      <c r="B1901" t="s">
        <v>1334</v>
      </c>
      <c r="C1901" s="2">
        <f>Return!C1901</f>
        <v>2</v>
      </c>
      <c r="D1901" s="2">
        <f>COUNTA(Argument!E1901)</f>
        <v>1</v>
      </c>
      <c r="E1901" s="2" t="str">
        <f>IF(C1901,Return!D1901,Return!E1901)</f>
        <v>v</v>
      </c>
      <c r="F1901" s="2" t="str">
        <f t="shared" si="87"/>
        <v>[v]</v>
      </c>
      <c r="G1901" s="2" t="str">
        <f t="shared" si="89"/>
        <v>[v]</v>
      </c>
      <c r="H1901" s="2" t="str">
        <f t="shared" si="88"/>
        <v>, v, [v]</v>
      </c>
      <c r="I1901" s="2" t="str">
        <f>IF(Return!C1901=0,REPLACE(INDEX(H:H,ROW()+Return!B1901,),1,2,Return!E1901&amp;"(")&amp;")","")</f>
        <v/>
      </c>
      <c r="M1901" s="1"/>
    </row>
    <row r="1902" spans="1:13" x14ac:dyDescent="0.55000000000000004">
      <c r="A1902" s="1" t="s">
        <v>2132</v>
      </c>
      <c r="C1902" s="2">
        <f>Return!C1902</f>
        <v>0</v>
      </c>
      <c r="D1902" s="2">
        <f>COUNTA(Argument!E1902)</f>
        <v>0</v>
      </c>
      <c r="E1902" s="2" t="str">
        <f>IF(C1902,Return!D1902,Return!E1902)</f>
        <v>v</v>
      </c>
      <c r="F1902" s="2" t="str">
        <f t="shared" si="87"/>
        <v/>
      </c>
      <c r="G1902" s="2" t="str">
        <f t="shared" si="89"/>
        <v/>
      </c>
      <c r="H1902" s="2" t="str">
        <f t="shared" si="88"/>
        <v/>
      </c>
      <c r="I1902" s="2" t="str">
        <f>IF(Return!C1902=0,REPLACE(INDEX(H:H,ROW()+Return!B1902,),1,2,Return!E1902&amp;"(")&amp;")","")</f>
        <v>v(v, [v])</v>
      </c>
      <c r="M1902" s="1"/>
    </row>
    <row r="1903" spans="1:13" x14ac:dyDescent="0.55000000000000004">
      <c r="A1903" s="1" t="s">
        <v>2132</v>
      </c>
      <c r="B1903" t="s">
        <v>1223</v>
      </c>
      <c r="C1903" s="2">
        <f>Return!C1903</f>
        <v>1</v>
      </c>
      <c r="D1903" s="2">
        <f>COUNTA(Argument!E1903)</f>
        <v>1</v>
      </c>
      <c r="E1903" s="2" t="str">
        <f>IF(C1903,Return!D1903,Return!E1903)</f>
        <v>v</v>
      </c>
      <c r="F1903" s="2" t="str">
        <f t="shared" si="87"/>
        <v>v</v>
      </c>
      <c r="G1903" s="2" t="str">
        <f t="shared" si="89"/>
        <v>v</v>
      </c>
      <c r="H1903" s="2" t="str">
        <f t="shared" si="88"/>
        <v>, v</v>
      </c>
      <c r="I1903" s="2" t="str">
        <f>IF(Return!C1903=0,REPLACE(INDEX(H:H,ROW()+Return!B1903,),1,2,Return!E1903&amp;"(")&amp;")","")</f>
        <v/>
      </c>
      <c r="M1903" s="1"/>
    </row>
    <row r="1904" spans="1:13" x14ac:dyDescent="0.55000000000000004">
      <c r="A1904" s="1" t="s">
        <v>2132</v>
      </c>
      <c r="B1904" t="s">
        <v>1334</v>
      </c>
      <c r="C1904" s="2">
        <f>Return!C1904</f>
        <v>2</v>
      </c>
      <c r="D1904" s="2">
        <f>COUNTA(Argument!E1904)</f>
        <v>1</v>
      </c>
      <c r="E1904" s="2" t="str">
        <f>IF(C1904,Return!D1904,Return!E1904)</f>
        <v>v</v>
      </c>
      <c r="F1904" s="2" t="str">
        <f t="shared" si="87"/>
        <v>[v]</v>
      </c>
      <c r="G1904" s="2" t="str">
        <f t="shared" si="89"/>
        <v>[v]</v>
      </c>
      <c r="H1904" s="2" t="str">
        <f t="shared" si="88"/>
        <v>, v, [v]</v>
      </c>
      <c r="I1904" s="2" t="str">
        <f>IF(Return!C1904=0,REPLACE(INDEX(H:H,ROW()+Return!B1904,),1,2,Return!E1904&amp;"(")&amp;")","")</f>
        <v/>
      </c>
      <c r="M1904" s="1"/>
    </row>
    <row r="1905" spans="1:13" x14ac:dyDescent="0.55000000000000004">
      <c r="A1905" s="1" t="s">
        <v>2133</v>
      </c>
      <c r="C1905" s="2">
        <f>Return!C1905</f>
        <v>0</v>
      </c>
      <c r="D1905" s="2">
        <f>COUNTA(Argument!E1905)</f>
        <v>0</v>
      </c>
      <c r="E1905" s="2" t="str">
        <f>IF(C1905,Return!D1905,Return!E1905)</f>
        <v>v</v>
      </c>
      <c r="F1905" s="2" t="str">
        <f t="shared" si="87"/>
        <v/>
      </c>
      <c r="G1905" s="2" t="str">
        <f t="shared" si="89"/>
        <v/>
      </c>
      <c r="H1905" s="2" t="str">
        <f t="shared" si="88"/>
        <v/>
      </c>
      <c r="I1905" s="2" t="str">
        <f>IF(Return!C1905=0,REPLACE(INDEX(H:H,ROW()+Return!B1905,),1,2,Return!E1905&amp;"(")&amp;")","")</f>
        <v>v(v)</v>
      </c>
      <c r="M1905" s="1"/>
    </row>
    <row r="1906" spans="1:13" x14ac:dyDescent="0.55000000000000004">
      <c r="A1906" s="1" t="s">
        <v>2133</v>
      </c>
      <c r="B1906" t="s">
        <v>1223</v>
      </c>
      <c r="C1906" s="2">
        <f>Return!C1906</f>
        <v>1</v>
      </c>
      <c r="D1906" s="2">
        <f>COUNTA(Argument!E1906)</f>
        <v>1</v>
      </c>
      <c r="E1906" s="2" t="str">
        <f>IF(C1906,Return!D1906,Return!E1906)</f>
        <v>v</v>
      </c>
      <c r="F1906" s="2" t="str">
        <f t="shared" si="87"/>
        <v>v</v>
      </c>
      <c r="G1906" s="2" t="str">
        <f t="shared" si="89"/>
        <v>v</v>
      </c>
      <c r="H1906" s="2" t="str">
        <f t="shared" si="88"/>
        <v>, v</v>
      </c>
      <c r="I1906" s="2" t="str">
        <f>IF(Return!C1906=0,REPLACE(INDEX(H:H,ROW()+Return!B1906,),1,2,Return!E1906&amp;"(")&amp;")","")</f>
        <v/>
      </c>
      <c r="M1906" s="1"/>
    </row>
    <row r="1907" spans="1:13" x14ac:dyDescent="0.55000000000000004">
      <c r="A1907" s="1" t="s">
        <v>2134</v>
      </c>
      <c r="C1907" s="2">
        <f>Return!C1907</f>
        <v>0</v>
      </c>
      <c r="D1907" s="2">
        <f>COUNTA(Argument!E1907)</f>
        <v>0</v>
      </c>
      <c r="E1907" s="2" t="str">
        <f>IF(C1907,Return!D1907,Return!E1907)</f>
        <v>v</v>
      </c>
      <c r="F1907" s="2" t="str">
        <f t="shared" si="87"/>
        <v/>
      </c>
      <c r="G1907" s="2" t="str">
        <f t="shared" si="89"/>
        <v/>
      </c>
      <c r="H1907" s="2" t="str">
        <f t="shared" si="88"/>
        <v/>
      </c>
      <c r="I1907" s="2" t="str">
        <f>IF(Return!C1907=0,REPLACE(INDEX(H:H,ROW()+Return!B1907,),1,2,Return!E1907&amp;"(")&amp;")","")</f>
        <v>v(v)</v>
      </c>
      <c r="M1907" s="1"/>
    </row>
    <row r="1908" spans="1:13" x14ac:dyDescent="0.55000000000000004">
      <c r="A1908" s="1" t="s">
        <v>2134</v>
      </c>
      <c r="B1908" t="s">
        <v>1223</v>
      </c>
      <c r="C1908" s="2">
        <f>Return!C1908</f>
        <v>1</v>
      </c>
      <c r="D1908" s="2">
        <f>COUNTA(Argument!E1908)</f>
        <v>1</v>
      </c>
      <c r="E1908" s="2" t="str">
        <f>IF(C1908,Return!D1908,Return!E1908)</f>
        <v>v</v>
      </c>
      <c r="F1908" s="2" t="str">
        <f t="shared" si="87"/>
        <v>v</v>
      </c>
      <c r="G1908" s="2" t="str">
        <f t="shared" si="89"/>
        <v>v</v>
      </c>
      <c r="H1908" s="2" t="str">
        <f t="shared" si="88"/>
        <v>, v</v>
      </c>
      <c r="I1908" s="2" t="str">
        <f>IF(Return!C1908=0,REPLACE(INDEX(H:H,ROW()+Return!B1908,),1,2,Return!E1908&amp;"(")&amp;")","")</f>
        <v/>
      </c>
      <c r="M1908" s="1"/>
    </row>
    <row r="1909" spans="1:13" x14ac:dyDescent="0.55000000000000004">
      <c r="A1909" s="1" t="s">
        <v>2135</v>
      </c>
      <c r="C1909" s="2">
        <f>Return!C1909</f>
        <v>0</v>
      </c>
      <c r="D1909" s="2">
        <f>COUNTA(Argument!E1909)</f>
        <v>0</v>
      </c>
      <c r="E1909" s="2" t="str">
        <f>IF(C1909,Return!D1909,Return!E1909)</f>
        <v>v</v>
      </c>
      <c r="F1909" s="2" t="str">
        <f t="shared" si="87"/>
        <v/>
      </c>
      <c r="G1909" s="2" t="str">
        <f t="shared" si="89"/>
        <v/>
      </c>
      <c r="H1909" s="2" t="str">
        <f t="shared" si="88"/>
        <v/>
      </c>
      <c r="I1909" s="2" t="str">
        <f>IF(Return!C1909=0,REPLACE(INDEX(H:H,ROW()+Return!B1909,),1,2,Return!E1909&amp;"(")&amp;")","")</f>
        <v>v(v)</v>
      </c>
      <c r="M1909" s="1"/>
    </row>
    <row r="1910" spans="1:13" x14ac:dyDescent="0.55000000000000004">
      <c r="A1910" s="1" t="s">
        <v>2135</v>
      </c>
      <c r="B1910" t="s">
        <v>1223</v>
      </c>
      <c r="C1910" s="2">
        <f>Return!C1910</f>
        <v>1</v>
      </c>
      <c r="D1910" s="2">
        <f>COUNTA(Argument!E1910)</f>
        <v>1</v>
      </c>
      <c r="E1910" s="2" t="str">
        <f>IF(C1910,Return!D1910,Return!E1910)</f>
        <v>v</v>
      </c>
      <c r="F1910" s="2" t="str">
        <f t="shared" si="87"/>
        <v>v</v>
      </c>
      <c r="G1910" s="2" t="str">
        <f t="shared" si="89"/>
        <v>v</v>
      </c>
      <c r="H1910" s="2" t="str">
        <f t="shared" si="88"/>
        <v>, v</v>
      </c>
      <c r="I1910" s="2" t="str">
        <f>IF(Return!C1910=0,REPLACE(INDEX(H:H,ROW()+Return!B1910,),1,2,Return!E1910&amp;"(")&amp;")","")</f>
        <v/>
      </c>
      <c r="M1910" s="1"/>
    </row>
    <row r="1911" spans="1:13" x14ac:dyDescent="0.55000000000000004">
      <c r="A1911" s="1" t="s">
        <v>2136</v>
      </c>
      <c r="C1911" s="2">
        <f>Return!C1911</f>
        <v>0</v>
      </c>
      <c r="D1911" s="2">
        <f>COUNTA(Argument!E1911)</f>
        <v>0</v>
      </c>
      <c r="E1911" s="2" t="str">
        <f>IF(C1911,Return!D1911,Return!E1911)</f>
        <v>v</v>
      </c>
      <c r="F1911" s="2" t="str">
        <f t="shared" si="87"/>
        <v/>
      </c>
      <c r="G1911" s="2" t="str">
        <f t="shared" si="89"/>
        <v/>
      </c>
      <c r="H1911" s="2" t="str">
        <f t="shared" si="88"/>
        <v/>
      </c>
      <c r="I1911" s="2" t="str">
        <f>IF(Return!C1911=0,REPLACE(INDEX(H:H,ROW()+Return!B1911,),1,2,Return!E1911&amp;"(")&amp;")","")</f>
        <v>v(v)</v>
      </c>
      <c r="M1911" s="1"/>
    </row>
    <row r="1912" spans="1:13" x14ac:dyDescent="0.55000000000000004">
      <c r="A1912" s="1" t="s">
        <v>2136</v>
      </c>
      <c r="B1912" t="s">
        <v>1223</v>
      </c>
      <c r="C1912" s="2">
        <f>Return!C1912</f>
        <v>1</v>
      </c>
      <c r="D1912" s="2">
        <f>COUNTA(Argument!E1912)</f>
        <v>1</v>
      </c>
      <c r="E1912" s="2" t="str">
        <f>IF(C1912,Return!D1912,Return!E1912)</f>
        <v>v</v>
      </c>
      <c r="F1912" s="2" t="str">
        <f t="shared" si="87"/>
        <v>v</v>
      </c>
      <c r="G1912" s="2" t="str">
        <f t="shared" si="89"/>
        <v>v</v>
      </c>
      <c r="H1912" s="2" t="str">
        <f t="shared" si="88"/>
        <v>, v</v>
      </c>
      <c r="I1912" s="2" t="str">
        <f>IF(Return!C1912=0,REPLACE(INDEX(H:H,ROW()+Return!B1912,),1,2,Return!E1912&amp;"(")&amp;")","")</f>
        <v/>
      </c>
      <c r="M1912" s="1"/>
    </row>
    <row r="1913" spans="1:13" x14ac:dyDescent="0.55000000000000004">
      <c r="A1913" s="1" t="s">
        <v>2137</v>
      </c>
      <c r="C1913" s="2">
        <f>Return!C1913</f>
        <v>0</v>
      </c>
      <c r="D1913" s="2">
        <f>COUNTA(Argument!E1913)</f>
        <v>0</v>
      </c>
      <c r="E1913" s="2" t="str">
        <f>IF(C1913,Return!D1913,Return!E1913)</f>
        <v>v</v>
      </c>
      <c r="F1913" s="2" t="str">
        <f t="shared" si="87"/>
        <v/>
      </c>
      <c r="G1913" s="2" t="str">
        <f t="shared" si="89"/>
        <v/>
      </c>
      <c r="H1913" s="2" t="str">
        <f t="shared" si="88"/>
        <v/>
      </c>
      <c r="I1913" s="2" t="str">
        <f>IF(Return!C1913=0,REPLACE(INDEX(H:H,ROW()+Return!B1913,),1,2,Return!E1913&amp;"(")&amp;")","")</f>
        <v>v(v)</v>
      </c>
      <c r="M1913" s="1"/>
    </row>
    <row r="1914" spans="1:13" x14ac:dyDescent="0.55000000000000004">
      <c r="A1914" s="1" t="s">
        <v>2137</v>
      </c>
      <c r="B1914" t="s">
        <v>1223</v>
      </c>
      <c r="C1914" s="2">
        <f>Return!C1914</f>
        <v>1</v>
      </c>
      <c r="D1914" s="2">
        <f>COUNTA(Argument!E1914)</f>
        <v>1</v>
      </c>
      <c r="E1914" s="2" t="str">
        <f>IF(C1914,Return!D1914,Return!E1914)</f>
        <v>v</v>
      </c>
      <c r="F1914" s="2" t="str">
        <f t="shared" si="87"/>
        <v>v</v>
      </c>
      <c r="G1914" s="2" t="str">
        <f t="shared" si="89"/>
        <v>v</v>
      </c>
      <c r="H1914" s="2" t="str">
        <f t="shared" si="88"/>
        <v>, v</v>
      </c>
      <c r="I1914" s="2" t="str">
        <f>IF(Return!C1914=0,REPLACE(INDEX(H:H,ROW()+Return!B1914,),1,2,Return!E1914&amp;"(")&amp;")","")</f>
        <v/>
      </c>
      <c r="M1914" s="1"/>
    </row>
    <row r="1915" spans="1:13" x14ac:dyDescent="0.55000000000000004">
      <c r="A1915" s="1" t="s">
        <v>2138</v>
      </c>
      <c r="C1915" s="2">
        <f>Return!C1915</f>
        <v>0</v>
      </c>
      <c r="D1915" s="2">
        <f>COUNTA(Argument!E1915)</f>
        <v>0</v>
      </c>
      <c r="E1915" s="2" t="str">
        <f>IF(C1915,Return!D1915,Return!E1915)</f>
        <v>v</v>
      </c>
      <c r="F1915" s="2" t="str">
        <f t="shared" si="87"/>
        <v/>
      </c>
      <c r="G1915" s="2" t="str">
        <f t="shared" si="89"/>
        <v/>
      </c>
      <c r="H1915" s="2" t="str">
        <f t="shared" si="88"/>
        <v/>
      </c>
      <c r="I1915" s="2" t="str">
        <f>IF(Return!C1915=0,REPLACE(INDEX(H:H,ROW()+Return!B1915,),1,2,Return!E1915&amp;"(")&amp;")","")</f>
        <v>v(v)</v>
      </c>
      <c r="M1915" s="1"/>
    </row>
    <row r="1916" spans="1:13" x14ac:dyDescent="0.55000000000000004">
      <c r="A1916" s="1" t="s">
        <v>2138</v>
      </c>
      <c r="B1916" t="s">
        <v>1223</v>
      </c>
      <c r="C1916" s="2">
        <f>Return!C1916</f>
        <v>1</v>
      </c>
      <c r="D1916" s="2">
        <f>COUNTA(Argument!E1916)</f>
        <v>1</v>
      </c>
      <c r="E1916" s="2" t="str">
        <f>IF(C1916,Return!D1916,Return!E1916)</f>
        <v>v</v>
      </c>
      <c r="F1916" s="2" t="str">
        <f t="shared" si="87"/>
        <v>v</v>
      </c>
      <c r="G1916" s="2" t="str">
        <f t="shared" si="89"/>
        <v>v</v>
      </c>
      <c r="H1916" s="2" t="str">
        <f t="shared" si="88"/>
        <v>, v</v>
      </c>
      <c r="I1916" s="2" t="str">
        <f>IF(Return!C1916=0,REPLACE(INDEX(H:H,ROW()+Return!B1916,),1,2,Return!E1916&amp;"(")&amp;")","")</f>
        <v/>
      </c>
      <c r="M1916" s="1"/>
    </row>
    <row r="1917" spans="1:13" x14ac:dyDescent="0.55000000000000004">
      <c r="A1917" s="1" t="s">
        <v>2139</v>
      </c>
      <c r="C1917" s="2">
        <f>Return!C1917</f>
        <v>0</v>
      </c>
      <c r="D1917" s="2">
        <f>COUNTA(Argument!E1917)</f>
        <v>0</v>
      </c>
      <c r="E1917" s="2" t="str">
        <f>IF(C1917,Return!D1917,Return!E1917)</f>
        <v>v</v>
      </c>
      <c r="F1917" s="2" t="str">
        <f t="shared" si="87"/>
        <v/>
      </c>
      <c r="G1917" s="2" t="str">
        <f t="shared" si="89"/>
        <v/>
      </c>
      <c r="H1917" s="2" t="str">
        <f t="shared" si="88"/>
        <v/>
      </c>
      <c r="I1917" s="2" t="str">
        <f>IF(Return!C1917=0,REPLACE(INDEX(H:H,ROW()+Return!B1917,),1,2,Return!E1917&amp;"(")&amp;")","")</f>
        <v>v(v)</v>
      </c>
      <c r="M1917" s="1"/>
    </row>
    <row r="1918" spans="1:13" x14ac:dyDescent="0.55000000000000004">
      <c r="A1918" s="1" t="s">
        <v>2139</v>
      </c>
      <c r="B1918" t="s">
        <v>1223</v>
      </c>
      <c r="C1918" s="2">
        <f>Return!C1918</f>
        <v>1</v>
      </c>
      <c r="D1918" s="2">
        <f>COUNTA(Argument!E1918)</f>
        <v>1</v>
      </c>
      <c r="E1918" s="2" t="str">
        <f>IF(C1918,Return!D1918,Return!E1918)</f>
        <v>v</v>
      </c>
      <c r="F1918" s="2" t="str">
        <f t="shared" si="87"/>
        <v>v</v>
      </c>
      <c r="G1918" s="2" t="str">
        <f t="shared" si="89"/>
        <v>v</v>
      </c>
      <c r="H1918" s="2" t="str">
        <f t="shared" si="88"/>
        <v>, v</v>
      </c>
      <c r="I1918" s="2" t="str">
        <f>IF(Return!C1918=0,REPLACE(INDEX(H:H,ROW()+Return!B1918,),1,2,Return!E1918&amp;"(")&amp;")","")</f>
        <v/>
      </c>
      <c r="M1918" s="1"/>
    </row>
    <row r="1919" spans="1:13" x14ac:dyDescent="0.55000000000000004">
      <c r="A1919" s="1" t="s">
        <v>2140</v>
      </c>
      <c r="C1919" s="2">
        <f>Return!C1919</f>
        <v>0</v>
      </c>
      <c r="D1919" s="2">
        <f>COUNTA(Argument!E1919)</f>
        <v>0</v>
      </c>
      <c r="E1919" s="2" t="str">
        <f>IF(C1919,Return!D1919,Return!E1919)</f>
        <v>v</v>
      </c>
      <c r="F1919" s="2" t="str">
        <f t="shared" si="87"/>
        <v/>
      </c>
      <c r="G1919" s="2" t="str">
        <f t="shared" si="89"/>
        <v/>
      </c>
      <c r="H1919" s="2" t="str">
        <f t="shared" si="88"/>
        <v/>
      </c>
      <c r="I1919" s="2" t="str">
        <f>IF(Return!C1919=0,REPLACE(INDEX(H:H,ROW()+Return!B1919,),1,2,Return!E1919&amp;"(")&amp;")","")</f>
        <v>v(v)</v>
      </c>
      <c r="M1919" s="1"/>
    </row>
    <row r="1920" spans="1:13" x14ac:dyDescent="0.55000000000000004">
      <c r="A1920" s="1" t="s">
        <v>2140</v>
      </c>
      <c r="B1920" t="s">
        <v>1223</v>
      </c>
      <c r="C1920" s="2">
        <f>Return!C1920</f>
        <v>1</v>
      </c>
      <c r="D1920" s="2">
        <f>COUNTA(Argument!E1920)</f>
        <v>1</v>
      </c>
      <c r="E1920" s="2" t="str">
        <f>IF(C1920,Return!D1920,Return!E1920)</f>
        <v>v</v>
      </c>
      <c r="F1920" s="2" t="str">
        <f t="shared" si="87"/>
        <v>v</v>
      </c>
      <c r="G1920" s="2" t="str">
        <f t="shared" si="89"/>
        <v>v</v>
      </c>
      <c r="H1920" s="2" t="str">
        <f t="shared" si="88"/>
        <v>, v</v>
      </c>
      <c r="I1920" s="2" t="str">
        <f>IF(Return!C1920=0,REPLACE(INDEX(H:H,ROW()+Return!B1920,),1,2,Return!E1920&amp;"(")&amp;")","")</f>
        <v/>
      </c>
      <c r="M1920" s="1"/>
    </row>
    <row r="1921" spans="1:13" x14ac:dyDescent="0.55000000000000004">
      <c r="A1921" s="1" t="s">
        <v>2141</v>
      </c>
      <c r="C1921" s="2">
        <f>Return!C1921</f>
        <v>0</v>
      </c>
      <c r="D1921" s="2">
        <f>COUNTA(Argument!E1921)</f>
        <v>0</v>
      </c>
      <c r="E1921" s="2" t="str">
        <f>IF(C1921,Return!D1921,Return!E1921)</f>
        <v>v</v>
      </c>
      <c r="F1921" s="2" t="str">
        <f t="shared" si="87"/>
        <v/>
      </c>
      <c r="G1921" s="2" t="str">
        <f t="shared" si="89"/>
        <v/>
      </c>
      <c r="H1921" s="2" t="str">
        <f t="shared" si="88"/>
        <v/>
      </c>
      <c r="I1921" s="2" t="str">
        <f>IF(Return!C1921=0,REPLACE(INDEX(H:H,ROW()+Return!B1921,),1,2,Return!E1921&amp;"(")&amp;")","")</f>
        <v>v(vr)</v>
      </c>
      <c r="M1921" s="1"/>
    </row>
    <row r="1922" spans="1:13" x14ac:dyDescent="0.55000000000000004">
      <c r="A1922" s="1" t="s">
        <v>2141</v>
      </c>
      <c r="B1922" t="s">
        <v>1380</v>
      </c>
      <c r="C1922" s="2">
        <f>Return!C1922</f>
        <v>1</v>
      </c>
      <c r="D1922" s="2">
        <f>COUNTA(Argument!E1922)</f>
        <v>1</v>
      </c>
      <c r="E1922" s="2" t="str">
        <f>IF(C1922,Return!D1922,Return!E1922)</f>
        <v>vr</v>
      </c>
      <c r="F1922" s="2" t="str">
        <f t="shared" si="87"/>
        <v>vr</v>
      </c>
      <c r="G1922" s="2" t="str">
        <f t="shared" si="89"/>
        <v>vr</v>
      </c>
      <c r="H1922" s="2" t="str">
        <f t="shared" si="88"/>
        <v>, vr</v>
      </c>
      <c r="I1922" s="2" t="str">
        <f>IF(Return!C1922=0,REPLACE(INDEX(H:H,ROW()+Return!B1922,),1,2,Return!E1922&amp;"(")&amp;")","")</f>
        <v/>
      </c>
      <c r="M1922" s="1"/>
    </row>
    <row r="1923" spans="1:13" x14ac:dyDescent="0.55000000000000004">
      <c r="A1923" s="1" t="s">
        <v>2142</v>
      </c>
      <c r="C1923" s="2">
        <f>Return!C1923</f>
        <v>0</v>
      </c>
      <c r="D1923" s="2">
        <f>COUNTA(Argument!E1923)</f>
        <v>0</v>
      </c>
      <c r="E1923" s="2" t="str">
        <f>IF(C1923,Return!D1923,Return!E1923)</f>
        <v>v</v>
      </c>
      <c r="F1923" s="2" t="str">
        <f t="shared" ref="F1923:F1986" si="90">IF(C1923,IF(D1923,IF(D1922,"["&amp;E1923&amp;"]",E1923),E1923),"")</f>
        <v/>
      </c>
      <c r="G1923" s="2" t="str">
        <f t="shared" si="89"/>
        <v/>
      </c>
      <c r="H1923" s="2" t="str">
        <f t="shared" ref="H1923:H1986" si="91">IF(C1923&gt;0,H1922&amp;", "&amp;G1923,"")</f>
        <v/>
      </c>
      <c r="I1923" s="2" t="str">
        <f>IF(Return!C1923=0,REPLACE(INDEX(H:H,ROW()+Return!B1923,),1,2,Return!E1923&amp;"(")&amp;")","")</f>
        <v>v(vr)</v>
      </c>
      <c r="M1923" s="1"/>
    </row>
    <row r="1924" spans="1:13" x14ac:dyDescent="0.55000000000000004">
      <c r="A1924" s="1" t="s">
        <v>2142</v>
      </c>
      <c r="B1924" t="s">
        <v>1380</v>
      </c>
      <c r="C1924" s="2">
        <f>Return!C1924</f>
        <v>1</v>
      </c>
      <c r="D1924" s="2">
        <f>COUNTA(Argument!E1924)</f>
        <v>1</v>
      </c>
      <c r="E1924" s="2" t="str">
        <f>IF(C1924,Return!D1924,Return!E1924)</f>
        <v>vr</v>
      </c>
      <c r="F1924" s="2" t="str">
        <f t="shared" si="90"/>
        <v>vr</v>
      </c>
      <c r="G1924" s="2" t="str">
        <f t="shared" ref="G1924:G1987" si="92">IF(B1924="...",IF(C1925&gt;0,"["&amp;E1924,"…"),IF(B1923=" ...",IF(C1924&gt;0,E1924&amp;"], …",F1924),F1924))</f>
        <v>vr</v>
      </c>
      <c r="H1924" s="2" t="str">
        <f t="shared" si="91"/>
        <v>, vr</v>
      </c>
      <c r="I1924" s="2" t="str">
        <f>IF(Return!C1924=0,REPLACE(INDEX(H:H,ROW()+Return!B1924,),1,2,Return!E1924&amp;"(")&amp;")","")</f>
        <v/>
      </c>
      <c r="M1924" s="1"/>
    </row>
    <row r="1925" spans="1:13" x14ac:dyDescent="0.55000000000000004">
      <c r="A1925" s="1" t="s">
        <v>2143</v>
      </c>
      <c r="C1925" s="2">
        <f>Return!C1925</f>
        <v>0</v>
      </c>
      <c r="D1925" s="2">
        <f>COUNTA(Argument!E1925)</f>
        <v>0</v>
      </c>
      <c r="E1925" s="2" t="str">
        <f>IF(C1925,Return!D1925,Return!E1925)</f>
        <v>v</v>
      </c>
      <c r="F1925" s="2" t="str">
        <f t="shared" si="90"/>
        <v/>
      </c>
      <c r="G1925" s="2" t="str">
        <f t="shared" si="92"/>
        <v/>
      </c>
      <c r="H1925" s="2" t="str">
        <f t="shared" si="91"/>
        <v/>
      </c>
      <c r="I1925" s="2" t="str">
        <f>IF(Return!C1925=0,REPLACE(INDEX(H:H,ROW()+Return!B1925,),1,2,Return!E1925&amp;"(")&amp;")","")</f>
        <v>v(vr)</v>
      </c>
      <c r="M1925" s="1"/>
    </row>
    <row r="1926" spans="1:13" x14ac:dyDescent="0.55000000000000004">
      <c r="A1926" s="1" t="s">
        <v>2143</v>
      </c>
      <c r="B1926" t="s">
        <v>1380</v>
      </c>
      <c r="C1926" s="2">
        <f>Return!C1926</f>
        <v>1</v>
      </c>
      <c r="D1926" s="2">
        <f>COUNTA(Argument!E1926)</f>
        <v>1</v>
      </c>
      <c r="E1926" s="2" t="str">
        <f>IF(C1926,Return!D1926,Return!E1926)</f>
        <v>vr</v>
      </c>
      <c r="F1926" s="2" t="str">
        <f t="shared" si="90"/>
        <v>vr</v>
      </c>
      <c r="G1926" s="2" t="str">
        <f t="shared" si="92"/>
        <v>vr</v>
      </c>
      <c r="H1926" s="2" t="str">
        <f t="shared" si="91"/>
        <v>, vr</v>
      </c>
      <c r="I1926" s="2" t="str">
        <f>IF(Return!C1926=0,REPLACE(INDEX(H:H,ROW()+Return!B1926,),1,2,Return!E1926&amp;"(")&amp;")","")</f>
        <v/>
      </c>
      <c r="M1926" s="1"/>
    </row>
    <row r="1927" spans="1:13" x14ac:dyDescent="0.55000000000000004">
      <c r="A1927" s="1" t="s">
        <v>2144</v>
      </c>
      <c r="C1927" s="2">
        <f>Return!C1927</f>
        <v>0</v>
      </c>
      <c r="D1927" s="2">
        <f>COUNTA(Argument!E1927)</f>
        <v>0</v>
      </c>
      <c r="E1927" s="2" t="str">
        <f>IF(C1927,Return!D1927,Return!E1927)</f>
        <v>v</v>
      </c>
      <c r="F1927" s="2" t="str">
        <f t="shared" si="90"/>
        <v/>
      </c>
      <c r="G1927" s="2" t="str">
        <f t="shared" si="92"/>
        <v/>
      </c>
      <c r="H1927" s="2" t="str">
        <f t="shared" si="91"/>
        <v/>
      </c>
      <c r="I1927" s="2" t="str">
        <f>IF(Return!C1927=0,REPLACE(INDEX(H:H,ROW()+Return!B1927,),1,2,Return!E1927&amp;"(")&amp;")","")</f>
        <v>v(vr)</v>
      </c>
      <c r="M1927" s="1"/>
    </row>
    <row r="1928" spans="1:13" x14ac:dyDescent="0.55000000000000004">
      <c r="A1928" s="1" t="s">
        <v>2144</v>
      </c>
      <c r="B1928" t="s">
        <v>1380</v>
      </c>
      <c r="C1928" s="2">
        <f>Return!C1928</f>
        <v>1</v>
      </c>
      <c r="D1928" s="2">
        <f>COUNTA(Argument!E1928)</f>
        <v>1</v>
      </c>
      <c r="E1928" s="2" t="str">
        <f>IF(C1928,Return!D1928,Return!E1928)</f>
        <v>vr</v>
      </c>
      <c r="F1928" s="2" t="str">
        <f t="shared" si="90"/>
        <v>vr</v>
      </c>
      <c r="G1928" s="2" t="str">
        <f t="shared" si="92"/>
        <v>vr</v>
      </c>
      <c r="H1928" s="2" t="str">
        <f t="shared" si="91"/>
        <v>, vr</v>
      </c>
      <c r="I1928" s="2" t="str">
        <f>IF(Return!C1928=0,REPLACE(INDEX(H:H,ROW()+Return!B1928,),1,2,Return!E1928&amp;"(")&amp;")","")</f>
        <v/>
      </c>
      <c r="M1928" s="1"/>
    </row>
    <row r="1929" spans="1:13" x14ac:dyDescent="0.55000000000000004">
      <c r="A1929" s="1" t="s">
        <v>2145</v>
      </c>
      <c r="C1929" s="2">
        <f>Return!C1929</f>
        <v>0</v>
      </c>
      <c r="D1929" s="2">
        <f>COUNTA(Argument!E1929)</f>
        <v>0</v>
      </c>
      <c r="E1929" s="2" t="str">
        <f>IF(C1929,Return!D1929,Return!E1929)</f>
        <v>v</v>
      </c>
      <c r="F1929" s="2" t="str">
        <f t="shared" si="90"/>
        <v/>
      </c>
      <c r="G1929" s="2" t="str">
        <f t="shared" si="92"/>
        <v/>
      </c>
      <c r="H1929" s="2" t="str">
        <f t="shared" si="91"/>
        <v/>
      </c>
      <c r="I1929" s="2" t="str">
        <f>IF(Return!C1929=0,REPLACE(INDEX(H:H,ROW()+Return!B1929,),1,2,Return!E1929&amp;"(")&amp;")","")</f>
        <v>v(vr)</v>
      </c>
      <c r="M1929" s="1"/>
    </row>
    <row r="1930" spans="1:13" x14ac:dyDescent="0.55000000000000004">
      <c r="A1930" s="1" t="s">
        <v>2145</v>
      </c>
      <c r="B1930" t="s">
        <v>1380</v>
      </c>
      <c r="C1930" s="2">
        <f>Return!C1930</f>
        <v>1</v>
      </c>
      <c r="D1930" s="2">
        <f>COUNTA(Argument!E1930)</f>
        <v>1</v>
      </c>
      <c r="E1930" s="2" t="str">
        <f>IF(C1930,Return!D1930,Return!E1930)</f>
        <v>vr</v>
      </c>
      <c r="F1930" s="2" t="str">
        <f t="shared" si="90"/>
        <v>vr</v>
      </c>
      <c r="G1930" s="2" t="str">
        <f t="shared" si="92"/>
        <v>vr</v>
      </c>
      <c r="H1930" s="2" t="str">
        <f t="shared" si="91"/>
        <v>, vr</v>
      </c>
      <c r="I1930" s="2" t="str">
        <f>IF(Return!C1930=0,REPLACE(INDEX(H:H,ROW()+Return!B1930,),1,2,Return!E1930&amp;"(")&amp;")","")</f>
        <v/>
      </c>
      <c r="M1930" s="1"/>
    </row>
    <row r="1931" spans="1:13" x14ac:dyDescent="0.55000000000000004">
      <c r="A1931" s="1" t="s">
        <v>2146</v>
      </c>
      <c r="C1931" s="2">
        <f>Return!C1931</f>
        <v>0</v>
      </c>
      <c r="D1931" s="2">
        <f>COUNTA(Argument!E1931)</f>
        <v>0</v>
      </c>
      <c r="E1931" s="2" t="str">
        <f>IF(C1931,Return!D1931,Return!E1931)</f>
        <v>v</v>
      </c>
      <c r="F1931" s="2" t="str">
        <f t="shared" si="90"/>
        <v/>
      </c>
      <c r="G1931" s="2" t="str">
        <f t="shared" si="92"/>
        <v/>
      </c>
      <c r="H1931" s="2" t="str">
        <f t="shared" si="91"/>
        <v/>
      </c>
      <c r="I1931" s="2" t="str">
        <f>IF(Return!C1931=0,REPLACE(INDEX(H:H,ROW()+Return!B1931,),1,2,Return!E1931&amp;"(")&amp;")","")</f>
        <v>v(vr)</v>
      </c>
      <c r="M1931" s="1"/>
    </row>
    <row r="1932" spans="1:13" x14ac:dyDescent="0.55000000000000004">
      <c r="A1932" s="1" t="s">
        <v>2146</v>
      </c>
      <c r="B1932" t="s">
        <v>1380</v>
      </c>
      <c r="C1932" s="2">
        <f>Return!C1932</f>
        <v>1</v>
      </c>
      <c r="D1932" s="2">
        <f>COUNTA(Argument!E1932)</f>
        <v>1</v>
      </c>
      <c r="E1932" s="2" t="str">
        <f>IF(C1932,Return!D1932,Return!E1932)</f>
        <v>vr</v>
      </c>
      <c r="F1932" s="2" t="str">
        <f t="shared" si="90"/>
        <v>vr</v>
      </c>
      <c r="G1932" s="2" t="str">
        <f t="shared" si="92"/>
        <v>vr</v>
      </c>
      <c r="H1932" s="2" t="str">
        <f t="shared" si="91"/>
        <v>, vr</v>
      </c>
      <c r="I1932" s="2" t="str">
        <f>IF(Return!C1932=0,REPLACE(INDEX(H:H,ROW()+Return!B1932,),1,2,Return!E1932&amp;"(")&amp;")","")</f>
        <v/>
      </c>
      <c r="M1932" s="1"/>
    </row>
    <row r="1933" spans="1:13" x14ac:dyDescent="0.55000000000000004">
      <c r="A1933" s="1" t="s">
        <v>2147</v>
      </c>
      <c r="C1933" s="2">
        <f>Return!C1933</f>
        <v>0</v>
      </c>
      <c r="D1933" s="2">
        <f>COUNTA(Argument!E1933)</f>
        <v>0</v>
      </c>
      <c r="E1933" s="2" t="str">
        <f>IF(C1933,Return!D1933,Return!E1933)</f>
        <v>v</v>
      </c>
      <c r="F1933" s="2" t="str">
        <f t="shared" si="90"/>
        <v/>
      </c>
      <c r="G1933" s="2" t="str">
        <f t="shared" si="92"/>
        <v/>
      </c>
      <c r="H1933" s="2" t="str">
        <f t="shared" si="91"/>
        <v/>
      </c>
      <c r="I1933" s="2" t="str">
        <f>IF(Return!C1933=0,REPLACE(INDEX(H:H,ROW()+Return!B1933,),1,2,Return!E1933&amp;"(")&amp;")","")</f>
        <v>v(v, v)</v>
      </c>
      <c r="M1933" s="1"/>
    </row>
    <row r="1934" spans="1:13" x14ac:dyDescent="0.55000000000000004">
      <c r="A1934" s="1" t="s">
        <v>2147</v>
      </c>
      <c r="B1934" t="s">
        <v>1219</v>
      </c>
      <c r="C1934" s="2">
        <f>Return!C1934</f>
        <v>1</v>
      </c>
      <c r="D1934" s="2">
        <f>COUNTA(Argument!E1934)</f>
        <v>0</v>
      </c>
      <c r="E1934" s="2" t="str">
        <f>IF(C1934,Return!D1934,Return!E1934)</f>
        <v>v</v>
      </c>
      <c r="F1934" s="2" t="str">
        <f t="shared" si="90"/>
        <v>v</v>
      </c>
      <c r="G1934" s="2" t="str">
        <f t="shared" si="92"/>
        <v>v</v>
      </c>
      <c r="H1934" s="2" t="str">
        <f t="shared" si="91"/>
        <v>, v</v>
      </c>
      <c r="I1934" s="2" t="str">
        <f>IF(Return!C1934=0,REPLACE(INDEX(H:H,ROW()+Return!B1934,),1,2,Return!E1934&amp;"(")&amp;")","")</f>
        <v/>
      </c>
      <c r="M1934" s="1"/>
    </row>
    <row r="1935" spans="1:13" x14ac:dyDescent="0.55000000000000004">
      <c r="A1935" s="1" t="s">
        <v>2147</v>
      </c>
      <c r="B1935" t="s">
        <v>1220</v>
      </c>
      <c r="C1935" s="2">
        <f>Return!C1935</f>
        <v>2</v>
      </c>
      <c r="D1935" s="2">
        <f>COUNTA(Argument!E1935)</f>
        <v>1</v>
      </c>
      <c r="E1935" s="2" t="str">
        <f>IF(C1935,Return!D1935,Return!E1935)</f>
        <v>v</v>
      </c>
      <c r="F1935" s="2" t="str">
        <f t="shared" si="90"/>
        <v>v</v>
      </c>
      <c r="G1935" s="2" t="str">
        <f t="shared" si="92"/>
        <v>v</v>
      </c>
      <c r="H1935" s="2" t="str">
        <f t="shared" si="91"/>
        <v>, v, v</v>
      </c>
      <c r="I1935" s="2" t="str">
        <f>IF(Return!C1935=0,REPLACE(INDEX(H:H,ROW()+Return!B1935,),1,2,Return!E1935&amp;"(")&amp;")","")</f>
        <v/>
      </c>
      <c r="M1935" s="1"/>
    </row>
    <row r="1936" spans="1:13" x14ac:dyDescent="0.55000000000000004">
      <c r="A1936" s="1" t="s">
        <v>2148</v>
      </c>
      <c r="C1936" s="2">
        <f>Return!C1936</f>
        <v>0</v>
      </c>
      <c r="D1936" s="2">
        <f>COUNTA(Argument!E1936)</f>
        <v>0</v>
      </c>
      <c r="E1936" s="2" t="str">
        <f>IF(C1936,Return!D1936,Return!E1936)</f>
        <v>v</v>
      </c>
      <c r="F1936" s="2" t="str">
        <f t="shared" si="90"/>
        <v/>
      </c>
      <c r="G1936" s="2" t="str">
        <f t="shared" si="92"/>
        <v/>
      </c>
      <c r="H1936" s="2" t="str">
        <f t="shared" si="91"/>
        <v/>
      </c>
      <c r="I1936" s="2" t="str">
        <f>IF(Return!C1936=0,REPLACE(INDEX(H:H,ROW()+Return!B1936,),1,2,Return!E1936&amp;"(")&amp;")","")</f>
        <v>v(v, v)</v>
      </c>
      <c r="M1936" s="1"/>
    </row>
    <row r="1937" spans="1:13" x14ac:dyDescent="0.55000000000000004">
      <c r="A1937" s="1" t="s">
        <v>2148</v>
      </c>
      <c r="B1937" t="s">
        <v>1219</v>
      </c>
      <c r="C1937" s="2">
        <f>Return!C1937</f>
        <v>1</v>
      </c>
      <c r="D1937" s="2">
        <f>COUNTA(Argument!E1937)</f>
        <v>0</v>
      </c>
      <c r="E1937" s="2" t="str">
        <f>IF(C1937,Return!D1937,Return!E1937)</f>
        <v>v</v>
      </c>
      <c r="F1937" s="2" t="str">
        <f t="shared" si="90"/>
        <v>v</v>
      </c>
      <c r="G1937" s="2" t="str">
        <f t="shared" si="92"/>
        <v>v</v>
      </c>
      <c r="H1937" s="2" t="str">
        <f t="shared" si="91"/>
        <v>, v</v>
      </c>
      <c r="I1937" s="2" t="str">
        <f>IF(Return!C1937=0,REPLACE(INDEX(H:H,ROW()+Return!B1937,),1,2,Return!E1937&amp;"(")&amp;")","")</f>
        <v/>
      </c>
      <c r="M1937" s="1"/>
    </row>
    <row r="1938" spans="1:13" x14ac:dyDescent="0.55000000000000004">
      <c r="A1938" s="1" t="s">
        <v>2148</v>
      </c>
      <c r="B1938" t="s">
        <v>1220</v>
      </c>
      <c r="C1938" s="2">
        <f>Return!C1938</f>
        <v>2</v>
      </c>
      <c r="D1938" s="2">
        <f>COUNTA(Argument!E1938)</f>
        <v>1</v>
      </c>
      <c r="E1938" s="2" t="str">
        <f>IF(C1938,Return!D1938,Return!E1938)</f>
        <v>v</v>
      </c>
      <c r="F1938" s="2" t="str">
        <f t="shared" si="90"/>
        <v>v</v>
      </c>
      <c r="G1938" s="2" t="str">
        <f t="shared" si="92"/>
        <v>v</v>
      </c>
      <c r="H1938" s="2" t="str">
        <f t="shared" si="91"/>
        <v>, v, v</v>
      </c>
      <c r="I1938" s="2" t="str">
        <f>IF(Return!C1938=0,REPLACE(INDEX(H:H,ROW()+Return!B1938,),1,2,Return!E1938&amp;"(")&amp;")","")</f>
        <v/>
      </c>
      <c r="M1938" s="1"/>
    </row>
    <row r="1939" spans="1:13" x14ac:dyDescent="0.55000000000000004">
      <c r="A1939" s="1" t="s">
        <v>2149</v>
      </c>
      <c r="C1939" s="2">
        <f>Return!C1939</f>
        <v>0</v>
      </c>
      <c r="D1939" s="2">
        <f>COUNTA(Argument!E1939)</f>
        <v>0</v>
      </c>
      <c r="E1939" s="2" t="str">
        <f>IF(C1939,Return!D1939,Return!E1939)</f>
        <v>v</v>
      </c>
      <c r="F1939" s="2" t="str">
        <f t="shared" si="90"/>
        <v/>
      </c>
      <c r="G1939" s="2" t="str">
        <f t="shared" si="92"/>
        <v/>
      </c>
      <c r="H1939" s="2" t="str">
        <f t="shared" si="91"/>
        <v/>
      </c>
      <c r="I1939" s="2" t="str">
        <f>IF(Return!C1939=0,REPLACE(INDEX(H:H,ROW()+Return!B1939,),1,2,Return!E1939&amp;"(")&amp;")","")</f>
        <v>v(v, v)</v>
      </c>
      <c r="M1939" s="1"/>
    </row>
    <row r="1940" spans="1:13" x14ac:dyDescent="0.55000000000000004">
      <c r="A1940" s="1" t="s">
        <v>2149</v>
      </c>
      <c r="B1940" t="s">
        <v>1219</v>
      </c>
      <c r="C1940" s="2">
        <f>Return!C1940</f>
        <v>1</v>
      </c>
      <c r="D1940" s="2">
        <f>COUNTA(Argument!E1940)</f>
        <v>0</v>
      </c>
      <c r="E1940" s="2" t="str">
        <f>IF(C1940,Return!D1940,Return!E1940)</f>
        <v>v</v>
      </c>
      <c r="F1940" s="2" t="str">
        <f t="shared" si="90"/>
        <v>v</v>
      </c>
      <c r="G1940" s="2" t="str">
        <f t="shared" si="92"/>
        <v>v</v>
      </c>
      <c r="H1940" s="2" t="str">
        <f t="shared" si="91"/>
        <v>, v</v>
      </c>
      <c r="I1940" s="2" t="str">
        <f>IF(Return!C1940=0,REPLACE(INDEX(H:H,ROW()+Return!B1940,),1,2,Return!E1940&amp;"(")&amp;")","")</f>
        <v/>
      </c>
      <c r="M1940" s="1"/>
    </row>
    <row r="1941" spans="1:13" x14ac:dyDescent="0.55000000000000004">
      <c r="A1941" s="1" t="s">
        <v>2149</v>
      </c>
      <c r="B1941" t="s">
        <v>1220</v>
      </c>
      <c r="C1941" s="2">
        <f>Return!C1941</f>
        <v>2</v>
      </c>
      <c r="D1941" s="2">
        <f>COUNTA(Argument!E1941)</f>
        <v>1</v>
      </c>
      <c r="E1941" s="2" t="str">
        <f>IF(C1941,Return!D1941,Return!E1941)</f>
        <v>v</v>
      </c>
      <c r="F1941" s="2" t="str">
        <f t="shared" si="90"/>
        <v>v</v>
      </c>
      <c r="G1941" s="2" t="str">
        <f t="shared" si="92"/>
        <v>v</v>
      </c>
      <c r="H1941" s="2" t="str">
        <f t="shared" si="91"/>
        <v>, v, v</v>
      </c>
      <c r="I1941" s="2" t="str">
        <f>IF(Return!C1941=0,REPLACE(INDEX(H:H,ROW()+Return!B1941,),1,2,Return!E1941&amp;"(")&amp;")","")</f>
        <v/>
      </c>
      <c r="M1941" s="1"/>
    </row>
    <row r="1942" spans="1:13" x14ac:dyDescent="0.55000000000000004">
      <c r="A1942" s="1" t="s">
        <v>2150</v>
      </c>
      <c r="C1942" s="2">
        <f>Return!C1942</f>
        <v>0</v>
      </c>
      <c r="D1942" s="2">
        <f>COUNTA(Argument!E1942)</f>
        <v>0</v>
      </c>
      <c r="E1942" s="2" t="str">
        <f>IF(C1942,Return!D1942,Return!E1942)</f>
        <v>v</v>
      </c>
      <c r="F1942" s="2" t="str">
        <f t="shared" si="90"/>
        <v/>
      </c>
      <c r="G1942" s="2" t="str">
        <f t="shared" si="92"/>
        <v/>
      </c>
      <c r="H1942" s="2" t="str">
        <f t="shared" si="91"/>
        <v/>
      </c>
      <c r="I1942" s="2" t="str">
        <f>IF(Return!C1942=0,REPLACE(INDEX(H:H,ROW()+Return!B1942,),1,2,Return!E1942&amp;"(")&amp;")","")</f>
        <v>v(v, v)</v>
      </c>
      <c r="M1942" s="1"/>
    </row>
    <row r="1943" spans="1:13" x14ac:dyDescent="0.55000000000000004">
      <c r="A1943" s="1" t="s">
        <v>2150</v>
      </c>
      <c r="B1943" t="s">
        <v>1223</v>
      </c>
      <c r="C1943" s="2">
        <f>Return!C1943</f>
        <v>1</v>
      </c>
      <c r="D1943" s="2">
        <f>COUNTA(Argument!E1943)</f>
        <v>0</v>
      </c>
      <c r="E1943" s="2" t="str">
        <f>IF(C1943,Return!D1943,Return!E1943)</f>
        <v>v</v>
      </c>
      <c r="F1943" s="2" t="str">
        <f t="shared" si="90"/>
        <v>v</v>
      </c>
      <c r="G1943" s="2" t="str">
        <f t="shared" si="92"/>
        <v>v</v>
      </c>
      <c r="H1943" s="2" t="str">
        <f t="shared" si="91"/>
        <v>, v</v>
      </c>
      <c r="I1943" s="2" t="str">
        <f>IF(Return!C1943=0,REPLACE(INDEX(H:H,ROW()+Return!B1943,),1,2,Return!E1943&amp;"(")&amp;")","")</f>
        <v/>
      </c>
      <c r="M1943" s="1"/>
    </row>
    <row r="1944" spans="1:13" x14ac:dyDescent="0.55000000000000004">
      <c r="A1944" s="1" t="s">
        <v>2150</v>
      </c>
      <c r="B1944" t="s">
        <v>1436</v>
      </c>
      <c r="C1944" s="2">
        <f>Return!C1944</f>
        <v>2</v>
      </c>
      <c r="D1944" s="2">
        <f>COUNTA(Argument!E1944)</f>
        <v>1</v>
      </c>
      <c r="E1944" s="2" t="str">
        <f>IF(C1944,Return!D1944,Return!E1944)</f>
        <v>v</v>
      </c>
      <c r="F1944" s="2" t="str">
        <f t="shared" si="90"/>
        <v>v</v>
      </c>
      <c r="G1944" s="2" t="str">
        <f t="shared" si="92"/>
        <v>v</v>
      </c>
      <c r="H1944" s="2" t="str">
        <f t="shared" si="91"/>
        <v>, v, v</v>
      </c>
      <c r="I1944" s="2" t="str">
        <f>IF(Return!C1944=0,REPLACE(INDEX(H:H,ROW()+Return!B1944,),1,2,Return!E1944&amp;"(")&amp;")","")</f>
        <v/>
      </c>
      <c r="M1944" s="1"/>
    </row>
    <row r="1945" spans="1:13" x14ac:dyDescent="0.55000000000000004">
      <c r="A1945" s="1" t="s">
        <v>2151</v>
      </c>
      <c r="C1945" s="2">
        <f>Return!C1945</f>
        <v>0</v>
      </c>
      <c r="D1945" s="2">
        <f>COUNTA(Argument!E1945)</f>
        <v>0</v>
      </c>
      <c r="E1945" s="2" t="str">
        <f>IF(C1945,Return!D1945,Return!E1945)</f>
        <v>v</v>
      </c>
      <c r="F1945" s="2" t="str">
        <f t="shared" si="90"/>
        <v/>
      </c>
      <c r="G1945" s="2" t="str">
        <f t="shared" si="92"/>
        <v/>
      </c>
      <c r="H1945" s="2" t="str">
        <f t="shared" si="91"/>
        <v/>
      </c>
      <c r="I1945" s="2" t="str">
        <f>IF(Return!C1945=0,REPLACE(INDEX(H:H,ROW()+Return!B1945,),1,2,Return!E1945&amp;"(")&amp;")","")</f>
        <v>v(v, v)</v>
      </c>
      <c r="M1945" s="1"/>
    </row>
    <row r="1946" spans="1:13" x14ac:dyDescent="0.55000000000000004">
      <c r="A1946" s="1" t="s">
        <v>2151</v>
      </c>
      <c r="B1946" t="s">
        <v>1223</v>
      </c>
      <c r="C1946" s="2">
        <f>Return!C1946</f>
        <v>1</v>
      </c>
      <c r="D1946" s="2">
        <f>COUNTA(Argument!E1946)</f>
        <v>0</v>
      </c>
      <c r="E1946" s="2" t="str">
        <f>IF(C1946,Return!D1946,Return!E1946)</f>
        <v>v</v>
      </c>
      <c r="F1946" s="2" t="str">
        <f t="shared" si="90"/>
        <v>v</v>
      </c>
      <c r="G1946" s="2" t="str">
        <f t="shared" si="92"/>
        <v>v</v>
      </c>
      <c r="H1946" s="2" t="str">
        <f t="shared" si="91"/>
        <v>, v</v>
      </c>
      <c r="I1946" s="2" t="str">
        <f>IF(Return!C1946=0,REPLACE(INDEX(H:H,ROW()+Return!B1946,),1,2,Return!E1946&amp;"(")&amp;")","")</f>
        <v/>
      </c>
      <c r="M1946" s="1"/>
    </row>
    <row r="1947" spans="1:13" x14ac:dyDescent="0.55000000000000004">
      <c r="A1947" s="1" t="s">
        <v>2151</v>
      </c>
      <c r="B1947" t="s">
        <v>1436</v>
      </c>
      <c r="C1947" s="2">
        <f>Return!C1947</f>
        <v>2</v>
      </c>
      <c r="D1947" s="2">
        <f>COUNTA(Argument!E1947)</f>
        <v>1</v>
      </c>
      <c r="E1947" s="2" t="str">
        <f>IF(C1947,Return!D1947,Return!E1947)</f>
        <v>v</v>
      </c>
      <c r="F1947" s="2" t="str">
        <f t="shared" si="90"/>
        <v>v</v>
      </c>
      <c r="G1947" s="2" t="str">
        <f t="shared" si="92"/>
        <v>v</v>
      </c>
      <c r="H1947" s="2" t="str">
        <f t="shared" si="91"/>
        <v>, v, v</v>
      </c>
      <c r="I1947" s="2" t="str">
        <f>IF(Return!C1947=0,REPLACE(INDEX(H:H,ROW()+Return!B1947,),1,2,Return!E1947&amp;"(")&amp;")","")</f>
        <v/>
      </c>
      <c r="M1947" s="1"/>
    </row>
    <row r="1948" spans="1:13" x14ac:dyDescent="0.55000000000000004">
      <c r="A1948" s="1" t="s">
        <v>2152</v>
      </c>
      <c r="C1948" s="2">
        <f>Return!C1948</f>
        <v>0</v>
      </c>
      <c r="D1948" s="2">
        <f>COUNTA(Argument!E1948)</f>
        <v>0</v>
      </c>
      <c r="E1948" s="2" t="str">
        <f>IF(C1948,Return!D1948,Return!E1948)</f>
        <v>v</v>
      </c>
      <c r="F1948" s="2" t="str">
        <f t="shared" si="90"/>
        <v/>
      </c>
      <c r="G1948" s="2" t="str">
        <f t="shared" si="92"/>
        <v/>
      </c>
      <c r="H1948" s="2" t="str">
        <f t="shared" si="91"/>
        <v/>
      </c>
      <c r="I1948" s="2" t="str">
        <f>IF(Return!C1948=0,REPLACE(INDEX(H:H,ROW()+Return!B1948,),1,2,Return!E1948&amp;"(")&amp;")","")</f>
        <v>v(v, v)</v>
      </c>
      <c r="M1948" s="1"/>
    </row>
    <row r="1949" spans="1:13" x14ac:dyDescent="0.55000000000000004">
      <c r="A1949" s="1" t="s">
        <v>2152</v>
      </c>
      <c r="B1949" t="s">
        <v>1223</v>
      </c>
      <c r="C1949" s="2">
        <f>Return!C1949</f>
        <v>1</v>
      </c>
      <c r="D1949" s="2">
        <f>COUNTA(Argument!E1949)</f>
        <v>0</v>
      </c>
      <c r="E1949" s="2" t="str">
        <f>IF(C1949,Return!D1949,Return!E1949)</f>
        <v>v</v>
      </c>
      <c r="F1949" s="2" t="str">
        <f t="shared" si="90"/>
        <v>v</v>
      </c>
      <c r="G1949" s="2" t="str">
        <f t="shared" si="92"/>
        <v>v</v>
      </c>
      <c r="H1949" s="2" t="str">
        <f t="shared" si="91"/>
        <v>, v</v>
      </c>
      <c r="I1949" s="2" t="str">
        <f>IF(Return!C1949=0,REPLACE(INDEX(H:H,ROW()+Return!B1949,),1,2,Return!E1949&amp;"(")&amp;")","")</f>
        <v/>
      </c>
      <c r="M1949" s="1"/>
    </row>
    <row r="1950" spans="1:13" x14ac:dyDescent="0.55000000000000004">
      <c r="A1950" s="1" t="s">
        <v>2152</v>
      </c>
      <c r="B1950" t="s">
        <v>1327</v>
      </c>
      <c r="C1950" s="2">
        <f>Return!C1950</f>
        <v>2</v>
      </c>
      <c r="D1950" s="2">
        <f>COUNTA(Argument!E1950)</f>
        <v>1</v>
      </c>
      <c r="E1950" s="2" t="str">
        <f>IF(C1950,Return!D1950,Return!E1950)</f>
        <v>v</v>
      </c>
      <c r="F1950" s="2" t="str">
        <f t="shared" si="90"/>
        <v>v</v>
      </c>
      <c r="G1950" s="2" t="str">
        <f t="shared" si="92"/>
        <v>v</v>
      </c>
      <c r="H1950" s="2" t="str">
        <f t="shared" si="91"/>
        <v>, v, v</v>
      </c>
      <c r="I1950" s="2" t="str">
        <f>IF(Return!C1950=0,REPLACE(INDEX(H:H,ROW()+Return!B1950,),1,2,Return!E1950&amp;"(")&amp;")","")</f>
        <v/>
      </c>
      <c r="M1950" s="1"/>
    </row>
    <row r="1951" spans="1:13" x14ac:dyDescent="0.55000000000000004">
      <c r="A1951" s="1" t="s">
        <v>2153</v>
      </c>
      <c r="C1951" s="2">
        <f>Return!C1951</f>
        <v>0</v>
      </c>
      <c r="D1951" s="2">
        <f>COUNTA(Argument!E1951)</f>
        <v>0</v>
      </c>
      <c r="E1951" s="2" t="str">
        <f>IF(C1951,Return!D1951,Return!E1951)</f>
        <v>v</v>
      </c>
      <c r="F1951" s="2" t="str">
        <f t="shared" si="90"/>
        <v/>
      </c>
      <c r="G1951" s="2" t="str">
        <f t="shared" si="92"/>
        <v/>
      </c>
      <c r="H1951" s="2" t="str">
        <f t="shared" si="91"/>
        <v/>
      </c>
      <c r="I1951" s="2" t="str">
        <f>IF(Return!C1951=0,REPLACE(INDEX(H:H,ROW()+Return!B1951,),1,2,Return!E1951&amp;"(")&amp;")","")</f>
        <v>v(v, v)</v>
      </c>
      <c r="M1951" s="1"/>
    </row>
    <row r="1952" spans="1:13" x14ac:dyDescent="0.55000000000000004">
      <c r="A1952" s="1" t="s">
        <v>2153</v>
      </c>
      <c r="B1952" t="s">
        <v>1223</v>
      </c>
      <c r="C1952" s="2">
        <f>Return!C1952</f>
        <v>1</v>
      </c>
      <c r="D1952" s="2">
        <f>COUNTA(Argument!E1952)</f>
        <v>0</v>
      </c>
      <c r="E1952" s="2" t="str">
        <f>IF(C1952,Return!D1952,Return!E1952)</f>
        <v>v</v>
      </c>
      <c r="F1952" s="2" t="str">
        <f t="shared" si="90"/>
        <v>v</v>
      </c>
      <c r="G1952" s="2" t="str">
        <f t="shared" si="92"/>
        <v>v</v>
      </c>
      <c r="H1952" s="2" t="str">
        <f t="shared" si="91"/>
        <v>, v</v>
      </c>
      <c r="I1952" s="2" t="str">
        <f>IF(Return!C1952=0,REPLACE(INDEX(H:H,ROW()+Return!B1952,),1,2,Return!E1952&amp;"(")&amp;")","")</f>
        <v/>
      </c>
      <c r="M1952" s="1"/>
    </row>
    <row r="1953" spans="1:13" x14ac:dyDescent="0.55000000000000004">
      <c r="A1953" s="1" t="s">
        <v>2153</v>
      </c>
      <c r="B1953" t="s">
        <v>1327</v>
      </c>
      <c r="C1953" s="2">
        <f>Return!C1953</f>
        <v>2</v>
      </c>
      <c r="D1953" s="2">
        <f>COUNTA(Argument!E1953)</f>
        <v>1</v>
      </c>
      <c r="E1953" s="2" t="str">
        <f>IF(C1953,Return!D1953,Return!E1953)</f>
        <v>v</v>
      </c>
      <c r="F1953" s="2" t="str">
        <f t="shared" si="90"/>
        <v>v</v>
      </c>
      <c r="G1953" s="2" t="str">
        <f t="shared" si="92"/>
        <v>v</v>
      </c>
      <c r="H1953" s="2" t="str">
        <f t="shared" si="91"/>
        <v>, v, v</v>
      </c>
      <c r="I1953" s="2" t="str">
        <f>IF(Return!C1953=0,REPLACE(INDEX(H:H,ROW()+Return!B1953,),1,2,Return!E1953&amp;"(")&amp;")","")</f>
        <v/>
      </c>
      <c r="M1953" s="1"/>
    </row>
    <row r="1954" spans="1:13" x14ac:dyDescent="0.55000000000000004">
      <c r="A1954" s="1" t="s">
        <v>2154</v>
      </c>
      <c r="C1954" s="2">
        <f>Return!C1954</f>
        <v>0</v>
      </c>
      <c r="D1954" s="2">
        <f>COUNTA(Argument!E1954)</f>
        <v>0</v>
      </c>
      <c r="E1954" s="2" t="str">
        <f>IF(C1954,Return!D1954,Return!E1954)</f>
        <v>v</v>
      </c>
      <c r="F1954" s="2" t="str">
        <f t="shared" si="90"/>
        <v/>
      </c>
      <c r="G1954" s="2" t="str">
        <f t="shared" si="92"/>
        <v/>
      </c>
      <c r="H1954" s="2" t="str">
        <f t="shared" si="91"/>
        <v/>
      </c>
      <c r="I1954" s="2" t="str">
        <f>IF(Return!C1954=0,REPLACE(INDEX(H:H,ROW()+Return!B1954,),1,2,Return!E1954&amp;"(")&amp;")","")</f>
        <v>v(var, [var], …)</v>
      </c>
      <c r="M1954" s="1"/>
    </row>
    <row r="1955" spans="1:13" x14ac:dyDescent="0.55000000000000004">
      <c r="A1955" s="1" t="s">
        <v>2154</v>
      </c>
      <c r="B1955" t="s">
        <v>1237</v>
      </c>
      <c r="C1955" s="2">
        <f>Return!C1955</f>
        <v>1</v>
      </c>
      <c r="D1955" s="2">
        <f>COUNTA(Argument!E1955)</f>
        <v>1</v>
      </c>
      <c r="E1955" s="2" t="str">
        <f>IF(C1955,Return!D1955,Return!E1955)</f>
        <v>var</v>
      </c>
      <c r="F1955" s="2" t="str">
        <f t="shared" si="90"/>
        <v>var</v>
      </c>
      <c r="G1955" s="2" t="str">
        <f t="shared" si="92"/>
        <v>var</v>
      </c>
      <c r="H1955" s="2" t="str">
        <f t="shared" si="91"/>
        <v>, var</v>
      </c>
      <c r="I1955" s="2" t="str">
        <f>IF(Return!C1955=0,REPLACE(INDEX(H:H,ROW()+Return!B1955,),1,2,Return!E1955&amp;"(")&amp;")","")</f>
        <v/>
      </c>
      <c r="M1955" s="1"/>
    </row>
    <row r="1956" spans="1:13" x14ac:dyDescent="0.55000000000000004">
      <c r="A1956" s="1" t="s">
        <v>2154</v>
      </c>
      <c r="B1956" t="s">
        <v>1238</v>
      </c>
      <c r="C1956" s="2">
        <f>Return!C1956</f>
        <v>2</v>
      </c>
      <c r="D1956" s="2">
        <f>COUNTA(Argument!E1956)</f>
        <v>1</v>
      </c>
      <c r="E1956" s="2" t="str">
        <f>IF(C1956,Return!D1956,Return!E1956)</f>
        <v>var</v>
      </c>
      <c r="F1956" s="2" t="str">
        <f t="shared" si="90"/>
        <v>[var]</v>
      </c>
      <c r="G1956" s="2" t="str">
        <f t="shared" si="92"/>
        <v>[var]</v>
      </c>
      <c r="H1956" s="2" t="str">
        <f t="shared" si="91"/>
        <v>, var, [var]</v>
      </c>
      <c r="I1956" s="2" t="str">
        <f>IF(Return!C1956=0,REPLACE(INDEX(H:H,ROW()+Return!B1956,),1,2,Return!E1956&amp;"(")&amp;")","")</f>
        <v/>
      </c>
      <c r="M1956" s="1"/>
    </row>
    <row r="1957" spans="1:13" x14ac:dyDescent="0.55000000000000004">
      <c r="A1957" s="1" t="s">
        <v>2154</v>
      </c>
      <c r="B1957" t="s">
        <v>1214</v>
      </c>
      <c r="C1957" s="2">
        <f>Return!C1957</f>
        <v>3</v>
      </c>
      <c r="D1957" s="2">
        <f>COUNTA(Argument!E1957)</f>
        <v>1</v>
      </c>
      <c r="E1957" s="2" t="str">
        <f>IF(C1957,Return!D1957,Return!E1957)</f>
        <v>var</v>
      </c>
      <c r="F1957" s="2" t="str">
        <f t="shared" si="90"/>
        <v>[var]</v>
      </c>
      <c r="G1957" s="2" t="str">
        <f t="shared" si="92"/>
        <v>…</v>
      </c>
      <c r="H1957" s="2" t="str">
        <f t="shared" si="91"/>
        <v>, var, [var], …</v>
      </c>
      <c r="I1957" s="2" t="str">
        <f>IF(Return!C1957=0,REPLACE(INDEX(H:H,ROW()+Return!B1957,),1,2,Return!E1957&amp;"(")&amp;")","")</f>
        <v/>
      </c>
      <c r="M1957" s="1"/>
    </row>
    <row r="1958" spans="1:13" x14ac:dyDescent="0.55000000000000004">
      <c r="A1958" s="1" t="s">
        <v>2155</v>
      </c>
      <c r="C1958" s="2">
        <f>Return!C1958</f>
        <v>0</v>
      </c>
      <c r="D1958" s="2">
        <f>COUNTA(Argument!E1958)</f>
        <v>0</v>
      </c>
      <c r="E1958" s="2" t="str">
        <f>IF(C1958,Return!D1958,Return!E1958)</f>
        <v>v</v>
      </c>
      <c r="F1958" s="2" t="str">
        <f t="shared" si="90"/>
        <v/>
      </c>
      <c r="G1958" s="2" t="str">
        <f t="shared" si="92"/>
        <v/>
      </c>
      <c r="H1958" s="2" t="str">
        <f t="shared" si="91"/>
        <v/>
      </c>
      <c r="I1958" s="2" t="str">
        <f>IF(Return!C1958=0,REPLACE(INDEX(H:H,ROW()+Return!B1958,),1,2,Return!E1958&amp;"(")&amp;")","")</f>
        <v>v(v, v, v)</v>
      </c>
      <c r="M1958" s="1"/>
    </row>
    <row r="1959" spans="1:13" x14ac:dyDescent="0.55000000000000004">
      <c r="A1959" s="1" t="s">
        <v>2155</v>
      </c>
      <c r="B1959" t="s">
        <v>1222</v>
      </c>
      <c r="C1959" s="2">
        <f>Return!C1959</f>
        <v>1</v>
      </c>
      <c r="D1959" s="2">
        <f>COUNTA(Argument!E1959)</f>
        <v>0</v>
      </c>
      <c r="E1959" s="2" t="str">
        <f>IF(C1959,Return!D1959,Return!E1959)</f>
        <v>v</v>
      </c>
      <c r="F1959" s="2" t="str">
        <f t="shared" si="90"/>
        <v>v</v>
      </c>
      <c r="G1959" s="2" t="str">
        <f t="shared" si="92"/>
        <v>v</v>
      </c>
      <c r="H1959" s="2" t="str">
        <f t="shared" si="91"/>
        <v>, v</v>
      </c>
      <c r="I1959" s="2" t="str">
        <f>IF(Return!C1959=0,REPLACE(INDEX(H:H,ROW()+Return!B1959,),1,2,Return!E1959&amp;"(")&amp;")","")</f>
        <v/>
      </c>
      <c r="M1959" s="1"/>
    </row>
    <row r="1960" spans="1:13" x14ac:dyDescent="0.55000000000000004">
      <c r="A1960" s="1" t="s">
        <v>2155</v>
      </c>
      <c r="B1960" t="s">
        <v>1253</v>
      </c>
      <c r="C1960" s="2">
        <f>Return!C1960</f>
        <v>2</v>
      </c>
      <c r="D1960" s="2">
        <f>COUNTA(Argument!E1960)</f>
        <v>0</v>
      </c>
      <c r="E1960" s="2" t="str">
        <f>IF(C1960,Return!D1960,Return!E1960)</f>
        <v>v</v>
      </c>
      <c r="F1960" s="2" t="str">
        <f t="shared" si="90"/>
        <v>v</v>
      </c>
      <c r="G1960" s="2" t="str">
        <f t="shared" si="92"/>
        <v>v</v>
      </c>
      <c r="H1960" s="2" t="str">
        <f t="shared" si="91"/>
        <v>, v, v</v>
      </c>
      <c r="I1960" s="2" t="str">
        <f>IF(Return!C1960=0,REPLACE(INDEX(H:H,ROW()+Return!B1960,),1,2,Return!E1960&amp;"(")&amp;")","")</f>
        <v/>
      </c>
      <c r="M1960" s="1"/>
    </row>
    <row r="1961" spans="1:13" x14ac:dyDescent="0.55000000000000004">
      <c r="A1961" s="1" t="s">
        <v>2155</v>
      </c>
      <c r="B1961" t="s">
        <v>1251</v>
      </c>
      <c r="C1961" s="2">
        <f>Return!C1961</f>
        <v>3</v>
      </c>
      <c r="D1961" s="2">
        <f>COUNTA(Argument!E1961)</f>
        <v>1</v>
      </c>
      <c r="E1961" s="2" t="str">
        <f>IF(C1961,Return!D1961,Return!E1961)</f>
        <v>v</v>
      </c>
      <c r="F1961" s="2" t="str">
        <f t="shared" si="90"/>
        <v>v</v>
      </c>
      <c r="G1961" s="2" t="str">
        <f t="shared" si="92"/>
        <v>v</v>
      </c>
      <c r="H1961" s="2" t="str">
        <f t="shared" si="91"/>
        <v>, v, v, v</v>
      </c>
      <c r="I1961" s="2" t="str">
        <f>IF(Return!C1961=0,REPLACE(INDEX(H:H,ROW()+Return!B1961,),1,2,Return!E1961&amp;"(")&amp;")","")</f>
        <v/>
      </c>
      <c r="M1961" s="1"/>
    </row>
    <row r="1962" spans="1:13" x14ac:dyDescent="0.55000000000000004">
      <c r="A1962" s="1" t="s">
        <v>2156</v>
      </c>
      <c r="C1962" s="2">
        <f>Return!C1962</f>
        <v>0</v>
      </c>
      <c r="D1962" s="2">
        <f>COUNTA(Argument!E1962)</f>
        <v>0</v>
      </c>
      <c r="E1962" s="2" t="str">
        <f>IF(C1962,Return!D1962,Return!E1962)</f>
        <v>v</v>
      </c>
      <c r="F1962" s="2" t="str">
        <f t="shared" si="90"/>
        <v/>
      </c>
      <c r="G1962" s="2" t="str">
        <f t="shared" si="92"/>
        <v/>
      </c>
      <c r="H1962" s="2" t="str">
        <f t="shared" si="91"/>
        <v/>
      </c>
      <c r="I1962" s="2" t="str">
        <f>IF(Return!C1962=0,REPLACE(INDEX(H:H,ROW()+Return!B1962,),1,2,Return!E1962&amp;"(")&amp;")","")</f>
        <v>v(v, v, [v])</v>
      </c>
      <c r="M1962" s="1"/>
    </row>
    <row r="1963" spans="1:13" x14ac:dyDescent="0.55000000000000004">
      <c r="A1963" s="1" t="s">
        <v>2156</v>
      </c>
      <c r="B1963" t="s">
        <v>1223</v>
      </c>
      <c r="C1963" s="2">
        <f>Return!C1963</f>
        <v>1</v>
      </c>
      <c r="D1963" s="2">
        <f>COUNTA(Argument!E1963)</f>
        <v>0</v>
      </c>
      <c r="E1963" s="2" t="str">
        <f>IF(C1963,Return!D1963,Return!E1963)</f>
        <v>v</v>
      </c>
      <c r="F1963" s="2" t="str">
        <f t="shared" si="90"/>
        <v>v</v>
      </c>
      <c r="G1963" s="2" t="str">
        <f t="shared" si="92"/>
        <v>v</v>
      </c>
      <c r="H1963" s="2" t="str">
        <f t="shared" si="91"/>
        <v>, v</v>
      </c>
      <c r="I1963" s="2" t="str">
        <f>IF(Return!C1963=0,REPLACE(INDEX(H:H,ROW()+Return!B1963,),1,2,Return!E1963&amp;"(")&amp;")","")</f>
        <v/>
      </c>
      <c r="M1963" s="1"/>
    </row>
    <row r="1964" spans="1:13" x14ac:dyDescent="0.55000000000000004">
      <c r="A1964" s="1" t="s">
        <v>2156</v>
      </c>
      <c r="B1964" t="s">
        <v>1437</v>
      </c>
      <c r="C1964" s="2">
        <f>Return!C1964</f>
        <v>2</v>
      </c>
      <c r="D1964" s="2">
        <f>COUNTA(Argument!E1964)</f>
        <v>1</v>
      </c>
      <c r="E1964" s="2" t="str">
        <f>IF(C1964,Return!D1964,Return!E1964)</f>
        <v>v</v>
      </c>
      <c r="F1964" s="2" t="str">
        <f t="shared" si="90"/>
        <v>v</v>
      </c>
      <c r="G1964" s="2" t="str">
        <f t="shared" si="92"/>
        <v>v</v>
      </c>
      <c r="H1964" s="2" t="str">
        <f t="shared" si="91"/>
        <v>, v, v</v>
      </c>
      <c r="I1964" s="2" t="str">
        <f>IF(Return!C1964=0,REPLACE(INDEX(H:H,ROW()+Return!B1964,),1,2,Return!E1964&amp;"(")&amp;")","")</f>
        <v/>
      </c>
      <c r="M1964" s="1"/>
    </row>
    <row r="1965" spans="1:13" x14ac:dyDescent="0.55000000000000004">
      <c r="A1965" s="1" t="s">
        <v>2156</v>
      </c>
      <c r="B1965" t="s">
        <v>1438</v>
      </c>
      <c r="C1965" s="2">
        <f>Return!C1965</f>
        <v>3</v>
      </c>
      <c r="D1965" s="2">
        <f>COUNTA(Argument!E1965)</f>
        <v>1</v>
      </c>
      <c r="E1965" s="2" t="str">
        <f>IF(C1965,Return!D1965,Return!E1965)</f>
        <v>v</v>
      </c>
      <c r="F1965" s="2" t="str">
        <f t="shared" si="90"/>
        <v>[v]</v>
      </c>
      <c r="G1965" s="2" t="str">
        <f t="shared" si="92"/>
        <v>[v]</v>
      </c>
      <c r="H1965" s="2" t="str">
        <f t="shared" si="91"/>
        <v>, v, v, [v]</v>
      </c>
      <c r="I1965" s="2" t="str">
        <f>IF(Return!C1965=0,REPLACE(INDEX(H:H,ROW()+Return!B1965,),1,2,Return!E1965&amp;"(")&amp;")","")</f>
        <v/>
      </c>
      <c r="M1965" s="1"/>
    </row>
    <row r="1966" spans="1:13" x14ac:dyDescent="0.55000000000000004">
      <c r="A1966" s="1" t="s">
        <v>2157</v>
      </c>
      <c r="C1966" s="2">
        <f>Return!C1966</f>
        <v>0</v>
      </c>
      <c r="D1966" s="2">
        <f>COUNTA(Argument!E1966)</f>
        <v>0</v>
      </c>
      <c r="E1966" s="2" t="str">
        <f>IF(C1966,Return!D1966,Return!E1966)</f>
        <v>v</v>
      </c>
      <c r="F1966" s="2" t="str">
        <f t="shared" si="90"/>
        <v/>
      </c>
      <c r="G1966" s="2" t="str">
        <f t="shared" si="92"/>
        <v/>
      </c>
      <c r="H1966" s="2" t="str">
        <f t="shared" si="91"/>
        <v/>
      </c>
      <c r="I1966" s="2" t="str">
        <f>IF(Return!C1966=0,REPLACE(INDEX(H:H,ROW()+Return!B1966,),1,2,Return!E1966&amp;"(")&amp;")","")</f>
        <v>v(v, v)</v>
      </c>
      <c r="M1966" s="1"/>
    </row>
    <row r="1967" spans="1:13" x14ac:dyDescent="0.55000000000000004">
      <c r="A1967" s="1" t="s">
        <v>2157</v>
      </c>
      <c r="B1967" t="s">
        <v>1223</v>
      </c>
      <c r="C1967" s="2">
        <f>Return!C1967</f>
        <v>1</v>
      </c>
      <c r="D1967" s="2">
        <f>COUNTA(Argument!E1967)</f>
        <v>0</v>
      </c>
      <c r="E1967" s="2" t="str">
        <f>IF(C1967,Return!D1967,Return!E1967)</f>
        <v>v</v>
      </c>
      <c r="F1967" s="2" t="str">
        <f t="shared" si="90"/>
        <v>v</v>
      </c>
      <c r="G1967" s="2" t="str">
        <f t="shared" si="92"/>
        <v>v</v>
      </c>
      <c r="H1967" s="2" t="str">
        <f t="shared" si="91"/>
        <v>, v</v>
      </c>
      <c r="I1967" s="2" t="str">
        <f>IF(Return!C1967=0,REPLACE(INDEX(H:H,ROW()+Return!B1967,),1,2,Return!E1967&amp;"(")&amp;")","")</f>
        <v/>
      </c>
      <c r="M1967" s="1"/>
    </row>
    <row r="1968" spans="1:13" x14ac:dyDescent="0.55000000000000004">
      <c r="A1968" s="1" t="s">
        <v>2157</v>
      </c>
      <c r="B1968" t="s">
        <v>1437</v>
      </c>
      <c r="C1968" s="2">
        <f>Return!C1968</f>
        <v>2</v>
      </c>
      <c r="D1968" s="2">
        <f>COUNTA(Argument!E1968)</f>
        <v>1</v>
      </c>
      <c r="E1968" s="2" t="str">
        <f>IF(C1968,Return!D1968,Return!E1968)</f>
        <v>v</v>
      </c>
      <c r="F1968" s="2" t="str">
        <f t="shared" si="90"/>
        <v>v</v>
      </c>
      <c r="G1968" s="2" t="str">
        <f t="shared" si="92"/>
        <v>v</v>
      </c>
      <c r="H1968" s="2" t="str">
        <f t="shared" si="91"/>
        <v>, v, v</v>
      </c>
      <c r="I1968" s="2" t="str">
        <f>IF(Return!C1968=0,REPLACE(INDEX(H:H,ROW()+Return!B1968,),1,2,Return!E1968&amp;"(")&amp;")","")</f>
        <v/>
      </c>
      <c r="M1968" s="1"/>
    </row>
    <row r="1969" spans="1:13" x14ac:dyDescent="0.55000000000000004">
      <c r="A1969" s="1" t="s">
        <v>2158</v>
      </c>
      <c r="C1969" s="2">
        <f>Return!C1969</f>
        <v>0</v>
      </c>
      <c r="D1969" s="2">
        <f>COUNTA(Argument!E1969)</f>
        <v>0</v>
      </c>
      <c r="E1969" s="2" t="str">
        <f>IF(C1969,Return!D1969,Return!E1969)</f>
        <v>v</v>
      </c>
      <c r="F1969" s="2" t="str">
        <f t="shared" si="90"/>
        <v/>
      </c>
      <c r="G1969" s="2" t="str">
        <f t="shared" si="92"/>
        <v/>
      </c>
      <c r="H1969" s="2" t="str">
        <f t="shared" si="91"/>
        <v/>
      </c>
      <c r="I1969" s="2" t="str">
        <f>IF(Return!C1969=0,REPLACE(INDEX(H:H,ROW()+Return!B1969,),1,2,Return!E1969&amp;"(")&amp;")","")</f>
        <v>v(v, v)</v>
      </c>
      <c r="M1969" s="1"/>
    </row>
    <row r="1970" spans="1:13" x14ac:dyDescent="0.55000000000000004">
      <c r="A1970" s="1" t="s">
        <v>2158</v>
      </c>
      <c r="B1970" t="s">
        <v>1306</v>
      </c>
      <c r="C1970" s="2">
        <f>Return!C1970</f>
        <v>1</v>
      </c>
      <c r="D1970" s="2">
        <f>COUNTA(Argument!E1970)</f>
        <v>0</v>
      </c>
      <c r="E1970" s="2" t="str">
        <f>IF(C1970,Return!D1970,Return!E1970)</f>
        <v>v</v>
      </c>
      <c r="F1970" s="2" t="str">
        <f t="shared" si="90"/>
        <v>v</v>
      </c>
      <c r="G1970" s="2" t="str">
        <f t="shared" si="92"/>
        <v>v</v>
      </c>
      <c r="H1970" s="2" t="str">
        <f t="shared" si="91"/>
        <v>, v</v>
      </c>
      <c r="I1970" s="2" t="str">
        <f>IF(Return!C1970=0,REPLACE(INDEX(H:H,ROW()+Return!B1970,),1,2,Return!E1970&amp;"(")&amp;")","")</f>
        <v/>
      </c>
      <c r="M1970" s="1"/>
    </row>
    <row r="1971" spans="1:13" x14ac:dyDescent="0.55000000000000004">
      <c r="A1971" s="1" t="s">
        <v>2158</v>
      </c>
      <c r="B1971" t="s">
        <v>1305</v>
      </c>
      <c r="C1971" s="2">
        <f>Return!C1971</f>
        <v>2</v>
      </c>
      <c r="D1971" s="2">
        <f>COUNTA(Argument!E1971)</f>
        <v>1</v>
      </c>
      <c r="E1971" s="2" t="str">
        <f>IF(C1971,Return!D1971,Return!E1971)</f>
        <v>v</v>
      </c>
      <c r="F1971" s="2" t="str">
        <f t="shared" si="90"/>
        <v>v</v>
      </c>
      <c r="G1971" s="2" t="str">
        <f t="shared" si="92"/>
        <v>v</v>
      </c>
      <c r="H1971" s="2" t="str">
        <f t="shared" si="91"/>
        <v>, v, v</v>
      </c>
      <c r="I1971" s="2" t="str">
        <f>IF(Return!C1971=0,REPLACE(INDEX(H:H,ROW()+Return!B1971,),1,2,Return!E1971&amp;"(")&amp;")","")</f>
        <v/>
      </c>
      <c r="M1971" s="1"/>
    </row>
    <row r="1972" spans="1:13" x14ac:dyDescent="0.55000000000000004">
      <c r="A1972" s="1" t="s">
        <v>2159</v>
      </c>
      <c r="C1972" s="2">
        <f>Return!C1972</f>
        <v>0</v>
      </c>
      <c r="D1972" s="2">
        <f>COUNTA(Argument!E1972)</f>
        <v>0</v>
      </c>
      <c r="E1972" s="2" t="str">
        <f>IF(C1972,Return!D1972,Return!E1972)</f>
        <v>v</v>
      </c>
      <c r="F1972" s="2" t="str">
        <f t="shared" si="90"/>
        <v/>
      </c>
      <c r="G1972" s="2" t="str">
        <f t="shared" si="92"/>
        <v/>
      </c>
      <c r="H1972" s="2" t="str">
        <f t="shared" si="91"/>
        <v/>
      </c>
      <c r="I1972" s="2" t="str">
        <f>IF(Return!C1972=0,REPLACE(INDEX(H:H,ROW()+Return!B1972,),1,2,Return!E1972&amp;"(")&amp;")","")</f>
        <v>v(v, v, v, [v])</v>
      </c>
      <c r="M1972" s="1"/>
    </row>
    <row r="1973" spans="1:13" x14ac:dyDescent="0.55000000000000004">
      <c r="A1973" s="1" t="s">
        <v>2159</v>
      </c>
      <c r="B1973" t="s">
        <v>1323</v>
      </c>
      <c r="C1973" s="2">
        <f>Return!C1973</f>
        <v>1</v>
      </c>
      <c r="D1973" s="2">
        <f>COUNTA(Argument!E1973)</f>
        <v>0</v>
      </c>
      <c r="E1973" s="2" t="str">
        <f>IF(C1973,Return!D1973,Return!E1973)</f>
        <v>v</v>
      </c>
      <c r="F1973" s="2" t="str">
        <f t="shared" si="90"/>
        <v>v</v>
      </c>
      <c r="G1973" s="2" t="str">
        <f t="shared" si="92"/>
        <v>v</v>
      </c>
      <c r="H1973" s="2" t="str">
        <f t="shared" si="91"/>
        <v>, v</v>
      </c>
      <c r="I1973" s="2" t="str">
        <f>IF(Return!C1973=0,REPLACE(INDEX(H:H,ROW()+Return!B1973,),1,2,Return!E1973&amp;"(")&amp;")","")</f>
        <v/>
      </c>
      <c r="M1973" s="1"/>
    </row>
    <row r="1974" spans="1:13" x14ac:dyDescent="0.55000000000000004">
      <c r="A1974" s="1" t="s">
        <v>2159</v>
      </c>
      <c r="B1974" t="s">
        <v>1324</v>
      </c>
      <c r="C1974" s="2">
        <f>Return!C1974</f>
        <v>2</v>
      </c>
      <c r="D1974" s="2">
        <f>COUNTA(Argument!E1974)</f>
        <v>0</v>
      </c>
      <c r="E1974" s="2" t="str">
        <f>IF(C1974,Return!D1974,Return!E1974)</f>
        <v>v</v>
      </c>
      <c r="F1974" s="2" t="str">
        <f t="shared" si="90"/>
        <v>v</v>
      </c>
      <c r="G1974" s="2" t="str">
        <f t="shared" si="92"/>
        <v>v</v>
      </c>
      <c r="H1974" s="2" t="str">
        <f t="shared" si="91"/>
        <v>, v, v</v>
      </c>
      <c r="I1974" s="2" t="str">
        <f>IF(Return!C1974=0,REPLACE(INDEX(H:H,ROW()+Return!B1974,),1,2,Return!E1974&amp;"(")&amp;")","")</f>
        <v/>
      </c>
      <c r="M1974" s="1"/>
    </row>
    <row r="1975" spans="1:13" x14ac:dyDescent="0.55000000000000004">
      <c r="A1975" s="1" t="s">
        <v>2159</v>
      </c>
      <c r="B1975" t="s">
        <v>1322</v>
      </c>
      <c r="C1975" s="2">
        <f>Return!C1975</f>
        <v>3</v>
      </c>
      <c r="D1975" s="2">
        <f>COUNTA(Argument!E1975)</f>
        <v>1</v>
      </c>
      <c r="E1975" s="2" t="str">
        <f>IF(C1975,Return!D1975,Return!E1975)</f>
        <v>v</v>
      </c>
      <c r="F1975" s="2" t="str">
        <f t="shared" si="90"/>
        <v>v</v>
      </c>
      <c r="G1975" s="2" t="str">
        <f t="shared" si="92"/>
        <v>v</v>
      </c>
      <c r="H1975" s="2" t="str">
        <f t="shared" si="91"/>
        <v>, v, v, v</v>
      </c>
      <c r="I1975" s="2" t="str">
        <f>IF(Return!C1975=0,REPLACE(INDEX(H:H,ROW()+Return!B1975,),1,2,Return!E1975&amp;"(")&amp;")","")</f>
        <v/>
      </c>
      <c r="M1975" s="1"/>
    </row>
    <row r="1976" spans="1:13" x14ac:dyDescent="0.55000000000000004">
      <c r="A1976" s="1" t="s">
        <v>2159</v>
      </c>
      <c r="B1976" t="s">
        <v>1439</v>
      </c>
      <c r="C1976" s="2">
        <f>Return!C1976</f>
        <v>4</v>
      </c>
      <c r="D1976" s="2">
        <f>COUNTA(Argument!E1976)</f>
        <v>1</v>
      </c>
      <c r="E1976" s="2" t="str">
        <f>IF(C1976,Return!D1976,Return!E1976)</f>
        <v>v</v>
      </c>
      <c r="F1976" s="2" t="str">
        <f t="shared" si="90"/>
        <v>[v]</v>
      </c>
      <c r="G1976" s="2" t="str">
        <f t="shared" si="92"/>
        <v>[v]</v>
      </c>
      <c r="H1976" s="2" t="str">
        <f t="shared" si="91"/>
        <v>, v, v, v, [v]</v>
      </c>
      <c r="I1976" s="2" t="str">
        <f>IF(Return!C1976=0,REPLACE(INDEX(H:H,ROW()+Return!B1976,),1,2,Return!E1976&amp;"(")&amp;")","")</f>
        <v/>
      </c>
      <c r="M1976" s="1"/>
    </row>
    <row r="1977" spans="1:13" x14ac:dyDescent="0.55000000000000004">
      <c r="A1977" s="1" t="s">
        <v>2160</v>
      </c>
      <c r="C1977" s="2">
        <f>Return!C1977</f>
        <v>0</v>
      </c>
      <c r="D1977" s="2">
        <f>COUNTA(Argument!E1977)</f>
        <v>0</v>
      </c>
      <c r="E1977" s="2" t="str">
        <f>IF(C1977,Return!D1977,Return!E1977)</f>
        <v>v</v>
      </c>
      <c r="F1977" s="2" t="str">
        <f t="shared" si="90"/>
        <v/>
      </c>
      <c r="G1977" s="2" t="str">
        <f t="shared" si="92"/>
        <v/>
      </c>
      <c r="H1977" s="2" t="str">
        <f t="shared" si="91"/>
        <v/>
      </c>
      <c r="I1977" s="2" t="str">
        <f>IF(Return!C1977=0,REPLACE(INDEX(H:H,ROW()+Return!B1977,),1,2,Return!E1977&amp;"(")&amp;")","")</f>
        <v>v(v)</v>
      </c>
      <c r="M1977" s="1"/>
    </row>
    <row r="1978" spans="1:13" x14ac:dyDescent="0.55000000000000004">
      <c r="A1978" s="1" t="s">
        <v>2160</v>
      </c>
      <c r="B1978" t="s">
        <v>1316</v>
      </c>
      <c r="C1978" s="2">
        <f>Return!C1978</f>
        <v>1</v>
      </c>
      <c r="D1978" s="2">
        <f>COUNTA(Argument!E1978)</f>
        <v>1</v>
      </c>
      <c r="E1978" s="2" t="str">
        <f>IF(C1978,Return!D1978,Return!E1978)</f>
        <v>v</v>
      </c>
      <c r="F1978" s="2" t="str">
        <f t="shared" si="90"/>
        <v>v</v>
      </c>
      <c r="G1978" s="2" t="str">
        <f t="shared" si="92"/>
        <v>v</v>
      </c>
      <c r="H1978" s="2" t="str">
        <f t="shared" si="91"/>
        <v>, v</v>
      </c>
      <c r="I1978" s="2" t="str">
        <f>IF(Return!C1978=0,REPLACE(INDEX(H:H,ROW()+Return!B1978,),1,2,Return!E1978&amp;"(")&amp;")","")</f>
        <v/>
      </c>
      <c r="M1978" s="1"/>
    </row>
    <row r="1979" spans="1:13" x14ac:dyDescent="0.55000000000000004">
      <c r="A1979" s="1" t="s">
        <v>2161</v>
      </c>
      <c r="C1979" s="2">
        <f>Return!C1979</f>
        <v>0</v>
      </c>
      <c r="D1979" s="2">
        <f>COUNTA(Argument!E1979)</f>
        <v>0</v>
      </c>
      <c r="E1979" s="2" t="str">
        <f>IF(C1979,Return!D1979,Return!E1979)</f>
        <v>v</v>
      </c>
      <c r="F1979" s="2" t="str">
        <f t="shared" si="90"/>
        <v/>
      </c>
      <c r="G1979" s="2" t="str">
        <f t="shared" si="92"/>
        <v/>
      </c>
      <c r="H1979" s="2" t="str">
        <f t="shared" si="91"/>
        <v/>
      </c>
      <c r="I1979" s="2" t="str">
        <f>IF(Return!C1979=0,REPLACE(INDEX(H:H,ROW()+Return!B1979,),1,2,Return!E1979&amp;"(")&amp;")","")</f>
        <v>v(var, [var], …)</v>
      </c>
      <c r="M1979" s="1"/>
    </row>
    <row r="1980" spans="1:13" x14ac:dyDescent="0.55000000000000004">
      <c r="A1980" s="1" t="s">
        <v>2161</v>
      </c>
      <c r="B1980" t="s">
        <v>1219</v>
      </c>
      <c r="C1980" s="2">
        <f>Return!C1980</f>
        <v>1</v>
      </c>
      <c r="D1980" s="2">
        <f>COUNTA(Argument!E1980)</f>
        <v>1</v>
      </c>
      <c r="E1980" s="2" t="str">
        <f>IF(C1980,Return!D1980,Return!E1980)</f>
        <v>var</v>
      </c>
      <c r="F1980" s="2" t="str">
        <f t="shared" si="90"/>
        <v>var</v>
      </c>
      <c r="G1980" s="2" t="str">
        <f t="shared" si="92"/>
        <v>var</v>
      </c>
      <c r="H1980" s="2" t="str">
        <f t="shared" si="91"/>
        <v>, var</v>
      </c>
      <c r="I1980" s="2" t="str">
        <f>IF(Return!C1980=0,REPLACE(INDEX(H:H,ROW()+Return!B1980,),1,2,Return!E1980&amp;"(")&amp;")","")</f>
        <v/>
      </c>
      <c r="M1980" s="1"/>
    </row>
    <row r="1981" spans="1:13" x14ac:dyDescent="0.55000000000000004">
      <c r="A1981" s="1" t="s">
        <v>2161</v>
      </c>
      <c r="B1981" t="s">
        <v>1220</v>
      </c>
      <c r="C1981" s="2">
        <f>Return!C1981</f>
        <v>2</v>
      </c>
      <c r="D1981" s="2">
        <f>COUNTA(Argument!E1981)</f>
        <v>1</v>
      </c>
      <c r="E1981" s="2" t="str">
        <f>IF(C1981,Return!D1981,Return!E1981)</f>
        <v>var</v>
      </c>
      <c r="F1981" s="2" t="str">
        <f t="shared" si="90"/>
        <v>[var]</v>
      </c>
      <c r="G1981" s="2" t="str">
        <f t="shared" si="92"/>
        <v>[var]</v>
      </c>
      <c r="H1981" s="2" t="str">
        <f t="shared" si="91"/>
        <v>, var, [var]</v>
      </c>
      <c r="I1981" s="2" t="str">
        <f>IF(Return!C1981=0,REPLACE(INDEX(H:H,ROW()+Return!B1981,),1,2,Return!E1981&amp;"(")&amp;")","")</f>
        <v/>
      </c>
      <c r="M1981" s="1"/>
    </row>
    <row r="1982" spans="1:13" x14ac:dyDescent="0.55000000000000004">
      <c r="A1982" s="1" t="s">
        <v>2161</v>
      </c>
      <c r="B1982" t="s">
        <v>1214</v>
      </c>
      <c r="C1982" s="2">
        <f>Return!C1982</f>
        <v>3</v>
      </c>
      <c r="D1982" s="2">
        <f>COUNTA(Argument!E1982)</f>
        <v>1</v>
      </c>
      <c r="E1982" s="2" t="str">
        <f>IF(C1982,Return!D1982,Return!E1982)</f>
        <v>var</v>
      </c>
      <c r="F1982" s="2" t="str">
        <f t="shared" si="90"/>
        <v>[var]</v>
      </c>
      <c r="G1982" s="2" t="str">
        <f t="shared" si="92"/>
        <v>…</v>
      </c>
      <c r="H1982" s="2" t="str">
        <f t="shared" si="91"/>
        <v>, var, [var], …</v>
      </c>
      <c r="I1982" s="2" t="str">
        <f>IF(Return!C1982=0,REPLACE(INDEX(H:H,ROW()+Return!B1982,),1,2,Return!E1982&amp;"(")&amp;")","")</f>
        <v/>
      </c>
      <c r="M1982" s="1"/>
    </row>
    <row r="1983" spans="1:13" x14ac:dyDescent="0.55000000000000004">
      <c r="A1983" s="1" t="s">
        <v>2162</v>
      </c>
      <c r="C1983" s="2">
        <f>Return!C1983</f>
        <v>0</v>
      </c>
      <c r="D1983" s="2">
        <f>COUNTA(Argument!E1983)</f>
        <v>0</v>
      </c>
      <c r="E1983" s="2" t="str">
        <f>IF(C1983,Return!D1983,Return!E1983)</f>
        <v>v</v>
      </c>
      <c r="F1983" s="2" t="str">
        <f t="shared" si="90"/>
        <v/>
      </c>
      <c r="G1983" s="2" t="str">
        <f t="shared" si="92"/>
        <v/>
      </c>
      <c r="H1983" s="2" t="str">
        <f t="shared" si="91"/>
        <v/>
      </c>
      <c r="I1983" s="2" t="str">
        <f>IF(Return!C1983=0,REPLACE(INDEX(H:H,ROW()+Return!B1983,),1,2,Return!E1983&amp;"(")&amp;")","")</f>
        <v>v(v)</v>
      </c>
      <c r="M1983" s="1"/>
    </row>
    <row r="1984" spans="1:13" x14ac:dyDescent="0.55000000000000004">
      <c r="A1984" s="1" t="s">
        <v>2162</v>
      </c>
      <c r="B1984" t="s">
        <v>1316</v>
      </c>
      <c r="C1984" s="2">
        <f>Return!C1984</f>
        <v>1</v>
      </c>
      <c r="D1984" s="2">
        <f>COUNTA(Argument!E1984)</f>
        <v>1</v>
      </c>
      <c r="E1984" s="2" t="str">
        <f>IF(C1984,Return!D1984,Return!E1984)</f>
        <v>v</v>
      </c>
      <c r="F1984" s="2" t="str">
        <f t="shared" si="90"/>
        <v>v</v>
      </c>
      <c r="G1984" s="2" t="str">
        <f t="shared" si="92"/>
        <v>v</v>
      </c>
      <c r="H1984" s="2" t="str">
        <f t="shared" si="91"/>
        <v>, v</v>
      </c>
      <c r="I1984" s="2" t="str">
        <f>IF(Return!C1984=0,REPLACE(INDEX(H:H,ROW()+Return!B1984,),1,2,Return!E1984&amp;"(")&amp;")","")</f>
        <v/>
      </c>
      <c r="M1984" s="1"/>
    </row>
    <row r="1985" spans="1:13" x14ac:dyDescent="0.55000000000000004">
      <c r="A1985" s="1" t="s">
        <v>2163</v>
      </c>
      <c r="C1985" s="2">
        <f>Return!C1985</f>
        <v>0</v>
      </c>
      <c r="D1985" s="2">
        <f>COUNTA(Argument!E1985)</f>
        <v>0</v>
      </c>
      <c r="E1985" s="2" t="str">
        <f>IF(C1985,Return!D1985,Return!E1985)</f>
        <v>v</v>
      </c>
      <c r="F1985" s="2" t="str">
        <f t="shared" si="90"/>
        <v/>
      </c>
      <c r="G1985" s="2" t="str">
        <f t="shared" si="92"/>
        <v/>
      </c>
      <c r="H1985" s="2" t="str">
        <f t="shared" si="91"/>
        <v/>
      </c>
      <c r="I1985" s="2" t="str">
        <f>IF(Return!C1985=0,REPLACE(INDEX(H:H,ROW()+Return!B1985,),1,2,Return!E1985&amp;"(")&amp;")","")</f>
        <v>v(v)</v>
      </c>
      <c r="M1985" s="1"/>
    </row>
    <row r="1986" spans="1:13" x14ac:dyDescent="0.55000000000000004">
      <c r="A1986" s="1" t="s">
        <v>2163</v>
      </c>
      <c r="B1986" t="s">
        <v>1316</v>
      </c>
      <c r="C1986" s="2">
        <f>Return!C1986</f>
        <v>1</v>
      </c>
      <c r="D1986" s="2">
        <f>COUNTA(Argument!E1986)</f>
        <v>1</v>
      </c>
      <c r="E1986" s="2" t="str">
        <f>IF(C1986,Return!D1986,Return!E1986)</f>
        <v>v</v>
      </c>
      <c r="F1986" s="2" t="str">
        <f t="shared" si="90"/>
        <v>v</v>
      </c>
      <c r="G1986" s="2" t="str">
        <f t="shared" si="92"/>
        <v>v</v>
      </c>
      <c r="H1986" s="2" t="str">
        <f t="shared" si="91"/>
        <v>, v</v>
      </c>
      <c r="I1986" s="2" t="str">
        <f>IF(Return!C1986=0,REPLACE(INDEX(H:H,ROW()+Return!B1986,),1,2,Return!E1986&amp;"(")&amp;")","")</f>
        <v/>
      </c>
      <c r="M1986" s="1"/>
    </row>
    <row r="1987" spans="1:13" x14ac:dyDescent="0.55000000000000004">
      <c r="A1987" s="1" t="s">
        <v>2164</v>
      </c>
      <c r="C1987" s="2">
        <f>Return!C1987</f>
        <v>0</v>
      </c>
      <c r="D1987" s="2">
        <f>COUNTA(Argument!E1987)</f>
        <v>0</v>
      </c>
      <c r="E1987" s="2" t="str">
        <f>IF(C1987,Return!D1987,Return!E1987)</f>
        <v>v</v>
      </c>
      <c r="F1987" s="2" t="str">
        <f t="shared" ref="F1987:F2050" si="93">IF(C1987,IF(D1987,IF(D1986,"["&amp;E1987&amp;"]",E1987),E1987),"")</f>
        <v/>
      </c>
      <c r="G1987" s="2" t="str">
        <f t="shared" si="92"/>
        <v/>
      </c>
      <c r="H1987" s="2" t="str">
        <f t="shared" ref="H1987:H2050" si="94">IF(C1987&gt;0,H1986&amp;", "&amp;G1987,"")</f>
        <v/>
      </c>
      <c r="I1987" s="2" t="str">
        <f>IF(Return!C1987=0,REPLACE(INDEX(H:H,ROW()+Return!B1987,),1,2,Return!E1987&amp;"(")&amp;")","")</f>
        <v>v(v, v, v)</v>
      </c>
      <c r="M1987" s="1"/>
    </row>
    <row r="1988" spans="1:13" x14ac:dyDescent="0.55000000000000004">
      <c r="A1988" s="1" t="s">
        <v>2164</v>
      </c>
      <c r="B1988" t="s">
        <v>1249</v>
      </c>
      <c r="C1988" s="2">
        <f>Return!C1988</f>
        <v>1</v>
      </c>
      <c r="D1988" s="2">
        <f>COUNTA(Argument!E1988)</f>
        <v>0</v>
      </c>
      <c r="E1988" s="2" t="str">
        <f>IF(C1988,Return!D1988,Return!E1988)</f>
        <v>v</v>
      </c>
      <c r="F1988" s="2" t="str">
        <f t="shared" si="93"/>
        <v>v</v>
      </c>
      <c r="G1988" s="2" t="str">
        <f t="shared" ref="G1988:G2051" si="95">IF(B1988="...",IF(C1989&gt;0,"["&amp;E1988,"…"),IF(B1987=" ...",IF(C1988&gt;0,E1988&amp;"], …",F1988),F1988))</f>
        <v>v</v>
      </c>
      <c r="H1988" s="2" t="str">
        <f t="shared" si="94"/>
        <v>, v</v>
      </c>
      <c r="I1988" s="2" t="str">
        <f>IF(Return!C1988=0,REPLACE(INDEX(H:H,ROW()+Return!B1988,),1,2,Return!E1988&amp;"(")&amp;")","")</f>
        <v/>
      </c>
      <c r="M1988" s="1"/>
    </row>
    <row r="1989" spans="1:13" x14ac:dyDescent="0.55000000000000004">
      <c r="A1989" s="1" t="s">
        <v>2164</v>
      </c>
      <c r="B1989" t="s">
        <v>1253</v>
      </c>
      <c r="C1989" s="2">
        <f>Return!C1989</f>
        <v>2</v>
      </c>
      <c r="D1989" s="2">
        <f>COUNTA(Argument!E1989)</f>
        <v>0</v>
      </c>
      <c r="E1989" s="2" t="str">
        <f>IF(C1989,Return!D1989,Return!E1989)</f>
        <v>v</v>
      </c>
      <c r="F1989" s="2" t="str">
        <f t="shared" si="93"/>
        <v>v</v>
      </c>
      <c r="G1989" s="2" t="str">
        <f t="shared" si="95"/>
        <v>v</v>
      </c>
      <c r="H1989" s="2" t="str">
        <f t="shared" si="94"/>
        <v>, v, v</v>
      </c>
      <c r="I1989" s="2" t="str">
        <f>IF(Return!C1989=0,REPLACE(INDEX(H:H,ROW()+Return!B1989,),1,2,Return!E1989&amp;"(")&amp;")","")</f>
        <v/>
      </c>
      <c r="M1989" s="1"/>
    </row>
    <row r="1990" spans="1:13" x14ac:dyDescent="0.55000000000000004">
      <c r="A1990" s="1" t="s">
        <v>2164</v>
      </c>
      <c r="B1990" t="s">
        <v>1251</v>
      </c>
      <c r="C1990" s="2">
        <f>Return!C1990</f>
        <v>3</v>
      </c>
      <c r="D1990" s="2">
        <f>COUNTA(Argument!E1990)</f>
        <v>1</v>
      </c>
      <c r="E1990" s="2" t="str">
        <f>IF(C1990,Return!D1990,Return!E1990)</f>
        <v>v</v>
      </c>
      <c r="F1990" s="2" t="str">
        <f t="shared" si="93"/>
        <v>v</v>
      </c>
      <c r="G1990" s="2" t="str">
        <f t="shared" si="95"/>
        <v>v</v>
      </c>
      <c r="H1990" s="2" t="str">
        <f t="shared" si="94"/>
        <v>, v, v, v</v>
      </c>
      <c r="I1990" s="2" t="str">
        <f>IF(Return!C1990=0,REPLACE(INDEX(H:H,ROW()+Return!B1990,),1,2,Return!E1990&amp;"(")&amp;")","")</f>
        <v/>
      </c>
      <c r="M1990" s="1"/>
    </row>
    <row r="1991" spans="1:13" x14ac:dyDescent="0.55000000000000004">
      <c r="A1991" s="1" t="s">
        <v>2165</v>
      </c>
      <c r="C1991" s="2">
        <f>Return!C1991</f>
        <v>0</v>
      </c>
      <c r="D1991" s="2">
        <f>COUNTA(Argument!E1991)</f>
        <v>0</v>
      </c>
      <c r="E1991" s="2" t="str">
        <f>IF(C1991,Return!D1991,Return!E1991)</f>
        <v>v</v>
      </c>
      <c r="F1991" s="2" t="str">
        <f t="shared" si="93"/>
        <v/>
      </c>
      <c r="G1991" s="2" t="str">
        <f t="shared" si="95"/>
        <v/>
      </c>
      <c r="H1991" s="2" t="str">
        <f t="shared" si="94"/>
        <v/>
      </c>
      <c r="I1991" s="2" t="str">
        <f>IF(Return!C1991=0,REPLACE(INDEX(H:H,ROW()+Return!B1991,),1,2,Return!E1991&amp;"(")&amp;")","")</f>
        <v>v(v)</v>
      </c>
      <c r="M1991" s="1"/>
    </row>
    <row r="1992" spans="1:13" x14ac:dyDescent="0.55000000000000004">
      <c r="A1992" s="1" t="s">
        <v>2165</v>
      </c>
      <c r="B1992" t="s">
        <v>1223</v>
      </c>
      <c r="C1992" s="2">
        <f>Return!C1992</f>
        <v>1</v>
      </c>
      <c r="D1992" s="2">
        <f>COUNTA(Argument!E1992)</f>
        <v>1</v>
      </c>
      <c r="E1992" s="2" t="str">
        <f>IF(C1992,Return!D1992,Return!E1992)</f>
        <v>v</v>
      </c>
      <c r="F1992" s="2" t="str">
        <f t="shared" si="93"/>
        <v>v</v>
      </c>
      <c r="G1992" s="2" t="str">
        <f t="shared" si="95"/>
        <v>v</v>
      </c>
      <c r="H1992" s="2" t="str">
        <f t="shared" si="94"/>
        <v>, v</v>
      </c>
      <c r="I1992" s="2" t="str">
        <f>IF(Return!C1992=0,REPLACE(INDEX(H:H,ROW()+Return!B1992,),1,2,Return!E1992&amp;"(")&amp;")","")</f>
        <v/>
      </c>
      <c r="M1992" s="1"/>
    </row>
    <row r="1993" spans="1:13" x14ac:dyDescent="0.55000000000000004">
      <c r="A1993" s="1" t="s">
        <v>2166</v>
      </c>
      <c r="C1993" s="2">
        <f>Return!C1993</f>
        <v>0</v>
      </c>
      <c r="D1993" s="2">
        <f>COUNTA(Argument!E1993)</f>
        <v>0</v>
      </c>
      <c r="E1993" s="2" t="str">
        <f>IF(C1993,Return!D1993,Return!E1993)</f>
        <v>v</v>
      </c>
      <c r="F1993" s="2" t="str">
        <f t="shared" si="93"/>
        <v/>
      </c>
      <c r="G1993" s="2" t="str">
        <f t="shared" si="95"/>
        <v/>
      </c>
      <c r="H1993" s="2" t="str">
        <f t="shared" si="94"/>
        <v/>
      </c>
      <c r="I1993" s="2" t="str">
        <f>IF(Return!C1993=0,REPLACE(INDEX(H:H,ROW()+Return!B1993,),1,2,Return!E1993&amp;"(")&amp;")","")</f>
        <v>v(v)</v>
      </c>
      <c r="M1993" s="1"/>
    </row>
    <row r="1994" spans="1:13" x14ac:dyDescent="0.55000000000000004">
      <c r="A1994" s="1" t="s">
        <v>2166</v>
      </c>
      <c r="B1994" t="s">
        <v>1233</v>
      </c>
      <c r="C1994" s="2">
        <f>Return!C1994</f>
        <v>1</v>
      </c>
      <c r="D1994" s="2">
        <f>COUNTA(Argument!E1994)</f>
        <v>1</v>
      </c>
      <c r="E1994" s="2" t="str">
        <f>IF(C1994,Return!D1994,Return!E1994)</f>
        <v>v</v>
      </c>
      <c r="F1994" s="2" t="str">
        <f t="shared" si="93"/>
        <v>v</v>
      </c>
      <c r="G1994" s="2" t="str">
        <f t="shared" si="95"/>
        <v>v</v>
      </c>
      <c r="H1994" s="2" t="str">
        <f t="shared" si="94"/>
        <v>, v</v>
      </c>
      <c r="I1994" s="2" t="str">
        <f>IF(Return!C1994=0,REPLACE(INDEX(H:H,ROW()+Return!B1994,),1,2,Return!E1994&amp;"(")&amp;")","")</f>
        <v/>
      </c>
      <c r="M1994" s="1"/>
    </row>
    <row r="1995" spans="1:13" x14ac:dyDescent="0.55000000000000004">
      <c r="A1995" s="1" t="s">
        <v>2167</v>
      </c>
      <c r="C1995" s="2">
        <f>Return!C1995</f>
        <v>0</v>
      </c>
      <c r="D1995" s="2">
        <f>COUNTA(Argument!E1995)</f>
        <v>0</v>
      </c>
      <c r="E1995" s="2" t="str">
        <f>IF(C1995,Return!D1995,Return!E1995)</f>
        <v>a</v>
      </c>
      <c r="F1995" s="2" t="str">
        <f t="shared" si="93"/>
        <v/>
      </c>
      <c r="G1995" s="2" t="str">
        <f t="shared" si="95"/>
        <v/>
      </c>
      <c r="H1995" s="2" t="str">
        <f t="shared" si="94"/>
        <v/>
      </c>
      <c r="I1995" s="2" t="str">
        <f>IF(Return!C1995=0,REPLACE(INDEX(H:H,ROW()+Return!B1995,),1,2,Return!E1995&amp;"(")&amp;")","")</f>
        <v>a(v)</v>
      </c>
      <c r="M1995" s="1"/>
    </row>
    <row r="1996" spans="1:13" x14ac:dyDescent="0.55000000000000004">
      <c r="A1996" s="1" t="s">
        <v>2167</v>
      </c>
      <c r="B1996" t="s">
        <v>1440</v>
      </c>
      <c r="C1996" s="2">
        <f>Return!C1996</f>
        <v>1</v>
      </c>
      <c r="D1996" s="2">
        <f>COUNTA(Argument!E1996)</f>
        <v>1</v>
      </c>
      <c r="E1996" s="2" t="str">
        <f>IF(C1996,Return!D1996,Return!E1996)</f>
        <v>v</v>
      </c>
      <c r="F1996" s="2" t="str">
        <f t="shared" si="93"/>
        <v>v</v>
      </c>
      <c r="G1996" s="2" t="str">
        <f t="shared" si="95"/>
        <v>v</v>
      </c>
      <c r="H1996" s="2" t="str">
        <f t="shared" si="94"/>
        <v>, v</v>
      </c>
      <c r="I1996" s="2" t="str">
        <f>IF(Return!C1996=0,REPLACE(INDEX(H:H,ROW()+Return!B1996,),1,2,Return!E1996&amp;"(")&amp;")","")</f>
        <v/>
      </c>
      <c r="M1996" s="1"/>
    </row>
    <row r="1997" spans="1:13" x14ac:dyDescent="0.55000000000000004">
      <c r="A1997" s="1" t="s">
        <v>2168</v>
      </c>
      <c r="C1997" s="2">
        <f>Return!C1997</f>
        <v>0</v>
      </c>
      <c r="D1997" s="2">
        <f>COUNTA(Argument!E1997)</f>
        <v>0</v>
      </c>
      <c r="E1997" s="2" t="str">
        <f>IF(C1997,Return!D1997,Return!E1997)</f>
        <v>v</v>
      </c>
      <c r="F1997" s="2" t="str">
        <f t="shared" si="93"/>
        <v/>
      </c>
      <c r="G1997" s="2" t="str">
        <f t="shared" si="95"/>
        <v/>
      </c>
      <c r="H1997" s="2" t="str">
        <f t="shared" si="94"/>
        <v/>
      </c>
      <c r="I1997" s="2" t="str">
        <f>IF(Return!C1997=0,REPLACE(INDEX(H:H,ROW()+Return!B1997,),1,2,Return!E1997&amp;"(")&amp;")","")</f>
        <v>v(v)</v>
      </c>
      <c r="M1997" s="1"/>
    </row>
    <row r="1998" spans="1:13" x14ac:dyDescent="0.55000000000000004">
      <c r="A1998" s="1" t="s">
        <v>2168</v>
      </c>
      <c r="B1998" t="s">
        <v>1233</v>
      </c>
      <c r="C1998" s="2">
        <f>Return!C1998</f>
        <v>1</v>
      </c>
      <c r="D1998" s="2">
        <f>COUNTA(Argument!E1998)</f>
        <v>1</v>
      </c>
      <c r="E1998" s="2" t="str">
        <f>IF(C1998,Return!D1998,Return!E1998)</f>
        <v>v</v>
      </c>
      <c r="F1998" s="2" t="str">
        <f t="shared" si="93"/>
        <v>v</v>
      </c>
      <c r="G1998" s="2" t="str">
        <f t="shared" si="95"/>
        <v>v</v>
      </c>
      <c r="H1998" s="2" t="str">
        <f t="shared" si="94"/>
        <v>, v</v>
      </c>
      <c r="I1998" s="2" t="str">
        <f>IF(Return!C1998=0,REPLACE(INDEX(H:H,ROW()+Return!B1998,),1,2,Return!E1998&amp;"(")&amp;")","")</f>
        <v/>
      </c>
      <c r="M1998" s="1"/>
    </row>
    <row r="1999" spans="1:13" x14ac:dyDescent="0.55000000000000004">
      <c r="A1999" s="1" t="s">
        <v>2169</v>
      </c>
      <c r="C1999" s="2">
        <f>Return!C1999</f>
        <v>0</v>
      </c>
      <c r="D1999" s="2">
        <f>COUNTA(Argument!E1999)</f>
        <v>0</v>
      </c>
      <c r="E1999" s="2" t="str">
        <f>IF(C1999,Return!D1999,Return!E1999)</f>
        <v>v</v>
      </c>
      <c r="F1999" s="2" t="str">
        <f t="shared" si="93"/>
        <v/>
      </c>
      <c r="G1999" s="2" t="str">
        <f t="shared" si="95"/>
        <v/>
      </c>
      <c r="H1999" s="2" t="str">
        <f t="shared" si="94"/>
        <v/>
      </c>
      <c r="I1999" s="2" t="str">
        <f>IF(Return!C1999=0,REPLACE(INDEX(H:H,ROW()+Return!B1999,),1,2,Return!E1999&amp;"(")&amp;")","")</f>
        <v>v(v)</v>
      </c>
      <c r="M1999" s="1"/>
    </row>
    <row r="2000" spans="1:13" x14ac:dyDescent="0.55000000000000004">
      <c r="A2000" s="1" t="s">
        <v>2169</v>
      </c>
      <c r="B2000" t="s">
        <v>1441</v>
      </c>
      <c r="C2000" s="2">
        <f>Return!C2000</f>
        <v>1</v>
      </c>
      <c r="D2000" s="2">
        <f>COUNTA(Argument!E2000)</f>
        <v>1</v>
      </c>
      <c r="E2000" s="2" t="str">
        <f>IF(C2000,Return!D2000,Return!E2000)</f>
        <v>v</v>
      </c>
      <c r="F2000" s="2" t="str">
        <f t="shared" si="93"/>
        <v>v</v>
      </c>
      <c r="G2000" s="2" t="str">
        <f t="shared" si="95"/>
        <v>v</v>
      </c>
      <c r="H2000" s="2" t="str">
        <f t="shared" si="94"/>
        <v>, v</v>
      </c>
      <c r="I2000" s="2" t="str">
        <f>IF(Return!C2000=0,REPLACE(INDEX(H:H,ROW()+Return!B2000,),1,2,Return!E2000&amp;"(")&amp;")","")</f>
        <v/>
      </c>
      <c r="M2000" s="1"/>
    </row>
    <row r="2001" spans="1:13" x14ac:dyDescent="0.55000000000000004">
      <c r="A2001" s="1" t="s">
        <v>2170</v>
      </c>
      <c r="C2001" s="2">
        <f>Return!C2001</f>
        <v>0</v>
      </c>
      <c r="D2001" s="2">
        <f>COUNTA(Argument!E2001)</f>
        <v>0</v>
      </c>
      <c r="E2001" s="2" t="str">
        <f>IF(C2001,Return!D2001,Return!E2001)</f>
        <v>v</v>
      </c>
      <c r="F2001" s="2" t="str">
        <f t="shared" si="93"/>
        <v/>
      </c>
      <c r="G2001" s="2" t="str">
        <f t="shared" si="95"/>
        <v/>
      </c>
      <c r="H2001" s="2" t="str">
        <f t="shared" si="94"/>
        <v/>
      </c>
      <c r="I2001" s="2" t="str">
        <f>IF(Return!C2001=0,REPLACE(INDEX(H:H,ROW()+Return!B2001,),1,2,Return!E2001&amp;"(")&amp;")","")</f>
        <v>v(v, [v], [v])</v>
      </c>
      <c r="M2001" s="1"/>
    </row>
    <row r="2002" spans="1:13" x14ac:dyDescent="0.55000000000000004">
      <c r="A2002" s="1" t="s">
        <v>2170</v>
      </c>
      <c r="B2002" t="s">
        <v>1233</v>
      </c>
      <c r="C2002" s="2">
        <f>Return!C2002</f>
        <v>1</v>
      </c>
      <c r="D2002" s="2">
        <f>COUNTA(Argument!E2002)</f>
        <v>1</v>
      </c>
      <c r="E2002" s="2" t="str">
        <f>IF(C2002,Return!D2002,Return!E2002)</f>
        <v>v</v>
      </c>
      <c r="F2002" s="2" t="str">
        <f t="shared" si="93"/>
        <v>v</v>
      </c>
      <c r="G2002" s="2" t="str">
        <f t="shared" si="95"/>
        <v>v</v>
      </c>
      <c r="H2002" s="2" t="str">
        <f t="shared" si="94"/>
        <v>, v</v>
      </c>
      <c r="I2002" s="2" t="str">
        <f>IF(Return!C2002=0,REPLACE(INDEX(H:H,ROW()+Return!B2002,),1,2,Return!E2002&amp;"(")&amp;")","")</f>
        <v/>
      </c>
      <c r="M2002" s="1"/>
    </row>
    <row r="2003" spans="1:13" x14ac:dyDescent="0.55000000000000004">
      <c r="A2003" s="1" t="s">
        <v>2170</v>
      </c>
      <c r="B2003" t="s">
        <v>1442</v>
      </c>
      <c r="C2003" s="2">
        <f>Return!C2003</f>
        <v>2</v>
      </c>
      <c r="D2003" s="2">
        <f>COUNTA(Argument!E2003)</f>
        <v>1</v>
      </c>
      <c r="E2003" s="2" t="str">
        <f>IF(C2003,Return!D2003,Return!E2003)</f>
        <v>v</v>
      </c>
      <c r="F2003" s="2" t="str">
        <f t="shared" si="93"/>
        <v>[v]</v>
      </c>
      <c r="G2003" s="2" t="str">
        <f t="shared" si="95"/>
        <v>[v]</v>
      </c>
      <c r="H2003" s="2" t="str">
        <f t="shared" si="94"/>
        <v>, v, [v]</v>
      </c>
      <c r="I2003" s="2" t="str">
        <f>IF(Return!C2003=0,REPLACE(INDEX(H:H,ROW()+Return!B2003,),1,2,Return!E2003&amp;"(")&amp;")","")</f>
        <v/>
      </c>
      <c r="M2003" s="1"/>
    </row>
    <row r="2004" spans="1:13" x14ac:dyDescent="0.55000000000000004">
      <c r="A2004" s="1" t="s">
        <v>2170</v>
      </c>
      <c r="B2004" t="s">
        <v>1443</v>
      </c>
      <c r="C2004" s="2">
        <f>Return!C2004</f>
        <v>3</v>
      </c>
      <c r="D2004" s="2">
        <f>COUNTA(Argument!E2004)</f>
        <v>1</v>
      </c>
      <c r="E2004" s="2" t="str">
        <f>IF(C2004,Return!D2004,Return!E2004)</f>
        <v>v</v>
      </c>
      <c r="F2004" s="2" t="str">
        <f t="shared" si="93"/>
        <v>[v]</v>
      </c>
      <c r="G2004" s="2" t="str">
        <f t="shared" si="95"/>
        <v>[v]</v>
      </c>
      <c r="H2004" s="2" t="str">
        <f t="shared" si="94"/>
        <v>, v, [v], [v]</v>
      </c>
      <c r="I2004" s="2" t="str">
        <f>IF(Return!C2004=0,REPLACE(INDEX(H:H,ROW()+Return!B2004,),1,2,Return!E2004&amp;"(")&amp;")","")</f>
        <v/>
      </c>
      <c r="M2004" s="1"/>
    </row>
    <row r="2005" spans="1:13" x14ac:dyDescent="0.55000000000000004">
      <c r="A2005" s="1" t="s">
        <v>2171</v>
      </c>
      <c r="C2005" s="2">
        <f>Return!C2005</f>
        <v>0</v>
      </c>
      <c r="D2005" s="2">
        <f>COUNTA(Argument!E2005)</f>
        <v>1</v>
      </c>
      <c r="E2005" s="2" t="str">
        <f>IF(C2005,Return!D2005,Return!E2005)</f>
        <v>v</v>
      </c>
      <c r="F2005" s="2" t="str">
        <f t="shared" si="93"/>
        <v/>
      </c>
      <c r="G2005" s="2" t="str">
        <f t="shared" si="95"/>
        <v/>
      </c>
      <c r="H2005" s="2" t="str">
        <f t="shared" si="94"/>
        <v/>
      </c>
      <c r="I2005" s="2" t="str">
        <f>IF(Return!C2005=0,REPLACE(INDEX(H:H,ROW()+Return!B2005,),1,2,Return!E2005&amp;"(")&amp;")","")</f>
        <v>v([var])</v>
      </c>
      <c r="M2005" s="1"/>
    </row>
    <row r="2006" spans="1:13" x14ac:dyDescent="0.55000000000000004">
      <c r="A2006" s="1" t="s">
        <v>2171</v>
      </c>
      <c r="B2006" t="s">
        <v>1218</v>
      </c>
      <c r="C2006" s="2">
        <f>Return!C2006</f>
        <v>1</v>
      </c>
      <c r="D2006" s="2">
        <f>COUNTA(Argument!E2006)</f>
        <v>1</v>
      </c>
      <c r="E2006" s="2" t="str">
        <f>IF(C2006,Return!D2006,Return!E2006)</f>
        <v>var</v>
      </c>
      <c r="F2006" s="2" t="str">
        <f t="shared" si="93"/>
        <v>[var]</v>
      </c>
      <c r="G2006" s="2" t="str">
        <f t="shared" si="95"/>
        <v>[var]</v>
      </c>
      <c r="H2006" s="2" t="str">
        <f t="shared" si="94"/>
        <v>, [var]</v>
      </c>
      <c r="I2006" s="2" t="str">
        <f>IF(Return!C2006=0,REPLACE(INDEX(H:H,ROW()+Return!B2006,),1,2,Return!E2006&amp;"(")&amp;")","")</f>
        <v/>
      </c>
      <c r="M2006" s="1"/>
    </row>
    <row r="2007" spans="1:13" x14ac:dyDescent="0.55000000000000004">
      <c r="A2007" s="1" t="s">
        <v>2172</v>
      </c>
      <c r="C2007" s="2">
        <f>Return!C2007</f>
        <v>0</v>
      </c>
      <c r="D2007" s="2">
        <f>COUNTA(Argument!E2007)</f>
        <v>1</v>
      </c>
      <c r="E2007" s="2" t="str">
        <f>IF(C2007,Return!D2007,Return!E2007)</f>
        <v>v</v>
      </c>
      <c r="F2007" s="2" t="str">
        <f t="shared" si="93"/>
        <v/>
      </c>
      <c r="G2007" s="2" t="str">
        <f t="shared" si="95"/>
        <v/>
      </c>
      <c r="H2007" s="2" t="str">
        <f t="shared" si="94"/>
        <v/>
      </c>
      <c r="I2007" s="2" t="str">
        <f>IF(Return!C2007=0,REPLACE(INDEX(H:H,ROW()+Return!B2007,),1,2,Return!E2007&amp;"(")&amp;")","")</f>
        <v>v([ar])</v>
      </c>
      <c r="M2007" s="1"/>
    </row>
    <row r="2008" spans="1:13" x14ac:dyDescent="0.55000000000000004">
      <c r="A2008" s="1" t="s">
        <v>2172</v>
      </c>
      <c r="B2008" t="s">
        <v>1221</v>
      </c>
      <c r="C2008" s="2">
        <f>Return!C2008</f>
        <v>1</v>
      </c>
      <c r="D2008" s="2">
        <f>COUNTA(Argument!E2008)</f>
        <v>1</v>
      </c>
      <c r="E2008" s="2" t="str">
        <f>IF(C2008,Return!D2008,Return!E2008)</f>
        <v>ar</v>
      </c>
      <c r="F2008" s="2" t="str">
        <f t="shared" si="93"/>
        <v>[ar]</v>
      </c>
      <c r="G2008" s="2" t="str">
        <f t="shared" si="95"/>
        <v>[ar]</v>
      </c>
      <c r="H2008" s="2" t="str">
        <f t="shared" si="94"/>
        <v>, [ar]</v>
      </c>
      <c r="I2008" s="2" t="str">
        <f>IF(Return!C2008=0,REPLACE(INDEX(H:H,ROW()+Return!B2008,),1,2,Return!E2008&amp;"(")&amp;")","")</f>
        <v/>
      </c>
      <c r="M2008" s="1"/>
    </row>
    <row r="2009" spans="1:13" x14ac:dyDescent="0.55000000000000004">
      <c r="A2009" s="1" t="s">
        <v>2173</v>
      </c>
      <c r="C2009" s="2">
        <f>Return!C2009</f>
        <v>0</v>
      </c>
      <c r="D2009" s="2">
        <f>COUNTA(Argument!E2009)</f>
        <v>0</v>
      </c>
      <c r="E2009" s="2" t="str">
        <f>IF(C2009,Return!D2009,Return!E2009)</f>
        <v>v</v>
      </c>
      <c r="F2009" s="2" t="str">
        <f t="shared" si="93"/>
        <v/>
      </c>
      <c r="G2009" s="2" t="str">
        <f t="shared" si="95"/>
        <v/>
      </c>
      <c r="H2009" s="2" t="str">
        <f t="shared" si="94"/>
        <v/>
      </c>
      <c r="I2009" s="2" t="str">
        <f>IF(Return!C2009=0,REPLACE(INDEX(H:H,ROW()+Return!B2009,),1,2,Return!E2009&amp;"(")&amp;")","")</f>
        <v>v(r)</v>
      </c>
      <c r="M2009" s="1"/>
    </row>
    <row r="2010" spans="1:13" x14ac:dyDescent="0.55000000000000004">
      <c r="A2010" s="1" t="s">
        <v>2173</v>
      </c>
      <c r="B2010" t="s">
        <v>1221</v>
      </c>
      <c r="C2010" s="2">
        <f>Return!C2010</f>
        <v>1</v>
      </c>
      <c r="D2010" s="2">
        <f>COUNTA(Argument!E2010)</f>
        <v>1</v>
      </c>
      <c r="E2010" s="2" t="str">
        <f>IF(C2010,Return!D2010,Return!E2010)</f>
        <v>r</v>
      </c>
      <c r="F2010" s="2" t="str">
        <f t="shared" si="93"/>
        <v>r</v>
      </c>
      <c r="G2010" s="2" t="str">
        <f t="shared" si="95"/>
        <v>r</v>
      </c>
      <c r="H2010" s="2" t="str">
        <f t="shared" si="94"/>
        <v>, r</v>
      </c>
      <c r="I2010" s="2" t="str">
        <f>IF(Return!C2010=0,REPLACE(INDEX(H:H,ROW()+Return!B2010,),1,2,Return!E2010&amp;"(")&amp;")","")</f>
        <v/>
      </c>
      <c r="M2010" s="1"/>
    </row>
    <row r="2011" spans="1:13" x14ac:dyDescent="0.55000000000000004">
      <c r="A2011" s="1" t="s">
        <v>2174</v>
      </c>
      <c r="C2011" s="2">
        <f>Return!C2011</f>
        <v>0</v>
      </c>
      <c r="D2011" s="2">
        <f>COUNTA(Argument!E2011)</f>
        <v>0</v>
      </c>
      <c r="E2011" s="2" t="str">
        <f>IF(C2011,Return!D2011,Return!E2011)</f>
        <v>v</v>
      </c>
      <c r="F2011" s="2" t="str">
        <f t="shared" si="93"/>
        <v/>
      </c>
      <c r="G2011" s="2" t="str">
        <f t="shared" si="95"/>
        <v/>
      </c>
      <c r="H2011" s="2" t="str">
        <f t="shared" si="94"/>
        <v/>
      </c>
      <c r="I2011" s="2" t="str">
        <f>IF(Return!C2011=0,REPLACE(INDEX(H:H,ROW()+Return!B2011,),1,2,Return!E2011&amp;"(")&amp;")","")</f>
        <v>v(r)</v>
      </c>
      <c r="M2011" s="1"/>
    </row>
    <row r="2012" spans="1:13" x14ac:dyDescent="0.55000000000000004">
      <c r="A2012" s="1" t="s">
        <v>2174</v>
      </c>
      <c r="B2012" t="s">
        <v>1221</v>
      </c>
      <c r="C2012" s="2">
        <f>Return!C2012</f>
        <v>1</v>
      </c>
      <c r="D2012" s="2">
        <f>COUNTA(Argument!E2012)</f>
        <v>1</v>
      </c>
      <c r="E2012" s="2" t="str">
        <f>IF(C2012,Return!D2012,Return!E2012)</f>
        <v>r</v>
      </c>
      <c r="F2012" s="2" t="str">
        <f t="shared" si="93"/>
        <v>r</v>
      </c>
      <c r="G2012" s="2" t="str">
        <f t="shared" si="95"/>
        <v>r</v>
      </c>
      <c r="H2012" s="2" t="str">
        <f t="shared" si="94"/>
        <v>, r</v>
      </c>
      <c r="I2012" s="2" t="str">
        <f>IF(Return!C2012=0,REPLACE(INDEX(H:H,ROW()+Return!B2012,),1,2,Return!E2012&amp;"(")&amp;")","")</f>
        <v/>
      </c>
      <c r="M2012" s="1"/>
    </row>
    <row r="2013" spans="1:13" x14ac:dyDescent="0.55000000000000004">
      <c r="A2013" s="1" t="s">
        <v>2175</v>
      </c>
      <c r="C2013" s="2">
        <f>Return!C2013</f>
        <v>0</v>
      </c>
      <c r="D2013" s="2">
        <f>COUNTA(Argument!E2013)</f>
        <v>0</v>
      </c>
      <c r="E2013" s="2" t="str">
        <f>IF(C2013,Return!D2013,Return!E2013)</f>
        <v>va</v>
      </c>
      <c r="F2013" s="2" t="str">
        <f t="shared" si="93"/>
        <v/>
      </c>
      <c r="G2013" s="2" t="str">
        <f t="shared" si="95"/>
        <v/>
      </c>
      <c r="H2013" s="2" t="str">
        <f t="shared" si="94"/>
        <v/>
      </c>
      <c r="I2013" s="2" t="str">
        <f>IF(Return!C2013=0,REPLACE(INDEX(H:H,ROW()+Return!B2013,),1,2,Return!E2013&amp;"(")&amp;")","")</f>
        <v>va(va, var)</v>
      </c>
      <c r="M2013" s="1"/>
    </row>
    <row r="2014" spans="1:13" x14ac:dyDescent="0.55000000000000004">
      <c r="A2014" s="1" t="s">
        <v>2175</v>
      </c>
      <c r="B2014" t="s">
        <v>1218</v>
      </c>
      <c r="C2014" s="2">
        <f>Return!C2014</f>
        <v>1</v>
      </c>
      <c r="D2014" s="2">
        <f>COUNTA(Argument!E2014)</f>
        <v>0</v>
      </c>
      <c r="E2014" s="2" t="str">
        <f>IF(C2014,Return!D2014,Return!E2014)</f>
        <v>va</v>
      </c>
      <c r="F2014" s="2" t="str">
        <f t="shared" si="93"/>
        <v>va</v>
      </c>
      <c r="G2014" s="2" t="str">
        <f t="shared" si="95"/>
        <v>va</v>
      </c>
      <c r="H2014" s="2" t="str">
        <f t="shared" si="94"/>
        <v>, va</v>
      </c>
      <c r="I2014" s="2" t="str">
        <f>IF(Return!C2014=0,REPLACE(INDEX(H:H,ROW()+Return!B2014,),1,2,Return!E2014&amp;"(")&amp;")","")</f>
        <v/>
      </c>
      <c r="M2014" s="1"/>
    </row>
    <row r="2015" spans="1:13" x14ac:dyDescent="0.55000000000000004">
      <c r="A2015" s="1" t="s">
        <v>2175</v>
      </c>
      <c r="B2015" t="s">
        <v>1444</v>
      </c>
      <c r="C2015" s="2">
        <f>Return!C2015</f>
        <v>2</v>
      </c>
      <c r="D2015" s="2">
        <f>COUNTA(Argument!E2015)</f>
        <v>1</v>
      </c>
      <c r="E2015" s="2" t="str">
        <f>IF(C2015,Return!D2015,Return!E2015)</f>
        <v>var</v>
      </c>
      <c r="F2015" s="2" t="str">
        <f t="shared" si="93"/>
        <v>var</v>
      </c>
      <c r="G2015" s="2" t="str">
        <f t="shared" si="95"/>
        <v>var</v>
      </c>
      <c r="H2015" s="2" t="str">
        <f t="shared" si="94"/>
        <v>, va, var</v>
      </c>
      <c r="I2015" s="2" t="str">
        <f>IF(Return!C2015=0,REPLACE(INDEX(H:H,ROW()+Return!B2015,),1,2,Return!E2015&amp;"(")&amp;")","")</f>
        <v/>
      </c>
      <c r="M2015" s="1"/>
    </row>
    <row r="2016" spans="1:13" x14ac:dyDescent="0.55000000000000004">
      <c r="A2016" s="1" t="s">
        <v>2176</v>
      </c>
      <c r="C2016" s="2">
        <f>Return!C2016</f>
        <v>0</v>
      </c>
      <c r="D2016" s="2">
        <f>COUNTA(Argument!E2016)</f>
        <v>0</v>
      </c>
      <c r="E2016" s="2" t="str">
        <f>IF(C2016,Return!D2016,Return!E2016)</f>
        <v>v</v>
      </c>
      <c r="F2016" s="2" t="str">
        <f t="shared" si="93"/>
        <v/>
      </c>
      <c r="G2016" s="2" t="str">
        <f t="shared" si="95"/>
        <v/>
      </c>
      <c r="H2016" s="2" t="str">
        <f t="shared" si="94"/>
        <v/>
      </c>
      <c r="I2016" s="2" t="str">
        <f>IF(Return!C2016=0,REPLACE(INDEX(H:H,ROW()+Return!B2016,),1,2,Return!E2016&amp;"(")&amp;")","")</f>
        <v>v(v, [v], [v])</v>
      </c>
      <c r="M2016" s="1"/>
    </row>
    <row r="2017" spans="1:13" x14ac:dyDescent="0.55000000000000004">
      <c r="A2017" s="1" t="s">
        <v>2176</v>
      </c>
      <c r="B2017" t="s">
        <v>1223</v>
      </c>
      <c r="C2017" s="2">
        <f>Return!C2017</f>
        <v>1</v>
      </c>
      <c r="D2017" s="2">
        <f>COUNTA(Argument!E2017)</f>
        <v>1</v>
      </c>
      <c r="E2017" s="2" t="str">
        <f>IF(C2017,Return!D2017,Return!E2017)</f>
        <v>v</v>
      </c>
      <c r="F2017" s="2" t="str">
        <f t="shared" si="93"/>
        <v>v</v>
      </c>
      <c r="G2017" s="2" t="str">
        <f t="shared" si="95"/>
        <v>v</v>
      </c>
      <c r="H2017" s="2" t="str">
        <f t="shared" si="94"/>
        <v>, v</v>
      </c>
      <c r="I2017" s="2" t="str">
        <f>IF(Return!C2017=0,REPLACE(INDEX(H:H,ROW()+Return!B2017,),1,2,Return!E2017&amp;"(")&amp;")","")</f>
        <v/>
      </c>
      <c r="M2017" s="1"/>
    </row>
    <row r="2018" spans="1:13" x14ac:dyDescent="0.55000000000000004">
      <c r="A2018" s="1" t="s">
        <v>2176</v>
      </c>
      <c r="B2018" t="s">
        <v>1334</v>
      </c>
      <c r="C2018" s="2">
        <f>Return!C2018</f>
        <v>2</v>
      </c>
      <c r="D2018" s="2">
        <f>COUNTA(Argument!E2018)</f>
        <v>1</v>
      </c>
      <c r="E2018" s="2" t="str">
        <f>IF(C2018,Return!D2018,Return!E2018)</f>
        <v>v</v>
      </c>
      <c r="F2018" s="2" t="str">
        <f t="shared" si="93"/>
        <v>[v]</v>
      </c>
      <c r="G2018" s="2" t="str">
        <f t="shared" si="95"/>
        <v>[v]</v>
      </c>
      <c r="H2018" s="2" t="str">
        <f t="shared" si="94"/>
        <v>, v, [v]</v>
      </c>
      <c r="I2018" s="2" t="str">
        <f>IF(Return!C2018=0,REPLACE(INDEX(H:H,ROW()+Return!B2018,),1,2,Return!E2018&amp;"(")&amp;")","")</f>
        <v/>
      </c>
      <c r="M2018" s="1"/>
    </row>
    <row r="2019" spans="1:13" x14ac:dyDescent="0.55000000000000004">
      <c r="A2019" s="1" t="s">
        <v>2176</v>
      </c>
      <c r="B2019" t="s">
        <v>1445</v>
      </c>
      <c r="C2019" s="2">
        <f>Return!C2019</f>
        <v>3</v>
      </c>
      <c r="D2019" s="2">
        <f>COUNTA(Argument!E2019)</f>
        <v>1</v>
      </c>
      <c r="E2019" s="2" t="str">
        <f>IF(C2019,Return!D2019,Return!E2019)</f>
        <v>v</v>
      </c>
      <c r="F2019" s="2" t="str">
        <f t="shared" si="93"/>
        <v>[v]</v>
      </c>
      <c r="G2019" s="2" t="str">
        <f t="shared" si="95"/>
        <v>[v]</v>
      </c>
      <c r="H2019" s="2" t="str">
        <f t="shared" si="94"/>
        <v>, v, [v], [v]</v>
      </c>
      <c r="I2019" s="2" t="str">
        <f>IF(Return!C2019=0,REPLACE(INDEX(H:H,ROW()+Return!B2019,),1,2,Return!E2019&amp;"(")&amp;")","")</f>
        <v/>
      </c>
      <c r="M2019" s="1"/>
    </row>
    <row r="2020" spans="1:13" x14ac:dyDescent="0.55000000000000004">
      <c r="A2020" s="1" t="s">
        <v>2177</v>
      </c>
      <c r="C2020" s="2">
        <f>Return!C2020</f>
        <v>0</v>
      </c>
      <c r="D2020" s="2">
        <f>COUNTA(Argument!E2020)</f>
        <v>0</v>
      </c>
      <c r="E2020" s="2" t="str">
        <f>IF(C2020,Return!D2020,Return!E2020)</f>
        <v>v</v>
      </c>
      <c r="F2020" s="2" t="str">
        <f t="shared" si="93"/>
        <v/>
      </c>
      <c r="G2020" s="2" t="str">
        <f t="shared" si="95"/>
        <v/>
      </c>
      <c r="H2020" s="2" t="str">
        <f t="shared" si="94"/>
        <v/>
      </c>
      <c r="I2020" s="2" t="str">
        <f>IF(Return!C2020=0,REPLACE(INDEX(H:H,ROW()+Return!B2020,),1,2,Return!E2020&amp;"(")&amp;")","")</f>
        <v>v(v, [v], [v])</v>
      </c>
      <c r="M2020" s="1"/>
    </row>
    <row r="2021" spans="1:13" x14ac:dyDescent="0.55000000000000004">
      <c r="A2021" s="1" t="s">
        <v>2177</v>
      </c>
      <c r="B2021" t="s">
        <v>1223</v>
      </c>
      <c r="C2021" s="2">
        <f>Return!C2021</f>
        <v>1</v>
      </c>
      <c r="D2021" s="2">
        <f>COUNTA(Argument!E2021)</f>
        <v>1</v>
      </c>
      <c r="E2021" s="2" t="str">
        <f>IF(C2021,Return!D2021,Return!E2021)</f>
        <v>v</v>
      </c>
      <c r="F2021" s="2" t="str">
        <f t="shared" si="93"/>
        <v>v</v>
      </c>
      <c r="G2021" s="2" t="str">
        <f t="shared" si="95"/>
        <v>v</v>
      </c>
      <c r="H2021" s="2" t="str">
        <f t="shared" si="94"/>
        <v>, v</v>
      </c>
      <c r="I2021" s="2" t="str">
        <f>IF(Return!C2021=0,REPLACE(INDEX(H:H,ROW()+Return!B2021,),1,2,Return!E2021&amp;"(")&amp;")","")</f>
        <v/>
      </c>
      <c r="M2021" s="1"/>
    </row>
    <row r="2022" spans="1:13" x14ac:dyDescent="0.55000000000000004">
      <c r="A2022" s="1" t="s">
        <v>2177</v>
      </c>
      <c r="B2022" t="s">
        <v>1334</v>
      </c>
      <c r="C2022" s="2">
        <f>Return!C2022</f>
        <v>2</v>
      </c>
      <c r="D2022" s="2">
        <f>COUNTA(Argument!E2022)</f>
        <v>1</v>
      </c>
      <c r="E2022" s="2" t="str">
        <f>IF(C2022,Return!D2022,Return!E2022)</f>
        <v>v</v>
      </c>
      <c r="F2022" s="2" t="str">
        <f t="shared" si="93"/>
        <v>[v]</v>
      </c>
      <c r="G2022" s="2" t="str">
        <f t="shared" si="95"/>
        <v>[v]</v>
      </c>
      <c r="H2022" s="2" t="str">
        <f t="shared" si="94"/>
        <v>, v, [v]</v>
      </c>
      <c r="I2022" s="2" t="str">
        <f>IF(Return!C2022=0,REPLACE(INDEX(H:H,ROW()+Return!B2022,),1,2,Return!E2022&amp;"(")&amp;")","")</f>
        <v/>
      </c>
      <c r="M2022" s="1"/>
    </row>
    <row r="2023" spans="1:13" x14ac:dyDescent="0.55000000000000004">
      <c r="A2023" s="1" t="s">
        <v>2177</v>
      </c>
      <c r="B2023" t="s">
        <v>1445</v>
      </c>
      <c r="C2023" s="2">
        <f>Return!C2023</f>
        <v>3</v>
      </c>
      <c r="D2023" s="2">
        <f>COUNTA(Argument!E2023)</f>
        <v>1</v>
      </c>
      <c r="E2023" s="2" t="str">
        <f>IF(C2023,Return!D2023,Return!E2023)</f>
        <v>v</v>
      </c>
      <c r="F2023" s="2" t="str">
        <f t="shared" si="93"/>
        <v>[v]</v>
      </c>
      <c r="G2023" s="2" t="str">
        <f t="shared" si="95"/>
        <v>[v]</v>
      </c>
      <c r="H2023" s="2" t="str">
        <f t="shared" si="94"/>
        <v>, v, [v], [v]</v>
      </c>
      <c r="I2023" s="2" t="str">
        <f>IF(Return!C2023=0,REPLACE(INDEX(H:H,ROW()+Return!B2023,),1,2,Return!E2023&amp;"(")&amp;")","")</f>
        <v/>
      </c>
      <c r="M2023" s="1"/>
    </row>
    <row r="2024" spans="1:13" x14ac:dyDescent="0.55000000000000004">
      <c r="A2024" s="1" t="s">
        <v>2178</v>
      </c>
      <c r="C2024" s="2">
        <f>Return!C2024</f>
        <v>0</v>
      </c>
      <c r="D2024" s="2">
        <f>COUNTA(Argument!E2024)</f>
        <v>0</v>
      </c>
      <c r="E2024" s="2" t="str">
        <f>IF(C2024,Return!D2024,Return!E2024)</f>
        <v>v</v>
      </c>
      <c r="F2024" s="2" t="str">
        <f t="shared" si="93"/>
        <v/>
      </c>
      <c r="G2024" s="2" t="str">
        <f t="shared" si="95"/>
        <v/>
      </c>
      <c r="H2024" s="2" t="str">
        <f t="shared" si="94"/>
        <v/>
      </c>
      <c r="I2024" s="2" t="str">
        <f>IF(Return!C2024=0,REPLACE(INDEX(H:H,ROW()+Return!B2024,),1,2,Return!E2024&amp;"(")&amp;")","")</f>
        <v>v(vr)</v>
      </c>
      <c r="M2024" s="1"/>
    </row>
    <row r="2025" spans="1:13" x14ac:dyDescent="0.55000000000000004">
      <c r="A2025" s="1" t="s">
        <v>2178</v>
      </c>
      <c r="B2025" t="s">
        <v>1380</v>
      </c>
      <c r="C2025" s="2">
        <f>Return!C2025</f>
        <v>1</v>
      </c>
      <c r="D2025" s="2">
        <f>COUNTA(Argument!E2025)</f>
        <v>1</v>
      </c>
      <c r="E2025" s="2" t="str">
        <f>IF(C2025,Return!D2025,Return!E2025)</f>
        <v>vr</v>
      </c>
      <c r="F2025" s="2" t="str">
        <f t="shared" si="93"/>
        <v>vr</v>
      </c>
      <c r="G2025" s="2" t="str">
        <f t="shared" si="95"/>
        <v>vr</v>
      </c>
      <c r="H2025" s="2" t="str">
        <f t="shared" si="94"/>
        <v>, vr</v>
      </c>
      <c r="I2025" s="2" t="str">
        <f>IF(Return!C2025=0,REPLACE(INDEX(H:H,ROW()+Return!B2025,),1,2,Return!E2025&amp;"(")&amp;")","")</f>
        <v/>
      </c>
      <c r="M2025" s="1"/>
    </row>
    <row r="2026" spans="1:13" x14ac:dyDescent="0.55000000000000004">
      <c r="A2026" s="1" t="s">
        <v>2179</v>
      </c>
      <c r="C2026" s="2">
        <f>Return!C2026</f>
        <v>0</v>
      </c>
      <c r="D2026" s="2">
        <f>COUNTA(Argument!E2026)</f>
        <v>0</v>
      </c>
      <c r="E2026" s="2" t="str">
        <f>IF(C2026,Return!D2026,Return!E2026)</f>
        <v>v</v>
      </c>
      <c r="F2026" s="2" t="str">
        <f t="shared" si="93"/>
        <v/>
      </c>
      <c r="G2026" s="2" t="str">
        <f t="shared" si="95"/>
        <v/>
      </c>
      <c r="H2026" s="2" t="str">
        <f t="shared" si="94"/>
        <v/>
      </c>
      <c r="I2026" s="2" t="str">
        <f>IF(Return!C2026=0,REPLACE(INDEX(H:H,ROW()+Return!B2026,),1,2,Return!E2026&amp;"(")&amp;")","")</f>
        <v>v(vr)</v>
      </c>
      <c r="M2026" s="1"/>
    </row>
    <row r="2027" spans="1:13" x14ac:dyDescent="0.55000000000000004">
      <c r="A2027" s="1" t="s">
        <v>2179</v>
      </c>
      <c r="B2027" t="s">
        <v>1380</v>
      </c>
      <c r="C2027" s="2">
        <f>Return!C2027</f>
        <v>1</v>
      </c>
      <c r="D2027" s="2">
        <f>COUNTA(Argument!E2027)</f>
        <v>1</v>
      </c>
      <c r="E2027" s="2" t="str">
        <f>IF(C2027,Return!D2027,Return!E2027)</f>
        <v>vr</v>
      </c>
      <c r="F2027" s="2" t="str">
        <f t="shared" si="93"/>
        <v>vr</v>
      </c>
      <c r="G2027" s="2" t="str">
        <f t="shared" si="95"/>
        <v>vr</v>
      </c>
      <c r="H2027" s="2" t="str">
        <f t="shared" si="94"/>
        <v>, vr</v>
      </c>
      <c r="I2027" s="2" t="str">
        <f>IF(Return!C2027=0,REPLACE(INDEX(H:H,ROW()+Return!B2027,),1,2,Return!E2027&amp;"(")&amp;")","")</f>
        <v/>
      </c>
      <c r="M2027" s="1"/>
    </row>
    <row r="2028" spans="1:13" x14ac:dyDescent="0.55000000000000004">
      <c r="A2028" s="1" t="s">
        <v>2180</v>
      </c>
      <c r="C2028" s="2">
        <f>Return!C2028</f>
        <v>0</v>
      </c>
      <c r="D2028" s="2">
        <f>COUNTA(Argument!E2028)</f>
        <v>0</v>
      </c>
      <c r="E2028" s="2" t="str">
        <f>IF(C2028,Return!D2028,Return!E2028)</f>
        <v>va</v>
      </c>
      <c r="F2028" s="2" t="str">
        <f t="shared" si="93"/>
        <v/>
      </c>
      <c r="G2028" s="2" t="str">
        <f t="shared" si="95"/>
        <v/>
      </c>
      <c r="H2028" s="2" t="str">
        <f t="shared" si="94"/>
        <v/>
      </c>
      <c r="I2028" s="2" t="str">
        <f>IF(Return!C2028=0,REPLACE(INDEX(H:H,ROW()+Return!B2028,),1,2,Return!E2028&amp;"(")&amp;")","")</f>
        <v>va(v, v)</v>
      </c>
      <c r="M2028" s="1"/>
    </row>
    <row r="2029" spans="1:13" x14ac:dyDescent="0.55000000000000004">
      <c r="A2029" s="1" t="s">
        <v>2180</v>
      </c>
      <c r="B2029" t="s">
        <v>1446</v>
      </c>
      <c r="C2029" s="2">
        <f>Return!C2029</f>
        <v>1</v>
      </c>
      <c r="D2029" s="2">
        <f>COUNTA(Argument!E2029)</f>
        <v>0</v>
      </c>
      <c r="E2029" s="2" t="str">
        <f>IF(C2029,Return!D2029,Return!E2029)</f>
        <v>v</v>
      </c>
      <c r="F2029" s="2" t="str">
        <f t="shared" si="93"/>
        <v>v</v>
      </c>
      <c r="G2029" s="2" t="str">
        <f t="shared" si="95"/>
        <v>v</v>
      </c>
      <c r="H2029" s="2" t="str">
        <f t="shared" si="94"/>
        <v>, v</v>
      </c>
      <c r="I2029" s="2" t="str">
        <f>IF(Return!C2029=0,REPLACE(INDEX(H:H,ROW()+Return!B2029,),1,2,Return!E2029&amp;"(")&amp;")","")</f>
        <v/>
      </c>
      <c r="M2029" s="1"/>
    </row>
    <row r="2030" spans="1:13" x14ac:dyDescent="0.55000000000000004">
      <c r="A2030" s="1" t="s">
        <v>2180</v>
      </c>
      <c r="B2030" t="s">
        <v>1447</v>
      </c>
      <c r="C2030" s="2">
        <f>Return!C2030</f>
        <v>2</v>
      </c>
      <c r="D2030" s="2">
        <f>COUNTA(Argument!E2030)</f>
        <v>1</v>
      </c>
      <c r="E2030" s="2" t="str">
        <f>IF(C2030,Return!D2030,Return!E2030)</f>
        <v>v</v>
      </c>
      <c r="F2030" s="2" t="str">
        <f t="shared" si="93"/>
        <v>v</v>
      </c>
      <c r="G2030" s="2" t="str">
        <f t="shared" si="95"/>
        <v>v</v>
      </c>
      <c r="H2030" s="2" t="str">
        <f t="shared" si="94"/>
        <v>, v, v</v>
      </c>
      <c r="I2030" s="2" t="str">
        <f>IF(Return!C2030=0,REPLACE(INDEX(H:H,ROW()+Return!B2030,),1,2,Return!E2030&amp;"(")&amp;")","")</f>
        <v/>
      </c>
      <c r="M2030" s="1"/>
    </row>
    <row r="2031" spans="1:13" x14ac:dyDescent="0.55000000000000004">
      <c r="A2031" s="1" t="s">
        <v>2181</v>
      </c>
      <c r="C2031" s="2">
        <f>Return!C2031</f>
        <v>0</v>
      </c>
      <c r="D2031" s="2">
        <f>COUNTA(Argument!E2031)</f>
        <v>0</v>
      </c>
      <c r="E2031" s="2" t="str">
        <f>IF(C2031,Return!D2031,Return!E2031)</f>
        <v>v</v>
      </c>
      <c r="F2031" s="2" t="str">
        <f t="shared" si="93"/>
        <v/>
      </c>
      <c r="G2031" s="2" t="str">
        <f t="shared" si="95"/>
        <v/>
      </c>
      <c r="H2031" s="2" t="str">
        <f t="shared" si="94"/>
        <v/>
      </c>
      <c r="I2031" s="2" t="str">
        <f>IF(Return!C2031=0,REPLACE(INDEX(H:H,ROW()+Return!B2031,),1,2,Return!E2031&amp;"(")&amp;")","")</f>
        <v>v(v)</v>
      </c>
      <c r="M2031" s="1"/>
    </row>
    <row r="2032" spans="1:13" x14ac:dyDescent="0.55000000000000004">
      <c r="A2032" s="1" t="s">
        <v>2181</v>
      </c>
      <c r="B2032" t="s">
        <v>1448</v>
      </c>
      <c r="C2032" s="2">
        <f>Return!C2032</f>
        <v>1</v>
      </c>
      <c r="D2032" s="2">
        <f>COUNTA(Argument!E2032)</f>
        <v>1</v>
      </c>
      <c r="E2032" s="2" t="str">
        <f>IF(C2032,Return!D2032,Return!E2032)</f>
        <v>v</v>
      </c>
      <c r="F2032" s="2" t="str">
        <f t="shared" si="93"/>
        <v>v</v>
      </c>
      <c r="G2032" s="2" t="str">
        <f t="shared" si="95"/>
        <v>v</v>
      </c>
      <c r="H2032" s="2" t="str">
        <f t="shared" si="94"/>
        <v>, v</v>
      </c>
      <c r="I2032" s="2" t="str">
        <f>IF(Return!C2032=0,REPLACE(INDEX(H:H,ROW()+Return!B2032,),1,2,Return!E2032&amp;"(")&amp;")","")</f>
        <v/>
      </c>
      <c r="M2032" s="1"/>
    </row>
    <row r="2033" spans="1:13" x14ac:dyDescent="0.55000000000000004">
      <c r="A2033" s="1" t="s">
        <v>2182</v>
      </c>
      <c r="C2033" s="2">
        <f>Return!C2033</f>
        <v>0</v>
      </c>
      <c r="D2033" s="2">
        <f>COUNTA(Argument!E2033)</f>
        <v>0</v>
      </c>
      <c r="E2033" s="2" t="str">
        <f>IF(C2033,Return!D2033,Return!E2033)</f>
        <v>v</v>
      </c>
      <c r="F2033" s="2" t="str">
        <f t="shared" si="93"/>
        <v/>
      </c>
      <c r="G2033" s="2" t="str">
        <f t="shared" si="95"/>
        <v/>
      </c>
      <c r="H2033" s="2" t="str">
        <f t="shared" si="94"/>
        <v/>
      </c>
      <c r="I2033" s="2" t="str">
        <f>IF(Return!C2033=0,REPLACE(INDEX(H:H,ROW()+Return!B2033,),1,2,Return!E2033&amp;"(")&amp;")","")</f>
        <v>v(v)</v>
      </c>
      <c r="M2033" s="1"/>
    </row>
    <row r="2034" spans="1:13" x14ac:dyDescent="0.55000000000000004">
      <c r="A2034" s="1" t="s">
        <v>2182</v>
      </c>
      <c r="B2034" t="s">
        <v>1233</v>
      </c>
      <c r="C2034" s="2">
        <f>Return!C2034</f>
        <v>1</v>
      </c>
      <c r="D2034" s="2">
        <f>COUNTA(Argument!E2034)</f>
        <v>1</v>
      </c>
      <c r="E2034" s="2" t="str">
        <f>IF(C2034,Return!D2034,Return!E2034)</f>
        <v>v</v>
      </c>
      <c r="F2034" s="2" t="str">
        <f t="shared" si="93"/>
        <v>v</v>
      </c>
      <c r="G2034" s="2" t="str">
        <f t="shared" si="95"/>
        <v>v</v>
      </c>
      <c r="H2034" s="2" t="str">
        <f t="shared" si="94"/>
        <v>, v</v>
      </c>
      <c r="I2034" s="2" t="str">
        <f>IF(Return!C2034=0,REPLACE(INDEX(H:H,ROW()+Return!B2034,),1,2,Return!E2034&amp;"(")&amp;")","")</f>
        <v/>
      </c>
      <c r="M2034" s="1"/>
    </row>
    <row r="2035" spans="1:13" x14ac:dyDescent="0.55000000000000004">
      <c r="A2035" s="1" t="s">
        <v>2183</v>
      </c>
      <c r="C2035" s="2">
        <f>Return!C2035</f>
        <v>0</v>
      </c>
      <c r="D2035" s="2">
        <f>COUNTA(Argument!E2035)</f>
        <v>0</v>
      </c>
      <c r="E2035" s="2" t="str">
        <f>IF(C2035,Return!D2035,Return!E2035)</f>
        <v>v</v>
      </c>
      <c r="F2035" s="2" t="str">
        <f t="shared" si="93"/>
        <v/>
      </c>
      <c r="G2035" s="2" t="str">
        <f t="shared" si="95"/>
        <v/>
      </c>
      <c r="H2035" s="2" t="str">
        <f t="shared" si="94"/>
        <v/>
      </c>
      <c r="I2035" s="2" t="str">
        <f>IF(Return!C2035=0,REPLACE(INDEX(H:H,ROW()+Return!B2035,),1,2,Return!E2035&amp;"(")&amp;")","")</f>
        <v>v(v, ar, ar, [v], [v], [v])</v>
      </c>
      <c r="M2035" s="1"/>
    </row>
    <row r="2036" spans="1:13" x14ac:dyDescent="0.55000000000000004">
      <c r="A2036" s="1" t="s">
        <v>2183</v>
      </c>
      <c r="B2036" t="s">
        <v>1449</v>
      </c>
      <c r="C2036" s="2">
        <f>Return!C2036</f>
        <v>1</v>
      </c>
      <c r="D2036" s="2">
        <f>COUNTA(Argument!E2036)</f>
        <v>0</v>
      </c>
      <c r="E2036" s="2" t="str">
        <f>IF(C2036,Return!D2036,Return!E2036)</f>
        <v>v</v>
      </c>
      <c r="F2036" s="2" t="str">
        <f t="shared" si="93"/>
        <v>v</v>
      </c>
      <c r="G2036" s="2" t="str">
        <f t="shared" si="95"/>
        <v>v</v>
      </c>
      <c r="H2036" s="2" t="str">
        <f t="shared" si="94"/>
        <v>, v</v>
      </c>
      <c r="I2036" s="2" t="str">
        <f>IF(Return!C2036=0,REPLACE(INDEX(H:H,ROW()+Return!B2036,),1,2,Return!E2036&amp;"(")&amp;")","")</f>
        <v/>
      </c>
      <c r="M2036" s="1"/>
    </row>
    <row r="2037" spans="1:13" x14ac:dyDescent="0.55000000000000004">
      <c r="A2037" s="1" t="s">
        <v>2183</v>
      </c>
      <c r="B2037" t="s">
        <v>1255</v>
      </c>
      <c r="C2037" s="2">
        <f>Return!C2037</f>
        <v>2</v>
      </c>
      <c r="D2037" s="2">
        <f>COUNTA(Argument!E2037)</f>
        <v>0</v>
      </c>
      <c r="E2037" s="2" t="str">
        <f>IF(C2037,Return!D2037,Return!E2037)</f>
        <v>ar</v>
      </c>
      <c r="F2037" s="2" t="str">
        <f t="shared" si="93"/>
        <v>ar</v>
      </c>
      <c r="G2037" s="2" t="str">
        <f t="shared" si="95"/>
        <v>ar</v>
      </c>
      <c r="H2037" s="2" t="str">
        <f t="shared" si="94"/>
        <v>, v, ar</v>
      </c>
      <c r="I2037" s="2" t="str">
        <f>IF(Return!C2037=0,REPLACE(INDEX(H:H,ROW()+Return!B2037,),1,2,Return!E2037&amp;"(")&amp;")","")</f>
        <v/>
      </c>
      <c r="M2037" s="1"/>
    </row>
    <row r="2038" spans="1:13" x14ac:dyDescent="0.55000000000000004">
      <c r="A2038" s="1" t="s">
        <v>2183</v>
      </c>
      <c r="B2038" t="s">
        <v>1450</v>
      </c>
      <c r="C2038" s="2">
        <f>Return!C2038</f>
        <v>3</v>
      </c>
      <c r="D2038" s="2">
        <f>COUNTA(Argument!E2038)</f>
        <v>1</v>
      </c>
      <c r="E2038" s="2" t="str">
        <f>IF(C2038,Return!D2038,Return!E2038)</f>
        <v>ar</v>
      </c>
      <c r="F2038" s="2" t="str">
        <f t="shared" si="93"/>
        <v>ar</v>
      </c>
      <c r="G2038" s="2" t="str">
        <f t="shared" si="95"/>
        <v>ar</v>
      </c>
      <c r="H2038" s="2" t="str">
        <f t="shared" si="94"/>
        <v>, v, ar, ar</v>
      </c>
      <c r="I2038" s="2" t="str">
        <f>IF(Return!C2038=0,REPLACE(INDEX(H:H,ROW()+Return!B2038,),1,2,Return!E2038&amp;"(")&amp;")","")</f>
        <v/>
      </c>
      <c r="M2038" s="1"/>
    </row>
    <row r="2039" spans="1:13" x14ac:dyDescent="0.55000000000000004">
      <c r="A2039" s="1" t="s">
        <v>2183</v>
      </c>
      <c r="B2039" t="s">
        <v>1451</v>
      </c>
      <c r="C2039" s="2">
        <f>Return!C2039</f>
        <v>4</v>
      </c>
      <c r="D2039" s="2">
        <f>COUNTA(Argument!E2039)</f>
        <v>1</v>
      </c>
      <c r="E2039" s="2" t="str">
        <f>IF(C2039,Return!D2039,Return!E2039)</f>
        <v>v</v>
      </c>
      <c r="F2039" s="2" t="str">
        <f t="shared" si="93"/>
        <v>[v]</v>
      </c>
      <c r="G2039" s="2" t="str">
        <f t="shared" si="95"/>
        <v>[v]</v>
      </c>
      <c r="H2039" s="2" t="str">
        <f t="shared" si="94"/>
        <v>, v, ar, ar, [v]</v>
      </c>
      <c r="I2039" s="2" t="str">
        <f>IF(Return!C2039=0,REPLACE(INDEX(H:H,ROW()+Return!B2039,),1,2,Return!E2039&amp;"(")&amp;")","")</f>
        <v/>
      </c>
      <c r="M2039" s="1"/>
    </row>
    <row r="2040" spans="1:13" x14ac:dyDescent="0.55000000000000004">
      <c r="A2040" s="1" t="s">
        <v>2183</v>
      </c>
      <c r="B2040" t="s">
        <v>1452</v>
      </c>
      <c r="C2040" s="2">
        <f>Return!C2040</f>
        <v>5</v>
      </c>
      <c r="D2040" s="2">
        <f>COUNTA(Argument!E2040)</f>
        <v>1</v>
      </c>
      <c r="E2040" s="2" t="str">
        <f>IF(C2040,Return!D2040,Return!E2040)</f>
        <v>v</v>
      </c>
      <c r="F2040" s="2" t="str">
        <f t="shared" si="93"/>
        <v>[v]</v>
      </c>
      <c r="G2040" s="2" t="str">
        <f t="shared" si="95"/>
        <v>[v]</v>
      </c>
      <c r="H2040" s="2" t="str">
        <f t="shared" si="94"/>
        <v>, v, ar, ar, [v], [v]</v>
      </c>
      <c r="I2040" s="2" t="str">
        <f>IF(Return!C2040=0,REPLACE(INDEX(H:H,ROW()+Return!B2040,),1,2,Return!E2040&amp;"(")&amp;")","")</f>
        <v/>
      </c>
      <c r="M2040" s="1"/>
    </row>
    <row r="2041" spans="1:13" x14ac:dyDescent="0.55000000000000004">
      <c r="A2041" s="1" t="s">
        <v>2183</v>
      </c>
      <c r="B2041" t="s">
        <v>1453</v>
      </c>
      <c r="C2041" s="2">
        <f>Return!C2041</f>
        <v>6</v>
      </c>
      <c r="D2041" s="2">
        <f>COUNTA(Argument!E2041)</f>
        <v>1</v>
      </c>
      <c r="E2041" s="2" t="str">
        <f>IF(C2041,Return!D2041,Return!E2041)</f>
        <v>v</v>
      </c>
      <c r="F2041" s="2" t="str">
        <f t="shared" si="93"/>
        <v>[v]</v>
      </c>
      <c r="G2041" s="2" t="str">
        <f t="shared" si="95"/>
        <v>[v]</v>
      </c>
      <c r="H2041" s="2" t="str">
        <f t="shared" si="94"/>
        <v>, v, ar, ar, [v], [v], [v]</v>
      </c>
      <c r="I2041" s="2" t="str">
        <f>IF(Return!C2041=0,REPLACE(INDEX(H:H,ROW()+Return!B2041,),1,2,Return!E2041&amp;"(")&amp;")","")</f>
        <v/>
      </c>
      <c r="M2041" s="1"/>
    </row>
    <row r="2042" spans="1:13" x14ac:dyDescent="0.55000000000000004">
      <c r="A2042" s="1" t="s">
        <v>2184</v>
      </c>
      <c r="C2042" s="2">
        <f>Return!C2042</f>
        <v>0</v>
      </c>
      <c r="D2042" s="2">
        <f>COUNTA(Argument!E2042)</f>
        <v>0</v>
      </c>
      <c r="E2042" s="2" t="str">
        <f>IF(C2042,Return!D2042,Return!E2042)</f>
        <v>v</v>
      </c>
      <c r="F2042" s="2" t="str">
        <f t="shared" si="93"/>
        <v/>
      </c>
      <c r="G2042" s="2" t="str">
        <f t="shared" si="95"/>
        <v/>
      </c>
      <c r="H2042" s="2" t="str">
        <f t="shared" si="94"/>
        <v/>
      </c>
      <c r="I2042" s="2" t="str">
        <f>IF(Return!C2042=0,REPLACE(INDEX(H:H,ROW()+Return!B2042,),1,2,Return!E2042&amp;"(")&amp;")","")</f>
        <v>v(v, ar, ar, [v], [v], [v], [v])</v>
      </c>
      <c r="M2042" s="1"/>
    </row>
    <row r="2043" spans="1:13" x14ac:dyDescent="0.55000000000000004">
      <c r="A2043" s="1" t="s">
        <v>2184</v>
      </c>
      <c r="B2043" t="s">
        <v>1449</v>
      </c>
      <c r="C2043" s="2">
        <f>Return!C2043</f>
        <v>1</v>
      </c>
      <c r="D2043" s="2">
        <f>COUNTA(Argument!E2043)</f>
        <v>0</v>
      </c>
      <c r="E2043" s="2" t="str">
        <f>IF(C2043,Return!D2043,Return!E2043)</f>
        <v>v</v>
      </c>
      <c r="F2043" s="2" t="str">
        <f t="shared" si="93"/>
        <v>v</v>
      </c>
      <c r="G2043" s="2" t="str">
        <f t="shared" si="95"/>
        <v>v</v>
      </c>
      <c r="H2043" s="2" t="str">
        <f t="shared" si="94"/>
        <v>, v</v>
      </c>
      <c r="I2043" s="2" t="str">
        <f>IF(Return!C2043=0,REPLACE(INDEX(H:H,ROW()+Return!B2043,),1,2,Return!E2043&amp;"(")&amp;")","")</f>
        <v/>
      </c>
      <c r="M2043" s="1"/>
    </row>
    <row r="2044" spans="1:13" x14ac:dyDescent="0.55000000000000004">
      <c r="A2044" s="1" t="s">
        <v>2184</v>
      </c>
      <c r="B2044" t="s">
        <v>1255</v>
      </c>
      <c r="C2044" s="2">
        <f>Return!C2044</f>
        <v>2</v>
      </c>
      <c r="D2044" s="2">
        <f>COUNTA(Argument!E2044)</f>
        <v>0</v>
      </c>
      <c r="E2044" s="2" t="str">
        <f>IF(C2044,Return!D2044,Return!E2044)</f>
        <v>ar</v>
      </c>
      <c r="F2044" s="2" t="str">
        <f t="shared" si="93"/>
        <v>ar</v>
      </c>
      <c r="G2044" s="2" t="str">
        <f t="shared" si="95"/>
        <v>ar</v>
      </c>
      <c r="H2044" s="2" t="str">
        <f t="shared" si="94"/>
        <v>, v, ar</v>
      </c>
      <c r="I2044" s="2" t="str">
        <f>IF(Return!C2044=0,REPLACE(INDEX(H:H,ROW()+Return!B2044,),1,2,Return!E2044&amp;"(")&amp;")","")</f>
        <v/>
      </c>
      <c r="M2044" s="1"/>
    </row>
    <row r="2045" spans="1:13" x14ac:dyDescent="0.55000000000000004">
      <c r="A2045" s="1" t="s">
        <v>2184</v>
      </c>
      <c r="B2045" t="s">
        <v>1450</v>
      </c>
      <c r="C2045" s="2">
        <f>Return!C2045</f>
        <v>3</v>
      </c>
      <c r="D2045" s="2">
        <f>COUNTA(Argument!E2045)</f>
        <v>1</v>
      </c>
      <c r="E2045" s="2" t="str">
        <f>IF(C2045,Return!D2045,Return!E2045)</f>
        <v>ar</v>
      </c>
      <c r="F2045" s="2" t="str">
        <f t="shared" si="93"/>
        <v>ar</v>
      </c>
      <c r="G2045" s="2" t="str">
        <f t="shared" si="95"/>
        <v>ar</v>
      </c>
      <c r="H2045" s="2" t="str">
        <f t="shared" si="94"/>
        <v>, v, ar, ar</v>
      </c>
      <c r="I2045" s="2" t="str">
        <f>IF(Return!C2045=0,REPLACE(INDEX(H:H,ROW()+Return!B2045,),1,2,Return!E2045&amp;"(")&amp;")","")</f>
        <v/>
      </c>
      <c r="M2045" s="1"/>
    </row>
    <row r="2046" spans="1:13" x14ac:dyDescent="0.55000000000000004">
      <c r="A2046" s="1" t="s">
        <v>2184</v>
      </c>
      <c r="B2046" t="s">
        <v>1454</v>
      </c>
      <c r="C2046" s="2">
        <f>Return!C2046</f>
        <v>4</v>
      </c>
      <c r="D2046" s="2">
        <f>COUNTA(Argument!E2046)</f>
        <v>1</v>
      </c>
      <c r="E2046" s="2" t="str">
        <f>IF(C2046,Return!D2046,Return!E2046)</f>
        <v>v</v>
      </c>
      <c r="F2046" s="2" t="str">
        <f t="shared" si="93"/>
        <v>[v]</v>
      </c>
      <c r="G2046" s="2" t="str">
        <f t="shared" si="95"/>
        <v>[v]</v>
      </c>
      <c r="H2046" s="2" t="str">
        <f t="shared" si="94"/>
        <v>, v, ar, ar, [v]</v>
      </c>
      <c r="I2046" s="2" t="str">
        <f>IF(Return!C2046=0,REPLACE(INDEX(H:H,ROW()+Return!B2046,),1,2,Return!E2046&amp;"(")&amp;")","")</f>
        <v/>
      </c>
      <c r="M2046" s="1"/>
    </row>
    <row r="2047" spans="1:13" x14ac:dyDescent="0.55000000000000004">
      <c r="A2047" s="1" t="s">
        <v>2184</v>
      </c>
      <c r="B2047" t="s">
        <v>1451</v>
      </c>
      <c r="C2047" s="2">
        <f>Return!C2047</f>
        <v>5</v>
      </c>
      <c r="D2047" s="2">
        <f>COUNTA(Argument!E2047)</f>
        <v>1</v>
      </c>
      <c r="E2047" s="2" t="str">
        <f>IF(C2047,Return!D2047,Return!E2047)</f>
        <v>v</v>
      </c>
      <c r="F2047" s="2" t="str">
        <f t="shared" si="93"/>
        <v>[v]</v>
      </c>
      <c r="G2047" s="2" t="str">
        <f t="shared" si="95"/>
        <v>[v]</v>
      </c>
      <c r="H2047" s="2" t="str">
        <f t="shared" si="94"/>
        <v>, v, ar, ar, [v], [v]</v>
      </c>
      <c r="I2047" s="2" t="str">
        <f>IF(Return!C2047=0,REPLACE(INDEX(H:H,ROW()+Return!B2047,),1,2,Return!E2047&amp;"(")&amp;")","")</f>
        <v/>
      </c>
      <c r="M2047" s="1"/>
    </row>
    <row r="2048" spans="1:13" x14ac:dyDescent="0.55000000000000004">
      <c r="A2048" s="1" t="s">
        <v>2184</v>
      </c>
      <c r="B2048" t="s">
        <v>1452</v>
      </c>
      <c r="C2048" s="2">
        <f>Return!C2048</f>
        <v>6</v>
      </c>
      <c r="D2048" s="2">
        <f>COUNTA(Argument!E2048)</f>
        <v>1</v>
      </c>
      <c r="E2048" s="2" t="str">
        <f>IF(C2048,Return!D2048,Return!E2048)</f>
        <v>v</v>
      </c>
      <c r="F2048" s="2" t="str">
        <f t="shared" si="93"/>
        <v>[v]</v>
      </c>
      <c r="G2048" s="2" t="str">
        <f t="shared" si="95"/>
        <v>[v]</v>
      </c>
      <c r="H2048" s="2" t="str">
        <f t="shared" si="94"/>
        <v>, v, ar, ar, [v], [v], [v]</v>
      </c>
      <c r="I2048" s="2" t="str">
        <f>IF(Return!C2048=0,REPLACE(INDEX(H:H,ROW()+Return!B2048,),1,2,Return!E2048&amp;"(")&amp;")","")</f>
        <v/>
      </c>
      <c r="M2048" s="1"/>
    </row>
    <row r="2049" spans="1:13" x14ac:dyDescent="0.55000000000000004">
      <c r="A2049" s="1" t="s">
        <v>2184</v>
      </c>
      <c r="B2049" t="s">
        <v>1453</v>
      </c>
      <c r="C2049" s="2">
        <f>Return!C2049</f>
        <v>7</v>
      </c>
      <c r="D2049" s="2">
        <f>COUNTA(Argument!E2049)</f>
        <v>1</v>
      </c>
      <c r="E2049" s="2" t="str">
        <f>IF(C2049,Return!D2049,Return!E2049)</f>
        <v>v</v>
      </c>
      <c r="F2049" s="2" t="str">
        <f t="shared" si="93"/>
        <v>[v]</v>
      </c>
      <c r="G2049" s="2" t="str">
        <f t="shared" si="95"/>
        <v>[v]</v>
      </c>
      <c r="H2049" s="2" t="str">
        <f t="shared" si="94"/>
        <v>, v, ar, ar, [v], [v], [v], [v]</v>
      </c>
      <c r="I2049" s="2" t="str">
        <f>IF(Return!C2049=0,REPLACE(INDEX(H:H,ROW()+Return!B2049,),1,2,Return!E2049&amp;"(")&amp;")","")</f>
        <v/>
      </c>
      <c r="M2049" s="1"/>
    </row>
    <row r="2050" spans="1:13" x14ac:dyDescent="0.55000000000000004">
      <c r="A2050" s="1" t="s">
        <v>2185</v>
      </c>
      <c r="C2050" s="2">
        <f>Return!C2050</f>
        <v>0</v>
      </c>
      <c r="D2050" s="2">
        <f>COUNTA(Argument!E2050)</f>
        <v>0</v>
      </c>
      <c r="E2050" s="2" t="str">
        <f>IF(C2050,Return!D2050,Return!E2050)</f>
        <v>v</v>
      </c>
      <c r="F2050" s="2" t="str">
        <f t="shared" si="93"/>
        <v/>
      </c>
      <c r="G2050" s="2" t="str">
        <f t="shared" si="95"/>
        <v/>
      </c>
      <c r="H2050" s="2" t="str">
        <f t="shared" si="94"/>
        <v/>
      </c>
      <c r="I2050" s="2" t="str">
        <f>IF(Return!C2050=0,REPLACE(INDEX(H:H,ROW()+Return!B2050,),1,2,Return!E2050&amp;"(")&amp;")","")</f>
        <v>v(ar, ar, [v], [v])</v>
      </c>
      <c r="M2050" s="1"/>
    </row>
    <row r="2051" spans="1:13" x14ac:dyDescent="0.55000000000000004">
      <c r="A2051" s="1" t="s">
        <v>2185</v>
      </c>
      <c r="B2051" t="s">
        <v>1255</v>
      </c>
      <c r="C2051" s="2">
        <f>Return!C2051</f>
        <v>1</v>
      </c>
      <c r="D2051" s="2">
        <f>COUNTA(Argument!E2051)</f>
        <v>0</v>
      </c>
      <c r="E2051" s="2" t="str">
        <f>IF(C2051,Return!D2051,Return!E2051)</f>
        <v>ar</v>
      </c>
      <c r="F2051" s="2" t="str">
        <f t="shared" ref="F2051:F2097" si="96">IF(C2051,IF(D2051,IF(D2050,"["&amp;E2051&amp;"]",E2051),E2051),"")</f>
        <v>ar</v>
      </c>
      <c r="G2051" s="2" t="str">
        <f t="shared" si="95"/>
        <v>ar</v>
      </c>
      <c r="H2051" s="2" t="str">
        <f t="shared" ref="H2051:H2097" si="97">IF(C2051&gt;0,H2050&amp;", "&amp;G2051,"")</f>
        <v>, ar</v>
      </c>
      <c r="I2051" s="2" t="str">
        <f>IF(Return!C2051=0,REPLACE(INDEX(H:H,ROW()+Return!B2051,),1,2,Return!E2051&amp;"(")&amp;")","")</f>
        <v/>
      </c>
      <c r="M2051" s="1"/>
    </row>
    <row r="2052" spans="1:13" x14ac:dyDescent="0.55000000000000004">
      <c r="A2052" s="1" t="s">
        <v>2185</v>
      </c>
      <c r="B2052" t="s">
        <v>1450</v>
      </c>
      <c r="C2052" s="2">
        <f>Return!C2052</f>
        <v>2</v>
      </c>
      <c r="D2052" s="2">
        <f>COUNTA(Argument!E2052)</f>
        <v>1</v>
      </c>
      <c r="E2052" s="2" t="str">
        <f>IF(C2052,Return!D2052,Return!E2052)</f>
        <v>ar</v>
      </c>
      <c r="F2052" s="2" t="str">
        <f t="shared" si="96"/>
        <v>ar</v>
      </c>
      <c r="G2052" s="2" t="str">
        <f t="shared" ref="G2052:G2097" si="98">IF(B2052="...",IF(C2053&gt;0,"["&amp;E2052,"…"),IF(B2051=" ...",IF(C2052&gt;0,E2052&amp;"], …",F2052),F2052))</f>
        <v>ar</v>
      </c>
      <c r="H2052" s="2" t="str">
        <f t="shared" si="97"/>
        <v>, ar, ar</v>
      </c>
      <c r="I2052" s="2" t="str">
        <f>IF(Return!C2052=0,REPLACE(INDEX(H:H,ROW()+Return!B2052,),1,2,Return!E2052&amp;"(")&amp;")","")</f>
        <v/>
      </c>
      <c r="M2052" s="1"/>
    </row>
    <row r="2053" spans="1:13" x14ac:dyDescent="0.55000000000000004">
      <c r="A2053" s="1" t="s">
        <v>2185</v>
      </c>
      <c r="B2053" t="s">
        <v>1452</v>
      </c>
      <c r="C2053" s="2">
        <f>Return!C2053</f>
        <v>3</v>
      </c>
      <c r="D2053" s="2">
        <f>COUNTA(Argument!E2053)</f>
        <v>1</v>
      </c>
      <c r="E2053" s="2" t="str">
        <f>IF(C2053,Return!D2053,Return!E2053)</f>
        <v>v</v>
      </c>
      <c r="F2053" s="2" t="str">
        <f t="shared" si="96"/>
        <v>[v]</v>
      </c>
      <c r="G2053" s="2" t="str">
        <f t="shared" si="98"/>
        <v>[v]</v>
      </c>
      <c r="H2053" s="2" t="str">
        <f t="shared" si="97"/>
        <v>, ar, ar, [v]</v>
      </c>
      <c r="I2053" s="2" t="str">
        <f>IF(Return!C2053=0,REPLACE(INDEX(H:H,ROW()+Return!B2053,),1,2,Return!E2053&amp;"(")&amp;")","")</f>
        <v/>
      </c>
      <c r="M2053" s="1"/>
    </row>
    <row r="2054" spans="1:13" x14ac:dyDescent="0.55000000000000004">
      <c r="A2054" s="1" t="s">
        <v>2185</v>
      </c>
      <c r="B2054" t="s">
        <v>1453</v>
      </c>
      <c r="C2054" s="2">
        <f>Return!C2054</f>
        <v>4</v>
      </c>
      <c r="D2054" s="2">
        <f>COUNTA(Argument!E2054)</f>
        <v>1</v>
      </c>
      <c r="E2054" s="2" t="str">
        <f>IF(C2054,Return!D2054,Return!E2054)</f>
        <v>v</v>
      </c>
      <c r="F2054" s="2" t="str">
        <f t="shared" si="96"/>
        <v>[v]</v>
      </c>
      <c r="G2054" s="2" t="str">
        <f t="shared" si="98"/>
        <v>[v]</v>
      </c>
      <c r="H2054" s="2" t="str">
        <f t="shared" si="97"/>
        <v>, ar, ar, [v], [v]</v>
      </c>
      <c r="I2054" s="2" t="str">
        <f>IF(Return!C2054=0,REPLACE(INDEX(H:H,ROW()+Return!B2054,),1,2,Return!E2054&amp;"(")&amp;")","")</f>
        <v/>
      </c>
      <c r="M2054" s="1"/>
    </row>
    <row r="2055" spans="1:13" x14ac:dyDescent="0.55000000000000004">
      <c r="A2055" s="1" t="s">
        <v>2186</v>
      </c>
      <c r="C2055" s="2">
        <f>Return!C2055</f>
        <v>0</v>
      </c>
      <c r="D2055" s="2">
        <f>COUNTA(Argument!E2055)</f>
        <v>0</v>
      </c>
      <c r="E2055" s="2" t="str">
        <f>IF(C2055,Return!D2055,Return!E2055)</f>
        <v>v</v>
      </c>
      <c r="F2055" s="2" t="str">
        <f t="shared" si="96"/>
        <v/>
      </c>
      <c r="G2055" s="2" t="str">
        <f t="shared" si="98"/>
        <v/>
      </c>
      <c r="H2055" s="2" t="str">
        <f t="shared" si="97"/>
        <v/>
      </c>
      <c r="I2055" s="2" t="str">
        <f>IF(Return!C2055=0,REPLACE(INDEX(H:H,ROW()+Return!B2055,),1,2,Return!E2055&amp;"(")&amp;")","")</f>
        <v>v(ar, ar, v, [v], [v], [v])</v>
      </c>
      <c r="M2055" s="1"/>
    </row>
    <row r="2056" spans="1:13" x14ac:dyDescent="0.55000000000000004">
      <c r="A2056" s="1" t="s">
        <v>2186</v>
      </c>
      <c r="B2056" t="s">
        <v>1255</v>
      </c>
      <c r="C2056" s="2">
        <f>Return!C2056</f>
        <v>1</v>
      </c>
      <c r="D2056" s="2">
        <f>COUNTA(Argument!E2056)</f>
        <v>0</v>
      </c>
      <c r="E2056" s="2" t="str">
        <f>IF(C2056,Return!D2056,Return!E2056)</f>
        <v>ar</v>
      </c>
      <c r="F2056" s="2" t="str">
        <f t="shared" si="96"/>
        <v>ar</v>
      </c>
      <c r="G2056" s="2" t="str">
        <f t="shared" si="98"/>
        <v>ar</v>
      </c>
      <c r="H2056" s="2" t="str">
        <f t="shared" si="97"/>
        <v>, ar</v>
      </c>
      <c r="I2056" s="2" t="str">
        <f>IF(Return!C2056=0,REPLACE(INDEX(H:H,ROW()+Return!B2056,),1,2,Return!E2056&amp;"(")&amp;")","")</f>
        <v/>
      </c>
      <c r="M2056" s="1"/>
    </row>
    <row r="2057" spans="1:13" x14ac:dyDescent="0.55000000000000004">
      <c r="A2057" s="1" t="s">
        <v>2186</v>
      </c>
      <c r="B2057" t="s">
        <v>1450</v>
      </c>
      <c r="C2057" s="2">
        <f>Return!C2057</f>
        <v>2</v>
      </c>
      <c r="D2057" s="2">
        <f>COUNTA(Argument!E2057)</f>
        <v>0</v>
      </c>
      <c r="E2057" s="2" t="str">
        <f>IF(C2057,Return!D2057,Return!E2057)</f>
        <v>ar</v>
      </c>
      <c r="F2057" s="2" t="str">
        <f t="shared" si="96"/>
        <v>ar</v>
      </c>
      <c r="G2057" s="2" t="str">
        <f t="shared" si="98"/>
        <v>ar</v>
      </c>
      <c r="H2057" s="2" t="str">
        <f t="shared" si="97"/>
        <v>, ar, ar</v>
      </c>
      <c r="I2057" s="2" t="str">
        <f>IF(Return!C2057=0,REPLACE(INDEX(H:H,ROW()+Return!B2057,),1,2,Return!E2057&amp;"(")&amp;")","")</f>
        <v/>
      </c>
      <c r="M2057" s="1"/>
    </row>
    <row r="2058" spans="1:13" x14ac:dyDescent="0.55000000000000004">
      <c r="A2058" s="1" t="s">
        <v>2186</v>
      </c>
      <c r="B2058" t="s">
        <v>1455</v>
      </c>
      <c r="C2058" s="2">
        <f>Return!C2058</f>
        <v>3</v>
      </c>
      <c r="D2058" s="2">
        <f>COUNTA(Argument!E2058)</f>
        <v>1</v>
      </c>
      <c r="E2058" s="2" t="str">
        <f>IF(C2058,Return!D2058,Return!E2058)</f>
        <v>v</v>
      </c>
      <c r="F2058" s="2" t="str">
        <f t="shared" si="96"/>
        <v>v</v>
      </c>
      <c r="G2058" s="2" t="str">
        <f t="shared" si="98"/>
        <v>v</v>
      </c>
      <c r="H2058" s="2" t="str">
        <f t="shared" si="97"/>
        <v>, ar, ar, v</v>
      </c>
      <c r="I2058" s="2" t="str">
        <f>IF(Return!C2058=0,REPLACE(INDEX(H:H,ROW()+Return!B2058,),1,2,Return!E2058&amp;"(")&amp;")","")</f>
        <v/>
      </c>
      <c r="M2058" s="1"/>
    </row>
    <row r="2059" spans="1:13" x14ac:dyDescent="0.55000000000000004">
      <c r="A2059" s="1" t="s">
        <v>2186</v>
      </c>
      <c r="B2059" t="s">
        <v>1451</v>
      </c>
      <c r="C2059" s="2">
        <f>Return!C2059</f>
        <v>4</v>
      </c>
      <c r="D2059" s="2">
        <f>COUNTA(Argument!E2059)</f>
        <v>1</v>
      </c>
      <c r="E2059" s="2" t="str">
        <f>IF(C2059,Return!D2059,Return!E2059)</f>
        <v>v</v>
      </c>
      <c r="F2059" s="2" t="str">
        <f t="shared" si="96"/>
        <v>[v]</v>
      </c>
      <c r="G2059" s="2" t="str">
        <f t="shared" si="98"/>
        <v>[v]</v>
      </c>
      <c r="H2059" s="2" t="str">
        <f t="shared" si="97"/>
        <v>, ar, ar, v, [v]</v>
      </c>
      <c r="I2059" s="2" t="str">
        <f>IF(Return!C2059=0,REPLACE(INDEX(H:H,ROW()+Return!B2059,),1,2,Return!E2059&amp;"(")&amp;")","")</f>
        <v/>
      </c>
      <c r="M2059" s="1"/>
    </row>
    <row r="2060" spans="1:13" x14ac:dyDescent="0.55000000000000004">
      <c r="A2060" s="1" t="s">
        <v>2186</v>
      </c>
      <c r="B2060" t="s">
        <v>1452</v>
      </c>
      <c r="C2060" s="2">
        <f>Return!C2060</f>
        <v>5</v>
      </c>
      <c r="D2060" s="2">
        <f>COUNTA(Argument!E2060)</f>
        <v>1</v>
      </c>
      <c r="E2060" s="2" t="str">
        <f>IF(C2060,Return!D2060,Return!E2060)</f>
        <v>v</v>
      </c>
      <c r="F2060" s="2" t="str">
        <f t="shared" si="96"/>
        <v>[v]</v>
      </c>
      <c r="G2060" s="2" t="str">
        <f t="shared" si="98"/>
        <v>[v]</v>
      </c>
      <c r="H2060" s="2" t="str">
        <f t="shared" si="97"/>
        <v>, ar, ar, v, [v], [v]</v>
      </c>
      <c r="I2060" s="2" t="str">
        <f>IF(Return!C2060=0,REPLACE(INDEX(H:H,ROW()+Return!B2060,),1,2,Return!E2060&amp;"(")&amp;")","")</f>
        <v/>
      </c>
      <c r="M2060" s="1"/>
    </row>
    <row r="2061" spans="1:13" x14ac:dyDescent="0.55000000000000004">
      <c r="A2061" s="1" t="s">
        <v>2186</v>
      </c>
      <c r="B2061" t="s">
        <v>1453</v>
      </c>
      <c r="C2061" s="2">
        <f>Return!C2061</f>
        <v>6</v>
      </c>
      <c r="D2061" s="2">
        <f>COUNTA(Argument!E2061)</f>
        <v>1</v>
      </c>
      <c r="E2061" s="2" t="str">
        <f>IF(C2061,Return!D2061,Return!E2061)</f>
        <v>v</v>
      </c>
      <c r="F2061" s="2" t="str">
        <f t="shared" si="96"/>
        <v>[v]</v>
      </c>
      <c r="G2061" s="2" t="str">
        <f t="shared" si="98"/>
        <v>[v]</v>
      </c>
      <c r="H2061" s="2" t="str">
        <f t="shared" si="97"/>
        <v>, ar, ar, v, [v], [v], [v]</v>
      </c>
      <c r="I2061" s="2" t="str">
        <f>IF(Return!C2061=0,REPLACE(INDEX(H:H,ROW()+Return!B2061,),1,2,Return!E2061&amp;"(")&amp;")","")</f>
        <v/>
      </c>
      <c r="M2061" s="1"/>
    </row>
    <row r="2062" spans="1:13" x14ac:dyDescent="0.55000000000000004">
      <c r="A2062" s="1" t="s">
        <v>2187</v>
      </c>
      <c r="C2062" s="2">
        <f>Return!C2062</f>
        <v>0</v>
      </c>
      <c r="D2062" s="2">
        <f>COUNTA(Argument!E2062)</f>
        <v>0</v>
      </c>
      <c r="E2062" s="2" t="str">
        <f>IF(C2062,Return!D2062,Return!E2062)</f>
        <v>v</v>
      </c>
      <c r="F2062" s="2" t="str">
        <f t="shared" si="96"/>
        <v/>
      </c>
      <c r="G2062" s="2" t="str">
        <f t="shared" si="98"/>
        <v/>
      </c>
      <c r="H2062" s="2" t="str">
        <f t="shared" si="97"/>
        <v/>
      </c>
      <c r="I2062" s="2" t="str">
        <f>IF(Return!C2062=0,REPLACE(INDEX(H:H,ROW()+Return!B2062,),1,2,Return!E2062&amp;"(")&amp;")","")</f>
        <v>v(v, a, a)</v>
      </c>
      <c r="M2062" s="1"/>
    </row>
    <row r="2063" spans="1:13" x14ac:dyDescent="0.55000000000000004">
      <c r="A2063" s="1" t="s">
        <v>2187</v>
      </c>
      <c r="B2063" t="s">
        <v>1316</v>
      </c>
      <c r="C2063" s="2">
        <f>Return!C2063</f>
        <v>1</v>
      </c>
      <c r="D2063" s="2">
        <f>COUNTA(Argument!E2063)</f>
        <v>0</v>
      </c>
      <c r="E2063" s="2" t="str">
        <f>IF(C2063,Return!D2063,Return!E2063)</f>
        <v>v</v>
      </c>
      <c r="F2063" s="2" t="str">
        <f t="shared" si="96"/>
        <v>v</v>
      </c>
      <c r="G2063" s="2" t="str">
        <f t="shared" si="98"/>
        <v>v</v>
      </c>
      <c r="H2063" s="2" t="str">
        <f t="shared" si="97"/>
        <v>, v</v>
      </c>
      <c r="I2063" s="2" t="str">
        <f>IF(Return!C2063=0,REPLACE(INDEX(H:H,ROW()+Return!B2063,),1,2,Return!E2063&amp;"(")&amp;")","")</f>
        <v/>
      </c>
      <c r="M2063" s="1"/>
    </row>
    <row r="2064" spans="1:13" x14ac:dyDescent="0.55000000000000004">
      <c r="A2064" s="1" t="s">
        <v>2187</v>
      </c>
      <c r="B2064" t="s">
        <v>1245</v>
      </c>
      <c r="C2064" s="2">
        <f>Return!C2064</f>
        <v>2</v>
      </c>
      <c r="D2064" s="2">
        <f>COUNTA(Argument!E2064)</f>
        <v>0</v>
      </c>
      <c r="E2064" s="2" t="str">
        <f>IF(C2064,Return!D2064,Return!E2064)</f>
        <v>a</v>
      </c>
      <c r="F2064" s="2" t="str">
        <f t="shared" si="96"/>
        <v>a</v>
      </c>
      <c r="G2064" s="2" t="str">
        <f t="shared" si="98"/>
        <v>a</v>
      </c>
      <c r="H2064" s="2" t="str">
        <f t="shared" si="97"/>
        <v>, v, a</v>
      </c>
      <c r="I2064" s="2" t="str">
        <f>IF(Return!C2064=0,REPLACE(INDEX(H:H,ROW()+Return!B2064,),1,2,Return!E2064&amp;"(")&amp;")","")</f>
        <v/>
      </c>
      <c r="M2064" s="1"/>
    </row>
    <row r="2065" spans="1:13" x14ac:dyDescent="0.55000000000000004">
      <c r="A2065" s="1" t="s">
        <v>2187</v>
      </c>
      <c r="B2065" t="s">
        <v>1246</v>
      </c>
      <c r="C2065" s="2">
        <f>Return!C2065</f>
        <v>3</v>
      </c>
      <c r="D2065" s="2">
        <f>COUNTA(Argument!E2065)</f>
        <v>1</v>
      </c>
      <c r="E2065" s="2" t="str">
        <f>IF(C2065,Return!D2065,Return!E2065)</f>
        <v>a</v>
      </c>
      <c r="F2065" s="2" t="str">
        <f t="shared" si="96"/>
        <v>a</v>
      </c>
      <c r="G2065" s="2" t="str">
        <f t="shared" si="98"/>
        <v>a</v>
      </c>
      <c r="H2065" s="2" t="str">
        <f t="shared" si="97"/>
        <v>, v, a, a</v>
      </c>
      <c r="I2065" s="2" t="str">
        <f>IF(Return!C2065=0,REPLACE(INDEX(H:H,ROW()+Return!B2065,),1,2,Return!E2065&amp;"(")&amp;")","")</f>
        <v/>
      </c>
      <c r="M2065" s="1"/>
    </row>
    <row r="2066" spans="1:13" x14ac:dyDescent="0.55000000000000004">
      <c r="A2066" s="1" t="s">
        <v>2188</v>
      </c>
      <c r="C2066" s="2">
        <f>Return!C2066</f>
        <v>0</v>
      </c>
      <c r="D2066" s="2">
        <f>COUNTA(Argument!E2066)</f>
        <v>1</v>
      </c>
      <c r="E2066" s="2" t="str">
        <f>IF(C2066,Return!D2066,Return!E2066)</f>
        <v>var</v>
      </c>
      <c r="F2066" s="2" t="str">
        <f t="shared" si="96"/>
        <v/>
      </c>
      <c r="G2066" s="2" t="str">
        <f t="shared" si="98"/>
        <v/>
      </c>
      <c r="H2066" s="2" t="str">
        <f t="shared" si="97"/>
        <v/>
      </c>
      <c r="I2066" s="2" t="str">
        <f>IF(Return!C2066=0,REPLACE(INDEX(H:H,ROW()+Return!B2066,),1,2,Return!E2066&amp;"(")&amp;")","")</f>
        <v>var([var], [var], [var])</v>
      </c>
      <c r="M2066" s="1"/>
    </row>
    <row r="2067" spans="1:13" x14ac:dyDescent="0.55000000000000004">
      <c r="A2067" s="1" t="s">
        <v>2188</v>
      </c>
      <c r="B2067" t="s">
        <v>1282</v>
      </c>
      <c r="C2067" s="2">
        <f>Return!C2067</f>
        <v>1</v>
      </c>
      <c r="D2067" s="2">
        <f>COUNTA(Argument!E2067)</f>
        <v>1</v>
      </c>
      <c r="E2067" s="2" t="str">
        <f>IF(C2067,Return!D2067,Return!E2067)</f>
        <v>var</v>
      </c>
      <c r="F2067" s="2" t="str">
        <f t="shared" si="96"/>
        <v>[var]</v>
      </c>
      <c r="G2067" s="2" t="str">
        <f t="shared" si="98"/>
        <v>[var]</v>
      </c>
      <c r="H2067" s="2" t="str">
        <f t="shared" si="97"/>
        <v>, [var]</v>
      </c>
      <c r="I2067" s="2" t="str">
        <f>IF(Return!C2067=0,REPLACE(INDEX(H:H,ROW()+Return!B2067,),1,2,Return!E2067&amp;"(")&amp;")","")</f>
        <v/>
      </c>
      <c r="M2067" s="1"/>
    </row>
    <row r="2068" spans="1:13" x14ac:dyDescent="0.55000000000000004">
      <c r="A2068" s="1" t="s">
        <v>2188</v>
      </c>
      <c r="B2068" t="s">
        <v>1456</v>
      </c>
      <c r="C2068" s="2">
        <f>Return!C2068</f>
        <v>2</v>
      </c>
      <c r="D2068" s="2">
        <f>COUNTA(Argument!E2068)</f>
        <v>1</v>
      </c>
      <c r="E2068" s="2" t="str">
        <f>IF(C2068,Return!D2068,Return!E2068)</f>
        <v>var</v>
      </c>
      <c r="F2068" s="2" t="str">
        <f t="shared" si="96"/>
        <v>[var]</v>
      </c>
      <c r="G2068" s="2" t="str">
        <f t="shared" si="98"/>
        <v>[var]</v>
      </c>
      <c r="H2068" s="2" t="str">
        <f t="shared" si="97"/>
        <v>, [var], [var]</v>
      </c>
      <c r="I2068" s="2" t="str">
        <f>IF(Return!C2068=0,REPLACE(INDEX(H:H,ROW()+Return!B2068,),1,2,Return!E2068&amp;"(")&amp;")","")</f>
        <v/>
      </c>
      <c r="M2068" s="1"/>
    </row>
    <row r="2069" spans="1:13" x14ac:dyDescent="0.55000000000000004">
      <c r="A2069" s="1" t="s">
        <v>2188</v>
      </c>
      <c r="B2069" t="s">
        <v>1457</v>
      </c>
      <c r="C2069" s="2">
        <f>Return!C2069</f>
        <v>3</v>
      </c>
      <c r="D2069" s="2">
        <f>COUNTA(Argument!E2069)</f>
        <v>1</v>
      </c>
      <c r="E2069" s="2" t="str">
        <f>IF(C2069,Return!D2069,Return!E2069)</f>
        <v>var</v>
      </c>
      <c r="F2069" s="2" t="str">
        <f t="shared" si="96"/>
        <v>[var]</v>
      </c>
      <c r="G2069" s="2" t="str">
        <f t="shared" si="98"/>
        <v>[var]</v>
      </c>
      <c r="H2069" s="2" t="str">
        <f t="shared" si="97"/>
        <v>, [var], [var], [var]</v>
      </c>
      <c r="I2069" s="2" t="str">
        <f>IF(Return!C2069=0,REPLACE(INDEX(H:H,ROW()+Return!B2069,),1,2,Return!E2069&amp;"(")&amp;")","")</f>
        <v/>
      </c>
      <c r="M2069" s="1"/>
    </row>
    <row r="2070" spans="1:13" x14ac:dyDescent="0.55000000000000004">
      <c r="A2070" s="1" t="s">
        <v>2189</v>
      </c>
      <c r="C2070" s="2">
        <f>Return!C2070</f>
        <v>0</v>
      </c>
      <c r="D2070" s="2">
        <f>COUNTA(Argument!E2070)</f>
        <v>1</v>
      </c>
      <c r="E2070" s="2" t="str">
        <f>IF(C2070,Return!D2070,Return!E2070)</f>
        <v>var</v>
      </c>
      <c r="F2070" s="2" t="str">
        <f t="shared" si="96"/>
        <v/>
      </c>
      <c r="G2070" s="2" t="str">
        <f t="shared" si="98"/>
        <v/>
      </c>
      <c r="H2070" s="2" t="str">
        <f t="shared" si="97"/>
        <v/>
      </c>
      <c r="I2070" s="2" t="str">
        <f>IF(Return!C2070=0,REPLACE(INDEX(H:H,ROW()+Return!B2070,),1,2,Return!E2070&amp;"(")&amp;")","")</f>
        <v>var([var], [var], [var])</v>
      </c>
      <c r="M2070" s="1"/>
    </row>
    <row r="2071" spans="1:13" x14ac:dyDescent="0.55000000000000004">
      <c r="A2071" s="1" t="s">
        <v>2189</v>
      </c>
      <c r="B2071" t="s">
        <v>1458</v>
      </c>
      <c r="C2071" s="2">
        <f>Return!C2071</f>
        <v>1</v>
      </c>
      <c r="D2071" s="2">
        <f>COUNTA(Argument!E2071)</f>
        <v>1</v>
      </c>
      <c r="E2071" s="2" t="str">
        <f>IF(C2071,Return!D2071,Return!E2071)</f>
        <v>var</v>
      </c>
      <c r="F2071" s="2" t="str">
        <f t="shared" si="96"/>
        <v>[var]</v>
      </c>
      <c r="G2071" s="2" t="str">
        <f t="shared" si="98"/>
        <v>[var]</v>
      </c>
      <c r="H2071" s="2" t="str">
        <f t="shared" si="97"/>
        <v>, [var]</v>
      </c>
      <c r="I2071" s="2" t="str">
        <f>IF(Return!C2071=0,REPLACE(INDEX(H:H,ROW()+Return!B2071,),1,2,Return!E2071&amp;"(")&amp;")","")</f>
        <v/>
      </c>
      <c r="M2071" s="1"/>
    </row>
    <row r="2072" spans="1:13" x14ac:dyDescent="0.55000000000000004">
      <c r="A2072" s="1" t="s">
        <v>2189</v>
      </c>
      <c r="B2072" t="s">
        <v>1459</v>
      </c>
      <c r="C2072" s="2">
        <f>Return!C2072</f>
        <v>2</v>
      </c>
      <c r="D2072" s="2">
        <f>COUNTA(Argument!E2072)</f>
        <v>1</v>
      </c>
      <c r="E2072" s="2" t="str">
        <f>IF(C2072,Return!D2072,Return!E2072)</f>
        <v>var</v>
      </c>
      <c r="F2072" s="2" t="str">
        <f t="shared" si="96"/>
        <v>[var]</v>
      </c>
      <c r="G2072" s="2" t="str">
        <f t="shared" si="98"/>
        <v>[var]</v>
      </c>
      <c r="H2072" s="2" t="str">
        <f t="shared" si="97"/>
        <v>, [var], [var]</v>
      </c>
      <c r="I2072" s="2" t="str">
        <f>IF(Return!C2072=0,REPLACE(INDEX(H:H,ROW()+Return!B2072,),1,2,Return!E2072&amp;"(")&amp;")","")</f>
        <v/>
      </c>
      <c r="M2072" s="1"/>
    </row>
    <row r="2073" spans="1:13" x14ac:dyDescent="0.55000000000000004">
      <c r="A2073" s="1" t="s">
        <v>2189</v>
      </c>
      <c r="B2073" t="s">
        <v>1457</v>
      </c>
      <c r="C2073" s="2">
        <f>Return!C2073</f>
        <v>3</v>
      </c>
      <c r="D2073" s="2">
        <f>COUNTA(Argument!E2073)</f>
        <v>1</v>
      </c>
      <c r="E2073" s="2" t="str">
        <f>IF(C2073,Return!D2073,Return!E2073)</f>
        <v>var</v>
      </c>
      <c r="F2073" s="2" t="str">
        <f t="shared" si="96"/>
        <v>[var]</v>
      </c>
      <c r="G2073" s="2" t="str">
        <f t="shared" si="98"/>
        <v>[var]</v>
      </c>
      <c r="H2073" s="2" t="str">
        <f t="shared" si="97"/>
        <v>, [var], [var], [var]</v>
      </c>
      <c r="I2073" s="2" t="str">
        <f>IF(Return!C2073=0,REPLACE(INDEX(H:H,ROW()+Return!B2073,),1,2,Return!E2073&amp;"(")&amp;")","")</f>
        <v/>
      </c>
      <c r="M2073" s="1"/>
    </row>
    <row r="2074" spans="1:13" x14ac:dyDescent="0.55000000000000004">
      <c r="A2074" s="1" t="s">
        <v>2190</v>
      </c>
      <c r="C2074" s="2">
        <f>Return!C2074</f>
        <v>0</v>
      </c>
      <c r="D2074" s="2">
        <f>COUNTA(Argument!E2074)</f>
        <v>1</v>
      </c>
      <c r="E2074" s="2" t="str">
        <f>IF(C2074,Return!D2074,Return!E2074)</f>
        <v>var</v>
      </c>
      <c r="F2074" s="2" t="str">
        <f t="shared" si="96"/>
        <v/>
      </c>
      <c r="G2074" s="2" t="str">
        <f t="shared" si="98"/>
        <v/>
      </c>
      <c r="H2074" s="2" t="str">
        <f t="shared" si="97"/>
        <v/>
      </c>
      <c r="I2074" s="2" t="str">
        <f>IF(Return!C2074=0,REPLACE(INDEX(H:H,ROW()+Return!B2074,),1,2,Return!E2074&amp;"(")&amp;")","")</f>
        <v>var([var], [var], [var], [var], [var])</v>
      </c>
      <c r="M2074" s="1"/>
    </row>
    <row r="2075" spans="1:13" x14ac:dyDescent="0.55000000000000004">
      <c r="A2075" s="1" t="s">
        <v>2190</v>
      </c>
      <c r="B2075" t="s">
        <v>1460</v>
      </c>
      <c r="C2075" s="2">
        <f>Return!C2075</f>
        <v>1</v>
      </c>
      <c r="D2075" s="2">
        <f>COUNTA(Argument!E2075)</f>
        <v>1</v>
      </c>
      <c r="E2075" s="2" t="str">
        <f>IF(C2075,Return!D2075,Return!E2075)</f>
        <v>var</v>
      </c>
      <c r="F2075" s="2" t="str">
        <f t="shared" si="96"/>
        <v>[var]</v>
      </c>
      <c r="G2075" s="2" t="str">
        <f t="shared" si="98"/>
        <v>[var]</v>
      </c>
      <c r="H2075" s="2" t="str">
        <f t="shared" si="97"/>
        <v>, [var]</v>
      </c>
      <c r="I2075" s="2" t="str">
        <f>IF(Return!C2075=0,REPLACE(INDEX(H:H,ROW()+Return!B2075,),1,2,Return!E2075&amp;"(")&amp;")","")</f>
        <v/>
      </c>
      <c r="M2075" s="1"/>
    </row>
    <row r="2076" spans="1:13" x14ac:dyDescent="0.55000000000000004">
      <c r="A2076" s="1" t="s">
        <v>2190</v>
      </c>
      <c r="B2076" t="s">
        <v>1461</v>
      </c>
      <c r="C2076" s="2">
        <f>Return!C2076</f>
        <v>2</v>
      </c>
      <c r="D2076" s="2">
        <f>COUNTA(Argument!E2076)</f>
        <v>1</v>
      </c>
      <c r="E2076" s="2" t="str">
        <f>IF(C2076,Return!D2076,Return!E2076)</f>
        <v>var</v>
      </c>
      <c r="F2076" s="2" t="str">
        <f t="shared" si="96"/>
        <v>[var]</v>
      </c>
      <c r="G2076" s="2" t="str">
        <f t="shared" si="98"/>
        <v>[var]</v>
      </c>
      <c r="H2076" s="2" t="str">
        <f t="shared" si="97"/>
        <v>, [var], [var]</v>
      </c>
      <c r="I2076" s="2" t="str">
        <f>IF(Return!C2076=0,REPLACE(INDEX(H:H,ROW()+Return!B2076,),1,2,Return!E2076&amp;"(")&amp;")","")</f>
        <v/>
      </c>
      <c r="M2076" s="1"/>
    </row>
    <row r="2077" spans="1:13" x14ac:dyDescent="0.55000000000000004">
      <c r="A2077" s="1" t="s">
        <v>2190</v>
      </c>
      <c r="B2077" t="s">
        <v>1462</v>
      </c>
      <c r="C2077" s="2">
        <f>Return!C2077</f>
        <v>3</v>
      </c>
      <c r="D2077" s="2">
        <f>COUNTA(Argument!E2077)</f>
        <v>1</v>
      </c>
      <c r="E2077" s="2" t="str">
        <f>IF(C2077,Return!D2077,Return!E2077)</f>
        <v>var</v>
      </c>
      <c r="F2077" s="2" t="str">
        <f t="shared" si="96"/>
        <v>[var]</v>
      </c>
      <c r="G2077" s="2" t="str">
        <f t="shared" si="98"/>
        <v>[var]</v>
      </c>
      <c r="H2077" s="2" t="str">
        <f t="shared" si="97"/>
        <v>, [var], [var], [var]</v>
      </c>
      <c r="I2077" s="2" t="str">
        <f>IF(Return!C2077=0,REPLACE(INDEX(H:H,ROW()+Return!B2077,),1,2,Return!E2077&amp;"(")&amp;")","")</f>
        <v/>
      </c>
      <c r="M2077" s="1"/>
    </row>
    <row r="2078" spans="1:13" x14ac:dyDescent="0.55000000000000004">
      <c r="A2078" s="1" t="s">
        <v>2190</v>
      </c>
      <c r="B2078" t="s">
        <v>1457</v>
      </c>
      <c r="C2078" s="2">
        <f>Return!C2078</f>
        <v>4</v>
      </c>
      <c r="D2078" s="2">
        <f>COUNTA(Argument!E2078)</f>
        <v>1</v>
      </c>
      <c r="E2078" s="2" t="str">
        <f>IF(C2078,Return!D2078,Return!E2078)</f>
        <v>var</v>
      </c>
      <c r="F2078" s="2" t="str">
        <f t="shared" si="96"/>
        <v>[var]</v>
      </c>
      <c r="G2078" s="2" t="str">
        <f t="shared" si="98"/>
        <v>[var]</v>
      </c>
      <c r="H2078" s="2" t="str">
        <f t="shared" si="97"/>
        <v>, [var], [var], [var], [var]</v>
      </c>
      <c r="I2078" s="2" t="str">
        <f>IF(Return!C2078=0,REPLACE(INDEX(H:H,ROW()+Return!B2078,),1,2,Return!E2078&amp;"(")&amp;")","")</f>
        <v/>
      </c>
      <c r="M2078" s="1"/>
    </row>
    <row r="2079" spans="1:13" x14ac:dyDescent="0.55000000000000004">
      <c r="A2079" s="1" t="s">
        <v>2190</v>
      </c>
      <c r="B2079" s="1"/>
      <c r="C2079" s="2">
        <f>Return!C2079</f>
        <v>5</v>
      </c>
      <c r="D2079" s="2">
        <f>COUNTA(Argument!E2079)</f>
        <v>1</v>
      </c>
      <c r="E2079" s="2" t="str">
        <f>IF(C2079,Return!D2079,Return!E2079)</f>
        <v>var</v>
      </c>
      <c r="F2079" s="2" t="str">
        <f t="shared" si="96"/>
        <v>[var]</v>
      </c>
      <c r="G2079" s="2" t="str">
        <f t="shared" si="98"/>
        <v>[var]</v>
      </c>
      <c r="H2079" s="2" t="str">
        <f t="shared" si="97"/>
        <v>, [var], [var], [var], [var], [var]</v>
      </c>
      <c r="I2079" s="2" t="str">
        <f>IF(Return!C2079=0,REPLACE(INDEX(H:H,ROW()+Return!B2079,),1,2,Return!E2079&amp;"(")&amp;")","")</f>
        <v/>
      </c>
      <c r="K2079" s="1"/>
      <c r="M2079" s="1"/>
    </row>
    <row r="2080" spans="1:13" x14ac:dyDescent="0.55000000000000004">
      <c r="A2080" s="1" t="s">
        <v>2191</v>
      </c>
      <c r="C2080" s="2">
        <f>Return!C2080</f>
        <v>0</v>
      </c>
      <c r="D2080" s="2">
        <f>COUNTA(Argument!E2080)</f>
        <v>1</v>
      </c>
      <c r="E2080" s="2" t="str">
        <f>IF(C2080,Return!D2080,Return!E2080)</f>
        <v>var</v>
      </c>
      <c r="F2080" s="2" t="str">
        <f t="shared" si="96"/>
        <v/>
      </c>
      <c r="G2080" s="2" t="str">
        <f t="shared" si="98"/>
        <v/>
      </c>
      <c r="H2080" s="2" t="str">
        <f t="shared" si="97"/>
        <v/>
      </c>
      <c r="I2080" s="2" t="str">
        <f>IF(Return!C2080=0,REPLACE(INDEX(H:H,ROW()+Return!B2080,),1,2,Return!E2080&amp;"(")&amp;")","")</f>
        <v>var([var], [var], [var], [var], [var])</v>
      </c>
      <c r="M2080" s="1"/>
    </row>
    <row r="2081" spans="1:13" x14ac:dyDescent="0.55000000000000004">
      <c r="A2081" s="1" t="s">
        <v>2191</v>
      </c>
      <c r="B2081" t="s">
        <v>1463</v>
      </c>
      <c r="C2081" s="2">
        <f>Return!C2081</f>
        <v>1</v>
      </c>
      <c r="D2081" s="2">
        <f>COUNTA(Argument!E2081)</f>
        <v>1</v>
      </c>
      <c r="E2081" s="2" t="str">
        <f>IF(C2081,Return!D2081,Return!E2081)</f>
        <v>var</v>
      </c>
      <c r="F2081" s="2" t="str">
        <f t="shared" si="96"/>
        <v>[var]</v>
      </c>
      <c r="G2081" s="2" t="str">
        <f t="shared" si="98"/>
        <v>[var]</v>
      </c>
      <c r="H2081" s="2" t="str">
        <f t="shared" si="97"/>
        <v>, [var]</v>
      </c>
      <c r="I2081" s="2" t="str">
        <f>IF(Return!C2081=0,REPLACE(INDEX(H:H,ROW()+Return!B2081,),1,2,Return!E2081&amp;"(")&amp;")","")</f>
        <v/>
      </c>
      <c r="M2081" s="1"/>
    </row>
    <row r="2082" spans="1:13" x14ac:dyDescent="0.55000000000000004">
      <c r="A2082" s="1" t="s">
        <v>2191</v>
      </c>
      <c r="B2082" t="s">
        <v>1461</v>
      </c>
      <c r="C2082" s="2">
        <f>Return!C2082</f>
        <v>2</v>
      </c>
      <c r="D2082" s="2">
        <f>COUNTA(Argument!E2082)</f>
        <v>1</v>
      </c>
      <c r="E2082" s="2" t="str">
        <f>IF(C2082,Return!D2082,Return!E2082)</f>
        <v>var</v>
      </c>
      <c r="F2082" s="2" t="str">
        <f t="shared" si="96"/>
        <v>[var]</v>
      </c>
      <c r="G2082" s="2" t="str">
        <f t="shared" si="98"/>
        <v>[var]</v>
      </c>
      <c r="H2082" s="2" t="str">
        <f t="shared" si="97"/>
        <v>, [var], [var]</v>
      </c>
      <c r="I2082" s="2" t="str">
        <f>IF(Return!C2082=0,REPLACE(INDEX(H:H,ROW()+Return!B2082,),1,2,Return!E2082&amp;"(")&amp;")","")</f>
        <v/>
      </c>
      <c r="M2082" s="1"/>
    </row>
    <row r="2083" spans="1:13" x14ac:dyDescent="0.55000000000000004">
      <c r="A2083" s="1" t="s">
        <v>2191</v>
      </c>
      <c r="B2083" t="s">
        <v>1462</v>
      </c>
      <c r="C2083" s="2">
        <f>Return!C2083</f>
        <v>3</v>
      </c>
      <c r="D2083" s="2">
        <f>COUNTA(Argument!E2083)</f>
        <v>1</v>
      </c>
      <c r="E2083" s="2" t="str">
        <f>IF(C2083,Return!D2083,Return!E2083)</f>
        <v>var</v>
      </c>
      <c r="F2083" s="2" t="str">
        <f t="shared" si="96"/>
        <v>[var]</v>
      </c>
      <c r="G2083" s="2" t="str">
        <f t="shared" si="98"/>
        <v>[var]</v>
      </c>
      <c r="H2083" s="2" t="str">
        <f t="shared" si="97"/>
        <v>, [var], [var], [var]</v>
      </c>
      <c r="I2083" s="2" t="str">
        <f>IF(Return!C2083=0,REPLACE(INDEX(H:H,ROW()+Return!B2083,),1,2,Return!E2083&amp;"(")&amp;")","")</f>
        <v/>
      </c>
      <c r="M2083" s="1"/>
    </row>
    <row r="2084" spans="1:13" x14ac:dyDescent="0.55000000000000004">
      <c r="A2084" s="1" t="s">
        <v>2191</v>
      </c>
      <c r="B2084" t="s">
        <v>1457</v>
      </c>
      <c r="C2084" s="2">
        <f>Return!C2084</f>
        <v>4</v>
      </c>
      <c r="D2084" s="2">
        <f>COUNTA(Argument!E2084)</f>
        <v>1</v>
      </c>
      <c r="E2084" s="2" t="str">
        <f>IF(C2084,Return!D2084,Return!E2084)</f>
        <v>var</v>
      </c>
      <c r="F2084" s="2" t="str">
        <f t="shared" si="96"/>
        <v>[var]</v>
      </c>
      <c r="G2084" s="2" t="str">
        <f t="shared" si="98"/>
        <v>[var]</v>
      </c>
      <c r="H2084" s="2" t="str">
        <f t="shared" si="97"/>
        <v>, [var], [var], [var], [var]</v>
      </c>
      <c r="I2084" s="2" t="str">
        <f>IF(Return!C2084=0,REPLACE(INDEX(H:H,ROW()+Return!B2084,),1,2,Return!E2084&amp;"(")&amp;")","")</f>
        <v/>
      </c>
      <c r="M2084" s="1"/>
    </row>
    <row r="2085" spans="1:13" x14ac:dyDescent="0.55000000000000004">
      <c r="A2085" s="1" t="s">
        <v>2191</v>
      </c>
      <c r="B2085" s="1"/>
      <c r="C2085" s="2">
        <f>Return!C2085</f>
        <v>5</v>
      </c>
      <c r="D2085" s="2">
        <f>COUNTA(Argument!E2085)</f>
        <v>1</v>
      </c>
      <c r="E2085" s="2" t="str">
        <f>IF(C2085,Return!D2085,Return!E2085)</f>
        <v>var</v>
      </c>
      <c r="F2085" s="2" t="str">
        <f t="shared" si="96"/>
        <v>[var]</v>
      </c>
      <c r="G2085" s="2" t="str">
        <f t="shared" si="98"/>
        <v>[var]</v>
      </c>
      <c r="H2085" s="2" t="str">
        <f t="shared" si="97"/>
        <v>, [var], [var], [var], [var], [var]</v>
      </c>
      <c r="I2085" s="2" t="str">
        <f>IF(Return!C2085=0,REPLACE(INDEX(H:H,ROW()+Return!B2085,),1,2,Return!E2085&amp;"(")&amp;")","")</f>
        <v/>
      </c>
      <c r="K2085" s="1"/>
      <c r="M2085" s="1"/>
    </row>
    <row r="2086" spans="1:13" x14ac:dyDescent="0.55000000000000004">
      <c r="A2086" s="1" t="s">
        <v>2192</v>
      </c>
      <c r="C2086" s="2">
        <f>Return!C2086</f>
        <v>0</v>
      </c>
      <c r="D2086" s="2">
        <f>COUNTA(Argument!E2086)</f>
        <v>1</v>
      </c>
      <c r="E2086" s="2" t="str">
        <f>IF(C2086,Return!D2086,Return!E2086)</f>
        <v>var</v>
      </c>
      <c r="F2086" s="2" t="str">
        <f t="shared" si="96"/>
        <v/>
      </c>
      <c r="G2086" s="2" t="str">
        <f t="shared" si="98"/>
        <v/>
      </c>
      <c r="H2086" s="2" t="str">
        <f t="shared" si="97"/>
        <v/>
      </c>
      <c r="I2086" s="2" t="str">
        <f>IF(Return!C2086=0,REPLACE(INDEX(H:H,ROW()+Return!B2086,),1,2,Return!E2086&amp;"(")&amp;")","")</f>
        <v>var([var], [var], [var], [var], [var], [var])</v>
      </c>
      <c r="M2086" s="1"/>
    </row>
    <row r="2087" spans="1:13" x14ac:dyDescent="0.55000000000000004">
      <c r="A2087" s="1" t="s">
        <v>2192</v>
      </c>
      <c r="B2087" t="s">
        <v>1464</v>
      </c>
      <c r="C2087" s="2">
        <f>Return!C2087</f>
        <v>1</v>
      </c>
      <c r="D2087" s="2">
        <f>COUNTA(Argument!E2087)</f>
        <v>1</v>
      </c>
      <c r="E2087" s="2" t="str">
        <f>IF(C2087,Return!D2087,Return!E2087)</f>
        <v>var</v>
      </c>
      <c r="F2087" s="2" t="str">
        <f t="shared" si="96"/>
        <v>[var]</v>
      </c>
      <c r="G2087" s="2" t="str">
        <f t="shared" si="98"/>
        <v>[var]</v>
      </c>
      <c r="H2087" s="2" t="str">
        <f t="shared" si="97"/>
        <v>, [var]</v>
      </c>
      <c r="I2087" s="2" t="str">
        <f>IF(Return!C2087=0,REPLACE(INDEX(H:H,ROW()+Return!B2087,),1,2,Return!E2087&amp;"(")&amp;")","")</f>
        <v/>
      </c>
      <c r="M2087" s="1"/>
    </row>
    <row r="2088" spans="1:13" x14ac:dyDescent="0.55000000000000004">
      <c r="A2088" s="1" t="s">
        <v>2192</v>
      </c>
      <c r="B2088" t="s">
        <v>1212</v>
      </c>
      <c r="C2088" s="2">
        <f>Return!C2088</f>
        <v>2</v>
      </c>
      <c r="D2088" s="2">
        <f>COUNTA(Argument!E2088)</f>
        <v>1</v>
      </c>
      <c r="E2088" s="2" t="str">
        <f>IF(C2088,Return!D2088,Return!E2088)</f>
        <v>var</v>
      </c>
      <c r="F2088" s="2" t="str">
        <f t="shared" si="96"/>
        <v>[var]</v>
      </c>
      <c r="G2088" s="2" t="str">
        <f t="shared" si="98"/>
        <v>[var]</v>
      </c>
      <c r="H2088" s="2" t="str">
        <f t="shared" si="97"/>
        <v>, [var], [var]</v>
      </c>
      <c r="I2088" s="2" t="str">
        <f>IF(Return!C2088=0,REPLACE(INDEX(H:H,ROW()+Return!B2088,),1,2,Return!E2088&amp;"(")&amp;")","")</f>
        <v/>
      </c>
      <c r="M2088" s="1"/>
    </row>
    <row r="2089" spans="1:13" x14ac:dyDescent="0.55000000000000004">
      <c r="A2089" s="1" t="s">
        <v>2192</v>
      </c>
      <c r="B2089" t="s">
        <v>1465</v>
      </c>
      <c r="C2089" s="2">
        <f>Return!C2089</f>
        <v>3</v>
      </c>
      <c r="D2089" s="2">
        <f>COUNTA(Argument!E2089)</f>
        <v>1</v>
      </c>
      <c r="E2089" s="2" t="str">
        <f>IF(C2089,Return!D2089,Return!E2089)</f>
        <v>var</v>
      </c>
      <c r="F2089" s="2" t="str">
        <f t="shared" si="96"/>
        <v>[var]</v>
      </c>
      <c r="G2089" s="2" t="str">
        <f t="shared" si="98"/>
        <v>[var]</v>
      </c>
      <c r="H2089" s="2" t="str">
        <f t="shared" si="97"/>
        <v>, [var], [var], [var]</v>
      </c>
      <c r="I2089" s="2" t="str">
        <f>IF(Return!C2089=0,REPLACE(INDEX(H:H,ROW()+Return!B2089,),1,2,Return!E2089&amp;"(")&amp;")","")</f>
        <v/>
      </c>
      <c r="M2089" s="1"/>
    </row>
    <row r="2090" spans="1:13" x14ac:dyDescent="0.55000000000000004">
      <c r="A2090" s="1" t="s">
        <v>2192</v>
      </c>
      <c r="B2090" t="s">
        <v>1466</v>
      </c>
      <c r="C2090" s="2">
        <f>Return!C2090</f>
        <v>4</v>
      </c>
      <c r="D2090" s="2">
        <f>COUNTA(Argument!E2090)</f>
        <v>1</v>
      </c>
      <c r="E2090" s="2" t="str">
        <f>IF(C2090,Return!D2090,Return!E2090)</f>
        <v>var</v>
      </c>
      <c r="F2090" s="2" t="str">
        <f t="shared" si="96"/>
        <v>[var]</v>
      </c>
      <c r="G2090" s="2" t="str">
        <f t="shared" si="98"/>
        <v>[var]</v>
      </c>
      <c r="H2090" s="2" t="str">
        <f t="shared" si="97"/>
        <v>, [var], [var], [var], [var]</v>
      </c>
      <c r="I2090" s="2" t="str">
        <f>IF(Return!C2090=0,REPLACE(INDEX(H:H,ROW()+Return!B2090,),1,2,Return!E2090&amp;"(")&amp;")","")</f>
        <v/>
      </c>
      <c r="M2090" s="1"/>
    </row>
    <row r="2091" spans="1:13" x14ac:dyDescent="0.55000000000000004">
      <c r="A2091" s="1" t="s">
        <v>2192</v>
      </c>
      <c r="B2091" t="s">
        <v>1467</v>
      </c>
      <c r="C2091" s="2">
        <f>Return!C2091</f>
        <v>5</v>
      </c>
      <c r="D2091" s="2">
        <f>COUNTA(Argument!E2091)</f>
        <v>1</v>
      </c>
      <c r="E2091" s="2" t="str">
        <f>IF(C2091,Return!D2091,Return!E2091)</f>
        <v>var</v>
      </c>
      <c r="F2091" s="2" t="str">
        <f t="shared" si="96"/>
        <v>[var]</v>
      </c>
      <c r="G2091" s="2" t="str">
        <f t="shared" si="98"/>
        <v>[var]</v>
      </c>
      <c r="H2091" s="2" t="str">
        <f t="shared" si="97"/>
        <v>, [var], [var], [var], [var], [var]</v>
      </c>
      <c r="I2091" s="2" t="str">
        <f>IF(Return!C2091=0,REPLACE(INDEX(H:H,ROW()+Return!B2091,),1,2,Return!E2091&amp;"(")&amp;")","")</f>
        <v/>
      </c>
      <c r="M2091" s="1"/>
    </row>
    <row r="2092" spans="1:13" x14ac:dyDescent="0.55000000000000004">
      <c r="A2092" s="1" t="s">
        <v>2192</v>
      </c>
      <c r="B2092" t="s">
        <v>1457</v>
      </c>
      <c r="C2092" s="2">
        <f>Return!C2092</f>
        <v>6</v>
      </c>
      <c r="D2092" s="2">
        <f>COUNTA(Argument!E2092)</f>
        <v>1</v>
      </c>
      <c r="E2092" s="2" t="str">
        <f>IF(C2092,Return!D2092,Return!E2092)</f>
        <v>var</v>
      </c>
      <c r="F2092" s="2" t="str">
        <f t="shared" si="96"/>
        <v>[var]</v>
      </c>
      <c r="G2092" s="2" t="str">
        <f t="shared" si="98"/>
        <v>[var]</v>
      </c>
      <c r="H2092" s="2" t="str">
        <f t="shared" si="97"/>
        <v>, [var], [var], [var], [var], [var], [var]</v>
      </c>
      <c r="I2092" s="2" t="str">
        <f>IF(Return!C2092=0,REPLACE(INDEX(H:H,ROW()+Return!B2092,),1,2,Return!E2092&amp;"(")&amp;")","")</f>
        <v/>
      </c>
      <c r="M2092" s="1"/>
    </row>
    <row r="2093" spans="1:13" x14ac:dyDescent="0.55000000000000004">
      <c r="A2093" s="1" t="s">
        <v>2193</v>
      </c>
      <c r="C2093" s="2">
        <f>Return!C2093</f>
        <v>0</v>
      </c>
      <c r="D2093" s="2">
        <f>COUNTA(Argument!E2093)</f>
        <v>1</v>
      </c>
      <c r="E2093" s="2" t="str">
        <f>IF(C2093,Return!D2093,Return!E2093)</f>
        <v>var</v>
      </c>
      <c r="F2093" s="2" t="str">
        <f t="shared" si="96"/>
        <v/>
      </c>
      <c r="G2093" s="2" t="str">
        <f t="shared" si="98"/>
        <v/>
      </c>
      <c r="H2093" s="2" t="str">
        <f t="shared" si="97"/>
        <v/>
      </c>
      <c r="I2093" s="2" t="str">
        <f>IF(Return!C2093=0,REPLACE(INDEX(H:H,ROW()+Return!B2093,),1,2,Return!E2093&amp;"(")&amp;")","")</f>
        <v>var([var], [var], [var], [var])</v>
      </c>
      <c r="M2093" s="1"/>
    </row>
    <row r="2094" spans="1:13" x14ac:dyDescent="0.55000000000000004">
      <c r="A2094" s="1" t="s">
        <v>2193</v>
      </c>
      <c r="B2094" t="s">
        <v>1468</v>
      </c>
      <c r="C2094" s="2">
        <f>Return!C2094</f>
        <v>1</v>
      </c>
      <c r="D2094" s="2">
        <f>COUNTA(Argument!E2094)</f>
        <v>1</v>
      </c>
      <c r="E2094" s="2" t="str">
        <f>IF(C2094,Return!D2094,Return!E2094)</f>
        <v>var</v>
      </c>
      <c r="F2094" s="2" t="str">
        <f t="shared" si="96"/>
        <v>[var]</v>
      </c>
      <c r="G2094" s="2" t="str">
        <f t="shared" si="98"/>
        <v>[var]</v>
      </c>
      <c r="H2094" s="2" t="str">
        <f t="shared" si="97"/>
        <v>, [var]</v>
      </c>
      <c r="I2094" s="2" t="str">
        <f>IF(Return!C2094=0,REPLACE(INDEX(H:H,ROW()+Return!B2094,),1,2,Return!E2094&amp;"(")&amp;")","")</f>
        <v/>
      </c>
      <c r="M2094" s="1"/>
    </row>
    <row r="2095" spans="1:13" x14ac:dyDescent="0.55000000000000004">
      <c r="A2095" s="1" t="s">
        <v>2193</v>
      </c>
      <c r="B2095" t="s">
        <v>1469</v>
      </c>
      <c r="C2095" s="2">
        <f>Return!C2095</f>
        <v>2</v>
      </c>
      <c r="D2095" s="2">
        <f>COUNTA(Argument!E2095)</f>
        <v>1</v>
      </c>
      <c r="E2095" s="2" t="str">
        <f>IF(C2095,Return!D2095,Return!E2095)</f>
        <v>var</v>
      </c>
      <c r="F2095" s="2" t="str">
        <f t="shared" si="96"/>
        <v>[var]</v>
      </c>
      <c r="G2095" s="2" t="str">
        <f t="shared" si="98"/>
        <v>[var]</v>
      </c>
      <c r="H2095" s="2" t="str">
        <f t="shared" si="97"/>
        <v>, [var], [var]</v>
      </c>
      <c r="I2095" s="2" t="str">
        <f>IF(Return!C2095=0,REPLACE(INDEX(H:H,ROW()+Return!B2095,),1,2,Return!E2095&amp;"(")&amp;")","")</f>
        <v/>
      </c>
      <c r="M2095" s="1"/>
    </row>
    <row r="2096" spans="1:13" x14ac:dyDescent="0.55000000000000004">
      <c r="A2096" s="1" t="s">
        <v>2193</v>
      </c>
      <c r="B2096" t="s">
        <v>1282</v>
      </c>
      <c r="C2096" s="2">
        <f>Return!C2096</f>
        <v>3</v>
      </c>
      <c r="D2096" s="2">
        <f>COUNTA(Argument!E2096)</f>
        <v>1</v>
      </c>
      <c r="E2096" s="2" t="str">
        <f>IF(C2096,Return!D2096,Return!E2096)</f>
        <v>var</v>
      </c>
      <c r="F2096" s="2" t="str">
        <f t="shared" si="96"/>
        <v>[var]</v>
      </c>
      <c r="G2096" s="2" t="str">
        <f t="shared" si="98"/>
        <v>[var]</v>
      </c>
      <c r="H2096" s="2" t="str">
        <f t="shared" si="97"/>
        <v>, [var], [var], [var]</v>
      </c>
      <c r="I2096" s="2" t="str">
        <f>IF(Return!C2096=0,REPLACE(INDEX(H:H,ROW()+Return!B2096,),1,2,Return!E2096&amp;"(")&amp;")","")</f>
        <v/>
      </c>
      <c r="M2096" s="1"/>
    </row>
    <row r="2097" spans="1:13" x14ac:dyDescent="0.55000000000000004">
      <c r="A2097" s="1" t="s">
        <v>2193</v>
      </c>
      <c r="B2097" t="s">
        <v>1457</v>
      </c>
      <c r="C2097" s="2">
        <f>Return!C2097</f>
        <v>4</v>
      </c>
      <c r="D2097" s="2">
        <f>COUNTA(Argument!E2097)</f>
        <v>1</v>
      </c>
      <c r="E2097" s="2" t="str">
        <f>IF(C2097,Return!D2097,Return!E2097)</f>
        <v>var</v>
      </c>
      <c r="F2097" s="2" t="str">
        <f t="shared" si="96"/>
        <v>[var]</v>
      </c>
      <c r="G2097" s="2" t="str">
        <f t="shared" si="98"/>
        <v>[var]</v>
      </c>
      <c r="H2097" s="2" t="str">
        <f t="shared" si="97"/>
        <v>, [var], [var], [var], [var]</v>
      </c>
      <c r="I2097" s="2" t="str">
        <f>IF(Return!C2097=0,REPLACE(INDEX(H:H,ROW()+Return!B2097,),1,2,Return!E2097&amp;"(")&amp;")","")</f>
        <v/>
      </c>
      <c r="M209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3</vt:i4>
      </vt:variant>
    </vt:vector>
  </HeadingPairs>
  <TitlesOfParts>
    <vt:vector size="5" baseType="lpstr">
      <vt:lpstr>List</vt:lpstr>
      <vt:lpstr>Type</vt:lpstr>
      <vt:lpstr>Return</vt:lpstr>
      <vt:lpstr>Argument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rekha lopez</dc:creator>
  <cp:lastModifiedBy>rekha lopez</cp:lastModifiedBy>
  <dcterms:created xsi:type="dcterms:W3CDTF">2017-01-15T12:25:39Z</dcterms:created>
  <dcterms:modified xsi:type="dcterms:W3CDTF">2017-03-12T12:12:12Z</dcterms:modified>
</cp:coreProperties>
</file>