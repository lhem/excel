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9300" windowHeight="6900"/>
  </bookViews>
  <sheets>
    <sheet name="Special" sheetId="3" r:id="rId1"/>
    <sheet name="Plot" sheetId="4" r:id="rId2"/>
  </sheets>
  <functionGroups builtInGroupCount="17"/>
  <definedNames>
    <definedName name="_xlnm._FilterDatabase" localSheetId="0" hidden="1">Special!$B$2:$E$16</definedName>
    <definedName name="Inf">Special!$C$5</definedName>
    <definedName name="NaN">Special!$C$16</definedName>
    <definedName name="RecalcOnOpen">IF(,) IF(,)</definedName>
  </definedNames>
  <calcPr calcId="145621"/>
</workbook>
</file>

<file path=xl/calcChain.xml><?xml version="1.0" encoding="utf-8"?>
<calcChain xmlns="http://schemas.openxmlformats.org/spreadsheetml/2006/main">
  <c r="D2" i="3" l="1"/>
  <c r="D9" i="3" l="1"/>
  <c r="C6" i="3"/>
  <c r="D6" i="3" s="1"/>
  <c r="C7" i="3"/>
  <c r="D7" i="3" s="1"/>
  <c r="B9" i="3"/>
  <c r="C16" i="3"/>
  <c r="C11" i="3"/>
  <c r="C3" i="3"/>
  <c r="C15" i="3"/>
  <c r="C14" i="3"/>
  <c r="C4" i="3"/>
  <c r="C5" i="3"/>
  <c r="C10" i="3"/>
  <c r="C8" i="3"/>
  <c r="L3" i="4" l="1"/>
  <c r="M3" i="4"/>
  <c r="M4" i="4"/>
  <c r="C7" i="4"/>
  <c r="L4" i="4" s="1"/>
  <c r="D4" i="3"/>
  <c r="D5" i="3"/>
  <c r="D8" i="3"/>
  <c r="D10" i="3"/>
  <c r="D3" i="3"/>
  <c r="D11" i="3"/>
  <c r="D14" i="3"/>
  <c r="D15" i="3"/>
  <c r="D16" i="3"/>
  <c r="E7" i="3"/>
  <c r="E8" i="3"/>
  <c r="E9" i="3"/>
  <c r="E10" i="3"/>
  <c r="E12" i="3"/>
  <c r="E16" i="3"/>
  <c r="E13" i="3"/>
  <c r="E11" i="3"/>
  <c r="E15" i="3"/>
  <c r="E14" i="3"/>
  <c r="C12" i="3"/>
  <c r="D12" i="3" s="1"/>
  <c r="B12" i="3" l="1"/>
  <c r="B7" i="3"/>
  <c r="C13" i="3"/>
  <c r="D13" i="3" s="1"/>
  <c r="B13" i="3" l="1"/>
  <c r="B6" i="3"/>
  <c r="B15" i="3" l="1"/>
  <c r="B4" i="3"/>
  <c r="B3" i="3"/>
  <c r="B10" i="3"/>
  <c r="B14" i="3"/>
  <c r="B8" i="3"/>
  <c r="B5" i="3"/>
  <c r="B11" i="3"/>
  <c r="B16" i="3"/>
</calcChain>
</file>

<file path=xl/sharedStrings.xml><?xml version="1.0" encoding="utf-8"?>
<sst xmlns="http://schemas.openxmlformats.org/spreadsheetml/2006/main" count="23" uniqueCount="21">
  <si>
    <t>2^1024*(2-2^-1)</t>
  </si>
  <si>
    <t>2^1024*(2-2^-52)</t>
  </si>
  <si>
    <t>2^1024</t>
  </si>
  <si>
    <t>Value</t>
  </si>
  <si>
    <t>2^1023*(2-2^-52)</t>
  </si>
  <si>
    <t>Definition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</si>
  <si>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</si>
  <si>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</si>
  <si>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</si>
  <si>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</si>
  <si>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</si>
  <si>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</si>
  <si>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</si>
  <si>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</si>
  <si>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</si>
  <si>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</si>
  <si>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</si>
  <si>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</si>
  <si>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Const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</si>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</sst>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&quot;sNaN&quot;"/>
    <numFmt numFmtId="165" formatCode="&quot;Inf&quot;"/>
    <numFmt numFmtId="166" formatCode="&quot;Epsilon&quot;"/>
    <numFmt numFmtId="167" formatCode="&quot;NaN&quot;"/>
    <numFmt numFmtId="168" formatCode="&quot;Max&quot;"/>
    <numFmt numFmtId="169" formatCode="&quot;Min&quot;"/>
  </numFmts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3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/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 style="thin">
        <color theme="8" tint="0.39994506668294322"/>
      </right>
      <top style="thin">
        <color theme="8" tint="0.39997558519241921"/>
      </top>
      <bottom style="thin">
        <color theme="8" tint="0.39994506668294322"/>
      </bottom>
      <diagonal/>
    </border>
    <border>
      <left style="thin">
        <color theme="8" tint="0.39997558519241921"/>
      </left>
      <right style="thin">
        <color theme="8" tint="0.39994506668294322"/>
      </right>
      <top style="thin">
        <color theme="8" tint="0.39997558519241921"/>
      </top>
      <bottom/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4506668294322"/>
      </bottom>
      <diagonal/>
    </border>
    <border>
      <left style="thin">
        <color theme="8" tint="0.39997558519241921"/>
      </left>
      <right style="thin">
        <color theme="8" tint="0.39994506668294322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1454817346722"/>
      </left>
      <right/>
      <top style="thin">
        <color theme="8" tint="0.39991454817346722"/>
      </top>
      <bottom/>
      <diagonal/>
    </border>
    <border>
      <left style="thin">
        <color theme="8" tint="0.39997558519241921"/>
      </left>
      <right style="thin">
        <color theme="8" tint="0.39991454817346722"/>
      </right>
      <top style="thin">
        <color theme="8" tint="0.39991454817346722"/>
      </top>
      <bottom/>
      <diagonal/>
    </border>
    <border>
      <left style="thin">
        <color theme="8" tint="0.39991454817346722"/>
      </left>
      <right/>
      <top style="thin">
        <color theme="8" tint="0.39997558519241921"/>
      </top>
      <bottom style="thin">
        <color theme="8" tint="0.39994506668294322"/>
      </bottom>
      <diagonal/>
    </border>
    <border>
      <left style="thin">
        <color theme="8" tint="0.39997558519241921"/>
      </left>
      <right style="thin">
        <color theme="8" tint="0.39991454817346722"/>
      </right>
      <top style="thin">
        <color theme="8" tint="0.39997558519241921"/>
      </top>
      <bottom style="thin">
        <color theme="8" tint="0.39994506668294322"/>
      </bottom>
      <diagonal/>
    </border>
    <border>
      <left style="thin">
        <color theme="8" tint="0.39988402966399123"/>
      </left>
      <right/>
      <top style="thin">
        <color theme="8" tint="0.39988402966399123"/>
      </top>
      <bottom style="thin">
        <color theme="8" tint="0.39988402966399123"/>
      </bottom>
      <diagonal/>
    </border>
    <border>
      <left style="thin">
        <color theme="8" tint="0.39997558519241921"/>
      </left>
      <right style="thin">
        <color theme="8" tint="0.39988402966399123"/>
      </right>
      <top style="thin">
        <color theme="8" tint="0.39988402966399123"/>
      </top>
      <bottom style="thin">
        <color theme="8" tint="0.39988402966399123"/>
      </bottom>
      <diagonal/>
    </border>
  </borders>
  <cellStyleXfs count="1">
    <xf numFmtId="0" fontId="0" fillId="0" borderId="0"/>
  </cellStyleXfs>
  <cellXfs count="27">
    <xf numFmtId="0" fontId="0" fillId="0" borderId="0" xfId="0"/>
    <xf numFmtId="49" fontId="0" fillId="0" borderId="0" xfId="0" applyNumberFormat="1"/>
    <xf numFmtId="0" fontId="1" fillId="0" borderId="2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167" fontId="2" fillId="0" borderId="4" xfId="0" applyNumberFormat="1" applyFont="1" applyFill="1" applyBorder="1"/>
    <xf numFmtId="0" fontId="2" fillId="0" borderId="2" xfId="0" applyNumberFormat="1" applyFont="1" applyFill="1" applyBorder="1"/>
    <xf numFmtId="0" fontId="2" fillId="0" borderId="3" xfId="0" applyFont="1" applyFill="1" applyBorder="1"/>
    <xf numFmtId="0" fontId="2" fillId="0" borderId="6" xfId="0" applyFont="1" applyFill="1" applyBorder="1"/>
    <xf numFmtId="164" fontId="2" fillId="0" borderId="2" xfId="0" applyNumberFormat="1" applyFont="1" applyFill="1" applyBorder="1"/>
    <xf numFmtId="165" fontId="2" fillId="0" borderId="2" xfId="0" applyNumberFormat="1" applyFont="1" applyFill="1" applyBorder="1"/>
    <xf numFmtId="166" fontId="2" fillId="0" borderId="2" xfId="0" applyNumberFormat="1" applyFont="1" applyFill="1" applyBorder="1"/>
    <xf numFmtId="0" fontId="2" fillId="0" borderId="2" xfId="0" applyFont="1" applyFill="1" applyBorder="1"/>
    <xf numFmtId="0" fontId="2" fillId="0" borderId="4" xfId="0" applyNumberFormat="1" applyFont="1" applyFill="1" applyBorder="1"/>
    <xf numFmtId="0" fontId="2" fillId="0" borderId="1" xfId="0" applyFont="1" applyFill="1" applyBorder="1"/>
    <xf numFmtId="0" fontId="2" fillId="0" borderId="8" xfId="0" applyFont="1" applyFill="1" applyBorder="1"/>
    <xf numFmtId="0" fontId="2" fillId="0" borderId="7" xfId="0" applyNumberFormat="1" applyFont="1" applyFill="1" applyBorder="1"/>
    <xf numFmtId="0" fontId="2" fillId="0" borderId="5" xfId="0" applyFont="1" applyFill="1" applyBorder="1"/>
    <xf numFmtId="167" fontId="2" fillId="0" borderId="6" xfId="0" applyNumberFormat="1" applyFont="1" applyFill="1" applyBorder="1"/>
    <xf numFmtId="168" fontId="2" fillId="0" borderId="2" xfId="0" applyNumberFormat="1" applyFont="1" applyFill="1" applyBorder="1"/>
    <xf numFmtId="169" fontId="2" fillId="0" borderId="2" xfId="0" applyNumberFormat="1" applyFont="1" applyFill="1" applyBorder="1"/>
    <xf numFmtId="0" fontId="1" fillId="0" borderId="9" xfId="0" applyNumberFormat="1" applyFont="1" applyFill="1" applyBorder="1" applyAlignment="1">
      <alignment horizontal="center"/>
    </xf>
    <xf numFmtId="0" fontId="1" fillId="0" borderId="10" xfId="0" applyNumberFormat="1" applyFont="1" applyFill="1" applyBorder="1" applyAlignment="1">
      <alignment horizontal="center"/>
    </xf>
    <xf numFmtId="0" fontId="2" fillId="0" borderId="11" xfId="0" applyNumberFormat="1" applyFont="1" applyFill="1" applyBorder="1"/>
    <xf numFmtId="0" fontId="2" fillId="0" borderId="12" xfId="0" applyNumberFormat="1" applyFont="1" applyFill="1" applyBorder="1"/>
    <xf numFmtId="0" fontId="0" fillId="0" borderId="13" xfId="0" applyNumberFormat="1" applyBorder="1"/>
    <xf numFmtId="167" fontId="2" fillId="0" borderId="14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Plot!$B$3:$B$14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Plot!$C$3:$C$14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  <c:pt idx="5">
                  <c:v>8</c:v>
                </c:pt>
                <c:pt idx="6">
                  <c:v>9</c:v>
                </c:pt>
                <c:pt idx="7">
                  <c:v>#N/A</c:v>
                </c:pt>
                <c:pt idx="8">
                  <c:v>7</c:v>
                </c:pt>
                <c:pt idx="9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380992"/>
        <c:axId val="191341120"/>
      </c:lineChart>
      <c:catAx>
        <c:axId val="191380992"/>
        <c:scaling>
          <c:orientation val="minMax"/>
        </c:scaling>
        <c:delete val="0"/>
        <c:axPos val="b"/>
        <c:majorTickMark val="out"/>
        <c:minorTickMark val="none"/>
        <c:tickLblPos val="nextTo"/>
        <c:crossAx val="191341120"/>
        <c:crosses val="autoZero"/>
        <c:auto val="1"/>
        <c:lblAlgn val="ctr"/>
        <c:lblOffset val="100"/>
        <c:noMultiLvlLbl val="0"/>
      </c:catAx>
      <c:valAx>
        <c:axId val="1913411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1380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10</xdr:col>
      <xdr:colOff>0</xdr:colOff>
      <xdr:row>14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tabSelected="1" workbookViewId="0"/>
  </sheetViews>
  <sheetFormatPr defaultRowHeight="15" x14ac:dyDescent="0.25"/>
  <cols>
    <col min="1" max="1" width="4" customWidth="1"/>
    <col min="2" max="2" width="11.140625" bestFit="1" customWidth="1"/>
    <col min="3" max="4" width="12.7109375" bestFit="1" customWidth="1"/>
    <col min="5" max="5" width="18.28515625" bestFit="1" customWidth="1"/>
  </cols>
  <sheetData>
    <row r="2" spans="1:5" x14ac:dyDescent="0.25">
      <c r="B2" s="2" t="s">
        <v>18</v>
      </c>
      <c r="C2" s="2" t="s">
        <v>3</v>
      </c>
      <c r="D2" s="3" t="str">
        <f>"IsEmpty"</f>
        <v>IsEmpty</v>
      </c>
      <c r="E2" s="4" t="s">
        <v>5</v>
      </c>
    </row>
    <row r="3" spans="1:5" x14ac:dyDescent="0.25">
      <c r="A3" s="1"/>
      <c r="B3" s="5" t="e">
        <f t="shared" ref="B3:B16" si="0">C3</f>
        <v>#NUM!</v>
      </c>
      <c r="C3" s="6" t="e">
        <f>GetIEEE754SpecialValue(2,RecalcOnOpen)</f>
        <v>#NUM!</v>
      </c>
      <c r="D3" s="7" t="b">
        <f t="shared" ref="D3:D16" si="1">C3=IF(1,)</f>
        <v>1</v>
      </c>
      <c r="E3" s="8" t="s">
        <v>1</v>
      </c>
    </row>
    <row r="4" spans="1:5" x14ac:dyDescent="0.25">
      <c r="A4" s="1"/>
      <c r="B4" s="9" t="e">
        <f t="shared" si="0"/>
        <v>#NUM!</v>
      </c>
      <c r="C4" s="6" t="e">
        <f>GetIEEE754SpecialValue(4,RecalcOnOpen)</f>
        <v>#NUM!</v>
      </c>
      <c r="D4" s="7" t="b">
        <f t="shared" si="1"/>
        <v>1</v>
      </c>
      <c r="E4" s="8" t="s">
        <v>0</v>
      </c>
    </row>
    <row r="5" spans="1:5" x14ac:dyDescent="0.25">
      <c r="A5" s="1"/>
      <c r="B5" s="10" t="e">
        <f t="shared" si="0"/>
        <v>#NUM!</v>
      </c>
      <c r="C5" s="6" t="e">
        <f>GetIEEE754SpecialValue(0,RecalcOnOpen)</f>
        <v>#NUM!</v>
      </c>
      <c r="D5" s="7" t="b">
        <f t="shared" si="1"/>
        <v>1</v>
      </c>
      <c r="E5" s="8" t="s">
        <v>2</v>
      </c>
    </row>
    <row r="6" spans="1:5" x14ac:dyDescent="0.25">
      <c r="A6" s="1"/>
      <c r="B6" s="19">
        <f t="shared" si="0"/>
        <v>1.7976931348623157E+308</v>
      </c>
      <c r="C6" s="6">
        <f>2^1023*(2-2^-52)</f>
        <v>1.7976931348623157E+308</v>
      </c>
      <c r="D6" s="7" t="b">
        <f t="shared" si="1"/>
        <v>0</v>
      </c>
      <c r="E6" s="8" t="s">
        <v>4</v>
      </c>
    </row>
    <row r="7" spans="1:5" x14ac:dyDescent="0.25">
      <c r="A7" s="1"/>
      <c r="B7" s="20">
        <f t="shared" si="0"/>
        <v>2.2250738585072014E-308</v>
      </c>
      <c r="C7" s="6">
        <f>2^-1022</f>
        <v>2.2250738585072014E-308</v>
      </c>
      <c r="D7" s="7" t="b">
        <f t="shared" si="1"/>
        <v>0</v>
      </c>
      <c r="E7" s="8" t="str">
        <f>"2^-1022"</f>
        <v>2^-1022</v>
      </c>
    </row>
    <row r="8" spans="1:5" x14ac:dyDescent="0.25">
      <c r="A8" s="1"/>
      <c r="B8" s="11">
        <f t="shared" si="0"/>
        <v>4.9406564584124654E-324</v>
      </c>
      <c r="C8" s="6">
        <f>GetIEEE754SpecialValue(8,RecalcOnOpen)</f>
        <v>4.9406564584124654E-324</v>
      </c>
      <c r="D8" s="7" t="b">
        <f t="shared" si="1"/>
        <v>1</v>
      </c>
      <c r="E8" s="8" t="str">
        <f>"2^-1074"</f>
        <v>2^-1074</v>
      </c>
    </row>
    <row r="9" spans="1:5" x14ac:dyDescent="0.25">
      <c r="A9" s="1"/>
      <c r="B9" s="12">
        <f t="shared" si="0"/>
        <v>0</v>
      </c>
      <c r="C9" s="6">
        <v>0</v>
      </c>
      <c r="D9" s="7" t="b">
        <f t="shared" si="1"/>
        <v>1</v>
      </c>
      <c r="E9" s="8" t="str">
        <f>"0"</f>
        <v>0</v>
      </c>
    </row>
    <row r="10" spans="1:5" x14ac:dyDescent="0.25">
      <c r="A10" s="1"/>
      <c r="B10" s="12">
        <f t="shared" si="0"/>
        <v>0</v>
      </c>
      <c r="C10" s="6">
        <f>GetIEEE754SpecialValue(10,RecalcOnOpen)</f>
        <v>0</v>
      </c>
      <c r="D10" s="7" t="b">
        <f t="shared" si="1"/>
        <v>0</v>
      </c>
      <c r="E10" s="8" t="str">
        <f>"-0"</f>
        <v>-0</v>
      </c>
    </row>
    <row r="11" spans="1:5" x14ac:dyDescent="0.25">
      <c r="A11" s="1"/>
      <c r="B11" s="11">
        <f t="shared" si="0"/>
        <v>-9.8813129168249309E-324</v>
      </c>
      <c r="C11" s="6">
        <f>GetIEEE754SpecialValue(9,RecalcOnOpen)</f>
        <v>-9.8813129168249309E-324</v>
      </c>
      <c r="D11" s="7" t="b">
        <f t="shared" si="1"/>
        <v>0</v>
      </c>
      <c r="E11" s="8" t="str">
        <f>"-(2^-1074)"</f>
        <v>-(2^-1074)</v>
      </c>
    </row>
    <row r="12" spans="1:5" x14ac:dyDescent="0.25">
      <c r="A12" s="1"/>
      <c r="B12" s="20">
        <f t="shared" si="0"/>
        <v>-2.2250738585072014E-308</v>
      </c>
      <c r="C12" s="6">
        <f>-(2^-1022)</f>
        <v>-2.2250738585072014E-308</v>
      </c>
      <c r="D12" s="7" t="b">
        <f t="shared" si="1"/>
        <v>0</v>
      </c>
      <c r="E12" s="8" t="str">
        <f>"-(2^-1022)"</f>
        <v>-(2^-1022)</v>
      </c>
    </row>
    <row r="13" spans="1:5" x14ac:dyDescent="0.25">
      <c r="A13" s="1"/>
      <c r="B13" s="19">
        <f t="shared" si="0"/>
        <v>-1.7976931348623157E+308</v>
      </c>
      <c r="C13" s="6">
        <f>-(2^1023*(2-2^-52))</f>
        <v>-1.7976931348623157E+308</v>
      </c>
      <c r="D13" s="7" t="b">
        <f t="shared" si="1"/>
        <v>0</v>
      </c>
      <c r="E13" s="8" t="str">
        <f>"-(2^1023*(2-2^-52))"</f>
        <v>-(2^1023*(2-2^-52))</v>
      </c>
    </row>
    <row r="14" spans="1:5" x14ac:dyDescent="0.25">
      <c r="A14" s="1"/>
      <c r="B14" s="10" t="e">
        <f t="shared" si="0"/>
        <v>#NUM!</v>
      </c>
      <c r="C14" s="6" t="e">
        <f>GetIEEE754SpecialValue(1,RecalcOnOpen)</f>
        <v>#NUM!</v>
      </c>
      <c r="D14" s="7" t="b">
        <f t="shared" si="1"/>
        <v>1</v>
      </c>
      <c r="E14" s="8" t="str">
        <f>"-(2^1024)"</f>
        <v>-(2^1024)</v>
      </c>
    </row>
    <row r="15" spans="1:5" x14ac:dyDescent="0.25">
      <c r="A15" s="1"/>
      <c r="B15" s="9" t="e">
        <f t="shared" si="0"/>
        <v>#NUM!</v>
      </c>
      <c r="C15" s="6" t="e">
        <f>GetIEEE754SpecialValue(5,RecalcOnOpen)</f>
        <v>#NUM!</v>
      </c>
      <c r="D15" s="7" t="b">
        <f t="shared" si="1"/>
        <v>1</v>
      </c>
      <c r="E15" s="8" t="str">
        <f>"-(2^1024*(2-2^-1))"</f>
        <v>-(2^1024*(2-2^-1))</v>
      </c>
    </row>
    <row r="16" spans="1:5" x14ac:dyDescent="0.25">
      <c r="A16" s="1"/>
      <c r="B16" s="5" t="e">
        <f t="shared" si="0"/>
        <v>#NUM!</v>
      </c>
      <c r="C16" s="13" t="e">
        <f>GetIEEE754SpecialValue(3,RecalcOnOpen)</f>
        <v>#NUM!</v>
      </c>
      <c r="D16" s="14" t="b">
        <f t="shared" si="1"/>
        <v>1</v>
      </c>
      <c r="E16" s="15" t="str">
        <f>"-(2^1024*(2-2^-52))"</f>
        <v>-(2^1024*(2-2^-52))</v>
      </c>
    </row>
  </sheetData>
  <autoFilter ref="B2:E16">
    <sortState ref="B3:E16">
      <sortCondition descending="1" ref="C2:C16"/>
    </sortState>
  </autoFilter>
  <sortState ref="B5:D18">
    <sortCondition ref="C7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M14"/>
  <sheetViews>
    <sheetView showGridLines="0" workbookViewId="0"/>
  </sheetViews>
  <sheetFormatPr defaultRowHeight="15" x14ac:dyDescent="0.25"/>
  <sheetData>
    <row r="2" spans="2:13" x14ac:dyDescent="0.25">
      <c r="B2" s="2" t="s">
        <v>19</v>
      </c>
      <c r="C2" s="4" t="s">
        <v>20</v>
      </c>
      <c r="L2" s="21" t="s">
        <v>19</v>
      </c>
      <c r="M2" s="22" t="s">
        <v>20</v>
      </c>
    </row>
    <row r="3" spans="2:13" x14ac:dyDescent="0.25">
      <c r="B3" s="6" t="s">
        <v>6</v>
      </c>
      <c r="C3" s="8">
        <v>1</v>
      </c>
      <c r="L3" s="23" t="str">
        <f>LOOKUP(Inf,C3:C14,B3:B14)</f>
        <v>Oct</v>
      </c>
      <c r="M3" s="24">
        <f>LOOKUP(Inf,C3:C14)</f>
        <v>6</v>
      </c>
    </row>
    <row r="4" spans="2:13" x14ac:dyDescent="0.25">
      <c r="B4" s="6" t="s">
        <v>7</v>
      </c>
      <c r="C4" s="8">
        <v>3</v>
      </c>
      <c r="L4" s="25" t="str">
        <f>LOOKUP(1,1/FREQUENCY(NaN,C3:C14),+B3:B14)</f>
        <v>May</v>
      </c>
      <c r="M4" s="26" t="e">
        <f>NaN</f>
        <v>#NUM!</v>
      </c>
    </row>
    <row r="5" spans="2:13" x14ac:dyDescent="0.25">
      <c r="B5" s="6" t="s">
        <v>8</v>
      </c>
      <c r="C5" s="8">
        <v>5</v>
      </c>
    </row>
    <row r="6" spans="2:13" x14ac:dyDescent="0.25">
      <c r="B6" s="6" t="s">
        <v>9</v>
      </c>
      <c r="C6" s="8">
        <v>6</v>
      </c>
    </row>
    <row r="7" spans="2:13" x14ac:dyDescent="0.25">
      <c r="B7" s="6" t="s">
        <v>10</v>
      </c>
      <c r="C7" s="18" t="e">
        <f>NaN</f>
        <v>#NUM!</v>
      </c>
    </row>
    <row r="8" spans="2:13" x14ac:dyDescent="0.25">
      <c r="B8" s="6" t="s">
        <v>11</v>
      </c>
      <c r="C8" s="8">
        <v>8</v>
      </c>
    </row>
    <row r="9" spans="2:13" x14ac:dyDescent="0.25">
      <c r="B9" s="6" t="s">
        <v>12</v>
      </c>
      <c r="C9" s="8">
        <v>9</v>
      </c>
    </row>
    <row r="10" spans="2:13" x14ac:dyDescent="0.25">
      <c r="B10" s="6" t="s">
        <v>13</v>
      </c>
      <c r="C10" s="8" t="e">
        <v>#N/A</v>
      </c>
    </row>
    <row r="11" spans="2:13" x14ac:dyDescent="0.25">
      <c r="B11" s="6" t="s">
        <v>14</v>
      </c>
      <c r="C11" s="8">
        <v>7</v>
      </c>
    </row>
    <row r="12" spans="2:13" x14ac:dyDescent="0.25">
      <c r="B12" s="6" t="s">
        <v>15</v>
      </c>
      <c r="C12" s="8">
        <v>6</v>
      </c>
    </row>
    <row r="13" spans="2:13" x14ac:dyDescent="0.25">
      <c r="B13" s="6" t="s">
        <v>16</v>
      </c>
      <c r="C13" s="8"/>
    </row>
    <row r="14" spans="2:13" x14ac:dyDescent="0.25">
      <c r="B14" s="16" t="s">
        <v>17</v>
      </c>
      <c r="C14" s="17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Special</vt:lpstr>
      <vt:lpstr>Plot</vt:lpstr>
      <vt:lpstr>Inf</vt:lpstr>
      <vt:lpstr>NaN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Miller, Lorimer</dc:creator>
  <cp:lastModifiedBy>Miller</cp:lastModifiedBy>
  <dcterms:created xsi:type="dcterms:W3CDTF">2016-11-15T08:44:34Z</dcterms:created>
  <dcterms:modified xsi:type="dcterms:W3CDTF">2018-02-06T22:42:24Z</dcterms:modified>
</cp:coreProperties>
</file>